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4AFD577F-73A3-4D20-ACE6-E7E05D008FA7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JUNE" sheetId="1" r:id="rId1"/>
    <sheet name="DSIS | JUNE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1057" i="2" l="1"/>
  <c r="AB1059" i="2"/>
  <c r="AB1058" i="2"/>
  <c r="AH1057" i="2"/>
  <c r="AH1100" i="2" l="1"/>
  <c r="AG1100" i="2"/>
  <c r="AB1100" i="2"/>
  <c r="AD1100" i="2"/>
  <c r="AC1100" i="2"/>
  <c r="AI1098" i="2"/>
  <c r="AE1097" i="2"/>
  <c r="AI1097" i="2" s="1"/>
  <c r="AI1096" i="2"/>
  <c r="AI1095" i="2"/>
  <c r="AE1095" i="2"/>
  <c r="AI1094" i="2"/>
  <c r="AE1094" i="2"/>
  <c r="AI1093" i="2"/>
  <c r="AE1093" i="2"/>
  <c r="AE1092" i="2"/>
  <c r="AI1092" i="2" s="1"/>
  <c r="AE1091" i="2"/>
  <c r="AI1091" i="2" s="1"/>
  <c r="AE1090" i="2"/>
  <c r="AI1090" i="2" s="1"/>
  <c r="AI1089" i="2"/>
  <c r="AE1089" i="2"/>
  <c r="AE1088" i="2"/>
  <c r="AI1088" i="2" s="1"/>
  <c r="AI1087" i="2"/>
  <c r="AE1087" i="2"/>
  <c r="AI1086" i="2"/>
  <c r="AE1086" i="2"/>
  <c r="AI1085" i="2"/>
  <c r="AE1085" i="2"/>
  <c r="AE1084" i="2"/>
  <c r="AI1084" i="2" s="1"/>
  <c r="AE1083" i="2"/>
  <c r="AI1083" i="2" s="1"/>
  <c r="AE1082" i="2"/>
  <c r="AI1082" i="2" s="1"/>
  <c r="AI1081" i="2"/>
  <c r="AE1081" i="2"/>
  <c r="AE1080" i="2"/>
  <c r="AI1080" i="2" s="1"/>
  <c r="AI1079" i="2"/>
  <c r="AE1079" i="2"/>
  <c r="AI1078" i="2"/>
  <c r="AE1078" i="2"/>
  <c r="AI1077" i="2"/>
  <c r="AE1077" i="2"/>
  <c r="AE1076" i="2"/>
  <c r="AI1076" i="2" s="1"/>
  <c r="AE1075" i="2"/>
  <c r="AI1075" i="2" s="1"/>
  <c r="AE1074" i="2"/>
  <c r="AI1074" i="2" s="1"/>
  <c r="AI1073" i="2"/>
  <c r="AE1073" i="2"/>
  <c r="AE1072" i="2"/>
  <c r="AI1072" i="2" s="1"/>
  <c r="AI1071" i="2"/>
  <c r="AE1071" i="2"/>
  <c r="AI1070" i="2"/>
  <c r="AE1070" i="2"/>
  <c r="AI1069" i="2"/>
  <c r="AE1069" i="2"/>
  <c r="AE1068" i="2"/>
  <c r="AI1068" i="2" s="1"/>
  <c r="AE1067" i="2"/>
  <c r="AI1067" i="2" s="1"/>
  <c r="AE1066" i="2"/>
  <c r="AI1066" i="2" s="1"/>
  <c r="AI1065" i="2"/>
  <c r="AE1065" i="2"/>
  <c r="AE1064" i="2"/>
  <c r="AI1064" i="2" s="1"/>
  <c r="AE1063" i="2"/>
  <c r="AI1063" i="2" s="1"/>
  <c r="AE1062" i="2"/>
  <c r="AI1062" i="2" s="1"/>
  <c r="AE1061" i="2"/>
  <c r="AI1061" i="2" s="1"/>
  <c r="AE1060" i="2"/>
  <c r="AI1060" i="2" s="1"/>
  <c r="AE1059" i="2"/>
  <c r="AI1059" i="2" s="1"/>
  <c r="AE1058" i="2"/>
  <c r="AI1058" i="2" s="1"/>
  <c r="AA1058" i="2"/>
  <c r="AA1059" i="2" s="1"/>
  <c r="U1061" i="2"/>
  <c r="P1061" i="2"/>
  <c r="P1060" i="2"/>
  <c r="S1060" i="2" s="1"/>
  <c r="W1060" i="2" s="1"/>
  <c r="V1059" i="2"/>
  <c r="U1059" i="2"/>
  <c r="P1059" i="2"/>
  <c r="Q1059" i="2"/>
  <c r="Q1100" i="2" s="1"/>
  <c r="U1058" i="2"/>
  <c r="Q1058" i="2"/>
  <c r="P1058" i="2"/>
  <c r="S1058" i="2" s="1"/>
  <c r="W1058" i="2" s="1"/>
  <c r="V1057" i="2"/>
  <c r="P1057" i="2"/>
  <c r="S1057" i="2" s="1"/>
  <c r="R1100" i="2"/>
  <c r="W1098" i="2"/>
  <c r="S1097" i="2"/>
  <c r="W1097" i="2" s="1"/>
  <c r="W1096" i="2"/>
  <c r="S1095" i="2"/>
  <c r="W1095" i="2" s="1"/>
  <c r="S1094" i="2"/>
  <c r="W1094" i="2" s="1"/>
  <c r="S1093" i="2"/>
  <c r="W1093" i="2" s="1"/>
  <c r="S1092" i="2"/>
  <c r="W1092" i="2" s="1"/>
  <c r="S1091" i="2"/>
  <c r="W1091" i="2" s="1"/>
  <c r="S1090" i="2"/>
  <c r="W1090" i="2" s="1"/>
  <c r="S1089" i="2"/>
  <c r="W1089" i="2" s="1"/>
  <c r="S1088" i="2"/>
  <c r="W1088" i="2" s="1"/>
  <c r="S1087" i="2"/>
  <c r="W1087" i="2" s="1"/>
  <c r="S1086" i="2"/>
  <c r="W1086" i="2" s="1"/>
  <c r="S1085" i="2"/>
  <c r="W1085" i="2" s="1"/>
  <c r="S1084" i="2"/>
  <c r="W1084" i="2" s="1"/>
  <c r="S1083" i="2"/>
  <c r="W1083" i="2" s="1"/>
  <c r="S1082" i="2"/>
  <c r="W1082" i="2" s="1"/>
  <c r="S1081" i="2"/>
  <c r="W1081" i="2" s="1"/>
  <c r="S1080" i="2"/>
  <c r="W1080" i="2" s="1"/>
  <c r="S1079" i="2"/>
  <c r="W1079" i="2" s="1"/>
  <c r="S1078" i="2"/>
  <c r="W1078" i="2" s="1"/>
  <c r="S1077" i="2"/>
  <c r="W1077" i="2" s="1"/>
  <c r="S1076" i="2"/>
  <c r="W1076" i="2" s="1"/>
  <c r="S1075" i="2"/>
  <c r="W1075" i="2" s="1"/>
  <c r="S1074" i="2"/>
  <c r="W1074" i="2" s="1"/>
  <c r="S1073" i="2"/>
  <c r="W1073" i="2" s="1"/>
  <c r="S1072" i="2"/>
  <c r="W1072" i="2" s="1"/>
  <c r="S1071" i="2"/>
  <c r="W1071" i="2" s="1"/>
  <c r="S1070" i="2"/>
  <c r="W1070" i="2" s="1"/>
  <c r="S1069" i="2"/>
  <c r="W1069" i="2" s="1"/>
  <c r="S1068" i="2"/>
  <c r="W1068" i="2" s="1"/>
  <c r="S1067" i="2"/>
  <c r="W1067" i="2" s="1"/>
  <c r="S1066" i="2"/>
  <c r="W1066" i="2" s="1"/>
  <c r="S1065" i="2"/>
  <c r="W1065" i="2" s="1"/>
  <c r="S1063" i="2"/>
  <c r="W1063" i="2" s="1"/>
  <c r="S1062" i="2"/>
  <c r="W1062" i="2" s="1"/>
  <c r="S1061" i="2"/>
  <c r="W1061" i="2" s="1"/>
  <c r="O1058" i="2"/>
  <c r="O1059" i="2" s="1"/>
  <c r="O1060" i="2" s="1"/>
  <c r="O1061" i="2" s="1"/>
  <c r="AE1057" i="2" l="1"/>
  <c r="AE1100" i="2" s="1"/>
  <c r="U1100" i="2"/>
  <c r="S1064" i="2"/>
  <c r="W1064" i="2" s="1"/>
  <c r="V1100" i="2"/>
  <c r="P1100" i="2"/>
  <c r="W1057" i="2"/>
  <c r="S1059" i="2"/>
  <c r="W1059" i="2" s="1"/>
  <c r="V1009" i="2"/>
  <c r="U1009" i="2"/>
  <c r="P1009" i="2"/>
  <c r="Q1009" i="2"/>
  <c r="AI1057" i="2" l="1"/>
  <c r="AI1100" i="2" s="1"/>
  <c r="W1100" i="2"/>
  <c r="S1100" i="2"/>
  <c r="AB1009" i="2"/>
  <c r="AB1008" i="2"/>
  <c r="AB1007" i="2"/>
  <c r="AG1006" i="2"/>
  <c r="AC1006" i="2"/>
  <c r="AB1006" i="2"/>
  <c r="AE1006" i="2" s="1"/>
  <c r="AG1005" i="2"/>
  <c r="AB1005" i="2"/>
  <c r="AE1005" i="2"/>
  <c r="AG1004" i="2"/>
  <c r="AB1004" i="2"/>
  <c r="AB1003" i="2"/>
  <c r="AE1003" i="2" s="1"/>
  <c r="AI1003" i="2" s="1"/>
  <c r="AH1002" i="2"/>
  <c r="AH1045" i="2" s="1"/>
  <c r="AB1002" i="2"/>
  <c r="AE1002" i="2" s="1"/>
  <c r="AD1045" i="2"/>
  <c r="AI1043" i="2"/>
  <c r="AE1042" i="2"/>
  <c r="AI1042" i="2" s="1"/>
  <c r="AI1041" i="2"/>
  <c r="AE1040" i="2"/>
  <c r="AI1040" i="2" s="1"/>
  <c r="AE1039" i="2"/>
  <c r="AI1039" i="2" s="1"/>
  <c r="AE1038" i="2"/>
  <c r="AI1038" i="2" s="1"/>
  <c r="AE1037" i="2"/>
  <c r="AI1037" i="2" s="1"/>
  <c r="AE1036" i="2"/>
  <c r="AI1036" i="2" s="1"/>
  <c r="AE1035" i="2"/>
  <c r="AI1035" i="2" s="1"/>
  <c r="AE1034" i="2"/>
  <c r="AI1034" i="2" s="1"/>
  <c r="AE1033" i="2"/>
  <c r="AI1033" i="2" s="1"/>
  <c r="AE1032" i="2"/>
  <c r="AI1032" i="2" s="1"/>
  <c r="AI1031" i="2"/>
  <c r="AE1031" i="2"/>
  <c r="AE1030" i="2"/>
  <c r="AI1030" i="2" s="1"/>
  <c r="AE1029" i="2"/>
  <c r="AI1029" i="2" s="1"/>
  <c r="AE1028" i="2"/>
  <c r="AI1028" i="2" s="1"/>
  <c r="AE1027" i="2"/>
  <c r="AI1027" i="2" s="1"/>
  <c r="AE1026" i="2"/>
  <c r="AI1026" i="2" s="1"/>
  <c r="AE1025" i="2"/>
  <c r="AI1025" i="2" s="1"/>
  <c r="AE1024" i="2"/>
  <c r="AI1024" i="2" s="1"/>
  <c r="AE1023" i="2"/>
  <c r="AI1023" i="2" s="1"/>
  <c r="AE1022" i="2"/>
  <c r="AI1022" i="2" s="1"/>
  <c r="AE1021" i="2"/>
  <c r="AI1021" i="2" s="1"/>
  <c r="AE1020" i="2"/>
  <c r="AI1020" i="2" s="1"/>
  <c r="AE1019" i="2"/>
  <c r="AI1019" i="2" s="1"/>
  <c r="AE1018" i="2"/>
  <c r="AI1018" i="2" s="1"/>
  <c r="AE1017" i="2"/>
  <c r="AI1017" i="2" s="1"/>
  <c r="AE1016" i="2"/>
  <c r="AI1016" i="2" s="1"/>
  <c r="AE1015" i="2"/>
  <c r="AI1015" i="2" s="1"/>
  <c r="AE1014" i="2"/>
  <c r="AI1014" i="2" s="1"/>
  <c r="AE1013" i="2"/>
  <c r="AI1013" i="2" s="1"/>
  <c r="AE1012" i="2"/>
  <c r="AI1012" i="2" s="1"/>
  <c r="AE1011" i="2"/>
  <c r="AI1011" i="2" s="1"/>
  <c r="AE1010" i="2"/>
  <c r="AI1010" i="2" s="1"/>
  <c r="AE1009" i="2"/>
  <c r="AI1009" i="2" s="1"/>
  <c r="AE1008" i="2"/>
  <c r="AI1008" i="2" s="1"/>
  <c r="AE1007" i="2"/>
  <c r="AI1007" i="2" s="1"/>
  <c r="AE1004" i="2"/>
  <c r="AC1045" i="2"/>
  <c r="AA1003" i="2"/>
  <c r="AA1004" i="2" s="1"/>
  <c r="AA1005" i="2" s="1"/>
  <c r="AA1006" i="2" s="1"/>
  <c r="AA1007" i="2" s="1"/>
  <c r="AA1008" i="2" s="1"/>
  <c r="AA1009" i="2" s="1"/>
  <c r="U1008" i="2"/>
  <c r="P1008" i="2"/>
  <c r="P1007" i="2"/>
  <c r="S1007" i="2" s="1"/>
  <c r="W1007" i="2" s="1"/>
  <c r="U1006" i="2"/>
  <c r="P1006" i="2"/>
  <c r="S1006" i="2" s="1"/>
  <c r="W1006" i="2" s="1"/>
  <c r="V1005" i="2"/>
  <c r="V1045" i="2" s="1"/>
  <c r="P1005" i="2"/>
  <c r="S1005" i="2" s="1"/>
  <c r="W1005" i="2" s="1"/>
  <c r="U1004" i="2"/>
  <c r="P1004" i="2"/>
  <c r="S1004" i="2" s="1"/>
  <c r="P1003" i="2"/>
  <c r="S1003" i="2" s="1"/>
  <c r="W1003" i="2" s="1"/>
  <c r="P1002" i="2"/>
  <c r="O1006" i="2"/>
  <c r="O1007" i="2" s="1"/>
  <c r="O1008" i="2" s="1"/>
  <c r="O1009" i="2" s="1"/>
  <c r="R1045" i="2"/>
  <c r="W1043" i="2"/>
  <c r="S1042" i="2"/>
  <c r="W1042" i="2" s="1"/>
  <c r="W1041" i="2"/>
  <c r="S1040" i="2"/>
  <c r="W1040" i="2" s="1"/>
  <c r="S1039" i="2"/>
  <c r="W1039" i="2" s="1"/>
  <c r="W1038" i="2"/>
  <c r="S1038" i="2"/>
  <c r="S1037" i="2"/>
  <c r="W1037" i="2" s="1"/>
  <c r="S1036" i="2"/>
  <c r="W1036" i="2" s="1"/>
  <c r="S1035" i="2"/>
  <c r="W1035" i="2" s="1"/>
  <c r="S1034" i="2"/>
  <c r="W1034" i="2" s="1"/>
  <c r="S1033" i="2"/>
  <c r="W1033" i="2" s="1"/>
  <c r="S1032" i="2"/>
  <c r="W1032" i="2" s="1"/>
  <c r="S1031" i="2"/>
  <c r="W1031" i="2" s="1"/>
  <c r="S1030" i="2"/>
  <c r="W1030" i="2" s="1"/>
  <c r="W1029" i="2"/>
  <c r="S1029" i="2"/>
  <c r="S1028" i="2"/>
  <c r="W1028" i="2" s="1"/>
  <c r="S1027" i="2"/>
  <c r="W1027" i="2" s="1"/>
  <c r="S1026" i="2"/>
  <c r="W1026" i="2" s="1"/>
  <c r="S1025" i="2"/>
  <c r="W1025" i="2" s="1"/>
  <c r="S1024" i="2"/>
  <c r="W1024" i="2" s="1"/>
  <c r="S1023" i="2"/>
  <c r="W1023" i="2" s="1"/>
  <c r="S1022" i="2"/>
  <c r="W1022" i="2" s="1"/>
  <c r="S1021" i="2"/>
  <c r="W1021" i="2" s="1"/>
  <c r="S1020" i="2"/>
  <c r="W1020" i="2" s="1"/>
  <c r="S1019" i="2"/>
  <c r="W1019" i="2" s="1"/>
  <c r="S1018" i="2"/>
  <c r="W1018" i="2" s="1"/>
  <c r="S1017" i="2"/>
  <c r="W1017" i="2" s="1"/>
  <c r="S1016" i="2"/>
  <c r="W1016" i="2" s="1"/>
  <c r="S1015" i="2"/>
  <c r="W1015" i="2" s="1"/>
  <c r="W1014" i="2"/>
  <c r="S1014" i="2"/>
  <c r="W1013" i="2"/>
  <c r="S1013" i="2"/>
  <c r="S1012" i="2"/>
  <c r="W1012" i="2" s="1"/>
  <c r="S1011" i="2"/>
  <c r="W1011" i="2" s="1"/>
  <c r="S1010" i="2"/>
  <c r="W1010" i="2" s="1"/>
  <c r="S1009" i="2"/>
  <c r="W1009" i="2" s="1"/>
  <c r="S1008" i="2"/>
  <c r="W1008" i="2" s="1"/>
  <c r="Q1045" i="2"/>
  <c r="O1003" i="2"/>
  <c r="O1004" i="2" s="1"/>
  <c r="O1005" i="2" s="1"/>
  <c r="S1002" i="2"/>
  <c r="D1008" i="2"/>
  <c r="G1008" i="2" s="1"/>
  <c r="K1008" i="2" s="1"/>
  <c r="D1007" i="2"/>
  <c r="G1007" i="2" s="1"/>
  <c r="K1007" i="2" s="1"/>
  <c r="D1006" i="2"/>
  <c r="G1006" i="2" s="1"/>
  <c r="K1006" i="2" s="1"/>
  <c r="D1005" i="2"/>
  <c r="G1005" i="2" s="1"/>
  <c r="K1005" i="2" s="1"/>
  <c r="J1004" i="2"/>
  <c r="D1004" i="2"/>
  <c r="G1004" i="2" s="1"/>
  <c r="K1004" i="2" s="1"/>
  <c r="J1003" i="2"/>
  <c r="D1003" i="2"/>
  <c r="G1003" i="2" s="1"/>
  <c r="J1002" i="2"/>
  <c r="I1002" i="2"/>
  <c r="I1045" i="2" s="1"/>
  <c r="D1002" i="2"/>
  <c r="G1002" i="2" s="1"/>
  <c r="F1045" i="2"/>
  <c r="E1045" i="2"/>
  <c r="G1042" i="2"/>
  <c r="K1042" i="2" s="1"/>
  <c r="K1035" i="2"/>
  <c r="G1035" i="2"/>
  <c r="G1034" i="2"/>
  <c r="K1034" i="2" s="1"/>
  <c r="G1033" i="2"/>
  <c r="K1033" i="2" s="1"/>
  <c r="G1032" i="2"/>
  <c r="K1032" i="2" s="1"/>
  <c r="G1031" i="2"/>
  <c r="K1031" i="2" s="1"/>
  <c r="G1030" i="2"/>
  <c r="K1030" i="2" s="1"/>
  <c r="K1029" i="2"/>
  <c r="G1029" i="2"/>
  <c r="G1028" i="2"/>
  <c r="K1028" i="2" s="1"/>
  <c r="G1027" i="2"/>
  <c r="K1027" i="2" s="1"/>
  <c r="G1026" i="2"/>
  <c r="K1026" i="2" s="1"/>
  <c r="G1025" i="2"/>
  <c r="K1025" i="2" s="1"/>
  <c r="G1024" i="2"/>
  <c r="K1024" i="2" s="1"/>
  <c r="G1023" i="2"/>
  <c r="K1023" i="2" s="1"/>
  <c r="G1022" i="2"/>
  <c r="K1022" i="2" s="1"/>
  <c r="G1021" i="2"/>
  <c r="K1021" i="2" s="1"/>
  <c r="G1020" i="2"/>
  <c r="K1020" i="2" s="1"/>
  <c r="G1019" i="2"/>
  <c r="K1019" i="2" s="1"/>
  <c r="G1018" i="2"/>
  <c r="K1018" i="2" s="1"/>
  <c r="G1017" i="2"/>
  <c r="K1017" i="2" s="1"/>
  <c r="G1016" i="2"/>
  <c r="K1016" i="2" s="1"/>
  <c r="G1015" i="2"/>
  <c r="K1015" i="2" s="1"/>
  <c r="G1014" i="2"/>
  <c r="K1014" i="2" s="1"/>
  <c r="G1013" i="2"/>
  <c r="K1013" i="2" s="1"/>
  <c r="G1012" i="2"/>
  <c r="K1012" i="2" s="1"/>
  <c r="G1011" i="2"/>
  <c r="K1011" i="2" s="1"/>
  <c r="G1010" i="2"/>
  <c r="K1010" i="2" s="1"/>
  <c r="G1009" i="2"/>
  <c r="K1009" i="2" s="1"/>
  <c r="C1003" i="2"/>
  <c r="C1004" i="2" s="1"/>
  <c r="C1005" i="2" s="1"/>
  <c r="C1006" i="2" s="1"/>
  <c r="C1007" i="2" s="1"/>
  <c r="C1008" i="2" s="1"/>
  <c r="AI1006" i="2" l="1"/>
  <c r="AI1005" i="2"/>
  <c r="AG1045" i="2"/>
  <c r="AI1004" i="2"/>
  <c r="AE1045" i="2"/>
  <c r="AI1002" i="2"/>
  <c r="AB1045" i="2"/>
  <c r="U1045" i="2"/>
  <c r="W1004" i="2"/>
  <c r="S1045" i="2"/>
  <c r="W1002" i="2"/>
  <c r="W1045" i="2" s="1"/>
  <c r="P1045" i="2"/>
  <c r="K1003" i="2"/>
  <c r="J1045" i="2"/>
  <c r="K1002" i="2"/>
  <c r="K1045" i="2" s="1"/>
  <c r="G1045" i="2"/>
  <c r="D1045" i="2"/>
  <c r="I947" i="2"/>
  <c r="AI1045" i="2" l="1"/>
  <c r="AB957" i="2"/>
  <c r="AE957" i="2" s="1"/>
  <c r="AI957" i="2" s="1"/>
  <c r="AB956" i="2"/>
  <c r="AE956" i="2" s="1"/>
  <c r="AI956" i="2" s="1"/>
  <c r="AG955" i="2"/>
  <c r="AB955" i="2"/>
  <c r="AE955" i="2" s="1"/>
  <c r="AI955" i="2" s="1"/>
  <c r="AG954" i="2"/>
  <c r="AB954" i="2"/>
  <c r="AE954" i="2" s="1"/>
  <c r="AB953" i="2"/>
  <c r="AE953" i="2" s="1"/>
  <c r="AI953" i="2" s="1"/>
  <c r="AG952" i="2"/>
  <c r="AC952" i="2"/>
  <c r="AB952" i="2"/>
  <c r="AE952" i="2" s="1"/>
  <c r="AI952" i="2" s="1"/>
  <c r="AH951" i="2"/>
  <c r="AB951" i="2"/>
  <c r="AG950" i="2"/>
  <c r="AB950" i="2"/>
  <c r="AE950" i="2" s="1"/>
  <c r="AG949" i="2"/>
  <c r="AB949" i="2"/>
  <c r="AG948" i="2"/>
  <c r="AC948" i="2"/>
  <c r="AB948" i="2"/>
  <c r="AG947" i="2"/>
  <c r="AH947" i="2"/>
  <c r="AB947" i="2"/>
  <c r="AD990" i="2"/>
  <c r="AI988" i="2"/>
  <c r="AE987" i="2"/>
  <c r="AI987" i="2" s="1"/>
  <c r="AI986" i="2"/>
  <c r="AE985" i="2"/>
  <c r="AI985" i="2" s="1"/>
  <c r="AE984" i="2"/>
  <c r="AI984" i="2" s="1"/>
  <c r="AI983" i="2"/>
  <c r="AE983" i="2"/>
  <c r="AE982" i="2"/>
  <c r="AI982" i="2" s="1"/>
  <c r="AE981" i="2"/>
  <c r="AI981" i="2" s="1"/>
  <c r="AE980" i="2"/>
  <c r="AI980" i="2" s="1"/>
  <c r="AE979" i="2"/>
  <c r="AI979" i="2" s="1"/>
  <c r="AI978" i="2"/>
  <c r="AE978" i="2"/>
  <c r="AE977" i="2"/>
  <c r="AI977" i="2" s="1"/>
  <c r="AE976" i="2"/>
  <c r="AI976" i="2" s="1"/>
  <c r="AE975" i="2"/>
  <c r="AI975" i="2" s="1"/>
  <c r="AE974" i="2"/>
  <c r="AI974" i="2" s="1"/>
  <c r="AE973" i="2"/>
  <c r="AI973" i="2" s="1"/>
  <c r="AE972" i="2"/>
  <c r="AI972" i="2" s="1"/>
  <c r="AE971" i="2"/>
  <c r="AI971" i="2" s="1"/>
  <c r="AI970" i="2"/>
  <c r="AE970" i="2"/>
  <c r="AE969" i="2"/>
  <c r="AI969" i="2" s="1"/>
  <c r="AE968" i="2"/>
  <c r="AI968" i="2" s="1"/>
  <c r="AE967" i="2"/>
  <c r="AI967" i="2" s="1"/>
  <c r="AE966" i="2"/>
  <c r="AI966" i="2" s="1"/>
  <c r="AE965" i="2"/>
  <c r="AI965" i="2" s="1"/>
  <c r="AE964" i="2"/>
  <c r="AI964" i="2" s="1"/>
  <c r="AE963" i="2"/>
  <c r="AI963" i="2" s="1"/>
  <c r="AE962" i="2"/>
  <c r="AI962" i="2" s="1"/>
  <c r="AE961" i="2"/>
  <c r="AI961" i="2" s="1"/>
  <c r="AE960" i="2"/>
  <c r="AI960" i="2" s="1"/>
  <c r="AE959" i="2"/>
  <c r="AI959" i="2" s="1"/>
  <c r="AE958" i="2"/>
  <c r="AI958" i="2" s="1"/>
  <c r="AE949" i="2"/>
  <c r="AA948" i="2"/>
  <c r="AA949" i="2" s="1"/>
  <c r="AA950" i="2" s="1"/>
  <c r="AA951" i="2" s="1"/>
  <c r="AA952" i="2" s="1"/>
  <c r="AA953" i="2" s="1"/>
  <c r="AA954" i="2" s="1"/>
  <c r="AA955" i="2" s="1"/>
  <c r="AA956" i="2" s="1"/>
  <c r="AA957" i="2" s="1"/>
  <c r="P950" i="2"/>
  <c r="S950" i="2" s="1"/>
  <c r="W950" i="2" s="1"/>
  <c r="P949" i="2"/>
  <c r="V948" i="2"/>
  <c r="Q948" i="2"/>
  <c r="P948" i="2"/>
  <c r="V947" i="2"/>
  <c r="U947" i="2"/>
  <c r="Q947" i="2"/>
  <c r="P947" i="2"/>
  <c r="V990" i="2"/>
  <c r="R990" i="2"/>
  <c r="W988" i="2"/>
  <c r="S987" i="2"/>
  <c r="W987" i="2" s="1"/>
  <c r="W986" i="2"/>
  <c r="S985" i="2"/>
  <c r="W985" i="2" s="1"/>
  <c r="S984" i="2"/>
  <c r="W984" i="2" s="1"/>
  <c r="S983" i="2"/>
  <c r="W983" i="2" s="1"/>
  <c r="S982" i="2"/>
  <c r="W982" i="2" s="1"/>
  <c r="S981" i="2"/>
  <c r="W981" i="2" s="1"/>
  <c r="S980" i="2"/>
  <c r="W980" i="2" s="1"/>
  <c r="S979" i="2"/>
  <c r="W979" i="2" s="1"/>
  <c r="S978" i="2"/>
  <c r="W978" i="2" s="1"/>
  <c r="S977" i="2"/>
  <c r="W977" i="2" s="1"/>
  <c r="S976" i="2"/>
  <c r="W976" i="2" s="1"/>
  <c r="S975" i="2"/>
  <c r="W975" i="2" s="1"/>
  <c r="S974" i="2"/>
  <c r="W974" i="2" s="1"/>
  <c r="S973" i="2"/>
  <c r="W973" i="2" s="1"/>
  <c r="S972" i="2"/>
  <c r="W972" i="2" s="1"/>
  <c r="S971" i="2"/>
  <c r="W971" i="2" s="1"/>
  <c r="S970" i="2"/>
  <c r="W970" i="2" s="1"/>
  <c r="S969" i="2"/>
  <c r="W969" i="2" s="1"/>
  <c r="S968" i="2"/>
  <c r="W968" i="2" s="1"/>
  <c r="S967" i="2"/>
  <c r="W967" i="2" s="1"/>
  <c r="S966" i="2"/>
  <c r="W966" i="2" s="1"/>
  <c r="S965" i="2"/>
  <c r="W965" i="2" s="1"/>
  <c r="S964" i="2"/>
  <c r="W964" i="2" s="1"/>
  <c r="S963" i="2"/>
  <c r="W963" i="2" s="1"/>
  <c r="S962" i="2"/>
  <c r="W962" i="2" s="1"/>
  <c r="S961" i="2"/>
  <c r="W961" i="2" s="1"/>
  <c r="S960" i="2"/>
  <c r="W960" i="2" s="1"/>
  <c r="W959" i="2"/>
  <c r="S959" i="2"/>
  <c r="S958" i="2"/>
  <c r="W958" i="2" s="1"/>
  <c r="S957" i="2"/>
  <c r="W957" i="2" s="1"/>
  <c r="S956" i="2"/>
  <c r="W956" i="2" s="1"/>
  <c r="S955" i="2"/>
  <c r="W955" i="2" s="1"/>
  <c r="S954" i="2"/>
  <c r="W954" i="2" s="1"/>
  <c r="S953" i="2"/>
  <c r="W953" i="2" s="1"/>
  <c r="S952" i="2"/>
  <c r="W952" i="2" s="1"/>
  <c r="S951" i="2"/>
  <c r="W951" i="2" s="1"/>
  <c r="S949" i="2"/>
  <c r="W949" i="2" s="1"/>
  <c r="U990" i="2"/>
  <c r="Q990" i="2"/>
  <c r="S948" i="2"/>
  <c r="W948" i="2" s="1"/>
  <c r="O948" i="2"/>
  <c r="O949" i="2" s="1"/>
  <c r="O950" i="2" s="1"/>
  <c r="J956" i="2"/>
  <c r="D956" i="2"/>
  <c r="G956" i="2" s="1"/>
  <c r="K956" i="2" s="1"/>
  <c r="D955" i="2"/>
  <c r="G955" i="2" s="1"/>
  <c r="K955" i="2" s="1"/>
  <c r="I954" i="2"/>
  <c r="J954" i="2"/>
  <c r="D954" i="2"/>
  <c r="G954" i="2" s="1"/>
  <c r="K954" i="2" s="1"/>
  <c r="D953" i="2"/>
  <c r="G953" i="2" s="1"/>
  <c r="K953" i="2" s="1"/>
  <c r="D952" i="2"/>
  <c r="G952" i="2" s="1"/>
  <c r="K952" i="2" s="1"/>
  <c r="D951" i="2"/>
  <c r="D950" i="2"/>
  <c r="G950" i="2" s="1"/>
  <c r="K950" i="2" s="1"/>
  <c r="I949" i="2"/>
  <c r="D949" i="2"/>
  <c r="D948" i="2"/>
  <c r="G948" i="2"/>
  <c r="K948" i="2" s="1"/>
  <c r="D947" i="2"/>
  <c r="I990" i="2"/>
  <c r="F990" i="2"/>
  <c r="G987" i="2"/>
  <c r="K987" i="2" s="1"/>
  <c r="G980" i="2"/>
  <c r="K980" i="2" s="1"/>
  <c r="G979" i="2"/>
  <c r="K979" i="2" s="1"/>
  <c r="G978" i="2"/>
  <c r="K978" i="2" s="1"/>
  <c r="G977" i="2"/>
  <c r="K977" i="2" s="1"/>
  <c r="G976" i="2"/>
  <c r="K976" i="2" s="1"/>
  <c r="G975" i="2"/>
  <c r="K975" i="2" s="1"/>
  <c r="G974" i="2"/>
  <c r="K974" i="2" s="1"/>
  <c r="G973" i="2"/>
  <c r="K973" i="2" s="1"/>
  <c r="G972" i="2"/>
  <c r="K972" i="2" s="1"/>
  <c r="G971" i="2"/>
  <c r="K971" i="2" s="1"/>
  <c r="G970" i="2"/>
  <c r="K970" i="2" s="1"/>
  <c r="G969" i="2"/>
  <c r="K969" i="2" s="1"/>
  <c r="G968" i="2"/>
  <c r="K968" i="2" s="1"/>
  <c r="G967" i="2"/>
  <c r="K967" i="2" s="1"/>
  <c r="G966" i="2"/>
  <c r="K966" i="2" s="1"/>
  <c r="G965" i="2"/>
  <c r="K965" i="2" s="1"/>
  <c r="G964" i="2"/>
  <c r="K964" i="2" s="1"/>
  <c r="G963" i="2"/>
  <c r="K963" i="2" s="1"/>
  <c r="G962" i="2"/>
  <c r="K962" i="2" s="1"/>
  <c r="G961" i="2"/>
  <c r="K961" i="2" s="1"/>
  <c r="G960" i="2"/>
  <c r="K960" i="2" s="1"/>
  <c r="G959" i="2"/>
  <c r="K959" i="2" s="1"/>
  <c r="G958" i="2"/>
  <c r="K958" i="2" s="1"/>
  <c r="G957" i="2"/>
  <c r="K957" i="2" s="1"/>
  <c r="G951" i="2"/>
  <c r="K951" i="2" s="1"/>
  <c r="G949" i="2"/>
  <c r="K949" i="2" s="1"/>
  <c r="C948" i="2"/>
  <c r="C949" i="2" s="1"/>
  <c r="C950" i="2" s="1"/>
  <c r="C951" i="2" s="1"/>
  <c r="C952" i="2" s="1"/>
  <c r="C953" i="2" s="1"/>
  <c r="C954" i="2" s="1"/>
  <c r="C955" i="2" s="1"/>
  <c r="C956" i="2" s="1"/>
  <c r="E990" i="2"/>
  <c r="AI949" i="2" l="1"/>
  <c r="AI950" i="2"/>
  <c r="AI954" i="2"/>
  <c r="AE951" i="2"/>
  <c r="AI951" i="2" s="1"/>
  <c r="AC990" i="2"/>
  <c r="AH990" i="2"/>
  <c r="AG990" i="2"/>
  <c r="AB990" i="2"/>
  <c r="AE948" i="2"/>
  <c r="AI948" i="2" s="1"/>
  <c r="AE947" i="2"/>
  <c r="P990" i="2"/>
  <c r="S947" i="2"/>
  <c r="J990" i="2"/>
  <c r="D990" i="2"/>
  <c r="G947" i="2"/>
  <c r="AH897" i="2"/>
  <c r="AH935" i="2" s="1"/>
  <c r="AB897" i="2"/>
  <c r="AE897" i="2" s="1"/>
  <c r="AB896" i="2"/>
  <c r="AE896" i="2" s="1"/>
  <c r="AI896" i="2" s="1"/>
  <c r="AG895" i="2"/>
  <c r="AB895" i="2"/>
  <c r="AG894" i="2"/>
  <c r="AC894" i="2"/>
  <c r="AB894" i="2"/>
  <c r="AG893" i="2"/>
  <c r="AC893" i="2"/>
  <c r="AB893" i="2"/>
  <c r="AB892" i="2"/>
  <c r="AE892" i="2" s="1"/>
  <c r="AD935" i="2"/>
  <c r="AI933" i="2"/>
  <c r="AE932" i="2"/>
  <c r="AI932" i="2" s="1"/>
  <c r="AI931" i="2"/>
  <c r="AE930" i="2"/>
  <c r="AI930" i="2" s="1"/>
  <c r="AE929" i="2"/>
  <c r="AI929" i="2" s="1"/>
  <c r="AE928" i="2"/>
  <c r="AI928" i="2" s="1"/>
  <c r="AE927" i="2"/>
  <c r="AI927" i="2" s="1"/>
  <c r="AI926" i="2"/>
  <c r="AE926" i="2"/>
  <c r="AE925" i="2"/>
  <c r="AI925" i="2" s="1"/>
  <c r="AE924" i="2"/>
  <c r="AI924" i="2" s="1"/>
  <c r="AE923" i="2"/>
  <c r="AI923" i="2" s="1"/>
  <c r="AE922" i="2"/>
  <c r="AI922" i="2" s="1"/>
  <c r="AE921" i="2"/>
  <c r="AI921" i="2" s="1"/>
  <c r="AE920" i="2"/>
  <c r="AI920" i="2" s="1"/>
  <c r="AE919" i="2"/>
  <c r="AI919" i="2" s="1"/>
  <c r="AE918" i="2"/>
  <c r="AI918" i="2" s="1"/>
  <c r="AE917" i="2"/>
  <c r="AI917" i="2" s="1"/>
  <c r="AE916" i="2"/>
  <c r="AI916" i="2" s="1"/>
  <c r="AE915" i="2"/>
  <c r="AI915" i="2" s="1"/>
  <c r="AE914" i="2"/>
  <c r="AI914" i="2" s="1"/>
  <c r="AI913" i="2"/>
  <c r="AE913" i="2"/>
  <c r="AI912" i="2"/>
  <c r="AE912" i="2"/>
  <c r="AE911" i="2"/>
  <c r="AI911" i="2" s="1"/>
  <c r="AE910" i="2"/>
  <c r="AI910" i="2" s="1"/>
  <c r="AE909" i="2"/>
  <c r="AI909" i="2" s="1"/>
  <c r="AE908" i="2"/>
  <c r="AI908" i="2" s="1"/>
  <c r="AE907" i="2"/>
  <c r="AI907" i="2" s="1"/>
  <c r="AE906" i="2"/>
  <c r="AI906" i="2" s="1"/>
  <c r="AE905" i="2"/>
  <c r="AI905" i="2" s="1"/>
  <c r="AE904" i="2"/>
  <c r="AI904" i="2" s="1"/>
  <c r="AE903" i="2"/>
  <c r="AI903" i="2" s="1"/>
  <c r="AI902" i="2"/>
  <c r="AE902" i="2"/>
  <c r="AE901" i="2"/>
  <c r="AI901" i="2" s="1"/>
  <c r="AE900" i="2"/>
  <c r="AI900" i="2" s="1"/>
  <c r="AE899" i="2"/>
  <c r="AI899" i="2" s="1"/>
  <c r="AE898" i="2"/>
  <c r="AI898" i="2" s="1"/>
  <c r="AE895" i="2"/>
  <c r="AI895" i="2" s="1"/>
  <c r="AE894" i="2"/>
  <c r="AA893" i="2"/>
  <c r="AA894" i="2" s="1"/>
  <c r="AA895" i="2" s="1"/>
  <c r="AA896" i="2" s="1"/>
  <c r="AA897" i="2" s="1"/>
  <c r="P898" i="2"/>
  <c r="S898" i="2" s="1"/>
  <c r="W898" i="2" s="1"/>
  <c r="P897" i="2"/>
  <c r="S897" i="2" s="1"/>
  <c r="W897" i="2" s="1"/>
  <c r="V896" i="2"/>
  <c r="V935" i="2" s="1"/>
  <c r="P896" i="2"/>
  <c r="S896" i="2" s="1"/>
  <c r="P895" i="2"/>
  <c r="S895" i="2" s="1"/>
  <c r="W895" i="2" s="1"/>
  <c r="U894" i="2"/>
  <c r="P894" i="2"/>
  <c r="S894" i="2" s="1"/>
  <c r="U893" i="2"/>
  <c r="Q893" i="2"/>
  <c r="Q935" i="2"/>
  <c r="P893" i="2"/>
  <c r="U892" i="2"/>
  <c r="P892" i="2"/>
  <c r="S892" i="2" s="1"/>
  <c r="R935" i="2"/>
  <c r="W933" i="2"/>
  <c r="S932" i="2"/>
  <c r="W932" i="2" s="1"/>
  <c r="W931" i="2"/>
  <c r="S930" i="2"/>
  <c r="W930" i="2" s="1"/>
  <c r="S929" i="2"/>
  <c r="W929" i="2" s="1"/>
  <c r="S928" i="2"/>
  <c r="W928" i="2" s="1"/>
  <c r="S927" i="2"/>
  <c r="W927" i="2" s="1"/>
  <c r="S926" i="2"/>
  <c r="W926" i="2" s="1"/>
  <c r="S925" i="2"/>
  <c r="W925" i="2" s="1"/>
  <c r="W924" i="2"/>
  <c r="S924" i="2"/>
  <c r="S923" i="2"/>
  <c r="W923" i="2" s="1"/>
  <c r="S922" i="2"/>
  <c r="W922" i="2" s="1"/>
  <c r="S921" i="2"/>
  <c r="W921" i="2" s="1"/>
  <c r="S920" i="2"/>
  <c r="W920" i="2" s="1"/>
  <c r="S919" i="2"/>
  <c r="W919" i="2" s="1"/>
  <c r="S918" i="2"/>
  <c r="W918" i="2" s="1"/>
  <c r="S917" i="2"/>
  <c r="W917" i="2" s="1"/>
  <c r="W916" i="2"/>
  <c r="S916" i="2"/>
  <c r="S915" i="2"/>
  <c r="W915" i="2" s="1"/>
  <c r="S914" i="2"/>
  <c r="W914" i="2" s="1"/>
  <c r="S913" i="2"/>
  <c r="W913" i="2" s="1"/>
  <c r="S912" i="2"/>
  <c r="W912" i="2" s="1"/>
  <c r="S911" i="2"/>
  <c r="W911" i="2" s="1"/>
  <c r="S910" i="2"/>
  <c r="W910" i="2" s="1"/>
  <c r="S909" i="2"/>
  <c r="W909" i="2" s="1"/>
  <c r="W908" i="2"/>
  <c r="S908" i="2"/>
  <c r="S907" i="2"/>
  <c r="W907" i="2" s="1"/>
  <c r="S906" i="2"/>
  <c r="W906" i="2" s="1"/>
  <c r="S905" i="2"/>
  <c r="W905" i="2" s="1"/>
  <c r="S904" i="2"/>
  <c r="W904" i="2" s="1"/>
  <c r="S903" i="2"/>
  <c r="W903" i="2" s="1"/>
  <c r="S902" i="2"/>
  <c r="W902" i="2" s="1"/>
  <c r="S901" i="2"/>
  <c r="W901" i="2" s="1"/>
  <c r="W900" i="2"/>
  <c r="S900" i="2"/>
  <c r="S899" i="2"/>
  <c r="W899" i="2" s="1"/>
  <c r="O893" i="2"/>
  <c r="O894" i="2" s="1"/>
  <c r="O895" i="2" s="1"/>
  <c r="O896" i="2" s="1"/>
  <c r="O897" i="2" s="1"/>
  <c r="O898" i="2" s="1"/>
  <c r="J896" i="2"/>
  <c r="J935" i="2" s="1"/>
  <c r="D896" i="2"/>
  <c r="G896" i="2" s="1"/>
  <c r="K896" i="2" s="1"/>
  <c r="D895" i="2"/>
  <c r="G895" i="2" s="1"/>
  <c r="K895" i="2" s="1"/>
  <c r="D894" i="2"/>
  <c r="G894" i="2" s="1"/>
  <c r="K894" i="2" s="1"/>
  <c r="D893" i="2"/>
  <c r="G893" i="2" s="1"/>
  <c r="I893" i="2"/>
  <c r="I892" i="2"/>
  <c r="E892" i="2"/>
  <c r="E935" i="2" s="1"/>
  <c r="D892" i="2"/>
  <c r="F935" i="2"/>
  <c r="G932" i="2"/>
  <c r="K932" i="2" s="1"/>
  <c r="G925" i="2"/>
  <c r="K925" i="2" s="1"/>
  <c r="G924" i="2"/>
  <c r="K924" i="2" s="1"/>
  <c r="G923" i="2"/>
  <c r="K923" i="2" s="1"/>
  <c r="G922" i="2"/>
  <c r="K922" i="2" s="1"/>
  <c r="G921" i="2"/>
  <c r="K921" i="2" s="1"/>
  <c r="G920" i="2"/>
  <c r="K920" i="2" s="1"/>
  <c r="G919" i="2"/>
  <c r="K919" i="2" s="1"/>
  <c r="G918" i="2"/>
  <c r="K918" i="2" s="1"/>
  <c r="G917" i="2"/>
  <c r="K917" i="2" s="1"/>
  <c r="G916" i="2"/>
  <c r="K916" i="2" s="1"/>
  <c r="G915" i="2"/>
  <c r="K915" i="2" s="1"/>
  <c r="G914" i="2"/>
  <c r="K914" i="2" s="1"/>
  <c r="G913" i="2"/>
  <c r="K913" i="2" s="1"/>
  <c r="G912" i="2"/>
  <c r="K912" i="2" s="1"/>
  <c r="G911" i="2"/>
  <c r="K911" i="2" s="1"/>
  <c r="G910" i="2"/>
  <c r="K910" i="2" s="1"/>
  <c r="G909" i="2"/>
  <c r="K909" i="2" s="1"/>
  <c r="G908" i="2"/>
  <c r="K908" i="2" s="1"/>
  <c r="G907" i="2"/>
  <c r="K907" i="2" s="1"/>
  <c r="G906" i="2"/>
  <c r="K906" i="2" s="1"/>
  <c r="G905" i="2"/>
  <c r="K905" i="2" s="1"/>
  <c r="G904" i="2"/>
  <c r="K904" i="2" s="1"/>
  <c r="G903" i="2"/>
  <c r="K903" i="2" s="1"/>
  <c r="G902" i="2"/>
  <c r="K902" i="2" s="1"/>
  <c r="G901" i="2"/>
  <c r="K901" i="2" s="1"/>
  <c r="G900" i="2"/>
  <c r="K900" i="2" s="1"/>
  <c r="G899" i="2"/>
  <c r="K899" i="2" s="1"/>
  <c r="G898" i="2"/>
  <c r="K898" i="2" s="1"/>
  <c r="G897" i="2"/>
  <c r="K897" i="2" s="1"/>
  <c r="C893" i="2"/>
  <c r="C894" i="2" s="1"/>
  <c r="C895" i="2" s="1"/>
  <c r="C896" i="2" s="1"/>
  <c r="AE893" i="2" l="1"/>
  <c r="AI897" i="2"/>
  <c r="AI947" i="2"/>
  <c r="AI990" i="2" s="1"/>
  <c r="AE990" i="2"/>
  <c r="S990" i="2"/>
  <c r="W947" i="2"/>
  <c r="W990" i="2" s="1"/>
  <c r="G990" i="2"/>
  <c r="K947" i="2"/>
  <c r="K990" i="2" s="1"/>
  <c r="AG935" i="2"/>
  <c r="AI894" i="2"/>
  <c r="AI893" i="2"/>
  <c r="AC935" i="2"/>
  <c r="AE935" i="2"/>
  <c r="AI892" i="2"/>
  <c r="AI935" i="2" s="1"/>
  <c r="AB935" i="2"/>
  <c r="W896" i="2"/>
  <c r="U935" i="2"/>
  <c r="W894" i="2"/>
  <c r="S893" i="2"/>
  <c r="W893" i="2" s="1"/>
  <c r="S935" i="2"/>
  <c r="W892" i="2"/>
  <c r="P935" i="2"/>
  <c r="I935" i="2"/>
  <c r="K893" i="2"/>
  <c r="G892" i="2"/>
  <c r="G935" i="2"/>
  <c r="K892" i="2"/>
  <c r="D935" i="2"/>
  <c r="AH825" i="2"/>
  <c r="AD825" i="2"/>
  <c r="V825" i="2"/>
  <c r="R825" i="2"/>
  <c r="W935" i="2" l="1"/>
  <c r="K935" i="2"/>
  <c r="AD880" i="2"/>
  <c r="R880" i="2"/>
  <c r="Q880" i="2"/>
  <c r="AB845" i="2"/>
  <c r="AE845" i="2" s="1"/>
  <c r="AI845" i="2" s="1"/>
  <c r="AB844" i="2"/>
  <c r="AE844" i="2" s="1"/>
  <c r="AI844" i="2" s="1"/>
  <c r="AB843" i="2"/>
  <c r="AE843" i="2" s="1"/>
  <c r="AI843" i="2" s="1"/>
  <c r="AB842" i="2"/>
  <c r="AE842" i="2" s="1"/>
  <c r="AI842" i="2" s="1"/>
  <c r="AH841" i="2"/>
  <c r="AH880" i="2" s="1"/>
  <c r="AB841" i="2"/>
  <c r="AE841" i="2" s="1"/>
  <c r="AI841" i="2" s="1"/>
  <c r="AG840" i="2"/>
  <c r="AC840" i="2"/>
  <c r="AB840" i="2"/>
  <c r="AE840" i="2" s="1"/>
  <c r="AC839" i="2"/>
  <c r="AB839" i="2"/>
  <c r="AG838" i="2"/>
  <c r="AC838" i="2"/>
  <c r="AB838" i="2"/>
  <c r="AE838" i="2" s="1"/>
  <c r="AC837" i="2"/>
  <c r="AB837" i="2"/>
  <c r="AA844" i="2"/>
  <c r="AA845" i="2" s="1"/>
  <c r="AI878" i="2"/>
  <c r="AE877" i="2"/>
  <c r="AI877" i="2" s="1"/>
  <c r="AI876" i="2"/>
  <c r="AE875" i="2"/>
  <c r="AI875" i="2" s="1"/>
  <c r="AE874" i="2"/>
  <c r="AI874" i="2" s="1"/>
  <c r="AE873" i="2"/>
  <c r="AI873" i="2" s="1"/>
  <c r="AE872" i="2"/>
  <c r="AI872" i="2" s="1"/>
  <c r="AE871" i="2"/>
  <c r="AI871" i="2" s="1"/>
  <c r="AE870" i="2"/>
  <c r="AI870" i="2" s="1"/>
  <c r="AE869" i="2"/>
  <c r="AI869" i="2" s="1"/>
  <c r="AE868" i="2"/>
  <c r="AI868" i="2" s="1"/>
  <c r="AE867" i="2"/>
  <c r="AI867" i="2" s="1"/>
  <c r="AE866" i="2"/>
  <c r="AI866" i="2" s="1"/>
  <c r="AE865" i="2"/>
  <c r="AI865" i="2" s="1"/>
  <c r="AE864" i="2"/>
  <c r="AI864" i="2" s="1"/>
  <c r="AE863" i="2"/>
  <c r="AI863" i="2" s="1"/>
  <c r="AE862" i="2"/>
  <c r="AI862" i="2" s="1"/>
  <c r="AE861" i="2"/>
  <c r="AI861" i="2" s="1"/>
  <c r="AE860" i="2"/>
  <c r="AI860" i="2" s="1"/>
  <c r="AE859" i="2"/>
  <c r="AI859" i="2" s="1"/>
  <c r="AE858" i="2"/>
  <c r="AI858" i="2" s="1"/>
  <c r="AE857" i="2"/>
  <c r="AI857" i="2" s="1"/>
  <c r="AE856" i="2"/>
  <c r="AI856" i="2" s="1"/>
  <c r="AE855" i="2"/>
  <c r="AI855" i="2" s="1"/>
  <c r="AE854" i="2"/>
  <c r="AI854" i="2" s="1"/>
  <c r="AE853" i="2"/>
  <c r="AI853" i="2" s="1"/>
  <c r="AE852" i="2"/>
  <c r="AI852" i="2" s="1"/>
  <c r="AE851" i="2"/>
  <c r="AI851" i="2" s="1"/>
  <c r="AE850" i="2"/>
  <c r="AI850" i="2" s="1"/>
  <c r="AE849" i="2"/>
  <c r="AI849" i="2" s="1"/>
  <c r="AE848" i="2"/>
  <c r="AI848" i="2" s="1"/>
  <c r="AE847" i="2"/>
  <c r="AI847" i="2" s="1"/>
  <c r="AE846" i="2"/>
  <c r="AI846" i="2" s="1"/>
  <c r="AA838" i="2"/>
  <c r="AA839" i="2" s="1"/>
  <c r="AA840" i="2" s="1"/>
  <c r="AA841" i="2" s="1"/>
  <c r="AA842" i="2" s="1"/>
  <c r="U841" i="2"/>
  <c r="V840" i="2"/>
  <c r="P841" i="2"/>
  <c r="S841" i="2" s="1"/>
  <c r="W841" i="2" s="1"/>
  <c r="P840" i="2"/>
  <c r="S840" i="2" s="1"/>
  <c r="U839" i="2"/>
  <c r="P839" i="2"/>
  <c r="S839" i="2" s="1"/>
  <c r="W839" i="2" s="1"/>
  <c r="V838" i="2"/>
  <c r="V880" i="2" s="1"/>
  <c r="U838" i="2"/>
  <c r="Q838" i="2"/>
  <c r="P838" i="2"/>
  <c r="S838" i="2" s="1"/>
  <c r="P837" i="2"/>
  <c r="W878" i="2"/>
  <c r="S877" i="2"/>
  <c r="W877" i="2" s="1"/>
  <c r="W876" i="2"/>
  <c r="S875" i="2"/>
  <c r="W875" i="2" s="1"/>
  <c r="S874" i="2"/>
  <c r="W874" i="2" s="1"/>
  <c r="S873" i="2"/>
  <c r="W873" i="2" s="1"/>
  <c r="S872" i="2"/>
  <c r="W872" i="2" s="1"/>
  <c r="S871" i="2"/>
  <c r="W871" i="2" s="1"/>
  <c r="S870" i="2"/>
  <c r="W870" i="2" s="1"/>
  <c r="S869" i="2"/>
  <c r="W869" i="2" s="1"/>
  <c r="S868" i="2"/>
  <c r="W868" i="2" s="1"/>
  <c r="S867" i="2"/>
  <c r="W867" i="2" s="1"/>
  <c r="S866" i="2"/>
  <c r="W866" i="2" s="1"/>
  <c r="S865" i="2"/>
  <c r="W865" i="2" s="1"/>
  <c r="S864" i="2"/>
  <c r="W864" i="2" s="1"/>
  <c r="S863" i="2"/>
  <c r="W863" i="2" s="1"/>
  <c r="S862" i="2"/>
  <c r="W862" i="2" s="1"/>
  <c r="S861" i="2"/>
  <c r="W861" i="2" s="1"/>
  <c r="S860" i="2"/>
  <c r="W860" i="2" s="1"/>
  <c r="S859" i="2"/>
  <c r="W859" i="2" s="1"/>
  <c r="S858" i="2"/>
  <c r="W858" i="2" s="1"/>
  <c r="S857" i="2"/>
  <c r="W857" i="2" s="1"/>
  <c r="S856" i="2"/>
  <c r="W856" i="2" s="1"/>
  <c r="S855" i="2"/>
  <c r="W855" i="2" s="1"/>
  <c r="S854" i="2"/>
  <c r="W854" i="2" s="1"/>
  <c r="S853" i="2"/>
  <c r="W853" i="2" s="1"/>
  <c r="S852" i="2"/>
  <c r="W852" i="2" s="1"/>
  <c r="S851" i="2"/>
  <c r="W851" i="2" s="1"/>
  <c r="S850" i="2"/>
  <c r="W850" i="2" s="1"/>
  <c r="S849" i="2"/>
  <c r="W849" i="2" s="1"/>
  <c r="S848" i="2"/>
  <c r="W848" i="2" s="1"/>
  <c r="S847" i="2"/>
  <c r="W847" i="2" s="1"/>
  <c r="S846" i="2"/>
  <c r="W846" i="2" s="1"/>
  <c r="S845" i="2"/>
  <c r="W845" i="2" s="1"/>
  <c r="S844" i="2"/>
  <c r="W844" i="2" s="1"/>
  <c r="S843" i="2"/>
  <c r="W843" i="2" s="1"/>
  <c r="S842" i="2"/>
  <c r="W842" i="2" s="1"/>
  <c r="O838" i="2"/>
  <c r="O839" i="2" s="1"/>
  <c r="O840" i="2" s="1"/>
  <c r="O841" i="2" s="1"/>
  <c r="J840" i="2"/>
  <c r="J880" i="2"/>
  <c r="I840" i="2"/>
  <c r="E840" i="2"/>
  <c r="E880" i="2" s="1"/>
  <c r="D840" i="2"/>
  <c r="G840" i="2" s="1"/>
  <c r="D839" i="2"/>
  <c r="G839" i="2" s="1"/>
  <c r="K839" i="2" s="1"/>
  <c r="I838" i="2"/>
  <c r="D838" i="2"/>
  <c r="G838" i="2" s="1"/>
  <c r="D837" i="2"/>
  <c r="F880" i="2"/>
  <c r="G877" i="2"/>
  <c r="K877" i="2" s="1"/>
  <c r="G870" i="2"/>
  <c r="K870" i="2" s="1"/>
  <c r="G869" i="2"/>
  <c r="K869" i="2" s="1"/>
  <c r="G868" i="2"/>
  <c r="K868" i="2" s="1"/>
  <c r="G867" i="2"/>
  <c r="K867" i="2" s="1"/>
  <c r="G866" i="2"/>
  <c r="K866" i="2" s="1"/>
  <c r="G865" i="2"/>
  <c r="K865" i="2" s="1"/>
  <c r="G864" i="2"/>
  <c r="K864" i="2" s="1"/>
  <c r="G863" i="2"/>
  <c r="K863" i="2" s="1"/>
  <c r="G862" i="2"/>
  <c r="K862" i="2" s="1"/>
  <c r="G861" i="2"/>
  <c r="K861" i="2" s="1"/>
  <c r="G860" i="2"/>
  <c r="K860" i="2" s="1"/>
  <c r="G859" i="2"/>
  <c r="K859" i="2" s="1"/>
  <c r="G858" i="2"/>
  <c r="K858" i="2" s="1"/>
  <c r="G857" i="2"/>
  <c r="K857" i="2" s="1"/>
  <c r="G856" i="2"/>
  <c r="K856" i="2" s="1"/>
  <c r="G855" i="2"/>
  <c r="K855" i="2" s="1"/>
  <c r="G854" i="2"/>
  <c r="K854" i="2" s="1"/>
  <c r="G853" i="2"/>
  <c r="K853" i="2" s="1"/>
  <c r="G852" i="2"/>
  <c r="K852" i="2" s="1"/>
  <c r="G851" i="2"/>
  <c r="K851" i="2" s="1"/>
  <c r="G850" i="2"/>
  <c r="K850" i="2" s="1"/>
  <c r="G849" i="2"/>
  <c r="K849" i="2" s="1"/>
  <c r="G848" i="2"/>
  <c r="K848" i="2" s="1"/>
  <c r="G847" i="2"/>
  <c r="K847" i="2" s="1"/>
  <c r="G846" i="2"/>
  <c r="K846" i="2" s="1"/>
  <c r="G845" i="2"/>
  <c r="K845" i="2" s="1"/>
  <c r="G844" i="2"/>
  <c r="K844" i="2" s="1"/>
  <c r="G843" i="2"/>
  <c r="K843" i="2" s="1"/>
  <c r="G842" i="2"/>
  <c r="K842" i="2" s="1"/>
  <c r="G841" i="2"/>
  <c r="K841" i="2" s="1"/>
  <c r="C838" i="2"/>
  <c r="C839" i="2" s="1"/>
  <c r="C840" i="2" s="1"/>
  <c r="G837" i="2"/>
  <c r="AG880" i="2" l="1"/>
  <c r="AE837" i="2"/>
  <c r="AI837" i="2" s="1"/>
  <c r="AE839" i="2"/>
  <c r="AI839" i="2" s="1"/>
  <c r="AC880" i="2"/>
  <c r="P880" i="2"/>
  <c r="U880" i="2"/>
  <c r="S837" i="2"/>
  <c r="AB880" i="2"/>
  <c r="AE880" i="2"/>
  <c r="AI840" i="2"/>
  <c r="AI838" i="2"/>
  <c r="AI880" i="2" s="1"/>
  <c r="W840" i="2"/>
  <c r="W838" i="2"/>
  <c r="K840" i="2"/>
  <c r="I880" i="2"/>
  <c r="K838" i="2"/>
  <c r="G880" i="2"/>
  <c r="K837" i="2"/>
  <c r="D880" i="2"/>
  <c r="AB787" i="2"/>
  <c r="AE787" i="2" s="1"/>
  <c r="AI787" i="2" s="1"/>
  <c r="AC786" i="2"/>
  <c r="AB786" i="2"/>
  <c r="AB785" i="2"/>
  <c r="AE785" i="2" s="1"/>
  <c r="AI785" i="2" s="1"/>
  <c r="AG784" i="2"/>
  <c r="AB784" i="2"/>
  <c r="AE784" i="2" s="1"/>
  <c r="AI784" i="2" s="1"/>
  <c r="AC783" i="2"/>
  <c r="AB783" i="2"/>
  <c r="AG782" i="2"/>
  <c r="AG825" i="2" s="1"/>
  <c r="AC782" i="2"/>
  <c r="AB782" i="2"/>
  <c r="AA783" i="2"/>
  <c r="AA784" i="2" s="1"/>
  <c r="AA785" i="2" s="1"/>
  <c r="AA786" i="2" s="1"/>
  <c r="AA787" i="2" s="1"/>
  <c r="AE788" i="2"/>
  <c r="AI788" i="2" s="1"/>
  <c r="AE789" i="2"/>
  <c r="AI789" i="2" s="1"/>
  <c r="AE790" i="2"/>
  <c r="AI790" i="2" s="1"/>
  <c r="AE791" i="2"/>
  <c r="AI791" i="2" s="1"/>
  <c r="AE792" i="2"/>
  <c r="AI792" i="2" s="1"/>
  <c r="AE793" i="2"/>
  <c r="AI793" i="2" s="1"/>
  <c r="AE794" i="2"/>
  <c r="AI794" i="2" s="1"/>
  <c r="AE795" i="2"/>
  <c r="AI795" i="2" s="1"/>
  <c r="AE796" i="2"/>
  <c r="AI796" i="2" s="1"/>
  <c r="AE797" i="2"/>
  <c r="AI797" i="2" s="1"/>
  <c r="AE798" i="2"/>
  <c r="AI798" i="2" s="1"/>
  <c r="AE799" i="2"/>
  <c r="AI799" i="2" s="1"/>
  <c r="AE800" i="2"/>
  <c r="AI800" i="2" s="1"/>
  <c r="AE801" i="2"/>
  <c r="AI801" i="2" s="1"/>
  <c r="AE802" i="2"/>
  <c r="AI802" i="2" s="1"/>
  <c r="AE803" i="2"/>
  <c r="AI803" i="2" s="1"/>
  <c r="AE804" i="2"/>
  <c r="AI804" i="2" s="1"/>
  <c r="AE805" i="2"/>
  <c r="AI805" i="2" s="1"/>
  <c r="AE806" i="2"/>
  <c r="AI806" i="2" s="1"/>
  <c r="AE807" i="2"/>
  <c r="AI807" i="2" s="1"/>
  <c r="AE808" i="2"/>
  <c r="AI808" i="2" s="1"/>
  <c r="AE809" i="2"/>
  <c r="AI809" i="2" s="1"/>
  <c r="AE810" i="2"/>
  <c r="AI810" i="2" s="1"/>
  <c r="AE811" i="2"/>
  <c r="AI811" i="2" s="1"/>
  <c r="AE812" i="2"/>
  <c r="AI812" i="2" s="1"/>
  <c r="AE813" i="2"/>
  <c r="AI813" i="2" s="1"/>
  <c r="AE814" i="2"/>
  <c r="AI814" i="2"/>
  <c r="AE815" i="2"/>
  <c r="AI815" i="2" s="1"/>
  <c r="AE816" i="2"/>
  <c r="AI816" i="2" s="1"/>
  <c r="AE817" i="2"/>
  <c r="AI817" i="2" s="1"/>
  <c r="AE818" i="2"/>
  <c r="AI818" i="2" s="1"/>
  <c r="AE819" i="2"/>
  <c r="AI819" i="2" s="1"/>
  <c r="AE820" i="2"/>
  <c r="AI820" i="2" s="1"/>
  <c r="AI821" i="2"/>
  <c r="AE822" i="2"/>
  <c r="AI822" i="2" s="1"/>
  <c r="AI823" i="2"/>
  <c r="P796" i="2"/>
  <c r="S796" i="2" s="1"/>
  <c r="W796" i="2" s="1"/>
  <c r="P795" i="2"/>
  <c r="S795" i="2" s="1"/>
  <c r="W795" i="2" s="1"/>
  <c r="P794" i="2"/>
  <c r="S794" i="2" s="1"/>
  <c r="W794" i="2" s="1"/>
  <c r="P793" i="2"/>
  <c r="S793" i="2" s="1"/>
  <c r="W793" i="2" s="1"/>
  <c r="P792" i="2"/>
  <c r="S792" i="2" s="1"/>
  <c r="W792" i="2" s="1"/>
  <c r="P791" i="2"/>
  <c r="S791" i="2" s="1"/>
  <c r="W791" i="2" s="1"/>
  <c r="P790" i="2"/>
  <c r="S790" i="2" s="1"/>
  <c r="W790" i="2" s="1"/>
  <c r="P789" i="2"/>
  <c r="S789" i="2" s="1"/>
  <c r="W789" i="2" s="1"/>
  <c r="Q788" i="2"/>
  <c r="Q825" i="2" s="1"/>
  <c r="P788" i="2"/>
  <c r="U787" i="2"/>
  <c r="P787" i="2"/>
  <c r="S787" i="2" s="1"/>
  <c r="P786" i="2"/>
  <c r="S786" i="2" s="1"/>
  <c r="W786" i="2" s="1"/>
  <c r="P785" i="2"/>
  <c r="S785" i="2" s="1"/>
  <c r="W785" i="2" s="1"/>
  <c r="P784" i="2"/>
  <c r="S784" i="2" s="1"/>
  <c r="W784" i="2" s="1"/>
  <c r="P783" i="2"/>
  <c r="U782" i="2"/>
  <c r="P782" i="2"/>
  <c r="O783" i="2"/>
  <c r="O784" i="2" s="1"/>
  <c r="O785" i="2" s="1"/>
  <c r="O786" i="2" s="1"/>
  <c r="O787" i="2" s="1"/>
  <c r="O788" i="2" s="1"/>
  <c r="O789" i="2" s="1"/>
  <c r="O790" i="2" s="1"/>
  <c r="O791" i="2" s="1"/>
  <c r="O792" i="2" s="1"/>
  <c r="O793" i="2" s="1"/>
  <c r="O794" i="2" s="1"/>
  <c r="O795" i="2" s="1"/>
  <c r="O796" i="2" s="1"/>
  <c r="S783" i="2"/>
  <c r="W783" i="2" s="1"/>
  <c r="S797" i="2"/>
  <c r="W797" i="2" s="1"/>
  <c r="S798" i="2"/>
  <c r="W798" i="2"/>
  <c r="S799" i="2"/>
  <c r="W799" i="2" s="1"/>
  <c r="S800" i="2"/>
  <c r="W800" i="2" s="1"/>
  <c r="S801" i="2"/>
  <c r="W801" i="2" s="1"/>
  <c r="S802" i="2"/>
  <c r="W802" i="2" s="1"/>
  <c r="S803" i="2"/>
  <c r="W803" i="2" s="1"/>
  <c r="S804" i="2"/>
  <c r="W804" i="2" s="1"/>
  <c r="S805" i="2"/>
  <c r="W805" i="2" s="1"/>
  <c r="S806" i="2"/>
  <c r="W806" i="2" s="1"/>
  <c r="S807" i="2"/>
  <c r="W807" i="2" s="1"/>
  <c r="S808" i="2"/>
  <c r="W808" i="2"/>
  <c r="S809" i="2"/>
  <c r="W809" i="2" s="1"/>
  <c r="S810" i="2"/>
  <c r="W810" i="2"/>
  <c r="S811" i="2"/>
  <c r="W811" i="2" s="1"/>
  <c r="S812" i="2"/>
  <c r="W812" i="2" s="1"/>
  <c r="S813" i="2"/>
  <c r="W813" i="2" s="1"/>
  <c r="S814" i="2"/>
  <c r="W814" i="2" s="1"/>
  <c r="S815" i="2"/>
  <c r="W815" i="2" s="1"/>
  <c r="S816" i="2"/>
  <c r="W816" i="2" s="1"/>
  <c r="S817" i="2"/>
  <c r="W817" i="2" s="1"/>
  <c r="S818" i="2"/>
  <c r="W818" i="2" s="1"/>
  <c r="S819" i="2"/>
  <c r="W819" i="2"/>
  <c r="S820" i="2"/>
  <c r="W820" i="2" s="1"/>
  <c r="W821" i="2"/>
  <c r="S822" i="2"/>
  <c r="W822" i="2"/>
  <c r="W823" i="2"/>
  <c r="S788" i="2" l="1"/>
  <c r="W788" i="2" s="1"/>
  <c r="AB825" i="2"/>
  <c r="AC825" i="2"/>
  <c r="S782" i="2"/>
  <c r="S825" i="2" s="1"/>
  <c r="P825" i="2"/>
  <c r="U825" i="2"/>
  <c r="W837" i="2"/>
  <c r="W880" i="2" s="1"/>
  <c r="S880" i="2"/>
  <c r="AE786" i="2"/>
  <c r="AI786" i="2" s="1"/>
  <c r="AE783" i="2"/>
  <c r="AI783" i="2" s="1"/>
  <c r="AE782" i="2"/>
  <c r="K880" i="2"/>
  <c r="W787" i="2"/>
  <c r="W782" i="2"/>
  <c r="W825" i="2" s="1"/>
  <c r="AB733" i="2"/>
  <c r="AE733" i="2" s="1"/>
  <c r="AI733" i="2" s="1"/>
  <c r="AC732" i="2"/>
  <c r="AB732" i="2"/>
  <c r="AB731" i="2"/>
  <c r="AE731" i="2" s="1"/>
  <c r="AI731" i="2" s="1"/>
  <c r="AB730" i="2"/>
  <c r="AE730" i="2" s="1"/>
  <c r="AI730" i="2" s="1"/>
  <c r="AC729" i="2"/>
  <c r="AB729" i="2"/>
  <c r="AH728" i="2"/>
  <c r="AC728" i="2"/>
  <c r="AB728" i="2"/>
  <c r="AH727" i="2"/>
  <c r="AC727" i="2"/>
  <c r="AB727" i="2"/>
  <c r="AA728" i="2"/>
  <c r="AA729" i="2" s="1"/>
  <c r="AA730" i="2" s="1"/>
  <c r="AA731" i="2" s="1"/>
  <c r="AA732" i="2" s="1"/>
  <c r="AA733" i="2" s="1"/>
  <c r="AE734" i="2"/>
  <c r="AI734" i="2" s="1"/>
  <c r="AE735" i="2"/>
  <c r="AI735" i="2" s="1"/>
  <c r="AE736" i="2"/>
  <c r="AI736" i="2" s="1"/>
  <c r="AE737" i="2"/>
  <c r="AI737" i="2" s="1"/>
  <c r="AE738" i="2"/>
  <c r="AI738" i="2" s="1"/>
  <c r="AE739" i="2"/>
  <c r="AI739" i="2" s="1"/>
  <c r="AE740" i="2"/>
  <c r="AI740" i="2" s="1"/>
  <c r="AE741" i="2"/>
  <c r="AI741" i="2" s="1"/>
  <c r="AE742" i="2"/>
  <c r="AI742" i="2" s="1"/>
  <c r="AE743" i="2"/>
  <c r="AI743" i="2" s="1"/>
  <c r="AE744" i="2"/>
  <c r="AI744" i="2" s="1"/>
  <c r="AE745" i="2"/>
  <c r="AI745" i="2" s="1"/>
  <c r="AE746" i="2"/>
  <c r="AI746" i="2" s="1"/>
  <c r="AE747" i="2"/>
  <c r="AI747" i="2"/>
  <c r="AE748" i="2"/>
  <c r="AI748" i="2" s="1"/>
  <c r="AE749" i="2"/>
  <c r="AI749" i="2" s="1"/>
  <c r="AE750" i="2"/>
  <c r="AI750" i="2" s="1"/>
  <c r="AE751" i="2"/>
  <c r="AI751" i="2" s="1"/>
  <c r="AE752" i="2"/>
  <c r="AI752" i="2" s="1"/>
  <c r="AE753" i="2"/>
  <c r="AI753" i="2" s="1"/>
  <c r="AE754" i="2"/>
  <c r="AI754" i="2" s="1"/>
  <c r="AE755" i="2"/>
  <c r="AI755" i="2" s="1"/>
  <c r="AE756" i="2"/>
  <c r="AI756" i="2" s="1"/>
  <c r="AE757" i="2"/>
  <c r="AI757" i="2" s="1"/>
  <c r="AE758" i="2"/>
  <c r="AI758" i="2" s="1"/>
  <c r="AE759" i="2"/>
  <c r="AI759" i="2" s="1"/>
  <c r="AE760" i="2"/>
  <c r="AI760" i="2" s="1"/>
  <c r="AE761" i="2"/>
  <c r="AI761" i="2" s="1"/>
  <c r="AE762" i="2"/>
  <c r="AI762" i="2" s="1"/>
  <c r="AE763" i="2"/>
  <c r="AI763" i="2" s="1"/>
  <c r="AE764" i="2"/>
  <c r="AI764" i="2"/>
  <c r="AE765" i="2"/>
  <c r="AI765" i="2" s="1"/>
  <c r="AI766" i="2"/>
  <c r="AE767" i="2"/>
  <c r="AI767" i="2" s="1"/>
  <c r="AI768" i="2"/>
  <c r="AD770" i="2"/>
  <c r="AG770" i="2"/>
  <c r="P730" i="2"/>
  <c r="S730" i="2" s="1"/>
  <c r="W730" i="2" s="1"/>
  <c r="V729" i="2"/>
  <c r="V770" i="2" s="1"/>
  <c r="U729" i="2"/>
  <c r="U770" i="2" s="1"/>
  <c r="P729" i="2"/>
  <c r="Q729" i="2"/>
  <c r="Q770" i="2" s="1"/>
  <c r="P728" i="2"/>
  <c r="S728" i="2" s="1"/>
  <c r="W728" i="2" s="1"/>
  <c r="P727" i="2"/>
  <c r="S727" i="2" s="1"/>
  <c r="O728" i="2"/>
  <c r="O729" i="2" s="1"/>
  <c r="O730" i="2" s="1"/>
  <c r="S731" i="2"/>
  <c r="W731" i="2" s="1"/>
  <c r="S732" i="2"/>
  <c r="W732" i="2" s="1"/>
  <c r="S733" i="2"/>
  <c r="W733" i="2" s="1"/>
  <c r="S734" i="2"/>
  <c r="W734" i="2" s="1"/>
  <c r="S735" i="2"/>
  <c r="W735" i="2" s="1"/>
  <c r="S736" i="2"/>
  <c r="W736" i="2" s="1"/>
  <c r="S737" i="2"/>
  <c r="W737" i="2" s="1"/>
  <c r="S738" i="2"/>
  <c r="W738" i="2" s="1"/>
  <c r="S739" i="2"/>
  <c r="W739" i="2" s="1"/>
  <c r="S740" i="2"/>
  <c r="W740" i="2" s="1"/>
  <c r="S741" i="2"/>
  <c r="W741" i="2" s="1"/>
  <c r="S742" i="2"/>
  <c r="W742" i="2"/>
  <c r="S743" i="2"/>
  <c r="W743" i="2" s="1"/>
  <c r="S744" i="2"/>
  <c r="W744" i="2" s="1"/>
  <c r="S745" i="2"/>
  <c r="W745" i="2" s="1"/>
  <c r="S746" i="2"/>
  <c r="W746" i="2" s="1"/>
  <c r="S747" i="2"/>
  <c r="W747" i="2" s="1"/>
  <c r="S748" i="2"/>
  <c r="W748" i="2" s="1"/>
  <c r="S749" i="2"/>
  <c r="W749" i="2"/>
  <c r="S750" i="2"/>
  <c r="W750" i="2"/>
  <c r="S751" i="2"/>
  <c r="W751" i="2" s="1"/>
  <c r="S752" i="2"/>
  <c r="W752" i="2" s="1"/>
  <c r="S753" i="2"/>
  <c r="W753" i="2" s="1"/>
  <c r="S754" i="2"/>
  <c r="W754" i="2" s="1"/>
  <c r="S755" i="2"/>
  <c r="W755" i="2"/>
  <c r="S756" i="2"/>
  <c r="W756" i="2" s="1"/>
  <c r="S757" i="2"/>
  <c r="W757" i="2"/>
  <c r="S758" i="2"/>
  <c r="W758" i="2" s="1"/>
  <c r="S759" i="2"/>
  <c r="W759" i="2" s="1"/>
  <c r="S760" i="2"/>
  <c r="W760" i="2" s="1"/>
  <c r="S761" i="2"/>
  <c r="W761" i="2" s="1"/>
  <c r="S762" i="2"/>
  <c r="W762" i="2" s="1"/>
  <c r="S763" i="2"/>
  <c r="W763" i="2" s="1"/>
  <c r="S764" i="2"/>
  <c r="W764" i="2" s="1"/>
  <c r="S765" i="2"/>
  <c r="W765" i="2" s="1"/>
  <c r="W766" i="2"/>
  <c r="S767" i="2"/>
  <c r="W767" i="2" s="1"/>
  <c r="W768" i="2"/>
  <c r="R770" i="2"/>
  <c r="D730" i="2"/>
  <c r="G730" i="2" s="1"/>
  <c r="K730" i="2" s="1"/>
  <c r="D729" i="2"/>
  <c r="G729" i="2" s="1"/>
  <c r="K729" i="2" s="1"/>
  <c r="I728" i="2"/>
  <c r="I770" i="2" s="1"/>
  <c r="D728" i="2"/>
  <c r="G728" i="2" s="1"/>
  <c r="J727" i="2"/>
  <c r="J770" i="2" s="1"/>
  <c r="E727" i="2"/>
  <c r="D727" i="2"/>
  <c r="C728" i="2"/>
  <c r="C729" i="2" s="1"/>
  <c r="C730" i="2" s="1"/>
  <c r="G731" i="2"/>
  <c r="K731" i="2" s="1"/>
  <c r="G732" i="2"/>
  <c r="K732" i="2" s="1"/>
  <c r="G733" i="2"/>
  <c r="K733" i="2" s="1"/>
  <c r="G734" i="2"/>
  <c r="K734" i="2" s="1"/>
  <c r="G735" i="2"/>
  <c r="K735" i="2" s="1"/>
  <c r="G736" i="2"/>
  <c r="K736" i="2" s="1"/>
  <c r="G737" i="2"/>
  <c r="K737" i="2" s="1"/>
  <c r="G738" i="2"/>
  <c r="K738" i="2"/>
  <c r="G739" i="2"/>
  <c r="K739" i="2" s="1"/>
  <c r="G740" i="2"/>
  <c r="K740" i="2" s="1"/>
  <c r="G741" i="2"/>
  <c r="K741" i="2" s="1"/>
  <c r="G742" i="2"/>
  <c r="K742" i="2" s="1"/>
  <c r="G743" i="2"/>
  <c r="K743" i="2" s="1"/>
  <c r="G744" i="2"/>
  <c r="K744" i="2" s="1"/>
  <c r="G745" i="2"/>
  <c r="K745" i="2" s="1"/>
  <c r="G746" i="2"/>
  <c r="K746" i="2" s="1"/>
  <c r="G747" i="2"/>
  <c r="K747" i="2" s="1"/>
  <c r="G748" i="2"/>
  <c r="K748" i="2" s="1"/>
  <c r="G749" i="2"/>
  <c r="K749" i="2" s="1"/>
  <c r="G750" i="2"/>
  <c r="K750" i="2" s="1"/>
  <c r="G751" i="2"/>
  <c r="K751" i="2" s="1"/>
  <c r="G752" i="2"/>
  <c r="K752" i="2" s="1"/>
  <c r="G753" i="2"/>
  <c r="K753" i="2" s="1"/>
  <c r="G754" i="2"/>
  <c r="K754" i="2"/>
  <c r="G755" i="2"/>
  <c r="K755" i="2" s="1"/>
  <c r="G756" i="2"/>
  <c r="K756" i="2"/>
  <c r="G757" i="2"/>
  <c r="K757" i="2" s="1"/>
  <c r="G758" i="2"/>
  <c r="K758" i="2" s="1"/>
  <c r="G759" i="2"/>
  <c r="K759" i="2" s="1"/>
  <c r="G760" i="2"/>
  <c r="K760" i="2" s="1"/>
  <c r="G767" i="2"/>
  <c r="K767" i="2" s="1"/>
  <c r="F770" i="2"/>
  <c r="AE732" i="2" l="1"/>
  <c r="AI732" i="2" s="1"/>
  <c r="K728" i="2"/>
  <c r="AI782" i="2"/>
  <c r="AI825" i="2" s="1"/>
  <c r="AE825" i="2"/>
  <c r="AC770" i="2"/>
  <c r="S729" i="2"/>
  <c r="W729" i="2" s="1"/>
  <c r="AE729" i="2"/>
  <c r="AI729" i="2" s="1"/>
  <c r="AE727" i="2"/>
  <c r="AI727" i="2" s="1"/>
  <c r="AH770" i="2"/>
  <c r="G727" i="2"/>
  <c r="G770" i="2" s="1"/>
  <c r="AB770" i="2"/>
  <c r="AE728" i="2"/>
  <c r="AI728" i="2" s="1"/>
  <c r="P770" i="2"/>
  <c r="S770" i="2"/>
  <c r="W727" i="2"/>
  <c r="W770" i="2" s="1"/>
  <c r="D770" i="2"/>
  <c r="E770" i="2"/>
  <c r="AG679" i="2"/>
  <c r="AB679" i="2"/>
  <c r="AE679" i="2" s="1"/>
  <c r="AH678" i="2"/>
  <c r="AH715" i="2" s="1"/>
  <c r="AB678" i="2"/>
  <c r="AE678" i="2" s="1"/>
  <c r="AC677" i="2"/>
  <c r="AB677" i="2"/>
  <c r="AB676" i="2"/>
  <c r="AE676" i="2" s="1"/>
  <c r="AI676" i="2" s="1"/>
  <c r="AB675" i="2"/>
  <c r="AE675" i="2" s="1"/>
  <c r="AI675" i="2" s="1"/>
  <c r="AB674" i="2"/>
  <c r="AE674" i="2" s="1"/>
  <c r="AI674" i="2" s="1"/>
  <c r="AB673" i="2"/>
  <c r="AE673" i="2" s="1"/>
  <c r="AG672" i="2"/>
  <c r="AB672" i="2"/>
  <c r="AC672" i="2"/>
  <c r="AA673" i="2"/>
  <c r="AA674" i="2" s="1"/>
  <c r="AA675" i="2" s="1"/>
  <c r="AA676" i="2" s="1"/>
  <c r="AA677" i="2" s="1"/>
  <c r="AA678" i="2" s="1"/>
  <c r="AA679" i="2" s="1"/>
  <c r="AE680" i="2"/>
  <c r="AI680" i="2" s="1"/>
  <c r="AE681" i="2"/>
  <c r="AI681" i="2" s="1"/>
  <c r="AE682" i="2"/>
  <c r="AI682" i="2" s="1"/>
  <c r="AE683" i="2"/>
  <c r="AI683" i="2" s="1"/>
  <c r="AE684" i="2"/>
  <c r="AI684" i="2" s="1"/>
  <c r="AE685" i="2"/>
  <c r="AI685" i="2" s="1"/>
  <c r="AE686" i="2"/>
  <c r="AI686" i="2" s="1"/>
  <c r="AE687" i="2"/>
  <c r="AI687" i="2" s="1"/>
  <c r="AE688" i="2"/>
  <c r="AI688" i="2" s="1"/>
  <c r="AE689" i="2"/>
  <c r="AI689" i="2" s="1"/>
  <c r="AE690" i="2"/>
  <c r="AI690" i="2" s="1"/>
  <c r="AE691" i="2"/>
  <c r="AI691" i="2" s="1"/>
  <c r="AE692" i="2"/>
  <c r="AI692" i="2" s="1"/>
  <c r="AE693" i="2"/>
  <c r="AI693" i="2" s="1"/>
  <c r="AE694" i="2"/>
  <c r="AI694" i="2" s="1"/>
  <c r="AE695" i="2"/>
  <c r="AI695" i="2" s="1"/>
  <c r="AE696" i="2"/>
  <c r="AI696" i="2" s="1"/>
  <c r="AE697" i="2"/>
  <c r="AI697" i="2" s="1"/>
  <c r="AE698" i="2"/>
  <c r="AI698" i="2" s="1"/>
  <c r="AE699" i="2"/>
  <c r="AI699" i="2" s="1"/>
  <c r="AE700" i="2"/>
  <c r="AI700" i="2" s="1"/>
  <c r="AE701" i="2"/>
  <c r="AI701" i="2" s="1"/>
  <c r="AE702" i="2"/>
  <c r="AI702" i="2" s="1"/>
  <c r="AE703" i="2"/>
  <c r="AI703" i="2" s="1"/>
  <c r="AE704" i="2"/>
  <c r="AI704" i="2" s="1"/>
  <c r="AE705" i="2"/>
  <c r="AI705" i="2" s="1"/>
  <c r="AE706" i="2"/>
  <c r="AI706" i="2"/>
  <c r="AE707" i="2"/>
  <c r="AI707" i="2" s="1"/>
  <c r="AE708" i="2"/>
  <c r="AI708" i="2" s="1"/>
  <c r="AE709" i="2"/>
  <c r="AI709" i="2" s="1"/>
  <c r="AE710" i="2"/>
  <c r="AI710" i="2" s="1"/>
  <c r="AI711" i="2"/>
  <c r="AE712" i="2"/>
  <c r="AI712" i="2" s="1"/>
  <c r="AI713" i="2"/>
  <c r="AD715" i="2"/>
  <c r="P676" i="2"/>
  <c r="S676" i="2" s="1"/>
  <c r="W676" i="2" s="1"/>
  <c r="U675" i="2"/>
  <c r="U715" i="2" s="1"/>
  <c r="P675" i="2"/>
  <c r="S675" i="2" s="1"/>
  <c r="W675" i="2" s="1"/>
  <c r="Q674" i="2"/>
  <c r="P674" i="2"/>
  <c r="P673" i="2"/>
  <c r="S673" i="2" s="1"/>
  <c r="P672" i="2"/>
  <c r="O673" i="2"/>
  <c r="O674" i="2" s="1"/>
  <c r="O675" i="2" s="1"/>
  <c r="O676" i="2" s="1"/>
  <c r="S677" i="2"/>
  <c r="W677" i="2" s="1"/>
  <c r="S678" i="2"/>
  <c r="W678" i="2" s="1"/>
  <c r="S679" i="2"/>
  <c r="W679" i="2" s="1"/>
  <c r="S680" i="2"/>
  <c r="W680" i="2" s="1"/>
  <c r="S681" i="2"/>
  <c r="W681" i="2" s="1"/>
  <c r="S682" i="2"/>
  <c r="W682" i="2" s="1"/>
  <c r="S683" i="2"/>
  <c r="W683" i="2" s="1"/>
  <c r="S684" i="2"/>
  <c r="W684" i="2" s="1"/>
  <c r="S685" i="2"/>
  <c r="W685" i="2" s="1"/>
  <c r="S686" i="2"/>
  <c r="W686" i="2" s="1"/>
  <c r="S687" i="2"/>
  <c r="W687" i="2" s="1"/>
  <c r="S688" i="2"/>
  <c r="W688" i="2" s="1"/>
  <c r="S689" i="2"/>
  <c r="W689" i="2" s="1"/>
  <c r="S690" i="2"/>
  <c r="W690" i="2" s="1"/>
  <c r="S691" i="2"/>
  <c r="W691" i="2" s="1"/>
  <c r="S692" i="2"/>
  <c r="W692" i="2" s="1"/>
  <c r="S693" i="2"/>
  <c r="W693" i="2" s="1"/>
  <c r="S694" i="2"/>
  <c r="W694" i="2" s="1"/>
  <c r="S695" i="2"/>
  <c r="W695" i="2"/>
  <c r="S696" i="2"/>
  <c r="W696" i="2" s="1"/>
  <c r="S697" i="2"/>
  <c r="W697" i="2" s="1"/>
  <c r="S698" i="2"/>
  <c r="W698" i="2" s="1"/>
  <c r="S699" i="2"/>
  <c r="W699" i="2" s="1"/>
  <c r="S700" i="2"/>
  <c r="W700" i="2" s="1"/>
  <c r="S701" i="2"/>
  <c r="W701" i="2" s="1"/>
  <c r="S702" i="2"/>
  <c r="W702" i="2" s="1"/>
  <c r="S703" i="2"/>
  <c r="W703" i="2" s="1"/>
  <c r="S704" i="2"/>
  <c r="W704" i="2" s="1"/>
  <c r="S705" i="2"/>
  <c r="W705" i="2" s="1"/>
  <c r="S706" i="2"/>
  <c r="W706" i="2" s="1"/>
  <c r="S707" i="2"/>
  <c r="W707" i="2" s="1"/>
  <c r="S708" i="2"/>
  <c r="W708" i="2" s="1"/>
  <c r="S709" i="2"/>
  <c r="W709" i="2" s="1"/>
  <c r="S710" i="2"/>
  <c r="W710" i="2" s="1"/>
  <c r="W711" i="2"/>
  <c r="S712" i="2"/>
  <c r="W712" i="2" s="1"/>
  <c r="W713" i="2"/>
  <c r="R715" i="2"/>
  <c r="V715" i="2"/>
  <c r="D679" i="2"/>
  <c r="G679" i="2" s="1"/>
  <c r="K679" i="2" s="1"/>
  <c r="D678" i="2"/>
  <c r="G678" i="2" s="1"/>
  <c r="K678" i="2" s="1"/>
  <c r="D677" i="2"/>
  <c r="G677" i="2" s="1"/>
  <c r="K677" i="2" s="1"/>
  <c r="D676" i="2"/>
  <c r="G676" i="2" s="1"/>
  <c r="K676" i="2" s="1"/>
  <c r="D675" i="2"/>
  <c r="G675" i="2" s="1"/>
  <c r="K675" i="2" s="1"/>
  <c r="D674" i="2"/>
  <c r="D673" i="2"/>
  <c r="G673" i="2" s="1"/>
  <c r="K673" i="2" s="1"/>
  <c r="D672" i="2"/>
  <c r="C673" i="2"/>
  <c r="C674" i="2" s="1"/>
  <c r="C675" i="2" s="1"/>
  <c r="C676" i="2" s="1"/>
  <c r="C677" i="2" s="1"/>
  <c r="C678" i="2" s="1"/>
  <c r="C679" i="2" s="1"/>
  <c r="J715" i="2"/>
  <c r="G680" i="2"/>
  <c r="K680" i="2"/>
  <c r="G681" i="2"/>
  <c r="K681" i="2" s="1"/>
  <c r="G682" i="2"/>
  <c r="K682" i="2"/>
  <c r="G683" i="2"/>
  <c r="K683" i="2" s="1"/>
  <c r="G684" i="2"/>
  <c r="K684" i="2" s="1"/>
  <c r="G685" i="2"/>
  <c r="K685" i="2" s="1"/>
  <c r="G686" i="2"/>
  <c r="K686" i="2" s="1"/>
  <c r="G687" i="2"/>
  <c r="K687" i="2" s="1"/>
  <c r="G688" i="2"/>
  <c r="K688" i="2" s="1"/>
  <c r="G689" i="2"/>
  <c r="K689" i="2" s="1"/>
  <c r="G690" i="2"/>
  <c r="K690" i="2"/>
  <c r="G691" i="2"/>
  <c r="K691" i="2" s="1"/>
  <c r="G692" i="2"/>
  <c r="K692" i="2" s="1"/>
  <c r="G693" i="2"/>
  <c r="K693" i="2" s="1"/>
  <c r="G694" i="2"/>
  <c r="K694" i="2" s="1"/>
  <c r="G695" i="2"/>
  <c r="K695" i="2" s="1"/>
  <c r="G696" i="2"/>
  <c r="K696" i="2" s="1"/>
  <c r="G697" i="2"/>
  <c r="K697" i="2" s="1"/>
  <c r="G698" i="2"/>
  <c r="K698" i="2"/>
  <c r="G699" i="2"/>
  <c r="K699" i="2" s="1"/>
  <c r="G700" i="2"/>
  <c r="K700" i="2" s="1"/>
  <c r="G701" i="2"/>
  <c r="K701" i="2" s="1"/>
  <c r="G702" i="2"/>
  <c r="K702" i="2" s="1"/>
  <c r="G703" i="2"/>
  <c r="K703" i="2" s="1"/>
  <c r="G704" i="2"/>
  <c r="K704" i="2" s="1"/>
  <c r="G705" i="2"/>
  <c r="K705" i="2" s="1"/>
  <c r="G712" i="2"/>
  <c r="K712" i="2" s="1"/>
  <c r="E715" i="2"/>
  <c r="F715" i="2"/>
  <c r="I715" i="2"/>
  <c r="AE677" i="2" l="1"/>
  <c r="AI677" i="2" s="1"/>
  <c r="K727" i="2"/>
  <c r="K770" i="2" s="1"/>
  <c r="AI770" i="2"/>
  <c r="AI679" i="2"/>
  <c r="AE672" i="2"/>
  <c r="AI672" i="2" s="1"/>
  <c r="AG715" i="2"/>
  <c r="S674" i="2"/>
  <c r="W674" i="2" s="1"/>
  <c r="AC715" i="2"/>
  <c r="AE770" i="2"/>
  <c r="AI678" i="2"/>
  <c r="AB715" i="2"/>
  <c r="AI673" i="2"/>
  <c r="P715" i="2"/>
  <c r="Q715" i="2"/>
  <c r="S672" i="2"/>
  <c r="W672" i="2" s="1"/>
  <c r="W673" i="2"/>
  <c r="D715" i="2"/>
  <c r="G672" i="2"/>
  <c r="K672" i="2" s="1"/>
  <c r="G674" i="2"/>
  <c r="K674" i="2" s="1"/>
  <c r="J619" i="2"/>
  <c r="AH620" i="2"/>
  <c r="AH660" i="2" s="1"/>
  <c r="AC620" i="2"/>
  <c r="AB620" i="2"/>
  <c r="AB619" i="2"/>
  <c r="AE619" i="2" s="1"/>
  <c r="AI619" i="2" s="1"/>
  <c r="AB618" i="2"/>
  <c r="AE618" i="2" s="1"/>
  <c r="AI618" i="2" s="1"/>
  <c r="AB617" i="2"/>
  <c r="AE617" i="2" s="1"/>
  <c r="AA618" i="2"/>
  <c r="AA619" i="2" s="1"/>
  <c r="AA620" i="2" s="1"/>
  <c r="AC660" i="2"/>
  <c r="AE621" i="2"/>
  <c r="AI621" i="2" s="1"/>
  <c r="AE622" i="2"/>
  <c r="AI622" i="2" s="1"/>
  <c r="AE623" i="2"/>
  <c r="AI623" i="2" s="1"/>
  <c r="AG660" i="2"/>
  <c r="AE624" i="2"/>
  <c r="AI624" i="2" s="1"/>
  <c r="AE625" i="2"/>
  <c r="AI625" i="2" s="1"/>
  <c r="AE626" i="2"/>
  <c r="AI626" i="2" s="1"/>
  <c r="AE627" i="2"/>
  <c r="AI627" i="2" s="1"/>
  <c r="AE628" i="2"/>
  <c r="AI628" i="2" s="1"/>
  <c r="AE629" i="2"/>
  <c r="AI629" i="2" s="1"/>
  <c r="AE630" i="2"/>
  <c r="AI630" i="2" s="1"/>
  <c r="AE631" i="2"/>
  <c r="AI631" i="2" s="1"/>
  <c r="AE632" i="2"/>
  <c r="AI632" i="2" s="1"/>
  <c r="AE633" i="2"/>
  <c r="AI633" i="2" s="1"/>
  <c r="AE634" i="2"/>
  <c r="AI634" i="2" s="1"/>
  <c r="AE635" i="2"/>
  <c r="AI635" i="2" s="1"/>
  <c r="AE636" i="2"/>
  <c r="AI636" i="2" s="1"/>
  <c r="AE637" i="2"/>
  <c r="AI637" i="2" s="1"/>
  <c r="AE638" i="2"/>
  <c r="AI638" i="2" s="1"/>
  <c r="AE639" i="2"/>
  <c r="AI639" i="2" s="1"/>
  <c r="AE640" i="2"/>
  <c r="AI640" i="2" s="1"/>
  <c r="AE641" i="2"/>
  <c r="AI641" i="2" s="1"/>
  <c r="AE642" i="2"/>
  <c r="AI642" i="2" s="1"/>
  <c r="AE643" i="2"/>
  <c r="AI643" i="2" s="1"/>
  <c r="AE644" i="2"/>
  <c r="AI644" i="2" s="1"/>
  <c r="AE645" i="2"/>
  <c r="AI645" i="2" s="1"/>
  <c r="AE646" i="2"/>
  <c r="AI646" i="2" s="1"/>
  <c r="AE647" i="2"/>
  <c r="AI647" i="2" s="1"/>
  <c r="AE648" i="2"/>
  <c r="AI648" i="2" s="1"/>
  <c r="AE649" i="2"/>
  <c r="AI649" i="2" s="1"/>
  <c r="AE650" i="2"/>
  <c r="AI650" i="2" s="1"/>
  <c r="AE651" i="2"/>
  <c r="AI651" i="2" s="1"/>
  <c r="AE652" i="2"/>
  <c r="AI652" i="2" s="1"/>
  <c r="AE653" i="2"/>
  <c r="AI653" i="2" s="1"/>
  <c r="AE654" i="2"/>
  <c r="AI654" i="2" s="1"/>
  <c r="AE655" i="2"/>
  <c r="AI655" i="2" s="1"/>
  <c r="AI656" i="2"/>
  <c r="AE657" i="2"/>
  <c r="AI657" i="2" s="1"/>
  <c r="AI658" i="2"/>
  <c r="AD660" i="2"/>
  <c r="P622" i="2"/>
  <c r="S622" i="2" s="1"/>
  <c r="W622" i="2" s="1"/>
  <c r="P621" i="2"/>
  <c r="S621" i="2" s="1"/>
  <c r="W621" i="2" s="1"/>
  <c r="P620" i="2"/>
  <c r="S620" i="2" s="1"/>
  <c r="W620" i="2" s="1"/>
  <c r="P619" i="2"/>
  <c r="S619" i="2" s="1"/>
  <c r="W619" i="2" s="1"/>
  <c r="U618" i="2"/>
  <c r="U660" i="2" s="1"/>
  <c r="P618" i="2"/>
  <c r="Q660" i="2"/>
  <c r="P617" i="2"/>
  <c r="S617" i="2" s="1"/>
  <c r="W617" i="2" s="1"/>
  <c r="V660" i="2"/>
  <c r="O618" i="2"/>
  <c r="O619" i="2" s="1"/>
  <c r="O620" i="2" s="1"/>
  <c r="O621" i="2" s="1"/>
  <c r="O622" i="2" s="1"/>
  <c r="S623" i="2"/>
  <c r="W623" i="2" s="1"/>
  <c r="S624" i="2"/>
  <c r="W624" i="2" s="1"/>
  <c r="S625" i="2"/>
  <c r="W625" i="2" s="1"/>
  <c r="S626" i="2"/>
  <c r="W626" i="2" s="1"/>
  <c r="S627" i="2"/>
  <c r="W627" i="2" s="1"/>
  <c r="S628" i="2"/>
  <c r="W628" i="2" s="1"/>
  <c r="S629" i="2"/>
  <c r="W629" i="2" s="1"/>
  <c r="S630" i="2"/>
  <c r="W630" i="2" s="1"/>
  <c r="S631" i="2"/>
  <c r="W631" i="2"/>
  <c r="S632" i="2"/>
  <c r="W632" i="2" s="1"/>
  <c r="S633" i="2"/>
  <c r="W633" i="2" s="1"/>
  <c r="S634" i="2"/>
  <c r="W634" i="2" s="1"/>
  <c r="S635" i="2"/>
  <c r="W635" i="2" s="1"/>
  <c r="S636" i="2"/>
  <c r="W636" i="2" s="1"/>
  <c r="S637" i="2"/>
  <c r="W637" i="2" s="1"/>
  <c r="S638" i="2"/>
  <c r="W638" i="2" s="1"/>
  <c r="S639" i="2"/>
  <c r="W639" i="2" s="1"/>
  <c r="S640" i="2"/>
  <c r="W640" i="2" s="1"/>
  <c r="S641" i="2"/>
  <c r="W641" i="2" s="1"/>
  <c r="S642" i="2"/>
  <c r="W642" i="2" s="1"/>
  <c r="S643" i="2"/>
  <c r="W643" i="2" s="1"/>
  <c r="S644" i="2"/>
  <c r="W644" i="2" s="1"/>
  <c r="S645" i="2"/>
  <c r="W645" i="2" s="1"/>
  <c r="S646" i="2"/>
  <c r="W646" i="2" s="1"/>
  <c r="S647" i="2"/>
  <c r="W647" i="2" s="1"/>
  <c r="S648" i="2"/>
  <c r="W648" i="2" s="1"/>
  <c r="S649" i="2"/>
  <c r="W649" i="2" s="1"/>
  <c r="S650" i="2"/>
  <c r="W650" i="2" s="1"/>
  <c r="S651" i="2"/>
  <c r="W651" i="2" s="1"/>
  <c r="S652" i="2"/>
  <c r="W652" i="2" s="1"/>
  <c r="S653" i="2"/>
  <c r="W653" i="2" s="1"/>
  <c r="S654" i="2"/>
  <c r="W654" i="2" s="1"/>
  <c r="S655" i="2"/>
  <c r="W655" i="2" s="1"/>
  <c r="W656" i="2"/>
  <c r="S657" i="2"/>
  <c r="W657" i="2" s="1"/>
  <c r="W658" i="2"/>
  <c r="R660" i="2"/>
  <c r="D622" i="2"/>
  <c r="G622" i="2" s="1"/>
  <c r="K622" i="2" s="1"/>
  <c r="J621" i="2"/>
  <c r="D621" i="2"/>
  <c r="G621" i="2" s="1"/>
  <c r="D620" i="2"/>
  <c r="G620" i="2" s="1"/>
  <c r="K620" i="2" s="1"/>
  <c r="E619" i="2"/>
  <c r="E660" i="2" s="1"/>
  <c r="D619" i="2"/>
  <c r="J618" i="2"/>
  <c r="D618" i="2"/>
  <c r="G618" i="2" s="1"/>
  <c r="D617" i="2"/>
  <c r="G617" i="2" s="1"/>
  <c r="K617" i="2" s="1"/>
  <c r="C618" i="2"/>
  <c r="C620" i="2" s="1"/>
  <c r="C621" i="2" s="1"/>
  <c r="C622" i="2" s="1"/>
  <c r="G623" i="2"/>
  <c r="K623" i="2" s="1"/>
  <c r="G624" i="2"/>
  <c r="K624" i="2" s="1"/>
  <c r="G625" i="2"/>
  <c r="K625" i="2"/>
  <c r="G626" i="2"/>
  <c r="K626" i="2" s="1"/>
  <c r="G627" i="2"/>
  <c r="K627" i="2" s="1"/>
  <c r="G628" i="2"/>
  <c r="K628" i="2" s="1"/>
  <c r="G629" i="2"/>
  <c r="K629" i="2" s="1"/>
  <c r="G630" i="2"/>
  <c r="K630" i="2" s="1"/>
  <c r="G631" i="2"/>
  <c r="K631" i="2" s="1"/>
  <c r="G632" i="2"/>
  <c r="K632" i="2" s="1"/>
  <c r="G633" i="2"/>
  <c r="K633" i="2" s="1"/>
  <c r="G634" i="2"/>
  <c r="K634" i="2"/>
  <c r="G635" i="2"/>
  <c r="K635" i="2" s="1"/>
  <c r="G636" i="2"/>
  <c r="K636" i="2" s="1"/>
  <c r="G637" i="2"/>
  <c r="K637" i="2"/>
  <c r="G638" i="2"/>
  <c r="K638" i="2" s="1"/>
  <c r="G639" i="2"/>
  <c r="K639" i="2" s="1"/>
  <c r="G640" i="2"/>
  <c r="K640" i="2" s="1"/>
  <c r="G641" i="2"/>
  <c r="K641" i="2" s="1"/>
  <c r="G642" i="2"/>
  <c r="K642" i="2" s="1"/>
  <c r="G643" i="2"/>
  <c r="K643" i="2" s="1"/>
  <c r="G644" i="2"/>
  <c r="K644" i="2" s="1"/>
  <c r="G645" i="2"/>
  <c r="K645" i="2" s="1"/>
  <c r="G646" i="2"/>
  <c r="K646" i="2" s="1"/>
  <c r="G647" i="2"/>
  <c r="K647" i="2" s="1"/>
  <c r="G648" i="2"/>
  <c r="K648" i="2" s="1"/>
  <c r="G649" i="2"/>
  <c r="K649" i="2" s="1"/>
  <c r="G650" i="2"/>
  <c r="K650" i="2" s="1"/>
  <c r="G657" i="2"/>
  <c r="K657" i="2" s="1"/>
  <c r="F660" i="2"/>
  <c r="I660" i="2"/>
  <c r="AE715" i="2" l="1"/>
  <c r="AI715" i="2"/>
  <c r="AE620" i="2"/>
  <c r="AI620" i="2" s="1"/>
  <c r="S715" i="2"/>
  <c r="W715" i="2"/>
  <c r="K618" i="2"/>
  <c r="G715" i="2"/>
  <c r="K715" i="2"/>
  <c r="AB660" i="2"/>
  <c r="AI617" i="2"/>
  <c r="AI660" i="2" s="1"/>
  <c r="AE660" i="2"/>
  <c r="S618" i="2"/>
  <c r="W618" i="2" s="1"/>
  <c r="W660" i="2" s="1"/>
  <c r="P660" i="2"/>
  <c r="K621" i="2"/>
  <c r="J660" i="2"/>
  <c r="D660" i="2"/>
  <c r="G619" i="2"/>
  <c r="K619" i="2" s="1"/>
  <c r="AG568" i="2"/>
  <c r="AB568" i="2"/>
  <c r="AE568" i="2" s="1"/>
  <c r="AH567" i="2"/>
  <c r="AH605" i="2" s="1"/>
  <c r="AB567" i="2"/>
  <c r="AE567" i="2" s="1"/>
  <c r="AB566" i="2"/>
  <c r="AE566" i="2" s="1"/>
  <c r="AI566" i="2" s="1"/>
  <c r="AC565" i="2"/>
  <c r="AB565" i="2"/>
  <c r="AB564" i="2"/>
  <c r="AE564" i="2" s="1"/>
  <c r="AI564" i="2" s="1"/>
  <c r="AC563" i="2"/>
  <c r="AG563" i="2"/>
  <c r="AB563" i="2"/>
  <c r="AE563" i="2" s="1"/>
  <c r="AG562" i="2"/>
  <c r="AB562" i="2"/>
  <c r="AE562" i="2" s="1"/>
  <c r="AD605" i="2"/>
  <c r="AI603" i="2"/>
  <c r="AE602" i="2"/>
  <c r="AI602" i="2" s="1"/>
  <c r="AI601" i="2"/>
  <c r="AE600" i="2"/>
  <c r="AI600" i="2" s="1"/>
  <c r="AE599" i="2"/>
  <c r="AI599" i="2" s="1"/>
  <c r="AE598" i="2"/>
  <c r="AI598" i="2" s="1"/>
  <c r="AE597" i="2"/>
  <c r="AI597" i="2" s="1"/>
  <c r="AE596" i="2"/>
  <c r="AI596" i="2" s="1"/>
  <c r="AE595" i="2"/>
  <c r="AI595" i="2" s="1"/>
  <c r="AE594" i="2"/>
  <c r="AI594" i="2" s="1"/>
  <c r="AE593" i="2"/>
  <c r="AI593" i="2" s="1"/>
  <c r="AE592" i="2"/>
  <c r="AI592" i="2" s="1"/>
  <c r="AE591" i="2"/>
  <c r="AI591" i="2" s="1"/>
  <c r="AE590" i="2"/>
  <c r="AI590" i="2" s="1"/>
  <c r="AE589" i="2"/>
  <c r="AI589" i="2" s="1"/>
  <c r="AE588" i="2"/>
  <c r="AI588" i="2" s="1"/>
  <c r="AE587" i="2"/>
  <c r="AI587" i="2" s="1"/>
  <c r="AE586" i="2"/>
  <c r="AI586" i="2" s="1"/>
  <c r="AE585" i="2"/>
  <c r="AI585" i="2" s="1"/>
  <c r="AE584" i="2"/>
  <c r="AI584" i="2" s="1"/>
  <c r="AE583" i="2"/>
  <c r="AI583" i="2" s="1"/>
  <c r="AE582" i="2"/>
  <c r="AI582" i="2" s="1"/>
  <c r="AE581" i="2"/>
  <c r="AI581" i="2" s="1"/>
  <c r="AE580" i="2"/>
  <c r="AI580" i="2" s="1"/>
  <c r="AE579" i="2"/>
  <c r="AI579" i="2" s="1"/>
  <c r="AE578" i="2"/>
  <c r="AI578" i="2" s="1"/>
  <c r="AE577" i="2"/>
  <c r="AI577" i="2" s="1"/>
  <c r="AE576" i="2"/>
  <c r="AI576" i="2" s="1"/>
  <c r="AE575" i="2"/>
  <c r="AI575" i="2" s="1"/>
  <c r="AE574" i="2"/>
  <c r="AI574" i="2" s="1"/>
  <c r="AE573" i="2"/>
  <c r="AI573" i="2" s="1"/>
  <c r="AE572" i="2"/>
  <c r="AI572" i="2" s="1"/>
  <c r="AE571" i="2"/>
  <c r="AI571" i="2" s="1"/>
  <c r="AE570" i="2"/>
  <c r="AI570" i="2" s="1"/>
  <c r="AE569" i="2"/>
  <c r="AI569" i="2" s="1"/>
  <c r="AA563" i="2"/>
  <c r="AA564" i="2" s="1"/>
  <c r="AA565" i="2" s="1"/>
  <c r="AA566" i="2" s="1"/>
  <c r="AA567" i="2" s="1"/>
  <c r="AA568" i="2" s="1"/>
  <c r="P564" i="2"/>
  <c r="S564" i="2" s="1"/>
  <c r="W564" i="2" s="1"/>
  <c r="V563" i="2"/>
  <c r="U563" i="2"/>
  <c r="U605" i="2" s="1"/>
  <c r="Q563" i="2"/>
  <c r="P563" i="2"/>
  <c r="V562" i="2"/>
  <c r="Q562" i="2"/>
  <c r="P562" i="2"/>
  <c r="R605" i="2"/>
  <c r="W603" i="2"/>
  <c r="S602" i="2"/>
  <c r="W602" i="2" s="1"/>
  <c r="W601" i="2"/>
  <c r="S600" i="2"/>
  <c r="W600" i="2" s="1"/>
  <c r="S599" i="2"/>
  <c r="W599" i="2" s="1"/>
  <c r="S598" i="2"/>
  <c r="W598" i="2" s="1"/>
  <c r="S597" i="2"/>
  <c r="W597" i="2" s="1"/>
  <c r="S596" i="2"/>
  <c r="W596" i="2" s="1"/>
  <c r="S595" i="2"/>
  <c r="W595" i="2" s="1"/>
  <c r="S594" i="2"/>
  <c r="W594" i="2" s="1"/>
  <c r="S593" i="2"/>
  <c r="W593" i="2" s="1"/>
  <c r="S592" i="2"/>
  <c r="W592" i="2" s="1"/>
  <c r="S591" i="2"/>
  <c r="W591" i="2" s="1"/>
  <c r="S590" i="2"/>
  <c r="W590" i="2" s="1"/>
  <c r="S589" i="2"/>
  <c r="W589" i="2" s="1"/>
  <c r="S588" i="2"/>
  <c r="W588" i="2" s="1"/>
  <c r="S587" i="2"/>
  <c r="W587" i="2" s="1"/>
  <c r="S586" i="2"/>
  <c r="W586" i="2" s="1"/>
  <c r="S585" i="2"/>
  <c r="W585" i="2" s="1"/>
  <c r="S584" i="2"/>
  <c r="W584" i="2" s="1"/>
  <c r="S583" i="2"/>
  <c r="W583" i="2" s="1"/>
  <c r="S582" i="2"/>
  <c r="W582" i="2" s="1"/>
  <c r="S581" i="2"/>
  <c r="W581" i="2" s="1"/>
  <c r="S580" i="2"/>
  <c r="W580" i="2" s="1"/>
  <c r="S579" i="2"/>
  <c r="W579" i="2" s="1"/>
  <c r="S578" i="2"/>
  <c r="W578" i="2" s="1"/>
  <c r="S577" i="2"/>
  <c r="W577" i="2" s="1"/>
  <c r="S576" i="2"/>
  <c r="W576" i="2" s="1"/>
  <c r="S575" i="2"/>
  <c r="W575" i="2" s="1"/>
  <c r="S574" i="2"/>
  <c r="W574" i="2" s="1"/>
  <c r="S573" i="2"/>
  <c r="W573" i="2" s="1"/>
  <c r="S572" i="2"/>
  <c r="W572" i="2" s="1"/>
  <c r="S571" i="2"/>
  <c r="W571" i="2" s="1"/>
  <c r="S570" i="2"/>
  <c r="W570" i="2" s="1"/>
  <c r="S569" i="2"/>
  <c r="W569" i="2" s="1"/>
  <c r="S568" i="2"/>
  <c r="W568" i="2" s="1"/>
  <c r="S567" i="2"/>
  <c r="W567" i="2" s="1"/>
  <c r="S566" i="2"/>
  <c r="W566" i="2" s="1"/>
  <c r="S565" i="2"/>
  <c r="W565" i="2" s="1"/>
  <c r="O563" i="2"/>
  <c r="O564" i="2" s="1"/>
  <c r="D565" i="2"/>
  <c r="G565" i="2" s="1"/>
  <c r="K565" i="2" s="1"/>
  <c r="J564" i="2"/>
  <c r="J605" i="2" s="1"/>
  <c r="E564" i="2"/>
  <c r="D564" i="2"/>
  <c r="D563" i="2"/>
  <c r="G563" i="2" s="1"/>
  <c r="K563" i="2" s="1"/>
  <c r="I562" i="2"/>
  <c r="I605" i="2" s="1"/>
  <c r="E562" i="2"/>
  <c r="D562" i="2"/>
  <c r="F605" i="2"/>
  <c r="G602" i="2"/>
  <c r="K602" i="2" s="1"/>
  <c r="G595" i="2"/>
  <c r="K595" i="2" s="1"/>
  <c r="G594" i="2"/>
  <c r="K594" i="2" s="1"/>
  <c r="G593" i="2"/>
  <c r="K593" i="2" s="1"/>
  <c r="G592" i="2"/>
  <c r="K592" i="2" s="1"/>
  <c r="G591" i="2"/>
  <c r="K591" i="2" s="1"/>
  <c r="G590" i="2"/>
  <c r="K590" i="2" s="1"/>
  <c r="G589" i="2"/>
  <c r="K589" i="2" s="1"/>
  <c r="G588" i="2"/>
  <c r="K588" i="2" s="1"/>
  <c r="G587" i="2"/>
  <c r="K587" i="2" s="1"/>
  <c r="G586" i="2"/>
  <c r="K586" i="2" s="1"/>
  <c r="G585" i="2"/>
  <c r="K585" i="2" s="1"/>
  <c r="G584" i="2"/>
  <c r="K584" i="2" s="1"/>
  <c r="G583" i="2"/>
  <c r="K583" i="2" s="1"/>
  <c r="G582" i="2"/>
  <c r="K582" i="2" s="1"/>
  <c r="G581" i="2"/>
  <c r="K581" i="2" s="1"/>
  <c r="G580" i="2"/>
  <c r="K580" i="2" s="1"/>
  <c r="G579" i="2"/>
  <c r="K579" i="2" s="1"/>
  <c r="G578" i="2"/>
  <c r="K578" i="2" s="1"/>
  <c r="G577" i="2"/>
  <c r="K577" i="2" s="1"/>
  <c r="G576" i="2"/>
  <c r="K576" i="2" s="1"/>
  <c r="G575" i="2"/>
  <c r="K575" i="2" s="1"/>
  <c r="G574" i="2"/>
  <c r="K574" i="2" s="1"/>
  <c r="G573" i="2"/>
  <c r="K573" i="2" s="1"/>
  <c r="G572" i="2"/>
  <c r="K572" i="2" s="1"/>
  <c r="G571" i="2"/>
  <c r="K571" i="2" s="1"/>
  <c r="G570" i="2"/>
  <c r="K570" i="2" s="1"/>
  <c r="G569" i="2"/>
  <c r="K569" i="2" s="1"/>
  <c r="G568" i="2"/>
  <c r="K568" i="2" s="1"/>
  <c r="G567" i="2"/>
  <c r="K567" i="2" s="1"/>
  <c r="C563" i="2"/>
  <c r="C564" i="2" s="1"/>
  <c r="C565" i="2" s="1"/>
  <c r="Q605" i="2" l="1"/>
  <c r="V605" i="2"/>
  <c r="S563" i="2"/>
  <c r="AI568" i="2"/>
  <c r="AC605" i="2"/>
  <c r="W563" i="2"/>
  <c r="AE565" i="2"/>
  <c r="AI565" i="2" s="1"/>
  <c r="G564" i="2"/>
  <c r="K564" i="2" s="1"/>
  <c r="S660" i="2"/>
  <c r="K660" i="2"/>
  <c r="G660" i="2"/>
  <c r="AG605" i="2"/>
  <c r="AI567" i="2"/>
  <c r="AI563" i="2"/>
  <c r="AE605" i="2"/>
  <c r="AI562" i="2"/>
  <c r="AB605" i="2"/>
  <c r="P605" i="2"/>
  <c r="S562" i="2"/>
  <c r="E605" i="2"/>
  <c r="D605" i="2"/>
  <c r="G562" i="2"/>
  <c r="G566" i="2"/>
  <c r="K566" i="2" s="1"/>
  <c r="V512" i="2"/>
  <c r="U512" i="2"/>
  <c r="Q512" i="2"/>
  <c r="Q550" i="2" s="1"/>
  <c r="P512" i="2"/>
  <c r="S512" i="2" s="1"/>
  <c r="P511" i="2"/>
  <c r="S511" i="2" s="1"/>
  <c r="W511" i="2" s="1"/>
  <c r="P510" i="2"/>
  <c r="S510" i="2" s="1"/>
  <c r="W510" i="2" s="1"/>
  <c r="U509" i="2"/>
  <c r="P509" i="2"/>
  <c r="S509" i="2" s="1"/>
  <c r="V508" i="2"/>
  <c r="P508" i="2"/>
  <c r="S508" i="2" s="1"/>
  <c r="P507" i="2"/>
  <c r="S507" i="2" s="1"/>
  <c r="R550" i="2"/>
  <c r="W548" i="2"/>
  <c r="S547" i="2"/>
  <c r="W547" i="2" s="1"/>
  <c r="W546" i="2"/>
  <c r="S545" i="2"/>
  <c r="W545" i="2" s="1"/>
  <c r="S544" i="2"/>
  <c r="W544" i="2" s="1"/>
  <c r="S543" i="2"/>
  <c r="W543" i="2" s="1"/>
  <c r="S542" i="2"/>
  <c r="W542" i="2" s="1"/>
  <c r="S541" i="2"/>
  <c r="W541" i="2" s="1"/>
  <c r="S540" i="2"/>
  <c r="W540" i="2" s="1"/>
  <c r="S539" i="2"/>
  <c r="W539" i="2" s="1"/>
  <c r="S538" i="2"/>
  <c r="W538" i="2" s="1"/>
  <c r="S537" i="2"/>
  <c r="W537" i="2" s="1"/>
  <c r="S536" i="2"/>
  <c r="W536" i="2" s="1"/>
  <c r="S535" i="2"/>
  <c r="W535" i="2" s="1"/>
  <c r="S534" i="2"/>
  <c r="W534" i="2" s="1"/>
  <c r="S533" i="2"/>
  <c r="W533" i="2" s="1"/>
  <c r="S532" i="2"/>
  <c r="W532" i="2" s="1"/>
  <c r="S531" i="2"/>
  <c r="W531" i="2" s="1"/>
  <c r="S530" i="2"/>
  <c r="W530" i="2" s="1"/>
  <c r="S529" i="2"/>
  <c r="W529" i="2" s="1"/>
  <c r="S528" i="2"/>
  <c r="W528" i="2" s="1"/>
  <c r="S527" i="2"/>
  <c r="W527" i="2" s="1"/>
  <c r="S526" i="2"/>
  <c r="W526" i="2" s="1"/>
  <c r="S525" i="2"/>
  <c r="W525" i="2" s="1"/>
  <c r="S524" i="2"/>
  <c r="W524" i="2" s="1"/>
  <c r="S523" i="2"/>
  <c r="W523" i="2" s="1"/>
  <c r="S522" i="2"/>
  <c r="W522" i="2" s="1"/>
  <c r="S521" i="2"/>
  <c r="W521" i="2" s="1"/>
  <c r="S520" i="2"/>
  <c r="W520" i="2" s="1"/>
  <c r="S519" i="2"/>
  <c r="W519" i="2" s="1"/>
  <c r="S518" i="2"/>
  <c r="W518" i="2" s="1"/>
  <c r="S517" i="2"/>
  <c r="W517" i="2" s="1"/>
  <c r="S516" i="2"/>
  <c r="W516" i="2" s="1"/>
  <c r="S515" i="2"/>
  <c r="W515" i="2" s="1"/>
  <c r="S514" i="2"/>
  <c r="W514" i="2" s="1"/>
  <c r="S513" i="2"/>
  <c r="W513" i="2" s="1"/>
  <c r="O508" i="2"/>
  <c r="O509" i="2" s="1"/>
  <c r="O510" i="2" s="1"/>
  <c r="O511" i="2" s="1"/>
  <c r="O512" i="2" s="1"/>
  <c r="I512" i="2"/>
  <c r="D512" i="2"/>
  <c r="G512" i="2" s="1"/>
  <c r="I511" i="2"/>
  <c r="E511" i="2"/>
  <c r="E550" i="2" s="1"/>
  <c r="D511" i="2"/>
  <c r="G511" i="2" s="1"/>
  <c r="K511" i="2" s="1"/>
  <c r="D510" i="2"/>
  <c r="G510" i="2" s="1"/>
  <c r="K510" i="2" s="1"/>
  <c r="D509" i="2"/>
  <c r="G509" i="2" s="1"/>
  <c r="K509" i="2" s="1"/>
  <c r="D508" i="2"/>
  <c r="G508" i="2" s="1"/>
  <c r="K508" i="2" s="1"/>
  <c r="D507" i="2"/>
  <c r="G507" i="2" s="1"/>
  <c r="I507" i="2"/>
  <c r="J550" i="2"/>
  <c r="F550" i="2"/>
  <c r="G547" i="2"/>
  <c r="K547" i="2" s="1"/>
  <c r="G540" i="2"/>
  <c r="K540" i="2" s="1"/>
  <c r="G539" i="2"/>
  <c r="K539" i="2" s="1"/>
  <c r="G538" i="2"/>
  <c r="K538" i="2" s="1"/>
  <c r="G537" i="2"/>
  <c r="K537" i="2" s="1"/>
  <c r="G536" i="2"/>
  <c r="K536" i="2" s="1"/>
  <c r="G535" i="2"/>
  <c r="K535" i="2" s="1"/>
  <c r="G534" i="2"/>
  <c r="K534" i="2" s="1"/>
  <c r="G533" i="2"/>
  <c r="K533" i="2" s="1"/>
  <c r="G532" i="2"/>
  <c r="K532" i="2" s="1"/>
  <c r="G531" i="2"/>
  <c r="K531" i="2" s="1"/>
  <c r="G530" i="2"/>
  <c r="K530" i="2" s="1"/>
  <c r="G529" i="2"/>
  <c r="K529" i="2" s="1"/>
  <c r="G528" i="2"/>
  <c r="K528" i="2" s="1"/>
  <c r="G527" i="2"/>
  <c r="K527" i="2" s="1"/>
  <c r="G526" i="2"/>
  <c r="K526" i="2" s="1"/>
  <c r="G525" i="2"/>
  <c r="K525" i="2" s="1"/>
  <c r="G524" i="2"/>
  <c r="K524" i="2" s="1"/>
  <c r="G523" i="2"/>
  <c r="K523" i="2" s="1"/>
  <c r="G522" i="2"/>
  <c r="K522" i="2" s="1"/>
  <c r="G521" i="2"/>
  <c r="K521" i="2" s="1"/>
  <c r="G520" i="2"/>
  <c r="K520" i="2" s="1"/>
  <c r="G519" i="2"/>
  <c r="K519" i="2" s="1"/>
  <c r="G518" i="2"/>
  <c r="K518" i="2" s="1"/>
  <c r="G517" i="2"/>
  <c r="K517" i="2" s="1"/>
  <c r="G516" i="2"/>
  <c r="K516" i="2" s="1"/>
  <c r="G515" i="2"/>
  <c r="K515" i="2" s="1"/>
  <c r="G514" i="2"/>
  <c r="K514" i="2" s="1"/>
  <c r="G513" i="2"/>
  <c r="K513" i="2" s="1"/>
  <c r="C508" i="2"/>
  <c r="C509" i="2" s="1"/>
  <c r="C510" i="2" s="1"/>
  <c r="C511" i="2" s="1"/>
  <c r="C512" i="2" s="1"/>
  <c r="W508" i="2" l="1"/>
  <c r="AI605" i="2"/>
  <c r="S605" i="2"/>
  <c r="W562" i="2"/>
  <c r="W605" i="2" s="1"/>
  <c r="G605" i="2"/>
  <c r="K562" i="2"/>
  <c r="K605" i="2" s="1"/>
  <c r="V550" i="2"/>
  <c r="U550" i="2"/>
  <c r="W512" i="2"/>
  <c r="W509" i="2"/>
  <c r="W507" i="2"/>
  <c r="S550" i="2"/>
  <c r="P550" i="2"/>
  <c r="I550" i="2"/>
  <c r="K512" i="2"/>
  <c r="D550" i="2"/>
  <c r="G550" i="2"/>
  <c r="K507" i="2"/>
  <c r="AB460" i="2"/>
  <c r="AE460" i="2" s="1"/>
  <c r="AI460" i="2" s="1"/>
  <c r="AC459" i="2"/>
  <c r="AB459" i="2"/>
  <c r="AC458" i="2"/>
  <c r="AB458" i="2"/>
  <c r="AE458" i="2" s="1"/>
  <c r="AI458" i="2" s="1"/>
  <c r="AC457" i="2"/>
  <c r="AB457" i="2"/>
  <c r="AH456" i="2"/>
  <c r="AH495" i="2" s="1"/>
  <c r="AB456" i="2"/>
  <c r="AE456" i="2" s="1"/>
  <c r="AB455" i="2"/>
  <c r="AE455" i="2" s="1"/>
  <c r="AI455" i="2" s="1"/>
  <c r="AB454" i="2"/>
  <c r="AE454" i="2" s="1"/>
  <c r="AI454" i="2" s="1"/>
  <c r="AG453" i="2"/>
  <c r="AG495" i="2" s="1"/>
  <c r="AB453" i="2"/>
  <c r="AB452" i="2"/>
  <c r="AA453" i="2"/>
  <c r="AA454" i="2" s="1"/>
  <c r="AA455" i="2" s="1"/>
  <c r="AA456" i="2" s="1"/>
  <c r="AA457" i="2" s="1"/>
  <c r="AA458" i="2" s="1"/>
  <c r="AA459" i="2" s="1"/>
  <c r="AA460" i="2" s="1"/>
  <c r="AE461" i="2"/>
  <c r="AI461" i="2" s="1"/>
  <c r="AE462" i="2"/>
  <c r="AI462" i="2" s="1"/>
  <c r="AE463" i="2"/>
  <c r="AI463" i="2" s="1"/>
  <c r="AE464" i="2"/>
  <c r="AI464" i="2" s="1"/>
  <c r="AE465" i="2"/>
  <c r="AI465" i="2" s="1"/>
  <c r="AE466" i="2"/>
  <c r="AI466" i="2" s="1"/>
  <c r="AE467" i="2"/>
  <c r="AI467" i="2" s="1"/>
  <c r="AE468" i="2"/>
  <c r="AI468" i="2" s="1"/>
  <c r="AE469" i="2"/>
  <c r="AI469" i="2" s="1"/>
  <c r="AE470" i="2"/>
  <c r="AI470" i="2" s="1"/>
  <c r="AE471" i="2"/>
  <c r="AI471" i="2"/>
  <c r="AE472" i="2"/>
  <c r="AI472" i="2" s="1"/>
  <c r="AE473" i="2"/>
  <c r="AI473" i="2" s="1"/>
  <c r="AE474" i="2"/>
  <c r="AI474" i="2" s="1"/>
  <c r="AE475" i="2"/>
  <c r="AI475" i="2" s="1"/>
  <c r="AE476" i="2"/>
  <c r="AI476" i="2" s="1"/>
  <c r="AE477" i="2"/>
  <c r="AI477" i="2" s="1"/>
  <c r="AE478" i="2"/>
  <c r="AI478" i="2" s="1"/>
  <c r="AE479" i="2"/>
  <c r="AI479" i="2" s="1"/>
  <c r="AE480" i="2"/>
  <c r="AI480" i="2" s="1"/>
  <c r="AE481" i="2"/>
  <c r="AI481" i="2" s="1"/>
  <c r="AE482" i="2"/>
  <c r="AI482" i="2" s="1"/>
  <c r="AE483" i="2"/>
  <c r="AI483" i="2" s="1"/>
  <c r="AE484" i="2"/>
  <c r="AI484" i="2"/>
  <c r="AE485" i="2"/>
  <c r="AI485" i="2" s="1"/>
  <c r="AE486" i="2"/>
  <c r="AI486" i="2" s="1"/>
  <c r="AE487" i="2"/>
  <c r="AI487" i="2" s="1"/>
  <c r="AE488" i="2"/>
  <c r="AI488" i="2" s="1"/>
  <c r="AE489" i="2"/>
  <c r="AI489" i="2" s="1"/>
  <c r="AE490" i="2"/>
  <c r="AI490" i="2" s="1"/>
  <c r="AI491" i="2"/>
  <c r="AE492" i="2"/>
  <c r="AI492" i="2"/>
  <c r="AI493" i="2"/>
  <c r="AD495" i="2"/>
  <c r="P456" i="2"/>
  <c r="S456" i="2" s="1"/>
  <c r="W456" i="2" s="1"/>
  <c r="P455" i="2"/>
  <c r="S455" i="2" s="1"/>
  <c r="W455" i="2" s="1"/>
  <c r="U454" i="2"/>
  <c r="U495" i="2" s="1"/>
  <c r="V454" i="2"/>
  <c r="V495" i="2" s="1"/>
  <c r="Q454" i="2"/>
  <c r="Q495" i="2" s="1"/>
  <c r="P454" i="2"/>
  <c r="P453" i="2"/>
  <c r="S453" i="2" s="1"/>
  <c r="W453" i="2" s="1"/>
  <c r="P452" i="2"/>
  <c r="S452" i="2" s="1"/>
  <c r="R495" i="2"/>
  <c r="W493" i="2"/>
  <c r="S492" i="2"/>
  <c r="W492" i="2" s="1"/>
  <c r="W491" i="2"/>
  <c r="S490" i="2"/>
  <c r="W490" i="2" s="1"/>
  <c r="S489" i="2"/>
  <c r="W489" i="2" s="1"/>
  <c r="S488" i="2"/>
  <c r="W488" i="2" s="1"/>
  <c r="S487" i="2"/>
  <c r="W487" i="2" s="1"/>
  <c r="S486" i="2"/>
  <c r="W486" i="2" s="1"/>
  <c r="S485" i="2"/>
  <c r="W485" i="2" s="1"/>
  <c r="S484" i="2"/>
  <c r="W484" i="2" s="1"/>
  <c r="S483" i="2"/>
  <c r="W483" i="2" s="1"/>
  <c r="S482" i="2"/>
  <c r="W482" i="2" s="1"/>
  <c r="S481" i="2"/>
  <c r="W481" i="2" s="1"/>
  <c r="S480" i="2"/>
  <c r="W480" i="2" s="1"/>
  <c r="S479" i="2"/>
  <c r="W479" i="2" s="1"/>
  <c r="S478" i="2"/>
  <c r="W478" i="2" s="1"/>
  <c r="S477" i="2"/>
  <c r="W477" i="2" s="1"/>
  <c r="S476" i="2"/>
  <c r="W476" i="2" s="1"/>
  <c r="S475" i="2"/>
  <c r="W475" i="2" s="1"/>
  <c r="S474" i="2"/>
  <c r="W474" i="2" s="1"/>
  <c r="S473" i="2"/>
  <c r="W473" i="2" s="1"/>
  <c r="S472" i="2"/>
  <c r="W472" i="2" s="1"/>
  <c r="S471" i="2"/>
  <c r="W471" i="2" s="1"/>
  <c r="S470" i="2"/>
  <c r="W470" i="2" s="1"/>
  <c r="S469" i="2"/>
  <c r="W469" i="2" s="1"/>
  <c r="S468" i="2"/>
  <c r="W468" i="2" s="1"/>
  <c r="S467" i="2"/>
  <c r="W467" i="2" s="1"/>
  <c r="S466" i="2"/>
  <c r="W466" i="2" s="1"/>
  <c r="S465" i="2"/>
  <c r="W465" i="2" s="1"/>
  <c r="S464" i="2"/>
  <c r="W464" i="2" s="1"/>
  <c r="S463" i="2"/>
  <c r="W463" i="2" s="1"/>
  <c r="S462" i="2"/>
  <c r="W462" i="2" s="1"/>
  <c r="S461" i="2"/>
  <c r="W461" i="2" s="1"/>
  <c r="S460" i="2"/>
  <c r="W460" i="2" s="1"/>
  <c r="S459" i="2"/>
  <c r="W459" i="2" s="1"/>
  <c r="S458" i="2"/>
  <c r="W458" i="2" s="1"/>
  <c r="S457" i="2"/>
  <c r="W457" i="2" s="1"/>
  <c r="O453" i="2"/>
  <c r="O454" i="2" s="1"/>
  <c r="O455" i="2" s="1"/>
  <c r="O456" i="2" s="1"/>
  <c r="AC495" i="2" l="1"/>
  <c r="S454" i="2"/>
  <c r="W454" i="2" s="1"/>
  <c r="AE459" i="2"/>
  <c r="AI459" i="2" s="1"/>
  <c r="K550" i="2"/>
  <c r="W550" i="2"/>
  <c r="AE457" i="2"/>
  <c r="AI457" i="2" s="1"/>
  <c r="AI456" i="2"/>
  <c r="AB495" i="2"/>
  <c r="AE452" i="2"/>
  <c r="AI452" i="2"/>
  <c r="AE453" i="2"/>
  <c r="AI453" i="2" s="1"/>
  <c r="W452" i="2"/>
  <c r="W495" i="2" s="1"/>
  <c r="S495" i="2"/>
  <c r="P495" i="2"/>
  <c r="AB403" i="2"/>
  <c r="AB402" i="2"/>
  <c r="AE495" i="2" l="1"/>
  <c r="AI495" i="2"/>
  <c r="AG401" i="2"/>
  <c r="AC401" i="2"/>
  <c r="AC440" i="2" s="1"/>
  <c r="AB401" i="2"/>
  <c r="AE401" i="2" s="1"/>
  <c r="AB400" i="2"/>
  <c r="AE400" i="2" s="1"/>
  <c r="AI400" i="2" s="1"/>
  <c r="AH399" i="2"/>
  <c r="AG399" i="2"/>
  <c r="AB399" i="2"/>
  <c r="AE399" i="2" s="1"/>
  <c r="AB398" i="2"/>
  <c r="AE398" i="2" s="1"/>
  <c r="AI398" i="2" s="1"/>
  <c r="AH397" i="2"/>
  <c r="AG397" i="2"/>
  <c r="AB397" i="2"/>
  <c r="AE397" i="2" s="1"/>
  <c r="AD440" i="2"/>
  <c r="AI438" i="2"/>
  <c r="AE437" i="2"/>
  <c r="AI437" i="2" s="1"/>
  <c r="AI436" i="2"/>
  <c r="AE435" i="2"/>
  <c r="AI435" i="2" s="1"/>
  <c r="AE434" i="2"/>
  <c r="AI434" i="2" s="1"/>
  <c r="AE433" i="2"/>
  <c r="AI433" i="2" s="1"/>
  <c r="AE432" i="2"/>
  <c r="AI432" i="2" s="1"/>
  <c r="AE431" i="2"/>
  <c r="AI431" i="2" s="1"/>
  <c r="AE430" i="2"/>
  <c r="AI430" i="2" s="1"/>
  <c r="AE429" i="2"/>
  <c r="AI429" i="2" s="1"/>
  <c r="AE428" i="2"/>
  <c r="AI428" i="2" s="1"/>
  <c r="AE427" i="2"/>
  <c r="AI427" i="2" s="1"/>
  <c r="AE426" i="2"/>
  <c r="AI426" i="2" s="1"/>
  <c r="AE425" i="2"/>
  <c r="AI425" i="2" s="1"/>
  <c r="AE424" i="2"/>
  <c r="AI424" i="2" s="1"/>
  <c r="AE423" i="2"/>
  <c r="AI423" i="2" s="1"/>
  <c r="AE422" i="2"/>
  <c r="AI422" i="2" s="1"/>
  <c r="AE421" i="2"/>
  <c r="AI421" i="2" s="1"/>
  <c r="AE420" i="2"/>
  <c r="AI420" i="2" s="1"/>
  <c r="AE419" i="2"/>
  <c r="AI419" i="2" s="1"/>
  <c r="AE418" i="2"/>
  <c r="AI418" i="2" s="1"/>
  <c r="AE417" i="2"/>
  <c r="AI417" i="2" s="1"/>
  <c r="AE416" i="2"/>
  <c r="AI416" i="2" s="1"/>
  <c r="AE415" i="2"/>
  <c r="AI415" i="2" s="1"/>
  <c r="AE414" i="2"/>
  <c r="AI414" i="2" s="1"/>
  <c r="AE413" i="2"/>
  <c r="AI413" i="2" s="1"/>
  <c r="AE412" i="2"/>
  <c r="AI412" i="2" s="1"/>
  <c r="AE411" i="2"/>
  <c r="AI411" i="2" s="1"/>
  <c r="AE410" i="2"/>
  <c r="AI410" i="2" s="1"/>
  <c r="AE409" i="2"/>
  <c r="AI409" i="2" s="1"/>
  <c r="AE408" i="2"/>
  <c r="AI408" i="2" s="1"/>
  <c r="AE407" i="2"/>
  <c r="AI407" i="2" s="1"/>
  <c r="AE406" i="2"/>
  <c r="AI406" i="2" s="1"/>
  <c r="AE405" i="2"/>
  <c r="AI405" i="2" s="1"/>
  <c r="AE404" i="2"/>
  <c r="AI404" i="2" s="1"/>
  <c r="AE403" i="2"/>
  <c r="AI403" i="2" s="1"/>
  <c r="AE402" i="2"/>
  <c r="AI402" i="2" s="1"/>
  <c r="AA398" i="2"/>
  <c r="AA399" i="2" s="1"/>
  <c r="AA400" i="2" s="1"/>
  <c r="AA401" i="2" s="1"/>
  <c r="AA402" i="2" s="1"/>
  <c r="AA403" i="2" s="1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I397" i="2"/>
  <c r="I440" i="2" s="1"/>
  <c r="D397" i="2"/>
  <c r="J440" i="2"/>
  <c r="F440" i="2"/>
  <c r="E440" i="2"/>
  <c r="G437" i="2"/>
  <c r="K437" i="2" s="1"/>
  <c r="G430" i="2"/>
  <c r="K430" i="2" s="1"/>
  <c r="G429" i="2"/>
  <c r="K429" i="2" s="1"/>
  <c r="G428" i="2"/>
  <c r="K428" i="2" s="1"/>
  <c r="G427" i="2"/>
  <c r="K427" i="2" s="1"/>
  <c r="G426" i="2"/>
  <c r="K426" i="2" s="1"/>
  <c r="G425" i="2"/>
  <c r="K425" i="2" s="1"/>
  <c r="G424" i="2"/>
  <c r="K424" i="2" s="1"/>
  <c r="G423" i="2"/>
  <c r="K423" i="2" s="1"/>
  <c r="G422" i="2"/>
  <c r="K422" i="2" s="1"/>
  <c r="G421" i="2"/>
  <c r="K421" i="2" s="1"/>
  <c r="G420" i="2"/>
  <c r="K420" i="2" s="1"/>
  <c r="G419" i="2"/>
  <c r="K419" i="2" s="1"/>
  <c r="G418" i="2"/>
  <c r="K418" i="2" s="1"/>
  <c r="G417" i="2"/>
  <c r="K417" i="2" s="1"/>
  <c r="G416" i="2"/>
  <c r="K416" i="2" s="1"/>
  <c r="G415" i="2"/>
  <c r="K415" i="2" s="1"/>
  <c r="G414" i="2"/>
  <c r="K414" i="2" s="1"/>
  <c r="G413" i="2"/>
  <c r="K413" i="2" s="1"/>
  <c r="G412" i="2"/>
  <c r="K412" i="2" s="1"/>
  <c r="G411" i="2"/>
  <c r="K411" i="2" s="1"/>
  <c r="G410" i="2"/>
  <c r="K410" i="2" s="1"/>
  <c r="G409" i="2"/>
  <c r="K409" i="2" s="1"/>
  <c r="G408" i="2"/>
  <c r="K408" i="2" s="1"/>
  <c r="G407" i="2"/>
  <c r="K407" i="2" s="1"/>
  <c r="G406" i="2"/>
  <c r="K406" i="2" s="1"/>
  <c r="G405" i="2"/>
  <c r="K405" i="2" s="1"/>
  <c r="G403" i="2"/>
  <c r="K403" i="2" s="1"/>
  <c r="G402" i="2"/>
  <c r="K402" i="2" s="1"/>
  <c r="C398" i="2"/>
  <c r="C399" i="2" s="1"/>
  <c r="C400" i="2" s="1"/>
  <c r="C401" i="2" s="1"/>
  <c r="AI401" i="2" l="1"/>
  <c r="AG440" i="2"/>
  <c r="AI399" i="2"/>
  <c r="AH440" i="2"/>
  <c r="AB440" i="2"/>
  <c r="AE440" i="2"/>
  <c r="AI397" i="2"/>
  <c r="AI440" i="2" s="1"/>
  <c r="D440" i="2"/>
  <c r="G397" i="2"/>
  <c r="K397" i="2" s="1"/>
  <c r="G404" i="2"/>
  <c r="K404" i="2" s="1"/>
  <c r="AG344" i="2"/>
  <c r="K440" i="2" l="1"/>
  <c r="G440" i="2"/>
  <c r="AB346" i="2"/>
  <c r="AC345" i="2"/>
  <c r="AB345" i="2"/>
  <c r="AE345" i="2" s="1"/>
  <c r="AI345" i="2" s="1"/>
  <c r="AC344" i="2"/>
  <c r="AB344" i="2"/>
  <c r="AB343" i="2"/>
  <c r="AB342" i="2"/>
  <c r="AA343" i="2"/>
  <c r="AA344" i="2" s="1"/>
  <c r="AA345" i="2" s="1"/>
  <c r="AA346" i="2" s="1"/>
  <c r="AE342" i="2"/>
  <c r="AG385" i="2"/>
  <c r="AH385" i="2"/>
  <c r="AE344" i="2"/>
  <c r="AI344" i="2" s="1"/>
  <c r="AE346" i="2"/>
  <c r="AI346" i="2" s="1"/>
  <c r="AE347" i="2"/>
  <c r="AI347" i="2" s="1"/>
  <c r="AE348" i="2"/>
  <c r="AI348" i="2"/>
  <c r="AE349" i="2"/>
  <c r="AI349" i="2" s="1"/>
  <c r="AE350" i="2"/>
  <c r="AI350" i="2" s="1"/>
  <c r="AE351" i="2"/>
  <c r="AI351" i="2" s="1"/>
  <c r="AE352" i="2"/>
  <c r="AI352" i="2" s="1"/>
  <c r="AE353" i="2"/>
  <c r="AI353" i="2" s="1"/>
  <c r="AE354" i="2"/>
  <c r="AI354" i="2" s="1"/>
  <c r="AE355" i="2"/>
  <c r="AI355" i="2" s="1"/>
  <c r="AE356" i="2"/>
  <c r="AI356" i="2" s="1"/>
  <c r="AE357" i="2"/>
  <c r="AI357" i="2" s="1"/>
  <c r="AE358" i="2"/>
  <c r="AI358" i="2" s="1"/>
  <c r="AE359" i="2"/>
  <c r="AI359" i="2" s="1"/>
  <c r="AE360" i="2"/>
  <c r="AI360" i="2" s="1"/>
  <c r="AE361" i="2"/>
  <c r="AI361" i="2" s="1"/>
  <c r="AE362" i="2"/>
  <c r="AI362" i="2" s="1"/>
  <c r="AE363" i="2"/>
  <c r="AI363" i="2" s="1"/>
  <c r="AE364" i="2"/>
  <c r="AI364" i="2" s="1"/>
  <c r="AE365" i="2"/>
  <c r="AI365" i="2" s="1"/>
  <c r="AE366" i="2"/>
  <c r="AI366" i="2"/>
  <c r="AE367" i="2"/>
  <c r="AI367" i="2" s="1"/>
  <c r="AE368" i="2"/>
  <c r="AI368" i="2" s="1"/>
  <c r="AE369" i="2"/>
  <c r="AI369" i="2" s="1"/>
  <c r="AE370" i="2"/>
  <c r="AI370" i="2" s="1"/>
  <c r="AE371" i="2"/>
  <c r="AI371" i="2" s="1"/>
  <c r="AE372" i="2"/>
  <c r="AI372" i="2" s="1"/>
  <c r="AE373" i="2"/>
  <c r="AI373" i="2" s="1"/>
  <c r="AE374" i="2"/>
  <c r="AI374" i="2" s="1"/>
  <c r="AE375" i="2"/>
  <c r="AI375" i="2" s="1"/>
  <c r="AE376" i="2"/>
  <c r="AI376" i="2" s="1"/>
  <c r="AE377" i="2"/>
  <c r="AI377" i="2" s="1"/>
  <c r="AE378" i="2"/>
  <c r="AI378" i="2" s="1"/>
  <c r="AE379" i="2"/>
  <c r="AI379" i="2" s="1"/>
  <c r="AE380" i="2"/>
  <c r="AI380" i="2" s="1"/>
  <c r="AI381" i="2"/>
  <c r="AE382" i="2"/>
  <c r="AI382" i="2" s="1"/>
  <c r="AI383" i="2"/>
  <c r="AD385" i="2"/>
  <c r="P346" i="2"/>
  <c r="S346" i="2" s="1"/>
  <c r="W346" i="2" s="1"/>
  <c r="V345" i="2"/>
  <c r="V385" i="2" s="1"/>
  <c r="Q345" i="2"/>
  <c r="Q385" i="2" s="1"/>
  <c r="P345" i="2"/>
  <c r="U344" i="2"/>
  <c r="U385" i="2" s="1"/>
  <c r="P344" i="2"/>
  <c r="S344" i="2" s="1"/>
  <c r="P343" i="2"/>
  <c r="S343" i="2" s="1"/>
  <c r="W343" i="2" s="1"/>
  <c r="P342" i="2"/>
  <c r="O343" i="2"/>
  <c r="O344" i="2" s="1"/>
  <c r="O345" i="2" s="1"/>
  <c r="O346" i="2" s="1"/>
  <c r="S347" i="2"/>
  <c r="W347" i="2" s="1"/>
  <c r="S348" i="2"/>
  <c r="W348" i="2" s="1"/>
  <c r="S349" i="2"/>
  <c r="W349" i="2" s="1"/>
  <c r="S350" i="2"/>
  <c r="W350" i="2"/>
  <c r="S351" i="2"/>
  <c r="W351" i="2"/>
  <c r="S352" i="2"/>
  <c r="W352" i="2" s="1"/>
  <c r="S353" i="2"/>
  <c r="W353" i="2" s="1"/>
  <c r="S354" i="2"/>
  <c r="W354" i="2" s="1"/>
  <c r="S355" i="2"/>
  <c r="W355" i="2" s="1"/>
  <c r="S356" i="2"/>
  <c r="W356" i="2" s="1"/>
  <c r="S357" i="2"/>
  <c r="W357" i="2" s="1"/>
  <c r="S358" i="2"/>
  <c r="W358" i="2" s="1"/>
  <c r="S359" i="2"/>
  <c r="W359" i="2" s="1"/>
  <c r="S360" i="2"/>
  <c r="W360" i="2" s="1"/>
  <c r="S361" i="2"/>
  <c r="W361" i="2" s="1"/>
  <c r="S362" i="2"/>
  <c r="W362" i="2" s="1"/>
  <c r="S363" i="2"/>
  <c r="W363" i="2" s="1"/>
  <c r="S364" i="2"/>
  <c r="W364" i="2" s="1"/>
  <c r="S365" i="2"/>
  <c r="W365" i="2" s="1"/>
  <c r="S366" i="2"/>
  <c r="W366" i="2" s="1"/>
  <c r="S367" i="2"/>
  <c r="W367" i="2" s="1"/>
  <c r="S368" i="2"/>
  <c r="W368" i="2"/>
  <c r="S369" i="2"/>
  <c r="W369" i="2" s="1"/>
  <c r="S370" i="2"/>
  <c r="W370" i="2" s="1"/>
  <c r="S371" i="2"/>
  <c r="W371" i="2" s="1"/>
  <c r="S372" i="2"/>
  <c r="W372" i="2" s="1"/>
  <c r="S373" i="2"/>
  <c r="W373" i="2" s="1"/>
  <c r="S374" i="2"/>
  <c r="W374" i="2" s="1"/>
  <c r="S375" i="2"/>
  <c r="W375" i="2" s="1"/>
  <c r="S376" i="2"/>
  <c r="W376" i="2" s="1"/>
  <c r="S377" i="2"/>
  <c r="W377" i="2" s="1"/>
  <c r="S378" i="2"/>
  <c r="W378" i="2" s="1"/>
  <c r="S379" i="2"/>
  <c r="W379" i="2"/>
  <c r="S380" i="2"/>
  <c r="W380" i="2"/>
  <c r="W381" i="2"/>
  <c r="S382" i="2"/>
  <c r="W382" i="2" s="1"/>
  <c r="W383" i="2"/>
  <c r="R385" i="2"/>
  <c r="D353" i="2"/>
  <c r="G353" i="2" s="1"/>
  <c r="K353" i="2" s="1"/>
  <c r="D352" i="2"/>
  <c r="G352" i="2"/>
  <c r="K352" i="2" s="1"/>
  <c r="D351" i="2"/>
  <c r="G351" i="2" s="1"/>
  <c r="K351" i="2" s="1"/>
  <c r="D350" i="2"/>
  <c r="G350" i="2" s="1"/>
  <c r="K350" i="2" s="1"/>
  <c r="D349" i="2"/>
  <c r="G349" i="2" s="1"/>
  <c r="K349" i="2" s="1"/>
  <c r="I348" i="2"/>
  <c r="D348" i="2"/>
  <c r="G348" i="2" s="1"/>
  <c r="I347" i="2"/>
  <c r="D347" i="2"/>
  <c r="G347" i="2" s="1"/>
  <c r="K347" i="2" s="1"/>
  <c r="D346" i="2"/>
  <c r="G346" i="2" s="1"/>
  <c r="K346" i="2" s="1"/>
  <c r="D345" i="2"/>
  <c r="G345" i="2" s="1"/>
  <c r="K345" i="2" s="1"/>
  <c r="D344" i="2"/>
  <c r="G344" i="2" s="1"/>
  <c r="K344" i="2" s="1"/>
  <c r="D343" i="2"/>
  <c r="G343" i="2" s="1"/>
  <c r="K343" i="2" s="1"/>
  <c r="D342" i="2"/>
  <c r="G342" i="2" s="1"/>
  <c r="J385" i="2"/>
  <c r="F385" i="2"/>
  <c r="G382" i="2"/>
  <c r="K382" i="2" s="1"/>
  <c r="G375" i="2"/>
  <c r="K375" i="2" s="1"/>
  <c r="G374" i="2"/>
  <c r="K374" i="2" s="1"/>
  <c r="G373" i="2"/>
  <c r="K373" i="2" s="1"/>
  <c r="G372" i="2"/>
  <c r="K372" i="2" s="1"/>
  <c r="G371" i="2"/>
  <c r="K371" i="2" s="1"/>
  <c r="G370" i="2"/>
  <c r="K370" i="2" s="1"/>
  <c r="G369" i="2"/>
  <c r="K369" i="2" s="1"/>
  <c r="G368" i="2"/>
  <c r="K368" i="2" s="1"/>
  <c r="G367" i="2"/>
  <c r="K367" i="2" s="1"/>
  <c r="G366" i="2"/>
  <c r="K366" i="2" s="1"/>
  <c r="G365" i="2"/>
  <c r="K365" i="2" s="1"/>
  <c r="G364" i="2"/>
  <c r="K364" i="2" s="1"/>
  <c r="G363" i="2"/>
  <c r="K363" i="2" s="1"/>
  <c r="G362" i="2"/>
  <c r="K362" i="2" s="1"/>
  <c r="G361" i="2"/>
  <c r="K361" i="2" s="1"/>
  <c r="G360" i="2"/>
  <c r="K360" i="2" s="1"/>
  <c r="G359" i="2"/>
  <c r="K359" i="2" s="1"/>
  <c r="G358" i="2"/>
  <c r="K358" i="2" s="1"/>
  <c r="G357" i="2"/>
  <c r="K357" i="2" s="1"/>
  <c r="G356" i="2"/>
  <c r="K356" i="2" s="1"/>
  <c r="G355" i="2"/>
  <c r="K355" i="2" s="1"/>
  <c r="G354" i="2"/>
  <c r="K354" i="2" s="1"/>
  <c r="E385" i="2"/>
  <c r="C343" i="2"/>
  <c r="C344" i="2" s="1"/>
  <c r="C345" i="2" s="1"/>
  <c r="C346" i="2" s="1"/>
  <c r="C347" i="2" s="1"/>
  <c r="C348" i="2" s="1"/>
  <c r="C349" i="2" s="1"/>
  <c r="C350" i="2" s="1"/>
  <c r="C351" i="2" s="1"/>
  <c r="C352" i="2" s="1"/>
  <c r="C353" i="2" s="1"/>
  <c r="I385" i="2" l="1"/>
  <c r="K348" i="2"/>
  <c r="S345" i="2"/>
  <c r="W345" i="2" s="1"/>
  <c r="AB385" i="2"/>
  <c r="AC385" i="2"/>
  <c r="AI342" i="2"/>
  <c r="AE343" i="2"/>
  <c r="AI343" i="2" s="1"/>
  <c r="W344" i="2"/>
  <c r="P385" i="2"/>
  <c r="S342" i="2"/>
  <c r="S385" i="2" s="1"/>
  <c r="G385" i="2"/>
  <c r="K342" i="2"/>
  <c r="K385" i="2" s="1"/>
  <c r="D385" i="2"/>
  <c r="AB291" i="2"/>
  <c r="AE291" i="2" s="1"/>
  <c r="AI291" i="2" s="1"/>
  <c r="AC290" i="2"/>
  <c r="AC330" i="2" s="1"/>
  <c r="AB290" i="2"/>
  <c r="AE290" i="2" s="1"/>
  <c r="AI290" i="2" s="1"/>
  <c r="AH289" i="2"/>
  <c r="AB289" i="2"/>
  <c r="AE289" i="2" s="1"/>
  <c r="AH288" i="2"/>
  <c r="AG288" i="2"/>
  <c r="AC288" i="2"/>
  <c r="AB288" i="2"/>
  <c r="AG287" i="2"/>
  <c r="AC287" i="2"/>
  <c r="AB287" i="2"/>
  <c r="AD330" i="2"/>
  <c r="AI328" i="2"/>
  <c r="AE327" i="2"/>
  <c r="AI327" i="2" s="1"/>
  <c r="AI326" i="2"/>
  <c r="AE325" i="2"/>
  <c r="AI325" i="2" s="1"/>
  <c r="AE324" i="2"/>
  <c r="AI324" i="2" s="1"/>
  <c r="AE323" i="2"/>
  <c r="AI323" i="2" s="1"/>
  <c r="AE322" i="2"/>
  <c r="AI322" i="2" s="1"/>
  <c r="AE321" i="2"/>
  <c r="AI321" i="2" s="1"/>
  <c r="AE320" i="2"/>
  <c r="AI320" i="2" s="1"/>
  <c r="AE319" i="2"/>
  <c r="AI319" i="2" s="1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E312" i="2"/>
  <c r="AI312" i="2" s="1"/>
  <c r="AE311" i="2"/>
  <c r="AI311" i="2" s="1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E304" i="2"/>
  <c r="AI304" i="2" s="1"/>
  <c r="AE303" i="2"/>
  <c r="AI303" i="2" s="1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E296" i="2"/>
  <c r="AI296" i="2" s="1"/>
  <c r="AE295" i="2"/>
  <c r="AI295" i="2" s="1"/>
  <c r="AE294" i="2"/>
  <c r="AI294" i="2" s="1"/>
  <c r="AE293" i="2"/>
  <c r="AI293" i="2" s="1"/>
  <c r="AE292" i="2"/>
  <c r="AI292" i="2" s="1"/>
  <c r="AE288" i="2"/>
  <c r="AA288" i="2"/>
  <c r="AA289" i="2" s="1"/>
  <c r="AA290" i="2" s="1"/>
  <c r="AA291" i="2" s="1"/>
  <c r="V290" i="2"/>
  <c r="U290" i="2"/>
  <c r="Q290" i="2"/>
  <c r="P290" i="2"/>
  <c r="U289" i="2"/>
  <c r="Q289" i="2"/>
  <c r="P289" i="2"/>
  <c r="V288" i="2"/>
  <c r="P288" i="2"/>
  <c r="S288" i="2" s="1"/>
  <c r="Q287" i="2"/>
  <c r="P287" i="2"/>
  <c r="S287" i="2" s="1"/>
  <c r="R330" i="2"/>
  <c r="W328" i="2"/>
  <c r="S327" i="2"/>
  <c r="W327" i="2" s="1"/>
  <c r="W326" i="2"/>
  <c r="S325" i="2"/>
  <c r="W325" i="2" s="1"/>
  <c r="S324" i="2"/>
  <c r="W324" i="2" s="1"/>
  <c r="S323" i="2"/>
  <c r="W323" i="2" s="1"/>
  <c r="S322" i="2"/>
  <c r="W322" i="2" s="1"/>
  <c r="S321" i="2"/>
  <c r="W321" i="2" s="1"/>
  <c r="S320" i="2"/>
  <c r="W320" i="2" s="1"/>
  <c r="S319" i="2"/>
  <c r="W319" i="2" s="1"/>
  <c r="S318" i="2"/>
  <c r="W318" i="2" s="1"/>
  <c r="S317" i="2"/>
  <c r="W317" i="2" s="1"/>
  <c r="S316" i="2"/>
  <c r="W316" i="2" s="1"/>
  <c r="S315" i="2"/>
  <c r="W315" i="2" s="1"/>
  <c r="S314" i="2"/>
  <c r="W314" i="2" s="1"/>
  <c r="S313" i="2"/>
  <c r="W313" i="2" s="1"/>
  <c r="S312" i="2"/>
  <c r="W312" i="2" s="1"/>
  <c r="S311" i="2"/>
  <c r="W311" i="2" s="1"/>
  <c r="S310" i="2"/>
  <c r="W310" i="2" s="1"/>
  <c r="S309" i="2"/>
  <c r="W309" i="2" s="1"/>
  <c r="S308" i="2"/>
  <c r="W308" i="2" s="1"/>
  <c r="S307" i="2"/>
  <c r="W307" i="2" s="1"/>
  <c r="S306" i="2"/>
  <c r="W306" i="2" s="1"/>
  <c r="S305" i="2"/>
  <c r="W305" i="2" s="1"/>
  <c r="S304" i="2"/>
  <c r="W304" i="2" s="1"/>
  <c r="S303" i="2"/>
  <c r="W303" i="2" s="1"/>
  <c r="S302" i="2"/>
  <c r="W302" i="2" s="1"/>
  <c r="S301" i="2"/>
  <c r="W301" i="2" s="1"/>
  <c r="S300" i="2"/>
  <c r="W300" i="2" s="1"/>
  <c r="S299" i="2"/>
  <c r="W299" i="2" s="1"/>
  <c r="S298" i="2"/>
  <c r="W298" i="2" s="1"/>
  <c r="S297" i="2"/>
  <c r="W297" i="2" s="1"/>
  <c r="S296" i="2"/>
  <c r="W296" i="2" s="1"/>
  <c r="S295" i="2"/>
  <c r="W295" i="2" s="1"/>
  <c r="S294" i="2"/>
  <c r="W294" i="2" s="1"/>
  <c r="S293" i="2"/>
  <c r="W293" i="2" s="1"/>
  <c r="S292" i="2"/>
  <c r="W292" i="2" s="1"/>
  <c r="S291" i="2"/>
  <c r="W291" i="2" s="1"/>
  <c r="O288" i="2"/>
  <c r="O289" i="2" s="1"/>
  <c r="O290" i="2" s="1"/>
  <c r="AH330" i="2" l="1"/>
  <c r="W342" i="2"/>
  <c r="W385" i="2" s="1"/>
  <c r="U330" i="2"/>
  <c r="S290" i="2"/>
  <c r="AI385" i="2"/>
  <c r="AE385" i="2"/>
  <c r="AB330" i="2"/>
  <c r="AI289" i="2"/>
  <c r="AI288" i="2"/>
  <c r="AG330" i="2"/>
  <c r="AE287" i="2"/>
  <c r="AI287" i="2" s="1"/>
  <c r="AE330" i="2"/>
  <c r="W290" i="2"/>
  <c r="V330" i="2"/>
  <c r="Q330" i="2"/>
  <c r="S289" i="2"/>
  <c r="W289" i="2" s="1"/>
  <c r="W288" i="2"/>
  <c r="W287" i="2"/>
  <c r="P330" i="2"/>
  <c r="AH237" i="2"/>
  <c r="AB237" i="2"/>
  <c r="AE237" i="2" s="1"/>
  <c r="AB236" i="2"/>
  <c r="AE236" i="2" s="1"/>
  <c r="AI236" i="2" s="1"/>
  <c r="AG235" i="2"/>
  <c r="AB235" i="2"/>
  <c r="AE235" i="2" s="1"/>
  <c r="AB234" i="2"/>
  <c r="AE234" i="2" s="1"/>
  <c r="AI234" i="2" s="1"/>
  <c r="AG233" i="2"/>
  <c r="AC233" i="2"/>
  <c r="AC275" i="2" s="1"/>
  <c r="AB233" i="2"/>
  <c r="AH232" i="2"/>
  <c r="AH275" i="2" s="1"/>
  <c r="AB232" i="2"/>
  <c r="AE232" i="2" s="1"/>
  <c r="AA233" i="2"/>
  <c r="AA234" i="2" s="1"/>
  <c r="AA235" i="2" s="1"/>
  <c r="AA236" i="2" s="1"/>
  <c r="AA237" i="2" s="1"/>
  <c r="AE238" i="2"/>
  <c r="AI238" i="2" s="1"/>
  <c r="AE239" i="2"/>
  <c r="AI239" i="2"/>
  <c r="AE240" i="2"/>
  <c r="AI240" i="2" s="1"/>
  <c r="AE241" i="2"/>
  <c r="AI241" i="2" s="1"/>
  <c r="AE242" i="2"/>
  <c r="AI242" i="2" s="1"/>
  <c r="AE243" i="2"/>
  <c r="AI243" i="2"/>
  <c r="AE244" i="2"/>
  <c r="AI244" i="2" s="1"/>
  <c r="AE245" i="2"/>
  <c r="AI245" i="2" s="1"/>
  <c r="AE246" i="2"/>
  <c r="AI246" i="2"/>
  <c r="AE247" i="2"/>
  <c r="AI247" i="2" s="1"/>
  <c r="AE248" i="2"/>
  <c r="AI248" i="2" s="1"/>
  <c r="AE249" i="2"/>
  <c r="AI249" i="2" s="1"/>
  <c r="AE250" i="2"/>
  <c r="AI250" i="2" s="1"/>
  <c r="AE251" i="2"/>
  <c r="AI251" i="2" s="1"/>
  <c r="AE252" i="2"/>
  <c r="AI252" i="2" s="1"/>
  <c r="AE253" i="2"/>
  <c r="AI253" i="2" s="1"/>
  <c r="AE254" i="2"/>
  <c r="AI254" i="2" s="1"/>
  <c r="AE255" i="2"/>
  <c r="AI255" i="2"/>
  <c r="AE256" i="2"/>
  <c r="AI256" i="2"/>
  <c r="AE257" i="2"/>
  <c r="AI257" i="2" s="1"/>
  <c r="AE258" i="2"/>
  <c r="AI258" i="2" s="1"/>
  <c r="AE259" i="2"/>
  <c r="AI259" i="2" s="1"/>
  <c r="AE260" i="2"/>
  <c r="AI260" i="2" s="1"/>
  <c r="AE261" i="2"/>
  <c r="AI261" i="2" s="1"/>
  <c r="AE262" i="2"/>
  <c r="AI262" i="2"/>
  <c r="AE263" i="2"/>
  <c r="AI263" i="2" s="1"/>
  <c r="AE264" i="2"/>
  <c r="AI264" i="2" s="1"/>
  <c r="AE265" i="2"/>
  <c r="AI265" i="2" s="1"/>
  <c r="AE266" i="2"/>
  <c r="AI266" i="2" s="1"/>
  <c r="AE267" i="2"/>
  <c r="AI267" i="2" s="1"/>
  <c r="AE268" i="2"/>
  <c r="AI268" i="2" s="1"/>
  <c r="AE269" i="2"/>
  <c r="AI269" i="2" s="1"/>
  <c r="AE270" i="2"/>
  <c r="AI270" i="2"/>
  <c r="AI271" i="2"/>
  <c r="AE272" i="2"/>
  <c r="AI272" i="2" s="1"/>
  <c r="AI273" i="2"/>
  <c r="AD275" i="2"/>
  <c r="P237" i="2"/>
  <c r="S237" i="2" s="1"/>
  <c r="W237" i="2" s="1"/>
  <c r="P236" i="2"/>
  <c r="S236" i="2" s="1"/>
  <c r="W236" i="2" s="1"/>
  <c r="U275" i="2"/>
  <c r="S235" i="2"/>
  <c r="W235" i="2" s="1"/>
  <c r="P234" i="2"/>
  <c r="S234" i="2" s="1"/>
  <c r="W234" i="2" s="1"/>
  <c r="V233" i="2"/>
  <c r="V275" i="2" s="1"/>
  <c r="P233" i="2"/>
  <c r="S233" i="2" s="1"/>
  <c r="W233" i="2" s="1"/>
  <c r="P232" i="2"/>
  <c r="O233" i="2"/>
  <c r="O234" i="2"/>
  <c r="O235" i="2" s="1"/>
  <c r="O236" i="2" s="1"/>
  <c r="O237" i="2" s="1"/>
  <c r="S238" i="2"/>
  <c r="W238" i="2" s="1"/>
  <c r="S239" i="2"/>
  <c r="W239" i="2" s="1"/>
  <c r="S240" i="2"/>
  <c r="W240" i="2" s="1"/>
  <c r="S241" i="2"/>
  <c r="W241" i="2" s="1"/>
  <c r="S242" i="2"/>
  <c r="W242" i="2" s="1"/>
  <c r="S243" i="2"/>
  <c r="W243" i="2" s="1"/>
  <c r="S244" i="2"/>
  <c r="W244" i="2"/>
  <c r="S245" i="2"/>
  <c r="W245" i="2" s="1"/>
  <c r="S246" i="2"/>
  <c r="W246" i="2" s="1"/>
  <c r="S247" i="2"/>
  <c r="W247" i="2" s="1"/>
  <c r="S248" i="2"/>
  <c r="W248" i="2" s="1"/>
  <c r="S249" i="2"/>
  <c r="W249" i="2" s="1"/>
  <c r="S250" i="2"/>
  <c r="W250" i="2" s="1"/>
  <c r="S251" i="2"/>
  <c r="W251" i="2" s="1"/>
  <c r="S252" i="2"/>
  <c r="W252" i="2" s="1"/>
  <c r="S253" i="2"/>
  <c r="W253" i="2"/>
  <c r="S254" i="2"/>
  <c r="W254" i="2" s="1"/>
  <c r="S255" i="2"/>
  <c r="W255" i="2" s="1"/>
  <c r="S256" i="2"/>
  <c r="W256" i="2" s="1"/>
  <c r="S257" i="2"/>
  <c r="W257" i="2" s="1"/>
  <c r="S258" i="2"/>
  <c r="W258" i="2" s="1"/>
  <c r="S259" i="2"/>
  <c r="W259" i="2" s="1"/>
  <c r="S260" i="2"/>
  <c r="W260" i="2" s="1"/>
  <c r="S261" i="2"/>
  <c r="W261" i="2" s="1"/>
  <c r="S262" i="2"/>
  <c r="W262" i="2" s="1"/>
  <c r="S263" i="2"/>
  <c r="W263" i="2" s="1"/>
  <c r="S264" i="2"/>
  <c r="W264" i="2" s="1"/>
  <c r="S265" i="2"/>
  <c r="W265" i="2" s="1"/>
  <c r="S266" i="2"/>
  <c r="W266" i="2" s="1"/>
  <c r="S267" i="2"/>
  <c r="W267" i="2" s="1"/>
  <c r="S268" i="2"/>
  <c r="W268" i="2"/>
  <c r="S269" i="2"/>
  <c r="W269" i="2" s="1"/>
  <c r="S270" i="2"/>
  <c r="W270" i="2"/>
  <c r="W271" i="2"/>
  <c r="S272" i="2"/>
  <c r="W272" i="2"/>
  <c r="W273" i="2"/>
  <c r="R275" i="2"/>
  <c r="AE233" i="2" l="1"/>
  <c r="AI233" i="2" s="1"/>
  <c r="AI237" i="2"/>
  <c r="S330" i="2"/>
  <c r="AI330" i="2"/>
  <c r="W330" i="2"/>
  <c r="AG275" i="2"/>
  <c r="AI235" i="2"/>
  <c r="AI232" i="2"/>
  <c r="AE275" i="2"/>
  <c r="AB275" i="2"/>
  <c r="Q275" i="2"/>
  <c r="P275" i="2"/>
  <c r="S232" i="2"/>
  <c r="S275" i="2" s="1"/>
  <c r="AH180" i="2"/>
  <c r="AC180" i="2"/>
  <c r="AB180" i="2"/>
  <c r="AH179" i="2"/>
  <c r="AB179" i="2"/>
  <c r="AB178" i="2"/>
  <c r="AE178" i="2" s="1"/>
  <c r="AI178" i="2" s="1"/>
  <c r="AC177" i="2"/>
  <c r="AB177" i="2"/>
  <c r="AA178" i="2"/>
  <c r="AA179" i="2" s="1"/>
  <c r="AA180" i="2" s="1"/>
  <c r="AG220" i="2"/>
  <c r="AD220" i="2"/>
  <c r="AI218" i="2"/>
  <c r="AE217" i="2"/>
  <c r="AI217" i="2" s="1"/>
  <c r="AI216" i="2"/>
  <c r="AE215" i="2"/>
  <c r="AI215" i="2" s="1"/>
  <c r="AE214" i="2"/>
  <c r="AI214" i="2" s="1"/>
  <c r="AE213" i="2"/>
  <c r="AI213" i="2" s="1"/>
  <c r="AE212" i="2"/>
  <c r="AI212" i="2" s="1"/>
  <c r="AE211" i="2"/>
  <c r="AI211" i="2" s="1"/>
  <c r="AE210" i="2"/>
  <c r="AI210" i="2" s="1"/>
  <c r="AE209" i="2"/>
  <c r="AI209" i="2" s="1"/>
  <c r="AE208" i="2"/>
  <c r="AI208" i="2" s="1"/>
  <c r="AE207" i="2"/>
  <c r="AI207" i="2" s="1"/>
  <c r="AE206" i="2"/>
  <c r="AI206" i="2" s="1"/>
  <c r="AE205" i="2"/>
  <c r="AI205" i="2" s="1"/>
  <c r="AE204" i="2"/>
  <c r="AI204" i="2" s="1"/>
  <c r="AE203" i="2"/>
  <c r="AI203" i="2" s="1"/>
  <c r="AE202" i="2"/>
  <c r="AI202" i="2" s="1"/>
  <c r="AE201" i="2"/>
  <c r="AI201" i="2" s="1"/>
  <c r="AE200" i="2"/>
  <c r="AI200" i="2" s="1"/>
  <c r="AE199" i="2"/>
  <c r="AI199" i="2" s="1"/>
  <c r="AE198" i="2"/>
  <c r="AI198" i="2" s="1"/>
  <c r="AE197" i="2"/>
  <c r="AI197" i="2" s="1"/>
  <c r="AE196" i="2"/>
  <c r="AI196" i="2" s="1"/>
  <c r="AE195" i="2"/>
  <c r="AI195" i="2" s="1"/>
  <c r="AE194" i="2"/>
  <c r="AI194" i="2" s="1"/>
  <c r="AE193" i="2"/>
  <c r="AI193" i="2" s="1"/>
  <c r="AE192" i="2"/>
  <c r="AI192" i="2" s="1"/>
  <c r="AE191" i="2"/>
  <c r="AI191" i="2" s="1"/>
  <c r="AE190" i="2"/>
  <c r="AI190" i="2" s="1"/>
  <c r="AE189" i="2"/>
  <c r="AI189" i="2" s="1"/>
  <c r="AE188" i="2"/>
  <c r="AI188" i="2" s="1"/>
  <c r="AE187" i="2"/>
  <c r="AI187" i="2" s="1"/>
  <c r="AE186" i="2"/>
  <c r="AI186" i="2" s="1"/>
  <c r="AE185" i="2"/>
  <c r="AI185" i="2" s="1"/>
  <c r="AE184" i="2"/>
  <c r="AI184" i="2" s="1"/>
  <c r="AE183" i="2"/>
  <c r="AI183" i="2" s="1"/>
  <c r="AE182" i="2"/>
  <c r="AI182" i="2" s="1"/>
  <c r="AE181" i="2"/>
  <c r="AI181" i="2" s="1"/>
  <c r="AE179" i="2"/>
  <c r="V179" i="2"/>
  <c r="P179" i="2"/>
  <c r="S179" i="2" s="1"/>
  <c r="U178" i="2"/>
  <c r="Q178" i="2"/>
  <c r="P178" i="2"/>
  <c r="V177" i="2"/>
  <c r="U177" i="2"/>
  <c r="Q177" i="2"/>
  <c r="P177" i="2"/>
  <c r="R220" i="2"/>
  <c r="W218" i="2"/>
  <c r="S217" i="2"/>
  <c r="W217" i="2" s="1"/>
  <c r="W216" i="2"/>
  <c r="S215" i="2"/>
  <c r="W215" i="2" s="1"/>
  <c r="S214" i="2"/>
  <c r="W214" i="2" s="1"/>
  <c r="S213" i="2"/>
  <c r="W213" i="2" s="1"/>
  <c r="S212" i="2"/>
  <c r="W212" i="2" s="1"/>
  <c r="S211" i="2"/>
  <c r="W211" i="2" s="1"/>
  <c r="S210" i="2"/>
  <c r="W210" i="2" s="1"/>
  <c r="S209" i="2"/>
  <c r="W209" i="2" s="1"/>
  <c r="S208" i="2"/>
  <c r="W208" i="2" s="1"/>
  <c r="S207" i="2"/>
  <c r="W207" i="2" s="1"/>
  <c r="S206" i="2"/>
  <c r="W206" i="2" s="1"/>
  <c r="S205" i="2"/>
  <c r="W205" i="2" s="1"/>
  <c r="S204" i="2"/>
  <c r="W204" i="2" s="1"/>
  <c r="S203" i="2"/>
  <c r="W203" i="2" s="1"/>
  <c r="S202" i="2"/>
  <c r="W202" i="2" s="1"/>
  <c r="S201" i="2"/>
  <c r="W201" i="2" s="1"/>
  <c r="S200" i="2"/>
  <c r="W200" i="2" s="1"/>
  <c r="S199" i="2"/>
  <c r="W199" i="2" s="1"/>
  <c r="S198" i="2"/>
  <c r="W198" i="2" s="1"/>
  <c r="S197" i="2"/>
  <c r="W197" i="2" s="1"/>
  <c r="S196" i="2"/>
  <c r="W196" i="2" s="1"/>
  <c r="S195" i="2"/>
  <c r="W195" i="2" s="1"/>
  <c r="S194" i="2"/>
  <c r="W194" i="2" s="1"/>
  <c r="S193" i="2"/>
  <c r="W193" i="2" s="1"/>
  <c r="S192" i="2"/>
  <c r="W192" i="2" s="1"/>
  <c r="S191" i="2"/>
  <c r="W191" i="2" s="1"/>
  <c r="S190" i="2"/>
  <c r="W190" i="2" s="1"/>
  <c r="S189" i="2"/>
  <c r="W189" i="2" s="1"/>
  <c r="S188" i="2"/>
  <c r="W188" i="2" s="1"/>
  <c r="S187" i="2"/>
  <c r="W187" i="2" s="1"/>
  <c r="S186" i="2"/>
  <c r="W186" i="2" s="1"/>
  <c r="S185" i="2"/>
  <c r="W185" i="2" s="1"/>
  <c r="S184" i="2"/>
  <c r="W184" i="2" s="1"/>
  <c r="S183" i="2"/>
  <c r="W183" i="2" s="1"/>
  <c r="S182" i="2"/>
  <c r="W182" i="2" s="1"/>
  <c r="S181" i="2"/>
  <c r="W181" i="2" s="1"/>
  <c r="S180" i="2"/>
  <c r="W180" i="2" s="1"/>
  <c r="O178" i="2"/>
  <c r="O179" i="2" s="1"/>
  <c r="D184" i="2"/>
  <c r="G184" i="2" s="1"/>
  <c r="K184" i="2" s="1"/>
  <c r="D183" i="2"/>
  <c r="G183" i="2" s="1"/>
  <c r="K183" i="2" s="1"/>
  <c r="J182" i="2"/>
  <c r="J220" i="2" s="1"/>
  <c r="I182" i="2"/>
  <c r="E182" i="2"/>
  <c r="E220" i="2" s="1"/>
  <c r="D182" i="2"/>
  <c r="I181" i="2"/>
  <c r="D181" i="2"/>
  <c r="G181" i="2" s="1"/>
  <c r="D180" i="2"/>
  <c r="G180" i="2" s="1"/>
  <c r="K180" i="2" s="1"/>
  <c r="D179" i="2"/>
  <c r="G179" i="2" s="1"/>
  <c r="K179" i="2" s="1"/>
  <c r="D178" i="2"/>
  <c r="G178" i="2" s="1"/>
  <c r="K178" i="2" s="1"/>
  <c r="I177" i="2"/>
  <c r="D177" i="2"/>
  <c r="G177" i="2" s="1"/>
  <c r="F220" i="2"/>
  <c r="G217" i="2"/>
  <c r="K217" i="2" s="1"/>
  <c r="G210" i="2"/>
  <c r="K210" i="2" s="1"/>
  <c r="G209" i="2"/>
  <c r="K209" i="2" s="1"/>
  <c r="G208" i="2"/>
  <c r="K208" i="2" s="1"/>
  <c r="G207" i="2"/>
  <c r="K207" i="2" s="1"/>
  <c r="G206" i="2"/>
  <c r="K206" i="2" s="1"/>
  <c r="G205" i="2"/>
  <c r="K205" i="2" s="1"/>
  <c r="G204" i="2"/>
  <c r="K204" i="2" s="1"/>
  <c r="G203" i="2"/>
  <c r="K203" i="2" s="1"/>
  <c r="G202" i="2"/>
  <c r="K202" i="2" s="1"/>
  <c r="G201" i="2"/>
  <c r="K201" i="2" s="1"/>
  <c r="G200" i="2"/>
  <c r="K200" i="2" s="1"/>
  <c r="G199" i="2"/>
  <c r="K199" i="2" s="1"/>
  <c r="G198" i="2"/>
  <c r="K198" i="2" s="1"/>
  <c r="G197" i="2"/>
  <c r="K197" i="2" s="1"/>
  <c r="G196" i="2"/>
  <c r="K196" i="2" s="1"/>
  <c r="G195" i="2"/>
  <c r="K195" i="2" s="1"/>
  <c r="G194" i="2"/>
  <c r="K194" i="2" s="1"/>
  <c r="G193" i="2"/>
  <c r="K193" i="2" s="1"/>
  <c r="G192" i="2"/>
  <c r="K192" i="2" s="1"/>
  <c r="G191" i="2"/>
  <c r="K191" i="2" s="1"/>
  <c r="G190" i="2"/>
  <c r="K190" i="2" s="1"/>
  <c r="G189" i="2"/>
  <c r="K189" i="2" s="1"/>
  <c r="G188" i="2"/>
  <c r="K188" i="2" s="1"/>
  <c r="G187" i="2"/>
  <c r="K187" i="2" s="1"/>
  <c r="G186" i="2"/>
  <c r="K186" i="2" s="1"/>
  <c r="G185" i="2"/>
  <c r="K185" i="2" s="1"/>
  <c r="C178" i="2"/>
  <c r="C179" i="2" s="1"/>
  <c r="C180" i="2" s="1"/>
  <c r="C181" i="2" s="1"/>
  <c r="C182" i="2" s="1"/>
  <c r="C183" i="2" s="1"/>
  <c r="AH220" i="2" l="1"/>
  <c r="P220" i="2"/>
  <c r="AI179" i="2"/>
  <c r="W232" i="2"/>
  <c r="W275" i="2" s="1"/>
  <c r="K181" i="2"/>
  <c r="G182" i="2"/>
  <c r="K182" i="2" s="1"/>
  <c r="V220" i="2"/>
  <c r="AE180" i="2"/>
  <c r="Q220" i="2"/>
  <c r="AI275" i="2"/>
  <c r="AC220" i="2"/>
  <c r="S177" i="2"/>
  <c r="W177" i="2" s="1"/>
  <c r="AI180" i="2"/>
  <c r="AE177" i="2"/>
  <c r="AE220" i="2"/>
  <c r="AI177" i="2"/>
  <c r="AI220" i="2" s="1"/>
  <c r="AB220" i="2"/>
  <c r="W179" i="2"/>
  <c r="U220" i="2"/>
  <c r="S178" i="2"/>
  <c r="W178" i="2" s="1"/>
  <c r="I220" i="2"/>
  <c r="K177" i="2"/>
  <c r="D220" i="2"/>
  <c r="D124" i="2"/>
  <c r="D123" i="2"/>
  <c r="G123" i="2" s="1"/>
  <c r="K123" i="2" s="1"/>
  <c r="I122" i="2"/>
  <c r="I165" i="2" s="1"/>
  <c r="D122" i="2"/>
  <c r="G122" i="2"/>
  <c r="C123" i="2"/>
  <c r="C124" i="2" s="1"/>
  <c r="G124" i="2"/>
  <c r="K124" i="2" s="1"/>
  <c r="G125" i="2"/>
  <c r="K125" i="2" s="1"/>
  <c r="G126" i="2"/>
  <c r="K126" i="2" s="1"/>
  <c r="G127" i="2"/>
  <c r="K127" i="2" s="1"/>
  <c r="G128" i="2"/>
  <c r="K128" i="2" s="1"/>
  <c r="G129" i="2"/>
  <c r="K129" i="2" s="1"/>
  <c r="G130" i="2"/>
  <c r="K130" i="2" s="1"/>
  <c r="G131" i="2"/>
  <c r="K131" i="2" s="1"/>
  <c r="G132" i="2"/>
  <c r="K132" i="2" s="1"/>
  <c r="G133" i="2"/>
  <c r="K133" i="2"/>
  <c r="G134" i="2"/>
  <c r="K134" i="2"/>
  <c r="G135" i="2"/>
  <c r="K135" i="2"/>
  <c r="G136" i="2"/>
  <c r="K136" i="2" s="1"/>
  <c r="G137" i="2"/>
  <c r="K137" i="2" s="1"/>
  <c r="G138" i="2"/>
  <c r="K138" i="2" s="1"/>
  <c r="G139" i="2"/>
  <c r="K139" i="2" s="1"/>
  <c r="G140" i="2"/>
  <c r="K140" i="2" s="1"/>
  <c r="G141" i="2"/>
  <c r="K141" i="2" s="1"/>
  <c r="G142" i="2"/>
  <c r="K142" i="2" s="1"/>
  <c r="G143" i="2"/>
  <c r="K143" i="2" s="1"/>
  <c r="G144" i="2"/>
  <c r="K144" i="2" s="1"/>
  <c r="G145" i="2"/>
  <c r="K145" i="2" s="1"/>
  <c r="G146" i="2"/>
  <c r="K146" i="2"/>
  <c r="G147" i="2"/>
  <c r="K147" i="2" s="1"/>
  <c r="G148" i="2"/>
  <c r="K148" i="2" s="1"/>
  <c r="G149" i="2"/>
  <c r="K149" i="2" s="1"/>
  <c r="G150" i="2"/>
  <c r="K150" i="2" s="1"/>
  <c r="G151" i="2"/>
  <c r="K151" i="2" s="1"/>
  <c r="G152" i="2"/>
  <c r="K152" i="2" s="1"/>
  <c r="G153" i="2"/>
  <c r="K153" i="2"/>
  <c r="G154" i="2"/>
  <c r="K154" i="2"/>
  <c r="G155" i="2"/>
  <c r="K155" i="2" s="1"/>
  <c r="G162" i="2"/>
  <c r="K162" i="2" s="1"/>
  <c r="E165" i="2"/>
  <c r="F165" i="2"/>
  <c r="J165" i="2"/>
  <c r="K220" i="2" l="1"/>
  <c r="G220" i="2"/>
  <c r="W220" i="2"/>
  <c r="S220" i="2"/>
  <c r="D165" i="2"/>
  <c r="K122" i="2"/>
  <c r="K165" i="2" s="1"/>
  <c r="G165" i="2"/>
  <c r="AG69" i="2"/>
  <c r="AB69" i="2" l="1"/>
  <c r="AH69" i="2" l="1"/>
  <c r="AH71" i="2" l="1"/>
  <c r="AB71" i="2"/>
  <c r="AB70" i="2"/>
  <c r="AE70" i="2"/>
  <c r="AI70" i="2" s="1"/>
  <c r="AH68" i="2"/>
  <c r="AH110" i="2" s="1"/>
  <c r="AB68" i="2"/>
  <c r="AE68" i="2" s="1"/>
  <c r="AI68" i="2" s="1"/>
  <c r="AC67" i="2"/>
  <c r="AC110" i="2" s="1"/>
  <c r="AB67" i="2"/>
  <c r="AD110" i="2"/>
  <c r="AI108" i="2"/>
  <c r="AE107" i="2"/>
  <c r="AI107" i="2" s="1"/>
  <c r="AI106" i="2"/>
  <c r="AE105" i="2"/>
  <c r="AI105" i="2" s="1"/>
  <c r="AE104" i="2"/>
  <c r="AI104" i="2" s="1"/>
  <c r="AE103" i="2"/>
  <c r="AI103" i="2" s="1"/>
  <c r="AE102" i="2"/>
  <c r="AI102" i="2" s="1"/>
  <c r="AE101" i="2"/>
  <c r="AI101" i="2" s="1"/>
  <c r="AE100" i="2"/>
  <c r="AI100" i="2" s="1"/>
  <c r="AE99" i="2"/>
  <c r="AI99" i="2" s="1"/>
  <c r="AE98" i="2"/>
  <c r="AI98" i="2" s="1"/>
  <c r="AE97" i="2"/>
  <c r="AI97" i="2" s="1"/>
  <c r="AE96" i="2"/>
  <c r="AI96" i="2" s="1"/>
  <c r="AE95" i="2"/>
  <c r="AI95" i="2" s="1"/>
  <c r="AE94" i="2"/>
  <c r="AI94" i="2" s="1"/>
  <c r="AE93" i="2"/>
  <c r="AI93" i="2" s="1"/>
  <c r="AE92" i="2"/>
  <c r="AI92" i="2" s="1"/>
  <c r="AE91" i="2"/>
  <c r="AI91" i="2" s="1"/>
  <c r="AE90" i="2"/>
  <c r="AI90" i="2" s="1"/>
  <c r="AE89" i="2"/>
  <c r="AI89" i="2" s="1"/>
  <c r="AE88" i="2"/>
  <c r="AI88" i="2" s="1"/>
  <c r="AE87" i="2"/>
  <c r="AI87" i="2" s="1"/>
  <c r="AE86" i="2"/>
  <c r="AI86" i="2" s="1"/>
  <c r="AE85" i="2"/>
  <c r="AI85" i="2" s="1"/>
  <c r="AE84" i="2"/>
  <c r="AI84" i="2" s="1"/>
  <c r="AE83" i="2"/>
  <c r="AI83" i="2" s="1"/>
  <c r="AE82" i="2"/>
  <c r="AI82" i="2" s="1"/>
  <c r="AE81" i="2"/>
  <c r="AI81" i="2" s="1"/>
  <c r="AE80" i="2"/>
  <c r="AI80" i="2" s="1"/>
  <c r="AE79" i="2"/>
  <c r="AI79" i="2" s="1"/>
  <c r="AE78" i="2"/>
  <c r="AI78" i="2" s="1"/>
  <c r="AE77" i="2"/>
  <c r="AI77" i="2" s="1"/>
  <c r="AE76" i="2"/>
  <c r="AI76" i="2" s="1"/>
  <c r="AE75" i="2"/>
  <c r="AI75" i="2" s="1"/>
  <c r="AE74" i="2"/>
  <c r="AI74" i="2" s="1"/>
  <c r="AE73" i="2"/>
  <c r="AI73" i="2" s="1"/>
  <c r="AE72" i="2"/>
  <c r="AI72" i="2" s="1"/>
  <c r="AE71" i="2"/>
  <c r="AI71" i="2" s="1"/>
  <c r="AG110" i="2"/>
  <c r="AA68" i="2"/>
  <c r="AA69" i="2" s="1"/>
  <c r="AA70" i="2" s="1"/>
  <c r="AA71" i="2" s="1"/>
  <c r="P70" i="2"/>
  <c r="S70" i="2" s="1"/>
  <c r="W70" i="2" s="1"/>
  <c r="P69" i="2"/>
  <c r="S69" i="2" s="1"/>
  <c r="W69" i="2" s="1"/>
  <c r="V68" i="2"/>
  <c r="P68" i="2"/>
  <c r="S68" i="2" s="1"/>
  <c r="V67" i="2"/>
  <c r="U67" i="2"/>
  <c r="U110" i="2" s="1"/>
  <c r="Q67" i="2"/>
  <c r="Q110" i="2" s="1"/>
  <c r="P67" i="2"/>
  <c r="R110" i="2"/>
  <c r="W108" i="2"/>
  <c r="S107" i="2"/>
  <c r="W107" i="2" s="1"/>
  <c r="W106" i="2"/>
  <c r="S105" i="2"/>
  <c r="W105" i="2" s="1"/>
  <c r="S104" i="2"/>
  <c r="W104" i="2" s="1"/>
  <c r="S103" i="2"/>
  <c r="W103" i="2" s="1"/>
  <c r="S102" i="2"/>
  <c r="W102" i="2" s="1"/>
  <c r="S101" i="2"/>
  <c r="W101" i="2" s="1"/>
  <c r="S100" i="2"/>
  <c r="W100" i="2" s="1"/>
  <c r="S99" i="2"/>
  <c r="W99" i="2" s="1"/>
  <c r="S98" i="2"/>
  <c r="W98" i="2" s="1"/>
  <c r="S97" i="2"/>
  <c r="W97" i="2" s="1"/>
  <c r="S96" i="2"/>
  <c r="W96" i="2" s="1"/>
  <c r="S95" i="2"/>
  <c r="W95" i="2" s="1"/>
  <c r="S94" i="2"/>
  <c r="W94" i="2" s="1"/>
  <c r="S93" i="2"/>
  <c r="W93" i="2" s="1"/>
  <c r="S92" i="2"/>
  <c r="W92" i="2" s="1"/>
  <c r="S91" i="2"/>
  <c r="W91" i="2" s="1"/>
  <c r="S90" i="2"/>
  <c r="W90" i="2" s="1"/>
  <c r="S89" i="2"/>
  <c r="W89" i="2" s="1"/>
  <c r="S88" i="2"/>
  <c r="W88" i="2" s="1"/>
  <c r="S87" i="2"/>
  <c r="W87" i="2" s="1"/>
  <c r="S86" i="2"/>
  <c r="W86" i="2" s="1"/>
  <c r="S85" i="2"/>
  <c r="W85" i="2" s="1"/>
  <c r="S84" i="2"/>
  <c r="W84" i="2" s="1"/>
  <c r="S83" i="2"/>
  <c r="W83" i="2" s="1"/>
  <c r="S82" i="2"/>
  <c r="W82" i="2" s="1"/>
  <c r="S81" i="2"/>
  <c r="W81" i="2" s="1"/>
  <c r="S80" i="2"/>
  <c r="W80" i="2" s="1"/>
  <c r="S79" i="2"/>
  <c r="W79" i="2" s="1"/>
  <c r="S78" i="2"/>
  <c r="W78" i="2" s="1"/>
  <c r="S77" i="2"/>
  <c r="W77" i="2" s="1"/>
  <c r="S76" i="2"/>
  <c r="W76" i="2" s="1"/>
  <c r="S75" i="2"/>
  <c r="W75" i="2" s="1"/>
  <c r="S74" i="2"/>
  <c r="W74" i="2" s="1"/>
  <c r="S73" i="2"/>
  <c r="W73" i="2" s="1"/>
  <c r="S72" i="2"/>
  <c r="W72" i="2" s="1"/>
  <c r="S71" i="2"/>
  <c r="W71" i="2" s="1"/>
  <c r="O68" i="2"/>
  <c r="O69" i="2" s="1"/>
  <c r="O70" i="2" s="1"/>
  <c r="D77" i="2"/>
  <c r="G77" i="2" s="1"/>
  <c r="K77" i="2" s="1"/>
  <c r="E76" i="2"/>
  <c r="E110" i="2" s="1"/>
  <c r="D76" i="2"/>
  <c r="D75" i="2"/>
  <c r="G75" i="2" s="1"/>
  <c r="K75" i="2" s="1"/>
  <c r="I74" i="2"/>
  <c r="I110" i="2" s="1"/>
  <c r="D74" i="2"/>
  <c r="G74" i="2" s="1"/>
  <c r="K74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G69" i="2" s="1"/>
  <c r="K69" i="2" s="1"/>
  <c r="D67" i="2"/>
  <c r="G67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G68" i="2"/>
  <c r="K68" i="2" s="1"/>
  <c r="J110" i="2"/>
  <c r="G78" i="2"/>
  <c r="K78" i="2" s="1"/>
  <c r="G79" i="2"/>
  <c r="K79" i="2" s="1"/>
  <c r="G80" i="2"/>
  <c r="K80" i="2"/>
  <c r="G81" i="2"/>
  <c r="K81" i="2"/>
  <c r="G82" i="2"/>
  <c r="K82" i="2"/>
  <c r="G83" i="2"/>
  <c r="K83" i="2"/>
  <c r="G84" i="2"/>
  <c r="K84" i="2" s="1"/>
  <c r="G85" i="2"/>
  <c r="K85" i="2" s="1"/>
  <c r="G86" i="2"/>
  <c r="K86" i="2" s="1"/>
  <c r="G87" i="2"/>
  <c r="K87" i="2"/>
  <c r="G88" i="2"/>
  <c r="K88" i="2" s="1"/>
  <c r="G89" i="2"/>
  <c r="K89" i="2" s="1"/>
  <c r="G90" i="2"/>
  <c r="K90" i="2" s="1"/>
  <c r="G91" i="2"/>
  <c r="K91" i="2"/>
  <c r="G92" i="2"/>
  <c r="K92" i="2"/>
  <c r="G93" i="2"/>
  <c r="K93" i="2" s="1"/>
  <c r="G94" i="2"/>
  <c r="K94" i="2" s="1"/>
  <c r="G95" i="2"/>
  <c r="K95" i="2" s="1"/>
  <c r="G96" i="2"/>
  <c r="K96" i="2"/>
  <c r="G97" i="2"/>
  <c r="K97" i="2" s="1"/>
  <c r="G98" i="2"/>
  <c r="K98" i="2" s="1"/>
  <c r="G99" i="2"/>
  <c r="K99" i="2" s="1"/>
  <c r="G100" i="2"/>
  <c r="K100" i="2" s="1"/>
  <c r="G107" i="2"/>
  <c r="K107" i="2" s="1"/>
  <c r="F110" i="2"/>
  <c r="G76" i="2" l="1"/>
  <c r="K76" i="2" s="1"/>
  <c r="AB110" i="2"/>
  <c r="AE69" i="2"/>
  <c r="AI69" i="2" s="1"/>
  <c r="AE67" i="2"/>
  <c r="V110" i="2"/>
  <c r="W68" i="2"/>
  <c r="S67" i="2"/>
  <c r="S110" i="2"/>
  <c r="W67" i="2"/>
  <c r="W110" i="2" s="1"/>
  <c r="P110" i="2"/>
  <c r="D110" i="2"/>
  <c r="G110" i="2"/>
  <c r="K67" i="2"/>
  <c r="K110" i="2" s="1"/>
  <c r="AB17" i="2"/>
  <c r="AB16" i="2"/>
  <c r="AG15" i="2"/>
  <c r="AB15" i="2"/>
  <c r="AB14" i="2"/>
  <c r="AC13" i="2"/>
  <c r="AB13" i="2"/>
  <c r="AH12" i="2"/>
  <c r="AC12" i="2"/>
  <c r="AB12" i="2"/>
  <c r="P22" i="2"/>
  <c r="P21" i="2"/>
  <c r="P20" i="2"/>
  <c r="P19" i="2"/>
  <c r="U18" i="2"/>
  <c r="P18" i="2"/>
  <c r="U17" i="2"/>
  <c r="P17" i="2"/>
  <c r="U16" i="2"/>
  <c r="P16" i="2"/>
  <c r="U15" i="2"/>
  <c r="P15" i="2"/>
  <c r="U14" i="2"/>
  <c r="Q14" i="2"/>
  <c r="P14" i="2"/>
  <c r="P13" i="2"/>
  <c r="U12" i="2"/>
  <c r="P12" i="2"/>
  <c r="J16" i="2"/>
  <c r="I16" i="2"/>
  <c r="E16" i="2"/>
  <c r="D16" i="2"/>
  <c r="D15" i="2"/>
  <c r="D14" i="2"/>
  <c r="D13" i="2"/>
  <c r="D12" i="2"/>
  <c r="AE110" i="2" l="1"/>
  <c r="AI67" i="2"/>
  <c r="AI110" i="2" s="1"/>
  <c r="J39" i="1"/>
  <c r="J32" i="1"/>
  <c r="D32" i="1" s="1"/>
  <c r="J33" i="1"/>
  <c r="D33" i="1" s="1"/>
  <c r="J34" i="1"/>
  <c r="J35" i="1"/>
  <c r="J36" i="1"/>
  <c r="J25" i="1"/>
  <c r="D25" i="1" s="1"/>
  <c r="J26" i="1"/>
  <c r="D26" i="1" s="1"/>
  <c r="J27" i="1"/>
  <c r="D27" i="1" s="1"/>
  <c r="J28" i="1"/>
  <c r="D28" i="1" s="1"/>
  <c r="J29" i="1"/>
  <c r="J18" i="1"/>
  <c r="D18" i="1" s="1"/>
  <c r="J19" i="1"/>
  <c r="D19" i="1" s="1"/>
  <c r="J20" i="1"/>
  <c r="D20" i="1" s="1"/>
  <c r="J21" i="1"/>
  <c r="D21" i="1" s="1"/>
  <c r="J12" i="1"/>
  <c r="D12" i="1" s="1"/>
  <c r="J13" i="1"/>
  <c r="D13" i="1" s="1"/>
  <c r="J14" i="1"/>
  <c r="D14" i="1" s="1"/>
  <c r="D39" i="1"/>
  <c r="J11" i="1" l="1"/>
  <c r="D11" i="1" s="1"/>
  <c r="J22" i="1" l="1"/>
  <c r="D35" i="1"/>
  <c r="C13" i="2" l="1"/>
  <c r="J10" i="1" l="1"/>
  <c r="D10" i="1" s="1"/>
  <c r="J17" i="1"/>
  <c r="D17" i="1" s="1"/>
  <c r="J24" i="1"/>
  <c r="D24" i="1" s="1"/>
  <c r="J38" i="1"/>
  <c r="D38" i="1" s="1"/>
  <c r="J31" i="1"/>
  <c r="D31" i="1" s="1"/>
  <c r="D34" i="1"/>
  <c r="AA13" i="2" l="1"/>
  <c r="D36" i="1" l="1"/>
  <c r="C14" i="2" l="1"/>
  <c r="C15" i="2" s="1"/>
  <c r="C16" i="2" s="1"/>
  <c r="O13" i="2" l="1"/>
  <c r="O14" i="2" s="1"/>
  <c r="O15" i="2" s="1"/>
  <c r="O16" i="2" s="1"/>
  <c r="O17" i="2" s="1"/>
  <c r="O18" i="2" s="1"/>
  <c r="O19" i="2" s="1"/>
  <c r="O20" i="2" s="1"/>
  <c r="O21" i="2" s="1"/>
  <c r="O22" i="2" s="1"/>
  <c r="D42" i="1" l="1"/>
  <c r="AA14" i="2" l="1"/>
  <c r="AA15" i="2" s="1"/>
  <c r="AA16" i="2" s="1"/>
  <c r="AA17" i="2" s="1"/>
  <c r="AD55" i="2" l="1"/>
  <c r="R55" i="2"/>
  <c r="F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12" authorId="0" shapeId="0" xr:uid="{14EC9151-FA86-4C03-B7E0-3F941F748D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12" authorId="0" shapeId="0" xr:uid="{E6709E63-C166-4191-814B-CDFE67E297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4" authorId="0" shapeId="0" xr:uid="{108AEE59-284E-476D-B8AC-00B7504BA7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7" authorId="0" shapeId="0" xr:uid="{631F14F3-7114-44E4-85D9-FA74F8801C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 
VACATION</t>
        </r>
      </text>
    </comment>
    <comment ref="G19" authorId="0" shapeId="0" xr:uid="{F579E08C-7F6D-4EE5-B0B2-B345710850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 
VACATION
</t>
        </r>
      </text>
    </comment>
    <comment ref="F20" authorId="0" shapeId="0" xr:uid="{8C2C06B6-8BAE-46C3-9364-44BE82EC80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21" authorId="0" shapeId="0" xr:uid="{1B8B8B60-302F-460C-8138-C23FBC5DC7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DAY OFF
VACATION</t>
        </r>
      </text>
    </comment>
    <comment ref="F28" authorId="0" shapeId="0" xr:uid="{FAD69783-8C89-467D-8B86-CA5F5AAFA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35" authorId="0" shapeId="0" xr:uid="{CD2F5B81-386E-4CAC-82DB-CD1035CB4E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14652F10-124C-414F-BE7C-F0C56E094111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VILLARIN</t>
        </r>
      </text>
    </comment>
    <comment ref="O12" authorId="0" shapeId="0" xr:uid="{D4444AFC-13A2-4A05-8EA7-959FB4C80A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BEBOY'S EATERY
UPPER INUMAN</t>
        </r>
      </text>
    </comment>
    <comment ref="AA12" authorId="0" shapeId="0" xr:uid="{39CF777D-660B-48E3-A984-4AEA66CD07D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BACONG,SALUG</t>
        </r>
      </text>
    </comment>
    <comment ref="C13" authorId="0" shapeId="0" xr:uid="{55DC2BCA-0DB9-4470-ACD8-ADBB6A15D2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ROSIANA
DISUD</t>
        </r>
      </text>
    </comment>
    <comment ref="O13" authorId="0" shapeId="0" xr:uid="{0032F911-56C9-4AAF-B519-CDD73CCAD0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ALIH STORE
BRGY. TINAPLAN</t>
        </r>
      </text>
    </comment>
    <comment ref="AA13" authorId="0" shapeId="0" xr:uid="{0C2C0AF0-DD43-48DE-B09A-404031DD50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BEBS MIRACLE
POBLACION EAST,SALUG</t>
        </r>
      </text>
    </comment>
    <comment ref="C14" authorId="0" shapeId="0" xr:uid="{98B91DF6-478A-4BDA-B283-D26DD8E4C5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PODIOTAN
POB. SIAYAN</t>
        </r>
      </text>
    </comment>
    <comment ref="O14" authorId="0" shapeId="0" xr:uid="{735A4934-7860-447B-A7AA-D0254DBF8A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BACUNGAN</t>
        </r>
      </text>
    </comment>
    <comment ref="AA14" authorId="0" shapeId="0" xr:uid="{F23D8260-8BAA-4B81-AFF8-F1C4445717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POBLACION EAST,SALUG</t>
        </r>
      </text>
    </comment>
    <comment ref="C15" authorId="0" shapeId="0" xr:uid="{7CDD0E04-1323-436C-B6DB-4FDF97187A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MOLAS, JANICE4
DICOYUNG</t>
        </r>
      </text>
    </comment>
    <comment ref="O15" authorId="0" shapeId="0" xr:uid="{AFA82D64-AE7C-4817-B588-FE0D4E6152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AGAM STORE
BACUNGAN</t>
        </r>
      </text>
    </comment>
    <comment ref="AA15" authorId="0" shapeId="0" xr:uid="{E20BC6F9-08F6-4294-A1ED-183E186B36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GOODS STORE
POBALACION EAST,SALUG</t>
        </r>
      </text>
    </comment>
    <comment ref="C16" authorId="0" shapeId="0" xr:uid="{2CD56B93-F3B0-4583-B2C8-8708B9D59A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POB. SINDANGAN</t>
        </r>
      </text>
    </comment>
    <comment ref="O16" authorId="0" shapeId="0" xr:uid="{5903CC8C-FB56-47C0-A96B-E3916CD7FF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BENDE STORE
TALINGA BACUNGAN</t>
        </r>
      </text>
    </comment>
    <comment ref="AA16" authorId="0" shapeId="0" xr:uid="{BD05C0B1-B835-4568-B751-10B3F7FED9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POBLACION EAST, SALUG</t>
        </r>
      </text>
    </comment>
    <comment ref="O17" authorId="0" shapeId="0" xr:uid="{4E234181-F117-4A5F-A66D-90AE4EBF29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 BACUNGAN</t>
        </r>
      </text>
    </comment>
    <comment ref="AA17" authorId="0" shapeId="0" xr:uid="{C6AF897F-570E-4306-8FA2-723F6098CC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PACARO STORE
POBLACION EAST,SALUG</t>
        </r>
      </text>
    </comment>
    <comment ref="O18" authorId="0" shapeId="0" xr:uid="{95AC44E8-0C32-409B-920C-402F7401D0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ADEN STORE
TALINGA BACUNGAN</t>
        </r>
      </text>
    </comment>
    <comment ref="O19" authorId="0" shapeId="0" xr:uid="{5E76E172-48BD-4D3F-A969-67FFCC1835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NELFA BACUNGAN
BRGY. GOLEO</t>
        </r>
      </text>
    </comment>
    <comment ref="O20" authorId="0" shapeId="0" xr:uid="{4A4ABE40-0D1D-423A-A4E1-8D6593B975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ESCORIAL STORE</t>
        </r>
      </text>
    </comment>
    <comment ref="O21" authorId="0" shapeId="0" xr:uid="{72755EBA-DB63-4E13-85F5-9B4EBA4B51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BRGY. GOLEO</t>
        </r>
      </text>
    </comment>
    <comment ref="O22" authorId="0" shapeId="0" xr:uid="{D54E84B5-BB0E-47A0-A1B8-A0CCD08895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STORE
BRGY. GOLEO</t>
        </r>
      </text>
    </comment>
    <comment ref="C67" authorId="0" shapeId="0" xr:uid="{93F88AB5-31C8-4827-B539-BB250A8C76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 SINDANGAN</t>
        </r>
      </text>
    </comment>
    <comment ref="O67" authorId="0" shapeId="0" xr:uid="{23500A45-06C8-4DDA-B264-2DD96FF383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67" authorId="0" shapeId="0" xr:uid="{8FDC1C43-DF34-4F7D-84C5-2DF26D77FC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68" authorId="0" shapeId="0" xr:uid="{60C42C2C-9784-4361-8A9B-549F03332D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PAGLINAWAN STORE
DENUYAN</t>
        </r>
      </text>
    </comment>
    <comment ref="O68" authorId="0" shapeId="0" xr:uid="{E1847FED-4E00-4FA5-988B-50E89B0802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BELARMINO LONAH
BRGY. DATU MANDIH</t>
        </r>
      </text>
    </comment>
    <comment ref="AA68" authorId="0" shapeId="0" xr:uid="{183DAF15-C4B4-4F2B-90D6-1303EB8436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9" authorId="0" shapeId="0" xr:uid="{3099422B-5626-40AC-9AD0-774D46751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DAGAO, SINDANGAN</t>
        </r>
      </text>
    </comment>
    <comment ref="O69" authorId="0" shapeId="0" xr:uid="{913E87CD-A450-498E-B9CC-0A3D6011D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 TRILLIANA 
BRGY.GOLEO</t>
        </r>
      </text>
    </comment>
    <comment ref="AA69" authorId="0" shapeId="0" xr:uid="{319328C6-5B93-4485-B7DF-EC2183F0F2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0" authorId="0" shapeId="0" xr:uid="{F0B4BA48-266E-4F8A-AC5D-FC3E6C5B1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JENIFER GALIT
POB. SIAYAN</t>
        </r>
      </text>
    </comment>
    <comment ref="O70" authorId="0" shapeId="0" xr:uid="{20F3F940-EB5B-4768-B7FB-B7CC3ED760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BRGY.GOLEO</t>
        </r>
      </text>
    </comment>
    <comment ref="AA70" authorId="0" shapeId="0" xr:uid="{276D32A6-A397-4F25-B27D-0FF742C443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1" authorId="0" shapeId="0" xr:uid="{60D71057-80BF-412B-97FE-05ED45F4BE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POB. SIAYAN</t>
        </r>
      </text>
    </comment>
    <comment ref="AA71" authorId="0" shapeId="0" xr:uid="{D3BB33E0-A151-44FC-83E1-0710FBC252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2" authorId="0" shapeId="0" xr:uid="{628F5AB5-27CB-4CAE-9492-DD0FFA0909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 
POB.SIAYAN</t>
        </r>
      </text>
    </comment>
    <comment ref="C73" authorId="0" shapeId="0" xr:uid="{C0055A7F-4BC2-4F0F-B5CA-86055C98C7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POB.SIAYAN</t>
        </r>
      </text>
    </comment>
    <comment ref="C74" authorId="0" shapeId="0" xr:uid="{BB4C8DAC-61C8-4922-B9C2-626371D7E2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POBLACION SIAYAN</t>
        </r>
      </text>
    </comment>
    <comment ref="C75" authorId="0" shapeId="0" xr:uid="{93E78153-0AB9-4997-9F57-766409EF3D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POB. SIAYAN</t>
        </r>
      </text>
    </comment>
    <comment ref="C76" authorId="0" shapeId="0" xr:uid="{D8DCAEA3-A3A8-4A8A-96EC-C1AA6D95BE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????</t>
        </r>
      </text>
    </comment>
    <comment ref="C77" authorId="0" shapeId="0" xr:uid="{C091B230-2292-4352-ABB5-3664ADEB64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MANGO, LODGE
DAPAON</t>
        </r>
      </text>
    </comment>
    <comment ref="C122" authorId="0" shapeId="0" xr:uid="{655904BE-C82F-4FC5-9FD6-3A8D2AC862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C123" authorId="0" shapeId="0" xr:uid="{680756B5-5402-41AE-B4FB-8408880A46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C124" authorId="0" shapeId="0" xr:uid="{726C8808-D5BC-45A9-853F-3C147F60F2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
TALINGA, SINDANGAN</t>
        </r>
      </text>
    </comment>
    <comment ref="C177" authorId="0" shapeId="0" xr:uid="{C0D87620-D31B-402E-B95C-DA3E05CB7B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ALVAREZ, ALEXANDER 
POB. SINDANGAN
</t>
        </r>
      </text>
    </comment>
    <comment ref="O177" authorId="0" shapeId="0" xr:uid="{EFB485E8-3D81-4EB8-90A3-4CEB9C78D7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POB.SINDANGAN</t>
        </r>
      </text>
    </comment>
    <comment ref="AA177" authorId="0" shapeId="0" xr:uid="{9375BDB1-0E56-4196-A2A5-2F3DC3DBE0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OSSANAH STORE
BAYBAY, LILOY
</t>
        </r>
      </text>
    </comment>
    <comment ref="C178" authorId="0" shapeId="0" xr:uid="{4B226EF4-A893-474B-8DB1-F796A3D40F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POB. SINDANGAN</t>
        </r>
      </text>
    </comment>
    <comment ref="O178" authorId="0" shapeId="0" xr:uid="{9277BAAC-2CA7-42DA-BB38-82FE392D9F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178" authorId="0" shapeId="0" xr:uid="{BAC7C544-D8D8-482E-BB82-9B41831598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79" authorId="0" shapeId="0" xr:uid="{BA6181BC-0AB9-4424-841E-9A35169402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MARGIE, ANIÑON
DISUD</t>
        </r>
      </text>
    </comment>
    <comment ref="O179" authorId="0" shapeId="0" xr:uid="{11940AAC-5A21-44A9-AD31-55EBCDDE7E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</t>
        </r>
      </text>
    </comment>
    <comment ref="AA179" authorId="0" shapeId="0" xr:uid="{13068936-D53A-42A2-912B-9B7799FC9D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180" authorId="0" shapeId="0" xr:uid="{3F388049-CCD0-4FB4-9F32-57E757AEA7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MAGSAYSAY</t>
        </r>
      </text>
    </comment>
    <comment ref="AA180" authorId="0" shapeId="0" xr:uid="{E17228BA-B908-487B-912C-12EE0A508A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 LILOY</t>
        </r>
      </text>
    </comment>
    <comment ref="C181" authorId="0" shapeId="0" xr:uid="{15183B98-C0F4-4950-8997-7AC636B7D8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RONAS STORE
DAPAON</t>
        </r>
      </text>
    </comment>
    <comment ref="C182" authorId="0" shapeId="0" xr:uid="{7D3F993E-D663-4EB1-87E7-597F0D394A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POB.SINDANGAN</t>
        </r>
      </text>
    </comment>
    <comment ref="C183" authorId="0" shapeId="0" xr:uid="{880C3FCE-9836-4079-A9A3-E6AD933CEC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 
POB. SINDANGAN</t>
        </r>
      </text>
    </comment>
    <comment ref="C184" authorId="0" shapeId="0" xr:uid="{D02CF717-EDE7-492A-BB8C-0ABD5C0DE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CHILL BAR
DAPAON</t>
        </r>
      </text>
    </comment>
    <comment ref="O232" authorId="0" shapeId="0" xr:uid="{6ADC5B6F-673E-4AD0-AEA8-0B5321B508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232" authorId="0" shapeId="0" xr:uid="{2F1DA5B1-5EBB-40D1-84BF-0DCD3D9453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233" authorId="0" shapeId="0" xr:uid="{0F9D7011-4E1C-474E-B274-CFA3E7FC16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233" authorId="0" shapeId="0" xr:uid="{FBBA75DC-953D-4E5F-AA9F-D8CE53DE6F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O234" authorId="0" shapeId="0" xr:uid="{1AFFCC65-DBB3-4B53-8645-553510F998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4" authorId="0" shapeId="0" xr:uid="{2A368E09-E596-400F-8ABF-681D79C4A8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O235" authorId="0" shapeId="0" xr:uid="{8E8C99F5-9FC7-42C5-B52F-6801505DFE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235" authorId="0" shapeId="0" xr:uid="{7E0941D0-6164-4CB4-8275-35A7144604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MICHELLE
BAYBAY, LILOY</t>
        </r>
      </text>
    </comment>
    <comment ref="O236" authorId="0" shapeId="0" xr:uid="{4B6557F8-ADED-401F-B843-C5A70CC2BD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RODELIA BAGAA-AN
GOLEO, SINDANGAN</t>
        </r>
      </text>
    </comment>
    <comment ref="AA236" authorId="0" shapeId="0" xr:uid="{A7B6A280-B54C-4487-9741-F7AAC1452F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ANTONIO BALLASUELA VIP
BAYBAY, LILOY</t>
        </r>
      </text>
    </comment>
    <comment ref="O237" authorId="0" shapeId="0" xr:uid="{5B740299-B29F-45E2-97BC-D55985827D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NACUA
INUMAN, SINDANGAN</t>
        </r>
      </text>
    </comment>
    <comment ref="AA237" authorId="0" shapeId="0" xr:uid="{2B99D0B0-D41A-4668-857E-298EDA2EB4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AQUINO STORE
BAYBAY, LILOY</t>
        </r>
      </text>
    </comment>
    <comment ref="O287" authorId="0" shapeId="0" xr:uid="{4DA62E95-D570-4863-AFE4-1995E97A05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</t>
        </r>
      </text>
    </comment>
    <comment ref="AA287" authorId="0" shapeId="0" xr:uid="{894FFFF7-B66E-4C49-9E76-EF92DBB695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POB. SALUG</t>
        </r>
      </text>
    </comment>
    <comment ref="O288" authorId="0" shapeId="0" xr:uid="{11CD6FCB-F8A5-4F8C-9292-ABD43AF8E9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BRGY.DICOYUNG</t>
        </r>
      </text>
    </comment>
    <comment ref="AA288" authorId="0" shapeId="0" xr:uid="{0A6CF5ED-8E54-475E-A937-3E7136288F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DODS MIRACLE
POB.SALUG
</t>
        </r>
      </text>
    </comment>
    <comment ref="O289" authorId="0" shapeId="0" xr:uid="{7ECAC710-5368-424F-B24D-89337D24DD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289" authorId="0" shapeId="0" xr:uid="{F71E4799-17D8-453E-B1C2-C2C6CCA8A2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POB.SALUG</t>
        </r>
      </text>
    </comment>
    <comment ref="O290" authorId="0" shapeId="0" xr:uid="{56FE801E-447A-46A9-98A5-355B51A898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290" authorId="0" shapeId="0" xr:uid="{C96D173F-8CAF-4BAE-AAFD-CACAC5B33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 SALUG</t>
        </r>
      </text>
    </comment>
    <comment ref="AA291" authorId="0" shapeId="0" xr:uid="{56EC4C89-D58E-48B3-A54F-365FADC924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DAPAON SINDANGAN</t>
        </r>
      </text>
    </comment>
    <comment ref="C342" authorId="0" shapeId="0" xr:uid="{AF6DC63E-9B4C-4575-A752-A7EF8B3693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342" authorId="0" shapeId="0" xr:uid="{9EFB6CA8-C9D0-4B86-A7BD-AD31ADF4AF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342" authorId="0" shapeId="0" xr:uid="{3F90D4AF-8FD2-4B78-ABDC-02785F2744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343" authorId="0" shapeId="0" xr:uid="{73205BBC-F767-4F87-8223-E0E985B11F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43" authorId="0" shapeId="0" xr:uid="{D5916C21-48F9-4B48-8757-E23F1DB058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343" authorId="0" shapeId="0" xr:uid="{01C690FA-3406-400A-B033-4CFCA334ED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344" authorId="0" shapeId="0" xr:uid="{A231412D-0BC8-489F-8578-F0F9EF50C5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344" authorId="0" shapeId="0" xr:uid="{D97A5846-5259-4AFF-92DF-4119EE4324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344" authorId="0" shapeId="0" xr:uid="{6E9B08D4-5F4F-4882-98CB-42C225A27C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</t>
        </r>
      </text>
    </comment>
    <comment ref="C345" authorId="0" shapeId="0" xr:uid="{23FCB082-7459-47F8-BAF2-647CEBBE7C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345" authorId="0" shapeId="0" xr:uid="{7364D82A-600A-4634-9668-65334293E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345" authorId="0" shapeId="0" xr:uid="{AE635CA8-E265-4DB2-87C4-4390E86024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C346" authorId="0" shapeId="0" xr:uid="{DA44C8D7-B316-4565-94F9-055A33BD28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SALUG</t>
        </r>
      </text>
    </comment>
    <comment ref="O346" authorId="0" shapeId="0" xr:uid="{4FEBAD7B-D51E-4BC5-BD43-E5F3693C06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346" authorId="0" shapeId="0" xr:uid="{1373BB26-2872-4D19-801F-AA091DC0E3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</t>
        </r>
      </text>
    </comment>
    <comment ref="C347" authorId="0" shapeId="0" xr:uid="{0B5962BB-9862-480C-A725-4B2597C94A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POB, SIAYAN</t>
        </r>
      </text>
    </comment>
    <comment ref="C348" authorId="0" shapeId="0" xr:uid="{4DA5A84E-9958-42B7-B031-4004E6DE1E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C349" authorId="0" shapeId="0" xr:uid="{3FAA6260-EDC1-4E6F-9590-F9DD3DE5CF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C350" authorId="0" shapeId="0" xr:uid="{90A46417-BC64-4CF8-8C43-9FBA980AA4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351" authorId="0" shapeId="0" xr:uid="{C8550D61-B78B-47A9-8CAF-003CF71528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ADAZA STORE
POB, SIAYAN</t>
        </r>
      </text>
    </comment>
    <comment ref="C352" authorId="0" shapeId="0" xr:uid="{6CB2C8B5-DF00-4FC0-9EA3-192853D80C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POB, SINDANGAN</t>
        </r>
      </text>
    </comment>
    <comment ref="C353" authorId="0" shapeId="0" xr:uid="{350EA87B-F297-4BAE-80C5-B285ADAF97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RAP LIGHTS BAR
POB, SINDANGAN</t>
        </r>
      </text>
    </comment>
    <comment ref="C397" authorId="0" shapeId="0" xr:uid="{53E93746-01A4-49F1-9E9D-25A885221B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VILLARIN,ELMER
POB. SINDANGAN</t>
        </r>
      </text>
    </comment>
    <comment ref="AA397" authorId="0" shapeId="0" xr:uid="{822D2830-3490-4E7C-8DAA-02CAF5CE58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</t>
        </r>
      </text>
    </comment>
    <comment ref="C398" authorId="0" shapeId="0" xr:uid="{78E193B2-6BBD-4175-95E5-2F5471BF0A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CATIG,STORE
GUNYAN SIAYAN
</t>
        </r>
      </text>
    </comment>
    <comment ref="AA398" authorId="0" shapeId="0" xr:uid="{9B06BFC1-3AE6-48B4-8F8C-A3B4253765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BENJUN PALANAS</t>
        </r>
      </text>
    </comment>
    <comment ref="C399" authorId="0" shapeId="0" xr:uid="{1423AC9C-9989-47AD-930D-99180B6A07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POB. SIAYAN
</t>
        </r>
      </text>
    </comment>
    <comment ref="AA399" authorId="0" shapeId="0" xr:uid="{F5E22AA2-AE24-4DA6-B331-BBFCA8A9FD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</t>
        </r>
      </text>
    </comment>
    <comment ref="C400" authorId="0" shapeId="0" xr:uid="{8A68D454-DC41-4BFC-B418-75193DD5C4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KK EATERY
POB. SIAYAN</t>
        </r>
      </text>
    </comment>
    <comment ref="AA400" authorId="0" shapeId="0" xr:uid="{10681BA6-7DDB-466B-BD4B-66217F7862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</t>
        </r>
      </text>
    </comment>
    <comment ref="C401" authorId="0" shapeId="0" xr:uid="{22648A9A-99CC-4D11-8914-A9CBE195AB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
DICOYUNG
</t>
        </r>
      </text>
    </comment>
    <comment ref="AA401" authorId="0" shapeId="0" xr:uid="{2845FAEA-F84A-49C5-8535-727247174B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AA402" authorId="0" shapeId="0" xr:uid="{0557B11C-0D86-46F2-B971-B02F48F521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CLARK JAY </t>
        </r>
      </text>
    </comment>
    <comment ref="AA403" authorId="0" shapeId="0" xr:uid="{E105872F-1D48-4A74-ABA4-6B3AB8257B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JBN</t>
        </r>
      </text>
    </comment>
    <comment ref="O452" authorId="0" shapeId="0" xr:uid="{CB968D7B-8EF5-4F3F-A909-8706E2BF11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452" authorId="0" shapeId="0" xr:uid="{FAC83E3B-0CAD-4A46-87AF-2AF6C7ABB6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O453" authorId="0" shapeId="0" xr:uid="{9BDF6F4F-5018-4FE3-9A38-5E5BDFD420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TABOADA STORE
POB, BACUNGAN</t>
        </r>
      </text>
    </comment>
    <comment ref="AA453" authorId="0" shapeId="0" xr:uid="{11F28711-8047-4A86-804F-90BD3E3549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BACONG, SALUG</t>
        </r>
      </text>
    </comment>
    <comment ref="O454" authorId="0" shapeId="0" xr:uid="{607B7C75-6FF3-4AEC-A738-5820A157C6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454" authorId="0" shapeId="0" xr:uid="{588B855B-77D5-4379-ABF3-3C1BAD8265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BACONG, SALUG</t>
        </r>
      </text>
    </comment>
    <comment ref="O455" authorId="0" shapeId="0" xr:uid="{2B0029F3-717B-4E5C-8C84-94D5E8AF16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REMOLUNA STORE
UPPER INUMAN, SINDANGAN</t>
        </r>
      </text>
    </comment>
    <comment ref="AA455" authorId="0" shapeId="0" xr:uid="{5EA9FD8A-C1E4-4314-9A4E-09D0C136E9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ZENAIDA MAÑOSA
POB, SALUG</t>
        </r>
      </text>
    </comment>
    <comment ref="O456" authorId="0" shapeId="0" xr:uid="{2CA23BFE-AA86-414E-821C-7D49770A0A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TARIGA GINA
UPPER INUMAN, SINDANGAN</t>
        </r>
      </text>
    </comment>
    <comment ref="AA456" authorId="0" shapeId="0" xr:uid="{AD84A670-7342-46C6-8705-40D612C750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POB, SALUG</t>
        </r>
      </text>
    </comment>
    <comment ref="AA457" authorId="0" shapeId="0" xr:uid="{11AA9CF9-6459-441F-8F10-2CD07FB120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458" authorId="0" shapeId="0" xr:uid="{E37BF491-F93A-48CD-84E6-1552381B44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AA459" authorId="0" shapeId="0" xr:uid="{439E28CC-9582-4143-8CAD-A6571384F6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A460" authorId="0" shapeId="0" xr:uid="{AC2187CB-D2F6-4894-9D7A-3E94DC2491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507" authorId="0" shapeId="0" xr:uid="{966FE771-25E2-4D04-A7DF-BE2D01D9B4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O507" authorId="0" shapeId="0" xr:uid="{3E929339-D46B-4947-A522-1784A46055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 TINAPLAN</t>
        </r>
      </text>
    </comment>
    <comment ref="C508" authorId="0" shapeId="0" xr:uid="{D8AB0B90-490F-4A95-886B-A3F0D14A8C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 SIAYAN</t>
        </r>
      </text>
    </comment>
    <comment ref="O508" authorId="0" shapeId="0" xr:uid="{81234CA3-9154-44A4-ACC3-E353E0E15B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 MANDIH</t>
        </r>
      </text>
    </comment>
    <comment ref="C509" authorId="0" shapeId="0" xr:uid="{C4F9E90C-3426-4075-BEE1-E06EEAB3F0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POB. SIAYAN</t>
        </r>
      </text>
    </comment>
    <comment ref="O509" authorId="0" shapeId="0" xr:uid="{85A42D93-F405-4B76-8979-D1604B2657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BRGY. DATU TANGKILAN
</t>
        </r>
      </text>
    </comment>
    <comment ref="C510" authorId="0" shapeId="0" xr:uid="{1E89947C-90C6-4A5C-8017-EBA7CADC61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POB. SIAYAN</t>
        </r>
      </text>
    </comment>
    <comment ref="O510" authorId="0" shapeId="0" xr:uid="{608C213A-2512-46A6-9C8C-7F1F98D3A58A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DINIEGA STORE
TALINGA SINDANGAN</t>
        </r>
      </text>
    </comment>
    <comment ref="C511" authorId="0" shapeId="0" xr:uid="{A2864229-8BC8-4807-B330-F7C6242EC0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 SINDANGAN</t>
        </r>
      </text>
    </comment>
    <comment ref="O511" authorId="0" shapeId="0" xr:uid="{3FEDB232-D455-419D-906C-B74093FAE3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</t>
        </r>
      </text>
    </comment>
    <comment ref="C512" authorId="0" shapeId="0" xr:uid="{B6CEA163-C8AD-4ACE-9586-BA8BA0B905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</t>
        </r>
      </text>
    </comment>
    <comment ref="O512" authorId="0" shapeId="0" xr:uid="{6F25F9C0-D42B-4929-9B95-07E91E1C4E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POB. SINDANGAN</t>
        </r>
      </text>
    </comment>
    <comment ref="C562" authorId="0" shapeId="0" xr:uid="{267E1210-6AC9-48D8-8131-28FC7F7535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PO.SINDANGAN</t>
        </r>
      </text>
    </comment>
    <comment ref="O562" authorId="0" shapeId="0" xr:uid="{ADB1E6A3-EA1D-4EE6-8648-1497DD4EE2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562" authorId="0" shapeId="0" xr:uid="{019864BC-17E3-44FD-9C56-DC8EB0DAE9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HENSONS STORE
BACONG, SALUG</t>
        </r>
      </text>
    </comment>
    <comment ref="C563" authorId="0" shapeId="0" xr:uid="{9DD3E046-3BAC-4BE2-9C52-117541928E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 
POB.SINDANGAN</t>
        </r>
      </text>
    </comment>
    <comment ref="O563" authorId="0" shapeId="0" xr:uid="{DEB68933-1D84-4BBA-BDDD-BCB13A8592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563" authorId="0" shapeId="0" xr:uid="{EE17DD84-0736-48A7-B815-86AE5CEB5E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 SALUG</t>
        </r>
      </text>
    </comment>
    <comment ref="C564" authorId="0" shapeId="0" xr:uid="{BF2FC232-01C3-495D-B091-D19E527B55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POB.SINDANGAN</t>
        </r>
      </text>
    </comment>
    <comment ref="O564" authorId="0" shapeId="0" xr:uid="{234BBFC8-94F6-413A-B668-DB8DCFDE68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 SINDANGAN
</t>
        </r>
      </text>
    </comment>
    <comment ref="AA564" authorId="0" shapeId="0" xr:uid="{478951FA-A7E5-4800-BB99-E00A396A4D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POB. EAST SALUG</t>
        </r>
      </text>
    </comment>
    <comment ref="C565" authorId="0" shapeId="0" xr:uid="{E65BA699-7F13-4581-9635-02D0F7CF8E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DICOYUNG SINDANGAN</t>
        </r>
      </text>
    </comment>
    <comment ref="AA565" authorId="0" shapeId="0" xr:uid="{5CBD6796-4743-4244-A95F-441C0ED3E4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BEBS MIRACLE
POB.EAST SALUG</t>
        </r>
      </text>
    </comment>
    <comment ref="AA566" authorId="0" shapeId="0" xr:uid="{56108501-358F-4B06-AB5A-FE05CDA128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POB. EAST SALUG</t>
        </r>
      </text>
    </comment>
    <comment ref="AA567" authorId="0" shapeId="0" xr:uid="{4C7736A1-03FB-416E-B2DE-F7B26AC28D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POB.EAST SALUG</t>
        </r>
      </text>
    </comment>
    <comment ref="AA568" authorId="0" shapeId="0" xr:uid="{D0CC0BA9-BDB1-4CAF-A774-F9BA95A601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
POB. EAST SALUG</t>
        </r>
      </text>
    </comment>
    <comment ref="C617" authorId="0" shapeId="0" xr:uid="{F9B18B4F-BEC7-49E0-AEB2-B6E3491E54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617" authorId="0" shapeId="0" xr:uid="{C0BC202D-BD44-49A8-AD7A-897746F385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617" authorId="0" shapeId="0" xr:uid="{08ABAB39-ACF5-49A9-8441-A0B2347AC2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618" authorId="0" shapeId="0" xr:uid="{33DD6042-45AE-46EA-BF5F-9356F2E414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618" authorId="0" shapeId="0" xr:uid="{9AD07749-01C7-482F-8889-2E0284E9A3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618" authorId="0" shapeId="0" xr:uid="{2EA19094-524B-49D4-B9CA-9EB171F1F9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19" authorId="0" shapeId="0" xr:uid="{04DDEDA9-6AA5-420C-ACF0-CEFE77941D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19" authorId="0" shapeId="0" xr:uid="{7194AC8D-09BF-44AA-BB72-3B9FE4857B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619" authorId="0" shapeId="0" xr:uid="{DB9EB226-07AD-4953-A3BE-21B7B0F688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20" authorId="0" shapeId="0" xr:uid="{DCE0E3AB-B60C-463D-A293-1E891C807C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620" authorId="0" shapeId="0" xr:uid="{FE235DC0-BA87-48EA-A288-37DB53EF01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620" authorId="0" shapeId="0" xr:uid="{BFBAF944-F898-4CF3-9DF7-AD45A9A901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EATERY
BAYBAY, LILOY</t>
        </r>
      </text>
    </comment>
    <comment ref="C621" authorId="0" shapeId="0" xr:uid="{EC0CD188-53E1-407A-98AF-F822243F91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O621" authorId="0" shapeId="0" xr:uid="{1E5498C1-8211-4C2A-BE91-A3A530A776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C622" authorId="0" shapeId="0" xr:uid="{ABB2E15F-B67D-4AEF-AB64-061F9C2648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 LODGE
DAPAON, SINDANGAN</t>
        </r>
      </text>
    </comment>
    <comment ref="O622" authorId="0" shapeId="0" xr:uid="{209C06CE-2DEE-47A8-9CD2-5CA11E2AB0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C672" authorId="0" shapeId="0" xr:uid="{18B999E2-3CE3-400A-B367-A3A9E10384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
DAGAO, SIAYAN</t>
        </r>
      </text>
    </comment>
    <comment ref="O672" authorId="0" shapeId="0" xr:uid="{CC8849EE-327D-48F5-8754-0DC931D23B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672" authorId="0" shapeId="0" xr:uid="{1B33558A-9165-4FB7-9539-623050F3E0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673" authorId="0" shapeId="0" xr:uid="{6A050A3B-D22A-462C-9CA7-18DBF59303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673" authorId="0" shapeId="0" xr:uid="{D5489A8C-305A-4014-B0C4-982387C0F4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AA673" authorId="0" shapeId="0" xr:uid="{8DEF52C4-4D44-455B-B914-B8B7F48FD8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674" authorId="0" shapeId="0" xr:uid="{70FA5563-9BCB-4B64-A7F4-AE0E7CC778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POB, SIAYAN</t>
        </r>
      </text>
    </comment>
    <comment ref="O674" authorId="0" shapeId="0" xr:uid="{B526029E-0AA2-4DCB-821B-DFF17BCC15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4" authorId="0" shapeId="0" xr:uid="{06407C40-3505-42A9-AA1D-9E8B5FAD75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675" authorId="0" shapeId="0" xr:uid="{9D49161C-94DD-49E6-B1FE-C726049BB0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675" authorId="0" shapeId="0" xr:uid="{07906259-5DA4-452D-90A5-51053FE03E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STORE
TALINGA, BACUNGAN</t>
        </r>
      </text>
    </comment>
    <comment ref="AA675" authorId="0" shapeId="0" xr:uid="{02A46494-EA04-4ECB-8C86-70101F4B49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CONSUMER
POB EAST, SALUG</t>
        </r>
      </text>
    </comment>
    <comment ref="C676" authorId="0" shapeId="0" xr:uid="{CA719AB6-C428-459F-B457-EFEDD6412D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LIDIA CATIG
POB, SIAYAN</t>
        </r>
      </text>
    </comment>
    <comment ref="O676" authorId="0" shapeId="0" xr:uid="{DF3D868A-D106-4F0C-907E-BF2D031FE8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676" authorId="0" shapeId="0" xr:uid="{FCFDF731-56B3-496B-B732-2BC9F2596C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
MARAS, SINDANGAN</t>
        </r>
      </text>
    </comment>
    <comment ref="C677" authorId="0" shapeId="0" xr:uid="{3DA8E5F4-ECE3-4228-9F92-EA54D7683E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AA677" authorId="0" shapeId="0" xr:uid="{4A1BE0C2-2D1A-4C16-9155-952D4BAC01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IINDAY STORE
CANAWAN, SALUG</t>
        </r>
      </text>
    </comment>
    <comment ref="C678" authorId="0" shapeId="0" xr:uid="{43ED76FA-FCC4-4B41-A361-B8ABF24B99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AA678" authorId="0" shapeId="0" xr:uid="{7E4B8925-D288-4881-BB86-AEEA4B5D19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679" authorId="0" shapeId="0" xr:uid="{0FF5D383-55CC-4903-BFC6-66AA218D60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HUNBO STORE
POB, SIAYAN</t>
        </r>
      </text>
    </comment>
    <comment ref="AA679" authorId="0" shapeId="0" xr:uid="{7C04AB6A-2EB8-49DD-BD23-E90BDC3EA4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727" authorId="0" shapeId="0" xr:uid="{8CC2A24B-FC8C-4C2C-9759-E1B9E1F230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727" authorId="0" shapeId="0" xr:uid="{EBC6817A-1E3F-4355-B36F-43A80B5DCE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727" authorId="0" shapeId="0" xr:uid="{152D6723-9F72-42A3-A1CF-4224B011C3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728" authorId="0" shapeId="0" xr:uid="{F5CC534A-7EE4-42E1-9A96-2AEE94B06E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728" authorId="0" shapeId="0" xr:uid="{FEB808DB-B8F1-4648-AE81-50545F2A2D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728" authorId="0" shapeId="0" xr:uid="{12647779-4EA8-4943-9BB5-538F006F91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EATERY
BAYBAY, LILOY</t>
        </r>
      </text>
    </comment>
    <comment ref="C729" authorId="0" shapeId="0" xr:uid="{0CAF85E5-F259-4E0B-A21E-1DBB8F9CF6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729" authorId="0" shapeId="0" xr:uid="{484F3979-3C8F-4B70-BEAC-C899EED63F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729" authorId="0" shapeId="0" xr:uid="{D4DD09BB-FDC6-4D69-A9F0-5121108F8E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
</t>
        </r>
      </text>
    </comment>
    <comment ref="C730" authorId="0" shapeId="0" xr:uid="{C8A14225-AE2D-4693-A863-DCEBCD6390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EATERY
GOLEO, SINDANGAN</t>
        </r>
      </text>
    </comment>
    <comment ref="O730" authorId="0" shapeId="0" xr:uid="{50A2AECC-8E80-480B-A1CC-C3DB5786E6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730" authorId="0" shapeId="0" xr:uid="{1809C7ED-4BC2-418A-8C83-915B7E62C4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731" authorId="0" shapeId="0" xr:uid="{598B42D7-7F16-4793-B174-88C6FD4747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
BAYBAY, LILOY</t>
        </r>
      </text>
    </comment>
    <comment ref="AA732" authorId="0" shapeId="0" xr:uid="{5CA7980A-8CC9-49FC-B560-DCADC41FC1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AA733" authorId="0" shapeId="0" xr:uid="{4730E4DE-93E4-4C27-9542-46F2E718B5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 EAST, SALUG</t>
        </r>
      </text>
    </comment>
    <comment ref="O782" authorId="0" shapeId="0" xr:uid="{01DABE46-AD9F-4374-B419-0BDDD7A4A5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782" authorId="0" shapeId="0" xr:uid="{AC833DC6-13C0-4E1C-8EF7-8F5258A915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783" authorId="0" shapeId="0" xr:uid="{536ED529-828A-4752-80C0-AD580EB2E9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BEJAME NELMA
RM, SALUG</t>
        </r>
      </text>
    </comment>
    <comment ref="AA783" authorId="0" shapeId="0" xr:uid="{BA49495B-13F2-4E26-AA70-2AF7B6EB7E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DODS MIRACLE
POB EAST, SALUG</t>
        </r>
      </text>
    </comment>
    <comment ref="O784" authorId="0" shapeId="0" xr:uid="{A9932EAA-6F05-45AB-B41A-FE944E6CC6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GUMIMAO
RM, SALUG</t>
        </r>
      </text>
    </comment>
    <comment ref="AA784" authorId="0" shapeId="0" xr:uid="{A1EF0C7F-D126-4FA8-8BE0-ABFC5CFB3B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PAJUAY
POB EAST, SALUG</t>
        </r>
      </text>
    </comment>
    <comment ref="O785" authorId="0" shapeId="0" xr:uid="{4E06A139-A724-4EA2-812D-FA0975B55A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AA785" authorId="0" shapeId="0" xr:uid="{6945BCF3-24BD-412A-8F61-4C2AFF546D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O786" authorId="0" shapeId="0" xr:uid="{7235C9A7-2300-46B7-8C0B-FBE30C25AC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786" authorId="0" shapeId="0" xr:uid="{13F6A26B-EA37-45CD-916D-98B26BD01C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EMOTIN STORE
POB EAST, SALUG</t>
        </r>
      </text>
    </comment>
    <comment ref="O787" authorId="0" shapeId="0" xr:uid="{A2D5E195-A10C-4240-9E9C-5AE1B2DE15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787" authorId="0" shapeId="0" xr:uid="{8CE999A5-8359-4C49-B555-E590FC819B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POB EAST, SALUG</t>
        </r>
      </text>
    </comment>
    <comment ref="O788" authorId="0" shapeId="0" xr:uid="{979B11D4-F8D4-476E-8AE9-0806731262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O789" authorId="0" shapeId="0" xr:uid="{FFEF1F00-ECE0-44E6-B0F2-A36DB5F897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O790" authorId="0" shapeId="0" xr:uid="{CEE3F6B9-E975-44FE-AD85-1244128A31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O791" authorId="0" shapeId="0" xr:uid="{39E18FDA-BA35-4347-A2A5-3AFC7CB28A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BASIANA STORE
TALINGA, BACUNGAN</t>
        </r>
      </text>
    </comment>
    <comment ref="O792" authorId="0" shapeId="0" xr:uid="{CDA0064D-3018-476B-9FCD-C998BE1397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TEOPE STORE
MARAS, SINDANGAN</t>
        </r>
      </text>
    </comment>
    <comment ref="O793" authorId="0" shapeId="0" xr:uid="{018E0059-403B-4557-84B2-E14074D026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O794" authorId="0" shapeId="0" xr:uid="{2F49A75A-C4E0-4203-B91F-FA982ADC9A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795" authorId="0" shapeId="0" xr:uid="{CCD2BC09-3F10-49F5-AD39-7E19BC8633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O796" authorId="0" shapeId="0" xr:uid="{6AD61147-E11D-45CE-9479-3E7720CB29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C837" authorId="0" shapeId="0" xr:uid="{10024AFD-7BA7-43C5-A568-3D5309164E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</t>
        </r>
      </text>
    </comment>
    <comment ref="O837" authorId="0" shapeId="0" xr:uid="{30D6E0C2-84AA-4BFE-A845-38C50DAB3D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
</t>
        </r>
      </text>
    </comment>
    <comment ref="AA837" authorId="0" shapeId="0" xr:uid="{A8199176-3592-4769-A855-DA4653783F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AMIT
BACONG, SALUG</t>
        </r>
      </text>
    </comment>
    <comment ref="C838" authorId="0" shapeId="0" xr:uid="{689E55C1-E3FD-4E17-8FFA-8F908B77D2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 </t>
        </r>
      </text>
    </comment>
    <comment ref="O838" authorId="0" shapeId="0" xr:uid="{A0A60A48-BA77-421B-BD22-B1096935A9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838" authorId="0" shapeId="0" xr:uid="{F295AA9C-3154-4F6D-AA62-71030A7E20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POBLACION EAST, SALUG</t>
        </r>
      </text>
    </comment>
    <comment ref="C839" authorId="0" shapeId="0" xr:uid="{482FF17D-A3A8-4B07-B7DA-FB5DF6DF47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</t>
        </r>
      </text>
    </comment>
    <comment ref="O839" authorId="0" shapeId="0" xr:uid="{89269190-064A-4120-BB05-2F8D0284A4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 BACUNGAN</t>
        </r>
      </text>
    </comment>
    <comment ref="AA839" authorId="0" shapeId="0" xr:uid="{3AF14BD6-7964-487A-ADCE-87840754AD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BACONG EAST</t>
        </r>
      </text>
    </comment>
    <comment ref="C840" authorId="0" shapeId="0" xr:uid="{FC393E07-4064-4101-B08D-E596A5AC42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</t>
        </r>
      </text>
    </comment>
    <comment ref="O840" authorId="0" shapeId="0" xr:uid="{196B0BAC-3EF8-4BD8-A5D5-A9FA520A25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BRGY. GOLEO</t>
        </r>
      </text>
    </comment>
    <comment ref="AA840" authorId="0" shapeId="0" xr:uid="{FE1BFF45-41FE-4854-802B-1F10D2E2AB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POBLACION EAST, SALUG
</t>
        </r>
      </text>
    </comment>
    <comment ref="O841" authorId="0" shapeId="0" xr:uid="{D1BC6BA5-9DAB-48AE-AFE4-E3020AB73B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
BRGY. GOLEO</t>
        </r>
      </text>
    </comment>
    <comment ref="AA841" authorId="0" shapeId="0" xr:uid="{B916431D-10A5-4090-B28D-0EF822CD28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SALUG OFW BAR
POBLACION EAST, SALUG</t>
        </r>
      </text>
    </comment>
    <comment ref="AA842" authorId="0" shapeId="0" xr:uid="{1DC7A05C-5CFF-4A53-98BD-F44643719E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CUMA STORE
BACONG, SALUG</t>
        </r>
      </text>
    </comment>
    <comment ref="AA843" authorId="0" shapeId="0" xr:uid="{3D86AFBC-1EAB-4388-A787-FFBD12F42C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AA844" authorId="0" shapeId="0" xr:uid="{E17868E5-FDCB-4C9F-B9ED-3163CC2D49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AA845" authorId="0" shapeId="0" xr:uid="{0E9997C3-E443-42DB-9B0D-5E2A6CB75E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 CONVENIENCE STORE
POBLACION EAST, SALUG</t>
        </r>
      </text>
    </comment>
    <comment ref="C892" authorId="0" shapeId="0" xr:uid="{3F4E4662-6246-4296-A766-7D8FA3727F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 SINDANGAN
</t>
        </r>
      </text>
    </comment>
    <comment ref="O892" authorId="0" shapeId="0" xr:uid="{408128D0-F52B-4902-9FBF-725B3FC4A0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BRGY. DATU TANGKILAN</t>
        </r>
      </text>
    </comment>
    <comment ref="AA892" authorId="0" shapeId="0" xr:uid="{E659DE0B-E0A2-4FF7-ADA2-35F891170C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PASCON STORE</t>
        </r>
      </text>
    </comment>
    <comment ref="C893" authorId="0" shapeId="0" xr:uid="{423908CB-C18E-40D5-9591-37C9505CF1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CRISTYL</t>
        </r>
      </text>
    </comment>
    <comment ref="O893" authorId="0" shapeId="0" xr:uid="{22CC3C84-A336-40EA-B7DF-50E440771A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AA893" authorId="0" shapeId="0" xr:uid="{98D11D5E-E379-4C01-A62E-C8C5B52BDE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OSSANAH STORE
BAYBAY LILOY</t>
        </r>
      </text>
    </comment>
    <comment ref="C894" authorId="0" shapeId="0" xr:uid="{C7F71FE3-F809-4ECF-881F-DB55B634A0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 OMOYAN
</t>
        </r>
      </text>
    </comment>
    <comment ref="O894" authorId="0" shapeId="0" xr:uid="{28FE9403-7FA2-409E-8CDC-2C6FCC27BA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ESPAÑIOLA
BRGY. INUMAN
</t>
        </r>
      </text>
    </comment>
    <comment ref="AA894" authorId="0" shapeId="0" xr:uid="{AED4AB10-158C-4EF6-B692-36733BD70F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</t>
        </r>
      </text>
    </comment>
    <comment ref="C895" authorId="0" shapeId="0" xr:uid="{F7ED485C-6E3B-416F-A2DB-29A217C17E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</t>
        </r>
      </text>
    </comment>
    <comment ref="O895" authorId="0" shapeId="0" xr:uid="{2E2A3588-BAA6-40D7-9F8E-F449C1F4B3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BRGY. INUMAN</t>
        </r>
      </text>
    </comment>
    <comment ref="AA895" authorId="0" shapeId="0" xr:uid="{D8140DAD-9FCC-4F90-923F-229789E441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 LILOY</t>
        </r>
      </text>
    </comment>
    <comment ref="C896" authorId="0" shapeId="0" xr:uid="{2EE2C591-C9F8-49F6-BDD5-FA6D3ADDE1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G-FOOD CORNER</t>
        </r>
      </text>
    </comment>
    <comment ref="O896" authorId="0" shapeId="0" xr:uid="{86872AD1-732F-41D8-8E14-292B013697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BRGY. GOLEO</t>
        </r>
      </text>
    </comment>
    <comment ref="AA896" authorId="0" shapeId="0" xr:uid="{AC6D6518-A36B-47C1-BD2C-5EDEBBA619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 LILOY</t>
        </r>
      </text>
    </comment>
    <comment ref="O897" authorId="0" shapeId="0" xr:uid="{75E139C1-F844-4109-B282-B84AF045AA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TAGOB STORE
BRGY. GOLEO</t>
        </r>
      </text>
    </comment>
    <comment ref="AA897" authorId="0" shapeId="0" xr:uid="{D1B75749-8EA9-4C4A-BDC1-F2B1C5ADA9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 LILOY</t>
        </r>
      </text>
    </comment>
    <comment ref="O898" authorId="0" shapeId="0" xr:uid="{7537DBD8-2A3C-4D2C-9B14-005CCD311A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</t>
        </r>
      </text>
    </comment>
    <comment ref="C947" authorId="0" shapeId="0" xr:uid="{B585CF46-400F-414E-BB1C-35096E21D1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CHERYL DOMEN
INUMAN</t>
        </r>
      </text>
    </comment>
    <comment ref="O947" authorId="0" shapeId="0" xr:uid="{64B4CA38-4398-42FE-9D12-1BB21F7827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947" authorId="0" shapeId="0" xr:uid="{0DA7CD23-A9C3-456B-B468-24CE0A8905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BETHS HENSON
BACONG, SALUG</t>
        </r>
      </text>
    </comment>
    <comment ref="C948" authorId="0" shapeId="0" xr:uid="{F0603417-2DB5-4D21-9085-DB1FD627CC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</t>
        </r>
      </text>
    </comment>
    <comment ref="O948" authorId="0" shapeId="0" xr:uid="{2B88BD27-53CA-4A85-ADC5-C04BC55FC2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948" authorId="0" shapeId="0" xr:uid="{A7B4BB15-A79C-4566-9640-B5BD05595D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POBLACION EAST, SALUG</t>
        </r>
      </text>
    </comment>
    <comment ref="C949" authorId="0" shapeId="0" xr:uid="{5353882A-FA88-44BB-AB6A-1CFE9BB404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
LABAKID</t>
        </r>
      </text>
    </comment>
    <comment ref="O949" authorId="0" shapeId="0" xr:uid="{9D2276F8-CD5B-47AC-8605-E7F645DF14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UNWIND RESTO/CHERRY TIJADA
BACUNGAN</t>
        </r>
      </text>
    </comment>
    <comment ref="AA949" authorId="0" shapeId="0" xr:uid="{C319E383-1E0E-47C2-B53E-1C51B3BC98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VERGIE PAJUAY
POBLACION EAST, SALUG</t>
        </r>
      </text>
    </comment>
    <comment ref="C950" authorId="0" shapeId="0" xr:uid="{F031A376-7A7A-4746-87EC-A3266CC9E5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BERTUCIO STORE
PIAO</t>
        </r>
      </text>
    </comment>
    <comment ref="O950" authorId="0" shapeId="0" xr:uid="{A01398D4-77C8-449E-91F2-E00EA16FC2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BEBOY'S EATERY
UPPER INUMAN</t>
        </r>
      </text>
    </comment>
    <comment ref="AA950" authorId="0" shapeId="0" xr:uid="{B66F50D5-713D-4568-AA91-739D73F5B9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ANNABELLE STORE
POBLACION EAST, SALUG
</t>
        </r>
      </text>
    </comment>
    <comment ref="C951" authorId="0" shapeId="0" xr:uid="{C08FEA34-4473-4696-8A0D-4068802BDE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ESTOTA
PIAO</t>
        </r>
      </text>
    </comment>
    <comment ref="AA951" authorId="0" shapeId="0" xr:uid="{76923A1C-F20F-4418-8B54-A87D156243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POBLACION EAST</t>
        </r>
      </text>
    </comment>
    <comment ref="C952" authorId="0" shapeId="0" xr:uid="{0B52E4E3-2A51-4F83-B81E-25271057FF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JOSEPHINE
PIAO</t>
        </r>
      </text>
    </comment>
    <comment ref="AA952" authorId="0" shapeId="0" xr:uid="{F17D5D31-976D-4FAF-84D5-EE0E8F3DE6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OSSANAH STORE
BAYBAY LILOY</t>
        </r>
      </text>
    </comment>
    <comment ref="C953" authorId="0" shapeId="0" xr:uid="{7B874656-DC0E-4C10-BDF7-F8014E67BC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DENUYAN SIAYAN</t>
        </r>
      </text>
    </comment>
    <comment ref="AA953" authorId="0" shapeId="0" xr:uid="{FCCF0597-7AAF-411D-9076-D75DA7DBBC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ALBIOS STORE
BAYBAY LILOY</t>
        </r>
      </text>
    </comment>
    <comment ref="C954" authorId="0" shapeId="0" xr:uid="{DEF239EF-6E28-4B65-AE45-64C2CAB638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POB. SIAYAN</t>
        </r>
      </text>
    </comment>
    <comment ref="AA954" authorId="0" shapeId="0" xr:uid="{CCF7577C-824E-4BBF-BE81-F2E693BC92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JANMAEDEYS STORE
CAYOK, LILOY</t>
        </r>
      </text>
    </comment>
    <comment ref="C955" authorId="0" shapeId="0" xr:uid="{8864C25F-658E-4F77-A26C-2F8AA8B5E4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VERDADERO, AZUCINA
DAGAO SIAYAN</t>
        </r>
      </text>
    </comment>
    <comment ref="AA955" authorId="0" shapeId="0" xr:uid="{A68CBB60-59D2-452E-868C-87671B94EE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</t>
        </r>
      </text>
    </comment>
    <comment ref="C956" authorId="0" shapeId="0" xr:uid="{6F51A798-6D46-4D79-9F4E-0847024DA8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</t>
        </r>
      </text>
    </comment>
    <comment ref="AA956" authorId="0" shapeId="0" xr:uid="{E18DFC33-770E-45BA-8AE2-DD96613403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NEZMIN STORE
KAYOK, LILOY</t>
        </r>
      </text>
    </comment>
    <comment ref="AA957" authorId="0" shapeId="0" xr:uid="{880E3B78-C7F1-4CE2-8E4E-86B99F99D9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002" authorId="0" shapeId="0" xr:uid="{79A42EF2-5D73-4006-9152-A684637897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SINDANGAN
POB. SINDANGAN</t>
        </r>
      </text>
    </comment>
    <comment ref="O1002" authorId="0" shapeId="0" xr:uid="{FA4BB93B-BC36-4D4D-823A-FA5C95BAA6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BRGY. GOLEO</t>
        </r>
      </text>
    </comment>
    <comment ref="AA1002" authorId="0" shapeId="0" xr:uid="{3B659BD5-26A8-463D-AEF3-4573EAF289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 BLILOY
</t>
        </r>
      </text>
    </comment>
    <comment ref="C1003" authorId="0" shapeId="0" xr:uid="{FE78D239-29BE-429C-A201-E755035CEE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POB. SIAYAN
</t>
        </r>
      </text>
    </comment>
    <comment ref="O1003" authorId="0" shapeId="0" xr:uid="{8F492541-BA7A-45DF-AD4D-4A807C36AE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BALID STORE
TALINGA BACUNGAN</t>
        </r>
      </text>
    </comment>
    <comment ref="AA1003" authorId="0" shapeId="0" xr:uid="{96EAC14C-6B9E-47A7-A96A-59545BFABE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 SARI STORE
BAYBAY LILOY</t>
        </r>
      </text>
    </comment>
    <comment ref="C1004" authorId="0" shapeId="0" xr:uid="{81A87BAF-EF6D-4BE1-B787-8B73CA3AC6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EATERY
GOLEO</t>
        </r>
      </text>
    </comment>
    <comment ref="O1004" authorId="0" shapeId="0" xr:uid="{721DAA6D-8111-4DB1-B33B-05862C2CDE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BACUNGAN</t>
        </r>
      </text>
    </comment>
    <comment ref="AA1004" authorId="0" shapeId="0" xr:uid="{66FACA9B-6300-46F5-889C-BE3CA22189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ELOGSONG STORE
BAYBAY, LILOY</t>
        </r>
      </text>
    </comment>
    <comment ref="C1005" authorId="0" shapeId="0" xr:uid="{B376A780-8C0A-4106-BAED-116695C797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CRISTINE SY EATERY
POB. SINDANGAN</t>
        </r>
      </text>
    </comment>
    <comment ref="O1005" authorId="0" shapeId="0" xr:uid="{666072EC-1311-4807-8A05-9BD63FCFA7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KYRIE ZAI STORE
BRGY. MARAS</t>
        </r>
      </text>
    </comment>
    <comment ref="AA1005" authorId="0" shapeId="0" xr:uid="{030717A8-7BBD-402F-83A3-ED4F474452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006" authorId="0" shapeId="0" xr:uid="{258AC08F-4159-4CA3-881C-1C0971F291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 BAR
POB. SINDANGAN
</t>
        </r>
      </text>
    </comment>
    <comment ref="O1006" authorId="0" shapeId="0" xr:uid="{40E38844-1065-46AA-8B2A-66E36E03BC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MARIAFE BILLONES
UPPER INUMAN</t>
        </r>
      </text>
    </comment>
    <comment ref="AA1006" authorId="0" shapeId="0" xr:uid="{9D7623AA-008E-455F-AEC1-8059F6F0F8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OSSANAH STORE
BAYBAY, LILOY</t>
        </r>
      </text>
    </comment>
    <comment ref="C1007" authorId="0" shapeId="0" xr:uid="{B35E016E-4DF3-49C9-B956-81AC0245760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</t>
        </r>
      </text>
    </comment>
    <comment ref="O1007" authorId="0" shapeId="0" xr:uid="{74E7AF25-325F-49FC-86D5-72AAD7F612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ARIPAL
BRGY. DATU TANGKILAN</t>
        </r>
      </text>
    </comment>
    <comment ref="AA1007" authorId="0" shapeId="0" xr:uid="{55426715-27E2-4755-B883-1D8F978699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1008" authorId="0" shapeId="0" xr:uid="{4AAD2B74-D7D1-42A8-8BE2-FF938E63D1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POB. SINDANGAN
</t>
        </r>
      </text>
    </comment>
    <comment ref="O1008" authorId="0" shapeId="0" xr:uid="{A1D9BE24-FDA3-4F97-AA63-EF2FAF2C48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BRGY. DATU TANGKILAN
</t>
        </r>
      </text>
    </comment>
    <comment ref="AA1008" authorId="0" shapeId="0" xr:uid="{D2A46833-C1AA-40F5-A28A-263260A6D1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BAYBAY, LILOY</t>
        </r>
      </text>
    </comment>
    <comment ref="O1009" authorId="0" shapeId="0" xr:uid="{CBAAE2B8-E940-44CE-A028-0970D6C847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 SINDANGAN</t>
        </r>
      </text>
    </comment>
    <comment ref="AA1009" authorId="0" shapeId="0" xr:uid="{5C4980B5-1752-4ABF-9954-BFE245DA75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 GUNI-OS
BAYBAY LILOY</t>
        </r>
      </text>
    </comment>
    <comment ref="O1057" authorId="0" shapeId="0" xr:uid="{985D5080-5DB9-463B-A249-604D5195B8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 MANDIH
</t>
        </r>
      </text>
    </comment>
    <comment ref="AA1057" authorId="0" shapeId="0" xr:uid="{BC521CB4-E678-46FC-9EAE-F1BDC27B44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LKS-LILOY
</t>
        </r>
      </text>
    </comment>
    <comment ref="O1058" authorId="0" shapeId="0" xr:uid="{B9FD0D81-F8A8-40F0-A673-E62933310D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AA1058" authorId="0" shapeId="0" xr:uid="{7ACE9F77-E9C6-40E3-B048-BCE5B2918B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LKS-LILOY
BAYBAY LILOY</t>
        </r>
      </text>
    </comment>
    <comment ref="O1059" authorId="0" shapeId="0" xr:uid="{571A8C7A-43D4-48CB-B1C0-02A674E8A1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
</t>
        </r>
      </text>
    </comment>
    <comment ref="AA1059" authorId="0" shapeId="0" xr:uid="{E4DD24C9-E1CD-4C6E-8222-564D892BBA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</t>
        </r>
      </text>
    </comment>
    <comment ref="O1060" authorId="0" shapeId="0" xr:uid="{59CAF426-EDFE-40BB-B8B3-C7B1EF6A1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
</t>
        </r>
      </text>
    </comment>
    <comment ref="O1061" authorId="0" shapeId="0" xr:uid="{53024D3D-C313-490A-9BDA-4F5B42D2CE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BRGY.TINAPLAN</t>
        </r>
      </text>
    </comment>
  </commentList>
</comments>
</file>

<file path=xl/sharedStrings.xml><?xml version="1.0" encoding="utf-8"?>
<sst xmlns="http://schemas.openxmlformats.org/spreadsheetml/2006/main" count="1274" uniqueCount="101">
  <si>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</si>
  <si>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</si>
  <si>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</si>
  <si>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</si>
  <si>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</si>
  <si>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</si>
  <si>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</si>
  <si>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</si>
  <si>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</si>
  <si>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</si>
  <si>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</si>
  <si>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</si>
  <si>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</si>
  <si>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</si>
  <si>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</si>
  <si>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</si>
  <si>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</si>
  <si>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</si>
  <si>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</si>
  <si>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</si>
  <si>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</si>
  <si>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</si>
  <si>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</si>
  <si>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</si>
  <si>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</si>
  <si>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</si>
  <si>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</si>
  <si>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</si>
  <si>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</si>
  <si>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</si>
  <si>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</si>
  <si>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</si>
  <si>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</si>
  <si>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GICA, GRACE</t>
  </si>
  <si>
    <t>R3</t>
  </si>
  <si>
    <t>R4</t>
  </si>
  <si>
    <t>JUNE 2026</t>
  </si>
  <si>
    <t>JUNE 01, 2026</t>
  </si>
  <si>
    <t>PODIOTAN, AIR JOHN</t>
  </si>
  <si>
    <t>10826-10830/10791-10801/10733-10738</t>
  </si>
  <si>
    <t>TUESDAY</t>
  </si>
  <si>
    <t>JUNE 02, 2026</t>
  </si>
  <si>
    <t>DANDAYO, RONNEL</t>
  </si>
  <si>
    <t>10831-10841/10852-10855/10739-10743</t>
  </si>
  <si>
    <t>WEDNESDAY</t>
  </si>
  <si>
    <t>JUNE 03, 2026</t>
  </si>
  <si>
    <t>10842-10844//</t>
  </si>
  <si>
    <t>THURSDAY</t>
  </si>
  <si>
    <t>JUNE 04, 2026</t>
  </si>
  <si>
    <t>10857-10859/10857-10859/10744-10747/</t>
  </si>
  <si>
    <t>FRIDAY</t>
  </si>
  <si>
    <t>JUNE 05, 2026</t>
  </si>
  <si>
    <t>/10861-10866/10902-10907</t>
  </si>
  <si>
    <t>NO TRIP</t>
  </si>
  <si>
    <t>DANDAYO,RONNEL</t>
  </si>
  <si>
    <t>/10867-10870/10908-10912</t>
  </si>
  <si>
    <t>JUNE 09, 2026</t>
  </si>
  <si>
    <t>10913-10924/10871-10875/10951-10955</t>
  </si>
  <si>
    <t>PODIOTAN,AIR JOHN</t>
  </si>
  <si>
    <t>10925-10939//10956-10962</t>
  </si>
  <si>
    <t>JUNE 10, 2026</t>
  </si>
  <si>
    <t>JUNE 11, 2026</t>
  </si>
  <si>
    <t>10876-10880/10930-10938</t>
  </si>
  <si>
    <t>10939-10944/10881-10886/</t>
  </si>
  <si>
    <t>MONDAY</t>
  </si>
  <si>
    <t>JUNE 15, 2026</t>
  </si>
  <si>
    <t>06/15/2026</t>
  </si>
  <si>
    <t>06/15/2027</t>
  </si>
  <si>
    <t>06/15/2028</t>
  </si>
  <si>
    <t>06/15/2029</t>
  </si>
  <si>
    <t>06/15/2030</t>
  </si>
  <si>
    <t>06/15/2031</t>
  </si>
  <si>
    <t>JUNE 16, 2026</t>
  </si>
  <si>
    <t>06/16/2026</t>
  </si>
  <si>
    <t>10949-10950,11001-11004/10890-10895/10970-10973</t>
  </si>
  <si>
    <t>JUNE 17, 2026</t>
  </si>
  <si>
    <t>06/17/2026</t>
  </si>
  <si>
    <t>11005-11012/10896-10900/10974-10981</t>
  </si>
  <si>
    <t>JUNE 18, 2026</t>
  </si>
  <si>
    <t>06/18/2026</t>
  </si>
  <si>
    <t>11013-11016/11051-11054/10982-10988</t>
  </si>
  <si>
    <t>JUNE 19, 2026</t>
  </si>
  <si>
    <t>06/19/2026</t>
  </si>
  <si>
    <t>/11055-11069/10989-10994</t>
  </si>
  <si>
    <t>JUNE 22, 2026</t>
  </si>
  <si>
    <t>06/22/2026</t>
  </si>
  <si>
    <t>11151-11154/11070-11074/10995-11104</t>
  </si>
  <si>
    <t>06/23/2026</t>
  </si>
  <si>
    <t>JUNE 23, 2026</t>
  </si>
  <si>
    <t>11155-11159/11075-11081/11105-11110</t>
  </si>
  <si>
    <t>JUNE 12, 2026</t>
  </si>
  <si>
    <t>JUNE 08, 2026</t>
  </si>
  <si>
    <t>JUNE 24, 2026</t>
  </si>
  <si>
    <t>06/24/2026</t>
  </si>
  <si>
    <t>11160-11169/11082-11085/11111-11121</t>
  </si>
  <si>
    <t>JUNE 25, 2026</t>
  </si>
  <si>
    <t>06/25/2026</t>
  </si>
  <si>
    <t>11170-11176/11086-11093/11122/11129</t>
  </si>
  <si>
    <t>JUNE 26, 2026</t>
  </si>
  <si>
    <t>06/26/2026</t>
  </si>
  <si>
    <t>/11094-11098/11131-11133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</si>
</sst>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5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16" zoomScaleNormal="100" workbookViewId="0">
      <selection activeCell="C36" sqref="C36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4" t="s">
        <v>36</v>
      </c>
      <c r="B6" s="114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7</v>
      </c>
      <c r="C10" s="12" t="s">
        <v>39</v>
      </c>
      <c r="D10" s="16">
        <f t="shared" ref="D10:D28" si="0">J10</f>
        <v>832720</v>
      </c>
      <c r="F10" s="14">
        <v>402890</v>
      </c>
      <c r="G10" s="14">
        <v>210384</v>
      </c>
      <c r="H10" s="14">
        <v>219446</v>
      </c>
      <c r="I10" s="14"/>
      <c r="J10" s="17">
        <f t="shared" ref="J10:J39" si="1">F10+G10+H10</f>
        <v>832720</v>
      </c>
    </row>
    <row r="11" spans="1:10" x14ac:dyDescent="0.25">
      <c r="A11" s="10">
        <f>A10+1</f>
        <v>2</v>
      </c>
      <c r="B11" s="43" t="s">
        <v>8</v>
      </c>
      <c r="C11" s="12" t="s">
        <v>43</v>
      </c>
      <c r="D11" s="16">
        <f t="shared" si="0"/>
        <v>774946.5</v>
      </c>
      <c r="F11" s="14">
        <v>207389.5</v>
      </c>
      <c r="G11" s="14">
        <v>217086</v>
      </c>
      <c r="H11" s="14">
        <v>350471</v>
      </c>
      <c r="I11" s="14"/>
      <c r="J11" s="17">
        <f t="shared" si="1"/>
        <v>774946.5</v>
      </c>
    </row>
    <row r="12" spans="1:10" x14ac:dyDescent="0.25">
      <c r="A12" s="10">
        <f t="shared" ref="A12:A39" si="2">A11+1</f>
        <v>3</v>
      </c>
      <c r="B12" s="56" t="s">
        <v>9</v>
      </c>
      <c r="C12" s="12" t="s">
        <v>46</v>
      </c>
      <c r="D12" s="16">
        <f t="shared" si="0"/>
        <v>307436.5</v>
      </c>
      <c r="F12" s="14">
        <v>307436.5</v>
      </c>
      <c r="G12" s="14"/>
      <c r="H12" s="14"/>
      <c r="I12" s="14"/>
      <c r="J12" s="17">
        <f t="shared" si="1"/>
        <v>307436.5</v>
      </c>
    </row>
    <row r="13" spans="1:10" x14ac:dyDescent="0.25">
      <c r="A13" s="10">
        <f t="shared" si="2"/>
        <v>4</v>
      </c>
      <c r="B13" s="11" t="s">
        <v>30</v>
      </c>
      <c r="C13" s="12" t="s">
        <v>49</v>
      </c>
      <c r="D13" s="16">
        <f t="shared" si="0"/>
        <v>1141826</v>
      </c>
      <c r="F13" s="14">
        <v>434115</v>
      </c>
      <c r="G13" s="14">
        <v>210333</v>
      </c>
      <c r="H13" s="14">
        <v>497378</v>
      </c>
      <c r="I13" s="14"/>
      <c r="J13" s="17">
        <f t="shared" si="1"/>
        <v>1141826</v>
      </c>
    </row>
    <row r="14" spans="1:10" x14ac:dyDescent="0.25">
      <c r="A14" s="10">
        <f t="shared" si="2"/>
        <v>5</v>
      </c>
      <c r="B14" s="43" t="s">
        <v>4</v>
      </c>
      <c r="C14" s="12" t="s">
        <v>52</v>
      </c>
      <c r="D14" s="16">
        <f t="shared" si="0"/>
        <v>558015</v>
      </c>
      <c r="F14" s="14"/>
      <c r="G14" s="14">
        <v>256777</v>
      </c>
      <c r="H14" s="14">
        <v>301238</v>
      </c>
      <c r="I14" s="14"/>
      <c r="J14" s="17">
        <f t="shared" si="1"/>
        <v>558015</v>
      </c>
    </row>
    <row r="15" spans="1:10" x14ac:dyDescent="0.25">
      <c r="A15" s="10">
        <f t="shared" si="2"/>
        <v>6</v>
      </c>
      <c r="B15" s="56" t="s">
        <v>5</v>
      </c>
      <c r="C15" s="44" t="s">
        <v>53</v>
      </c>
      <c r="D15" s="55" t="s">
        <v>53</v>
      </c>
      <c r="F15" s="14"/>
      <c r="G15" s="14"/>
      <c r="H15" s="14"/>
      <c r="I15" s="14"/>
      <c r="J15" s="59"/>
    </row>
    <row r="16" spans="1:10" x14ac:dyDescent="0.25">
      <c r="A16" s="10">
        <f t="shared" si="2"/>
        <v>7</v>
      </c>
      <c r="B16" s="13" t="s">
        <v>6</v>
      </c>
      <c r="C16" s="44" t="s">
        <v>29</v>
      </c>
      <c r="D16" s="55" t="s">
        <v>29</v>
      </c>
      <c r="F16" s="14"/>
      <c r="G16" s="14"/>
      <c r="H16" s="14"/>
      <c r="I16" s="14"/>
      <c r="J16" s="59"/>
    </row>
    <row r="17" spans="1:10" x14ac:dyDescent="0.25">
      <c r="A17" s="10">
        <f t="shared" si="2"/>
        <v>8</v>
      </c>
      <c r="B17" s="11" t="s">
        <v>7</v>
      </c>
      <c r="C17" s="12" t="s">
        <v>55</v>
      </c>
      <c r="D17" s="16">
        <f t="shared" si="0"/>
        <v>643812</v>
      </c>
      <c r="F17" s="14"/>
      <c r="G17" s="14">
        <v>320209</v>
      </c>
      <c r="H17" s="14">
        <v>323603</v>
      </c>
      <c r="I17" s="14"/>
      <c r="J17" s="17">
        <f t="shared" si="1"/>
        <v>643812</v>
      </c>
    </row>
    <row r="18" spans="1:10" x14ac:dyDescent="0.25">
      <c r="A18" s="10">
        <f t="shared" si="2"/>
        <v>9</v>
      </c>
      <c r="B18" s="43" t="s">
        <v>8</v>
      </c>
      <c r="C18" s="12" t="s">
        <v>57</v>
      </c>
      <c r="D18" s="16">
        <f t="shared" si="0"/>
        <v>912979.5</v>
      </c>
      <c r="F18" s="14">
        <v>243649.5</v>
      </c>
      <c r="G18" s="14">
        <v>251120</v>
      </c>
      <c r="H18" s="14">
        <v>418210</v>
      </c>
      <c r="I18" s="14"/>
      <c r="J18" s="17">
        <f t="shared" si="1"/>
        <v>912979.5</v>
      </c>
    </row>
    <row r="19" spans="1:10" x14ac:dyDescent="0.25">
      <c r="A19" s="10">
        <f t="shared" si="2"/>
        <v>10</v>
      </c>
      <c r="B19" s="56" t="s">
        <v>9</v>
      </c>
      <c r="C19" s="12" t="s">
        <v>59</v>
      </c>
      <c r="D19" s="16">
        <f t="shared" si="0"/>
        <v>480419.94</v>
      </c>
      <c r="F19" s="14">
        <v>224662</v>
      </c>
      <c r="G19" s="14"/>
      <c r="H19" s="14">
        <v>255757.94</v>
      </c>
      <c r="I19" s="14"/>
      <c r="J19" s="17">
        <f t="shared" si="1"/>
        <v>480419.94</v>
      </c>
    </row>
    <row r="20" spans="1:10" x14ac:dyDescent="0.25">
      <c r="A20" s="10">
        <f t="shared" si="2"/>
        <v>11</v>
      </c>
      <c r="B20" s="11" t="s">
        <v>30</v>
      </c>
      <c r="C20" s="12" t="s">
        <v>62</v>
      </c>
      <c r="D20" s="16">
        <f t="shared" si="0"/>
        <v>496647.5</v>
      </c>
      <c r="F20" s="14"/>
      <c r="G20" s="14">
        <v>242255.5</v>
      </c>
      <c r="H20" s="14">
        <v>254392</v>
      </c>
      <c r="I20" s="14"/>
      <c r="J20" s="17">
        <f t="shared" si="1"/>
        <v>496647.5</v>
      </c>
    </row>
    <row r="21" spans="1:10" x14ac:dyDescent="0.25">
      <c r="A21" s="10">
        <f t="shared" si="2"/>
        <v>12</v>
      </c>
      <c r="B21" s="43" t="s">
        <v>4</v>
      </c>
      <c r="C21" s="12" t="s">
        <v>63</v>
      </c>
      <c r="D21" s="16">
        <f t="shared" si="0"/>
        <v>578861</v>
      </c>
      <c r="F21" s="14">
        <v>346521</v>
      </c>
      <c r="G21" s="14">
        <v>232340</v>
      </c>
      <c r="H21" s="14"/>
      <c r="I21" s="14"/>
      <c r="J21" s="17">
        <f t="shared" si="1"/>
        <v>578861</v>
      </c>
    </row>
    <row r="22" spans="1:10" x14ac:dyDescent="0.25">
      <c r="A22" s="10">
        <f t="shared" si="2"/>
        <v>13</v>
      </c>
      <c r="B22" s="56" t="s">
        <v>5</v>
      </c>
      <c r="C22" s="44" t="s">
        <v>53</v>
      </c>
      <c r="D22" s="55" t="s">
        <v>53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13" t="s">
        <v>6</v>
      </c>
      <c r="C23" s="44" t="s">
        <v>29</v>
      </c>
      <c r="D23" s="55" t="s">
        <v>29</v>
      </c>
      <c r="F23" s="14"/>
      <c r="G23" s="14"/>
      <c r="H23" s="14"/>
      <c r="I23" s="14"/>
      <c r="J23" s="59"/>
    </row>
    <row r="24" spans="1:10" x14ac:dyDescent="0.25">
      <c r="A24" s="10">
        <f t="shared" si="2"/>
        <v>15</v>
      </c>
      <c r="B24" s="11" t="s">
        <v>7</v>
      </c>
      <c r="C24" s="12"/>
      <c r="D24" s="16">
        <f t="shared" si="0"/>
        <v>973436</v>
      </c>
      <c r="F24" s="14">
        <v>285037</v>
      </c>
      <c r="G24" s="14">
        <v>254534</v>
      </c>
      <c r="H24" s="14">
        <v>433865</v>
      </c>
      <c r="I24" s="14"/>
      <c r="J24" s="17">
        <f>F24+G24+H24</f>
        <v>973436</v>
      </c>
    </row>
    <row r="25" spans="1:10" x14ac:dyDescent="0.25">
      <c r="A25" s="10">
        <f t="shared" si="2"/>
        <v>16</v>
      </c>
      <c r="B25" s="43" t="s">
        <v>8</v>
      </c>
      <c r="C25" s="12" t="s">
        <v>74</v>
      </c>
      <c r="D25" s="16">
        <f t="shared" si="0"/>
        <v>1180407</v>
      </c>
      <c r="F25" s="14">
        <v>467038</v>
      </c>
      <c r="G25" s="14">
        <v>214149</v>
      </c>
      <c r="H25" s="14">
        <v>499220</v>
      </c>
      <c r="I25" s="14"/>
      <c r="J25" s="17">
        <f t="shared" ref="J25:J29" si="3">F25+G25+H25</f>
        <v>1180407</v>
      </c>
    </row>
    <row r="26" spans="1:10" x14ac:dyDescent="0.25">
      <c r="A26" s="10">
        <f t="shared" si="2"/>
        <v>17</v>
      </c>
      <c r="B26" s="56" t="s">
        <v>9</v>
      </c>
      <c r="C26" s="12" t="s">
        <v>77</v>
      </c>
      <c r="D26" s="16">
        <f t="shared" si="0"/>
        <v>768323</v>
      </c>
      <c r="F26" s="14">
        <v>226492</v>
      </c>
      <c r="G26" s="14">
        <v>202497.5</v>
      </c>
      <c r="H26" s="14">
        <v>339333.5</v>
      </c>
      <c r="I26" s="14"/>
      <c r="J26" s="17">
        <f t="shared" si="3"/>
        <v>768323</v>
      </c>
    </row>
    <row r="27" spans="1:10" x14ac:dyDescent="0.25">
      <c r="A27" s="10">
        <f t="shared" si="2"/>
        <v>18</v>
      </c>
      <c r="B27" s="11" t="s">
        <v>30</v>
      </c>
      <c r="C27" s="12" t="s">
        <v>80</v>
      </c>
      <c r="D27" s="16">
        <f t="shared" si="0"/>
        <v>887191.5</v>
      </c>
      <c r="F27" s="14">
        <v>349025</v>
      </c>
      <c r="G27" s="14">
        <v>195930.5</v>
      </c>
      <c r="H27" s="14">
        <v>342236</v>
      </c>
      <c r="I27" s="14"/>
      <c r="J27" s="17">
        <f t="shared" si="3"/>
        <v>887191.5</v>
      </c>
    </row>
    <row r="28" spans="1:10" x14ac:dyDescent="0.25">
      <c r="A28" s="10">
        <f t="shared" si="2"/>
        <v>19</v>
      </c>
      <c r="B28" s="43" t="s">
        <v>4</v>
      </c>
      <c r="C28" s="12" t="s">
        <v>83</v>
      </c>
      <c r="D28" s="16">
        <f t="shared" si="0"/>
        <v>490329.5</v>
      </c>
      <c r="F28" s="14"/>
      <c r="G28" s="14">
        <v>213579.5</v>
      </c>
      <c r="H28" s="14">
        <v>276750</v>
      </c>
      <c r="I28" s="14"/>
      <c r="J28" s="17">
        <f t="shared" si="3"/>
        <v>490329.5</v>
      </c>
    </row>
    <row r="29" spans="1:10" x14ac:dyDescent="0.25">
      <c r="A29" s="10">
        <f t="shared" si="2"/>
        <v>20</v>
      </c>
      <c r="B29" s="56" t="s">
        <v>5</v>
      </c>
      <c r="C29" s="44" t="s">
        <v>53</v>
      </c>
      <c r="D29" s="55" t="s">
        <v>53</v>
      </c>
      <c r="F29" s="14"/>
      <c r="G29" s="14"/>
      <c r="H29" s="14"/>
      <c r="I29" s="14"/>
      <c r="J29" s="17">
        <f t="shared" si="3"/>
        <v>0</v>
      </c>
    </row>
    <row r="30" spans="1:10" x14ac:dyDescent="0.25">
      <c r="A30" s="10">
        <f t="shared" si="2"/>
        <v>21</v>
      </c>
      <c r="B30" s="13" t="s">
        <v>6</v>
      </c>
      <c r="C30" s="44" t="s">
        <v>29</v>
      </c>
      <c r="D30" s="55" t="s">
        <v>29</v>
      </c>
      <c r="F30" s="14"/>
      <c r="G30" s="14"/>
      <c r="H30" s="14"/>
      <c r="I30" s="14"/>
      <c r="J30" s="59"/>
    </row>
    <row r="31" spans="1:10" x14ac:dyDescent="0.25">
      <c r="A31" s="10">
        <f t="shared" si="2"/>
        <v>22</v>
      </c>
      <c r="B31" s="11" t="s">
        <v>7</v>
      </c>
      <c r="C31" s="12" t="s">
        <v>86</v>
      </c>
      <c r="D31" s="16">
        <f t="shared" ref="D31:D33" si="4">J31</f>
        <v>724793</v>
      </c>
      <c r="E31" s="14"/>
      <c r="F31" s="14">
        <v>257698</v>
      </c>
      <c r="G31" s="14">
        <v>221848</v>
      </c>
      <c r="H31" s="14">
        <v>245247</v>
      </c>
      <c r="I31" s="14"/>
      <c r="J31" s="17">
        <f t="shared" si="1"/>
        <v>724793</v>
      </c>
    </row>
    <row r="32" spans="1:10" x14ac:dyDescent="0.25">
      <c r="A32" s="10">
        <f t="shared" si="2"/>
        <v>23</v>
      </c>
      <c r="B32" s="43" t="s">
        <v>8</v>
      </c>
      <c r="C32" s="12" t="s">
        <v>89</v>
      </c>
      <c r="D32" s="16">
        <f t="shared" si="4"/>
        <v>1004467</v>
      </c>
      <c r="E32" s="15"/>
      <c r="F32" s="15">
        <v>321850</v>
      </c>
      <c r="G32" s="14">
        <v>195581</v>
      </c>
      <c r="H32" s="14">
        <v>487036</v>
      </c>
      <c r="I32" s="54"/>
      <c r="J32" s="17">
        <f t="shared" si="1"/>
        <v>1004467</v>
      </c>
    </row>
    <row r="33" spans="1:10" x14ac:dyDescent="0.25">
      <c r="A33" s="10">
        <f t="shared" si="2"/>
        <v>24</v>
      </c>
      <c r="B33" s="56" t="s">
        <v>9</v>
      </c>
      <c r="C33" s="12" t="s">
        <v>94</v>
      </c>
      <c r="D33" s="16">
        <f t="shared" si="4"/>
        <v>868821</v>
      </c>
      <c r="E33" s="15"/>
      <c r="F33" s="15">
        <v>246790</v>
      </c>
      <c r="G33" s="14">
        <v>219115</v>
      </c>
      <c r="H33" s="14">
        <v>402916</v>
      </c>
      <c r="I33" s="14"/>
      <c r="J33" s="17">
        <f t="shared" si="1"/>
        <v>868821</v>
      </c>
    </row>
    <row r="34" spans="1:10" x14ac:dyDescent="0.25">
      <c r="A34" s="10">
        <f>A33+1</f>
        <v>25</v>
      </c>
      <c r="B34" s="11" t="s">
        <v>30</v>
      </c>
      <c r="C34" s="12" t="s">
        <v>97</v>
      </c>
      <c r="D34" s="16">
        <f t="shared" ref="D34:D39" si="5">J34</f>
        <v>927399.5</v>
      </c>
      <c r="E34" s="14"/>
      <c r="F34" s="14">
        <v>388330</v>
      </c>
      <c r="G34" s="14">
        <v>199250.5</v>
      </c>
      <c r="H34" s="14">
        <v>339819</v>
      </c>
      <c r="I34" s="14"/>
      <c r="J34" s="17">
        <f t="shared" si="1"/>
        <v>927399.5</v>
      </c>
    </row>
    <row r="35" spans="1:10" x14ac:dyDescent="0.25">
      <c r="A35" s="10">
        <f t="shared" si="2"/>
        <v>26</v>
      </c>
      <c r="B35" s="43" t="s">
        <v>4</v>
      </c>
      <c r="C35" s="12" t="s">
        <v>100</v>
      </c>
      <c r="D35" s="16">
        <f t="shared" si="5"/>
        <v>622529</v>
      </c>
      <c r="E35" s="14"/>
      <c r="F35" s="14"/>
      <c r="G35" s="14">
        <v>327003</v>
      </c>
      <c r="H35" s="14">
        <v>295526</v>
      </c>
      <c r="I35" s="14"/>
      <c r="J35" s="17">
        <f t="shared" si="1"/>
        <v>622529</v>
      </c>
    </row>
    <row r="36" spans="1:10" x14ac:dyDescent="0.25">
      <c r="A36" s="10">
        <f t="shared" si="2"/>
        <v>27</v>
      </c>
      <c r="B36" s="56" t="s">
        <v>5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3" t="s">
        <v>6</v>
      </c>
      <c r="C37" s="44" t="s">
        <v>29</v>
      </c>
      <c r="D37" s="55" t="s">
        <v>29</v>
      </c>
      <c r="E37" s="14"/>
      <c r="F37" s="14"/>
      <c r="G37" s="14"/>
      <c r="H37" s="14"/>
      <c r="I37" s="14"/>
      <c r="J37" s="59"/>
    </row>
    <row r="38" spans="1:10" x14ac:dyDescent="0.25">
      <c r="A38" s="10">
        <f t="shared" si="2"/>
        <v>29</v>
      </c>
      <c r="B38" s="43" t="s">
        <v>7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8</v>
      </c>
      <c r="C39" s="12"/>
      <c r="D39" s="16">
        <f t="shared" si="5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56"/>
      <c r="C40" s="12"/>
      <c r="D40" s="16"/>
      <c r="E40" s="14"/>
      <c r="F40" s="14"/>
      <c r="G40" s="14"/>
      <c r="H40" s="14"/>
      <c r="I40" s="14"/>
      <c r="J40" s="17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5" t="s">
        <v>10</v>
      </c>
      <c r="B42" s="116"/>
      <c r="C42" s="117"/>
      <c r="D42" s="48">
        <f>SUM(D2:D41)</f>
        <v>15175360.440000001</v>
      </c>
      <c r="J42" s="49">
        <f>SUM(J10:J41)</f>
        <v>15175360.440000001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5"/>
  <sheetViews>
    <sheetView tabSelected="1" topLeftCell="P1071" zoomScaleNormal="100" workbookViewId="0">
      <selection activeCell="AL1100" sqref="AL110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64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64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64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38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32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33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8" t="s">
        <v>17</v>
      </c>
      <c r="E10" s="118"/>
      <c r="F10" s="75"/>
      <c r="G10" s="27"/>
      <c r="I10" s="119" t="s">
        <v>18</v>
      </c>
      <c r="J10" s="120"/>
      <c r="K10" s="121" t="s">
        <v>19</v>
      </c>
      <c r="N10" s="25"/>
      <c r="O10" s="26"/>
      <c r="P10" s="118" t="s">
        <v>17</v>
      </c>
      <c r="Q10" s="118"/>
      <c r="R10" s="75"/>
      <c r="S10" s="27"/>
      <c r="U10" s="119" t="s">
        <v>18</v>
      </c>
      <c r="V10" s="120"/>
      <c r="W10" s="121" t="s">
        <v>19</v>
      </c>
      <c r="Z10" s="25"/>
      <c r="AA10" s="26"/>
      <c r="AB10" s="118" t="s">
        <v>17</v>
      </c>
      <c r="AC10" s="118"/>
      <c r="AD10" s="75"/>
      <c r="AE10" s="27"/>
      <c r="AG10" s="119" t="s">
        <v>18</v>
      </c>
      <c r="AH10" s="120"/>
      <c r="AI10" s="121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31</v>
      </c>
      <c r="G11" s="78" t="s">
        <v>24</v>
      </c>
      <c r="I11" s="29" t="s">
        <v>25</v>
      </c>
      <c r="J11" s="29" t="s">
        <v>26</v>
      </c>
      <c r="K11" s="122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31</v>
      </c>
      <c r="S11" s="78" t="s">
        <v>24</v>
      </c>
      <c r="U11" s="29" t="s">
        <v>25</v>
      </c>
      <c r="V11" s="29" t="s">
        <v>26</v>
      </c>
      <c r="W11" s="122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31</v>
      </c>
      <c r="AE11" s="78" t="s">
        <v>24</v>
      </c>
      <c r="AG11" s="29" t="s">
        <v>25</v>
      </c>
      <c r="AH11" s="29" t="s">
        <v>26</v>
      </c>
      <c r="AI11" s="122"/>
    </row>
    <row r="12" spans="1:35" x14ac:dyDescent="0.25">
      <c r="A12" s="10">
        <v>1</v>
      </c>
      <c r="B12" s="30">
        <v>46028</v>
      </c>
      <c r="C12" s="83">
        <v>10826</v>
      </c>
      <c r="D12" s="32">
        <f>650*53+670*2+622*3</f>
        <v>37656</v>
      </c>
      <c r="E12" s="32"/>
      <c r="F12" s="32"/>
      <c r="G12" s="32">
        <f t="shared" ref="G12:G45" si="0">SUM(D12:E12)</f>
        <v>37656</v>
      </c>
      <c r="H12" s="12"/>
      <c r="I12" s="12"/>
      <c r="J12" s="12"/>
      <c r="K12" s="12">
        <f t="shared" ref="K12:K45" si="1">SUM(G12:J12)</f>
        <v>37656</v>
      </c>
      <c r="M12" s="10">
        <v>1</v>
      </c>
      <c r="N12" s="30">
        <v>46028</v>
      </c>
      <c r="O12" s="31">
        <v>10791</v>
      </c>
      <c r="P12" s="32">
        <f>650*3+9.5*3</f>
        <v>1978.5</v>
      </c>
      <c r="Q12" s="32"/>
      <c r="R12" s="32"/>
      <c r="S12" s="32">
        <f>SUM(P12:Q12)</f>
        <v>1978.5</v>
      </c>
      <c r="T12" s="12"/>
      <c r="U12" s="12">
        <f>4.5*6</f>
        <v>27</v>
      </c>
      <c r="V12" s="12"/>
      <c r="W12" s="12">
        <f>SUM(S12:V12)</f>
        <v>2005.5</v>
      </c>
      <c r="Y12" s="10">
        <v>1</v>
      </c>
      <c r="Z12" s="30">
        <v>46028</v>
      </c>
      <c r="AA12" s="31">
        <v>10733</v>
      </c>
      <c r="AB12" s="32">
        <f>650*98+229*4</f>
        <v>64616</v>
      </c>
      <c r="AC12" s="32">
        <f>-98*6</f>
        <v>-588</v>
      </c>
      <c r="AD12" s="32"/>
      <c r="AE12" s="32">
        <f>SUM(AB12:AC12)</f>
        <v>64028</v>
      </c>
      <c r="AF12" s="12"/>
      <c r="AG12" s="12"/>
      <c r="AH12" s="12">
        <f>-111*175</f>
        <v>-19425</v>
      </c>
      <c r="AI12" s="12">
        <f>SUM(AE12:AH12)</f>
        <v>44603</v>
      </c>
    </row>
    <row r="13" spans="1:35" x14ac:dyDescent="0.25">
      <c r="A13" s="10">
        <v>2</v>
      </c>
      <c r="B13" s="30">
        <v>46028</v>
      </c>
      <c r="C13" s="83">
        <f>C12+1</f>
        <v>10827</v>
      </c>
      <c r="D13" s="32">
        <f>650*13+622*7+229+500</f>
        <v>13533</v>
      </c>
      <c r="E13" s="32"/>
      <c r="F13" s="32"/>
      <c r="G13" s="32">
        <f t="shared" si="0"/>
        <v>13533</v>
      </c>
      <c r="H13" s="12"/>
      <c r="I13" s="12"/>
      <c r="J13" s="12"/>
      <c r="K13" s="12">
        <f t="shared" si="1"/>
        <v>13533</v>
      </c>
      <c r="M13" s="10">
        <v>2</v>
      </c>
      <c r="N13" s="30">
        <v>46028</v>
      </c>
      <c r="O13" s="31">
        <f>O12+1</f>
        <v>10792</v>
      </c>
      <c r="P13" s="32">
        <f>622*32</f>
        <v>19904</v>
      </c>
      <c r="Q13" s="32"/>
      <c r="R13" s="32"/>
      <c r="S13" s="32">
        <f t="shared" ref="S13:S44" si="2">SUM(P13:Q13)</f>
        <v>19904</v>
      </c>
      <c r="T13" s="12"/>
      <c r="U13" s="12"/>
      <c r="V13" s="12"/>
      <c r="W13" s="12">
        <f t="shared" ref="W13:W44" si="3">SUM(S13:V13)</f>
        <v>19904</v>
      </c>
      <c r="Y13" s="10">
        <v>2</v>
      </c>
      <c r="Z13" s="30">
        <v>46028</v>
      </c>
      <c r="AA13" s="31">
        <f>AA12+1</f>
        <v>10734</v>
      </c>
      <c r="AB13" s="32">
        <f>650*55+670*5+622*20+1050+872*3+229*3</f>
        <v>55893</v>
      </c>
      <c r="AC13" s="32">
        <f>-84*6</f>
        <v>-504</v>
      </c>
      <c r="AD13" s="32"/>
      <c r="AE13" s="32">
        <f t="shared" ref="AE13:AE44" si="4">SUM(AB13:AC13)</f>
        <v>55389</v>
      </c>
      <c r="AF13" s="12"/>
      <c r="AG13" s="12"/>
      <c r="AH13" s="12"/>
      <c r="AI13" s="12">
        <f t="shared" ref="AI13:AI44" si="5">SUM(AE13:AH13)</f>
        <v>55389</v>
      </c>
    </row>
    <row r="14" spans="1:35" x14ac:dyDescent="0.25">
      <c r="A14" s="10">
        <v>3</v>
      </c>
      <c r="B14" s="30">
        <v>46028</v>
      </c>
      <c r="C14" s="83">
        <f t="shared" ref="C14:C16" si="6">C13+1</f>
        <v>10828</v>
      </c>
      <c r="D14" s="33">
        <f>650*52</f>
        <v>33800</v>
      </c>
      <c r="E14" s="33"/>
      <c r="F14" s="33"/>
      <c r="G14" s="33">
        <f t="shared" si="0"/>
        <v>33800</v>
      </c>
      <c r="H14" s="34"/>
      <c r="I14" s="34"/>
      <c r="J14" s="34"/>
      <c r="K14" s="34">
        <f t="shared" si="1"/>
        <v>33800</v>
      </c>
      <c r="M14" s="10">
        <v>3</v>
      </c>
      <c r="N14" s="30">
        <v>46028</v>
      </c>
      <c r="O14" s="31">
        <f t="shared" ref="O14:O20" si="7">O13+1</f>
        <v>10793</v>
      </c>
      <c r="P14" s="32">
        <f>650*108+622*8+229*2</f>
        <v>75634</v>
      </c>
      <c r="Q14" s="32">
        <f>-116*6</f>
        <v>-696</v>
      </c>
      <c r="R14" s="32"/>
      <c r="S14" s="32">
        <f t="shared" si="2"/>
        <v>74938</v>
      </c>
      <c r="T14" s="12"/>
      <c r="U14" s="12">
        <f>1.5*48</f>
        <v>72</v>
      </c>
      <c r="V14" s="12"/>
      <c r="W14" s="12">
        <f t="shared" si="3"/>
        <v>75010</v>
      </c>
      <c r="Y14" s="10">
        <v>3</v>
      </c>
      <c r="Z14" s="30">
        <v>46028</v>
      </c>
      <c r="AA14" s="31">
        <f t="shared" ref="AA14:AA17" si="8">AA13+1</f>
        <v>10735</v>
      </c>
      <c r="AB14" s="33">
        <f>650*10+1050</f>
        <v>7550</v>
      </c>
      <c r="AC14" s="33"/>
      <c r="AD14" s="32"/>
      <c r="AE14" s="32">
        <f t="shared" si="4"/>
        <v>7550</v>
      </c>
      <c r="AF14" s="12"/>
      <c r="AG14" s="12"/>
      <c r="AH14" s="12"/>
      <c r="AI14" s="12">
        <f t="shared" si="5"/>
        <v>7550</v>
      </c>
    </row>
    <row r="15" spans="1:35" x14ac:dyDescent="0.25">
      <c r="A15" s="10">
        <v>4</v>
      </c>
      <c r="B15" s="30">
        <v>46028</v>
      </c>
      <c r="C15" s="83">
        <f t="shared" si="6"/>
        <v>10829</v>
      </c>
      <c r="D15" s="32">
        <f>650*19+622*3</f>
        <v>14216</v>
      </c>
      <c r="E15" s="32"/>
      <c r="F15" s="32"/>
      <c r="G15" s="32">
        <f t="shared" si="0"/>
        <v>14216</v>
      </c>
      <c r="H15" s="12"/>
      <c r="I15" s="12"/>
      <c r="J15" s="12"/>
      <c r="K15" s="12">
        <f t="shared" si="1"/>
        <v>14216</v>
      </c>
      <c r="M15" s="10">
        <v>4</v>
      </c>
      <c r="N15" s="30">
        <v>46028</v>
      </c>
      <c r="O15" s="31">
        <f t="shared" si="7"/>
        <v>10794</v>
      </c>
      <c r="P15" s="32">
        <f>650*55+229</f>
        <v>35979</v>
      </c>
      <c r="Q15" s="32"/>
      <c r="R15" s="32"/>
      <c r="S15" s="32">
        <f t="shared" si="2"/>
        <v>35979</v>
      </c>
      <c r="T15" s="12"/>
      <c r="U15" s="12">
        <f>4.5*2+1.5*24</f>
        <v>45</v>
      </c>
      <c r="V15" s="12"/>
      <c r="W15" s="12">
        <f t="shared" si="3"/>
        <v>36024</v>
      </c>
      <c r="Y15" s="10">
        <v>4</v>
      </c>
      <c r="Z15" s="30">
        <v>46028</v>
      </c>
      <c r="AA15" s="31">
        <f t="shared" si="8"/>
        <v>10736</v>
      </c>
      <c r="AB15" s="32">
        <f>650*54+229*2</f>
        <v>35558</v>
      </c>
      <c r="AC15" s="32"/>
      <c r="AD15" s="32"/>
      <c r="AE15" s="32">
        <f t="shared" si="4"/>
        <v>35558</v>
      </c>
      <c r="AF15" s="12"/>
      <c r="AG15">
        <f>1.5*27</f>
        <v>40.5</v>
      </c>
      <c r="AH15" s="12"/>
      <c r="AI15" s="12">
        <f t="shared" si="5"/>
        <v>35598.5</v>
      </c>
    </row>
    <row r="16" spans="1:35" x14ac:dyDescent="0.25">
      <c r="A16" s="10">
        <v>5</v>
      </c>
      <c r="B16" s="30">
        <v>46028</v>
      </c>
      <c r="C16" s="83">
        <f t="shared" si="6"/>
        <v>10830</v>
      </c>
      <c r="D16" s="32">
        <f>650*432+670*8+912*10+872*10+229*5+650*2</f>
        <v>306445</v>
      </c>
      <c r="E16" s="32">
        <f>-460*6</f>
        <v>-2760</v>
      </c>
      <c r="F16" s="32"/>
      <c r="G16" s="32">
        <f t="shared" si="0"/>
        <v>303685</v>
      </c>
      <c r="H16" s="12"/>
      <c r="I16" s="12">
        <f>111*142+120*5</f>
        <v>16362</v>
      </c>
      <c r="J16" s="12">
        <f>-78*11+-84*4+-42*25+-4.5+-1.5*7</f>
        <v>-2259</v>
      </c>
      <c r="K16" s="12">
        <f t="shared" si="1"/>
        <v>317788</v>
      </c>
      <c r="M16" s="10">
        <v>5</v>
      </c>
      <c r="N16" s="30">
        <v>46028</v>
      </c>
      <c r="O16" s="31">
        <f t="shared" si="7"/>
        <v>10795</v>
      </c>
      <c r="P16" s="32">
        <f>650*24+9.5*5</f>
        <v>15647.5</v>
      </c>
      <c r="Q16" s="32"/>
      <c r="R16" s="32"/>
      <c r="S16" s="32">
        <f t="shared" si="2"/>
        <v>15647.5</v>
      </c>
      <c r="T16" s="12"/>
      <c r="U16" s="12">
        <f>4.5*6</f>
        <v>27</v>
      </c>
      <c r="V16" s="12"/>
      <c r="W16" s="12">
        <f t="shared" si="3"/>
        <v>15674.5</v>
      </c>
      <c r="Y16" s="10">
        <v>5</v>
      </c>
      <c r="Z16" s="30">
        <v>46028</v>
      </c>
      <c r="AA16" s="31">
        <f t="shared" si="8"/>
        <v>10737</v>
      </c>
      <c r="AB16" s="32">
        <f>650*75+622*5+912+229</f>
        <v>53001</v>
      </c>
      <c r="AC16" s="32"/>
      <c r="AD16" s="32"/>
      <c r="AE16" s="32">
        <f t="shared" ref="AE16:AE21" si="9">SUM(AB16:AC16)</f>
        <v>53001</v>
      </c>
      <c r="AF16" s="12"/>
      <c r="AG16" s="12">
        <v>120</v>
      </c>
      <c r="AH16" s="12"/>
      <c r="AI16" s="12">
        <f t="shared" si="5"/>
        <v>53121</v>
      </c>
    </row>
    <row r="17" spans="1:35" x14ac:dyDescent="0.25">
      <c r="A17" s="10">
        <v>6</v>
      </c>
      <c r="B17" s="30"/>
      <c r="C17" s="11" t="s">
        <v>27</v>
      </c>
      <c r="D17" s="32"/>
      <c r="E17" s="32"/>
      <c r="F17" s="32"/>
      <c r="G17" s="32">
        <f t="shared" si="0"/>
        <v>0</v>
      </c>
      <c r="H17" s="12"/>
      <c r="I17" s="12"/>
      <c r="J17" s="12"/>
      <c r="K17" s="12">
        <f t="shared" si="1"/>
        <v>0</v>
      </c>
      <c r="M17" s="10">
        <v>6</v>
      </c>
      <c r="N17" s="30">
        <v>46028</v>
      </c>
      <c r="O17" s="31">
        <f t="shared" si="7"/>
        <v>10796</v>
      </c>
      <c r="P17" s="32">
        <f>650*13+650</f>
        <v>9100</v>
      </c>
      <c r="Q17" s="32"/>
      <c r="R17" s="32"/>
      <c r="S17" s="32">
        <f t="shared" si="2"/>
        <v>9100</v>
      </c>
      <c r="T17" s="12"/>
      <c r="U17" s="12">
        <f>4.5*6</f>
        <v>27</v>
      </c>
      <c r="V17" s="10"/>
      <c r="W17" s="12">
        <f t="shared" si="3"/>
        <v>9127</v>
      </c>
      <c r="Y17" s="10">
        <v>6</v>
      </c>
      <c r="Z17" s="30">
        <v>46028</v>
      </c>
      <c r="AA17" s="31">
        <f t="shared" si="8"/>
        <v>10738</v>
      </c>
      <c r="AB17" s="32">
        <f>650*5+670</f>
        <v>3920</v>
      </c>
      <c r="AC17" s="32"/>
      <c r="AD17" s="32"/>
      <c r="AE17" s="32">
        <f t="shared" si="9"/>
        <v>3920</v>
      </c>
      <c r="AF17" s="12"/>
      <c r="AG17" s="12"/>
      <c r="AH17" s="10"/>
      <c r="AI17" s="12">
        <f t="shared" si="5"/>
        <v>3920</v>
      </c>
    </row>
    <row r="18" spans="1:35" x14ac:dyDescent="0.25">
      <c r="A18" s="10">
        <v>7</v>
      </c>
      <c r="B18" s="30"/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>
        <v>46028</v>
      </c>
      <c r="O18" s="31">
        <f t="shared" si="7"/>
        <v>10797</v>
      </c>
      <c r="P18" s="32">
        <f>650*28+9.5*5</f>
        <v>18247.5</v>
      </c>
      <c r="Q18" s="32"/>
      <c r="R18" s="32"/>
      <c r="S18" s="32">
        <f t="shared" si="2"/>
        <v>18247.5</v>
      </c>
      <c r="T18" s="12"/>
      <c r="U18" s="12">
        <f>4.5*3</f>
        <v>13.5</v>
      </c>
      <c r="V18" s="12"/>
      <c r="W18" s="12">
        <f t="shared" si="3"/>
        <v>18261</v>
      </c>
      <c r="Y18" s="10">
        <v>7</v>
      </c>
      <c r="Z18" s="30"/>
      <c r="AA18" s="11" t="s">
        <v>27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/>
      <c r="C19" s="83"/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>
        <v>46028</v>
      </c>
      <c r="O19" s="31">
        <f t="shared" si="7"/>
        <v>10798</v>
      </c>
      <c r="P19" s="32">
        <f>650*19+670*2+9.5*5</f>
        <v>13737.5</v>
      </c>
      <c r="Q19" s="32"/>
      <c r="R19" s="32"/>
      <c r="S19" s="32">
        <f t="shared" si="2"/>
        <v>13737.5</v>
      </c>
      <c r="T19" s="12"/>
      <c r="U19" s="12"/>
      <c r="V19" s="12"/>
      <c r="W19" s="12">
        <f t="shared" si="3"/>
        <v>13737.5</v>
      </c>
      <c r="Y19" s="10">
        <v>8</v>
      </c>
      <c r="Z19" s="30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83"/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>
        <v>46028</v>
      </c>
      <c r="O20" s="31">
        <f t="shared" si="7"/>
        <v>10799</v>
      </c>
      <c r="P20" s="32">
        <f>650*6+670*2+1050+872</f>
        <v>7162</v>
      </c>
      <c r="Q20" s="32"/>
      <c r="R20" s="32"/>
      <c r="S20" s="32">
        <f t="shared" si="2"/>
        <v>7162</v>
      </c>
      <c r="T20" s="12"/>
      <c r="U20" s="12"/>
      <c r="V20" s="12"/>
      <c r="W20" s="12">
        <f t="shared" si="3"/>
        <v>7162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>
        <v>46028</v>
      </c>
      <c r="O21" s="31">
        <f>O20+1</f>
        <v>10800</v>
      </c>
      <c r="P21" s="32">
        <f>650*9+670*2</f>
        <v>7190</v>
      </c>
      <c r="Q21" s="32"/>
      <c r="R21" s="32"/>
      <c r="S21" s="32">
        <f t="shared" si="2"/>
        <v>7190</v>
      </c>
      <c r="T21" s="12"/>
      <c r="U21" s="12"/>
      <c r="V21" s="12"/>
      <c r="W21" s="12">
        <f t="shared" si="3"/>
        <v>7190</v>
      </c>
      <c r="Y21" s="10">
        <v>10</v>
      </c>
      <c r="Z21" s="30"/>
      <c r="AA21" s="1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>
        <v>46028</v>
      </c>
      <c r="O22" s="31">
        <f>O21+1</f>
        <v>10801</v>
      </c>
      <c r="P22" s="32">
        <f>650*10</f>
        <v>6500</v>
      </c>
      <c r="Q22" s="32"/>
      <c r="R22" s="32"/>
      <c r="S22" s="32">
        <f t="shared" si="2"/>
        <v>6500</v>
      </c>
      <c r="T22" s="12"/>
      <c r="U22" s="12"/>
      <c r="V22" s="12"/>
      <c r="W22" s="12">
        <f t="shared" si="3"/>
        <v>6500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11" t="s">
        <v>27</v>
      </c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405650</v>
      </c>
      <c r="E55" s="38">
        <f t="shared" ref="E55:F55" si="18">SUM(E12:E52)</f>
        <v>-2760</v>
      </c>
      <c r="F55" s="38">
        <f t="shared" si="18"/>
        <v>0</v>
      </c>
      <c r="G55" s="38">
        <f>SUM(G12:G54)</f>
        <v>402890</v>
      </c>
      <c r="H55" s="4"/>
      <c r="I55" s="39">
        <f>SUM(I12:I54)</f>
        <v>16362</v>
      </c>
      <c r="J55" s="39">
        <f>SUM(J12:J54)</f>
        <v>-2259</v>
      </c>
      <c r="K55" s="40">
        <f>SUM(K12:K54)</f>
        <v>416993</v>
      </c>
      <c r="N55" s="57"/>
      <c r="O55" s="57"/>
      <c r="P55" s="38">
        <f>SUM(P12:P54)</f>
        <v>211080</v>
      </c>
      <c r="Q55" s="38">
        <f>SUM(Q12:Q36)</f>
        <v>-696</v>
      </c>
      <c r="R55" s="38">
        <f>SUM(R12:R36)</f>
        <v>0</v>
      </c>
      <c r="S55" s="38">
        <f>SUM(S12:S54)</f>
        <v>210384</v>
      </c>
      <c r="T55" s="4"/>
      <c r="U55" s="41">
        <f>SUM(U12:U54)</f>
        <v>211.5</v>
      </c>
      <c r="V55" s="41">
        <f>SUM(V12:V36)</f>
        <v>0</v>
      </c>
      <c r="W55" s="42">
        <f>SUM(W12:W54)</f>
        <v>210595.5</v>
      </c>
      <c r="Z55" s="57"/>
      <c r="AA55" s="57"/>
      <c r="AB55" s="38">
        <f>SUM(AB12:AB54)</f>
        <v>220538</v>
      </c>
      <c r="AC55" s="38">
        <f>SUM(AC12:AC36)</f>
        <v>-1092</v>
      </c>
      <c r="AD55" s="38">
        <f>SUM(AD12:AD36)</f>
        <v>0</v>
      </c>
      <c r="AE55" s="38">
        <f>SUM(AE12:AE54)</f>
        <v>219446</v>
      </c>
      <c r="AF55" s="4"/>
      <c r="AG55" s="41">
        <f>SUM(AG12:AG54)</f>
        <v>160.5</v>
      </c>
      <c r="AH55" s="41">
        <f>SUM(AH12:AH36)</f>
        <v>-19425</v>
      </c>
      <c r="AI55" s="42">
        <f>SUM(AI12:AI54)</f>
        <v>200181.5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40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40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40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41</v>
      </c>
      <c r="B63" s="20"/>
      <c r="C63" s="57"/>
      <c r="D63" s="57"/>
      <c r="E63" s="57"/>
      <c r="G63" s="57"/>
      <c r="I63" s="22" t="s">
        <v>16</v>
      </c>
      <c r="J63" s="23" t="s">
        <v>42</v>
      </c>
      <c r="K63" s="24"/>
      <c r="M63" s="21" t="s">
        <v>41</v>
      </c>
      <c r="N63" s="20"/>
      <c r="O63" s="57"/>
      <c r="P63" s="57"/>
      <c r="Q63" s="57"/>
      <c r="R63" s="57"/>
      <c r="S63" s="57"/>
      <c r="U63" s="22" t="s">
        <v>16</v>
      </c>
      <c r="V63" s="23" t="s">
        <v>32</v>
      </c>
      <c r="W63" s="24"/>
      <c r="Y63" s="21" t="s">
        <v>41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33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8" t="s">
        <v>17</v>
      </c>
      <c r="E65" s="118"/>
      <c r="F65" s="89"/>
      <c r="G65" s="27"/>
      <c r="I65" s="119" t="s">
        <v>18</v>
      </c>
      <c r="J65" s="120"/>
      <c r="K65" s="121" t="s">
        <v>19</v>
      </c>
      <c r="N65" s="25"/>
      <c r="O65" s="26"/>
      <c r="P65" s="118" t="s">
        <v>17</v>
      </c>
      <c r="Q65" s="118"/>
      <c r="R65" s="89"/>
      <c r="S65" s="27"/>
      <c r="U65" s="119" t="s">
        <v>18</v>
      </c>
      <c r="V65" s="120"/>
      <c r="W65" s="121" t="s">
        <v>19</v>
      </c>
      <c r="Z65" s="25"/>
      <c r="AA65" s="26"/>
      <c r="AB65" s="118" t="s">
        <v>17</v>
      </c>
      <c r="AC65" s="118"/>
      <c r="AD65" s="89"/>
      <c r="AE65" s="27"/>
      <c r="AG65" s="119" t="s">
        <v>18</v>
      </c>
      <c r="AH65" s="120"/>
      <c r="AI65" s="121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31</v>
      </c>
      <c r="G66" s="78" t="s">
        <v>24</v>
      </c>
      <c r="I66" s="29" t="s">
        <v>25</v>
      </c>
      <c r="J66" s="29" t="s">
        <v>26</v>
      </c>
      <c r="K66" s="122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31</v>
      </c>
      <c r="S66" s="78" t="s">
        <v>24</v>
      </c>
      <c r="U66" s="29" t="s">
        <v>25</v>
      </c>
      <c r="V66" s="29" t="s">
        <v>26</v>
      </c>
      <c r="W66" s="122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31</v>
      </c>
      <c r="AE66" s="78" t="s">
        <v>24</v>
      </c>
      <c r="AG66" s="29" t="s">
        <v>25</v>
      </c>
      <c r="AH66" s="29" t="s">
        <v>26</v>
      </c>
      <c r="AI66" s="122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46059</v>
      </c>
      <c r="C67" s="83">
        <v>10831</v>
      </c>
      <c r="D67" s="32">
        <f>650*30+670*2+912</f>
        <v>21752</v>
      </c>
      <c r="E67" s="32"/>
      <c r="F67" s="32"/>
      <c r="G67" s="32">
        <f t="shared" ref="G67:G100" si="19">SUM(D67:E67)</f>
        <v>21752</v>
      </c>
      <c r="H67" s="12"/>
      <c r="I67" s="12"/>
      <c r="J67" s="12"/>
      <c r="K67" s="12">
        <f t="shared" ref="K67:K100" si="20">SUM(G67:J67)</f>
        <v>21752</v>
      </c>
      <c r="M67" s="10">
        <v>1</v>
      </c>
      <c r="N67" s="30">
        <v>46059</v>
      </c>
      <c r="O67" s="31">
        <v>10852</v>
      </c>
      <c r="P67" s="32">
        <f>650*324+229*13</f>
        <v>213577</v>
      </c>
      <c r="Q67" s="32">
        <f>-324*6</f>
        <v>-1944</v>
      </c>
      <c r="R67" s="32"/>
      <c r="S67" s="32">
        <f>SUM(P67:Q67)</f>
        <v>211633</v>
      </c>
      <c r="T67" s="12"/>
      <c r="U67" s="12">
        <f>78*10</f>
        <v>780</v>
      </c>
      <c r="V67" s="12">
        <f>-42*11</f>
        <v>-462</v>
      </c>
      <c r="W67" s="12">
        <f>SUM(S67:V67)</f>
        <v>211951</v>
      </c>
      <c r="Y67" s="10">
        <v>1</v>
      </c>
      <c r="Z67" s="30">
        <v>46059</v>
      </c>
      <c r="AA67" s="31">
        <v>10739</v>
      </c>
      <c r="AB67" s="32">
        <f>650*131+622*20+872*2</f>
        <v>99334</v>
      </c>
      <c r="AC67" s="32">
        <f>-153*6</f>
        <v>-918</v>
      </c>
      <c r="AD67" s="32"/>
      <c r="AE67" s="32">
        <f>SUM(AB67:AC67)</f>
        <v>98416</v>
      </c>
      <c r="AF67" s="12"/>
      <c r="AG67" s="12"/>
      <c r="AH67" s="12"/>
      <c r="AI67" s="12">
        <f>SUM(AE67:AH67)</f>
        <v>98416</v>
      </c>
      <c r="AK67" s="62"/>
      <c r="AL67" s="65"/>
      <c r="AM67" s="86"/>
      <c r="AN67" s="123"/>
      <c r="AO67" s="123"/>
      <c r="AP67" s="86"/>
      <c r="AQ67" s="62"/>
      <c r="AR67" s="123"/>
      <c r="AS67" s="123"/>
      <c r="AT67" s="124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46059</v>
      </c>
      <c r="C68" s="83">
        <f>C67+1</f>
        <v>10832</v>
      </c>
      <c r="D68" s="32">
        <v>650</v>
      </c>
      <c r="E68" s="32"/>
      <c r="F68" s="32"/>
      <c r="G68" s="32">
        <f t="shared" si="19"/>
        <v>650</v>
      </c>
      <c r="H68" s="12"/>
      <c r="I68" s="12"/>
      <c r="J68" s="12"/>
      <c r="K68" s="12">
        <f t="shared" si="20"/>
        <v>650</v>
      </c>
      <c r="M68" s="10">
        <v>2</v>
      </c>
      <c r="N68" s="30">
        <v>46059</v>
      </c>
      <c r="O68" s="31">
        <f>O67+1</f>
        <v>10853</v>
      </c>
      <c r="P68" s="32">
        <f>650*2+9.5*2</f>
        <v>1319</v>
      </c>
      <c r="Q68" s="32"/>
      <c r="R68" s="32"/>
      <c r="S68" s="32">
        <f t="shared" ref="S68:S99" si="21">SUM(P68:Q68)</f>
        <v>1319</v>
      </c>
      <c r="T68" s="12"/>
      <c r="U68" s="12"/>
      <c r="V68" s="12">
        <f>-111*3</f>
        <v>-333</v>
      </c>
      <c r="W68" s="12">
        <f t="shared" ref="W68:W99" si="22">SUM(S68:V68)</f>
        <v>986</v>
      </c>
      <c r="Y68" s="10">
        <v>2</v>
      </c>
      <c r="Z68" s="30">
        <v>46059</v>
      </c>
      <c r="AA68" s="31">
        <f>AA67+1</f>
        <v>10740</v>
      </c>
      <c r="AB68" s="32">
        <f>1582+1102+1175+1102*2+1582+1667*2+1102*2+650*5+650*2</f>
        <v>17733</v>
      </c>
      <c r="AC68" s="32"/>
      <c r="AD68" s="32"/>
      <c r="AE68" s="32">
        <f t="shared" ref="AE68:AE70" si="23">SUM(AB68:AC68)</f>
        <v>17733</v>
      </c>
      <c r="AF68" s="12"/>
      <c r="AG68" s="12"/>
      <c r="AH68" s="12">
        <f>-84*3</f>
        <v>-252</v>
      </c>
      <c r="AI68" s="12">
        <f t="shared" ref="AI68:AI99" si="24">SUM(AE68:AH68)</f>
        <v>17481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24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46059</v>
      </c>
      <c r="C69" s="83">
        <f t="shared" ref="C69:C77" si="25">C68+1</f>
        <v>10833</v>
      </c>
      <c r="D69" s="33">
        <f>650*30+622*5+500</f>
        <v>23110</v>
      </c>
      <c r="E69" s="33"/>
      <c r="F69" s="33"/>
      <c r="G69" s="33">
        <f t="shared" si="19"/>
        <v>23110</v>
      </c>
      <c r="H69" s="34"/>
      <c r="I69" s="34"/>
      <c r="J69" s="34"/>
      <c r="K69" s="34">
        <f t="shared" si="20"/>
        <v>23110</v>
      </c>
      <c r="M69" s="10">
        <v>3</v>
      </c>
      <c r="N69" s="30">
        <v>46059</v>
      </c>
      <c r="O69" s="31">
        <f t="shared" ref="O69:O70" si="26">O68+1</f>
        <v>10854</v>
      </c>
      <c r="P69" s="32">
        <f>650*4+622</f>
        <v>3222</v>
      </c>
      <c r="Q69" s="32"/>
      <c r="R69" s="32"/>
      <c r="S69" s="32">
        <f t="shared" si="21"/>
        <v>3222</v>
      </c>
      <c r="T69" s="12"/>
      <c r="U69" s="12"/>
      <c r="V69" s="12"/>
      <c r="W69" s="12">
        <f t="shared" si="22"/>
        <v>3222</v>
      </c>
      <c r="Y69" s="10">
        <v>3</v>
      </c>
      <c r="Z69" s="30">
        <v>46059</v>
      </c>
      <c r="AA69" s="31">
        <f t="shared" ref="AA69:AA71" si="27">AA68+1</f>
        <v>10741</v>
      </c>
      <c r="AB69" s="33">
        <f>650*200+670*20+973+622*50+700*10+872*10+872*8+872*2+500*10</f>
        <v>204913</v>
      </c>
      <c r="AC69" s="33"/>
      <c r="AD69" s="32"/>
      <c r="AE69" s="32">
        <f t="shared" si="23"/>
        <v>204913</v>
      </c>
      <c r="AF69" s="12"/>
      <c r="AG69" s="12">
        <f>200*111+20*111+120+50*111+10*111+20*120+10*120</f>
        <v>34800</v>
      </c>
      <c r="AH69" s="12">
        <f>-111*104+-84*76+-84*396</f>
        <v>-51192</v>
      </c>
      <c r="AI69" s="12">
        <f t="shared" si="24"/>
        <v>188521</v>
      </c>
      <c r="AK69" s="62"/>
      <c r="AL69" s="12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46059</v>
      </c>
      <c r="C70" s="83">
        <f t="shared" si="25"/>
        <v>10834</v>
      </c>
      <c r="D70" s="32">
        <f>650*50</f>
        <v>32500</v>
      </c>
      <c r="E70" s="32"/>
      <c r="F70" s="32"/>
      <c r="G70" s="32">
        <f t="shared" si="19"/>
        <v>32500</v>
      </c>
      <c r="H70" s="12"/>
      <c r="I70" s="12"/>
      <c r="J70" s="12"/>
      <c r="K70" s="12">
        <f t="shared" si="20"/>
        <v>32500</v>
      </c>
      <c r="M70" s="10">
        <v>4</v>
      </c>
      <c r="N70" s="30">
        <v>46059</v>
      </c>
      <c r="O70" s="31">
        <f t="shared" si="26"/>
        <v>10855</v>
      </c>
      <c r="P70" s="32">
        <f>912</f>
        <v>912</v>
      </c>
      <c r="Q70" s="32"/>
      <c r="R70" s="32"/>
      <c r="S70" s="32">
        <f t="shared" si="21"/>
        <v>912</v>
      </c>
      <c r="T70" s="12"/>
      <c r="U70" s="12"/>
      <c r="V70" s="12"/>
      <c r="W70" s="12">
        <f t="shared" si="22"/>
        <v>912</v>
      </c>
      <c r="Y70" s="10">
        <v>4</v>
      </c>
      <c r="Z70" s="30">
        <v>46059</v>
      </c>
      <c r="AA70" s="31">
        <f t="shared" si="27"/>
        <v>10742</v>
      </c>
      <c r="AB70" s="32">
        <f>1702+1702+1277+1702+1702+1242+1324+1770+650*5</f>
        <v>15671</v>
      </c>
      <c r="AC70" s="32"/>
      <c r="AD70" s="32"/>
      <c r="AE70" s="32">
        <f t="shared" si="23"/>
        <v>15671</v>
      </c>
      <c r="AF70" s="12"/>
      <c r="AH70" s="12"/>
      <c r="AI70" s="12">
        <f t="shared" si="24"/>
        <v>15671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46059</v>
      </c>
      <c r="C71" s="83">
        <f t="shared" si="25"/>
        <v>10835</v>
      </c>
      <c r="D71" s="32">
        <f>650*6+9.5*6</f>
        <v>3957</v>
      </c>
      <c r="E71" s="32"/>
      <c r="F71" s="32"/>
      <c r="G71" s="32">
        <f t="shared" si="19"/>
        <v>3957</v>
      </c>
      <c r="H71" s="12"/>
      <c r="I71" s="12"/>
      <c r="J71" s="12"/>
      <c r="K71" s="12">
        <f t="shared" si="20"/>
        <v>3957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46059</v>
      </c>
      <c r="AA71" s="31">
        <f t="shared" si="27"/>
        <v>10743</v>
      </c>
      <c r="AB71" s="32">
        <f>650*15+622*4</f>
        <v>12238</v>
      </c>
      <c r="AC71" s="32"/>
      <c r="AD71" s="32"/>
      <c r="AE71" s="32">
        <f t="shared" ref="AE71:AE76" si="28">SUM(AB71:AC71)</f>
        <v>12238</v>
      </c>
      <c r="AF71" s="12"/>
      <c r="AG71" s="12"/>
      <c r="AH71" s="12">
        <f>-1554+-1260</f>
        <v>-2814</v>
      </c>
      <c r="AI71" s="12">
        <f t="shared" si="24"/>
        <v>9424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46059</v>
      </c>
      <c r="C72" s="83">
        <f t="shared" si="25"/>
        <v>10836</v>
      </c>
      <c r="D72" s="32">
        <f>650*21</f>
        <v>13650</v>
      </c>
      <c r="E72" s="32"/>
      <c r="F72" s="32"/>
      <c r="G72" s="32">
        <f t="shared" si="19"/>
        <v>13650</v>
      </c>
      <c r="H72" s="12"/>
      <c r="I72" s="12"/>
      <c r="J72" s="12"/>
      <c r="K72" s="12">
        <f t="shared" si="20"/>
        <v>13650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46059</v>
      </c>
      <c r="C73" s="83">
        <f t="shared" si="25"/>
        <v>10837</v>
      </c>
      <c r="D73" s="32">
        <f>650*19+9.5*19</f>
        <v>12530.5</v>
      </c>
      <c r="E73" s="32"/>
      <c r="F73" s="32"/>
      <c r="G73" s="32">
        <f t="shared" si="19"/>
        <v>12530.5</v>
      </c>
      <c r="H73" s="12"/>
      <c r="I73" s="12"/>
      <c r="J73" s="12"/>
      <c r="K73" s="12">
        <f t="shared" si="20"/>
        <v>12530.5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46059</v>
      </c>
      <c r="C74" s="83">
        <f t="shared" si="25"/>
        <v>10838</v>
      </c>
      <c r="D74" s="32">
        <f>650*80+622*5</f>
        <v>55110</v>
      </c>
      <c r="E74" s="32"/>
      <c r="F74" s="32"/>
      <c r="G74" s="32">
        <f t="shared" si="19"/>
        <v>55110</v>
      </c>
      <c r="H74" s="12"/>
      <c r="I74" s="12">
        <f>4.5*33</f>
        <v>148.5</v>
      </c>
      <c r="J74" s="12"/>
      <c r="K74" s="12">
        <f t="shared" si="20"/>
        <v>55258.5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46059</v>
      </c>
      <c r="C75" s="83">
        <f t="shared" si="25"/>
        <v>10839</v>
      </c>
      <c r="D75" s="32">
        <f>650*50</f>
        <v>32500</v>
      </c>
      <c r="E75" s="32"/>
      <c r="F75" s="32"/>
      <c r="G75" s="32">
        <f t="shared" si="19"/>
        <v>32500</v>
      </c>
      <c r="H75" s="12"/>
      <c r="I75" s="12"/>
      <c r="J75" s="12"/>
      <c r="K75" s="12">
        <f t="shared" si="20"/>
        <v>32500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1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46059</v>
      </c>
      <c r="C76" s="83">
        <f t="shared" si="25"/>
        <v>10840</v>
      </c>
      <c r="D76" s="32">
        <f>650*7</f>
        <v>4550</v>
      </c>
      <c r="E76" s="32">
        <f>-7*6</f>
        <v>-42</v>
      </c>
      <c r="F76" s="32"/>
      <c r="G76" s="32">
        <f t="shared" si="19"/>
        <v>4508</v>
      </c>
      <c r="H76" s="12"/>
      <c r="I76" s="12"/>
      <c r="J76" s="12"/>
      <c r="K76" s="12">
        <f t="shared" si="20"/>
        <v>4508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1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46059</v>
      </c>
      <c r="C77" s="83">
        <f t="shared" si="25"/>
        <v>10841</v>
      </c>
      <c r="D77" s="32">
        <f>650*10+622</f>
        <v>7122</v>
      </c>
      <c r="E77" s="32"/>
      <c r="F77" s="32"/>
      <c r="G77" s="32">
        <f t="shared" si="19"/>
        <v>7122</v>
      </c>
      <c r="H77" s="12"/>
      <c r="I77" s="12"/>
      <c r="J77" s="12"/>
      <c r="K77" s="12">
        <f t="shared" si="20"/>
        <v>7122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83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1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57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207431.5</v>
      </c>
      <c r="E110" s="38">
        <f t="shared" ref="E110:F110" si="38">SUM(E67:E107)</f>
        <v>-42</v>
      </c>
      <c r="F110" s="38">
        <f t="shared" si="38"/>
        <v>0</v>
      </c>
      <c r="G110" s="38">
        <f>SUM(G67:G109)</f>
        <v>207389.5</v>
      </c>
      <c r="H110" s="4"/>
      <c r="I110" s="39">
        <f>SUM(I67:I109)</f>
        <v>148.5</v>
      </c>
      <c r="J110" s="39">
        <f>SUM(J67:J109)</f>
        <v>0</v>
      </c>
      <c r="K110" s="40">
        <f>SUM(K67:K109)</f>
        <v>207538</v>
      </c>
      <c r="N110" s="57"/>
      <c r="O110" s="57"/>
      <c r="P110" s="38">
        <f>SUM(P67:P109)</f>
        <v>219030</v>
      </c>
      <c r="Q110" s="38">
        <f>SUM(Q67:Q91)</f>
        <v>-1944</v>
      </c>
      <c r="R110" s="38">
        <f>SUM(R67:R91)</f>
        <v>0</v>
      </c>
      <c r="S110" s="38">
        <f>SUM(S67:S109)</f>
        <v>217086</v>
      </c>
      <c r="T110" s="4"/>
      <c r="U110" s="41">
        <f>SUM(U67:U109)</f>
        <v>780</v>
      </c>
      <c r="V110" s="41">
        <f>SUM(V67:V91)</f>
        <v>-795</v>
      </c>
      <c r="W110" s="42">
        <f>SUM(W67:W109)</f>
        <v>217071</v>
      </c>
      <c r="Z110" s="57"/>
      <c r="AA110" s="57"/>
      <c r="AB110" s="38">
        <f>SUM(AB67:AB109)</f>
        <v>349889</v>
      </c>
      <c r="AC110" s="38">
        <f>SUM(AC67:AC91)</f>
        <v>-918</v>
      </c>
      <c r="AD110" s="38">
        <f>SUM(AD67:AD91)</f>
        <v>0</v>
      </c>
      <c r="AE110" s="38">
        <f>SUM(AE67:AE109)</f>
        <v>348971</v>
      </c>
      <c r="AF110" s="4"/>
      <c r="AG110" s="41">
        <f>SUM(AG67:AG109)</f>
        <v>34800</v>
      </c>
      <c r="AH110" s="41">
        <f>SUM(AH67:AH91)</f>
        <v>-54258</v>
      </c>
      <c r="AI110" s="42">
        <f>SUM(AI67:AI109)</f>
        <v>329513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s="62"/>
      <c r="N112" s="87"/>
      <c r="O112" s="87"/>
      <c r="P112" s="87"/>
      <c r="Q112" s="87"/>
      <c r="R112" s="87"/>
      <c r="S112" s="87"/>
      <c r="T112" s="62"/>
      <c r="U112" s="62"/>
      <c r="V112" s="62"/>
      <c r="W112" s="62"/>
      <c r="X112" s="62"/>
      <c r="Y112" s="62"/>
      <c r="Z112" s="87"/>
      <c r="AA112" s="87"/>
      <c r="AB112" s="87"/>
      <c r="AC112" s="87"/>
      <c r="AD112" s="87"/>
      <c r="AE112" s="87"/>
      <c r="AF112" s="62"/>
      <c r="AG112" s="62"/>
      <c r="AH112" s="62"/>
      <c r="AI112" s="62"/>
      <c r="AJ112" s="62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s="62"/>
      <c r="N113" s="87"/>
      <c r="O113" s="87"/>
      <c r="P113" s="87"/>
      <c r="Q113" s="87"/>
      <c r="R113" s="87"/>
      <c r="S113" s="87"/>
      <c r="T113" s="62"/>
      <c r="U113" s="62"/>
      <c r="V113" s="62"/>
      <c r="W113" s="62"/>
      <c r="X113" s="62"/>
      <c r="Y113" s="62"/>
      <c r="Z113" s="87"/>
      <c r="AA113" s="87"/>
      <c r="AB113" s="87"/>
      <c r="AC113" s="87"/>
      <c r="AD113" s="87"/>
      <c r="AE113" s="87"/>
      <c r="AF113" s="62"/>
      <c r="AG113" s="62"/>
      <c r="AH113" s="62"/>
      <c r="AI113" s="62"/>
      <c r="AJ113" s="62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M114" s="62"/>
      <c r="N114" s="87"/>
      <c r="O114" s="87"/>
      <c r="P114" s="87"/>
      <c r="Q114" s="87"/>
      <c r="R114" s="87"/>
      <c r="S114" s="87"/>
      <c r="T114" s="62"/>
      <c r="U114" s="62"/>
      <c r="V114" s="62"/>
      <c r="W114" s="62"/>
      <c r="X114" s="62"/>
      <c r="Y114" s="62"/>
      <c r="Z114" s="87"/>
      <c r="AA114" s="87"/>
      <c r="AB114" s="87"/>
      <c r="AC114" s="87"/>
      <c r="AD114" s="87"/>
      <c r="AE114" s="87"/>
      <c r="AF114" s="62"/>
      <c r="AG114" s="62"/>
      <c r="AH114" s="62"/>
      <c r="AI114" s="62"/>
      <c r="AJ114" s="62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63"/>
      <c r="N115" s="87"/>
      <c r="O115" s="87"/>
      <c r="P115" s="87"/>
      <c r="Q115" s="87"/>
      <c r="R115" s="87"/>
      <c r="S115" s="87"/>
      <c r="T115" s="62"/>
      <c r="U115" s="62"/>
      <c r="V115" s="62"/>
      <c r="W115" s="62"/>
      <c r="X115" s="62"/>
      <c r="Y115" s="63"/>
      <c r="Z115" s="87"/>
      <c r="AA115" s="87"/>
      <c r="AB115" s="87"/>
      <c r="AC115" s="87"/>
      <c r="AD115" s="87"/>
      <c r="AE115" s="87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M116" s="62"/>
      <c r="N116" s="87"/>
      <c r="O116" s="87"/>
      <c r="P116" s="87"/>
      <c r="Q116" s="87"/>
      <c r="R116" s="87"/>
      <c r="S116" s="87"/>
      <c r="T116" s="62"/>
      <c r="U116" s="62"/>
      <c r="V116" s="62"/>
      <c r="W116" s="62"/>
      <c r="X116" s="62"/>
      <c r="Y116" s="62"/>
      <c r="Z116" s="87"/>
      <c r="AA116" s="87"/>
      <c r="AB116" s="87"/>
      <c r="AC116" s="87"/>
      <c r="AD116" s="87"/>
      <c r="AE116" s="87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s="62"/>
      <c r="N117" s="87"/>
      <c r="O117" s="87"/>
      <c r="P117" s="87"/>
      <c r="Q117" s="87"/>
      <c r="R117" s="87"/>
      <c r="S117" s="87"/>
      <c r="T117" s="62"/>
      <c r="U117" s="87"/>
      <c r="V117" s="73"/>
      <c r="W117" s="62"/>
      <c r="X117" s="62"/>
      <c r="Y117" s="62"/>
      <c r="Z117" s="87"/>
      <c r="AA117" s="87"/>
      <c r="AB117" s="87"/>
      <c r="AC117" s="87"/>
      <c r="AD117" s="87"/>
      <c r="AE117" s="87"/>
      <c r="AF117" s="62"/>
      <c r="AG117" s="87"/>
      <c r="AH117" s="87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42</v>
      </c>
      <c r="K118" s="24"/>
      <c r="M118" s="64"/>
      <c r="N118" s="87"/>
      <c r="O118" s="87"/>
      <c r="P118" s="87"/>
      <c r="Q118" s="87"/>
      <c r="R118" s="87"/>
      <c r="S118" s="87"/>
      <c r="T118" s="62"/>
      <c r="U118" s="65"/>
      <c r="V118" s="65"/>
      <c r="W118" s="62"/>
      <c r="X118" s="62"/>
      <c r="Y118" s="64"/>
      <c r="Z118" s="87"/>
      <c r="AA118" s="87"/>
      <c r="AB118" s="87"/>
      <c r="AC118" s="87"/>
      <c r="AD118" s="87"/>
      <c r="AE118" s="87"/>
      <c r="AF118" s="62"/>
      <c r="AG118" s="65"/>
      <c r="AH118" s="65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M119" s="62"/>
      <c r="N119" s="87"/>
      <c r="O119" s="87"/>
      <c r="P119" s="87"/>
      <c r="Q119" s="87"/>
      <c r="R119" s="87"/>
      <c r="S119" s="87"/>
      <c r="T119" s="62"/>
      <c r="U119" s="62"/>
      <c r="V119" s="62"/>
      <c r="W119" s="62"/>
      <c r="X119" s="62"/>
      <c r="Y119" s="62"/>
      <c r="Z119" s="87"/>
      <c r="AA119" s="87"/>
      <c r="AB119" s="87"/>
      <c r="AC119" s="87"/>
      <c r="AD119" s="87"/>
      <c r="AE119" s="87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8" t="s">
        <v>17</v>
      </c>
      <c r="E120" s="118"/>
      <c r="F120" s="90"/>
      <c r="G120" s="27"/>
      <c r="I120" s="119" t="s">
        <v>18</v>
      </c>
      <c r="J120" s="120"/>
      <c r="K120" s="121" t="s">
        <v>19</v>
      </c>
      <c r="M120" s="62"/>
      <c r="N120" s="65"/>
      <c r="O120" s="87"/>
      <c r="P120" s="123"/>
      <c r="Q120" s="123"/>
      <c r="R120" s="87"/>
      <c r="S120" s="87"/>
      <c r="T120" s="62"/>
      <c r="U120" s="123"/>
      <c r="V120" s="123"/>
      <c r="W120" s="124"/>
      <c r="X120" s="62"/>
      <c r="Y120" s="62"/>
      <c r="Z120" s="65"/>
      <c r="AA120" s="87"/>
      <c r="AB120" s="123"/>
      <c r="AC120" s="123"/>
      <c r="AD120" s="87"/>
      <c r="AE120" s="87"/>
      <c r="AF120" s="62"/>
      <c r="AG120" s="123"/>
      <c r="AH120" s="123"/>
      <c r="AI120" s="124"/>
      <c r="AJ120" s="62"/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31</v>
      </c>
      <c r="G121" s="78" t="s">
        <v>24</v>
      </c>
      <c r="I121" s="29" t="s">
        <v>25</v>
      </c>
      <c r="J121" s="29" t="s">
        <v>26</v>
      </c>
      <c r="K121" s="122"/>
      <c r="M121" s="62"/>
      <c r="N121" s="87"/>
      <c r="O121" s="87"/>
      <c r="P121" s="79"/>
      <c r="Q121" s="81"/>
      <c r="R121" s="81"/>
      <c r="S121" s="81"/>
      <c r="T121" s="62"/>
      <c r="U121" s="88"/>
      <c r="V121" s="88"/>
      <c r="W121" s="124"/>
      <c r="X121" s="62"/>
      <c r="Y121" s="62"/>
      <c r="Z121" s="87"/>
      <c r="AA121" s="87"/>
      <c r="AB121" s="79"/>
      <c r="AC121" s="81"/>
      <c r="AD121" s="81"/>
      <c r="AE121" s="81"/>
      <c r="AF121" s="62"/>
      <c r="AG121" s="88"/>
      <c r="AH121" s="88"/>
      <c r="AI121" s="124"/>
      <c r="AJ121" s="6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46087</v>
      </c>
      <c r="C122" s="83">
        <v>10842</v>
      </c>
      <c r="D122" s="32">
        <f>324*650+229*13</f>
        <v>213577</v>
      </c>
      <c r="E122" s="32">
        <v>-1944</v>
      </c>
      <c r="F122" s="32"/>
      <c r="G122" s="32">
        <f t="shared" ref="G122:G155" si="39">SUM(D122:E122)</f>
        <v>211633</v>
      </c>
      <c r="H122" s="12"/>
      <c r="I122" s="12">
        <f>90*111+78*5+168*1.5+66*4.5</f>
        <v>10929</v>
      </c>
      <c r="J122" s="12"/>
      <c r="K122" s="12">
        <f t="shared" ref="K122:K155" si="40">SUM(G122:J122)</f>
        <v>222562</v>
      </c>
      <c r="M122" s="62"/>
      <c r="N122" s="66"/>
      <c r="O122" s="87"/>
      <c r="P122" s="60"/>
      <c r="Q122" s="60"/>
      <c r="R122" s="60"/>
      <c r="S122" s="60"/>
      <c r="T122" s="61"/>
      <c r="U122" s="61"/>
      <c r="V122" s="61"/>
      <c r="W122" s="61"/>
      <c r="X122" s="62"/>
      <c r="Y122" s="62"/>
      <c r="Z122" s="66"/>
      <c r="AA122" s="87"/>
      <c r="AB122" s="60"/>
      <c r="AC122" s="60"/>
      <c r="AD122" s="60"/>
      <c r="AE122" s="60"/>
      <c r="AF122" s="61"/>
      <c r="AG122" s="61"/>
      <c r="AH122" s="61"/>
      <c r="AI122" s="61"/>
      <c r="AJ122" s="62"/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46087</v>
      </c>
      <c r="C123" s="83">
        <f>C122+1</f>
        <v>10843</v>
      </c>
      <c r="D123" s="32">
        <f>650*107+670*5+973+622*10+912+1050*2+872*2+500+650*2+500+700*2</f>
        <v>88549</v>
      </c>
      <c r="E123" s="32"/>
      <c r="F123" s="32"/>
      <c r="G123" s="32">
        <f t="shared" si="39"/>
        <v>88549</v>
      </c>
      <c r="H123" s="12"/>
      <c r="I123" s="12"/>
      <c r="J123" s="12"/>
      <c r="K123" s="12">
        <f t="shared" si="40"/>
        <v>88549</v>
      </c>
      <c r="M123" s="62"/>
      <c r="N123" s="66"/>
      <c r="O123" s="87"/>
      <c r="P123" s="60"/>
      <c r="Q123" s="60"/>
      <c r="R123" s="60"/>
      <c r="S123" s="60"/>
      <c r="T123" s="61"/>
      <c r="U123" s="61"/>
      <c r="V123" s="61"/>
      <c r="W123" s="61"/>
      <c r="X123" s="62"/>
      <c r="Y123" s="62"/>
      <c r="Z123" s="66"/>
      <c r="AA123" s="87"/>
      <c r="AB123" s="60"/>
      <c r="AC123" s="60"/>
      <c r="AD123" s="60"/>
      <c r="AE123" s="60"/>
      <c r="AF123" s="61"/>
      <c r="AG123" s="61"/>
      <c r="AH123" s="61"/>
      <c r="AI123" s="61"/>
      <c r="AJ123" s="62"/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46087</v>
      </c>
      <c r="C124" s="83">
        <f t="shared" ref="C124" si="41">C123+1</f>
        <v>10844</v>
      </c>
      <c r="D124" s="33">
        <f>650*11+9.5*11</f>
        <v>7254.5</v>
      </c>
      <c r="E124" s="33"/>
      <c r="F124" s="33"/>
      <c r="G124" s="33">
        <f t="shared" si="39"/>
        <v>7254.5</v>
      </c>
      <c r="H124" s="34"/>
      <c r="I124" s="34"/>
      <c r="J124" s="34"/>
      <c r="K124" s="34">
        <f t="shared" si="40"/>
        <v>7254.5</v>
      </c>
      <c r="M124" s="62"/>
      <c r="N124" s="66"/>
      <c r="O124" s="87"/>
      <c r="P124" s="60"/>
      <c r="Q124" s="60"/>
      <c r="R124" s="60"/>
      <c r="S124" s="60"/>
      <c r="T124" s="61"/>
      <c r="U124" s="61"/>
      <c r="V124" s="61"/>
      <c r="W124" s="61"/>
      <c r="X124" s="62"/>
      <c r="Y124" s="62"/>
      <c r="Z124" s="66"/>
      <c r="AA124" s="87"/>
      <c r="AB124" s="60"/>
      <c r="AC124" s="60"/>
      <c r="AD124" s="60"/>
      <c r="AE124" s="60"/>
      <c r="AF124" s="61"/>
      <c r="AG124" s="61"/>
      <c r="AH124" s="61"/>
      <c r="AI124" s="61"/>
      <c r="AJ124" s="62"/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11" t="s">
        <v>27</v>
      </c>
      <c r="D125" s="32"/>
      <c r="E125" s="32"/>
      <c r="F125" s="32"/>
      <c r="G125" s="32">
        <f t="shared" si="39"/>
        <v>0</v>
      </c>
      <c r="H125" s="12"/>
      <c r="I125" s="12"/>
      <c r="J125" s="12"/>
      <c r="K125" s="12">
        <f t="shared" si="40"/>
        <v>0</v>
      </c>
      <c r="M125" s="62"/>
      <c r="N125" s="66"/>
      <c r="O125" s="87"/>
      <c r="P125" s="60"/>
      <c r="Q125" s="60"/>
      <c r="R125" s="60"/>
      <c r="S125" s="60"/>
      <c r="T125" s="61"/>
      <c r="U125" s="61"/>
      <c r="V125" s="61"/>
      <c r="W125" s="61"/>
      <c r="X125" s="62"/>
      <c r="Y125" s="62"/>
      <c r="Z125" s="66"/>
      <c r="AA125" s="87"/>
      <c r="AB125" s="60"/>
      <c r="AC125" s="60"/>
      <c r="AD125" s="60"/>
      <c r="AE125" s="60"/>
      <c r="AF125" s="61"/>
      <c r="AG125" s="62"/>
      <c r="AH125" s="61"/>
      <c r="AI125" s="61"/>
      <c r="AJ125" s="62"/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9"/>
        <v>0</v>
      </c>
      <c r="H126" s="12"/>
      <c r="I126" s="12"/>
      <c r="J126" s="12"/>
      <c r="K126" s="12">
        <f t="shared" si="40"/>
        <v>0</v>
      </c>
      <c r="M126" s="62"/>
      <c r="N126" s="66"/>
      <c r="O126" s="87"/>
      <c r="P126" s="60"/>
      <c r="Q126" s="60"/>
      <c r="R126" s="60"/>
      <c r="S126" s="60"/>
      <c r="T126" s="61"/>
      <c r="U126" s="61"/>
      <c r="V126" s="61"/>
      <c r="W126" s="61"/>
      <c r="X126" s="62"/>
      <c r="Y126" s="62"/>
      <c r="Z126" s="66"/>
      <c r="AA126" s="87"/>
      <c r="AB126" s="60"/>
      <c r="AC126" s="60"/>
      <c r="AD126" s="60"/>
      <c r="AE126" s="60"/>
      <c r="AF126" s="61"/>
      <c r="AG126" s="61"/>
      <c r="AH126" s="61"/>
      <c r="AI126" s="61"/>
      <c r="AJ126" s="62"/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9"/>
        <v>0</v>
      </c>
      <c r="H127" s="12"/>
      <c r="I127" s="12"/>
      <c r="J127" s="12"/>
      <c r="K127" s="12">
        <f t="shared" si="40"/>
        <v>0</v>
      </c>
      <c r="M127" s="62"/>
      <c r="N127" s="66"/>
      <c r="O127" s="87"/>
      <c r="P127" s="60"/>
      <c r="Q127" s="60"/>
      <c r="R127" s="60"/>
      <c r="S127" s="60"/>
      <c r="T127" s="61"/>
      <c r="U127" s="61"/>
      <c r="V127" s="62"/>
      <c r="W127" s="61"/>
      <c r="X127" s="62"/>
      <c r="Y127" s="62"/>
      <c r="Z127" s="66"/>
      <c r="AA127" s="87"/>
      <c r="AB127" s="60"/>
      <c r="AC127" s="60"/>
      <c r="AD127" s="60"/>
      <c r="AE127" s="60"/>
      <c r="AF127" s="61"/>
      <c r="AG127" s="61"/>
      <c r="AH127" s="62"/>
      <c r="AI127" s="61"/>
      <c r="AJ127" s="62"/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9"/>
        <v>0</v>
      </c>
      <c r="H128" s="12"/>
      <c r="I128" s="12"/>
      <c r="J128" s="12"/>
      <c r="K128" s="12">
        <f t="shared" si="40"/>
        <v>0</v>
      </c>
      <c r="M128" s="62"/>
      <c r="N128" s="66"/>
      <c r="O128" s="87"/>
      <c r="P128" s="60"/>
      <c r="Q128" s="60"/>
      <c r="R128" s="60"/>
      <c r="S128" s="60"/>
      <c r="T128" s="61"/>
      <c r="U128" s="61"/>
      <c r="V128" s="61"/>
      <c r="W128" s="61"/>
      <c r="X128" s="62"/>
      <c r="Y128" s="62"/>
      <c r="Z128" s="66"/>
      <c r="AA128" s="87"/>
      <c r="AB128" s="60"/>
      <c r="AC128" s="60"/>
      <c r="AD128" s="60"/>
      <c r="AE128" s="60"/>
      <c r="AF128" s="61"/>
      <c r="AG128" s="61"/>
      <c r="AH128" s="61"/>
      <c r="AI128" s="61"/>
      <c r="AJ128" s="62"/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9"/>
        <v>0</v>
      </c>
      <c r="H129" s="12"/>
      <c r="I129" s="12"/>
      <c r="J129" s="12"/>
      <c r="K129" s="12">
        <f t="shared" si="40"/>
        <v>0</v>
      </c>
      <c r="M129" s="62"/>
      <c r="N129" s="66"/>
      <c r="O129" s="87"/>
      <c r="P129" s="60"/>
      <c r="Q129" s="60"/>
      <c r="R129" s="60"/>
      <c r="S129" s="60"/>
      <c r="T129" s="61"/>
      <c r="U129" s="61"/>
      <c r="V129" s="61"/>
      <c r="W129" s="61"/>
      <c r="X129" s="62"/>
      <c r="Y129" s="62"/>
      <c r="Z129" s="66"/>
      <c r="AA129" s="87"/>
      <c r="AB129" s="60"/>
      <c r="AC129" s="60"/>
      <c r="AD129" s="62"/>
      <c r="AE129" s="60"/>
      <c r="AF129" s="61"/>
      <c r="AG129" s="61"/>
      <c r="AH129" s="61"/>
      <c r="AI129" s="61"/>
      <c r="AJ129" s="62"/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9"/>
        <v>0</v>
      </c>
      <c r="H130" s="12"/>
      <c r="I130" s="12"/>
      <c r="J130" s="12"/>
      <c r="K130" s="12">
        <f t="shared" si="40"/>
        <v>0</v>
      </c>
      <c r="M130" s="62"/>
      <c r="N130" s="66"/>
      <c r="O130" s="65"/>
      <c r="P130" s="60"/>
      <c r="Q130" s="60"/>
      <c r="R130" s="60"/>
      <c r="S130" s="60"/>
      <c r="T130" s="61"/>
      <c r="U130" s="61"/>
      <c r="V130" s="61"/>
      <c r="W130" s="61"/>
      <c r="X130" s="62"/>
      <c r="Y130" s="62"/>
      <c r="Z130" s="66"/>
      <c r="AA130" s="87"/>
      <c r="AB130" s="60"/>
      <c r="AC130" s="60"/>
      <c r="AD130" s="60"/>
      <c r="AE130" s="60"/>
      <c r="AF130" s="61"/>
      <c r="AG130" s="62"/>
      <c r="AH130" s="61"/>
      <c r="AI130" s="61"/>
      <c r="AJ130" s="62"/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9"/>
        <v>0</v>
      </c>
      <c r="H131" s="12"/>
      <c r="I131" s="12"/>
      <c r="J131" s="12"/>
      <c r="K131" s="12">
        <f t="shared" si="40"/>
        <v>0</v>
      </c>
      <c r="M131" s="62"/>
      <c r="N131" s="66"/>
      <c r="O131" s="87"/>
      <c r="P131" s="60"/>
      <c r="Q131" s="60"/>
      <c r="R131" s="60"/>
      <c r="S131" s="60"/>
      <c r="T131" s="61"/>
      <c r="U131" s="61"/>
      <c r="V131" s="61"/>
      <c r="W131" s="61"/>
      <c r="X131" s="62"/>
      <c r="Y131" s="62"/>
      <c r="Z131" s="66"/>
      <c r="AA131" s="87"/>
      <c r="AB131" s="60"/>
      <c r="AC131" s="60"/>
      <c r="AD131" s="60"/>
      <c r="AE131" s="60"/>
      <c r="AF131" s="61"/>
      <c r="AG131" s="61"/>
      <c r="AH131" s="61"/>
      <c r="AI131" s="61"/>
      <c r="AJ131" s="62"/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9"/>
        <v>0</v>
      </c>
      <c r="H132" s="12"/>
      <c r="I132" s="12"/>
      <c r="J132" s="12"/>
      <c r="K132" s="12">
        <f t="shared" si="40"/>
        <v>0</v>
      </c>
      <c r="M132" s="62"/>
      <c r="N132" s="66"/>
      <c r="O132" s="87"/>
      <c r="P132" s="60"/>
      <c r="Q132" s="60"/>
      <c r="R132" s="60"/>
      <c r="S132" s="60"/>
      <c r="T132" s="61"/>
      <c r="U132" s="61"/>
      <c r="V132" s="61"/>
      <c r="W132" s="61"/>
      <c r="X132" s="62"/>
      <c r="Y132" s="62"/>
      <c r="Z132" s="66"/>
      <c r="AA132" s="65"/>
      <c r="AB132" s="60"/>
      <c r="AC132" s="60"/>
      <c r="AD132" s="60"/>
      <c r="AE132" s="60"/>
      <c r="AF132" s="61"/>
      <c r="AG132" s="61"/>
      <c r="AH132" s="61"/>
      <c r="AI132" s="61"/>
      <c r="AJ132" s="62"/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9"/>
        <v>0</v>
      </c>
      <c r="H133" s="12"/>
      <c r="I133" s="12"/>
      <c r="J133" s="10"/>
      <c r="K133" s="12">
        <f t="shared" si="40"/>
        <v>0</v>
      </c>
      <c r="M133" s="62"/>
      <c r="N133" s="66"/>
      <c r="O133" s="87"/>
      <c r="P133" s="60"/>
      <c r="Q133" s="60"/>
      <c r="R133" s="60"/>
      <c r="S133" s="60"/>
      <c r="T133" s="61"/>
      <c r="U133" s="61"/>
      <c r="V133" s="61"/>
      <c r="W133" s="61"/>
      <c r="X133" s="62"/>
      <c r="Y133" s="62"/>
      <c r="Z133" s="66"/>
      <c r="AA133" s="87"/>
      <c r="AB133" s="60"/>
      <c r="AC133" s="60"/>
      <c r="AD133" s="60"/>
      <c r="AE133" s="60"/>
      <c r="AF133" s="61"/>
      <c r="AG133" s="61"/>
      <c r="AH133" s="61"/>
      <c r="AI133" s="61"/>
      <c r="AJ133" s="62"/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9"/>
        <v>0</v>
      </c>
      <c r="H134" s="12"/>
      <c r="I134" s="12"/>
      <c r="J134" s="12"/>
      <c r="K134" s="12">
        <f t="shared" si="40"/>
        <v>0</v>
      </c>
      <c r="M134" s="62"/>
      <c r="N134" s="66"/>
      <c r="O134" s="87"/>
      <c r="P134" s="60"/>
      <c r="Q134" s="60"/>
      <c r="R134" s="60"/>
      <c r="S134" s="60"/>
      <c r="T134" s="61"/>
      <c r="U134" s="61"/>
      <c r="V134" s="61"/>
      <c r="W134" s="61"/>
      <c r="X134" s="62"/>
      <c r="Y134" s="62"/>
      <c r="Z134" s="66"/>
      <c r="AA134" s="87"/>
      <c r="AB134" s="60"/>
      <c r="AC134" s="60"/>
      <c r="AD134" s="60"/>
      <c r="AE134" s="60"/>
      <c r="AF134" s="61"/>
      <c r="AG134" s="61"/>
      <c r="AH134" s="61"/>
      <c r="AI134" s="61"/>
      <c r="AJ134" s="62"/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57"/>
      <c r="D135" s="32"/>
      <c r="E135" s="32"/>
      <c r="F135" s="32"/>
      <c r="G135" s="32">
        <f t="shared" si="39"/>
        <v>0</v>
      </c>
      <c r="H135" s="12"/>
      <c r="I135" s="12"/>
      <c r="J135" s="12"/>
      <c r="K135" s="12">
        <f t="shared" si="40"/>
        <v>0</v>
      </c>
      <c r="M135" s="62"/>
      <c r="N135" s="66"/>
      <c r="O135" s="87"/>
      <c r="P135" s="60"/>
      <c r="Q135" s="60"/>
      <c r="R135" s="60"/>
      <c r="S135" s="60"/>
      <c r="T135" s="61"/>
      <c r="U135" s="61"/>
      <c r="V135" s="61"/>
      <c r="W135" s="61"/>
      <c r="X135" s="62"/>
      <c r="Y135" s="62"/>
      <c r="Z135" s="66"/>
      <c r="AA135" s="87"/>
      <c r="AB135" s="60"/>
      <c r="AC135" s="60"/>
      <c r="AD135" s="60"/>
      <c r="AE135" s="60"/>
      <c r="AF135" s="61"/>
      <c r="AG135" s="61"/>
      <c r="AH135" s="61"/>
      <c r="AI135" s="61"/>
      <c r="AJ135" s="62"/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9"/>
        <v>0</v>
      </c>
      <c r="H136" s="12"/>
      <c r="I136" s="12"/>
      <c r="J136" s="12"/>
      <c r="K136" s="12">
        <f t="shared" si="40"/>
        <v>0</v>
      </c>
      <c r="M136" s="62"/>
      <c r="N136" s="66"/>
      <c r="O136" s="87"/>
      <c r="P136" s="60"/>
      <c r="Q136" s="60"/>
      <c r="R136" s="60"/>
      <c r="S136" s="60"/>
      <c r="T136" s="61"/>
      <c r="U136" s="61"/>
      <c r="V136" s="61"/>
      <c r="W136" s="61"/>
      <c r="X136" s="62"/>
      <c r="Y136" s="62"/>
      <c r="Z136" s="66"/>
      <c r="AA136" s="87"/>
      <c r="AB136" s="60"/>
      <c r="AC136" s="60"/>
      <c r="AD136" s="60"/>
      <c r="AE136" s="60"/>
      <c r="AF136" s="61"/>
      <c r="AG136" s="61"/>
      <c r="AH136" s="61"/>
      <c r="AI136" s="61"/>
      <c r="AJ136" s="62"/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9"/>
        <v>0</v>
      </c>
      <c r="H137" s="12"/>
      <c r="I137" s="12"/>
      <c r="J137" s="12"/>
      <c r="K137" s="12">
        <f t="shared" si="40"/>
        <v>0</v>
      </c>
      <c r="M137" s="62"/>
      <c r="N137" s="66"/>
      <c r="O137" s="65"/>
      <c r="P137" s="60"/>
      <c r="Q137" s="60"/>
      <c r="R137" s="60"/>
      <c r="S137" s="60"/>
      <c r="T137" s="61"/>
      <c r="U137" s="61"/>
      <c r="V137" s="61"/>
      <c r="W137" s="61"/>
      <c r="X137" s="62"/>
      <c r="Y137" s="62"/>
      <c r="Z137" s="66"/>
      <c r="AA137" s="65"/>
      <c r="AB137" s="60"/>
      <c r="AC137" s="60"/>
      <c r="AD137" s="60"/>
      <c r="AE137" s="60"/>
      <c r="AF137" s="61"/>
      <c r="AG137" s="61"/>
      <c r="AH137" s="61"/>
      <c r="AI137" s="61"/>
      <c r="AJ137" s="62"/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57"/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62"/>
      <c r="N138" s="66"/>
      <c r="O138" s="87"/>
      <c r="P138" s="60"/>
      <c r="Q138" s="60"/>
      <c r="R138" s="60"/>
      <c r="S138" s="60"/>
      <c r="T138" s="61"/>
      <c r="U138" s="61"/>
      <c r="V138" s="61"/>
      <c r="W138" s="61"/>
      <c r="X138" s="62"/>
      <c r="Y138" s="62"/>
      <c r="Z138" s="66"/>
      <c r="AA138" s="87"/>
      <c r="AB138" s="60"/>
      <c r="AC138" s="60"/>
      <c r="AD138" s="60"/>
      <c r="AE138" s="60"/>
      <c r="AF138" s="61"/>
      <c r="AG138" s="61"/>
      <c r="AH138" s="61"/>
      <c r="AI138" s="61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62"/>
      <c r="N139" s="66"/>
      <c r="O139" s="87"/>
      <c r="P139" s="60"/>
      <c r="Q139" s="60"/>
      <c r="R139" s="60"/>
      <c r="S139" s="60"/>
      <c r="T139" s="61"/>
      <c r="U139" s="61"/>
      <c r="V139" s="61"/>
      <c r="W139" s="61"/>
      <c r="X139" s="62"/>
      <c r="Y139" s="62"/>
      <c r="Z139" s="66"/>
      <c r="AA139" s="87"/>
      <c r="AB139" s="60"/>
      <c r="AC139" s="60"/>
      <c r="AD139" s="60"/>
      <c r="AE139" s="60"/>
      <c r="AF139" s="61"/>
      <c r="AG139" s="61"/>
      <c r="AH139" s="61"/>
      <c r="AI139" s="61"/>
      <c r="AJ139" s="62"/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62"/>
      <c r="N140" s="66"/>
      <c r="O140" s="87"/>
      <c r="P140" s="60"/>
      <c r="Q140" s="60"/>
      <c r="R140" s="60"/>
      <c r="S140" s="60"/>
      <c r="T140" s="61"/>
      <c r="U140" s="61"/>
      <c r="V140" s="61"/>
      <c r="W140" s="61"/>
      <c r="X140" s="62"/>
      <c r="Y140" s="62"/>
      <c r="Z140" s="66"/>
      <c r="AA140" s="87"/>
      <c r="AB140" s="60"/>
      <c r="AC140" s="60"/>
      <c r="AD140" s="60"/>
      <c r="AE140" s="60"/>
      <c r="AF140" s="61"/>
      <c r="AG140" s="61"/>
      <c r="AH140" s="61"/>
      <c r="AI140" s="61"/>
      <c r="AJ140" s="62"/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62"/>
      <c r="N141" s="66"/>
      <c r="O141" s="87"/>
      <c r="P141" s="60"/>
      <c r="Q141" s="60"/>
      <c r="R141" s="60"/>
      <c r="S141" s="60"/>
      <c r="T141" s="61"/>
      <c r="U141" s="61"/>
      <c r="V141" s="61"/>
      <c r="W141" s="61"/>
      <c r="X141" s="62"/>
      <c r="Y141" s="62"/>
      <c r="Z141" s="66"/>
      <c r="AA141" s="62"/>
      <c r="AB141" s="60"/>
      <c r="AC141" s="60"/>
      <c r="AD141" s="60"/>
      <c r="AE141" s="60"/>
      <c r="AF141" s="61"/>
      <c r="AG141" s="61"/>
      <c r="AH141" s="61"/>
      <c r="AI141" s="61"/>
      <c r="AJ141" s="62"/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62"/>
      <c r="N142" s="66"/>
      <c r="O142" s="87"/>
      <c r="P142" s="67"/>
      <c r="Q142" s="87"/>
      <c r="R142" s="87"/>
      <c r="S142" s="60"/>
      <c r="T142" s="62"/>
      <c r="U142" s="62"/>
      <c r="V142" s="62"/>
      <c r="W142" s="61"/>
      <c r="X142" s="62"/>
      <c r="Y142" s="62"/>
      <c r="Z142" s="66"/>
      <c r="AA142" s="87"/>
      <c r="AB142" s="67"/>
      <c r="AC142" s="87"/>
      <c r="AD142" s="87"/>
      <c r="AE142" s="60"/>
      <c r="AF142" s="62"/>
      <c r="AG142" s="62"/>
      <c r="AH142" s="62"/>
      <c r="AI142" s="61"/>
      <c r="AJ142" s="62"/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62"/>
      <c r="N143" s="66"/>
      <c r="O143" s="87"/>
      <c r="P143" s="68"/>
      <c r="Q143" s="87"/>
      <c r="R143" s="87"/>
      <c r="S143" s="60"/>
      <c r="T143" s="62"/>
      <c r="U143" s="62"/>
      <c r="V143" s="62"/>
      <c r="W143" s="61"/>
      <c r="X143" s="62"/>
      <c r="Y143" s="62"/>
      <c r="Z143" s="66"/>
      <c r="AA143" s="87"/>
      <c r="AB143" s="68"/>
      <c r="AC143" s="87"/>
      <c r="AD143" s="87"/>
      <c r="AE143" s="60"/>
      <c r="AF143" s="62"/>
      <c r="AG143" s="62"/>
      <c r="AH143" s="62"/>
      <c r="AI143" s="61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62"/>
      <c r="N144" s="66"/>
      <c r="O144" s="87"/>
      <c r="P144" s="69"/>
      <c r="Q144" s="62"/>
      <c r="R144" s="62"/>
      <c r="S144" s="60"/>
      <c r="T144" s="62"/>
      <c r="U144" s="62"/>
      <c r="V144" s="62"/>
      <c r="W144" s="61"/>
      <c r="X144" s="62"/>
      <c r="Y144" s="62"/>
      <c r="Z144" s="66"/>
      <c r="AA144" s="87"/>
      <c r="AB144" s="69"/>
      <c r="AC144" s="87"/>
      <c r="AD144" s="62"/>
      <c r="AE144" s="60"/>
      <c r="AF144" s="62"/>
      <c r="AG144" s="62"/>
      <c r="AH144" s="62"/>
      <c r="AI144" s="61"/>
      <c r="AJ144" s="62"/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62"/>
      <c r="N145" s="66"/>
      <c r="O145" s="87"/>
      <c r="P145" s="69"/>
      <c r="Q145" s="87"/>
      <c r="R145" s="87"/>
      <c r="S145" s="60"/>
      <c r="T145" s="62"/>
      <c r="U145" s="62"/>
      <c r="V145" s="62"/>
      <c r="W145" s="61"/>
      <c r="X145" s="62"/>
      <c r="Y145" s="62"/>
      <c r="Z145" s="66"/>
      <c r="AA145" s="87"/>
      <c r="AB145" s="69"/>
      <c r="AC145" s="87"/>
      <c r="AD145" s="87"/>
      <c r="AE145" s="60"/>
      <c r="AF145" s="62"/>
      <c r="AG145" s="62"/>
      <c r="AH145" s="62"/>
      <c r="AI145" s="61"/>
      <c r="AJ145" s="62"/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62"/>
      <c r="N146" s="66"/>
      <c r="O146" s="87"/>
      <c r="P146" s="69"/>
      <c r="Q146" s="87"/>
      <c r="R146" s="87"/>
      <c r="S146" s="60"/>
      <c r="T146" s="62"/>
      <c r="U146" s="62"/>
      <c r="V146" s="62"/>
      <c r="W146" s="61"/>
      <c r="X146" s="62"/>
      <c r="Y146" s="62"/>
      <c r="Z146" s="66"/>
      <c r="AA146" s="87"/>
      <c r="AB146" s="69"/>
      <c r="AC146" s="87"/>
      <c r="AD146" s="87"/>
      <c r="AE146" s="60"/>
      <c r="AF146" s="62"/>
      <c r="AG146" s="62"/>
      <c r="AH146" s="62"/>
      <c r="AI146" s="61"/>
      <c r="AJ146" s="62"/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62"/>
      <c r="N147" s="66"/>
      <c r="O147" s="87"/>
      <c r="P147" s="69"/>
      <c r="Q147" s="87"/>
      <c r="R147" s="87"/>
      <c r="S147" s="60"/>
      <c r="T147" s="62"/>
      <c r="U147" s="62"/>
      <c r="V147" s="62"/>
      <c r="W147" s="61"/>
      <c r="X147" s="62"/>
      <c r="Y147" s="62"/>
      <c r="Z147" s="66"/>
      <c r="AA147" s="87"/>
      <c r="AB147" s="69"/>
      <c r="AC147" s="87"/>
      <c r="AD147" s="87"/>
      <c r="AE147" s="60"/>
      <c r="AF147" s="62"/>
      <c r="AG147" s="62"/>
      <c r="AH147" s="62"/>
      <c r="AI147" s="61"/>
      <c r="AJ147" s="62"/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62"/>
      <c r="N148" s="66"/>
      <c r="O148" s="87"/>
      <c r="P148" s="69"/>
      <c r="Q148" s="87"/>
      <c r="R148" s="87"/>
      <c r="S148" s="60"/>
      <c r="T148" s="62"/>
      <c r="U148" s="62"/>
      <c r="V148" s="62"/>
      <c r="W148" s="61"/>
      <c r="X148" s="62"/>
      <c r="Y148" s="62"/>
      <c r="Z148" s="66"/>
      <c r="AA148" s="87"/>
      <c r="AB148" s="69"/>
      <c r="AC148" s="87"/>
      <c r="AD148" s="87"/>
      <c r="AE148" s="60"/>
      <c r="AF148" s="62"/>
      <c r="AG148" s="62"/>
      <c r="AH148" s="62"/>
      <c r="AI148" s="61"/>
      <c r="AJ148" s="62"/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62"/>
      <c r="N149" s="66"/>
      <c r="O149" s="87"/>
      <c r="P149" s="69"/>
      <c r="Q149" s="87"/>
      <c r="R149" s="87"/>
      <c r="S149" s="60"/>
      <c r="T149" s="62"/>
      <c r="U149" s="62"/>
      <c r="V149" s="62"/>
      <c r="W149" s="61"/>
      <c r="X149" s="62"/>
      <c r="Y149" s="62"/>
      <c r="Z149" s="66"/>
      <c r="AA149" s="87"/>
      <c r="AB149" s="69"/>
      <c r="AC149" s="87"/>
      <c r="AD149" s="87"/>
      <c r="AE149" s="60"/>
      <c r="AF149" s="62"/>
      <c r="AG149" s="62"/>
      <c r="AH149" s="62"/>
      <c r="AI149" s="61"/>
      <c r="AJ149" s="62"/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62"/>
      <c r="N150" s="66"/>
      <c r="O150" s="87"/>
      <c r="P150" s="69"/>
      <c r="Q150" s="87"/>
      <c r="R150" s="87"/>
      <c r="S150" s="60"/>
      <c r="T150" s="62"/>
      <c r="U150" s="62"/>
      <c r="V150" s="62"/>
      <c r="W150" s="61"/>
      <c r="X150" s="62"/>
      <c r="Y150" s="62"/>
      <c r="Z150" s="66"/>
      <c r="AA150" s="87"/>
      <c r="AB150" s="69"/>
      <c r="AC150" s="87"/>
      <c r="AD150" s="87"/>
      <c r="AE150" s="60"/>
      <c r="AF150" s="62"/>
      <c r="AG150" s="62"/>
      <c r="AH150" s="62"/>
      <c r="AI150" s="61"/>
      <c r="AJ150" s="62"/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62"/>
      <c r="N151" s="66"/>
      <c r="O151" s="87"/>
      <c r="P151" s="69"/>
      <c r="Q151" s="87"/>
      <c r="R151" s="87"/>
      <c r="S151" s="60"/>
      <c r="T151" s="62"/>
      <c r="U151" s="62"/>
      <c r="V151" s="62"/>
      <c r="W151" s="61"/>
      <c r="X151" s="62"/>
      <c r="Y151" s="62"/>
      <c r="Z151" s="66"/>
      <c r="AA151" s="87"/>
      <c r="AB151" s="69"/>
      <c r="AC151" s="87"/>
      <c r="AD151" s="87"/>
      <c r="AE151" s="60"/>
      <c r="AF151" s="62"/>
      <c r="AG151" s="62"/>
      <c r="AH151" s="62"/>
      <c r="AI151" s="61"/>
      <c r="AJ151" s="62"/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62"/>
      <c r="N152" s="66"/>
      <c r="O152" s="87"/>
      <c r="P152" s="69"/>
      <c r="Q152" s="87"/>
      <c r="R152" s="87"/>
      <c r="S152" s="60"/>
      <c r="T152" s="62"/>
      <c r="U152" s="62"/>
      <c r="V152" s="62"/>
      <c r="W152" s="61"/>
      <c r="X152" s="62"/>
      <c r="Y152" s="62"/>
      <c r="Z152" s="66"/>
      <c r="AA152" s="87"/>
      <c r="AB152" s="69"/>
      <c r="AC152" s="87"/>
      <c r="AD152" s="87"/>
      <c r="AE152" s="60"/>
      <c r="AF152" s="62"/>
      <c r="AG152" s="62"/>
      <c r="AH152" s="62"/>
      <c r="AI152" s="61"/>
      <c r="AJ152" s="62"/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62"/>
      <c r="N153" s="66"/>
      <c r="O153" s="87"/>
      <c r="P153" s="69"/>
      <c r="Q153" s="87"/>
      <c r="R153" s="87"/>
      <c r="S153" s="60"/>
      <c r="T153" s="62"/>
      <c r="U153" s="62"/>
      <c r="V153" s="62"/>
      <c r="W153" s="61"/>
      <c r="X153" s="62"/>
      <c r="Y153" s="62"/>
      <c r="Z153" s="66"/>
      <c r="AA153" s="87"/>
      <c r="AB153" s="69"/>
      <c r="AC153" s="87"/>
      <c r="AD153" s="87"/>
      <c r="AE153" s="60"/>
      <c r="AF153" s="62"/>
      <c r="AG153" s="62"/>
      <c r="AH153" s="62"/>
      <c r="AI153" s="61"/>
      <c r="AJ153" s="62"/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62"/>
      <c r="N154" s="66"/>
      <c r="O154" s="87"/>
      <c r="P154" s="69"/>
      <c r="Q154" s="87"/>
      <c r="R154" s="87"/>
      <c r="S154" s="60"/>
      <c r="T154" s="62"/>
      <c r="U154" s="62"/>
      <c r="V154" s="62"/>
      <c r="W154" s="61"/>
      <c r="X154" s="62"/>
      <c r="Y154" s="62"/>
      <c r="Z154" s="66"/>
      <c r="AA154" s="87"/>
      <c r="AB154" s="69"/>
      <c r="AC154" s="87"/>
      <c r="AD154" s="87"/>
      <c r="AE154" s="60"/>
      <c r="AF154" s="62"/>
      <c r="AG154" s="62"/>
      <c r="AH154" s="62"/>
      <c r="AI154" s="61"/>
      <c r="AJ154" s="62"/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62"/>
      <c r="N155" s="66"/>
      <c r="O155" s="87"/>
      <c r="P155" s="69"/>
      <c r="Q155" s="87"/>
      <c r="R155" s="87"/>
      <c r="S155" s="60"/>
      <c r="T155" s="62"/>
      <c r="U155" s="62"/>
      <c r="V155" s="62"/>
      <c r="W155" s="61"/>
      <c r="X155" s="62"/>
      <c r="Y155" s="62"/>
      <c r="Z155" s="66"/>
      <c r="AA155" s="87"/>
      <c r="AB155" s="69"/>
      <c r="AC155" s="87"/>
      <c r="AD155" s="87"/>
      <c r="AE155" s="60"/>
      <c r="AF155" s="62"/>
      <c r="AG155" s="62"/>
      <c r="AH155" s="62"/>
      <c r="AI155" s="61"/>
      <c r="AJ155" s="62"/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62"/>
      <c r="N156" s="66"/>
      <c r="O156" s="87"/>
      <c r="P156" s="69"/>
      <c r="Q156" s="87"/>
      <c r="R156" s="87"/>
      <c r="S156" s="60"/>
      <c r="T156" s="62"/>
      <c r="U156" s="62"/>
      <c r="V156" s="62"/>
      <c r="W156" s="61"/>
      <c r="X156" s="62"/>
      <c r="Y156" s="62"/>
      <c r="Z156" s="66"/>
      <c r="AA156" s="87"/>
      <c r="AB156" s="69"/>
      <c r="AC156" s="87"/>
      <c r="AD156" s="87"/>
      <c r="AE156" s="60"/>
      <c r="AF156" s="62"/>
      <c r="AG156" s="62"/>
      <c r="AH156" s="62"/>
      <c r="AI156" s="61"/>
      <c r="AJ156" s="62"/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62"/>
      <c r="N157" s="66"/>
      <c r="O157" s="87"/>
      <c r="P157" s="69"/>
      <c r="Q157" s="87"/>
      <c r="R157" s="87"/>
      <c r="S157" s="60"/>
      <c r="T157" s="62"/>
      <c r="U157" s="62"/>
      <c r="V157" s="62"/>
      <c r="W157" s="61"/>
      <c r="X157" s="62"/>
      <c r="Y157" s="62"/>
      <c r="Z157" s="66"/>
      <c r="AA157" s="87"/>
      <c r="AB157" s="69"/>
      <c r="AC157" s="87"/>
      <c r="AD157" s="87"/>
      <c r="AE157" s="60"/>
      <c r="AF157" s="62"/>
      <c r="AG157" s="62"/>
      <c r="AH157" s="62"/>
      <c r="AI157" s="61"/>
      <c r="AJ157" s="62"/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62"/>
      <c r="N158" s="66"/>
      <c r="O158" s="62"/>
      <c r="P158" s="69"/>
      <c r="Q158" s="87"/>
      <c r="R158" s="87"/>
      <c r="S158" s="60"/>
      <c r="T158" s="62"/>
      <c r="U158" s="62"/>
      <c r="V158" s="62"/>
      <c r="W158" s="61"/>
      <c r="X158" s="62"/>
      <c r="Y158" s="62"/>
      <c r="Z158" s="66"/>
      <c r="AA158" s="87"/>
      <c r="AB158" s="69"/>
      <c r="AC158" s="87"/>
      <c r="AD158" s="87"/>
      <c r="AE158" s="60"/>
      <c r="AF158" s="62"/>
      <c r="AG158" s="62"/>
      <c r="AH158" s="62"/>
      <c r="AI158" s="61"/>
      <c r="AJ158" s="62"/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62"/>
      <c r="N159" s="66"/>
      <c r="O159" s="87"/>
      <c r="P159" s="69"/>
      <c r="Q159" s="87"/>
      <c r="R159" s="87"/>
      <c r="S159" s="60"/>
      <c r="T159" s="62"/>
      <c r="U159" s="62"/>
      <c r="V159" s="62"/>
      <c r="W159" s="61"/>
      <c r="X159" s="62"/>
      <c r="Y159" s="62"/>
      <c r="Z159" s="66"/>
      <c r="AA159" s="87"/>
      <c r="AB159" s="69"/>
      <c r="AC159" s="87"/>
      <c r="AD159" s="87"/>
      <c r="AE159" s="60"/>
      <c r="AF159" s="62"/>
      <c r="AG159" s="62"/>
      <c r="AH159" s="62"/>
      <c r="AI159" s="61"/>
      <c r="AJ159" s="62"/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62"/>
      <c r="N160" s="66"/>
      <c r="O160" s="87"/>
      <c r="P160" s="69"/>
      <c r="Q160" s="87"/>
      <c r="R160" s="87"/>
      <c r="S160" s="60"/>
      <c r="T160" s="62"/>
      <c r="U160" s="62"/>
      <c r="V160" s="62"/>
      <c r="W160" s="61"/>
      <c r="X160" s="62"/>
      <c r="Y160" s="62"/>
      <c r="Z160" s="66"/>
      <c r="AA160" s="87"/>
      <c r="AB160" s="69"/>
      <c r="AC160" s="87"/>
      <c r="AD160" s="87"/>
      <c r="AE160" s="60"/>
      <c r="AF160" s="62"/>
      <c r="AG160" s="62"/>
      <c r="AH160" s="62"/>
      <c r="AI160" s="61"/>
      <c r="AJ160" s="62"/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62"/>
      <c r="N161" s="66"/>
      <c r="O161" s="62"/>
      <c r="P161" s="69"/>
      <c r="Q161" s="87"/>
      <c r="R161" s="87"/>
      <c r="S161" s="60"/>
      <c r="T161" s="62"/>
      <c r="U161" s="62"/>
      <c r="V161" s="62"/>
      <c r="W161" s="61"/>
      <c r="X161" s="62"/>
      <c r="Y161" s="62"/>
      <c r="Z161" s="66"/>
      <c r="AA161" s="62"/>
      <c r="AB161" s="69"/>
      <c r="AC161" s="87"/>
      <c r="AD161" s="87"/>
      <c r="AE161" s="60"/>
      <c r="AF161" s="62"/>
      <c r="AG161" s="62"/>
      <c r="AH161" s="62"/>
      <c r="AI161" s="61"/>
      <c r="AJ161" s="62"/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2">SUM(D162:E162)</f>
        <v>0</v>
      </c>
      <c r="H162" s="10"/>
      <c r="I162" s="10"/>
      <c r="J162" s="10"/>
      <c r="K162" s="12">
        <f t="shared" ref="K162" si="43">SUM(G162:J162)</f>
        <v>0</v>
      </c>
      <c r="M162" s="62"/>
      <c r="N162" s="66"/>
      <c r="O162" s="87"/>
      <c r="P162" s="69"/>
      <c r="Q162" s="87"/>
      <c r="R162" s="87"/>
      <c r="S162" s="60"/>
      <c r="T162" s="62"/>
      <c r="U162" s="62"/>
      <c r="V162" s="62"/>
      <c r="W162" s="61"/>
      <c r="X162" s="62"/>
      <c r="Y162" s="62"/>
      <c r="Z162" s="66"/>
      <c r="AA162" s="87"/>
      <c r="AB162" s="69"/>
      <c r="AC162" s="87"/>
      <c r="AD162" s="87"/>
      <c r="AE162" s="60"/>
      <c r="AF162" s="62"/>
      <c r="AG162" s="62"/>
      <c r="AH162" s="62"/>
      <c r="AI162" s="61"/>
      <c r="AJ162" s="62"/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62"/>
      <c r="N163" s="87"/>
      <c r="O163" s="87"/>
      <c r="P163" s="87"/>
      <c r="Q163" s="87"/>
      <c r="R163" s="87"/>
      <c r="S163" s="87"/>
      <c r="T163" s="62"/>
      <c r="U163" s="62"/>
      <c r="V163" s="62"/>
      <c r="W163" s="61"/>
      <c r="X163" s="62"/>
      <c r="Y163" s="62"/>
      <c r="Z163" s="87"/>
      <c r="AA163" s="87"/>
      <c r="AB163" s="87"/>
      <c r="AC163" s="87"/>
      <c r="AD163" s="87"/>
      <c r="AE163" s="87"/>
      <c r="AF163" s="62"/>
      <c r="AG163" s="62"/>
      <c r="AH163" s="62"/>
      <c r="AI163" s="61"/>
      <c r="AJ163" s="62"/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M164" s="62"/>
      <c r="N164" s="87"/>
      <c r="O164" s="87"/>
      <c r="P164" s="87"/>
      <c r="Q164" s="87"/>
      <c r="R164" s="87"/>
      <c r="S164" s="87"/>
      <c r="T164" s="62"/>
      <c r="U164" s="62"/>
      <c r="V164" s="62"/>
      <c r="W164" s="62"/>
      <c r="X164" s="62"/>
      <c r="Y164" s="62"/>
      <c r="Z164" s="87"/>
      <c r="AA164" s="87"/>
      <c r="AB164" s="87"/>
      <c r="AC164" s="87"/>
      <c r="AD164" s="87"/>
      <c r="AE164" s="87"/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309380.5</v>
      </c>
      <c r="E165" s="38">
        <f t="shared" ref="E165:F165" si="44">SUM(E122:E162)</f>
        <v>-1944</v>
      </c>
      <c r="F165" s="38">
        <f t="shared" si="44"/>
        <v>0</v>
      </c>
      <c r="G165" s="38">
        <f>SUM(G122:G164)</f>
        <v>307436.5</v>
      </c>
      <c r="H165" s="4"/>
      <c r="I165" s="39">
        <f>SUM(I122:I164)</f>
        <v>10929</v>
      </c>
      <c r="J165" s="39">
        <f>SUM(J122:J164)</f>
        <v>0</v>
      </c>
      <c r="K165" s="40">
        <f>SUM(K122:K164)</f>
        <v>318365.5</v>
      </c>
      <c r="M165" s="62"/>
      <c r="N165" s="87"/>
      <c r="O165" s="87"/>
      <c r="P165" s="70"/>
      <c r="Q165" s="70"/>
      <c r="R165" s="70"/>
      <c r="S165" s="70"/>
      <c r="T165" s="63"/>
      <c r="U165" s="71"/>
      <c r="V165" s="71"/>
      <c r="W165" s="71"/>
      <c r="X165" s="62"/>
      <c r="Y165" s="62"/>
      <c r="Z165" s="87"/>
      <c r="AA165" s="87"/>
      <c r="AB165" s="70"/>
      <c r="AC165" s="70"/>
      <c r="AD165" s="70"/>
      <c r="AE165" s="70"/>
      <c r="AF165" s="63"/>
      <c r="AG165" s="71"/>
      <c r="AH165" s="71"/>
      <c r="AI165" s="71"/>
      <c r="AJ165" s="62"/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42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32</v>
      </c>
      <c r="W173" s="24"/>
      <c r="Y173" s="21" t="s">
        <v>48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33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8" t="s">
        <v>17</v>
      </c>
      <c r="E175" s="118"/>
      <c r="F175" s="91"/>
      <c r="G175" s="27"/>
      <c r="I175" s="119" t="s">
        <v>18</v>
      </c>
      <c r="J175" s="120"/>
      <c r="K175" s="121" t="s">
        <v>19</v>
      </c>
      <c r="N175" s="25"/>
      <c r="O175" s="26"/>
      <c r="P175" s="118" t="s">
        <v>17</v>
      </c>
      <c r="Q175" s="118"/>
      <c r="R175" s="91"/>
      <c r="S175" s="27"/>
      <c r="U175" s="119" t="s">
        <v>18</v>
      </c>
      <c r="V175" s="120"/>
      <c r="W175" s="121" t="s">
        <v>19</v>
      </c>
      <c r="Z175" s="25"/>
      <c r="AA175" s="26"/>
      <c r="AB175" s="118" t="s">
        <v>17</v>
      </c>
      <c r="AC175" s="118"/>
      <c r="AD175" s="91"/>
      <c r="AE175" s="27"/>
      <c r="AG175" s="119" t="s">
        <v>18</v>
      </c>
      <c r="AH175" s="120"/>
      <c r="AI175" s="121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31</v>
      </c>
      <c r="G176" s="78" t="s">
        <v>24</v>
      </c>
      <c r="I176" s="29" t="s">
        <v>25</v>
      </c>
      <c r="J176" s="29" t="s">
        <v>26</v>
      </c>
      <c r="K176" s="122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31</v>
      </c>
      <c r="S176" s="78" t="s">
        <v>24</v>
      </c>
      <c r="U176" s="29" t="s">
        <v>25</v>
      </c>
      <c r="V176" s="29" t="s">
        <v>26</v>
      </c>
      <c r="W176" s="122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31</v>
      </c>
      <c r="AE176" s="78" t="s">
        <v>24</v>
      </c>
      <c r="AG176" s="29" t="s">
        <v>25</v>
      </c>
      <c r="AH176" s="29" t="s">
        <v>26</v>
      </c>
      <c r="AI176" s="122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46118</v>
      </c>
      <c r="C177" s="83">
        <v>10844</v>
      </c>
      <c r="D177" s="32">
        <f>650*8+9.5*8</f>
        <v>5276</v>
      </c>
      <c r="E177" s="32"/>
      <c r="F177" s="32"/>
      <c r="G177" s="32">
        <f t="shared" ref="G177:G210" si="45">SUM(D177:E177)</f>
        <v>5276</v>
      </c>
      <c r="H177" s="12"/>
      <c r="I177" s="12">
        <f>111*8+1.5*8</f>
        <v>900</v>
      </c>
      <c r="J177" s="12"/>
      <c r="K177" s="12">
        <f t="shared" ref="K177:K210" si="46">SUM(G177:J177)</f>
        <v>6176</v>
      </c>
      <c r="M177" s="10">
        <v>1</v>
      </c>
      <c r="N177" s="30">
        <v>46118</v>
      </c>
      <c r="O177" s="31">
        <v>10857</v>
      </c>
      <c r="P177" s="32">
        <f>650*185+622*10+229*6+650*4</f>
        <v>130444</v>
      </c>
      <c r="Q177" s="32">
        <f>-195*6</f>
        <v>-1170</v>
      </c>
      <c r="R177" s="32"/>
      <c r="S177" s="32">
        <f>SUM(P177:Q177)</f>
        <v>129274</v>
      </c>
      <c r="T177" s="12"/>
      <c r="U177" s="12">
        <f>78*3</f>
        <v>234</v>
      </c>
      <c r="V177" s="12">
        <f>-111*20+-84*7+-42*7</f>
        <v>-3102</v>
      </c>
      <c r="W177" s="12">
        <f>SUM(S177:V177)</f>
        <v>126406</v>
      </c>
      <c r="Y177" s="10">
        <v>1</v>
      </c>
      <c r="Z177" s="30">
        <v>46118</v>
      </c>
      <c r="AA177" s="31">
        <v>10744</v>
      </c>
      <c r="AB177" s="32">
        <f>650*107+670*20+622*27+229*4</f>
        <v>100660</v>
      </c>
      <c r="AC177" s="32">
        <f>-154*6</f>
        <v>-924</v>
      </c>
      <c r="AD177" s="32"/>
      <c r="AE177" s="32">
        <f>SUM(AB177:AC177)</f>
        <v>99736</v>
      </c>
      <c r="AF177" s="12"/>
      <c r="AG177" s="12"/>
      <c r="AH177" s="12"/>
      <c r="AI177" s="12">
        <f>SUM(AE177:AH177)</f>
        <v>99736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46118</v>
      </c>
      <c r="C178" s="83">
        <f>C177+1</f>
        <v>10845</v>
      </c>
      <c r="D178" s="32">
        <f>650*10+622*2</f>
        <v>7744</v>
      </c>
      <c r="E178" s="32"/>
      <c r="F178" s="32"/>
      <c r="G178" s="32">
        <f t="shared" si="45"/>
        <v>7744</v>
      </c>
      <c r="H178" s="12"/>
      <c r="I178" s="12"/>
      <c r="J178" s="12"/>
      <c r="K178" s="12">
        <f t="shared" si="46"/>
        <v>7744</v>
      </c>
      <c r="M178" s="10">
        <v>2</v>
      </c>
      <c r="N178" s="30">
        <v>46118</v>
      </c>
      <c r="O178" s="31">
        <f>O177+1</f>
        <v>10858</v>
      </c>
      <c r="P178" s="32">
        <f>650*108+622*13+229</f>
        <v>78515</v>
      </c>
      <c r="Q178" s="32">
        <f>-121*6</f>
        <v>-726</v>
      </c>
      <c r="R178" s="32"/>
      <c r="S178" s="32">
        <f t="shared" ref="S178:S209" si="47">SUM(P178:Q178)</f>
        <v>77789</v>
      </c>
      <c r="T178" s="12"/>
      <c r="U178" s="12">
        <f>1.5*24</f>
        <v>36</v>
      </c>
      <c r="V178" s="12"/>
      <c r="W178" s="12">
        <f t="shared" ref="W178:W209" si="48">SUM(S178:V178)</f>
        <v>77825</v>
      </c>
      <c r="Y178" s="10">
        <v>2</v>
      </c>
      <c r="Z178" s="30">
        <v>46118</v>
      </c>
      <c r="AA178" s="31">
        <f>AA177+1</f>
        <v>10745</v>
      </c>
      <c r="AB178" s="32">
        <f>650*332+622*108+1050*20+872*20+229*18+650*5</f>
        <v>328788</v>
      </c>
      <c r="AC178" s="32"/>
      <c r="AD178" s="32"/>
      <c r="AE178" s="32">
        <f t="shared" ref="AE178:AE180" si="49">SUM(AB178:AC178)</f>
        <v>328788</v>
      </c>
      <c r="AF178" s="12"/>
      <c r="AG178" s="12"/>
      <c r="AH178" s="12"/>
      <c r="AI178" s="12">
        <f t="shared" ref="AI178:AI209" si="50">SUM(AE178:AH178)</f>
        <v>328788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46118</v>
      </c>
      <c r="C179" s="83">
        <f t="shared" ref="C179:C183" si="51">C178+1</f>
        <v>10846</v>
      </c>
      <c r="D179" s="33">
        <f>650*10+973+622*3</f>
        <v>9339</v>
      </c>
      <c r="E179" s="33"/>
      <c r="F179" s="33"/>
      <c r="G179" s="33">
        <f t="shared" si="45"/>
        <v>9339</v>
      </c>
      <c r="H179" s="34"/>
      <c r="I179" s="34"/>
      <c r="J179" s="34"/>
      <c r="K179" s="34">
        <f t="shared" si="46"/>
        <v>9339</v>
      </c>
      <c r="M179" s="10">
        <v>3</v>
      </c>
      <c r="N179" s="30">
        <v>46118</v>
      </c>
      <c r="O179" s="31">
        <f t="shared" ref="O179" si="52">O178+1</f>
        <v>10859</v>
      </c>
      <c r="P179" s="32">
        <f>650*4+670</f>
        <v>3270</v>
      </c>
      <c r="Q179" s="32"/>
      <c r="R179" s="32"/>
      <c r="S179" s="32">
        <f t="shared" si="47"/>
        <v>3270</v>
      </c>
      <c r="T179" s="12"/>
      <c r="U179" s="12"/>
      <c r="V179" s="12">
        <f>-120*2+-111*13</f>
        <v>-1683</v>
      </c>
      <c r="W179" s="12">
        <f t="shared" si="48"/>
        <v>1587</v>
      </c>
      <c r="Y179" s="10">
        <v>3</v>
      </c>
      <c r="Z179" s="30">
        <v>46118</v>
      </c>
      <c r="AA179" s="31">
        <f t="shared" ref="AA179:AA180" si="53">AA178+1</f>
        <v>10746</v>
      </c>
      <c r="AB179" s="33">
        <f>650*50+229*2</f>
        <v>32958</v>
      </c>
      <c r="AC179" s="33"/>
      <c r="AD179" s="32"/>
      <c r="AE179" s="32">
        <f t="shared" si="49"/>
        <v>32958</v>
      </c>
      <c r="AF179" s="12"/>
      <c r="AG179" s="12"/>
      <c r="AH179" s="12">
        <f>-111*8</f>
        <v>-888</v>
      </c>
      <c r="AI179" s="12">
        <f t="shared" si="50"/>
        <v>32070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46118</v>
      </c>
      <c r="C180" s="83">
        <f t="shared" si="51"/>
        <v>10847</v>
      </c>
      <c r="D180" s="32">
        <f>872</f>
        <v>872</v>
      </c>
      <c r="E180" s="32"/>
      <c r="F180" s="32"/>
      <c r="G180" s="32">
        <f t="shared" si="45"/>
        <v>872</v>
      </c>
      <c r="H180" s="12"/>
      <c r="I180" s="12"/>
      <c r="J180" s="12"/>
      <c r="K180" s="12">
        <f t="shared" si="46"/>
        <v>872</v>
      </c>
      <c r="M180" s="10">
        <v>4</v>
      </c>
      <c r="N180" s="30"/>
      <c r="O180" s="11" t="s">
        <v>27</v>
      </c>
      <c r="P180" s="32"/>
      <c r="Q180" s="32"/>
      <c r="R180" s="32"/>
      <c r="S180" s="32">
        <f t="shared" si="47"/>
        <v>0</v>
      </c>
      <c r="T180" s="12"/>
      <c r="U180" s="12"/>
      <c r="V180" s="12"/>
      <c r="W180" s="12">
        <f t="shared" si="48"/>
        <v>0</v>
      </c>
      <c r="Y180" s="10">
        <v>4</v>
      </c>
      <c r="Z180" s="30">
        <v>46118</v>
      </c>
      <c r="AA180" s="31">
        <f t="shared" si="53"/>
        <v>10747</v>
      </c>
      <c r="AB180" s="32">
        <f>650*50+1102+650*4</f>
        <v>36202</v>
      </c>
      <c r="AC180" s="32">
        <f>-51*6</f>
        <v>-306</v>
      </c>
      <c r="AD180" s="32"/>
      <c r="AE180" s="32">
        <f t="shared" si="49"/>
        <v>35896</v>
      </c>
      <c r="AF180" s="12"/>
      <c r="AH180" s="12">
        <f>-111*50</f>
        <v>-5550</v>
      </c>
      <c r="AI180" s="12">
        <f t="shared" si="50"/>
        <v>30346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46118</v>
      </c>
      <c r="C181" s="83">
        <f t="shared" si="51"/>
        <v>10848</v>
      </c>
      <c r="D181" s="32">
        <f>650*9+700*3+622*3</f>
        <v>9816</v>
      </c>
      <c r="E181" s="32"/>
      <c r="F181" s="32"/>
      <c r="G181" s="32">
        <f t="shared" si="45"/>
        <v>9816</v>
      </c>
      <c r="H181" s="12"/>
      <c r="I181" s="12">
        <f>4.5*68</f>
        <v>306</v>
      </c>
      <c r="J181" s="12"/>
      <c r="K181" s="12">
        <f t="shared" si="46"/>
        <v>10122</v>
      </c>
      <c r="M181" s="10">
        <v>5</v>
      </c>
      <c r="N181" s="30"/>
      <c r="P181" s="32"/>
      <c r="Q181" s="32"/>
      <c r="R181" s="32"/>
      <c r="S181" s="32">
        <f t="shared" si="47"/>
        <v>0</v>
      </c>
      <c r="T181" s="12"/>
      <c r="U181" s="12"/>
      <c r="V181" s="12"/>
      <c r="W181" s="12">
        <f t="shared" si="48"/>
        <v>0</v>
      </c>
      <c r="Y181" s="10">
        <v>5</v>
      </c>
      <c r="Z181" s="30"/>
      <c r="AA181" s="11" t="s">
        <v>27</v>
      </c>
      <c r="AB181" s="32"/>
      <c r="AC181" s="32"/>
      <c r="AD181" s="32"/>
      <c r="AE181" s="32">
        <f t="shared" ref="AE181:AE186" si="54">SUM(AB181:AC181)</f>
        <v>0</v>
      </c>
      <c r="AF181" s="12"/>
      <c r="AG181" s="12"/>
      <c r="AH181" s="12"/>
      <c r="AI181" s="12">
        <f t="shared" si="50"/>
        <v>0</v>
      </c>
      <c r="AK181" s="62"/>
      <c r="AL181" s="65"/>
      <c r="AM181" s="86"/>
      <c r="AN181" s="123"/>
      <c r="AO181" s="123"/>
      <c r="AP181" s="86"/>
      <c r="AQ181" s="62"/>
      <c r="AR181" s="123"/>
      <c r="AS181" s="123"/>
      <c r="AT181" s="124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46118</v>
      </c>
      <c r="C182" s="83">
        <f t="shared" si="51"/>
        <v>10849</v>
      </c>
      <c r="D182" s="32">
        <f>650*324+670*50+622*108+872*25+229*10</f>
        <v>335366</v>
      </c>
      <c r="E182" s="32">
        <f>-507*6</f>
        <v>-3042</v>
      </c>
      <c r="F182" s="32"/>
      <c r="G182" s="32">
        <f t="shared" si="45"/>
        <v>332324</v>
      </c>
      <c r="H182" s="12"/>
      <c r="I182" s="12">
        <f>120*25</f>
        <v>3000</v>
      </c>
      <c r="J182" s="12">
        <f>-111*128</f>
        <v>-14208</v>
      </c>
      <c r="K182" s="12">
        <f t="shared" si="46"/>
        <v>321116</v>
      </c>
      <c r="M182" s="10">
        <v>6</v>
      </c>
      <c r="N182" s="30"/>
      <c r="O182" s="31"/>
      <c r="P182" s="32"/>
      <c r="Q182" s="32"/>
      <c r="R182" s="32"/>
      <c r="S182" s="32">
        <f t="shared" si="47"/>
        <v>0</v>
      </c>
      <c r="T182" s="12"/>
      <c r="U182" s="12"/>
      <c r="V182" s="10"/>
      <c r="W182" s="12">
        <f t="shared" si="48"/>
        <v>0</v>
      </c>
      <c r="Y182" s="10">
        <v>6</v>
      </c>
      <c r="Z182" s="30"/>
      <c r="AA182" s="31"/>
      <c r="AB182" s="32"/>
      <c r="AC182" s="32"/>
      <c r="AD182" s="32"/>
      <c r="AE182" s="32">
        <f t="shared" si="54"/>
        <v>0</v>
      </c>
      <c r="AF182" s="12"/>
      <c r="AG182" s="12"/>
      <c r="AH182" s="10"/>
      <c r="AI182" s="12">
        <f t="shared" si="50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24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46118</v>
      </c>
      <c r="C183" s="83">
        <f t="shared" si="51"/>
        <v>10850</v>
      </c>
      <c r="D183" s="32">
        <f>973*64</f>
        <v>62272</v>
      </c>
      <c r="E183" s="32"/>
      <c r="F183" s="32"/>
      <c r="G183" s="32">
        <f t="shared" si="45"/>
        <v>62272</v>
      </c>
      <c r="H183" s="12"/>
      <c r="I183" s="12"/>
      <c r="J183" s="12"/>
      <c r="K183" s="12">
        <f t="shared" si="46"/>
        <v>62272</v>
      </c>
      <c r="M183" s="10">
        <v>7</v>
      </c>
      <c r="N183" s="30"/>
      <c r="O183" s="31"/>
      <c r="P183" s="32"/>
      <c r="Q183" s="32"/>
      <c r="R183" s="32"/>
      <c r="S183" s="32">
        <f t="shared" si="47"/>
        <v>0</v>
      </c>
      <c r="T183" s="12"/>
      <c r="U183" s="12"/>
      <c r="V183" s="12"/>
      <c r="W183" s="12">
        <f t="shared" si="48"/>
        <v>0</v>
      </c>
      <c r="Y183" s="10">
        <v>7</v>
      </c>
      <c r="Z183" s="30"/>
      <c r="AA183" s="31"/>
      <c r="AB183" s="32"/>
      <c r="AC183" s="32"/>
      <c r="AD183" s="32"/>
      <c r="AE183" s="32">
        <f t="shared" si="54"/>
        <v>0</v>
      </c>
      <c r="AF183" s="12"/>
      <c r="AG183" s="58"/>
      <c r="AH183" s="12"/>
      <c r="AI183" s="12">
        <f t="shared" si="50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46118</v>
      </c>
      <c r="C184" s="83">
        <v>10901</v>
      </c>
      <c r="D184" s="32">
        <f>650*9+622</f>
        <v>6472</v>
      </c>
      <c r="E184" s="32"/>
      <c r="F184" s="32"/>
      <c r="G184" s="32">
        <f t="shared" si="45"/>
        <v>6472</v>
      </c>
      <c r="H184" s="12"/>
      <c r="I184" s="12"/>
      <c r="J184" s="12"/>
      <c r="K184" s="12">
        <f t="shared" si="46"/>
        <v>6472</v>
      </c>
      <c r="M184" s="10">
        <v>8</v>
      </c>
      <c r="N184" s="30"/>
      <c r="O184" s="31"/>
      <c r="P184" s="32"/>
      <c r="Q184" s="32"/>
      <c r="R184" s="32"/>
      <c r="S184" s="32">
        <f t="shared" si="47"/>
        <v>0</v>
      </c>
      <c r="T184" s="12"/>
      <c r="U184" s="12"/>
      <c r="V184" s="12"/>
      <c r="W184" s="12">
        <f t="shared" si="48"/>
        <v>0</v>
      </c>
      <c r="Y184" s="10">
        <v>8</v>
      </c>
      <c r="Z184" s="30"/>
      <c r="AB184" s="32"/>
      <c r="AC184" s="32"/>
      <c r="AE184" s="32">
        <f t="shared" si="54"/>
        <v>0</v>
      </c>
      <c r="AF184" s="12"/>
      <c r="AG184" s="12"/>
      <c r="AH184" s="12"/>
      <c r="AI184" s="12">
        <f t="shared" si="50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 t="s">
        <v>27</v>
      </c>
      <c r="D185" s="32"/>
      <c r="E185" s="32"/>
      <c r="F185" s="32"/>
      <c r="G185" s="32">
        <f t="shared" si="45"/>
        <v>0</v>
      </c>
      <c r="H185" s="12"/>
      <c r="I185" s="12"/>
      <c r="J185" s="12"/>
      <c r="K185" s="12">
        <f t="shared" si="46"/>
        <v>0</v>
      </c>
      <c r="M185" s="10">
        <v>9</v>
      </c>
      <c r="N185" s="30"/>
      <c r="O185" s="31"/>
      <c r="P185" s="32"/>
      <c r="Q185" s="32"/>
      <c r="R185" s="32"/>
      <c r="S185" s="32">
        <f t="shared" si="47"/>
        <v>0</v>
      </c>
      <c r="T185" s="12"/>
      <c r="U185" s="12"/>
      <c r="V185" s="12"/>
      <c r="W185" s="12">
        <f t="shared" si="48"/>
        <v>0</v>
      </c>
      <c r="Y185" s="10">
        <v>9</v>
      </c>
      <c r="Z185" s="30"/>
      <c r="AA185" s="11"/>
      <c r="AC185" s="32"/>
      <c r="AD185" s="32"/>
      <c r="AE185" s="32">
        <f t="shared" si="54"/>
        <v>0</v>
      </c>
      <c r="AF185" s="12"/>
      <c r="AH185" s="12"/>
      <c r="AI185" s="12">
        <f t="shared" si="50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D186" s="32"/>
      <c r="E186" s="32"/>
      <c r="F186" s="32"/>
      <c r="G186" s="32">
        <f t="shared" si="45"/>
        <v>0</v>
      </c>
      <c r="H186" s="12"/>
      <c r="I186" s="12"/>
      <c r="J186" s="12"/>
      <c r="K186" s="12">
        <f t="shared" si="46"/>
        <v>0</v>
      </c>
      <c r="M186" s="10">
        <v>10</v>
      </c>
      <c r="N186" s="30"/>
      <c r="O186" s="31"/>
      <c r="P186" s="32"/>
      <c r="Q186" s="32"/>
      <c r="R186" s="32"/>
      <c r="S186" s="32">
        <f t="shared" si="47"/>
        <v>0</v>
      </c>
      <c r="T186" s="12"/>
      <c r="U186" s="12"/>
      <c r="V186" s="12"/>
      <c r="W186" s="12">
        <f t="shared" si="48"/>
        <v>0</v>
      </c>
      <c r="Y186" s="10">
        <v>10</v>
      </c>
      <c r="Z186" s="30"/>
      <c r="AA186" s="11"/>
      <c r="AB186" s="32"/>
      <c r="AC186" s="32"/>
      <c r="AD186" s="32"/>
      <c r="AE186" s="32">
        <f t="shared" si="54"/>
        <v>0</v>
      </c>
      <c r="AF186" s="12"/>
      <c r="AG186" s="12"/>
      <c r="AH186" s="12"/>
      <c r="AI186" s="12">
        <f t="shared" si="50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3"/>
      <c r="D187" s="32"/>
      <c r="E187" s="32"/>
      <c r="F187" s="32"/>
      <c r="G187" s="32">
        <f t="shared" si="45"/>
        <v>0</v>
      </c>
      <c r="H187" s="12"/>
      <c r="I187" s="12"/>
      <c r="J187" s="12"/>
      <c r="K187" s="12">
        <f t="shared" si="46"/>
        <v>0</v>
      </c>
      <c r="M187" s="10">
        <v>11</v>
      </c>
      <c r="N187" s="30"/>
      <c r="O187" s="31"/>
      <c r="P187" s="32"/>
      <c r="Q187" s="32"/>
      <c r="R187" s="32"/>
      <c r="S187" s="32">
        <f t="shared" si="47"/>
        <v>0</v>
      </c>
      <c r="T187" s="12"/>
      <c r="U187" s="12"/>
      <c r="V187" s="12"/>
      <c r="W187" s="12">
        <f t="shared" si="48"/>
        <v>0</v>
      </c>
      <c r="Y187" s="10">
        <v>11</v>
      </c>
      <c r="Z187" s="30"/>
      <c r="AA187" s="31"/>
      <c r="AB187" s="32"/>
      <c r="AC187" s="32"/>
      <c r="AD187" s="32"/>
      <c r="AE187" s="32">
        <f t="shared" ref="AE187:AE209" si="55">SUM(AB187:AC187)</f>
        <v>0</v>
      </c>
      <c r="AF187" s="12"/>
      <c r="AG187" s="12"/>
      <c r="AH187" s="12"/>
      <c r="AI187" s="12">
        <f t="shared" si="50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57"/>
      <c r="D188" s="32"/>
      <c r="E188" s="32"/>
      <c r="F188" s="32"/>
      <c r="G188" s="32">
        <f t="shared" si="45"/>
        <v>0</v>
      </c>
      <c r="H188" s="12"/>
      <c r="I188" s="12"/>
      <c r="J188" s="10"/>
      <c r="K188" s="12">
        <f t="shared" si="46"/>
        <v>0</v>
      </c>
      <c r="M188" s="10">
        <v>12</v>
      </c>
      <c r="N188" s="30"/>
      <c r="P188" s="32"/>
      <c r="Q188" s="32"/>
      <c r="R188" s="32"/>
      <c r="S188" s="32">
        <f t="shared" si="47"/>
        <v>0</v>
      </c>
      <c r="T188" s="12"/>
      <c r="U188" s="12"/>
      <c r="V188" s="12"/>
      <c r="W188" s="12">
        <f t="shared" si="48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5"/>
        <v>0</v>
      </c>
      <c r="AF188" s="12"/>
      <c r="AG188" s="12"/>
      <c r="AH188" s="12"/>
      <c r="AI188" s="12">
        <f t="shared" si="50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45"/>
        <v>0</v>
      </c>
      <c r="H189" s="12"/>
      <c r="I189" s="12"/>
      <c r="J189" s="12"/>
      <c r="K189" s="12">
        <f t="shared" si="46"/>
        <v>0</v>
      </c>
      <c r="M189" s="10">
        <v>13</v>
      </c>
      <c r="N189" s="30"/>
      <c r="O189" s="31"/>
      <c r="P189" s="32"/>
      <c r="Q189" s="32"/>
      <c r="R189" s="32"/>
      <c r="S189" s="32">
        <f t="shared" si="47"/>
        <v>0</v>
      </c>
      <c r="T189" s="12"/>
      <c r="U189" s="12"/>
      <c r="V189" s="12"/>
      <c r="W189" s="12">
        <f t="shared" si="48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5"/>
        <v>0</v>
      </c>
      <c r="AF189" s="12"/>
      <c r="AG189" s="12"/>
      <c r="AH189" s="12"/>
      <c r="AI189" s="12">
        <f t="shared" si="50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57"/>
      <c r="D190" s="32"/>
      <c r="E190" s="32"/>
      <c r="F190" s="32"/>
      <c r="G190" s="32">
        <f t="shared" si="45"/>
        <v>0</v>
      </c>
      <c r="H190" s="12"/>
      <c r="I190" s="12"/>
      <c r="J190" s="12"/>
      <c r="K190" s="12">
        <f t="shared" si="46"/>
        <v>0</v>
      </c>
      <c r="M190" s="10">
        <v>14</v>
      </c>
      <c r="N190" s="30"/>
      <c r="O190" s="31"/>
      <c r="P190" s="32"/>
      <c r="Q190" s="32"/>
      <c r="R190" s="32"/>
      <c r="S190" s="32">
        <f t="shared" si="47"/>
        <v>0</v>
      </c>
      <c r="T190" s="12"/>
      <c r="U190" s="12"/>
      <c r="V190" s="12"/>
      <c r="W190" s="12">
        <f t="shared" si="48"/>
        <v>0</v>
      </c>
      <c r="Y190" s="10">
        <v>14</v>
      </c>
      <c r="Z190" s="30"/>
      <c r="AA190" s="11"/>
      <c r="AB190" s="32"/>
      <c r="AC190" s="32"/>
      <c r="AD190" s="32"/>
      <c r="AE190" s="32">
        <f t="shared" si="55"/>
        <v>0</v>
      </c>
      <c r="AF190" s="12"/>
      <c r="AG190" s="12"/>
      <c r="AH190" s="12"/>
      <c r="AI190" s="12">
        <f t="shared" si="50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45"/>
        <v>0</v>
      </c>
      <c r="H191" s="12"/>
      <c r="I191" s="12"/>
      <c r="J191" s="12"/>
      <c r="K191" s="12">
        <f t="shared" si="46"/>
        <v>0</v>
      </c>
      <c r="M191" s="10">
        <v>15</v>
      </c>
      <c r="N191" s="30"/>
      <c r="O191" s="31"/>
      <c r="P191" s="32"/>
      <c r="Q191" s="32"/>
      <c r="R191" s="32"/>
      <c r="S191" s="32">
        <f t="shared" si="47"/>
        <v>0</v>
      </c>
      <c r="T191" s="12"/>
      <c r="U191" s="12"/>
      <c r="V191" s="12"/>
      <c r="W191" s="12">
        <f t="shared" si="48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5"/>
        <v>0</v>
      </c>
      <c r="AF191" s="12"/>
      <c r="AG191" s="12"/>
      <c r="AH191" s="12"/>
      <c r="AI191" s="12">
        <f t="shared" si="50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45"/>
        <v>0</v>
      </c>
      <c r="H192" s="12"/>
      <c r="I192" s="12"/>
      <c r="J192" s="12"/>
      <c r="K192" s="12">
        <f t="shared" si="46"/>
        <v>0</v>
      </c>
      <c r="M192" s="10">
        <v>16</v>
      </c>
      <c r="N192" s="30"/>
      <c r="P192" s="32"/>
      <c r="Q192" s="32"/>
      <c r="R192" s="32"/>
      <c r="S192" s="32">
        <f t="shared" si="47"/>
        <v>0</v>
      </c>
      <c r="T192" s="12"/>
      <c r="U192" s="12"/>
      <c r="V192" s="12"/>
      <c r="W192" s="12">
        <f t="shared" si="48"/>
        <v>0</v>
      </c>
      <c r="Y192" s="10">
        <v>16</v>
      </c>
      <c r="Z192" s="30"/>
      <c r="AB192" s="32"/>
      <c r="AC192" s="32"/>
      <c r="AD192" s="32"/>
      <c r="AE192" s="32">
        <f t="shared" si="55"/>
        <v>0</v>
      </c>
      <c r="AF192" s="12"/>
      <c r="AG192" s="12"/>
      <c r="AH192" s="12"/>
      <c r="AI192" s="12">
        <f t="shared" si="50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57"/>
      <c r="D193" s="32"/>
      <c r="E193" s="32"/>
      <c r="F193" s="32"/>
      <c r="G193" s="32">
        <f t="shared" si="45"/>
        <v>0</v>
      </c>
      <c r="H193" s="12"/>
      <c r="I193" s="12"/>
      <c r="J193" s="12"/>
      <c r="K193" s="12">
        <f t="shared" si="46"/>
        <v>0</v>
      </c>
      <c r="M193" s="10">
        <v>17</v>
      </c>
      <c r="N193" s="30"/>
      <c r="O193" s="31"/>
      <c r="P193" s="35"/>
      <c r="Q193" s="32"/>
      <c r="R193" s="32"/>
      <c r="S193" s="32">
        <f t="shared" si="47"/>
        <v>0</v>
      </c>
      <c r="T193" s="12"/>
      <c r="U193" s="12"/>
      <c r="V193" s="12"/>
      <c r="W193" s="12">
        <f t="shared" si="48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5"/>
        <v>0</v>
      </c>
      <c r="AF193" s="12"/>
      <c r="AG193" s="12"/>
      <c r="AH193" s="12"/>
      <c r="AI193" s="12">
        <f t="shared" si="50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45"/>
        <v>0</v>
      </c>
      <c r="H194" s="12"/>
      <c r="I194" s="12"/>
      <c r="J194" s="12"/>
      <c r="K194" s="12">
        <f t="shared" si="46"/>
        <v>0</v>
      </c>
      <c r="M194" s="10">
        <v>18</v>
      </c>
      <c r="N194" s="30"/>
      <c r="O194" s="31"/>
      <c r="P194" s="32"/>
      <c r="Q194" s="32"/>
      <c r="R194" s="32"/>
      <c r="S194" s="32">
        <f t="shared" si="47"/>
        <v>0</v>
      </c>
      <c r="T194" s="12"/>
      <c r="U194" s="12"/>
      <c r="V194" s="12"/>
      <c r="W194" s="12">
        <f t="shared" si="48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5"/>
        <v>0</v>
      </c>
      <c r="AF194" s="12"/>
      <c r="AG194" s="12"/>
      <c r="AH194" s="12"/>
      <c r="AI194" s="12">
        <f t="shared" si="50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45"/>
        <v>0</v>
      </c>
      <c r="H195" s="12"/>
      <c r="I195" s="12"/>
      <c r="J195" s="12"/>
      <c r="K195" s="12">
        <f t="shared" si="46"/>
        <v>0</v>
      </c>
      <c r="M195" s="10">
        <v>19</v>
      </c>
      <c r="N195" s="30"/>
      <c r="O195" s="31"/>
      <c r="P195" s="32"/>
      <c r="Q195" s="32"/>
      <c r="R195" s="32"/>
      <c r="S195" s="32">
        <f t="shared" si="47"/>
        <v>0</v>
      </c>
      <c r="T195" s="12"/>
      <c r="U195" s="12"/>
      <c r="V195" s="12"/>
      <c r="W195" s="12">
        <f t="shared" si="48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5"/>
        <v>0</v>
      </c>
      <c r="AF195" s="12"/>
      <c r="AG195" s="12"/>
      <c r="AH195" s="12"/>
      <c r="AI195" s="12">
        <f t="shared" si="50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45"/>
        <v>0</v>
      </c>
      <c r="H196" s="12"/>
      <c r="I196" s="12"/>
      <c r="J196" s="12"/>
      <c r="K196" s="12">
        <f t="shared" si="46"/>
        <v>0</v>
      </c>
      <c r="M196" s="10">
        <v>20</v>
      </c>
      <c r="N196" s="30"/>
      <c r="O196" s="31"/>
      <c r="P196" s="32"/>
      <c r="Q196" s="32"/>
      <c r="R196" s="32"/>
      <c r="S196" s="32">
        <f t="shared" si="47"/>
        <v>0</v>
      </c>
      <c r="T196" s="12"/>
      <c r="U196" s="12"/>
      <c r="V196" s="12"/>
      <c r="W196" s="12">
        <f t="shared" si="48"/>
        <v>0</v>
      </c>
      <c r="Y196" s="10">
        <v>20</v>
      </c>
      <c r="Z196" s="30"/>
      <c r="AB196" s="32"/>
      <c r="AC196" s="32"/>
      <c r="AD196" s="32"/>
      <c r="AE196" s="32">
        <f t="shared" si="55"/>
        <v>0</v>
      </c>
      <c r="AF196" s="12"/>
      <c r="AG196" s="12"/>
      <c r="AH196" s="12"/>
      <c r="AI196" s="12">
        <f t="shared" si="50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45"/>
        <v>0</v>
      </c>
      <c r="H197" s="10"/>
      <c r="I197" s="10"/>
      <c r="J197" s="10"/>
      <c r="K197" s="12">
        <f t="shared" si="46"/>
        <v>0</v>
      </c>
      <c r="M197" s="10">
        <v>21</v>
      </c>
      <c r="N197" s="30"/>
      <c r="O197" s="31"/>
      <c r="P197" s="46"/>
      <c r="Q197" s="31"/>
      <c r="R197" s="31"/>
      <c r="S197" s="32">
        <f t="shared" si="47"/>
        <v>0</v>
      </c>
      <c r="T197" s="10"/>
      <c r="U197" s="10"/>
      <c r="V197" s="10"/>
      <c r="W197" s="12">
        <f t="shared" si="48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5"/>
        <v>0</v>
      </c>
      <c r="AF197" s="10"/>
      <c r="AG197" s="10"/>
      <c r="AH197" s="10"/>
      <c r="AI197" s="12">
        <f t="shared" si="50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45"/>
        <v>0</v>
      </c>
      <c r="H198" s="10"/>
      <c r="I198" s="10"/>
      <c r="J198" s="10"/>
      <c r="K198" s="12">
        <f t="shared" si="46"/>
        <v>0</v>
      </c>
      <c r="M198" s="10">
        <v>22</v>
      </c>
      <c r="N198" s="30"/>
      <c r="O198" s="31"/>
      <c r="P198" s="45"/>
      <c r="Q198" s="31"/>
      <c r="R198" s="31"/>
      <c r="S198" s="32">
        <f t="shared" si="47"/>
        <v>0</v>
      </c>
      <c r="T198" s="10"/>
      <c r="U198" s="10"/>
      <c r="V198" s="10"/>
      <c r="W198" s="12">
        <f t="shared" si="48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5"/>
        <v>0</v>
      </c>
      <c r="AF198" s="10"/>
      <c r="AG198" s="10"/>
      <c r="AH198" s="10"/>
      <c r="AI198" s="12">
        <f t="shared" si="50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45"/>
        <v>0</v>
      </c>
      <c r="H199" s="10"/>
      <c r="I199" s="10"/>
      <c r="J199" s="12"/>
      <c r="K199" s="12">
        <f t="shared" si="46"/>
        <v>0</v>
      </c>
      <c r="M199" s="10">
        <v>23</v>
      </c>
      <c r="N199" s="30"/>
      <c r="O199" s="31"/>
      <c r="P199" s="47"/>
      <c r="S199" s="32">
        <f t="shared" si="47"/>
        <v>0</v>
      </c>
      <c r="T199" s="10"/>
      <c r="U199" s="10"/>
      <c r="V199" s="10"/>
      <c r="W199" s="12">
        <f t="shared" si="48"/>
        <v>0</v>
      </c>
      <c r="Y199" s="10">
        <v>23</v>
      </c>
      <c r="Z199" s="30"/>
      <c r="AA199" s="31"/>
      <c r="AB199" s="47"/>
      <c r="AE199" s="32">
        <f t="shared" si="55"/>
        <v>0</v>
      </c>
      <c r="AF199" s="10"/>
      <c r="AG199" s="10"/>
      <c r="AH199" s="10"/>
      <c r="AI199" s="12">
        <f t="shared" si="50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45"/>
        <v>0</v>
      </c>
      <c r="H200" s="10"/>
      <c r="I200" s="10"/>
      <c r="J200" s="10"/>
      <c r="K200" s="12">
        <f t="shared" si="46"/>
        <v>0</v>
      </c>
      <c r="M200" s="10">
        <v>24</v>
      </c>
      <c r="N200" s="30"/>
      <c r="O200" s="31"/>
      <c r="P200" s="47"/>
      <c r="Q200" s="31"/>
      <c r="R200" s="31"/>
      <c r="S200" s="32">
        <f t="shared" si="47"/>
        <v>0</v>
      </c>
      <c r="T200" s="10"/>
      <c r="U200" s="10"/>
      <c r="V200" s="10"/>
      <c r="W200" s="12">
        <f t="shared" si="48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5"/>
        <v>0</v>
      </c>
      <c r="AF200" s="10"/>
      <c r="AG200" s="10"/>
      <c r="AH200" s="10"/>
      <c r="AI200" s="12">
        <f t="shared" si="50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45"/>
        <v>0</v>
      </c>
      <c r="H201" s="10"/>
      <c r="I201" s="10"/>
      <c r="J201" s="10"/>
      <c r="K201" s="12">
        <f t="shared" si="46"/>
        <v>0</v>
      </c>
      <c r="M201" s="10">
        <v>25</v>
      </c>
      <c r="N201" s="30"/>
      <c r="O201" s="31"/>
      <c r="P201" s="47"/>
      <c r="Q201" s="31"/>
      <c r="R201" s="31"/>
      <c r="S201" s="32">
        <f t="shared" si="47"/>
        <v>0</v>
      </c>
      <c r="T201" s="10"/>
      <c r="U201" s="10"/>
      <c r="V201" s="10"/>
      <c r="W201" s="12">
        <f t="shared" si="48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5"/>
        <v>0</v>
      </c>
      <c r="AF201" s="10"/>
      <c r="AG201" s="10"/>
      <c r="AH201" s="10"/>
      <c r="AI201" s="12">
        <f t="shared" si="50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45"/>
        <v>0</v>
      </c>
      <c r="H202" s="10"/>
      <c r="I202" s="10"/>
      <c r="J202" s="10"/>
      <c r="K202" s="12">
        <f t="shared" si="46"/>
        <v>0</v>
      </c>
      <c r="M202" s="10">
        <v>26</v>
      </c>
      <c r="N202" s="30"/>
      <c r="O202" s="31"/>
      <c r="P202" s="47"/>
      <c r="Q202" s="31"/>
      <c r="R202" s="31"/>
      <c r="S202" s="32">
        <f t="shared" si="47"/>
        <v>0</v>
      </c>
      <c r="T202" s="10"/>
      <c r="U202" s="10"/>
      <c r="V202" s="10"/>
      <c r="W202" s="12">
        <f t="shared" si="48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5"/>
        <v>0</v>
      </c>
      <c r="AF202" s="10"/>
      <c r="AG202" s="10"/>
      <c r="AH202" s="10"/>
      <c r="AI202" s="12">
        <f t="shared" si="50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45"/>
        <v>0</v>
      </c>
      <c r="H203" s="10"/>
      <c r="I203" s="10"/>
      <c r="J203" s="10"/>
      <c r="K203" s="12">
        <f t="shared" si="46"/>
        <v>0</v>
      </c>
      <c r="M203" s="10">
        <v>27</v>
      </c>
      <c r="N203" s="30"/>
      <c r="O203" s="31"/>
      <c r="P203" s="47"/>
      <c r="Q203" s="31"/>
      <c r="R203" s="31"/>
      <c r="S203" s="32">
        <f t="shared" si="47"/>
        <v>0</v>
      </c>
      <c r="T203" s="10"/>
      <c r="U203" s="10"/>
      <c r="V203" s="10"/>
      <c r="W203" s="12">
        <f t="shared" si="48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5"/>
        <v>0</v>
      </c>
      <c r="AF203" s="10"/>
      <c r="AG203" s="10"/>
      <c r="AH203" s="10"/>
      <c r="AI203" s="12">
        <f t="shared" si="50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45"/>
        <v>0</v>
      </c>
      <c r="H204" s="10"/>
      <c r="I204" s="10"/>
      <c r="J204" s="10"/>
      <c r="K204" s="12">
        <f t="shared" si="46"/>
        <v>0</v>
      </c>
      <c r="M204" s="10">
        <v>28</v>
      </c>
      <c r="N204" s="30"/>
      <c r="O204" s="31"/>
      <c r="P204" s="47"/>
      <c r="Q204" s="31"/>
      <c r="R204" s="31"/>
      <c r="S204" s="32">
        <f t="shared" si="47"/>
        <v>0</v>
      </c>
      <c r="T204" s="10"/>
      <c r="U204" s="10"/>
      <c r="V204" s="10"/>
      <c r="W204" s="12">
        <f t="shared" si="48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5"/>
        <v>0</v>
      </c>
      <c r="AF204" s="10"/>
      <c r="AG204" s="10"/>
      <c r="AH204" s="10"/>
      <c r="AI204" s="12">
        <f t="shared" si="50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45"/>
        <v>0</v>
      </c>
      <c r="H205" s="10"/>
      <c r="I205" s="10"/>
      <c r="J205" s="10"/>
      <c r="K205" s="12">
        <f t="shared" si="46"/>
        <v>0</v>
      </c>
      <c r="M205" s="10">
        <v>29</v>
      </c>
      <c r="N205" s="30"/>
      <c r="O205" s="31"/>
      <c r="P205" s="47"/>
      <c r="Q205" s="31"/>
      <c r="R205" s="31"/>
      <c r="S205" s="32">
        <f t="shared" si="47"/>
        <v>0</v>
      </c>
      <c r="T205" s="10"/>
      <c r="U205" s="10"/>
      <c r="V205" s="10"/>
      <c r="W205" s="12">
        <f t="shared" si="48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5"/>
        <v>0</v>
      </c>
      <c r="AF205" s="10"/>
      <c r="AG205" s="10"/>
      <c r="AH205" s="10"/>
      <c r="AI205" s="12">
        <f t="shared" si="50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45"/>
        <v>0</v>
      </c>
      <c r="H206" s="10"/>
      <c r="I206" s="10"/>
      <c r="J206" s="10"/>
      <c r="K206" s="12">
        <f t="shared" si="46"/>
        <v>0</v>
      </c>
      <c r="M206" s="10">
        <v>30</v>
      </c>
      <c r="N206" s="30"/>
      <c r="O206" s="31"/>
      <c r="P206" s="47"/>
      <c r="Q206" s="31"/>
      <c r="R206" s="31"/>
      <c r="S206" s="32">
        <f t="shared" si="47"/>
        <v>0</v>
      </c>
      <c r="T206" s="10"/>
      <c r="U206" s="10"/>
      <c r="V206" s="10"/>
      <c r="W206" s="12">
        <f t="shared" si="48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5"/>
        <v>0</v>
      </c>
      <c r="AF206" s="10"/>
      <c r="AG206" s="10"/>
      <c r="AH206" s="10"/>
      <c r="AI206" s="12">
        <f t="shared" si="50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45"/>
        <v>0</v>
      </c>
      <c r="H207" s="10"/>
      <c r="I207" s="10"/>
      <c r="J207" s="10"/>
      <c r="K207" s="12">
        <f t="shared" si="46"/>
        <v>0</v>
      </c>
      <c r="M207" s="10">
        <v>31</v>
      </c>
      <c r="N207" s="30"/>
      <c r="O207" s="31"/>
      <c r="P207" s="47"/>
      <c r="Q207" s="31"/>
      <c r="R207" s="31"/>
      <c r="S207" s="32">
        <f t="shared" si="47"/>
        <v>0</v>
      </c>
      <c r="T207" s="10"/>
      <c r="U207" s="10"/>
      <c r="V207" s="10"/>
      <c r="W207" s="12">
        <f t="shared" si="48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5"/>
        <v>0</v>
      </c>
      <c r="AF207" s="10"/>
      <c r="AG207" s="10"/>
      <c r="AH207" s="10"/>
      <c r="AI207" s="12">
        <f t="shared" si="50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45"/>
        <v>0</v>
      </c>
      <c r="H208" s="10"/>
      <c r="I208" s="10"/>
      <c r="J208" s="10"/>
      <c r="K208" s="12">
        <f t="shared" si="46"/>
        <v>0</v>
      </c>
      <c r="M208" s="10">
        <v>32</v>
      </c>
      <c r="N208" s="30"/>
      <c r="O208" s="31"/>
      <c r="P208" s="47"/>
      <c r="Q208" s="31"/>
      <c r="R208" s="31"/>
      <c r="S208" s="32">
        <f t="shared" si="47"/>
        <v>0</v>
      </c>
      <c r="T208" s="10"/>
      <c r="U208" s="10"/>
      <c r="V208" s="10"/>
      <c r="W208" s="12">
        <f t="shared" si="48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5"/>
        <v>0</v>
      </c>
      <c r="AF208" s="10"/>
      <c r="AG208" s="10"/>
      <c r="AH208" s="10"/>
      <c r="AI208" s="12">
        <f t="shared" si="50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45"/>
        <v>0</v>
      </c>
      <c r="H209" s="10"/>
      <c r="I209" s="10"/>
      <c r="J209" s="10"/>
      <c r="K209" s="12">
        <f t="shared" si="46"/>
        <v>0</v>
      </c>
      <c r="M209" s="10">
        <v>33</v>
      </c>
      <c r="N209" s="30"/>
      <c r="O209" s="31"/>
      <c r="P209" s="47"/>
      <c r="Q209" s="31"/>
      <c r="R209" s="31"/>
      <c r="S209" s="32">
        <f t="shared" si="47"/>
        <v>0</v>
      </c>
      <c r="T209" s="10"/>
      <c r="U209" s="10"/>
      <c r="V209" s="10"/>
      <c r="W209" s="12">
        <f t="shared" si="48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5"/>
        <v>0</v>
      </c>
      <c r="AF209" s="10"/>
      <c r="AG209" s="10"/>
      <c r="AH209" s="10"/>
      <c r="AI209" s="12">
        <f t="shared" si="50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45"/>
        <v>0</v>
      </c>
      <c r="H210" s="10"/>
      <c r="I210" s="10"/>
      <c r="J210" s="10"/>
      <c r="K210" s="12">
        <f t="shared" si="4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56">SUM(P210:Q210)</f>
        <v>0</v>
      </c>
      <c r="T210" s="10"/>
      <c r="U210" s="10"/>
      <c r="V210" s="10"/>
      <c r="W210" s="12">
        <f t="shared" ref="W210:W218" si="57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58">SUM(AB210:AC210)</f>
        <v>0</v>
      </c>
      <c r="AF210" s="10"/>
      <c r="AG210" s="10"/>
      <c r="AH210" s="10"/>
      <c r="AI210" s="12">
        <f t="shared" ref="AI210:AI218" si="59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6"/>
        <v>0</v>
      </c>
      <c r="T211" s="10"/>
      <c r="U211" s="10"/>
      <c r="V211" s="10"/>
      <c r="W211" s="12">
        <f t="shared" si="57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8"/>
        <v>0</v>
      </c>
      <c r="AF211" s="10"/>
      <c r="AG211" s="10"/>
      <c r="AH211" s="10"/>
      <c r="AI211" s="12">
        <f t="shared" si="59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6"/>
        <v>0</v>
      </c>
      <c r="T212" s="10"/>
      <c r="U212" s="10"/>
      <c r="V212" s="10"/>
      <c r="W212" s="12">
        <f t="shared" si="57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8"/>
        <v>0</v>
      </c>
      <c r="AF212" s="10"/>
      <c r="AG212" s="10"/>
      <c r="AH212" s="10"/>
      <c r="AI212" s="12">
        <f t="shared" si="59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6"/>
        <v>0</v>
      </c>
      <c r="T213" s="10"/>
      <c r="U213" s="10"/>
      <c r="V213" s="10"/>
      <c r="W213" s="12">
        <f t="shared" si="57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8"/>
        <v>0</v>
      </c>
      <c r="AF213" s="10"/>
      <c r="AG213" s="10"/>
      <c r="AH213" s="10"/>
      <c r="AI213" s="12">
        <f t="shared" si="59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6"/>
        <v>0</v>
      </c>
      <c r="T214" s="10"/>
      <c r="U214" s="10"/>
      <c r="V214" s="10"/>
      <c r="W214" s="12">
        <f t="shared" si="57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8"/>
        <v>0</v>
      </c>
      <c r="AF214" s="10"/>
      <c r="AG214" s="10"/>
      <c r="AH214" s="10"/>
      <c r="AI214" s="12">
        <f t="shared" si="59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6"/>
        <v>0</v>
      </c>
      <c r="T215" s="10"/>
      <c r="U215" s="10"/>
      <c r="V215" s="10"/>
      <c r="W215" s="12">
        <f t="shared" si="57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8"/>
        <v>0</v>
      </c>
      <c r="AF215" s="10"/>
      <c r="AG215" s="10"/>
      <c r="AH215" s="10"/>
      <c r="AI215" s="12">
        <f t="shared" si="59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57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9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0">SUM(D217:E217)</f>
        <v>0</v>
      </c>
      <c r="H217" s="10"/>
      <c r="I217" s="10"/>
      <c r="J217" s="10"/>
      <c r="K217" s="12">
        <f t="shared" ref="K217" si="61">SUM(G217:J217)</f>
        <v>0</v>
      </c>
      <c r="M217" s="10"/>
      <c r="N217" s="30"/>
      <c r="O217" s="31"/>
      <c r="P217" s="47"/>
      <c r="Q217" s="31"/>
      <c r="R217" s="31"/>
      <c r="S217" s="32">
        <f t="shared" ref="S217" si="62">SUM(P217:Q217)</f>
        <v>0</v>
      </c>
      <c r="T217" s="10"/>
      <c r="U217" s="10"/>
      <c r="V217" s="10"/>
      <c r="W217" s="12">
        <f t="shared" si="57"/>
        <v>0</v>
      </c>
      <c r="Y217" s="10"/>
      <c r="Z217" s="30"/>
      <c r="AA217" s="31"/>
      <c r="AB217" s="47"/>
      <c r="AC217" s="31"/>
      <c r="AD217" s="31"/>
      <c r="AE217" s="32">
        <f t="shared" ref="AE217" si="63">SUM(AB217:AC217)</f>
        <v>0</v>
      </c>
      <c r="AF217" s="10"/>
      <c r="AG217" s="10"/>
      <c r="AH217" s="10"/>
      <c r="AI217" s="12">
        <f t="shared" si="59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57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9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437157</v>
      </c>
      <c r="E220" s="38">
        <f t="shared" ref="E220:F220" si="64">SUM(E177:E217)</f>
        <v>-3042</v>
      </c>
      <c r="F220" s="38">
        <f t="shared" si="64"/>
        <v>0</v>
      </c>
      <c r="G220" s="38">
        <f>SUM(G177:G219)</f>
        <v>434115</v>
      </c>
      <c r="H220" s="4"/>
      <c r="I220" s="39">
        <f>SUM(I177:I219)</f>
        <v>4206</v>
      </c>
      <c r="J220" s="39">
        <f>SUM(J177:J219)</f>
        <v>-14208</v>
      </c>
      <c r="K220" s="40">
        <f>SUM(K177:K219)</f>
        <v>424113</v>
      </c>
      <c r="N220" s="57"/>
      <c r="O220" s="57"/>
      <c r="P220" s="38">
        <f>SUM(P177:P219)</f>
        <v>212229</v>
      </c>
      <c r="Q220" s="38">
        <f>SUM(Q177:Q201)</f>
        <v>-1896</v>
      </c>
      <c r="R220" s="38">
        <f>SUM(R177:R201)</f>
        <v>0</v>
      </c>
      <c r="S220" s="38">
        <f>SUM(S177:S219)</f>
        <v>210333</v>
      </c>
      <c r="T220" s="4"/>
      <c r="U220" s="41">
        <f>SUM(U177:U219)</f>
        <v>270</v>
      </c>
      <c r="V220" s="41">
        <f>SUM(V177:V201)</f>
        <v>-4785</v>
      </c>
      <c r="W220" s="42">
        <f>SUM(W177:W219)</f>
        <v>205818</v>
      </c>
      <c r="Z220" s="57"/>
      <c r="AA220" s="57"/>
      <c r="AB220" s="38">
        <f>SUM(AB177:AB219)</f>
        <v>498608</v>
      </c>
      <c r="AC220" s="38">
        <f>SUM(AC177:AC201)</f>
        <v>-1230</v>
      </c>
      <c r="AD220" s="38">
        <f>SUM(AD177:AD201)</f>
        <v>0</v>
      </c>
      <c r="AE220" s="38">
        <f>SUM(AE177:AE219)</f>
        <v>497378</v>
      </c>
      <c r="AF220" s="4"/>
      <c r="AG220" s="41">
        <f>SUM(AG177:AG219)</f>
        <v>0</v>
      </c>
      <c r="AH220" s="41">
        <f>SUM(AH177:AH201)</f>
        <v>-6438</v>
      </c>
      <c r="AI220" s="42">
        <f>SUM(AI177:AI219)</f>
        <v>490940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93"/>
      <c r="C222" s="93"/>
      <c r="D222" s="93"/>
      <c r="E222" s="93"/>
      <c r="F222" s="93"/>
      <c r="G222" s="93"/>
      <c r="H222" s="62"/>
      <c r="I222" s="62"/>
      <c r="J222" s="62"/>
      <c r="K222" s="62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93"/>
      <c r="C223" s="93"/>
      <c r="D223" s="93"/>
      <c r="E223" s="93"/>
      <c r="F223" s="93"/>
      <c r="G223" s="93"/>
      <c r="H223" s="62"/>
      <c r="I223" s="62"/>
      <c r="J223" s="62"/>
      <c r="K223" s="62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93"/>
      <c r="C224" s="93"/>
      <c r="D224" s="93"/>
      <c r="E224" s="93"/>
      <c r="F224" s="93"/>
      <c r="G224" s="93"/>
      <c r="H224" s="62"/>
      <c r="I224" s="62"/>
      <c r="J224" s="62"/>
      <c r="K224" s="62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93"/>
      <c r="C225" s="93"/>
      <c r="D225" s="93"/>
      <c r="E225" s="93"/>
      <c r="F225" s="93"/>
      <c r="G225" s="93"/>
      <c r="H225" s="62"/>
      <c r="I225" s="62"/>
      <c r="J225" s="62"/>
      <c r="K225" s="62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93"/>
      <c r="C226" s="93"/>
      <c r="D226" s="93"/>
      <c r="E226" s="93"/>
      <c r="F226" s="93"/>
      <c r="G226" s="93"/>
      <c r="H226" s="62"/>
      <c r="I226" s="62"/>
      <c r="J226" s="62"/>
      <c r="K226" s="62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93"/>
      <c r="C227" s="93"/>
      <c r="D227" s="93"/>
      <c r="E227" s="93"/>
      <c r="F227" s="93"/>
      <c r="G227" s="93"/>
      <c r="H227" s="62"/>
      <c r="I227" s="93"/>
      <c r="J227" s="73"/>
      <c r="K227" s="62"/>
      <c r="M227" t="s">
        <v>50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50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93"/>
      <c r="C228" s="93"/>
      <c r="D228" s="93"/>
      <c r="E228" s="93"/>
      <c r="F228" s="93"/>
      <c r="G228" s="93"/>
      <c r="H228" s="62"/>
      <c r="I228" s="65"/>
      <c r="J228" s="65"/>
      <c r="K228" s="62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32</v>
      </c>
      <c r="W228" s="24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33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93"/>
      <c r="C229" s="93"/>
      <c r="D229" s="93"/>
      <c r="E229" s="93"/>
      <c r="F229" s="93"/>
      <c r="G229" s="93"/>
      <c r="H229" s="62"/>
      <c r="I229" s="62"/>
      <c r="J229" s="62"/>
      <c r="K229" s="62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93"/>
      <c r="D230" s="123"/>
      <c r="E230" s="123"/>
      <c r="F230" s="93"/>
      <c r="G230" s="93"/>
      <c r="H230" s="62"/>
      <c r="I230" s="123"/>
      <c r="J230" s="123"/>
      <c r="K230" s="124"/>
      <c r="N230" s="25"/>
      <c r="O230" s="26"/>
      <c r="P230" s="118" t="s">
        <v>17</v>
      </c>
      <c r="Q230" s="118"/>
      <c r="R230" s="94"/>
      <c r="S230" s="27"/>
      <c r="U230" s="119" t="s">
        <v>18</v>
      </c>
      <c r="V230" s="120"/>
      <c r="W230" s="121" t="s">
        <v>19</v>
      </c>
      <c r="Z230" s="25"/>
      <c r="AA230" s="26"/>
      <c r="AB230" s="118" t="s">
        <v>17</v>
      </c>
      <c r="AC230" s="118"/>
      <c r="AD230" s="94"/>
      <c r="AE230" s="27"/>
      <c r="AG230" s="119" t="s">
        <v>18</v>
      </c>
      <c r="AH230" s="120"/>
      <c r="AI230" s="121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A231" s="62"/>
      <c r="B231" s="93"/>
      <c r="C231" s="93"/>
      <c r="D231" s="79"/>
      <c r="E231" s="80"/>
      <c r="F231" s="81"/>
      <c r="G231" s="81"/>
      <c r="H231" s="62"/>
      <c r="I231" s="92"/>
      <c r="J231" s="92"/>
      <c r="K231" s="124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31</v>
      </c>
      <c r="S231" s="78" t="s">
        <v>24</v>
      </c>
      <c r="U231" s="29" t="s">
        <v>25</v>
      </c>
      <c r="V231" s="29" t="s">
        <v>26</v>
      </c>
      <c r="W231" s="122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31</v>
      </c>
      <c r="AE231" s="78" t="s">
        <v>24</v>
      </c>
      <c r="AG231" s="29" t="s">
        <v>25</v>
      </c>
      <c r="AH231" s="29" t="s">
        <v>26</v>
      </c>
      <c r="AI231" s="12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M232" s="10">
        <v>1</v>
      </c>
      <c r="N232" s="30">
        <v>46148</v>
      </c>
      <c r="O232" s="31">
        <v>10861</v>
      </c>
      <c r="P232" s="32">
        <f>60*650+670*4+622*5+229*4</f>
        <v>45706</v>
      </c>
      <c r="Q232" s="32"/>
      <c r="R232" s="32"/>
      <c r="S232" s="32">
        <f>SUM(P232:Q232)</f>
        <v>45706</v>
      </c>
      <c r="T232" s="12"/>
      <c r="U232" s="12"/>
      <c r="V232" s="12"/>
      <c r="W232" s="12">
        <f>SUM(S232:V232)</f>
        <v>45706</v>
      </c>
      <c r="Y232" s="10">
        <v>1</v>
      </c>
      <c r="Z232" s="30">
        <v>46148</v>
      </c>
      <c r="AA232" s="31">
        <v>10902</v>
      </c>
      <c r="AB232" s="32">
        <f>650*100+670*8+229*5</f>
        <v>71505</v>
      </c>
      <c r="AC232" s="32"/>
      <c r="AD232" s="32"/>
      <c r="AE232" s="32">
        <f>SUM(AB232:AC232)</f>
        <v>71505</v>
      </c>
      <c r="AF232" s="12"/>
      <c r="AG232" s="12"/>
      <c r="AH232" s="12">
        <f>-120*4+-111*14+-4*78</f>
        <v>-2346</v>
      </c>
      <c r="AI232" s="12">
        <f>SUM(AE232:AH232)</f>
        <v>69159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M233" s="10">
        <v>2</v>
      </c>
      <c r="N233" s="30">
        <v>46148</v>
      </c>
      <c r="O233" s="31">
        <f>O232+1</f>
        <v>10862</v>
      </c>
      <c r="P233" s="32">
        <f>650*60+229</f>
        <v>39229</v>
      </c>
      <c r="Q233" s="32"/>
      <c r="R233" s="32"/>
      <c r="S233" s="32">
        <f t="shared" ref="S233:S264" si="65">SUM(P233:Q233)</f>
        <v>39229</v>
      </c>
      <c r="T233" s="12"/>
      <c r="U233" s="12">
        <v>222</v>
      </c>
      <c r="V233" s="12">
        <f>-78*2+-1.5*24</f>
        <v>-192</v>
      </c>
      <c r="W233" s="12">
        <f t="shared" ref="W233:W264" si="66">SUM(S233:V233)</f>
        <v>39259</v>
      </c>
      <c r="Y233" s="10">
        <v>2</v>
      </c>
      <c r="Z233" s="30">
        <v>46148</v>
      </c>
      <c r="AA233" s="31">
        <f>AA232+1</f>
        <v>10903</v>
      </c>
      <c r="AB233" s="32">
        <f>650*143+670*10+622*20+912*2+1050*2+872*5+229</f>
        <v>120603</v>
      </c>
      <c r="AC233" s="32">
        <f>-182*6</f>
        <v>-1092</v>
      </c>
      <c r="AD233" s="32"/>
      <c r="AE233" s="32">
        <f t="shared" ref="AE233:AE235" si="67">SUM(AB233:AC233)</f>
        <v>119511</v>
      </c>
      <c r="AF233" s="12"/>
      <c r="AG233" s="12">
        <f>1.5*24+4.5*42</f>
        <v>225</v>
      </c>
      <c r="AH233" s="12"/>
      <c r="AI233" s="12">
        <f t="shared" ref="AI233:AI264" si="68">SUM(AE233:AH233)</f>
        <v>119736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M234" s="10">
        <v>3</v>
      </c>
      <c r="N234" s="30">
        <v>46148</v>
      </c>
      <c r="O234" s="31">
        <f t="shared" ref="O234:O237" si="69">O233+1</f>
        <v>10863</v>
      </c>
      <c r="P234" s="32">
        <f>650*38</f>
        <v>24700</v>
      </c>
      <c r="Q234" s="32"/>
      <c r="R234" s="32"/>
      <c r="S234" s="32">
        <f t="shared" si="65"/>
        <v>24700</v>
      </c>
      <c r="T234" s="12"/>
      <c r="U234" s="12"/>
      <c r="V234" s="12">
        <v>-888</v>
      </c>
      <c r="W234" s="12">
        <f t="shared" si="66"/>
        <v>23812</v>
      </c>
      <c r="Y234" s="10">
        <v>3</v>
      </c>
      <c r="Z234" s="30">
        <v>46148</v>
      </c>
      <c r="AA234" s="31">
        <f t="shared" ref="AA234:AA237" si="70">AA233+1</f>
        <v>10904</v>
      </c>
      <c r="AB234" s="33">
        <f>622*10</f>
        <v>6220</v>
      </c>
      <c r="AC234" s="33"/>
      <c r="AD234" s="32"/>
      <c r="AE234" s="32">
        <f t="shared" si="67"/>
        <v>6220</v>
      </c>
      <c r="AF234" s="12"/>
      <c r="AG234" s="12"/>
      <c r="AH234" s="12"/>
      <c r="AI234" s="12">
        <f t="shared" si="68"/>
        <v>6220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M235" s="10">
        <v>4</v>
      </c>
      <c r="N235" s="30">
        <v>46148</v>
      </c>
      <c r="O235" s="31">
        <f t="shared" si="69"/>
        <v>10864</v>
      </c>
      <c r="P235" s="32">
        <v>141316</v>
      </c>
      <c r="Q235" s="32">
        <v>-1296</v>
      </c>
      <c r="R235" s="32"/>
      <c r="S235" s="32">
        <f t="shared" si="65"/>
        <v>140020</v>
      </c>
      <c r="T235" s="12"/>
      <c r="U235" s="12">
        <v>5805</v>
      </c>
      <c r="V235" s="12"/>
      <c r="W235" s="12">
        <f t="shared" si="66"/>
        <v>145825</v>
      </c>
      <c r="Y235" s="10">
        <v>4</v>
      </c>
      <c r="Z235" s="30">
        <v>46148</v>
      </c>
      <c r="AA235" s="31">
        <f t="shared" si="70"/>
        <v>10905</v>
      </c>
      <c r="AB235" s="32">
        <f>89*650+670+622*10</f>
        <v>64740</v>
      </c>
      <c r="AC235" s="32"/>
      <c r="AD235" s="32"/>
      <c r="AE235" s="32">
        <f t="shared" si="67"/>
        <v>64740</v>
      </c>
      <c r="AF235" s="12"/>
      <c r="AG235">
        <f>111*40+4.5*11</f>
        <v>4489.5</v>
      </c>
      <c r="AH235" s="12"/>
      <c r="AI235" s="12">
        <f t="shared" si="68"/>
        <v>69229.5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M236" s="10">
        <v>5</v>
      </c>
      <c r="N236" s="30">
        <v>46148</v>
      </c>
      <c r="O236" s="31">
        <f t="shared" si="69"/>
        <v>10865</v>
      </c>
      <c r="P236" s="32">
        <f>650*7+622</f>
        <v>5172</v>
      </c>
      <c r="Q236" s="32"/>
      <c r="R236" s="32"/>
      <c r="S236" s="32">
        <f t="shared" si="65"/>
        <v>5172</v>
      </c>
      <c r="T236" s="12"/>
      <c r="U236" s="12"/>
      <c r="V236" s="12"/>
      <c r="W236" s="12">
        <f t="shared" si="66"/>
        <v>5172</v>
      </c>
      <c r="Y236" s="10">
        <v>5</v>
      </c>
      <c r="Z236" s="30">
        <v>46148</v>
      </c>
      <c r="AA236" s="31">
        <f t="shared" si="70"/>
        <v>10906</v>
      </c>
      <c r="AB236" s="32">
        <f>650*37+622*5+229*2</f>
        <v>27618</v>
      </c>
      <c r="AC236" s="32"/>
      <c r="AD236" s="32"/>
      <c r="AE236" s="32">
        <f t="shared" ref="AE236:AE264" si="71">SUM(AB236:AC236)</f>
        <v>27618</v>
      </c>
      <c r="AF236" s="12"/>
      <c r="AG236" s="12"/>
      <c r="AH236" s="12"/>
      <c r="AI236" s="12">
        <f t="shared" si="68"/>
        <v>27618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M237" s="10">
        <v>6</v>
      </c>
      <c r="N237" s="30">
        <v>46148</v>
      </c>
      <c r="O237" s="31">
        <f t="shared" si="69"/>
        <v>10866</v>
      </c>
      <c r="P237" s="32">
        <f>650*3</f>
        <v>1950</v>
      </c>
      <c r="Q237" s="32"/>
      <c r="R237" s="32"/>
      <c r="S237" s="32">
        <f t="shared" si="65"/>
        <v>1950</v>
      </c>
      <c r="T237" s="12"/>
      <c r="U237" s="12"/>
      <c r="V237" s="10"/>
      <c r="W237" s="12">
        <f t="shared" si="66"/>
        <v>1950</v>
      </c>
      <c r="Y237" s="10">
        <v>6</v>
      </c>
      <c r="Z237" s="30">
        <v>46148</v>
      </c>
      <c r="AA237" s="31">
        <f t="shared" si="70"/>
        <v>10907</v>
      </c>
      <c r="AB237" s="32">
        <f>650*16+622*2</f>
        <v>11644</v>
      </c>
      <c r="AC237" s="32"/>
      <c r="AD237" s="32"/>
      <c r="AE237" s="32">
        <f t="shared" si="71"/>
        <v>11644</v>
      </c>
      <c r="AF237" s="12"/>
      <c r="AG237" s="12"/>
      <c r="AH237" s="10">
        <f>-29*111</f>
        <v>-3219</v>
      </c>
      <c r="AI237" s="12">
        <f t="shared" si="68"/>
        <v>8425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M238" s="10">
        <v>7</v>
      </c>
      <c r="N238" s="30"/>
      <c r="O238" s="11" t="s">
        <v>27</v>
      </c>
      <c r="P238" s="32"/>
      <c r="Q238" s="32"/>
      <c r="R238" s="32"/>
      <c r="S238" s="32">
        <f t="shared" si="65"/>
        <v>0</v>
      </c>
      <c r="T238" s="12"/>
      <c r="U238" s="12"/>
      <c r="V238" s="12"/>
      <c r="W238" s="12">
        <f t="shared" si="66"/>
        <v>0</v>
      </c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71"/>
        <v>0</v>
      </c>
      <c r="AF238" s="12"/>
      <c r="AG238" s="58"/>
      <c r="AH238" s="12"/>
      <c r="AI238" s="12">
        <f t="shared" si="6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M239" s="10">
        <v>8</v>
      </c>
      <c r="N239" s="30"/>
      <c r="O239" s="31"/>
      <c r="P239" s="32"/>
      <c r="Q239" s="32"/>
      <c r="R239" s="32"/>
      <c r="S239" s="32">
        <f t="shared" si="65"/>
        <v>0</v>
      </c>
      <c r="T239" s="12"/>
      <c r="U239" s="12"/>
      <c r="V239" s="12"/>
      <c r="W239" s="12">
        <f t="shared" si="66"/>
        <v>0</v>
      </c>
      <c r="Y239" s="10">
        <v>8</v>
      </c>
      <c r="Z239" s="30"/>
      <c r="AA239" s="31"/>
      <c r="AB239" s="32"/>
      <c r="AC239" s="32"/>
      <c r="AE239" s="32">
        <f t="shared" si="71"/>
        <v>0</v>
      </c>
      <c r="AF239" s="12"/>
      <c r="AG239" s="12"/>
      <c r="AH239" s="12"/>
      <c r="AI239" s="12">
        <f t="shared" si="6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M240" s="10">
        <v>9</v>
      </c>
      <c r="N240" s="30"/>
      <c r="O240" s="31"/>
      <c r="P240" s="32"/>
      <c r="Q240" s="32"/>
      <c r="R240" s="32"/>
      <c r="S240" s="32">
        <f t="shared" si="65"/>
        <v>0</v>
      </c>
      <c r="T240" s="12"/>
      <c r="U240" s="12"/>
      <c r="V240" s="12"/>
      <c r="W240" s="12">
        <f t="shared" si="66"/>
        <v>0</v>
      </c>
      <c r="Y240" s="10">
        <v>9</v>
      </c>
      <c r="Z240" s="30"/>
      <c r="AA240" s="31"/>
      <c r="AC240" s="32"/>
      <c r="AD240" s="32"/>
      <c r="AE240" s="32">
        <f t="shared" si="71"/>
        <v>0</v>
      </c>
      <c r="AF240" s="12"/>
      <c r="AH240" s="12"/>
      <c r="AI240" s="12">
        <f t="shared" si="6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M241" s="10">
        <v>10</v>
      </c>
      <c r="N241" s="30"/>
      <c r="O241" s="31"/>
      <c r="P241" s="32"/>
      <c r="Q241" s="32"/>
      <c r="R241" s="32"/>
      <c r="S241" s="32">
        <f t="shared" si="65"/>
        <v>0</v>
      </c>
      <c r="T241" s="12"/>
      <c r="U241" s="12"/>
      <c r="V241" s="12"/>
      <c r="W241" s="12">
        <f t="shared" si="66"/>
        <v>0</v>
      </c>
      <c r="Y241" s="10">
        <v>10</v>
      </c>
      <c r="Z241" s="30"/>
      <c r="AA241" s="31"/>
      <c r="AB241" s="32"/>
      <c r="AC241" s="32"/>
      <c r="AD241" s="32"/>
      <c r="AE241" s="32">
        <f t="shared" si="71"/>
        <v>0</v>
      </c>
      <c r="AF241" s="12"/>
      <c r="AG241" s="12"/>
      <c r="AH241" s="12"/>
      <c r="AI241" s="12">
        <f t="shared" si="6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84"/>
      <c r="D242" s="60"/>
      <c r="E242" s="60"/>
      <c r="F242" s="60"/>
      <c r="G242" s="60"/>
      <c r="H242" s="61"/>
      <c r="I242" s="61"/>
      <c r="J242" s="61"/>
      <c r="K242" s="61"/>
      <c r="M242" s="10">
        <v>11</v>
      </c>
      <c r="N242" s="30"/>
      <c r="O242" s="11"/>
      <c r="P242" s="32"/>
      <c r="Q242" s="32"/>
      <c r="R242" s="32"/>
      <c r="S242" s="32">
        <f t="shared" si="65"/>
        <v>0</v>
      </c>
      <c r="T242" s="12"/>
      <c r="U242" s="12"/>
      <c r="V242" s="12"/>
      <c r="W242" s="12">
        <f t="shared" si="66"/>
        <v>0</v>
      </c>
      <c r="Y242" s="10">
        <v>11</v>
      </c>
      <c r="Z242" s="30"/>
      <c r="AA242" s="31"/>
      <c r="AB242" s="32"/>
      <c r="AC242" s="32"/>
      <c r="AD242" s="32"/>
      <c r="AE242" s="32">
        <f t="shared" si="71"/>
        <v>0</v>
      </c>
      <c r="AF242" s="12"/>
      <c r="AG242" s="12"/>
      <c r="AH242" s="12"/>
      <c r="AI242" s="12">
        <f t="shared" si="6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65"/>
      <c r="D243" s="60"/>
      <c r="E243" s="60"/>
      <c r="F243" s="60"/>
      <c r="G243" s="60"/>
      <c r="H243" s="61"/>
      <c r="I243" s="61"/>
      <c r="J243" s="62"/>
      <c r="K243" s="61"/>
      <c r="M243" s="10">
        <v>12</v>
      </c>
      <c r="N243" s="30"/>
      <c r="P243" s="32"/>
      <c r="Q243" s="32"/>
      <c r="R243" s="32"/>
      <c r="S243" s="32">
        <f t="shared" si="65"/>
        <v>0</v>
      </c>
      <c r="T243" s="12"/>
      <c r="U243" s="12"/>
      <c r="V243" s="12"/>
      <c r="W243" s="12">
        <f t="shared" si="66"/>
        <v>0</v>
      </c>
      <c r="Y243" s="10">
        <v>12</v>
      </c>
      <c r="Z243" s="30"/>
      <c r="AA243" s="31"/>
      <c r="AB243" s="32"/>
      <c r="AC243" s="32"/>
      <c r="AD243" s="32"/>
      <c r="AE243" s="32">
        <f t="shared" si="71"/>
        <v>0</v>
      </c>
      <c r="AF243" s="12"/>
      <c r="AG243" s="12"/>
      <c r="AH243" s="12"/>
      <c r="AI243" s="12">
        <f t="shared" si="6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M244" s="10">
        <v>13</v>
      </c>
      <c r="N244" s="30"/>
      <c r="O244" s="31"/>
      <c r="P244" s="32"/>
      <c r="Q244" s="32"/>
      <c r="R244" s="32"/>
      <c r="S244" s="32">
        <f t="shared" si="65"/>
        <v>0</v>
      </c>
      <c r="T244" s="12"/>
      <c r="U244" s="12"/>
      <c r="V244" s="12"/>
      <c r="W244" s="12">
        <f t="shared" si="66"/>
        <v>0</v>
      </c>
      <c r="Y244" s="10">
        <v>13</v>
      </c>
      <c r="Z244" s="30"/>
      <c r="AA244" s="31"/>
      <c r="AB244" s="32"/>
      <c r="AC244" s="32"/>
      <c r="AD244" s="32"/>
      <c r="AE244" s="32">
        <f t="shared" si="71"/>
        <v>0</v>
      </c>
      <c r="AF244" s="12"/>
      <c r="AG244" s="12"/>
      <c r="AH244" s="12"/>
      <c r="AI244" s="12">
        <f t="shared" si="6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M245" s="10">
        <v>14</v>
      </c>
      <c r="N245" s="30"/>
      <c r="O245" s="31"/>
      <c r="P245" s="32"/>
      <c r="Q245" s="32"/>
      <c r="R245" s="32"/>
      <c r="S245" s="32">
        <f t="shared" si="65"/>
        <v>0</v>
      </c>
      <c r="T245" s="12"/>
      <c r="U245" s="12"/>
      <c r="V245" s="12"/>
      <c r="W245" s="12">
        <f t="shared" si="66"/>
        <v>0</v>
      </c>
      <c r="Y245" s="10">
        <v>14</v>
      </c>
      <c r="Z245" s="30"/>
      <c r="AA245" s="31"/>
      <c r="AB245" s="32"/>
      <c r="AC245" s="32"/>
      <c r="AD245" s="32"/>
      <c r="AE245" s="32">
        <f t="shared" si="71"/>
        <v>0</v>
      </c>
      <c r="AF245" s="12"/>
      <c r="AG245" s="12"/>
      <c r="AH245" s="12"/>
      <c r="AI245" s="12">
        <f t="shared" si="6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M246" s="10">
        <v>15</v>
      </c>
      <c r="N246" s="30"/>
      <c r="O246" s="31"/>
      <c r="P246" s="32"/>
      <c r="Q246" s="32"/>
      <c r="R246" s="32"/>
      <c r="S246" s="32">
        <f t="shared" si="65"/>
        <v>0</v>
      </c>
      <c r="T246" s="12"/>
      <c r="U246" s="12"/>
      <c r="V246" s="12"/>
      <c r="W246" s="12">
        <f t="shared" si="66"/>
        <v>0</v>
      </c>
      <c r="Y246" s="10">
        <v>15</v>
      </c>
      <c r="Z246" s="30"/>
      <c r="AA246" s="31"/>
      <c r="AB246" s="32"/>
      <c r="AC246" s="32"/>
      <c r="AD246" s="32"/>
      <c r="AE246" s="32">
        <f t="shared" si="71"/>
        <v>0</v>
      </c>
      <c r="AF246" s="12"/>
      <c r="AG246" s="12"/>
      <c r="AH246" s="12"/>
      <c r="AI246" s="12">
        <f t="shared" si="6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65"/>
      <c r="D247" s="60"/>
      <c r="E247" s="60"/>
      <c r="F247" s="60"/>
      <c r="G247" s="60"/>
      <c r="H247" s="61"/>
      <c r="I247" s="61"/>
      <c r="J247" s="61"/>
      <c r="K247" s="61"/>
      <c r="M247" s="10">
        <v>16</v>
      </c>
      <c r="N247" s="30"/>
      <c r="P247" s="32"/>
      <c r="Q247" s="32"/>
      <c r="R247" s="32"/>
      <c r="S247" s="32">
        <f t="shared" si="65"/>
        <v>0</v>
      </c>
      <c r="T247" s="12"/>
      <c r="U247" s="12"/>
      <c r="V247" s="12"/>
      <c r="W247" s="12">
        <f t="shared" si="66"/>
        <v>0</v>
      </c>
      <c r="Y247" s="10">
        <v>16</v>
      </c>
      <c r="Z247" s="30"/>
      <c r="AA247" s="11"/>
      <c r="AB247" s="32"/>
      <c r="AC247" s="32"/>
      <c r="AD247" s="32"/>
      <c r="AE247" s="32">
        <f t="shared" si="71"/>
        <v>0</v>
      </c>
      <c r="AF247" s="12"/>
      <c r="AG247" s="12"/>
      <c r="AH247" s="12"/>
      <c r="AI247" s="12">
        <f t="shared" si="6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M248" s="10">
        <v>17</v>
      </c>
      <c r="N248" s="30"/>
      <c r="O248" s="31"/>
      <c r="P248" s="35"/>
      <c r="Q248" s="32"/>
      <c r="R248" s="32"/>
      <c r="S248" s="32">
        <f t="shared" si="65"/>
        <v>0</v>
      </c>
      <c r="T248" s="12"/>
      <c r="U248" s="12"/>
      <c r="V248" s="12"/>
      <c r="W248" s="12">
        <f t="shared" si="66"/>
        <v>0</v>
      </c>
      <c r="Y248" s="10">
        <v>17</v>
      </c>
      <c r="Z248" s="30"/>
      <c r="AA248" s="31"/>
      <c r="AB248" s="35"/>
      <c r="AC248" s="32"/>
      <c r="AD248" s="32"/>
      <c r="AE248" s="32">
        <f t="shared" si="71"/>
        <v>0</v>
      </c>
      <c r="AF248" s="12"/>
      <c r="AG248" s="12"/>
      <c r="AH248" s="12"/>
      <c r="AI248" s="12">
        <f t="shared" si="6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93"/>
      <c r="D249" s="60"/>
      <c r="E249" s="60"/>
      <c r="F249" s="60"/>
      <c r="G249" s="60"/>
      <c r="H249" s="61"/>
      <c r="I249" s="61"/>
      <c r="J249" s="61"/>
      <c r="K249" s="61"/>
      <c r="M249" s="10">
        <v>18</v>
      </c>
      <c r="N249" s="30"/>
      <c r="O249" s="31"/>
      <c r="P249" s="32"/>
      <c r="Q249" s="32"/>
      <c r="R249" s="32"/>
      <c r="S249" s="32">
        <f t="shared" si="65"/>
        <v>0</v>
      </c>
      <c r="T249" s="12"/>
      <c r="U249" s="12"/>
      <c r="V249" s="12"/>
      <c r="W249" s="12">
        <f t="shared" si="66"/>
        <v>0</v>
      </c>
      <c r="Y249" s="10">
        <v>18</v>
      </c>
      <c r="Z249" s="30"/>
      <c r="AA249" s="31"/>
      <c r="AB249" s="32"/>
      <c r="AC249" s="32"/>
      <c r="AD249" s="32"/>
      <c r="AE249" s="32">
        <f t="shared" si="71"/>
        <v>0</v>
      </c>
      <c r="AF249" s="12"/>
      <c r="AG249" s="12"/>
      <c r="AH249" s="12"/>
      <c r="AI249" s="12">
        <f t="shared" si="6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M250" s="10">
        <v>19</v>
      </c>
      <c r="N250" s="30"/>
      <c r="O250" s="31"/>
      <c r="P250" s="32"/>
      <c r="Q250" s="32"/>
      <c r="R250" s="32"/>
      <c r="S250" s="32">
        <f t="shared" si="65"/>
        <v>0</v>
      </c>
      <c r="T250" s="12"/>
      <c r="U250" s="12"/>
      <c r="V250" s="12"/>
      <c r="W250" s="12">
        <f t="shared" si="66"/>
        <v>0</v>
      </c>
      <c r="Y250" s="10">
        <v>19</v>
      </c>
      <c r="Z250" s="30"/>
      <c r="AA250" s="31"/>
      <c r="AB250" s="32"/>
      <c r="AC250" s="32"/>
      <c r="AD250" s="32"/>
      <c r="AE250" s="32">
        <f t="shared" si="71"/>
        <v>0</v>
      </c>
      <c r="AF250" s="12"/>
      <c r="AG250" s="12"/>
      <c r="AH250" s="12"/>
      <c r="AI250" s="12">
        <f t="shared" si="6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M251" s="10">
        <v>20</v>
      </c>
      <c r="N251" s="30"/>
      <c r="O251" s="31"/>
      <c r="P251" s="32"/>
      <c r="Q251" s="32"/>
      <c r="R251" s="32"/>
      <c r="S251" s="32">
        <f t="shared" si="65"/>
        <v>0</v>
      </c>
      <c r="T251" s="12"/>
      <c r="U251" s="12"/>
      <c r="V251" s="12"/>
      <c r="W251" s="12">
        <f t="shared" si="66"/>
        <v>0</v>
      </c>
      <c r="Y251" s="10">
        <v>20</v>
      </c>
      <c r="Z251" s="30"/>
      <c r="AB251" s="32"/>
      <c r="AC251" s="32"/>
      <c r="AD251" s="32"/>
      <c r="AE251" s="32">
        <f t="shared" si="71"/>
        <v>0</v>
      </c>
      <c r="AF251" s="12"/>
      <c r="AG251" s="12"/>
      <c r="AH251" s="12"/>
      <c r="AI251" s="12">
        <f t="shared" si="6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4"/>
      <c r="D252" s="60"/>
      <c r="E252" s="60"/>
      <c r="F252" s="60"/>
      <c r="G252" s="60"/>
      <c r="H252" s="62"/>
      <c r="I252" s="62"/>
      <c r="J252" s="62"/>
      <c r="K252" s="61"/>
      <c r="M252" s="10">
        <v>21</v>
      </c>
      <c r="N252" s="30"/>
      <c r="O252" s="31"/>
      <c r="P252" s="46"/>
      <c r="Q252" s="31"/>
      <c r="R252" s="31"/>
      <c r="S252" s="32">
        <f t="shared" si="65"/>
        <v>0</v>
      </c>
      <c r="T252" s="10"/>
      <c r="U252" s="10"/>
      <c r="V252" s="10"/>
      <c r="W252" s="12">
        <f t="shared" si="66"/>
        <v>0</v>
      </c>
      <c r="Y252" s="10">
        <v>21</v>
      </c>
      <c r="Z252" s="30"/>
      <c r="AA252" s="31"/>
      <c r="AB252" s="46"/>
      <c r="AC252" s="31"/>
      <c r="AD252" s="31"/>
      <c r="AE252" s="32">
        <f t="shared" si="71"/>
        <v>0</v>
      </c>
      <c r="AF252" s="10"/>
      <c r="AG252" s="10"/>
      <c r="AH252" s="10"/>
      <c r="AI252" s="12">
        <f t="shared" si="6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M253" s="10">
        <v>22</v>
      </c>
      <c r="N253" s="30"/>
      <c r="O253" s="31"/>
      <c r="P253" s="45"/>
      <c r="Q253" s="31"/>
      <c r="R253" s="31"/>
      <c r="S253" s="32">
        <f t="shared" si="65"/>
        <v>0</v>
      </c>
      <c r="T253" s="10"/>
      <c r="U253" s="10"/>
      <c r="V253" s="10"/>
      <c r="W253" s="12">
        <f t="shared" si="66"/>
        <v>0</v>
      </c>
      <c r="Y253" s="10">
        <v>22</v>
      </c>
      <c r="Z253" s="30"/>
      <c r="AA253" s="31"/>
      <c r="AB253" s="45"/>
      <c r="AC253" s="31"/>
      <c r="AD253" s="31"/>
      <c r="AE253" s="32">
        <f t="shared" si="71"/>
        <v>0</v>
      </c>
      <c r="AF253" s="10"/>
      <c r="AG253" s="10"/>
      <c r="AH253" s="10"/>
      <c r="AI253" s="12">
        <f t="shared" si="6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M254" s="10">
        <v>23</v>
      </c>
      <c r="N254" s="30"/>
      <c r="O254" s="31"/>
      <c r="P254" s="47"/>
      <c r="S254" s="32">
        <f t="shared" si="65"/>
        <v>0</v>
      </c>
      <c r="T254" s="10"/>
      <c r="U254" s="10"/>
      <c r="V254" s="10"/>
      <c r="W254" s="12">
        <f t="shared" si="66"/>
        <v>0</v>
      </c>
      <c r="Y254" s="10">
        <v>23</v>
      </c>
      <c r="Z254" s="30"/>
      <c r="AA254" s="31"/>
      <c r="AB254" s="47"/>
      <c r="AE254" s="32">
        <f t="shared" si="71"/>
        <v>0</v>
      </c>
      <c r="AF254" s="10"/>
      <c r="AG254" s="10"/>
      <c r="AH254" s="10"/>
      <c r="AI254" s="12">
        <f t="shared" si="6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M255" s="10">
        <v>24</v>
      </c>
      <c r="N255" s="30"/>
      <c r="O255" s="31"/>
      <c r="P255" s="47"/>
      <c r="Q255" s="31"/>
      <c r="R255" s="31"/>
      <c r="S255" s="32">
        <f t="shared" si="65"/>
        <v>0</v>
      </c>
      <c r="T255" s="10"/>
      <c r="U255" s="10"/>
      <c r="V255" s="10"/>
      <c r="W255" s="12">
        <f t="shared" si="66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1"/>
        <v>0</v>
      </c>
      <c r="AF255" s="10"/>
      <c r="AG255" s="10"/>
      <c r="AH255" s="10"/>
      <c r="AI255" s="12">
        <f t="shared" si="6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M256" s="10">
        <v>25</v>
      </c>
      <c r="N256" s="30"/>
      <c r="O256" s="31"/>
      <c r="P256" s="47"/>
      <c r="Q256" s="31"/>
      <c r="R256" s="31"/>
      <c r="S256" s="32">
        <f t="shared" si="65"/>
        <v>0</v>
      </c>
      <c r="T256" s="10"/>
      <c r="U256" s="10"/>
      <c r="V256" s="10"/>
      <c r="W256" s="12">
        <f t="shared" si="66"/>
        <v>0</v>
      </c>
      <c r="Y256" s="10">
        <v>25</v>
      </c>
      <c r="Z256" s="30"/>
      <c r="AA256" s="31"/>
      <c r="AB256" s="47"/>
      <c r="AC256" s="31"/>
      <c r="AD256" s="31"/>
      <c r="AE256" s="32">
        <f t="shared" si="71"/>
        <v>0</v>
      </c>
      <c r="AF256" s="10"/>
      <c r="AG256" s="10"/>
      <c r="AH256" s="10"/>
      <c r="AI256" s="12">
        <f t="shared" si="6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M257" s="10">
        <v>26</v>
      </c>
      <c r="N257" s="30"/>
      <c r="O257" s="31"/>
      <c r="P257" s="47"/>
      <c r="Q257" s="31"/>
      <c r="R257" s="31"/>
      <c r="S257" s="32">
        <f t="shared" si="65"/>
        <v>0</v>
      </c>
      <c r="T257" s="10"/>
      <c r="U257" s="10"/>
      <c r="V257" s="10"/>
      <c r="W257" s="12">
        <f t="shared" si="66"/>
        <v>0</v>
      </c>
      <c r="Y257" s="10">
        <v>26</v>
      </c>
      <c r="Z257" s="30"/>
      <c r="AA257" s="31"/>
      <c r="AB257" s="47"/>
      <c r="AC257" s="31"/>
      <c r="AD257" s="31"/>
      <c r="AE257" s="32">
        <f t="shared" si="71"/>
        <v>0</v>
      </c>
      <c r="AF257" s="10"/>
      <c r="AG257" s="10"/>
      <c r="AH257" s="10"/>
      <c r="AI257" s="12">
        <f t="shared" si="6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M258" s="10">
        <v>27</v>
      </c>
      <c r="N258" s="30"/>
      <c r="O258" s="31"/>
      <c r="P258" s="47"/>
      <c r="Q258" s="31"/>
      <c r="R258" s="31"/>
      <c r="S258" s="32">
        <f t="shared" si="65"/>
        <v>0</v>
      </c>
      <c r="T258" s="10"/>
      <c r="U258" s="10"/>
      <c r="V258" s="10"/>
      <c r="W258" s="12">
        <f t="shared" si="66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1"/>
        <v>0</v>
      </c>
      <c r="AF258" s="10"/>
      <c r="AG258" s="10"/>
      <c r="AH258" s="10"/>
      <c r="AI258" s="12">
        <f t="shared" si="6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M259" s="10">
        <v>28</v>
      </c>
      <c r="N259" s="30"/>
      <c r="O259" s="31"/>
      <c r="P259" s="47"/>
      <c r="Q259" s="31"/>
      <c r="R259" s="31"/>
      <c r="S259" s="32">
        <f t="shared" si="65"/>
        <v>0</v>
      </c>
      <c r="T259" s="10"/>
      <c r="U259" s="10"/>
      <c r="V259" s="10"/>
      <c r="W259" s="12">
        <f t="shared" si="66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1"/>
        <v>0</v>
      </c>
      <c r="AF259" s="10"/>
      <c r="AG259" s="10"/>
      <c r="AH259" s="10"/>
      <c r="AI259" s="12">
        <f t="shared" si="6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4"/>
      <c r="D260" s="60"/>
      <c r="E260" s="60"/>
      <c r="F260" s="60"/>
      <c r="G260" s="60"/>
      <c r="H260" s="62"/>
      <c r="I260" s="62"/>
      <c r="J260" s="62"/>
      <c r="K260" s="61"/>
      <c r="M260" s="10">
        <v>29</v>
      </c>
      <c r="N260" s="30"/>
      <c r="O260" s="31"/>
      <c r="P260" s="47"/>
      <c r="Q260" s="31"/>
      <c r="R260" s="31"/>
      <c r="S260" s="32">
        <f t="shared" si="65"/>
        <v>0</v>
      </c>
      <c r="T260" s="10"/>
      <c r="U260" s="10"/>
      <c r="V260" s="10"/>
      <c r="W260" s="12">
        <f t="shared" si="66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1"/>
        <v>0</v>
      </c>
      <c r="AF260" s="10"/>
      <c r="AG260" s="10"/>
      <c r="AH260" s="10"/>
      <c r="AI260" s="12">
        <f t="shared" si="6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M261" s="10">
        <v>30</v>
      </c>
      <c r="N261" s="30"/>
      <c r="O261" s="31"/>
      <c r="P261" s="47"/>
      <c r="Q261" s="31"/>
      <c r="R261" s="31"/>
      <c r="S261" s="32">
        <f t="shared" si="65"/>
        <v>0</v>
      </c>
      <c r="T261" s="10"/>
      <c r="U261" s="10"/>
      <c r="V261" s="10"/>
      <c r="W261" s="12">
        <f t="shared" si="66"/>
        <v>0</v>
      </c>
      <c r="Y261" s="10">
        <v>30</v>
      </c>
      <c r="Z261" s="30"/>
      <c r="AA261" s="31"/>
      <c r="AB261" s="47"/>
      <c r="AC261" s="31"/>
      <c r="AD261" s="31"/>
      <c r="AE261" s="32">
        <f t="shared" si="71"/>
        <v>0</v>
      </c>
      <c r="AF261" s="10"/>
      <c r="AG261" s="10"/>
      <c r="AH261" s="10"/>
      <c r="AI261" s="12">
        <f t="shared" si="6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M262" s="10">
        <v>31</v>
      </c>
      <c r="N262" s="30"/>
      <c r="O262" s="31"/>
      <c r="P262" s="47"/>
      <c r="Q262" s="31"/>
      <c r="R262" s="31"/>
      <c r="S262" s="32">
        <f t="shared" si="65"/>
        <v>0</v>
      </c>
      <c r="T262" s="10"/>
      <c r="U262" s="10"/>
      <c r="V262" s="10"/>
      <c r="W262" s="12">
        <f t="shared" si="66"/>
        <v>0</v>
      </c>
      <c r="Y262" s="10">
        <v>31</v>
      </c>
      <c r="Z262" s="30"/>
      <c r="AA262" s="31"/>
      <c r="AB262" s="47"/>
      <c r="AC262" s="31"/>
      <c r="AD262" s="31"/>
      <c r="AE262" s="32">
        <f t="shared" si="71"/>
        <v>0</v>
      </c>
      <c r="AF262" s="10"/>
      <c r="AG262" s="10"/>
      <c r="AH262" s="10"/>
      <c r="AI262" s="12">
        <f t="shared" si="6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M263" s="10">
        <v>32</v>
      </c>
      <c r="N263" s="30"/>
      <c r="O263" s="31"/>
      <c r="P263" s="47"/>
      <c r="Q263" s="31"/>
      <c r="R263" s="31"/>
      <c r="S263" s="32">
        <f t="shared" si="65"/>
        <v>0</v>
      </c>
      <c r="T263" s="10"/>
      <c r="U263" s="10"/>
      <c r="V263" s="10"/>
      <c r="W263" s="12">
        <f t="shared" si="66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1"/>
        <v>0</v>
      </c>
      <c r="AF263" s="10"/>
      <c r="AG263" s="10"/>
      <c r="AH263" s="10"/>
      <c r="AI263" s="12">
        <f t="shared" si="6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M264" s="10">
        <v>33</v>
      </c>
      <c r="N264" s="30"/>
      <c r="O264" s="31"/>
      <c r="P264" s="47"/>
      <c r="Q264" s="31"/>
      <c r="R264" s="31"/>
      <c r="S264" s="32">
        <f t="shared" si="65"/>
        <v>0</v>
      </c>
      <c r="T264" s="10"/>
      <c r="U264" s="10"/>
      <c r="V264" s="10"/>
      <c r="W264" s="12">
        <f t="shared" si="66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1"/>
        <v>0</v>
      </c>
      <c r="AF264" s="10"/>
      <c r="AG264" s="10"/>
      <c r="AH264" s="10"/>
      <c r="AI264" s="12">
        <f t="shared" si="6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M265" s="10">
        <v>34</v>
      </c>
      <c r="N265" s="30"/>
      <c r="O265" s="31"/>
      <c r="P265" s="47"/>
      <c r="Q265" s="31"/>
      <c r="R265" s="31"/>
      <c r="S265" s="32">
        <f t="shared" ref="S265:S270" si="72">SUM(P265:Q265)</f>
        <v>0</v>
      </c>
      <c r="T265" s="10"/>
      <c r="U265" s="10"/>
      <c r="V265" s="10"/>
      <c r="W265" s="12">
        <f t="shared" ref="W265:W273" si="73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74">SUM(AB265:AC265)</f>
        <v>0</v>
      </c>
      <c r="AF265" s="10"/>
      <c r="AG265" s="10"/>
      <c r="AH265" s="10"/>
      <c r="AI265" s="12">
        <f t="shared" ref="AI265:AI273" si="75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M266" s="10">
        <v>35</v>
      </c>
      <c r="N266" s="30"/>
      <c r="O266" s="31"/>
      <c r="P266" s="47"/>
      <c r="Q266" s="31"/>
      <c r="R266" s="31"/>
      <c r="S266" s="32">
        <f t="shared" si="72"/>
        <v>0</v>
      </c>
      <c r="T266" s="10"/>
      <c r="U266" s="10"/>
      <c r="V266" s="10"/>
      <c r="W266" s="12">
        <f t="shared" si="73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4"/>
        <v>0</v>
      </c>
      <c r="AF266" s="10"/>
      <c r="AG266" s="10"/>
      <c r="AH266" s="10"/>
      <c r="AI266" s="12">
        <f t="shared" si="75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M267" s="10">
        <v>36</v>
      </c>
      <c r="N267" s="30"/>
      <c r="O267" s="31"/>
      <c r="P267" s="47"/>
      <c r="Q267" s="31"/>
      <c r="R267" s="31"/>
      <c r="S267" s="32">
        <f t="shared" si="72"/>
        <v>0</v>
      </c>
      <c r="T267" s="10"/>
      <c r="U267" s="10"/>
      <c r="V267" s="10"/>
      <c r="W267" s="12">
        <f t="shared" si="73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4"/>
        <v>0</v>
      </c>
      <c r="AF267" s="10"/>
      <c r="AG267" s="10"/>
      <c r="AH267" s="10"/>
      <c r="AI267" s="12">
        <f t="shared" si="75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93"/>
      <c r="D268" s="60"/>
      <c r="E268" s="60"/>
      <c r="F268" s="60"/>
      <c r="G268" s="60"/>
      <c r="H268" s="62"/>
      <c r="I268" s="62"/>
      <c r="J268" s="62"/>
      <c r="K268" s="61"/>
      <c r="M268" s="10">
        <v>37</v>
      </c>
      <c r="N268" s="30"/>
      <c r="P268" s="47"/>
      <c r="Q268" s="31"/>
      <c r="R268" s="31"/>
      <c r="S268" s="32">
        <f t="shared" si="72"/>
        <v>0</v>
      </c>
      <c r="T268" s="10"/>
      <c r="U268" s="10"/>
      <c r="V268" s="10"/>
      <c r="W268" s="12">
        <f t="shared" si="73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4"/>
        <v>0</v>
      </c>
      <c r="AF268" s="10"/>
      <c r="AG268" s="10"/>
      <c r="AH268" s="10"/>
      <c r="AI268" s="12">
        <f t="shared" si="75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93"/>
      <c r="D269" s="60"/>
      <c r="E269" s="60"/>
      <c r="F269" s="60"/>
      <c r="G269" s="60"/>
      <c r="H269" s="62"/>
      <c r="I269" s="62"/>
      <c r="J269" s="62"/>
      <c r="K269" s="61"/>
      <c r="M269" s="10">
        <v>38</v>
      </c>
      <c r="N269" s="30"/>
      <c r="O269" s="31"/>
      <c r="P269" s="47"/>
      <c r="Q269" s="31"/>
      <c r="R269" s="31"/>
      <c r="S269" s="32">
        <f t="shared" si="72"/>
        <v>0</v>
      </c>
      <c r="T269" s="10"/>
      <c r="U269" s="10"/>
      <c r="V269" s="10"/>
      <c r="W269" s="12">
        <f t="shared" si="73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4"/>
        <v>0</v>
      </c>
      <c r="AF269" s="10"/>
      <c r="AG269" s="10"/>
      <c r="AH269" s="10"/>
      <c r="AI269" s="12">
        <f t="shared" si="75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93"/>
      <c r="D270" s="60"/>
      <c r="E270" s="60"/>
      <c r="F270" s="60"/>
      <c r="G270" s="60"/>
      <c r="H270" s="62"/>
      <c r="I270" s="62"/>
      <c r="J270" s="62"/>
      <c r="K270" s="61"/>
      <c r="M270" s="10">
        <v>39</v>
      </c>
      <c r="N270" s="30"/>
      <c r="O270" s="31"/>
      <c r="P270" s="47"/>
      <c r="Q270" s="31"/>
      <c r="R270" s="31"/>
      <c r="S270" s="32">
        <f t="shared" si="72"/>
        <v>0</v>
      </c>
      <c r="T270" s="10"/>
      <c r="U270" s="10"/>
      <c r="V270" s="10"/>
      <c r="W270" s="12">
        <f t="shared" si="73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4"/>
        <v>0</v>
      </c>
      <c r="AF270" s="10"/>
      <c r="AG270" s="10"/>
      <c r="AH270" s="10"/>
      <c r="AI270" s="12">
        <f t="shared" si="75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93"/>
      <c r="D271" s="60"/>
      <c r="E271" s="60"/>
      <c r="F271" s="60"/>
      <c r="G271" s="60"/>
      <c r="H271" s="62"/>
      <c r="I271" s="62"/>
      <c r="J271" s="62"/>
      <c r="K271" s="61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3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75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93"/>
      <c r="D272" s="60"/>
      <c r="E272" s="60"/>
      <c r="F272" s="60"/>
      <c r="G272" s="60"/>
      <c r="H272" s="62"/>
      <c r="I272" s="62"/>
      <c r="J272" s="62"/>
      <c r="K272" s="61"/>
      <c r="M272" s="10"/>
      <c r="N272" s="30"/>
      <c r="O272" s="31"/>
      <c r="P272" s="47"/>
      <c r="Q272" s="31"/>
      <c r="R272" s="31"/>
      <c r="S272" s="32">
        <f t="shared" ref="S272" si="76">SUM(P272:Q272)</f>
        <v>0</v>
      </c>
      <c r="T272" s="10"/>
      <c r="U272" s="10"/>
      <c r="V272" s="10"/>
      <c r="W272" s="12">
        <f t="shared" si="73"/>
        <v>0</v>
      </c>
      <c r="Y272" s="10"/>
      <c r="Z272" s="30"/>
      <c r="AA272" s="31"/>
      <c r="AB272" s="47"/>
      <c r="AC272" s="31"/>
      <c r="AD272" s="31"/>
      <c r="AE272" s="32">
        <f t="shared" ref="AE272" si="77">SUM(AB272:AC272)</f>
        <v>0</v>
      </c>
      <c r="AF272" s="10"/>
      <c r="AG272" s="10"/>
      <c r="AH272" s="10"/>
      <c r="AI272" s="12">
        <f t="shared" si="75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3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75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93"/>
      <c r="C274" s="93"/>
      <c r="D274" s="93"/>
      <c r="E274" s="93"/>
      <c r="F274" s="93"/>
      <c r="G274" s="93"/>
      <c r="H274" s="62"/>
      <c r="I274" s="62"/>
      <c r="J274" s="62"/>
      <c r="K274" s="62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93"/>
      <c r="C275" s="93"/>
      <c r="D275" s="70"/>
      <c r="E275" s="70"/>
      <c r="F275" s="70"/>
      <c r="G275" s="70"/>
      <c r="H275" s="63"/>
      <c r="I275" s="70"/>
      <c r="J275" s="70"/>
      <c r="K275" s="70"/>
      <c r="N275" s="57"/>
      <c r="O275" s="57"/>
      <c r="P275" s="38">
        <f>SUM(P232:P274)</f>
        <v>258073</v>
      </c>
      <c r="Q275" s="38">
        <f>SUM(Q232:Q256)</f>
        <v>-1296</v>
      </c>
      <c r="R275" s="38">
        <f>SUM(R232:R256)</f>
        <v>0</v>
      </c>
      <c r="S275" s="38">
        <f>SUM(S232:S274)</f>
        <v>256777</v>
      </c>
      <c r="T275" s="4"/>
      <c r="U275" s="41">
        <f>SUM(U232:U274)</f>
        <v>6027</v>
      </c>
      <c r="V275" s="41">
        <f>SUM(V232:V256)</f>
        <v>-1080</v>
      </c>
      <c r="W275" s="42">
        <f>SUM(W232:W274)</f>
        <v>261724</v>
      </c>
      <c r="Z275" s="57"/>
      <c r="AA275" s="57"/>
      <c r="AB275" s="38">
        <f>SUM(AB232:AB274)</f>
        <v>302330</v>
      </c>
      <c r="AC275" s="38">
        <f>SUM(AC232:AC256)</f>
        <v>-1092</v>
      </c>
      <c r="AD275" s="38">
        <f>SUM(AD232:AD256)</f>
        <v>0</v>
      </c>
      <c r="AE275" s="38">
        <f>SUM(AE232:AE274)</f>
        <v>301238</v>
      </c>
      <c r="AF275" s="4"/>
      <c r="AG275" s="41">
        <f>SUM(AG232:AG274)</f>
        <v>4714.5</v>
      </c>
      <c r="AH275" s="41">
        <f>SUM(AH232:AH256)</f>
        <v>-5565</v>
      </c>
      <c r="AI275" s="42">
        <f>SUM(AI232:AI274)</f>
        <v>300387.5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87"/>
      <c r="C277" s="87"/>
      <c r="D277" s="87"/>
      <c r="E277" s="87"/>
      <c r="F277" s="87"/>
      <c r="G277" s="87"/>
      <c r="H277" s="62"/>
      <c r="I277" s="62"/>
      <c r="J277" s="62"/>
      <c r="K277" s="62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87"/>
      <c r="C278" s="87"/>
      <c r="D278" s="87"/>
      <c r="E278" s="87"/>
      <c r="F278" s="87"/>
      <c r="G278" s="87"/>
      <c r="H278" s="62"/>
      <c r="I278" s="62"/>
      <c r="J278" s="62"/>
      <c r="K278" s="62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87"/>
      <c r="C279" s="87"/>
      <c r="D279" s="87"/>
      <c r="E279" s="87"/>
      <c r="F279" s="87"/>
      <c r="G279" s="87"/>
      <c r="H279" s="62"/>
      <c r="I279" s="62"/>
      <c r="J279" s="62"/>
      <c r="K279" s="62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87"/>
      <c r="C280" s="87"/>
      <c r="D280" s="87"/>
      <c r="E280" s="87"/>
      <c r="F280" s="87"/>
      <c r="G280" s="87"/>
      <c r="H280" s="62"/>
      <c r="I280" s="62"/>
      <c r="J280" s="62"/>
      <c r="K280" s="62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87"/>
      <c r="C281" s="87"/>
      <c r="D281" s="87"/>
      <c r="E281" s="87"/>
      <c r="F281" s="87"/>
      <c r="G281" s="87"/>
      <c r="H281" s="62"/>
      <c r="I281" s="62"/>
      <c r="J281" s="62"/>
      <c r="K281" s="62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87"/>
      <c r="C282" s="87"/>
      <c r="D282" s="87"/>
      <c r="E282" s="87"/>
      <c r="F282" s="87"/>
      <c r="G282" s="87"/>
      <c r="H282" s="62"/>
      <c r="I282" s="87"/>
      <c r="J282" s="73"/>
      <c r="K282" s="62"/>
      <c r="M282" t="s">
        <v>64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64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87"/>
      <c r="C283" s="87"/>
      <c r="D283" s="87"/>
      <c r="E283" s="87"/>
      <c r="F283" s="87"/>
      <c r="G283" s="87"/>
      <c r="H283" s="62"/>
      <c r="I283" s="65"/>
      <c r="J283" s="65"/>
      <c r="K283" s="62"/>
      <c r="M283" s="21" t="s">
        <v>91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32</v>
      </c>
      <c r="W283" s="24"/>
      <c r="Y283" s="21" t="s">
        <v>91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54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87"/>
      <c r="C284" s="87"/>
      <c r="D284" s="87"/>
      <c r="E284" s="87"/>
      <c r="F284" s="87"/>
      <c r="G284" s="87"/>
      <c r="H284" s="62"/>
      <c r="I284" s="62"/>
      <c r="J284" s="62"/>
      <c r="K284" s="62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87"/>
      <c r="D285" s="123"/>
      <c r="E285" s="123"/>
      <c r="F285" s="87"/>
      <c r="G285" s="87"/>
      <c r="H285" s="62"/>
      <c r="I285" s="123"/>
      <c r="J285" s="123"/>
      <c r="K285" s="124"/>
      <c r="N285" s="25"/>
      <c r="O285" s="26"/>
      <c r="P285" s="118" t="s">
        <v>17</v>
      </c>
      <c r="Q285" s="118"/>
      <c r="R285" s="95"/>
      <c r="S285" s="27"/>
      <c r="U285" s="119" t="s">
        <v>18</v>
      </c>
      <c r="V285" s="120"/>
      <c r="W285" s="121" t="s">
        <v>19</v>
      </c>
      <c r="Z285" s="25"/>
      <c r="AA285" s="26"/>
      <c r="AB285" s="118" t="s">
        <v>17</v>
      </c>
      <c r="AC285" s="118"/>
      <c r="AD285" s="95"/>
      <c r="AE285" s="27"/>
      <c r="AG285" s="119" t="s">
        <v>18</v>
      </c>
      <c r="AH285" s="120"/>
      <c r="AI285" s="121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A286" s="62"/>
      <c r="B286" s="87"/>
      <c r="C286" s="87"/>
      <c r="D286" s="79"/>
      <c r="E286" s="80"/>
      <c r="F286" s="81"/>
      <c r="G286" s="81"/>
      <c r="H286" s="62"/>
      <c r="I286" s="88"/>
      <c r="J286" s="88"/>
      <c r="K286" s="124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31</v>
      </c>
      <c r="S286" s="78" t="s">
        <v>24</v>
      </c>
      <c r="U286" s="29" t="s">
        <v>25</v>
      </c>
      <c r="V286" s="29" t="s">
        <v>26</v>
      </c>
      <c r="W286" s="122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31</v>
      </c>
      <c r="AE286" s="78" t="s">
        <v>24</v>
      </c>
      <c r="AG286" s="29" t="s">
        <v>25</v>
      </c>
      <c r="AH286" s="29" t="s">
        <v>26</v>
      </c>
      <c r="AI286" s="12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4"/>
      <c r="D287" s="60"/>
      <c r="E287" s="60"/>
      <c r="F287" s="60"/>
      <c r="G287" s="60"/>
      <c r="H287" s="61"/>
      <c r="I287" s="61"/>
      <c r="J287" s="61"/>
      <c r="K287" s="61"/>
      <c r="M287" s="10">
        <v>1</v>
      </c>
      <c r="N287" s="30">
        <v>46240</v>
      </c>
      <c r="O287" s="31">
        <v>10867</v>
      </c>
      <c r="P287" s="32">
        <f>650*6</f>
        <v>3900</v>
      </c>
      <c r="Q287" s="32">
        <f>-6*6</f>
        <v>-36</v>
      </c>
      <c r="R287" s="32"/>
      <c r="S287" s="32">
        <f>SUM(P287:Q287)</f>
        <v>3864</v>
      </c>
      <c r="T287" s="12"/>
      <c r="U287" s="12"/>
      <c r="V287" s="12"/>
      <c r="W287" s="12">
        <f>SUM(S287:V287)</f>
        <v>3864</v>
      </c>
      <c r="Y287" s="10">
        <v>1</v>
      </c>
      <c r="Z287" s="30">
        <v>46240</v>
      </c>
      <c r="AA287" s="31">
        <v>10908</v>
      </c>
      <c r="AB287" s="32">
        <f>650*173+622*66+1050+872*3+229*5</f>
        <v>158313</v>
      </c>
      <c r="AC287" s="32">
        <f>-243*6</f>
        <v>-1458</v>
      </c>
      <c r="AD287" s="32"/>
      <c r="AE287" s="32">
        <f>SUM(AB287:AC287)</f>
        <v>156855</v>
      </c>
      <c r="AF287" s="12"/>
      <c r="AG287" s="12">
        <f>111*66+1.5*20+1.5*96+4.5*24</f>
        <v>7608</v>
      </c>
      <c r="AH287" s="12"/>
      <c r="AI287" s="12">
        <f>SUM(AE287:AH287)</f>
        <v>164463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4"/>
      <c r="D288" s="60"/>
      <c r="E288" s="60"/>
      <c r="F288" s="60"/>
      <c r="G288" s="60"/>
      <c r="H288" s="61"/>
      <c r="I288" s="61"/>
      <c r="J288" s="61"/>
      <c r="K288" s="61"/>
      <c r="M288" s="10">
        <v>2</v>
      </c>
      <c r="N288" s="30">
        <v>46240</v>
      </c>
      <c r="O288" s="31">
        <f>O287+1</f>
        <v>10868</v>
      </c>
      <c r="P288" s="32">
        <f>650*18+622*3</f>
        <v>13566</v>
      </c>
      <c r="Q288" s="32"/>
      <c r="R288" s="32"/>
      <c r="S288" s="32">
        <f t="shared" ref="S288:S325" si="78">SUM(P288:Q288)</f>
        <v>13566</v>
      </c>
      <c r="T288" s="12"/>
      <c r="U288" s="12"/>
      <c r="V288" s="12">
        <f>-111*6</f>
        <v>-666</v>
      </c>
      <c r="W288" s="12">
        <f t="shared" ref="W288:W328" si="79">SUM(S288:V288)</f>
        <v>12900</v>
      </c>
      <c r="Y288" s="10">
        <v>2</v>
      </c>
      <c r="Z288" s="30">
        <v>46240</v>
      </c>
      <c r="AA288" s="31">
        <f>AA287+1</f>
        <v>10909</v>
      </c>
      <c r="AB288" s="32">
        <f>650*108+670*10+872*2+229*4</f>
        <v>79560</v>
      </c>
      <c r="AC288" s="32">
        <f>-120*6</f>
        <v>-720</v>
      </c>
      <c r="AD288" s="32"/>
      <c r="AE288" s="32">
        <f t="shared" ref="AE288:AE290" si="80">SUM(AB288:AC288)</f>
        <v>78840</v>
      </c>
      <c r="AF288" s="12"/>
      <c r="AG288" s="12">
        <f>4.5*4</f>
        <v>18</v>
      </c>
      <c r="AH288" s="12">
        <f>-111*61</f>
        <v>-6771</v>
      </c>
      <c r="AI288" s="12">
        <f t="shared" ref="AI288:AI328" si="81">SUM(AE288:AH288)</f>
        <v>72087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4"/>
      <c r="D289" s="60"/>
      <c r="E289" s="60"/>
      <c r="F289" s="60"/>
      <c r="G289" s="60"/>
      <c r="H289" s="61"/>
      <c r="I289" s="61"/>
      <c r="J289" s="61"/>
      <c r="K289" s="61"/>
      <c r="M289" s="10">
        <v>3</v>
      </c>
      <c r="N289" s="30">
        <v>46240</v>
      </c>
      <c r="O289" s="31">
        <f t="shared" ref="O289:O290" si="82">O288+1</f>
        <v>10869</v>
      </c>
      <c r="P289" s="32">
        <f>650*108+622*30+229*2</f>
        <v>89318</v>
      </c>
      <c r="Q289" s="32">
        <f>-138*6</f>
        <v>-828</v>
      </c>
      <c r="R289" s="32"/>
      <c r="S289" s="32">
        <f t="shared" si="78"/>
        <v>88490</v>
      </c>
      <c r="T289" s="12"/>
      <c r="U289" s="12">
        <f>1.5*48</f>
        <v>72</v>
      </c>
      <c r="V289" s="12"/>
      <c r="W289" s="12">
        <f t="shared" si="79"/>
        <v>88562</v>
      </c>
      <c r="Y289" s="10">
        <v>3</v>
      </c>
      <c r="Z289" s="30">
        <v>46240</v>
      </c>
      <c r="AA289" s="31">
        <f t="shared" ref="AA289:AA291" si="83">AA288+1</f>
        <v>10910</v>
      </c>
      <c r="AB289" s="33">
        <f>650*45</f>
        <v>29250</v>
      </c>
      <c r="AC289" s="33"/>
      <c r="AD289" s="32"/>
      <c r="AE289" s="32">
        <f t="shared" si="80"/>
        <v>29250</v>
      </c>
      <c r="AF289" s="12"/>
      <c r="AG289" s="12"/>
      <c r="AH289" s="12">
        <f>-111*16</f>
        <v>-1776</v>
      </c>
      <c r="AI289" s="12">
        <f t="shared" si="81"/>
        <v>27474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84"/>
      <c r="D290" s="60"/>
      <c r="E290" s="60"/>
      <c r="F290" s="60"/>
      <c r="G290" s="60"/>
      <c r="H290" s="61"/>
      <c r="I290" s="61"/>
      <c r="J290" s="61"/>
      <c r="K290" s="61"/>
      <c r="M290" s="10">
        <v>4</v>
      </c>
      <c r="N290" s="30">
        <v>46240</v>
      </c>
      <c r="O290" s="31">
        <f t="shared" si="82"/>
        <v>10870</v>
      </c>
      <c r="P290" s="32">
        <f>650*324+670*4+229*13</f>
        <v>216257</v>
      </c>
      <c r="Q290" s="32">
        <f>-328*6</f>
        <v>-1968</v>
      </c>
      <c r="R290" s="32"/>
      <c r="S290" s="32">
        <f t="shared" si="78"/>
        <v>214289</v>
      </c>
      <c r="T290" s="12"/>
      <c r="U290" s="12">
        <f>78*12</f>
        <v>936</v>
      </c>
      <c r="V290" s="12">
        <f>-42*15</f>
        <v>-630</v>
      </c>
      <c r="W290" s="12">
        <f t="shared" si="79"/>
        <v>214595</v>
      </c>
      <c r="Y290" s="10">
        <v>4</v>
      </c>
      <c r="Z290" s="30">
        <v>46240</v>
      </c>
      <c r="AA290" s="31">
        <f t="shared" si="83"/>
        <v>10911</v>
      </c>
      <c r="AB290" s="32">
        <f>650*50+229</f>
        <v>32729</v>
      </c>
      <c r="AC290" s="32">
        <f>-50*6</f>
        <v>-300</v>
      </c>
      <c r="AD290" s="32"/>
      <c r="AE290" s="32">
        <f t="shared" si="80"/>
        <v>32429</v>
      </c>
      <c r="AF290" s="12"/>
      <c r="AH290" s="12"/>
      <c r="AI290" s="12">
        <f t="shared" si="81"/>
        <v>32429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4"/>
      <c r="D291" s="60"/>
      <c r="E291" s="60"/>
      <c r="F291" s="60"/>
      <c r="G291" s="60"/>
      <c r="H291" s="61"/>
      <c r="I291" s="61"/>
      <c r="J291" s="61"/>
      <c r="K291" s="61"/>
      <c r="M291" s="10">
        <v>5</v>
      </c>
      <c r="N291" s="30"/>
      <c r="O291" s="11" t="s">
        <v>27</v>
      </c>
      <c r="P291" s="32"/>
      <c r="Q291" s="32"/>
      <c r="R291" s="32"/>
      <c r="S291" s="32">
        <f t="shared" si="78"/>
        <v>0</v>
      </c>
      <c r="T291" s="12"/>
      <c r="U291" s="12"/>
      <c r="V291" s="12"/>
      <c r="W291" s="12">
        <f t="shared" si="79"/>
        <v>0</v>
      </c>
      <c r="Y291" s="10">
        <v>5</v>
      </c>
      <c r="Z291" s="30">
        <v>46240</v>
      </c>
      <c r="AA291" s="31">
        <f t="shared" si="83"/>
        <v>10912</v>
      </c>
      <c r="AB291" s="32">
        <f>650*40+229</f>
        <v>26229</v>
      </c>
      <c r="AC291" s="32"/>
      <c r="AD291" s="32"/>
      <c r="AE291" s="32">
        <f t="shared" ref="AE291:AE319" si="84">SUM(AB291:AC291)</f>
        <v>26229</v>
      </c>
      <c r="AF291" s="12"/>
      <c r="AG291" s="12"/>
      <c r="AH291" s="12"/>
      <c r="AI291" s="12">
        <f t="shared" si="81"/>
        <v>26229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65"/>
      <c r="D292" s="60"/>
      <c r="E292" s="60"/>
      <c r="F292" s="60"/>
      <c r="G292" s="60"/>
      <c r="H292" s="61"/>
      <c r="I292" s="61"/>
      <c r="J292" s="61"/>
      <c r="K292" s="61"/>
      <c r="M292" s="10">
        <v>6</v>
      </c>
      <c r="N292" s="30"/>
      <c r="O292" s="31"/>
      <c r="P292" s="32"/>
      <c r="Q292" s="32"/>
      <c r="R292" s="32"/>
      <c r="S292" s="32">
        <f t="shared" si="78"/>
        <v>0</v>
      </c>
      <c r="T292" s="12"/>
      <c r="U292" s="12"/>
      <c r="V292" s="10"/>
      <c r="W292" s="12">
        <f t="shared" si="79"/>
        <v>0</v>
      </c>
      <c r="Y292" s="10">
        <v>6</v>
      </c>
      <c r="Z292" s="30"/>
      <c r="AA292" s="11" t="s">
        <v>27</v>
      </c>
      <c r="AB292" s="32"/>
      <c r="AC292" s="32"/>
      <c r="AD292" s="32"/>
      <c r="AE292" s="32">
        <f t="shared" si="84"/>
        <v>0</v>
      </c>
      <c r="AF292" s="12"/>
      <c r="AG292" s="12"/>
      <c r="AH292" s="10"/>
      <c r="AI292" s="12">
        <f t="shared" si="81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84"/>
      <c r="D293" s="60"/>
      <c r="E293" s="60"/>
      <c r="F293" s="60"/>
      <c r="G293" s="60"/>
      <c r="H293" s="61"/>
      <c r="I293" s="61"/>
      <c r="J293" s="61"/>
      <c r="K293" s="61"/>
      <c r="M293" s="10">
        <v>7</v>
      </c>
      <c r="N293" s="30"/>
      <c r="O293" s="31"/>
      <c r="P293" s="32"/>
      <c r="Q293" s="32"/>
      <c r="R293" s="32"/>
      <c r="S293" s="32">
        <f t="shared" si="78"/>
        <v>0</v>
      </c>
      <c r="T293" s="12"/>
      <c r="U293" s="12"/>
      <c r="V293" s="12"/>
      <c r="W293" s="12">
        <f t="shared" si="79"/>
        <v>0</v>
      </c>
      <c r="Y293" s="10">
        <v>7</v>
      </c>
      <c r="Z293" s="30"/>
      <c r="AB293" s="32"/>
      <c r="AC293" s="32"/>
      <c r="AD293" s="32"/>
      <c r="AE293" s="32">
        <f t="shared" si="84"/>
        <v>0</v>
      </c>
      <c r="AF293" s="12"/>
      <c r="AG293" s="58"/>
      <c r="AH293" s="12"/>
      <c r="AI293" s="12">
        <f t="shared" si="81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4"/>
      <c r="D294" s="60"/>
      <c r="E294" s="60"/>
      <c r="F294" s="60"/>
      <c r="G294" s="60"/>
      <c r="H294" s="61"/>
      <c r="I294" s="61"/>
      <c r="J294" s="61"/>
      <c r="K294" s="61"/>
      <c r="M294" s="10">
        <v>8</v>
      </c>
      <c r="N294" s="30"/>
      <c r="O294" s="31"/>
      <c r="P294" s="32"/>
      <c r="Q294" s="32"/>
      <c r="R294" s="32"/>
      <c r="S294" s="32">
        <f t="shared" si="78"/>
        <v>0</v>
      </c>
      <c r="T294" s="12"/>
      <c r="U294" s="12"/>
      <c r="V294" s="12"/>
      <c r="W294" s="12">
        <f t="shared" si="79"/>
        <v>0</v>
      </c>
      <c r="Y294" s="10">
        <v>8</v>
      </c>
      <c r="Z294" s="30"/>
      <c r="AA294" s="31"/>
      <c r="AB294" s="32"/>
      <c r="AC294" s="32"/>
      <c r="AE294" s="32">
        <f t="shared" si="84"/>
        <v>0</v>
      </c>
      <c r="AF294" s="12"/>
      <c r="AG294" s="12"/>
      <c r="AH294" s="12"/>
      <c r="AI294" s="12">
        <f t="shared" si="81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84"/>
      <c r="D295" s="60"/>
      <c r="E295" s="60"/>
      <c r="F295" s="60"/>
      <c r="G295" s="60"/>
      <c r="H295" s="61"/>
      <c r="I295" s="61"/>
      <c r="J295" s="61"/>
      <c r="K295" s="61"/>
      <c r="M295" s="10">
        <v>9</v>
      </c>
      <c r="N295" s="30"/>
      <c r="O295" s="31"/>
      <c r="P295" s="32"/>
      <c r="Q295" s="32"/>
      <c r="R295" s="32"/>
      <c r="S295" s="32">
        <f t="shared" si="78"/>
        <v>0</v>
      </c>
      <c r="T295" s="12"/>
      <c r="U295" s="12"/>
      <c r="V295" s="12"/>
      <c r="W295" s="12">
        <f t="shared" si="79"/>
        <v>0</v>
      </c>
      <c r="Y295" s="10">
        <v>9</v>
      </c>
      <c r="Z295" s="30"/>
      <c r="AA295" s="31"/>
      <c r="AC295" s="32"/>
      <c r="AD295" s="32"/>
      <c r="AE295" s="32">
        <f t="shared" si="84"/>
        <v>0</v>
      </c>
      <c r="AF295" s="12"/>
      <c r="AH295" s="12"/>
      <c r="AI295" s="12">
        <f t="shared" si="81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4"/>
      <c r="D296" s="60"/>
      <c r="E296" s="60"/>
      <c r="F296" s="60"/>
      <c r="G296" s="60"/>
      <c r="H296" s="61"/>
      <c r="I296" s="61"/>
      <c r="J296" s="61"/>
      <c r="K296" s="61"/>
      <c r="M296" s="10">
        <v>10</v>
      </c>
      <c r="N296" s="30"/>
      <c r="P296" s="32"/>
      <c r="Q296" s="32"/>
      <c r="R296" s="32"/>
      <c r="S296" s="32">
        <f t="shared" si="78"/>
        <v>0</v>
      </c>
      <c r="T296" s="12"/>
      <c r="U296" s="12"/>
      <c r="V296" s="12"/>
      <c r="W296" s="12">
        <f t="shared" si="79"/>
        <v>0</v>
      </c>
      <c r="Y296" s="10">
        <v>10</v>
      </c>
      <c r="Z296" s="30"/>
      <c r="AA296" s="31"/>
      <c r="AB296" s="32"/>
      <c r="AC296" s="32"/>
      <c r="AD296" s="32"/>
      <c r="AE296" s="32">
        <f t="shared" si="84"/>
        <v>0</v>
      </c>
      <c r="AF296" s="12"/>
      <c r="AG296" s="12"/>
      <c r="AH296" s="12"/>
      <c r="AI296" s="12">
        <f t="shared" si="81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4"/>
      <c r="D297" s="60"/>
      <c r="E297" s="60"/>
      <c r="F297" s="60"/>
      <c r="G297" s="60"/>
      <c r="H297" s="61"/>
      <c r="I297" s="61"/>
      <c r="J297" s="61"/>
      <c r="K297" s="61"/>
      <c r="M297" s="10">
        <v>11</v>
      </c>
      <c r="N297" s="30"/>
      <c r="O297" s="11"/>
      <c r="P297" s="32"/>
      <c r="Q297" s="32"/>
      <c r="R297" s="32"/>
      <c r="S297" s="32">
        <f t="shared" si="78"/>
        <v>0</v>
      </c>
      <c r="T297" s="12"/>
      <c r="U297" s="12"/>
      <c r="V297" s="12"/>
      <c r="W297" s="12">
        <f t="shared" si="79"/>
        <v>0</v>
      </c>
      <c r="Y297" s="10">
        <v>11</v>
      </c>
      <c r="Z297" s="30"/>
      <c r="AA297" s="31"/>
      <c r="AB297" s="32"/>
      <c r="AC297" s="32"/>
      <c r="AD297" s="32"/>
      <c r="AE297" s="32">
        <f t="shared" si="84"/>
        <v>0</v>
      </c>
      <c r="AF297" s="12"/>
      <c r="AG297" s="12"/>
      <c r="AH297" s="12"/>
      <c r="AI297" s="12">
        <f t="shared" si="81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4"/>
      <c r="D298" s="60"/>
      <c r="E298" s="60"/>
      <c r="F298" s="60"/>
      <c r="G298" s="60"/>
      <c r="H298" s="61"/>
      <c r="I298" s="61"/>
      <c r="J298" s="62"/>
      <c r="K298" s="61"/>
      <c r="M298" s="10">
        <v>12</v>
      </c>
      <c r="N298" s="30"/>
      <c r="P298" s="32"/>
      <c r="Q298" s="32"/>
      <c r="R298" s="32"/>
      <c r="S298" s="32">
        <f t="shared" si="78"/>
        <v>0</v>
      </c>
      <c r="T298" s="12"/>
      <c r="U298" s="12"/>
      <c r="V298" s="12"/>
      <c r="W298" s="12">
        <f t="shared" si="79"/>
        <v>0</v>
      </c>
      <c r="Y298" s="10">
        <v>12</v>
      </c>
      <c r="Z298" s="30"/>
      <c r="AA298" s="31"/>
      <c r="AB298" s="32"/>
      <c r="AC298" s="32"/>
      <c r="AD298" s="32"/>
      <c r="AE298" s="32">
        <f t="shared" si="84"/>
        <v>0</v>
      </c>
      <c r="AF298" s="12"/>
      <c r="AG298" s="12"/>
      <c r="AH298" s="12"/>
      <c r="AI298" s="12">
        <f t="shared" si="81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84"/>
      <c r="D299" s="60"/>
      <c r="E299" s="60"/>
      <c r="F299" s="60"/>
      <c r="G299" s="60"/>
      <c r="H299" s="61"/>
      <c r="I299" s="61"/>
      <c r="J299" s="61"/>
      <c r="K299" s="61"/>
      <c r="M299" s="10">
        <v>13</v>
      </c>
      <c r="N299" s="30"/>
      <c r="O299" s="31"/>
      <c r="P299" s="32"/>
      <c r="Q299" s="32"/>
      <c r="R299" s="32"/>
      <c r="S299" s="32">
        <f t="shared" si="78"/>
        <v>0</v>
      </c>
      <c r="T299" s="12"/>
      <c r="U299" s="12"/>
      <c r="V299" s="12"/>
      <c r="W299" s="12">
        <f t="shared" si="79"/>
        <v>0</v>
      </c>
      <c r="Y299" s="10">
        <v>13</v>
      </c>
      <c r="Z299" s="30"/>
      <c r="AA299" s="31"/>
      <c r="AB299" s="32"/>
      <c r="AC299" s="32"/>
      <c r="AD299" s="32"/>
      <c r="AE299" s="32">
        <f t="shared" si="84"/>
        <v>0</v>
      </c>
      <c r="AF299" s="12"/>
      <c r="AG299" s="12"/>
      <c r="AH299" s="12"/>
      <c r="AI299" s="12">
        <f t="shared" si="81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4"/>
      <c r="D300" s="60"/>
      <c r="E300" s="60"/>
      <c r="F300" s="60"/>
      <c r="G300" s="60"/>
      <c r="H300" s="61"/>
      <c r="I300" s="61"/>
      <c r="J300" s="61"/>
      <c r="K300" s="61"/>
      <c r="M300" s="10">
        <v>14</v>
      </c>
      <c r="N300" s="30"/>
      <c r="O300" s="31"/>
      <c r="P300" s="32"/>
      <c r="Q300" s="32"/>
      <c r="R300" s="32"/>
      <c r="S300" s="32">
        <f t="shared" si="78"/>
        <v>0</v>
      </c>
      <c r="T300" s="12"/>
      <c r="U300" s="12"/>
      <c r="V300" s="12"/>
      <c r="W300" s="12">
        <f t="shared" si="79"/>
        <v>0</v>
      </c>
      <c r="Y300" s="10">
        <v>14</v>
      </c>
      <c r="Z300" s="30"/>
      <c r="AA300" s="31"/>
      <c r="AB300" s="32"/>
      <c r="AC300" s="32"/>
      <c r="AD300" s="32"/>
      <c r="AE300" s="32">
        <f t="shared" si="84"/>
        <v>0</v>
      </c>
      <c r="AF300" s="12"/>
      <c r="AG300" s="12"/>
      <c r="AH300" s="12"/>
      <c r="AI300" s="12">
        <f t="shared" si="81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4"/>
      <c r="D301" s="60"/>
      <c r="E301" s="60"/>
      <c r="F301" s="60"/>
      <c r="G301" s="60"/>
      <c r="H301" s="61"/>
      <c r="I301" s="61"/>
      <c r="J301" s="61"/>
      <c r="K301" s="61"/>
      <c r="M301" s="10">
        <v>15</v>
      </c>
      <c r="N301" s="30"/>
      <c r="O301" s="31"/>
      <c r="P301" s="32"/>
      <c r="Q301" s="32"/>
      <c r="R301" s="32"/>
      <c r="S301" s="32">
        <f t="shared" si="78"/>
        <v>0</v>
      </c>
      <c r="T301" s="12"/>
      <c r="U301" s="12"/>
      <c r="V301" s="12"/>
      <c r="W301" s="12">
        <f t="shared" si="79"/>
        <v>0</v>
      </c>
      <c r="Y301" s="10">
        <v>15</v>
      </c>
      <c r="Z301" s="30"/>
      <c r="AA301" s="31"/>
      <c r="AB301" s="32"/>
      <c r="AC301" s="32"/>
      <c r="AD301" s="32"/>
      <c r="AE301" s="32">
        <f t="shared" si="84"/>
        <v>0</v>
      </c>
      <c r="AF301" s="12"/>
      <c r="AG301" s="12"/>
      <c r="AH301" s="12"/>
      <c r="AI301" s="12">
        <f t="shared" si="81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65"/>
      <c r="D302" s="60"/>
      <c r="E302" s="60"/>
      <c r="F302" s="60"/>
      <c r="G302" s="60"/>
      <c r="H302" s="61"/>
      <c r="I302" s="61"/>
      <c r="J302" s="61"/>
      <c r="K302" s="61"/>
      <c r="M302" s="10">
        <v>16</v>
      </c>
      <c r="N302" s="30"/>
      <c r="P302" s="32"/>
      <c r="Q302" s="32"/>
      <c r="R302" s="32"/>
      <c r="S302" s="32">
        <f t="shared" si="78"/>
        <v>0</v>
      </c>
      <c r="T302" s="12"/>
      <c r="U302" s="12"/>
      <c r="V302" s="12"/>
      <c r="W302" s="12">
        <f t="shared" si="79"/>
        <v>0</v>
      </c>
      <c r="Y302" s="10">
        <v>16</v>
      </c>
      <c r="Z302" s="30"/>
      <c r="AA302" s="11"/>
      <c r="AB302" s="32"/>
      <c r="AC302" s="32"/>
      <c r="AD302" s="32"/>
      <c r="AE302" s="32">
        <f t="shared" si="84"/>
        <v>0</v>
      </c>
      <c r="AF302" s="12"/>
      <c r="AG302" s="12"/>
      <c r="AH302" s="12"/>
      <c r="AI302" s="12">
        <f t="shared" si="81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4"/>
      <c r="D303" s="60"/>
      <c r="E303" s="60"/>
      <c r="F303" s="60"/>
      <c r="G303" s="60"/>
      <c r="H303" s="61"/>
      <c r="I303" s="61"/>
      <c r="J303" s="61"/>
      <c r="K303" s="61"/>
      <c r="M303" s="10">
        <v>17</v>
      </c>
      <c r="N303" s="30"/>
      <c r="O303" s="31"/>
      <c r="P303" s="35"/>
      <c r="Q303" s="32"/>
      <c r="R303" s="32"/>
      <c r="S303" s="32">
        <f t="shared" si="78"/>
        <v>0</v>
      </c>
      <c r="T303" s="12"/>
      <c r="U303" s="12"/>
      <c r="V303" s="12"/>
      <c r="W303" s="12">
        <f t="shared" si="79"/>
        <v>0</v>
      </c>
      <c r="Y303" s="10">
        <v>17</v>
      </c>
      <c r="Z303" s="30"/>
      <c r="AA303" s="31"/>
      <c r="AB303" s="35"/>
      <c r="AC303" s="32"/>
      <c r="AD303" s="32"/>
      <c r="AE303" s="32">
        <f t="shared" si="84"/>
        <v>0</v>
      </c>
      <c r="AF303" s="12"/>
      <c r="AG303" s="12"/>
      <c r="AH303" s="12"/>
      <c r="AI303" s="12">
        <f t="shared" si="81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87"/>
      <c r="D304" s="60"/>
      <c r="E304" s="60"/>
      <c r="F304" s="60"/>
      <c r="G304" s="60"/>
      <c r="H304" s="61"/>
      <c r="I304" s="61"/>
      <c r="J304" s="61"/>
      <c r="K304" s="61"/>
      <c r="M304" s="10">
        <v>18</v>
      </c>
      <c r="N304" s="30"/>
      <c r="O304" s="31"/>
      <c r="P304" s="32"/>
      <c r="Q304" s="32"/>
      <c r="R304" s="32"/>
      <c r="S304" s="32">
        <f t="shared" si="78"/>
        <v>0</v>
      </c>
      <c r="T304" s="12"/>
      <c r="U304" s="12"/>
      <c r="V304" s="12"/>
      <c r="W304" s="12">
        <f t="shared" si="79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4"/>
        <v>0</v>
      </c>
      <c r="AF304" s="12"/>
      <c r="AG304" s="12"/>
      <c r="AH304" s="12"/>
      <c r="AI304" s="12">
        <f t="shared" si="81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4"/>
      <c r="D305" s="60"/>
      <c r="E305" s="60"/>
      <c r="F305" s="60"/>
      <c r="G305" s="60"/>
      <c r="H305" s="61"/>
      <c r="I305" s="61"/>
      <c r="J305" s="61"/>
      <c r="K305" s="61"/>
      <c r="M305" s="10">
        <v>19</v>
      </c>
      <c r="N305" s="30"/>
      <c r="O305" s="31"/>
      <c r="P305" s="32"/>
      <c r="Q305" s="32"/>
      <c r="R305" s="32"/>
      <c r="S305" s="32">
        <f t="shared" si="78"/>
        <v>0</v>
      </c>
      <c r="T305" s="12"/>
      <c r="U305" s="12"/>
      <c r="V305" s="12"/>
      <c r="W305" s="12">
        <f t="shared" si="79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4"/>
        <v>0</v>
      </c>
      <c r="AF305" s="12"/>
      <c r="AG305" s="12"/>
      <c r="AH305" s="12"/>
      <c r="AI305" s="12">
        <f t="shared" si="81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4"/>
      <c r="D306" s="60"/>
      <c r="E306" s="60"/>
      <c r="F306" s="60"/>
      <c r="G306" s="60"/>
      <c r="H306" s="61"/>
      <c r="I306" s="61"/>
      <c r="J306" s="61"/>
      <c r="K306" s="61"/>
      <c r="M306" s="10">
        <v>20</v>
      </c>
      <c r="N306" s="30"/>
      <c r="O306" s="31"/>
      <c r="P306" s="32"/>
      <c r="Q306" s="32"/>
      <c r="R306" s="32"/>
      <c r="S306" s="32">
        <f t="shared" si="78"/>
        <v>0</v>
      </c>
      <c r="T306" s="12"/>
      <c r="U306" s="12"/>
      <c r="V306" s="12"/>
      <c r="W306" s="12">
        <f t="shared" si="79"/>
        <v>0</v>
      </c>
      <c r="Y306" s="10">
        <v>20</v>
      </c>
      <c r="Z306" s="30"/>
      <c r="AB306" s="32"/>
      <c r="AC306" s="32"/>
      <c r="AD306" s="32"/>
      <c r="AE306" s="32">
        <f t="shared" si="84"/>
        <v>0</v>
      </c>
      <c r="AF306" s="12"/>
      <c r="AG306" s="12"/>
      <c r="AH306" s="12"/>
      <c r="AI306" s="12">
        <f t="shared" si="81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4"/>
      <c r="D307" s="60"/>
      <c r="E307" s="60"/>
      <c r="F307" s="60"/>
      <c r="G307" s="60"/>
      <c r="H307" s="62"/>
      <c r="I307" s="62"/>
      <c r="J307" s="62"/>
      <c r="K307" s="61"/>
      <c r="M307" s="10">
        <v>21</v>
      </c>
      <c r="N307" s="30"/>
      <c r="O307" s="31"/>
      <c r="P307" s="46"/>
      <c r="Q307" s="31"/>
      <c r="R307" s="31"/>
      <c r="S307" s="32">
        <f t="shared" si="78"/>
        <v>0</v>
      </c>
      <c r="T307" s="10"/>
      <c r="U307" s="10"/>
      <c r="V307" s="10"/>
      <c r="W307" s="12">
        <f t="shared" si="79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4"/>
        <v>0</v>
      </c>
      <c r="AF307" s="10"/>
      <c r="AG307" s="10"/>
      <c r="AH307" s="10"/>
      <c r="AI307" s="12">
        <f t="shared" si="81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4"/>
      <c r="D308" s="60"/>
      <c r="E308" s="60"/>
      <c r="F308" s="60"/>
      <c r="G308" s="60"/>
      <c r="H308" s="62"/>
      <c r="I308" s="62"/>
      <c r="J308" s="62"/>
      <c r="K308" s="61"/>
      <c r="M308" s="10">
        <v>22</v>
      </c>
      <c r="N308" s="30"/>
      <c r="O308" s="31"/>
      <c r="P308" s="45"/>
      <c r="Q308" s="31"/>
      <c r="R308" s="31"/>
      <c r="S308" s="32">
        <f t="shared" si="78"/>
        <v>0</v>
      </c>
      <c r="T308" s="10"/>
      <c r="U308" s="10"/>
      <c r="V308" s="10"/>
      <c r="W308" s="12">
        <f t="shared" si="79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4"/>
        <v>0</v>
      </c>
      <c r="AF308" s="10"/>
      <c r="AG308" s="10"/>
      <c r="AH308" s="10"/>
      <c r="AI308" s="12">
        <f t="shared" si="81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4"/>
      <c r="D309" s="60"/>
      <c r="E309" s="60"/>
      <c r="F309" s="60"/>
      <c r="G309" s="60"/>
      <c r="H309" s="62"/>
      <c r="I309" s="62"/>
      <c r="J309" s="61"/>
      <c r="K309" s="61"/>
      <c r="M309" s="10">
        <v>23</v>
      </c>
      <c r="N309" s="30"/>
      <c r="O309" s="31"/>
      <c r="P309" s="47"/>
      <c r="S309" s="32">
        <f t="shared" si="78"/>
        <v>0</v>
      </c>
      <c r="T309" s="10"/>
      <c r="U309" s="10"/>
      <c r="V309" s="10"/>
      <c r="W309" s="12">
        <f t="shared" si="79"/>
        <v>0</v>
      </c>
      <c r="Y309" s="10">
        <v>23</v>
      </c>
      <c r="Z309" s="30"/>
      <c r="AA309" s="31"/>
      <c r="AB309" s="47"/>
      <c r="AE309" s="32">
        <f t="shared" si="84"/>
        <v>0</v>
      </c>
      <c r="AF309" s="10"/>
      <c r="AG309" s="10"/>
      <c r="AH309" s="10"/>
      <c r="AI309" s="12">
        <f t="shared" si="81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4"/>
      <c r="D310" s="60"/>
      <c r="E310" s="60"/>
      <c r="F310" s="60"/>
      <c r="G310" s="60"/>
      <c r="H310" s="62"/>
      <c r="I310" s="62"/>
      <c r="J310" s="62"/>
      <c r="K310" s="61"/>
      <c r="M310" s="10">
        <v>24</v>
      </c>
      <c r="N310" s="30"/>
      <c r="O310" s="31"/>
      <c r="P310" s="47"/>
      <c r="Q310" s="31"/>
      <c r="R310" s="31"/>
      <c r="S310" s="32">
        <f t="shared" si="78"/>
        <v>0</v>
      </c>
      <c r="T310" s="10"/>
      <c r="U310" s="10"/>
      <c r="V310" s="10"/>
      <c r="W310" s="12">
        <f t="shared" si="79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4"/>
        <v>0</v>
      </c>
      <c r="AF310" s="10"/>
      <c r="AG310" s="10"/>
      <c r="AH310" s="10"/>
      <c r="AI310" s="12">
        <f t="shared" si="81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4"/>
      <c r="D311" s="60"/>
      <c r="E311" s="60"/>
      <c r="F311" s="60"/>
      <c r="G311" s="60"/>
      <c r="H311" s="62"/>
      <c r="I311" s="62"/>
      <c r="J311" s="62"/>
      <c r="K311" s="61"/>
      <c r="M311" s="10">
        <v>25</v>
      </c>
      <c r="N311" s="30"/>
      <c r="O311" s="31"/>
      <c r="P311" s="47"/>
      <c r="Q311" s="31"/>
      <c r="R311" s="31"/>
      <c r="S311" s="32">
        <f t="shared" si="78"/>
        <v>0</v>
      </c>
      <c r="T311" s="10"/>
      <c r="U311" s="10"/>
      <c r="V311" s="10"/>
      <c r="W311" s="12">
        <f t="shared" si="79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4"/>
        <v>0</v>
      </c>
      <c r="AF311" s="10"/>
      <c r="AG311" s="10"/>
      <c r="AH311" s="10"/>
      <c r="AI311" s="12">
        <f t="shared" si="81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4"/>
      <c r="D312" s="60"/>
      <c r="E312" s="60"/>
      <c r="F312" s="60"/>
      <c r="G312" s="60"/>
      <c r="H312" s="62"/>
      <c r="I312" s="62"/>
      <c r="J312" s="62"/>
      <c r="K312" s="61"/>
      <c r="M312" s="10">
        <v>26</v>
      </c>
      <c r="N312" s="30"/>
      <c r="O312" s="31"/>
      <c r="P312" s="47"/>
      <c r="Q312" s="31"/>
      <c r="R312" s="31"/>
      <c r="S312" s="32">
        <f t="shared" si="78"/>
        <v>0</v>
      </c>
      <c r="T312" s="10"/>
      <c r="U312" s="10"/>
      <c r="V312" s="10"/>
      <c r="W312" s="12">
        <f t="shared" si="79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4"/>
        <v>0</v>
      </c>
      <c r="AF312" s="10"/>
      <c r="AG312" s="10"/>
      <c r="AH312" s="10"/>
      <c r="AI312" s="12">
        <f t="shared" si="81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4"/>
      <c r="D313" s="60"/>
      <c r="E313" s="60"/>
      <c r="F313" s="60"/>
      <c r="G313" s="60"/>
      <c r="H313" s="62"/>
      <c r="I313" s="62"/>
      <c r="J313" s="62"/>
      <c r="K313" s="61"/>
      <c r="M313" s="10">
        <v>27</v>
      </c>
      <c r="N313" s="30"/>
      <c r="O313" s="31"/>
      <c r="P313" s="47"/>
      <c r="Q313" s="31"/>
      <c r="R313" s="31"/>
      <c r="S313" s="32">
        <f t="shared" si="78"/>
        <v>0</v>
      </c>
      <c r="T313" s="10"/>
      <c r="U313" s="10"/>
      <c r="V313" s="10"/>
      <c r="W313" s="12">
        <f t="shared" si="79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4"/>
        <v>0</v>
      </c>
      <c r="AF313" s="10"/>
      <c r="AG313" s="10"/>
      <c r="AH313" s="10"/>
      <c r="AI313" s="12">
        <f t="shared" si="81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4"/>
      <c r="D314" s="60"/>
      <c r="E314" s="60"/>
      <c r="F314" s="60"/>
      <c r="G314" s="60"/>
      <c r="H314" s="62"/>
      <c r="I314" s="62"/>
      <c r="J314" s="62"/>
      <c r="K314" s="61"/>
      <c r="M314" s="10">
        <v>28</v>
      </c>
      <c r="N314" s="30"/>
      <c r="O314" s="31"/>
      <c r="P314" s="47"/>
      <c r="Q314" s="31"/>
      <c r="R314" s="31"/>
      <c r="S314" s="32">
        <f t="shared" si="78"/>
        <v>0</v>
      </c>
      <c r="T314" s="10"/>
      <c r="U314" s="10"/>
      <c r="V314" s="10"/>
      <c r="W314" s="12">
        <f t="shared" si="79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4"/>
        <v>0</v>
      </c>
      <c r="AF314" s="10"/>
      <c r="AG314" s="10"/>
      <c r="AH314" s="10"/>
      <c r="AI314" s="12">
        <f t="shared" si="81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4"/>
      <c r="D315" s="60"/>
      <c r="E315" s="60"/>
      <c r="F315" s="60"/>
      <c r="G315" s="60"/>
      <c r="H315" s="62"/>
      <c r="I315" s="62"/>
      <c r="J315" s="62"/>
      <c r="K315" s="61"/>
      <c r="M315" s="10">
        <v>29</v>
      </c>
      <c r="N315" s="30"/>
      <c r="O315" s="31"/>
      <c r="P315" s="47"/>
      <c r="Q315" s="31"/>
      <c r="R315" s="31"/>
      <c r="S315" s="32">
        <f t="shared" si="78"/>
        <v>0</v>
      </c>
      <c r="T315" s="10"/>
      <c r="U315" s="10"/>
      <c r="V315" s="10"/>
      <c r="W315" s="12">
        <f t="shared" si="79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4"/>
        <v>0</v>
      </c>
      <c r="AF315" s="10"/>
      <c r="AG315" s="10"/>
      <c r="AH315" s="10"/>
      <c r="AI315" s="12">
        <f t="shared" si="81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4"/>
      <c r="D316" s="60"/>
      <c r="E316" s="60"/>
      <c r="F316" s="60"/>
      <c r="G316" s="60"/>
      <c r="H316" s="62"/>
      <c r="I316" s="62"/>
      <c r="J316" s="62"/>
      <c r="K316" s="61"/>
      <c r="M316" s="10">
        <v>30</v>
      </c>
      <c r="N316" s="30"/>
      <c r="O316" s="31"/>
      <c r="P316" s="47"/>
      <c r="Q316" s="31"/>
      <c r="R316" s="31"/>
      <c r="S316" s="32">
        <f t="shared" si="78"/>
        <v>0</v>
      </c>
      <c r="T316" s="10"/>
      <c r="U316" s="10"/>
      <c r="V316" s="10"/>
      <c r="W316" s="12">
        <f t="shared" si="79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4"/>
        <v>0</v>
      </c>
      <c r="AF316" s="10"/>
      <c r="AG316" s="10"/>
      <c r="AH316" s="10"/>
      <c r="AI316" s="12">
        <f t="shared" si="81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4"/>
      <c r="D317" s="60"/>
      <c r="E317" s="60"/>
      <c r="F317" s="60"/>
      <c r="G317" s="60"/>
      <c r="H317" s="62"/>
      <c r="I317" s="62"/>
      <c r="J317" s="62"/>
      <c r="K317" s="61"/>
      <c r="M317" s="10">
        <v>31</v>
      </c>
      <c r="N317" s="30"/>
      <c r="O317" s="31"/>
      <c r="P317" s="47"/>
      <c r="Q317" s="31"/>
      <c r="R317" s="31"/>
      <c r="S317" s="32">
        <f t="shared" si="78"/>
        <v>0</v>
      </c>
      <c r="T317" s="10"/>
      <c r="U317" s="10"/>
      <c r="V317" s="10"/>
      <c r="W317" s="12">
        <f t="shared" si="79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4"/>
        <v>0</v>
      </c>
      <c r="AF317" s="10"/>
      <c r="AG317" s="10"/>
      <c r="AH317" s="10"/>
      <c r="AI317" s="12">
        <f t="shared" si="81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4"/>
      <c r="D318" s="60"/>
      <c r="E318" s="60"/>
      <c r="F318" s="60"/>
      <c r="G318" s="60"/>
      <c r="H318" s="62"/>
      <c r="I318" s="62"/>
      <c r="J318" s="62"/>
      <c r="K318" s="61"/>
      <c r="M318" s="10">
        <v>32</v>
      </c>
      <c r="N318" s="30"/>
      <c r="O318" s="31"/>
      <c r="P318" s="47"/>
      <c r="Q318" s="31"/>
      <c r="R318" s="31"/>
      <c r="S318" s="32">
        <f t="shared" si="78"/>
        <v>0</v>
      </c>
      <c r="T318" s="10"/>
      <c r="U318" s="10"/>
      <c r="V318" s="10"/>
      <c r="W318" s="12">
        <f t="shared" si="79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4"/>
        <v>0</v>
      </c>
      <c r="AF318" s="10"/>
      <c r="AG318" s="10"/>
      <c r="AH318" s="10"/>
      <c r="AI318" s="12">
        <f t="shared" si="81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4"/>
      <c r="D319" s="60"/>
      <c r="E319" s="60"/>
      <c r="F319" s="60"/>
      <c r="G319" s="60"/>
      <c r="H319" s="62"/>
      <c r="I319" s="62"/>
      <c r="J319" s="62"/>
      <c r="K319" s="61"/>
      <c r="M319" s="10">
        <v>33</v>
      </c>
      <c r="N319" s="30"/>
      <c r="O319" s="31"/>
      <c r="P319" s="47"/>
      <c r="Q319" s="31"/>
      <c r="R319" s="31"/>
      <c r="S319" s="32">
        <f t="shared" si="78"/>
        <v>0</v>
      </c>
      <c r="T319" s="10"/>
      <c r="U319" s="10"/>
      <c r="V319" s="10"/>
      <c r="W319" s="12">
        <f t="shared" si="79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4"/>
        <v>0</v>
      </c>
      <c r="AF319" s="10"/>
      <c r="AG319" s="10"/>
      <c r="AH319" s="10"/>
      <c r="AI319" s="12">
        <f t="shared" si="81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4"/>
      <c r="D320" s="60"/>
      <c r="E320" s="60"/>
      <c r="F320" s="60"/>
      <c r="G320" s="60"/>
      <c r="H320" s="62"/>
      <c r="I320" s="62"/>
      <c r="J320" s="62"/>
      <c r="K320" s="61"/>
      <c r="M320" s="10">
        <v>34</v>
      </c>
      <c r="N320" s="30"/>
      <c r="O320" s="31"/>
      <c r="P320" s="47"/>
      <c r="Q320" s="31"/>
      <c r="R320" s="31"/>
      <c r="S320" s="32">
        <f t="shared" si="78"/>
        <v>0</v>
      </c>
      <c r="T320" s="10"/>
      <c r="U320" s="10"/>
      <c r="V320" s="10"/>
      <c r="W320" s="12">
        <f t="shared" si="79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85">SUM(AB320:AC320)</f>
        <v>0</v>
      </c>
      <c r="AF320" s="10"/>
      <c r="AG320" s="10"/>
      <c r="AH320" s="10"/>
      <c r="AI320" s="12">
        <f t="shared" si="81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4"/>
      <c r="D321" s="60"/>
      <c r="E321" s="60"/>
      <c r="F321" s="60"/>
      <c r="G321" s="60"/>
      <c r="H321" s="62"/>
      <c r="I321" s="62"/>
      <c r="J321" s="62"/>
      <c r="K321" s="61"/>
      <c r="M321" s="10">
        <v>35</v>
      </c>
      <c r="N321" s="30"/>
      <c r="O321" s="31"/>
      <c r="P321" s="47"/>
      <c r="Q321" s="31"/>
      <c r="R321" s="31"/>
      <c r="S321" s="32">
        <f t="shared" si="78"/>
        <v>0</v>
      </c>
      <c r="T321" s="10"/>
      <c r="U321" s="10"/>
      <c r="V321" s="10"/>
      <c r="W321" s="12">
        <f t="shared" si="7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5"/>
        <v>0</v>
      </c>
      <c r="AF321" s="10"/>
      <c r="AG321" s="10"/>
      <c r="AH321" s="10"/>
      <c r="AI321" s="12">
        <f t="shared" si="8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4"/>
      <c r="D322" s="60"/>
      <c r="E322" s="60"/>
      <c r="F322" s="60"/>
      <c r="G322" s="60"/>
      <c r="H322" s="62"/>
      <c r="I322" s="62"/>
      <c r="J322" s="62"/>
      <c r="K322" s="61"/>
      <c r="M322" s="10">
        <v>36</v>
      </c>
      <c r="N322" s="30"/>
      <c r="O322" s="31"/>
      <c r="P322" s="47"/>
      <c r="Q322" s="31"/>
      <c r="R322" s="31"/>
      <c r="S322" s="32">
        <f t="shared" si="78"/>
        <v>0</v>
      </c>
      <c r="T322" s="10"/>
      <c r="U322" s="10"/>
      <c r="V322" s="10"/>
      <c r="W322" s="12">
        <f t="shared" si="7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5"/>
        <v>0</v>
      </c>
      <c r="AF322" s="10"/>
      <c r="AG322" s="10"/>
      <c r="AH322" s="10"/>
      <c r="AI322" s="12">
        <f t="shared" si="8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87"/>
      <c r="D323" s="60"/>
      <c r="E323" s="60"/>
      <c r="F323" s="60"/>
      <c r="G323" s="60"/>
      <c r="H323" s="62"/>
      <c r="I323" s="62"/>
      <c r="J323" s="62"/>
      <c r="K323" s="61"/>
      <c r="M323" s="10">
        <v>37</v>
      </c>
      <c r="N323" s="30"/>
      <c r="P323" s="47"/>
      <c r="Q323" s="31"/>
      <c r="R323" s="31"/>
      <c r="S323" s="32">
        <f t="shared" si="78"/>
        <v>0</v>
      </c>
      <c r="T323" s="10"/>
      <c r="U323" s="10"/>
      <c r="V323" s="10"/>
      <c r="W323" s="12">
        <f t="shared" si="7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5"/>
        <v>0</v>
      </c>
      <c r="AF323" s="10"/>
      <c r="AG323" s="10"/>
      <c r="AH323" s="10"/>
      <c r="AI323" s="12">
        <f t="shared" si="8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87"/>
      <c r="D324" s="60"/>
      <c r="E324" s="60"/>
      <c r="F324" s="60"/>
      <c r="G324" s="60"/>
      <c r="H324" s="62"/>
      <c r="I324" s="62"/>
      <c r="J324" s="62"/>
      <c r="K324" s="61"/>
      <c r="M324" s="10">
        <v>38</v>
      </c>
      <c r="N324" s="30"/>
      <c r="O324" s="31"/>
      <c r="P324" s="47"/>
      <c r="Q324" s="31"/>
      <c r="R324" s="31"/>
      <c r="S324" s="32">
        <f t="shared" si="78"/>
        <v>0</v>
      </c>
      <c r="T324" s="10"/>
      <c r="U324" s="10"/>
      <c r="V324" s="10"/>
      <c r="W324" s="12">
        <f t="shared" si="7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5"/>
        <v>0</v>
      </c>
      <c r="AF324" s="10"/>
      <c r="AG324" s="10"/>
      <c r="AH324" s="10"/>
      <c r="AI324" s="12">
        <f t="shared" si="8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87"/>
      <c r="D325" s="60"/>
      <c r="E325" s="60"/>
      <c r="F325" s="60"/>
      <c r="G325" s="60"/>
      <c r="H325" s="62"/>
      <c r="I325" s="62"/>
      <c r="J325" s="62"/>
      <c r="K325" s="61"/>
      <c r="M325" s="10">
        <v>39</v>
      </c>
      <c r="N325" s="30"/>
      <c r="O325" s="31"/>
      <c r="P325" s="47"/>
      <c r="Q325" s="31"/>
      <c r="R325" s="31"/>
      <c r="S325" s="32">
        <f t="shared" si="78"/>
        <v>0</v>
      </c>
      <c r="T325" s="10"/>
      <c r="U325" s="10"/>
      <c r="V325" s="10"/>
      <c r="W325" s="12">
        <f t="shared" si="7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5"/>
        <v>0</v>
      </c>
      <c r="AF325" s="10"/>
      <c r="AG325" s="10"/>
      <c r="AH325" s="10"/>
      <c r="AI325" s="12">
        <f t="shared" si="8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87"/>
      <c r="D326" s="60"/>
      <c r="E326" s="60"/>
      <c r="F326" s="60"/>
      <c r="G326" s="60"/>
      <c r="H326" s="62"/>
      <c r="I326" s="62"/>
      <c r="J326" s="62"/>
      <c r="K326" s="61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87"/>
      <c r="D327" s="60"/>
      <c r="E327" s="60"/>
      <c r="F327" s="60"/>
      <c r="G327" s="60"/>
      <c r="H327" s="62"/>
      <c r="I327" s="62"/>
      <c r="J327" s="62"/>
      <c r="K327" s="61"/>
      <c r="M327" s="10"/>
      <c r="N327" s="30"/>
      <c r="O327" s="31"/>
      <c r="P327" s="47"/>
      <c r="Q327" s="31"/>
      <c r="R327" s="31"/>
      <c r="S327" s="32">
        <f t="shared" ref="S327" si="86">SUM(P327:Q327)</f>
        <v>0</v>
      </c>
      <c r="T327" s="10"/>
      <c r="U327" s="10"/>
      <c r="V327" s="10"/>
      <c r="W327" s="12">
        <f t="shared" si="79"/>
        <v>0</v>
      </c>
      <c r="Y327" s="10"/>
      <c r="Z327" s="30"/>
      <c r="AA327" s="31"/>
      <c r="AB327" s="47"/>
      <c r="AC327" s="31"/>
      <c r="AD327" s="31"/>
      <c r="AE327" s="32">
        <f t="shared" ref="AE327" si="87">SUM(AB327:AC327)</f>
        <v>0</v>
      </c>
      <c r="AF327" s="10"/>
      <c r="AG327" s="10"/>
      <c r="AH327" s="10"/>
      <c r="AI327" s="12">
        <f t="shared" si="8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87"/>
      <c r="C329" s="87"/>
      <c r="D329" s="87"/>
      <c r="E329" s="87"/>
      <c r="F329" s="87"/>
      <c r="G329" s="87"/>
      <c r="H329" s="62"/>
      <c r="I329" s="62"/>
      <c r="J329" s="62"/>
      <c r="K329" s="62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87"/>
      <c r="C330" s="87"/>
      <c r="D330" s="70"/>
      <c r="E330" s="70"/>
      <c r="F330" s="70"/>
      <c r="G330" s="70"/>
      <c r="H330" s="63"/>
      <c r="I330" s="70"/>
      <c r="J330" s="70"/>
      <c r="K330" s="70"/>
      <c r="N330" s="57"/>
      <c r="O330" s="57"/>
      <c r="P330" s="38">
        <f>SUM(P287:P329)</f>
        <v>323041</v>
      </c>
      <c r="Q330" s="38">
        <f>SUM(Q287:Q311)</f>
        <v>-2832</v>
      </c>
      <c r="R330" s="38">
        <f>SUM(R287:R311)</f>
        <v>0</v>
      </c>
      <c r="S330" s="38">
        <f>SUM(S287:S329)</f>
        <v>320209</v>
      </c>
      <c r="T330" s="4"/>
      <c r="U330" s="41">
        <f>SUM(U287:U329)</f>
        <v>1008</v>
      </c>
      <c r="V330" s="41">
        <f>SUM(V287:V311)</f>
        <v>-1296</v>
      </c>
      <c r="W330" s="42">
        <f>SUM(W287:W329)</f>
        <v>319921</v>
      </c>
      <c r="Z330" s="57"/>
      <c r="AA330" s="57"/>
      <c r="AB330" s="38">
        <f>SUM(AB287:AB329)</f>
        <v>326081</v>
      </c>
      <c r="AC330" s="38">
        <f>SUM(AC287:AC311)</f>
        <v>-2478</v>
      </c>
      <c r="AD330" s="38">
        <f>SUM(AD287:AD311)</f>
        <v>0</v>
      </c>
      <c r="AE330" s="38">
        <f>SUM(AE287:AE329)</f>
        <v>323603</v>
      </c>
      <c r="AF330" s="4"/>
      <c r="AG330" s="41">
        <f>SUM(AG287:AG329)</f>
        <v>7626</v>
      </c>
      <c r="AH330" s="41">
        <f>SUM(AH287:AH311)</f>
        <v>-8547</v>
      </c>
      <c r="AI330" s="42">
        <f>SUM(AI287:AI329)</f>
        <v>322682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40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40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40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42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32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33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8" t="s">
        <v>17</v>
      </c>
      <c r="E340" s="118"/>
      <c r="F340" s="96"/>
      <c r="G340" s="27"/>
      <c r="I340" s="119" t="s">
        <v>18</v>
      </c>
      <c r="J340" s="120"/>
      <c r="K340" s="121" t="s">
        <v>19</v>
      </c>
      <c r="N340" s="25"/>
      <c r="O340" s="26"/>
      <c r="P340" s="118" t="s">
        <v>17</v>
      </c>
      <c r="Q340" s="118"/>
      <c r="R340" s="96"/>
      <c r="S340" s="27"/>
      <c r="U340" s="119" t="s">
        <v>18</v>
      </c>
      <c r="V340" s="120"/>
      <c r="W340" s="121" t="s">
        <v>19</v>
      </c>
      <c r="Z340" s="25"/>
      <c r="AA340" s="26"/>
      <c r="AB340" s="118" t="s">
        <v>17</v>
      </c>
      <c r="AC340" s="118"/>
      <c r="AD340" s="96"/>
      <c r="AE340" s="27"/>
      <c r="AG340" s="119" t="s">
        <v>18</v>
      </c>
      <c r="AH340" s="120"/>
      <c r="AI340" s="121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31</v>
      </c>
      <c r="G341" s="78" t="s">
        <v>24</v>
      </c>
      <c r="I341" s="29" t="s">
        <v>25</v>
      </c>
      <c r="J341" s="29" t="s">
        <v>26</v>
      </c>
      <c r="K341" s="122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31</v>
      </c>
      <c r="S341" s="78" t="s">
        <v>24</v>
      </c>
      <c r="U341" s="29" t="s">
        <v>25</v>
      </c>
      <c r="V341" s="29" t="s">
        <v>26</v>
      </c>
      <c r="W341" s="122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31</v>
      </c>
      <c r="AE341" s="78" t="s">
        <v>24</v>
      </c>
      <c r="AG341" s="29" t="s">
        <v>25</v>
      </c>
      <c r="AH341" s="29" t="s">
        <v>26</v>
      </c>
      <c r="AI341" s="12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46271</v>
      </c>
      <c r="C342" s="83">
        <v>10913</v>
      </c>
      <c r="D342" s="32">
        <f>650*10+670*2+95</f>
        <v>7935</v>
      </c>
      <c r="E342" s="32"/>
      <c r="F342" s="32"/>
      <c r="G342" s="32">
        <f t="shared" ref="G342:G375" si="88">SUM(D342:E342)</f>
        <v>7935</v>
      </c>
      <c r="H342" s="12"/>
      <c r="I342" s="12"/>
      <c r="J342" s="12"/>
      <c r="K342" s="12">
        <f t="shared" ref="K342:K375" si="89">SUM(G342:J342)</f>
        <v>7935</v>
      </c>
      <c r="M342" s="10">
        <v>1</v>
      </c>
      <c r="N342" s="30">
        <v>46271</v>
      </c>
      <c r="O342" s="31">
        <v>10871</v>
      </c>
      <c r="P342" s="32">
        <f>650*5+670</f>
        <v>3920</v>
      </c>
      <c r="Q342" s="32"/>
      <c r="R342" s="32"/>
      <c r="S342" s="32">
        <f>SUM(P342:Q342)</f>
        <v>3920</v>
      </c>
      <c r="T342" s="12"/>
      <c r="U342" s="12"/>
      <c r="V342" s="12">
        <v>-666</v>
      </c>
      <c r="W342" s="12">
        <f>SUM(S342:V342)</f>
        <v>3254</v>
      </c>
      <c r="Y342" s="10">
        <v>1</v>
      </c>
      <c r="Z342" s="30">
        <v>46271</v>
      </c>
      <c r="AA342" s="31">
        <v>10951</v>
      </c>
      <c r="AB342" s="32">
        <f>650*16+670*2+229</f>
        <v>11969</v>
      </c>
      <c r="AC342" s="32"/>
      <c r="AD342" s="32"/>
      <c r="AE342" s="32">
        <f>SUM(AB342:AC342)</f>
        <v>11969</v>
      </c>
      <c r="AF342" s="12"/>
      <c r="AG342" s="12"/>
      <c r="AH342" s="12"/>
      <c r="AI342" s="12">
        <f>SUM(AE342:AH342)</f>
        <v>11969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46271</v>
      </c>
      <c r="C343" s="83">
        <f>C342+1</f>
        <v>10914</v>
      </c>
      <c r="D343" s="32">
        <f>650*17+670*3+622*2</f>
        <v>14304</v>
      </c>
      <c r="E343" s="32"/>
      <c r="F343" s="32"/>
      <c r="G343" s="32">
        <f t="shared" si="88"/>
        <v>14304</v>
      </c>
      <c r="H343" s="12"/>
      <c r="I343" s="12"/>
      <c r="J343" s="12"/>
      <c r="K343" s="12">
        <f t="shared" si="89"/>
        <v>14304</v>
      </c>
      <c r="M343" s="10">
        <v>2</v>
      </c>
      <c r="N343" s="30">
        <v>46271</v>
      </c>
      <c r="O343" s="31">
        <f>O342+1</f>
        <v>10872</v>
      </c>
      <c r="P343" s="32">
        <f>650*3+670</f>
        <v>2620</v>
      </c>
      <c r="Q343" s="32"/>
      <c r="R343" s="32"/>
      <c r="S343" s="32">
        <f t="shared" ref="S343:S380" si="90">SUM(P343:Q343)</f>
        <v>2620</v>
      </c>
      <c r="T343" s="12"/>
      <c r="U343" s="12"/>
      <c r="V343" s="12"/>
      <c r="W343" s="12">
        <f t="shared" ref="W343:W383" si="91">SUM(S343:V343)</f>
        <v>2620</v>
      </c>
      <c r="Y343" s="10">
        <v>2</v>
      </c>
      <c r="Z343" s="30">
        <v>46271</v>
      </c>
      <c r="AA343" s="31">
        <f>AA342+1</f>
        <v>10952</v>
      </c>
      <c r="AB343" s="32">
        <f>650*15+973</f>
        <v>10723</v>
      </c>
      <c r="AC343" s="32"/>
      <c r="AD343" s="32"/>
      <c r="AE343" s="32">
        <f t="shared" ref="AE343:AE345" si="92">SUM(AB343:AC343)</f>
        <v>10723</v>
      </c>
      <c r="AF343" s="12"/>
      <c r="AG343" s="12"/>
      <c r="AH343" s="12"/>
      <c r="AI343" s="12">
        <f t="shared" ref="AI343:AI383" si="93">SUM(AE343:AH343)</f>
        <v>10723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46271</v>
      </c>
      <c r="C344" s="83">
        <f t="shared" ref="C344:C353" si="94">C343+1</f>
        <v>10915</v>
      </c>
      <c r="D344" s="33">
        <f>650*35+229</f>
        <v>22979</v>
      </c>
      <c r="E344" s="33"/>
      <c r="F344" s="33"/>
      <c r="G344" s="33">
        <f t="shared" si="88"/>
        <v>22979</v>
      </c>
      <c r="H344" s="34"/>
      <c r="I344" s="34"/>
      <c r="J344" s="34"/>
      <c r="K344" s="34">
        <f t="shared" si="89"/>
        <v>22979</v>
      </c>
      <c r="M344" s="10">
        <v>3</v>
      </c>
      <c r="N344" s="30">
        <v>46271</v>
      </c>
      <c r="O344" s="31">
        <f t="shared" ref="O344:O346" si="95">O343+1</f>
        <v>10873</v>
      </c>
      <c r="P344" s="32">
        <f>650*13+622*10+872</f>
        <v>15542</v>
      </c>
      <c r="Q344" s="32"/>
      <c r="R344" s="32"/>
      <c r="S344" s="32">
        <f t="shared" si="90"/>
        <v>15542</v>
      </c>
      <c r="T344" s="12"/>
      <c r="U344" s="12">
        <f>117+36</f>
        <v>153</v>
      </c>
      <c r="V344" s="12"/>
      <c r="W344" s="12">
        <f t="shared" si="91"/>
        <v>15695</v>
      </c>
      <c r="Y344" s="10">
        <v>3</v>
      </c>
      <c r="Z344" s="30">
        <v>46271</v>
      </c>
      <c r="AA344" s="31">
        <f t="shared" ref="AA344:AA346" si="96">AA343+1</f>
        <v>10953</v>
      </c>
      <c r="AB344" s="33">
        <f>650*201+670*25+622*108+912*5+872*9+229*13</f>
        <v>229961</v>
      </c>
      <c r="AC344" s="33">
        <f>-348*6</f>
        <v>-2088</v>
      </c>
      <c r="AD344" s="32"/>
      <c r="AE344" s="32">
        <f t="shared" si="92"/>
        <v>227873</v>
      </c>
      <c r="AF344" s="12"/>
      <c r="AG344" s="12">
        <f>120*3+111*35+111*8+1.5*72</f>
        <v>5241</v>
      </c>
      <c r="AH344" s="12"/>
      <c r="AI344" s="12">
        <f t="shared" si="93"/>
        <v>233114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46271</v>
      </c>
      <c r="C345" s="83">
        <f t="shared" si="94"/>
        <v>10916</v>
      </c>
      <c r="D345" s="32">
        <f>650*25+622*5</f>
        <v>19360</v>
      </c>
      <c r="E345" s="32"/>
      <c r="F345" s="32"/>
      <c r="G345" s="32">
        <f t="shared" si="88"/>
        <v>19360</v>
      </c>
      <c r="H345" s="12"/>
      <c r="I345" s="12"/>
      <c r="J345" s="12"/>
      <c r="K345" s="12">
        <f t="shared" si="89"/>
        <v>19360</v>
      </c>
      <c r="M345" s="10">
        <v>4</v>
      </c>
      <c r="N345" s="30">
        <v>46271</v>
      </c>
      <c r="O345" s="31">
        <f t="shared" si="95"/>
        <v>10874</v>
      </c>
      <c r="P345" s="32">
        <f>650*300+622*40+912*5+229*12+650*3</f>
        <v>229138</v>
      </c>
      <c r="Q345" s="32">
        <f>-345*6</f>
        <v>-2070</v>
      </c>
      <c r="R345" s="32"/>
      <c r="S345" s="32">
        <f t="shared" si="90"/>
        <v>227068</v>
      </c>
      <c r="T345" s="12"/>
      <c r="U345" s="12"/>
      <c r="V345" s="12">
        <f>-120*4+-14*111+-84*2</f>
        <v>-2202</v>
      </c>
      <c r="W345" s="12">
        <f t="shared" si="91"/>
        <v>224866</v>
      </c>
      <c r="Y345" s="10">
        <v>4</v>
      </c>
      <c r="Z345" s="30">
        <v>46271</v>
      </c>
      <c r="AA345" s="31">
        <f t="shared" si="96"/>
        <v>10954</v>
      </c>
      <c r="AB345" s="32">
        <f>650*200+229*5</f>
        <v>131145</v>
      </c>
      <c r="AC345" s="32">
        <f>-200*6</f>
        <v>-1200</v>
      </c>
      <c r="AD345" s="32"/>
      <c r="AE345" s="32">
        <f t="shared" si="92"/>
        <v>129945</v>
      </c>
      <c r="AF345" s="12"/>
      <c r="AH345" s="12"/>
      <c r="AI345" s="12">
        <f t="shared" si="93"/>
        <v>129945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46271</v>
      </c>
      <c r="C346" s="83">
        <f t="shared" si="94"/>
        <v>10917</v>
      </c>
      <c r="D346" s="32">
        <f>650*25+670*3+622*2+872+872</f>
        <v>21248</v>
      </c>
      <c r="E346" s="32"/>
      <c r="F346" s="32"/>
      <c r="G346" s="32">
        <f t="shared" si="88"/>
        <v>21248</v>
      </c>
      <c r="H346" s="12"/>
      <c r="I346" s="12">
        <v>189</v>
      </c>
      <c r="J346" s="12"/>
      <c r="K346" s="12">
        <f t="shared" si="89"/>
        <v>21437</v>
      </c>
      <c r="M346" s="10">
        <v>5</v>
      </c>
      <c r="N346" s="30">
        <v>46271</v>
      </c>
      <c r="O346" s="31">
        <f t="shared" si="95"/>
        <v>10875</v>
      </c>
      <c r="P346" s="32">
        <f>650*2+670</f>
        <v>1970</v>
      </c>
      <c r="Q346" s="32"/>
      <c r="R346" s="32"/>
      <c r="S346" s="32">
        <f t="shared" si="90"/>
        <v>1970</v>
      </c>
      <c r="T346" s="12"/>
      <c r="U346" s="12"/>
      <c r="V346" s="12"/>
      <c r="W346" s="12">
        <f t="shared" si="91"/>
        <v>1970</v>
      </c>
      <c r="Y346" s="10">
        <v>5</v>
      </c>
      <c r="Z346" s="30">
        <v>46271</v>
      </c>
      <c r="AA346" s="31">
        <f t="shared" si="96"/>
        <v>10955</v>
      </c>
      <c r="AB346" s="32">
        <f>650*58</f>
        <v>37700</v>
      </c>
      <c r="AC346" s="32"/>
      <c r="AD346" s="32"/>
      <c r="AE346" s="32">
        <f t="shared" ref="AE346:AE374" si="97">SUM(AB346:AC346)</f>
        <v>37700</v>
      </c>
      <c r="AF346" s="12"/>
      <c r="AG346" s="12"/>
      <c r="AH346" s="12"/>
      <c r="AI346" s="12">
        <f t="shared" si="93"/>
        <v>37700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46271</v>
      </c>
      <c r="C347" s="83">
        <f t="shared" si="94"/>
        <v>10918</v>
      </c>
      <c r="D347" s="32">
        <f>650*10+9.5*10</f>
        <v>6595</v>
      </c>
      <c r="E347" s="32"/>
      <c r="F347" s="32"/>
      <c r="G347" s="32">
        <f t="shared" si="88"/>
        <v>6595</v>
      </c>
      <c r="H347" s="12"/>
      <c r="I347" s="12">
        <f>84*3</f>
        <v>252</v>
      </c>
      <c r="J347" s="12"/>
      <c r="K347" s="12">
        <f t="shared" si="89"/>
        <v>6847</v>
      </c>
      <c r="M347" s="10">
        <v>6</v>
      </c>
      <c r="N347" s="30"/>
      <c r="O347" s="11" t="s">
        <v>27</v>
      </c>
      <c r="P347" s="32"/>
      <c r="Q347" s="32"/>
      <c r="R347" s="32"/>
      <c r="S347" s="32">
        <f t="shared" si="90"/>
        <v>0</v>
      </c>
      <c r="T347" s="12"/>
      <c r="U347" s="12"/>
      <c r="V347" s="10"/>
      <c r="W347" s="12">
        <f t="shared" si="91"/>
        <v>0</v>
      </c>
      <c r="Y347" s="10">
        <v>6</v>
      </c>
      <c r="Z347" s="30"/>
      <c r="AA347" s="11" t="s">
        <v>27</v>
      </c>
      <c r="AB347" s="32"/>
      <c r="AC347" s="32"/>
      <c r="AD347" s="32"/>
      <c r="AE347" s="32">
        <f t="shared" si="97"/>
        <v>0</v>
      </c>
      <c r="AF347" s="12"/>
      <c r="AG347" s="12"/>
      <c r="AH347" s="10"/>
      <c r="AI347" s="12">
        <f t="shared" si="93"/>
        <v>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46271</v>
      </c>
      <c r="C348" s="83">
        <f t="shared" si="94"/>
        <v>10919</v>
      </c>
      <c r="D348" s="32">
        <f>650*170+622*11+650*4</f>
        <v>119942</v>
      </c>
      <c r="E348" s="32"/>
      <c r="F348" s="32"/>
      <c r="G348" s="32">
        <f t="shared" si="88"/>
        <v>119942</v>
      </c>
      <c r="H348" s="12"/>
      <c r="I348" s="12">
        <f>111*49</f>
        <v>5439</v>
      </c>
      <c r="J348" s="12"/>
      <c r="K348" s="12">
        <f t="shared" si="89"/>
        <v>125381</v>
      </c>
      <c r="M348" s="10">
        <v>7</v>
      </c>
      <c r="N348" s="30"/>
      <c r="O348" s="31"/>
      <c r="P348" s="32"/>
      <c r="Q348" s="32"/>
      <c r="R348" s="32"/>
      <c r="S348" s="32">
        <f t="shared" si="90"/>
        <v>0</v>
      </c>
      <c r="T348" s="12"/>
      <c r="U348" s="12"/>
      <c r="V348" s="12"/>
      <c r="W348" s="12">
        <f t="shared" si="91"/>
        <v>0</v>
      </c>
      <c r="Y348" s="10">
        <v>7</v>
      </c>
      <c r="Z348" s="30"/>
      <c r="AB348" s="32"/>
      <c r="AC348" s="32"/>
      <c r="AD348" s="32"/>
      <c r="AE348" s="32">
        <f t="shared" si="97"/>
        <v>0</v>
      </c>
      <c r="AF348" s="12"/>
      <c r="AG348" s="58"/>
      <c r="AH348" s="12"/>
      <c r="AI348" s="12">
        <f t="shared" si="93"/>
        <v>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46271</v>
      </c>
      <c r="C349" s="83">
        <f t="shared" si="94"/>
        <v>10920</v>
      </c>
      <c r="D349" s="32">
        <f>650*19</f>
        <v>12350</v>
      </c>
      <c r="E349" s="32"/>
      <c r="F349" s="32"/>
      <c r="G349" s="32">
        <f t="shared" si="88"/>
        <v>12350</v>
      </c>
      <c r="H349" s="12"/>
      <c r="I349" s="12"/>
      <c r="J349" s="12"/>
      <c r="K349" s="12">
        <f t="shared" si="89"/>
        <v>12350</v>
      </c>
      <c r="M349" s="10">
        <v>8</v>
      </c>
      <c r="N349" s="30"/>
      <c r="O349" s="31"/>
      <c r="P349" s="32"/>
      <c r="Q349" s="32"/>
      <c r="R349" s="32"/>
      <c r="S349" s="32">
        <f t="shared" si="90"/>
        <v>0</v>
      </c>
      <c r="T349" s="12"/>
      <c r="U349" s="12"/>
      <c r="V349" s="12"/>
      <c r="W349" s="12">
        <f t="shared" si="91"/>
        <v>0</v>
      </c>
      <c r="Y349" s="10">
        <v>8</v>
      </c>
      <c r="Z349" s="30"/>
      <c r="AA349" s="31"/>
      <c r="AB349" s="32"/>
      <c r="AC349" s="32"/>
      <c r="AE349" s="32">
        <f t="shared" si="97"/>
        <v>0</v>
      </c>
      <c r="AF349" s="12"/>
      <c r="AG349" s="12"/>
      <c r="AH349" s="12"/>
      <c r="AI349" s="12">
        <f t="shared" si="93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46271</v>
      </c>
      <c r="C350" s="83">
        <f t="shared" si="94"/>
        <v>10921</v>
      </c>
      <c r="D350" s="32">
        <f>650*8</f>
        <v>5200</v>
      </c>
      <c r="E350" s="32"/>
      <c r="F350" s="32"/>
      <c r="G350" s="32">
        <f t="shared" si="88"/>
        <v>5200</v>
      </c>
      <c r="H350" s="12"/>
      <c r="I350" s="12"/>
      <c r="J350" s="12"/>
      <c r="K350" s="12">
        <f t="shared" si="89"/>
        <v>5200</v>
      </c>
      <c r="M350" s="10">
        <v>9</v>
      </c>
      <c r="N350" s="30"/>
      <c r="O350" s="31"/>
      <c r="P350" s="32"/>
      <c r="Q350" s="32"/>
      <c r="R350" s="32"/>
      <c r="S350" s="32">
        <f t="shared" si="90"/>
        <v>0</v>
      </c>
      <c r="T350" s="12"/>
      <c r="U350" s="12"/>
      <c r="V350" s="12"/>
      <c r="W350" s="12">
        <f t="shared" si="91"/>
        <v>0</v>
      </c>
      <c r="Y350" s="10">
        <v>9</v>
      </c>
      <c r="Z350" s="30"/>
      <c r="AA350" s="31"/>
      <c r="AC350" s="32"/>
      <c r="AD350" s="32"/>
      <c r="AE350" s="32">
        <f t="shared" si="97"/>
        <v>0</v>
      </c>
      <c r="AF350" s="12"/>
      <c r="AH350" s="12"/>
      <c r="AI350" s="12">
        <f t="shared" si="93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46271</v>
      </c>
      <c r="C351" s="83">
        <f t="shared" si="94"/>
        <v>10922</v>
      </c>
      <c r="D351" s="32">
        <f>650*7+9.5*7</f>
        <v>4616.5</v>
      </c>
      <c r="E351" s="32"/>
      <c r="F351" s="32"/>
      <c r="G351" s="32">
        <f t="shared" si="88"/>
        <v>4616.5</v>
      </c>
      <c r="H351" s="12"/>
      <c r="I351" s="12"/>
      <c r="J351" s="12"/>
      <c r="K351" s="12">
        <f t="shared" si="89"/>
        <v>4616.5</v>
      </c>
      <c r="M351" s="10">
        <v>10</v>
      </c>
      <c r="N351" s="30"/>
      <c r="O351" s="31"/>
      <c r="P351" s="32"/>
      <c r="Q351" s="32"/>
      <c r="R351" s="32"/>
      <c r="S351" s="32">
        <f t="shared" si="90"/>
        <v>0</v>
      </c>
      <c r="T351" s="12"/>
      <c r="U351" s="12"/>
      <c r="V351" s="12"/>
      <c r="W351" s="12">
        <f t="shared" si="91"/>
        <v>0</v>
      </c>
      <c r="Y351" s="10">
        <v>10</v>
      </c>
      <c r="Z351" s="30"/>
      <c r="AA351" s="31"/>
      <c r="AB351" s="32"/>
      <c r="AC351" s="32"/>
      <c r="AD351" s="32"/>
      <c r="AE351" s="32">
        <f t="shared" si="97"/>
        <v>0</v>
      </c>
      <c r="AF351" s="12"/>
      <c r="AG351" s="12"/>
      <c r="AH351" s="12"/>
      <c r="AI351" s="12">
        <f t="shared" si="93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46271</v>
      </c>
      <c r="C352" s="83">
        <f t="shared" si="94"/>
        <v>10923</v>
      </c>
      <c r="D352" s="32">
        <f>650*10+670</f>
        <v>7170</v>
      </c>
      <c r="E352" s="32"/>
      <c r="F352" s="32"/>
      <c r="G352" s="32">
        <f t="shared" si="88"/>
        <v>7170</v>
      </c>
      <c r="H352" s="12"/>
      <c r="I352" s="12"/>
      <c r="J352" s="12"/>
      <c r="K352" s="12">
        <f t="shared" si="89"/>
        <v>7170</v>
      </c>
      <c r="M352" s="10">
        <v>11</v>
      </c>
      <c r="N352" s="30"/>
      <c r="O352" s="11"/>
      <c r="P352" s="32"/>
      <c r="Q352" s="32"/>
      <c r="R352" s="32"/>
      <c r="S352" s="32">
        <f t="shared" si="90"/>
        <v>0</v>
      </c>
      <c r="T352" s="12"/>
      <c r="U352" s="12"/>
      <c r="V352" s="12"/>
      <c r="W352" s="12">
        <f t="shared" si="91"/>
        <v>0</v>
      </c>
      <c r="Y352" s="10">
        <v>11</v>
      </c>
      <c r="Z352" s="30"/>
      <c r="AA352" s="31"/>
      <c r="AB352" s="32"/>
      <c r="AC352" s="32"/>
      <c r="AD352" s="32"/>
      <c r="AE352" s="32">
        <f t="shared" si="97"/>
        <v>0</v>
      </c>
      <c r="AF352" s="12"/>
      <c r="AG352" s="12"/>
      <c r="AH352" s="12"/>
      <c r="AI352" s="12">
        <f t="shared" si="93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46271</v>
      </c>
      <c r="C353" s="83">
        <f t="shared" si="94"/>
        <v>10924</v>
      </c>
      <c r="D353" s="32">
        <f>650*3</f>
        <v>1950</v>
      </c>
      <c r="E353" s="32"/>
      <c r="F353" s="32"/>
      <c r="G353" s="32">
        <f t="shared" si="88"/>
        <v>1950</v>
      </c>
      <c r="H353" s="12"/>
      <c r="I353" s="12"/>
      <c r="J353" s="10"/>
      <c r="K353" s="12">
        <f t="shared" si="89"/>
        <v>1950</v>
      </c>
      <c r="M353" s="10">
        <v>12</v>
      </c>
      <c r="N353" s="30"/>
      <c r="P353" s="32"/>
      <c r="Q353" s="32"/>
      <c r="R353" s="32"/>
      <c r="S353" s="32">
        <f t="shared" si="90"/>
        <v>0</v>
      </c>
      <c r="T353" s="12"/>
      <c r="U353" s="12"/>
      <c r="V353" s="12"/>
      <c r="W353" s="12">
        <f t="shared" si="91"/>
        <v>0</v>
      </c>
      <c r="Y353" s="10">
        <v>12</v>
      </c>
      <c r="Z353" s="30"/>
      <c r="AA353" s="31"/>
      <c r="AB353" s="32"/>
      <c r="AC353" s="32"/>
      <c r="AD353" s="32"/>
      <c r="AE353" s="32">
        <f t="shared" si="97"/>
        <v>0</v>
      </c>
      <c r="AF353" s="12"/>
      <c r="AG353" s="12"/>
      <c r="AH353" s="12"/>
      <c r="AI353" s="12">
        <f t="shared" si="93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11" t="s">
        <v>27</v>
      </c>
      <c r="D354" s="32"/>
      <c r="E354" s="32"/>
      <c r="F354" s="32"/>
      <c r="G354" s="32">
        <f t="shared" si="88"/>
        <v>0</v>
      </c>
      <c r="H354" s="12"/>
      <c r="I354" s="12"/>
      <c r="J354" s="12"/>
      <c r="K354" s="12">
        <f t="shared" si="89"/>
        <v>0</v>
      </c>
      <c r="M354" s="10">
        <v>13</v>
      </c>
      <c r="N354" s="30"/>
      <c r="O354" s="31"/>
      <c r="P354" s="32"/>
      <c r="Q354" s="32"/>
      <c r="R354" s="32"/>
      <c r="S354" s="32">
        <f t="shared" si="90"/>
        <v>0</v>
      </c>
      <c r="T354" s="12"/>
      <c r="U354" s="12"/>
      <c r="V354" s="12"/>
      <c r="W354" s="12">
        <f t="shared" si="91"/>
        <v>0</v>
      </c>
      <c r="Y354" s="10">
        <v>13</v>
      </c>
      <c r="Z354" s="30"/>
      <c r="AA354" s="31"/>
      <c r="AB354" s="32"/>
      <c r="AC354" s="32"/>
      <c r="AD354" s="32"/>
      <c r="AE354" s="32">
        <f t="shared" si="97"/>
        <v>0</v>
      </c>
      <c r="AF354" s="12"/>
      <c r="AG354" s="12"/>
      <c r="AH354" s="12"/>
      <c r="AI354" s="12">
        <f t="shared" si="93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88"/>
        <v>0</v>
      </c>
      <c r="H355" s="12"/>
      <c r="I355" s="12"/>
      <c r="J355" s="12"/>
      <c r="K355" s="12">
        <f t="shared" si="89"/>
        <v>0</v>
      </c>
      <c r="M355" s="10">
        <v>14</v>
      </c>
      <c r="N355" s="30"/>
      <c r="O355" s="31"/>
      <c r="P355" s="32"/>
      <c r="Q355" s="32"/>
      <c r="R355" s="32"/>
      <c r="S355" s="32">
        <f t="shared" si="90"/>
        <v>0</v>
      </c>
      <c r="T355" s="12"/>
      <c r="U355" s="12"/>
      <c r="V355" s="12"/>
      <c r="W355" s="12">
        <f t="shared" si="91"/>
        <v>0</v>
      </c>
      <c r="Y355" s="10">
        <v>14</v>
      </c>
      <c r="Z355" s="30"/>
      <c r="AA355" s="31"/>
      <c r="AB355" s="32"/>
      <c r="AC355" s="32"/>
      <c r="AD355" s="32"/>
      <c r="AE355" s="32">
        <f t="shared" si="97"/>
        <v>0</v>
      </c>
      <c r="AF355" s="12"/>
      <c r="AG355" s="12"/>
      <c r="AH355" s="12"/>
      <c r="AI355" s="12">
        <f t="shared" si="93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88"/>
        <v>0</v>
      </c>
      <c r="H356" s="12"/>
      <c r="I356" s="12"/>
      <c r="J356" s="12"/>
      <c r="K356" s="12">
        <f t="shared" si="89"/>
        <v>0</v>
      </c>
      <c r="M356" s="10">
        <v>15</v>
      </c>
      <c r="N356" s="30"/>
      <c r="O356" s="31"/>
      <c r="P356" s="32"/>
      <c r="Q356" s="32"/>
      <c r="R356" s="32"/>
      <c r="S356" s="32">
        <f t="shared" si="90"/>
        <v>0</v>
      </c>
      <c r="T356" s="12"/>
      <c r="U356" s="12"/>
      <c r="V356" s="12"/>
      <c r="W356" s="12">
        <f t="shared" si="91"/>
        <v>0</v>
      </c>
      <c r="Y356" s="10">
        <v>15</v>
      </c>
      <c r="Z356" s="30"/>
      <c r="AA356" s="31"/>
      <c r="AB356" s="32"/>
      <c r="AC356" s="32"/>
      <c r="AD356" s="32"/>
      <c r="AE356" s="32">
        <f t="shared" si="97"/>
        <v>0</v>
      </c>
      <c r="AF356" s="12"/>
      <c r="AG356" s="12"/>
      <c r="AH356" s="12"/>
      <c r="AI356" s="12">
        <f t="shared" si="93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11"/>
      <c r="D357" s="32"/>
      <c r="E357" s="32"/>
      <c r="F357" s="32"/>
      <c r="G357" s="32">
        <f t="shared" si="88"/>
        <v>0</v>
      </c>
      <c r="H357" s="12"/>
      <c r="I357" s="12"/>
      <c r="J357" s="12"/>
      <c r="K357" s="12">
        <f t="shared" si="89"/>
        <v>0</v>
      </c>
      <c r="M357" s="10">
        <v>16</v>
      </c>
      <c r="N357" s="30"/>
      <c r="P357" s="32"/>
      <c r="Q357" s="32"/>
      <c r="R357" s="32"/>
      <c r="S357" s="32">
        <f t="shared" si="90"/>
        <v>0</v>
      </c>
      <c r="T357" s="12"/>
      <c r="U357" s="12"/>
      <c r="V357" s="12"/>
      <c r="W357" s="12">
        <f t="shared" si="91"/>
        <v>0</v>
      </c>
      <c r="Y357" s="10">
        <v>16</v>
      </c>
      <c r="Z357" s="30"/>
      <c r="AA357" s="11"/>
      <c r="AB357" s="32"/>
      <c r="AC357" s="32"/>
      <c r="AD357" s="32"/>
      <c r="AE357" s="32">
        <f t="shared" si="97"/>
        <v>0</v>
      </c>
      <c r="AF357" s="12"/>
      <c r="AG357" s="12"/>
      <c r="AH357" s="12"/>
      <c r="AI357" s="12">
        <f t="shared" si="93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88"/>
        <v>0</v>
      </c>
      <c r="H358" s="12"/>
      <c r="I358" s="12"/>
      <c r="J358" s="12"/>
      <c r="K358" s="12">
        <f t="shared" si="89"/>
        <v>0</v>
      </c>
      <c r="M358" s="10">
        <v>17</v>
      </c>
      <c r="N358" s="30"/>
      <c r="O358" s="31"/>
      <c r="P358" s="35"/>
      <c r="Q358" s="32"/>
      <c r="R358" s="32"/>
      <c r="S358" s="32">
        <f t="shared" si="90"/>
        <v>0</v>
      </c>
      <c r="T358" s="12"/>
      <c r="U358" s="12"/>
      <c r="V358" s="12"/>
      <c r="W358" s="12">
        <f t="shared" si="91"/>
        <v>0</v>
      </c>
      <c r="Y358" s="10">
        <v>17</v>
      </c>
      <c r="Z358" s="30"/>
      <c r="AA358" s="31"/>
      <c r="AB358" s="35"/>
      <c r="AC358" s="32"/>
      <c r="AD358" s="32"/>
      <c r="AE358" s="32">
        <f t="shared" si="97"/>
        <v>0</v>
      </c>
      <c r="AF358" s="12"/>
      <c r="AG358" s="12"/>
      <c r="AH358" s="12"/>
      <c r="AI358" s="12">
        <f t="shared" si="93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88"/>
        <v>0</v>
      </c>
      <c r="H359" s="12"/>
      <c r="I359" s="12"/>
      <c r="J359" s="12"/>
      <c r="K359" s="12">
        <f t="shared" si="89"/>
        <v>0</v>
      </c>
      <c r="M359" s="10">
        <v>18</v>
      </c>
      <c r="N359" s="30"/>
      <c r="O359" s="31"/>
      <c r="P359" s="32"/>
      <c r="Q359" s="32"/>
      <c r="R359" s="32"/>
      <c r="S359" s="32">
        <f t="shared" si="90"/>
        <v>0</v>
      </c>
      <c r="T359" s="12"/>
      <c r="U359" s="12"/>
      <c r="V359" s="12"/>
      <c r="W359" s="12">
        <f t="shared" si="91"/>
        <v>0</v>
      </c>
      <c r="Y359" s="10">
        <v>18</v>
      </c>
      <c r="Z359" s="30"/>
      <c r="AA359" s="31"/>
      <c r="AB359" s="32"/>
      <c r="AC359" s="32"/>
      <c r="AD359" s="32"/>
      <c r="AE359" s="32">
        <f t="shared" si="97"/>
        <v>0</v>
      </c>
      <c r="AF359" s="12"/>
      <c r="AG359" s="12"/>
      <c r="AH359" s="12"/>
      <c r="AI359" s="12">
        <f t="shared" si="93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88"/>
        <v>0</v>
      </c>
      <c r="H360" s="12"/>
      <c r="I360" s="12"/>
      <c r="J360" s="12"/>
      <c r="K360" s="12">
        <f t="shared" si="89"/>
        <v>0</v>
      </c>
      <c r="M360" s="10">
        <v>19</v>
      </c>
      <c r="N360" s="30"/>
      <c r="O360" s="31"/>
      <c r="P360" s="32"/>
      <c r="Q360" s="32"/>
      <c r="R360" s="32"/>
      <c r="S360" s="32">
        <f t="shared" si="90"/>
        <v>0</v>
      </c>
      <c r="T360" s="12"/>
      <c r="U360" s="12"/>
      <c r="V360" s="12"/>
      <c r="W360" s="12">
        <f t="shared" si="91"/>
        <v>0</v>
      </c>
      <c r="Y360" s="10">
        <v>19</v>
      </c>
      <c r="Z360" s="30"/>
      <c r="AA360" s="31"/>
      <c r="AB360" s="32"/>
      <c r="AC360" s="32"/>
      <c r="AD360" s="32"/>
      <c r="AE360" s="32">
        <f t="shared" si="97"/>
        <v>0</v>
      </c>
      <c r="AF360" s="12"/>
      <c r="AG360" s="12"/>
      <c r="AH360" s="12"/>
      <c r="AI360" s="12">
        <f t="shared" si="93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88"/>
        <v>0</v>
      </c>
      <c r="H361" s="12"/>
      <c r="I361" s="12"/>
      <c r="J361" s="12"/>
      <c r="K361" s="12">
        <f t="shared" si="89"/>
        <v>0</v>
      </c>
      <c r="M361" s="10">
        <v>20</v>
      </c>
      <c r="N361" s="30"/>
      <c r="O361" s="31"/>
      <c r="P361" s="32"/>
      <c r="Q361" s="32"/>
      <c r="R361" s="32"/>
      <c r="S361" s="32">
        <f t="shared" si="90"/>
        <v>0</v>
      </c>
      <c r="T361" s="12"/>
      <c r="U361" s="12"/>
      <c r="V361" s="12"/>
      <c r="W361" s="12">
        <f t="shared" si="91"/>
        <v>0</v>
      </c>
      <c r="Y361" s="10">
        <v>20</v>
      </c>
      <c r="Z361" s="30"/>
      <c r="AB361" s="32"/>
      <c r="AC361" s="32"/>
      <c r="AD361" s="32"/>
      <c r="AE361" s="32">
        <f t="shared" si="97"/>
        <v>0</v>
      </c>
      <c r="AF361" s="12"/>
      <c r="AG361" s="12"/>
      <c r="AH361" s="12"/>
      <c r="AI361" s="12">
        <f t="shared" si="93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3"/>
      <c r="D362" s="32"/>
      <c r="E362" s="32"/>
      <c r="F362" s="32"/>
      <c r="G362" s="32">
        <f t="shared" si="88"/>
        <v>0</v>
      </c>
      <c r="H362" s="10"/>
      <c r="I362" s="10"/>
      <c r="J362" s="10"/>
      <c r="K362" s="12">
        <f t="shared" si="89"/>
        <v>0</v>
      </c>
      <c r="M362" s="10">
        <v>21</v>
      </c>
      <c r="N362" s="30"/>
      <c r="O362" s="31"/>
      <c r="P362" s="46"/>
      <c r="Q362" s="31"/>
      <c r="R362" s="31"/>
      <c r="S362" s="32">
        <f t="shared" si="90"/>
        <v>0</v>
      </c>
      <c r="T362" s="10"/>
      <c r="U362" s="10"/>
      <c r="V362" s="10"/>
      <c r="W362" s="12">
        <f t="shared" si="91"/>
        <v>0</v>
      </c>
      <c r="Y362" s="10">
        <v>21</v>
      </c>
      <c r="Z362" s="30"/>
      <c r="AA362" s="31"/>
      <c r="AB362" s="46"/>
      <c r="AC362" s="31"/>
      <c r="AD362" s="31"/>
      <c r="AE362" s="32">
        <f t="shared" si="97"/>
        <v>0</v>
      </c>
      <c r="AF362" s="10"/>
      <c r="AG362" s="10"/>
      <c r="AH362" s="10"/>
      <c r="AI362" s="12">
        <f t="shared" si="93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88"/>
        <v>0</v>
      </c>
      <c r="H363" s="10"/>
      <c r="I363" s="10"/>
      <c r="J363" s="10"/>
      <c r="K363" s="12">
        <f t="shared" si="89"/>
        <v>0</v>
      </c>
      <c r="M363" s="10">
        <v>22</v>
      </c>
      <c r="N363" s="30"/>
      <c r="O363" s="31"/>
      <c r="P363" s="45"/>
      <c r="Q363" s="31"/>
      <c r="R363" s="31"/>
      <c r="S363" s="32">
        <f t="shared" si="90"/>
        <v>0</v>
      </c>
      <c r="T363" s="10"/>
      <c r="U363" s="10"/>
      <c r="V363" s="10"/>
      <c r="W363" s="12">
        <f t="shared" si="91"/>
        <v>0</v>
      </c>
      <c r="Y363" s="10">
        <v>22</v>
      </c>
      <c r="Z363" s="30"/>
      <c r="AA363" s="31"/>
      <c r="AB363" s="45"/>
      <c r="AC363" s="31"/>
      <c r="AD363" s="31"/>
      <c r="AE363" s="32">
        <f t="shared" si="97"/>
        <v>0</v>
      </c>
      <c r="AF363" s="10"/>
      <c r="AG363" s="10"/>
      <c r="AH363" s="10"/>
      <c r="AI363" s="12">
        <f t="shared" si="93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88"/>
        <v>0</v>
      </c>
      <c r="H364" s="10"/>
      <c r="I364" s="10"/>
      <c r="J364" s="12"/>
      <c r="K364" s="12">
        <f t="shared" si="89"/>
        <v>0</v>
      </c>
      <c r="M364" s="10">
        <v>23</v>
      </c>
      <c r="N364" s="30"/>
      <c r="O364" s="31"/>
      <c r="P364" s="47"/>
      <c r="Q364" s="31"/>
      <c r="S364" s="32">
        <f t="shared" si="90"/>
        <v>0</v>
      </c>
      <c r="T364" s="10"/>
      <c r="U364" s="10"/>
      <c r="V364" s="10"/>
      <c r="W364" s="12">
        <f t="shared" si="91"/>
        <v>0</v>
      </c>
      <c r="Y364" s="10">
        <v>23</v>
      </c>
      <c r="Z364" s="30"/>
      <c r="AA364" s="31"/>
      <c r="AB364" s="47"/>
      <c r="AE364" s="32">
        <f t="shared" si="97"/>
        <v>0</v>
      </c>
      <c r="AF364" s="10"/>
      <c r="AG364" s="10"/>
      <c r="AH364" s="10"/>
      <c r="AI364" s="12">
        <f t="shared" si="93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88"/>
        <v>0</v>
      </c>
      <c r="H365" s="10"/>
      <c r="I365" s="10"/>
      <c r="J365" s="10"/>
      <c r="K365" s="12">
        <f t="shared" si="89"/>
        <v>0</v>
      </c>
      <c r="M365" s="10">
        <v>24</v>
      </c>
      <c r="N365" s="30"/>
      <c r="O365" s="31"/>
      <c r="P365" s="47"/>
      <c r="Q365" s="31"/>
      <c r="R365" s="31"/>
      <c r="S365" s="32">
        <f t="shared" si="90"/>
        <v>0</v>
      </c>
      <c r="T365" s="10"/>
      <c r="U365" s="10"/>
      <c r="V365" s="10"/>
      <c r="W365" s="12">
        <f t="shared" si="91"/>
        <v>0</v>
      </c>
      <c r="Y365" s="10">
        <v>24</v>
      </c>
      <c r="Z365" s="30"/>
      <c r="AA365" s="31"/>
      <c r="AB365" s="47"/>
      <c r="AC365" s="31"/>
      <c r="AD365" s="31"/>
      <c r="AE365" s="32">
        <f t="shared" si="97"/>
        <v>0</v>
      </c>
      <c r="AF365" s="10"/>
      <c r="AG365" s="10"/>
      <c r="AH365" s="10"/>
      <c r="AI365" s="12">
        <f t="shared" si="93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88"/>
        <v>0</v>
      </c>
      <c r="H366" s="10"/>
      <c r="I366" s="10"/>
      <c r="J366" s="10"/>
      <c r="K366" s="12">
        <f t="shared" si="89"/>
        <v>0</v>
      </c>
      <c r="M366" s="10">
        <v>25</v>
      </c>
      <c r="N366" s="30"/>
      <c r="O366" s="31"/>
      <c r="P366" s="47"/>
      <c r="Q366" s="31"/>
      <c r="R366" s="31"/>
      <c r="S366" s="32">
        <f t="shared" si="90"/>
        <v>0</v>
      </c>
      <c r="T366" s="10"/>
      <c r="U366" s="10"/>
      <c r="V366" s="10"/>
      <c r="W366" s="12">
        <f t="shared" si="91"/>
        <v>0</v>
      </c>
      <c r="Y366" s="10">
        <v>25</v>
      </c>
      <c r="Z366" s="30"/>
      <c r="AA366" s="31"/>
      <c r="AB366" s="47"/>
      <c r="AC366" s="31"/>
      <c r="AD366" s="31"/>
      <c r="AE366" s="32">
        <f t="shared" si="97"/>
        <v>0</v>
      </c>
      <c r="AF366" s="10"/>
      <c r="AG366" s="10"/>
      <c r="AH366" s="10"/>
      <c r="AI366" s="12">
        <f t="shared" si="93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88"/>
        <v>0</v>
      </c>
      <c r="H367" s="10"/>
      <c r="I367" s="10"/>
      <c r="J367" s="10"/>
      <c r="K367" s="12">
        <f t="shared" si="89"/>
        <v>0</v>
      </c>
      <c r="M367" s="10">
        <v>26</v>
      </c>
      <c r="N367" s="30"/>
      <c r="O367" s="31"/>
      <c r="P367" s="47"/>
      <c r="Q367" s="31"/>
      <c r="R367" s="31"/>
      <c r="S367" s="32">
        <f t="shared" si="90"/>
        <v>0</v>
      </c>
      <c r="T367" s="10"/>
      <c r="U367" s="10"/>
      <c r="V367" s="10"/>
      <c r="W367" s="12">
        <f t="shared" si="91"/>
        <v>0</v>
      </c>
      <c r="Y367" s="10">
        <v>26</v>
      </c>
      <c r="Z367" s="30"/>
      <c r="AA367" s="31"/>
      <c r="AB367" s="47"/>
      <c r="AC367" s="31"/>
      <c r="AD367" s="31"/>
      <c r="AE367" s="32">
        <f t="shared" si="97"/>
        <v>0</v>
      </c>
      <c r="AF367" s="10"/>
      <c r="AG367" s="10"/>
      <c r="AH367" s="10"/>
      <c r="AI367" s="12">
        <f t="shared" si="93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88"/>
        <v>0</v>
      </c>
      <c r="H368" s="10"/>
      <c r="I368" s="10"/>
      <c r="J368" s="10"/>
      <c r="K368" s="12">
        <f t="shared" si="89"/>
        <v>0</v>
      </c>
      <c r="M368" s="10">
        <v>27</v>
      </c>
      <c r="N368" s="30"/>
      <c r="O368" s="31"/>
      <c r="P368" s="47"/>
      <c r="Q368" s="31"/>
      <c r="R368" s="31"/>
      <c r="S368" s="32">
        <f t="shared" si="90"/>
        <v>0</v>
      </c>
      <c r="T368" s="10"/>
      <c r="U368" s="10"/>
      <c r="V368" s="10"/>
      <c r="W368" s="12">
        <f t="shared" si="91"/>
        <v>0</v>
      </c>
      <c r="Y368" s="10">
        <v>27</v>
      </c>
      <c r="Z368" s="30"/>
      <c r="AA368" s="31"/>
      <c r="AB368" s="47"/>
      <c r="AC368" s="31"/>
      <c r="AD368" s="31"/>
      <c r="AE368" s="32">
        <f t="shared" si="97"/>
        <v>0</v>
      </c>
      <c r="AF368" s="10"/>
      <c r="AG368" s="10"/>
      <c r="AH368" s="10"/>
      <c r="AI368" s="12">
        <f t="shared" si="93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88"/>
        <v>0</v>
      </c>
      <c r="H369" s="10"/>
      <c r="I369" s="10"/>
      <c r="J369" s="10"/>
      <c r="K369" s="12">
        <f t="shared" si="89"/>
        <v>0</v>
      </c>
      <c r="M369" s="10">
        <v>28</v>
      </c>
      <c r="N369" s="30"/>
      <c r="O369" s="31"/>
      <c r="P369" s="47"/>
      <c r="Q369" s="31"/>
      <c r="R369" s="31"/>
      <c r="S369" s="32">
        <f t="shared" si="90"/>
        <v>0</v>
      </c>
      <c r="T369" s="10"/>
      <c r="U369" s="10"/>
      <c r="V369" s="10"/>
      <c r="W369" s="12">
        <f t="shared" si="91"/>
        <v>0</v>
      </c>
      <c r="Y369" s="10">
        <v>28</v>
      </c>
      <c r="Z369" s="30"/>
      <c r="AA369" s="31"/>
      <c r="AB369" s="47"/>
      <c r="AC369" s="31"/>
      <c r="AD369" s="31"/>
      <c r="AE369" s="32">
        <f t="shared" si="97"/>
        <v>0</v>
      </c>
      <c r="AF369" s="10"/>
      <c r="AG369" s="10"/>
      <c r="AH369" s="10"/>
      <c r="AI369" s="12">
        <f t="shared" si="93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88"/>
        <v>0</v>
      </c>
      <c r="H370" s="10"/>
      <c r="I370" s="10"/>
      <c r="J370" s="10"/>
      <c r="K370" s="12">
        <f t="shared" si="89"/>
        <v>0</v>
      </c>
      <c r="M370" s="10">
        <v>29</v>
      </c>
      <c r="N370" s="30"/>
      <c r="O370" s="31"/>
      <c r="P370" s="47"/>
      <c r="Q370" s="31"/>
      <c r="R370" s="31"/>
      <c r="S370" s="32">
        <f t="shared" si="90"/>
        <v>0</v>
      </c>
      <c r="T370" s="10"/>
      <c r="U370" s="10"/>
      <c r="V370" s="10"/>
      <c r="W370" s="12">
        <f t="shared" si="91"/>
        <v>0</v>
      </c>
      <c r="Y370" s="10">
        <v>29</v>
      </c>
      <c r="Z370" s="30"/>
      <c r="AA370" s="31"/>
      <c r="AB370" s="47"/>
      <c r="AC370" s="31"/>
      <c r="AD370" s="31"/>
      <c r="AE370" s="32">
        <f t="shared" si="97"/>
        <v>0</v>
      </c>
      <c r="AF370" s="10"/>
      <c r="AG370" s="10"/>
      <c r="AH370" s="10"/>
      <c r="AI370" s="12">
        <f t="shared" si="93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88"/>
        <v>0</v>
      </c>
      <c r="H371" s="10"/>
      <c r="I371" s="10"/>
      <c r="J371" s="10"/>
      <c r="K371" s="12">
        <f t="shared" si="89"/>
        <v>0</v>
      </c>
      <c r="M371" s="10">
        <v>30</v>
      </c>
      <c r="N371" s="30"/>
      <c r="O371" s="31"/>
      <c r="P371" s="47"/>
      <c r="Q371" s="31"/>
      <c r="R371" s="31"/>
      <c r="S371" s="32">
        <f t="shared" si="90"/>
        <v>0</v>
      </c>
      <c r="T371" s="10"/>
      <c r="U371" s="10"/>
      <c r="V371" s="10"/>
      <c r="W371" s="12">
        <f t="shared" si="91"/>
        <v>0</v>
      </c>
      <c r="Y371" s="10">
        <v>30</v>
      </c>
      <c r="Z371" s="30"/>
      <c r="AA371" s="31"/>
      <c r="AB371" s="47"/>
      <c r="AC371" s="31"/>
      <c r="AD371" s="31"/>
      <c r="AE371" s="32">
        <f t="shared" si="97"/>
        <v>0</v>
      </c>
      <c r="AF371" s="10"/>
      <c r="AG371" s="10"/>
      <c r="AH371" s="10"/>
      <c r="AI371" s="12">
        <f t="shared" si="93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88"/>
        <v>0</v>
      </c>
      <c r="H372" s="10"/>
      <c r="I372" s="10"/>
      <c r="J372" s="10"/>
      <c r="K372" s="12">
        <f t="shared" si="89"/>
        <v>0</v>
      </c>
      <c r="M372" s="10">
        <v>31</v>
      </c>
      <c r="N372" s="30"/>
      <c r="O372" s="31"/>
      <c r="P372" s="47"/>
      <c r="Q372" s="31"/>
      <c r="R372" s="31"/>
      <c r="S372" s="32">
        <f t="shared" si="90"/>
        <v>0</v>
      </c>
      <c r="T372" s="10"/>
      <c r="U372" s="10"/>
      <c r="V372" s="10"/>
      <c r="W372" s="12">
        <f t="shared" si="91"/>
        <v>0</v>
      </c>
      <c r="Y372" s="10">
        <v>31</v>
      </c>
      <c r="Z372" s="30"/>
      <c r="AA372" s="31"/>
      <c r="AB372" s="47"/>
      <c r="AC372" s="31"/>
      <c r="AD372" s="31"/>
      <c r="AE372" s="32">
        <f t="shared" si="97"/>
        <v>0</v>
      </c>
      <c r="AF372" s="10"/>
      <c r="AG372" s="10"/>
      <c r="AH372" s="10"/>
      <c r="AI372" s="12">
        <f t="shared" si="93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88"/>
        <v>0</v>
      </c>
      <c r="H373" s="10"/>
      <c r="I373" s="10"/>
      <c r="J373" s="10"/>
      <c r="K373" s="12">
        <f t="shared" si="89"/>
        <v>0</v>
      </c>
      <c r="M373" s="10">
        <v>32</v>
      </c>
      <c r="N373" s="30"/>
      <c r="O373" s="31"/>
      <c r="P373" s="47"/>
      <c r="Q373" s="31"/>
      <c r="R373" s="31"/>
      <c r="S373" s="32">
        <f t="shared" si="90"/>
        <v>0</v>
      </c>
      <c r="T373" s="10"/>
      <c r="U373" s="10"/>
      <c r="V373" s="10"/>
      <c r="W373" s="12">
        <f t="shared" si="91"/>
        <v>0</v>
      </c>
      <c r="Y373" s="10">
        <v>32</v>
      </c>
      <c r="Z373" s="30"/>
      <c r="AA373" s="31"/>
      <c r="AB373" s="47"/>
      <c r="AC373" s="31"/>
      <c r="AD373" s="31"/>
      <c r="AE373" s="32">
        <f t="shared" si="97"/>
        <v>0</v>
      </c>
      <c r="AF373" s="10"/>
      <c r="AG373" s="10"/>
      <c r="AH373" s="10"/>
      <c r="AI373" s="12">
        <f t="shared" si="93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88"/>
        <v>0</v>
      </c>
      <c r="H374" s="10"/>
      <c r="I374" s="10"/>
      <c r="J374" s="10"/>
      <c r="K374" s="12">
        <f t="shared" si="89"/>
        <v>0</v>
      </c>
      <c r="M374" s="10">
        <v>33</v>
      </c>
      <c r="N374" s="30"/>
      <c r="O374" s="31"/>
      <c r="P374" s="47"/>
      <c r="Q374" s="31"/>
      <c r="R374" s="31"/>
      <c r="S374" s="32">
        <f t="shared" si="90"/>
        <v>0</v>
      </c>
      <c r="T374" s="10"/>
      <c r="U374" s="10"/>
      <c r="V374" s="10"/>
      <c r="W374" s="12">
        <f t="shared" si="91"/>
        <v>0</v>
      </c>
      <c r="Y374" s="10">
        <v>33</v>
      </c>
      <c r="Z374" s="30"/>
      <c r="AA374" s="31"/>
      <c r="AB374" s="47"/>
      <c r="AC374" s="31"/>
      <c r="AD374" s="31"/>
      <c r="AE374" s="32">
        <f t="shared" si="97"/>
        <v>0</v>
      </c>
      <c r="AF374" s="10"/>
      <c r="AG374" s="10"/>
      <c r="AH374" s="10"/>
      <c r="AI374" s="12">
        <f t="shared" si="93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88"/>
        <v>0</v>
      </c>
      <c r="H375" s="10"/>
      <c r="I375" s="10"/>
      <c r="J375" s="10"/>
      <c r="K375" s="12">
        <f t="shared" si="89"/>
        <v>0</v>
      </c>
      <c r="M375" s="10">
        <v>34</v>
      </c>
      <c r="N375" s="30"/>
      <c r="O375" s="31"/>
      <c r="P375" s="47"/>
      <c r="Q375" s="31"/>
      <c r="R375" s="31"/>
      <c r="S375" s="32">
        <f t="shared" si="90"/>
        <v>0</v>
      </c>
      <c r="T375" s="10"/>
      <c r="U375" s="10"/>
      <c r="V375" s="10"/>
      <c r="W375" s="12">
        <f t="shared" si="91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0" si="98">SUM(AB375:AC375)</f>
        <v>0</v>
      </c>
      <c r="AF375" s="10"/>
      <c r="AG375" s="10"/>
      <c r="AH375" s="10"/>
      <c r="AI375" s="12">
        <f t="shared" si="93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90"/>
        <v>0</v>
      </c>
      <c r="T376" s="10"/>
      <c r="U376" s="10"/>
      <c r="V376" s="10"/>
      <c r="W376" s="12">
        <f t="shared" si="91"/>
        <v>0</v>
      </c>
      <c r="Y376" s="10">
        <v>35</v>
      </c>
      <c r="Z376" s="30"/>
      <c r="AA376" s="31"/>
      <c r="AB376" s="47"/>
      <c r="AC376" s="31"/>
      <c r="AD376" s="31"/>
      <c r="AE376" s="32">
        <f t="shared" si="98"/>
        <v>0</v>
      </c>
      <c r="AF376" s="10"/>
      <c r="AG376" s="10"/>
      <c r="AH376" s="10"/>
      <c r="AI376" s="12">
        <f t="shared" si="93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90"/>
        <v>0</v>
      </c>
      <c r="T377" s="10"/>
      <c r="U377" s="10"/>
      <c r="V377" s="10"/>
      <c r="W377" s="12">
        <f t="shared" si="91"/>
        <v>0</v>
      </c>
      <c r="Y377" s="10">
        <v>36</v>
      </c>
      <c r="Z377" s="30"/>
      <c r="AA377" s="31"/>
      <c r="AB377" s="47"/>
      <c r="AC377" s="31"/>
      <c r="AD377" s="31"/>
      <c r="AE377" s="32">
        <f t="shared" si="98"/>
        <v>0</v>
      </c>
      <c r="AF377" s="10"/>
      <c r="AG377" s="10"/>
      <c r="AH377" s="10"/>
      <c r="AI377" s="12">
        <f t="shared" si="93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90"/>
        <v>0</v>
      </c>
      <c r="T378" s="10"/>
      <c r="U378" s="10"/>
      <c r="V378" s="10"/>
      <c r="W378" s="12">
        <f t="shared" si="91"/>
        <v>0</v>
      </c>
      <c r="Y378" s="10">
        <v>37</v>
      </c>
      <c r="Z378" s="30"/>
      <c r="AA378" s="31"/>
      <c r="AB378" s="47"/>
      <c r="AC378" s="31"/>
      <c r="AD378" s="31"/>
      <c r="AE378" s="32">
        <f t="shared" si="98"/>
        <v>0</v>
      </c>
      <c r="AF378" s="10"/>
      <c r="AG378" s="10"/>
      <c r="AH378" s="10"/>
      <c r="AI378" s="12">
        <f t="shared" si="93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90"/>
        <v>0</v>
      </c>
      <c r="T379" s="10"/>
      <c r="U379" s="10"/>
      <c r="V379" s="10"/>
      <c r="W379" s="12">
        <f t="shared" si="91"/>
        <v>0</v>
      </c>
      <c r="Y379" s="10">
        <v>38</v>
      </c>
      <c r="Z379" s="30"/>
      <c r="AA379" s="31"/>
      <c r="AB379" s="47"/>
      <c r="AC379" s="31"/>
      <c r="AD379" s="31"/>
      <c r="AE379" s="32">
        <f t="shared" si="98"/>
        <v>0</v>
      </c>
      <c r="AF379" s="10"/>
      <c r="AG379" s="10"/>
      <c r="AH379" s="10"/>
      <c r="AI379" s="12">
        <f t="shared" si="93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90"/>
        <v>0</v>
      </c>
      <c r="T380" s="10"/>
      <c r="U380" s="10"/>
      <c r="V380" s="10"/>
      <c r="W380" s="12">
        <f t="shared" si="91"/>
        <v>0</v>
      </c>
      <c r="Y380" s="10">
        <v>39</v>
      </c>
      <c r="Z380" s="30"/>
      <c r="AA380" s="31"/>
      <c r="AB380" s="47"/>
      <c r="AC380" s="31"/>
      <c r="AD380" s="31"/>
      <c r="AE380" s="32">
        <f t="shared" si="98"/>
        <v>0</v>
      </c>
      <c r="AF380" s="10"/>
      <c r="AG380" s="10"/>
      <c r="AH380" s="10"/>
      <c r="AI380" s="12">
        <f t="shared" si="93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91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3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99">SUM(D382:E382)</f>
        <v>0</v>
      </c>
      <c r="H382" s="10"/>
      <c r="I382" s="10"/>
      <c r="J382" s="10"/>
      <c r="K382" s="12">
        <f t="shared" ref="K382" si="100">SUM(G382:J382)</f>
        <v>0</v>
      </c>
      <c r="M382" s="10"/>
      <c r="N382" s="30"/>
      <c r="O382" s="31"/>
      <c r="P382" s="47"/>
      <c r="Q382" s="31"/>
      <c r="R382" s="31"/>
      <c r="S382" s="32">
        <f t="shared" ref="S382" si="101">SUM(P382:Q382)</f>
        <v>0</v>
      </c>
      <c r="T382" s="10"/>
      <c r="U382" s="10"/>
      <c r="V382" s="10"/>
      <c r="W382" s="12">
        <f t="shared" si="91"/>
        <v>0</v>
      </c>
      <c r="Y382" s="10"/>
      <c r="Z382" s="30"/>
      <c r="AA382" s="31"/>
      <c r="AB382" s="47"/>
      <c r="AC382" s="31"/>
      <c r="AD382" s="31"/>
      <c r="AE382" s="32">
        <f t="shared" ref="AE382" si="102">SUM(AB382:AC382)</f>
        <v>0</v>
      </c>
      <c r="AF382" s="10"/>
      <c r="AG382" s="10"/>
      <c r="AH382" s="10"/>
      <c r="AI382" s="12">
        <f t="shared" si="93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91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3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243649.5</v>
      </c>
      <c r="E385" s="38">
        <f t="shared" ref="E385:F385" si="103">SUM(E342:E382)</f>
        <v>0</v>
      </c>
      <c r="F385" s="38">
        <f t="shared" si="103"/>
        <v>0</v>
      </c>
      <c r="G385" s="38">
        <f>SUM(G342:G384)</f>
        <v>243649.5</v>
      </c>
      <c r="H385" s="4"/>
      <c r="I385" s="39">
        <f>SUM(I342:I384)</f>
        <v>5880</v>
      </c>
      <c r="J385" s="39">
        <f>SUM(J342:J384)</f>
        <v>0</v>
      </c>
      <c r="K385" s="40">
        <f>SUM(K342:K384)</f>
        <v>249529.5</v>
      </c>
      <c r="N385" s="57"/>
      <c r="O385" s="57"/>
      <c r="P385" s="38">
        <f>SUM(P342:P384)</f>
        <v>253190</v>
      </c>
      <c r="Q385" s="38">
        <f>SUM(Q342:Q366)</f>
        <v>-2070</v>
      </c>
      <c r="R385" s="38">
        <f>SUM(R342:R366)</f>
        <v>0</v>
      </c>
      <c r="S385" s="38">
        <f>SUM(S342:S384)</f>
        <v>251120</v>
      </c>
      <c r="T385" s="4"/>
      <c r="U385" s="41">
        <f>SUM(U342:U384)</f>
        <v>153</v>
      </c>
      <c r="V385" s="41">
        <f>SUM(V342:V366)</f>
        <v>-2868</v>
      </c>
      <c r="W385" s="42">
        <f>SUM(W342:W384)</f>
        <v>248405</v>
      </c>
      <c r="Z385" s="57"/>
      <c r="AA385" s="57"/>
      <c r="AB385" s="38">
        <f>SUM(AB342:AB384)</f>
        <v>421498</v>
      </c>
      <c r="AC385" s="38">
        <f>SUM(AC342:AC366)</f>
        <v>-3288</v>
      </c>
      <c r="AD385" s="38">
        <f>SUM(AD342:AD366)</f>
        <v>0</v>
      </c>
      <c r="AE385" s="38">
        <f>SUM(AE342:AE384)</f>
        <v>418210</v>
      </c>
      <c r="AF385" s="4"/>
      <c r="AG385" s="41">
        <f>SUM(AG342:AG384)</f>
        <v>5241</v>
      </c>
      <c r="AH385" s="41">
        <f>SUM(AH342:AH366)</f>
        <v>0</v>
      </c>
      <c r="AI385" s="42">
        <f>SUM(AI342:AI384)</f>
        <v>423451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s="62"/>
      <c r="N387" s="87"/>
      <c r="O387" s="87"/>
      <c r="P387" s="87"/>
      <c r="Q387" s="87"/>
      <c r="R387" s="87"/>
      <c r="S387" s="87"/>
      <c r="T387" s="62"/>
      <c r="U387" s="62"/>
      <c r="V387" s="62"/>
      <c r="W387" s="62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s="62"/>
      <c r="N388" s="87"/>
      <c r="O388" s="87"/>
      <c r="P388" s="87"/>
      <c r="Q388" s="87"/>
      <c r="R388" s="87"/>
      <c r="S388" s="87"/>
      <c r="T388" s="62"/>
      <c r="U388" s="62"/>
      <c r="V388" s="62"/>
      <c r="W388" s="62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M389" s="62"/>
      <c r="N389" s="87"/>
      <c r="O389" s="87"/>
      <c r="P389" s="87"/>
      <c r="Q389" s="87"/>
      <c r="R389" s="87"/>
      <c r="S389" s="87"/>
      <c r="T389" s="62"/>
      <c r="U389" s="62"/>
      <c r="V389" s="62"/>
      <c r="W389" s="62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63"/>
      <c r="N390" s="87"/>
      <c r="O390" s="87"/>
      <c r="P390" s="87"/>
      <c r="Q390" s="87"/>
      <c r="R390" s="87"/>
      <c r="S390" s="87"/>
      <c r="T390" s="62"/>
      <c r="U390" s="62"/>
      <c r="V390" s="62"/>
      <c r="W390" s="62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M391" s="62"/>
      <c r="N391" s="87"/>
      <c r="O391" s="87"/>
      <c r="P391" s="87"/>
      <c r="Q391" s="87"/>
      <c r="R391" s="87"/>
      <c r="S391" s="87"/>
      <c r="T391" s="62"/>
      <c r="U391" s="62"/>
      <c r="V391" s="62"/>
      <c r="W391" s="62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44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s="62"/>
      <c r="N392" s="87"/>
      <c r="O392" s="87"/>
      <c r="P392" s="87"/>
      <c r="Q392" s="87"/>
      <c r="R392" s="87"/>
      <c r="S392" s="87"/>
      <c r="T392" s="62"/>
      <c r="U392" s="87"/>
      <c r="V392" s="73"/>
      <c r="W392" s="62"/>
      <c r="Y392" t="s">
        <v>44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60</v>
      </c>
      <c r="B393" s="20"/>
      <c r="C393" s="57"/>
      <c r="D393" s="57"/>
      <c r="E393" s="57"/>
      <c r="G393" s="57"/>
      <c r="I393" s="22" t="s">
        <v>16</v>
      </c>
      <c r="J393" s="23" t="s">
        <v>42</v>
      </c>
      <c r="K393" s="24"/>
      <c r="M393" s="64"/>
      <c r="N393" s="87"/>
      <c r="O393" s="87"/>
      <c r="P393" s="87"/>
      <c r="Q393" s="87"/>
      <c r="R393" s="87"/>
      <c r="S393" s="87"/>
      <c r="T393" s="62"/>
      <c r="U393" s="65"/>
      <c r="V393" s="65"/>
      <c r="W393" s="62"/>
      <c r="Y393" s="21" t="s">
        <v>60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58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M394" s="62"/>
      <c r="N394" s="87"/>
      <c r="O394" s="87"/>
      <c r="P394" s="87"/>
      <c r="Q394" s="87"/>
      <c r="R394" s="87"/>
      <c r="S394" s="87"/>
      <c r="T394" s="62"/>
      <c r="U394" s="62"/>
      <c r="V394" s="62"/>
      <c r="W394" s="62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8" t="s">
        <v>17</v>
      </c>
      <c r="E395" s="118"/>
      <c r="F395" s="97"/>
      <c r="G395" s="27"/>
      <c r="I395" s="119" t="s">
        <v>18</v>
      </c>
      <c r="J395" s="120"/>
      <c r="K395" s="121" t="s">
        <v>19</v>
      </c>
      <c r="M395" s="62"/>
      <c r="N395" s="65"/>
      <c r="O395" s="87"/>
      <c r="P395" s="123"/>
      <c r="Q395" s="123"/>
      <c r="R395" s="87"/>
      <c r="S395" s="87"/>
      <c r="T395" s="62"/>
      <c r="U395" s="123"/>
      <c r="V395" s="123"/>
      <c r="W395" s="124"/>
      <c r="Z395" s="25"/>
      <c r="AA395" s="26"/>
      <c r="AB395" s="118" t="s">
        <v>17</v>
      </c>
      <c r="AC395" s="118"/>
      <c r="AD395" s="97"/>
      <c r="AE395" s="27"/>
      <c r="AG395" s="119" t="s">
        <v>18</v>
      </c>
      <c r="AH395" s="120"/>
      <c r="AI395" s="121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31</v>
      </c>
      <c r="G396" s="78" t="s">
        <v>24</v>
      </c>
      <c r="I396" s="29" t="s">
        <v>25</v>
      </c>
      <c r="J396" s="29" t="s">
        <v>26</v>
      </c>
      <c r="K396" s="122"/>
      <c r="M396" s="62"/>
      <c r="N396" s="87"/>
      <c r="O396" s="87"/>
      <c r="P396" s="79"/>
      <c r="Q396" s="81"/>
      <c r="R396" s="81"/>
      <c r="S396" s="81"/>
      <c r="T396" s="62"/>
      <c r="U396" s="88"/>
      <c r="V396" s="88"/>
      <c r="W396" s="124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31</v>
      </c>
      <c r="AE396" s="78" t="s">
        <v>24</v>
      </c>
      <c r="AG396" s="29" t="s">
        <v>25</v>
      </c>
      <c r="AH396" s="29" t="s">
        <v>26</v>
      </c>
      <c r="AI396" s="12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46301</v>
      </c>
      <c r="C397" s="83">
        <v>10925</v>
      </c>
      <c r="D397" s="32">
        <f>650*50+670*2+700*2+622*5+872</f>
        <v>39222</v>
      </c>
      <c r="E397" s="32"/>
      <c r="F397" s="32"/>
      <c r="G397" s="32">
        <f t="shared" ref="G397:G430" si="104">SUM(D397:E397)</f>
        <v>39222</v>
      </c>
      <c r="H397" s="12"/>
      <c r="I397" s="12">
        <f>4.5*30</f>
        <v>135</v>
      </c>
      <c r="J397" s="12"/>
      <c r="K397" s="12">
        <f t="shared" ref="K397:K430" si="105">SUM(G397:J397)</f>
        <v>39357</v>
      </c>
      <c r="M397" s="62"/>
      <c r="N397" s="66"/>
      <c r="O397" s="87"/>
      <c r="P397" s="60"/>
      <c r="Q397" s="60"/>
      <c r="R397" s="60"/>
      <c r="S397" s="60"/>
      <c r="T397" s="61"/>
      <c r="U397" s="61"/>
      <c r="V397" s="61"/>
      <c r="W397" s="61"/>
      <c r="Y397" s="10">
        <v>1</v>
      </c>
      <c r="Z397" s="30">
        <v>46301</v>
      </c>
      <c r="AA397" s="31">
        <v>10956</v>
      </c>
      <c r="AB397" s="32">
        <f>650*60+622*10+872*5+229*2+650*3</f>
        <v>51988</v>
      </c>
      <c r="AC397" s="32"/>
      <c r="AD397" s="32"/>
      <c r="AE397" s="32">
        <f>SUM(AB397:AC397)</f>
        <v>51988</v>
      </c>
      <c r="AF397" s="12"/>
      <c r="AG397" s="12">
        <f>78*2+120*5</f>
        <v>756</v>
      </c>
      <c r="AH397" s="12">
        <f>-84*22+-42*6+-84*3</f>
        <v>-2352</v>
      </c>
      <c r="AI397" s="12">
        <f>SUM(AE397:AH397)</f>
        <v>50392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46301</v>
      </c>
      <c r="C398" s="83">
        <f>C397+1</f>
        <v>10926</v>
      </c>
      <c r="D398" s="32">
        <f>650*25+622*5</f>
        <v>19360</v>
      </c>
      <c r="E398" s="32"/>
      <c r="F398" s="32"/>
      <c r="G398" s="32">
        <f t="shared" si="104"/>
        <v>19360</v>
      </c>
      <c r="H398" s="12"/>
      <c r="I398" s="12"/>
      <c r="J398" s="12"/>
      <c r="K398" s="12">
        <f t="shared" si="105"/>
        <v>19360</v>
      </c>
      <c r="M398" s="62"/>
      <c r="N398" s="66"/>
      <c r="O398" s="87"/>
      <c r="P398" s="60"/>
      <c r="Q398" s="60"/>
      <c r="R398" s="60"/>
      <c r="S398" s="60"/>
      <c r="T398" s="61"/>
      <c r="U398" s="61"/>
      <c r="V398" s="61"/>
      <c r="W398" s="61"/>
      <c r="Y398" s="10">
        <v>2</v>
      </c>
      <c r="Z398" s="30">
        <v>46301</v>
      </c>
      <c r="AA398" s="31">
        <f>AA397+1</f>
        <v>10957</v>
      </c>
      <c r="AB398" s="32">
        <f>650*30</f>
        <v>19500</v>
      </c>
      <c r="AC398" s="32"/>
      <c r="AD398" s="32"/>
      <c r="AE398" s="32">
        <f t="shared" ref="AE398:AE400" si="106">SUM(AB398:AC398)</f>
        <v>19500</v>
      </c>
      <c r="AF398" s="12"/>
      <c r="AG398" s="12"/>
      <c r="AH398" s="12"/>
      <c r="AI398" s="12">
        <f t="shared" ref="AI398:AI438" si="107">SUM(AE398:AH398)</f>
        <v>19500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46301</v>
      </c>
      <c r="C399" s="83">
        <f t="shared" ref="C399:C401" si="108">C398+1</f>
        <v>10927</v>
      </c>
      <c r="D399" s="33">
        <f>650*216+670*6+622*5+650*4</f>
        <v>150130</v>
      </c>
      <c r="E399" s="33"/>
      <c r="F399" s="33"/>
      <c r="G399" s="33">
        <f t="shared" si="104"/>
        <v>150130</v>
      </c>
      <c r="H399" s="34"/>
      <c r="I399" s="34"/>
      <c r="J399" s="34"/>
      <c r="K399" s="34">
        <f t="shared" si="105"/>
        <v>150130</v>
      </c>
      <c r="M399" s="62"/>
      <c r="N399" s="66"/>
      <c r="O399" s="87"/>
      <c r="P399" s="60"/>
      <c r="Q399" s="60"/>
      <c r="R399" s="60"/>
      <c r="S399" s="60"/>
      <c r="T399" s="61"/>
      <c r="U399" s="61"/>
      <c r="V399" s="61"/>
      <c r="W399" s="61"/>
      <c r="Y399" s="10">
        <v>3</v>
      </c>
      <c r="Z399" s="30">
        <v>46301</v>
      </c>
      <c r="AA399" s="31">
        <f t="shared" ref="AA399:AA403" si="109">AA398+1</f>
        <v>10958</v>
      </c>
      <c r="AB399" s="33">
        <f>650*27+670+622*2</f>
        <v>19464</v>
      </c>
      <c r="AC399" s="33"/>
      <c r="AD399" s="32"/>
      <c r="AE399" s="32">
        <f t="shared" si="106"/>
        <v>19464</v>
      </c>
      <c r="AF399" s="12"/>
      <c r="AG399" s="12">
        <f>4.5*42</f>
        <v>189</v>
      </c>
      <c r="AH399" s="12">
        <f>-78*8</f>
        <v>-624</v>
      </c>
      <c r="AI399" s="12">
        <f t="shared" si="107"/>
        <v>19029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46301</v>
      </c>
      <c r="C400" s="83">
        <f t="shared" si="108"/>
        <v>10928</v>
      </c>
      <c r="D400" s="32">
        <f>650+650+500*2</f>
        <v>2300</v>
      </c>
      <c r="E400" s="32"/>
      <c r="F400" s="32"/>
      <c r="G400" s="32">
        <f t="shared" si="104"/>
        <v>2300</v>
      </c>
      <c r="H400" s="12"/>
      <c r="I400" s="12"/>
      <c r="J400" s="12"/>
      <c r="K400" s="12">
        <f t="shared" si="105"/>
        <v>2300</v>
      </c>
      <c r="M400" s="62"/>
      <c r="N400" s="66"/>
      <c r="O400" s="87"/>
      <c r="P400" s="60"/>
      <c r="Q400" s="60"/>
      <c r="R400" s="60"/>
      <c r="S400" s="60"/>
      <c r="T400" s="61"/>
      <c r="U400" s="61"/>
      <c r="V400" s="61"/>
      <c r="W400" s="61"/>
      <c r="Y400" s="10">
        <v>4</v>
      </c>
      <c r="Z400" s="30">
        <v>46301</v>
      </c>
      <c r="AA400" s="31">
        <f t="shared" si="109"/>
        <v>10959</v>
      </c>
      <c r="AB400" s="32">
        <f>650*26+229</f>
        <v>17129</v>
      </c>
      <c r="AC400" s="32"/>
      <c r="AD400" s="32"/>
      <c r="AE400" s="32">
        <f t="shared" si="106"/>
        <v>17129</v>
      </c>
      <c r="AF400" s="12"/>
      <c r="AH400" s="12"/>
      <c r="AI400" s="12">
        <f t="shared" si="107"/>
        <v>17129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46301</v>
      </c>
      <c r="C401" s="83">
        <f t="shared" si="108"/>
        <v>10929</v>
      </c>
      <c r="D401" s="32">
        <f>650*21</f>
        <v>13650</v>
      </c>
      <c r="E401" s="32"/>
      <c r="F401" s="32"/>
      <c r="G401" s="32">
        <f t="shared" si="104"/>
        <v>13650</v>
      </c>
      <c r="H401" s="12"/>
      <c r="I401" s="12"/>
      <c r="J401" s="12"/>
      <c r="K401" s="12">
        <f t="shared" si="105"/>
        <v>13650</v>
      </c>
      <c r="M401" s="62"/>
      <c r="N401" s="66"/>
      <c r="O401" s="65"/>
      <c r="P401" s="60"/>
      <c r="Q401" s="60"/>
      <c r="R401" s="60"/>
      <c r="S401" s="60"/>
      <c r="T401" s="61"/>
      <c r="U401" s="61"/>
      <c r="V401" s="61"/>
      <c r="W401" s="61"/>
      <c r="Y401" s="10">
        <v>5</v>
      </c>
      <c r="Z401" s="30">
        <v>46301</v>
      </c>
      <c r="AA401" s="31">
        <f t="shared" si="109"/>
        <v>10960</v>
      </c>
      <c r="AB401" s="32">
        <f>650*216+229*6</f>
        <v>141774</v>
      </c>
      <c r="AC401" s="32">
        <f>-216*6</f>
        <v>-1296</v>
      </c>
      <c r="AD401" s="32"/>
      <c r="AE401" s="32">
        <f t="shared" ref="AE401:AE429" si="110">SUM(AB401:AC401)</f>
        <v>140478</v>
      </c>
      <c r="AF401" s="12"/>
      <c r="AG401" s="12">
        <f>78*4</f>
        <v>312</v>
      </c>
      <c r="AH401" s="12"/>
      <c r="AI401" s="12">
        <f t="shared" si="107"/>
        <v>140790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/>
      <c r="C402" s="11" t="s">
        <v>27</v>
      </c>
      <c r="D402" s="32"/>
      <c r="E402" s="32"/>
      <c r="F402" s="32"/>
      <c r="G402" s="32">
        <f t="shared" si="104"/>
        <v>0</v>
      </c>
      <c r="H402" s="12"/>
      <c r="I402" s="12"/>
      <c r="J402" s="12"/>
      <c r="K402" s="12">
        <f t="shared" si="105"/>
        <v>0</v>
      </c>
      <c r="M402" s="62"/>
      <c r="N402" s="66"/>
      <c r="O402" s="87"/>
      <c r="P402" s="60"/>
      <c r="Q402" s="60"/>
      <c r="R402" s="60"/>
      <c r="S402" s="60"/>
      <c r="T402" s="61"/>
      <c r="U402" s="61"/>
      <c r="V402" s="62"/>
      <c r="W402" s="61"/>
      <c r="Y402" s="10">
        <v>6</v>
      </c>
      <c r="Z402" s="30">
        <v>46301</v>
      </c>
      <c r="AA402" s="31">
        <f t="shared" si="109"/>
        <v>10961</v>
      </c>
      <c r="AB402" s="32">
        <f>650*6+622*2+9.5*8</f>
        <v>5220</v>
      </c>
      <c r="AC402" s="32"/>
      <c r="AD402" s="32"/>
      <c r="AE402" s="32">
        <f t="shared" si="110"/>
        <v>5220</v>
      </c>
      <c r="AF402" s="12"/>
      <c r="AG402" s="12"/>
      <c r="AH402" s="10"/>
      <c r="AI402" s="12">
        <f t="shared" si="107"/>
        <v>5220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/>
      <c r="C403" s="83"/>
      <c r="D403" s="32"/>
      <c r="E403" s="32"/>
      <c r="F403" s="32"/>
      <c r="G403" s="32">
        <f t="shared" si="104"/>
        <v>0</v>
      </c>
      <c r="H403" s="12"/>
      <c r="I403" s="12"/>
      <c r="J403" s="12"/>
      <c r="K403" s="12">
        <f t="shared" si="105"/>
        <v>0</v>
      </c>
      <c r="M403" s="62"/>
      <c r="N403" s="66"/>
      <c r="O403" s="87"/>
      <c r="P403" s="60"/>
      <c r="Q403" s="60"/>
      <c r="R403" s="60"/>
      <c r="S403" s="60"/>
      <c r="T403" s="61"/>
      <c r="U403" s="61"/>
      <c r="V403" s="61"/>
      <c r="W403" s="61"/>
      <c r="Y403" s="10">
        <v>7</v>
      </c>
      <c r="Z403" s="30">
        <v>46301</v>
      </c>
      <c r="AA403" s="31">
        <f t="shared" si="109"/>
        <v>10962</v>
      </c>
      <c r="AB403" s="32">
        <f>650*3+9.5*3</f>
        <v>1978.5</v>
      </c>
      <c r="AC403" s="32"/>
      <c r="AD403" s="32"/>
      <c r="AE403" s="32">
        <f t="shared" si="110"/>
        <v>1978.5</v>
      </c>
      <c r="AF403" s="12"/>
      <c r="AG403" s="58"/>
      <c r="AH403" s="12"/>
      <c r="AI403" s="12">
        <f t="shared" si="107"/>
        <v>1978.5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/>
      <c r="C404" s="83"/>
      <c r="D404" s="32"/>
      <c r="E404" s="32"/>
      <c r="F404" s="32"/>
      <c r="G404" s="32">
        <f t="shared" si="104"/>
        <v>0</v>
      </c>
      <c r="H404" s="12"/>
      <c r="I404" s="12"/>
      <c r="J404" s="12"/>
      <c r="K404" s="12">
        <f t="shared" si="105"/>
        <v>0</v>
      </c>
      <c r="M404" s="62"/>
      <c r="N404" s="66"/>
      <c r="O404" s="87"/>
      <c r="P404" s="60"/>
      <c r="Q404" s="60"/>
      <c r="R404" s="60"/>
      <c r="S404" s="60"/>
      <c r="T404" s="61"/>
      <c r="U404" s="61"/>
      <c r="V404" s="61"/>
      <c r="W404" s="61"/>
      <c r="Y404" s="10">
        <v>8</v>
      </c>
      <c r="Z404" s="30"/>
      <c r="AA404" s="11" t="s">
        <v>27</v>
      </c>
      <c r="AB404" s="32"/>
      <c r="AC404" s="32"/>
      <c r="AE404" s="32">
        <f t="shared" si="110"/>
        <v>0</v>
      </c>
      <c r="AF404" s="12"/>
      <c r="AG404" s="12"/>
      <c r="AH404" s="12"/>
      <c r="AI404" s="12">
        <f t="shared" si="107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/>
      <c r="D405" s="32"/>
      <c r="E405" s="32"/>
      <c r="F405" s="32"/>
      <c r="G405" s="32">
        <f t="shared" si="104"/>
        <v>0</v>
      </c>
      <c r="H405" s="12"/>
      <c r="I405" s="12"/>
      <c r="J405" s="12"/>
      <c r="K405" s="12">
        <f t="shared" si="105"/>
        <v>0</v>
      </c>
      <c r="M405" s="62"/>
      <c r="N405" s="66"/>
      <c r="O405" s="87"/>
      <c r="P405" s="60"/>
      <c r="Q405" s="60"/>
      <c r="R405" s="60"/>
      <c r="S405" s="60"/>
      <c r="T405" s="61"/>
      <c r="U405" s="61"/>
      <c r="V405" s="61"/>
      <c r="W405" s="61"/>
      <c r="Y405" s="10">
        <v>9</v>
      </c>
      <c r="Z405" s="30"/>
      <c r="AC405" s="32"/>
      <c r="AD405" s="32"/>
      <c r="AE405" s="32">
        <f t="shared" si="110"/>
        <v>0</v>
      </c>
      <c r="AF405" s="12"/>
      <c r="AH405" s="12"/>
      <c r="AI405" s="12">
        <f t="shared" si="107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83"/>
      <c r="D406" s="32"/>
      <c r="E406" s="32"/>
      <c r="F406" s="32"/>
      <c r="G406" s="32">
        <f t="shared" si="104"/>
        <v>0</v>
      </c>
      <c r="H406" s="12"/>
      <c r="I406" s="12"/>
      <c r="J406" s="12"/>
      <c r="K406" s="12">
        <f t="shared" si="105"/>
        <v>0</v>
      </c>
      <c r="M406" s="62"/>
      <c r="N406" s="66"/>
      <c r="O406" s="87"/>
      <c r="P406" s="60"/>
      <c r="Q406" s="60"/>
      <c r="R406" s="60"/>
      <c r="S406" s="60"/>
      <c r="T406" s="61"/>
      <c r="U406" s="61"/>
      <c r="V406" s="61"/>
      <c r="W406" s="61"/>
      <c r="Y406" s="10">
        <v>10</v>
      </c>
      <c r="Z406" s="30"/>
      <c r="AA406" s="31"/>
      <c r="AB406" s="32"/>
      <c r="AC406" s="32"/>
      <c r="AD406" s="32"/>
      <c r="AE406" s="32">
        <f t="shared" si="110"/>
        <v>0</v>
      </c>
      <c r="AF406" s="12"/>
      <c r="AG406" s="12"/>
      <c r="AH406" s="12"/>
      <c r="AI406" s="12">
        <f t="shared" si="107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83"/>
      <c r="D407" s="32"/>
      <c r="E407" s="32"/>
      <c r="F407" s="32"/>
      <c r="G407" s="32">
        <f t="shared" si="104"/>
        <v>0</v>
      </c>
      <c r="H407" s="12"/>
      <c r="I407" s="12"/>
      <c r="J407" s="12"/>
      <c r="K407" s="12">
        <f t="shared" si="105"/>
        <v>0</v>
      </c>
      <c r="M407" s="62"/>
      <c r="N407" s="66"/>
      <c r="O407" s="62"/>
      <c r="P407" s="60"/>
      <c r="Q407" s="60"/>
      <c r="R407" s="60"/>
      <c r="S407" s="60"/>
      <c r="T407" s="61"/>
      <c r="U407" s="61"/>
      <c r="V407" s="61"/>
      <c r="W407" s="61"/>
      <c r="Y407" s="10">
        <v>11</v>
      </c>
      <c r="Z407" s="30"/>
      <c r="AA407" s="31"/>
      <c r="AB407" s="32"/>
      <c r="AC407" s="32"/>
      <c r="AD407" s="32"/>
      <c r="AE407" s="32">
        <f t="shared" si="110"/>
        <v>0</v>
      </c>
      <c r="AF407" s="12"/>
      <c r="AG407" s="12"/>
      <c r="AH407" s="12"/>
      <c r="AI407" s="12">
        <f t="shared" si="107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04"/>
        <v>0</v>
      </c>
      <c r="H408" s="12"/>
      <c r="I408" s="12"/>
      <c r="J408" s="10"/>
      <c r="K408" s="12">
        <f t="shared" si="105"/>
        <v>0</v>
      </c>
      <c r="M408" s="62"/>
      <c r="N408" s="66"/>
      <c r="O408" s="87"/>
      <c r="P408" s="60"/>
      <c r="Q408" s="60"/>
      <c r="R408" s="60"/>
      <c r="S408" s="60"/>
      <c r="T408" s="61"/>
      <c r="U408" s="61"/>
      <c r="V408" s="61"/>
      <c r="W408" s="61"/>
      <c r="Y408" s="10">
        <v>12</v>
      </c>
      <c r="Z408" s="30"/>
      <c r="AA408" s="31"/>
      <c r="AB408" s="32"/>
      <c r="AC408" s="32"/>
      <c r="AD408" s="32"/>
      <c r="AE408" s="32">
        <f t="shared" si="110"/>
        <v>0</v>
      </c>
      <c r="AF408" s="12"/>
      <c r="AG408" s="12"/>
      <c r="AH408" s="12"/>
      <c r="AI408" s="12">
        <f t="shared" si="107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D409" s="32"/>
      <c r="E409" s="32"/>
      <c r="F409" s="32"/>
      <c r="G409" s="32">
        <f t="shared" si="104"/>
        <v>0</v>
      </c>
      <c r="H409" s="12"/>
      <c r="I409" s="12"/>
      <c r="J409" s="12"/>
      <c r="K409" s="12">
        <f t="shared" si="105"/>
        <v>0</v>
      </c>
      <c r="M409" s="62"/>
      <c r="N409" s="66"/>
      <c r="O409" s="87"/>
      <c r="P409" s="60"/>
      <c r="Q409" s="60"/>
      <c r="R409" s="60"/>
      <c r="S409" s="60"/>
      <c r="T409" s="61"/>
      <c r="U409" s="61"/>
      <c r="V409" s="61"/>
      <c r="W409" s="61"/>
      <c r="Y409" s="10">
        <v>13</v>
      </c>
      <c r="Z409" s="30"/>
      <c r="AA409" s="31"/>
      <c r="AB409" s="32"/>
      <c r="AC409" s="32"/>
      <c r="AD409" s="32"/>
      <c r="AE409" s="32">
        <f t="shared" si="110"/>
        <v>0</v>
      </c>
      <c r="AF409" s="12"/>
      <c r="AG409" s="12"/>
      <c r="AH409" s="12"/>
      <c r="AI409" s="12">
        <f t="shared" si="107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04"/>
        <v>0</v>
      </c>
      <c r="H410" s="12"/>
      <c r="I410" s="12"/>
      <c r="J410" s="12"/>
      <c r="K410" s="12">
        <f t="shared" si="105"/>
        <v>0</v>
      </c>
      <c r="M410" s="62"/>
      <c r="N410" s="66"/>
      <c r="O410" s="87"/>
      <c r="P410" s="60"/>
      <c r="Q410" s="60"/>
      <c r="R410" s="60"/>
      <c r="S410" s="60"/>
      <c r="T410" s="61"/>
      <c r="U410" s="61"/>
      <c r="V410" s="61"/>
      <c r="W410" s="61"/>
      <c r="Y410" s="10">
        <v>14</v>
      </c>
      <c r="Z410" s="30"/>
      <c r="AA410" s="31"/>
      <c r="AB410" s="32"/>
      <c r="AC410" s="32"/>
      <c r="AD410" s="32"/>
      <c r="AE410" s="32">
        <f t="shared" si="110"/>
        <v>0</v>
      </c>
      <c r="AF410" s="12"/>
      <c r="AG410" s="12"/>
      <c r="AH410" s="12"/>
      <c r="AI410" s="12">
        <f t="shared" si="107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04"/>
        <v>0</v>
      </c>
      <c r="H411" s="12"/>
      <c r="I411" s="12"/>
      <c r="J411" s="12"/>
      <c r="K411" s="12">
        <f t="shared" si="105"/>
        <v>0</v>
      </c>
      <c r="M411" s="62"/>
      <c r="N411" s="66"/>
      <c r="O411" s="87"/>
      <c r="P411" s="60"/>
      <c r="Q411" s="60"/>
      <c r="R411" s="60"/>
      <c r="S411" s="60"/>
      <c r="T411" s="61"/>
      <c r="U411" s="61"/>
      <c r="V411" s="61"/>
      <c r="W411" s="61"/>
      <c r="Y411" s="10">
        <v>15</v>
      </c>
      <c r="Z411" s="30"/>
      <c r="AA411" s="31"/>
      <c r="AB411" s="32"/>
      <c r="AC411" s="32"/>
      <c r="AD411" s="32"/>
      <c r="AE411" s="32">
        <f t="shared" si="110"/>
        <v>0</v>
      </c>
      <c r="AF411" s="12"/>
      <c r="AG411" s="12"/>
      <c r="AH411" s="12"/>
      <c r="AI411" s="12">
        <f t="shared" si="107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11"/>
      <c r="D412" s="32"/>
      <c r="E412" s="32"/>
      <c r="F412" s="32"/>
      <c r="G412" s="32">
        <f t="shared" si="104"/>
        <v>0</v>
      </c>
      <c r="H412" s="12"/>
      <c r="I412" s="12"/>
      <c r="J412" s="12"/>
      <c r="K412" s="12">
        <f t="shared" si="105"/>
        <v>0</v>
      </c>
      <c r="M412" s="62"/>
      <c r="N412" s="66"/>
      <c r="O412" s="87"/>
      <c r="P412" s="60"/>
      <c r="Q412" s="60"/>
      <c r="R412" s="60"/>
      <c r="S412" s="60"/>
      <c r="T412" s="61"/>
      <c r="U412" s="61"/>
      <c r="V412" s="61"/>
      <c r="W412" s="61"/>
      <c r="Y412" s="10">
        <v>16</v>
      </c>
      <c r="Z412" s="30"/>
      <c r="AA412" s="11"/>
      <c r="AB412" s="32"/>
      <c r="AC412" s="32"/>
      <c r="AD412" s="32"/>
      <c r="AE412" s="32">
        <f t="shared" si="110"/>
        <v>0</v>
      </c>
      <c r="AF412" s="12"/>
      <c r="AG412" s="12"/>
      <c r="AH412" s="12"/>
      <c r="AI412" s="12">
        <f t="shared" si="107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04"/>
        <v>0</v>
      </c>
      <c r="H413" s="12"/>
      <c r="I413" s="12"/>
      <c r="J413" s="12"/>
      <c r="K413" s="12">
        <f t="shared" si="105"/>
        <v>0</v>
      </c>
      <c r="M413" s="62"/>
      <c r="N413" s="66"/>
      <c r="O413" s="87"/>
      <c r="P413" s="60"/>
      <c r="Q413" s="60"/>
      <c r="R413" s="60"/>
      <c r="S413" s="60"/>
      <c r="T413" s="61"/>
      <c r="U413" s="61"/>
      <c r="V413" s="61"/>
      <c r="W413" s="61"/>
      <c r="Y413" s="10">
        <v>17</v>
      </c>
      <c r="Z413" s="30"/>
      <c r="AA413" s="31"/>
      <c r="AB413" s="35"/>
      <c r="AC413" s="32"/>
      <c r="AD413" s="32"/>
      <c r="AE413" s="32">
        <f t="shared" si="110"/>
        <v>0</v>
      </c>
      <c r="AF413" s="12"/>
      <c r="AG413" s="12"/>
      <c r="AH413" s="12"/>
      <c r="AI413" s="12">
        <f t="shared" si="107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04"/>
        <v>0</v>
      </c>
      <c r="H414" s="12"/>
      <c r="I414" s="12"/>
      <c r="J414" s="12"/>
      <c r="K414" s="12">
        <f t="shared" si="105"/>
        <v>0</v>
      </c>
      <c r="M414" s="62"/>
      <c r="N414" s="66"/>
      <c r="O414" s="65"/>
      <c r="P414" s="60"/>
      <c r="Q414" s="60"/>
      <c r="R414" s="60"/>
      <c r="S414" s="60"/>
      <c r="T414" s="61"/>
      <c r="U414" s="61"/>
      <c r="V414" s="61"/>
      <c r="W414" s="61"/>
      <c r="Y414" s="10">
        <v>18</v>
      </c>
      <c r="Z414" s="30"/>
      <c r="AA414" s="31"/>
      <c r="AB414" s="32"/>
      <c r="AC414" s="32"/>
      <c r="AD414" s="32"/>
      <c r="AE414" s="32">
        <f t="shared" si="110"/>
        <v>0</v>
      </c>
      <c r="AF414" s="12"/>
      <c r="AG414" s="12"/>
      <c r="AH414" s="12"/>
      <c r="AI414" s="12">
        <f t="shared" si="107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04"/>
        <v>0</v>
      </c>
      <c r="H415" s="12"/>
      <c r="I415" s="12"/>
      <c r="J415" s="12"/>
      <c r="K415" s="12">
        <f t="shared" si="105"/>
        <v>0</v>
      </c>
      <c r="M415" s="62"/>
      <c r="N415" s="66"/>
      <c r="O415" s="87"/>
      <c r="P415" s="60"/>
      <c r="Q415" s="60"/>
      <c r="R415" s="60"/>
      <c r="S415" s="60"/>
      <c r="T415" s="61"/>
      <c r="U415" s="61"/>
      <c r="V415" s="61"/>
      <c r="W415" s="61"/>
      <c r="Y415" s="10">
        <v>19</v>
      </c>
      <c r="Z415" s="30"/>
      <c r="AA415" s="31"/>
      <c r="AB415" s="32"/>
      <c r="AC415" s="32"/>
      <c r="AD415" s="32"/>
      <c r="AE415" s="32">
        <f t="shared" si="110"/>
        <v>0</v>
      </c>
      <c r="AF415" s="12"/>
      <c r="AG415" s="12"/>
      <c r="AH415" s="12"/>
      <c r="AI415" s="12">
        <f t="shared" si="107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04"/>
        <v>0</v>
      </c>
      <c r="H416" s="12"/>
      <c r="I416" s="12"/>
      <c r="J416" s="12"/>
      <c r="K416" s="12">
        <f t="shared" si="105"/>
        <v>0</v>
      </c>
      <c r="M416" s="62"/>
      <c r="N416" s="66"/>
      <c r="O416" s="62"/>
      <c r="P416" s="60"/>
      <c r="Q416" s="60"/>
      <c r="R416" s="60"/>
      <c r="S416" s="60"/>
      <c r="T416" s="61"/>
      <c r="U416" s="61"/>
      <c r="V416" s="61"/>
      <c r="W416" s="61"/>
      <c r="Y416" s="10">
        <v>20</v>
      </c>
      <c r="Z416" s="30"/>
      <c r="AB416" s="32"/>
      <c r="AC416" s="32"/>
      <c r="AD416" s="32"/>
      <c r="AE416" s="32">
        <f t="shared" si="110"/>
        <v>0</v>
      </c>
      <c r="AF416" s="12"/>
      <c r="AG416" s="12"/>
      <c r="AH416" s="12"/>
      <c r="AI416" s="12">
        <f t="shared" si="107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3"/>
      <c r="D417" s="32"/>
      <c r="E417" s="32"/>
      <c r="F417" s="32"/>
      <c r="G417" s="32">
        <f t="shared" si="104"/>
        <v>0</v>
      </c>
      <c r="H417" s="10"/>
      <c r="I417" s="10"/>
      <c r="J417" s="10"/>
      <c r="K417" s="12">
        <f t="shared" si="105"/>
        <v>0</v>
      </c>
      <c r="M417" s="62"/>
      <c r="N417" s="66"/>
      <c r="O417" s="87"/>
      <c r="P417" s="67"/>
      <c r="Q417" s="87"/>
      <c r="R417" s="87"/>
      <c r="S417" s="60"/>
      <c r="T417" s="62"/>
      <c r="U417" s="62"/>
      <c r="V417" s="62"/>
      <c r="W417" s="61"/>
      <c r="Y417" s="10">
        <v>21</v>
      </c>
      <c r="Z417" s="30"/>
      <c r="AA417" s="31"/>
      <c r="AB417" s="46"/>
      <c r="AC417" s="31"/>
      <c r="AD417" s="31"/>
      <c r="AE417" s="32">
        <f t="shared" si="110"/>
        <v>0</v>
      </c>
      <c r="AF417" s="10"/>
      <c r="AG417" s="10"/>
      <c r="AH417" s="10"/>
      <c r="AI417" s="12">
        <f t="shared" si="107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04"/>
        <v>0</v>
      </c>
      <c r="H418" s="10"/>
      <c r="I418" s="10"/>
      <c r="J418" s="10"/>
      <c r="K418" s="12">
        <f t="shared" si="105"/>
        <v>0</v>
      </c>
      <c r="M418" s="62"/>
      <c r="N418" s="66"/>
      <c r="O418" s="87"/>
      <c r="P418" s="68"/>
      <c r="Q418" s="87"/>
      <c r="R418" s="87"/>
      <c r="S418" s="60"/>
      <c r="T418" s="62"/>
      <c r="U418" s="62"/>
      <c r="V418" s="62"/>
      <c r="W418" s="61"/>
      <c r="Y418" s="10">
        <v>22</v>
      </c>
      <c r="Z418" s="30"/>
      <c r="AA418" s="31"/>
      <c r="AB418" s="45"/>
      <c r="AC418" s="31"/>
      <c r="AD418" s="31"/>
      <c r="AE418" s="32">
        <f t="shared" si="110"/>
        <v>0</v>
      </c>
      <c r="AF418" s="10"/>
      <c r="AG418" s="10"/>
      <c r="AH418" s="10"/>
      <c r="AI418" s="12">
        <f t="shared" si="107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04"/>
        <v>0</v>
      </c>
      <c r="H419" s="10"/>
      <c r="I419" s="10"/>
      <c r="J419" s="12"/>
      <c r="K419" s="12">
        <f t="shared" si="105"/>
        <v>0</v>
      </c>
      <c r="M419" s="62"/>
      <c r="N419" s="66"/>
      <c r="O419" s="87"/>
      <c r="P419" s="69"/>
      <c r="Q419" s="62"/>
      <c r="R419" s="62"/>
      <c r="S419" s="60"/>
      <c r="T419" s="62"/>
      <c r="U419" s="62"/>
      <c r="V419" s="62"/>
      <c r="W419" s="61"/>
      <c r="Y419" s="10">
        <v>23</v>
      </c>
      <c r="Z419" s="30"/>
      <c r="AA419" s="31"/>
      <c r="AB419" s="47"/>
      <c r="AE419" s="32">
        <f t="shared" si="110"/>
        <v>0</v>
      </c>
      <c r="AF419" s="10"/>
      <c r="AG419" s="10"/>
      <c r="AH419" s="10"/>
      <c r="AI419" s="12">
        <f t="shared" si="107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04"/>
        <v>0</v>
      </c>
      <c r="H420" s="10"/>
      <c r="I420" s="10"/>
      <c r="J420" s="10"/>
      <c r="K420" s="12">
        <f t="shared" si="105"/>
        <v>0</v>
      </c>
      <c r="M420" s="62"/>
      <c r="N420" s="66"/>
      <c r="O420" s="87"/>
      <c r="P420" s="69"/>
      <c r="Q420" s="87"/>
      <c r="R420" s="87"/>
      <c r="S420" s="60"/>
      <c r="T420" s="62"/>
      <c r="U420" s="62"/>
      <c r="V420" s="62"/>
      <c r="W420" s="61"/>
      <c r="Y420" s="10">
        <v>24</v>
      </c>
      <c r="Z420" s="30"/>
      <c r="AA420" s="31"/>
      <c r="AB420" s="47"/>
      <c r="AC420" s="31"/>
      <c r="AD420" s="31"/>
      <c r="AE420" s="32">
        <f t="shared" si="110"/>
        <v>0</v>
      </c>
      <c r="AF420" s="10"/>
      <c r="AG420" s="10"/>
      <c r="AH420" s="10"/>
      <c r="AI420" s="12">
        <f t="shared" si="107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04"/>
        <v>0</v>
      </c>
      <c r="H421" s="10"/>
      <c r="I421" s="10"/>
      <c r="J421" s="10"/>
      <c r="K421" s="12">
        <f t="shared" si="105"/>
        <v>0</v>
      </c>
      <c r="M421" s="62"/>
      <c r="N421" s="66"/>
      <c r="O421" s="87"/>
      <c r="P421" s="69"/>
      <c r="Q421" s="87"/>
      <c r="R421" s="87"/>
      <c r="S421" s="60"/>
      <c r="T421" s="62"/>
      <c r="U421" s="62"/>
      <c r="V421" s="62"/>
      <c r="W421" s="61"/>
      <c r="Y421" s="10">
        <v>25</v>
      </c>
      <c r="Z421" s="30"/>
      <c r="AA421" s="31"/>
      <c r="AB421" s="47"/>
      <c r="AC421" s="31"/>
      <c r="AD421" s="31"/>
      <c r="AE421" s="32">
        <f t="shared" si="110"/>
        <v>0</v>
      </c>
      <c r="AF421" s="10"/>
      <c r="AG421" s="10"/>
      <c r="AH421" s="10"/>
      <c r="AI421" s="12">
        <f t="shared" si="107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04"/>
        <v>0</v>
      </c>
      <c r="H422" s="10"/>
      <c r="I422" s="10"/>
      <c r="J422" s="10"/>
      <c r="K422" s="12">
        <f t="shared" si="105"/>
        <v>0</v>
      </c>
      <c r="M422" s="62"/>
      <c r="N422" s="66"/>
      <c r="O422" s="87"/>
      <c r="P422" s="69"/>
      <c r="Q422" s="87"/>
      <c r="R422" s="87"/>
      <c r="S422" s="60"/>
      <c r="T422" s="62"/>
      <c r="U422" s="62"/>
      <c r="V422" s="62"/>
      <c r="W422" s="61"/>
      <c r="Y422" s="10">
        <v>26</v>
      </c>
      <c r="Z422" s="30"/>
      <c r="AA422" s="31"/>
      <c r="AB422" s="47"/>
      <c r="AC422" s="31"/>
      <c r="AD422" s="31"/>
      <c r="AE422" s="32">
        <f t="shared" si="110"/>
        <v>0</v>
      </c>
      <c r="AF422" s="10"/>
      <c r="AG422" s="10"/>
      <c r="AH422" s="10"/>
      <c r="AI422" s="12">
        <f t="shared" si="107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04"/>
        <v>0</v>
      </c>
      <c r="H423" s="10"/>
      <c r="I423" s="10"/>
      <c r="J423" s="10"/>
      <c r="K423" s="12">
        <f t="shared" si="105"/>
        <v>0</v>
      </c>
      <c r="M423" s="62"/>
      <c r="N423" s="66"/>
      <c r="O423" s="87"/>
      <c r="P423" s="69"/>
      <c r="Q423" s="87"/>
      <c r="R423" s="87"/>
      <c r="S423" s="60"/>
      <c r="T423" s="62"/>
      <c r="U423" s="62"/>
      <c r="V423" s="62"/>
      <c r="W423" s="61"/>
      <c r="Y423" s="10">
        <v>27</v>
      </c>
      <c r="Z423" s="30"/>
      <c r="AA423" s="31"/>
      <c r="AB423" s="47"/>
      <c r="AC423" s="31"/>
      <c r="AD423" s="31"/>
      <c r="AE423" s="32">
        <f t="shared" si="110"/>
        <v>0</v>
      </c>
      <c r="AF423" s="10"/>
      <c r="AG423" s="10"/>
      <c r="AH423" s="10"/>
      <c r="AI423" s="12">
        <f t="shared" si="107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04"/>
        <v>0</v>
      </c>
      <c r="H424" s="10"/>
      <c r="I424" s="10"/>
      <c r="J424" s="10"/>
      <c r="K424" s="12">
        <f t="shared" si="105"/>
        <v>0</v>
      </c>
      <c r="M424" s="62"/>
      <c r="N424" s="66"/>
      <c r="O424" s="87"/>
      <c r="P424" s="69"/>
      <c r="Q424" s="87"/>
      <c r="R424" s="87"/>
      <c r="S424" s="60"/>
      <c r="T424" s="62"/>
      <c r="U424" s="62"/>
      <c r="V424" s="62"/>
      <c r="W424" s="61"/>
      <c r="Y424" s="10">
        <v>28</v>
      </c>
      <c r="Z424" s="30"/>
      <c r="AA424" s="31"/>
      <c r="AB424" s="47"/>
      <c r="AC424" s="31"/>
      <c r="AD424" s="31"/>
      <c r="AE424" s="32">
        <f t="shared" si="110"/>
        <v>0</v>
      </c>
      <c r="AF424" s="10"/>
      <c r="AG424" s="10"/>
      <c r="AH424" s="10"/>
      <c r="AI424" s="12">
        <f t="shared" si="107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04"/>
        <v>0</v>
      </c>
      <c r="H425" s="10"/>
      <c r="I425" s="10"/>
      <c r="J425" s="10"/>
      <c r="K425" s="12">
        <f t="shared" si="105"/>
        <v>0</v>
      </c>
      <c r="M425" s="62"/>
      <c r="N425" s="66"/>
      <c r="O425" s="87"/>
      <c r="P425" s="69"/>
      <c r="Q425" s="87"/>
      <c r="R425" s="87"/>
      <c r="S425" s="60"/>
      <c r="T425" s="62"/>
      <c r="U425" s="62"/>
      <c r="V425" s="62"/>
      <c r="W425" s="61"/>
      <c r="Y425" s="10">
        <v>29</v>
      </c>
      <c r="Z425" s="30"/>
      <c r="AA425" s="31"/>
      <c r="AB425" s="47"/>
      <c r="AC425" s="31"/>
      <c r="AD425" s="31"/>
      <c r="AE425" s="32">
        <f t="shared" si="110"/>
        <v>0</v>
      </c>
      <c r="AF425" s="10"/>
      <c r="AG425" s="10"/>
      <c r="AH425" s="10"/>
      <c r="AI425" s="12">
        <f t="shared" si="107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04"/>
        <v>0</v>
      </c>
      <c r="H426" s="10"/>
      <c r="I426" s="10"/>
      <c r="J426" s="10"/>
      <c r="K426" s="12">
        <f t="shared" si="105"/>
        <v>0</v>
      </c>
      <c r="M426" s="62"/>
      <c r="N426" s="66"/>
      <c r="O426" s="87"/>
      <c r="P426" s="69"/>
      <c r="Q426" s="87"/>
      <c r="R426" s="87"/>
      <c r="S426" s="60"/>
      <c r="T426" s="62"/>
      <c r="U426" s="62"/>
      <c r="V426" s="62"/>
      <c r="W426" s="61"/>
      <c r="Y426" s="10">
        <v>30</v>
      </c>
      <c r="Z426" s="30"/>
      <c r="AA426" s="31"/>
      <c r="AB426" s="47"/>
      <c r="AC426" s="31"/>
      <c r="AD426" s="31"/>
      <c r="AE426" s="32">
        <f t="shared" si="110"/>
        <v>0</v>
      </c>
      <c r="AF426" s="10"/>
      <c r="AG426" s="10"/>
      <c r="AH426" s="10"/>
      <c r="AI426" s="12">
        <f t="shared" si="107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04"/>
        <v>0</v>
      </c>
      <c r="H427" s="10"/>
      <c r="I427" s="10"/>
      <c r="J427" s="10"/>
      <c r="K427" s="12">
        <f t="shared" si="105"/>
        <v>0</v>
      </c>
      <c r="M427" s="62"/>
      <c r="N427" s="66"/>
      <c r="O427" s="87"/>
      <c r="P427" s="69"/>
      <c r="Q427" s="87"/>
      <c r="R427" s="87"/>
      <c r="S427" s="60"/>
      <c r="T427" s="62"/>
      <c r="U427" s="62"/>
      <c r="V427" s="62"/>
      <c r="W427" s="61"/>
      <c r="Y427" s="10">
        <v>31</v>
      </c>
      <c r="Z427" s="30"/>
      <c r="AA427" s="31"/>
      <c r="AB427" s="47"/>
      <c r="AC427" s="31"/>
      <c r="AD427" s="31"/>
      <c r="AE427" s="32">
        <f t="shared" si="110"/>
        <v>0</v>
      </c>
      <c r="AF427" s="10"/>
      <c r="AG427" s="10"/>
      <c r="AH427" s="10"/>
      <c r="AI427" s="12">
        <f t="shared" si="107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04"/>
        <v>0</v>
      </c>
      <c r="H428" s="10"/>
      <c r="I428" s="10"/>
      <c r="J428" s="10"/>
      <c r="K428" s="12">
        <f t="shared" si="105"/>
        <v>0</v>
      </c>
      <c r="M428" s="62"/>
      <c r="N428" s="66"/>
      <c r="O428" s="87"/>
      <c r="P428" s="69"/>
      <c r="Q428" s="87"/>
      <c r="R428" s="87"/>
      <c r="S428" s="60"/>
      <c r="T428" s="62"/>
      <c r="U428" s="62"/>
      <c r="V428" s="62"/>
      <c r="W428" s="61"/>
      <c r="Y428" s="10">
        <v>32</v>
      </c>
      <c r="Z428" s="30"/>
      <c r="AA428" s="31"/>
      <c r="AB428" s="47"/>
      <c r="AC428" s="31"/>
      <c r="AD428" s="31"/>
      <c r="AE428" s="32">
        <f t="shared" si="110"/>
        <v>0</v>
      </c>
      <c r="AF428" s="10"/>
      <c r="AG428" s="10"/>
      <c r="AH428" s="10"/>
      <c r="AI428" s="12">
        <f t="shared" si="107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04"/>
        <v>0</v>
      </c>
      <c r="H429" s="10"/>
      <c r="I429" s="10"/>
      <c r="J429" s="10"/>
      <c r="K429" s="12">
        <f t="shared" si="105"/>
        <v>0</v>
      </c>
      <c r="M429" s="62"/>
      <c r="N429" s="66"/>
      <c r="O429" s="87"/>
      <c r="P429" s="69"/>
      <c r="Q429" s="87"/>
      <c r="R429" s="87"/>
      <c r="S429" s="60"/>
      <c r="T429" s="62"/>
      <c r="U429" s="62"/>
      <c r="V429" s="62"/>
      <c r="W429" s="61"/>
      <c r="Y429" s="10">
        <v>33</v>
      </c>
      <c r="Z429" s="30"/>
      <c r="AA429" s="31"/>
      <c r="AB429" s="47"/>
      <c r="AC429" s="31"/>
      <c r="AD429" s="31"/>
      <c r="AE429" s="32">
        <f t="shared" si="110"/>
        <v>0</v>
      </c>
      <c r="AF429" s="10"/>
      <c r="AG429" s="10"/>
      <c r="AH429" s="10"/>
      <c r="AI429" s="12">
        <f t="shared" si="107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04"/>
        <v>0</v>
      </c>
      <c r="H430" s="10"/>
      <c r="I430" s="10"/>
      <c r="J430" s="10"/>
      <c r="K430" s="12">
        <f t="shared" si="105"/>
        <v>0</v>
      </c>
      <c r="M430" s="62"/>
      <c r="N430" s="66"/>
      <c r="O430" s="87"/>
      <c r="P430" s="69"/>
      <c r="Q430" s="87"/>
      <c r="R430" s="87"/>
      <c r="S430" s="60"/>
      <c r="T430" s="62"/>
      <c r="U430" s="62"/>
      <c r="V430" s="62"/>
      <c r="W430" s="61"/>
      <c r="Y430" s="10">
        <v>34</v>
      </c>
      <c r="Z430" s="30"/>
      <c r="AA430" s="31"/>
      <c r="AB430" s="47"/>
      <c r="AC430" s="31"/>
      <c r="AD430" s="31"/>
      <c r="AE430" s="32">
        <f t="shared" ref="AE430:AE435" si="111">SUM(AB430:AC430)</f>
        <v>0</v>
      </c>
      <c r="AF430" s="10"/>
      <c r="AG430" s="10"/>
      <c r="AH430" s="10"/>
      <c r="AI430" s="12">
        <f t="shared" si="107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62"/>
      <c r="N431" s="66"/>
      <c r="O431" s="87"/>
      <c r="P431" s="69"/>
      <c r="Q431" s="87"/>
      <c r="R431" s="87"/>
      <c r="S431" s="60"/>
      <c r="T431" s="62"/>
      <c r="U431" s="62"/>
      <c r="V431" s="62"/>
      <c r="W431" s="61"/>
      <c r="Y431" s="10">
        <v>35</v>
      </c>
      <c r="Z431" s="30"/>
      <c r="AA431" s="31"/>
      <c r="AB431" s="47"/>
      <c r="AC431" s="31"/>
      <c r="AD431" s="31"/>
      <c r="AE431" s="32">
        <f t="shared" si="111"/>
        <v>0</v>
      </c>
      <c r="AF431" s="10"/>
      <c r="AG431" s="10"/>
      <c r="AH431" s="10"/>
      <c r="AI431" s="12">
        <f t="shared" si="107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62"/>
      <c r="N432" s="66"/>
      <c r="O432" s="87"/>
      <c r="P432" s="69"/>
      <c r="Q432" s="87"/>
      <c r="R432" s="87"/>
      <c r="S432" s="60"/>
      <c r="T432" s="62"/>
      <c r="U432" s="62"/>
      <c r="V432" s="62"/>
      <c r="W432" s="61"/>
      <c r="Y432" s="10">
        <v>36</v>
      </c>
      <c r="Z432" s="30"/>
      <c r="AA432" s="31"/>
      <c r="AB432" s="47"/>
      <c r="AC432" s="31"/>
      <c r="AD432" s="31"/>
      <c r="AE432" s="32">
        <f t="shared" si="111"/>
        <v>0</v>
      </c>
      <c r="AF432" s="10"/>
      <c r="AG432" s="10"/>
      <c r="AH432" s="10"/>
      <c r="AI432" s="12">
        <f t="shared" si="107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62"/>
      <c r="N433" s="66"/>
      <c r="O433" s="62"/>
      <c r="P433" s="69"/>
      <c r="Q433" s="87"/>
      <c r="R433" s="87"/>
      <c r="S433" s="60"/>
      <c r="T433" s="62"/>
      <c r="U433" s="62"/>
      <c r="V433" s="62"/>
      <c r="W433" s="61"/>
      <c r="Y433" s="10">
        <v>37</v>
      </c>
      <c r="Z433" s="30"/>
      <c r="AA433" s="31"/>
      <c r="AB433" s="47"/>
      <c r="AC433" s="31"/>
      <c r="AD433" s="31"/>
      <c r="AE433" s="32">
        <f t="shared" si="111"/>
        <v>0</v>
      </c>
      <c r="AF433" s="10"/>
      <c r="AG433" s="10"/>
      <c r="AH433" s="10"/>
      <c r="AI433" s="12">
        <f t="shared" si="107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62"/>
      <c r="N434" s="66"/>
      <c r="O434" s="87"/>
      <c r="P434" s="69"/>
      <c r="Q434" s="87"/>
      <c r="R434" s="87"/>
      <c r="S434" s="60"/>
      <c r="T434" s="62"/>
      <c r="U434" s="62"/>
      <c r="V434" s="62"/>
      <c r="W434" s="61"/>
      <c r="Y434" s="10">
        <v>38</v>
      </c>
      <c r="Z434" s="30"/>
      <c r="AA434" s="31"/>
      <c r="AB434" s="47"/>
      <c r="AC434" s="31"/>
      <c r="AD434" s="31"/>
      <c r="AE434" s="32">
        <f t="shared" si="111"/>
        <v>0</v>
      </c>
      <c r="AF434" s="10"/>
      <c r="AG434" s="10"/>
      <c r="AH434" s="10"/>
      <c r="AI434" s="12">
        <f t="shared" si="107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62"/>
      <c r="N435" s="66"/>
      <c r="O435" s="87"/>
      <c r="P435" s="69"/>
      <c r="Q435" s="87"/>
      <c r="R435" s="87"/>
      <c r="S435" s="60"/>
      <c r="T435" s="62"/>
      <c r="U435" s="62"/>
      <c r="V435" s="62"/>
      <c r="W435" s="61"/>
      <c r="Y435" s="10">
        <v>39</v>
      </c>
      <c r="Z435" s="30"/>
      <c r="AA435" s="31"/>
      <c r="AB435" s="47"/>
      <c r="AC435" s="31"/>
      <c r="AD435" s="31"/>
      <c r="AE435" s="32">
        <f t="shared" si="111"/>
        <v>0</v>
      </c>
      <c r="AF435" s="10"/>
      <c r="AG435" s="10"/>
      <c r="AH435" s="10"/>
      <c r="AI435" s="12">
        <f t="shared" si="107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62"/>
      <c r="N436" s="66"/>
      <c r="O436" s="62"/>
      <c r="P436" s="69"/>
      <c r="Q436" s="87"/>
      <c r="R436" s="87"/>
      <c r="S436" s="60"/>
      <c r="T436" s="62"/>
      <c r="U436" s="62"/>
      <c r="V436" s="62"/>
      <c r="W436" s="61"/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07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12">SUM(D437:E437)</f>
        <v>0</v>
      </c>
      <c r="H437" s="10"/>
      <c r="I437" s="10"/>
      <c r="J437" s="10"/>
      <c r="K437" s="12">
        <f t="shared" ref="K437" si="113">SUM(G437:J437)</f>
        <v>0</v>
      </c>
      <c r="M437" s="62"/>
      <c r="N437" s="66"/>
      <c r="O437" s="87"/>
      <c r="P437" s="69"/>
      <c r="Q437" s="87"/>
      <c r="R437" s="87"/>
      <c r="S437" s="60"/>
      <c r="T437" s="62"/>
      <c r="U437" s="62"/>
      <c r="V437" s="62"/>
      <c r="W437" s="61"/>
      <c r="Y437" s="10"/>
      <c r="Z437" s="30"/>
      <c r="AA437" s="31"/>
      <c r="AB437" s="47"/>
      <c r="AC437" s="31"/>
      <c r="AD437" s="31"/>
      <c r="AE437" s="32">
        <f t="shared" ref="AE437" si="114">SUM(AB437:AC437)</f>
        <v>0</v>
      </c>
      <c r="AF437" s="10"/>
      <c r="AG437" s="10"/>
      <c r="AH437" s="10"/>
      <c r="AI437" s="12">
        <f t="shared" si="107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62"/>
      <c r="N438" s="87"/>
      <c r="O438" s="87"/>
      <c r="P438" s="87"/>
      <c r="Q438" s="87"/>
      <c r="R438" s="87"/>
      <c r="S438" s="87"/>
      <c r="T438" s="62"/>
      <c r="U438" s="62"/>
      <c r="V438" s="62"/>
      <c r="W438" s="61"/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07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M439" s="62"/>
      <c r="N439" s="87"/>
      <c r="O439" s="87"/>
      <c r="P439" s="87"/>
      <c r="Q439" s="87"/>
      <c r="R439" s="87"/>
      <c r="S439" s="87"/>
      <c r="T439" s="62"/>
      <c r="U439" s="62"/>
      <c r="V439" s="62"/>
      <c r="W439" s="62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224662</v>
      </c>
      <c r="E440" s="38">
        <f t="shared" ref="E440:F440" si="115">SUM(E397:E437)</f>
        <v>0</v>
      </c>
      <c r="F440" s="38">
        <f t="shared" si="115"/>
        <v>0</v>
      </c>
      <c r="G440" s="38">
        <f>SUM(G397:G439)</f>
        <v>224662</v>
      </c>
      <c r="H440" s="4"/>
      <c r="I440" s="39">
        <f>SUM(I397:I439)</f>
        <v>135</v>
      </c>
      <c r="J440" s="39">
        <f>SUM(J397:J439)</f>
        <v>0</v>
      </c>
      <c r="K440" s="40">
        <f>SUM(K397:K439)</f>
        <v>224797</v>
      </c>
      <c r="M440" s="62"/>
      <c r="N440" s="87"/>
      <c r="O440" s="87"/>
      <c r="P440" s="70"/>
      <c r="Q440" s="70"/>
      <c r="R440" s="70"/>
      <c r="S440" s="70"/>
      <c r="T440" s="63"/>
      <c r="U440" s="71"/>
      <c r="V440" s="71"/>
      <c r="W440" s="71"/>
      <c r="Z440" s="57"/>
      <c r="AA440" s="57"/>
      <c r="AB440" s="38">
        <f>SUM(AB397:AB439)</f>
        <v>257053.5</v>
      </c>
      <c r="AC440" s="38">
        <f>SUM(AC397:AC421)</f>
        <v>-1296</v>
      </c>
      <c r="AD440" s="38">
        <f>SUM(AD397:AD421)</f>
        <v>0</v>
      </c>
      <c r="AE440" s="38">
        <f>SUM(AE397:AE439)</f>
        <v>255757.5</v>
      </c>
      <c r="AF440" s="4"/>
      <c r="AG440" s="41">
        <f>SUM(AG397:AG439)</f>
        <v>1257</v>
      </c>
      <c r="AH440" s="41">
        <f>SUM(AH397:AH421)</f>
        <v>-2976</v>
      </c>
      <c r="AI440" s="42">
        <f>SUM(AI397:AI439)</f>
        <v>254038.5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87"/>
      <c r="C442" s="87"/>
      <c r="D442" s="87"/>
      <c r="E442" s="87"/>
      <c r="F442" s="87"/>
      <c r="G442" s="87"/>
      <c r="H442" s="62"/>
      <c r="I442" s="62"/>
      <c r="J442" s="62"/>
      <c r="K442" s="62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87"/>
      <c r="C443" s="87"/>
      <c r="D443" s="87"/>
      <c r="E443" s="87"/>
      <c r="F443" s="87"/>
      <c r="G443" s="87"/>
      <c r="H443" s="62"/>
      <c r="I443" s="62"/>
      <c r="J443" s="62"/>
      <c r="K443" s="62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87"/>
      <c r="C444" s="87"/>
      <c r="D444" s="87"/>
      <c r="E444" s="87"/>
      <c r="F444" s="87"/>
      <c r="G444" s="87"/>
      <c r="H444" s="62"/>
      <c r="I444" s="62"/>
      <c r="J444" s="62"/>
      <c r="K444" s="62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87"/>
      <c r="C445" s="87"/>
      <c r="D445" s="87"/>
      <c r="E445" s="87"/>
      <c r="F445" s="87"/>
      <c r="G445" s="87"/>
      <c r="H445" s="62"/>
      <c r="I445" s="62"/>
      <c r="J445" s="62"/>
      <c r="K445" s="62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87"/>
      <c r="C446" s="87"/>
      <c r="D446" s="87"/>
      <c r="E446" s="87"/>
      <c r="F446" s="87"/>
      <c r="G446" s="87"/>
      <c r="H446" s="62"/>
      <c r="I446" s="62"/>
      <c r="J446" s="62"/>
      <c r="K446" s="62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87"/>
      <c r="C447" s="87"/>
      <c r="D447" s="87"/>
      <c r="E447" s="87"/>
      <c r="F447" s="87"/>
      <c r="G447" s="87"/>
      <c r="H447" s="62"/>
      <c r="I447" s="87"/>
      <c r="J447" s="73"/>
      <c r="K447" s="62"/>
      <c r="M447" t="s">
        <v>47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47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87"/>
      <c r="C448" s="87"/>
      <c r="D448" s="87"/>
      <c r="E448" s="87"/>
      <c r="F448" s="87"/>
      <c r="G448" s="87"/>
      <c r="H448" s="62"/>
      <c r="I448" s="65"/>
      <c r="J448" s="65"/>
      <c r="K448" s="62"/>
      <c r="M448" s="21" t="s">
        <v>61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32</v>
      </c>
      <c r="W448" s="24"/>
      <c r="Y448" s="21" t="s">
        <v>61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42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87"/>
      <c r="C449" s="87"/>
      <c r="D449" s="87"/>
      <c r="E449" s="87"/>
      <c r="F449" s="87"/>
      <c r="G449" s="87"/>
      <c r="H449" s="62"/>
      <c r="I449" s="62"/>
      <c r="J449" s="62"/>
      <c r="K449" s="62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87"/>
      <c r="D450" s="123"/>
      <c r="E450" s="123"/>
      <c r="F450" s="87"/>
      <c r="G450" s="87"/>
      <c r="H450" s="62"/>
      <c r="I450" s="123"/>
      <c r="J450" s="123"/>
      <c r="K450" s="124"/>
      <c r="N450" s="25"/>
      <c r="O450" s="26"/>
      <c r="P450" s="118" t="s">
        <v>17</v>
      </c>
      <c r="Q450" s="118"/>
      <c r="R450" s="98"/>
      <c r="S450" s="27"/>
      <c r="U450" s="119" t="s">
        <v>18</v>
      </c>
      <c r="V450" s="120"/>
      <c r="W450" s="121" t="s">
        <v>19</v>
      </c>
      <c r="Z450" s="25"/>
      <c r="AA450" s="26"/>
      <c r="AB450" s="118" t="s">
        <v>17</v>
      </c>
      <c r="AC450" s="118"/>
      <c r="AD450" s="98"/>
      <c r="AE450" s="27"/>
      <c r="AG450" s="119" t="s">
        <v>18</v>
      </c>
      <c r="AH450" s="120"/>
      <c r="AI450" s="121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A451" s="62"/>
      <c r="B451" s="87"/>
      <c r="C451" s="87"/>
      <c r="D451" s="79"/>
      <c r="E451" s="80"/>
      <c r="F451" s="81"/>
      <c r="G451" s="81"/>
      <c r="H451" s="62"/>
      <c r="I451" s="88"/>
      <c r="J451" s="88"/>
      <c r="K451" s="124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31</v>
      </c>
      <c r="S451" s="78" t="s">
        <v>24</v>
      </c>
      <c r="U451" s="29" t="s">
        <v>25</v>
      </c>
      <c r="V451" s="29" t="s">
        <v>26</v>
      </c>
      <c r="W451" s="122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31</v>
      </c>
      <c r="AE451" s="78" t="s">
        <v>24</v>
      </c>
      <c r="AG451" s="29" t="s">
        <v>25</v>
      </c>
      <c r="AH451" s="29" t="s">
        <v>26</v>
      </c>
      <c r="AI451" s="12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M452" s="10">
        <v>1</v>
      </c>
      <c r="N452" s="30">
        <v>46332</v>
      </c>
      <c r="O452" s="31">
        <v>10876</v>
      </c>
      <c r="P452" s="32">
        <f>650*18+9.5*18</f>
        <v>11871</v>
      </c>
      <c r="Q452" s="32"/>
      <c r="R452" s="32"/>
      <c r="S452" s="32">
        <f>SUM(P452:Q452)</f>
        <v>11871</v>
      </c>
      <c r="T452" s="12"/>
      <c r="U452" s="12"/>
      <c r="V452" s="12"/>
      <c r="W452" s="12">
        <f>SUM(S452:V452)</f>
        <v>11871</v>
      </c>
      <c r="Y452" s="10">
        <v>1</v>
      </c>
      <c r="Z452" s="30">
        <v>46332</v>
      </c>
      <c r="AA452" s="31">
        <v>10930</v>
      </c>
      <c r="AB452" s="32">
        <f>650*30+670*3+622*15+229</f>
        <v>31069</v>
      </c>
      <c r="AC452" s="32"/>
      <c r="AD452" s="32"/>
      <c r="AE452" s="32">
        <f>SUM(AB452:AC452)</f>
        <v>31069</v>
      </c>
      <c r="AF452" s="12"/>
      <c r="AG452" s="12">
        <v>31.5</v>
      </c>
      <c r="AH452" s="12"/>
      <c r="AI452" s="12">
        <f>SUM(AE452:AH452)</f>
        <v>31100.5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M453" s="10">
        <v>2</v>
      </c>
      <c r="N453" s="30">
        <v>46332</v>
      </c>
      <c r="O453" s="31">
        <f>O452+1</f>
        <v>10877</v>
      </c>
      <c r="P453" s="32">
        <f>650*10+622*2+9.5*12</f>
        <v>7858</v>
      </c>
      <c r="Q453" s="32"/>
      <c r="R453" s="32"/>
      <c r="S453" s="32">
        <f t="shared" ref="S453:S490" si="116">SUM(P453:Q453)</f>
        <v>7858</v>
      </c>
      <c r="T453" s="12"/>
      <c r="U453" s="12"/>
      <c r="V453" s="12"/>
      <c r="W453" s="12">
        <f t="shared" ref="W453:W493" si="117">SUM(S453:V453)</f>
        <v>7858</v>
      </c>
      <c r="Y453" s="10">
        <v>2</v>
      </c>
      <c r="Z453" s="30">
        <v>46332</v>
      </c>
      <c r="AA453" s="31">
        <f>AA452+1</f>
        <v>10931</v>
      </c>
      <c r="AB453" s="32">
        <f>650*20+670*4+622*16+872*2+229</f>
        <v>27605</v>
      </c>
      <c r="AC453" s="32"/>
      <c r="AD453" s="32"/>
      <c r="AE453" s="32">
        <f t="shared" ref="AE453:AE455" si="118">SUM(AB453:AC453)</f>
        <v>27605</v>
      </c>
      <c r="AF453" s="12"/>
      <c r="AG453" s="12">
        <f>4.5*29</f>
        <v>130.5</v>
      </c>
      <c r="AH453" s="12"/>
      <c r="AI453" s="12">
        <f t="shared" ref="AI453:AI493" si="119">SUM(AE453:AH453)</f>
        <v>27735.5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M454" s="10">
        <v>3</v>
      </c>
      <c r="N454" s="30">
        <v>46332</v>
      </c>
      <c r="O454" s="31">
        <f t="shared" ref="O454:O456" si="120">O453+1</f>
        <v>10878</v>
      </c>
      <c r="P454" s="32">
        <f>650*216+622*106+229*13+650*2</f>
        <v>210609</v>
      </c>
      <c r="Q454" s="32">
        <f>-322*6</f>
        <v>-1932</v>
      </c>
      <c r="R454" s="32"/>
      <c r="S454" s="32">
        <f t="shared" si="116"/>
        <v>208677</v>
      </c>
      <c r="T454" s="12"/>
      <c r="U454" s="12">
        <f>111*30+78*13</f>
        <v>4344</v>
      </c>
      <c r="V454" s="12">
        <f>-84*24+-42*7</f>
        <v>-2310</v>
      </c>
      <c r="W454" s="12">
        <f t="shared" si="117"/>
        <v>210711</v>
      </c>
      <c r="Y454" s="10">
        <v>3</v>
      </c>
      <c r="Z454" s="30">
        <v>46332</v>
      </c>
      <c r="AA454" s="31">
        <f t="shared" ref="AA454:AA460" si="121">AA453+1</f>
        <v>10932</v>
      </c>
      <c r="AB454" s="33">
        <f>700*3</f>
        <v>2100</v>
      </c>
      <c r="AC454" s="33"/>
      <c r="AD454" s="32"/>
      <c r="AE454" s="32">
        <f t="shared" si="118"/>
        <v>2100</v>
      </c>
      <c r="AF454" s="12"/>
      <c r="AG454" s="12"/>
      <c r="AH454" s="12"/>
      <c r="AI454" s="12">
        <f t="shared" si="119"/>
        <v>2100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M455" s="10">
        <v>4</v>
      </c>
      <c r="N455" s="30">
        <v>46332</v>
      </c>
      <c r="O455" s="31">
        <f t="shared" si="120"/>
        <v>10879</v>
      </c>
      <c r="P455" s="32">
        <f>650*6+9.5*6</f>
        <v>3957</v>
      </c>
      <c r="Q455" s="32"/>
      <c r="R455" s="32"/>
      <c r="S455" s="32">
        <f t="shared" si="116"/>
        <v>3957</v>
      </c>
      <c r="T455" s="12"/>
      <c r="U455" s="12"/>
      <c r="V455" s="12">
        <v>-333</v>
      </c>
      <c r="W455" s="12">
        <f t="shared" si="117"/>
        <v>3624</v>
      </c>
      <c r="Y455" s="10">
        <v>4</v>
      </c>
      <c r="Z455" s="30">
        <v>46332</v>
      </c>
      <c r="AA455" s="31">
        <f t="shared" si="121"/>
        <v>10933</v>
      </c>
      <c r="AB455" s="32">
        <f>650*19+670*3+622*5</f>
        <v>17470</v>
      </c>
      <c r="AC455" s="32"/>
      <c r="AD455" s="32"/>
      <c r="AE455" s="32">
        <f t="shared" si="118"/>
        <v>17470</v>
      </c>
      <c r="AF455" s="12"/>
      <c r="AH455" s="12"/>
      <c r="AI455" s="12">
        <f t="shared" si="119"/>
        <v>17470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4"/>
      <c r="D456" s="60"/>
      <c r="E456" s="60"/>
      <c r="F456" s="60"/>
      <c r="G456" s="60"/>
      <c r="H456" s="61"/>
      <c r="I456" s="61"/>
      <c r="J456" s="61"/>
      <c r="K456" s="61"/>
      <c r="M456" s="10">
        <v>5</v>
      </c>
      <c r="N456" s="30">
        <v>46332</v>
      </c>
      <c r="O456" s="31">
        <f t="shared" si="120"/>
        <v>10880</v>
      </c>
      <c r="P456" s="32">
        <f>650*15+9.5*15</f>
        <v>9892.5</v>
      </c>
      <c r="Q456" s="32"/>
      <c r="R456" s="32"/>
      <c r="S456" s="32">
        <f t="shared" si="116"/>
        <v>9892.5</v>
      </c>
      <c r="T456" s="12"/>
      <c r="U456" s="12">
        <v>135</v>
      </c>
      <c r="V456" s="12"/>
      <c r="W456" s="12">
        <f t="shared" si="117"/>
        <v>10027.5</v>
      </c>
      <c r="Y456" s="10">
        <v>5</v>
      </c>
      <c r="Z456" s="30">
        <v>46332</v>
      </c>
      <c r="AA456" s="31">
        <f t="shared" si="121"/>
        <v>10934</v>
      </c>
      <c r="AB456" s="32">
        <f>650*9+622*4</f>
        <v>8338</v>
      </c>
      <c r="AC456" s="32"/>
      <c r="AD456" s="32"/>
      <c r="AE456" s="32">
        <f t="shared" ref="AE456:AE484" si="122">SUM(AB456:AC456)</f>
        <v>8338</v>
      </c>
      <c r="AF456" s="12"/>
      <c r="AG456" s="12"/>
      <c r="AH456" s="12">
        <f>-111*11</f>
        <v>-1221</v>
      </c>
      <c r="AI456" s="12">
        <f t="shared" si="119"/>
        <v>7117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65"/>
      <c r="D457" s="60"/>
      <c r="E457" s="60"/>
      <c r="F457" s="60"/>
      <c r="G457" s="60"/>
      <c r="H457" s="61"/>
      <c r="I457" s="61"/>
      <c r="J457" s="61"/>
      <c r="K457" s="61"/>
      <c r="M457" s="10">
        <v>6</v>
      </c>
      <c r="N457" s="30"/>
      <c r="O457" s="11" t="s">
        <v>27</v>
      </c>
      <c r="P457" s="32"/>
      <c r="Q457" s="32"/>
      <c r="R457" s="32"/>
      <c r="S457" s="32">
        <f t="shared" si="116"/>
        <v>0</v>
      </c>
      <c r="T457" s="12"/>
      <c r="U457" s="12"/>
      <c r="V457" s="10"/>
      <c r="W457" s="12">
        <f t="shared" si="117"/>
        <v>0</v>
      </c>
      <c r="Y457" s="10">
        <v>6</v>
      </c>
      <c r="Z457" s="30">
        <v>46332</v>
      </c>
      <c r="AA457" s="31">
        <f t="shared" si="121"/>
        <v>10935</v>
      </c>
      <c r="AB457" s="32">
        <f>650*43+670+622*6</f>
        <v>32352</v>
      </c>
      <c r="AC457" s="32">
        <f>-50*6</f>
        <v>-300</v>
      </c>
      <c r="AD457" s="32"/>
      <c r="AE457" s="32">
        <f t="shared" si="122"/>
        <v>32052</v>
      </c>
      <c r="AF457" s="12"/>
      <c r="AG457" s="12"/>
      <c r="AH457" s="10"/>
      <c r="AI457" s="12">
        <f t="shared" si="119"/>
        <v>32052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M458" s="10">
        <v>7</v>
      </c>
      <c r="N458" s="30"/>
      <c r="O458" s="31"/>
      <c r="P458" s="32"/>
      <c r="Q458" s="32"/>
      <c r="R458" s="32"/>
      <c r="S458" s="32">
        <f t="shared" si="116"/>
        <v>0</v>
      </c>
      <c r="T458" s="12"/>
      <c r="U458" s="12"/>
      <c r="V458" s="12"/>
      <c r="W458" s="12">
        <f t="shared" si="117"/>
        <v>0</v>
      </c>
      <c r="Y458" s="10">
        <v>7</v>
      </c>
      <c r="Z458" s="30">
        <v>46332</v>
      </c>
      <c r="AA458" s="31">
        <f t="shared" si="121"/>
        <v>10936</v>
      </c>
      <c r="AB458" s="32">
        <f>650*136+16*622</f>
        <v>98352</v>
      </c>
      <c r="AC458" s="32">
        <f>-152*6</f>
        <v>-912</v>
      </c>
      <c r="AD458" s="32"/>
      <c r="AE458" s="32">
        <f t="shared" si="122"/>
        <v>97440</v>
      </c>
      <c r="AF458" s="12"/>
      <c r="AG458" s="58"/>
      <c r="AH458" s="12"/>
      <c r="AI458" s="12">
        <f t="shared" si="119"/>
        <v>97440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4"/>
      <c r="D459" s="60"/>
      <c r="E459" s="60"/>
      <c r="F459" s="60"/>
      <c r="G459" s="60"/>
      <c r="H459" s="61"/>
      <c r="I459" s="61"/>
      <c r="J459" s="61"/>
      <c r="K459" s="61"/>
      <c r="M459" s="10">
        <v>8</v>
      </c>
      <c r="N459" s="30"/>
      <c r="O459" s="31"/>
      <c r="P459" s="32"/>
      <c r="Q459" s="32"/>
      <c r="R459" s="32"/>
      <c r="S459" s="32">
        <f t="shared" si="116"/>
        <v>0</v>
      </c>
      <c r="T459" s="12"/>
      <c r="U459" s="12"/>
      <c r="V459" s="12"/>
      <c r="W459" s="12">
        <f t="shared" si="117"/>
        <v>0</v>
      </c>
      <c r="Y459" s="10">
        <v>8</v>
      </c>
      <c r="Z459" s="30">
        <v>46332</v>
      </c>
      <c r="AA459" s="31">
        <f t="shared" si="121"/>
        <v>10937</v>
      </c>
      <c r="AB459" s="32">
        <f>650*5</f>
        <v>3250</v>
      </c>
      <c r="AC459" s="32">
        <f>-5*6</f>
        <v>-30</v>
      </c>
      <c r="AE459" s="32">
        <f t="shared" si="122"/>
        <v>3220</v>
      </c>
      <c r="AF459" s="12"/>
      <c r="AG459" s="12"/>
      <c r="AH459" s="12"/>
      <c r="AI459" s="12">
        <f t="shared" si="119"/>
        <v>3220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M460" s="10">
        <v>9</v>
      </c>
      <c r="N460" s="30"/>
      <c r="O460" s="31"/>
      <c r="P460" s="32"/>
      <c r="Q460" s="32"/>
      <c r="R460" s="32"/>
      <c r="S460" s="32">
        <f t="shared" si="116"/>
        <v>0</v>
      </c>
      <c r="T460" s="12"/>
      <c r="U460" s="12"/>
      <c r="V460" s="12"/>
      <c r="W460" s="12">
        <f t="shared" si="117"/>
        <v>0</v>
      </c>
      <c r="Y460" s="10">
        <v>9</v>
      </c>
      <c r="Z460" s="30">
        <v>46332</v>
      </c>
      <c r="AA460" s="31">
        <f t="shared" si="121"/>
        <v>10938</v>
      </c>
      <c r="AB460" s="32">
        <f>650*7+973*26+1050*5</f>
        <v>35098</v>
      </c>
      <c r="AC460" s="32"/>
      <c r="AD460" s="32"/>
      <c r="AE460" s="32">
        <f t="shared" si="122"/>
        <v>35098</v>
      </c>
      <c r="AF460" s="12"/>
      <c r="AH460" s="12"/>
      <c r="AI460" s="12">
        <f t="shared" si="119"/>
        <v>35098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M461" s="10">
        <v>10</v>
      </c>
      <c r="N461" s="30"/>
      <c r="O461" s="31"/>
      <c r="P461" s="32"/>
      <c r="Q461" s="32"/>
      <c r="R461" s="32"/>
      <c r="S461" s="32">
        <f t="shared" si="116"/>
        <v>0</v>
      </c>
      <c r="T461" s="12"/>
      <c r="U461" s="12"/>
      <c r="V461" s="12"/>
      <c r="W461" s="12">
        <f t="shared" si="117"/>
        <v>0</v>
      </c>
      <c r="Y461" s="10">
        <v>10</v>
      </c>
      <c r="Z461" s="30"/>
      <c r="AA461" s="11" t="s">
        <v>27</v>
      </c>
      <c r="AB461" s="32"/>
      <c r="AC461" s="32"/>
      <c r="AD461" s="32"/>
      <c r="AE461" s="32">
        <f t="shared" si="122"/>
        <v>0</v>
      </c>
      <c r="AF461" s="12"/>
      <c r="AG461" s="12"/>
      <c r="AH461" s="12"/>
      <c r="AI461" s="12">
        <f t="shared" si="119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87"/>
      <c r="D462" s="60"/>
      <c r="E462" s="60"/>
      <c r="F462" s="60"/>
      <c r="G462" s="60"/>
      <c r="H462" s="61"/>
      <c r="I462" s="61"/>
      <c r="J462" s="61"/>
      <c r="K462" s="61"/>
      <c r="M462" s="10">
        <v>11</v>
      </c>
      <c r="N462" s="30"/>
      <c r="O462" s="31"/>
      <c r="P462" s="32"/>
      <c r="Q462" s="32"/>
      <c r="R462" s="32"/>
      <c r="S462" s="32">
        <f t="shared" si="116"/>
        <v>0</v>
      </c>
      <c r="T462" s="12"/>
      <c r="U462" s="12"/>
      <c r="V462" s="12"/>
      <c r="W462" s="12">
        <f t="shared" si="117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22"/>
        <v>0</v>
      </c>
      <c r="AF462" s="12"/>
      <c r="AG462" s="12"/>
      <c r="AH462" s="12"/>
      <c r="AI462" s="12">
        <f t="shared" si="119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M463" s="10">
        <v>12</v>
      </c>
      <c r="N463" s="30"/>
      <c r="O463" s="31"/>
      <c r="P463" s="32"/>
      <c r="Q463" s="32"/>
      <c r="R463" s="32"/>
      <c r="S463" s="32">
        <f t="shared" si="116"/>
        <v>0</v>
      </c>
      <c r="T463" s="12"/>
      <c r="U463" s="12"/>
      <c r="V463" s="12"/>
      <c r="W463" s="12">
        <f t="shared" si="117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22"/>
        <v>0</v>
      </c>
      <c r="AF463" s="12"/>
      <c r="AG463" s="12"/>
      <c r="AH463" s="12"/>
      <c r="AI463" s="12">
        <f t="shared" si="119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M464" s="10">
        <v>13</v>
      </c>
      <c r="N464" s="30"/>
      <c r="O464" s="31"/>
      <c r="P464" s="32"/>
      <c r="Q464" s="32"/>
      <c r="R464" s="32"/>
      <c r="S464" s="32">
        <f t="shared" si="116"/>
        <v>0</v>
      </c>
      <c r="T464" s="12"/>
      <c r="U464" s="12"/>
      <c r="V464" s="12"/>
      <c r="W464" s="12">
        <f t="shared" si="117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22"/>
        <v>0</v>
      </c>
      <c r="AF464" s="12"/>
      <c r="AG464" s="12"/>
      <c r="AH464" s="12"/>
      <c r="AI464" s="12">
        <f t="shared" si="119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4"/>
      <c r="D465" s="60"/>
      <c r="E465" s="60"/>
      <c r="F465" s="60"/>
      <c r="G465" s="60"/>
      <c r="H465" s="61"/>
      <c r="I465" s="61"/>
      <c r="J465" s="61"/>
      <c r="K465" s="61"/>
      <c r="M465" s="10">
        <v>14</v>
      </c>
      <c r="N465" s="30"/>
      <c r="O465" s="31"/>
      <c r="P465" s="32"/>
      <c r="Q465" s="32"/>
      <c r="R465" s="32"/>
      <c r="S465" s="32">
        <f t="shared" si="116"/>
        <v>0</v>
      </c>
      <c r="T465" s="12"/>
      <c r="U465" s="12"/>
      <c r="V465" s="12"/>
      <c r="W465" s="12">
        <f t="shared" si="117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22"/>
        <v>0</v>
      </c>
      <c r="AF465" s="12"/>
      <c r="AG465" s="12"/>
      <c r="AH465" s="12"/>
      <c r="AI465" s="12">
        <f t="shared" si="119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M466" s="10">
        <v>15</v>
      </c>
      <c r="N466" s="30"/>
      <c r="O466" s="31"/>
      <c r="P466" s="32"/>
      <c r="Q466" s="32"/>
      <c r="R466" s="32"/>
      <c r="S466" s="32">
        <f t="shared" si="116"/>
        <v>0</v>
      </c>
      <c r="T466" s="12"/>
      <c r="U466" s="12"/>
      <c r="V466" s="12"/>
      <c r="W466" s="12">
        <f t="shared" si="117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22"/>
        <v>0</v>
      </c>
      <c r="AF466" s="12"/>
      <c r="AG466" s="12"/>
      <c r="AH466" s="12"/>
      <c r="AI466" s="12">
        <f t="shared" si="119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65"/>
      <c r="D467" s="60"/>
      <c r="E467" s="60"/>
      <c r="F467" s="60"/>
      <c r="G467" s="60"/>
      <c r="H467" s="61"/>
      <c r="I467" s="61"/>
      <c r="J467" s="61"/>
      <c r="K467" s="61"/>
      <c r="M467" s="10">
        <v>16</v>
      </c>
      <c r="N467" s="30"/>
      <c r="O467" s="11"/>
      <c r="P467" s="32"/>
      <c r="Q467" s="32"/>
      <c r="R467" s="32"/>
      <c r="S467" s="32">
        <f t="shared" si="116"/>
        <v>0</v>
      </c>
      <c r="T467" s="12"/>
      <c r="U467" s="12"/>
      <c r="V467" s="12"/>
      <c r="W467" s="12">
        <f t="shared" si="117"/>
        <v>0</v>
      </c>
      <c r="Y467" s="10">
        <v>16</v>
      </c>
      <c r="Z467" s="30"/>
      <c r="AA467" s="31"/>
      <c r="AB467" s="32"/>
      <c r="AC467" s="32"/>
      <c r="AD467" s="32"/>
      <c r="AE467" s="32">
        <f t="shared" si="122"/>
        <v>0</v>
      </c>
      <c r="AF467" s="12"/>
      <c r="AG467" s="12"/>
      <c r="AH467" s="12"/>
      <c r="AI467" s="12">
        <f t="shared" si="119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M468" s="10">
        <v>17</v>
      </c>
      <c r="N468" s="30"/>
      <c r="O468" s="31"/>
      <c r="P468" s="35"/>
      <c r="Q468" s="32"/>
      <c r="R468" s="32"/>
      <c r="S468" s="32">
        <f t="shared" si="116"/>
        <v>0</v>
      </c>
      <c r="T468" s="12"/>
      <c r="U468" s="12"/>
      <c r="V468" s="12"/>
      <c r="W468" s="12">
        <f t="shared" si="117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22"/>
        <v>0</v>
      </c>
      <c r="AF468" s="12"/>
      <c r="AG468" s="12"/>
      <c r="AH468" s="12"/>
      <c r="AI468" s="12">
        <f t="shared" si="119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87"/>
      <c r="D469" s="60"/>
      <c r="E469" s="60"/>
      <c r="F469" s="60"/>
      <c r="G469" s="60"/>
      <c r="H469" s="61"/>
      <c r="I469" s="61"/>
      <c r="J469" s="61"/>
      <c r="K469" s="61"/>
      <c r="M469" s="10">
        <v>18</v>
      </c>
      <c r="N469" s="30"/>
      <c r="O469" s="31"/>
      <c r="P469" s="32"/>
      <c r="Q469" s="32"/>
      <c r="R469" s="32"/>
      <c r="S469" s="32">
        <f t="shared" si="116"/>
        <v>0</v>
      </c>
      <c r="T469" s="12"/>
      <c r="U469" s="12"/>
      <c r="V469" s="12"/>
      <c r="W469" s="12">
        <f t="shared" si="117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22"/>
        <v>0</v>
      </c>
      <c r="AF469" s="12"/>
      <c r="AG469" s="12"/>
      <c r="AH469" s="12"/>
      <c r="AI469" s="12">
        <f t="shared" si="119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M470" s="10">
        <v>19</v>
      </c>
      <c r="N470" s="30"/>
      <c r="O470" s="31"/>
      <c r="P470" s="32"/>
      <c r="Q470" s="32"/>
      <c r="R470" s="32"/>
      <c r="S470" s="32">
        <f t="shared" si="116"/>
        <v>0</v>
      </c>
      <c r="T470" s="12"/>
      <c r="U470" s="12"/>
      <c r="V470" s="12"/>
      <c r="W470" s="12">
        <f t="shared" si="117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22"/>
        <v>0</v>
      </c>
      <c r="AF470" s="12"/>
      <c r="AG470" s="12"/>
      <c r="AH470" s="12"/>
      <c r="AI470" s="12">
        <f t="shared" si="119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M471" s="10">
        <v>20</v>
      </c>
      <c r="N471" s="30"/>
      <c r="O471" s="31"/>
      <c r="P471" s="32"/>
      <c r="Q471" s="32"/>
      <c r="R471" s="32"/>
      <c r="S471" s="32">
        <f t="shared" si="116"/>
        <v>0</v>
      </c>
      <c r="T471" s="12"/>
      <c r="U471" s="12"/>
      <c r="V471" s="12"/>
      <c r="W471" s="12">
        <f t="shared" si="117"/>
        <v>0</v>
      </c>
      <c r="Y471" s="10">
        <v>20</v>
      </c>
      <c r="Z471" s="30"/>
      <c r="AB471" s="32"/>
      <c r="AC471" s="32"/>
      <c r="AD471" s="32"/>
      <c r="AE471" s="32">
        <f t="shared" si="122"/>
        <v>0</v>
      </c>
      <c r="AF471" s="12"/>
      <c r="AG471" s="12"/>
      <c r="AH471" s="12"/>
      <c r="AI471" s="12">
        <f t="shared" si="119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4"/>
      <c r="D472" s="60"/>
      <c r="E472" s="60"/>
      <c r="F472" s="60"/>
      <c r="G472" s="60"/>
      <c r="H472" s="62"/>
      <c r="I472" s="62"/>
      <c r="J472" s="62"/>
      <c r="K472" s="61"/>
      <c r="M472" s="10">
        <v>21</v>
      </c>
      <c r="N472" s="30"/>
      <c r="O472" s="31"/>
      <c r="P472" s="46"/>
      <c r="Q472" s="31"/>
      <c r="R472" s="31"/>
      <c r="S472" s="32">
        <f t="shared" si="116"/>
        <v>0</v>
      </c>
      <c r="T472" s="10"/>
      <c r="U472" s="10"/>
      <c r="V472" s="10"/>
      <c r="W472" s="12">
        <f t="shared" si="117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22"/>
        <v>0</v>
      </c>
      <c r="AF472" s="10"/>
      <c r="AG472" s="10"/>
      <c r="AH472" s="10"/>
      <c r="AI472" s="12">
        <f t="shared" si="119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4"/>
      <c r="D473" s="60"/>
      <c r="E473" s="60"/>
      <c r="F473" s="60"/>
      <c r="G473" s="60"/>
      <c r="H473" s="62"/>
      <c r="I473" s="62"/>
      <c r="J473" s="62"/>
      <c r="K473" s="61"/>
      <c r="M473" s="10">
        <v>22</v>
      </c>
      <c r="N473" s="30"/>
      <c r="O473" s="31"/>
      <c r="P473" s="45"/>
      <c r="Q473" s="31"/>
      <c r="R473" s="31"/>
      <c r="S473" s="32">
        <f t="shared" si="116"/>
        <v>0</v>
      </c>
      <c r="T473" s="10"/>
      <c r="U473" s="10"/>
      <c r="V473" s="10"/>
      <c r="W473" s="12">
        <f t="shared" si="117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22"/>
        <v>0</v>
      </c>
      <c r="AF473" s="10"/>
      <c r="AG473" s="10"/>
      <c r="AH473" s="10"/>
      <c r="AI473" s="12">
        <f t="shared" si="119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M474" s="10">
        <v>23</v>
      </c>
      <c r="N474" s="30"/>
      <c r="O474" s="31"/>
      <c r="P474" s="47"/>
      <c r="Q474" s="31"/>
      <c r="S474" s="32">
        <f t="shared" si="116"/>
        <v>0</v>
      </c>
      <c r="T474" s="10"/>
      <c r="U474" s="10"/>
      <c r="V474" s="10"/>
      <c r="W474" s="12">
        <f t="shared" si="117"/>
        <v>0</v>
      </c>
      <c r="Y474" s="10">
        <v>23</v>
      </c>
      <c r="Z474" s="30"/>
      <c r="AA474" s="31"/>
      <c r="AB474" s="47"/>
      <c r="AE474" s="32">
        <f t="shared" si="122"/>
        <v>0</v>
      </c>
      <c r="AF474" s="10"/>
      <c r="AG474" s="10"/>
      <c r="AH474" s="10"/>
      <c r="AI474" s="12">
        <f t="shared" si="119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M475" s="10">
        <v>24</v>
      </c>
      <c r="N475" s="30"/>
      <c r="O475" s="31"/>
      <c r="P475" s="47"/>
      <c r="Q475" s="31"/>
      <c r="R475" s="31"/>
      <c r="S475" s="32">
        <f t="shared" si="116"/>
        <v>0</v>
      </c>
      <c r="T475" s="10"/>
      <c r="U475" s="10"/>
      <c r="V475" s="10"/>
      <c r="W475" s="12">
        <f t="shared" si="117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22"/>
        <v>0</v>
      </c>
      <c r="AF475" s="10"/>
      <c r="AG475" s="10"/>
      <c r="AH475" s="10"/>
      <c r="AI475" s="12">
        <f t="shared" si="119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M476" s="10">
        <v>25</v>
      </c>
      <c r="N476" s="30"/>
      <c r="O476" s="31"/>
      <c r="P476" s="47"/>
      <c r="Q476" s="31"/>
      <c r="R476" s="31"/>
      <c r="S476" s="32">
        <f t="shared" si="116"/>
        <v>0</v>
      </c>
      <c r="T476" s="10"/>
      <c r="U476" s="10"/>
      <c r="V476" s="10"/>
      <c r="W476" s="12">
        <f t="shared" si="117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22"/>
        <v>0</v>
      </c>
      <c r="AF476" s="10"/>
      <c r="AG476" s="10"/>
      <c r="AH476" s="10"/>
      <c r="AI476" s="12">
        <f t="shared" si="119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M477" s="10">
        <v>26</v>
      </c>
      <c r="N477" s="30"/>
      <c r="O477" s="31"/>
      <c r="P477" s="47"/>
      <c r="Q477" s="31"/>
      <c r="R477" s="31"/>
      <c r="S477" s="32">
        <f t="shared" si="116"/>
        <v>0</v>
      </c>
      <c r="T477" s="10"/>
      <c r="U477" s="10"/>
      <c r="V477" s="10"/>
      <c r="W477" s="12">
        <f t="shared" si="117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22"/>
        <v>0</v>
      </c>
      <c r="AF477" s="10"/>
      <c r="AG477" s="10"/>
      <c r="AH477" s="10"/>
      <c r="AI477" s="12">
        <f t="shared" si="119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M478" s="10">
        <v>27</v>
      </c>
      <c r="N478" s="30"/>
      <c r="O478" s="31"/>
      <c r="P478" s="47"/>
      <c r="Q478" s="31"/>
      <c r="R478" s="31"/>
      <c r="S478" s="32">
        <f t="shared" si="116"/>
        <v>0</v>
      </c>
      <c r="T478" s="10"/>
      <c r="U478" s="10"/>
      <c r="V478" s="10"/>
      <c r="W478" s="12">
        <f t="shared" si="117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22"/>
        <v>0</v>
      </c>
      <c r="AF478" s="10"/>
      <c r="AG478" s="10"/>
      <c r="AH478" s="10"/>
      <c r="AI478" s="12">
        <f t="shared" si="119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M479" s="10">
        <v>28</v>
      </c>
      <c r="N479" s="30"/>
      <c r="O479" s="31"/>
      <c r="P479" s="47"/>
      <c r="Q479" s="31"/>
      <c r="R479" s="31"/>
      <c r="S479" s="32">
        <f t="shared" si="116"/>
        <v>0</v>
      </c>
      <c r="T479" s="10"/>
      <c r="U479" s="10"/>
      <c r="V479" s="10"/>
      <c r="W479" s="12">
        <f t="shared" si="117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22"/>
        <v>0</v>
      </c>
      <c r="AF479" s="10"/>
      <c r="AG479" s="10"/>
      <c r="AH479" s="10"/>
      <c r="AI479" s="12">
        <f t="shared" si="119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M480" s="10">
        <v>29</v>
      </c>
      <c r="N480" s="30"/>
      <c r="O480" s="31"/>
      <c r="P480" s="47"/>
      <c r="Q480" s="31"/>
      <c r="R480" s="31"/>
      <c r="S480" s="32">
        <f t="shared" si="116"/>
        <v>0</v>
      </c>
      <c r="T480" s="10"/>
      <c r="U480" s="10"/>
      <c r="V480" s="10"/>
      <c r="W480" s="12">
        <f t="shared" si="117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22"/>
        <v>0</v>
      </c>
      <c r="AF480" s="10"/>
      <c r="AG480" s="10"/>
      <c r="AH480" s="10"/>
      <c r="AI480" s="12">
        <f t="shared" si="119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M481" s="10">
        <v>30</v>
      </c>
      <c r="N481" s="30"/>
      <c r="O481" s="31"/>
      <c r="P481" s="47"/>
      <c r="Q481" s="31"/>
      <c r="R481" s="31"/>
      <c r="S481" s="32">
        <f t="shared" si="116"/>
        <v>0</v>
      </c>
      <c r="T481" s="10"/>
      <c r="U481" s="10"/>
      <c r="V481" s="10"/>
      <c r="W481" s="12">
        <f t="shared" si="117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22"/>
        <v>0</v>
      </c>
      <c r="AF481" s="10"/>
      <c r="AG481" s="10"/>
      <c r="AH481" s="10"/>
      <c r="AI481" s="12">
        <f t="shared" si="119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M482" s="10">
        <v>31</v>
      </c>
      <c r="N482" s="30"/>
      <c r="O482" s="31"/>
      <c r="P482" s="47"/>
      <c r="Q482" s="31"/>
      <c r="R482" s="31"/>
      <c r="S482" s="32">
        <f t="shared" si="116"/>
        <v>0</v>
      </c>
      <c r="T482" s="10"/>
      <c r="U482" s="10"/>
      <c r="V482" s="10"/>
      <c r="W482" s="12">
        <f t="shared" si="117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22"/>
        <v>0</v>
      </c>
      <c r="AF482" s="10"/>
      <c r="AG482" s="10"/>
      <c r="AH482" s="10"/>
      <c r="AI482" s="12">
        <f t="shared" si="119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M483" s="10">
        <v>32</v>
      </c>
      <c r="N483" s="30"/>
      <c r="O483" s="31"/>
      <c r="P483" s="47"/>
      <c r="Q483" s="31"/>
      <c r="R483" s="31"/>
      <c r="S483" s="32">
        <f t="shared" si="116"/>
        <v>0</v>
      </c>
      <c r="T483" s="10"/>
      <c r="U483" s="10"/>
      <c r="V483" s="10"/>
      <c r="W483" s="12">
        <f t="shared" si="117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22"/>
        <v>0</v>
      </c>
      <c r="AF483" s="10"/>
      <c r="AG483" s="10"/>
      <c r="AH483" s="10"/>
      <c r="AI483" s="12">
        <f t="shared" si="119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M484" s="10">
        <v>33</v>
      </c>
      <c r="N484" s="30"/>
      <c r="O484" s="31"/>
      <c r="P484" s="47"/>
      <c r="Q484" s="31"/>
      <c r="R484" s="31"/>
      <c r="S484" s="32">
        <f t="shared" si="116"/>
        <v>0</v>
      </c>
      <c r="T484" s="10"/>
      <c r="U484" s="10"/>
      <c r="V484" s="10"/>
      <c r="W484" s="12">
        <f t="shared" si="117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22"/>
        <v>0</v>
      </c>
      <c r="AF484" s="10"/>
      <c r="AG484" s="10"/>
      <c r="AH484" s="10"/>
      <c r="AI484" s="12">
        <f t="shared" si="119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M485" s="10">
        <v>34</v>
      </c>
      <c r="N485" s="30"/>
      <c r="O485" s="31"/>
      <c r="P485" s="47"/>
      <c r="Q485" s="31"/>
      <c r="R485" s="31"/>
      <c r="S485" s="32">
        <f t="shared" si="116"/>
        <v>0</v>
      </c>
      <c r="T485" s="10"/>
      <c r="U485" s="10"/>
      <c r="V485" s="10"/>
      <c r="W485" s="12">
        <f t="shared" si="117"/>
        <v>0</v>
      </c>
      <c r="Y485" s="10">
        <v>34</v>
      </c>
      <c r="Z485" s="30"/>
      <c r="AA485" s="31"/>
      <c r="AB485" s="47"/>
      <c r="AC485" s="31"/>
      <c r="AD485" s="31"/>
      <c r="AE485" s="32">
        <f t="shared" ref="AE485:AE490" si="123">SUM(AB485:AC485)</f>
        <v>0</v>
      </c>
      <c r="AF485" s="10"/>
      <c r="AG485" s="10"/>
      <c r="AH485" s="10"/>
      <c r="AI485" s="12">
        <f t="shared" si="119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M486" s="10">
        <v>35</v>
      </c>
      <c r="N486" s="30"/>
      <c r="O486" s="31"/>
      <c r="P486" s="47"/>
      <c r="Q486" s="31"/>
      <c r="R486" s="31"/>
      <c r="S486" s="32">
        <f t="shared" si="116"/>
        <v>0</v>
      </c>
      <c r="T486" s="10"/>
      <c r="U486" s="10"/>
      <c r="V486" s="10"/>
      <c r="W486" s="12">
        <f t="shared" si="117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23"/>
        <v>0</v>
      </c>
      <c r="AF486" s="10"/>
      <c r="AG486" s="10"/>
      <c r="AH486" s="10"/>
      <c r="AI486" s="12">
        <f t="shared" si="119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M487" s="10">
        <v>36</v>
      </c>
      <c r="N487" s="30"/>
      <c r="O487" s="31"/>
      <c r="P487" s="47"/>
      <c r="Q487" s="31"/>
      <c r="R487" s="31"/>
      <c r="S487" s="32">
        <f t="shared" si="116"/>
        <v>0</v>
      </c>
      <c r="T487" s="10"/>
      <c r="U487" s="10"/>
      <c r="V487" s="10"/>
      <c r="W487" s="12">
        <f t="shared" si="117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23"/>
        <v>0</v>
      </c>
      <c r="AF487" s="10"/>
      <c r="AG487" s="10"/>
      <c r="AH487" s="10"/>
      <c r="AI487" s="12">
        <f t="shared" si="119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87"/>
      <c r="D488" s="60"/>
      <c r="E488" s="60"/>
      <c r="F488" s="60"/>
      <c r="G488" s="60"/>
      <c r="H488" s="62"/>
      <c r="I488" s="62"/>
      <c r="J488" s="62"/>
      <c r="K488" s="61"/>
      <c r="M488" s="10">
        <v>37</v>
      </c>
      <c r="N488" s="30"/>
      <c r="P488" s="47"/>
      <c r="Q488" s="31"/>
      <c r="R488" s="31"/>
      <c r="S488" s="32">
        <f t="shared" si="116"/>
        <v>0</v>
      </c>
      <c r="T488" s="10"/>
      <c r="U488" s="10"/>
      <c r="V488" s="10"/>
      <c r="W488" s="12">
        <f t="shared" si="117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23"/>
        <v>0</v>
      </c>
      <c r="AF488" s="10"/>
      <c r="AG488" s="10"/>
      <c r="AH488" s="10"/>
      <c r="AI488" s="12">
        <f t="shared" si="119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87"/>
      <c r="D489" s="60"/>
      <c r="E489" s="60"/>
      <c r="F489" s="60"/>
      <c r="G489" s="60"/>
      <c r="H489" s="62"/>
      <c r="I489" s="62"/>
      <c r="J489" s="62"/>
      <c r="K489" s="61"/>
      <c r="M489" s="10">
        <v>38</v>
      </c>
      <c r="N489" s="30"/>
      <c r="O489" s="31"/>
      <c r="P489" s="47"/>
      <c r="Q489" s="31"/>
      <c r="R489" s="31"/>
      <c r="S489" s="32">
        <f t="shared" si="116"/>
        <v>0</v>
      </c>
      <c r="T489" s="10"/>
      <c r="U489" s="10"/>
      <c r="V489" s="10"/>
      <c r="W489" s="12">
        <f t="shared" si="117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23"/>
        <v>0</v>
      </c>
      <c r="AF489" s="10"/>
      <c r="AG489" s="10"/>
      <c r="AH489" s="10"/>
      <c r="AI489" s="12">
        <f t="shared" si="119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87"/>
      <c r="D490" s="60"/>
      <c r="E490" s="60"/>
      <c r="F490" s="60"/>
      <c r="G490" s="60"/>
      <c r="H490" s="62"/>
      <c r="I490" s="62"/>
      <c r="J490" s="62"/>
      <c r="K490" s="61"/>
      <c r="M490" s="10">
        <v>39</v>
      </c>
      <c r="N490" s="30"/>
      <c r="O490" s="31"/>
      <c r="P490" s="47"/>
      <c r="Q490" s="31"/>
      <c r="R490" s="31"/>
      <c r="S490" s="32">
        <f t="shared" si="116"/>
        <v>0</v>
      </c>
      <c r="T490" s="10"/>
      <c r="U490" s="10"/>
      <c r="V490" s="10"/>
      <c r="W490" s="12">
        <f t="shared" si="117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23"/>
        <v>0</v>
      </c>
      <c r="AF490" s="10"/>
      <c r="AG490" s="10"/>
      <c r="AH490" s="10"/>
      <c r="AI490" s="12">
        <f t="shared" si="119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87"/>
      <c r="D491" s="60"/>
      <c r="E491" s="60"/>
      <c r="F491" s="60"/>
      <c r="G491" s="60"/>
      <c r="H491" s="62"/>
      <c r="I491" s="62"/>
      <c r="J491" s="62"/>
      <c r="K491" s="61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17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19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87"/>
      <c r="D492" s="60"/>
      <c r="E492" s="60"/>
      <c r="F492" s="60"/>
      <c r="G492" s="60"/>
      <c r="H492" s="62"/>
      <c r="I492" s="62"/>
      <c r="J492" s="62"/>
      <c r="K492" s="61"/>
      <c r="M492" s="10"/>
      <c r="N492" s="30"/>
      <c r="O492" s="31"/>
      <c r="P492" s="47"/>
      <c r="Q492" s="31"/>
      <c r="R492" s="31"/>
      <c r="S492" s="32">
        <f t="shared" ref="S492" si="124">SUM(P492:Q492)</f>
        <v>0</v>
      </c>
      <c r="T492" s="10"/>
      <c r="U492" s="10"/>
      <c r="V492" s="10"/>
      <c r="W492" s="12">
        <f t="shared" si="117"/>
        <v>0</v>
      </c>
      <c r="Y492" s="10"/>
      <c r="Z492" s="30"/>
      <c r="AA492" s="31"/>
      <c r="AB492" s="47"/>
      <c r="AC492" s="31"/>
      <c r="AD492" s="31"/>
      <c r="AE492" s="32">
        <f t="shared" ref="AE492" si="125">SUM(AB492:AC492)</f>
        <v>0</v>
      </c>
      <c r="AF492" s="10"/>
      <c r="AG492" s="10"/>
      <c r="AH492" s="10"/>
      <c r="AI492" s="12">
        <f t="shared" si="119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17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19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87"/>
      <c r="C494" s="87"/>
      <c r="D494" s="87"/>
      <c r="E494" s="87"/>
      <c r="F494" s="87"/>
      <c r="G494" s="87"/>
      <c r="H494" s="62"/>
      <c r="I494" s="62"/>
      <c r="J494" s="62"/>
      <c r="K494" s="62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87"/>
      <c r="C495" s="87"/>
      <c r="D495" s="70"/>
      <c r="E495" s="70"/>
      <c r="F495" s="70"/>
      <c r="G495" s="70"/>
      <c r="H495" s="63"/>
      <c r="I495" s="70"/>
      <c r="J495" s="70"/>
      <c r="K495" s="70"/>
      <c r="N495" s="57"/>
      <c r="O495" s="57"/>
      <c r="P495" s="38">
        <f>SUM(P452:P494)</f>
        <v>244187.5</v>
      </c>
      <c r="Q495" s="38">
        <f>SUM(Q452:Q476)</f>
        <v>-1932</v>
      </c>
      <c r="R495" s="38">
        <f>SUM(R452:R476)</f>
        <v>0</v>
      </c>
      <c r="S495" s="38">
        <f>SUM(S452:S494)</f>
        <v>242255.5</v>
      </c>
      <c r="T495" s="4"/>
      <c r="U495" s="41">
        <f>SUM(U452:U494)</f>
        <v>4479</v>
      </c>
      <c r="V495" s="41">
        <f>SUM(V452:V476)</f>
        <v>-2643</v>
      </c>
      <c r="W495" s="42">
        <f>SUM(W452:W494)</f>
        <v>244091.5</v>
      </c>
      <c r="Z495" s="57"/>
      <c r="AA495" s="57"/>
      <c r="AB495" s="38">
        <f>SUM(AB452:AB494)</f>
        <v>255634</v>
      </c>
      <c r="AC495" s="38">
        <f>SUM(AC452:AC476)</f>
        <v>-1242</v>
      </c>
      <c r="AD495" s="38">
        <f>SUM(AD452:AD476)</f>
        <v>0</v>
      </c>
      <c r="AE495" s="38">
        <f>SUM(AE452:AE494)</f>
        <v>254392</v>
      </c>
      <c r="AF495" s="4"/>
      <c r="AG495" s="41">
        <f>SUM(AG452:AG494)</f>
        <v>162</v>
      </c>
      <c r="AH495" s="41">
        <f>SUM(AH452:AH476)</f>
        <v>-1221</v>
      </c>
      <c r="AI495" s="42">
        <f>SUM(AI452:AI494)</f>
        <v>253333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s="62"/>
      <c r="Z497" s="100"/>
      <c r="AA497" s="100"/>
      <c r="AB497" s="100"/>
      <c r="AC497" s="100"/>
      <c r="AD497" s="100"/>
      <c r="AE497" s="100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s="62"/>
      <c r="Z498" s="100"/>
      <c r="AA498" s="100"/>
      <c r="AB498" s="100"/>
      <c r="AC498" s="100"/>
      <c r="AD498" s="100"/>
      <c r="AE498" s="100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Y499" s="63"/>
      <c r="Z499" s="100"/>
      <c r="AA499" s="100"/>
      <c r="AB499" s="100"/>
      <c r="AC499" s="100"/>
      <c r="AD499" s="100"/>
      <c r="AE499" s="100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62"/>
      <c r="Z500" s="100"/>
      <c r="AA500" s="100"/>
      <c r="AB500" s="100"/>
      <c r="AC500" s="100"/>
      <c r="AD500" s="100"/>
      <c r="AE500" s="100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Y501" s="62"/>
      <c r="Z501" s="100"/>
      <c r="AA501" s="100"/>
      <c r="AB501" s="100"/>
      <c r="AC501" s="100"/>
      <c r="AD501" s="100"/>
      <c r="AE501" s="100"/>
      <c r="AF501" s="62"/>
      <c r="AG501" s="100"/>
      <c r="AH501" s="100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50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50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s="64"/>
      <c r="Z502" s="100"/>
      <c r="AA502" s="100"/>
      <c r="AB502" s="100"/>
      <c r="AC502" s="100"/>
      <c r="AD502" s="100"/>
      <c r="AE502" s="100"/>
      <c r="AF502" s="62"/>
      <c r="AG502" s="65"/>
      <c r="AH502" s="65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90</v>
      </c>
      <c r="B503" s="20"/>
      <c r="C503" s="57"/>
      <c r="D503" s="57"/>
      <c r="E503" s="57"/>
      <c r="G503" s="57"/>
      <c r="I503" s="22" t="s">
        <v>16</v>
      </c>
      <c r="J503" s="23" t="s">
        <v>42</v>
      </c>
      <c r="K503" s="24"/>
      <c r="M503" s="21" t="s">
        <v>90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32</v>
      </c>
      <c r="W503" s="24"/>
      <c r="Y503" s="62"/>
      <c r="Z503" s="100"/>
      <c r="AA503" s="100"/>
      <c r="AB503" s="100"/>
      <c r="AC503" s="100"/>
      <c r="AD503" s="100"/>
      <c r="AE503" s="100"/>
      <c r="AF503" s="62"/>
      <c r="AG503" s="62"/>
      <c r="AH503" s="62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Y504" s="62"/>
      <c r="Z504" s="65"/>
      <c r="AA504" s="100"/>
      <c r="AB504" s="123"/>
      <c r="AC504" s="123"/>
      <c r="AD504" s="100"/>
      <c r="AE504" s="100"/>
      <c r="AF504" s="62"/>
      <c r="AG504" s="123"/>
      <c r="AH504" s="123"/>
      <c r="AI504" s="124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ht="15" customHeight="1" x14ac:dyDescent="0.25">
      <c r="B505" s="25"/>
      <c r="C505" s="26"/>
      <c r="D505" s="118" t="s">
        <v>17</v>
      </c>
      <c r="E505" s="118"/>
      <c r="F505" s="101"/>
      <c r="G505" s="27"/>
      <c r="I505" s="119" t="s">
        <v>18</v>
      </c>
      <c r="J505" s="120"/>
      <c r="K505" s="121" t="s">
        <v>19</v>
      </c>
      <c r="N505" s="25"/>
      <c r="O505" s="26"/>
      <c r="P505" s="118" t="s">
        <v>17</v>
      </c>
      <c r="Q505" s="118"/>
      <c r="R505" s="101"/>
      <c r="S505" s="27"/>
      <c r="U505" s="119" t="s">
        <v>18</v>
      </c>
      <c r="V505" s="120"/>
      <c r="W505" s="121" t="s">
        <v>19</v>
      </c>
      <c r="Y505" s="62"/>
      <c r="Z505" s="100"/>
      <c r="AA505" s="100"/>
      <c r="AB505" s="79"/>
      <c r="AC505" s="81"/>
      <c r="AD505" s="81"/>
      <c r="AE505" s="81"/>
      <c r="AF505" s="62"/>
      <c r="AG505" s="99"/>
      <c r="AH505" s="99"/>
      <c r="AI505" s="124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31</v>
      </c>
      <c r="G506" s="78" t="s">
        <v>24</v>
      </c>
      <c r="I506" s="29" t="s">
        <v>25</v>
      </c>
      <c r="J506" s="29" t="s">
        <v>26</v>
      </c>
      <c r="K506" s="122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31</v>
      </c>
      <c r="S506" s="78" t="s">
        <v>24</v>
      </c>
      <c r="U506" s="29" t="s">
        <v>25</v>
      </c>
      <c r="V506" s="29" t="s">
        <v>26</v>
      </c>
      <c r="W506" s="122"/>
      <c r="Y506" s="62"/>
      <c r="Z506" s="66"/>
      <c r="AA506" s="100"/>
      <c r="AB506" s="60"/>
      <c r="AC506" s="60"/>
      <c r="AD506" s="60"/>
      <c r="AE506" s="60"/>
      <c r="AF506" s="61"/>
      <c r="AG506" s="61"/>
      <c r="AH506" s="61"/>
      <c r="AI506" s="61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46362</v>
      </c>
      <c r="C507" s="83">
        <v>10939</v>
      </c>
      <c r="D507" s="32">
        <f>650*90+670*4+622*20+500*4</f>
        <v>75620</v>
      </c>
      <c r="E507" s="32"/>
      <c r="F507" s="32"/>
      <c r="G507" s="32">
        <f t="shared" ref="G507:G540" si="126">SUM(D507:E507)</f>
        <v>75620</v>
      </c>
      <c r="H507" s="12"/>
      <c r="I507" s="12">
        <f>1.5*24</f>
        <v>36</v>
      </c>
      <c r="J507" s="12"/>
      <c r="K507" s="12">
        <f t="shared" ref="K507:K540" si="127">SUM(G507:J507)</f>
        <v>75656</v>
      </c>
      <c r="M507" s="10">
        <v>1</v>
      </c>
      <c r="N507" s="30">
        <v>46362</v>
      </c>
      <c r="O507" s="31">
        <v>10881</v>
      </c>
      <c r="P507" s="32">
        <f>622*36</f>
        <v>22392</v>
      </c>
      <c r="Q507" s="32"/>
      <c r="R507" s="32"/>
      <c r="S507" s="32">
        <f>SUM(P507:Q507)</f>
        <v>22392</v>
      </c>
      <c r="T507" s="12"/>
      <c r="U507" s="12"/>
      <c r="V507" s="12"/>
      <c r="W507" s="12">
        <f>SUM(S507:V507)</f>
        <v>22392</v>
      </c>
      <c r="Y507" s="62"/>
      <c r="Z507" s="66"/>
      <c r="AA507" s="100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46362</v>
      </c>
      <c r="C508" s="83">
        <f>C507+1</f>
        <v>10940</v>
      </c>
      <c r="D508" s="32">
        <f>650*20</f>
        <v>13000</v>
      </c>
      <c r="E508" s="32"/>
      <c r="F508" s="32"/>
      <c r="G508" s="32">
        <f t="shared" si="126"/>
        <v>13000</v>
      </c>
      <c r="H508" s="12"/>
      <c r="I508" s="12"/>
      <c r="J508" s="12"/>
      <c r="K508" s="12">
        <f t="shared" si="127"/>
        <v>13000</v>
      </c>
      <c r="M508" s="10">
        <v>2</v>
      </c>
      <c r="N508" s="30">
        <v>46362</v>
      </c>
      <c r="O508" s="31">
        <f>O507+1</f>
        <v>10882</v>
      </c>
      <c r="P508" s="32">
        <f>650*50+670*3+622*10+500+872+229*4+650</f>
        <v>43668</v>
      </c>
      <c r="Q508" s="32"/>
      <c r="R508" s="32"/>
      <c r="S508" s="32">
        <f t="shared" ref="S508:S545" si="128">SUM(P508:Q508)</f>
        <v>43668</v>
      </c>
      <c r="T508" s="12"/>
      <c r="U508" s="12"/>
      <c r="V508" s="12">
        <f>-111*11</f>
        <v>-1221</v>
      </c>
      <c r="W508" s="12">
        <f t="shared" ref="W508:W548" si="129">SUM(S508:V508)</f>
        <v>42447</v>
      </c>
      <c r="Y508" s="62"/>
      <c r="Z508" s="66"/>
      <c r="AA508" s="100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46362</v>
      </c>
      <c r="C509" s="83">
        <f t="shared" ref="C509:C512" si="130">C508+1</f>
        <v>10941</v>
      </c>
      <c r="D509" s="33">
        <f>650*178+622*10+229*5</f>
        <v>123065</v>
      </c>
      <c r="E509" s="33"/>
      <c r="F509" s="33"/>
      <c r="G509" s="33">
        <f t="shared" si="126"/>
        <v>123065</v>
      </c>
      <c r="H509" s="34"/>
      <c r="I509" s="34"/>
      <c r="J509" s="34"/>
      <c r="K509" s="34">
        <f t="shared" si="127"/>
        <v>123065</v>
      </c>
      <c r="M509" s="10">
        <v>3</v>
      </c>
      <c r="N509" s="30">
        <v>46362</v>
      </c>
      <c r="O509" s="31">
        <f t="shared" ref="O509:O512" si="131">O508+1</f>
        <v>10883</v>
      </c>
      <c r="P509" s="32">
        <f>650*10+872+650</f>
        <v>8022</v>
      </c>
      <c r="Q509" s="32"/>
      <c r="R509" s="32"/>
      <c r="S509" s="32">
        <f t="shared" si="128"/>
        <v>8022</v>
      </c>
      <c r="T509" s="12"/>
      <c r="U509" s="12">
        <f>4.5*12</f>
        <v>54</v>
      </c>
      <c r="V509" s="12"/>
      <c r="W509" s="12">
        <f t="shared" si="129"/>
        <v>8076</v>
      </c>
      <c r="Y509" s="62"/>
      <c r="Z509" s="66"/>
      <c r="AA509" s="100"/>
      <c r="AB509" s="60"/>
      <c r="AC509" s="60"/>
      <c r="AD509" s="60"/>
      <c r="AE509" s="60"/>
      <c r="AF509" s="61"/>
      <c r="AG509" s="62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46362</v>
      </c>
      <c r="C510" s="83">
        <f t="shared" si="130"/>
        <v>10942</v>
      </c>
      <c r="D510" s="32">
        <f>650*5+650*2</f>
        <v>4550</v>
      </c>
      <c r="E510" s="32"/>
      <c r="F510" s="32"/>
      <c r="G510" s="32">
        <f t="shared" si="126"/>
        <v>4550</v>
      </c>
      <c r="H510" s="12"/>
      <c r="I510" s="12"/>
      <c r="J510" s="12"/>
      <c r="K510" s="12">
        <f t="shared" si="127"/>
        <v>4550</v>
      </c>
      <c r="M510" s="10">
        <v>4</v>
      </c>
      <c r="N510" s="30">
        <v>46362</v>
      </c>
      <c r="O510" s="31">
        <f t="shared" si="131"/>
        <v>10884</v>
      </c>
      <c r="P510" s="32">
        <f>650*43+622*2+670+650</f>
        <v>30514</v>
      </c>
      <c r="Q510" s="32"/>
      <c r="R510" s="32"/>
      <c r="S510" s="32">
        <f t="shared" si="128"/>
        <v>30514</v>
      </c>
      <c r="T510" s="12"/>
      <c r="U510" s="12"/>
      <c r="V510" s="12"/>
      <c r="W510" s="12">
        <f t="shared" si="129"/>
        <v>30514</v>
      </c>
      <c r="Y510" s="62"/>
      <c r="Z510" s="66"/>
      <c r="AA510" s="100"/>
      <c r="AB510" s="60"/>
      <c r="AC510" s="60"/>
      <c r="AD510" s="60"/>
      <c r="AE510" s="60"/>
      <c r="AF510" s="61"/>
      <c r="AG510" s="61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>
        <v>46362</v>
      </c>
      <c r="C511" s="83">
        <f t="shared" si="130"/>
        <v>10943</v>
      </c>
      <c r="D511" s="32">
        <f>650*108+622*71+229*6</f>
        <v>115736</v>
      </c>
      <c r="E511" s="32">
        <f>-179*6</f>
        <v>-1074</v>
      </c>
      <c r="F511" s="32"/>
      <c r="G511" s="32">
        <f t="shared" si="126"/>
        <v>114662</v>
      </c>
      <c r="H511" s="12"/>
      <c r="I511" s="12">
        <f>111*179+78*6</f>
        <v>20337</v>
      </c>
      <c r="J511" s="12"/>
      <c r="K511" s="12">
        <f t="shared" si="127"/>
        <v>134999</v>
      </c>
      <c r="M511" s="10">
        <v>5</v>
      </c>
      <c r="N511" s="30">
        <v>46362</v>
      </c>
      <c r="O511" s="31">
        <f t="shared" si="131"/>
        <v>10885</v>
      </c>
      <c r="P511" s="32">
        <f>650*4+670</f>
        <v>3270</v>
      </c>
      <c r="Q511" s="32"/>
      <c r="R511" s="32"/>
      <c r="S511" s="32">
        <f t="shared" si="128"/>
        <v>3270</v>
      </c>
      <c r="T511" s="12"/>
      <c r="U511" s="12"/>
      <c r="V511" s="12"/>
      <c r="W511" s="12">
        <f t="shared" si="129"/>
        <v>3270</v>
      </c>
      <c r="Y511" s="62"/>
      <c r="Z511" s="66"/>
      <c r="AA511" s="100"/>
      <c r="AB511" s="60"/>
      <c r="AC511" s="60"/>
      <c r="AD511" s="60"/>
      <c r="AE511" s="60"/>
      <c r="AF511" s="61"/>
      <c r="AG511" s="61"/>
      <c r="AH511" s="62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>
        <v>46362</v>
      </c>
      <c r="C512" s="83">
        <f t="shared" si="130"/>
        <v>10944</v>
      </c>
      <c r="D512" s="32">
        <f>650*18+670*4+622*2</f>
        <v>15624</v>
      </c>
      <c r="E512" s="32"/>
      <c r="F512" s="32"/>
      <c r="G512" s="32">
        <f t="shared" si="126"/>
        <v>15624</v>
      </c>
      <c r="H512" s="12"/>
      <c r="I512" s="12">
        <f>4.5*28</f>
        <v>126</v>
      </c>
      <c r="J512" s="12"/>
      <c r="K512" s="12">
        <f t="shared" si="127"/>
        <v>15750</v>
      </c>
      <c r="M512" s="10">
        <v>6</v>
      </c>
      <c r="N512" s="30">
        <v>46362</v>
      </c>
      <c r="O512" s="31">
        <f t="shared" si="131"/>
        <v>10886</v>
      </c>
      <c r="P512" s="32">
        <f>650*170+622*20+229*6+650*2</f>
        <v>125614</v>
      </c>
      <c r="Q512" s="32">
        <f>-190*6</f>
        <v>-1140</v>
      </c>
      <c r="R512" s="32"/>
      <c r="S512" s="32">
        <f t="shared" si="128"/>
        <v>124474</v>
      </c>
      <c r="T512" s="12"/>
      <c r="U512" s="12">
        <f>78*4</f>
        <v>312</v>
      </c>
      <c r="V512" s="10">
        <f>-120*5+-111*42+-42*4</f>
        <v>-5430</v>
      </c>
      <c r="W512" s="12">
        <f t="shared" si="129"/>
        <v>119356</v>
      </c>
      <c r="Y512" s="62"/>
      <c r="Z512" s="66"/>
      <c r="AA512" s="100"/>
      <c r="AB512" s="60"/>
      <c r="AC512" s="60"/>
      <c r="AD512" s="60"/>
      <c r="AE512" s="60"/>
      <c r="AF512" s="61"/>
      <c r="AG512" s="61"/>
      <c r="AH512" s="61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11" t="s">
        <v>27</v>
      </c>
      <c r="D513" s="32"/>
      <c r="E513" s="32"/>
      <c r="F513" s="32"/>
      <c r="G513" s="32">
        <f t="shared" si="126"/>
        <v>0</v>
      </c>
      <c r="H513" s="12"/>
      <c r="I513" s="12"/>
      <c r="J513" s="12"/>
      <c r="K513" s="12">
        <f t="shared" si="127"/>
        <v>0</v>
      </c>
      <c r="M513" s="10">
        <v>7</v>
      </c>
      <c r="N513" s="30"/>
      <c r="O513" s="11" t="s">
        <v>27</v>
      </c>
      <c r="P513" s="32"/>
      <c r="Q513" s="32"/>
      <c r="R513" s="32"/>
      <c r="S513" s="32">
        <f t="shared" si="128"/>
        <v>0</v>
      </c>
      <c r="T513" s="12"/>
      <c r="U513" s="12"/>
      <c r="V513" s="12"/>
      <c r="W513" s="12">
        <f t="shared" si="129"/>
        <v>0</v>
      </c>
      <c r="Y513" s="62"/>
      <c r="Z513" s="66"/>
      <c r="AA513" s="100"/>
      <c r="AB513" s="60"/>
      <c r="AC513" s="60"/>
      <c r="AD513" s="62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83"/>
      <c r="D514" s="32"/>
      <c r="E514" s="32"/>
      <c r="F514" s="32"/>
      <c r="G514" s="32">
        <f t="shared" si="126"/>
        <v>0</v>
      </c>
      <c r="H514" s="12"/>
      <c r="I514" s="12"/>
      <c r="J514" s="12"/>
      <c r="K514" s="12">
        <f t="shared" si="127"/>
        <v>0</v>
      </c>
      <c r="M514" s="10">
        <v>8</v>
      </c>
      <c r="N514" s="30"/>
      <c r="P514" s="32"/>
      <c r="Q514" s="32"/>
      <c r="R514" s="32"/>
      <c r="S514" s="32">
        <f t="shared" si="128"/>
        <v>0</v>
      </c>
      <c r="T514" s="12"/>
      <c r="U514" s="12"/>
      <c r="V514" s="12"/>
      <c r="W514" s="12">
        <f t="shared" si="129"/>
        <v>0</v>
      </c>
      <c r="Y514" s="62"/>
      <c r="Z514" s="66"/>
      <c r="AA514" s="100"/>
      <c r="AB514" s="60"/>
      <c r="AC514" s="60"/>
      <c r="AD514" s="60"/>
      <c r="AE514" s="60"/>
      <c r="AF514" s="61"/>
      <c r="AG514" s="62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57"/>
      <c r="D515" s="32"/>
      <c r="E515" s="32"/>
      <c r="F515" s="32"/>
      <c r="G515" s="32">
        <f t="shared" si="126"/>
        <v>0</v>
      </c>
      <c r="H515" s="12"/>
      <c r="I515" s="12"/>
      <c r="J515" s="12"/>
      <c r="K515" s="12">
        <f t="shared" si="127"/>
        <v>0</v>
      </c>
      <c r="M515" s="10">
        <v>9</v>
      </c>
      <c r="N515" s="30"/>
      <c r="O515" s="31"/>
      <c r="P515" s="32"/>
      <c r="Q515" s="32"/>
      <c r="R515" s="32"/>
      <c r="S515" s="32">
        <f t="shared" si="128"/>
        <v>0</v>
      </c>
      <c r="T515" s="12"/>
      <c r="U515" s="12"/>
      <c r="V515" s="12"/>
      <c r="W515" s="12">
        <f t="shared" si="129"/>
        <v>0</v>
      </c>
      <c r="Y515" s="62"/>
      <c r="Z515" s="66"/>
      <c r="AA515" s="100"/>
      <c r="AB515" s="60"/>
      <c r="AC515" s="60"/>
      <c r="AD515" s="60"/>
      <c r="AE515" s="60"/>
      <c r="AF515" s="61"/>
      <c r="AG515" s="61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83"/>
      <c r="D516" s="32"/>
      <c r="E516" s="32"/>
      <c r="F516" s="32"/>
      <c r="G516" s="32">
        <f t="shared" si="126"/>
        <v>0</v>
      </c>
      <c r="H516" s="12"/>
      <c r="I516" s="12"/>
      <c r="J516" s="12"/>
      <c r="K516" s="12">
        <f t="shared" si="127"/>
        <v>0</v>
      </c>
      <c r="M516" s="10">
        <v>10</v>
      </c>
      <c r="N516" s="30"/>
      <c r="O516" s="31"/>
      <c r="P516" s="32"/>
      <c r="Q516" s="32"/>
      <c r="R516" s="32"/>
      <c r="S516" s="32">
        <f t="shared" si="128"/>
        <v>0</v>
      </c>
      <c r="T516" s="12"/>
      <c r="U516" s="12"/>
      <c r="V516" s="12"/>
      <c r="W516" s="12">
        <f t="shared" si="129"/>
        <v>0</v>
      </c>
      <c r="Y516" s="62"/>
      <c r="Z516" s="66"/>
      <c r="AA516" s="100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83"/>
      <c r="D517" s="32"/>
      <c r="E517" s="32"/>
      <c r="F517" s="32"/>
      <c r="G517" s="32">
        <f t="shared" si="126"/>
        <v>0</v>
      </c>
      <c r="H517" s="12"/>
      <c r="I517" s="12"/>
      <c r="J517" s="12"/>
      <c r="K517" s="12">
        <f t="shared" si="127"/>
        <v>0</v>
      </c>
      <c r="M517" s="10">
        <v>11</v>
      </c>
      <c r="N517" s="30"/>
      <c r="O517" s="31"/>
      <c r="P517" s="32"/>
      <c r="Q517" s="32"/>
      <c r="R517" s="32"/>
      <c r="S517" s="32">
        <f t="shared" si="128"/>
        <v>0</v>
      </c>
      <c r="T517" s="12"/>
      <c r="U517" s="12"/>
      <c r="V517" s="12"/>
      <c r="W517" s="12">
        <f t="shared" si="129"/>
        <v>0</v>
      </c>
      <c r="Y517" s="62"/>
      <c r="Z517" s="66"/>
      <c r="AA517" s="65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26"/>
        <v>0</v>
      </c>
      <c r="H518" s="12"/>
      <c r="I518" s="12"/>
      <c r="J518" s="10"/>
      <c r="K518" s="12">
        <f t="shared" si="127"/>
        <v>0</v>
      </c>
      <c r="M518" s="10">
        <v>12</v>
      </c>
      <c r="N518" s="30"/>
      <c r="O518" s="31"/>
      <c r="P518" s="32"/>
      <c r="Q518" s="32"/>
      <c r="R518" s="32"/>
      <c r="S518" s="32">
        <f t="shared" si="128"/>
        <v>0</v>
      </c>
      <c r="T518" s="12"/>
      <c r="U518" s="12"/>
      <c r="V518" s="12"/>
      <c r="W518" s="12">
        <f t="shared" si="129"/>
        <v>0</v>
      </c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57"/>
      <c r="D519" s="32"/>
      <c r="E519" s="32"/>
      <c r="F519" s="32"/>
      <c r="G519" s="32">
        <f t="shared" si="126"/>
        <v>0</v>
      </c>
      <c r="H519" s="12"/>
      <c r="I519" s="12"/>
      <c r="J519" s="12"/>
      <c r="K519" s="12">
        <f t="shared" si="127"/>
        <v>0</v>
      </c>
      <c r="M519" s="10">
        <v>13</v>
      </c>
      <c r="N519" s="30"/>
      <c r="O519" s="31"/>
      <c r="P519" s="32"/>
      <c r="Q519" s="32"/>
      <c r="R519" s="32"/>
      <c r="S519" s="32">
        <f t="shared" si="128"/>
        <v>0</v>
      </c>
      <c r="T519" s="12"/>
      <c r="U519" s="12"/>
      <c r="V519" s="12"/>
      <c r="W519" s="12">
        <f t="shared" si="129"/>
        <v>0</v>
      </c>
      <c r="Y519" s="62"/>
      <c r="Z519" s="66"/>
      <c r="AA519" s="100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26"/>
        <v>0</v>
      </c>
      <c r="H520" s="12"/>
      <c r="I520" s="12"/>
      <c r="J520" s="12"/>
      <c r="K520" s="12">
        <f t="shared" si="127"/>
        <v>0</v>
      </c>
      <c r="M520" s="10">
        <v>14</v>
      </c>
      <c r="N520" s="30"/>
      <c r="O520" s="31"/>
      <c r="P520" s="32"/>
      <c r="Q520" s="32"/>
      <c r="R520" s="32"/>
      <c r="S520" s="32">
        <f t="shared" si="128"/>
        <v>0</v>
      </c>
      <c r="T520" s="12"/>
      <c r="U520" s="12"/>
      <c r="V520" s="12"/>
      <c r="W520" s="12">
        <f t="shared" si="129"/>
        <v>0</v>
      </c>
      <c r="Y520" s="62"/>
      <c r="Z520" s="66"/>
      <c r="AA520" s="100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26"/>
        <v>0</v>
      </c>
      <c r="H521" s="12"/>
      <c r="I521" s="12"/>
      <c r="J521" s="12"/>
      <c r="K521" s="12">
        <f t="shared" si="127"/>
        <v>0</v>
      </c>
      <c r="M521" s="10">
        <v>15</v>
      </c>
      <c r="N521" s="30"/>
      <c r="O521" s="31"/>
      <c r="P521" s="32"/>
      <c r="Q521" s="32"/>
      <c r="R521" s="32"/>
      <c r="S521" s="32">
        <f t="shared" si="128"/>
        <v>0</v>
      </c>
      <c r="T521" s="12"/>
      <c r="U521" s="12"/>
      <c r="V521" s="12"/>
      <c r="W521" s="12">
        <f t="shared" si="129"/>
        <v>0</v>
      </c>
      <c r="Y521" s="62"/>
      <c r="Z521" s="62"/>
      <c r="AA521" s="65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11"/>
      <c r="D522" s="32"/>
      <c r="E522" s="32"/>
      <c r="F522" s="32"/>
      <c r="G522" s="32">
        <f t="shared" si="126"/>
        <v>0</v>
      </c>
      <c r="H522" s="12"/>
      <c r="I522" s="12"/>
      <c r="J522" s="12"/>
      <c r="K522" s="12">
        <f t="shared" si="127"/>
        <v>0</v>
      </c>
      <c r="M522" s="10">
        <v>16</v>
      </c>
      <c r="N522" s="30"/>
      <c r="O522" s="11"/>
      <c r="P522" s="32"/>
      <c r="Q522" s="32"/>
      <c r="R522" s="32"/>
      <c r="S522" s="32">
        <f t="shared" si="128"/>
        <v>0</v>
      </c>
      <c r="T522" s="12"/>
      <c r="U522" s="12"/>
      <c r="V522" s="12"/>
      <c r="W522" s="12">
        <f t="shared" si="129"/>
        <v>0</v>
      </c>
      <c r="Y522" s="62"/>
      <c r="Z522" s="66"/>
      <c r="AA522" s="100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26"/>
        <v>0</v>
      </c>
      <c r="H523" s="12"/>
      <c r="I523" s="12"/>
      <c r="J523" s="12"/>
      <c r="K523" s="12">
        <f t="shared" si="127"/>
        <v>0</v>
      </c>
      <c r="M523" s="10">
        <v>17</v>
      </c>
      <c r="N523" s="30"/>
      <c r="O523" s="31"/>
      <c r="P523" s="35"/>
      <c r="Q523" s="32"/>
      <c r="R523" s="32"/>
      <c r="S523" s="32">
        <f t="shared" si="128"/>
        <v>0</v>
      </c>
      <c r="T523" s="12"/>
      <c r="U523" s="12"/>
      <c r="V523" s="12"/>
      <c r="W523" s="12">
        <f t="shared" si="129"/>
        <v>0</v>
      </c>
      <c r="Y523" s="62"/>
      <c r="Z523" s="66"/>
      <c r="AA523" s="100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26"/>
        <v>0</v>
      </c>
      <c r="H524" s="12"/>
      <c r="I524" s="12"/>
      <c r="J524" s="12"/>
      <c r="K524" s="12">
        <f t="shared" si="127"/>
        <v>0</v>
      </c>
      <c r="M524" s="10">
        <v>18</v>
      </c>
      <c r="N524" s="30"/>
      <c r="O524" s="31"/>
      <c r="P524" s="32"/>
      <c r="Q524" s="32"/>
      <c r="R524" s="32"/>
      <c r="S524" s="32">
        <f t="shared" si="128"/>
        <v>0</v>
      </c>
      <c r="T524" s="12"/>
      <c r="U524" s="12"/>
      <c r="V524" s="12"/>
      <c r="W524" s="12">
        <f t="shared" si="129"/>
        <v>0</v>
      </c>
      <c r="Y524" s="62"/>
      <c r="Z524" s="66"/>
      <c r="AA524" s="100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26"/>
        <v>0</v>
      </c>
      <c r="H525" s="12"/>
      <c r="I525" s="12"/>
      <c r="J525" s="12"/>
      <c r="K525" s="12">
        <f t="shared" si="127"/>
        <v>0</v>
      </c>
      <c r="M525" s="10">
        <v>19</v>
      </c>
      <c r="N525" s="30"/>
      <c r="O525" s="31"/>
      <c r="P525" s="32"/>
      <c r="Q525" s="32"/>
      <c r="R525" s="32"/>
      <c r="S525" s="32">
        <f t="shared" si="128"/>
        <v>0</v>
      </c>
      <c r="T525" s="12"/>
      <c r="U525" s="12"/>
      <c r="V525" s="12"/>
      <c r="W525" s="12">
        <f t="shared" si="129"/>
        <v>0</v>
      </c>
      <c r="Y525" s="62"/>
      <c r="Z525" s="66"/>
      <c r="AA525" s="62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26"/>
        <v>0</v>
      </c>
      <c r="H526" s="12"/>
      <c r="I526" s="12"/>
      <c r="J526" s="12"/>
      <c r="K526" s="12">
        <f t="shared" si="127"/>
        <v>0</v>
      </c>
      <c r="M526" s="10">
        <v>20</v>
      </c>
      <c r="N526" s="30"/>
      <c r="O526" s="31"/>
      <c r="P526" s="32"/>
      <c r="Q526" s="32"/>
      <c r="R526" s="32"/>
      <c r="S526" s="32">
        <f t="shared" si="128"/>
        <v>0</v>
      </c>
      <c r="T526" s="12"/>
      <c r="U526" s="12"/>
      <c r="V526" s="12"/>
      <c r="W526" s="12">
        <f t="shared" si="129"/>
        <v>0</v>
      </c>
      <c r="Y526" s="62"/>
      <c r="Z526" s="66"/>
      <c r="AA526" s="100"/>
      <c r="AB526" s="67"/>
      <c r="AC526" s="100"/>
      <c r="AD526" s="100"/>
      <c r="AE526" s="60"/>
      <c r="AF526" s="62"/>
      <c r="AG526" s="62"/>
      <c r="AH526" s="62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83"/>
      <c r="D527" s="32"/>
      <c r="E527" s="32"/>
      <c r="F527" s="32"/>
      <c r="G527" s="32">
        <f t="shared" si="126"/>
        <v>0</v>
      </c>
      <c r="H527" s="10"/>
      <c r="I527" s="10"/>
      <c r="J527" s="10"/>
      <c r="K527" s="12">
        <f t="shared" si="127"/>
        <v>0</v>
      </c>
      <c r="M527" s="10">
        <v>21</v>
      </c>
      <c r="N527" s="30"/>
      <c r="O527" s="31"/>
      <c r="P527" s="46"/>
      <c r="Q527" s="31"/>
      <c r="R527" s="31"/>
      <c r="S527" s="32">
        <f t="shared" si="128"/>
        <v>0</v>
      </c>
      <c r="T527" s="10"/>
      <c r="U527" s="10"/>
      <c r="V527" s="10"/>
      <c r="W527" s="12">
        <f t="shared" si="129"/>
        <v>0</v>
      </c>
      <c r="Y527" s="62"/>
      <c r="Z527" s="66"/>
      <c r="AA527" s="100"/>
      <c r="AB527" s="68"/>
      <c r="AC527" s="100"/>
      <c r="AD527" s="100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3"/>
      <c r="D528" s="32"/>
      <c r="E528" s="32"/>
      <c r="F528" s="32"/>
      <c r="G528" s="32">
        <f t="shared" si="126"/>
        <v>0</v>
      </c>
      <c r="H528" s="10"/>
      <c r="I528" s="10"/>
      <c r="J528" s="10"/>
      <c r="K528" s="12">
        <f t="shared" si="127"/>
        <v>0</v>
      </c>
      <c r="M528" s="10">
        <v>22</v>
      </c>
      <c r="N528" s="30"/>
      <c r="O528" s="31"/>
      <c r="P528" s="45"/>
      <c r="Q528" s="31"/>
      <c r="R528" s="31"/>
      <c r="S528" s="32">
        <f t="shared" si="128"/>
        <v>0</v>
      </c>
      <c r="T528" s="10"/>
      <c r="U528" s="10"/>
      <c r="V528" s="10"/>
      <c r="W528" s="12">
        <f t="shared" si="129"/>
        <v>0</v>
      </c>
      <c r="Y528" s="62"/>
      <c r="Z528" s="66"/>
      <c r="AA528" s="100"/>
      <c r="AB528" s="69"/>
      <c r="AC528" s="100"/>
      <c r="AD528" s="62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26"/>
        <v>0</v>
      </c>
      <c r="H529" s="10"/>
      <c r="I529" s="10"/>
      <c r="J529" s="12"/>
      <c r="K529" s="12">
        <f t="shared" si="127"/>
        <v>0</v>
      </c>
      <c r="M529" s="10">
        <v>23</v>
      </c>
      <c r="N529" s="30"/>
      <c r="O529" s="31"/>
      <c r="P529" s="47"/>
      <c r="Q529" s="31"/>
      <c r="S529" s="32">
        <f t="shared" si="128"/>
        <v>0</v>
      </c>
      <c r="T529" s="10"/>
      <c r="U529" s="10"/>
      <c r="V529" s="10"/>
      <c r="W529" s="12">
        <f t="shared" si="129"/>
        <v>0</v>
      </c>
      <c r="Y529" s="62"/>
      <c r="Z529" s="66"/>
      <c r="AA529" s="100"/>
      <c r="AB529" s="69"/>
      <c r="AC529" s="100"/>
      <c r="AD529" s="100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26"/>
        <v>0</v>
      </c>
      <c r="H530" s="10"/>
      <c r="I530" s="10"/>
      <c r="J530" s="10"/>
      <c r="K530" s="12">
        <f t="shared" si="127"/>
        <v>0</v>
      </c>
      <c r="M530" s="10">
        <v>24</v>
      </c>
      <c r="N530" s="30"/>
      <c r="O530" s="31"/>
      <c r="P530" s="47"/>
      <c r="Q530" s="31"/>
      <c r="R530" s="31"/>
      <c r="S530" s="32">
        <f t="shared" si="128"/>
        <v>0</v>
      </c>
      <c r="T530" s="10"/>
      <c r="U530" s="10"/>
      <c r="V530" s="10"/>
      <c r="W530" s="12">
        <f t="shared" si="129"/>
        <v>0</v>
      </c>
      <c r="Y530" s="62"/>
      <c r="Z530" s="66"/>
      <c r="AA530" s="100"/>
      <c r="AB530" s="69"/>
      <c r="AC530" s="100"/>
      <c r="AD530" s="100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26"/>
        <v>0</v>
      </c>
      <c r="H531" s="10"/>
      <c r="I531" s="10"/>
      <c r="J531" s="10"/>
      <c r="K531" s="12">
        <f t="shared" si="127"/>
        <v>0</v>
      </c>
      <c r="M531" s="10">
        <v>25</v>
      </c>
      <c r="N531" s="30"/>
      <c r="O531" s="31"/>
      <c r="P531" s="47"/>
      <c r="Q531" s="31"/>
      <c r="R531" s="31"/>
      <c r="S531" s="32">
        <f t="shared" si="128"/>
        <v>0</v>
      </c>
      <c r="T531" s="10"/>
      <c r="U531" s="10"/>
      <c r="V531" s="10"/>
      <c r="W531" s="12">
        <f t="shared" si="129"/>
        <v>0</v>
      </c>
      <c r="Y531" s="62"/>
      <c r="Z531" s="66"/>
      <c r="AA531" s="100"/>
      <c r="AB531" s="69"/>
      <c r="AC531" s="100"/>
      <c r="AD531" s="100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26"/>
        <v>0</v>
      </c>
      <c r="H532" s="10"/>
      <c r="I532" s="10"/>
      <c r="J532" s="10"/>
      <c r="K532" s="12">
        <f t="shared" si="127"/>
        <v>0</v>
      </c>
      <c r="M532" s="10">
        <v>26</v>
      </c>
      <c r="N532" s="30"/>
      <c r="O532" s="31"/>
      <c r="P532" s="47"/>
      <c r="Q532" s="31"/>
      <c r="R532" s="31"/>
      <c r="S532" s="32">
        <f t="shared" si="128"/>
        <v>0</v>
      </c>
      <c r="T532" s="10"/>
      <c r="U532" s="10"/>
      <c r="V532" s="10"/>
      <c r="W532" s="12">
        <f t="shared" si="129"/>
        <v>0</v>
      </c>
      <c r="Y532" s="62"/>
      <c r="Z532" s="66"/>
      <c r="AA532" s="100"/>
      <c r="AB532" s="69"/>
      <c r="AC532" s="100"/>
      <c r="AD532" s="100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26"/>
        <v>0</v>
      </c>
      <c r="H533" s="10"/>
      <c r="I533" s="10"/>
      <c r="J533" s="10"/>
      <c r="K533" s="12">
        <f t="shared" si="127"/>
        <v>0</v>
      </c>
      <c r="M533" s="10">
        <v>27</v>
      </c>
      <c r="N533" s="30"/>
      <c r="O533" s="31"/>
      <c r="P533" s="47"/>
      <c r="Q533" s="31"/>
      <c r="R533" s="31"/>
      <c r="S533" s="32">
        <f t="shared" si="128"/>
        <v>0</v>
      </c>
      <c r="T533" s="10"/>
      <c r="U533" s="10"/>
      <c r="V533" s="10"/>
      <c r="W533" s="12">
        <f t="shared" si="129"/>
        <v>0</v>
      </c>
      <c r="Y533" s="62"/>
      <c r="Z533" s="66"/>
      <c r="AA533" s="100"/>
      <c r="AB533" s="69"/>
      <c r="AC533" s="100"/>
      <c r="AD533" s="100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26"/>
        <v>0</v>
      </c>
      <c r="H534" s="10"/>
      <c r="I534" s="10"/>
      <c r="J534" s="10"/>
      <c r="K534" s="12">
        <f t="shared" si="127"/>
        <v>0</v>
      </c>
      <c r="M534" s="10">
        <v>28</v>
      </c>
      <c r="N534" s="30"/>
      <c r="O534" s="31"/>
      <c r="P534" s="47"/>
      <c r="Q534" s="31"/>
      <c r="R534" s="31"/>
      <c r="S534" s="32">
        <f t="shared" si="128"/>
        <v>0</v>
      </c>
      <c r="T534" s="10"/>
      <c r="U534" s="10"/>
      <c r="V534" s="10"/>
      <c r="W534" s="12">
        <f t="shared" si="129"/>
        <v>0</v>
      </c>
      <c r="Y534" s="62"/>
      <c r="Z534" s="66"/>
      <c r="AA534" s="100"/>
      <c r="AB534" s="69"/>
      <c r="AC534" s="100"/>
      <c r="AD534" s="100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26"/>
        <v>0</v>
      </c>
      <c r="H535" s="10"/>
      <c r="I535" s="10"/>
      <c r="J535" s="10"/>
      <c r="K535" s="12">
        <f t="shared" si="127"/>
        <v>0</v>
      </c>
      <c r="M535" s="10">
        <v>29</v>
      </c>
      <c r="N535" s="30"/>
      <c r="O535" s="31"/>
      <c r="P535" s="47"/>
      <c r="Q535" s="31"/>
      <c r="R535" s="31"/>
      <c r="S535" s="32">
        <f t="shared" si="128"/>
        <v>0</v>
      </c>
      <c r="T535" s="10"/>
      <c r="U535" s="10"/>
      <c r="V535" s="10"/>
      <c r="W535" s="12">
        <f t="shared" si="129"/>
        <v>0</v>
      </c>
      <c r="Y535" s="62"/>
      <c r="Z535" s="66"/>
      <c r="AA535" s="100"/>
      <c r="AB535" s="69"/>
      <c r="AC535" s="100"/>
      <c r="AD535" s="100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26"/>
        <v>0</v>
      </c>
      <c r="H536" s="10"/>
      <c r="I536" s="10"/>
      <c r="J536" s="10"/>
      <c r="K536" s="12">
        <f t="shared" si="127"/>
        <v>0</v>
      </c>
      <c r="M536" s="10">
        <v>30</v>
      </c>
      <c r="N536" s="30"/>
      <c r="O536" s="31"/>
      <c r="P536" s="47"/>
      <c r="Q536" s="31"/>
      <c r="R536" s="31"/>
      <c r="S536" s="32">
        <f t="shared" si="128"/>
        <v>0</v>
      </c>
      <c r="T536" s="10"/>
      <c r="U536" s="10"/>
      <c r="V536" s="10"/>
      <c r="W536" s="12">
        <f t="shared" si="129"/>
        <v>0</v>
      </c>
      <c r="Y536" s="62"/>
      <c r="Z536" s="66"/>
      <c r="AA536" s="100"/>
      <c r="AB536" s="69"/>
      <c r="AC536" s="100"/>
      <c r="AD536" s="100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26"/>
        <v>0</v>
      </c>
      <c r="H537" s="10"/>
      <c r="I537" s="10"/>
      <c r="J537" s="10"/>
      <c r="K537" s="12">
        <f t="shared" si="127"/>
        <v>0</v>
      </c>
      <c r="M537" s="10">
        <v>31</v>
      </c>
      <c r="N537" s="30"/>
      <c r="O537" s="31"/>
      <c r="P537" s="47"/>
      <c r="Q537" s="31"/>
      <c r="R537" s="31"/>
      <c r="S537" s="32">
        <f t="shared" si="128"/>
        <v>0</v>
      </c>
      <c r="T537" s="10"/>
      <c r="U537" s="10"/>
      <c r="V537" s="10"/>
      <c r="W537" s="12">
        <f t="shared" si="129"/>
        <v>0</v>
      </c>
      <c r="Y537" s="62"/>
      <c r="Z537" s="66"/>
      <c r="AA537" s="100"/>
      <c r="AB537" s="69"/>
      <c r="AC537" s="100"/>
      <c r="AD537" s="100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26"/>
        <v>0</v>
      </c>
      <c r="H538" s="10"/>
      <c r="I538" s="10"/>
      <c r="J538" s="10"/>
      <c r="K538" s="12">
        <f t="shared" si="127"/>
        <v>0</v>
      </c>
      <c r="M538" s="10">
        <v>32</v>
      </c>
      <c r="N538" s="30"/>
      <c r="O538" s="31"/>
      <c r="P538" s="47"/>
      <c r="Q538" s="31"/>
      <c r="R538" s="31"/>
      <c r="S538" s="32">
        <f t="shared" si="128"/>
        <v>0</v>
      </c>
      <c r="T538" s="10"/>
      <c r="U538" s="10"/>
      <c r="V538" s="10"/>
      <c r="W538" s="12">
        <f t="shared" si="129"/>
        <v>0</v>
      </c>
      <c r="Y538" s="62"/>
      <c r="Z538" s="66"/>
      <c r="AA538" s="100"/>
      <c r="AB538" s="69"/>
      <c r="AC538" s="100"/>
      <c r="AD538" s="100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26"/>
        <v>0</v>
      </c>
      <c r="H539" s="10"/>
      <c r="I539" s="10"/>
      <c r="J539" s="10"/>
      <c r="K539" s="12">
        <f t="shared" si="127"/>
        <v>0</v>
      </c>
      <c r="M539" s="10">
        <v>33</v>
      </c>
      <c r="N539" s="30"/>
      <c r="O539" s="31"/>
      <c r="P539" s="47"/>
      <c r="Q539" s="31"/>
      <c r="R539" s="31"/>
      <c r="S539" s="32">
        <f t="shared" si="128"/>
        <v>0</v>
      </c>
      <c r="T539" s="10"/>
      <c r="U539" s="10"/>
      <c r="V539" s="10"/>
      <c r="W539" s="12">
        <f t="shared" si="129"/>
        <v>0</v>
      </c>
      <c r="Y539" s="62"/>
      <c r="Z539" s="66"/>
      <c r="AA539" s="100"/>
      <c r="AB539" s="69"/>
      <c r="AC539" s="100"/>
      <c r="AD539" s="100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26"/>
        <v>0</v>
      </c>
      <c r="H540" s="10"/>
      <c r="I540" s="10"/>
      <c r="J540" s="10"/>
      <c r="K540" s="12">
        <f t="shared" si="127"/>
        <v>0</v>
      </c>
      <c r="M540" s="10">
        <v>34</v>
      </c>
      <c r="N540" s="30"/>
      <c r="O540" s="31"/>
      <c r="P540" s="47"/>
      <c r="Q540" s="31"/>
      <c r="R540" s="31"/>
      <c r="S540" s="32">
        <f t="shared" si="128"/>
        <v>0</v>
      </c>
      <c r="T540" s="10"/>
      <c r="U540" s="10"/>
      <c r="V540" s="10"/>
      <c r="W540" s="12">
        <f t="shared" si="129"/>
        <v>0</v>
      </c>
      <c r="Y540" s="62"/>
      <c r="Z540" s="66"/>
      <c r="AA540" s="100"/>
      <c r="AB540" s="69"/>
      <c r="AC540" s="100"/>
      <c r="AD540" s="100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28"/>
        <v>0</v>
      </c>
      <c r="T541" s="10"/>
      <c r="U541" s="10"/>
      <c r="V541" s="10"/>
      <c r="W541" s="12">
        <f t="shared" si="129"/>
        <v>0</v>
      </c>
      <c r="Y541" s="62"/>
      <c r="Z541" s="66"/>
      <c r="AA541" s="100"/>
      <c r="AB541" s="69"/>
      <c r="AC541" s="100"/>
      <c r="AD541" s="100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28"/>
        <v>0</v>
      </c>
      <c r="T542" s="10"/>
      <c r="U542" s="10"/>
      <c r="V542" s="10"/>
      <c r="W542" s="12">
        <f t="shared" si="129"/>
        <v>0</v>
      </c>
      <c r="Y542" s="62"/>
      <c r="Z542" s="66"/>
      <c r="AA542" s="100"/>
      <c r="AB542" s="69"/>
      <c r="AC542" s="100"/>
      <c r="AD542" s="100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28"/>
        <v>0</v>
      </c>
      <c r="T543" s="10"/>
      <c r="U543" s="10"/>
      <c r="V543" s="10"/>
      <c r="W543" s="12">
        <f t="shared" si="129"/>
        <v>0</v>
      </c>
      <c r="Y543" s="62"/>
      <c r="Z543" s="66"/>
      <c r="AA543" s="100"/>
      <c r="AB543" s="69"/>
      <c r="AC543" s="100"/>
      <c r="AD543" s="100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28"/>
        <v>0</v>
      </c>
      <c r="T544" s="10"/>
      <c r="U544" s="10"/>
      <c r="V544" s="10"/>
      <c r="W544" s="12">
        <f t="shared" si="129"/>
        <v>0</v>
      </c>
      <c r="Y544" s="62"/>
      <c r="Z544" s="66"/>
      <c r="AA544" s="100"/>
      <c r="AB544" s="69"/>
      <c r="AC544" s="100"/>
      <c r="AD544" s="100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28"/>
        <v>0</v>
      </c>
      <c r="T545" s="10"/>
      <c r="U545" s="10"/>
      <c r="V545" s="10"/>
      <c r="W545" s="12">
        <f t="shared" si="129"/>
        <v>0</v>
      </c>
      <c r="Y545" s="62"/>
      <c r="Z545" s="66"/>
      <c r="AA545" s="62"/>
      <c r="AB545" s="69"/>
      <c r="AC545" s="100"/>
      <c r="AD545" s="100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29"/>
        <v>0</v>
      </c>
      <c r="Y546" s="62"/>
      <c r="Z546" s="66"/>
      <c r="AA546" s="100"/>
      <c r="AB546" s="69"/>
      <c r="AC546" s="100"/>
      <c r="AD546" s="100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32">SUM(D547:E547)</f>
        <v>0</v>
      </c>
      <c r="H547" s="10"/>
      <c r="I547" s="10"/>
      <c r="J547" s="10"/>
      <c r="K547" s="12">
        <f t="shared" ref="K547" si="133">SUM(G547:J547)</f>
        <v>0</v>
      </c>
      <c r="M547" s="10"/>
      <c r="N547" s="30"/>
      <c r="O547" s="31"/>
      <c r="P547" s="47"/>
      <c r="Q547" s="31"/>
      <c r="R547" s="31"/>
      <c r="S547" s="32">
        <f t="shared" ref="S547" si="134">SUM(P547:Q547)</f>
        <v>0</v>
      </c>
      <c r="T547" s="10"/>
      <c r="U547" s="10"/>
      <c r="V547" s="10"/>
      <c r="W547" s="12">
        <f t="shared" si="129"/>
        <v>0</v>
      </c>
      <c r="Y547" s="62"/>
      <c r="Z547" s="100"/>
      <c r="AA547" s="100"/>
      <c r="AB547" s="100"/>
      <c r="AC547" s="100"/>
      <c r="AD547" s="100"/>
      <c r="AE547" s="10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29"/>
        <v>0</v>
      </c>
      <c r="Y548" s="62"/>
      <c r="Z548" s="100"/>
      <c r="AA548" s="100"/>
      <c r="AB548" s="100"/>
      <c r="AC548" s="100"/>
      <c r="AD548" s="100"/>
      <c r="AE548" s="100"/>
      <c r="AF548" s="62"/>
      <c r="AG548" s="62"/>
      <c r="AH548" s="62"/>
      <c r="AI548" s="62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Y549" s="62"/>
      <c r="Z549" s="100"/>
      <c r="AA549" s="100"/>
      <c r="AB549" s="70"/>
      <c r="AC549" s="70"/>
      <c r="AD549" s="70"/>
      <c r="AE549" s="70"/>
      <c r="AF549" s="63"/>
      <c r="AG549" s="71"/>
      <c r="AH549" s="71"/>
      <c r="AI549" s="71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347595</v>
      </c>
      <c r="E550" s="38">
        <f t="shared" ref="E550:F550" si="135">SUM(E507:E547)</f>
        <v>-1074</v>
      </c>
      <c r="F550" s="38">
        <f t="shared" si="135"/>
        <v>0</v>
      </c>
      <c r="G550" s="38">
        <f>SUM(G507:G549)</f>
        <v>346521</v>
      </c>
      <c r="H550" s="4"/>
      <c r="I550" s="39">
        <f>SUM(I507:I549)</f>
        <v>20499</v>
      </c>
      <c r="J550" s="39">
        <f>SUM(J507:J549)</f>
        <v>0</v>
      </c>
      <c r="K550" s="40">
        <f>SUM(K507:K549)</f>
        <v>367020</v>
      </c>
      <c r="N550" s="57"/>
      <c r="O550" s="57"/>
      <c r="P550" s="38">
        <f>SUM(P507:P549)</f>
        <v>233480</v>
      </c>
      <c r="Q550" s="38">
        <f>SUM(Q507:Q531)</f>
        <v>-1140</v>
      </c>
      <c r="R550" s="38">
        <f>SUM(R507:R531)</f>
        <v>0</v>
      </c>
      <c r="S550" s="38">
        <f>SUM(S507:S549)</f>
        <v>232340</v>
      </c>
      <c r="T550" s="4"/>
      <c r="U550" s="41">
        <f>SUM(U507:U549)</f>
        <v>366</v>
      </c>
      <c r="V550" s="41">
        <f>SUM(V507:V531)</f>
        <v>-6651</v>
      </c>
      <c r="W550" s="42">
        <f>SUM(W507:W549)</f>
        <v>226055</v>
      </c>
      <c r="Y550" s="62"/>
      <c r="Z550" s="62"/>
      <c r="AA550" s="62"/>
      <c r="AB550" s="62"/>
      <c r="AC550" s="62"/>
      <c r="AD550" s="62"/>
      <c r="AE550" s="62"/>
      <c r="AF550" s="62"/>
      <c r="AG550" s="62"/>
      <c r="AH550" s="62"/>
      <c r="AI550" s="62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64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64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64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65</v>
      </c>
      <c r="B558" s="20"/>
      <c r="C558" s="57"/>
      <c r="D558" s="57"/>
      <c r="E558" s="57"/>
      <c r="G558" s="57"/>
      <c r="I558" s="22" t="s">
        <v>16</v>
      </c>
      <c r="J558" s="23" t="s">
        <v>42</v>
      </c>
      <c r="K558" s="24"/>
      <c r="M558" s="21" t="s">
        <v>65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32</v>
      </c>
      <c r="W558" s="24"/>
      <c r="Y558" s="21" t="s">
        <v>65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33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ht="15" customHeight="1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x14ac:dyDescent="0.25">
      <c r="B560" s="25"/>
      <c r="C560" s="26"/>
      <c r="D560" s="118" t="s">
        <v>17</v>
      </c>
      <c r="E560" s="118"/>
      <c r="F560" s="102"/>
      <c r="G560" s="27"/>
      <c r="I560" s="119" t="s">
        <v>18</v>
      </c>
      <c r="J560" s="120"/>
      <c r="K560" s="121" t="s">
        <v>19</v>
      </c>
      <c r="N560" s="25"/>
      <c r="O560" s="26"/>
      <c r="P560" s="118" t="s">
        <v>17</v>
      </c>
      <c r="Q560" s="118"/>
      <c r="R560" s="102"/>
      <c r="S560" s="27"/>
      <c r="U560" s="119" t="s">
        <v>18</v>
      </c>
      <c r="V560" s="120"/>
      <c r="W560" s="121" t="s">
        <v>19</v>
      </c>
      <c r="Z560" s="25"/>
      <c r="AA560" s="26"/>
      <c r="AB560" s="118" t="s">
        <v>17</v>
      </c>
      <c r="AC560" s="118"/>
      <c r="AD560" s="102"/>
      <c r="AE560" s="27"/>
      <c r="AG560" s="119" t="s">
        <v>18</v>
      </c>
      <c r="AH560" s="120"/>
      <c r="AI560" s="121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31</v>
      </c>
      <c r="G561" s="78" t="s">
        <v>24</v>
      </c>
      <c r="I561" s="29" t="s">
        <v>25</v>
      </c>
      <c r="J561" s="29" t="s">
        <v>26</v>
      </c>
      <c r="K561" s="122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31</v>
      </c>
      <c r="S561" s="78" t="s">
        <v>24</v>
      </c>
      <c r="U561" s="29" t="s">
        <v>25</v>
      </c>
      <c r="V561" s="29" t="s">
        <v>26</v>
      </c>
      <c r="W561" s="122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31</v>
      </c>
      <c r="AE561" s="78" t="s">
        <v>24</v>
      </c>
      <c r="AG561" s="29" t="s">
        <v>25</v>
      </c>
      <c r="AH561" s="29" t="s">
        <v>26</v>
      </c>
      <c r="AI561" s="12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66</v>
      </c>
      <c r="C562" s="83">
        <v>10945</v>
      </c>
      <c r="D562" s="32">
        <f>650*75+229*4</f>
        <v>49666</v>
      </c>
      <c r="E562" s="32">
        <f>-75*6</f>
        <v>-450</v>
      </c>
      <c r="F562" s="32"/>
      <c r="G562" s="32">
        <f t="shared" ref="G562:G595" si="136">SUM(D562:E562)</f>
        <v>49216</v>
      </c>
      <c r="H562" s="12"/>
      <c r="I562" s="12">
        <f>111*75+78*4</f>
        <v>8637</v>
      </c>
      <c r="J562" s="12"/>
      <c r="K562" s="12">
        <f t="shared" ref="K562:K595" si="137">SUM(G562:J562)</f>
        <v>57853</v>
      </c>
      <c r="M562" s="10">
        <v>1</v>
      </c>
      <c r="N562" s="30" t="s">
        <v>66</v>
      </c>
      <c r="O562" s="31">
        <v>10887</v>
      </c>
      <c r="P562" s="32">
        <f>650*160+670*6+622*4+229*2</f>
        <v>110966</v>
      </c>
      <c r="Q562" s="32">
        <f>-170*6</f>
        <v>-1020</v>
      </c>
      <c r="R562" s="32"/>
      <c r="S562" s="32">
        <f>SUM(P562:Q562)</f>
        <v>109946</v>
      </c>
      <c r="T562" s="12"/>
      <c r="U562" s="12"/>
      <c r="V562" s="12">
        <f>-111*7</f>
        <v>-777</v>
      </c>
      <c r="W562" s="12">
        <f>SUM(S562:V562)</f>
        <v>109169</v>
      </c>
      <c r="Y562" s="10">
        <v>1</v>
      </c>
      <c r="Z562" s="30" t="s">
        <v>66</v>
      </c>
      <c r="AA562" s="31">
        <v>10963</v>
      </c>
      <c r="AB562" s="32">
        <f>650*216+622*108+872+229*12</f>
        <v>211196</v>
      </c>
      <c r="AC562" s="32"/>
      <c r="AD562" s="32"/>
      <c r="AE562" s="32">
        <f>SUM(AB562:AC562)</f>
        <v>211196</v>
      </c>
      <c r="AF562" s="12"/>
      <c r="AG562" s="12">
        <f>120*2+111*204+78*12</f>
        <v>23820</v>
      </c>
      <c r="AH562" s="12"/>
      <c r="AI562" s="12">
        <f>SUM(AE562:AH562)</f>
        <v>235016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66</v>
      </c>
      <c r="C563" s="83">
        <f>C562+1</f>
        <v>10946</v>
      </c>
      <c r="D563" s="32">
        <f>650*17+872*2+650*2</f>
        <v>14094</v>
      </c>
      <c r="E563" s="32"/>
      <c r="F563" s="32"/>
      <c r="G563" s="32">
        <f t="shared" si="136"/>
        <v>14094</v>
      </c>
      <c r="H563" s="12"/>
      <c r="I563" s="12"/>
      <c r="J563" s="12"/>
      <c r="K563" s="12">
        <f t="shared" si="137"/>
        <v>14094</v>
      </c>
      <c r="M563" s="10">
        <v>2</v>
      </c>
      <c r="N563" s="30" t="s">
        <v>66</v>
      </c>
      <c r="O563" s="31">
        <f>O562+1</f>
        <v>10888</v>
      </c>
      <c r="P563" s="32">
        <f>650*216+229*10</f>
        <v>142690</v>
      </c>
      <c r="Q563" s="32">
        <f>-216*6</f>
        <v>-1296</v>
      </c>
      <c r="R563" s="32"/>
      <c r="S563" s="32">
        <f t="shared" ref="S563:S600" si="138">SUM(P563:Q563)</f>
        <v>141394</v>
      </c>
      <c r="T563" s="12"/>
      <c r="U563" s="12">
        <f>78*5</f>
        <v>390</v>
      </c>
      <c r="V563" s="12">
        <f>-42*9</f>
        <v>-378</v>
      </c>
      <c r="W563" s="12">
        <f t="shared" ref="W563:W603" si="139">SUM(S563:V563)</f>
        <v>141406</v>
      </c>
      <c r="Y563" s="10">
        <v>2</v>
      </c>
      <c r="Z563" s="30" t="s">
        <v>66</v>
      </c>
      <c r="AA563" s="31">
        <f>AA562+1</f>
        <v>10964</v>
      </c>
      <c r="AB563" s="32">
        <f>650*108+622*30+229*4+650</f>
        <v>90426</v>
      </c>
      <c r="AC563" s="32">
        <f>-138*6</f>
        <v>-828</v>
      </c>
      <c r="AD563" s="32"/>
      <c r="AE563" s="32">
        <f t="shared" ref="AE563:AE565" si="140">SUM(AB563:AC563)</f>
        <v>89598</v>
      </c>
      <c r="AF563" s="12"/>
      <c r="AG563" s="12">
        <f>1.5*16</f>
        <v>24</v>
      </c>
      <c r="AH563" s="12"/>
      <c r="AI563" s="12">
        <f t="shared" ref="AI563:AI603" si="141">SUM(AE563:AH563)</f>
        <v>89622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67</v>
      </c>
      <c r="C564" s="83">
        <f t="shared" ref="C564:C565" si="142">C563+1</f>
        <v>10947</v>
      </c>
      <c r="D564" s="33">
        <f>650*216+670*6+622*108+229*5</f>
        <v>212741</v>
      </c>
      <c r="E564" s="33">
        <f>-330*6</f>
        <v>-1980</v>
      </c>
      <c r="F564" s="33"/>
      <c r="G564" s="33">
        <f t="shared" si="136"/>
        <v>210761</v>
      </c>
      <c r="H564" s="34"/>
      <c r="I564" s="34"/>
      <c r="J564" s="34">
        <f>-120*19+-111*200+-78*18+-111*14+-84+-42*2</f>
        <v>-27606</v>
      </c>
      <c r="K564" s="34">
        <f t="shared" si="137"/>
        <v>183155</v>
      </c>
      <c r="M564" s="10">
        <v>3</v>
      </c>
      <c r="N564" s="30" t="s">
        <v>67</v>
      </c>
      <c r="O564" s="31">
        <f t="shared" ref="O564" si="143">O563+1</f>
        <v>10889</v>
      </c>
      <c r="P564" s="32">
        <f>650*3+622*2</f>
        <v>3194</v>
      </c>
      <c r="Q564" s="32"/>
      <c r="R564" s="32"/>
      <c r="S564" s="32">
        <f t="shared" si="138"/>
        <v>3194</v>
      </c>
      <c r="T564" s="12"/>
      <c r="U564" s="12"/>
      <c r="V564" s="12"/>
      <c r="W564" s="12">
        <f t="shared" si="139"/>
        <v>3194</v>
      </c>
      <c r="Y564" s="10">
        <v>3</v>
      </c>
      <c r="Z564" s="30" t="s">
        <v>67</v>
      </c>
      <c r="AA564" s="31">
        <f t="shared" ref="AA564:AA568" si="144">AA563+1</f>
        <v>10965</v>
      </c>
      <c r="AB564" s="33">
        <f>872+650</f>
        <v>1522</v>
      </c>
      <c r="AC564" s="33"/>
      <c r="AD564" s="32"/>
      <c r="AE564" s="32">
        <f t="shared" si="140"/>
        <v>1522</v>
      </c>
      <c r="AF564" s="12"/>
      <c r="AG564" s="12"/>
      <c r="AH564" s="12"/>
      <c r="AI564" s="12">
        <f t="shared" si="141"/>
        <v>1522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68</v>
      </c>
      <c r="C565" s="83">
        <f t="shared" si="142"/>
        <v>10948</v>
      </c>
      <c r="D565" s="32">
        <f>650*14+622*3</f>
        <v>10966</v>
      </c>
      <c r="E565" s="32"/>
      <c r="F565" s="32"/>
      <c r="G565" s="32">
        <f t="shared" si="136"/>
        <v>10966</v>
      </c>
      <c r="H565" s="12"/>
      <c r="I565" s="12"/>
      <c r="J565" s="12"/>
      <c r="K565" s="12">
        <f t="shared" si="137"/>
        <v>10966</v>
      </c>
      <c r="M565" s="10">
        <v>4</v>
      </c>
      <c r="N565" s="30"/>
      <c r="O565" s="11" t="s">
        <v>27</v>
      </c>
      <c r="P565" s="32"/>
      <c r="Q565" s="32"/>
      <c r="R565" s="32"/>
      <c r="S565" s="32">
        <f t="shared" si="138"/>
        <v>0</v>
      </c>
      <c r="T565" s="12"/>
      <c r="U565" s="12"/>
      <c r="V565" s="12"/>
      <c r="W565" s="12">
        <f t="shared" si="139"/>
        <v>0</v>
      </c>
      <c r="Y565" s="10">
        <v>4</v>
      </c>
      <c r="Z565" s="30" t="s">
        <v>68</v>
      </c>
      <c r="AA565" s="31">
        <f t="shared" si="144"/>
        <v>10966</v>
      </c>
      <c r="AB565" s="32">
        <f>650*92+670*5+622*24+229*4</f>
        <v>78994</v>
      </c>
      <c r="AC565" s="32">
        <f>-121*6</f>
        <v>-726</v>
      </c>
      <c r="AD565" s="32"/>
      <c r="AE565" s="32">
        <f t="shared" si="140"/>
        <v>78268</v>
      </c>
      <c r="AF565" s="12"/>
      <c r="AH565" s="12"/>
      <c r="AI565" s="12">
        <f t="shared" si="141"/>
        <v>78268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/>
      <c r="C566" s="11" t="s">
        <v>27</v>
      </c>
      <c r="D566" s="32"/>
      <c r="E566" s="32"/>
      <c r="F566" s="32"/>
      <c r="G566" s="32">
        <f t="shared" si="136"/>
        <v>0</v>
      </c>
      <c r="H566" s="12"/>
      <c r="I566" s="12"/>
      <c r="J566" s="12"/>
      <c r="K566" s="12">
        <f t="shared" si="137"/>
        <v>0</v>
      </c>
      <c r="M566" s="10">
        <v>5</v>
      </c>
      <c r="N566" s="30"/>
      <c r="O566" s="31"/>
      <c r="P566" s="32"/>
      <c r="Q566" s="32"/>
      <c r="R566" s="32"/>
      <c r="S566" s="32">
        <f t="shared" si="138"/>
        <v>0</v>
      </c>
      <c r="T566" s="12"/>
      <c r="U566" s="12"/>
      <c r="V566" s="12"/>
      <c r="W566" s="12">
        <f t="shared" si="139"/>
        <v>0</v>
      </c>
      <c r="Y566" s="10">
        <v>5</v>
      </c>
      <c r="Z566" s="30" t="s">
        <v>69</v>
      </c>
      <c r="AA566" s="31">
        <f t="shared" si="144"/>
        <v>10967</v>
      </c>
      <c r="AB566" s="32">
        <f>650*16+229</f>
        <v>10629</v>
      </c>
      <c r="AC566" s="32"/>
      <c r="AD566" s="32"/>
      <c r="AE566" s="32">
        <f t="shared" ref="AE566:AE594" si="145">SUM(AB566:AC566)</f>
        <v>10629</v>
      </c>
      <c r="AF566" s="12"/>
      <c r="AG566" s="12"/>
      <c r="AH566" s="12"/>
      <c r="AI566" s="12">
        <f t="shared" si="141"/>
        <v>10629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/>
      <c r="C567" s="83"/>
      <c r="D567" s="32"/>
      <c r="E567" s="32"/>
      <c r="F567" s="32"/>
      <c r="G567" s="32">
        <f t="shared" si="136"/>
        <v>0</v>
      </c>
      <c r="H567" s="12"/>
      <c r="I567" s="12"/>
      <c r="J567" s="12"/>
      <c r="K567" s="12">
        <f t="shared" si="137"/>
        <v>0</v>
      </c>
      <c r="M567" s="10">
        <v>6</v>
      </c>
      <c r="N567" s="30"/>
      <c r="O567" s="31"/>
      <c r="P567" s="32"/>
      <c r="Q567" s="32"/>
      <c r="R567" s="32"/>
      <c r="S567" s="32">
        <f t="shared" si="138"/>
        <v>0</v>
      </c>
      <c r="T567" s="12"/>
      <c r="U567" s="12"/>
      <c r="V567" s="10"/>
      <c r="W567" s="12">
        <f t="shared" si="139"/>
        <v>0</v>
      </c>
      <c r="Y567" s="10">
        <v>6</v>
      </c>
      <c r="Z567" s="30" t="s">
        <v>70</v>
      </c>
      <c r="AA567" s="31">
        <f t="shared" si="144"/>
        <v>10968</v>
      </c>
      <c r="AB567" s="32">
        <f>650*50+650+229*2</f>
        <v>33608</v>
      </c>
      <c r="AC567" s="32"/>
      <c r="AD567" s="32"/>
      <c r="AE567" s="32">
        <f t="shared" si="145"/>
        <v>33608</v>
      </c>
      <c r="AF567" s="12"/>
      <c r="AG567" s="12"/>
      <c r="AH567" s="10">
        <f>-111*8</f>
        <v>-888</v>
      </c>
      <c r="AI567" s="12">
        <f t="shared" si="141"/>
        <v>32720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/>
      <c r="D568" s="32"/>
      <c r="E568" s="32"/>
      <c r="F568" s="32"/>
      <c r="G568" s="32">
        <f t="shared" si="136"/>
        <v>0</v>
      </c>
      <c r="H568" s="12"/>
      <c r="I568" s="12"/>
      <c r="J568" s="12"/>
      <c r="K568" s="12">
        <f t="shared" si="137"/>
        <v>0</v>
      </c>
      <c r="M568" s="10">
        <v>7</v>
      </c>
      <c r="N568" s="30"/>
      <c r="P568" s="32"/>
      <c r="Q568" s="32"/>
      <c r="R568" s="32"/>
      <c r="S568" s="32">
        <f t="shared" si="138"/>
        <v>0</v>
      </c>
      <c r="T568" s="12"/>
      <c r="U568" s="12"/>
      <c r="V568" s="12"/>
      <c r="W568" s="12">
        <f t="shared" si="139"/>
        <v>0</v>
      </c>
      <c r="Y568" s="10">
        <v>7</v>
      </c>
      <c r="Z568" s="30" t="s">
        <v>71</v>
      </c>
      <c r="AA568" s="31">
        <f t="shared" si="144"/>
        <v>10969</v>
      </c>
      <c r="AB568" s="32">
        <f>1050*2+872*2+650*8</f>
        <v>9044</v>
      </c>
      <c r="AC568" s="32"/>
      <c r="AD568" s="32"/>
      <c r="AE568" s="32">
        <f t="shared" si="145"/>
        <v>9044</v>
      </c>
      <c r="AF568" s="12"/>
      <c r="AG568" s="58">
        <f>1.5*96</f>
        <v>144</v>
      </c>
      <c r="AH568" s="12"/>
      <c r="AI568" s="12">
        <f t="shared" si="141"/>
        <v>9188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83"/>
      <c r="D569" s="32"/>
      <c r="E569" s="32"/>
      <c r="F569" s="32"/>
      <c r="G569" s="32">
        <f t="shared" si="136"/>
        <v>0</v>
      </c>
      <c r="H569" s="12"/>
      <c r="I569" s="12"/>
      <c r="J569" s="12"/>
      <c r="K569" s="12">
        <f t="shared" si="137"/>
        <v>0</v>
      </c>
      <c r="M569" s="10">
        <v>8</v>
      </c>
      <c r="N569" s="30"/>
      <c r="P569" s="32"/>
      <c r="Q569" s="32"/>
      <c r="R569" s="32"/>
      <c r="S569" s="32">
        <f t="shared" si="138"/>
        <v>0</v>
      </c>
      <c r="T569" s="12"/>
      <c r="U569" s="12"/>
      <c r="V569" s="12"/>
      <c r="W569" s="12">
        <f t="shared" si="139"/>
        <v>0</v>
      </c>
      <c r="Y569" s="10">
        <v>8</v>
      </c>
      <c r="Z569" s="30"/>
      <c r="AA569" s="11" t="s">
        <v>27</v>
      </c>
      <c r="AB569" s="32"/>
      <c r="AC569" s="32"/>
      <c r="AE569" s="32">
        <f t="shared" si="145"/>
        <v>0</v>
      </c>
      <c r="AF569" s="12"/>
      <c r="AG569" s="12"/>
      <c r="AH569" s="12"/>
      <c r="AI569" s="12">
        <f t="shared" si="141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57"/>
      <c r="D570" s="32"/>
      <c r="E570" s="32"/>
      <c r="F570" s="32"/>
      <c r="G570" s="32">
        <f t="shared" si="136"/>
        <v>0</v>
      </c>
      <c r="H570" s="12"/>
      <c r="I570" s="12"/>
      <c r="J570" s="12"/>
      <c r="K570" s="12">
        <f t="shared" si="137"/>
        <v>0</v>
      </c>
      <c r="M570" s="10">
        <v>9</v>
      </c>
      <c r="N570" s="30"/>
      <c r="O570" s="31"/>
      <c r="P570" s="32"/>
      <c r="Q570" s="32"/>
      <c r="R570" s="32"/>
      <c r="S570" s="32">
        <f t="shared" si="138"/>
        <v>0</v>
      </c>
      <c r="T570" s="12"/>
      <c r="U570" s="12"/>
      <c r="V570" s="12"/>
      <c r="W570" s="12">
        <f t="shared" si="139"/>
        <v>0</v>
      </c>
      <c r="Y570" s="10">
        <v>9</v>
      </c>
      <c r="Z570" s="30"/>
      <c r="AA570" s="31"/>
      <c r="AB570" s="32"/>
      <c r="AC570" s="32"/>
      <c r="AD570" s="32"/>
      <c r="AE570" s="32">
        <f t="shared" si="145"/>
        <v>0</v>
      </c>
      <c r="AF570" s="12"/>
      <c r="AH570" s="12"/>
      <c r="AI570" s="12">
        <f t="shared" si="141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C571" s="83"/>
      <c r="D571" s="32"/>
      <c r="E571" s="32"/>
      <c r="F571" s="32"/>
      <c r="G571" s="32">
        <f t="shared" si="136"/>
        <v>0</v>
      </c>
      <c r="H571" s="12"/>
      <c r="I571" s="12"/>
      <c r="J571" s="12"/>
      <c r="K571" s="12">
        <f t="shared" si="137"/>
        <v>0</v>
      </c>
      <c r="M571" s="10">
        <v>10</v>
      </c>
      <c r="N571" s="30"/>
      <c r="O571" s="31"/>
      <c r="P571" s="32"/>
      <c r="Q571" s="32"/>
      <c r="R571" s="32"/>
      <c r="S571" s="32">
        <f t="shared" si="138"/>
        <v>0</v>
      </c>
      <c r="T571" s="12"/>
      <c r="U571" s="12"/>
      <c r="V571" s="12"/>
      <c r="W571" s="12">
        <f t="shared" si="139"/>
        <v>0</v>
      </c>
      <c r="Y571" s="10">
        <v>10</v>
      </c>
      <c r="Z571" s="30"/>
      <c r="AB571" s="32"/>
      <c r="AC571" s="32"/>
      <c r="AD571" s="32"/>
      <c r="AE571" s="32">
        <f t="shared" si="145"/>
        <v>0</v>
      </c>
      <c r="AF571" s="12"/>
      <c r="AG571" s="12"/>
      <c r="AH571" s="12"/>
      <c r="AI571" s="12">
        <f t="shared" si="141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83"/>
      <c r="D572" s="32"/>
      <c r="E572" s="32"/>
      <c r="F572" s="32"/>
      <c r="G572" s="32">
        <f t="shared" si="136"/>
        <v>0</v>
      </c>
      <c r="H572" s="12"/>
      <c r="I572" s="12"/>
      <c r="J572" s="12"/>
      <c r="K572" s="12">
        <f t="shared" si="137"/>
        <v>0</v>
      </c>
      <c r="M572" s="10">
        <v>11</v>
      </c>
      <c r="N572" s="30"/>
      <c r="O572" s="31"/>
      <c r="P572" s="32"/>
      <c r="Q572" s="32"/>
      <c r="R572" s="32"/>
      <c r="S572" s="32">
        <f t="shared" si="138"/>
        <v>0</v>
      </c>
      <c r="T572" s="12"/>
      <c r="U572" s="12"/>
      <c r="V572" s="12"/>
      <c r="W572" s="12">
        <f t="shared" si="139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45"/>
        <v>0</v>
      </c>
      <c r="AF572" s="12"/>
      <c r="AG572" s="12"/>
      <c r="AH572" s="12"/>
      <c r="AI572" s="12">
        <f t="shared" si="141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3"/>
      <c r="D573" s="32"/>
      <c r="E573" s="32"/>
      <c r="F573" s="32"/>
      <c r="G573" s="32">
        <f t="shared" si="136"/>
        <v>0</v>
      </c>
      <c r="H573" s="12"/>
      <c r="I573" s="12"/>
      <c r="J573" s="10"/>
      <c r="K573" s="12">
        <f t="shared" si="137"/>
        <v>0</v>
      </c>
      <c r="M573" s="10">
        <v>12</v>
      </c>
      <c r="N573" s="30"/>
      <c r="O573" s="31"/>
      <c r="P573" s="32"/>
      <c r="Q573" s="32"/>
      <c r="R573" s="32"/>
      <c r="S573" s="32">
        <f t="shared" si="138"/>
        <v>0</v>
      </c>
      <c r="T573" s="12"/>
      <c r="U573" s="12"/>
      <c r="V573" s="12"/>
      <c r="W573" s="12">
        <f t="shared" si="139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45"/>
        <v>0</v>
      </c>
      <c r="AF573" s="12"/>
      <c r="AG573" s="12"/>
      <c r="AH573" s="12"/>
      <c r="AI573" s="12">
        <f t="shared" si="141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57"/>
      <c r="D574" s="32"/>
      <c r="E574" s="32"/>
      <c r="F574" s="32"/>
      <c r="G574" s="32">
        <f t="shared" si="136"/>
        <v>0</v>
      </c>
      <c r="H574" s="12"/>
      <c r="I574" s="12"/>
      <c r="J574" s="12"/>
      <c r="K574" s="12">
        <f t="shared" si="137"/>
        <v>0</v>
      </c>
      <c r="M574" s="10">
        <v>13</v>
      </c>
      <c r="N574" s="30"/>
      <c r="O574" s="31"/>
      <c r="P574" s="32"/>
      <c r="Q574" s="32"/>
      <c r="R574" s="32"/>
      <c r="S574" s="32">
        <f t="shared" si="138"/>
        <v>0</v>
      </c>
      <c r="T574" s="12"/>
      <c r="U574" s="12"/>
      <c r="V574" s="12"/>
      <c r="W574" s="12">
        <f t="shared" si="139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45"/>
        <v>0</v>
      </c>
      <c r="AF574" s="12"/>
      <c r="AG574" s="12"/>
      <c r="AH574" s="12"/>
      <c r="AI574" s="12">
        <f t="shared" si="141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3"/>
      <c r="D575" s="32"/>
      <c r="E575" s="32"/>
      <c r="F575" s="32"/>
      <c r="G575" s="32">
        <f t="shared" si="136"/>
        <v>0</v>
      </c>
      <c r="H575" s="12"/>
      <c r="I575" s="12"/>
      <c r="J575" s="12"/>
      <c r="K575" s="12">
        <f t="shared" si="137"/>
        <v>0</v>
      </c>
      <c r="M575" s="10">
        <v>14</v>
      </c>
      <c r="N575" s="30"/>
      <c r="O575" s="31"/>
      <c r="P575" s="32"/>
      <c r="Q575" s="32"/>
      <c r="R575" s="32"/>
      <c r="S575" s="32">
        <f t="shared" si="138"/>
        <v>0</v>
      </c>
      <c r="T575" s="12"/>
      <c r="U575" s="12"/>
      <c r="V575" s="12"/>
      <c r="W575" s="12">
        <f t="shared" si="139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45"/>
        <v>0</v>
      </c>
      <c r="AF575" s="12"/>
      <c r="AG575" s="12"/>
      <c r="AH575" s="12"/>
      <c r="AI575" s="12">
        <f t="shared" si="141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3"/>
      <c r="D576" s="32"/>
      <c r="E576" s="32"/>
      <c r="F576" s="32"/>
      <c r="G576" s="32">
        <f t="shared" si="136"/>
        <v>0</v>
      </c>
      <c r="H576" s="12"/>
      <c r="I576" s="12"/>
      <c r="J576" s="12"/>
      <c r="K576" s="12">
        <f t="shared" si="137"/>
        <v>0</v>
      </c>
      <c r="M576" s="10">
        <v>15</v>
      </c>
      <c r="N576" s="30"/>
      <c r="O576" s="31"/>
      <c r="P576" s="32"/>
      <c r="Q576" s="32"/>
      <c r="R576" s="32"/>
      <c r="S576" s="32">
        <f t="shared" si="138"/>
        <v>0</v>
      </c>
      <c r="T576" s="12"/>
      <c r="U576" s="12"/>
      <c r="V576" s="12"/>
      <c r="W576" s="12">
        <f t="shared" si="139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45"/>
        <v>0</v>
      </c>
      <c r="AF576" s="12"/>
      <c r="AG576" s="12"/>
      <c r="AH576" s="12"/>
      <c r="AI576" s="12">
        <f t="shared" si="141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11"/>
      <c r="D577" s="32"/>
      <c r="E577" s="32"/>
      <c r="F577" s="32"/>
      <c r="G577" s="32">
        <f t="shared" si="136"/>
        <v>0</v>
      </c>
      <c r="H577" s="12"/>
      <c r="I577" s="12"/>
      <c r="J577" s="12"/>
      <c r="K577" s="12">
        <f t="shared" si="137"/>
        <v>0</v>
      </c>
      <c r="M577" s="10">
        <v>16</v>
      </c>
      <c r="N577" s="30"/>
      <c r="O577" s="11"/>
      <c r="P577" s="32"/>
      <c r="Q577" s="32"/>
      <c r="R577" s="32"/>
      <c r="S577" s="32">
        <f t="shared" si="138"/>
        <v>0</v>
      </c>
      <c r="T577" s="12"/>
      <c r="U577" s="12"/>
      <c r="V577" s="12"/>
      <c r="W577" s="12">
        <f t="shared" si="139"/>
        <v>0</v>
      </c>
      <c r="Y577" s="10">
        <v>16</v>
      </c>
      <c r="Z577" s="30"/>
      <c r="AA577" s="31"/>
      <c r="AB577" s="32"/>
      <c r="AC577" s="32"/>
      <c r="AD577" s="32"/>
      <c r="AE577" s="32">
        <f t="shared" si="145"/>
        <v>0</v>
      </c>
      <c r="AF577" s="12"/>
      <c r="AG577" s="12"/>
      <c r="AH577" s="12"/>
      <c r="AI577" s="12">
        <f t="shared" si="141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3"/>
      <c r="D578" s="32"/>
      <c r="E578" s="32"/>
      <c r="F578" s="32"/>
      <c r="G578" s="32">
        <f t="shared" si="136"/>
        <v>0</v>
      </c>
      <c r="H578" s="12"/>
      <c r="I578" s="12"/>
      <c r="J578" s="12"/>
      <c r="K578" s="12">
        <f t="shared" si="137"/>
        <v>0</v>
      </c>
      <c r="M578" s="10">
        <v>17</v>
      </c>
      <c r="N578" s="30"/>
      <c r="O578" s="31"/>
      <c r="P578" s="35"/>
      <c r="Q578" s="32"/>
      <c r="R578" s="32"/>
      <c r="S578" s="32">
        <f t="shared" si="138"/>
        <v>0</v>
      </c>
      <c r="T578" s="12"/>
      <c r="U578" s="12"/>
      <c r="V578" s="12"/>
      <c r="W578" s="12">
        <f t="shared" si="139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45"/>
        <v>0</v>
      </c>
      <c r="AF578" s="12"/>
      <c r="AG578" s="12"/>
      <c r="AH578" s="12"/>
      <c r="AI578" s="12">
        <f t="shared" si="141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3"/>
      <c r="D579" s="32"/>
      <c r="E579" s="32"/>
      <c r="F579" s="32"/>
      <c r="G579" s="32">
        <f t="shared" si="136"/>
        <v>0</v>
      </c>
      <c r="H579" s="12"/>
      <c r="I579" s="12"/>
      <c r="J579" s="12"/>
      <c r="K579" s="12">
        <f t="shared" si="137"/>
        <v>0</v>
      </c>
      <c r="M579" s="10">
        <v>18</v>
      </c>
      <c r="N579" s="30"/>
      <c r="O579" s="31"/>
      <c r="P579" s="32"/>
      <c r="Q579" s="32"/>
      <c r="R579" s="32"/>
      <c r="S579" s="32">
        <f t="shared" si="138"/>
        <v>0</v>
      </c>
      <c r="T579" s="12"/>
      <c r="U579" s="12"/>
      <c r="V579" s="12"/>
      <c r="W579" s="12">
        <f t="shared" si="139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45"/>
        <v>0</v>
      </c>
      <c r="AF579" s="12"/>
      <c r="AG579" s="12"/>
      <c r="AH579" s="12"/>
      <c r="AI579" s="12">
        <f t="shared" si="141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3"/>
      <c r="D580" s="32"/>
      <c r="E580" s="32"/>
      <c r="F580" s="32"/>
      <c r="G580" s="32">
        <f t="shared" si="136"/>
        <v>0</v>
      </c>
      <c r="H580" s="12"/>
      <c r="I580" s="12"/>
      <c r="J580" s="12"/>
      <c r="K580" s="12">
        <f t="shared" si="137"/>
        <v>0</v>
      </c>
      <c r="M580" s="10">
        <v>19</v>
      </c>
      <c r="N580" s="30"/>
      <c r="O580" s="31"/>
      <c r="P580" s="32"/>
      <c r="Q580" s="32"/>
      <c r="R580" s="32"/>
      <c r="S580" s="32">
        <f t="shared" si="138"/>
        <v>0</v>
      </c>
      <c r="T580" s="12"/>
      <c r="U580" s="12"/>
      <c r="V580" s="12"/>
      <c r="W580" s="12">
        <f t="shared" si="139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45"/>
        <v>0</v>
      </c>
      <c r="AF580" s="12"/>
      <c r="AG580" s="12"/>
      <c r="AH580" s="12"/>
      <c r="AI580" s="12">
        <f t="shared" si="141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3"/>
      <c r="D581" s="32"/>
      <c r="E581" s="32"/>
      <c r="F581" s="32"/>
      <c r="G581" s="32">
        <f t="shared" si="136"/>
        <v>0</v>
      </c>
      <c r="H581" s="12"/>
      <c r="I581" s="12"/>
      <c r="J581" s="12"/>
      <c r="K581" s="12">
        <f t="shared" si="137"/>
        <v>0</v>
      </c>
      <c r="M581" s="10">
        <v>20</v>
      </c>
      <c r="N581" s="30"/>
      <c r="O581" s="31"/>
      <c r="P581" s="32"/>
      <c r="Q581" s="32"/>
      <c r="R581" s="32"/>
      <c r="S581" s="32">
        <f t="shared" si="138"/>
        <v>0</v>
      </c>
      <c r="T581" s="12"/>
      <c r="U581" s="12"/>
      <c r="V581" s="12"/>
      <c r="W581" s="12">
        <f t="shared" si="139"/>
        <v>0</v>
      </c>
      <c r="Y581" s="10">
        <v>20</v>
      </c>
      <c r="Z581" s="30"/>
      <c r="AB581" s="32"/>
      <c r="AC581" s="32"/>
      <c r="AD581" s="32"/>
      <c r="AE581" s="32">
        <f t="shared" si="145"/>
        <v>0</v>
      </c>
      <c r="AF581" s="12"/>
      <c r="AG581" s="12"/>
      <c r="AH581" s="12"/>
      <c r="AI581" s="12">
        <f t="shared" si="141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83"/>
      <c r="D582" s="32"/>
      <c r="E582" s="32"/>
      <c r="F582" s="32"/>
      <c r="G582" s="32">
        <f t="shared" si="136"/>
        <v>0</v>
      </c>
      <c r="H582" s="10"/>
      <c r="I582" s="10"/>
      <c r="J582" s="10"/>
      <c r="K582" s="12">
        <f t="shared" si="137"/>
        <v>0</v>
      </c>
      <c r="M582" s="10">
        <v>21</v>
      </c>
      <c r="N582" s="30"/>
      <c r="O582" s="31"/>
      <c r="P582" s="46"/>
      <c r="Q582" s="31"/>
      <c r="R582" s="31"/>
      <c r="S582" s="32">
        <f t="shared" si="138"/>
        <v>0</v>
      </c>
      <c r="T582" s="10"/>
      <c r="U582" s="10"/>
      <c r="V582" s="10"/>
      <c r="W582" s="12">
        <f t="shared" si="139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45"/>
        <v>0</v>
      </c>
      <c r="AF582" s="10"/>
      <c r="AG582" s="10"/>
      <c r="AH582" s="10"/>
      <c r="AI582" s="12">
        <f t="shared" si="141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83"/>
      <c r="D583" s="32"/>
      <c r="E583" s="32"/>
      <c r="F583" s="32"/>
      <c r="G583" s="32">
        <f t="shared" si="136"/>
        <v>0</v>
      </c>
      <c r="H583" s="10"/>
      <c r="I583" s="10"/>
      <c r="J583" s="10"/>
      <c r="K583" s="12">
        <f t="shared" si="137"/>
        <v>0</v>
      </c>
      <c r="M583" s="10">
        <v>22</v>
      </c>
      <c r="N583" s="30"/>
      <c r="O583" s="31"/>
      <c r="P583" s="45"/>
      <c r="Q583" s="31"/>
      <c r="R583" s="31"/>
      <c r="S583" s="32">
        <f t="shared" si="138"/>
        <v>0</v>
      </c>
      <c r="T583" s="10"/>
      <c r="U583" s="10"/>
      <c r="V583" s="10"/>
      <c r="W583" s="12">
        <f t="shared" si="139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45"/>
        <v>0</v>
      </c>
      <c r="AF583" s="10"/>
      <c r="AG583" s="10"/>
      <c r="AH583" s="10"/>
      <c r="AI583" s="12">
        <f t="shared" si="141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3"/>
      <c r="D584" s="32"/>
      <c r="E584" s="32"/>
      <c r="F584" s="32"/>
      <c r="G584" s="32">
        <f t="shared" si="136"/>
        <v>0</v>
      </c>
      <c r="H584" s="10"/>
      <c r="I584" s="10"/>
      <c r="J584" s="12"/>
      <c r="K584" s="12">
        <f t="shared" si="137"/>
        <v>0</v>
      </c>
      <c r="M584" s="10">
        <v>23</v>
      </c>
      <c r="N584" s="30"/>
      <c r="O584" s="31"/>
      <c r="P584" s="47"/>
      <c r="Q584" s="31"/>
      <c r="S584" s="32">
        <f t="shared" si="138"/>
        <v>0</v>
      </c>
      <c r="T584" s="10"/>
      <c r="U584" s="10"/>
      <c r="V584" s="10"/>
      <c r="W584" s="12">
        <f t="shared" si="139"/>
        <v>0</v>
      </c>
      <c r="Y584" s="10">
        <v>23</v>
      </c>
      <c r="Z584" s="30"/>
      <c r="AA584" s="31"/>
      <c r="AB584" s="47"/>
      <c r="AE584" s="32">
        <f t="shared" si="145"/>
        <v>0</v>
      </c>
      <c r="AF584" s="10"/>
      <c r="AG584" s="10"/>
      <c r="AH584" s="10"/>
      <c r="AI584" s="12">
        <f t="shared" si="141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3"/>
      <c r="D585" s="32"/>
      <c r="E585" s="32"/>
      <c r="F585" s="32"/>
      <c r="G585" s="32">
        <f t="shared" si="136"/>
        <v>0</v>
      </c>
      <c r="H585" s="10"/>
      <c r="I585" s="10"/>
      <c r="J585" s="10"/>
      <c r="K585" s="12">
        <f t="shared" si="137"/>
        <v>0</v>
      </c>
      <c r="M585" s="10">
        <v>24</v>
      </c>
      <c r="N585" s="30"/>
      <c r="O585" s="31"/>
      <c r="P585" s="47"/>
      <c r="Q585" s="31"/>
      <c r="R585" s="31"/>
      <c r="S585" s="32">
        <f t="shared" si="138"/>
        <v>0</v>
      </c>
      <c r="T585" s="10"/>
      <c r="U585" s="10"/>
      <c r="V585" s="10"/>
      <c r="W585" s="12">
        <f t="shared" si="139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45"/>
        <v>0</v>
      </c>
      <c r="AF585" s="10"/>
      <c r="AG585" s="10"/>
      <c r="AH585" s="10"/>
      <c r="AI585" s="12">
        <f t="shared" si="141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83"/>
      <c r="D586" s="32"/>
      <c r="E586" s="32"/>
      <c r="F586" s="32"/>
      <c r="G586" s="32">
        <f t="shared" si="136"/>
        <v>0</v>
      </c>
      <c r="H586" s="10"/>
      <c r="I586" s="10"/>
      <c r="J586" s="10"/>
      <c r="K586" s="12">
        <f t="shared" si="137"/>
        <v>0</v>
      </c>
      <c r="M586" s="10">
        <v>25</v>
      </c>
      <c r="N586" s="30"/>
      <c r="O586" s="31"/>
      <c r="P586" s="47"/>
      <c r="Q586" s="31"/>
      <c r="R586" s="31"/>
      <c r="S586" s="32">
        <f t="shared" si="138"/>
        <v>0</v>
      </c>
      <c r="T586" s="10"/>
      <c r="U586" s="10"/>
      <c r="V586" s="10"/>
      <c r="W586" s="12">
        <f t="shared" si="139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45"/>
        <v>0</v>
      </c>
      <c r="AF586" s="10"/>
      <c r="AG586" s="10"/>
      <c r="AH586" s="10"/>
      <c r="AI586" s="12">
        <f t="shared" si="141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36"/>
        <v>0</v>
      </c>
      <c r="H587" s="10"/>
      <c r="I587" s="10"/>
      <c r="J587" s="10"/>
      <c r="K587" s="12">
        <f t="shared" si="137"/>
        <v>0</v>
      </c>
      <c r="M587" s="10">
        <v>26</v>
      </c>
      <c r="N587" s="30"/>
      <c r="O587" s="31"/>
      <c r="P587" s="47"/>
      <c r="Q587" s="31"/>
      <c r="R587" s="31"/>
      <c r="S587" s="32">
        <f t="shared" si="138"/>
        <v>0</v>
      </c>
      <c r="T587" s="10"/>
      <c r="U587" s="10"/>
      <c r="V587" s="10"/>
      <c r="W587" s="12">
        <f t="shared" si="139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45"/>
        <v>0</v>
      </c>
      <c r="AF587" s="10"/>
      <c r="AG587" s="10"/>
      <c r="AH587" s="10"/>
      <c r="AI587" s="12">
        <f t="shared" si="141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36"/>
        <v>0</v>
      </c>
      <c r="H588" s="10"/>
      <c r="I588" s="10"/>
      <c r="J588" s="10"/>
      <c r="K588" s="12">
        <f t="shared" si="137"/>
        <v>0</v>
      </c>
      <c r="M588" s="10">
        <v>27</v>
      </c>
      <c r="N588" s="30"/>
      <c r="O588" s="31"/>
      <c r="P588" s="47"/>
      <c r="Q588" s="31"/>
      <c r="R588" s="31"/>
      <c r="S588" s="32">
        <f t="shared" si="138"/>
        <v>0</v>
      </c>
      <c r="T588" s="10"/>
      <c r="U588" s="10"/>
      <c r="V588" s="10"/>
      <c r="W588" s="12">
        <f t="shared" si="139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45"/>
        <v>0</v>
      </c>
      <c r="AF588" s="10"/>
      <c r="AG588" s="10"/>
      <c r="AH588" s="10"/>
      <c r="AI588" s="12">
        <f t="shared" si="141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36"/>
        <v>0</v>
      </c>
      <c r="H589" s="10"/>
      <c r="I589" s="10"/>
      <c r="J589" s="10"/>
      <c r="K589" s="12">
        <f t="shared" si="137"/>
        <v>0</v>
      </c>
      <c r="M589" s="10">
        <v>28</v>
      </c>
      <c r="N589" s="30"/>
      <c r="O589" s="31"/>
      <c r="P589" s="47"/>
      <c r="Q589" s="31"/>
      <c r="R589" s="31"/>
      <c r="S589" s="32">
        <f t="shared" si="138"/>
        <v>0</v>
      </c>
      <c r="T589" s="10"/>
      <c r="U589" s="10"/>
      <c r="V589" s="10"/>
      <c r="W589" s="12">
        <f t="shared" si="139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45"/>
        <v>0</v>
      </c>
      <c r="AF589" s="10"/>
      <c r="AG589" s="10"/>
      <c r="AH589" s="10"/>
      <c r="AI589" s="12">
        <f t="shared" si="141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36"/>
        <v>0</v>
      </c>
      <c r="H590" s="10"/>
      <c r="I590" s="10"/>
      <c r="J590" s="10"/>
      <c r="K590" s="12">
        <f t="shared" si="137"/>
        <v>0</v>
      </c>
      <c r="M590" s="10">
        <v>29</v>
      </c>
      <c r="N590" s="30"/>
      <c r="O590" s="31"/>
      <c r="P590" s="47"/>
      <c r="Q590" s="31"/>
      <c r="R590" s="31"/>
      <c r="S590" s="32">
        <f t="shared" si="138"/>
        <v>0</v>
      </c>
      <c r="T590" s="10"/>
      <c r="U590" s="10"/>
      <c r="V590" s="10"/>
      <c r="W590" s="12">
        <f t="shared" si="139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45"/>
        <v>0</v>
      </c>
      <c r="AF590" s="10"/>
      <c r="AG590" s="10"/>
      <c r="AH590" s="10"/>
      <c r="AI590" s="12">
        <f t="shared" si="141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36"/>
        <v>0</v>
      </c>
      <c r="H591" s="10"/>
      <c r="I591" s="10"/>
      <c r="J591" s="10"/>
      <c r="K591" s="12">
        <f t="shared" si="137"/>
        <v>0</v>
      </c>
      <c r="M591" s="10">
        <v>30</v>
      </c>
      <c r="N591" s="30"/>
      <c r="O591" s="31"/>
      <c r="P591" s="47"/>
      <c r="Q591" s="31"/>
      <c r="R591" s="31"/>
      <c r="S591" s="32">
        <f t="shared" si="138"/>
        <v>0</v>
      </c>
      <c r="T591" s="10"/>
      <c r="U591" s="10"/>
      <c r="V591" s="10"/>
      <c r="W591" s="12">
        <f t="shared" si="139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45"/>
        <v>0</v>
      </c>
      <c r="AF591" s="10"/>
      <c r="AG591" s="10"/>
      <c r="AH591" s="10"/>
      <c r="AI591" s="12">
        <f t="shared" si="141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3"/>
      <c r="D592" s="32"/>
      <c r="E592" s="32"/>
      <c r="F592" s="32"/>
      <c r="G592" s="32">
        <f t="shared" si="136"/>
        <v>0</v>
      </c>
      <c r="H592" s="10"/>
      <c r="I592" s="10"/>
      <c r="J592" s="10"/>
      <c r="K592" s="12">
        <f t="shared" si="137"/>
        <v>0</v>
      </c>
      <c r="M592" s="10">
        <v>31</v>
      </c>
      <c r="N592" s="30"/>
      <c r="O592" s="31"/>
      <c r="P592" s="47"/>
      <c r="Q592" s="31"/>
      <c r="R592" s="31"/>
      <c r="S592" s="32">
        <f t="shared" si="138"/>
        <v>0</v>
      </c>
      <c r="T592" s="10"/>
      <c r="U592" s="10"/>
      <c r="V592" s="10"/>
      <c r="W592" s="12">
        <f t="shared" si="139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45"/>
        <v>0</v>
      </c>
      <c r="AF592" s="10"/>
      <c r="AG592" s="10"/>
      <c r="AH592" s="10"/>
      <c r="AI592" s="12">
        <f t="shared" si="141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36"/>
        <v>0</v>
      </c>
      <c r="H593" s="10"/>
      <c r="I593" s="10"/>
      <c r="J593" s="10"/>
      <c r="K593" s="12">
        <f t="shared" si="137"/>
        <v>0</v>
      </c>
      <c r="M593" s="10">
        <v>32</v>
      </c>
      <c r="N593" s="30"/>
      <c r="O593" s="31"/>
      <c r="P593" s="47"/>
      <c r="Q593" s="31"/>
      <c r="R593" s="31"/>
      <c r="S593" s="32">
        <f t="shared" si="138"/>
        <v>0</v>
      </c>
      <c r="T593" s="10"/>
      <c r="U593" s="10"/>
      <c r="V593" s="10"/>
      <c r="W593" s="12">
        <f t="shared" si="139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45"/>
        <v>0</v>
      </c>
      <c r="AF593" s="10"/>
      <c r="AG593" s="10"/>
      <c r="AH593" s="10"/>
      <c r="AI593" s="12">
        <f t="shared" si="141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36"/>
        <v>0</v>
      </c>
      <c r="H594" s="10"/>
      <c r="I594" s="10"/>
      <c r="J594" s="10"/>
      <c r="K594" s="12">
        <f t="shared" si="137"/>
        <v>0</v>
      </c>
      <c r="M594" s="10">
        <v>33</v>
      </c>
      <c r="N594" s="30"/>
      <c r="O594" s="31"/>
      <c r="P594" s="47"/>
      <c r="Q594" s="31"/>
      <c r="R594" s="31"/>
      <c r="S594" s="32">
        <f t="shared" si="138"/>
        <v>0</v>
      </c>
      <c r="T594" s="10"/>
      <c r="U594" s="10"/>
      <c r="V594" s="10"/>
      <c r="W594" s="12">
        <f t="shared" si="139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45"/>
        <v>0</v>
      </c>
      <c r="AF594" s="10"/>
      <c r="AG594" s="10"/>
      <c r="AH594" s="10"/>
      <c r="AI594" s="12">
        <f t="shared" si="141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36"/>
        <v>0</v>
      </c>
      <c r="H595" s="10"/>
      <c r="I595" s="10"/>
      <c r="J595" s="10"/>
      <c r="K595" s="12">
        <f t="shared" si="137"/>
        <v>0</v>
      </c>
      <c r="M595" s="10">
        <v>34</v>
      </c>
      <c r="N595" s="30"/>
      <c r="O595" s="31"/>
      <c r="P595" s="47"/>
      <c r="Q595" s="31"/>
      <c r="R595" s="31"/>
      <c r="S595" s="32">
        <f t="shared" si="138"/>
        <v>0</v>
      </c>
      <c r="T595" s="10"/>
      <c r="U595" s="10"/>
      <c r="V595" s="10"/>
      <c r="W595" s="12">
        <f t="shared" si="139"/>
        <v>0</v>
      </c>
      <c r="Y595" s="10">
        <v>34</v>
      </c>
      <c r="Z595" s="30"/>
      <c r="AA595" s="31"/>
      <c r="AB595" s="47"/>
      <c r="AC595" s="31"/>
      <c r="AD595" s="31"/>
      <c r="AE595" s="32">
        <f t="shared" ref="AE595:AE600" si="146">SUM(AB595:AC595)</f>
        <v>0</v>
      </c>
      <c r="AF595" s="10"/>
      <c r="AG595" s="10"/>
      <c r="AH595" s="10"/>
      <c r="AI595" s="12">
        <f t="shared" si="141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38"/>
        <v>0</v>
      </c>
      <c r="T596" s="10"/>
      <c r="U596" s="10"/>
      <c r="V596" s="10"/>
      <c r="W596" s="12">
        <f t="shared" si="139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46"/>
        <v>0</v>
      </c>
      <c r="AF596" s="10"/>
      <c r="AG596" s="10"/>
      <c r="AH596" s="10"/>
      <c r="AI596" s="12">
        <f t="shared" si="141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38"/>
        <v>0</v>
      </c>
      <c r="T597" s="10"/>
      <c r="U597" s="10"/>
      <c r="V597" s="10"/>
      <c r="W597" s="12">
        <f t="shared" si="139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46"/>
        <v>0</v>
      </c>
      <c r="AF597" s="10"/>
      <c r="AG597" s="10"/>
      <c r="AH597" s="10"/>
      <c r="AI597" s="12">
        <f t="shared" si="141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38"/>
        <v>0</v>
      </c>
      <c r="T598" s="10"/>
      <c r="U598" s="10"/>
      <c r="V598" s="10"/>
      <c r="W598" s="12">
        <f t="shared" si="139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46"/>
        <v>0</v>
      </c>
      <c r="AF598" s="10"/>
      <c r="AG598" s="10"/>
      <c r="AH598" s="10"/>
      <c r="AI598" s="12">
        <f t="shared" si="141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38"/>
        <v>0</v>
      </c>
      <c r="T599" s="10"/>
      <c r="U599" s="10"/>
      <c r="V599" s="10"/>
      <c r="W599" s="12">
        <f t="shared" si="139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46"/>
        <v>0</v>
      </c>
      <c r="AF599" s="10"/>
      <c r="AG599" s="10"/>
      <c r="AH599" s="10"/>
      <c r="AI599" s="12">
        <f t="shared" si="141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38"/>
        <v>0</v>
      </c>
      <c r="T600" s="10"/>
      <c r="U600" s="10"/>
      <c r="V600" s="10"/>
      <c r="W600" s="12">
        <f t="shared" si="139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46"/>
        <v>0</v>
      </c>
      <c r="AF600" s="10"/>
      <c r="AG600" s="10"/>
      <c r="AH600" s="10"/>
      <c r="AI600" s="12">
        <f t="shared" si="141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39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41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47">SUM(D602:E602)</f>
        <v>0</v>
      </c>
      <c r="H602" s="10"/>
      <c r="I602" s="10"/>
      <c r="J602" s="10"/>
      <c r="K602" s="12">
        <f t="shared" ref="K602" si="148">SUM(G602:J602)</f>
        <v>0</v>
      </c>
      <c r="M602" s="10"/>
      <c r="N602" s="30"/>
      <c r="O602" s="31"/>
      <c r="P602" s="47"/>
      <c r="Q602" s="31"/>
      <c r="R602" s="31"/>
      <c r="S602" s="32">
        <f t="shared" ref="S602" si="149">SUM(P602:Q602)</f>
        <v>0</v>
      </c>
      <c r="T602" s="10"/>
      <c r="U602" s="10"/>
      <c r="V602" s="10"/>
      <c r="W602" s="12">
        <f t="shared" si="139"/>
        <v>0</v>
      </c>
      <c r="Y602" s="10"/>
      <c r="Z602" s="30"/>
      <c r="AA602" s="31"/>
      <c r="AB602" s="47"/>
      <c r="AC602" s="31"/>
      <c r="AD602" s="31"/>
      <c r="AE602" s="32">
        <f t="shared" ref="AE602" si="150">SUM(AB602:AC602)</f>
        <v>0</v>
      </c>
      <c r="AF602" s="10"/>
      <c r="AG602" s="10"/>
      <c r="AH602" s="10"/>
      <c r="AI602" s="12">
        <f t="shared" si="141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39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41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287467</v>
      </c>
      <c r="E605" s="38">
        <f t="shared" ref="E605:F605" si="151">SUM(E562:E602)</f>
        <v>-2430</v>
      </c>
      <c r="F605" s="38">
        <f t="shared" si="151"/>
        <v>0</v>
      </c>
      <c r="G605" s="38">
        <f>SUM(G562:G604)</f>
        <v>285037</v>
      </c>
      <c r="H605" s="4"/>
      <c r="I605" s="39">
        <f>SUM(I562:I604)</f>
        <v>8637</v>
      </c>
      <c r="J605" s="39">
        <f>SUM(J562:J604)</f>
        <v>-27606</v>
      </c>
      <c r="K605" s="40">
        <f>SUM(K562:K604)</f>
        <v>266068</v>
      </c>
      <c r="N605" s="57"/>
      <c r="O605" s="57"/>
      <c r="P605" s="38">
        <f>SUM(P562:P604)</f>
        <v>256850</v>
      </c>
      <c r="Q605" s="38">
        <f>SUM(Q562:Q586)</f>
        <v>-2316</v>
      </c>
      <c r="R605" s="38">
        <f>SUM(R562:R586)</f>
        <v>0</v>
      </c>
      <c r="S605" s="38">
        <f>SUM(S562:S604)</f>
        <v>254534</v>
      </c>
      <c r="T605" s="4"/>
      <c r="U605" s="41">
        <f>SUM(U562:U604)</f>
        <v>390</v>
      </c>
      <c r="V605" s="41">
        <f>SUM(V562:V586)</f>
        <v>-1155</v>
      </c>
      <c r="W605" s="42">
        <f>SUM(W562:W604)</f>
        <v>253769</v>
      </c>
      <c r="Z605" s="57"/>
      <c r="AA605" s="57"/>
      <c r="AB605" s="38">
        <f>SUM(AB562:AB604)</f>
        <v>435419</v>
      </c>
      <c r="AC605" s="38">
        <f>SUM(AC562:AC586)</f>
        <v>-1554</v>
      </c>
      <c r="AD605" s="38">
        <f>SUM(AD562:AD586)</f>
        <v>0</v>
      </c>
      <c r="AE605" s="38">
        <f>SUM(AE562:AE604)</f>
        <v>433865</v>
      </c>
      <c r="AF605" s="4"/>
      <c r="AG605" s="41">
        <f>SUM(AG562:AG604)</f>
        <v>23988</v>
      </c>
      <c r="AH605" s="41">
        <f>SUM(AH562:AH586)</f>
        <v>-888</v>
      </c>
      <c r="AI605" s="42">
        <f>SUM(AI562:AI604)</f>
        <v>456965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40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40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40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72</v>
      </c>
      <c r="B613" s="20"/>
      <c r="C613" s="57"/>
      <c r="D613" s="57"/>
      <c r="E613" s="57"/>
      <c r="G613" s="57"/>
      <c r="I613" s="22" t="s">
        <v>16</v>
      </c>
      <c r="J613" s="23" t="s">
        <v>42</v>
      </c>
      <c r="K613" s="24"/>
      <c r="M613" s="21" t="s">
        <v>72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32</v>
      </c>
      <c r="W613" s="24"/>
      <c r="Y613" s="21" t="s">
        <v>72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33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ht="15" customHeight="1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x14ac:dyDescent="0.25">
      <c r="B615" s="25"/>
      <c r="C615" s="26"/>
      <c r="D615" s="118" t="s">
        <v>17</v>
      </c>
      <c r="E615" s="118"/>
      <c r="F615" s="103"/>
      <c r="G615" s="27"/>
      <c r="I615" s="119" t="s">
        <v>18</v>
      </c>
      <c r="J615" s="120"/>
      <c r="K615" s="121" t="s">
        <v>19</v>
      </c>
      <c r="N615" s="25"/>
      <c r="O615" s="26"/>
      <c r="P615" s="118" t="s">
        <v>17</v>
      </c>
      <c r="Q615" s="118"/>
      <c r="R615" s="103"/>
      <c r="S615" s="27"/>
      <c r="U615" s="119" t="s">
        <v>18</v>
      </c>
      <c r="V615" s="120"/>
      <c r="W615" s="121" t="s">
        <v>19</v>
      </c>
      <c r="Z615" s="25"/>
      <c r="AA615" s="26"/>
      <c r="AB615" s="118" t="s">
        <v>17</v>
      </c>
      <c r="AC615" s="118"/>
      <c r="AD615" s="103"/>
      <c r="AE615" s="27"/>
      <c r="AG615" s="119" t="s">
        <v>18</v>
      </c>
      <c r="AH615" s="120"/>
      <c r="AI615" s="121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31</v>
      </c>
      <c r="G616" s="78" t="s">
        <v>24</v>
      </c>
      <c r="I616" s="29" t="s">
        <v>25</v>
      </c>
      <c r="J616" s="29" t="s">
        <v>26</v>
      </c>
      <c r="K616" s="122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31</v>
      </c>
      <c r="S616" s="78" t="s">
        <v>24</v>
      </c>
      <c r="U616" s="29" t="s">
        <v>25</v>
      </c>
      <c r="V616" s="29" t="s">
        <v>26</v>
      </c>
      <c r="W616" s="122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31</v>
      </c>
      <c r="AE616" s="78" t="s">
        <v>24</v>
      </c>
      <c r="AG616" s="29" t="s">
        <v>25</v>
      </c>
      <c r="AH616" s="29" t="s">
        <v>26</v>
      </c>
      <c r="AI616" s="12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73</v>
      </c>
      <c r="C617" s="83">
        <v>10949</v>
      </c>
      <c r="D617" s="32">
        <f>650*50+670*3+622*6</f>
        <v>38242</v>
      </c>
      <c r="E617" s="32"/>
      <c r="F617" s="32"/>
      <c r="G617" s="32">
        <f t="shared" ref="G617:G650" si="152">SUM(D617:E617)</f>
        <v>38242</v>
      </c>
      <c r="H617" s="12"/>
      <c r="I617" s="12">
        <v>148.5</v>
      </c>
      <c r="J617" s="12"/>
      <c r="K617" s="12">
        <f t="shared" ref="K617:K650" si="153">SUM(G617:J617)</f>
        <v>38390.5</v>
      </c>
      <c r="M617" s="10">
        <v>1</v>
      </c>
      <c r="N617" s="30" t="s">
        <v>73</v>
      </c>
      <c r="O617" s="31">
        <v>10890</v>
      </c>
      <c r="P617" s="32">
        <f>650*7+670</f>
        <v>5220</v>
      </c>
      <c r="Q617" s="32"/>
      <c r="R617" s="32"/>
      <c r="S617" s="32">
        <f>SUM(P617:Q617)</f>
        <v>5220</v>
      </c>
      <c r="T617" s="12"/>
      <c r="U617" s="12"/>
      <c r="V617" s="12"/>
      <c r="W617" s="12">
        <f>SUM(S617:V617)</f>
        <v>5220</v>
      </c>
      <c r="Y617" s="10">
        <v>1</v>
      </c>
      <c r="Z617" s="30" t="s">
        <v>73</v>
      </c>
      <c r="AA617" s="31">
        <v>10970</v>
      </c>
      <c r="AB617" s="32">
        <f>650*216+229*9</f>
        <v>142461</v>
      </c>
      <c r="AC617" s="32">
        <v>-1296</v>
      </c>
      <c r="AD617" s="32"/>
      <c r="AE617" s="32">
        <f>SUM(AB617:AC617)</f>
        <v>141165</v>
      </c>
      <c r="AF617" s="12"/>
      <c r="AG617" s="12"/>
      <c r="AH617" s="12"/>
      <c r="AI617" s="12">
        <f>SUM(AE617:AH617)</f>
        <v>141165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73</v>
      </c>
      <c r="C618" s="83">
        <f>C617+1</f>
        <v>10950</v>
      </c>
      <c r="D618" s="32">
        <f>650*123+670*5+700*3+622*5+912*2+1050*2+872*2</f>
        <v>94178</v>
      </c>
      <c r="E618" s="32"/>
      <c r="F618" s="32"/>
      <c r="G618" s="32">
        <f t="shared" si="152"/>
        <v>94178</v>
      </c>
      <c r="H618" s="12"/>
      <c r="I618" s="12">
        <v>405</v>
      </c>
      <c r="J618" s="12">
        <f>-78*11</f>
        <v>-858</v>
      </c>
      <c r="K618" s="12">
        <f t="shared" si="153"/>
        <v>93725</v>
      </c>
      <c r="M618" s="10">
        <v>2</v>
      </c>
      <c r="N618" s="30" t="s">
        <v>73</v>
      </c>
      <c r="O618" s="31">
        <f>O617+1</f>
        <v>10891</v>
      </c>
      <c r="P618" s="32">
        <f>650*216+670*6+229*6</f>
        <v>145794</v>
      </c>
      <c r="Q618" s="32">
        <v>-1332</v>
      </c>
      <c r="R618" s="32"/>
      <c r="S618" s="32">
        <f t="shared" ref="S618:S655" si="154">SUM(P618:Q618)</f>
        <v>144462</v>
      </c>
      <c r="T618" s="12"/>
      <c r="U618" s="12">
        <f>1.5*144</f>
        <v>216</v>
      </c>
      <c r="V618" s="12"/>
      <c r="W618" s="12">
        <f t="shared" ref="W618:W658" si="155">SUM(S618:V618)</f>
        <v>144678</v>
      </c>
      <c r="Y618" s="10">
        <v>2</v>
      </c>
      <c r="Z618" s="30" t="s">
        <v>73</v>
      </c>
      <c r="AA618" s="31">
        <f>AA617+1</f>
        <v>10971</v>
      </c>
      <c r="AB618" s="32">
        <f>650*324+670*8+622*40+912*2+1050*15+872*12+229*9</f>
        <v>270939</v>
      </c>
      <c r="AC618" s="32"/>
      <c r="AD618" s="32"/>
      <c r="AE618" s="32">
        <f t="shared" ref="AE618:AE620" si="156">SUM(AB618:AC618)</f>
        <v>270939</v>
      </c>
      <c r="AF618" s="12"/>
      <c r="AG618" s="12">
        <v>78</v>
      </c>
      <c r="AH618" s="12"/>
      <c r="AI618" s="12">
        <f t="shared" ref="AI618:AI658" si="157">SUM(AE618:AH618)</f>
        <v>271017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73</v>
      </c>
      <c r="C619" s="83">
        <v>11001</v>
      </c>
      <c r="D619" s="33">
        <f>650*324+622*108+229*10</f>
        <v>280066</v>
      </c>
      <c r="E619" s="33">
        <f>-432*6</f>
        <v>-2592</v>
      </c>
      <c r="F619" s="33"/>
      <c r="G619" s="33">
        <f t="shared" si="152"/>
        <v>277474</v>
      </c>
      <c r="H619" s="34"/>
      <c r="I619" s="34"/>
      <c r="J619" s="34">
        <f>-720+-13653+-312+-840</f>
        <v>-15525</v>
      </c>
      <c r="K619" s="34">
        <f t="shared" si="153"/>
        <v>261949</v>
      </c>
      <c r="M619" s="10">
        <v>3</v>
      </c>
      <c r="N619" s="30" t="s">
        <v>73</v>
      </c>
      <c r="O619" s="31">
        <f t="shared" ref="O619:O622" si="158">O618+1</f>
        <v>10892</v>
      </c>
      <c r="P619" s="32">
        <f>650*54+229</f>
        <v>35329</v>
      </c>
      <c r="Q619" s="32"/>
      <c r="R619" s="32"/>
      <c r="S619" s="32">
        <f t="shared" si="154"/>
        <v>35329</v>
      </c>
      <c r="T619" s="12"/>
      <c r="U619" s="12">
        <v>36</v>
      </c>
      <c r="V619" s="12"/>
      <c r="W619" s="12">
        <f t="shared" si="155"/>
        <v>35365</v>
      </c>
      <c r="Y619" s="10">
        <v>3</v>
      </c>
      <c r="Z619" s="30" t="s">
        <v>73</v>
      </c>
      <c r="AA619" s="31">
        <f t="shared" ref="AA619:AA620" si="159">AA618+1</f>
        <v>10972</v>
      </c>
      <c r="AB619" s="33">
        <f>650*8</f>
        <v>5200</v>
      </c>
      <c r="AC619" s="33"/>
      <c r="AD619" s="32"/>
      <c r="AE619" s="32">
        <f t="shared" si="156"/>
        <v>5200</v>
      </c>
      <c r="AF619" s="12"/>
      <c r="AG619" s="12"/>
      <c r="AH619" s="12">
        <v>-222</v>
      </c>
      <c r="AI619" s="12">
        <f t="shared" si="157"/>
        <v>4978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73</v>
      </c>
      <c r="C620" s="83">
        <f t="shared" ref="C620:C622" si="160">C619+1</f>
        <v>11002</v>
      </c>
      <c r="D620" s="32">
        <f>650*55</f>
        <v>35750</v>
      </c>
      <c r="E620" s="32"/>
      <c r="F620" s="32"/>
      <c r="G620" s="32">
        <f t="shared" si="152"/>
        <v>35750</v>
      </c>
      <c r="H620" s="12"/>
      <c r="I620" s="12"/>
      <c r="J620" s="12"/>
      <c r="K620" s="12">
        <f t="shared" si="153"/>
        <v>35750</v>
      </c>
      <c r="M620" s="10">
        <v>4</v>
      </c>
      <c r="N620" s="30" t="s">
        <v>73</v>
      </c>
      <c r="O620" s="31">
        <f t="shared" si="158"/>
        <v>10893</v>
      </c>
      <c r="P620" s="32">
        <f>650*24</f>
        <v>15600</v>
      </c>
      <c r="Q620" s="32"/>
      <c r="R620" s="32"/>
      <c r="S620" s="32">
        <f t="shared" si="154"/>
        <v>15600</v>
      </c>
      <c r="T620" s="12"/>
      <c r="U620" s="12">
        <v>45</v>
      </c>
      <c r="V620" s="12"/>
      <c r="W620" s="12">
        <f t="shared" si="155"/>
        <v>15645</v>
      </c>
      <c r="Y620" s="10">
        <v>4</v>
      </c>
      <c r="Z620" s="30" t="s">
        <v>73</v>
      </c>
      <c r="AA620" s="31">
        <f t="shared" si="159"/>
        <v>10973</v>
      </c>
      <c r="AB620" s="32">
        <f>650*100+670*10+872*10+229*4+650*2</f>
        <v>82636</v>
      </c>
      <c r="AC620" s="32">
        <f>-120*6</f>
        <v>-720</v>
      </c>
      <c r="AD620" s="32"/>
      <c r="AE620" s="32">
        <f t="shared" si="156"/>
        <v>81916</v>
      </c>
      <c r="AF620" s="12"/>
      <c r="AG620">
        <v>54</v>
      </c>
      <c r="AH620" s="12">
        <f>-777+-504</f>
        <v>-1281</v>
      </c>
      <c r="AI620" s="12">
        <f t="shared" si="157"/>
        <v>80689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73</v>
      </c>
      <c r="C621" s="83">
        <f t="shared" si="160"/>
        <v>11003</v>
      </c>
      <c r="D621" s="32">
        <f>650*30+622*2</f>
        <v>20744</v>
      </c>
      <c r="E621" s="32"/>
      <c r="F621" s="32"/>
      <c r="G621" s="32">
        <f t="shared" si="152"/>
        <v>20744</v>
      </c>
      <c r="H621" s="12"/>
      <c r="I621" s="12">
        <v>864</v>
      </c>
      <c r="J621" s="12">
        <f>-120+-6660</f>
        <v>-6780</v>
      </c>
      <c r="K621" s="12">
        <f t="shared" si="153"/>
        <v>14828</v>
      </c>
      <c r="M621" s="10">
        <v>5</v>
      </c>
      <c r="N621" s="30" t="s">
        <v>73</v>
      </c>
      <c r="O621" s="31">
        <f t="shared" si="158"/>
        <v>10894</v>
      </c>
      <c r="P621" s="32">
        <f>650*8</f>
        <v>5200</v>
      </c>
      <c r="Q621" s="32"/>
      <c r="R621" s="32"/>
      <c r="S621" s="32">
        <f t="shared" si="154"/>
        <v>5200</v>
      </c>
      <c r="T621" s="12"/>
      <c r="U621" s="12"/>
      <c r="V621" s="12"/>
      <c r="W621" s="12">
        <f t="shared" si="155"/>
        <v>5200</v>
      </c>
      <c r="Y621" s="10">
        <v>5</v>
      </c>
      <c r="Z621" s="30"/>
      <c r="AA621" s="11" t="s">
        <v>27</v>
      </c>
      <c r="AB621" s="32"/>
      <c r="AC621" s="32"/>
      <c r="AD621" s="32"/>
      <c r="AE621" s="32">
        <f t="shared" ref="AE621:AE649" si="161">SUM(AB621:AC621)</f>
        <v>0</v>
      </c>
      <c r="AF621" s="12"/>
      <c r="AG621" s="12"/>
      <c r="AH621" s="12"/>
      <c r="AI621" s="12">
        <f t="shared" si="157"/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73</v>
      </c>
      <c r="C622" s="83">
        <f t="shared" si="160"/>
        <v>11004</v>
      </c>
      <c r="D622" s="32">
        <f>650</f>
        <v>650</v>
      </c>
      <c r="E622" s="32"/>
      <c r="F622" s="32"/>
      <c r="G622" s="32">
        <f t="shared" si="152"/>
        <v>650</v>
      </c>
      <c r="H622" s="12"/>
      <c r="I622" s="12"/>
      <c r="J622" s="12"/>
      <c r="K622" s="12">
        <f t="shared" si="153"/>
        <v>650</v>
      </c>
      <c r="M622" s="10">
        <v>6</v>
      </c>
      <c r="N622" s="30" t="s">
        <v>73</v>
      </c>
      <c r="O622" s="31">
        <f t="shared" si="158"/>
        <v>10895</v>
      </c>
      <c r="P622" s="32">
        <f>650*9+622*4</f>
        <v>8338</v>
      </c>
      <c r="Q622" s="32"/>
      <c r="R622" s="32"/>
      <c r="S622" s="32">
        <f t="shared" si="154"/>
        <v>8338</v>
      </c>
      <c r="T622" s="12"/>
      <c r="U622" s="12"/>
      <c r="V622" s="10">
        <v>-888</v>
      </c>
      <c r="W622" s="12">
        <f t="shared" si="155"/>
        <v>7450</v>
      </c>
      <c r="Y622" s="10">
        <v>6</v>
      </c>
      <c r="Z622" s="30"/>
      <c r="AA622" s="31"/>
      <c r="AB622" s="32"/>
      <c r="AC622" s="32"/>
      <c r="AD622" s="32"/>
      <c r="AE622" s="32">
        <f t="shared" si="161"/>
        <v>0</v>
      </c>
      <c r="AF622" s="12"/>
      <c r="AG622" s="12"/>
      <c r="AH622" s="10"/>
      <c r="AI622" s="12">
        <f t="shared" si="157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/>
      <c r="C623" s="11" t="s">
        <v>27</v>
      </c>
      <c r="D623" s="32"/>
      <c r="E623" s="32"/>
      <c r="F623" s="32"/>
      <c r="G623" s="32">
        <f t="shared" si="152"/>
        <v>0</v>
      </c>
      <c r="H623" s="12"/>
      <c r="I623" s="12"/>
      <c r="J623" s="12"/>
      <c r="K623" s="12">
        <f t="shared" si="153"/>
        <v>0</v>
      </c>
      <c r="M623" s="10">
        <v>7</v>
      </c>
      <c r="N623" s="30"/>
      <c r="O623" s="11" t="s">
        <v>27</v>
      </c>
      <c r="P623" s="32"/>
      <c r="Q623" s="32"/>
      <c r="R623" s="32"/>
      <c r="S623" s="32">
        <f t="shared" si="154"/>
        <v>0</v>
      </c>
      <c r="T623" s="12"/>
      <c r="U623" s="12"/>
      <c r="V623" s="12"/>
      <c r="W623" s="12">
        <f t="shared" si="155"/>
        <v>0</v>
      </c>
      <c r="Y623" s="10">
        <v>7</v>
      </c>
      <c r="Z623" s="30"/>
      <c r="AA623" s="31"/>
      <c r="AB623" s="32"/>
      <c r="AC623" s="32"/>
      <c r="AD623" s="32"/>
      <c r="AE623" s="32">
        <f t="shared" si="161"/>
        <v>0</v>
      </c>
      <c r="AF623" s="12"/>
      <c r="AG623" s="58"/>
      <c r="AH623" s="12"/>
      <c r="AI623" s="12">
        <f t="shared" si="157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/>
      <c r="C624" s="83"/>
      <c r="D624" s="32"/>
      <c r="E624" s="32"/>
      <c r="F624" s="32"/>
      <c r="G624" s="32">
        <f t="shared" si="152"/>
        <v>0</v>
      </c>
      <c r="H624" s="12"/>
      <c r="I624" s="12"/>
      <c r="J624" s="12"/>
      <c r="K624" s="12">
        <f t="shared" si="153"/>
        <v>0</v>
      </c>
      <c r="M624" s="10">
        <v>8</v>
      </c>
      <c r="N624" s="30"/>
      <c r="O624" s="31"/>
      <c r="P624" s="32"/>
      <c r="Q624" s="32"/>
      <c r="R624" s="32"/>
      <c r="S624" s="32">
        <f t="shared" si="154"/>
        <v>0</v>
      </c>
      <c r="T624" s="12"/>
      <c r="U624" s="12"/>
      <c r="V624" s="12"/>
      <c r="W624" s="12">
        <f t="shared" si="155"/>
        <v>0</v>
      </c>
      <c r="Y624" s="10">
        <v>8</v>
      </c>
      <c r="Z624" s="30"/>
      <c r="AA624" s="31"/>
      <c r="AB624" s="32"/>
      <c r="AC624" s="32"/>
      <c r="AE624" s="32">
        <f t="shared" si="161"/>
        <v>0</v>
      </c>
      <c r="AF624" s="12"/>
      <c r="AG624" s="12"/>
      <c r="AH624" s="12"/>
      <c r="AI624" s="12">
        <f t="shared" si="157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/>
      <c r="C625" s="83"/>
      <c r="D625" s="32"/>
      <c r="E625" s="32"/>
      <c r="F625" s="32"/>
      <c r="G625" s="32">
        <f t="shared" si="152"/>
        <v>0</v>
      </c>
      <c r="H625" s="12"/>
      <c r="I625" s="12"/>
      <c r="J625" s="12"/>
      <c r="K625" s="12">
        <f t="shared" si="153"/>
        <v>0</v>
      </c>
      <c r="M625" s="10">
        <v>9</v>
      </c>
      <c r="N625" s="30"/>
      <c r="O625" s="31"/>
      <c r="P625" s="32"/>
      <c r="Q625" s="32"/>
      <c r="R625" s="32"/>
      <c r="S625" s="32">
        <f t="shared" si="154"/>
        <v>0</v>
      </c>
      <c r="T625" s="12"/>
      <c r="U625" s="12"/>
      <c r="V625" s="12"/>
      <c r="W625" s="12">
        <f t="shared" si="155"/>
        <v>0</v>
      </c>
      <c r="Y625" s="10">
        <v>9</v>
      </c>
      <c r="Z625" s="30"/>
      <c r="AA625" s="31"/>
      <c r="AB625" s="32"/>
      <c r="AC625" s="32"/>
      <c r="AD625" s="32"/>
      <c r="AE625" s="32">
        <f t="shared" si="161"/>
        <v>0</v>
      </c>
      <c r="AF625" s="12"/>
      <c r="AH625" s="12"/>
      <c r="AI625" s="12">
        <f t="shared" si="157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/>
      <c r="C626" s="83"/>
      <c r="D626" s="32"/>
      <c r="E626" s="32"/>
      <c r="F626" s="32"/>
      <c r="G626" s="32">
        <f t="shared" si="152"/>
        <v>0</v>
      </c>
      <c r="H626" s="12"/>
      <c r="I626" s="12"/>
      <c r="J626" s="12"/>
      <c r="K626" s="12">
        <f t="shared" si="153"/>
        <v>0</v>
      </c>
      <c r="M626" s="10">
        <v>10</v>
      </c>
      <c r="N626" s="30"/>
      <c r="O626" s="31"/>
      <c r="P626" s="32"/>
      <c r="Q626" s="32"/>
      <c r="R626" s="32"/>
      <c r="S626" s="32">
        <f t="shared" si="154"/>
        <v>0</v>
      </c>
      <c r="T626" s="12"/>
      <c r="U626" s="12"/>
      <c r="V626" s="12"/>
      <c r="W626" s="12">
        <f t="shared" si="155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61"/>
        <v>0</v>
      </c>
      <c r="AF626" s="12"/>
      <c r="AG626" s="12"/>
      <c r="AH626" s="12"/>
      <c r="AI626" s="12">
        <f t="shared" si="157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/>
      <c r="C627" s="83"/>
      <c r="D627" s="32"/>
      <c r="E627" s="32"/>
      <c r="F627" s="32"/>
      <c r="G627" s="32">
        <f t="shared" si="152"/>
        <v>0</v>
      </c>
      <c r="H627" s="12"/>
      <c r="I627" s="12"/>
      <c r="J627" s="12"/>
      <c r="K627" s="12">
        <f t="shared" si="153"/>
        <v>0</v>
      </c>
      <c r="M627" s="10">
        <v>11</v>
      </c>
      <c r="N627" s="30"/>
      <c r="O627" s="31"/>
      <c r="P627" s="32"/>
      <c r="Q627" s="32"/>
      <c r="R627" s="32"/>
      <c r="S627" s="32">
        <f t="shared" si="154"/>
        <v>0</v>
      </c>
      <c r="T627" s="12"/>
      <c r="U627" s="12"/>
      <c r="V627" s="12"/>
      <c r="W627" s="12">
        <f t="shared" si="155"/>
        <v>0</v>
      </c>
      <c r="Y627" s="10">
        <v>11</v>
      </c>
      <c r="Z627" s="30"/>
      <c r="AA627" s="31"/>
      <c r="AB627" s="32"/>
      <c r="AC627" s="32"/>
      <c r="AD627" s="32"/>
      <c r="AE627" s="32">
        <f t="shared" si="161"/>
        <v>0</v>
      </c>
      <c r="AF627" s="12"/>
      <c r="AG627" s="12"/>
      <c r="AH627" s="12"/>
      <c r="AI627" s="12">
        <f t="shared" si="157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/>
      <c r="C628" s="83"/>
      <c r="D628" s="32"/>
      <c r="E628" s="32"/>
      <c r="F628" s="32"/>
      <c r="G628" s="32">
        <f t="shared" si="152"/>
        <v>0</v>
      </c>
      <c r="H628" s="12"/>
      <c r="I628" s="12"/>
      <c r="J628" s="10"/>
      <c r="K628" s="12">
        <f t="shared" si="153"/>
        <v>0</v>
      </c>
      <c r="M628" s="10">
        <v>12</v>
      </c>
      <c r="N628" s="30"/>
      <c r="O628" s="31"/>
      <c r="P628" s="32"/>
      <c r="Q628" s="32"/>
      <c r="R628" s="32"/>
      <c r="S628" s="32">
        <f t="shared" si="154"/>
        <v>0</v>
      </c>
      <c r="T628" s="12"/>
      <c r="U628" s="12"/>
      <c r="V628" s="12"/>
      <c r="W628" s="12">
        <f t="shared" si="155"/>
        <v>0</v>
      </c>
      <c r="Y628" s="10">
        <v>12</v>
      </c>
      <c r="Z628" s="30"/>
      <c r="AA628" s="31"/>
      <c r="AB628" s="32"/>
      <c r="AC628" s="32"/>
      <c r="AD628" s="32"/>
      <c r="AE628" s="32">
        <f t="shared" si="161"/>
        <v>0</v>
      </c>
      <c r="AF628" s="12"/>
      <c r="AG628" s="12"/>
      <c r="AH628" s="12"/>
      <c r="AI628" s="12">
        <f t="shared" si="157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/>
      <c r="C629" s="83"/>
      <c r="D629" s="32"/>
      <c r="E629" s="32"/>
      <c r="F629" s="32"/>
      <c r="G629" s="32">
        <f t="shared" si="152"/>
        <v>0</v>
      </c>
      <c r="H629" s="12"/>
      <c r="I629" s="12"/>
      <c r="J629" s="12"/>
      <c r="K629" s="12">
        <f t="shared" si="153"/>
        <v>0</v>
      </c>
      <c r="M629" s="10">
        <v>13</v>
      </c>
      <c r="N629" s="30"/>
      <c r="O629" s="31"/>
      <c r="P629" s="32"/>
      <c r="Q629" s="32"/>
      <c r="R629" s="32"/>
      <c r="S629" s="32">
        <f t="shared" si="154"/>
        <v>0</v>
      </c>
      <c r="T629" s="12"/>
      <c r="U629" s="12"/>
      <c r="V629" s="12"/>
      <c r="W629" s="12">
        <f t="shared" si="155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61"/>
        <v>0</v>
      </c>
      <c r="AF629" s="12"/>
      <c r="AG629" s="12"/>
      <c r="AH629" s="12"/>
      <c r="AI629" s="12">
        <f t="shared" si="157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/>
      <c r="C630" s="83"/>
      <c r="D630" s="32"/>
      <c r="E630" s="32"/>
      <c r="F630" s="32"/>
      <c r="G630" s="32">
        <f t="shared" si="152"/>
        <v>0</v>
      </c>
      <c r="H630" s="12"/>
      <c r="I630" s="12"/>
      <c r="J630" s="12"/>
      <c r="K630" s="12">
        <f t="shared" si="153"/>
        <v>0</v>
      </c>
      <c r="M630" s="10">
        <v>14</v>
      </c>
      <c r="N630" s="30"/>
      <c r="O630" s="31"/>
      <c r="P630" s="32"/>
      <c r="Q630" s="32"/>
      <c r="R630" s="32"/>
      <c r="S630" s="32">
        <f t="shared" si="154"/>
        <v>0</v>
      </c>
      <c r="T630" s="12"/>
      <c r="U630" s="12"/>
      <c r="V630" s="12"/>
      <c r="W630" s="12">
        <f t="shared" si="155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61"/>
        <v>0</v>
      </c>
      <c r="AF630" s="12"/>
      <c r="AG630" s="12"/>
      <c r="AH630" s="12"/>
      <c r="AI630" s="12">
        <f t="shared" si="157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/>
      <c r="C631" s="83"/>
      <c r="D631" s="32"/>
      <c r="E631" s="32"/>
      <c r="F631" s="32"/>
      <c r="G631" s="32">
        <f t="shared" si="152"/>
        <v>0</v>
      </c>
      <c r="H631" s="12"/>
      <c r="I631" s="12"/>
      <c r="J631" s="12"/>
      <c r="K631" s="12">
        <f t="shared" si="153"/>
        <v>0</v>
      </c>
      <c r="M631" s="10">
        <v>15</v>
      </c>
      <c r="N631" s="30"/>
      <c r="O631" s="31"/>
      <c r="P631" s="32"/>
      <c r="Q631" s="32"/>
      <c r="R631" s="32"/>
      <c r="S631" s="32">
        <f t="shared" si="154"/>
        <v>0</v>
      </c>
      <c r="T631" s="12"/>
      <c r="U631" s="12"/>
      <c r="V631" s="12"/>
      <c r="W631" s="12">
        <f t="shared" si="155"/>
        <v>0</v>
      </c>
      <c r="Y631" s="10">
        <v>15</v>
      </c>
      <c r="Z631" s="30"/>
      <c r="AA631" s="31"/>
      <c r="AB631" s="32"/>
      <c r="AC631" s="32"/>
      <c r="AD631" s="32"/>
      <c r="AE631" s="32">
        <f t="shared" si="161"/>
        <v>0</v>
      </c>
      <c r="AF631" s="12"/>
      <c r="AG631" s="12"/>
      <c r="AH631" s="12"/>
      <c r="AI631" s="12">
        <f t="shared" si="157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11"/>
      <c r="D632" s="32"/>
      <c r="E632" s="32"/>
      <c r="F632" s="32"/>
      <c r="G632" s="32">
        <f t="shared" si="152"/>
        <v>0</v>
      </c>
      <c r="H632" s="12"/>
      <c r="I632" s="12"/>
      <c r="J632" s="12"/>
      <c r="K632" s="12">
        <f t="shared" si="153"/>
        <v>0</v>
      </c>
      <c r="M632" s="10">
        <v>16</v>
      </c>
      <c r="N632" s="30"/>
      <c r="O632" s="11"/>
      <c r="P632" s="32"/>
      <c r="Q632" s="32"/>
      <c r="R632" s="32"/>
      <c r="S632" s="32">
        <f t="shared" si="154"/>
        <v>0</v>
      </c>
      <c r="T632" s="12"/>
      <c r="U632" s="12"/>
      <c r="V632" s="12"/>
      <c r="W632" s="12">
        <f t="shared" si="155"/>
        <v>0</v>
      </c>
      <c r="Y632" s="10">
        <v>16</v>
      </c>
      <c r="Z632" s="30"/>
      <c r="AA632" s="11"/>
      <c r="AB632" s="32"/>
      <c r="AC632" s="32"/>
      <c r="AD632" s="32"/>
      <c r="AE632" s="32">
        <f t="shared" si="161"/>
        <v>0</v>
      </c>
      <c r="AF632" s="12"/>
      <c r="AG632" s="12"/>
      <c r="AH632" s="12"/>
      <c r="AI632" s="12">
        <f t="shared" si="157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83"/>
      <c r="D633" s="32"/>
      <c r="E633" s="32"/>
      <c r="F633" s="32"/>
      <c r="G633" s="32">
        <f t="shared" si="152"/>
        <v>0</v>
      </c>
      <c r="H633" s="12"/>
      <c r="I633" s="12"/>
      <c r="J633" s="12"/>
      <c r="K633" s="12">
        <f t="shared" si="153"/>
        <v>0</v>
      </c>
      <c r="M633" s="10">
        <v>17</v>
      </c>
      <c r="N633" s="30"/>
      <c r="O633" s="31"/>
      <c r="P633" s="35"/>
      <c r="Q633" s="32"/>
      <c r="R633" s="32"/>
      <c r="S633" s="32">
        <f t="shared" si="154"/>
        <v>0</v>
      </c>
      <c r="T633" s="12"/>
      <c r="U633" s="12"/>
      <c r="V633" s="12"/>
      <c r="W633" s="12">
        <f t="shared" si="155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61"/>
        <v>0</v>
      </c>
      <c r="AF633" s="12"/>
      <c r="AG633" s="12"/>
      <c r="AH633" s="12"/>
      <c r="AI633" s="12">
        <f t="shared" si="157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83"/>
      <c r="D634" s="32"/>
      <c r="E634" s="32"/>
      <c r="F634" s="32"/>
      <c r="G634" s="32">
        <f t="shared" si="152"/>
        <v>0</v>
      </c>
      <c r="H634" s="12"/>
      <c r="I634" s="12"/>
      <c r="J634" s="12"/>
      <c r="K634" s="12">
        <f t="shared" si="153"/>
        <v>0</v>
      </c>
      <c r="M634" s="10">
        <v>18</v>
      </c>
      <c r="N634" s="30"/>
      <c r="O634" s="31"/>
      <c r="P634" s="32"/>
      <c r="Q634" s="32"/>
      <c r="R634" s="32"/>
      <c r="S634" s="32">
        <f t="shared" si="154"/>
        <v>0</v>
      </c>
      <c r="T634" s="12"/>
      <c r="U634" s="12"/>
      <c r="V634" s="12"/>
      <c r="W634" s="12">
        <f t="shared" si="155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61"/>
        <v>0</v>
      </c>
      <c r="AF634" s="12"/>
      <c r="AG634" s="12"/>
      <c r="AH634" s="12"/>
      <c r="AI634" s="12">
        <f t="shared" si="157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83"/>
      <c r="D635" s="32"/>
      <c r="E635" s="32"/>
      <c r="F635" s="32"/>
      <c r="G635" s="32">
        <f t="shared" si="152"/>
        <v>0</v>
      </c>
      <c r="H635" s="12"/>
      <c r="I635" s="12"/>
      <c r="J635" s="12"/>
      <c r="K635" s="12">
        <f t="shared" si="153"/>
        <v>0</v>
      </c>
      <c r="M635" s="10">
        <v>19</v>
      </c>
      <c r="N635" s="30"/>
      <c r="O635" s="31"/>
      <c r="P635" s="32"/>
      <c r="Q635" s="32"/>
      <c r="R635" s="32"/>
      <c r="S635" s="32">
        <f t="shared" si="154"/>
        <v>0</v>
      </c>
      <c r="T635" s="12"/>
      <c r="U635" s="12"/>
      <c r="V635" s="12"/>
      <c r="W635" s="12">
        <f t="shared" si="155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61"/>
        <v>0</v>
      </c>
      <c r="AF635" s="12"/>
      <c r="AG635" s="12"/>
      <c r="AH635" s="12"/>
      <c r="AI635" s="12">
        <f t="shared" si="157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83"/>
      <c r="D636" s="32"/>
      <c r="E636" s="32"/>
      <c r="F636" s="32"/>
      <c r="G636" s="32">
        <f t="shared" si="152"/>
        <v>0</v>
      </c>
      <c r="H636" s="12"/>
      <c r="I636" s="12"/>
      <c r="J636" s="12"/>
      <c r="K636" s="12">
        <f t="shared" si="153"/>
        <v>0</v>
      </c>
      <c r="M636" s="10">
        <v>20</v>
      </c>
      <c r="N636" s="30"/>
      <c r="O636" s="31"/>
      <c r="P636" s="32"/>
      <c r="Q636" s="32"/>
      <c r="R636" s="32"/>
      <c r="S636" s="32">
        <f t="shared" si="154"/>
        <v>0</v>
      </c>
      <c r="T636" s="12"/>
      <c r="U636" s="12"/>
      <c r="V636" s="12"/>
      <c r="W636" s="12">
        <f t="shared" si="155"/>
        <v>0</v>
      </c>
      <c r="Y636" s="10">
        <v>20</v>
      </c>
      <c r="Z636" s="30"/>
      <c r="AB636" s="32"/>
      <c r="AC636" s="32"/>
      <c r="AD636" s="32"/>
      <c r="AE636" s="32">
        <f t="shared" si="161"/>
        <v>0</v>
      </c>
      <c r="AF636" s="12"/>
      <c r="AG636" s="12"/>
      <c r="AH636" s="12"/>
      <c r="AI636" s="12">
        <f t="shared" si="157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83"/>
      <c r="D637" s="32"/>
      <c r="E637" s="32"/>
      <c r="F637" s="32"/>
      <c r="G637" s="32">
        <f t="shared" si="152"/>
        <v>0</v>
      </c>
      <c r="H637" s="10"/>
      <c r="I637" s="10"/>
      <c r="J637" s="10"/>
      <c r="K637" s="12">
        <f t="shared" si="153"/>
        <v>0</v>
      </c>
      <c r="M637" s="10">
        <v>21</v>
      </c>
      <c r="N637" s="30"/>
      <c r="O637" s="31"/>
      <c r="P637" s="46"/>
      <c r="Q637" s="31"/>
      <c r="R637" s="31"/>
      <c r="S637" s="32">
        <f t="shared" si="154"/>
        <v>0</v>
      </c>
      <c r="T637" s="10"/>
      <c r="U637" s="10"/>
      <c r="V637" s="10"/>
      <c r="W637" s="12">
        <f t="shared" si="155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61"/>
        <v>0</v>
      </c>
      <c r="AF637" s="10"/>
      <c r="AG637" s="10"/>
      <c r="AH637" s="10"/>
      <c r="AI637" s="12">
        <f t="shared" si="157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83"/>
      <c r="D638" s="32"/>
      <c r="E638" s="32"/>
      <c r="F638" s="32"/>
      <c r="G638" s="32">
        <f t="shared" si="152"/>
        <v>0</v>
      </c>
      <c r="H638" s="10"/>
      <c r="I638" s="10"/>
      <c r="J638" s="10"/>
      <c r="K638" s="12">
        <f t="shared" si="153"/>
        <v>0</v>
      </c>
      <c r="M638" s="10">
        <v>22</v>
      </c>
      <c r="N638" s="30"/>
      <c r="O638" s="31"/>
      <c r="P638" s="45"/>
      <c r="Q638" s="31"/>
      <c r="R638" s="31"/>
      <c r="S638" s="32">
        <f t="shared" si="154"/>
        <v>0</v>
      </c>
      <c r="T638" s="10"/>
      <c r="U638" s="10"/>
      <c r="V638" s="10"/>
      <c r="W638" s="12">
        <f t="shared" si="155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61"/>
        <v>0</v>
      </c>
      <c r="AF638" s="10"/>
      <c r="AG638" s="10"/>
      <c r="AH638" s="10"/>
      <c r="AI638" s="12">
        <f t="shared" si="157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83"/>
      <c r="D639" s="32"/>
      <c r="E639" s="32"/>
      <c r="F639" s="32"/>
      <c r="G639" s="32">
        <f t="shared" si="152"/>
        <v>0</v>
      </c>
      <c r="H639" s="10"/>
      <c r="I639" s="10"/>
      <c r="J639" s="12"/>
      <c r="K639" s="12">
        <f t="shared" si="153"/>
        <v>0</v>
      </c>
      <c r="M639" s="10">
        <v>23</v>
      </c>
      <c r="N639" s="30"/>
      <c r="O639" s="31"/>
      <c r="P639" s="47"/>
      <c r="Q639" s="31"/>
      <c r="S639" s="32">
        <f t="shared" si="154"/>
        <v>0</v>
      </c>
      <c r="T639" s="10"/>
      <c r="U639" s="10"/>
      <c r="V639" s="10"/>
      <c r="W639" s="12">
        <f t="shared" si="155"/>
        <v>0</v>
      </c>
      <c r="Y639" s="10">
        <v>23</v>
      </c>
      <c r="Z639" s="30"/>
      <c r="AA639" s="31"/>
      <c r="AB639" s="47"/>
      <c r="AE639" s="32">
        <f t="shared" si="161"/>
        <v>0</v>
      </c>
      <c r="AF639" s="10"/>
      <c r="AG639" s="10"/>
      <c r="AH639" s="10"/>
      <c r="AI639" s="12">
        <f t="shared" si="157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83"/>
      <c r="D640" s="32"/>
      <c r="E640" s="32"/>
      <c r="F640" s="32"/>
      <c r="G640" s="32">
        <f t="shared" si="152"/>
        <v>0</v>
      </c>
      <c r="H640" s="10"/>
      <c r="I640" s="10"/>
      <c r="J640" s="10"/>
      <c r="K640" s="12">
        <f t="shared" si="153"/>
        <v>0</v>
      </c>
      <c r="M640" s="10">
        <v>24</v>
      </c>
      <c r="N640" s="30"/>
      <c r="O640" s="31"/>
      <c r="P640" s="47"/>
      <c r="Q640" s="31"/>
      <c r="R640" s="31"/>
      <c r="S640" s="32">
        <f t="shared" si="154"/>
        <v>0</v>
      </c>
      <c r="T640" s="10"/>
      <c r="U640" s="10"/>
      <c r="V640" s="10"/>
      <c r="W640" s="12">
        <f t="shared" si="155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61"/>
        <v>0</v>
      </c>
      <c r="AF640" s="10"/>
      <c r="AG640" s="10"/>
      <c r="AH640" s="10"/>
      <c r="AI640" s="12">
        <f t="shared" si="157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83"/>
      <c r="D641" s="32"/>
      <c r="E641" s="32"/>
      <c r="F641" s="32"/>
      <c r="G641" s="32">
        <f t="shared" si="152"/>
        <v>0</v>
      </c>
      <c r="H641" s="10"/>
      <c r="I641" s="10"/>
      <c r="J641" s="10"/>
      <c r="K641" s="12">
        <f t="shared" si="153"/>
        <v>0</v>
      </c>
      <c r="M641" s="10">
        <v>25</v>
      </c>
      <c r="N641" s="30"/>
      <c r="O641" s="31"/>
      <c r="P641" s="47"/>
      <c r="Q641" s="31"/>
      <c r="R641" s="31"/>
      <c r="S641" s="32">
        <f t="shared" si="154"/>
        <v>0</v>
      </c>
      <c r="T641" s="10"/>
      <c r="U641" s="10"/>
      <c r="V641" s="10"/>
      <c r="W641" s="12">
        <f t="shared" si="155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61"/>
        <v>0</v>
      </c>
      <c r="AF641" s="10"/>
      <c r="AG641" s="10"/>
      <c r="AH641" s="10"/>
      <c r="AI641" s="12">
        <f t="shared" si="157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3"/>
      <c r="D642" s="32"/>
      <c r="E642" s="32"/>
      <c r="F642" s="32"/>
      <c r="G642" s="32">
        <f t="shared" si="152"/>
        <v>0</v>
      </c>
      <c r="H642" s="10"/>
      <c r="I642" s="10"/>
      <c r="J642" s="10"/>
      <c r="K642" s="12">
        <f t="shared" si="153"/>
        <v>0</v>
      </c>
      <c r="M642" s="10">
        <v>26</v>
      </c>
      <c r="N642" s="30"/>
      <c r="O642" s="31"/>
      <c r="P642" s="47"/>
      <c r="Q642" s="31"/>
      <c r="R642" s="31"/>
      <c r="S642" s="32">
        <f t="shared" si="154"/>
        <v>0</v>
      </c>
      <c r="T642" s="10"/>
      <c r="U642" s="10"/>
      <c r="V642" s="10"/>
      <c r="W642" s="12">
        <f t="shared" si="155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61"/>
        <v>0</v>
      </c>
      <c r="AF642" s="10"/>
      <c r="AG642" s="10"/>
      <c r="AH642" s="10"/>
      <c r="AI642" s="12">
        <f t="shared" si="157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3"/>
      <c r="D643" s="32"/>
      <c r="E643" s="32"/>
      <c r="F643" s="32"/>
      <c r="G643" s="32">
        <f t="shared" si="152"/>
        <v>0</v>
      </c>
      <c r="H643" s="10"/>
      <c r="I643" s="10"/>
      <c r="J643" s="10"/>
      <c r="K643" s="12">
        <f t="shared" si="153"/>
        <v>0</v>
      </c>
      <c r="M643" s="10">
        <v>27</v>
      </c>
      <c r="N643" s="30"/>
      <c r="O643" s="31"/>
      <c r="P643" s="47"/>
      <c r="Q643" s="31"/>
      <c r="R643" s="31"/>
      <c r="S643" s="32">
        <f t="shared" si="154"/>
        <v>0</v>
      </c>
      <c r="T643" s="10"/>
      <c r="U643" s="10"/>
      <c r="V643" s="10"/>
      <c r="W643" s="12">
        <f t="shared" si="155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61"/>
        <v>0</v>
      </c>
      <c r="AF643" s="10"/>
      <c r="AG643" s="10"/>
      <c r="AH643" s="10"/>
      <c r="AI643" s="12">
        <f t="shared" si="157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3"/>
      <c r="D644" s="32"/>
      <c r="E644" s="32"/>
      <c r="F644" s="32"/>
      <c r="G644" s="32">
        <f t="shared" si="152"/>
        <v>0</v>
      </c>
      <c r="H644" s="10"/>
      <c r="I644" s="10"/>
      <c r="J644" s="10"/>
      <c r="K644" s="12">
        <f t="shared" si="153"/>
        <v>0</v>
      </c>
      <c r="M644" s="10">
        <v>28</v>
      </c>
      <c r="N644" s="30"/>
      <c r="O644" s="31"/>
      <c r="P644" s="47"/>
      <c r="Q644" s="31"/>
      <c r="R644" s="31"/>
      <c r="S644" s="32">
        <f t="shared" si="154"/>
        <v>0</v>
      </c>
      <c r="T644" s="10"/>
      <c r="U644" s="10"/>
      <c r="V644" s="10"/>
      <c r="W644" s="12">
        <f t="shared" si="155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61"/>
        <v>0</v>
      </c>
      <c r="AF644" s="10"/>
      <c r="AG644" s="10"/>
      <c r="AH644" s="10"/>
      <c r="AI644" s="12">
        <f t="shared" si="157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3"/>
      <c r="D645" s="32"/>
      <c r="E645" s="32"/>
      <c r="F645" s="32"/>
      <c r="G645" s="32">
        <f t="shared" si="152"/>
        <v>0</v>
      </c>
      <c r="H645" s="10"/>
      <c r="I645" s="10"/>
      <c r="J645" s="10"/>
      <c r="K645" s="12">
        <f t="shared" si="153"/>
        <v>0</v>
      </c>
      <c r="M645" s="10">
        <v>29</v>
      </c>
      <c r="N645" s="30"/>
      <c r="O645" s="31"/>
      <c r="P645" s="47"/>
      <c r="Q645" s="31"/>
      <c r="R645" s="31"/>
      <c r="S645" s="32">
        <f t="shared" si="154"/>
        <v>0</v>
      </c>
      <c r="T645" s="10"/>
      <c r="U645" s="10"/>
      <c r="V645" s="10"/>
      <c r="W645" s="12">
        <f t="shared" si="155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61"/>
        <v>0</v>
      </c>
      <c r="AF645" s="10"/>
      <c r="AG645" s="10"/>
      <c r="AH645" s="10"/>
      <c r="AI645" s="12">
        <f t="shared" si="157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3"/>
      <c r="D646" s="32"/>
      <c r="E646" s="32"/>
      <c r="F646" s="32"/>
      <c r="G646" s="32">
        <f t="shared" si="152"/>
        <v>0</v>
      </c>
      <c r="H646" s="10"/>
      <c r="I646" s="10"/>
      <c r="J646" s="10"/>
      <c r="K646" s="12">
        <f t="shared" si="153"/>
        <v>0</v>
      </c>
      <c r="M646" s="10">
        <v>30</v>
      </c>
      <c r="N646" s="30"/>
      <c r="O646" s="31"/>
      <c r="P646" s="47"/>
      <c r="Q646" s="31"/>
      <c r="R646" s="31"/>
      <c r="S646" s="32">
        <f t="shared" si="154"/>
        <v>0</v>
      </c>
      <c r="T646" s="10"/>
      <c r="U646" s="10"/>
      <c r="V646" s="10"/>
      <c r="W646" s="12">
        <f t="shared" si="155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61"/>
        <v>0</v>
      </c>
      <c r="AF646" s="10"/>
      <c r="AG646" s="10"/>
      <c r="AH646" s="10"/>
      <c r="AI646" s="12">
        <f t="shared" si="157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83"/>
      <c r="D647" s="32"/>
      <c r="E647" s="32"/>
      <c r="F647" s="32"/>
      <c r="G647" s="32">
        <f t="shared" si="152"/>
        <v>0</v>
      </c>
      <c r="H647" s="10"/>
      <c r="I647" s="10"/>
      <c r="J647" s="10"/>
      <c r="K647" s="12">
        <f t="shared" si="153"/>
        <v>0</v>
      </c>
      <c r="M647" s="10">
        <v>31</v>
      </c>
      <c r="N647" s="30"/>
      <c r="O647" s="31"/>
      <c r="P647" s="47"/>
      <c r="Q647" s="31"/>
      <c r="R647" s="31"/>
      <c r="S647" s="32">
        <f t="shared" si="154"/>
        <v>0</v>
      </c>
      <c r="T647" s="10"/>
      <c r="U647" s="10"/>
      <c r="V647" s="10"/>
      <c r="W647" s="12">
        <f t="shared" si="155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61"/>
        <v>0</v>
      </c>
      <c r="AF647" s="10"/>
      <c r="AG647" s="10"/>
      <c r="AH647" s="10"/>
      <c r="AI647" s="12">
        <f t="shared" si="157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3"/>
      <c r="D648" s="32"/>
      <c r="E648" s="32"/>
      <c r="F648" s="32"/>
      <c r="G648" s="32">
        <f t="shared" si="152"/>
        <v>0</v>
      </c>
      <c r="H648" s="10"/>
      <c r="I648" s="10"/>
      <c r="J648" s="10"/>
      <c r="K648" s="12">
        <f t="shared" si="153"/>
        <v>0</v>
      </c>
      <c r="M648" s="10">
        <v>32</v>
      </c>
      <c r="N648" s="30"/>
      <c r="O648" s="31"/>
      <c r="P648" s="47"/>
      <c r="Q648" s="31"/>
      <c r="R648" s="31"/>
      <c r="S648" s="32">
        <f t="shared" si="154"/>
        <v>0</v>
      </c>
      <c r="T648" s="10"/>
      <c r="U648" s="10"/>
      <c r="V648" s="10"/>
      <c r="W648" s="12">
        <f t="shared" si="155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61"/>
        <v>0</v>
      </c>
      <c r="AF648" s="10"/>
      <c r="AG648" s="10"/>
      <c r="AH648" s="10"/>
      <c r="AI648" s="12">
        <f t="shared" si="157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3"/>
      <c r="D649" s="32"/>
      <c r="E649" s="32"/>
      <c r="F649" s="32"/>
      <c r="G649" s="32">
        <f t="shared" si="152"/>
        <v>0</v>
      </c>
      <c r="H649" s="10"/>
      <c r="I649" s="10"/>
      <c r="J649" s="10"/>
      <c r="K649" s="12">
        <f t="shared" si="153"/>
        <v>0</v>
      </c>
      <c r="M649" s="10">
        <v>33</v>
      </c>
      <c r="N649" s="30"/>
      <c r="O649" s="31"/>
      <c r="P649" s="47"/>
      <c r="Q649" s="31"/>
      <c r="R649" s="31"/>
      <c r="S649" s="32">
        <f t="shared" si="154"/>
        <v>0</v>
      </c>
      <c r="T649" s="10"/>
      <c r="U649" s="10"/>
      <c r="V649" s="10"/>
      <c r="W649" s="12">
        <f t="shared" si="155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61"/>
        <v>0</v>
      </c>
      <c r="AF649" s="10"/>
      <c r="AG649" s="10"/>
      <c r="AH649" s="10"/>
      <c r="AI649" s="12">
        <f t="shared" si="157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3"/>
      <c r="D650" s="32"/>
      <c r="E650" s="32"/>
      <c r="F650" s="32"/>
      <c r="G650" s="32">
        <f t="shared" si="152"/>
        <v>0</v>
      </c>
      <c r="H650" s="10"/>
      <c r="I650" s="10"/>
      <c r="J650" s="10"/>
      <c r="K650" s="12">
        <f t="shared" si="153"/>
        <v>0</v>
      </c>
      <c r="M650" s="10">
        <v>34</v>
      </c>
      <c r="N650" s="30"/>
      <c r="O650" s="31"/>
      <c r="P650" s="47"/>
      <c r="Q650" s="31"/>
      <c r="R650" s="31"/>
      <c r="S650" s="32">
        <f t="shared" si="154"/>
        <v>0</v>
      </c>
      <c r="T650" s="10"/>
      <c r="U650" s="10"/>
      <c r="V650" s="10"/>
      <c r="W650" s="12">
        <f t="shared" si="155"/>
        <v>0</v>
      </c>
      <c r="Y650" s="10">
        <v>34</v>
      </c>
      <c r="Z650" s="30"/>
      <c r="AA650" s="31"/>
      <c r="AB650" s="47"/>
      <c r="AC650" s="31"/>
      <c r="AD650" s="31"/>
      <c r="AE650" s="32">
        <f t="shared" ref="AE650:AE655" si="162">SUM(AB650:AC650)</f>
        <v>0</v>
      </c>
      <c r="AF650" s="10"/>
      <c r="AG650" s="10"/>
      <c r="AH650" s="10"/>
      <c r="AI650" s="12">
        <f t="shared" si="157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3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54"/>
        <v>0</v>
      </c>
      <c r="T651" s="10"/>
      <c r="U651" s="10"/>
      <c r="V651" s="10"/>
      <c r="W651" s="12">
        <f t="shared" si="155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62"/>
        <v>0</v>
      </c>
      <c r="AF651" s="10"/>
      <c r="AG651" s="10"/>
      <c r="AH651" s="10"/>
      <c r="AI651" s="12">
        <f t="shared" si="157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3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54"/>
        <v>0</v>
      </c>
      <c r="T652" s="10"/>
      <c r="U652" s="10"/>
      <c r="V652" s="10"/>
      <c r="W652" s="12">
        <f t="shared" si="155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62"/>
        <v>0</v>
      </c>
      <c r="AF652" s="10"/>
      <c r="AG652" s="10"/>
      <c r="AH652" s="10"/>
      <c r="AI652" s="12">
        <f t="shared" si="157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54"/>
        <v>0</v>
      </c>
      <c r="T653" s="10"/>
      <c r="U653" s="10"/>
      <c r="V653" s="10"/>
      <c r="W653" s="12">
        <f t="shared" si="155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62"/>
        <v>0</v>
      </c>
      <c r="AF653" s="10"/>
      <c r="AG653" s="10"/>
      <c r="AH653" s="10"/>
      <c r="AI653" s="12">
        <f t="shared" si="157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54"/>
        <v>0</v>
      </c>
      <c r="T654" s="10"/>
      <c r="U654" s="10"/>
      <c r="V654" s="10"/>
      <c r="W654" s="12">
        <f t="shared" si="155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62"/>
        <v>0</v>
      </c>
      <c r="AF654" s="10"/>
      <c r="AG654" s="10"/>
      <c r="AH654" s="10"/>
      <c r="AI654" s="12">
        <f t="shared" si="157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54"/>
        <v>0</v>
      </c>
      <c r="T655" s="10"/>
      <c r="U655" s="10"/>
      <c r="V655" s="10"/>
      <c r="W655" s="12">
        <f t="shared" si="155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62"/>
        <v>0</v>
      </c>
      <c r="AF655" s="10"/>
      <c r="AG655" s="10"/>
      <c r="AH655" s="10"/>
      <c r="AI655" s="12">
        <f t="shared" si="157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55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57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63">SUM(D657:E657)</f>
        <v>0</v>
      </c>
      <c r="H657" s="10"/>
      <c r="I657" s="10"/>
      <c r="J657" s="10"/>
      <c r="K657" s="12">
        <f t="shared" ref="K657" si="164">SUM(G657:J657)</f>
        <v>0</v>
      </c>
      <c r="M657" s="10"/>
      <c r="N657" s="30"/>
      <c r="O657" s="31"/>
      <c r="P657" s="47"/>
      <c r="Q657" s="31"/>
      <c r="R657" s="31"/>
      <c r="S657" s="32">
        <f t="shared" ref="S657" si="165">SUM(P657:Q657)</f>
        <v>0</v>
      </c>
      <c r="T657" s="10"/>
      <c r="U657" s="10"/>
      <c r="V657" s="10"/>
      <c r="W657" s="12">
        <f t="shared" si="155"/>
        <v>0</v>
      </c>
      <c r="Y657" s="10"/>
      <c r="Z657" s="30"/>
      <c r="AA657" s="31"/>
      <c r="AB657" s="47"/>
      <c r="AC657" s="31"/>
      <c r="AD657" s="31"/>
      <c r="AE657" s="32">
        <f t="shared" ref="AE657" si="166">SUM(AB657:AC657)</f>
        <v>0</v>
      </c>
      <c r="AF657" s="10"/>
      <c r="AG657" s="10"/>
      <c r="AH657" s="10"/>
      <c r="AI657" s="12">
        <f t="shared" si="157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55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57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469630</v>
      </c>
      <c r="E660" s="38">
        <f t="shared" ref="E660:F660" si="167">SUM(E617:E657)</f>
        <v>-2592</v>
      </c>
      <c r="F660" s="38">
        <f t="shared" si="167"/>
        <v>0</v>
      </c>
      <c r="G660" s="38">
        <f>SUM(G617:G659)</f>
        <v>467038</v>
      </c>
      <c r="H660" s="4"/>
      <c r="I660" s="39">
        <f>SUM(I617:I659)</f>
        <v>1417.5</v>
      </c>
      <c r="J660" s="39">
        <f>SUM(J617:J659)</f>
        <v>-23163</v>
      </c>
      <c r="K660" s="40">
        <f>SUM(K617:K659)</f>
        <v>445292.5</v>
      </c>
      <c r="N660" s="57"/>
      <c r="O660" s="57"/>
      <c r="P660" s="38">
        <f>SUM(P617:P659)</f>
        <v>215481</v>
      </c>
      <c r="Q660" s="38">
        <f>SUM(Q617:Q641)</f>
        <v>-1332</v>
      </c>
      <c r="R660" s="38">
        <f>SUM(R617:R641)</f>
        <v>0</v>
      </c>
      <c r="S660" s="38">
        <f>SUM(S617:S659)</f>
        <v>214149</v>
      </c>
      <c r="T660" s="4"/>
      <c r="U660" s="41">
        <f>SUM(U617:U659)</f>
        <v>297</v>
      </c>
      <c r="V660" s="41">
        <f>SUM(V617:V641)</f>
        <v>-888</v>
      </c>
      <c r="W660" s="42">
        <f>SUM(W617:W659)</f>
        <v>213558</v>
      </c>
      <c r="Z660" s="57"/>
      <c r="AA660" s="57"/>
      <c r="AB660" s="38">
        <f>SUM(AB617:AB659)</f>
        <v>501236</v>
      </c>
      <c r="AC660" s="38">
        <f>SUM(AC617:AC641)</f>
        <v>-2016</v>
      </c>
      <c r="AD660" s="38">
        <f>SUM(AD617:AD641)</f>
        <v>0</v>
      </c>
      <c r="AE660" s="38">
        <f>SUM(AE617:AE659)</f>
        <v>499220</v>
      </c>
      <c r="AF660" s="4"/>
      <c r="AG660" s="41">
        <f>SUM(AG617:AG659)</f>
        <v>132</v>
      </c>
      <c r="AH660" s="41">
        <f>SUM(AH617:AH641)</f>
        <v>-1503</v>
      </c>
      <c r="AI660" s="42">
        <f>SUM(AI617:AI659)</f>
        <v>497849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44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44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44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75</v>
      </c>
      <c r="B668" s="20"/>
      <c r="C668" s="57"/>
      <c r="D668" s="57"/>
      <c r="E668" s="57"/>
      <c r="G668" s="57"/>
      <c r="I668" s="22" t="s">
        <v>16</v>
      </c>
      <c r="J668" s="23" t="s">
        <v>42</v>
      </c>
      <c r="K668" s="24"/>
      <c r="M668" s="21" t="s">
        <v>75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32</v>
      </c>
      <c r="W668" s="24"/>
      <c r="Y668" s="21" t="s">
        <v>75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33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ht="15" customHeight="1" x14ac:dyDescent="0.25">
      <c r="B670" s="25"/>
      <c r="C670" s="26"/>
      <c r="D670" s="118" t="s">
        <v>17</v>
      </c>
      <c r="E670" s="118"/>
      <c r="F670" s="104"/>
      <c r="G670" s="27"/>
      <c r="I670" s="119" t="s">
        <v>18</v>
      </c>
      <c r="J670" s="120"/>
      <c r="K670" s="121" t="s">
        <v>19</v>
      </c>
      <c r="N670" s="25"/>
      <c r="O670" s="26"/>
      <c r="P670" s="118" t="s">
        <v>17</v>
      </c>
      <c r="Q670" s="118"/>
      <c r="R670" s="104"/>
      <c r="S670" s="27"/>
      <c r="U670" s="119" t="s">
        <v>18</v>
      </c>
      <c r="V670" s="120"/>
      <c r="W670" s="121" t="s">
        <v>19</v>
      </c>
      <c r="Z670" s="25"/>
      <c r="AA670" s="26"/>
      <c r="AB670" s="118" t="s">
        <v>17</v>
      </c>
      <c r="AC670" s="118"/>
      <c r="AD670" s="104"/>
      <c r="AE670" s="27"/>
      <c r="AG670" s="119" t="s">
        <v>18</v>
      </c>
      <c r="AH670" s="120"/>
      <c r="AI670" s="121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31</v>
      </c>
      <c r="G671" s="78" t="s">
        <v>24</v>
      </c>
      <c r="I671" s="29" t="s">
        <v>25</v>
      </c>
      <c r="J671" s="29" t="s">
        <v>26</v>
      </c>
      <c r="K671" s="122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31</v>
      </c>
      <c r="S671" s="78" t="s">
        <v>24</v>
      </c>
      <c r="U671" s="29" t="s">
        <v>25</v>
      </c>
      <c r="V671" s="29" t="s">
        <v>26</v>
      </c>
      <c r="W671" s="122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31</v>
      </c>
      <c r="AE671" s="78" t="s">
        <v>24</v>
      </c>
      <c r="AG671" s="29" t="s">
        <v>25</v>
      </c>
      <c r="AH671" s="29" t="s">
        <v>26</v>
      </c>
      <c r="AI671" s="12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76</v>
      </c>
      <c r="C672" s="83">
        <v>11005</v>
      </c>
      <c r="D672" s="32">
        <f>650*27+622*10+229</f>
        <v>23999</v>
      </c>
      <c r="E672" s="32"/>
      <c r="F672" s="32"/>
      <c r="G672" s="32">
        <f t="shared" ref="G672:G705" si="168">SUM(D672:E672)</f>
        <v>23999</v>
      </c>
      <c r="H672" s="12"/>
      <c r="I672" s="12"/>
      <c r="J672" s="12"/>
      <c r="K672" s="12">
        <f t="shared" ref="K672:K705" si="169">SUM(G672:J672)</f>
        <v>23999</v>
      </c>
      <c r="M672" s="10">
        <v>1</v>
      </c>
      <c r="N672" s="30" t="s">
        <v>76</v>
      </c>
      <c r="O672" s="31">
        <v>10896</v>
      </c>
      <c r="P672" s="32">
        <f>650*15+622*3+872+650</f>
        <v>13138</v>
      </c>
      <c r="Q672" s="32"/>
      <c r="R672" s="32"/>
      <c r="S672" s="32">
        <f>SUM(P672:Q672)</f>
        <v>13138</v>
      </c>
      <c r="T672" s="12"/>
      <c r="U672" s="12"/>
      <c r="V672" s="12"/>
      <c r="W672" s="12">
        <f>SUM(S672:V672)</f>
        <v>13138</v>
      </c>
      <c r="Y672" s="10">
        <v>1</v>
      </c>
      <c r="Z672" s="30" t="s">
        <v>76</v>
      </c>
      <c r="AA672" s="31">
        <v>10974</v>
      </c>
      <c r="AB672" s="32">
        <f>650*108+912+229*4+650*2</f>
        <v>73328</v>
      </c>
      <c r="AC672" s="32">
        <f>-109*6</f>
        <v>-654</v>
      </c>
      <c r="AD672" s="32"/>
      <c r="AE672" s="32">
        <f>SUM(AB672:AC672)</f>
        <v>72674</v>
      </c>
      <c r="AF672" s="12"/>
      <c r="AG672" s="12">
        <f>1.5*11</f>
        <v>16.5</v>
      </c>
      <c r="AH672" s="12"/>
      <c r="AI672" s="12">
        <f>SUM(AE672:AH672)</f>
        <v>72690.5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76</v>
      </c>
      <c r="C673" s="83">
        <f>C672+1</f>
        <v>11006</v>
      </c>
      <c r="D673" s="32">
        <f>650*9+9.5*9</f>
        <v>5935.5</v>
      </c>
      <c r="E673" s="32"/>
      <c r="F673" s="32"/>
      <c r="G673" s="32">
        <f t="shared" si="168"/>
        <v>5935.5</v>
      </c>
      <c r="H673" s="12"/>
      <c r="I673" s="12"/>
      <c r="J673" s="12"/>
      <c r="K673" s="12">
        <f t="shared" si="169"/>
        <v>5935.5</v>
      </c>
      <c r="M673" s="10">
        <v>2</v>
      </c>
      <c r="N673" s="30" t="s">
        <v>76</v>
      </c>
      <c r="O673" s="31">
        <f>O672+1</f>
        <v>10897</v>
      </c>
      <c r="P673" s="32">
        <f>650*5+622*4+9.5*9</f>
        <v>5823.5</v>
      </c>
      <c r="Q673" s="32"/>
      <c r="R673" s="32"/>
      <c r="S673" s="32">
        <f t="shared" ref="S673:S710" si="170">SUM(P673:Q673)</f>
        <v>5823.5</v>
      </c>
      <c r="T673" s="12"/>
      <c r="U673" s="12"/>
      <c r="V673" s="12"/>
      <c r="W673" s="12">
        <f t="shared" ref="W673:W713" si="171">SUM(S673:V673)</f>
        <v>5823.5</v>
      </c>
      <c r="Y673" s="10">
        <v>2</v>
      </c>
      <c r="Z673" s="30" t="s">
        <v>76</v>
      </c>
      <c r="AA673" s="31">
        <f>AA672+1</f>
        <v>10975</v>
      </c>
      <c r="AB673" s="32">
        <f>650*100+973+622*26+912*2+872*2+229*4</f>
        <v>86629</v>
      </c>
      <c r="AC673" s="32">
        <v>-786</v>
      </c>
      <c r="AD673" s="32"/>
      <c r="AE673" s="32">
        <f t="shared" ref="AE673:AE675" si="172">SUM(AB673:AC673)</f>
        <v>85843</v>
      </c>
      <c r="AF673" s="12"/>
      <c r="AG673" s="12">
        <v>102</v>
      </c>
      <c r="AH673" s="12"/>
      <c r="AI673" s="12">
        <f t="shared" ref="AI673:AI713" si="173">SUM(AE673:AH673)</f>
        <v>85945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76</v>
      </c>
      <c r="C674" s="83">
        <f t="shared" ref="C674:C679" si="174">C673+1</f>
        <v>11007</v>
      </c>
      <c r="D674" s="33">
        <f>650*5+9.5*5</f>
        <v>3297.5</v>
      </c>
      <c r="E674" s="33"/>
      <c r="F674" s="33"/>
      <c r="G674" s="33">
        <f t="shared" si="168"/>
        <v>3297.5</v>
      </c>
      <c r="H674" s="34"/>
      <c r="I674" s="34"/>
      <c r="J674" s="34"/>
      <c r="K674" s="34">
        <f t="shared" si="169"/>
        <v>3297.5</v>
      </c>
      <c r="M674" s="10">
        <v>3</v>
      </c>
      <c r="N674" s="30" t="s">
        <v>76</v>
      </c>
      <c r="O674" s="31">
        <f t="shared" ref="O674:O676" si="175">O673+1</f>
        <v>10898</v>
      </c>
      <c r="P674" s="32">
        <f>650*216+229*9</f>
        <v>142461</v>
      </c>
      <c r="Q674" s="32">
        <f>-216*6</f>
        <v>-1296</v>
      </c>
      <c r="R674" s="32"/>
      <c r="S674" s="32">
        <f t="shared" si="170"/>
        <v>141165</v>
      </c>
      <c r="T674" s="12"/>
      <c r="U674" s="12">
        <v>468</v>
      </c>
      <c r="V674" s="12"/>
      <c r="W674" s="12">
        <f t="shared" si="171"/>
        <v>141633</v>
      </c>
      <c r="Y674" s="10">
        <v>3</v>
      </c>
      <c r="Z674" s="30" t="s">
        <v>76</v>
      </c>
      <c r="AA674" s="31">
        <f t="shared" ref="AA674:AA679" si="176">AA673+1</f>
        <v>10976</v>
      </c>
      <c r="AB674" s="33">
        <f>650*60+622*15+229</f>
        <v>48559</v>
      </c>
      <c r="AC674" s="33"/>
      <c r="AD674" s="32"/>
      <c r="AE674" s="32">
        <f t="shared" si="172"/>
        <v>48559</v>
      </c>
      <c r="AF674" s="12"/>
      <c r="AG674" s="12"/>
      <c r="AH674" s="12"/>
      <c r="AI674" s="12">
        <f t="shared" si="173"/>
        <v>48559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76</v>
      </c>
      <c r="C675" s="83">
        <f t="shared" si="174"/>
        <v>11008</v>
      </c>
      <c r="D675" s="32">
        <f>650*13+622*2</f>
        <v>9694</v>
      </c>
      <c r="E675" s="32"/>
      <c r="F675" s="32"/>
      <c r="G675" s="32">
        <f t="shared" si="168"/>
        <v>9694</v>
      </c>
      <c r="H675" s="12"/>
      <c r="I675" s="12"/>
      <c r="J675" s="12"/>
      <c r="K675" s="12">
        <f t="shared" si="169"/>
        <v>9694</v>
      </c>
      <c r="M675" s="10">
        <v>4</v>
      </c>
      <c r="N675" s="30" t="s">
        <v>76</v>
      </c>
      <c r="O675" s="31">
        <f t="shared" si="175"/>
        <v>10899</v>
      </c>
      <c r="P675" s="32">
        <f>650*33+973*1/2+622*5+9.5*5</f>
        <v>25094</v>
      </c>
      <c r="Q675" s="32"/>
      <c r="R675" s="32"/>
      <c r="S675" s="32">
        <f t="shared" si="170"/>
        <v>25094</v>
      </c>
      <c r="T675" s="12"/>
      <c r="U675" s="12">
        <f>4.5*2</f>
        <v>9</v>
      </c>
      <c r="V675" s="12"/>
      <c r="W675" s="12">
        <f t="shared" si="171"/>
        <v>25103</v>
      </c>
      <c r="Y675" s="10">
        <v>4</v>
      </c>
      <c r="Z675" s="30" t="s">
        <v>76</v>
      </c>
      <c r="AA675" s="31">
        <f t="shared" si="176"/>
        <v>10977</v>
      </c>
      <c r="AB675" s="32">
        <f>40*650+622*5+229*3</f>
        <v>29797</v>
      </c>
      <c r="AC675" s="32"/>
      <c r="AD675" s="32"/>
      <c r="AE675" s="32">
        <f t="shared" si="172"/>
        <v>29797</v>
      </c>
      <c r="AF675" s="12"/>
      <c r="AG675">
        <v>90</v>
      </c>
      <c r="AH675" s="12"/>
      <c r="AI675" s="12">
        <f t="shared" si="173"/>
        <v>29887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76</v>
      </c>
      <c r="C676" s="83">
        <f t="shared" si="174"/>
        <v>11009</v>
      </c>
      <c r="D676" s="32">
        <f>650*34</f>
        <v>22100</v>
      </c>
      <c r="E676" s="32"/>
      <c r="F676" s="32"/>
      <c r="G676" s="32">
        <f t="shared" si="168"/>
        <v>22100</v>
      </c>
      <c r="H676" s="12"/>
      <c r="I676" s="12"/>
      <c r="J676" s="12"/>
      <c r="K676" s="12">
        <f t="shared" si="169"/>
        <v>22100</v>
      </c>
      <c r="M676" s="10">
        <v>5</v>
      </c>
      <c r="N676" s="30" t="s">
        <v>76</v>
      </c>
      <c r="O676" s="31">
        <f t="shared" si="175"/>
        <v>10900</v>
      </c>
      <c r="P676" s="32">
        <f>650*23+622*3+650</f>
        <v>17466</v>
      </c>
      <c r="Q676" s="32"/>
      <c r="R676" s="32"/>
      <c r="S676" s="32">
        <f t="shared" si="170"/>
        <v>17466</v>
      </c>
      <c r="T676" s="12"/>
      <c r="U676" s="12"/>
      <c r="V676" s="12">
        <v>-666</v>
      </c>
      <c r="W676" s="12">
        <f t="shared" si="171"/>
        <v>16800</v>
      </c>
      <c r="Y676" s="10">
        <v>5</v>
      </c>
      <c r="Z676" s="30" t="s">
        <v>76</v>
      </c>
      <c r="AA676" s="31">
        <f t="shared" si="176"/>
        <v>10978</v>
      </c>
      <c r="AB676" s="32">
        <f>650*3+622*2+9.5*5</f>
        <v>3241.5</v>
      </c>
      <c r="AC676" s="32"/>
      <c r="AD676" s="32"/>
      <c r="AE676" s="32">
        <f t="shared" ref="AE676:AE704" si="177">SUM(AB676:AC676)</f>
        <v>3241.5</v>
      </c>
      <c r="AF676" s="12"/>
      <c r="AG676" s="12">
        <v>7.5</v>
      </c>
      <c r="AH676" s="12"/>
      <c r="AI676" s="12">
        <f t="shared" si="173"/>
        <v>3249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76</v>
      </c>
      <c r="C677" s="83">
        <f t="shared" si="174"/>
        <v>11010</v>
      </c>
      <c r="D677" s="32">
        <f>650*138</f>
        <v>89700</v>
      </c>
      <c r="E677" s="32"/>
      <c r="F677" s="32"/>
      <c r="G677" s="32">
        <f t="shared" si="168"/>
        <v>89700</v>
      </c>
      <c r="H677" s="12"/>
      <c r="I677" s="12"/>
      <c r="J677" s="12"/>
      <c r="K677" s="12">
        <f t="shared" si="169"/>
        <v>89700</v>
      </c>
      <c r="M677" s="10">
        <v>6</v>
      </c>
      <c r="N677" s="30"/>
      <c r="O677" s="11" t="s">
        <v>27</v>
      </c>
      <c r="P677" s="32"/>
      <c r="Q677" s="32"/>
      <c r="R677" s="32"/>
      <c r="S677" s="32">
        <f t="shared" si="170"/>
        <v>0</v>
      </c>
      <c r="T677" s="12"/>
      <c r="U677" s="12"/>
      <c r="V677" s="10"/>
      <c r="W677" s="12">
        <f t="shared" si="171"/>
        <v>0</v>
      </c>
      <c r="Y677" s="10">
        <v>6</v>
      </c>
      <c r="Z677" s="30" t="s">
        <v>76</v>
      </c>
      <c r="AA677" s="31">
        <f t="shared" si="176"/>
        <v>10979</v>
      </c>
      <c r="AB677" s="32">
        <f>650*101+670*2+622*10+229*2</f>
        <v>73668</v>
      </c>
      <c r="AC677" s="32">
        <f>-113*6</f>
        <v>-678</v>
      </c>
      <c r="AD677" s="32"/>
      <c r="AE677" s="32">
        <f t="shared" si="177"/>
        <v>72990</v>
      </c>
      <c r="AF677" s="12"/>
      <c r="AG677" s="12"/>
      <c r="AH677" s="10"/>
      <c r="AI677" s="12">
        <f t="shared" si="173"/>
        <v>72990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76</v>
      </c>
      <c r="C678" s="83">
        <f t="shared" si="174"/>
        <v>11011</v>
      </c>
      <c r="D678" s="32">
        <f>650*107+229*4</f>
        <v>70466</v>
      </c>
      <c r="E678" s="32"/>
      <c r="F678" s="32"/>
      <c r="G678" s="32">
        <f t="shared" si="168"/>
        <v>70466</v>
      </c>
      <c r="H678" s="12"/>
      <c r="I678" s="12"/>
      <c r="J678" s="12"/>
      <c r="K678" s="12">
        <f t="shared" si="169"/>
        <v>70466</v>
      </c>
      <c r="M678" s="10">
        <v>7</v>
      </c>
      <c r="N678" s="30"/>
      <c r="O678" s="31"/>
      <c r="P678" s="32"/>
      <c r="Q678" s="32"/>
      <c r="R678" s="32"/>
      <c r="S678" s="32">
        <f t="shared" si="170"/>
        <v>0</v>
      </c>
      <c r="T678" s="12"/>
      <c r="U678" s="12"/>
      <c r="V678" s="12"/>
      <c r="W678" s="12">
        <f t="shared" si="171"/>
        <v>0</v>
      </c>
      <c r="Y678" s="10">
        <v>7</v>
      </c>
      <c r="Z678" s="30" t="s">
        <v>76</v>
      </c>
      <c r="AA678" s="31">
        <f t="shared" si="176"/>
        <v>10980</v>
      </c>
      <c r="AB678" s="32">
        <f>650*5</f>
        <v>3250</v>
      </c>
      <c r="AC678" s="32"/>
      <c r="AD678" s="32"/>
      <c r="AE678" s="32">
        <f t="shared" si="177"/>
        <v>3250</v>
      </c>
      <c r="AF678" s="12"/>
      <c r="AG678" s="58"/>
      <c r="AH678" s="12">
        <f>-111*10</f>
        <v>-1110</v>
      </c>
      <c r="AI678" s="12">
        <f t="shared" si="173"/>
        <v>2140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76</v>
      </c>
      <c r="C679" s="83">
        <f t="shared" si="174"/>
        <v>11012</v>
      </c>
      <c r="D679" s="32">
        <f>650*2</f>
        <v>1300</v>
      </c>
      <c r="E679" s="32"/>
      <c r="F679" s="32"/>
      <c r="G679" s="32">
        <f t="shared" si="168"/>
        <v>1300</v>
      </c>
      <c r="H679" s="12"/>
      <c r="I679" s="12"/>
      <c r="J679" s="12"/>
      <c r="K679" s="12">
        <f t="shared" si="169"/>
        <v>1300</v>
      </c>
      <c r="M679" s="10">
        <v>8</v>
      </c>
      <c r="N679" s="30"/>
      <c r="O679" s="31"/>
      <c r="P679" s="32"/>
      <c r="Q679" s="32"/>
      <c r="R679" s="32"/>
      <c r="S679" s="32">
        <f t="shared" si="170"/>
        <v>0</v>
      </c>
      <c r="T679" s="12"/>
      <c r="U679" s="12"/>
      <c r="V679" s="12"/>
      <c r="W679" s="12">
        <f t="shared" si="171"/>
        <v>0</v>
      </c>
      <c r="Y679" s="10">
        <v>8</v>
      </c>
      <c r="Z679" s="30" t="s">
        <v>76</v>
      </c>
      <c r="AA679" s="31">
        <f t="shared" si="176"/>
        <v>10981</v>
      </c>
      <c r="AB679" s="32">
        <f>650*35+229</f>
        <v>22979</v>
      </c>
      <c r="AC679" s="32"/>
      <c r="AE679" s="32">
        <f t="shared" si="177"/>
        <v>22979</v>
      </c>
      <c r="AF679" s="12"/>
      <c r="AG679" s="12">
        <f>222+27</f>
        <v>249</v>
      </c>
      <c r="AH679" s="12"/>
      <c r="AI679" s="12">
        <f t="shared" si="173"/>
        <v>23228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/>
      <c r="C680" s="11" t="s">
        <v>27</v>
      </c>
      <c r="D680" s="32"/>
      <c r="E680" s="32"/>
      <c r="F680" s="32"/>
      <c r="G680" s="32">
        <f t="shared" si="168"/>
        <v>0</v>
      </c>
      <c r="H680" s="12"/>
      <c r="I680" s="12"/>
      <c r="J680" s="12"/>
      <c r="K680" s="12">
        <f t="shared" si="169"/>
        <v>0</v>
      </c>
      <c r="M680" s="10">
        <v>9</v>
      </c>
      <c r="N680" s="30"/>
      <c r="O680" s="31"/>
      <c r="P680" s="32"/>
      <c r="Q680" s="32"/>
      <c r="R680" s="32"/>
      <c r="S680" s="32">
        <f t="shared" si="170"/>
        <v>0</v>
      </c>
      <c r="T680" s="12"/>
      <c r="U680" s="12"/>
      <c r="V680" s="12"/>
      <c r="W680" s="12">
        <f t="shared" si="171"/>
        <v>0</v>
      </c>
      <c r="Y680" s="10">
        <v>9</v>
      </c>
      <c r="Z680" s="30"/>
      <c r="AA680" s="11" t="s">
        <v>27</v>
      </c>
      <c r="AB680" s="32"/>
      <c r="AC680" s="32"/>
      <c r="AD680" s="32"/>
      <c r="AE680" s="32">
        <f t="shared" si="177"/>
        <v>0</v>
      </c>
      <c r="AF680" s="12"/>
      <c r="AH680" s="12"/>
      <c r="AI680" s="12">
        <f t="shared" si="173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/>
      <c r="C681" s="83"/>
      <c r="D681" s="32"/>
      <c r="E681" s="32"/>
      <c r="F681" s="32"/>
      <c r="G681" s="32">
        <f t="shared" si="168"/>
        <v>0</v>
      </c>
      <c r="H681" s="12"/>
      <c r="I681" s="12"/>
      <c r="J681" s="12"/>
      <c r="K681" s="12">
        <f t="shared" si="169"/>
        <v>0</v>
      </c>
      <c r="M681" s="10">
        <v>10</v>
      </c>
      <c r="N681" s="30"/>
      <c r="O681" s="31"/>
      <c r="P681" s="32"/>
      <c r="Q681" s="32"/>
      <c r="R681" s="32"/>
      <c r="S681" s="32">
        <f t="shared" si="170"/>
        <v>0</v>
      </c>
      <c r="T681" s="12"/>
      <c r="U681" s="12"/>
      <c r="V681" s="12"/>
      <c r="W681" s="12">
        <f t="shared" si="171"/>
        <v>0</v>
      </c>
      <c r="Y681" s="10">
        <v>10</v>
      </c>
      <c r="Z681" s="30"/>
      <c r="AA681" s="31"/>
      <c r="AB681" s="32"/>
      <c r="AC681" s="32"/>
      <c r="AD681" s="32"/>
      <c r="AE681" s="32">
        <f t="shared" si="177"/>
        <v>0</v>
      </c>
      <c r="AF681" s="12"/>
      <c r="AG681" s="12"/>
      <c r="AH681" s="12"/>
      <c r="AI681" s="12">
        <f t="shared" si="173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83"/>
      <c r="D682" s="32"/>
      <c r="E682" s="32"/>
      <c r="F682" s="32"/>
      <c r="G682" s="32">
        <f t="shared" si="168"/>
        <v>0</v>
      </c>
      <c r="H682" s="12"/>
      <c r="I682" s="12"/>
      <c r="J682" s="12"/>
      <c r="K682" s="12">
        <f t="shared" si="169"/>
        <v>0</v>
      </c>
      <c r="M682" s="10">
        <v>11</v>
      </c>
      <c r="N682" s="30"/>
      <c r="O682" s="31"/>
      <c r="P682" s="32"/>
      <c r="Q682" s="32"/>
      <c r="R682" s="32"/>
      <c r="S682" s="32">
        <f t="shared" si="170"/>
        <v>0</v>
      </c>
      <c r="T682" s="12"/>
      <c r="U682" s="12"/>
      <c r="V682" s="12"/>
      <c r="W682" s="12">
        <f t="shared" si="171"/>
        <v>0</v>
      </c>
      <c r="Y682" s="10">
        <v>11</v>
      </c>
      <c r="Z682" s="30"/>
      <c r="AA682" s="31"/>
      <c r="AB682" s="32"/>
      <c r="AC682" s="32"/>
      <c r="AD682" s="32"/>
      <c r="AE682" s="32">
        <f t="shared" si="177"/>
        <v>0</v>
      </c>
      <c r="AF682" s="12"/>
      <c r="AG682" s="12"/>
      <c r="AH682" s="12"/>
      <c r="AI682" s="12">
        <f t="shared" si="173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83"/>
      <c r="D683" s="32"/>
      <c r="E683" s="32"/>
      <c r="F683" s="32"/>
      <c r="G683" s="32">
        <f t="shared" si="168"/>
        <v>0</v>
      </c>
      <c r="H683" s="12"/>
      <c r="I683" s="12"/>
      <c r="J683" s="10"/>
      <c r="K683" s="12">
        <f t="shared" si="169"/>
        <v>0</v>
      </c>
      <c r="M683" s="10">
        <v>12</v>
      </c>
      <c r="N683" s="30"/>
      <c r="O683" s="31"/>
      <c r="P683" s="32"/>
      <c r="Q683" s="32"/>
      <c r="R683" s="32"/>
      <c r="S683" s="32">
        <f t="shared" si="170"/>
        <v>0</v>
      </c>
      <c r="T683" s="12"/>
      <c r="U683" s="12"/>
      <c r="V683" s="12"/>
      <c r="W683" s="12">
        <f t="shared" si="171"/>
        <v>0</v>
      </c>
      <c r="Y683" s="10">
        <v>12</v>
      </c>
      <c r="Z683" s="30"/>
      <c r="AA683" s="31"/>
      <c r="AB683" s="32"/>
      <c r="AC683" s="32"/>
      <c r="AD683" s="32"/>
      <c r="AE683" s="32">
        <f t="shared" si="177"/>
        <v>0</v>
      </c>
      <c r="AF683" s="12"/>
      <c r="AG683" s="12"/>
      <c r="AH683" s="12"/>
      <c r="AI683" s="12">
        <f t="shared" si="173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83"/>
      <c r="D684" s="32"/>
      <c r="E684" s="32"/>
      <c r="F684" s="32"/>
      <c r="G684" s="32">
        <f t="shared" si="168"/>
        <v>0</v>
      </c>
      <c r="H684" s="12"/>
      <c r="I684" s="12"/>
      <c r="J684" s="12"/>
      <c r="K684" s="12">
        <f t="shared" si="169"/>
        <v>0</v>
      </c>
      <c r="M684" s="10">
        <v>13</v>
      </c>
      <c r="N684" s="30"/>
      <c r="O684" s="31"/>
      <c r="P684" s="32"/>
      <c r="Q684" s="32"/>
      <c r="R684" s="32"/>
      <c r="S684" s="32">
        <f t="shared" si="170"/>
        <v>0</v>
      </c>
      <c r="T684" s="12"/>
      <c r="U684" s="12"/>
      <c r="V684" s="12"/>
      <c r="W684" s="12">
        <f t="shared" si="171"/>
        <v>0</v>
      </c>
      <c r="Y684" s="10">
        <v>13</v>
      </c>
      <c r="Z684" s="30"/>
      <c r="AA684" s="31"/>
      <c r="AB684" s="32"/>
      <c r="AC684" s="32"/>
      <c r="AD684" s="32"/>
      <c r="AE684" s="32">
        <f t="shared" si="177"/>
        <v>0</v>
      </c>
      <c r="AF684" s="12"/>
      <c r="AG684" s="12"/>
      <c r="AH684" s="12"/>
      <c r="AI684" s="12">
        <f t="shared" si="173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83"/>
      <c r="D685" s="32"/>
      <c r="E685" s="32"/>
      <c r="F685" s="32"/>
      <c r="G685" s="32">
        <f t="shared" si="168"/>
        <v>0</v>
      </c>
      <c r="H685" s="12"/>
      <c r="I685" s="12"/>
      <c r="J685" s="12"/>
      <c r="K685" s="12">
        <f t="shared" si="169"/>
        <v>0</v>
      </c>
      <c r="M685" s="10">
        <v>14</v>
      </c>
      <c r="N685" s="30"/>
      <c r="O685" s="31"/>
      <c r="P685" s="32"/>
      <c r="Q685" s="32"/>
      <c r="R685" s="32"/>
      <c r="S685" s="32">
        <f t="shared" si="170"/>
        <v>0</v>
      </c>
      <c r="T685" s="12"/>
      <c r="U685" s="12"/>
      <c r="V685" s="12"/>
      <c r="W685" s="12">
        <f t="shared" si="171"/>
        <v>0</v>
      </c>
      <c r="Y685" s="10">
        <v>14</v>
      </c>
      <c r="Z685" s="30"/>
      <c r="AA685" s="31"/>
      <c r="AB685" s="32"/>
      <c r="AC685" s="32"/>
      <c r="AD685" s="32"/>
      <c r="AE685" s="32">
        <f t="shared" si="177"/>
        <v>0</v>
      </c>
      <c r="AF685" s="12"/>
      <c r="AG685" s="12"/>
      <c r="AH685" s="12"/>
      <c r="AI685" s="12">
        <f t="shared" si="173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83"/>
      <c r="D686" s="32"/>
      <c r="E686" s="32"/>
      <c r="F686" s="32"/>
      <c r="G686" s="32">
        <f t="shared" si="168"/>
        <v>0</v>
      </c>
      <c r="H686" s="12"/>
      <c r="I686" s="12"/>
      <c r="J686" s="12"/>
      <c r="K686" s="12">
        <f t="shared" si="169"/>
        <v>0</v>
      </c>
      <c r="M686" s="10">
        <v>15</v>
      </c>
      <c r="N686" s="30"/>
      <c r="O686" s="31"/>
      <c r="P686" s="32"/>
      <c r="Q686" s="32"/>
      <c r="R686" s="32"/>
      <c r="S686" s="32">
        <f t="shared" si="170"/>
        <v>0</v>
      </c>
      <c r="T686" s="12"/>
      <c r="U686" s="12"/>
      <c r="V686" s="12"/>
      <c r="W686" s="12">
        <f t="shared" si="171"/>
        <v>0</v>
      </c>
      <c r="Y686" s="10">
        <v>15</v>
      </c>
      <c r="Z686" s="30"/>
      <c r="AA686" s="31"/>
      <c r="AB686" s="32"/>
      <c r="AC686" s="32"/>
      <c r="AD686" s="32"/>
      <c r="AE686" s="32">
        <f t="shared" si="177"/>
        <v>0</v>
      </c>
      <c r="AF686" s="12"/>
      <c r="AG686" s="12"/>
      <c r="AH686" s="12"/>
      <c r="AI686" s="12">
        <f t="shared" si="173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C687" s="11"/>
      <c r="D687" s="32"/>
      <c r="E687" s="32"/>
      <c r="F687" s="32"/>
      <c r="G687" s="32">
        <f t="shared" si="168"/>
        <v>0</v>
      </c>
      <c r="H687" s="12"/>
      <c r="I687" s="12"/>
      <c r="J687" s="12"/>
      <c r="K687" s="12">
        <f t="shared" si="169"/>
        <v>0</v>
      </c>
      <c r="M687" s="10">
        <v>16</v>
      </c>
      <c r="N687" s="30"/>
      <c r="P687" s="32"/>
      <c r="Q687" s="32"/>
      <c r="R687" s="32"/>
      <c r="S687" s="32">
        <f t="shared" si="170"/>
        <v>0</v>
      </c>
      <c r="T687" s="12"/>
      <c r="U687" s="12"/>
      <c r="V687" s="12"/>
      <c r="W687" s="12">
        <f t="shared" si="171"/>
        <v>0</v>
      </c>
      <c r="Y687" s="10">
        <v>16</v>
      </c>
      <c r="Z687" s="30"/>
      <c r="AA687" s="11"/>
      <c r="AB687" s="32"/>
      <c r="AC687" s="32"/>
      <c r="AD687" s="32"/>
      <c r="AE687" s="32">
        <f t="shared" si="177"/>
        <v>0</v>
      </c>
      <c r="AF687" s="12"/>
      <c r="AG687" s="12"/>
      <c r="AH687" s="12"/>
      <c r="AI687" s="12">
        <f t="shared" si="173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83"/>
      <c r="D688" s="32"/>
      <c r="E688" s="32"/>
      <c r="F688" s="32"/>
      <c r="G688" s="32">
        <f t="shared" si="168"/>
        <v>0</v>
      </c>
      <c r="H688" s="12"/>
      <c r="I688" s="12"/>
      <c r="J688" s="12"/>
      <c r="K688" s="12">
        <f t="shared" si="169"/>
        <v>0</v>
      </c>
      <c r="M688" s="10">
        <v>17</v>
      </c>
      <c r="N688" s="30"/>
      <c r="O688" s="31"/>
      <c r="P688" s="35"/>
      <c r="Q688" s="32"/>
      <c r="R688" s="32"/>
      <c r="S688" s="32">
        <f t="shared" si="170"/>
        <v>0</v>
      </c>
      <c r="T688" s="12"/>
      <c r="U688" s="12"/>
      <c r="V688" s="12"/>
      <c r="W688" s="12">
        <f t="shared" si="171"/>
        <v>0</v>
      </c>
      <c r="Y688" s="10">
        <v>17</v>
      </c>
      <c r="Z688" s="30"/>
      <c r="AA688" s="31"/>
      <c r="AB688" s="35"/>
      <c r="AC688" s="32"/>
      <c r="AD688" s="32"/>
      <c r="AE688" s="32">
        <f t="shared" si="177"/>
        <v>0</v>
      </c>
      <c r="AF688" s="12"/>
      <c r="AG688" s="12"/>
      <c r="AH688" s="12"/>
      <c r="AI688" s="12">
        <f t="shared" si="173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83"/>
      <c r="D689" s="32"/>
      <c r="E689" s="32"/>
      <c r="F689" s="32"/>
      <c r="G689" s="32">
        <f t="shared" si="168"/>
        <v>0</v>
      </c>
      <c r="H689" s="12"/>
      <c r="I689" s="12"/>
      <c r="J689" s="12"/>
      <c r="K689" s="12">
        <f t="shared" si="169"/>
        <v>0</v>
      </c>
      <c r="M689" s="10">
        <v>18</v>
      </c>
      <c r="N689" s="30"/>
      <c r="O689" s="31"/>
      <c r="P689" s="32"/>
      <c r="Q689" s="32"/>
      <c r="R689" s="32"/>
      <c r="S689" s="32">
        <f t="shared" si="170"/>
        <v>0</v>
      </c>
      <c r="T689" s="12"/>
      <c r="U689" s="12"/>
      <c r="V689" s="12"/>
      <c r="W689" s="12">
        <f t="shared" si="171"/>
        <v>0</v>
      </c>
      <c r="Y689" s="10">
        <v>18</v>
      </c>
      <c r="Z689" s="30"/>
      <c r="AA689" s="31"/>
      <c r="AB689" s="32"/>
      <c r="AC689" s="32"/>
      <c r="AD689" s="32"/>
      <c r="AE689" s="32">
        <f t="shared" si="177"/>
        <v>0</v>
      </c>
      <c r="AF689" s="12"/>
      <c r="AG689" s="12"/>
      <c r="AH689" s="12"/>
      <c r="AI689" s="12">
        <f t="shared" si="173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83"/>
      <c r="D690" s="32"/>
      <c r="E690" s="32"/>
      <c r="F690" s="32"/>
      <c r="G690" s="32">
        <f t="shared" si="168"/>
        <v>0</v>
      </c>
      <c r="H690" s="12"/>
      <c r="I690" s="12"/>
      <c r="J690" s="12"/>
      <c r="K690" s="12">
        <f t="shared" si="169"/>
        <v>0</v>
      </c>
      <c r="M690" s="10">
        <v>19</v>
      </c>
      <c r="N690" s="30"/>
      <c r="O690" s="31"/>
      <c r="P690" s="32"/>
      <c r="Q690" s="32"/>
      <c r="R690" s="32"/>
      <c r="S690" s="32">
        <f t="shared" si="170"/>
        <v>0</v>
      </c>
      <c r="T690" s="12"/>
      <c r="U690" s="12"/>
      <c r="V690" s="12"/>
      <c r="W690" s="12">
        <f t="shared" si="171"/>
        <v>0</v>
      </c>
      <c r="Y690" s="10">
        <v>19</v>
      </c>
      <c r="Z690" s="30"/>
      <c r="AA690" s="31"/>
      <c r="AB690" s="32"/>
      <c r="AC690" s="32"/>
      <c r="AD690" s="32"/>
      <c r="AE690" s="32">
        <f t="shared" si="177"/>
        <v>0</v>
      </c>
      <c r="AF690" s="12"/>
      <c r="AG690" s="12"/>
      <c r="AH690" s="12"/>
      <c r="AI690" s="12">
        <f t="shared" si="173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83"/>
      <c r="D691" s="32"/>
      <c r="E691" s="32"/>
      <c r="F691" s="32"/>
      <c r="G691" s="32">
        <f t="shared" si="168"/>
        <v>0</v>
      </c>
      <c r="H691" s="12"/>
      <c r="I691" s="12"/>
      <c r="J691" s="12"/>
      <c r="K691" s="12">
        <f t="shared" si="169"/>
        <v>0</v>
      </c>
      <c r="M691" s="10">
        <v>20</v>
      </c>
      <c r="N691" s="30"/>
      <c r="O691" s="31"/>
      <c r="P691" s="32"/>
      <c r="Q691" s="32"/>
      <c r="R691" s="32"/>
      <c r="S691" s="32">
        <f t="shared" si="170"/>
        <v>0</v>
      </c>
      <c r="T691" s="12"/>
      <c r="U691" s="12"/>
      <c r="V691" s="12"/>
      <c r="W691" s="12">
        <f t="shared" si="171"/>
        <v>0</v>
      </c>
      <c r="Y691" s="10">
        <v>20</v>
      </c>
      <c r="Z691" s="30"/>
      <c r="AB691" s="32"/>
      <c r="AC691" s="32"/>
      <c r="AD691" s="32"/>
      <c r="AE691" s="32">
        <f t="shared" si="177"/>
        <v>0</v>
      </c>
      <c r="AF691" s="12"/>
      <c r="AG691" s="12"/>
      <c r="AH691" s="12"/>
      <c r="AI691" s="12">
        <f t="shared" si="173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83"/>
      <c r="D692" s="32"/>
      <c r="E692" s="32"/>
      <c r="F692" s="32"/>
      <c r="G692" s="32">
        <f t="shared" si="168"/>
        <v>0</v>
      </c>
      <c r="H692" s="10"/>
      <c r="I692" s="10"/>
      <c r="J692" s="10"/>
      <c r="K692" s="12">
        <f t="shared" si="169"/>
        <v>0</v>
      </c>
      <c r="M692" s="10">
        <v>21</v>
      </c>
      <c r="N692" s="30"/>
      <c r="O692" s="31"/>
      <c r="P692" s="46"/>
      <c r="Q692" s="31"/>
      <c r="R692" s="31"/>
      <c r="S692" s="32">
        <f t="shared" si="170"/>
        <v>0</v>
      </c>
      <c r="T692" s="10"/>
      <c r="U692" s="10"/>
      <c r="V692" s="10"/>
      <c r="W692" s="12">
        <f t="shared" si="171"/>
        <v>0</v>
      </c>
      <c r="Y692" s="10">
        <v>21</v>
      </c>
      <c r="Z692" s="30"/>
      <c r="AA692" s="31"/>
      <c r="AB692" s="46"/>
      <c r="AC692" s="31"/>
      <c r="AD692" s="31"/>
      <c r="AE692" s="32">
        <f t="shared" si="177"/>
        <v>0</v>
      </c>
      <c r="AF692" s="10"/>
      <c r="AG692" s="10"/>
      <c r="AH692" s="10"/>
      <c r="AI692" s="12">
        <f t="shared" si="173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83"/>
      <c r="D693" s="32"/>
      <c r="E693" s="32"/>
      <c r="F693" s="32"/>
      <c r="G693" s="32">
        <f t="shared" si="168"/>
        <v>0</v>
      </c>
      <c r="H693" s="10"/>
      <c r="I693" s="10"/>
      <c r="J693" s="10"/>
      <c r="K693" s="12">
        <f t="shared" si="169"/>
        <v>0</v>
      </c>
      <c r="M693" s="10">
        <v>22</v>
      </c>
      <c r="N693" s="30"/>
      <c r="O693" s="31"/>
      <c r="P693" s="45"/>
      <c r="Q693" s="31"/>
      <c r="R693" s="31"/>
      <c r="S693" s="32">
        <f t="shared" si="170"/>
        <v>0</v>
      </c>
      <c r="T693" s="10"/>
      <c r="U693" s="10"/>
      <c r="V693" s="10"/>
      <c r="W693" s="12">
        <f t="shared" si="171"/>
        <v>0</v>
      </c>
      <c r="Y693" s="10">
        <v>22</v>
      </c>
      <c r="Z693" s="30"/>
      <c r="AA693" s="31"/>
      <c r="AB693" s="45"/>
      <c r="AC693" s="31"/>
      <c r="AD693" s="31"/>
      <c r="AE693" s="32">
        <f t="shared" si="177"/>
        <v>0</v>
      </c>
      <c r="AF693" s="10"/>
      <c r="AG693" s="10"/>
      <c r="AH693" s="10"/>
      <c r="AI693" s="12">
        <f t="shared" si="173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83"/>
      <c r="D694" s="32"/>
      <c r="E694" s="32"/>
      <c r="F694" s="32"/>
      <c r="G694" s="32">
        <f t="shared" si="168"/>
        <v>0</v>
      </c>
      <c r="H694" s="10"/>
      <c r="I694" s="10"/>
      <c r="J694" s="12"/>
      <c r="K694" s="12">
        <f t="shared" si="169"/>
        <v>0</v>
      </c>
      <c r="M694" s="10">
        <v>23</v>
      </c>
      <c r="N694" s="30"/>
      <c r="O694" s="31"/>
      <c r="P694" s="47"/>
      <c r="Q694" s="31"/>
      <c r="S694" s="32">
        <f t="shared" si="170"/>
        <v>0</v>
      </c>
      <c r="T694" s="10"/>
      <c r="U694" s="10"/>
      <c r="V694" s="10"/>
      <c r="W694" s="12">
        <f t="shared" si="171"/>
        <v>0</v>
      </c>
      <c r="Y694" s="10">
        <v>23</v>
      </c>
      <c r="Z694" s="30"/>
      <c r="AA694" s="31"/>
      <c r="AB694" s="47"/>
      <c r="AE694" s="32">
        <f t="shared" si="177"/>
        <v>0</v>
      </c>
      <c r="AF694" s="10"/>
      <c r="AG694" s="10"/>
      <c r="AH694" s="10"/>
      <c r="AI694" s="12">
        <f t="shared" si="173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83"/>
      <c r="D695" s="32"/>
      <c r="E695" s="32"/>
      <c r="F695" s="32"/>
      <c r="G695" s="32">
        <f t="shared" si="168"/>
        <v>0</v>
      </c>
      <c r="H695" s="10"/>
      <c r="I695" s="10"/>
      <c r="J695" s="10"/>
      <c r="K695" s="12">
        <f t="shared" si="169"/>
        <v>0</v>
      </c>
      <c r="M695" s="10">
        <v>24</v>
      </c>
      <c r="N695" s="30"/>
      <c r="O695" s="31"/>
      <c r="P695" s="47"/>
      <c r="Q695" s="31"/>
      <c r="R695" s="31"/>
      <c r="S695" s="32">
        <f t="shared" si="170"/>
        <v>0</v>
      </c>
      <c r="T695" s="10"/>
      <c r="U695" s="10"/>
      <c r="V695" s="10"/>
      <c r="W695" s="12">
        <f t="shared" si="171"/>
        <v>0</v>
      </c>
      <c r="Y695" s="10">
        <v>24</v>
      </c>
      <c r="Z695" s="30"/>
      <c r="AA695" s="31"/>
      <c r="AB695" s="47"/>
      <c r="AC695" s="31"/>
      <c r="AD695" s="31"/>
      <c r="AE695" s="32">
        <f t="shared" si="177"/>
        <v>0</v>
      </c>
      <c r="AF695" s="10"/>
      <c r="AG695" s="10"/>
      <c r="AH695" s="10"/>
      <c r="AI695" s="12">
        <f t="shared" si="173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83"/>
      <c r="D696" s="32"/>
      <c r="E696" s="32"/>
      <c r="F696" s="32"/>
      <c r="G696" s="32">
        <f t="shared" si="168"/>
        <v>0</v>
      </c>
      <c r="H696" s="10"/>
      <c r="I696" s="10"/>
      <c r="J696" s="10"/>
      <c r="K696" s="12">
        <f t="shared" si="169"/>
        <v>0</v>
      </c>
      <c r="M696" s="10">
        <v>25</v>
      </c>
      <c r="N696" s="30"/>
      <c r="O696" s="31"/>
      <c r="P696" s="47"/>
      <c r="Q696" s="31"/>
      <c r="R696" s="31"/>
      <c r="S696" s="32">
        <f t="shared" si="170"/>
        <v>0</v>
      </c>
      <c r="T696" s="10"/>
      <c r="U696" s="10"/>
      <c r="V696" s="10"/>
      <c r="W696" s="12">
        <f t="shared" si="171"/>
        <v>0</v>
      </c>
      <c r="Y696" s="10">
        <v>25</v>
      </c>
      <c r="Z696" s="30"/>
      <c r="AA696" s="31"/>
      <c r="AB696" s="47"/>
      <c r="AC696" s="31"/>
      <c r="AD696" s="31"/>
      <c r="AE696" s="32">
        <f t="shared" si="177"/>
        <v>0</v>
      </c>
      <c r="AF696" s="10"/>
      <c r="AG696" s="10"/>
      <c r="AH696" s="10"/>
      <c r="AI696" s="12">
        <f t="shared" si="173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3"/>
      <c r="D697" s="32"/>
      <c r="E697" s="32"/>
      <c r="F697" s="32"/>
      <c r="G697" s="32">
        <f t="shared" si="168"/>
        <v>0</v>
      </c>
      <c r="H697" s="10"/>
      <c r="I697" s="10"/>
      <c r="J697" s="10"/>
      <c r="K697" s="12">
        <f t="shared" si="169"/>
        <v>0</v>
      </c>
      <c r="M697" s="10">
        <v>26</v>
      </c>
      <c r="N697" s="30"/>
      <c r="O697" s="31"/>
      <c r="P697" s="47"/>
      <c r="Q697" s="31"/>
      <c r="R697" s="31"/>
      <c r="S697" s="32">
        <f t="shared" si="170"/>
        <v>0</v>
      </c>
      <c r="T697" s="10"/>
      <c r="U697" s="10"/>
      <c r="V697" s="10"/>
      <c r="W697" s="12">
        <f t="shared" si="171"/>
        <v>0</v>
      </c>
      <c r="Y697" s="10">
        <v>26</v>
      </c>
      <c r="Z697" s="30"/>
      <c r="AA697" s="31"/>
      <c r="AB697" s="47"/>
      <c r="AC697" s="31"/>
      <c r="AD697" s="31"/>
      <c r="AE697" s="32">
        <f t="shared" si="177"/>
        <v>0</v>
      </c>
      <c r="AF697" s="10"/>
      <c r="AG697" s="10"/>
      <c r="AH697" s="10"/>
      <c r="AI697" s="12">
        <f t="shared" si="173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3"/>
      <c r="D698" s="32"/>
      <c r="E698" s="32"/>
      <c r="F698" s="32"/>
      <c r="G698" s="32">
        <f t="shared" si="168"/>
        <v>0</v>
      </c>
      <c r="H698" s="10"/>
      <c r="I698" s="10"/>
      <c r="J698" s="10"/>
      <c r="K698" s="12">
        <f t="shared" si="169"/>
        <v>0</v>
      </c>
      <c r="M698" s="10">
        <v>27</v>
      </c>
      <c r="N698" s="30"/>
      <c r="O698" s="31"/>
      <c r="P698" s="47"/>
      <c r="Q698" s="31"/>
      <c r="R698" s="31"/>
      <c r="S698" s="32">
        <f t="shared" si="170"/>
        <v>0</v>
      </c>
      <c r="T698" s="10"/>
      <c r="U698" s="10"/>
      <c r="V698" s="10"/>
      <c r="W698" s="12">
        <f t="shared" si="171"/>
        <v>0</v>
      </c>
      <c r="Y698" s="10">
        <v>27</v>
      </c>
      <c r="Z698" s="30"/>
      <c r="AA698" s="31"/>
      <c r="AB698" s="47"/>
      <c r="AC698" s="31"/>
      <c r="AD698" s="31"/>
      <c r="AE698" s="32">
        <f t="shared" si="177"/>
        <v>0</v>
      </c>
      <c r="AF698" s="10"/>
      <c r="AG698" s="10"/>
      <c r="AH698" s="10"/>
      <c r="AI698" s="12">
        <f t="shared" si="173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3"/>
      <c r="D699" s="32"/>
      <c r="E699" s="32"/>
      <c r="F699" s="32"/>
      <c r="G699" s="32">
        <f t="shared" si="168"/>
        <v>0</v>
      </c>
      <c r="H699" s="10"/>
      <c r="I699" s="10"/>
      <c r="J699" s="10"/>
      <c r="K699" s="12">
        <f t="shared" si="169"/>
        <v>0</v>
      </c>
      <c r="M699" s="10">
        <v>28</v>
      </c>
      <c r="N699" s="30"/>
      <c r="O699" s="31"/>
      <c r="P699" s="47"/>
      <c r="Q699" s="31"/>
      <c r="R699" s="31"/>
      <c r="S699" s="32">
        <f t="shared" si="170"/>
        <v>0</v>
      </c>
      <c r="T699" s="10"/>
      <c r="U699" s="10"/>
      <c r="V699" s="10"/>
      <c r="W699" s="12">
        <f t="shared" si="171"/>
        <v>0</v>
      </c>
      <c r="Y699" s="10">
        <v>28</v>
      </c>
      <c r="Z699" s="30"/>
      <c r="AA699" s="31"/>
      <c r="AB699" s="47"/>
      <c r="AC699" s="31"/>
      <c r="AD699" s="31"/>
      <c r="AE699" s="32">
        <f t="shared" si="177"/>
        <v>0</v>
      </c>
      <c r="AF699" s="10"/>
      <c r="AG699" s="10"/>
      <c r="AH699" s="10"/>
      <c r="AI699" s="12">
        <f t="shared" si="173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3"/>
      <c r="D700" s="32"/>
      <c r="E700" s="32"/>
      <c r="F700" s="32"/>
      <c r="G700" s="32">
        <f t="shared" si="168"/>
        <v>0</v>
      </c>
      <c r="H700" s="10"/>
      <c r="I700" s="10"/>
      <c r="J700" s="10"/>
      <c r="K700" s="12">
        <f t="shared" si="169"/>
        <v>0</v>
      </c>
      <c r="M700" s="10">
        <v>29</v>
      </c>
      <c r="N700" s="30"/>
      <c r="O700" s="31"/>
      <c r="P700" s="47"/>
      <c r="Q700" s="31"/>
      <c r="R700" s="31"/>
      <c r="S700" s="32">
        <f t="shared" si="170"/>
        <v>0</v>
      </c>
      <c r="T700" s="10"/>
      <c r="U700" s="10"/>
      <c r="V700" s="10"/>
      <c r="W700" s="12">
        <f t="shared" si="171"/>
        <v>0</v>
      </c>
      <c r="Y700" s="10">
        <v>29</v>
      </c>
      <c r="Z700" s="30"/>
      <c r="AA700" s="31"/>
      <c r="AB700" s="47"/>
      <c r="AC700" s="31"/>
      <c r="AD700" s="31"/>
      <c r="AE700" s="32">
        <f t="shared" si="177"/>
        <v>0</v>
      </c>
      <c r="AF700" s="10"/>
      <c r="AG700" s="10"/>
      <c r="AH700" s="10"/>
      <c r="AI700" s="12">
        <f t="shared" si="173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3"/>
      <c r="D701" s="32"/>
      <c r="E701" s="32"/>
      <c r="F701" s="32"/>
      <c r="G701" s="32">
        <f t="shared" si="168"/>
        <v>0</v>
      </c>
      <c r="H701" s="10"/>
      <c r="I701" s="10"/>
      <c r="J701" s="10"/>
      <c r="K701" s="12">
        <f t="shared" si="169"/>
        <v>0</v>
      </c>
      <c r="M701" s="10">
        <v>30</v>
      </c>
      <c r="N701" s="30"/>
      <c r="O701" s="31"/>
      <c r="P701" s="47"/>
      <c r="Q701" s="31"/>
      <c r="R701" s="31"/>
      <c r="S701" s="32">
        <f t="shared" si="170"/>
        <v>0</v>
      </c>
      <c r="T701" s="10"/>
      <c r="U701" s="10"/>
      <c r="V701" s="10"/>
      <c r="W701" s="12">
        <f t="shared" si="171"/>
        <v>0</v>
      </c>
      <c r="Y701" s="10">
        <v>30</v>
      </c>
      <c r="Z701" s="30"/>
      <c r="AA701" s="31"/>
      <c r="AB701" s="47"/>
      <c r="AC701" s="31"/>
      <c r="AD701" s="31"/>
      <c r="AE701" s="32">
        <f t="shared" si="177"/>
        <v>0</v>
      </c>
      <c r="AF701" s="10"/>
      <c r="AG701" s="10"/>
      <c r="AH701" s="10"/>
      <c r="AI701" s="12">
        <f t="shared" si="173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83"/>
      <c r="D702" s="32"/>
      <c r="E702" s="32"/>
      <c r="F702" s="32"/>
      <c r="G702" s="32">
        <f t="shared" si="168"/>
        <v>0</v>
      </c>
      <c r="H702" s="10"/>
      <c r="I702" s="10"/>
      <c r="J702" s="10"/>
      <c r="K702" s="12">
        <f t="shared" si="169"/>
        <v>0</v>
      </c>
      <c r="M702" s="10">
        <v>31</v>
      </c>
      <c r="N702" s="30"/>
      <c r="O702" s="31"/>
      <c r="P702" s="47"/>
      <c r="Q702" s="31"/>
      <c r="R702" s="31"/>
      <c r="S702" s="32">
        <f t="shared" si="170"/>
        <v>0</v>
      </c>
      <c r="T702" s="10"/>
      <c r="U702" s="10"/>
      <c r="V702" s="10"/>
      <c r="W702" s="12">
        <f t="shared" si="171"/>
        <v>0</v>
      </c>
      <c r="Y702" s="10">
        <v>31</v>
      </c>
      <c r="Z702" s="30"/>
      <c r="AA702" s="31"/>
      <c r="AB702" s="47"/>
      <c r="AC702" s="31"/>
      <c r="AD702" s="31"/>
      <c r="AE702" s="32">
        <f t="shared" si="177"/>
        <v>0</v>
      </c>
      <c r="AF702" s="10"/>
      <c r="AG702" s="10"/>
      <c r="AH702" s="10"/>
      <c r="AI702" s="12">
        <f t="shared" si="173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3"/>
      <c r="D703" s="32"/>
      <c r="E703" s="32"/>
      <c r="F703" s="32"/>
      <c r="G703" s="32">
        <f t="shared" si="168"/>
        <v>0</v>
      </c>
      <c r="H703" s="10"/>
      <c r="I703" s="10"/>
      <c r="J703" s="10"/>
      <c r="K703" s="12">
        <f t="shared" si="169"/>
        <v>0</v>
      </c>
      <c r="M703" s="10">
        <v>32</v>
      </c>
      <c r="N703" s="30"/>
      <c r="O703" s="31"/>
      <c r="P703" s="47"/>
      <c r="Q703" s="31"/>
      <c r="R703" s="31"/>
      <c r="S703" s="32">
        <f t="shared" si="170"/>
        <v>0</v>
      </c>
      <c r="T703" s="10"/>
      <c r="U703" s="10"/>
      <c r="V703" s="10"/>
      <c r="W703" s="12">
        <f t="shared" si="171"/>
        <v>0</v>
      </c>
      <c r="Y703" s="10">
        <v>32</v>
      </c>
      <c r="Z703" s="30"/>
      <c r="AA703" s="31"/>
      <c r="AB703" s="47"/>
      <c r="AC703" s="31"/>
      <c r="AD703" s="31"/>
      <c r="AE703" s="32">
        <f t="shared" si="177"/>
        <v>0</v>
      </c>
      <c r="AF703" s="10"/>
      <c r="AG703" s="10"/>
      <c r="AH703" s="10"/>
      <c r="AI703" s="12">
        <f t="shared" si="173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3"/>
      <c r="D704" s="32"/>
      <c r="E704" s="32"/>
      <c r="F704" s="32"/>
      <c r="G704" s="32">
        <f t="shared" si="168"/>
        <v>0</v>
      </c>
      <c r="H704" s="10"/>
      <c r="I704" s="10"/>
      <c r="J704" s="10"/>
      <c r="K704" s="12">
        <f t="shared" si="169"/>
        <v>0</v>
      </c>
      <c r="M704" s="10">
        <v>33</v>
      </c>
      <c r="N704" s="30"/>
      <c r="O704" s="31"/>
      <c r="P704" s="47"/>
      <c r="Q704" s="31"/>
      <c r="R704" s="31"/>
      <c r="S704" s="32">
        <f t="shared" si="170"/>
        <v>0</v>
      </c>
      <c r="T704" s="10"/>
      <c r="U704" s="10"/>
      <c r="V704" s="10"/>
      <c r="W704" s="12">
        <f t="shared" si="171"/>
        <v>0</v>
      </c>
      <c r="Y704" s="10">
        <v>33</v>
      </c>
      <c r="Z704" s="30"/>
      <c r="AA704" s="31"/>
      <c r="AB704" s="47"/>
      <c r="AC704" s="31"/>
      <c r="AD704" s="31"/>
      <c r="AE704" s="32">
        <f t="shared" si="177"/>
        <v>0</v>
      </c>
      <c r="AF704" s="10"/>
      <c r="AG704" s="10"/>
      <c r="AH704" s="10"/>
      <c r="AI704" s="12">
        <f t="shared" si="173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3"/>
      <c r="D705" s="32"/>
      <c r="E705" s="32"/>
      <c r="F705" s="32"/>
      <c r="G705" s="32">
        <f t="shared" si="168"/>
        <v>0</v>
      </c>
      <c r="H705" s="10"/>
      <c r="I705" s="10"/>
      <c r="J705" s="10"/>
      <c r="K705" s="12">
        <f t="shared" si="169"/>
        <v>0</v>
      </c>
      <c r="M705" s="10">
        <v>34</v>
      </c>
      <c r="N705" s="30"/>
      <c r="O705" s="31"/>
      <c r="P705" s="47"/>
      <c r="Q705" s="31"/>
      <c r="R705" s="31"/>
      <c r="S705" s="32">
        <f t="shared" si="170"/>
        <v>0</v>
      </c>
      <c r="T705" s="10"/>
      <c r="U705" s="10"/>
      <c r="V705" s="10"/>
      <c r="W705" s="12">
        <f t="shared" si="171"/>
        <v>0</v>
      </c>
      <c r="Y705" s="10">
        <v>34</v>
      </c>
      <c r="Z705" s="30"/>
      <c r="AA705" s="31"/>
      <c r="AB705" s="47"/>
      <c r="AC705" s="31"/>
      <c r="AD705" s="31"/>
      <c r="AE705" s="32">
        <f t="shared" ref="AE705:AE710" si="178">SUM(AB705:AC705)</f>
        <v>0</v>
      </c>
      <c r="AF705" s="10"/>
      <c r="AG705" s="10"/>
      <c r="AH705" s="10"/>
      <c r="AI705" s="12">
        <f t="shared" si="173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3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170"/>
        <v>0</v>
      </c>
      <c r="T706" s="10"/>
      <c r="U706" s="10"/>
      <c r="V706" s="10"/>
      <c r="W706" s="12">
        <f t="shared" si="171"/>
        <v>0</v>
      </c>
      <c r="Y706" s="10">
        <v>35</v>
      </c>
      <c r="Z706" s="30"/>
      <c r="AA706" s="31"/>
      <c r="AB706" s="47"/>
      <c r="AC706" s="31"/>
      <c r="AD706" s="31"/>
      <c r="AE706" s="32">
        <f t="shared" si="178"/>
        <v>0</v>
      </c>
      <c r="AF706" s="10"/>
      <c r="AG706" s="10"/>
      <c r="AH706" s="10"/>
      <c r="AI706" s="12">
        <f t="shared" si="173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3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170"/>
        <v>0</v>
      </c>
      <c r="T707" s="10"/>
      <c r="U707" s="10"/>
      <c r="V707" s="10"/>
      <c r="W707" s="12">
        <f t="shared" si="171"/>
        <v>0</v>
      </c>
      <c r="Y707" s="10">
        <v>36</v>
      </c>
      <c r="Z707" s="30"/>
      <c r="AA707" s="31"/>
      <c r="AB707" s="47"/>
      <c r="AC707" s="31"/>
      <c r="AD707" s="31"/>
      <c r="AE707" s="32">
        <f t="shared" si="178"/>
        <v>0</v>
      </c>
      <c r="AF707" s="10"/>
      <c r="AG707" s="10"/>
      <c r="AH707" s="10"/>
      <c r="AI707" s="12">
        <f t="shared" si="173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170"/>
        <v>0</v>
      </c>
      <c r="T708" s="10"/>
      <c r="U708" s="10"/>
      <c r="V708" s="10"/>
      <c r="W708" s="12">
        <f t="shared" si="171"/>
        <v>0</v>
      </c>
      <c r="Y708" s="10">
        <v>37</v>
      </c>
      <c r="Z708" s="30"/>
      <c r="AA708" s="31"/>
      <c r="AB708" s="47"/>
      <c r="AC708" s="31"/>
      <c r="AD708" s="31"/>
      <c r="AE708" s="32">
        <f t="shared" si="178"/>
        <v>0</v>
      </c>
      <c r="AF708" s="10"/>
      <c r="AG708" s="10"/>
      <c r="AH708" s="10"/>
      <c r="AI708" s="12">
        <f t="shared" si="173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170"/>
        <v>0</v>
      </c>
      <c r="T709" s="10"/>
      <c r="U709" s="10"/>
      <c r="V709" s="10"/>
      <c r="W709" s="12">
        <f t="shared" si="171"/>
        <v>0</v>
      </c>
      <c r="Y709" s="10">
        <v>38</v>
      </c>
      <c r="Z709" s="30"/>
      <c r="AA709" s="31"/>
      <c r="AB709" s="47"/>
      <c r="AC709" s="31"/>
      <c r="AD709" s="31"/>
      <c r="AE709" s="32">
        <f t="shared" si="178"/>
        <v>0</v>
      </c>
      <c r="AF709" s="10"/>
      <c r="AG709" s="10"/>
      <c r="AH709" s="10"/>
      <c r="AI709" s="12">
        <f t="shared" si="173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170"/>
        <v>0</v>
      </c>
      <c r="T710" s="10"/>
      <c r="U710" s="10"/>
      <c r="V710" s="10"/>
      <c r="W710" s="12">
        <f t="shared" si="171"/>
        <v>0</v>
      </c>
      <c r="Y710" s="10">
        <v>39</v>
      </c>
      <c r="Z710" s="30"/>
      <c r="AA710" s="31"/>
      <c r="AB710" s="47"/>
      <c r="AC710" s="31"/>
      <c r="AD710" s="31"/>
      <c r="AE710" s="32">
        <f t="shared" si="178"/>
        <v>0</v>
      </c>
      <c r="AF710" s="10"/>
      <c r="AG710" s="10"/>
      <c r="AH710" s="10"/>
      <c r="AI710" s="12">
        <f t="shared" si="173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71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173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179">SUM(D712:E712)</f>
        <v>0</v>
      </c>
      <c r="H712" s="10"/>
      <c r="I712" s="10"/>
      <c r="J712" s="10"/>
      <c r="K712" s="12">
        <f t="shared" ref="K712" si="180">SUM(G712:J712)</f>
        <v>0</v>
      </c>
      <c r="M712" s="10"/>
      <c r="N712" s="30"/>
      <c r="O712" s="31"/>
      <c r="P712" s="47"/>
      <c r="Q712" s="31"/>
      <c r="R712" s="31"/>
      <c r="S712" s="32">
        <f t="shared" ref="S712" si="181">SUM(P712:Q712)</f>
        <v>0</v>
      </c>
      <c r="T712" s="10"/>
      <c r="U712" s="10"/>
      <c r="V712" s="10"/>
      <c r="W712" s="12">
        <f t="shared" si="171"/>
        <v>0</v>
      </c>
      <c r="Y712" s="10"/>
      <c r="Z712" s="30"/>
      <c r="AA712" s="31"/>
      <c r="AB712" s="47"/>
      <c r="AC712" s="31"/>
      <c r="AD712" s="31"/>
      <c r="AE712" s="32">
        <f t="shared" ref="AE712" si="182">SUM(AB712:AC712)</f>
        <v>0</v>
      </c>
      <c r="AF712" s="10"/>
      <c r="AG712" s="10"/>
      <c r="AH712" s="10"/>
      <c r="AI712" s="12">
        <f t="shared" si="173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71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173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226492</v>
      </c>
      <c r="E715" s="38">
        <f t="shared" ref="E715:F715" si="183">SUM(E672:E712)</f>
        <v>0</v>
      </c>
      <c r="F715" s="38">
        <f t="shared" si="183"/>
        <v>0</v>
      </c>
      <c r="G715" s="38">
        <f>SUM(G672:G714)</f>
        <v>226492</v>
      </c>
      <c r="H715" s="4"/>
      <c r="I715" s="39">
        <f>SUM(I672:I714)</f>
        <v>0</v>
      </c>
      <c r="J715" s="39">
        <f>SUM(J672:J714)</f>
        <v>0</v>
      </c>
      <c r="K715" s="40">
        <f>SUM(K672:K714)</f>
        <v>226492</v>
      </c>
      <c r="N715" s="57"/>
      <c r="O715" s="57"/>
      <c r="P715" s="38">
        <f>SUM(P672:P714)</f>
        <v>203982.5</v>
      </c>
      <c r="Q715" s="38">
        <f>SUM(Q672:Q696)</f>
        <v>-1296</v>
      </c>
      <c r="R715" s="38">
        <f>SUM(R672:R696)</f>
        <v>0</v>
      </c>
      <c r="S715" s="38">
        <f>SUM(S672:S714)</f>
        <v>202686.5</v>
      </c>
      <c r="T715" s="4"/>
      <c r="U715" s="41">
        <f>SUM(U672:U714)</f>
        <v>477</v>
      </c>
      <c r="V715" s="41">
        <f>SUM(V672:V696)</f>
        <v>-666</v>
      </c>
      <c r="W715" s="42">
        <f>SUM(W672:W714)</f>
        <v>202497.5</v>
      </c>
      <c r="Z715" s="57"/>
      <c r="AA715" s="57"/>
      <c r="AB715" s="38">
        <f>SUM(AB672:AB714)</f>
        <v>341451.5</v>
      </c>
      <c r="AC715" s="38">
        <f>SUM(AC672:AC696)</f>
        <v>-2118</v>
      </c>
      <c r="AD715" s="38">
        <f>SUM(AD672:AD696)</f>
        <v>0</v>
      </c>
      <c r="AE715" s="38">
        <f>SUM(AE672:AE714)</f>
        <v>339333.5</v>
      </c>
      <c r="AF715" s="4"/>
      <c r="AG715" s="41">
        <f>SUM(AG672:AG714)</f>
        <v>465</v>
      </c>
      <c r="AH715" s="41">
        <f>SUM(AH672:AH696)</f>
        <v>-1110</v>
      </c>
      <c r="AI715" s="42">
        <f>SUM(AI672:AI714)</f>
        <v>338688.5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47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47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47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78</v>
      </c>
      <c r="B723" s="20"/>
      <c r="C723" s="57"/>
      <c r="D723" s="57"/>
      <c r="E723" s="57"/>
      <c r="G723" s="57"/>
      <c r="I723" s="22" t="s">
        <v>16</v>
      </c>
      <c r="J723" s="23" t="s">
        <v>42</v>
      </c>
      <c r="K723" s="24"/>
      <c r="M723" s="21" t="s">
        <v>78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32</v>
      </c>
      <c r="W723" s="24"/>
      <c r="Y723" s="21" t="s">
        <v>78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33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ht="15" customHeight="1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18" t="s">
        <v>17</v>
      </c>
      <c r="E725" s="118"/>
      <c r="F725" s="105"/>
      <c r="G725" s="27"/>
      <c r="I725" s="119" t="s">
        <v>18</v>
      </c>
      <c r="J725" s="120"/>
      <c r="K725" s="121" t="s">
        <v>19</v>
      </c>
      <c r="N725" s="25"/>
      <c r="O725" s="26"/>
      <c r="P725" s="118" t="s">
        <v>17</v>
      </c>
      <c r="Q725" s="118"/>
      <c r="R725" s="105"/>
      <c r="S725" s="27"/>
      <c r="U725" s="119" t="s">
        <v>18</v>
      </c>
      <c r="V725" s="120"/>
      <c r="W725" s="121" t="s">
        <v>19</v>
      </c>
      <c r="Z725" s="25"/>
      <c r="AA725" s="26"/>
      <c r="AB725" s="118" t="s">
        <v>17</v>
      </c>
      <c r="AC725" s="118"/>
      <c r="AD725" s="105"/>
      <c r="AE725" s="27"/>
      <c r="AG725" s="119" t="s">
        <v>18</v>
      </c>
      <c r="AH725" s="120"/>
      <c r="AI725" s="121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7" t="s">
        <v>22</v>
      </c>
      <c r="E726" s="76" t="s">
        <v>23</v>
      </c>
      <c r="F726" s="78" t="s">
        <v>31</v>
      </c>
      <c r="G726" s="78" t="s">
        <v>24</v>
      </c>
      <c r="I726" s="29" t="s">
        <v>25</v>
      </c>
      <c r="J726" s="29" t="s">
        <v>26</v>
      </c>
      <c r="K726" s="122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31</v>
      </c>
      <c r="S726" s="78" t="s">
        <v>24</v>
      </c>
      <c r="U726" s="29" t="s">
        <v>25</v>
      </c>
      <c r="V726" s="29" t="s">
        <v>26</v>
      </c>
      <c r="W726" s="122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31</v>
      </c>
      <c r="AE726" s="78" t="s">
        <v>24</v>
      </c>
      <c r="AG726" s="29" t="s">
        <v>25</v>
      </c>
      <c r="AH726" s="29" t="s">
        <v>26</v>
      </c>
      <c r="AI726" s="12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79</v>
      </c>
      <c r="C727" s="83">
        <v>11013</v>
      </c>
      <c r="D727" s="32">
        <f>650*216+229*9</f>
        <v>142461</v>
      </c>
      <c r="E727" s="32">
        <f>-216*6</f>
        <v>-1296</v>
      </c>
      <c r="F727" s="32"/>
      <c r="G727" s="32">
        <f t="shared" ref="G727:G760" si="184">SUM(D727:E727)</f>
        <v>141165</v>
      </c>
      <c r="H727" s="12"/>
      <c r="I727" s="12">
        <v>72</v>
      </c>
      <c r="J727" s="12">
        <f>-111*160+-168+-252</f>
        <v>-18180</v>
      </c>
      <c r="K727" s="12">
        <f t="shared" ref="K727:K760" si="185">SUM(G727:J727)</f>
        <v>123057</v>
      </c>
      <c r="M727" s="10">
        <v>1</v>
      </c>
      <c r="N727" s="30" t="s">
        <v>79</v>
      </c>
      <c r="O727" s="31">
        <v>11051</v>
      </c>
      <c r="P727" s="32">
        <f>650*75+670*5+973+622*5+872+229*4</f>
        <v>57971</v>
      </c>
      <c r="Q727" s="32"/>
      <c r="R727" s="32"/>
      <c r="S727" s="32">
        <f>SUM(P727:Q727)</f>
        <v>57971</v>
      </c>
      <c r="T727" s="12"/>
      <c r="U727" s="12">
        <v>108</v>
      </c>
      <c r="V727" s="12"/>
      <c r="W727" s="12">
        <f>SUM(S727:V727)</f>
        <v>58079</v>
      </c>
      <c r="Y727" s="10">
        <v>1</v>
      </c>
      <c r="Z727" s="30" t="s">
        <v>79</v>
      </c>
      <c r="AA727" s="31">
        <v>10982</v>
      </c>
      <c r="AB727" s="32">
        <f>650*108+872+229*4</f>
        <v>71988</v>
      </c>
      <c r="AC727" s="32">
        <f>-109*6</f>
        <v>-654</v>
      </c>
      <c r="AD727" s="32"/>
      <c r="AE727" s="32">
        <f>SUM(AB727:AC727)</f>
        <v>71334</v>
      </c>
      <c r="AF727" s="12"/>
      <c r="AG727" s="12"/>
      <c r="AH727" s="12">
        <f>-111*38+-78*6</f>
        <v>-4686</v>
      </c>
      <c r="AI727" s="12">
        <f>SUM(AE727:AH727)</f>
        <v>66648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79</v>
      </c>
      <c r="C728" s="83">
        <f>C727+1</f>
        <v>11014</v>
      </c>
      <c r="D728" s="32">
        <f>650*214</f>
        <v>139100</v>
      </c>
      <c r="E728" s="32"/>
      <c r="F728" s="32"/>
      <c r="G728" s="32">
        <f t="shared" si="184"/>
        <v>139100</v>
      </c>
      <c r="H728" s="12"/>
      <c r="I728" s="12">
        <f>8991</f>
        <v>8991</v>
      </c>
      <c r="J728" s="12"/>
      <c r="K728" s="12">
        <f t="shared" si="185"/>
        <v>148091</v>
      </c>
      <c r="M728" s="10">
        <v>2</v>
      </c>
      <c r="N728" s="30" t="s">
        <v>79</v>
      </c>
      <c r="O728" s="31">
        <f>O727+1</f>
        <v>11052</v>
      </c>
      <c r="P728" s="32">
        <f>650*18+9.5*10</f>
        <v>11795</v>
      </c>
      <c r="Q728" s="32"/>
      <c r="R728" s="32"/>
      <c r="S728" s="32">
        <f t="shared" ref="S728:S765" si="186">SUM(P728:Q728)</f>
        <v>11795</v>
      </c>
      <c r="T728" s="12"/>
      <c r="U728" s="12"/>
      <c r="V728" s="12"/>
      <c r="W728" s="12">
        <f t="shared" ref="W728:W768" si="187">SUM(S728:V728)</f>
        <v>11795</v>
      </c>
      <c r="Y728" s="10">
        <v>2</v>
      </c>
      <c r="Z728" s="30" t="s">
        <v>79</v>
      </c>
      <c r="AA728" s="31">
        <f>AA727+1</f>
        <v>10983</v>
      </c>
      <c r="AB728" s="32">
        <f>650*50+912*2+229*2</f>
        <v>34782</v>
      </c>
      <c r="AC728" s="32">
        <f>-52*6</f>
        <v>-312</v>
      </c>
      <c r="AD728" s="32"/>
      <c r="AE728" s="32">
        <f t="shared" ref="AE728:AE730" si="188">SUM(AB728:AC728)</f>
        <v>34470</v>
      </c>
      <c r="AF728" s="12"/>
      <c r="AG728" s="12"/>
      <c r="AH728" s="12">
        <f>-50*111+-84+-84*3+-42*7</f>
        <v>-6180</v>
      </c>
      <c r="AI728" s="12">
        <f t="shared" ref="AI728:AI768" si="189">SUM(AE728:AH728)</f>
        <v>28290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79</v>
      </c>
      <c r="C729" s="83">
        <f t="shared" ref="C729:C730" si="190">C728+1</f>
        <v>11015</v>
      </c>
      <c r="D729" s="33">
        <f>973*70</f>
        <v>68110</v>
      </c>
      <c r="E729" s="33"/>
      <c r="F729" s="33"/>
      <c r="G729" s="33">
        <f t="shared" si="184"/>
        <v>68110</v>
      </c>
      <c r="H729" s="34"/>
      <c r="I729" s="34"/>
      <c r="J729" s="34"/>
      <c r="K729" s="34">
        <f t="shared" si="185"/>
        <v>68110</v>
      </c>
      <c r="M729" s="10">
        <v>3</v>
      </c>
      <c r="N729" s="30" t="s">
        <v>79</v>
      </c>
      <c r="O729" s="31">
        <f t="shared" ref="O729:O730" si="191">O728+1</f>
        <v>11053</v>
      </c>
      <c r="P729" s="32">
        <f>650*160+670*5+622*15+1102+872*2+229*5+650</f>
        <v>121321</v>
      </c>
      <c r="Q729" s="32">
        <f>-182*6</f>
        <v>-1092</v>
      </c>
      <c r="R729" s="32"/>
      <c r="S729" s="32">
        <f t="shared" si="186"/>
        <v>120229</v>
      </c>
      <c r="T729" s="12"/>
      <c r="U729" s="12">
        <f>2331+312</f>
        <v>2643</v>
      </c>
      <c r="V729" s="12">
        <f>-420+-210</f>
        <v>-630</v>
      </c>
      <c r="W729" s="12">
        <f t="shared" si="187"/>
        <v>122242</v>
      </c>
      <c r="Y729" s="10">
        <v>3</v>
      </c>
      <c r="Z729" s="30" t="s">
        <v>79</v>
      </c>
      <c r="AA729" s="31">
        <f t="shared" ref="AA729:AA733" si="192">AA728+1</f>
        <v>10984</v>
      </c>
      <c r="AB729" s="33">
        <f>216*650+229*4</f>
        <v>141316</v>
      </c>
      <c r="AC729" s="33">
        <f>-216*6</f>
        <v>-1296</v>
      </c>
      <c r="AD729" s="32"/>
      <c r="AE729" s="32">
        <f t="shared" si="188"/>
        <v>140020</v>
      </c>
      <c r="AF729" s="12"/>
      <c r="AG729" s="12">
        <v>1887</v>
      </c>
      <c r="AH729" s="12"/>
      <c r="AI729" s="12">
        <f t="shared" si="189"/>
        <v>141907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79</v>
      </c>
      <c r="C730" s="83">
        <f t="shared" si="190"/>
        <v>11016</v>
      </c>
      <c r="D730" s="32">
        <f>650</f>
        <v>650</v>
      </c>
      <c r="E730" s="32"/>
      <c r="F730" s="32"/>
      <c r="G730" s="32">
        <f t="shared" si="184"/>
        <v>650</v>
      </c>
      <c r="H730" s="12"/>
      <c r="I730" s="12"/>
      <c r="J730" s="12"/>
      <c r="K730" s="12">
        <f t="shared" si="185"/>
        <v>650</v>
      </c>
      <c r="M730" s="10">
        <v>4</v>
      </c>
      <c r="N730" s="30" t="s">
        <v>79</v>
      </c>
      <c r="O730" s="31">
        <f t="shared" si="191"/>
        <v>11054</v>
      </c>
      <c r="P730" s="32">
        <f>650*9+9.5*9</f>
        <v>5935.5</v>
      </c>
      <c r="Q730" s="32"/>
      <c r="R730" s="32"/>
      <c r="S730" s="32">
        <f t="shared" si="186"/>
        <v>5935.5</v>
      </c>
      <c r="T730" s="12"/>
      <c r="U730" s="12"/>
      <c r="V730" s="12">
        <v>-999</v>
      </c>
      <c r="W730" s="12">
        <f t="shared" si="187"/>
        <v>4936.5</v>
      </c>
      <c r="Y730" s="10">
        <v>4</v>
      </c>
      <c r="Z730" s="30" t="s">
        <v>79</v>
      </c>
      <c r="AA730" s="31">
        <f t="shared" si="192"/>
        <v>10985</v>
      </c>
      <c r="AB730" s="32">
        <f>650*22+622*2</f>
        <v>15544</v>
      </c>
      <c r="AC730" s="32"/>
      <c r="AD730" s="32"/>
      <c r="AE730" s="32">
        <f t="shared" si="188"/>
        <v>15544</v>
      </c>
      <c r="AF730" s="12"/>
      <c r="AH730" s="12">
        <v>-600</v>
      </c>
      <c r="AI730" s="12">
        <f t="shared" si="189"/>
        <v>14944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/>
      <c r="C731" s="11" t="s">
        <v>27</v>
      </c>
      <c r="D731" s="32"/>
      <c r="E731" s="32"/>
      <c r="F731" s="32"/>
      <c r="G731" s="32">
        <f t="shared" si="184"/>
        <v>0</v>
      </c>
      <c r="H731" s="12"/>
      <c r="I731" s="12"/>
      <c r="J731" s="12"/>
      <c r="K731" s="12">
        <f t="shared" si="185"/>
        <v>0</v>
      </c>
      <c r="M731" s="10">
        <v>5</v>
      </c>
      <c r="N731" s="30"/>
      <c r="O731" s="11" t="s">
        <v>27</v>
      </c>
      <c r="P731" s="32"/>
      <c r="Q731" s="32"/>
      <c r="R731" s="32"/>
      <c r="S731" s="32">
        <f t="shared" si="186"/>
        <v>0</v>
      </c>
      <c r="T731" s="12"/>
      <c r="U731" s="12"/>
      <c r="V731" s="12"/>
      <c r="W731" s="12">
        <f t="shared" si="187"/>
        <v>0</v>
      </c>
      <c r="Y731" s="10">
        <v>5</v>
      </c>
      <c r="Z731" s="30" t="s">
        <v>79</v>
      </c>
      <c r="AA731" s="31">
        <f t="shared" si="192"/>
        <v>10986</v>
      </c>
      <c r="AB731" s="32">
        <f>650*6</f>
        <v>3900</v>
      </c>
      <c r="AC731" s="32"/>
      <c r="AD731" s="32"/>
      <c r="AE731" s="32">
        <f t="shared" ref="AE731:AE759" si="193">SUM(AB731:AC731)</f>
        <v>3900</v>
      </c>
      <c r="AF731" s="12"/>
      <c r="AG731" s="12"/>
      <c r="AH731" s="12"/>
      <c r="AI731" s="12">
        <f t="shared" si="189"/>
        <v>3900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/>
      <c r="C732" s="83"/>
      <c r="D732" s="32"/>
      <c r="E732" s="32"/>
      <c r="F732" s="32"/>
      <c r="G732" s="32">
        <f t="shared" si="184"/>
        <v>0</v>
      </c>
      <c r="H732" s="12"/>
      <c r="I732" s="12"/>
      <c r="J732" s="12"/>
      <c r="K732" s="12">
        <f t="shared" si="185"/>
        <v>0</v>
      </c>
      <c r="M732" s="10">
        <v>6</v>
      </c>
      <c r="N732" s="30"/>
      <c r="O732" s="31"/>
      <c r="P732" s="32"/>
      <c r="Q732" s="32"/>
      <c r="R732" s="32"/>
      <c r="S732" s="32">
        <f t="shared" si="186"/>
        <v>0</v>
      </c>
      <c r="T732" s="12"/>
      <c r="U732" s="12"/>
      <c r="V732" s="10"/>
      <c r="W732" s="12">
        <f t="shared" si="187"/>
        <v>0</v>
      </c>
      <c r="Y732" s="10">
        <v>6</v>
      </c>
      <c r="Z732" s="30" t="s">
        <v>79</v>
      </c>
      <c r="AA732" s="31">
        <f t="shared" si="192"/>
        <v>10987</v>
      </c>
      <c r="AB732" s="32">
        <f>650*108+229*4</f>
        <v>71116</v>
      </c>
      <c r="AC732" s="32">
        <f>-108*6</f>
        <v>-648</v>
      </c>
      <c r="AD732" s="32"/>
      <c r="AE732" s="32">
        <f t="shared" si="193"/>
        <v>70468</v>
      </c>
      <c r="AF732" s="12"/>
      <c r="AG732" s="12"/>
      <c r="AH732" s="10"/>
      <c r="AI732" s="12">
        <f t="shared" si="189"/>
        <v>70468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/>
      <c r="C733" s="83"/>
      <c r="D733" s="32"/>
      <c r="E733" s="32"/>
      <c r="F733" s="32"/>
      <c r="G733" s="32">
        <f t="shared" si="184"/>
        <v>0</v>
      </c>
      <c r="H733" s="12"/>
      <c r="I733" s="12"/>
      <c r="J733" s="12"/>
      <c r="K733" s="12">
        <f t="shared" si="185"/>
        <v>0</v>
      </c>
      <c r="M733" s="10">
        <v>7</v>
      </c>
      <c r="N733" s="30"/>
      <c r="O733" s="31"/>
      <c r="P733" s="32"/>
      <c r="Q733" s="32"/>
      <c r="R733" s="32"/>
      <c r="S733" s="32">
        <f t="shared" si="186"/>
        <v>0</v>
      </c>
      <c r="T733" s="12"/>
      <c r="U733" s="12"/>
      <c r="V733" s="12"/>
      <c r="W733" s="12">
        <f t="shared" si="187"/>
        <v>0</v>
      </c>
      <c r="Y733" s="10">
        <v>7</v>
      </c>
      <c r="Z733" s="30" t="s">
        <v>79</v>
      </c>
      <c r="AA733" s="31">
        <f t="shared" si="192"/>
        <v>10988</v>
      </c>
      <c r="AB733" s="32">
        <f>650*10</f>
        <v>6500</v>
      </c>
      <c r="AC733" s="32"/>
      <c r="AD733" s="32"/>
      <c r="AE733" s="32">
        <f t="shared" si="193"/>
        <v>6500</v>
      </c>
      <c r="AF733" s="12"/>
      <c r="AG733" s="58">
        <v>1110</v>
      </c>
      <c r="AH733" s="12"/>
      <c r="AI733" s="12">
        <f t="shared" si="189"/>
        <v>7610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/>
      <c r="C734" s="83"/>
      <c r="D734" s="32"/>
      <c r="E734" s="32"/>
      <c r="F734" s="32"/>
      <c r="G734" s="32">
        <f t="shared" si="184"/>
        <v>0</v>
      </c>
      <c r="H734" s="12"/>
      <c r="I734" s="12"/>
      <c r="J734" s="12"/>
      <c r="K734" s="12">
        <f t="shared" si="185"/>
        <v>0</v>
      </c>
      <c r="M734" s="10">
        <v>8</v>
      </c>
      <c r="N734" s="30"/>
      <c r="O734" s="31"/>
      <c r="P734" s="32"/>
      <c r="Q734" s="32"/>
      <c r="R734" s="32"/>
      <c r="S734" s="32">
        <f t="shared" si="186"/>
        <v>0</v>
      </c>
      <c r="T734" s="12"/>
      <c r="U734" s="12"/>
      <c r="V734" s="12"/>
      <c r="W734" s="12">
        <f t="shared" si="187"/>
        <v>0</v>
      </c>
      <c r="Y734" s="10">
        <v>8</v>
      </c>
      <c r="Z734" s="30"/>
      <c r="AA734" s="11" t="s">
        <v>27</v>
      </c>
      <c r="AB734" s="32"/>
      <c r="AC734" s="32"/>
      <c r="AE734" s="32">
        <f t="shared" si="193"/>
        <v>0</v>
      </c>
      <c r="AF734" s="12"/>
      <c r="AG734" s="12"/>
      <c r="AH734" s="12"/>
      <c r="AI734" s="12">
        <f t="shared" si="189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/>
      <c r="C735" s="83"/>
      <c r="D735" s="32"/>
      <c r="E735" s="32"/>
      <c r="F735" s="32"/>
      <c r="G735" s="32">
        <f t="shared" si="184"/>
        <v>0</v>
      </c>
      <c r="H735" s="12"/>
      <c r="I735" s="12"/>
      <c r="J735" s="12"/>
      <c r="K735" s="12">
        <f t="shared" si="185"/>
        <v>0</v>
      </c>
      <c r="M735" s="10">
        <v>9</v>
      </c>
      <c r="N735" s="30"/>
      <c r="O735" s="31"/>
      <c r="P735" s="32"/>
      <c r="Q735" s="32"/>
      <c r="R735" s="32"/>
      <c r="S735" s="32">
        <f t="shared" si="186"/>
        <v>0</v>
      </c>
      <c r="T735" s="12"/>
      <c r="U735" s="12"/>
      <c r="V735" s="12"/>
      <c r="W735" s="12">
        <f t="shared" si="187"/>
        <v>0</v>
      </c>
      <c r="Y735" s="10">
        <v>9</v>
      </c>
      <c r="Z735" s="30"/>
      <c r="AB735" s="32"/>
      <c r="AC735" s="32"/>
      <c r="AD735" s="32"/>
      <c r="AE735" s="32">
        <f t="shared" si="193"/>
        <v>0</v>
      </c>
      <c r="AF735" s="12"/>
      <c r="AH735" s="12"/>
      <c r="AI735" s="12">
        <f t="shared" si="189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/>
      <c r="C736" s="83"/>
      <c r="D736" s="32"/>
      <c r="E736" s="32"/>
      <c r="F736" s="32"/>
      <c r="G736" s="32">
        <f t="shared" si="184"/>
        <v>0</v>
      </c>
      <c r="H736" s="12"/>
      <c r="I736" s="12"/>
      <c r="J736" s="12"/>
      <c r="K736" s="12">
        <f t="shared" si="185"/>
        <v>0</v>
      </c>
      <c r="M736" s="10">
        <v>10</v>
      </c>
      <c r="N736" s="30"/>
      <c r="O736" s="31"/>
      <c r="P736" s="32"/>
      <c r="Q736" s="32"/>
      <c r="R736" s="32"/>
      <c r="S736" s="32">
        <f t="shared" si="186"/>
        <v>0</v>
      </c>
      <c r="T736" s="12"/>
      <c r="U736" s="12"/>
      <c r="V736" s="12"/>
      <c r="W736" s="12">
        <f t="shared" si="187"/>
        <v>0</v>
      </c>
      <c r="Y736" s="10">
        <v>10</v>
      </c>
      <c r="Z736" s="30"/>
      <c r="AA736" s="31"/>
      <c r="AB736" s="32"/>
      <c r="AC736" s="32"/>
      <c r="AD736" s="32"/>
      <c r="AE736" s="32">
        <f t="shared" si="193"/>
        <v>0</v>
      </c>
      <c r="AF736" s="12"/>
      <c r="AG736" s="12"/>
      <c r="AH736" s="12"/>
      <c r="AI736" s="12">
        <f t="shared" si="189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/>
      <c r="C737" s="83"/>
      <c r="D737" s="32"/>
      <c r="E737" s="32"/>
      <c r="F737" s="32"/>
      <c r="G737" s="32">
        <f t="shared" si="184"/>
        <v>0</v>
      </c>
      <c r="H737" s="12"/>
      <c r="I737" s="12"/>
      <c r="J737" s="12"/>
      <c r="K737" s="12">
        <f t="shared" si="185"/>
        <v>0</v>
      </c>
      <c r="M737" s="10">
        <v>11</v>
      </c>
      <c r="N737" s="30"/>
      <c r="O737" s="11"/>
      <c r="P737" s="32"/>
      <c r="Q737" s="32"/>
      <c r="R737" s="32"/>
      <c r="S737" s="32">
        <f t="shared" si="186"/>
        <v>0</v>
      </c>
      <c r="T737" s="12"/>
      <c r="U737" s="12"/>
      <c r="V737" s="12"/>
      <c r="W737" s="12">
        <f t="shared" si="187"/>
        <v>0</v>
      </c>
      <c r="Y737" s="10">
        <v>11</v>
      </c>
      <c r="Z737" s="30"/>
      <c r="AA737" s="31"/>
      <c r="AB737" s="32"/>
      <c r="AC737" s="32"/>
      <c r="AD737" s="32"/>
      <c r="AE737" s="32">
        <f t="shared" si="193"/>
        <v>0</v>
      </c>
      <c r="AF737" s="12"/>
      <c r="AG737" s="12"/>
      <c r="AH737" s="12"/>
      <c r="AI737" s="12">
        <f t="shared" si="189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/>
      <c r="C738" s="83"/>
      <c r="D738" s="32"/>
      <c r="E738" s="32"/>
      <c r="F738" s="32"/>
      <c r="G738" s="32">
        <f t="shared" si="184"/>
        <v>0</v>
      </c>
      <c r="H738" s="12"/>
      <c r="I738" s="12"/>
      <c r="J738" s="10"/>
      <c r="K738" s="12">
        <f t="shared" si="185"/>
        <v>0</v>
      </c>
      <c r="M738" s="10">
        <v>12</v>
      </c>
      <c r="N738" s="30"/>
      <c r="O738" s="31"/>
      <c r="P738" s="32"/>
      <c r="Q738" s="32"/>
      <c r="R738" s="32"/>
      <c r="S738" s="32">
        <f t="shared" si="186"/>
        <v>0</v>
      </c>
      <c r="T738" s="12"/>
      <c r="U738" s="12"/>
      <c r="V738" s="12"/>
      <c r="W738" s="12">
        <f t="shared" si="187"/>
        <v>0</v>
      </c>
      <c r="Y738" s="10">
        <v>12</v>
      </c>
      <c r="Z738" s="30"/>
      <c r="AA738" s="31"/>
      <c r="AB738" s="32"/>
      <c r="AC738" s="32"/>
      <c r="AD738" s="32"/>
      <c r="AE738" s="32">
        <f t="shared" si="193"/>
        <v>0</v>
      </c>
      <c r="AF738" s="12"/>
      <c r="AG738" s="12"/>
      <c r="AH738" s="12"/>
      <c r="AI738" s="12">
        <f t="shared" si="189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/>
      <c r="C739" s="83"/>
      <c r="D739" s="32"/>
      <c r="E739" s="32"/>
      <c r="F739" s="32"/>
      <c r="G739" s="32">
        <f t="shared" si="184"/>
        <v>0</v>
      </c>
      <c r="H739" s="12"/>
      <c r="I739" s="12"/>
      <c r="J739" s="12"/>
      <c r="K739" s="12">
        <f t="shared" si="185"/>
        <v>0</v>
      </c>
      <c r="M739" s="10">
        <v>13</v>
      </c>
      <c r="N739" s="30"/>
      <c r="O739" s="31"/>
      <c r="P739" s="32"/>
      <c r="Q739" s="32"/>
      <c r="R739" s="32"/>
      <c r="S739" s="32">
        <f t="shared" si="186"/>
        <v>0</v>
      </c>
      <c r="T739" s="12"/>
      <c r="U739" s="12"/>
      <c r="V739" s="12"/>
      <c r="W739" s="12">
        <f t="shared" si="187"/>
        <v>0</v>
      </c>
      <c r="Y739" s="10">
        <v>13</v>
      </c>
      <c r="Z739" s="30"/>
      <c r="AA739" s="31"/>
      <c r="AB739" s="32"/>
      <c r="AC739" s="32"/>
      <c r="AD739" s="32"/>
      <c r="AE739" s="32">
        <f t="shared" si="193"/>
        <v>0</v>
      </c>
      <c r="AF739" s="12"/>
      <c r="AG739" s="12"/>
      <c r="AH739" s="12"/>
      <c r="AI739" s="12">
        <f t="shared" si="189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/>
      <c r="C740" s="83"/>
      <c r="D740" s="32"/>
      <c r="E740" s="32"/>
      <c r="F740" s="32"/>
      <c r="G740" s="32">
        <f t="shared" si="184"/>
        <v>0</v>
      </c>
      <c r="H740" s="12"/>
      <c r="I740" s="12"/>
      <c r="J740" s="12"/>
      <c r="K740" s="12">
        <f t="shared" si="185"/>
        <v>0</v>
      </c>
      <c r="M740" s="10">
        <v>14</v>
      </c>
      <c r="N740" s="30"/>
      <c r="O740" s="31"/>
      <c r="P740" s="32"/>
      <c r="Q740" s="32"/>
      <c r="R740" s="32"/>
      <c r="S740" s="32">
        <f t="shared" si="186"/>
        <v>0</v>
      </c>
      <c r="T740" s="12"/>
      <c r="U740" s="12"/>
      <c r="V740" s="12"/>
      <c r="W740" s="12">
        <f t="shared" si="187"/>
        <v>0</v>
      </c>
      <c r="Y740" s="10">
        <v>14</v>
      </c>
      <c r="Z740" s="30"/>
      <c r="AA740" s="31"/>
      <c r="AB740" s="32"/>
      <c r="AC740" s="32"/>
      <c r="AD740" s="32"/>
      <c r="AE740" s="32">
        <f t="shared" si="193"/>
        <v>0</v>
      </c>
      <c r="AF740" s="12"/>
      <c r="AG740" s="12"/>
      <c r="AH740" s="12"/>
      <c r="AI740" s="12">
        <f t="shared" si="189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/>
      <c r="C741" s="83"/>
      <c r="D741" s="32"/>
      <c r="E741" s="32"/>
      <c r="F741" s="32"/>
      <c r="G741" s="32">
        <f t="shared" si="184"/>
        <v>0</v>
      </c>
      <c r="H741" s="12"/>
      <c r="I741" s="12"/>
      <c r="J741" s="12"/>
      <c r="K741" s="12">
        <f t="shared" si="185"/>
        <v>0</v>
      </c>
      <c r="M741" s="10">
        <v>15</v>
      </c>
      <c r="N741" s="30"/>
      <c r="O741" s="31"/>
      <c r="P741" s="32"/>
      <c r="Q741" s="32"/>
      <c r="R741" s="32"/>
      <c r="S741" s="32">
        <f t="shared" si="186"/>
        <v>0</v>
      </c>
      <c r="T741" s="12"/>
      <c r="U741" s="12"/>
      <c r="V741" s="12"/>
      <c r="W741" s="12">
        <f t="shared" si="187"/>
        <v>0</v>
      </c>
      <c r="Y741" s="10">
        <v>15</v>
      </c>
      <c r="Z741" s="30"/>
      <c r="AA741" s="31"/>
      <c r="AB741" s="32"/>
      <c r="AC741" s="32"/>
      <c r="AD741" s="32"/>
      <c r="AE741" s="32">
        <f t="shared" si="193"/>
        <v>0</v>
      </c>
      <c r="AF741" s="12"/>
      <c r="AG741" s="12"/>
      <c r="AH741" s="12"/>
      <c r="AI741" s="12">
        <f t="shared" si="189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/>
      <c r="C742" s="11"/>
      <c r="D742" s="32"/>
      <c r="E742" s="32"/>
      <c r="F742" s="32"/>
      <c r="G742" s="32">
        <f t="shared" si="184"/>
        <v>0</v>
      </c>
      <c r="H742" s="12"/>
      <c r="I742" s="12"/>
      <c r="J742" s="12"/>
      <c r="K742" s="12">
        <f t="shared" si="185"/>
        <v>0</v>
      </c>
      <c r="M742" s="10">
        <v>16</v>
      </c>
      <c r="N742" s="30"/>
      <c r="P742" s="32"/>
      <c r="Q742" s="32"/>
      <c r="R742" s="32"/>
      <c r="S742" s="32">
        <f t="shared" si="186"/>
        <v>0</v>
      </c>
      <c r="T742" s="12"/>
      <c r="U742" s="12"/>
      <c r="V742" s="12"/>
      <c r="W742" s="12">
        <f t="shared" si="187"/>
        <v>0</v>
      </c>
      <c r="Y742" s="10">
        <v>16</v>
      </c>
      <c r="Z742" s="30"/>
      <c r="AA742" s="11"/>
      <c r="AB742" s="32"/>
      <c r="AC742" s="32"/>
      <c r="AD742" s="32"/>
      <c r="AE742" s="32">
        <f t="shared" si="193"/>
        <v>0</v>
      </c>
      <c r="AF742" s="12"/>
      <c r="AG742" s="12"/>
      <c r="AH742" s="12"/>
      <c r="AI742" s="12">
        <f t="shared" si="189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/>
      <c r="C743" s="83"/>
      <c r="D743" s="32"/>
      <c r="E743" s="32"/>
      <c r="F743" s="32"/>
      <c r="G743" s="32">
        <f t="shared" si="184"/>
        <v>0</v>
      </c>
      <c r="H743" s="12"/>
      <c r="I743" s="12"/>
      <c r="J743" s="12"/>
      <c r="K743" s="12">
        <f t="shared" si="185"/>
        <v>0</v>
      </c>
      <c r="M743" s="10">
        <v>17</v>
      </c>
      <c r="N743" s="30"/>
      <c r="O743" s="31"/>
      <c r="P743" s="35"/>
      <c r="Q743" s="32"/>
      <c r="R743" s="32"/>
      <c r="S743" s="32">
        <f t="shared" si="186"/>
        <v>0</v>
      </c>
      <c r="T743" s="12"/>
      <c r="U743" s="12"/>
      <c r="V743" s="12"/>
      <c r="W743" s="12">
        <f t="shared" si="187"/>
        <v>0</v>
      </c>
      <c r="Y743" s="10">
        <v>17</v>
      </c>
      <c r="Z743" s="30"/>
      <c r="AA743" s="31"/>
      <c r="AB743" s="35"/>
      <c r="AC743" s="32"/>
      <c r="AD743" s="32"/>
      <c r="AE743" s="32">
        <f t="shared" si="193"/>
        <v>0</v>
      </c>
      <c r="AF743" s="12"/>
      <c r="AG743" s="12"/>
      <c r="AH743" s="12"/>
      <c r="AI743" s="12">
        <f t="shared" si="189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83"/>
      <c r="D744" s="32"/>
      <c r="E744" s="32"/>
      <c r="F744" s="32"/>
      <c r="G744" s="32">
        <f t="shared" si="184"/>
        <v>0</v>
      </c>
      <c r="H744" s="12"/>
      <c r="I744" s="12"/>
      <c r="J744" s="12"/>
      <c r="K744" s="12">
        <f t="shared" si="185"/>
        <v>0</v>
      </c>
      <c r="M744" s="10">
        <v>18</v>
      </c>
      <c r="N744" s="30"/>
      <c r="O744" s="31"/>
      <c r="P744" s="32"/>
      <c r="Q744" s="32"/>
      <c r="R744" s="32"/>
      <c r="S744" s="32">
        <f t="shared" si="186"/>
        <v>0</v>
      </c>
      <c r="T744" s="12"/>
      <c r="U744" s="12"/>
      <c r="V744" s="12"/>
      <c r="W744" s="12">
        <f t="shared" si="187"/>
        <v>0</v>
      </c>
      <c r="Y744" s="10">
        <v>18</v>
      </c>
      <c r="Z744" s="30"/>
      <c r="AA744" s="31"/>
      <c r="AB744" s="32"/>
      <c r="AC744" s="32"/>
      <c r="AD744" s="32"/>
      <c r="AE744" s="32">
        <f t="shared" si="193"/>
        <v>0</v>
      </c>
      <c r="AF744" s="12"/>
      <c r="AG744" s="12"/>
      <c r="AH744" s="12"/>
      <c r="AI744" s="12">
        <f t="shared" si="189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83"/>
      <c r="D745" s="32"/>
      <c r="E745" s="32"/>
      <c r="F745" s="32"/>
      <c r="G745" s="32">
        <f t="shared" si="184"/>
        <v>0</v>
      </c>
      <c r="H745" s="12"/>
      <c r="I745" s="12"/>
      <c r="J745" s="12"/>
      <c r="K745" s="12">
        <f t="shared" si="185"/>
        <v>0</v>
      </c>
      <c r="M745" s="10">
        <v>19</v>
      </c>
      <c r="N745" s="30"/>
      <c r="O745" s="31"/>
      <c r="P745" s="32"/>
      <c r="Q745" s="32"/>
      <c r="R745" s="32"/>
      <c r="S745" s="32">
        <f t="shared" si="186"/>
        <v>0</v>
      </c>
      <c r="T745" s="12"/>
      <c r="U745" s="12"/>
      <c r="V745" s="12"/>
      <c r="W745" s="12">
        <f t="shared" si="187"/>
        <v>0</v>
      </c>
      <c r="Y745" s="10">
        <v>19</v>
      </c>
      <c r="Z745" s="30"/>
      <c r="AA745" s="31"/>
      <c r="AB745" s="32"/>
      <c r="AC745" s="32"/>
      <c r="AD745" s="32"/>
      <c r="AE745" s="32">
        <f t="shared" si="193"/>
        <v>0</v>
      </c>
      <c r="AF745" s="12"/>
      <c r="AG745" s="12"/>
      <c r="AH745" s="12"/>
      <c r="AI745" s="12">
        <f t="shared" si="189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83"/>
      <c r="D746" s="32"/>
      <c r="E746" s="32"/>
      <c r="F746" s="32"/>
      <c r="G746" s="32">
        <f t="shared" si="184"/>
        <v>0</v>
      </c>
      <c r="H746" s="12"/>
      <c r="I746" s="12"/>
      <c r="J746" s="12"/>
      <c r="K746" s="12">
        <f t="shared" si="185"/>
        <v>0</v>
      </c>
      <c r="M746" s="10">
        <v>20</v>
      </c>
      <c r="N746" s="30"/>
      <c r="O746" s="31"/>
      <c r="P746" s="32"/>
      <c r="Q746" s="32"/>
      <c r="R746" s="32"/>
      <c r="S746" s="32">
        <f t="shared" si="186"/>
        <v>0</v>
      </c>
      <c r="T746" s="12"/>
      <c r="U746" s="12"/>
      <c r="V746" s="12"/>
      <c r="W746" s="12">
        <f t="shared" si="187"/>
        <v>0</v>
      </c>
      <c r="Y746" s="10">
        <v>20</v>
      </c>
      <c r="Z746" s="30"/>
      <c r="AB746" s="32"/>
      <c r="AC746" s="32"/>
      <c r="AD746" s="32"/>
      <c r="AE746" s="32">
        <f t="shared" si="193"/>
        <v>0</v>
      </c>
      <c r="AF746" s="12"/>
      <c r="AG746" s="12"/>
      <c r="AH746" s="12"/>
      <c r="AI746" s="12">
        <f t="shared" si="189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C747" s="83"/>
      <c r="D747" s="32"/>
      <c r="E747" s="32"/>
      <c r="F747" s="32"/>
      <c r="G747" s="32">
        <f t="shared" si="184"/>
        <v>0</v>
      </c>
      <c r="H747" s="10"/>
      <c r="I747" s="10"/>
      <c r="J747" s="10"/>
      <c r="K747" s="12">
        <f t="shared" si="185"/>
        <v>0</v>
      </c>
      <c r="M747" s="10">
        <v>21</v>
      </c>
      <c r="N747" s="30"/>
      <c r="O747" s="31"/>
      <c r="P747" s="46"/>
      <c r="Q747" s="31"/>
      <c r="R747" s="31"/>
      <c r="S747" s="32">
        <f t="shared" si="186"/>
        <v>0</v>
      </c>
      <c r="T747" s="10"/>
      <c r="U747" s="10"/>
      <c r="V747" s="10"/>
      <c r="W747" s="12">
        <f t="shared" si="187"/>
        <v>0</v>
      </c>
      <c r="Y747" s="10">
        <v>21</v>
      </c>
      <c r="Z747" s="30"/>
      <c r="AA747" s="31"/>
      <c r="AB747" s="46"/>
      <c r="AC747" s="31"/>
      <c r="AD747" s="31"/>
      <c r="AE747" s="32">
        <f t="shared" si="193"/>
        <v>0</v>
      </c>
      <c r="AF747" s="10"/>
      <c r="AG747" s="10"/>
      <c r="AH747" s="10"/>
      <c r="AI747" s="12">
        <f t="shared" si="189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83"/>
      <c r="D748" s="32"/>
      <c r="E748" s="32"/>
      <c r="F748" s="32"/>
      <c r="G748" s="32">
        <f t="shared" si="184"/>
        <v>0</v>
      </c>
      <c r="H748" s="10"/>
      <c r="I748" s="10"/>
      <c r="J748" s="10"/>
      <c r="K748" s="12">
        <f t="shared" si="185"/>
        <v>0</v>
      </c>
      <c r="M748" s="10">
        <v>22</v>
      </c>
      <c r="N748" s="30"/>
      <c r="O748" s="31"/>
      <c r="P748" s="45"/>
      <c r="Q748" s="31"/>
      <c r="R748" s="31"/>
      <c r="S748" s="32">
        <f t="shared" si="186"/>
        <v>0</v>
      </c>
      <c r="T748" s="10"/>
      <c r="U748" s="10"/>
      <c r="V748" s="10"/>
      <c r="W748" s="12">
        <f t="shared" si="187"/>
        <v>0</v>
      </c>
      <c r="Y748" s="10">
        <v>22</v>
      </c>
      <c r="Z748" s="30"/>
      <c r="AA748" s="31"/>
      <c r="AB748" s="45"/>
      <c r="AC748" s="31"/>
      <c r="AD748" s="31"/>
      <c r="AE748" s="32">
        <f t="shared" si="193"/>
        <v>0</v>
      </c>
      <c r="AF748" s="10"/>
      <c r="AG748" s="10"/>
      <c r="AH748" s="10"/>
      <c r="AI748" s="12">
        <f t="shared" si="189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83"/>
      <c r="D749" s="32"/>
      <c r="E749" s="32"/>
      <c r="F749" s="32"/>
      <c r="G749" s="32">
        <f t="shared" si="184"/>
        <v>0</v>
      </c>
      <c r="H749" s="10"/>
      <c r="I749" s="10"/>
      <c r="J749" s="12"/>
      <c r="K749" s="12">
        <f t="shared" si="185"/>
        <v>0</v>
      </c>
      <c r="M749" s="10">
        <v>23</v>
      </c>
      <c r="N749" s="30"/>
      <c r="O749" s="31"/>
      <c r="P749" s="47"/>
      <c r="Q749" s="31"/>
      <c r="S749" s="32">
        <f t="shared" si="186"/>
        <v>0</v>
      </c>
      <c r="T749" s="10"/>
      <c r="U749" s="10"/>
      <c r="V749" s="10"/>
      <c r="W749" s="12">
        <f t="shared" si="187"/>
        <v>0</v>
      </c>
      <c r="Y749" s="10">
        <v>23</v>
      </c>
      <c r="Z749" s="30"/>
      <c r="AA749" s="31"/>
      <c r="AB749" s="47"/>
      <c r="AE749" s="32">
        <f t="shared" si="193"/>
        <v>0</v>
      </c>
      <c r="AF749" s="10"/>
      <c r="AG749" s="10"/>
      <c r="AH749" s="10"/>
      <c r="AI749" s="12">
        <f t="shared" si="189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83"/>
      <c r="D750" s="32"/>
      <c r="E750" s="32"/>
      <c r="F750" s="32"/>
      <c r="G750" s="32">
        <f t="shared" si="184"/>
        <v>0</v>
      </c>
      <c r="H750" s="10"/>
      <c r="I750" s="10"/>
      <c r="J750" s="10"/>
      <c r="K750" s="12">
        <f t="shared" si="185"/>
        <v>0</v>
      </c>
      <c r="M750" s="10">
        <v>24</v>
      </c>
      <c r="N750" s="30"/>
      <c r="O750" s="31"/>
      <c r="P750" s="47"/>
      <c r="Q750" s="31"/>
      <c r="R750" s="31"/>
      <c r="S750" s="32">
        <f t="shared" si="186"/>
        <v>0</v>
      </c>
      <c r="T750" s="10"/>
      <c r="U750" s="10"/>
      <c r="V750" s="10"/>
      <c r="W750" s="12">
        <f t="shared" si="187"/>
        <v>0</v>
      </c>
      <c r="Y750" s="10">
        <v>24</v>
      </c>
      <c r="Z750" s="30"/>
      <c r="AA750" s="31"/>
      <c r="AB750" s="47"/>
      <c r="AC750" s="31"/>
      <c r="AD750" s="31"/>
      <c r="AE750" s="32">
        <f t="shared" si="193"/>
        <v>0</v>
      </c>
      <c r="AF750" s="10"/>
      <c r="AG750" s="10"/>
      <c r="AH750" s="10"/>
      <c r="AI750" s="12">
        <f t="shared" si="189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83"/>
      <c r="D751" s="32"/>
      <c r="E751" s="32"/>
      <c r="F751" s="32"/>
      <c r="G751" s="32">
        <f t="shared" si="184"/>
        <v>0</v>
      </c>
      <c r="H751" s="10"/>
      <c r="I751" s="10"/>
      <c r="J751" s="10"/>
      <c r="K751" s="12">
        <f t="shared" si="185"/>
        <v>0</v>
      </c>
      <c r="M751" s="10">
        <v>25</v>
      </c>
      <c r="N751" s="30"/>
      <c r="O751" s="31"/>
      <c r="P751" s="47"/>
      <c r="Q751" s="31"/>
      <c r="R751" s="31"/>
      <c r="S751" s="32">
        <f t="shared" si="186"/>
        <v>0</v>
      </c>
      <c r="T751" s="10"/>
      <c r="U751" s="10"/>
      <c r="V751" s="10"/>
      <c r="W751" s="12">
        <f t="shared" si="187"/>
        <v>0</v>
      </c>
      <c r="Y751" s="10">
        <v>25</v>
      </c>
      <c r="Z751" s="30"/>
      <c r="AA751" s="31"/>
      <c r="AB751" s="47"/>
      <c r="AC751" s="31"/>
      <c r="AD751" s="31"/>
      <c r="AE751" s="32">
        <f t="shared" si="193"/>
        <v>0</v>
      </c>
      <c r="AF751" s="10"/>
      <c r="AG751" s="10"/>
      <c r="AH751" s="10"/>
      <c r="AI751" s="12">
        <f t="shared" si="189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83"/>
      <c r="D752" s="32"/>
      <c r="E752" s="32"/>
      <c r="F752" s="32"/>
      <c r="G752" s="32">
        <f t="shared" si="184"/>
        <v>0</v>
      </c>
      <c r="H752" s="10"/>
      <c r="I752" s="10"/>
      <c r="J752" s="10"/>
      <c r="K752" s="12">
        <f t="shared" si="185"/>
        <v>0</v>
      </c>
      <c r="M752" s="10">
        <v>26</v>
      </c>
      <c r="N752" s="30"/>
      <c r="O752" s="31"/>
      <c r="P752" s="47"/>
      <c r="Q752" s="31"/>
      <c r="R752" s="31"/>
      <c r="S752" s="32">
        <f t="shared" si="186"/>
        <v>0</v>
      </c>
      <c r="T752" s="10"/>
      <c r="U752" s="10"/>
      <c r="V752" s="10"/>
      <c r="W752" s="12">
        <f t="shared" si="187"/>
        <v>0</v>
      </c>
      <c r="Y752" s="10">
        <v>26</v>
      </c>
      <c r="Z752" s="30"/>
      <c r="AA752" s="31"/>
      <c r="AB752" s="47"/>
      <c r="AC752" s="31"/>
      <c r="AD752" s="31"/>
      <c r="AE752" s="32">
        <f t="shared" si="193"/>
        <v>0</v>
      </c>
      <c r="AF752" s="10"/>
      <c r="AG752" s="10"/>
      <c r="AH752" s="10"/>
      <c r="AI752" s="12">
        <f t="shared" si="189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83"/>
      <c r="D753" s="32"/>
      <c r="E753" s="32"/>
      <c r="F753" s="32"/>
      <c r="G753" s="32">
        <f t="shared" si="184"/>
        <v>0</v>
      </c>
      <c r="H753" s="10"/>
      <c r="I753" s="10"/>
      <c r="J753" s="10"/>
      <c r="K753" s="12">
        <f t="shared" si="185"/>
        <v>0</v>
      </c>
      <c r="M753" s="10">
        <v>27</v>
      </c>
      <c r="N753" s="30"/>
      <c r="O753" s="31"/>
      <c r="P753" s="47"/>
      <c r="Q753" s="31"/>
      <c r="R753" s="31"/>
      <c r="S753" s="32">
        <f t="shared" si="186"/>
        <v>0</v>
      </c>
      <c r="T753" s="10"/>
      <c r="U753" s="10"/>
      <c r="V753" s="10"/>
      <c r="W753" s="12">
        <f t="shared" si="187"/>
        <v>0</v>
      </c>
      <c r="Y753" s="10">
        <v>27</v>
      </c>
      <c r="Z753" s="30"/>
      <c r="AA753" s="31"/>
      <c r="AB753" s="47"/>
      <c r="AC753" s="31"/>
      <c r="AD753" s="31"/>
      <c r="AE753" s="32">
        <f t="shared" si="193"/>
        <v>0</v>
      </c>
      <c r="AF753" s="10"/>
      <c r="AG753" s="10"/>
      <c r="AH753" s="10"/>
      <c r="AI753" s="12">
        <f t="shared" si="189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83"/>
      <c r="D754" s="32"/>
      <c r="E754" s="32"/>
      <c r="F754" s="32"/>
      <c r="G754" s="32">
        <f t="shared" si="184"/>
        <v>0</v>
      </c>
      <c r="H754" s="10"/>
      <c r="I754" s="10"/>
      <c r="J754" s="10"/>
      <c r="K754" s="12">
        <f t="shared" si="185"/>
        <v>0</v>
      </c>
      <c r="M754" s="10">
        <v>28</v>
      </c>
      <c r="N754" s="30"/>
      <c r="O754" s="31"/>
      <c r="P754" s="47"/>
      <c r="Q754" s="31"/>
      <c r="R754" s="31"/>
      <c r="S754" s="32">
        <f t="shared" si="186"/>
        <v>0</v>
      </c>
      <c r="T754" s="10"/>
      <c r="U754" s="10"/>
      <c r="V754" s="10"/>
      <c r="W754" s="12">
        <f t="shared" si="187"/>
        <v>0</v>
      </c>
      <c r="Y754" s="10">
        <v>28</v>
      </c>
      <c r="Z754" s="30"/>
      <c r="AA754" s="31"/>
      <c r="AB754" s="47"/>
      <c r="AC754" s="31"/>
      <c r="AD754" s="31"/>
      <c r="AE754" s="32">
        <f t="shared" si="193"/>
        <v>0</v>
      </c>
      <c r="AF754" s="10"/>
      <c r="AG754" s="10"/>
      <c r="AH754" s="10"/>
      <c r="AI754" s="12">
        <f t="shared" si="189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83"/>
      <c r="D755" s="32"/>
      <c r="E755" s="32"/>
      <c r="F755" s="32"/>
      <c r="G755" s="32">
        <f t="shared" si="184"/>
        <v>0</v>
      </c>
      <c r="H755" s="10"/>
      <c r="I755" s="10"/>
      <c r="J755" s="10"/>
      <c r="K755" s="12">
        <f t="shared" si="185"/>
        <v>0</v>
      </c>
      <c r="M755" s="10">
        <v>29</v>
      </c>
      <c r="N755" s="30"/>
      <c r="O755" s="31"/>
      <c r="P755" s="47"/>
      <c r="Q755" s="31"/>
      <c r="R755" s="31"/>
      <c r="S755" s="32">
        <f t="shared" si="186"/>
        <v>0</v>
      </c>
      <c r="T755" s="10"/>
      <c r="U755" s="10"/>
      <c r="V755" s="10"/>
      <c r="W755" s="12">
        <f t="shared" si="187"/>
        <v>0</v>
      </c>
      <c r="Y755" s="10">
        <v>29</v>
      </c>
      <c r="Z755" s="30"/>
      <c r="AA755" s="31"/>
      <c r="AB755" s="47"/>
      <c r="AC755" s="31"/>
      <c r="AD755" s="31"/>
      <c r="AE755" s="32">
        <f t="shared" si="193"/>
        <v>0</v>
      </c>
      <c r="AF755" s="10"/>
      <c r="AG755" s="10"/>
      <c r="AH755" s="10"/>
      <c r="AI755" s="12">
        <f t="shared" si="189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83"/>
      <c r="D756" s="32"/>
      <c r="E756" s="32"/>
      <c r="F756" s="32"/>
      <c r="G756" s="32">
        <f t="shared" si="184"/>
        <v>0</v>
      </c>
      <c r="H756" s="10"/>
      <c r="I756" s="10"/>
      <c r="J756" s="10"/>
      <c r="K756" s="12">
        <f t="shared" si="185"/>
        <v>0</v>
      </c>
      <c r="M756" s="10">
        <v>30</v>
      </c>
      <c r="N756" s="30"/>
      <c r="O756" s="31"/>
      <c r="P756" s="47"/>
      <c r="Q756" s="31"/>
      <c r="R756" s="31"/>
      <c r="S756" s="32">
        <f t="shared" si="186"/>
        <v>0</v>
      </c>
      <c r="T756" s="10"/>
      <c r="U756" s="10"/>
      <c r="V756" s="10"/>
      <c r="W756" s="12">
        <f t="shared" si="187"/>
        <v>0</v>
      </c>
      <c r="Y756" s="10">
        <v>30</v>
      </c>
      <c r="Z756" s="30"/>
      <c r="AA756" s="31"/>
      <c r="AB756" s="47"/>
      <c r="AC756" s="31"/>
      <c r="AD756" s="31"/>
      <c r="AE756" s="32">
        <f t="shared" si="193"/>
        <v>0</v>
      </c>
      <c r="AF756" s="10"/>
      <c r="AG756" s="10"/>
      <c r="AH756" s="10"/>
      <c r="AI756" s="12">
        <f t="shared" si="189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83"/>
      <c r="D757" s="32"/>
      <c r="E757" s="32"/>
      <c r="F757" s="32"/>
      <c r="G757" s="32">
        <f t="shared" si="184"/>
        <v>0</v>
      </c>
      <c r="H757" s="10"/>
      <c r="I757" s="10"/>
      <c r="J757" s="10"/>
      <c r="K757" s="12">
        <f t="shared" si="185"/>
        <v>0</v>
      </c>
      <c r="M757" s="10">
        <v>31</v>
      </c>
      <c r="N757" s="30"/>
      <c r="O757" s="31"/>
      <c r="P757" s="47"/>
      <c r="Q757" s="31"/>
      <c r="R757" s="31"/>
      <c r="S757" s="32">
        <f t="shared" si="186"/>
        <v>0</v>
      </c>
      <c r="T757" s="10"/>
      <c r="U757" s="10"/>
      <c r="V757" s="10"/>
      <c r="W757" s="12">
        <f t="shared" si="187"/>
        <v>0</v>
      </c>
      <c r="Y757" s="10">
        <v>31</v>
      </c>
      <c r="Z757" s="30"/>
      <c r="AA757" s="31"/>
      <c r="AB757" s="47"/>
      <c r="AC757" s="31"/>
      <c r="AD757" s="31"/>
      <c r="AE757" s="32">
        <f t="shared" si="193"/>
        <v>0</v>
      </c>
      <c r="AF757" s="10"/>
      <c r="AG757" s="10"/>
      <c r="AH757" s="10"/>
      <c r="AI757" s="12">
        <f t="shared" si="189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83"/>
      <c r="D758" s="32"/>
      <c r="E758" s="32"/>
      <c r="F758" s="32"/>
      <c r="G758" s="32">
        <f t="shared" si="184"/>
        <v>0</v>
      </c>
      <c r="H758" s="10"/>
      <c r="I758" s="10"/>
      <c r="J758" s="10"/>
      <c r="K758" s="12">
        <f t="shared" si="185"/>
        <v>0</v>
      </c>
      <c r="M758" s="10">
        <v>32</v>
      </c>
      <c r="N758" s="30"/>
      <c r="O758" s="31"/>
      <c r="P758" s="47"/>
      <c r="Q758" s="31"/>
      <c r="R758" s="31"/>
      <c r="S758" s="32">
        <f t="shared" si="186"/>
        <v>0</v>
      </c>
      <c r="T758" s="10"/>
      <c r="U758" s="10"/>
      <c r="V758" s="10"/>
      <c r="W758" s="12">
        <f t="shared" si="187"/>
        <v>0</v>
      </c>
      <c r="Y758" s="10">
        <v>32</v>
      </c>
      <c r="Z758" s="30"/>
      <c r="AA758" s="31"/>
      <c r="AB758" s="47"/>
      <c r="AC758" s="31"/>
      <c r="AD758" s="31"/>
      <c r="AE758" s="32">
        <f t="shared" si="193"/>
        <v>0</v>
      </c>
      <c r="AF758" s="10"/>
      <c r="AG758" s="10"/>
      <c r="AH758" s="10"/>
      <c r="AI758" s="12">
        <f t="shared" si="189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3"/>
      <c r="D759" s="32"/>
      <c r="E759" s="32"/>
      <c r="F759" s="32"/>
      <c r="G759" s="32">
        <f t="shared" si="184"/>
        <v>0</v>
      </c>
      <c r="H759" s="10"/>
      <c r="I759" s="10"/>
      <c r="J759" s="10"/>
      <c r="K759" s="12">
        <f t="shared" si="185"/>
        <v>0</v>
      </c>
      <c r="M759" s="10">
        <v>33</v>
      </c>
      <c r="N759" s="30"/>
      <c r="O759" s="31"/>
      <c r="P759" s="47"/>
      <c r="Q759" s="31"/>
      <c r="R759" s="31"/>
      <c r="S759" s="32">
        <f t="shared" si="186"/>
        <v>0</v>
      </c>
      <c r="T759" s="10"/>
      <c r="U759" s="10"/>
      <c r="V759" s="10"/>
      <c r="W759" s="12">
        <f t="shared" si="187"/>
        <v>0</v>
      </c>
      <c r="Y759" s="10">
        <v>33</v>
      </c>
      <c r="Z759" s="30"/>
      <c r="AA759" s="31"/>
      <c r="AB759" s="47"/>
      <c r="AC759" s="31"/>
      <c r="AD759" s="31"/>
      <c r="AE759" s="32">
        <f t="shared" si="193"/>
        <v>0</v>
      </c>
      <c r="AF759" s="10"/>
      <c r="AG759" s="10"/>
      <c r="AH759" s="10"/>
      <c r="AI759" s="12">
        <f t="shared" si="189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3"/>
      <c r="D760" s="32"/>
      <c r="E760" s="32"/>
      <c r="F760" s="32"/>
      <c r="G760" s="32">
        <f t="shared" si="184"/>
        <v>0</v>
      </c>
      <c r="H760" s="10"/>
      <c r="I760" s="10"/>
      <c r="J760" s="10"/>
      <c r="K760" s="12">
        <f t="shared" si="185"/>
        <v>0</v>
      </c>
      <c r="M760" s="10">
        <v>34</v>
      </c>
      <c r="N760" s="30"/>
      <c r="O760" s="31"/>
      <c r="P760" s="47"/>
      <c r="Q760" s="31"/>
      <c r="R760" s="31"/>
      <c r="S760" s="32">
        <f t="shared" si="186"/>
        <v>0</v>
      </c>
      <c r="T760" s="10"/>
      <c r="U760" s="10"/>
      <c r="V760" s="10"/>
      <c r="W760" s="12">
        <f t="shared" si="187"/>
        <v>0</v>
      </c>
      <c r="Y760" s="10">
        <v>34</v>
      </c>
      <c r="Z760" s="30"/>
      <c r="AA760" s="31"/>
      <c r="AB760" s="47"/>
      <c r="AC760" s="31"/>
      <c r="AD760" s="31"/>
      <c r="AE760" s="32">
        <f t="shared" ref="AE760:AE765" si="194">SUM(AB760:AC760)</f>
        <v>0</v>
      </c>
      <c r="AF760" s="10"/>
      <c r="AG760" s="10"/>
      <c r="AH760" s="10"/>
      <c r="AI760" s="12">
        <f t="shared" si="189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3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186"/>
        <v>0</v>
      </c>
      <c r="T761" s="10"/>
      <c r="U761" s="10"/>
      <c r="V761" s="10"/>
      <c r="W761" s="12">
        <f t="shared" si="187"/>
        <v>0</v>
      </c>
      <c r="Y761" s="10">
        <v>35</v>
      </c>
      <c r="Z761" s="30"/>
      <c r="AA761" s="31"/>
      <c r="AB761" s="47"/>
      <c r="AC761" s="31"/>
      <c r="AD761" s="31"/>
      <c r="AE761" s="32">
        <f t="shared" si="194"/>
        <v>0</v>
      </c>
      <c r="AF761" s="10"/>
      <c r="AG761" s="10"/>
      <c r="AH761" s="10"/>
      <c r="AI761" s="12">
        <f t="shared" si="189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3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186"/>
        <v>0</v>
      </c>
      <c r="T762" s="10"/>
      <c r="U762" s="10"/>
      <c r="V762" s="10"/>
      <c r="W762" s="12">
        <f t="shared" si="187"/>
        <v>0</v>
      </c>
      <c r="Y762" s="10">
        <v>36</v>
      </c>
      <c r="Z762" s="30"/>
      <c r="AA762" s="31"/>
      <c r="AB762" s="47"/>
      <c r="AC762" s="31"/>
      <c r="AD762" s="31"/>
      <c r="AE762" s="32">
        <f t="shared" si="194"/>
        <v>0</v>
      </c>
      <c r="AF762" s="10"/>
      <c r="AG762" s="10"/>
      <c r="AH762" s="10"/>
      <c r="AI762" s="12">
        <f t="shared" si="189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186"/>
        <v>0</v>
      </c>
      <c r="T763" s="10"/>
      <c r="U763" s="10"/>
      <c r="V763" s="10"/>
      <c r="W763" s="12">
        <f t="shared" si="187"/>
        <v>0</v>
      </c>
      <c r="Y763" s="10">
        <v>37</v>
      </c>
      <c r="Z763" s="30"/>
      <c r="AA763" s="31"/>
      <c r="AB763" s="47"/>
      <c r="AC763" s="31"/>
      <c r="AD763" s="31"/>
      <c r="AE763" s="32">
        <f t="shared" si="194"/>
        <v>0</v>
      </c>
      <c r="AF763" s="10"/>
      <c r="AG763" s="10"/>
      <c r="AH763" s="10"/>
      <c r="AI763" s="12">
        <f t="shared" si="189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186"/>
        <v>0</v>
      </c>
      <c r="T764" s="10"/>
      <c r="U764" s="10"/>
      <c r="V764" s="10"/>
      <c r="W764" s="12">
        <f t="shared" si="187"/>
        <v>0</v>
      </c>
      <c r="Y764" s="10">
        <v>38</v>
      </c>
      <c r="Z764" s="30"/>
      <c r="AA764" s="31"/>
      <c r="AB764" s="47"/>
      <c r="AC764" s="31"/>
      <c r="AD764" s="31"/>
      <c r="AE764" s="32">
        <f t="shared" si="194"/>
        <v>0</v>
      </c>
      <c r="AF764" s="10"/>
      <c r="AG764" s="10"/>
      <c r="AH764" s="10"/>
      <c r="AI764" s="12">
        <f t="shared" si="189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186"/>
        <v>0</v>
      </c>
      <c r="T765" s="10"/>
      <c r="U765" s="10"/>
      <c r="V765" s="10"/>
      <c r="W765" s="12">
        <f t="shared" si="187"/>
        <v>0</v>
      </c>
      <c r="Y765" s="10">
        <v>39</v>
      </c>
      <c r="Z765" s="30"/>
      <c r="AA765" s="31"/>
      <c r="AB765" s="47"/>
      <c r="AC765" s="31"/>
      <c r="AD765" s="31"/>
      <c r="AE765" s="32">
        <f t="shared" si="194"/>
        <v>0</v>
      </c>
      <c r="AF765" s="10"/>
      <c r="AG765" s="10"/>
      <c r="AH765" s="10"/>
      <c r="AI765" s="12">
        <f t="shared" si="189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187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189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195">SUM(D767:E767)</f>
        <v>0</v>
      </c>
      <c r="H767" s="10"/>
      <c r="I767" s="10"/>
      <c r="J767" s="10"/>
      <c r="K767" s="12">
        <f t="shared" ref="K767" si="196">SUM(G767:J767)</f>
        <v>0</v>
      </c>
      <c r="M767" s="10"/>
      <c r="N767" s="30"/>
      <c r="O767" s="31"/>
      <c r="P767" s="47"/>
      <c r="Q767" s="31"/>
      <c r="R767" s="31"/>
      <c r="S767" s="32">
        <f t="shared" ref="S767" si="197">SUM(P767:Q767)</f>
        <v>0</v>
      </c>
      <c r="T767" s="10"/>
      <c r="U767" s="10"/>
      <c r="V767" s="10"/>
      <c r="W767" s="12">
        <f t="shared" si="187"/>
        <v>0</v>
      </c>
      <c r="Y767" s="10"/>
      <c r="Z767" s="30"/>
      <c r="AA767" s="31"/>
      <c r="AB767" s="47"/>
      <c r="AC767" s="31"/>
      <c r="AD767" s="31"/>
      <c r="AE767" s="32">
        <f t="shared" ref="AE767" si="198">SUM(AB767:AC767)</f>
        <v>0</v>
      </c>
      <c r="AF767" s="10"/>
      <c r="AG767" s="10"/>
      <c r="AH767" s="10"/>
      <c r="AI767" s="12">
        <f t="shared" si="189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187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189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350321</v>
      </c>
      <c r="E770" s="38">
        <f t="shared" ref="E770:F770" si="199">SUM(E727:E767)</f>
        <v>-1296</v>
      </c>
      <c r="F770" s="38">
        <f t="shared" si="199"/>
        <v>0</v>
      </c>
      <c r="G770" s="38">
        <f>SUM(G727:G769)</f>
        <v>349025</v>
      </c>
      <c r="H770" s="4"/>
      <c r="I770" s="39">
        <f>SUM(I727:I769)</f>
        <v>9063</v>
      </c>
      <c r="J770" s="39">
        <f>SUM(J727:J769)</f>
        <v>-18180</v>
      </c>
      <c r="K770" s="40">
        <f>SUM(K727:K769)</f>
        <v>339908</v>
      </c>
      <c r="N770" s="57"/>
      <c r="O770" s="57"/>
      <c r="P770" s="38">
        <f>SUM(P727:P769)</f>
        <v>197022.5</v>
      </c>
      <c r="Q770" s="38">
        <f>SUM(Q727:Q751)</f>
        <v>-1092</v>
      </c>
      <c r="R770" s="38">
        <f>SUM(R727:R751)</f>
        <v>0</v>
      </c>
      <c r="S770" s="38">
        <f>SUM(S727:S769)</f>
        <v>195930.5</v>
      </c>
      <c r="T770" s="4"/>
      <c r="U770" s="41">
        <f>SUM(U727:U769)</f>
        <v>2751</v>
      </c>
      <c r="V770" s="41">
        <f>SUM(V727:V751)</f>
        <v>-1629</v>
      </c>
      <c r="W770" s="42">
        <f>SUM(W727:W769)</f>
        <v>197052.5</v>
      </c>
      <c r="Z770" s="57"/>
      <c r="AA770" s="57"/>
      <c r="AB770" s="38">
        <f>SUM(AB727:AB769)</f>
        <v>345146</v>
      </c>
      <c r="AC770" s="38">
        <f>SUM(AC727:AC751)</f>
        <v>-2910</v>
      </c>
      <c r="AD770" s="38">
        <f>SUM(AD727:AD751)</f>
        <v>0</v>
      </c>
      <c r="AE770" s="38">
        <f>SUM(AE727:AE769)</f>
        <v>342236</v>
      </c>
      <c r="AF770" s="4"/>
      <c r="AG770" s="41">
        <f>SUM(AG727:AG769)</f>
        <v>2997</v>
      </c>
      <c r="AH770" s="41">
        <f>SUM(AH727:AH751)</f>
        <v>-11466</v>
      </c>
      <c r="AI770" s="42">
        <f>SUM(AI727:AI769)</f>
        <v>333767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108"/>
      <c r="C772" s="108"/>
      <c r="D772" s="108"/>
      <c r="E772" s="108"/>
      <c r="F772" s="108"/>
      <c r="G772" s="108"/>
      <c r="H772" s="62"/>
      <c r="I772" s="62"/>
      <c r="J772" s="62"/>
      <c r="K772" s="62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108"/>
      <c r="C773" s="108"/>
      <c r="D773" s="108"/>
      <c r="E773" s="108"/>
      <c r="F773" s="108"/>
      <c r="G773" s="108"/>
      <c r="H773" s="62"/>
      <c r="I773" s="62"/>
      <c r="J773" s="62"/>
      <c r="K773" s="62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108"/>
      <c r="C774" s="108"/>
      <c r="D774" s="108"/>
      <c r="E774" s="108"/>
      <c r="F774" s="108"/>
      <c r="G774" s="108"/>
      <c r="H774" s="62"/>
      <c r="I774" s="62"/>
      <c r="J774" s="62"/>
      <c r="K774" s="62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108"/>
      <c r="C775" s="108"/>
      <c r="D775" s="108"/>
      <c r="E775" s="108"/>
      <c r="F775" s="108"/>
      <c r="G775" s="108"/>
      <c r="H775" s="62"/>
      <c r="I775" s="62"/>
      <c r="J775" s="62"/>
      <c r="K775" s="62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108"/>
      <c r="C776" s="108"/>
      <c r="D776" s="108"/>
      <c r="E776" s="108"/>
      <c r="F776" s="108"/>
      <c r="G776" s="108"/>
      <c r="H776" s="62"/>
      <c r="I776" s="62"/>
      <c r="J776" s="62"/>
      <c r="K776" s="62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108"/>
      <c r="C777" s="108"/>
      <c r="D777" s="108"/>
      <c r="E777" s="108"/>
      <c r="F777" s="108"/>
      <c r="G777" s="108"/>
      <c r="H777" s="62"/>
      <c r="I777" s="108"/>
      <c r="J777" s="73"/>
      <c r="K777" s="62"/>
      <c r="M777" t="s">
        <v>50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50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108"/>
      <c r="C778" s="108"/>
      <c r="D778" s="108"/>
      <c r="E778" s="108"/>
      <c r="F778" s="108"/>
      <c r="G778" s="108"/>
      <c r="H778" s="62"/>
      <c r="I778" s="65"/>
      <c r="J778" s="65"/>
      <c r="K778" s="62"/>
      <c r="M778" s="21" t="s">
        <v>81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32</v>
      </c>
      <c r="W778" s="24"/>
      <c r="Y778" s="21" t="s">
        <v>81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33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108"/>
      <c r="C779" s="108"/>
      <c r="D779" s="108"/>
      <c r="E779" s="108"/>
      <c r="F779" s="108"/>
      <c r="G779" s="108"/>
      <c r="H779" s="62"/>
      <c r="I779" s="62"/>
      <c r="J779" s="62"/>
      <c r="K779" s="62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108"/>
      <c r="D780" s="123"/>
      <c r="E780" s="123"/>
      <c r="F780" s="108"/>
      <c r="G780" s="108"/>
      <c r="H780" s="62"/>
      <c r="I780" s="123"/>
      <c r="J780" s="123"/>
      <c r="K780" s="124"/>
      <c r="N780" s="25"/>
      <c r="O780" s="26"/>
      <c r="P780" s="118" t="s">
        <v>17</v>
      </c>
      <c r="Q780" s="118"/>
      <c r="R780" s="106"/>
      <c r="S780" s="27"/>
      <c r="U780" s="119" t="s">
        <v>18</v>
      </c>
      <c r="V780" s="120"/>
      <c r="W780" s="121" t="s">
        <v>19</v>
      </c>
      <c r="Z780" s="25"/>
      <c r="AA780" s="26"/>
      <c r="AB780" s="118" t="s">
        <v>17</v>
      </c>
      <c r="AC780" s="118"/>
      <c r="AD780" s="106"/>
      <c r="AE780" s="27"/>
      <c r="AG780" s="119" t="s">
        <v>18</v>
      </c>
      <c r="AH780" s="120"/>
      <c r="AI780" s="121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A781" s="62"/>
      <c r="B781" s="108"/>
      <c r="C781" s="108"/>
      <c r="D781" s="79"/>
      <c r="E781" s="80"/>
      <c r="F781" s="81"/>
      <c r="G781" s="81"/>
      <c r="H781" s="62"/>
      <c r="I781" s="107"/>
      <c r="J781" s="107"/>
      <c r="K781" s="124"/>
      <c r="N781" s="28" t="s">
        <v>20</v>
      </c>
      <c r="O781" s="28" t="s">
        <v>21</v>
      </c>
      <c r="P781" s="77" t="s">
        <v>22</v>
      </c>
      <c r="Q781" s="78" t="s">
        <v>23</v>
      </c>
      <c r="R781" s="78" t="s">
        <v>31</v>
      </c>
      <c r="S781" s="78" t="s">
        <v>24</v>
      </c>
      <c r="U781" s="29" t="s">
        <v>25</v>
      </c>
      <c r="V781" s="29" t="s">
        <v>26</v>
      </c>
      <c r="W781" s="122"/>
      <c r="Z781" s="28" t="s">
        <v>20</v>
      </c>
      <c r="AA781" s="28" t="s">
        <v>21</v>
      </c>
      <c r="AB781" s="77" t="s">
        <v>22</v>
      </c>
      <c r="AC781" s="78" t="s">
        <v>23</v>
      </c>
      <c r="AD781" s="78" t="s">
        <v>31</v>
      </c>
      <c r="AE781" s="78" t="s">
        <v>24</v>
      </c>
      <c r="AG781" s="29" t="s">
        <v>25</v>
      </c>
      <c r="AH781" s="29" t="s">
        <v>26</v>
      </c>
      <c r="AI781" s="12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M782" s="10">
        <v>1</v>
      </c>
      <c r="N782" s="30" t="s">
        <v>82</v>
      </c>
      <c r="O782" s="31">
        <v>11055</v>
      </c>
      <c r="P782" s="32">
        <f>650*10+670*2+622*5+9.5*15</f>
        <v>11092.5</v>
      </c>
      <c r="Q782" s="32"/>
      <c r="R782" s="32"/>
      <c r="S782" s="32">
        <f>SUM(P782:Q782)</f>
        <v>11092.5</v>
      </c>
      <c r="T782" s="12"/>
      <c r="U782" s="12">
        <f>777+22.5+90</f>
        <v>889.5</v>
      </c>
      <c r="V782" s="12"/>
      <c r="W782" s="12">
        <f>SUM(S782:V782)</f>
        <v>11982</v>
      </c>
      <c r="Y782" s="10">
        <v>1</v>
      </c>
      <c r="Z782" s="30" t="s">
        <v>82</v>
      </c>
      <c r="AA782" s="31">
        <v>10989</v>
      </c>
      <c r="AB782" s="32">
        <f>650*150+229*2+650*2</f>
        <v>99258</v>
      </c>
      <c r="AC782" s="32">
        <f>-150*6</f>
        <v>-900</v>
      </c>
      <c r="AD782" s="32"/>
      <c r="AE782" s="32">
        <f>SUM(AB782:AC782)</f>
        <v>98358</v>
      </c>
      <c r="AF782" s="12"/>
      <c r="AG782" s="12">
        <f>4.5*6</f>
        <v>27</v>
      </c>
      <c r="AH782" s="12"/>
      <c r="AI782" s="12">
        <f>SUM(AE782:AH782)</f>
        <v>98385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M783" s="10">
        <v>2</v>
      </c>
      <c r="N783" s="30" t="s">
        <v>82</v>
      </c>
      <c r="O783" s="31">
        <f>O782+1</f>
        <v>11056</v>
      </c>
      <c r="P783" s="32">
        <f>650*4+670+9.5*4</f>
        <v>3308</v>
      </c>
      <c r="Q783" s="32"/>
      <c r="R783" s="32"/>
      <c r="S783" s="32">
        <f t="shared" ref="S783:S820" si="200">SUM(P783:Q783)</f>
        <v>3308</v>
      </c>
      <c r="T783" s="12"/>
      <c r="U783" s="12"/>
      <c r="V783" s="12"/>
      <c r="W783" s="12">
        <f t="shared" ref="W783:W823" si="201">SUM(S783:V783)</f>
        <v>3308</v>
      </c>
      <c r="Y783" s="10">
        <v>2</v>
      </c>
      <c r="Z783" s="30" t="s">
        <v>82</v>
      </c>
      <c r="AA783" s="31">
        <f>AA782+1</f>
        <v>10990</v>
      </c>
      <c r="AB783" s="32">
        <f>650*108+670*10+622*15+229*5</f>
        <v>87375</v>
      </c>
      <c r="AC783" s="32">
        <f>-133*6</f>
        <v>-798</v>
      </c>
      <c r="AD783" s="32"/>
      <c r="AE783" s="32">
        <f t="shared" ref="AE783:AE785" si="202">SUM(AB783:AC783)</f>
        <v>86577</v>
      </c>
      <c r="AF783" s="12"/>
      <c r="AG783" s="12"/>
      <c r="AH783" s="12">
        <v>-444</v>
      </c>
      <c r="AI783" s="12">
        <f t="shared" ref="AI783:AI823" si="203">SUM(AE783:AH783)</f>
        <v>86133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M784" s="10">
        <v>3</v>
      </c>
      <c r="N784" s="30" t="s">
        <v>82</v>
      </c>
      <c r="O784" s="31">
        <f t="shared" ref="O784:O796" si="204">O783+1</f>
        <v>11057</v>
      </c>
      <c r="P784" s="32">
        <f>650*2+9.5*2</f>
        <v>1319</v>
      </c>
      <c r="Q784" s="32"/>
      <c r="R784" s="32"/>
      <c r="S784" s="32">
        <f t="shared" si="200"/>
        <v>1319</v>
      </c>
      <c r="T784" s="12"/>
      <c r="U784" s="12"/>
      <c r="V784" s="12"/>
      <c r="W784" s="12">
        <f t="shared" si="201"/>
        <v>1319</v>
      </c>
      <c r="Y784" s="10">
        <v>3</v>
      </c>
      <c r="Z784" s="30" t="s">
        <v>82</v>
      </c>
      <c r="AA784" s="31">
        <f t="shared" ref="AA784:AA787" si="205">AA783+1</f>
        <v>10991</v>
      </c>
      <c r="AB784" s="33">
        <f>650*34+229*2</f>
        <v>22558</v>
      </c>
      <c r="AC784" s="33"/>
      <c r="AD784" s="32"/>
      <c r="AE784" s="32">
        <f t="shared" si="202"/>
        <v>22558</v>
      </c>
      <c r="AF784" s="12"/>
      <c r="AG784" s="12">
        <f>270+9</f>
        <v>279</v>
      </c>
      <c r="AH784" s="12"/>
      <c r="AI784" s="12">
        <f t="shared" si="203"/>
        <v>22837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108"/>
      <c r="D785" s="60"/>
      <c r="E785" s="60"/>
      <c r="F785" s="60"/>
      <c r="G785" s="60"/>
      <c r="H785" s="61"/>
      <c r="I785" s="61"/>
      <c r="J785" s="61"/>
      <c r="K785" s="61"/>
      <c r="M785" s="10">
        <v>4</v>
      </c>
      <c r="N785" s="30" t="s">
        <v>82</v>
      </c>
      <c r="O785" s="31">
        <f t="shared" si="204"/>
        <v>11058</v>
      </c>
      <c r="P785" s="32">
        <f>650*6+622+9.5*7</f>
        <v>4588.5</v>
      </c>
      <c r="Q785" s="32"/>
      <c r="R785" s="32"/>
      <c r="S785" s="32">
        <f t="shared" si="200"/>
        <v>4588.5</v>
      </c>
      <c r="T785" s="12"/>
      <c r="U785" s="12"/>
      <c r="V785" s="12"/>
      <c r="W785" s="12">
        <f t="shared" si="201"/>
        <v>4588.5</v>
      </c>
      <c r="Y785" s="10">
        <v>4</v>
      </c>
      <c r="Z785" s="30" t="s">
        <v>82</v>
      </c>
      <c r="AA785" s="31">
        <f t="shared" si="205"/>
        <v>10992</v>
      </c>
      <c r="AB785" s="32">
        <f>650*30+229</f>
        <v>19729</v>
      </c>
      <c r="AC785" s="32"/>
      <c r="AD785" s="32"/>
      <c r="AE785" s="32">
        <f t="shared" si="202"/>
        <v>19729</v>
      </c>
      <c r="AF785" s="12"/>
      <c r="AG785">
        <v>108</v>
      </c>
      <c r="AH785" s="12"/>
      <c r="AI785" s="12">
        <f t="shared" si="203"/>
        <v>19837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65"/>
      <c r="D786" s="60"/>
      <c r="E786" s="60"/>
      <c r="F786" s="60"/>
      <c r="G786" s="60"/>
      <c r="H786" s="61"/>
      <c r="I786" s="61"/>
      <c r="J786" s="61"/>
      <c r="K786" s="61"/>
      <c r="M786" s="10">
        <v>5</v>
      </c>
      <c r="N786" s="30" t="s">
        <v>82</v>
      </c>
      <c r="O786" s="31">
        <f t="shared" si="204"/>
        <v>11059</v>
      </c>
      <c r="P786" s="32">
        <f>650*22+670*2+622*2</f>
        <v>16884</v>
      </c>
      <c r="Q786" s="32"/>
      <c r="R786" s="32"/>
      <c r="S786" s="32">
        <f t="shared" si="200"/>
        <v>16884</v>
      </c>
      <c r="T786" s="12"/>
      <c r="U786" s="12"/>
      <c r="V786" s="12"/>
      <c r="W786" s="12">
        <f t="shared" si="201"/>
        <v>16884</v>
      </c>
      <c r="Y786" s="10">
        <v>5</v>
      </c>
      <c r="Z786" s="30" t="s">
        <v>82</v>
      </c>
      <c r="AA786" s="31">
        <f t="shared" si="205"/>
        <v>10993</v>
      </c>
      <c r="AB786" s="32">
        <f>650*50+622*20+229*2</f>
        <v>45398</v>
      </c>
      <c r="AC786" s="32">
        <f>-70*6</f>
        <v>-420</v>
      </c>
      <c r="AD786" s="32"/>
      <c r="AE786" s="32">
        <f t="shared" ref="AE786:AE814" si="206">SUM(AB786:AC786)</f>
        <v>44978</v>
      </c>
      <c r="AF786" s="12"/>
      <c r="AG786" s="12"/>
      <c r="AH786" s="12"/>
      <c r="AI786" s="12">
        <f t="shared" si="203"/>
        <v>44978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M787" s="10">
        <v>6</v>
      </c>
      <c r="N787" s="30" t="s">
        <v>82</v>
      </c>
      <c r="O787" s="31">
        <f t="shared" si="204"/>
        <v>11060</v>
      </c>
      <c r="P787" s="32">
        <f>650*63+229*2</f>
        <v>41408</v>
      </c>
      <c r="Q787" s="32"/>
      <c r="R787" s="32"/>
      <c r="S787" s="32">
        <f t="shared" si="200"/>
        <v>41408</v>
      </c>
      <c r="T787" s="12"/>
      <c r="U787" s="12">
        <f>64.5+4.5*14</f>
        <v>127.5</v>
      </c>
      <c r="V787" s="10"/>
      <c r="W787" s="12">
        <f t="shared" si="201"/>
        <v>41535.5</v>
      </c>
      <c r="Y787" s="10">
        <v>6</v>
      </c>
      <c r="Z787" s="30" t="s">
        <v>82</v>
      </c>
      <c r="AA787" s="31">
        <f t="shared" si="205"/>
        <v>10994</v>
      </c>
      <c r="AB787" s="32">
        <f>650*7</f>
        <v>4550</v>
      </c>
      <c r="AC787" s="32"/>
      <c r="AD787" s="32"/>
      <c r="AE787" s="32">
        <f t="shared" si="206"/>
        <v>4550</v>
      </c>
      <c r="AF787" s="12"/>
      <c r="AG787" s="12"/>
      <c r="AH787" s="10">
        <v>-1776</v>
      </c>
      <c r="AI787" s="12">
        <f t="shared" si="203"/>
        <v>2774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108"/>
      <c r="D788" s="60"/>
      <c r="E788" s="60"/>
      <c r="F788" s="60"/>
      <c r="G788" s="60"/>
      <c r="H788" s="61"/>
      <c r="I788" s="61"/>
      <c r="J788" s="61"/>
      <c r="K788" s="61"/>
      <c r="M788" s="10">
        <v>7</v>
      </c>
      <c r="N788" s="30" t="s">
        <v>82</v>
      </c>
      <c r="O788" s="31">
        <f t="shared" si="204"/>
        <v>11061</v>
      </c>
      <c r="P788" s="32">
        <f>650*108+229*2</f>
        <v>70658</v>
      </c>
      <c r="Q788" s="32">
        <f>-108*6</f>
        <v>-648</v>
      </c>
      <c r="R788" s="32"/>
      <c r="S788" s="32">
        <f t="shared" si="200"/>
        <v>70010</v>
      </c>
      <c r="T788" s="12"/>
      <c r="U788" s="12">
        <v>297</v>
      </c>
      <c r="V788" s="12"/>
      <c r="W788" s="12">
        <f t="shared" si="201"/>
        <v>70307</v>
      </c>
      <c r="Y788" s="10">
        <v>7</v>
      </c>
      <c r="Z788" s="30"/>
      <c r="AA788" s="11" t="s">
        <v>27</v>
      </c>
      <c r="AB788" s="32"/>
      <c r="AC788" s="32"/>
      <c r="AD788" s="32"/>
      <c r="AE788" s="32">
        <f t="shared" si="206"/>
        <v>0</v>
      </c>
      <c r="AF788" s="12"/>
      <c r="AG788" s="58"/>
      <c r="AH788" s="12"/>
      <c r="AI788" s="12">
        <f t="shared" si="203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M789" s="10">
        <v>8</v>
      </c>
      <c r="N789" s="30" t="s">
        <v>82</v>
      </c>
      <c r="O789" s="31">
        <f t="shared" si="204"/>
        <v>11062</v>
      </c>
      <c r="P789" s="32">
        <f>650*14+9.5*14</f>
        <v>9233</v>
      </c>
      <c r="Q789" s="32"/>
      <c r="R789" s="32"/>
      <c r="S789" s="32">
        <f t="shared" si="200"/>
        <v>9233</v>
      </c>
      <c r="T789" s="12"/>
      <c r="U789" s="12"/>
      <c r="V789" s="12"/>
      <c r="W789" s="12">
        <f t="shared" si="201"/>
        <v>9233</v>
      </c>
      <c r="Y789" s="10">
        <v>8</v>
      </c>
      <c r="Z789" s="30"/>
      <c r="AA789" s="31"/>
      <c r="AB789" s="32"/>
      <c r="AC789" s="32"/>
      <c r="AE789" s="32">
        <f t="shared" si="206"/>
        <v>0</v>
      </c>
      <c r="AF789" s="12"/>
      <c r="AG789" s="12"/>
      <c r="AH789" s="12"/>
      <c r="AI789" s="12">
        <f t="shared" si="203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M790" s="10">
        <v>9</v>
      </c>
      <c r="N790" s="30" t="s">
        <v>82</v>
      </c>
      <c r="O790" s="31">
        <f t="shared" si="204"/>
        <v>11063</v>
      </c>
      <c r="P790" s="32">
        <f>650*9+9.5*9</f>
        <v>5935.5</v>
      </c>
      <c r="Q790" s="32"/>
      <c r="R790" s="32"/>
      <c r="S790" s="32">
        <f t="shared" si="200"/>
        <v>5935.5</v>
      </c>
      <c r="T790" s="12"/>
      <c r="U790" s="12">
        <v>13.5</v>
      </c>
      <c r="V790" s="12"/>
      <c r="W790" s="12">
        <f t="shared" si="201"/>
        <v>5949</v>
      </c>
      <c r="Y790" s="10">
        <v>9</v>
      </c>
      <c r="Z790" s="30"/>
      <c r="AA790" s="31"/>
      <c r="AB790" s="32"/>
      <c r="AC790" s="32"/>
      <c r="AD790" s="32"/>
      <c r="AE790" s="32">
        <f t="shared" si="206"/>
        <v>0</v>
      </c>
      <c r="AF790" s="12"/>
      <c r="AH790" s="12"/>
      <c r="AI790" s="12">
        <f t="shared" si="203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108"/>
      <c r="D791" s="60"/>
      <c r="E791" s="60"/>
      <c r="F791" s="60"/>
      <c r="G791" s="60"/>
      <c r="H791" s="61"/>
      <c r="I791" s="61"/>
      <c r="J791" s="61"/>
      <c r="K791" s="61"/>
      <c r="M791" s="10">
        <v>10</v>
      </c>
      <c r="N791" s="30" t="s">
        <v>82</v>
      </c>
      <c r="O791" s="31">
        <f t="shared" si="204"/>
        <v>11064</v>
      </c>
      <c r="P791" s="32">
        <f>650*12+622*2+9.5*14</f>
        <v>9177</v>
      </c>
      <c r="Q791" s="32"/>
      <c r="R791" s="32"/>
      <c r="S791" s="32">
        <f t="shared" si="200"/>
        <v>9177</v>
      </c>
      <c r="T791" s="12"/>
      <c r="U791" s="12">
        <v>4.5</v>
      </c>
      <c r="V791" s="12"/>
      <c r="W791" s="12">
        <f t="shared" si="201"/>
        <v>9181.5</v>
      </c>
      <c r="Y791" s="10">
        <v>10</v>
      </c>
      <c r="Z791" s="30"/>
      <c r="AA791" s="31"/>
      <c r="AB791" s="32"/>
      <c r="AC791" s="32"/>
      <c r="AD791" s="32"/>
      <c r="AE791" s="32">
        <f t="shared" si="206"/>
        <v>0</v>
      </c>
      <c r="AF791" s="12"/>
      <c r="AG791" s="12"/>
      <c r="AH791" s="12"/>
      <c r="AI791" s="12">
        <f t="shared" si="203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108"/>
      <c r="D792" s="60"/>
      <c r="E792" s="60"/>
      <c r="F792" s="60"/>
      <c r="G792" s="60"/>
      <c r="H792" s="61"/>
      <c r="I792" s="61"/>
      <c r="J792" s="61"/>
      <c r="K792" s="61"/>
      <c r="M792" s="10">
        <v>11</v>
      </c>
      <c r="N792" s="30" t="s">
        <v>82</v>
      </c>
      <c r="O792" s="31">
        <f t="shared" si="204"/>
        <v>11065</v>
      </c>
      <c r="P792" s="32">
        <f>650*17+229</f>
        <v>11279</v>
      </c>
      <c r="Q792" s="32"/>
      <c r="R792" s="32"/>
      <c r="S792" s="32">
        <f t="shared" si="200"/>
        <v>11279</v>
      </c>
      <c r="T792" s="12"/>
      <c r="U792" s="12">
        <v>1092</v>
      </c>
      <c r="V792" s="12"/>
      <c r="W792" s="12">
        <f t="shared" si="201"/>
        <v>12371</v>
      </c>
      <c r="Y792" s="10">
        <v>11</v>
      </c>
      <c r="Z792" s="30"/>
      <c r="AA792" s="31"/>
      <c r="AB792" s="32"/>
      <c r="AC792" s="32"/>
      <c r="AD792" s="32"/>
      <c r="AE792" s="32">
        <f t="shared" si="206"/>
        <v>0</v>
      </c>
      <c r="AF792" s="12"/>
      <c r="AG792" s="12"/>
      <c r="AH792" s="12"/>
      <c r="AI792" s="12">
        <f t="shared" si="203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4"/>
      <c r="D793" s="60"/>
      <c r="E793" s="60"/>
      <c r="F793" s="60"/>
      <c r="G793" s="60"/>
      <c r="H793" s="61"/>
      <c r="I793" s="61"/>
      <c r="J793" s="62"/>
      <c r="K793" s="61"/>
      <c r="M793" s="10">
        <v>12</v>
      </c>
      <c r="N793" s="30" t="s">
        <v>82</v>
      </c>
      <c r="O793" s="31">
        <f t="shared" si="204"/>
        <v>11066</v>
      </c>
      <c r="P793" s="32">
        <f>650*10+9.5*10</f>
        <v>6595</v>
      </c>
      <c r="Q793" s="32"/>
      <c r="R793" s="32"/>
      <c r="S793" s="32">
        <f t="shared" si="200"/>
        <v>6595</v>
      </c>
      <c r="T793" s="12"/>
      <c r="U793" s="12"/>
      <c r="V793" s="12">
        <v>-222</v>
      </c>
      <c r="W793" s="12">
        <f t="shared" si="201"/>
        <v>6373</v>
      </c>
      <c r="Y793" s="10">
        <v>12</v>
      </c>
      <c r="Z793" s="30"/>
      <c r="AA793" s="31"/>
      <c r="AB793" s="32"/>
      <c r="AC793" s="32"/>
      <c r="AD793" s="32"/>
      <c r="AE793" s="32">
        <f t="shared" si="206"/>
        <v>0</v>
      </c>
      <c r="AF793" s="12"/>
      <c r="AG793" s="12"/>
      <c r="AH793" s="12"/>
      <c r="AI793" s="12">
        <f t="shared" si="203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M794" s="10">
        <v>13</v>
      </c>
      <c r="N794" s="30" t="s">
        <v>82</v>
      </c>
      <c r="O794" s="31">
        <f t="shared" si="204"/>
        <v>11067</v>
      </c>
      <c r="P794" s="32">
        <f>650*4</f>
        <v>2600</v>
      </c>
      <c r="Q794" s="32"/>
      <c r="R794" s="32"/>
      <c r="S794" s="32">
        <f t="shared" si="200"/>
        <v>2600</v>
      </c>
      <c r="T794" s="12"/>
      <c r="U794" s="12"/>
      <c r="V794" s="12"/>
      <c r="W794" s="12">
        <f t="shared" si="201"/>
        <v>2600</v>
      </c>
      <c r="Y794" s="10">
        <v>13</v>
      </c>
      <c r="Z794" s="30"/>
      <c r="AA794" s="31"/>
      <c r="AB794" s="32"/>
      <c r="AC794" s="32"/>
      <c r="AD794" s="32"/>
      <c r="AE794" s="32">
        <f t="shared" si="206"/>
        <v>0</v>
      </c>
      <c r="AF794" s="12"/>
      <c r="AG794" s="12"/>
      <c r="AH794" s="12"/>
      <c r="AI794" s="12">
        <f t="shared" si="203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M795" s="10">
        <v>14</v>
      </c>
      <c r="N795" s="30" t="s">
        <v>82</v>
      </c>
      <c r="O795" s="31">
        <f t="shared" si="204"/>
        <v>11068</v>
      </c>
      <c r="P795" s="32">
        <f>650*10</f>
        <v>6500</v>
      </c>
      <c r="Q795" s="32"/>
      <c r="R795" s="32"/>
      <c r="S795" s="32">
        <f t="shared" si="200"/>
        <v>6500</v>
      </c>
      <c r="T795" s="12"/>
      <c r="U795" s="12"/>
      <c r="V795" s="12"/>
      <c r="W795" s="12">
        <f t="shared" si="201"/>
        <v>6500</v>
      </c>
      <c r="Y795" s="10">
        <v>14</v>
      </c>
      <c r="Z795" s="30"/>
      <c r="AA795" s="31"/>
      <c r="AB795" s="32"/>
      <c r="AC795" s="32"/>
      <c r="AD795" s="32"/>
      <c r="AE795" s="32">
        <f t="shared" si="206"/>
        <v>0</v>
      </c>
      <c r="AF795" s="12"/>
      <c r="AG795" s="12"/>
      <c r="AH795" s="12"/>
      <c r="AI795" s="12">
        <f t="shared" si="203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M796" s="10">
        <v>15</v>
      </c>
      <c r="N796" s="30" t="s">
        <v>82</v>
      </c>
      <c r="O796" s="31">
        <f t="shared" si="204"/>
        <v>11069</v>
      </c>
      <c r="P796" s="32">
        <f>650*21</f>
        <v>13650</v>
      </c>
      <c r="Q796" s="32"/>
      <c r="R796" s="32"/>
      <c r="S796" s="32">
        <f t="shared" si="200"/>
        <v>13650</v>
      </c>
      <c r="T796" s="12"/>
      <c r="U796" s="12"/>
      <c r="V796" s="12"/>
      <c r="W796" s="12">
        <f t="shared" si="201"/>
        <v>13650</v>
      </c>
      <c r="Y796" s="10">
        <v>15</v>
      </c>
      <c r="Z796" s="30"/>
      <c r="AA796" s="31"/>
      <c r="AB796" s="32"/>
      <c r="AC796" s="32"/>
      <c r="AD796" s="32"/>
      <c r="AE796" s="32">
        <f t="shared" si="206"/>
        <v>0</v>
      </c>
      <c r="AF796" s="12"/>
      <c r="AG796" s="12"/>
      <c r="AH796" s="12"/>
      <c r="AI796" s="12">
        <f t="shared" si="203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M797" s="10">
        <v>16</v>
      </c>
      <c r="N797" s="30"/>
      <c r="O797" s="11" t="s">
        <v>27</v>
      </c>
      <c r="P797" s="32"/>
      <c r="Q797" s="32"/>
      <c r="R797" s="32"/>
      <c r="S797" s="32">
        <f t="shared" si="200"/>
        <v>0</v>
      </c>
      <c r="T797" s="12"/>
      <c r="U797" s="12"/>
      <c r="V797" s="12"/>
      <c r="W797" s="12">
        <f t="shared" si="201"/>
        <v>0</v>
      </c>
      <c r="Y797" s="10">
        <v>16</v>
      </c>
      <c r="Z797" s="30"/>
      <c r="AA797" s="11"/>
      <c r="AB797" s="32"/>
      <c r="AC797" s="32"/>
      <c r="AD797" s="32"/>
      <c r="AE797" s="32">
        <f t="shared" si="206"/>
        <v>0</v>
      </c>
      <c r="AF797" s="12"/>
      <c r="AG797" s="12"/>
      <c r="AH797" s="12"/>
      <c r="AI797" s="12">
        <f t="shared" si="203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M798" s="10">
        <v>17</v>
      </c>
      <c r="N798" s="30"/>
      <c r="O798" s="31"/>
      <c r="P798" s="35"/>
      <c r="Q798" s="32"/>
      <c r="R798" s="32"/>
      <c r="S798" s="32">
        <f t="shared" si="200"/>
        <v>0</v>
      </c>
      <c r="T798" s="12"/>
      <c r="U798" s="12"/>
      <c r="V798" s="12"/>
      <c r="W798" s="12">
        <f t="shared" si="201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06"/>
        <v>0</v>
      </c>
      <c r="AF798" s="12"/>
      <c r="AG798" s="12"/>
      <c r="AH798" s="12"/>
      <c r="AI798" s="12">
        <f t="shared" si="203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M799" s="10">
        <v>18</v>
      </c>
      <c r="N799" s="30"/>
      <c r="O799" s="31"/>
      <c r="P799" s="32"/>
      <c r="Q799" s="32"/>
      <c r="R799" s="32"/>
      <c r="S799" s="32">
        <f t="shared" si="200"/>
        <v>0</v>
      </c>
      <c r="T799" s="12"/>
      <c r="U799" s="12"/>
      <c r="V799" s="12"/>
      <c r="W799" s="12">
        <f t="shared" si="201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06"/>
        <v>0</v>
      </c>
      <c r="AF799" s="12"/>
      <c r="AG799" s="12"/>
      <c r="AH799" s="12"/>
      <c r="AI799" s="12">
        <f t="shared" si="203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M800" s="10">
        <v>19</v>
      </c>
      <c r="N800" s="30"/>
      <c r="O800" s="31"/>
      <c r="P800" s="32"/>
      <c r="Q800" s="32"/>
      <c r="R800" s="32"/>
      <c r="S800" s="32">
        <f t="shared" si="200"/>
        <v>0</v>
      </c>
      <c r="T800" s="12"/>
      <c r="U800" s="12"/>
      <c r="V800" s="12"/>
      <c r="W800" s="12">
        <f t="shared" si="201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06"/>
        <v>0</v>
      </c>
      <c r="AF800" s="12"/>
      <c r="AG800" s="12"/>
      <c r="AH800" s="12"/>
      <c r="AI800" s="12">
        <f t="shared" si="203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M801" s="10">
        <v>20</v>
      </c>
      <c r="N801" s="30"/>
      <c r="O801" s="31"/>
      <c r="P801" s="32"/>
      <c r="Q801" s="32"/>
      <c r="R801" s="32"/>
      <c r="S801" s="32">
        <f t="shared" si="200"/>
        <v>0</v>
      </c>
      <c r="T801" s="12"/>
      <c r="U801" s="12"/>
      <c r="V801" s="12"/>
      <c r="W801" s="12">
        <f t="shared" si="201"/>
        <v>0</v>
      </c>
      <c r="Y801" s="10">
        <v>20</v>
      </c>
      <c r="Z801" s="30"/>
      <c r="AB801" s="32"/>
      <c r="AC801" s="32"/>
      <c r="AD801" s="32"/>
      <c r="AE801" s="32">
        <f t="shared" si="206"/>
        <v>0</v>
      </c>
      <c r="AF801" s="12"/>
      <c r="AG801" s="12"/>
      <c r="AH801" s="12"/>
      <c r="AI801" s="12">
        <f t="shared" si="203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108"/>
      <c r="D802" s="60"/>
      <c r="E802" s="60"/>
      <c r="F802" s="60"/>
      <c r="G802" s="60"/>
      <c r="H802" s="62"/>
      <c r="I802" s="62"/>
      <c r="J802" s="62"/>
      <c r="K802" s="61"/>
      <c r="M802" s="10">
        <v>21</v>
      </c>
      <c r="N802" s="30"/>
      <c r="O802" s="31"/>
      <c r="P802" s="46"/>
      <c r="Q802" s="31"/>
      <c r="R802" s="31"/>
      <c r="S802" s="32">
        <f t="shared" si="200"/>
        <v>0</v>
      </c>
      <c r="T802" s="10"/>
      <c r="U802" s="10"/>
      <c r="V802" s="10"/>
      <c r="W802" s="12">
        <f t="shared" si="201"/>
        <v>0</v>
      </c>
      <c r="Y802" s="10">
        <v>21</v>
      </c>
      <c r="Z802" s="30"/>
      <c r="AA802" s="31"/>
      <c r="AB802" s="46"/>
      <c r="AC802" s="31"/>
      <c r="AD802" s="31"/>
      <c r="AE802" s="32">
        <f t="shared" si="206"/>
        <v>0</v>
      </c>
      <c r="AF802" s="10"/>
      <c r="AG802" s="10"/>
      <c r="AH802" s="10"/>
      <c r="AI802" s="12">
        <f t="shared" si="203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4"/>
      <c r="D803" s="60"/>
      <c r="E803" s="60"/>
      <c r="F803" s="60"/>
      <c r="G803" s="60"/>
      <c r="H803" s="62"/>
      <c r="I803" s="62"/>
      <c r="J803" s="62"/>
      <c r="K803" s="61"/>
      <c r="M803" s="10">
        <v>22</v>
      </c>
      <c r="N803" s="30"/>
      <c r="O803" s="31"/>
      <c r="P803" s="45"/>
      <c r="Q803" s="31"/>
      <c r="R803" s="31"/>
      <c r="S803" s="32">
        <f t="shared" si="200"/>
        <v>0</v>
      </c>
      <c r="T803" s="10"/>
      <c r="U803" s="10"/>
      <c r="V803" s="10"/>
      <c r="W803" s="12">
        <f t="shared" si="201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06"/>
        <v>0</v>
      </c>
      <c r="AF803" s="10"/>
      <c r="AG803" s="10"/>
      <c r="AH803" s="10"/>
      <c r="AI803" s="12">
        <f t="shared" si="203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M804" s="10">
        <v>23</v>
      </c>
      <c r="N804" s="30"/>
      <c r="O804" s="31"/>
      <c r="P804" s="47"/>
      <c r="Q804" s="31"/>
      <c r="S804" s="32">
        <f t="shared" si="200"/>
        <v>0</v>
      </c>
      <c r="T804" s="10"/>
      <c r="U804" s="10"/>
      <c r="V804" s="10"/>
      <c r="W804" s="12">
        <f t="shared" si="201"/>
        <v>0</v>
      </c>
      <c r="Y804" s="10">
        <v>23</v>
      </c>
      <c r="Z804" s="30"/>
      <c r="AA804" s="31"/>
      <c r="AB804" s="47"/>
      <c r="AE804" s="32">
        <f t="shared" si="206"/>
        <v>0</v>
      </c>
      <c r="AF804" s="10"/>
      <c r="AG804" s="10"/>
      <c r="AH804" s="10"/>
      <c r="AI804" s="12">
        <f t="shared" si="203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M805" s="10">
        <v>24</v>
      </c>
      <c r="N805" s="30"/>
      <c r="O805" s="31"/>
      <c r="P805" s="47"/>
      <c r="Q805" s="31"/>
      <c r="R805" s="31"/>
      <c r="S805" s="32">
        <f t="shared" si="200"/>
        <v>0</v>
      </c>
      <c r="T805" s="10"/>
      <c r="U805" s="10"/>
      <c r="V805" s="10"/>
      <c r="W805" s="12">
        <f t="shared" si="201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06"/>
        <v>0</v>
      </c>
      <c r="AF805" s="10"/>
      <c r="AG805" s="10"/>
      <c r="AH805" s="10"/>
      <c r="AI805" s="12">
        <f t="shared" si="203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108"/>
      <c r="D806" s="60"/>
      <c r="E806" s="60"/>
      <c r="F806" s="60"/>
      <c r="G806" s="60"/>
      <c r="H806" s="62"/>
      <c r="I806" s="62"/>
      <c r="J806" s="62"/>
      <c r="K806" s="61"/>
      <c r="M806" s="10">
        <v>25</v>
      </c>
      <c r="N806" s="30"/>
      <c r="O806" s="31"/>
      <c r="P806" s="47"/>
      <c r="Q806" s="31"/>
      <c r="R806" s="31"/>
      <c r="S806" s="32">
        <f t="shared" si="200"/>
        <v>0</v>
      </c>
      <c r="T806" s="10"/>
      <c r="U806" s="10"/>
      <c r="V806" s="10"/>
      <c r="W806" s="12">
        <f t="shared" si="201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06"/>
        <v>0</v>
      </c>
      <c r="AF806" s="10"/>
      <c r="AG806" s="10"/>
      <c r="AH806" s="10"/>
      <c r="AI806" s="12">
        <f t="shared" si="203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M807" s="10">
        <v>26</v>
      </c>
      <c r="N807" s="30"/>
      <c r="O807" s="31"/>
      <c r="P807" s="47"/>
      <c r="Q807" s="31"/>
      <c r="R807" s="31"/>
      <c r="S807" s="32">
        <f t="shared" si="200"/>
        <v>0</v>
      </c>
      <c r="T807" s="10"/>
      <c r="U807" s="10"/>
      <c r="V807" s="10"/>
      <c r="W807" s="12">
        <f t="shared" si="201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06"/>
        <v>0</v>
      </c>
      <c r="AF807" s="10"/>
      <c r="AG807" s="10"/>
      <c r="AH807" s="10"/>
      <c r="AI807" s="12">
        <f t="shared" si="203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M808" s="10">
        <v>27</v>
      </c>
      <c r="N808" s="30"/>
      <c r="O808" s="31"/>
      <c r="P808" s="47"/>
      <c r="Q808" s="31"/>
      <c r="R808" s="31"/>
      <c r="S808" s="32">
        <f t="shared" si="200"/>
        <v>0</v>
      </c>
      <c r="T808" s="10"/>
      <c r="U808" s="10"/>
      <c r="V808" s="10"/>
      <c r="W808" s="12">
        <f t="shared" si="201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06"/>
        <v>0</v>
      </c>
      <c r="AF808" s="10"/>
      <c r="AG808" s="10"/>
      <c r="AH808" s="10"/>
      <c r="AI808" s="12">
        <f t="shared" si="203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M809" s="10">
        <v>28</v>
      </c>
      <c r="N809" s="30"/>
      <c r="O809" s="31"/>
      <c r="P809" s="47"/>
      <c r="Q809" s="31"/>
      <c r="R809" s="31"/>
      <c r="S809" s="32">
        <f t="shared" si="200"/>
        <v>0</v>
      </c>
      <c r="T809" s="10"/>
      <c r="U809" s="10"/>
      <c r="V809" s="10"/>
      <c r="W809" s="12">
        <f t="shared" si="201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06"/>
        <v>0</v>
      </c>
      <c r="AF809" s="10"/>
      <c r="AG809" s="10"/>
      <c r="AH809" s="10"/>
      <c r="AI809" s="12">
        <f t="shared" si="203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M810" s="10">
        <v>29</v>
      </c>
      <c r="N810" s="30"/>
      <c r="O810" s="31"/>
      <c r="P810" s="47"/>
      <c r="Q810" s="31"/>
      <c r="R810" s="31"/>
      <c r="S810" s="32">
        <f t="shared" si="200"/>
        <v>0</v>
      </c>
      <c r="T810" s="10"/>
      <c r="U810" s="10"/>
      <c r="V810" s="10"/>
      <c r="W810" s="12">
        <f t="shared" si="201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06"/>
        <v>0</v>
      </c>
      <c r="AF810" s="10"/>
      <c r="AG810" s="10"/>
      <c r="AH810" s="10"/>
      <c r="AI810" s="12">
        <f t="shared" si="203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M811" s="10">
        <v>30</v>
      </c>
      <c r="N811" s="30"/>
      <c r="O811" s="31"/>
      <c r="P811" s="47"/>
      <c r="Q811" s="31"/>
      <c r="R811" s="31"/>
      <c r="S811" s="32">
        <f t="shared" si="200"/>
        <v>0</v>
      </c>
      <c r="T811" s="10"/>
      <c r="U811" s="10"/>
      <c r="V811" s="10"/>
      <c r="W811" s="12">
        <f t="shared" si="201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06"/>
        <v>0</v>
      </c>
      <c r="AF811" s="10"/>
      <c r="AG811" s="10"/>
      <c r="AH811" s="10"/>
      <c r="AI811" s="12">
        <f t="shared" si="203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M812" s="10">
        <v>31</v>
      </c>
      <c r="N812" s="30"/>
      <c r="O812" s="31"/>
      <c r="P812" s="47"/>
      <c r="Q812" s="31"/>
      <c r="R812" s="31"/>
      <c r="S812" s="32">
        <f t="shared" si="200"/>
        <v>0</v>
      </c>
      <c r="T812" s="10"/>
      <c r="U812" s="10"/>
      <c r="V812" s="10"/>
      <c r="W812" s="12">
        <f t="shared" si="201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06"/>
        <v>0</v>
      </c>
      <c r="AF812" s="10"/>
      <c r="AG812" s="10"/>
      <c r="AH812" s="10"/>
      <c r="AI812" s="12">
        <f t="shared" si="203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M813" s="10">
        <v>32</v>
      </c>
      <c r="N813" s="30"/>
      <c r="O813" s="31"/>
      <c r="P813" s="47"/>
      <c r="Q813" s="31"/>
      <c r="R813" s="31"/>
      <c r="S813" s="32">
        <f t="shared" si="200"/>
        <v>0</v>
      </c>
      <c r="T813" s="10"/>
      <c r="U813" s="10"/>
      <c r="V813" s="10"/>
      <c r="W813" s="12">
        <f t="shared" si="201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06"/>
        <v>0</v>
      </c>
      <c r="AF813" s="10"/>
      <c r="AG813" s="10"/>
      <c r="AH813" s="10"/>
      <c r="AI813" s="12">
        <f t="shared" si="203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M814" s="10">
        <v>33</v>
      </c>
      <c r="N814" s="30"/>
      <c r="O814" s="31"/>
      <c r="P814" s="47"/>
      <c r="Q814" s="31"/>
      <c r="R814" s="31"/>
      <c r="S814" s="32">
        <f t="shared" si="200"/>
        <v>0</v>
      </c>
      <c r="T814" s="10"/>
      <c r="U814" s="10"/>
      <c r="V814" s="10"/>
      <c r="W814" s="12">
        <f t="shared" si="201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06"/>
        <v>0</v>
      </c>
      <c r="AF814" s="10"/>
      <c r="AG814" s="10"/>
      <c r="AH814" s="10"/>
      <c r="AI814" s="12">
        <f t="shared" si="203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M815" s="10">
        <v>34</v>
      </c>
      <c r="N815" s="30"/>
      <c r="O815" s="31"/>
      <c r="P815" s="47"/>
      <c r="Q815" s="31"/>
      <c r="R815" s="31"/>
      <c r="S815" s="32">
        <f t="shared" si="200"/>
        <v>0</v>
      </c>
      <c r="T815" s="10"/>
      <c r="U815" s="10"/>
      <c r="V815" s="10"/>
      <c r="W815" s="12">
        <f t="shared" si="201"/>
        <v>0</v>
      </c>
      <c r="Y815" s="10">
        <v>34</v>
      </c>
      <c r="Z815" s="30"/>
      <c r="AA815" s="31"/>
      <c r="AB815" s="47"/>
      <c r="AC815" s="31"/>
      <c r="AD815" s="31"/>
      <c r="AE815" s="32">
        <f t="shared" ref="AE815:AE820" si="207">SUM(AB815:AC815)</f>
        <v>0</v>
      </c>
      <c r="AF815" s="10"/>
      <c r="AG815" s="10"/>
      <c r="AH815" s="10"/>
      <c r="AI815" s="12">
        <f t="shared" si="203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M816" s="10">
        <v>35</v>
      </c>
      <c r="N816" s="30"/>
      <c r="O816" s="31"/>
      <c r="P816" s="47"/>
      <c r="Q816" s="31"/>
      <c r="R816" s="31"/>
      <c r="S816" s="32">
        <f t="shared" si="200"/>
        <v>0</v>
      </c>
      <c r="T816" s="10"/>
      <c r="U816" s="10"/>
      <c r="V816" s="10"/>
      <c r="W816" s="12">
        <f t="shared" si="201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07"/>
        <v>0</v>
      </c>
      <c r="AF816" s="10"/>
      <c r="AG816" s="10"/>
      <c r="AH816" s="10"/>
      <c r="AI816" s="12">
        <f t="shared" si="203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M817" s="10">
        <v>36</v>
      </c>
      <c r="N817" s="30"/>
      <c r="O817" s="31"/>
      <c r="P817" s="47"/>
      <c r="Q817" s="31"/>
      <c r="R817" s="31"/>
      <c r="S817" s="32">
        <f t="shared" si="200"/>
        <v>0</v>
      </c>
      <c r="T817" s="10"/>
      <c r="U817" s="10"/>
      <c r="V817" s="10"/>
      <c r="W817" s="12">
        <f t="shared" si="201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07"/>
        <v>0</v>
      </c>
      <c r="AF817" s="10"/>
      <c r="AG817" s="10"/>
      <c r="AH817" s="10"/>
      <c r="AI817" s="12">
        <f t="shared" si="203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108"/>
      <c r="D818" s="60"/>
      <c r="E818" s="60"/>
      <c r="F818" s="60"/>
      <c r="G818" s="60"/>
      <c r="H818" s="62"/>
      <c r="I818" s="62"/>
      <c r="J818" s="62"/>
      <c r="K818" s="61"/>
      <c r="M818" s="10">
        <v>37</v>
      </c>
      <c r="N818" s="30"/>
      <c r="P818" s="47"/>
      <c r="Q818" s="31"/>
      <c r="R818" s="31"/>
      <c r="S818" s="32">
        <f t="shared" si="200"/>
        <v>0</v>
      </c>
      <c r="T818" s="10"/>
      <c r="U818" s="10"/>
      <c r="V818" s="10"/>
      <c r="W818" s="12">
        <f t="shared" si="201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07"/>
        <v>0</v>
      </c>
      <c r="AF818" s="10"/>
      <c r="AG818" s="10"/>
      <c r="AH818" s="10"/>
      <c r="AI818" s="12">
        <f t="shared" si="203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108"/>
      <c r="D819" s="60"/>
      <c r="E819" s="60"/>
      <c r="F819" s="60"/>
      <c r="G819" s="60"/>
      <c r="H819" s="62"/>
      <c r="I819" s="62"/>
      <c r="J819" s="62"/>
      <c r="K819" s="61"/>
      <c r="M819" s="10">
        <v>38</v>
      </c>
      <c r="N819" s="30"/>
      <c r="O819" s="31"/>
      <c r="P819" s="47"/>
      <c r="Q819" s="31"/>
      <c r="R819" s="31"/>
      <c r="S819" s="32">
        <f t="shared" si="200"/>
        <v>0</v>
      </c>
      <c r="T819" s="10"/>
      <c r="U819" s="10"/>
      <c r="V819" s="10"/>
      <c r="W819" s="12">
        <f t="shared" si="201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07"/>
        <v>0</v>
      </c>
      <c r="AF819" s="10"/>
      <c r="AG819" s="10"/>
      <c r="AH819" s="10"/>
      <c r="AI819" s="12">
        <f t="shared" si="203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108"/>
      <c r="D820" s="60"/>
      <c r="E820" s="60"/>
      <c r="F820" s="60"/>
      <c r="G820" s="60"/>
      <c r="H820" s="62"/>
      <c r="I820" s="62"/>
      <c r="J820" s="62"/>
      <c r="K820" s="61"/>
      <c r="M820" s="10">
        <v>39</v>
      </c>
      <c r="N820" s="30"/>
      <c r="O820" s="31"/>
      <c r="P820" s="47"/>
      <c r="Q820" s="31"/>
      <c r="R820" s="31"/>
      <c r="S820" s="32">
        <f t="shared" si="200"/>
        <v>0</v>
      </c>
      <c r="T820" s="10"/>
      <c r="U820" s="10"/>
      <c r="V820" s="10"/>
      <c r="W820" s="12">
        <f t="shared" si="201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07"/>
        <v>0</v>
      </c>
      <c r="AF820" s="10"/>
      <c r="AG820" s="10"/>
      <c r="AH820" s="10"/>
      <c r="AI820" s="12">
        <f t="shared" si="203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108"/>
      <c r="D821" s="60"/>
      <c r="E821" s="60"/>
      <c r="F821" s="60"/>
      <c r="G821" s="60"/>
      <c r="H821" s="62"/>
      <c r="I821" s="62"/>
      <c r="J821" s="62"/>
      <c r="K821" s="61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01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03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108"/>
      <c r="D822" s="60"/>
      <c r="E822" s="60"/>
      <c r="F822" s="60"/>
      <c r="G822" s="60"/>
      <c r="H822" s="62"/>
      <c r="I822" s="62"/>
      <c r="J822" s="62"/>
      <c r="K822" s="61"/>
      <c r="M822" s="10"/>
      <c r="N822" s="30"/>
      <c r="O822" s="31"/>
      <c r="P822" s="47"/>
      <c r="Q822" s="31"/>
      <c r="R822" s="31"/>
      <c r="S822" s="32">
        <f t="shared" ref="S822" si="208">SUM(P822:Q822)</f>
        <v>0</v>
      </c>
      <c r="T822" s="10"/>
      <c r="U822" s="10"/>
      <c r="V822" s="10"/>
      <c r="W822" s="12">
        <f t="shared" si="201"/>
        <v>0</v>
      </c>
      <c r="Y822" s="10"/>
      <c r="Z822" s="30"/>
      <c r="AA822" s="31"/>
      <c r="AB822" s="47"/>
      <c r="AC822" s="31"/>
      <c r="AD822" s="31"/>
      <c r="AE822" s="32">
        <f t="shared" ref="AE822" si="209">SUM(AB822:AC822)</f>
        <v>0</v>
      </c>
      <c r="AF822" s="10"/>
      <c r="AG822" s="10"/>
      <c r="AH822" s="10"/>
      <c r="AI822" s="12">
        <f t="shared" si="203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01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03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66"/>
      <c r="C824" s="66"/>
      <c r="D824" s="60"/>
      <c r="E824" s="60"/>
      <c r="F824" s="60"/>
      <c r="G824" s="60"/>
      <c r="H824" s="62"/>
      <c r="I824" s="62"/>
      <c r="J824" s="62"/>
      <c r="K824" s="61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66"/>
      <c r="C825" s="66"/>
      <c r="D825" s="60"/>
      <c r="E825" s="60"/>
      <c r="F825" s="60"/>
      <c r="G825" s="60"/>
      <c r="H825" s="62"/>
      <c r="I825" s="62"/>
      <c r="J825" s="62"/>
      <c r="K825" s="61"/>
      <c r="N825" s="57"/>
      <c r="O825" s="57"/>
      <c r="P825" s="38">
        <f>SUM(P782:P824)</f>
        <v>214227.5</v>
      </c>
      <c r="Q825" s="38">
        <f t="shared" ref="Q825:R825" si="210">SUM(Q782:Q822)</f>
        <v>-648</v>
      </c>
      <c r="R825" s="38">
        <f t="shared" si="210"/>
        <v>0</v>
      </c>
      <c r="S825" s="38">
        <f t="shared" ref="S825" si="211">SUM(S782:S824)</f>
        <v>213579.5</v>
      </c>
      <c r="T825" s="4"/>
      <c r="U825" s="39">
        <f t="shared" ref="U825:W825" si="212">SUM(U782:U824)</f>
        <v>2424</v>
      </c>
      <c r="V825" s="39">
        <f t="shared" si="212"/>
        <v>-222</v>
      </c>
      <c r="W825" s="40">
        <f t="shared" si="212"/>
        <v>215781.5</v>
      </c>
      <c r="Z825" s="57"/>
      <c r="AA825" s="57"/>
      <c r="AB825" s="38">
        <f t="shared" ref="AB825" si="213">SUM(AB782:AB824)</f>
        <v>278868</v>
      </c>
      <c r="AC825" s="38">
        <f t="shared" ref="AC825:AD825" si="214">SUM(AC782:AC822)</f>
        <v>-2118</v>
      </c>
      <c r="AD825" s="38">
        <f t="shared" si="214"/>
        <v>0</v>
      </c>
      <c r="AE825" s="38">
        <f t="shared" ref="AE825" si="215">SUM(AE782:AE824)</f>
        <v>276750</v>
      </c>
      <c r="AF825" s="4"/>
      <c r="AG825" s="39">
        <f t="shared" ref="AG825:AI825" si="216">SUM(AG782:AG824)</f>
        <v>414</v>
      </c>
      <c r="AH825" s="39">
        <f t="shared" si="216"/>
        <v>-2220</v>
      </c>
      <c r="AI825" s="40">
        <f t="shared" si="216"/>
        <v>274944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64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64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64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84</v>
      </c>
      <c r="B833" s="20"/>
      <c r="C833" s="57"/>
      <c r="D833" s="57"/>
      <c r="E833" s="57"/>
      <c r="G833" s="57"/>
      <c r="I833" s="22" t="s">
        <v>16</v>
      </c>
      <c r="J833" s="23" t="s">
        <v>38</v>
      </c>
      <c r="K833" s="24"/>
      <c r="M833" s="21" t="s">
        <v>84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32</v>
      </c>
      <c r="W833" s="24"/>
      <c r="Y833" s="21" t="s">
        <v>84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33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18" t="s">
        <v>17</v>
      </c>
      <c r="E835" s="118"/>
      <c r="F835" s="109"/>
      <c r="G835" s="27"/>
      <c r="I835" s="119" t="s">
        <v>18</v>
      </c>
      <c r="J835" s="120"/>
      <c r="K835" s="121" t="s">
        <v>19</v>
      </c>
      <c r="N835" s="25"/>
      <c r="O835" s="26"/>
      <c r="P835" s="118" t="s">
        <v>17</v>
      </c>
      <c r="Q835" s="118"/>
      <c r="R835" s="109"/>
      <c r="S835" s="27"/>
      <c r="U835" s="119" t="s">
        <v>18</v>
      </c>
      <c r="V835" s="120"/>
      <c r="W835" s="121" t="s">
        <v>19</v>
      </c>
      <c r="Z835" s="25"/>
      <c r="AA835" s="26"/>
      <c r="AB835" s="118" t="s">
        <v>17</v>
      </c>
      <c r="AC835" s="118"/>
      <c r="AD835" s="109"/>
      <c r="AE835" s="27"/>
      <c r="AG835" s="119" t="s">
        <v>18</v>
      </c>
      <c r="AH835" s="120"/>
      <c r="AI835" s="121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7" t="s">
        <v>22</v>
      </c>
      <c r="E836" s="76" t="s">
        <v>23</v>
      </c>
      <c r="F836" s="78" t="s">
        <v>31</v>
      </c>
      <c r="G836" s="78" t="s">
        <v>24</v>
      </c>
      <c r="I836" s="29" t="s">
        <v>25</v>
      </c>
      <c r="J836" s="29" t="s">
        <v>26</v>
      </c>
      <c r="K836" s="122"/>
      <c r="N836" s="28" t="s">
        <v>20</v>
      </c>
      <c r="O836" s="28" t="s">
        <v>21</v>
      </c>
      <c r="P836" s="77" t="s">
        <v>22</v>
      </c>
      <c r="Q836" s="78" t="s">
        <v>23</v>
      </c>
      <c r="R836" s="78" t="s">
        <v>31</v>
      </c>
      <c r="S836" s="78" t="s">
        <v>24</v>
      </c>
      <c r="U836" s="29" t="s">
        <v>25</v>
      </c>
      <c r="V836" s="29" t="s">
        <v>26</v>
      </c>
      <c r="W836" s="122"/>
      <c r="Z836" s="28" t="s">
        <v>20</v>
      </c>
      <c r="AA836" s="28" t="s">
        <v>21</v>
      </c>
      <c r="AB836" s="77" t="s">
        <v>22</v>
      </c>
      <c r="AC836" s="78" t="s">
        <v>23</v>
      </c>
      <c r="AD836" s="78" t="s">
        <v>31</v>
      </c>
      <c r="AE836" s="78" t="s">
        <v>24</v>
      </c>
      <c r="AG836" s="29" t="s">
        <v>25</v>
      </c>
      <c r="AH836" s="29" t="s">
        <v>26</v>
      </c>
      <c r="AI836" s="12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85</v>
      </c>
      <c r="C837" s="83">
        <v>11151</v>
      </c>
      <c r="D837" s="32">
        <f>650*60+670*3+622*4</f>
        <v>43498</v>
      </c>
      <c r="E837" s="32"/>
      <c r="F837" s="32"/>
      <c r="G837" s="32">
        <f t="shared" ref="G837:G870" si="217">SUM(D837:E837)</f>
        <v>43498</v>
      </c>
      <c r="H837" s="12"/>
      <c r="I837" s="12"/>
      <c r="J837" s="12"/>
      <c r="K837" s="12">
        <f t="shared" ref="K837:K870" si="218">SUM(G837:J837)</f>
        <v>43498</v>
      </c>
      <c r="M837" s="10">
        <v>1</v>
      </c>
      <c r="N837" s="30" t="s">
        <v>85</v>
      </c>
      <c r="O837" s="31">
        <v>11070</v>
      </c>
      <c r="P837" s="32">
        <f>650*10+622*2+9.5*12</f>
        <v>7858</v>
      </c>
      <c r="Q837" s="32"/>
      <c r="R837" s="32"/>
      <c r="S837" s="32">
        <f>SUM(P837:Q837)</f>
        <v>7858</v>
      </c>
      <c r="T837" s="12"/>
      <c r="U837" s="12"/>
      <c r="V837" s="12"/>
      <c r="W837" s="12">
        <f>SUM(S837:V837)</f>
        <v>7858</v>
      </c>
      <c r="Y837" s="10">
        <v>1</v>
      </c>
      <c r="Z837" s="30" t="s">
        <v>85</v>
      </c>
      <c r="AA837" s="31">
        <v>10995</v>
      </c>
      <c r="AB837" s="32">
        <f>650*7</f>
        <v>4550</v>
      </c>
      <c r="AC837" s="32">
        <f>-7*6</f>
        <v>-42</v>
      </c>
      <c r="AD837" s="32"/>
      <c r="AE837" s="32">
        <f>SUM(AB837:AC837)</f>
        <v>4508</v>
      </c>
      <c r="AF837" s="12"/>
      <c r="AG837" s="12"/>
      <c r="AH837" s="12"/>
      <c r="AI837" s="12">
        <f>SUM(AE837:AH837)</f>
        <v>4508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85</v>
      </c>
      <c r="C838" s="83">
        <f>C837+1</f>
        <v>11152</v>
      </c>
      <c r="D838" s="32">
        <f>650*19+670*3+622+912+9.5*20</f>
        <v>16084</v>
      </c>
      <c r="E838" s="32"/>
      <c r="F838" s="32"/>
      <c r="G838" s="32">
        <f t="shared" si="217"/>
        <v>16084</v>
      </c>
      <c r="H838" s="12"/>
      <c r="I838" s="12">
        <f>1.5*25</f>
        <v>37.5</v>
      </c>
      <c r="J838" s="12"/>
      <c r="K838" s="12">
        <f t="shared" si="218"/>
        <v>16121.5</v>
      </c>
      <c r="M838" s="10">
        <v>2</v>
      </c>
      <c r="N838" s="30" t="s">
        <v>85</v>
      </c>
      <c r="O838" s="31">
        <f>O837+1</f>
        <v>11071</v>
      </c>
      <c r="P838" s="32">
        <f>650*216+229*9</f>
        <v>142461</v>
      </c>
      <c r="Q838" s="32">
        <f>-216*6</f>
        <v>-1296</v>
      </c>
      <c r="R838" s="32"/>
      <c r="S838" s="32">
        <f t="shared" ref="S838:S875" si="219">SUM(P838:Q838)</f>
        <v>141165</v>
      </c>
      <c r="T838" s="12"/>
      <c r="U838" s="12">
        <f>78*3</f>
        <v>234</v>
      </c>
      <c r="V838" s="12">
        <f>-42*10</f>
        <v>-420</v>
      </c>
      <c r="W838" s="12">
        <f t="shared" ref="W838:W878" si="220">SUM(S838:V838)</f>
        <v>140979</v>
      </c>
      <c r="Y838" s="10">
        <v>2</v>
      </c>
      <c r="Z838" s="30" t="s">
        <v>85</v>
      </c>
      <c r="AA838" s="31">
        <f>AA837+1</f>
        <v>10996</v>
      </c>
      <c r="AB838" s="32">
        <f>650*108+670*6+622*60+229*3</f>
        <v>112227</v>
      </c>
      <c r="AC838" s="32">
        <f>-174*6</f>
        <v>-1044</v>
      </c>
      <c r="AD838" s="32"/>
      <c r="AE838" s="32">
        <f t="shared" ref="AE838:AE840" si="221">SUM(AB838:AC838)</f>
        <v>111183</v>
      </c>
      <c r="AF838" s="12"/>
      <c r="AG838" s="12">
        <f>111*60+4.5*13+1.5*62</f>
        <v>6811.5</v>
      </c>
      <c r="AH838" s="12"/>
      <c r="AI838" s="12">
        <f t="shared" ref="AI838:AI878" si="222">SUM(AE838:AH838)</f>
        <v>117994.5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85</v>
      </c>
      <c r="C839" s="83">
        <f t="shared" ref="C839:C840" si="223">C838+1</f>
        <v>11153</v>
      </c>
      <c r="D839" s="33">
        <f>650*3</f>
        <v>1950</v>
      </c>
      <c r="E839" s="33"/>
      <c r="F839" s="33"/>
      <c r="G839" s="33">
        <f t="shared" si="217"/>
        <v>1950</v>
      </c>
      <c r="H839" s="34"/>
      <c r="I839" s="34"/>
      <c r="J839" s="34"/>
      <c r="K839" s="34">
        <f t="shared" si="218"/>
        <v>1950</v>
      </c>
      <c r="M839" s="10">
        <v>3</v>
      </c>
      <c r="N839" s="30" t="s">
        <v>85</v>
      </c>
      <c r="O839" s="31">
        <f t="shared" ref="O839:O841" si="224">O838+1</f>
        <v>11072</v>
      </c>
      <c r="P839" s="32">
        <f>650*75+622*5+650</f>
        <v>52510</v>
      </c>
      <c r="Q839" s="32"/>
      <c r="R839" s="32"/>
      <c r="S839" s="32">
        <f t="shared" si="219"/>
        <v>52510</v>
      </c>
      <c r="T839" s="12"/>
      <c r="U839" s="12">
        <f>111*13+4.5*27</f>
        <v>1564.5</v>
      </c>
      <c r="V839" s="12"/>
      <c r="W839" s="12">
        <f t="shared" si="220"/>
        <v>54074.5</v>
      </c>
      <c r="Y839" s="10">
        <v>3</v>
      </c>
      <c r="Z839" s="30" t="s">
        <v>85</v>
      </c>
      <c r="AA839" s="31">
        <f t="shared" ref="AA839:AA845" si="225">AA838+1</f>
        <v>10997</v>
      </c>
      <c r="AB839" s="33">
        <f>650*25</f>
        <v>16250</v>
      </c>
      <c r="AC839" s="33">
        <f>-25*6</f>
        <v>-150</v>
      </c>
      <c r="AD839" s="32"/>
      <c r="AE839" s="32">
        <f t="shared" si="221"/>
        <v>16100</v>
      </c>
      <c r="AF839" s="12"/>
      <c r="AG839" s="12"/>
      <c r="AH839" s="12"/>
      <c r="AI839" s="12">
        <f t="shared" si="222"/>
        <v>16100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 t="s">
        <v>85</v>
      </c>
      <c r="C840" s="83">
        <f t="shared" si="223"/>
        <v>11154</v>
      </c>
      <c r="D840" s="32">
        <f>650*216+670*50+973*5+1175+912*10+1050*5+1102+229*8+650</f>
        <v>197894</v>
      </c>
      <c r="E840" s="32">
        <f>-288*6</f>
        <v>-1728</v>
      </c>
      <c r="F840" s="32"/>
      <c r="G840" s="32">
        <f t="shared" si="217"/>
        <v>196166</v>
      </c>
      <c r="H840" s="12"/>
      <c r="I840" s="12">
        <f>120*15</f>
        <v>1800</v>
      </c>
      <c r="J840" s="12">
        <f>-111*16+-84*12+-42*44+-4.5*4+-2.25+-1.5*10</f>
        <v>-4667.25</v>
      </c>
      <c r="K840" s="12">
        <f t="shared" si="218"/>
        <v>193298.75</v>
      </c>
      <c r="M840" s="10">
        <v>4</v>
      </c>
      <c r="N840" s="30" t="s">
        <v>85</v>
      </c>
      <c r="O840" s="31">
        <f t="shared" si="224"/>
        <v>11073</v>
      </c>
      <c r="P840" s="32">
        <f>650*4+670</f>
        <v>3270</v>
      </c>
      <c r="Q840" s="32"/>
      <c r="R840" s="32"/>
      <c r="S840" s="32">
        <f t="shared" si="219"/>
        <v>3270</v>
      </c>
      <c r="T840" s="12"/>
      <c r="U840" s="12"/>
      <c r="V840" s="12">
        <f>-111*3</f>
        <v>-333</v>
      </c>
      <c r="W840" s="12">
        <f t="shared" si="220"/>
        <v>2937</v>
      </c>
      <c r="Y840" s="10">
        <v>4</v>
      </c>
      <c r="Z840" s="30" t="s">
        <v>85</v>
      </c>
      <c r="AA840" s="31">
        <f t="shared" si="225"/>
        <v>10998</v>
      </c>
      <c r="AB840" s="32">
        <f>650*108+912+229*4</f>
        <v>72028</v>
      </c>
      <c r="AC840" s="32">
        <f>-109*6</f>
        <v>-654</v>
      </c>
      <c r="AD840" s="32"/>
      <c r="AE840" s="32">
        <f t="shared" si="221"/>
        <v>71374</v>
      </c>
      <c r="AF840" s="12"/>
      <c r="AG840">
        <f>1.5*18</f>
        <v>27</v>
      </c>
      <c r="AH840" s="12"/>
      <c r="AI840" s="12">
        <f t="shared" si="222"/>
        <v>71401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/>
      <c r="C841" s="11" t="s">
        <v>27</v>
      </c>
      <c r="D841" s="32"/>
      <c r="E841" s="32"/>
      <c r="F841" s="32"/>
      <c r="G841" s="32">
        <f t="shared" si="217"/>
        <v>0</v>
      </c>
      <c r="H841" s="12"/>
      <c r="I841" s="12"/>
      <c r="J841" s="12"/>
      <c r="K841" s="12">
        <f t="shared" si="218"/>
        <v>0</v>
      </c>
      <c r="M841" s="10">
        <v>5</v>
      </c>
      <c r="N841" s="30" t="s">
        <v>85</v>
      </c>
      <c r="O841" s="31">
        <f t="shared" si="224"/>
        <v>11074</v>
      </c>
      <c r="P841" s="32">
        <f>650*23+622*3+229</f>
        <v>17045</v>
      </c>
      <c r="Q841" s="32"/>
      <c r="R841" s="32"/>
      <c r="S841" s="32">
        <f t="shared" si="219"/>
        <v>17045</v>
      </c>
      <c r="T841" s="12"/>
      <c r="U841" s="12">
        <f>84</f>
        <v>84</v>
      </c>
      <c r="V841" s="12"/>
      <c r="W841" s="12">
        <f t="shared" si="220"/>
        <v>17129</v>
      </c>
      <c r="Y841" s="10">
        <v>5</v>
      </c>
      <c r="Z841" s="30" t="s">
        <v>85</v>
      </c>
      <c r="AA841" s="31">
        <f t="shared" si="225"/>
        <v>10999</v>
      </c>
      <c r="AB841" s="32">
        <f>650*10</f>
        <v>6500</v>
      </c>
      <c r="AC841" s="32"/>
      <c r="AD841" s="32"/>
      <c r="AE841" s="32">
        <f t="shared" ref="AE841:AE869" si="226">SUM(AB841:AC841)</f>
        <v>6500</v>
      </c>
      <c r="AF841" s="12"/>
      <c r="AG841" s="12"/>
      <c r="AH841" s="12">
        <f>-111*16</f>
        <v>-1776</v>
      </c>
      <c r="AI841" s="12">
        <f t="shared" si="222"/>
        <v>4724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/>
      <c r="C842" s="83"/>
      <c r="D842" s="32"/>
      <c r="E842" s="32"/>
      <c r="F842" s="32"/>
      <c r="G842" s="32">
        <f t="shared" si="217"/>
        <v>0</v>
      </c>
      <c r="H842" s="12"/>
      <c r="I842" s="12"/>
      <c r="J842" s="12"/>
      <c r="K842" s="12">
        <f t="shared" si="218"/>
        <v>0</v>
      </c>
      <c r="M842" s="10">
        <v>6</v>
      </c>
      <c r="N842" s="30"/>
      <c r="O842" s="11" t="s">
        <v>27</v>
      </c>
      <c r="P842" s="32"/>
      <c r="Q842" s="32"/>
      <c r="R842" s="32"/>
      <c r="S842" s="32">
        <f t="shared" si="219"/>
        <v>0</v>
      </c>
      <c r="T842" s="12"/>
      <c r="U842" s="12"/>
      <c r="V842" s="10"/>
      <c r="W842" s="12">
        <f t="shared" si="220"/>
        <v>0</v>
      </c>
      <c r="Y842" s="10">
        <v>6</v>
      </c>
      <c r="Z842" s="30" t="s">
        <v>85</v>
      </c>
      <c r="AA842" s="31">
        <f t="shared" si="225"/>
        <v>11000</v>
      </c>
      <c r="AB842" s="32">
        <f>650*7</f>
        <v>4550</v>
      </c>
      <c r="AC842" s="32"/>
      <c r="AD842" s="32"/>
      <c r="AE842" s="32">
        <f t="shared" si="226"/>
        <v>4550</v>
      </c>
      <c r="AF842" s="12"/>
      <c r="AG842" s="12">
        <v>27</v>
      </c>
      <c r="AH842" s="10"/>
      <c r="AI842" s="12">
        <f t="shared" si="222"/>
        <v>4577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/>
      <c r="C843" s="83"/>
      <c r="D843" s="32"/>
      <c r="E843" s="32"/>
      <c r="F843" s="32"/>
      <c r="G843" s="32">
        <f t="shared" si="217"/>
        <v>0</v>
      </c>
      <c r="H843" s="12"/>
      <c r="I843" s="12"/>
      <c r="J843" s="12"/>
      <c r="K843" s="12">
        <f t="shared" si="218"/>
        <v>0</v>
      </c>
      <c r="M843" s="10">
        <v>7</v>
      </c>
      <c r="N843" s="30"/>
      <c r="O843" s="31"/>
      <c r="P843" s="32"/>
      <c r="Q843" s="32"/>
      <c r="R843" s="32"/>
      <c r="S843" s="32">
        <f t="shared" si="219"/>
        <v>0</v>
      </c>
      <c r="T843" s="12"/>
      <c r="U843" s="12"/>
      <c r="V843" s="12"/>
      <c r="W843" s="12">
        <f t="shared" si="220"/>
        <v>0</v>
      </c>
      <c r="Y843" s="10">
        <v>7</v>
      </c>
      <c r="Z843" s="30" t="s">
        <v>85</v>
      </c>
      <c r="AA843" s="31">
        <v>11002</v>
      </c>
      <c r="AB843" s="32">
        <f>650*15+670+622*11</f>
        <v>17262</v>
      </c>
      <c r="AC843" s="32"/>
      <c r="AD843" s="32"/>
      <c r="AE843" s="32">
        <f t="shared" si="226"/>
        <v>17262</v>
      </c>
      <c r="AF843" s="12"/>
      <c r="AG843" s="58"/>
      <c r="AH843" s="12"/>
      <c r="AI843" s="12">
        <f t="shared" si="222"/>
        <v>17262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/>
      <c r="C844" s="83"/>
      <c r="D844" s="32"/>
      <c r="E844" s="32"/>
      <c r="F844" s="32"/>
      <c r="G844" s="32">
        <f t="shared" si="217"/>
        <v>0</v>
      </c>
      <c r="H844" s="12"/>
      <c r="I844" s="12"/>
      <c r="J844" s="12"/>
      <c r="K844" s="12">
        <f t="shared" si="218"/>
        <v>0</v>
      </c>
      <c r="M844" s="10">
        <v>8</v>
      </c>
      <c r="N844" s="30"/>
      <c r="O844" s="31"/>
      <c r="P844" s="32"/>
      <c r="Q844" s="32"/>
      <c r="R844" s="32"/>
      <c r="S844" s="32">
        <f t="shared" si="219"/>
        <v>0</v>
      </c>
      <c r="T844" s="12"/>
      <c r="U844" s="12"/>
      <c r="V844" s="12"/>
      <c r="W844" s="12">
        <f t="shared" si="220"/>
        <v>0</v>
      </c>
      <c r="Y844" s="10">
        <v>8</v>
      </c>
      <c r="Z844" s="30" t="s">
        <v>85</v>
      </c>
      <c r="AA844" s="31">
        <f t="shared" si="225"/>
        <v>11003</v>
      </c>
      <c r="AB844" s="32">
        <f>650*15+670*2</f>
        <v>11090</v>
      </c>
      <c r="AC844" s="32"/>
      <c r="AE844" s="32">
        <f t="shared" si="226"/>
        <v>11090</v>
      </c>
      <c r="AF844" s="12"/>
      <c r="AG844" s="12"/>
      <c r="AH844" s="12"/>
      <c r="AI844" s="12">
        <f t="shared" si="222"/>
        <v>11090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/>
      <c r="C845" s="83"/>
      <c r="D845" s="32"/>
      <c r="E845" s="32"/>
      <c r="F845" s="32"/>
      <c r="G845" s="32">
        <f t="shared" si="217"/>
        <v>0</v>
      </c>
      <c r="H845" s="12"/>
      <c r="I845" s="12"/>
      <c r="J845" s="12"/>
      <c r="K845" s="12">
        <f t="shared" si="218"/>
        <v>0</v>
      </c>
      <c r="M845" s="10">
        <v>9</v>
      </c>
      <c r="N845" s="30"/>
      <c r="O845" s="31"/>
      <c r="P845" s="32"/>
      <c r="Q845" s="32"/>
      <c r="R845" s="32"/>
      <c r="S845" s="32">
        <f t="shared" si="219"/>
        <v>0</v>
      </c>
      <c r="T845" s="12"/>
      <c r="U845" s="12"/>
      <c r="V845" s="12"/>
      <c r="W845" s="12">
        <f t="shared" si="220"/>
        <v>0</v>
      </c>
      <c r="Y845" s="10">
        <v>9</v>
      </c>
      <c r="Z845" s="30" t="s">
        <v>85</v>
      </c>
      <c r="AA845" s="31">
        <f t="shared" si="225"/>
        <v>11004</v>
      </c>
      <c r="AB845" s="32">
        <f>670*4</f>
        <v>2680</v>
      </c>
      <c r="AC845" s="32"/>
      <c r="AD845" s="32"/>
      <c r="AE845" s="32">
        <f t="shared" si="226"/>
        <v>2680</v>
      </c>
      <c r="AF845" s="12"/>
      <c r="AH845" s="12"/>
      <c r="AI845" s="12">
        <f t="shared" si="222"/>
        <v>2680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83"/>
      <c r="D846" s="32"/>
      <c r="E846" s="32"/>
      <c r="F846" s="32"/>
      <c r="G846" s="32">
        <f t="shared" si="217"/>
        <v>0</v>
      </c>
      <c r="H846" s="12"/>
      <c r="I846" s="12"/>
      <c r="J846" s="12"/>
      <c r="K846" s="12">
        <f t="shared" si="218"/>
        <v>0</v>
      </c>
      <c r="M846" s="10">
        <v>10</v>
      </c>
      <c r="N846" s="30"/>
      <c r="O846" s="31"/>
      <c r="P846" s="32"/>
      <c r="Q846" s="32"/>
      <c r="R846" s="32"/>
      <c r="S846" s="32">
        <f t="shared" si="219"/>
        <v>0</v>
      </c>
      <c r="T846" s="12"/>
      <c r="U846" s="12"/>
      <c r="V846" s="12"/>
      <c r="W846" s="12">
        <f t="shared" si="220"/>
        <v>0</v>
      </c>
      <c r="Y846" s="10">
        <v>10</v>
      </c>
      <c r="Z846" s="30"/>
      <c r="AA846" s="11" t="s">
        <v>27</v>
      </c>
      <c r="AB846" s="32"/>
      <c r="AC846" s="32"/>
      <c r="AD846" s="32"/>
      <c r="AE846" s="32">
        <f t="shared" si="226"/>
        <v>0</v>
      </c>
      <c r="AF846" s="12"/>
      <c r="AG846" s="12"/>
      <c r="AH846" s="12"/>
      <c r="AI846" s="12">
        <f t="shared" si="222"/>
        <v>0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D847" s="32"/>
      <c r="E847" s="32"/>
      <c r="F847" s="32"/>
      <c r="G847" s="32">
        <f t="shared" si="217"/>
        <v>0</v>
      </c>
      <c r="H847" s="12"/>
      <c r="I847" s="12"/>
      <c r="J847" s="12"/>
      <c r="K847" s="12">
        <f t="shared" si="218"/>
        <v>0</v>
      </c>
      <c r="M847" s="10">
        <v>11</v>
      </c>
      <c r="N847" s="30"/>
      <c r="O847" s="31"/>
      <c r="P847" s="32"/>
      <c r="Q847" s="32"/>
      <c r="R847" s="32"/>
      <c r="S847" s="32">
        <f t="shared" si="219"/>
        <v>0</v>
      </c>
      <c r="T847" s="12"/>
      <c r="U847" s="12"/>
      <c r="V847" s="12"/>
      <c r="W847" s="12">
        <f t="shared" si="220"/>
        <v>0</v>
      </c>
      <c r="Y847" s="10">
        <v>11</v>
      </c>
      <c r="Z847" s="30"/>
      <c r="AB847" s="32"/>
      <c r="AC847" s="32"/>
      <c r="AD847" s="32"/>
      <c r="AE847" s="32">
        <f t="shared" si="226"/>
        <v>0</v>
      </c>
      <c r="AF847" s="12"/>
      <c r="AG847" s="12"/>
      <c r="AH847" s="12"/>
      <c r="AI847" s="12">
        <f t="shared" si="222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83"/>
      <c r="D848" s="32"/>
      <c r="E848" s="32"/>
      <c r="F848" s="32"/>
      <c r="G848" s="32">
        <f t="shared" si="217"/>
        <v>0</v>
      </c>
      <c r="H848" s="12"/>
      <c r="I848" s="12"/>
      <c r="J848" s="10"/>
      <c r="K848" s="12">
        <f t="shared" si="218"/>
        <v>0</v>
      </c>
      <c r="M848" s="10">
        <v>12</v>
      </c>
      <c r="N848" s="30"/>
      <c r="O848" s="31"/>
      <c r="P848" s="32"/>
      <c r="Q848" s="32"/>
      <c r="R848" s="32"/>
      <c r="S848" s="32">
        <f t="shared" si="219"/>
        <v>0</v>
      </c>
      <c r="T848" s="12"/>
      <c r="U848" s="12"/>
      <c r="V848" s="12"/>
      <c r="W848" s="12">
        <f t="shared" si="220"/>
        <v>0</v>
      </c>
      <c r="Y848" s="10">
        <v>12</v>
      </c>
      <c r="Z848" s="30"/>
      <c r="AA848" s="31"/>
      <c r="AB848" s="32"/>
      <c r="AC848" s="32"/>
      <c r="AD848" s="32"/>
      <c r="AE848" s="32">
        <f t="shared" si="226"/>
        <v>0</v>
      </c>
      <c r="AF848" s="12"/>
      <c r="AG848" s="12"/>
      <c r="AH848" s="12"/>
      <c r="AI848" s="12">
        <f t="shared" si="222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83"/>
      <c r="D849" s="32"/>
      <c r="E849" s="32"/>
      <c r="F849" s="32"/>
      <c r="G849" s="32">
        <f t="shared" si="217"/>
        <v>0</v>
      </c>
      <c r="H849" s="12"/>
      <c r="I849" s="12"/>
      <c r="J849" s="12"/>
      <c r="K849" s="12">
        <f t="shared" si="218"/>
        <v>0</v>
      </c>
      <c r="M849" s="10">
        <v>13</v>
      </c>
      <c r="N849" s="30"/>
      <c r="O849" s="31"/>
      <c r="P849" s="32"/>
      <c r="Q849" s="32"/>
      <c r="R849" s="32"/>
      <c r="S849" s="32">
        <f t="shared" si="219"/>
        <v>0</v>
      </c>
      <c r="T849" s="12"/>
      <c r="U849" s="12"/>
      <c r="V849" s="12"/>
      <c r="W849" s="12">
        <f t="shared" si="220"/>
        <v>0</v>
      </c>
      <c r="Y849" s="10">
        <v>13</v>
      </c>
      <c r="Z849" s="30"/>
      <c r="AA849" s="31"/>
      <c r="AB849" s="32"/>
      <c r="AC849" s="32"/>
      <c r="AD849" s="32"/>
      <c r="AE849" s="32">
        <f t="shared" si="226"/>
        <v>0</v>
      </c>
      <c r="AF849" s="12"/>
      <c r="AG849" s="12"/>
      <c r="AH849" s="12"/>
      <c r="AI849" s="12">
        <f t="shared" si="222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83"/>
      <c r="D850" s="32"/>
      <c r="E850" s="32"/>
      <c r="F850" s="32"/>
      <c r="G850" s="32">
        <f t="shared" si="217"/>
        <v>0</v>
      </c>
      <c r="H850" s="12"/>
      <c r="I850" s="12"/>
      <c r="J850" s="12"/>
      <c r="K850" s="12">
        <f t="shared" si="218"/>
        <v>0</v>
      </c>
      <c r="M850" s="10">
        <v>14</v>
      </c>
      <c r="N850" s="30"/>
      <c r="O850" s="31"/>
      <c r="P850" s="32"/>
      <c r="Q850" s="32"/>
      <c r="R850" s="32"/>
      <c r="S850" s="32">
        <f t="shared" si="219"/>
        <v>0</v>
      </c>
      <c r="T850" s="12"/>
      <c r="U850" s="12"/>
      <c r="V850" s="12"/>
      <c r="W850" s="12">
        <f t="shared" si="220"/>
        <v>0</v>
      </c>
      <c r="Y850" s="10">
        <v>14</v>
      </c>
      <c r="Z850" s="30"/>
      <c r="AA850" s="31"/>
      <c r="AB850" s="32"/>
      <c r="AC850" s="32"/>
      <c r="AD850" s="32"/>
      <c r="AE850" s="32">
        <f t="shared" si="226"/>
        <v>0</v>
      </c>
      <c r="AF850" s="12"/>
      <c r="AG850" s="12"/>
      <c r="AH850" s="12"/>
      <c r="AI850" s="12">
        <f t="shared" si="222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83"/>
      <c r="D851" s="32"/>
      <c r="E851" s="32"/>
      <c r="F851" s="32"/>
      <c r="G851" s="32">
        <f t="shared" si="217"/>
        <v>0</v>
      </c>
      <c r="H851" s="12"/>
      <c r="I851" s="12"/>
      <c r="J851" s="12"/>
      <c r="K851" s="12">
        <f t="shared" si="218"/>
        <v>0</v>
      </c>
      <c r="M851" s="10">
        <v>15</v>
      </c>
      <c r="N851" s="30"/>
      <c r="O851" s="31"/>
      <c r="P851" s="32"/>
      <c r="Q851" s="32"/>
      <c r="R851" s="32"/>
      <c r="S851" s="32">
        <f t="shared" si="219"/>
        <v>0</v>
      </c>
      <c r="T851" s="12"/>
      <c r="U851" s="12"/>
      <c r="V851" s="12"/>
      <c r="W851" s="12">
        <f t="shared" si="220"/>
        <v>0</v>
      </c>
      <c r="Y851" s="10">
        <v>15</v>
      </c>
      <c r="Z851" s="30"/>
      <c r="AA851" s="31"/>
      <c r="AB851" s="32"/>
      <c r="AC851" s="32"/>
      <c r="AD851" s="32"/>
      <c r="AE851" s="32">
        <f t="shared" si="226"/>
        <v>0</v>
      </c>
      <c r="AF851" s="12"/>
      <c r="AG851" s="12"/>
      <c r="AH851" s="12"/>
      <c r="AI851" s="12">
        <f t="shared" si="222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C852" s="11"/>
      <c r="D852" s="32"/>
      <c r="E852" s="32"/>
      <c r="F852" s="32"/>
      <c r="G852" s="32">
        <f t="shared" si="217"/>
        <v>0</v>
      </c>
      <c r="H852" s="12"/>
      <c r="I852" s="12"/>
      <c r="J852" s="12"/>
      <c r="K852" s="12">
        <f t="shared" si="218"/>
        <v>0</v>
      </c>
      <c r="M852" s="10">
        <v>16</v>
      </c>
      <c r="N852" s="30"/>
      <c r="P852" s="32"/>
      <c r="Q852" s="32"/>
      <c r="R852" s="32"/>
      <c r="S852" s="32">
        <f t="shared" si="219"/>
        <v>0</v>
      </c>
      <c r="T852" s="12"/>
      <c r="U852" s="12"/>
      <c r="V852" s="12"/>
      <c r="W852" s="12">
        <f t="shared" si="220"/>
        <v>0</v>
      </c>
      <c r="Y852" s="10">
        <v>16</v>
      </c>
      <c r="Z852" s="30"/>
      <c r="AA852" s="11"/>
      <c r="AB852" s="32"/>
      <c r="AC852" s="32"/>
      <c r="AD852" s="32"/>
      <c r="AE852" s="32">
        <f t="shared" si="226"/>
        <v>0</v>
      </c>
      <c r="AF852" s="12"/>
      <c r="AG852" s="12"/>
      <c r="AH852" s="12"/>
      <c r="AI852" s="12">
        <f t="shared" si="222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83"/>
      <c r="D853" s="32"/>
      <c r="E853" s="32"/>
      <c r="F853" s="32"/>
      <c r="G853" s="32">
        <f t="shared" si="217"/>
        <v>0</v>
      </c>
      <c r="H853" s="12"/>
      <c r="I853" s="12"/>
      <c r="J853" s="12"/>
      <c r="K853" s="12">
        <f t="shared" si="218"/>
        <v>0</v>
      </c>
      <c r="M853" s="10">
        <v>17</v>
      </c>
      <c r="N853" s="30"/>
      <c r="O853" s="31"/>
      <c r="P853" s="35"/>
      <c r="Q853" s="32"/>
      <c r="R853" s="32"/>
      <c r="S853" s="32">
        <f t="shared" si="219"/>
        <v>0</v>
      </c>
      <c r="T853" s="12"/>
      <c r="U853" s="12"/>
      <c r="V853" s="12"/>
      <c r="W853" s="12">
        <f t="shared" si="220"/>
        <v>0</v>
      </c>
      <c r="Y853" s="10">
        <v>17</v>
      </c>
      <c r="Z853" s="30"/>
      <c r="AA853" s="31"/>
      <c r="AB853" s="35"/>
      <c r="AC853" s="32"/>
      <c r="AD853" s="32"/>
      <c r="AE853" s="32">
        <f t="shared" si="226"/>
        <v>0</v>
      </c>
      <c r="AF853" s="12"/>
      <c r="AG853" s="12"/>
      <c r="AH853" s="12"/>
      <c r="AI853" s="12">
        <f t="shared" si="222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83"/>
      <c r="D854" s="32"/>
      <c r="E854" s="32"/>
      <c r="F854" s="32"/>
      <c r="G854" s="32">
        <f t="shared" si="217"/>
        <v>0</v>
      </c>
      <c r="H854" s="12"/>
      <c r="I854" s="12"/>
      <c r="J854" s="12"/>
      <c r="K854" s="12">
        <f t="shared" si="218"/>
        <v>0</v>
      </c>
      <c r="M854" s="10">
        <v>18</v>
      </c>
      <c r="N854" s="30"/>
      <c r="O854" s="31"/>
      <c r="P854" s="32"/>
      <c r="Q854" s="32"/>
      <c r="R854" s="32"/>
      <c r="S854" s="32">
        <f t="shared" si="219"/>
        <v>0</v>
      </c>
      <c r="T854" s="12"/>
      <c r="U854" s="12"/>
      <c r="V854" s="12"/>
      <c r="W854" s="12">
        <f t="shared" si="220"/>
        <v>0</v>
      </c>
      <c r="Y854" s="10">
        <v>18</v>
      </c>
      <c r="Z854" s="30"/>
      <c r="AA854" s="31"/>
      <c r="AB854" s="32"/>
      <c r="AC854" s="32"/>
      <c r="AD854" s="32"/>
      <c r="AE854" s="32">
        <f t="shared" si="226"/>
        <v>0</v>
      </c>
      <c r="AF854" s="12"/>
      <c r="AG854" s="12"/>
      <c r="AH854" s="12"/>
      <c r="AI854" s="12">
        <f t="shared" si="222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83"/>
      <c r="D855" s="32"/>
      <c r="E855" s="32"/>
      <c r="F855" s="32"/>
      <c r="G855" s="32">
        <f t="shared" si="217"/>
        <v>0</v>
      </c>
      <c r="H855" s="12"/>
      <c r="I855" s="12"/>
      <c r="J855" s="12"/>
      <c r="K855" s="12">
        <f t="shared" si="218"/>
        <v>0</v>
      </c>
      <c r="M855" s="10">
        <v>19</v>
      </c>
      <c r="N855" s="30"/>
      <c r="O855" s="31"/>
      <c r="P855" s="32"/>
      <c r="Q855" s="32"/>
      <c r="R855" s="32"/>
      <c r="S855" s="32">
        <f t="shared" si="219"/>
        <v>0</v>
      </c>
      <c r="T855" s="12"/>
      <c r="U855" s="12"/>
      <c r="V855" s="12"/>
      <c r="W855" s="12">
        <f t="shared" si="220"/>
        <v>0</v>
      </c>
      <c r="Y855" s="10">
        <v>19</v>
      </c>
      <c r="Z855" s="30"/>
      <c r="AA855" s="31"/>
      <c r="AB855" s="32"/>
      <c r="AC855" s="32"/>
      <c r="AD855" s="32"/>
      <c r="AE855" s="32">
        <f t="shared" si="226"/>
        <v>0</v>
      </c>
      <c r="AF855" s="12"/>
      <c r="AG855" s="12"/>
      <c r="AH855" s="12"/>
      <c r="AI855" s="12">
        <f t="shared" si="222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83"/>
      <c r="D856" s="32"/>
      <c r="E856" s="32"/>
      <c r="F856" s="32"/>
      <c r="G856" s="32">
        <f t="shared" si="217"/>
        <v>0</v>
      </c>
      <c r="H856" s="12"/>
      <c r="I856" s="12"/>
      <c r="J856" s="12"/>
      <c r="K856" s="12">
        <f t="shared" si="218"/>
        <v>0</v>
      </c>
      <c r="M856" s="10">
        <v>20</v>
      </c>
      <c r="N856" s="30"/>
      <c r="O856" s="31"/>
      <c r="P856" s="32"/>
      <c r="Q856" s="32"/>
      <c r="R856" s="32"/>
      <c r="S856" s="32">
        <f t="shared" si="219"/>
        <v>0</v>
      </c>
      <c r="T856" s="12"/>
      <c r="U856" s="12"/>
      <c r="V856" s="12"/>
      <c r="W856" s="12">
        <f t="shared" si="220"/>
        <v>0</v>
      </c>
      <c r="Y856" s="10">
        <v>20</v>
      </c>
      <c r="Z856" s="30"/>
      <c r="AB856" s="32"/>
      <c r="AC856" s="32"/>
      <c r="AD856" s="32"/>
      <c r="AE856" s="32">
        <f t="shared" si="226"/>
        <v>0</v>
      </c>
      <c r="AF856" s="12"/>
      <c r="AG856" s="12"/>
      <c r="AH856" s="12"/>
      <c r="AI856" s="12">
        <f t="shared" si="222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83"/>
      <c r="D857" s="32"/>
      <c r="E857" s="32"/>
      <c r="F857" s="32"/>
      <c r="G857" s="32">
        <f t="shared" si="217"/>
        <v>0</v>
      </c>
      <c r="H857" s="10"/>
      <c r="I857" s="10"/>
      <c r="J857" s="10"/>
      <c r="K857" s="12">
        <f t="shared" si="218"/>
        <v>0</v>
      </c>
      <c r="M857" s="10">
        <v>21</v>
      </c>
      <c r="N857" s="30"/>
      <c r="O857" s="31"/>
      <c r="P857" s="46"/>
      <c r="Q857" s="31"/>
      <c r="R857" s="31"/>
      <c r="S857" s="32">
        <f t="shared" si="219"/>
        <v>0</v>
      </c>
      <c r="T857" s="10"/>
      <c r="U857" s="10"/>
      <c r="V857" s="10"/>
      <c r="W857" s="12">
        <f t="shared" si="220"/>
        <v>0</v>
      </c>
      <c r="Y857" s="10">
        <v>21</v>
      </c>
      <c r="Z857" s="30"/>
      <c r="AA857" s="31"/>
      <c r="AB857" s="46"/>
      <c r="AC857" s="31"/>
      <c r="AD857" s="31"/>
      <c r="AE857" s="32">
        <f t="shared" si="226"/>
        <v>0</v>
      </c>
      <c r="AF857" s="10"/>
      <c r="AG857" s="10"/>
      <c r="AH857" s="10"/>
      <c r="AI857" s="12">
        <f t="shared" si="222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83"/>
      <c r="D858" s="32"/>
      <c r="E858" s="32"/>
      <c r="F858" s="32"/>
      <c r="G858" s="32">
        <f t="shared" si="217"/>
        <v>0</v>
      </c>
      <c r="H858" s="10"/>
      <c r="I858" s="10"/>
      <c r="J858" s="10"/>
      <c r="K858" s="12">
        <f t="shared" si="218"/>
        <v>0</v>
      </c>
      <c r="M858" s="10">
        <v>22</v>
      </c>
      <c r="N858" s="30"/>
      <c r="O858" s="31"/>
      <c r="P858" s="45"/>
      <c r="Q858" s="31"/>
      <c r="R858" s="31"/>
      <c r="S858" s="32">
        <f t="shared" si="219"/>
        <v>0</v>
      </c>
      <c r="T858" s="10"/>
      <c r="U858" s="10"/>
      <c r="V858" s="10"/>
      <c r="W858" s="12">
        <f t="shared" si="220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26"/>
        <v>0</v>
      </c>
      <c r="AF858" s="10"/>
      <c r="AG858" s="10"/>
      <c r="AH858" s="10"/>
      <c r="AI858" s="12">
        <f t="shared" si="222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83"/>
      <c r="D859" s="32"/>
      <c r="E859" s="32"/>
      <c r="F859" s="32"/>
      <c r="G859" s="32">
        <f t="shared" si="217"/>
        <v>0</v>
      </c>
      <c r="H859" s="10"/>
      <c r="I859" s="10"/>
      <c r="J859" s="12"/>
      <c r="K859" s="12">
        <f t="shared" si="218"/>
        <v>0</v>
      </c>
      <c r="M859" s="10">
        <v>23</v>
      </c>
      <c r="N859" s="30"/>
      <c r="O859" s="31"/>
      <c r="P859" s="47"/>
      <c r="Q859" s="31"/>
      <c r="S859" s="32">
        <f t="shared" si="219"/>
        <v>0</v>
      </c>
      <c r="T859" s="10"/>
      <c r="U859" s="10"/>
      <c r="V859" s="10"/>
      <c r="W859" s="12">
        <f t="shared" si="220"/>
        <v>0</v>
      </c>
      <c r="Y859" s="10">
        <v>23</v>
      </c>
      <c r="Z859" s="30"/>
      <c r="AA859" s="31"/>
      <c r="AB859" s="47"/>
      <c r="AE859" s="32">
        <f t="shared" si="226"/>
        <v>0</v>
      </c>
      <c r="AF859" s="10"/>
      <c r="AG859" s="10"/>
      <c r="AH859" s="10"/>
      <c r="AI859" s="12">
        <f t="shared" si="222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83"/>
      <c r="D860" s="32"/>
      <c r="E860" s="32"/>
      <c r="F860" s="32"/>
      <c r="G860" s="32">
        <f t="shared" si="217"/>
        <v>0</v>
      </c>
      <c r="H860" s="10"/>
      <c r="I860" s="10"/>
      <c r="J860" s="10"/>
      <c r="K860" s="12">
        <f t="shared" si="218"/>
        <v>0</v>
      </c>
      <c r="M860" s="10">
        <v>24</v>
      </c>
      <c r="N860" s="30"/>
      <c r="O860" s="31"/>
      <c r="P860" s="47"/>
      <c r="Q860" s="31"/>
      <c r="R860" s="31"/>
      <c r="S860" s="32">
        <f t="shared" si="219"/>
        <v>0</v>
      </c>
      <c r="T860" s="10"/>
      <c r="U860" s="10"/>
      <c r="V860" s="10"/>
      <c r="W860" s="12">
        <f t="shared" si="220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26"/>
        <v>0</v>
      </c>
      <c r="AF860" s="10"/>
      <c r="AG860" s="10"/>
      <c r="AH860" s="10"/>
      <c r="AI860" s="12">
        <f t="shared" si="222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83"/>
      <c r="D861" s="32"/>
      <c r="E861" s="32"/>
      <c r="F861" s="32"/>
      <c r="G861" s="32">
        <f t="shared" si="217"/>
        <v>0</v>
      </c>
      <c r="H861" s="10"/>
      <c r="I861" s="10"/>
      <c r="J861" s="10"/>
      <c r="K861" s="12">
        <f t="shared" si="218"/>
        <v>0</v>
      </c>
      <c r="M861" s="10">
        <v>25</v>
      </c>
      <c r="N861" s="30"/>
      <c r="O861" s="31"/>
      <c r="P861" s="47"/>
      <c r="Q861" s="31"/>
      <c r="R861" s="31"/>
      <c r="S861" s="32">
        <f t="shared" si="219"/>
        <v>0</v>
      </c>
      <c r="T861" s="10"/>
      <c r="U861" s="10"/>
      <c r="V861" s="10"/>
      <c r="W861" s="12">
        <f t="shared" si="220"/>
        <v>0</v>
      </c>
      <c r="Y861" s="10">
        <v>25</v>
      </c>
      <c r="Z861" s="30"/>
      <c r="AA861" s="31"/>
      <c r="AB861" s="47"/>
      <c r="AC861" s="31"/>
      <c r="AD861" s="31"/>
      <c r="AE861" s="32">
        <f t="shared" si="226"/>
        <v>0</v>
      </c>
      <c r="AF861" s="10"/>
      <c r="AG861" s="10"/>
      <c r="AH861" s="10"/>
      <c r="AI861" s="12">
        <f t="shared" si="222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83"/>
      <c r="D862" s="32"/>
      <c r="E862" s="32"/>
      <c r="F862" s="32"/>
      <c r="G862" s="32">
        <f t="shared" si="217"/>
        <v>0</v>
      </c>
      <c r="H862" s="10"/>
      <c r="I862" s="10"/>
      <c r="J862" s="10"/>
      <c r="K862" s="12">
        <f t="shared" si="218"/>
        <v>0</v>
      </c>
      <c r="M862" s="10">
        <v>26</v>
      </c>
      <c r="N862" s="30"/>
      <c r="O862" s="31"/>
      <c r="P862" s="47"/>
      <c r="Q862" s="31"/>
      <c r="R862" s="31"/>
      <c r="S862" s="32">
        <f t="shared" si="219"/>
        <v>0</v>
      </c>
      <c r="T862" s="10"/>
      <c r="U862" s="10"/>
      <c r="V862" s="10"/>
      <c r="W862" s="12">
        <f t="shared" si="220"/>
        <v>0</v>
      </c>
      <c r="Y862" s="10">
        <v>26</v>
      </c>
      <c r="Z862" s="30"/>
      <c r="AA862" s="31"/>
      <c r="AB862" s="47"/>
      <c r="AC862" s="31"/>
      <c r="AD862" s="31"/>
      <c r="AE862" s="32">
        <f t="shared" si="226"/>
        <v>0</v>
      </c>
      <c r="AF862" s="10"/>
      <c r="AG862" s="10"/>
      <c r="AH862" s="10"/>
      <c r="AI862" s="12">
        <f t="shared" si="222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83"/>
      <c r="D863" s="32"/>
      <c r="E863" s="32"/>
      <c r="F863" s="32"/>
      <c r="G863" s="32">
        <f t="shared" si="217"/>
        <v>0</v>
      </c>
      <c r="H863" s="10"/>
      <c r="I863" s="10"/>
      <c r="J863" s="10"/>
      <c r="K863" s="12">
        <f t="shared" si="218"/>
        <v>0</v>
      </c>
      <c r="M863" s="10">
        <v>27</v>
      </c>
      <c r="N863" s="30"/>
      <c r="O863" s="31"/>
      <c r="P863" s="47"/>
      <c r="Q863" s="31"/>
      <c r="R863" s="31"/>
      <c r="S863" s="32">
        <f t="shared" si="219"/>
        <v>0</v>
      </c>
      <c r="T863" s="10"/>
      <c r="U863" s="10"/>
      <c r="V863" s="10"/>
      <c r="W863" s="12">
        <f t="shared" si="220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26"/>
        <v>0</v>
      </c>
      <c r="AF863" s="10"/>
      <c r="AG863" s="10"/>
      <c r="AH863" s="10"/>
      <c r="AI863" s="12">
        <f t="shared" si="222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83"/>
      <c r="D864" s="32"/>
      <c r="E864" s="32"/>
      <c r="F864" s="32"/>
      <c r="G864" s="32">
        <f t="shared" si="217"/>
        <v>0</v>
      </c>
      <c r="H864" s="10"/>
      <c r="I864" s="10"/>
      <c r="J864" s="10"/>
      <c r="K864" s="12">
        <f t="shared" si="218"/>
        <v>0</v>
      </c>
      <c r="M864" s="10">
        <v>28</v>
      </c>
      <c r="N864" s="30"/>
      <c r="O864" s="31"/>
      <c r="P864" s="47"/>
      <c r="Q864" s="31"/>
      <c r="R864" s="31"/>
      <c r="S864" s="32">
        <f t="shared" si="219"/>
        <v>0</v>
      </c>
      <c r="T864" s="10"/>
      <c r="U864" s="10"/>
      <c r="V864" s="10"/>
      <c r="W864" s="12">
        <f t="shared" si="220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26"/>
        <v>0</v>
      </c>
      <c r="AF864" s="10"/>
      <c r="AG864" s="10"/>
      <c r="AH864" s="10"/>
      <c r="AI864" s="12">
        <f t="shared" si="222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83"/>
      <c r="D865" s="32"/>
      <c r="E865" s="32"/>
      <c r="F865" s="32"/>
      <c r="G865" s="32">
        <f t="shared" si="217"/>
        <v>0</v>
      </c>
      <c r="H865" s="10"/>
      <c r="I865" s="10"/>
      <c r="J865" s="10"/>
      <c r="K865" s="12">
        <f t="shared" si="218"/>
        <v>0</v>
      </c>
      <c r="M865" s="10">
        <v>29</v>
      </c>
      <c r="N865" s="30"/>
      <c r="O865" s="31"/>
      <c r="P865" s="47"/>
      <c r="Q865" s="31"/>
      <c r="R865" s="31"/>
      <c r="S865" s="32">
        <f t="shared" si="219"/>
        <v>0</v>
      </c>
      <c r="T865" s="10"/>
      <c r="U865" s="10"/>
      <c r="V865" s="10"/>
      <c r="W865" s="12">
        <f t="shared" si="220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26"/>
        <v>0</v>
      </c>
      <c r="AF865" s="10"/>
      <c r="AG865" s="10"/>
      <c r="AH865" s="10"/>
      <c r="AI865" s="12">
        <f t="shared" si="222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83"/>
      <c r="D866" s="32"/>
      <c r="E866" s="32"/>
      <c r="F866" s="32"/>
      <c r="G866" s="32">
        <f t="shared" si="217"/>
        <v>0</v>
      </c>
      <c r="H866" s="10"/>
      <c r="I866" s="10"/>
      <c r="J866" s="10"/>
      <c r="K866" s="12">
        <f t="shared" si="218"/>
        <v>0</v>
      </c>
      <c r="M866" s="10">
        <v>30</v>
      </c>
      <c r="N866" s="30"/>
      <c r="O866" s="31"/>
      <c r="P866" s="47"/>
      <c r="Q866" s="31"/>
      <c r="R866" s="31"/>
      <c r="S866" s="32">
        <f t="shared" si="219"/>
        <v>0</v>
      </c>
      <c r="T866" s="10"/>
      <c r="U866" s="10"/>
      <c r="V866" s="10"/>
      <c r="W866" s="12">
        <f t="shared" si="220"/>
        <v>0</v>
      </c>
      <c r="Y866" s="10">
        <v>30</v>
      </c>
      <c r="Z866" s="30"/>
      <c r="AA866" s="31"/>
      <c r="AB866" s="47"/>
      <c r="AC866" s="31"/>
      <c r="AD866" s="31"/>
      <c r="AE866" s="32">
        <f t="shared" si="226"/>
        <v>0</v>
      </c>
      <c r="AF866" s="10"/>
      <c r="AG866" s="10"/>
      <c r="AH866" s="10"/>
      <c r="AI866" s="12">
        <f t="shared" si="222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83"/>
      <c r="D867" s="32"/>
      <c r="E867" s="32"/>
      <c r="F867" s="32"/>
      <c r="G867" s="32">
        <f t="shared" si="217"/>
        <v>0</v>
      </c>
      <c r="H867" s="10"/>
      <c r="I867" s="10"/>
      <c r="J867" s="10"/>
      <c r="K867" s="12">
        <f t="shared" si="218"/>
        <v>0</v>
      </c>
      <c r="M867" s="10">
        <v>31</v>
      </c>
      <c r="N867" s="30"/>
      <c r="O867" s="31"/>
      <c r="P867" s="47"/>
      <c r="Q867" s="31"/>
      <c r="R867" s="31"/>
      <c r="S867" s="32">
        <f t="shared" si="219"/>
        <v>0</v>
      </c>
      <c r="T867" s="10"/>
      <c r="U867" s="10"/>
      <c r="V867" s="10"/>
      <c r="W867" s="12">
        <f t="shared" si="220"/>
        <v>0</v>
      </c>
      <c r="Y867" s="10">
        <v>31</v>
      </c>
      <c r="Z867" s="30"/>
      <c r="AA867" s="31"/>
      <c r="AB867" s="47"/>
      <c r="AC867" s="31"/>
      <c r="AD867" s="31"/>
      <c r="AE867" s="32">
        <f t="shared" si="226"/>
        <v>0</v>
      </c>
      <c r="AF867" s="10"/>
      <c r="AG867" s="10"/>
      <c r="AH867" s="10"/>
      <c r="AI867" s="12">
        <f t="shared" si="222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83"/>
      <c r="D868" s="32"/>
      <c r="E868" s="32"/>
      <c r="F868" s="32"/>
      <c r="G868" s="32">
        <f t="shared" si="217"/>
        <v>0</v>
      </c>
      <c r="H868" s="10"/>
      <c r="I868" s="10"/>
      <c r="J868" s="10"/>
      <c r="K868" s="12">
        <f t="shared" si="218"/>
        <v>0</v>
      </c>
      <c r="M868" s="10">
        <v>32</v>
      </c>
      <c r="N868" s="30"/>
      <c r="O868" s="31"/>
      <c r="P868" s="47"/>
      <c r="Q868" s="31"/>
      <c r="R868" s="31"/>
      <c r="S868" s="32">
        <f t="shared" si="219"/>
        <v>0</v>
      </c>
      <c r="T868" s="10"/>
      <c r="U868" s="10"/>
      <c r="V868" s="10"/>
      <c r="W868" s="12">
        <f t="shared" si="220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26"/>
        <v>0</v>
      </c>
      <c r="AF868" s="10"/>
      <c r="AG868" s="10"/>
      <c r="AH868" s="10"/>
      <c r="AI868" s="12">
        <f t="shared" si="222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83"/>
      <c r="D869" s="32"/>
      <c r="E869" s="32"/>
      <c r="F869" s="32"/>
      <c r="G869" s="32">
        <f t="shared" si="217"/>
        <v>0</v>
      </c>
      <c r="H869" s="10"/>
      <c r="I869" s="10"/>
      <c r="J869" s="10"/>
      <c r="K869" s="12">
        <f t="shared" si="218"/>
        <v>0</v>
      </c>
      <c r="M869" s="10">
        <v>33</v>
      </c>
      <c r="N869" s="30"/>
      <c r="O869" s="31"/>
      <c r="P869" s="47"/>
      <c r="Q869" s="31"/>
      <c r="R869" s="31"/>
      <c r="S869" s="32">
        <f t="shared" si="219"/>
        <v>0</v>
      </c>
      <c r="T869" s="10"/>
      <c r="U869" s="10"/>
      <c r="V869" s="10"/>
      <c r="W869" s="12">
        <f t="shared" si="220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26"/>
        <v>0</v>
      </c>
      <c r="AF869" s="10"/>
      <c r="AG869" s="10"/>
      <c r="AH869" s="10"/>
      <c r="AI869" s="12">
        <f t="shared" si="222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83"/>
      <c r="D870" s="32"/>
      <c r="E870" s="32"/>
      <c r="F870" s="32"/>
      <c r="G870" s="32">
        <f t="shared" si="217"/>
        <v>0</v>
      </c>
      <c r="H870" s="10"/>
      <c r="I870" s="10"/>
      <c r="J870" s="10"/>
      <c r="K870" s="12">
        <f t="shared" si="218"/>
        <v>0</v>
      </c>
      <c r="M870" s="10">
        <v>34</v>
      </c>
      <c r="N870" s="30"/>
      <c r="O870" s="31"/>
      <c r="P870" s="47"/>
      <c r="Q870" s="31"/>
      <c r="R870" s="31"/>
      <c r="S870" s="32">
        <f t="shared" si="219"/>
        <v>0</v>
      </c>
      <c r="T870" s="10"/>
      <c r="U870" s="10"/>
      <c r="V870" s="10"/>
      <c r="W870" s="12">
        <f t="shared" si="220"/>
        <v>0</v>
      </c>
      <c r="Y870" s="10">
        <v>34</v>
      </c>
      <c r="Z870" s="30"/>
      <c r="AA870" s="31"/>
      <c r="AB870" s="47"/>
      <c r="AC870" s="31"/>
      <c r="AD870" s="31"/>
      <c r="AE870" s="32">
        <f t="shared" ref="AE870:AE875" si="227">SUM(AB870:AC870)</f>
        <v>0</v>
      </c>
      <c r="AF870" s="10"/>
      <c r="AG870" s="10"/>
      <c r="AH870" s="10"/>
      <c r="AI870" s="12">
        <f t="shared" si="222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ht="15" customHeight="1" x14ac:dyDescent="0.25">
      <c r="A871" s="10"/>
      <c r="B871" s="30"/>
      <c r="C871" s="83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219"/>
        <v>0</v>
      </c>
      <c r="T871" s="10"/>
      <c r="U871" s="10"/>
      <c r="V871" s="10"/>
      <c r="W871" s="12">
        <f t="shared" si="220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27"/>
        <v>0</v>
      </c>
      <c r="AF871" s="10"/>
      <c r="AG871" s="10"/>
      <c r="AH871" s="10"/>
      <c r="AI871" s="12">
        <f t="shared" si="222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83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19"/>
        <v>0</v>
      </c>
      <c r="T872" s="10"/>
      <c r="U872" s="10"/>
      <c r="V872" s="10"/>
      <c r="W872" s="12">
        <f t="shared" si="220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27"/>
        <v>0</v>
      </c>
      <c r="AF872" s="10"/>
      <c r="AG872" s="10"/>
      <c r="AH872" s="10"/>
      <c r="AI872" s="12">
        <f t="shared" si="222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219"/>
        <v>0</v>
      </c>
      <c r="T873" s="10"/>
      <c r="U873" s="10"/>
      <c r="V873" s="10"/>
      <c r="W873" s="12">
        <f t="shared" si="220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27"/>
        <v>0</v>
      </c>
      <c r="AF873" s="10"/>
      <c r="AG873" s="10"/>
      <c r="AH873" s="10"/>
      <c r="AI873" s="12">
        <f t="shared" si="222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19"/>
        <v>0</v>
      </c>
      <c r="T874" s="10"/>
      <c r="U874" s="10"/>
      <c r="V874" s="10"/>
      <c r="W874" s="12">
        <f t="shared" si="220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27"/>
        <v>0</v>
      </c>
      <c r="AF874" s="10"/>
      <c r="AG874" s="10"/>
      <c r="AH874" s="10"/>
      <c r="AI874" s="12">
        <f t="shared" si="222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19"/>
        <v>0</v>
      </c>
      <c r="T875" s="10"/>
      <c r="U875" s="10"/>
      <c r="V875" s="10"/>
      <c r="W875" s="12">
        <f t="shared" si="220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27"/>
        <v>0</v>
      </c>
      <c r="AF875" s="10"/>
      <c r="AG875" s="10"/>
      <c r="AH875" s="10"/>
      <c r="AI875" s="12">
        <f t="shared" si="222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20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22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28">SUM(D877:E877)</f>
        <v>0</v>
      </c>
      <c r="H877" s="10"/>
      <c r="I877" s="10"/>
      <c r="J877" s="10"/>
      <c r="K877" s="12">
        <f t="shared" ref="K877" si="229">SUM(G877:J877)</f>
        <v>0</v>
      </c>
      <c r="M877" s="10"/>
      <c r="N877" s="30"/>
      <c r="O877" s="31"/>
      <c r="P877" s="47"/>
      <c r="Q877" s="31"/>
      <c r="R877" s="31"/>
      <c r="S877" s="32">
        <f t="shared" ref="S877" si="230">SUM(P877:Q877)</f>
        <v>0</v>
      </c>
      <c r="T877" s="10"/>
      <c r="U877" s="10"/>
      <c r="V877" s="10"/>
      <c r="W877" s="12">
        <f t="shared" si="220"/>
        <v>0</v>
      </c>
      <c r="Y877" s="10"/>
      <c r="Z877" s="30"/>
      <c r="AA877" s="31"/>
      <c r="AB877" s="47"/>
      <c r="AC877" s="31"/>
      <c r="AD877" s="31"/>
      <c r="AE877" s="32">
        <f t="shared" ref="AE877" si="231">SUM(AB877:AC877)</f>
        <v>0</v>
      </c>
      <c r="AF877" s="10"/>
      <c r="AG877" s="10"/>
      <c r="AH877" s="10"/>
      <c r="AI877" s="12">
        <f t="shared" si="222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20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22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259426</v>
      </c>
      <c r="E880" s="38">
        <f t="shared" ref="E880:F880" si="232">SUM(E837:E877)</f>
        <v>-1728</v>
      </c>
      <c r="F880" s="38">
        <f t="shared" si="232"/>
        <v>0</v>
      </c>
      <c r="G880" s="38">
        <f>SUM(G837:G879)</f>
        <v>257698</v>
      </c>
      <c r="H880" s="4"/>
      <c r="I880" s="39">
        <f>SUM(I837:I879)</f>
        <v>1837.5</v>
      </c>
      <c r="J880" s="39">
        <f>SUM(J837:J879)</f>
        <v>-4667.25</v>
      </c>
      <c r="K880" s="40">
        <f>SUM(K837:K879)</f>
        <v>254868.25</v>
      </c>
      <c r="N880" s="57"/>
      <c r="O880" s="57"/>
      <c r="P880" s="38">
        <f>SUM(P837:P879)</f>
        <v>223144</v>
      </c>
      <c r="Q880" s="38">
        <f t="shared" ref="Q880:R880" si="233">SUM(Q837:Q877)</f>
        <v>-1296</v>
      </c>
      <c r="R880" s="38">
        <f t="shared" si="233"/>
        <v>0</v>
      </c>
      <c r="S880" s="38">
        <f t="shared" ref="S880" si="234">SUM(S837:S879)</f>
        <v>221848</v>
      </c>
      <c r="T880" s="4"/>
      <c r="U880" s="39">
        <f t="shared" ref="U880:W880" si="235">SUM(U837:U879)</f>
        <v>1882.5</v>
      </c>
      <c r="V880" s="39">
        <f t="shared" si="235"/>
        <v>-753</v>
      </c>
      <c r="W880" s="40">
        <f t="shared" si="235"/>
        <v>222977.5</v>
      </c>
      <c r="Z880" s="57"/>
      <c r="AA880" s="57"/>
      <c r="AB880" s="38">
        <f t="shared" ref="AB880" si="236">SUM(AB837:AB879)</f>
        <v>247137</v>
      </c>
      <c r="AC880" s="38">
        <f t="shared" ref="AC880:AD880" si="237">SUM(AC837:AC877)</f>
        <v>-1890</v>
      </c>
      <c r="AD880" s="38">
        <f t="shared" si="237"/>
        <v>0</v>
      </c>
      <c r="AE880" s="38">
        <f t="shared" ref="AE880" si="238">SUM(AE837:AE879)</f>
        <v>245247</v>
      </c>
      <c r="AF880" s="4"/>
      <c r="AG880" s="39">
        <f t="shared" ref="AG880:AI880" si="239">SUM(AG837:AG879)</f>
        <v>6865.5</v>
      </c>
      <c r="AH880" s="39">
        <f t="shared" si="239"/>
        <v>-1776</v>
      </c>
      <c r="AI880" s="40">
        <f t="shared" si="239"/>
        <v>250336.5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28</v>
      </c>
      <c r="B883" s="57"/>
      <c r="C883" s="57"/>
      <c r="D883" s="57"/>
      <c r="E883" s="57"/>
      <c r="G883" s="57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14</v>
      </c>
      <c r="B885" s="57"/>
      <c r="C885" s="57"/>
      <c r="D885" s="57"/>
      <c r="E885" s="57"/>
      <c r="G885" s="57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40</v>
      </c>
      <c r="B887" s="57"/>
      <c r="C887" s="57"/>
      <c r="D887" s="57"/>
      <c r="E887" s="57"/>
      <c r="G887" s="57"/>
      <c r="I887" s="57" t="s">
        <v>15</v>
      </c>
      <c r="J887" s="19">
        <v>1</v>
      </c>
      <c r="M887" t="s">
        <v>40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40</v>
      </c>
      <c r="Z887" s="57"/>
      <c r="AA887" s="57"/>
      <c r="AB887" s="57"/>
      <c r="AC887" s="57"/>
      <c r="AD887" s="57"/>
      <c r="AE887" s="57"/>
      <c r="AG887" s="57" t="s">
        <v>15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88</v>
      </c>
      <c r="B888" s="20"/>
      <c r="C888" s="57"/>
      <c r="D888" s="57"/>
      <c r="E888" s="57"/>
      <c r="G888" s="57"/>
      <c r="I888" s="22" t="s">
        <v>16</v>
      </c>
      <c r="J888" s="23" t="s">
        <v>38</v>
      </c>
      <c r="K888" s="24"/>
      <c r="M888" s="21" t="s">
        <v>88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32</v>
      </c>
      <c r="W888" s="24"/>
      <c r="Y888" s="21" t="s">
        <v>88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33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18" t="s">
        <v>17</v>
      </c>
      <c r="E890" s="118"/>
      <c r="F890" s="110"/>
      <c r="G890" s="27"/>
      <c r="I890" s="119" t="s">
        <v>18</v>
      </c>
      <c r="J890" s="120"/>
      <c r="K890" s="121" t="s">
        <v>19</v>
      </c>
      <c r="N890" s="25"/>
      <c r="O890" s="26"/>
      <c r="P890" s="118" t="s">
        <v>17</v>
      </c>
      <c r="Q890" s="118"/>
      <c r="R890" s="110"/>
      <c r="S890" s="27"/>
      <c r="U890" s="119" t="s">
        <v>18</v>
      </c>
      <c r="V890" s="120"/>
      <c r="W890" s="121" t="s">
        <v>19</v>
      </c>
      <c r="Z890" s="25"/>
      <c r="AA890" s="26"/>
      <c r="AB890" s="118" t="s">
        <v>17</v>
      </c>
      <c r="AC890" s="118"/>
      <c r="AD890" s="110"/>
      <c r="AE890" s="27"/>
      <c r="AG890" s="119" t="s">
        <v>18</v>
      </c>
      <c r="AH890" s="120"/>
      <c r="AI890" s="121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20</v>
      </c>
      <c r="C891" s="28" t="s">
        <v>21</v>
      </c>
      <c r="D891" s="77" t="s">
        <v>22</v>
      </c>
      <c r="E891" s="76" t="s">
        <v>23</v>
      </c>
      <c r="F891" s="78" t="s">
        <v>31</v>
      </c>
      <c r="G891" s="78" t="s">
        <v>24</v>
      </c>
      <c r="I891" s="29" t="s">
        <v>25</v>
      </c>
      <c r="J891" s="29" t="s">
        <v>26</v>
      </c>
      <c r="K891" s="122"/>
      <c r="N891" s="28" t="s">
        <v>20</v>
      </c>
      <c r="O891" s="28" t="s">
        <v>21</v>
      </c>
      <c r="P891" s="77" t="s">
        <v>22</v>
      </c>
      <c r="Q891" s="78" t="s">
        <v>23</v>
      </c>
      <c r="R891" s="78" t="s">
        <v>31</v>
      </c>
      <c r="S891" s="78" t="s">
        <v>24</v>
      </c>
      <c r="U891" s="29" t="s">
        <v>25</v>
      </c>
      <c r="V891" s="29" t="s">
        <v>26</v>
      </c>
      <c r="W891" s="122"/>
      <c r="Z891" s="28" t="s">
        <v>20</v>
      </c>
      <c r="AA891" s="28" t="s">
        <v>21</v>
      </c>
      <c r="AB891" s="77" t="s">
        <v>22</v>
      </c>
      <c r="AC891" s="78" t="s">
        <v>23</v>
      </c>
      <c r="AD891" s="78" t="s">
        <v>31</v>
      </c>
      <c r="AE891" s="78" t="s">
        <v>24</v>
      </c>
      <c r="AG891" s="29" t="s">
        <v>25</v>
      </c>
      <c r="AH891" s="29" t="s">
        <v>26</v>
      </c>
      <c r="AI891" s="12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87</v>
      </c>
      <c r="C892" s="83">
        <v>11155</v>
      </c>
      <c r="D892" s="32">
        <f>650*432+1050*10+229*5</f>
        <v>292445</v>
      </c>
      <c r="E892" s="32">
        <f>-442*6</f>
        <v>-2652</v>
      </c>
      <c r="F892" s="32"/>
      <c r="G892" s="32">
        <f t="shared" ref="G892:G925" si="240">SUM(D892:E892)</f>
        <v>289793</v>
      </c>
      <c r="H892" s="12"/>
      <c r="I892" s="12">
        <f>120*8+111*164+78*2</f>
        <v>19320</v>
      </c>
      <c r="J892" s="12"/>
      <c r="K892" s="12">
        <f t="shared" ref="K892:K925" si="241">SUM(G892:J892)</f>
        <v>309113</v>
      </c>
      <c r="M892" s="10">
        <v>1</v>
      </c>
      <c r="N892" s="30" t="s">
        <v>87</v>
      </c>
      <c r="O892" s="31">
        <v>11075</v>
      </c>
      <c r="P892" s="32">
        <f>650*19</f>
        <v>12350</v>
      </c>
      <c r="Q892" s="32"/>
      <c r="R892" s="32"/>
      <c r="S892" s="32">
        <f>SUM(P892:Q892)</f>
        <v>12350</v>
      </c>
      <c r="T892" s="12"/>
      <c r="U892" s="12">
        <f>4.5*12</f>
        <v>54</v>
      </c>
      <c r="V892" s="12"/>
      <c r="W892" s="12">
        <f>SUM(S892:V892)</f>
        <v>12404</v>
      </c>
      <c r="Y892" s="10">
        <v>1</v>
      </c>
      <c r="Z892" s="30" t="s">
        <v>87</v>
      </c>
      <c r="AA892" s="31">
        <v>11105</v>
      </c>
      <c r="AB892" s="32">
        <f>650*20+670*5+622*5</f>
        <v>19460</v>
      </c>
      <c r="AC892" s="32"/>
      <c r="AD892" s="32"/>
      <c r="AE892" s="32">
        <f>SUM(AB892:AC892)</f>
        <v>19460</v>
      </c>
      <c r="AF892" s="12"/>
      <c r="AG892" s="12"/>
      <c r="AH892" s="12"/>
      <c r="AI892" s="12">
        <f>SUM(AE892:AH892)</f>
        <v>19460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87</v>
      </c>
      <c r="C893" s="83">
        <f>C892+1</f>
        <v>11156</v>
      </c>
      <c r="D893" s="32">
        <f>650*17+670*2+229</f>
        <v>12619</v>
      </c>
      <c r="E893" s="32"/>
      <c r="F893" s="32"/>
      <c r="G893" s="32">
        <f t="shared" si="240"/>
        <v>12619</v>
      </c>
      <c r="H893" s="12"/>
      <c r="I893" s="12">
        <f>4.5*6</f>
        <v>27</v>
      </c>
      <c r="J893" s="12"/>
      <c r="K893" s="12">
        <f t="shared" si="241"/>
        <v>12646</v>
      </c>
      <c r="M893" s="10">
        <v>2</v>
      </c>
      <c r="N893" s="30" t="s">
        <v>87</v>
      </c>
      <c r="O893" s="31">
        <f>O892+1</f>
        <v>11076</v>
      </c>
      <c r="P893" s="32">
        <f>650*216+670*4+622*20+229*6</f>
        <v>156894</v>
      </c>
      <c r="Q893" s="32">
        <f>-240*6</f>
        <v>-1440</v>
      </c>
      <c r="R893" s="32"/>
      <c r="S893" s="32">
        <f t="shared" ref="S893:S930" si="242">SUM(P893:Q893)</f>
        <v>155454</v>
      </c>
      <c r="T893" s="12"/>
      <c r="U893" s="12">
        <f>1.5*144</f>
        <v>216</v>
      </c>
      <c r="V893" s="12"/>
      <c r="W893" s="12">
        <f t="shared" ref="W893:W933" si="243">SUM(S893:V893)</f>
        <v>155670</v>
      </c>
      <c r="Y893" s="10">
        <v>2</v>
      </c>
      <c r="Z893" s="30" t="s">
        <v>87</v>
      </c>
      <c r="AA893" s="31">
        <f>AA892+1</f>
        <v>11106</v>
      </c>
      <c r="AB893" s="32">
        <f>650*166+670*20+973*10+1050*10+229*8</f>
        <v>143362</v>
      </c>
      <c r="AC893" s="32">
        <f>-206*6</f>
        <v>-1236</v>
      </c>
      <c r="AD893" s="32"/>
      <c r="AE893" s="32">
        <f t="shared" ref="AE893:AE895" si="244">SUM(AB893:AC893)</f>
        <v>142126</v>
      </c>
      <c r="AF893" s="12"/>
      <c r="AG893" s="12">
        <f>120*9+78*2</f>
        <v>1236</v>
      </c>
      <c r="AH893" s="12"/>
      <c r="AI893" s="12">
        <f t="shared" ref="AI893:AI933" si="245">SUM(AE893:AH893)</f>
        <v>143362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87</v>
      </c>
      <c r="C894" s="83">
        <f t="shared" ref="C894" si="246">C893+1</f>
        <v>11157</v>
      </c>
      <c r="D894" s="33">
        <f>650*5+700+622*4</f>
        <v>6438</v>
      </c>
      <c r="E894" s="33"/>
      <c r="F894" s="33"/>
      <c r="G894" s="33">
        <f t="shared" si="240"/>
        <v>6438</v>
      </c>
      <c r="H894" s="34"/>
      <c r="I894" s="34"/>
      <c r="J894" s="34"/>
      <c r="K894" s="34">
        <f t="shared" si="241"/>
        <v>6438</v>
      </c>
      <c r="M894" s="10">
        <v>3</v>
      </c>
      <c r="N894" s="30" t="s">
        <v>87</v>
      </c>
      <c r="O894" s="31">
        <f t="shared" ref="O894:O898" si="247">O893+1</f>
        <v>11077</v>
      </c>
      <c r="P894" s="32">
        <f>650*13+229*2</f>
        <v>8908</v>
      </c>
      <c r="Q894" s="32"/>
      <c r="R894" s="32"/>
      <c r="S894" s="32">
        <f t="shared" si="242"/>
        <v>8908</v>
      </c>
      <c r="T894" s="12"/>
      <c r="U894" s="12">
        <f>-111*7</f>
        <v>-777</v>
      </c>
      <c r="V894" s="12"/>
      <c r="W894" s="12">
        <f t="shared" si="243"/>
        <v>8131</v>
      </c>
      <c r="Y894" s="10">
        <v>3</v>
      </c>
      <c r="Z894" s="30" t="s">
        <v>87</v>
      </c>
      <c r="AA894" s="31">
        <f t="shared" ref="AA894:AA897" si="248">AA893+1</f>
        <v>11107</v>
      </c>
      <c r="AB894" s="33">
        <f>650*216+670*15+622*97+912*5+1050*2+872*5+229*10</f>
        <v>224094</v>
      </c>
      <c r="AC894" s="33">
        <f>-334*6</f>
        <v>-2004</v>
      </c>
      <c r="AD894" s="32"/>
      <c r="AE894" s="32">
        <f t="shared" si="244"/>
        <v>222090</v>
      </c>
      <c r="AF894" s="12"/>
      <c r="AG894" s="12">
        <f>1.5*96</f>
        <v>144</v>
      </c>
      <c r="AH894" s="12"/>
      <c r="AI894" s="12">
        <f t="shared" si="245"/>
        <v>222234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 t="s">
        <v>87</v>
      </c>
      <c r="C895" s="83">
        <f>C894+1</f>
        <v>11158</v>
      </c>
      <c r="D895" s="32">
        <f>650*2+670*3+622*2+912*2+1050*2+872+500*2</f>
        <v>10350</v>
      </c>
      <c r="E895" s="32"/>
      <c r="F895" s="32"/>
      <c r="G895" s="32">
        <f t="shared" si="240"/>
        <v>10350</v>
      </c>
      <c r="H895" s="12"/>
      <c r="I895" s="12"/>
      <c r="J895" s="12"/>
      <c r="K895" s="12">
        <f t="shared" si="241"/>
        <v>10350</v>
      </c>
      <c r="M895" s="10">
        <v>4</v>
      </c>
      <c r="N895" s="30" t="s">
        <v>87</v>
      </c>
      <c r="O895" s="31">
        <f t="shared" si="247"/>
        <v>11078</v>
      </c>
      <c r="P895" s="32">
        <f>650*2+9.5*2</f>
        <v>1319</v>
      </c>
      <c r="Q895" s="32"/>
      <c r="R895" s="32"/>
      <c r="S895" s="32">
        <f t="shared" si="242"/>
        <v>1319</v>
      </c>
      <c r="T895" s="12"/>
      <c r="U895" s="12"/>
      <c r="V895" s="12"/>
      <c r="W895" s="12">
        <f t="shared" si="243"/>
        <v>1319</v>
      </c>
      <c r="Y895" s="10">
        <v>4</v>
      </c>
      <c r="Z895" s="30" t="s">
        <v>87</v>
      </c>
      <c r="AA895" s="31">
        <f t="shared" si="248"/>
        <v>11108</v>
      </c>
      <c r="AB895" s="32">
        <f>650*108+670*10+622*4+229*2</f>
        <v>79846</v>
      </c>
      <c r="AC895" s="32"/>
      <c r="AD895" s="32"/>
      <c r="AE895" s="32">
        <f t="shared" si="244"/>
        <v>79846</v>
      </c>
      <c r="AF895" s="12"/>
      <c r="AG895">
        <f>111*6</f>
        <v>666</v>
      </c>
      <c r="AH895" s="12"/>
      <c r="AI895" s="12">
        <f t="shared" si="245"/>
        <v>80512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 t="s">
        <v>87</v>
      </c>
      <c r="C896" s="83">
        <f>C895+1</f>
        <v>11159</v>
      </c>
      <c r="D896" s="32">
        <f>650*3+700</f>
        <v>2650</v>
      </c>
      <c r="E896" s="32"/>
      <c r="F896" s="32"/>
      <c r="G896" s="32">
        <f t="shared" si="240"/>
        <v>2650</v>
      </c>
      <c r="H896" s="12"/>
      <c r="I896" s="12"/>
      <c r="J896" s="12">
        <f>-111*11</f>
        <v>-1221</v>
      </c>
      <c r="K896" s="12">
        <f t="shared" si="241"/>
        <v>1429</v>
      </c>
      <c r="M896" s="10">
        <v>5</v>
      </c>
      <c r="N896" s="30" t="s">
        <v>87</v>
      </c>
      <c r="O896" s="31">
        <f t="shared" si="247"/>
        <v>11079</v>
      </c>
      <c r="P896" s="32">
        <f>650*15</f>
        <v>9750</v>
      </c>
      <c r="Q896" s="32"/>
      <c r="R896" s="32"/>
      <c r="S896" s="32">
        <f t="shared" si="242"/>
        <v>9750</v>
      </c>
      <c r="T896" s="12"/>
      <c r="U896" s="12"/>
      <c r="V896" s="12">
        <f>-111*6</f>
        <v>-666</v>
      </c>
      <c r="W896" s="12">
        <f t="shared" si="243"/>
        <v>9084</v>
      </c>
      <c r="Y896" s="10">
        <v>5</v>
      </c>
      <c r="Z896" s="30" t="s">
        <v>87</v>
      </c>
      <c r="AA896" s="31">
        <f t="shared" si="248"/>
        <v>11109</v>
      </c>
      <c r="AB896" s="32">
        <f>700*3</f>
        <v>2100</v>
      </c>
      <c r="AC896" s="32"/>
      <c r="AD896" s="32"/>
      <c r="AE896" s="32">
        <f t="shared" ref="AE896:AE924" si="249">SUM(AB896:AC896)</f>
        <v>2100</v>
      </c>
      <c r="AF896" s="12"/>
      <c r="AG896" s="12"/>
      <c r="AH896" s="12"/>
      <c r="AI896" s="12">
        <f t="shared" si="245"/>
        <v>2100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/>
      <c r="C897" s="11" t="s">
        <v>27</v>
      </c>
      <c r="D897" s="32"/>
      <c r="E897" s="32"/>
      <c r="F897" s="32"/>
      <c r="G897" s="32">
        <f t="shared" si="240"/>
        <v>0</v>
      </c>
      <c r="H897" s="12"/>
      <c r="I897" s="12"/>
      <c r="J897" s="12"/>
      <c r="K897" s="12">
        <f t="shared" si="241"/>
        <v>0</v>
      </c>
      <c r="M897" s="10">
        <v>6</v>
      </c>
      <c r="N897" s="30" t="s">
        <v>87</v>
      </c>
      <c r="O897" s="31">
        <f t="shared" si="247"/>
        <v>11080</v>
      </c>
      <c r="P897" s="32">
        <f>650*2</f>
        <v>1300</v>
      </c>
      <c r="Q897" s="32"/>
      <c r="R897" s="32"/>
      <c r="S897" s="32">
        <f t="shared" si="242"/>
        <v>1300</v>
      </c>
      <c r="T897" s="12"/>
      <c r="U897" s="12"/>
      <c r="V897" s="10"/>
      <c r="W897" s="12">
        <f t="shared" si="243"/>
        <v>1300</v>
      </c>
      <c r="Y897" s="10">
        <v>6</v>
      </c>
      <c r="Z897" s="30" t="s">
        <v>87</v>
      </c>
      <c r="AA897" s="31">
        <f t="shared" si="248"/>
        <v>11110</v>
      </c>
      <c r="AB897" s="32">
        <f>650*30+670+622*2</f>
        <v>21414</v>
      </c>
      <c r="AC897" s="32"/>
      <c r="AD897" s="32"/>
      <c r="AE897" s="32">
        <f t="shared" si="249"/>
        <v>21414</v>
      </c>
      <c r="AF897" s="12"/>
      <c r="AG897" s="12"/>
      <c r="AH897" s="10">
        <f>-111*9</f>
        <v>-999</v>
      </c>
      <c r="AI897" s="12">
        <f t="shared" si="245"/>
        <v>20415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/>
      <c r="D898" s="32"/>
      <c r="E898" s="32"/>
      <c r="F898" s="32"/>
      <c r="G898" s="32">
        <f t="shared" si="240"/>
        <v>0</v>
      </c>
      <c r="H898" s="12"/>
      <c r="I898" s="12"/>
      <c r="J898" s="12"/>
      <c r="K898" s="12">
        <f t="shared" si="241"/>
        <v>0</v>
      </c>
      <c r="M898" s="10">
        <v>7</v>
      </c>
      <c r="N898" s="30" t="s">
        <v>87</v>
      </c>
      <c r="O898" s="31">
        <f t="shared" si="247"/>
        <v>11081</v>
      </c>
      <c r="P898" s="32">
        <f>650*10</f>
        <v>6500</v>
      </c>
      <c r="Q898" s="32"/>
      <c r="R898" s="32"/>
      <c r="S898" s="32">
        <f t="shared" si="242"/>
        <v>6500</v>
      </c>
      <c r="T898" s="12"/>
      <c r="U898" s="12"/>
      <c r="V898" s="12"/>
      <c r="W898" s="12">
        <f t="shared" si="243"/>
        <v>6500</v>
      </c>
      <c r="Y898" s="10">
        <v>7</v>
      </c>
      <c r="Z898" s="30"/>
      <c r="AA898" s="11" t="s">
        <v>27</v>
      </c>
      <c r="AB898" s="32"/>
      <c r="AC898" s="32"/>
      <c r="AD898" s="32"/>
      <c r="AE898" s="32">
        <f t="shared" si="249"/>
        <v>0</v>
      </c>
      <c r="AF898" s="12"/>
      <c r="AG898" s="58"/>
      <c r="AH898" s="12"/>
      <c r="AI898" s="12">
        <f t="shared" si="245"/>
        <v>0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/>
      <c r="C899" s="83"/>
      <c r="D899" s="32"/>
      <c r="E899" s="32"/>
      <c r="F899" s="32"/>
      <c r="G899" s="32">
        <f t="shared" si="240"/>
        <v>0</v>
      </c>
      <c r="H899" s="12"/>
      <c r="I899" s="12"/>
      <c r="J899" s="12"/>
      <c r="K899" s="12">
        <f t="shared" si="241"/>
        <v>0</v>
      </c>
      <c r="M899" s="10">
        <v>8</v>
      </c>
      <c r="N899" s="30"/>
      <c r="O899" s="11" t="s">
        <v>27</v>
      </c>
      <c r="P899" s="32"/>
      <c r="Q899" s="32"/>
      <c r="R899" s="32"/>
      <c r="S899" s="32">
        <f t="shared" si="242"/>
        <v>0</v>
      </c>
      <c r="T899" s="12"/>
      <c r="U899" s="12"/>
      <c r="V899" s="12"/>
      <c r="W899" s="12">
        <f t="shared" si="243"/>
        <v>0</v>
      </c>
      <c r="Y899" s="10">
        <v>8</v>
      </c>
      <c r="Z899" s="30"/>
      <c r="AA899" s="31"/>
      <c r="AB899" s="32"/>
      <c r="AC899" s="32"/>
      <c r="AE899" s="32">
        <f t="shared" si="249"/>
        <v>0</v>
      </c>
      <c r="AF899" s="12"/>
      <c r="AG899" s="12"/>
      <c r="AH899" s="12"/>
      <c r="AI899" s="12">
        <f t="shared" si="245"/>
        <v>0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/>
      <c r="C900" s="83"/>
      <c r="D900" s="32"/>
      <c r="E900" s="32"/>
      <c r="F900" s="32"/>
      <c r="G900" s="32">
        <f t="shared" si="240"/>
        <v>0</v>
      </c>
      <c r="H900" s="12"/>
      <c r="I900" s="12"/>
      <c r="J900" s="12"/>
      <c r="K900" s="12">
        <f t="shared" si="241"/>
        <v>0</v>
      </c>
      <c r="M900" s="10">
        <v>9</v>
      </c>
      <c r="N900" s="30"/>
      <c r="O900" s="31"/>
      <c r="P900" s="32"/>
      <c r="Q900" s="32"/>
      <c r="R900" s="32"/>
      <c r="S900" s="32">
        <f t="shared" si="242"/>
        <v>0</v>
      </c>
      <c r="T900" s="12"/>
      <c r="U900" s="12"/>
      <c r="V900" s="12"/>
      <c r="W900" s="12">
        <f t="shared" si="243"/>
        <v>0</v>
      </c>
      <c r="Y900" s="10">
        <v>9</v>
      </c>
      <c r="Z900" s="30"/>
      <c r="AA900" s="31"/>
      <c r="AB900" s="32"/>
      <c r="AC900" s="32"/>
      <c r="AD900" s="32"/>
      <c r="AE900" s="32">
        <f t="shared" si="249"/>
        <v>0</v>
      </c>
      <c r="AF900" s="12"/>
      <c r="AH900" s="12"/>
      <c r="AI900" s="12">
        <f t="shared" si="245"/>
        <v>0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/>
      <c r="C901" s="83"/>
      <c r="D901" s="32"/>
      <c r="E901" s="32"/>
      <c r="F901" s="32"/>
      <c r="G901" s="32">
        <f t="shared" si="240"/>
        <v>0</v>
      </c>
      <c r="H901" s="12"/>
      <c r="I901" s="12"/>
      <c r="J901" s="12"/>
      <c r="K901" s="12">
        <f t="shared" si="241"/>
        <v>0</v>
      </c>
      <c r="M901" s="10">
        <v>10</v>
      </c>
      <c r="N901" s="30"/>
      <c r="O901" s="31"/>
      <c r="P901" s="32"/>
      <c r="Q901" s="32"/>
      <c r="R901" s="32"/>
      <c r="S901" s="32">
        <f t="shared" si="242"/>
        <v>0</v>
      </c>
      <c r="T901" s="12"/>
      <c r="U901" s="12"/>
      <c r="V901" s="12"/>
      <c r="W901" s="12">
        <f t="shared" si="243"/>
        <v>0</v>
      </c>
      <c r="Y901" s="10">
        <v>10</v>
      </c>
      <c r="Z901" s="30"/>
      <c r="AB901" s="32"/>
      <c r="AC901" s="32"/>
      <c r="AD901" s="32"/>
      <c r="AE901" s="32">
        <f t="shared" si="249"/>
        <v>0</v>
      </c>
      <c r="AF901" s="12"/>
      <c r="AG901" s="12"/>
      <c r="AH901" s="12"/>
      <c r="AI901" s="12">
        <f t="shared" si="245"/>
        <v>0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/>
      <c r="C902" s="57"/>
      <c r="D902" s="32"/>
      <c r="E902" s="32"/>
      <c r="F902" s="32"/>
      <c r="G902" s="32">
        <f t="shared" si="240"/>
        <v>0</v>
      </c>
      <c r="H902" s="12"/>
      <c r="I902" s="12"/>
      <c r="J902" s="12"/>
      <c r="K902" s="12">
        <f t="shared" si="241"/>
        <v>0</v>
      </c>
      <c r="M902" s="10">
        <v>11</v>
      </c>
      <c r="N902" s="30"/>
      <c r="O902" s="31"/>
      <c r="P902" s="32"/>
      <c r="Q902" s="32"/>
      <c r="R902" s="32"/>
      <c r="S902" s="32">
        <f t="shared" si="242"/>
        <v>0</v>
      </c>
      <c r="T902" s="12"/>
      <c r="U902" s="12"/>
      <c r="V902" s="12"/>
      <c r="W902" s="12">
        <f t="shared" si="243"/>
        <v>0</v>
      </c>
      <c r="Y902" s="10">
        <v>11</v>
      </c>
      <c r="Z902" s="30"/>
      <c r="AB902" s="32"/>
      <c r="AC902" s="32"/>
      <c r="AD902" s="32"/>
      <c r="AE902" s="32">
        <f t="shared" si="249"/>
        <v>0</v>
      </c>
      <c r="AF902" s="12"/>
      <c r="AG902" s="12"/>
      <c r="AH902" s="12"/>
      <c r="AI902" s="12">
        <f t="shared" si="245"/>
        <v>0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/>
      <c r="C903" s="83"/>
      <c r="D903" s="32"/>
      <c r="E903" s="32"/>
      <c r="F903" s="32"/>
      <c r="G903" s="32">
        <f t="shared" si="240"/>
        <v>0</v>
      </c>
      <c r="H903" s="12"/>
      <c r="I903" s="12"/>
      <c r="J903" s="10"/>
      <c r="K903" s="12">
        <f t="shared" si="241"/>
        <v>0</v>
      </c>
      <c r="M903" s="10">
        <v>12</v>
      </c>
      <c r="N903" s="30"/>
      <c r="O903" s="31"/>
      <c r="P903" s="32"/>
      <c r="Q903" s="32"/>
      <c r="R903" s="32"/>
      <c r="S903" s="32">
        <f t="shared" si="242"/>
        <v>0</v>
      </c>
      <c r="T903" s="12"/>
      <c r="U903" s="12"/>
      <c r="V903" s="12"/>
      <c r="W903" s="12">
        <f t="shared" si="243"/>
        <v>0</v>
      </c>
      <c r="Y903" s="10">
        <v>12</v>
      </c>
      <c r="Z903" s="30"/>
      <c r="AA903" s="31"/>
      <c r="AB903" s="32"/>
      <c r="AC903" s="32"/>
      <c r="AD903" s="32"/>
      <c r="AE903" s="32">
        <f t="shared" si="249"/>
        <v>0</v>
      </c>
      <c r="AF903" s="12"/>
      <c r="AG903" s="12"/>
      <c r="AH903" s="12"/>
      <c r="AI903" s="12">
        <f t="shared" si="245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/>
      <c r="C904" s="83"/>
      <c r="D904" s="32"/>
      <c r="E904" s="32"/>
      <c r="F904" s="32"/>
      <c r="G904" s="32">
        <f t="shared" si="240"/>
        <v>0</v>
      </c>
      <c r="H904" s="12"/>
      <c r="I904" s="12"/>
      <c r="J904" s="12"/>
      <c r="K904" s="12">
        <f t="shared" si="241"/>
        <v>0</v>
      </c>
      <c r="M904" s="10">
        <v>13</v>
      </c>
      <c r="N904" s="30"/>
      <c r="O904" s="31"/>
      <c r="P904" s="32"/>
      <c r="Q904" s="32"/>
      <c r="R904" s="32"/>
      <c r="S904" s="32">
        <f t="shared" si="242"/>
        <v>0</v>
      </c>
      <c r="T904" s="12"/>
      <c r="U904" s="12"/>
      <c r="V904" s="12"/>
      <c r="W904" s="12">
        <f t="shared" si="243"/>
        <v>0</v>
      </c>
      <c r="Y904" s="10">
        <v>13</v>
      </c>
      <c r="Z904" s="30"/>
      <c r="AA904" s="31"/>
      <c r="AB904" s="32"/>
      <c r="AC904" s="32"/>
      <c r="AD904" s="32"/>
      <c r="AE904" s="32">
        <f t="shared" si="249"/>
        <v>0</v>
      </c>
      <c r="AF904" s="12"/>
      <c r="AG904" s="12"/>
      <c r="AH904" s="12"/>
      <c r="AI904" s="12">
        <f t="shared" si="245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/>
      <c r="C905" s="83"/>
      <c r="D905" s="32"/>
      <c r="E905" s="32"/>
      <c r="F905" s="32"/>
      <c r="G905" s="32">
        <f t="shared" si="240"/>
        <v>0</v>
      </c>
      <c r="H905" s="12"/>
      <c r="I905" s="12"/>
      <c r="J905" s="12"/>
      <c r="K905" s="12">
        <f t="shared" si="241"/>
        <v>0</v>
      </c>
      <c r="M905" s="10">
        <v>14</v>
      </c>
      <c r="N905" s="30"/>
      <c r="O905" s="31"/>
      <c r="P905" s="32"/>
      <c r="Q905" s="32"/>
      <c r="R905" s="32"/>
      <c r="S905" s="32">
        <f t="shared" si="242"/>
        <v>0</v>
      </c>
      <c r="T905" s="12"/>
      <c r="U905" s="12"/>
      <c r="V905" s="12"/>
      <c r="W905" s="12">
        <f t="shared" si="243"/>
        <v>0</v>
      </c>
      <c r="Y905" s="10">
        <v>14</v>
      </c>
      <c r="Z905" s="30"/>
      <c r="AA905" s="31"/>
      <c r="AB905" s="32"/>
      <c r="AC905" s="32"/>
      <c r="AD905" s="32"/>
      <c r="AE905" s="32">
        <f t="shared" si="249"/>
        <v>0</v>
      </c>
      <c r="AF905" s="12"/>
      <c r="AG905" s="12"/>
      <c r="AH905" s="12"/>
      <c r="AI905" s="12">
        <f t="shared" si="245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/>
      <c r="C906" s="83"/>
      <c r="D906" s="32"/>
      <c r="E906" s="32"/>
      <c r="F906" s="32"/>
      <c r="G906" s="32">
        <f t="shared" si="240"/>
        <v>0</v>
      </c>
      <c r="H906" s="12"/>
      <c r="I906" s="12"/>
      <c r="J906" s="12"/>
      <c r="K906" s="12">
        <f t="shared" si="241"/>
        <v>0</v>
      </c>
      <c r="M906" s="10">
        <v>15</v>
      </c>
      <c r="N906" s="30"/>
      <c r="O906" s="31"/>
      <c r="P906" s="32"/>
      <c r="Q906" s="32"/>
      <c r="R906" s="32"/>
      <c r="S906" s="32">
        <f t="shared" si="242"/>
        <v>0</v>
      </c>
      <c r="T906" s="12"/>
      <c r="U906" s="12"/>
      <c r="V906" s="12"/>
      <c r="W906" s="12">
        <f t="shared" si="243"/>
        <v>0</v>
      </c>
      <c r="Y906" s="10">
        <v>15</v>
      </c>
      <c r="Z906" s="30"/>
      <c r="AA906" s="31"/>
      <c r="AB906" s="32"/>
      <c r="AC906" s="32"/>
      <c r="AD906" s="32"/>
      <c r="AE906" s="32">
        <f t="shared" si="249"/>
        <v>0</v>
      </c>
      <c r="AF906" s="12"/>
      <c r="AG906" s="12"/>
      <c r="AH906" s="12"/>
      <c r="AI906" s="12">
        <f t="shared" si="245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C907" s="11"/>
      <c r="D907" s="32"/>
      <c r="E907" s="32"/>
      <c r="F907" s="32"/>
      <c r="G907" s="32">
        <f t="shared" si="240"/>
        <v>0</v>
      </c>
      <c r="H907" s="12"/>
      <c r="I907" s="12"/>
      <c r="J907" s="12"/>
      <c r="K907" s="12">
        <f t="shared" si="241"/>
        <v>0</v>
      </c>
      <c r="M907" s="10">
        <v>16</v>
      </c>
      <c r="N907" s="30"/>
      <c r="P907" s="32"/>
      <c r="Q907" s="32"/>
      <c r="R907" s="32"/>
      <c r="S907" s="32">
        <f t="shared" si="242"/>
        <v>0</v>
      </c>
      <c r="T907" s="12"/>
      <c r="U907" s="12"/>
      <c r="V907" s="12"/>
      <c r="W907" s="12">
        <f t="shared" si="243"/>
        <v>0</v>
      </c>
      <c r="Y907" s="10">
        <v>16</v>
      </c>
      <c r="Z907" s="30"/>
      <c r="AA907" s="11"/>
      <c r="AB907" s="32"/>
      <c r="AC907" s="32"/>
      <c r="AD907" s="32"/>
      <c r="AE907" s="32">
        <f t="shared" si="249"/>
        <v>0</v>
      </c>
      <c r="AF907" s="12"/>
      <c r="AG907" s="12"/>
      <c r="AH907" s="12"/>
      <c r="AI907" s="12">
        <f t="shared" si="245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83"/>
      <c r="D908" s="32"/>
      <c r="E908" s="32"/>
      <c r="F908" s="32"/>
      <c r="G908" s="32">
        <f t="shared" si="240"/>
        <v>0</v>
      </c>
      <c r="H908" s="12"/>
      <c r="I908" s="12"/>
      <c r="J908" s="12"/>
      <c r="K908" s="12">
        <f t="shared" si="241"/>
        <v>0</v>
      </c>
      <c r="M908" s="10">
        <v>17</v>
      </c>
      <c r="N908" s="30"/>
      <c r="O908" s="31"/>
      <c r="P908" s="35"/>
      <c r="Q908" s="32"/>
      <c r="R908" s="32"/>
      <c r="S908" s="32">
        <f t="shared" si="242"/>
        <v>0</v>
      </c>
      <c r="T908" s="12"/>
      <c r="U908" s="12"/>
      <c r="V908" s="12"/>
      <c r="W908" s="12">
        <f t="shared" si="243"/>
        <v>0</v>
      </c>
      <c r="Y908" s="10">
        <v>17</v>
      </c>
      <c r="Z908" s="30"/>
      <c r="AA908" s="31"/>
      <c r="AB908" s="35"/>
      <c r="AC908" s="32"/>
      <c r="AD908" s="32"/>
      <c r="AE908" s="32">
        <f t="shared" si="249"/>
        <v>0</v>
      </c>
      <c r="AF908" s="12"/>
      <c r="AG908" s="12"/>
      <c r="AH908" s="12"/>
      <c r="AI908" s="12">
        <f t="shared" si="245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83"/>
      <c r="D909" s="32"/>
      <c r="E909" s="32"/>
      <c r="F909" s="32"/>
      <c r="G909" s="32">
        <f t="shared" si="240"/>
        <v>0</v>
      </c>
      <c r="H909" s="12"/>
      <c r="I909" s="12"/>
      <c r="J909" s="12"/>
      <c r="K909" s="12">
        <f t="shared" si="241"/>
        <v>0</v>
      </c>
      <c r="M909" s="10">
        <v>18</v>
      </c>
      <c r="N909" s="30"/>
      <c r="O909" s="31"/>
      <c r="P909" s="32"/>
      <c r="Q909" s="32"/>
      <c r="R909" s="32"/>
      <c r="S909" s="32">
        <f t="shared" si="242"/>
        <v>0</v>
      </c>
      <c r="T909" s="12"/>
      <c r="U909" s="12"/>
      <c r="V909" s="12"/>
      <c r="W909" s="12">
        <f t="shared" si="243"/>
        <v>0</v>
      </c>
      <c r="Y909" s="10">
        <v>18</v>
      </c>
      <c r="Z909" s="30"/>
      <c r="AA909" s="31"/>
      <c r="AB909" s="32"/>
      <c r="AC909" s="32"/>
      <c r="AD909" s="32"/>
      <c r="AE909" s="32">
        <f t="shared" si="249"/>
        <v>0</v>
      </c>
      <c r="AF909" s="12"/>
      <c r="AG909" s="12"/>
      <c r="AH909" s="12"/>
      <c r="AI909" s="12">
        <f t="shared" si="245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83"/>
      <c r="D910" s="32"/>
      <c r="E910" s="32"/>
      <c r="F910" s="32"/>
      <c r="G910" s="32">
        <f t="shared" si="240"/>
        <v>0</v>
      </c>
      <c r="H910" s="12"/>
      <c r="I910" s="12"/>
      <c r="J910" s="12"/>
      <c r="K910" s="12">
        <f t="shared" si="241"/>
        <v>0</v>
      </c>
      <c r="M910" s="10">
        <v>19</v>
      </c>
      <c r="N910" s="30"/>
      <c r="O910" s="31"/>
      <c r="P910" s="32"/>
      <c r="Q910" s="32"/>
      <c r="R910" s="32"/>
      <c r="S910" s="32">
        <f t="shared" si="242"/>
        <v>0</v>
      </c>
      <c r="T910" s="12"/>
      <c r="U910" s="12"/>
      <c r="V910" s="12"/>
      <c r="W910" s="12">
        <f t="shared" si="243"/>
        <v>0</v>
      </c>
      <c r="Y910" s="10">
        <v>19</v>
      </c>
      <c r="Z910" s="30"/>
      <c r="AA910" s="31"/>
      <c r="AB910" s="32"/>
      <c r="AC910" s="32"/>
      <c r="AD910" s="32"/>
      <c r="AE910" s="32">
        <f t="shared" si="249"/>
        <v>0</v>
      </c>
      <c r="AF910" s="12"/>
      <c r="AG910" s="12"/>
      <c r="AH910" s="12"/>
      <c r="AI910" s="12">
        <f t="shared" si="245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C911" s="83"/>
      <c r="D911" s="32"/>
      <c r="E911" s="32"/>
      <c r="F911" s="32"/>
      <c r="G911" s="32">
        <f t="shared" si="240"/>
        <v>0</v>
      </c>
      <c r="H911" s="12"/>
      <c r="I911" s="12"/>
      <c r="J911" s="12"/>
      <c r="K911" s="12">
        <f t="shared" si="241"/>
        <v>0</v>
      </c>
      <c r="M911" s="10">
        <v>20</v>
      </c>
      <c r="N911" s="30"/>
      <c r="O911" s="31"/>
      <c r="P911" s="32"/>
      <c r="Q911" s="32"/>
      <c r="R911" s="32"/>
      <c r="S911" s="32">
        <f t="shared" si="242"/>
        <v>0</v>
      </c>
      <c r="T911" s="12"/>
      <c r="U911" s="12"/>
      <c r="V911" s="12"/>
      <c r="W911" s="12">
        <f t="shared" si="243"/>
        <v>0</v>
      </c>
      <c r="Y911" s="10">
        <v>20</v>
      </c>
      <c r="Z911" s="30"/>
      <c r="AB911" s="32"/>
      <c r="AC911" s="32"/>
      <c r="AD911" s="32"/>
      <c r="AE911" s="32">
        <f t="shared" si="249"/>
        <v>0</v>
      </c>
      <c r="AF911" s="12"/>
      <c r="AG911" s="12"/>
      <c r="AH911" s="12"/>
      <c r="AI911" s="12">
        <f t="shared" si="245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C912" s="83"/>
      <c r="D912" s="32"/>
      <c r="E912" s="32"/>
      <c r="F912" s="32"/>
      <c r="G912" s="32">
        <f t="shared" si="240"/>
        <v>0</v>
      </c>
      <c r="H912" s="10"/>
      <c r="I912" s="10"/>
      <c r="J912" s="10"/>
      <c r="K912" s="12">
        <f t="shared" si="241"/>
        <v>0</v>
      </c>
      <c r="M912" s="10">
        <v>21</v>
      </c>
      <c r="N912" s="30"/>
      <c r="O912" s="31"/>
      <c r="P912" s="46"/>
      <c r="Q912" s="31"/>
      <c r="R912" s="31"/>
      <c r="S912" s="32">
        <f t="shared" si="242"/>
        <v>0</v>
      </c>
      <c r="T912" s="10"/>
      <c r="U912" s="10"/>
      <c r="V912" s="10"/>
      <c r="W912" s="12">
        <f t="shared" si="243"/>
        <v>0</v>
      </c>
      <c r="Y912" s="10">
        <v>21</v>
      </c>
      <c r="Z912" s="30"/>
      <c r="AA912" s="31"/>
      <c r="AB912" s="46"/>
      <c r="AC912" s="31"/>
      <c r="AD912" s="31"/>
      <c r="AE912" s="32">
        <f t="shared" si="249"/>
        <v>0</v>
      </c>
      <c r="AF912" s="10"/>
      <c r="AG912" s="10"/>
      <c r="AH912" s="10"/>
      <c r="AI912" s="12">
        <f t="shared" si="245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83"/>
      <c r="D913" s="32"/>
      <c r="E913" s="32"/>
      <c r="F913" s="32"/>
      <c r="G913" s="32">
        <f t="shared" si="240"/>
        <v>0</v>
      </c>
      <c r="H913" s="10"/>
      <c r="I913" s="10"/>
      <c r="J913" s="10"/>
      <c r="K913" s="12">
        <f t="shared" si="241"/>
        <v>0</v>
      </c>
      <c r="M913" s="10">
        <v>22</v>
      </c>
      <c r="N913" s="30"/>
      <c r="O913" s="31"/>
      <c r="P913" s="45"/>
      <c r="Q913" s="31"/>
      <c r="R913" s="31"/>
      <c r="S913" s="32">
        <f t="shared" si="242"/>
        <v>0</v>
      </c>
      <c r="T913" s="10"/>
      <c r="U913" s="10"/>
      <c r="V913" s="10"/>
      <c r="W913" s="12">
        <f t="shared" si="243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49"/>
        <v>0</v>
      </c>
      <c r="AF913" s="10"/>
      <c r="AG913" s="10"/>
      <c r="AH913" s="10"/>
      <c r="AI913" s="12">
        <f t="shared" si="245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83"/>
      <c r="D914" s="32"/>
      <c r="E914" s="32"/>
      <c r="F914" s="32"/>
      <c r="G914" s="32">
        <f t="shared" si="240"/>
        <v>0</v>
      </c>
      <c r="H914" s="10"/>
      <c r="I914" s="10"/>
      <c r="J914" s="12"/>
      <c r="K914" s="12">
        <f t="shared" si="241"/>
        <v>0</v>
      </c>
      <c r="M914" s="10">
        <v>23</v>
      </c>
      <c r="N914" s="30"/>
      <c r="O914" s="31"/>
      <c r="P914" s="47"/>
      <c r="Q914" s="31"/>
      <c r="S914" s="32">
        <f t="shared" si="242"/>
        <v>0</v>
      </c>
      <c r="T914" s="10"/>
      <c r="U914" s="10"/>
      <c r="V914" s="10"/>
      <c r="W914" s="12">
        <f t="shared" si="243"/>
        <v>0</v>
      </c>
      <c r="Y914" s="10">
        <v>23</v>
      </c>
      <c r="Z914" s="30"/>
      <c r="AA914" s="31"/>
      <c r="AB914" s="47"/>
      <c r="AE914" s="32">
        <f t="shared" si="249"/>
        <v>0</v>
      </c>
      <c r="AF914" s="10"/>
      <c r="AG914" s="10"/>
      <c r="AH914" s="10"/>
      <c r="AI914" s="12">
        <f t="shared" si="245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83"/>
      <c r="D915" s="32"/>
      <c r="E915" s="32"/>
      <c r="F915" s="32"/>
      <c r="G915" s="32">
        <f t="shared" si="240"/>
        <v>0</v>
      </c>
      <c r="H915" s="10"/>
      <c r="I915" s="10"/>
      <c r="J915" s="10"/>
      <c r="K915" s="12">
        <f t="shared" si="241"/>
        <v>0</v>
      </c>
      <c r="M915" s="10">
        <v>24</v>
      </c>
      <c r="N915" s="30"/>
      <c r="O915" s="31"/>
      <c r="P915" s="47"/>
      <c r="Q915" s="31"/>
      <c r="R915" s="31"/>
      <c r="S915" s="32">
        <f t="shared" si="242"/>
        <v>0</v>
      </c>
      <c r="T915" s="10"/>
      <c r="U915" s="10"/>
      <c r="V915" s="10"/>
      <c r="W915" s="12">
        <f t="shared" si="243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49"/>
        <v>0</v>
      </c>
      <c r="AF915" s="10"/>
      <c r="AG915" s="10"/>
      <c r="AH915" s="10"/>
      <c r="AI915" s="12">
        <f t="shared" si="245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C916" s="83"/>
      <c r="D916" s="32"/>
      <c r="E916" s="32"/>
      <c r="F916" s="32"/>
      <c r="G916" s="32">
        <f t="shared" si="240"/>
        <v>0</v>
      </c>
      <c r="H916" s="10"/>
      <c r="I916" s="10"/>
      <c r="J916" s="10"/>
      <c r="K916" s="12">
        <f t="shared" si="241"/>
        <v>0</v>
      </c>
      <c r="M916" s="10">
        <v>25</v>
      </c>
      <c r="N916" s="30"/>
      <c r="O916" s="31"/>
      <c r="P916" s="47"/>
      <c r="Q916" s="31"/>
      <c r="R916" s="31"/>
      <c r="S916" s="32">
        <f t="shared" si="242"/>
        <v>0</v>
      </c>
      <c r="T916" s="10"/>
      <c r="U916" s="10"/>
      <c r="V916" s="10"/>
      <c r="W916" s="12">
        <f t="shared" si="243"/>
        <v>0</v>
      </c>
      <c r="Y916" s="10">
        <v>25</v>
      </c>
      <c r="Z916" s="30"/>
      <c r="AA916" s="31"/>
      <c r="AB916" s="47"/>
      <c r="AC916" s="31"/>
      <c r="AD916" s="31"/>
      <c r="AE916" s="32">
        <f t="shared" si="249"/>
        <v>0</v>
      </c>
      <c r="AF916" s="10"/>
      <c r="AG916" s="10"/>
      <c r="AH916" s="10"/>
      <c r="AI916" s="12">
        <f t="shared" si="245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83"/>
      <c r="D917" s="32"/>
      <c r="E917" s="32"/>
      <c r="F917" s="32"/>
      <c r="G917" s="32">
        <f t="shared" si="240"/>
        <v>0</v>
      </c>
      <c r="H917" s="10"/>
      <c r="I917" s="10"/>
      <c r="J917" s="10"/>
      <c r="K917" s="12">
        <f t="shared" si="241"/>
        <v>0</v>
      </c>
      <c r="M917" s="10">
        <v>26</v>
      </c>
      <c r="N917" s="30"/>
      <c r="O917" s="31"/>
      <c r="P917" s="47"/>
      <c r="Q917" s="31"/>
      <c r="R917" s="31"/>
      <c r="S917" s="32">
        <f t="shared" si="242"/>
        <v>0</v>
      </c>
      <c r="T917" s="10"/>
      <c r="U917" s="10"/>
      <c r="V917" s="10"/>
      <c r="W917" s="12">
        <f t="shared" si="243"/>
        <v>0</v>
      </c>
      <c r="Y917" s="10">
        <v>26</v>
      </c>
      <c r="Z917" s="30"/>
      <c r="AA917" s="31"/>
      <c r="AB917" s="47"/>
      <c r="AC917" s="31"/>
      <c r="AD917" s="31"/>
      <c r="AE917" s="32">
        <f t="shared" si="249"/>
        <v>0</v>
      </c>
      <c r="AF917" s="10"/>
      <c r="AG917" s="10"/>
      <c r="AH917" s="10"/>
      <c r="AI917" s="12">
        <f t="shared" si="245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83"/>
      <c r="D918" s="32"/>
      <c r="E918" s="32"/>
      <c r="F918" s="32"/>
      <c r="G918" s="32">
        <f t="shared" si="240"/>
        <v>0</v>
      </c>
      <c r="H918" s="10"/>
      <c r="I918" s="10"/>
      <c r="J918" s="10"/>
      <c r="K918" s="12">
        <f t="shared" si="241"/>
        <v>0</v>
      </c>
      <c r="M918" s="10">
        <v>27</v>
      </c>
      <c r="N918" s="30"/>
      <c r="O918" s="31"/>
      <c r="P918" s="47"/>
      <c r="Q918" s="31"/>
      <c r="R918" s="31"/>
      <c r="S918" s="32">
        <f t="shared" si="242"/>
        <v>0</v>
      </c>
      <c r="T918" s="10"/>
      <c r="U918" s="10"/>
      <c r="V918" s="10"/>
      <c r="W918" s="12">
        <f t="shared" si="243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49"/>
        <v>0</v>
      </c>
      <c r="AF918" s="10"/>
      <c r="AG918" s="10"/>
      <c r="AH918" s="10"/>
      <c r="AI918" s="12">
        <f t="shared" si="245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83"/>
      <c r="D919" s="32"/>
      <c r="E919" s="32"/>
      <c r="F919" s="32"/>
      <c r="G919" s="32">
        <f t="shared" si="240"/>
        <v>0</v>
      </c>
      <c r="H919" s="10"/>
      <c r="I919" s="10"/>
      <c r="J919" s="10"/>
      <c r="K919" s="12">
        <f t="shared" si="241"/>
        <v>0</v>
      </c>
      <c r="M919" s="10">
        <v>28</v>
      </c>
      <c r="N919" s="30"/>
      <c r="O919" s="31"/>
      <c r="P919" s="47"/>
      <c r="Q919" s="31"/>
      <c r="R919" s="31"/>
      <c r="S919" s="32">
        <f t="shared" si="242"/>
        <v>0</v>
      </c>
      <c r="T919" s="10"/>
      <c r="U919" s="10"/>
      <c r="V919" s="10"/>
      <c r="W919" s="12">
        <f t="shared" si="243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49"/>
        <v>0</v>
      </c>
      <c r="AF919" s="10"/>
      <c r="AG919" s="10"/>
      <c r="AH919" s="10"/>
      <c r="AI919" s="12">
        <f t="shared" si="245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83"/>
      <c r="D920" s="32"/>
      <c r="E920" s="32"/>
      <c r="F920" s="32"/>
      <c r="G920" s="32">
        <f t="shared" si="240"/>
        <v>0</v>
      </c>
      <c r="H920" s="10"/>
      <c r="I920" s="10"/>
      <c r="J920" s="10"/>
      <c r="K920" s="12">
        <f t="shared" si="241"/>
        <v>0</v>
      </c>
      <c r="M920" s="10">
        <v>29</v>
      </c>
      <c r="N920" s="30"/>
      <c r="O920" s="31"/>
      <c r="P920" s="47"/>
      <c r="Q920" s="31"/>
      <c r="R920" s="31"/>
      <c r="S920" s="32">
        <f t="shared" si="242"/>
        <v>0</v>
      </c>
      <c r="T920" s="10"/>
      <c r="U920" s="10"/>
      <c r="V920" s="10"/>
      <c r="W920" s="12">
        <f t="shared" si="243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49"/>
        <v>0</v>
      </c>
      <c r="AF920" s="10"/>
      <c r="AG920" s="10"/>
      <c r="AH920" s="10"/>
      <c r="AI920" s="12">
        <f t="shared" si="245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83"/>
      <c r="D921" s="32"/>
      <c r="E921" s="32"/>
      <c r="F921" s="32"/>
      <c r="G921" s="32">
        <f t="shared" si="240"/>
        <v>0</v>
      </c>
      <c r="H921" s="10"/>
      <c r="I921" s="10"/>
      <c r="J921" s="10"/>
      <c r="K921" s="12">
        <f t="shared" si="241"/>
        <v>0</v>
      </c>
      <c r="M921" s="10">
        <v>30</v>
      </c>
      <c r="N921" s="30"/>
      <c r="O921" s="31"/>
      <c r="P921" s="47"/>
      <c r="Q921" s="31"/>
      <c r="R921" s="31"/>
      <c r="S921" s="32">
        <f t="shared" si="242"/>
        <v>0</v>
      </c>
      <c r="T921" s="10"/>
      <c r="U921" s="10"/>
      <c r="V921" s="10"/>
      <c r="W921" s="12">
        <f t="shared" si="243"/>
        <v>0</v>
      </c>
      <c r="Y921" s="10">
        <v>30</v>
      </c>
      <c r="Z921" s="30"/>
      <c r="AA921" s="31"/>
      <c r="AB921" s="47"/>
      <c r="AC921" s="31"/>
      <c r="AD921" s="31"/>
      <c r="AE921" s="32">
        <f t="shared" si="249"/>
        <v>0</v>
      </c>
      <c r="AF921" s="10"/>
      <c r="AG921" s="10"/>
      <c r="AH921" s="10"/>
      <c r="AI921" s="12">
        <f t="shared" si="245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83"/>
      <c r="D922" s="32"/>
      <c r="E922" s="32"/>
      <c r="F922" s="32"/>
      <c r="G922" s="32">
        <f t="shared" si="240"/>
        <v>0</v>
      </c>
      <c r="H922" s="10"/>
      <c r="I922" s="10"/>
      <c r="J922" s="10"/>
      <c r="K922" s="12">
        <f t="shared" si="241"/>
        <v>0</v>
      </c>
      <c r="M922" s="10">
        <v>31</v>
      </c>
      <c r="N922" s="30"/>
      <c r="O922" s="31"/>
      <c r="P922" s="47"/>
      <c r="Q922" s="31"/>
      <c r="R922" s="31"/>
      <c r="S922" s="32">
        <f t="shared" si="242"/>
        <v>0</v>
      </c>
      <c r="T922" s="10"/>
      <c r="U922" s="10"/>
      <c r="V922" s="10"/>
      <c r="W922" s="12">
        <f t="shared" si="243"/>
        <v>0</v>
      </c>
      <c r="Y922" s="10">
        <v>31</v>
      </c>
      <c r="Z922" s="30"/>
      <c r="AA922" s="31"/>
      <c r="AB922" s="47"/>
      <c r="AC922" s="31"/>
      <c r="AD922" s="31"/>
      <c r="AE922" s="32">
        <f t="shared" si="249"/>
        <v>0</v>
      </c>
      <c r="AF922" s="10"/>
      <c r="AG922" s="10"/>
      <c r="AH922" s="10"/>
      <c r="AI922" s="12">
        <f t="shared" si="245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83"/>
      <c r="D923" s="32"/>
      <c r="E923" s="32"/>
      <c r="F923" s="32"/>
      <c r="G923" s="32">
        <f t="shared" si="240"/>
        <v>0</v>
      </c>
      <c r="H923" s="10"/>
      <c r="I923" s="10"/>
      <c r="J923" s="10"/>
      <c r="K923" s="12">
        <f t="shared" si="241"/>
        <v>0</v>
      </c>
      <c r="M923" s="10">
        <v>32</v>
      </c>
      <c r="N923" s="30"/>
      <c r="O923" s="31"/>
      <c r="P923" s="47"/>
      <c r="Q923" s="31"/>
      <c r="R923" s="31"/>
      <c r="S923" s="32">
        <f t="shared" si="242"/>
        <v>0</v>
      </c>
      <c r="T923" s="10"/>
      <c r="U923" s="10"/>
      <c r="V923" s="10"/>
      <c r="W923" s="12">
        <f t="shared" si="243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49"/>
        <v>0</v>
      </c>
      <c r="AF923" s="10"/>
      <c r="AG923" s="10"/>
      <c r="AH923" s="10"/>
      <c r="AI923" s="12">
        <f t="shared" si="245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83"/>
      <c r="D924" s="32"/>
      <c r="E924" s="32"/>
      <c r="F924" s="32"/>
      <c r="G924" s="32">
        <f t="shared" si="240"/>
        <v>0</v>
      </c>
      <c r="H924" s="10"/>
      <c r="I924" s="10"/>
      <c r="J924" s="10"/>
      <c r="K924" s="12">
        <f t="shared" si="241"/>
        <v>0</v>
      </c>
      <c r="M924" s="10">
        <v>33</v>
      </c>
      <c r="N924" s="30"/>
      <c r="O924" s="31"/>
      <c r="P924" s="47"/>
      <c r="Q924" s="31"/>
      <c r="R924" s="31"/>
      <c r="S924" s="32">
        <f t="shared" si="242"/>
        <v>0</v>
      </c>
      <c r="T924" s="10"/>
      <c r="U924" s="10"/>
      <c r="V924" s="10"/>
      <c r="W924" s="12">
        <f t="shared" si="243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49"/>
        <v>0</v>
      </c>
      <c r="AF924" s="10"/>
      <c r="AG924" s="10"/>
      <c r="AH924" s="10"/>
      <c r="AI924" s="12">
        <f t="shared" si="245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83"/>
      <c r="D925" s="32"/>
      <c r="E925" s="32"/>
      <c r="F925" s="32"/>
      <c r="G925" s="32">
        <f t="shared" si="240"/>
        <v>0</v>
      </c>
      <c r="H925" s="10"/>
      <c r="I925" s="10"/>
      <c r="J925" s="10"/>
      <c r="K925" s="12">
        <f t="shared" si="241"/>
        <v>0</v>
      </c>
      <c r="M925" s="10">
        <v>34</v>
      </c>
      <c r="N925" s="30"/>
      <c r="O925" s="31"/>
      <c r="P925" s="47"/>
      <c r="Q925" s="31"/>
      <c r="R925" s="31"/>
      <c r="S925" s="32">
        <f t="shared" si="242"/>
        <v>0</v>
      </c>
      <c r="T925" s="10"/>
      <c r="U925" s="10"/>
      <c r="V925" s="10"/>
      <c r="W925" s="12">
        <f t="shared" si="243"/>
        <v>0</v>
      </c>
      <c r="Y925" s="10">
        <v>34</v>
      </c>
      <c r="Z925" s="30"/>
      <c r="AA925" s="31"/>
      <c r="AB925" s="47"/>
      <c r="AC925" s="31"/>
      <c r="AD925" s="31"/>
      <c r="AE925" s="32">
        <f t="shared" ref="AE925:AE930" si="250">SUM(AB925:AC925)</f>
        <v>0</v>
      </c>
      <c r="AF925" s="10"/>
      <c r="AG925" s="10"/>
      <c r="AH925" s="10"/>
      <c r="AI925" s="12">
        <f t="shared" si="245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83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O926" s="31"/>
      <c r="P926" s="47"/>
      <c r="Q926" s="31"/>
      <c r="R926" s="31"/>
      <c r="S926" s="32">
        <f t="shared" si="242"/>
        <v>0</v>
      </c>
      <c r="T926" s="10"/>
      <c r="U926" s="10"/>
      <c r="V926" s="10"/>
      <c r="W926" s="12">
        <f t="shared" si="243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50"/>
        <v>0</v>
      </c>
      <c r="AF926" s="10"/>
      <c r="AG926" s="10"/>
      <c r="AH926" s="10"/>
      <c r="AI926" s="12">
        <f t="shared" si="245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83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242"/>
        <v>0</v>
      </c>
      <c r="T927" s="10"/>
      <c r="U927" s="10"/>
      <c r="V927" s="10"/>
      <c r="W927" s="12">
        <f t="shared" si="243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50"/>
        <v>0</v>
      </c>
      <c r="AF927" s="10"/>
      <c r="AG927" s="10"/>
      <c r="AH927" s="10"/>
      <c r="AI927" s="12">
        <f t="shared" si="245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3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P928" s="47"/>
      <c r="Q928" s="31"/>
      <c r="R928" s="31"/>
      <c r="S928" s="32">
        <f t="shared" si="242"/>
        <v>0</v>
      </c>
      <c r="T928" s="10"/>
      <c r="U928" s="10"/>
      <c r="V928" s="10"/>
      <c r="W928" s="12">
        <f t="shared" si="243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50"/>
        <v>0</v>
      </c>
      <c r="AF928" s="10"/>
      <c r="AG928" s="10"/>
      <c r="AH928" s="10"/>
      <c r="AI928" s="12">
        <f t="shared" si="245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242"/>
        <v>0</v>
      </c>
      <c r="T929" s="10"/>
      <c r="U929" s="10"/>
      <c r="V929" s="10"/>
      <c r="W929" s="12">
        <f t="shared" si="243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50"/>
        <v>0</v>
      </c>
      <c r="AF929" s="10"/>
      <c r="AG929" s="10"/>
      <c r="AH929" s="10"/>
      <c r="AI929" s="12">
        <f t="shared" si="245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242"/>
        <v>0</v>
      </c>
      <c r="T930" s="10"/>
      <c r="U930" s="10"/>
      <c r="V930" s="10"/>
      <c r="W930" s="12">
        <f t="shared" si="243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50"/>
        <v>0</v>
      </c>
      <c r="AF930" s="10"/>
      <c r="AG930" s="10"/>
      <c r="AH930" s="10"/>
      <c r="AI930" s="12">
        <f t="shared" si="245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43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45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51">SUM(D932:E932)</f>
        <v>0</v>
      </c>
      <c r="H932" s="10"/>
      <c r="I932" s="10"/>
      <c r="J932" s="10"/>
      <c r="K932" s="12">
        <f t="shared" ref="K932" si="252">SUM(G932:J932)</f>
        <v>0</v>
      </c>
      <c r="M932" s="10"/>
      <c r="N932" s="30"/>
      <c r="O932" s="31"/>
      <c r="P932" s="47"/>
      <c r="Q932" s="31"/>
      <c r="R932" s="31"/>
      <c r="S932" s="32">
        <f t="shared" ref="S932" si="253">SUM(P932:Q932)</f>
        <v>0</v>
      </c>
      <c r="T932" s="10"/>
      <c r="U932" s="10"/>
      <c r="V932" s="10"/>
      <c r="W932" s="12">
        <f t="shared" si="243"/>
        <v>0</v>
      </c>
      <c r="Y932" s="10"/>
      <c r="Z932" s="30"/>
      <c r="AA932" s="31"/>
      <c r="AB932" s="47"/>
      <c r="AC932" s="31"/>
      <c r="AD932" s="31"/>
      <c r="AE932" s="32">
        <f t="shared" ref="AE932" si="254">SUM(AB932:AC932)</f>
        <v>0</v>
      </c>
      <c r="AF932" s="10"/>
      <c r="AG932" s="10"/>
      <c r="AH932" s="10"/>
      <c r="AI932" s="12">
        <f t="shared" si="245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43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45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324502</v>
      </c>
      <c r="E935" s="38">
        <f t="shared" ref="E935:F935" si="255">SUM(E892:E932)</f>
        <v>-2652</v>
      </c>
      <c r="F935" s="38">
        <f t="shared" si="255"/>
        <v>0</v>
      </c>
      <c r="G935" s="38">
        <f>SUM(G892:G934)</f>
        <v>321850</v>
      </c>
      <c r="H935" s="4"/>
      <c r="I935" s="39">
        <f>SUM(I892:I934)</f>
        <v>19347</v>
      </c>
      <c r="J935" s="39">
        <f>SUM(J892:J934)</f>
        <v>-1221</v>
      </c>
      <c r="K935" s="40">
        <f>SUM(K892:K934)</f>
        <v>339976</v>
      </c>
      <c r="N935" s="57"/>
      <c r="O935" s="57"/>
      <c r="P935" s="38">
        <f>SUM(P892:P934)</f>
        <v>197021</v>
      </c>
      <c r="Q935" s="38">
        <f t="shared" ref="Q935:R935" si="256">SUM(Q892:Q932)</f>
        <v>-1440</v>
      </c>
      <c r="R935" s="38">
        <f t="shared" si="256"/>
        <v>0</v>
      </c>
      <c r="S935" s="38">
        <f t="shared" ref="S935" si="257">SUM(S892:S934)</f>
        <v>195581</v>
      </c>
      <c r="T935" s="4"/>
      <c r="U935" s="39">
        <f t="shared" ref="U935:W935" si="258">SUM(U892:U934)</f>
        <v>-507</v>
      </c>
      <c r="V935" s="39">
        <f t="shared" si="258"/>
        <v>-666</v>
      </c>
      <c r="W935" s="40">
        <f t="shared" si="258"/>
        <v>194408</v>
      </c>
      <c r="Z935" s="57"/>
      <c r="AA935" s="57"/>
      <c r="AB935" s="38">
        <f t="shared" ref="AB935" si="259">SUM(AB892:AB934)</f>
        <v>490276</v>
      </c>
      <c r="AC935" s="38">
        <f t="shared" ref="AC935:AD935" si="260">SUM(AC892:AC932)</f>
        <v>-3240</v>
      </c>
      <c r="AD935" s="38">
        <f t="shared" si="260"/>
        <v>0</v>
      </c>
      <c r="AE935" s="38">
        <f t="shared" ref="AE935" si="261">SUM(AE892:AE934)</f>
        <v>487036</v>
      </c>
      <c r="AF935" s="4"/>
      <c r="AG935" s="39">
        <f t="shared" ref="AG935:AI935" si="262">SUM(AG892:AG934)</f>
        <v>2046</v>
      </c>
      <c r="AH935" s="39">
        <f t="shared" si="262"/>
        <v>-999</v>
      </c>
      <c r="AI935" s="40">
        <f t="shared" si="262"/>
        <v>488083</v>
      </c>
      <c r="AK935" s="62"/>
      <c r="AL935" s="86"/>
      <c r="AM935" s="86"/>
      <c r="AN935" s="86"/>
      <c r="AO935" s="86"/>
      <c r="AP935" s="86"/>
      <c r="AQ935" s="86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86"/>
      <c r="AM936" s="86"/>
      <c r="AN936" s="86"/>
      <c r="AO936" s="86"/>
      <c r="AP936" s="86"/>
      <c r="AQ936" s="86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t="s">
        <v>0</v>
      </c>
      <c r="B937" s="57"/>
      <c r="C937" s="57"/>
      <c r="D937" s="57"/>
      <c r="E937" s="57"/>
      <c r="G937" s="57"/>
      <c r="M937" t="s">
        <v>0</v>
      </c>
      <c r="N937" s="57"/>
      <c r="O937" s="57"/>
      <c r="P937" s="57"/>
      <c r="Q937" s="57"/>
      <c r="R937" s="57"/>
      <c r="S937" s="57"/>
      <c r="Y937" t="s">
        <v>0</v>
      </c>
      <c r="Z937" s="57"/>
      <c r="AA937" s="57"/>
      <c r="AB937" s="57"/>
      <c r="AC937" s="57"/>
      <c r="AD937" s="57"/>
      <c r="AE937" s="57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28</v>
      </c>
      <c r="B938" s="57"/>
      <c r="C938" s="57"/>
      <c r="D938" s="57"/>
      <c r="E938" s="57"/>
      <c r="G938" s="57"/>
      <c r="M938" t="s">
        <v>28</v>
      </c>
      <c r="N938" s="57"/>
      <c r="O938" s="57"/>
      <c r="P938" s="57"/>
      <c r="Q938" s="57"/>
      <c r="R938" s="57"/>
      <c r="S938" s="57"/>
      <c r="Y938" t="s">
        <v>28</v>
      </c>
      <c r="Z938" s="57"/>
      <c r="AA938" s="57"/>
      <c r="AB938" s="57"/>
      <c r="AC938" s="57"/>
      <c r="AD938" s="57"/>
      <c r="AE938" s="57"/>
      <c r="AK938" s="63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B939" s="57"/>
      <c r="C939" s="57"/>
      <c r="D939" s="57"/>
      <c r="E939" s="57"/>
      <c r="G939" s="57"/>
      <c r="N939" s="57"/>
      <c r="O939" s="57"/>
      <c r="P939" s="57"/>
      <c r="Q939" s="57"/>
      <c r="R939" s="57"/>
      <c r="S939" s="57"/>
      <c r="Z939" s="57"/>
      <c r="AA939" s="57"/>
      <c r="AB939" s="57"/>
      <c r="AC939" s="57"/>
      <c r="AD939" s="57"/>
      <c r="AE939" s="57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4" t="s">
        <v>14</v>
      </c>
      <c r="B940" s="57"/>
      <c r="C940" s="57"/>
      <c r="D940" s="57"/>
      <c r="E940" s="57"/>
      <c r="G940" s="57"/>
      <c r="M940" s="4" t="s">
        <v>14</v>
      </c>
      <c r="N940" s="57"/>
      <c r="O940" s="57"/>
      <c r="P940" s="57"/>
      <c r="Q940" s="57"/>
      <c r="R940" s="57"/>
      <c r="S940" s="57"/>
      <c r="Y940" s="4" t="s">
        <v>14</v>
      </c>
      <c r="Z940" s="57"/>
      <c r="AA940" s="57"/>
      <c r="AB940" s="57"/>
      <c r="AC940" s="57"/>
      <c r="AD940" s="57"/>
      <c r="AE940" s="57"/>
      <c r="AK940" s="62"/>
      <c r="AL940" s="86"/>
      <c r="AM940" s="86"/>
      <c r="AN940" s="86"/>
      <c r="AO940" s="86"/>
      <c r="AP940" s="86"/>
      <c r="AQ940" s="86"/>
      <c r="AR940" s="62"/>
      <c r="AS940" s="86"/>
      <c r="AT940" s="86"/>
      <c r="AU940" s="62"/>
      <c r="AV940" s="62"/>
      <c r="AW940" s="62"/>
      <c r="AX940" s="62"/>
      <c r="AY940" s="62"/>
      <c r="AZ940" s="62"/>
    </row>
    <row r="941" spans="1:52" x14ac:dyDescent="0.25">
      <c r="B941" s="57"/>
      <c r="C941" s="57"/>
      <c r="D941" s="57"/>
      <c r="E941" s="57"/>
      <c r="G941" s="57"/>
      <c r="N941" s="57"/>
      <c r="O941" s="57"/>
      <c r="P941" s="57"/>
      <c r="Q941" s="57"/>
      <c r="R941" s="57"/>
      <c r="S941" s="57"/>
      <c r="Z941" s="57"/>
      <c r="AA941" s="57"/>
      <c r="AB941" s="57"/>
      <c r="AC941" s="57"/>
      <c r="AD941" s="57"/>
      <c r="AE941" s="57"/>
      <c r="AK941" s="64"/>
      <c r="AL941" s="86"/>
      <c r="AM941" s="86"/>
      <c r="AN941" s="86"/>
      <c r="AO941" s="86"/>
      <c r="AP941" s="86"/>
      <c r="AQ941" s="86"/>
      <c r="AR941" s="62"/>
      <c r="AS941" s="65"/>
      <c r="AT941" s="65"/>
      <c r="AU941" s="62"/>
      <c r="AV941" s="62"/>
      <c r="AW941" s="62"/>
      <c r="AX941" s="62"/>
      <c r="AY941" s="62"/>
      <c r="AZ941" s="62"/>
    </row>
    <row r="942" spans="1:52" ht="15.75" x14ac:dyDescent="0.25">
      <c r="A942" t="s">
        <v>44</v>
      </c>
      <c r="B942" s="57"/>
      <c r="C942" s="57"/>
      <c r="D942" s="57"/>
      <c r="E942" s="57"/>
      <c r="G942" s="57"/>
      <c r="I942" s="57" t="s">
        <v>15</v>
      </c>
      <c r="J942" s="19">
        <v>1</v>
      </c>
      <c r="M942" t="s">
        <v>44</v>
      </c>
      <c r="N942" s="57"/>
      <c r="O942" s="57"/>
      <c r="P942" s="57"/>
      <c r="Q942" s="57"/>
      <c r="R942" s="57"/>
      <c r="S942" s="57"/>
      <c r="U942" s="57" t="s">
        <v>15</v>
      </c>
      <c r="V942" s="19">
        <v>2</v>
      </c>
      <c r="Y942" t="s">
        <v>44</v>
      </c>
      <c r="Z942" s="57"/>
      <c r="AA942" s="57"/>
      <c r="AB942" s="57"/>
      <c r="AC942" s="57"/>
      <c r="AD942" s="57"/>
      <c r="AE942" s="57"/>
      <c r="AG942" s="57" t="s">
        <v>15</v>
      </c>
      <c r="AH942" s="20">
        <v>3</v>
      </c>
      <c r="AK942" s="62"/>
      <c r="AL942" s="86"/>
      <c r="AM942" s="86"/>
      <c r="AN942" s="86"/>
      <c r="AO942" s="86"/>
      <c r="AP942" s="86"/>
      <c r="AQ942" s="86"/>
      <c r="AR942" s="62"/>
      <c r="AS942" s="62"/>
      <c r="AT942" s="62"/>
      <c r="AU942" s="62"/>
      <c r="AV942" s="62"/>
      <c r="AW942" s="62"/>
      <c r="AX942" s="62"/>
      <c r="AY942" s="62"/>
      <c r="AZ942" s="62"/>
    </row>
    <row r="943" spans="1:52" ht="15" customHeight="1" x14ac:dyDescent="0.25">
      <c r="A943" s="21" t="s">
        <v>92</v>
      </c>
      <c r="B943" s="20"/>
      <c r="C943" s="57"/>
      <c r="D943" s="57"/>
      <c r="E943" s="57"/>
      <c r="G943" s="57"/>
      <c r="I943" s="22" t="s">
        <v>16</v>
      </c>
      <c r="J943" s="23" t="s">
        <v>42</v>
      </c>
      <c r="K943" s="24"/>
      <c r="M943" s="21" t="s">
        <v>92</v>
      </c>
      <c r="N943" s="20"/>
      <c r="O943" s="57"/>
      <c r="P943" s="57"/>
      <c r="Q943" s="57"/>
      <c r="R943" s="57"/>
      <c r="S943" s="57"/>
      <c r="U943" s="22" t="s">
        <v>16</v>
      </c>
      <c r="V943" s="23" t="s">
        <v>32</v>
      </c>
      <c r="W943" s="24"/>
      <c r="Y943" s="21" t="s">
        <v>92</v>
      </c>
      <c r="Z943" s="20"/>
      <c r="AA943" s="57"/>
      <c r="AB943" s="57"/>
      <c r="AC943" s="57"/>
      <c r="AD943" s="57"/>
      <c r="AE943" s="57"/>
      <c r="AG943" s="22" t="s">
        <v>16</v>
      </c>
      <c r="AH943" s="23" t="s">
        <v>33</v>
      </c>
      <c r="AI943" s="24"/>
      <c r="AK943" s="62"/>
      <c r="AL943" s="65"/>
      <c r="AM943" s="86"/>
      <c r="AN943" s="123"/>
      <c r="AO943" s="123"/>
      <c r="AP943" s="86"/>
      <c r="AQ943" s="86"/>
      <c r="AR943" s="62"/>
      <c r="AS943" s="123"/>
      <c r="AT943" s="123"/>
      <c r="AU943" s="124"/>
      <c r="AV943" s="62"/>
      <c r="AW943" s="62"/>
      <c r="AX943" s="62"/>
      <c r="AY943" s="62"/>
      <c r="AZ943" s="62"/>
    </row>
    <row r="944" spans="1:52" x14ac:dyDescent="0.25">
      <c r="B944" s="57"/>
      <c r="C944" s="57"/>
      <c r="D944" s="57"/>
      <c r="E944" s="57"/>
      <c r="G944" s="57"/>
      <c r="N944" s="57"/>
      <c r="O944" s="57"/>
      <c r="P944" s="57"/>
      <c r="Q944" s="57"/>
      <c r="R944" s="57"/>
      <c r="S944" s="57"/>
      <c r="Z944" s="57"/>
      <c r="AA944" s="57"/>
      <c r="AB944" s="57"/>
      <c r="AC944" s="57"/>
      <c r="AD944" s="57"/>
      <c r="AE944" s="57"/>
      <c r="AK944" s="62"/>
      <c r="AL944" s="86"/>
      <c r="AM944" s="86"/>
      <c r="AN944" s="79"/>
      <c r="AO944" s="81"/>
      <c r="AP944" s="81"/>
      <c r="AQ944" s="81"/>
      <c r="AR944" s="62"/>
      <c r="AS944" s="85"/>
      <c r="AT944" s="85"/>
      <c r="AU944" s="124"/>
      <c r="AV944" s="62"/>
      <c r="AW944" s="62"/>
      <c r="AX944" s="62"/>
      <c r="AY944" s="62"/>
      <c r="AZ944" s="62"/>
    </row>
    <row r="945" spans="1:52" x14ac:dyDescent="0.25">
      <c r="B945" s="25"/>
      <c r="C945" s="26"/>
      <c r="D945" s="118" t="s">
        <v>17</v>
      </c>
      <c r="E945" s="118"/>
      <c r="F945" s="111"/>
      <c r="G945" s="27"/>
      <c r="I945" s="119" t="s">
        <v>18</v>
      </c>
      <c r="J945" s="120"/>
      <c r="K945" s="121" t="s">
        <v>19</v>
      </c>
      <c r="N945" s="25"/>
      <c r="O945" s="26"/>
      <c r="P945" s="118" t="s">
        <v>17</v>
      </c>
      <c r="Q945" s="118"/>
      <c r="R945" s="111"/>
      <c r="S945" s="27"/>
      <c r="U945" s="119" t="s">
        <v>18</v>
      </c>
      <c r="V945" s="120"/>
      <c r="W945" s="121" t="s">
        <v>19</v>
      </c>
      <c r="Z945" s="25"/>
      <c r="AA945" s="26"/>
      <c r="AB945" s="118" t="s">
        <v>17</v>
      </c>
      <c r="AC945" s="118"/>
      <c r="AD945" s="111"/>
      <c r="AE945" s="27"/>
      <c r="AG945" s="119" t="s">
        <v>18</v>
      </c>
      <c r="AH945" s="120"/>
      <c r="AI945" s="121" t="s">
        <v>19</v>
      </c>
      <c r="AK945" s="62"/>
      <c r="AL945" s="66"/>
      <c r="AM945" s="86"/>
      <c r="AN945" s="60"/>
      <c r="AO945" s="60"/>
      <c r="AP945" s="60"/>
      <c r="AQ945" s="60"/>
      <c r="AR945" s="61"/>
      <c r="AS945" s="61"/>
      <c r="AT945" s="61"/>
      <c r="AU945" s="61"/>
      <c r="AV945" s="62"/>
      <c r="AW945" s="62"/>
      <c r="AX945" s="62"/>
      <c r="AY945" s="62"/>
      <c r="AZ945" s="62"/>
    </row>
    <row r="946" spans="1:52" ht="30" x14ac:dyDescent="0.25">
      <c r="B946" s="28" t="s">
        <v>20</v>
      </c>
      <c r="C946" s="28" t="s">
        <v>21</v>
      </c>
      <c r="D946" s="77" t="s">
        <v>22</v>
      </c>
      <c r="E946" s="76" t="s">
        <v>23</v>
      </c>
      <c r="F946" s="78" t="s">
        <v>31</v>
      </c>
      <c r="G946" s="78" t="s">
        <v>24</v>
      </c>
      <c r="I946" s="29" t="s">
        <v>25</v>
      </c>
      <c r="J946" s="29" t="s">
        <v>26</v>
      </c>
      <c r="K946" s="122"/>
      <c r="N946" s="28" t="s">
        <v>20</v>
      </c>
      <c r="O946" s="28" t="s">
        <v>21</v>
      </c>
      <c r="P946" s="77" t="s">
        <v>22</v>
      </c>
      <c r="Q946" s="78" t="s">
        <v>23</v>
      </c>
      <c r="R946" s="78" t="s">
        <v>31</v>
      </c>
      <c r="S946" s="78" t="s">
        <v>24</v>
      </c>
      <c r="U946" s="29" t="s">
        <v>25</v>
      </c>
      <c r="V946" s="29" t="s">
        <v>26</v>
      </c>
      <c r="W946" s="122"/>
      <c r="Z946" s="28" t="s">
        <v>20</v>
      </c>
      <c r="AA946" s="28" t="s">
        <v>21</v>
      </c>
      <c r="AB946" s="77" t="s">
        <v>22</v>
      </c>
      <c r="AC946" s="78" t="s">
        <v>23</v>
      </c>
      <c r="AD946" s="78" t="s">
        <v>31</v>
      </c>
      <c r="AE946" s="78" t="s">
        <v>24</v>
      </c>
      <c r="AG946" s="29" t="s">
        <v>25</v>
      </c>
      <c r="AH946" s="29" t="s">
        <v>26</v>
      </c>
      <c r="AI946" s="122"/>
      <c r="AK946" s="62"/>
      <c r="AL946" s="66"/>
      <c r="AM946" s="86"/>
      <c r="AN946" s="60"/>
      <c r="AO946" s="60"/>
      <c r="AP946" s="60"/>
      <c r="AQ946" s="60"/>
      <c r="AR946" s="61"/>
      <c r="AS946" s="61"/>
      <c r="AT946" s="61"/>
      <c r="AU946" s="61"/>
      <c r="AV946" s="62"/>
      <c r="AW946" s="62"/>
      <c r="AX946" s="62"/>
      <c r="AY946" s="62"/>
      <c r="AZ946" s="62"/>
    </row>
    <row r="947" spans="1:52" x14ac:dyDescent="0.25">
      <c r="A947" s="10">
        <v>1</v>
      </c>
      <c r="B947" s="30" t="s">
        <v>93</v>
      </c>
      <c r="C947" s="83">
        <v>11160</v>
      </c>
      <c r="D947" s="32">
        <f>650*5</f>
        <v>3250</v>
      </c>
      <c r="E947" s="32"/>
      <c r="F947" s="32"/>
      <c r="G947" s="32">
        <f t="shared" ref="G947:G980" si="263">SUM(D947:E947)</f>
        <v>3250</v>
      </c>
      <c r="H947" s="12"/>
      <c r="I947" s="12">
        <f>111</f>
        <v>111</v>
      </c>
      <c r="J947" s="12"/>
      <c r="K947" s="12">
        <f t="shared" ref="K947:K980" si="264">SUM(G947:J947)</f>
        <v>3361</v>
      </c>
      <c r="M947" s="10">
        <v>1</v>
      </c>
      <c r="N947" s="30" t="s">
        <v>93</v>
      </c>
      <c r="O947" s="31">
        <v>11082</v>
      </c>
      <c r="P947" s="32">
        <f>650*216+229*9+650</f>
        <v>143111</v>
      </c>
      <c r="Q947" s="32">
        <f>-216*6</f>
        <v>-1296</v>
      </c>
      <c r="R947" s="32"/>
      <c r="S947" s="32">
        <f>SUM(P947:Q947)</f>
        <v>141815</v>
      </c>
      <c r="T947" s="12"/>
      <c r="U947" s="12">
        <f>78*8</f>
        <v>624</v>
      </c>
      <c r="V947" s="12">
        <f>-42*6</f>
        <v>-252</v>
      </c>
      <c r="W947" s="12">
        <f>SUM(S947:V947)</f>
        <v>142187</v>
      </c>
      <c r="Y947" s="10">
        <v>1</v>
      </c>
      <c r="Z947" s="30" t="s">
        <v>93</v>
      </c>
      <c r="AA947" s="31">
        <v>11111</v>
      </c>
      <c r="AB947" s="32">
        <f>650*108+872*2+229*5</f>
        <v>73089</v>
      </c>
      <c r="AC947" s="32"/>
      <c r="AD947" s="32"/>
      <c r="AE947" s="32">
        <f>SUM(AB947:AC947)</f>
        <v>73089</v>
      </c>
      <c r="AF947" s="12"/>
      <c r="AG947" s="12">
        <f>120*2</f>
        <v>240</v>
      </c>
      <c r="AH947" s="12">
        <f>-111*120+-78*6</f>
        <v>-13788</v>
      </c>
      <c r="AI947" s="12">
        <f>SUM(AE947:AH947)</f>
        <v>59541</v>
      </c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2</v>
      </c>
      <c r="B948" s="30" t="s">
        <v>93</v>
      </c>
      <c r="C948" s="83">
        <f>C947+1</f>
        <v>11161</v>
      </c>
      <c r="D948" s="32">
        <f>650*28+670+622*6+650</f>
        <v>23252</v>
      </c>
      <c r="E948" s="32"/>
      <c r="F948" s="32"/>
      <c r="G948" s="32">
        <f t="shared" si="263"/>
        <v>23252</v>
      </c>
      <c r="H948" s="12"/>
      <c r="I948" s="12"/>
      <c r="J948" s="12"/>
      <c r="K948" s="12">
        <f t="shared" si="264"/>
        <v>23252</v>
      </c>
      <c r="M948" s="10">
        <v>2</v>
      </c>
      <c r="N948" s="30" t="s">
        <v>93</v>
      </c>
      <c r="O948" s="31">
        <f>O947+1</f>
        <v>11083</v>
      </c>
      <c r="P948" s="32">
        <f>650*100+622*5+229*2</f>
        <v>68568</v>
      </c>
      <c r="Q948" s="32">
        <f>-105*6</f>
        <v>-630</v>
      </c>
      <c r="R948" s="32"/>
      <c r="S948" s="32">
        <f t="shared" ref="S948:S985" si="265">SUM(P948:Q948)</f>
        <v>67938</v>
      </c>
      <c r="T948" s="12"/>
      <c r="U948" s="12"/>
      <c r="V948" s="12">
        <f>-111*6</f>
        <v>-666</v>
      </c>
      <c r="W948" s="12">
        <f t="shared" ref="W948:W988" si="266">SUM(S948:V948)</f>
        <v>67272</v>
      </c>
      <c r="Y948" s="10">
        <v>2</v>
      </c>
      <c r="Z948" s="30" t="s">
        <v>93</v>
      </c>
      <c r="AA948" s="31">
        <f>AA947+1</f>
        <v>11112</v>
      </c>
      <c r="AB948" s="32">
        <f>650*195+229*4</f>
        <v>127666</v>
      </c>
      <c r="AC948" s="32">
        <f>-195*6</f>
        <v>-1170</v>
      </c>
      <c r="AD948" s="32"/>
      <c r="AE948" s="32">
        <f t="shared" ref="AE948:AE950" si="267">SUM(AB948:AC948)</f>
        <v>126496</v>
      </c>
      <c r="AF948" s="12"/>
      <c r="AG948" s="12">
        <f>1.5*60</f>
        <v>90</v>
      </c>
      <c r="AH948" s="12"/>
      <c r="AI948" s="12">
        <f t="shared" ref="AI948:AI988" si="268">SUM(AE948:AH948)</f>
        <v>126586</v>
      </c>
      <c r="AK948" s="62"/>
      <c r="AL948" s="66"/>
      <c r="AM948" s="86"/>
      <c r="AN948" s="60"/>
      <c r="AO948" s="60"/>
      <c r="AP948" s="60"/>
      <c r="AQ948" s="60"/>
      <c r="AR948" s="61"/>
      <c r="AS948" s="62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3</v>
      </c>
      <c r="B949" s="30" t="s">
        <v>93</v>
      </c>
      <c r="C949" s="83">
        <f t="shared" ref="C949" si="269">C948+1</f>
        <v>11162</v>
      </c>
      <c r="D949" s="33">
        <f>650*20+1175+1102+622*5+1175+1050+872*2+1175+650*4</f>
        <v>26131</v>
      </c>
      <c r="E949" s="33"/>
      <c r="F949" s="33"/>
      <c r="G949" s="33">
        <f t="shared" si="263"/>
        <v>26131</v>
      </c>
      <c r="H949" s="34"/>
      <c r="I949" s="34">
        <f>111*4+4.5*30</f>
        <v>579</v>
      </c>
      <c r="J949" s="34"/>
      <c r="K949" s="34">
        <f t="shared" si="264"/>
        <v>26710</v>
      </c>
      <c r="M949" s="10">
        <v>3</v>
      </c>
      <c r="N949" s="30" t="s">
        <v>93</v>
      </c>
      <c r="O949" s="31">
        <f t="shared" ref="O949:O950" si="270">O948+1</f>
        <v>11084</v>
      </c>
      <c r="P949" s="32">
        <f>650*10+670</f>
        <v>7170</v>
      </c>
      <c r="Q949" s="32"/>
      <c r="R949" s="32"/>
      <c r="S949" s="32">
        <f t="shared" si="265"/>
        <v>7170</v>
      </c>
      <c r="T949" s="12"/>
      <c r="U949" s="12">
        <v>111</v>
      </c>
      <c r="V949" s="12"/>
      <c r="W949" s="12">
        <f t="shared" si="266"/>
        <v>7281</v>
      </c>
      <c r="Y949" s="10">
        <v>3</v>
      </c>
      <c r="Z949" s="30" t="s">
        <v>93</v>
      </c>
      <c r="AA949" s="31">
        <f t="shared" ref="AA949:AA957" si="271">AA948+1</f>
        <v>11113</v>
      </c>
      <c r="AB949" s="33">
        <f>670*10</f>
        <v>6700</v>
      </c>
      <c r="AC949" s="33"/>
      <c r="AD949" s="32"/>
      <c r="AE949" s="32">
        <f t="shared" si="267"/>
        <v>6700</v>
      </c>
      <c r="AF949" s="12"/>
      <c r="AG949" s="12">
        <f>2.25+4.5*6</f>
        <v>29.25</v>
      </c>
      <c r="AH949" s="12"/>
      <c r="AI949" s="12">
        <f t="shared" si="268"/>
        <v>6729.25</v>
      </c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4</v>
      </c>
      <c r="B950" s="30" t="s">
        <v>93</v>
      </c>
      <c r="C950" s="83">
        <f>C949+1</f>
        <v>11163</v>
      </c>
      <c r="D950" s="32">
        <f>650*6+9.5*6</f>
        <v>3957</v>
      </c>
      <c r="E950" s="32"/>
      <c r="F950" s="32"/>
      <c r="G950" s="32">
        <f t="shared" si="263"/>
        <v>3957</v>
      </c>
      <c r="H950" s="12"/>
      <c r="I950" s="12"/>
      <c r="J950" s="12"/>
      <c r="K950" s="12">
        <f t="shared" si="264"/>
        <v>3957</v>
      </c>
      <c r="M950" s="10">
        <v>4</v>
      </c>
      <c r="N950" s="30" t="s">
        <v>93</v>
      </c>
      <c r="O950" s="31">
        <f t="shared" si="270"/>
        <v>11085</v>
      </c>
      <c r="P950" s="32">
        <f>650+670+872</f>
        <v>2192</v>
      </c>
      <c r="Q950" s="32"/>
      <c r="R950" s="32"/>
      <c r="S950" s="32">
        <f t="shared" si="265"/>
        <v>2192</v>
      </c>
      <c r="T950" s="12"/>
      <c r="U950" s="12">
        <v>120</v>
      </c>
      <c r="V950" s="12"/>
      <c r="W950" s="12">
        <f t="shared" si="266"/>
        <v>2312</v>
      </c>
      <c r="Y950" s="10">
        <v>4</v>
      </c>
      <c r="Z950" s="30" t="s">
        <v>93</v>
      </c>
      <c r="AA950" s="31">
        <f t="shared" si="271"/>
        <v>11114</v>
      </c>
      <c r="AB950" s="32">
        <f>670*10</f>
        <v>6700</v>
      </c>
      <c r="AC950" s="32"/>
      <c r="AD950" s="32"/>
      <c r="AE950" s="32">
        <f t="shared" si="267"/>
        <v>6700</v>
      </c>
      <c r="AF950" s="12"/>
      <c r="AG950">
        <f>4.5*12</f>
        <v>54</v>
      </c>
      <c r="AH950" s="12"/>
      <c r="AI950" s="12">
        <f t="shared" si="268"/>
        <v>6754</v>
      </c>
      <c r="AK950" s="62"/>
      <c r="AL950" s="66"/>
      <c r="AM950" s="65"/>
      <c r="AN950" s="60"/>
      <c r="AO950" s="60"/>
      <c r="AP950" s="60"/>
      <c r="AQ950" s="60"/>
      <c r="AR950" s="61"/>
      <c r="AS950" s="61"/>
      <c r="AT950" s="62"/>
      <c r="AU950" s="61"/>
      <c r="AV950" s="62"/>
      <c r="AW950" s="62"/>
      <c r="AX950" s="62"/>
      <c r="AY950" s="62"/>
      <c r="AZ950" s="62"/>
    </row>
    <row r="951" spans="1:52" x14ac:dyDescent="0.25">
      <c r="A951" s="10">
        <v>5</v>
      </c>
      <c r="B951" s="30" t="s">
        <v>93</v>
      </c>
      <c r="C951" s="83">
        <f>C950+1</f>
        <v>11164</v>
      </c>
      <c r="D951" s="32">
        <f>650*9+670*2+622*5+912+9.5*14</f>
        <v>11345</v>
      </c>
      <c r="E951" s="32"/>
      <c r="F951" s="32"/>
      <c r="G951" s="32">
        <f t="shared" si="263"/>
        <v>11345</v>
      </c>
      <c r="H951" s="12"/>
      <c r="I951" s="12"/>
      <c r="J951" s="12"/>
      <c r="K951" s="12">
        <f t="shared" si="264"/>
        <v>11345</v>
      </c>
      <c r="M951" s="10">
        <v>5</v>
      </c>
      <c r="N951" s="30"/>
      <c r="O951" s="11" t="s">
        <v>27</v>
      </c>
      <c r="P951" s="32"/>
      <c r="Q951" s="32"/>
      <c r="R951" s="32"/>
      <c r="S951" s="32">
        <f t="shared" si="265"/>
        <v>0</v>
      </c>
      <c r="T951" s="12"/>
      <c r="U951" s="12"/>
      <c r="V951" s="12"/>
      <c r="W951" s="12">
        <f t="shared" si="266"/>
        <v>0</v>
      </c>
      <c r="Y951" s="10">
        <v>5</v>
      </c>
      <c r="Z951" s="30" t="s">
        <v>93</v>
      </c>
      <c r="AA951" s="31">
        <f t="shared" si="271"/>
        <v>11115</v>
      </c>
      <c r="AB951" s="32">
        <f>650*45+622*9+229</f>
        <v>35077</v>
      </c>
      <c r="AC951" s="32"/>
      <c r="AD951" s="32"/>
      <c r="AE951" s="32">
        <f t="shared" ref="AE951:AE979" si="272">SUM(AB951:AC951)</f>
        <v>35077</v>
      </c>
      <c r="AF951" s="12"/>
      <c r="AG951" s="12"/>
      <c r="AH951" s="12">
        <f>-111*8</f>
        <v>-888</v>
      </c>
      <c r="AI951" s="12">
        <f t="shared" si="268"/>
        <v>34189</v>
      </c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6</v>
      </c>
      <c r="B952" s="30" t="s">
        <v>93</v>
      </c>
      <c r="C952" s="83">
        <f t="shared" ref="C952:C956" si="273">C951+1</f>
        <v>11165</v>
      </c>
      <c r="D952" s="32">
        <f>650*18+670*2+9.5*18</f>
        <v>13211</v>
      </c>
      <c r="E952" s="32"/>
      <c r="F952" s="32"/>
      <c r="G952" s="32">
        <f t="shared" si="263"/>
        <v>13211</v>
      </c>
      <c r="H952" s="12"/>
      <c r="I952" s="12"/>
      <c r="J952" s="12"/>
      <c r="K952" s="12">
        <f t="shared" si="264"/>
        <v>13211</v>
      </c>
      <c r="M952" s="10">
        <v>6</v>
      </c>
      <c r="N952" s="30"/>
      <c r="O952" s="31"/>
      <c r="P952" s="32"/>
      <c r="Q952" s="32"/>
      <c r="R952" s="32"/>
      <c r="S952" s="32">
        <f t="shared" si="265"/>
        <v>0</v>
      </c>
      <c r="T952" s="12"/>
      <c r="U952" s="12"/>
      <c r="V952" s="10"/>
      <c r="W952" s="12">
        <f t="shared" si="266"/>
        <v>0</v>
      </c>
      <c r="Y952" s="10">
        <v>6</v>
      </c>
      <c r="Z952" s="30" t="s">
        <v>93</v>
      </c>
      <c r="AA952" s="31">
        <f t="shared" si="271"/>
        <v>11116</v>
      </c>
      <c r="AB952" s="32">
        <f>650*162+229*5</f>
        <v>106445</v>
      </c>
      <c r="AC952" s="32">
        <f>-162*6</f>
        <v>-972</v>
      </c>
      <c r="AD952" s="32"/>
      <c r="AE952" s="32">
        <f t="shared" si="272"/>
        <v>105473</v>
      </c>
      <c r="AF952" s="12"/>
      <c r="AG952" s="12">
        <f>111*56</f>
        <v>6216</v>
      </c>
      <c r="AH952" s="10"/>
      <c r="AI952" s="12">
        <f t="shared" si="268"/>
        <v>111689</v>
      </c>
      <c r="AK952" s="62"/>
      <c r="AL952" s="66"/>
      <c r="AM952" s="86"/>
      <c r="AN952" s="60"/>
      <c r="AO952" s="60"/>
      <c r="AP952" s="62"/>
      <c r="AQ952" s="60"/>
      <c r="AR952" s="61"/>
      <c r="AS952" s="61"/>
      <c r="AT952" s="61"/>
      <c r="AU952" s="61"/>
      <c r="AV952" s="62"/>
      <c r="AW952" s="62"/>
      <c r="AX952" s="62"/>
      <c r="AY952" s="62"/>
      <c r="AZ952" s="62"/>
    </row>
    <row r="953" spans="1:52" x14ac:dyDescent="0.25">
      <c r="A953" s="10">
        <v>7</v>
      </c>
      <c r="B953" s="30" t="s">
        <v>93</v>
      </c>
      <c r="C953" s="83">
        <f t="shared" si="273"/>
        <v>11166</v>
      </c>
      <c r="D953" s="32">
        <f>650*55</f>
        <v>35750</v>
      </c>
      <c r="E953" s="32"/>
      <c r="F953" s="32"/>
      <c r="G953" s="32">
        <f t="shared" si="263"/>
        <v>35750</v>
      </c>
      <c r="H953" s="12"/>
      <c r="I953" s="12"/>
      <c r="J953" s="12"/>
      <c r="K953" s="12">
        <f t="shared" si="264"/>
        <v>35750</v>
      </c>
      <c r="M953" s="10">
        <v>7</v>
      </c>
      <c r="N953" s="30"/>
      <c r="O953" s="31"/>
      <c r="P953" s="32"/>
      <c r="Q953" s="32"/>
      <c r="R953" s="32"/>
      <c r="S953" s="32">
        <f t="shared" si="265"/>
        <v>0</v>
      </c>
      <c r="T953" s="12"/>
      <c r="U953" s="12"/>
      <c r="V953" s="12"/>
      <c r="W953" s="12">
        <f t="shared" si="266"/>
        <v>0</v>
      </c>
      <c r="Y953" s="10">
        <v>7</v>
      </c>
      <c r="Z953" s="30" t="s">
        <v>93</v>
      </c>
      <c r="AA953" s="31">
        <f t="shared" si="271"/>
        <v>11117</v>
      </c>
      <c r="AB953" s="32">
        <f>650*10</f>
        <v>6500</v>
      </c>
      <c r="AC953" s="32"/>
      <c r="AD953" s="32"/>
      <c r="AE953" s="32">
        <f t="shared" si="272"/>
        <v>6500</v>
      </c>
      <c r="AF953" s="12"/>
      <c r="AG953" s="58"/>
      <c r="AH953" s="12"/>
      <c r="AI953" s="12">
        <f t="shared" si="268"/>
        <v>6500</v>
      </c>
      <c r="AK953" s="62"/>
      <c r="AL953" s="66"/>
      <c r="AM953" s="86"/>
      <c r="AN953" s="62"/>
      <c r="AO953" s="60"/>
      <c r="AP953" s="60"/>
      <c r="AQ953" s="60"/>
      <c r="AR953" s="61"/>
      <c r="AS953" s="62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8</v>
      </c>
      <c r="B954" s="30" t="s">
        <v>93</v>
      </c>
      <c r="C954" s="83">
        <f t="shared" si="273"/>
        <v>11167</v>
      </c>
      <c r="D954" s="32">
        <f>650*120+622*20</f>
        <v>90440</v>
      </c>
      <c r="E954" s="32"/>
      <c r="F954" s="32"/>
      <c r="G954" s="32">
        <f t="shared" si="263"/>
        <v>90440</v>
      </c>
      <c r="H954" s="12"/>
      <c r="I954" s="12">
        <f>4.5*4</f>
        <v>18</v>
      </c>
      <c r="J954" s="12">
        <f>-111*21</f>
        <v>-2331</v>
      </c>
      <c r="K954" s="12">
        <f t="shared" si="264"/>
        <v>88127</v>
      </c>
      <c r="M954" s="10">
        <v>8</v>
      </c>
      <c r="N954" s="30"/>
      <c r="P954" s="32"/>
      <c r="Q954" s="32"/>
      <c r="R954" s="32"/>
      <c r="S954" s="32">
        <f t="shared" si="265"/>
        <v>0</v>
      </c>
      <c r="T954" s="12"/>
      <c r="U954" s="12"/>
      <c r="V954" s="12"/>
      <c r="W954" s="12">
        <f t="shared" si="266"/>
        <v>0</v>
      </c>
      <c r="Y954" s="10">
        <v>8</v>
      </c>
      <c r="Z954" s="30" t="s">
        <v>93</v>
      </c>
      <c r="AA954" s="31">
        <f t="shared" si="271"/>
        <v>11118</v>
      </c>
      <c r="AB954" s="32">
        <f>650*5+670*2+622*4</f>
        <v>7078</v>
      </c>
      <c r="AC954" s="32"/>
      <c r="AE954" s="32">
        <f t="shared" si="272"/>
        <v>7078</v>
      </c>
      <c r="AF954" s="12"/>
      <c r="AG954" s="12">
        <f>4.5*33</f>
        <v>148.5</v>
      </c>
      <c r="AH954" s="12"/>
      <c r="AI954" s="12">
        <f t="shared" si="268"/>
        <v>7226.5</v>
      </c>
      <c r="AK954" s="62"/>
      <c r="AL954" s="66"/>
      <c r="AM954" s="62"/>
      <c r="AN954" s="60"/>
      <c r="AO954" s="60"/>
      <c r="AP954" s="60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9</v>
      </c>
      <c r="B955" s="30" t="s">
        <v>93</v>
      </c>
      <c r="C955" s="83">
        <f t="shared" si="273"/>
        <v>11168</v>
      </c>
      <c r="D955" s="32">
        <f>650*35+622*5</f>
        <v>25860</v>
      </c>
      <c r="E955" s="32"/>
      <c r="F955" s="32"/>
      <c r="G955" s="32">
        <f t="shared" si="263"/>
        <v>25860</v>
      </c>
      <c r="H955" s="12"/>
      <c r="I955" s="12"/>
      <c r="J955" s="12"/>
      <c r="K955" s="12">
        <f t="shared" si="264"/>
        <v>25860</v>
      </c>
      <c r="M955" s="10">
        <v>9</v>
      </c>
      <c r="N955" s="30"/>
      <c r="O955" s="31"/>
      <c r="P955" s="32"/>
      <c r="Q955" s="32"/>
      <c r="R955" s="32"/>
      <c r="S955" s="32">
        <f t="shared" si="265"/>
        <v>0</v>
      </c>
      <c r="T955" s="12"/>
      <c r="U955" s="12"/>
      <c r="V955" s="12"/>
      <c r="W955" s="12">
        <f t="shared" si="266"/>
        <v>0</v>
      </c>
      <c r="Y955" s="10">
        <v>9</v>
      </c>
      <c r="Z955" s="30" t="s">
        <v>93</v>
      </c>
      <c r="AA955" s="31">
        <f t="shared" si="271"/>
        <v>11119</v>
      </c>
      <c r="AB955" s="32">
        <f>650*35+622*5+229</f>
        <v>26089</v>
      </c>
      <c r="AC955" s="32"/>
      <c r="AD955" s="32"/>
      <c r="AE955" s="32">
        <f t="shared" si="272"/>
        <v>26089</v>
      </c>
      <c r="AF955" s="12"/>
      <c r="AG955">
        <f>1.5*4+4.5*7</f>
        <v>37.5</v>
      </c>
      <c r="AH955" s="12"/>
      <c r="AI955" s="12">
        <f t="shared" si="268"/>
        <v>26126.5</v>
      </c>
      <c r="AK955" s="62"/>
      <c r="AL955" s="66"/>
      <c r="AM955" s="86"/>
      <c r="AN955" s="60"/>
      <c r="AO955" s="60"/>
      <c r="AP955" s="60"/>
      <c r="AQ955" s="60"/>
      <c r="AR955" s="61"/>
      <c r="AS955" s="61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10</v>
      </c>
      <c r="B956" s="30" t="s">
        <v>93</v>
      </c>
      <c r="C956" s="83">
        <f t="shared" si="273"/>
        <v>11169</v>
      </c>
      <c r="D956" s="32">
        <f>650*19+622*2</f>
        <v>13594</v>
      </c>
      <c r="E956" s="32"/>
      <c r="F956" s="32"/>
      <c r="G956" s="32">
        <f t="shared" si="263"/>
        <v>13594</v>
      </c>
      <c r="H956" s="12"/>
      <c r="I956" s="12"/>
      <c r="J956" s="12">
        <f>-111*3</f>
        <v>-333</v>
      </c>
      <c r="K956" s="12">
        <f t="shared" si="264"/>
        <v>13261</v>
      </c>
      <c r="M956" s="10">
        <v>10</v>
      </c>
      <c r="N956" s="30"/>
      <c r="O956" s="31"/>
      <c r="P956" s="32"/>
      <c r="Q956" s="32"/>
      <c r="R956" s="32"/>
      <c r="S956" s="32">
        <f t="shared" si="265"/>
        <v>0</v>
      </c>
      <c r="T956" s="12"/>
      <c r="U956" s="12"/>
      <c r="V956" s="12"/>
      <c r="W956" s="12">
        <f t="shared" si="266"/>
        <v>0</v>
      </c>
      <c r="Y956" s="10">
        <v>10</v>
      </c>
      <c r="Z956" s="30" t="s">
        <v>93</v>
      </c>
      <c r="AA956" s="31">
        <f t="shared" si="271"/>
        <v>11120</v>
      </c>
      <c r="AB956" s="32">
        <f>650*7+670+622*2</f>
        <v>6464</v>
      </c>
      <c r="AC956" s="32"/>
      <c r="AD956" s="32"/>
      <c r="AE956" s="32">
        <f t="shared" si="272"/>
        <v>6464</v>
      </c>
      <c r="AF956" s="12"/>
      <c r="AG956" s="12"/>
      <c r="AH956" s="12"/>
      <c r="AI956" s="12">
        <f t="shared" si="268"/>
        <v>6464</v>
      </c>
      <c r="AK956" s="62"/>
      <c r="AL956" s="66"/>
      <c r="AM956" s="86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11</v>
      </c>
      <c r="B957" s="30"/>
      <c r="C957" s="11" t="s">
        <v>27</v>
      </c>
      <c r="D957" s="32"/>
      <c r="E957" s="32"/>
      <c r="F957" s="32"/>
      <c r="G957" s="32">
        <f t="shared" si="263"/>
        <v>0</v>
      </c>
      <c r="H957" s="12"/>
      <c r="I957" s="12"/>
      <c r="J957" s="12"/>
      <c r="K957" s="12">
        <f t="shared" si="264"/>
        <v>0</v>
      </c>
      <c r="M957" s="10">
        <v>11</v>
      </c>
      <c r="N957" s="30"/>
      <c r="O957" s="31"/>
      <c r="P957" s="32"/>
      <c r="Q957" s="32"/>
      <c r="R957" s="32"/>
      <c r="S957" s="32">
        <f t="shared" si="265"/>
        <v>0</v>
      </c>
      <c r="T957" s="12"/>
      <c r="U957" s="12"/>
      <c r="V957" s="12"/>
      <c r="W957" s="12">
        <f t="shared" si="266"/>
        <v>0</v>
      </c>
      <c r="Y957" s="10">
        <v>11</v>
      </c>
      <c r="Z957" s="30" t="s">
        <v>93</v>
      </c>
      <c r="AA957" s="31">
        <f t="shared" si="271"/>
        <v>11121</v>
      </c>
      <c r="AB957" s="32">
        <f>650*5</f>
        <v>3250</v>
      </c>
      <c r="AC957" s="32"/>
      <c r="AD957" s="32"/>
      <c r="AE957" s="32">
        <f t="shared" si="272"/>
        <v>3250</v>
      </c>
      <c r="AF957" s="12"/>
      <c r="AG957" s="12"/>
      <c r="AH957" s="12"/>
      <c r="AI957" s="12">
        <f t="shared" si="268"/>
        <v>3250</v>
      </c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12</v>
      </c>
      <c r="B958" s="30"/>
      <c r="C958" s="83"/>
      <c r="D958" s="32"/>
      <c r="E958" s="32"/>
      <c r="F958" s="32"/>
      <c r="G958" s="32">
        <f t="shared" si="263"/>
        <v>0</v>
      </c>
      <c r="H958" s="12"/>
      <c r="I958" s="12"/>
      <c r="J958" s="10"/>
      <c r="K958" s="12">
        <f t="shared" si="264"/>
        <v>0</v>
      </c>
      <c r="M958" s="10">
        <v>12</v>
      </c>
      <c r="N958" s="30"/>
      <c r="O958" s="31"/>
      <c r="P958" s="32"/>
      <c r="Q958" s="32"/>
      <c r="R958" s="32"/>
      <c r="S958" s="32">
        <f t="shared" si="265"/>
        <v>0</v>
      </c>
      <c r="T958" s="12"/>
      <c r="U958" s="12"/>
      <c r="V958" s="12"/>
      <c r="W958" s="12">
        <f t="shared" si="266"/>
        <v>0</v>
      </c>
      <c r="Y958" s="10">
        <v>12</v>
      </c>
      <c r="Z958" s="30"/>
      <c r="AA958" s="11" t="s">
        <v>27</v>
      </c>
      <c r="AB958" s="32"/>
      <c r="AC958" s="32"/>
      <c r="AD958" s="32"/>
      <c r="AE958" s="32">
        <f t="shared" si="272"/>
        <v>0</v>
      </c>
      <c r="AF958" s="12"/>
      <c r="AG958" s="12"/>
      <c r="AH958" s="12"/>
      <c r="AI958" s="12">
        <f t="shared" si="268"/>
        <v>0</v>
      </c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13</v>
      </c>
      <c r="B959" s="30"/>
      <c r="C959" s="83"/>
      <c r="D959" s="32"/>
      <c r="E959" s="32"/>
      <c r="F959" s="32"/>
      <c r="G959" s="32">
        <f t="shared" si="263"/>
        <v>0</v>
      </c>
      <c r="H959" s="12"/>
      <c r="I959" s="12"/>
      <c r="J959" s="12"/>
      <c r="K959" s="12">
        <f t="shared" si="264"/>
        <v>0</v>
      </c>
      <c r="M959" s="10">
        <v>13</v>
      </c>
      <c r="N959" s="30"/>
      <c r="O959" s="31"/>
      <c r="P959" s="32"/>
      <c r="Q959" s="32"/>
      <c r="R959" s="32"/>
      <c r="S959" s="32">
        <f t="shared" si="265"/>
        <v>0</v>
      </c>
      <c r="T959" s="12"/>
      <c r="U959" s="12"/>
      <c r="V959" s="12"/>
      <c r="W959" s="12">
        <f t="shared" si="266"/>
        <v>0</v>
      </c>
      <c r="Y959" s="10">
        <v>13</v>
      </c>
      <c r="Z959" s="30"/>
      <c r="AA959" s="31"/>
      <c r="AB959" s="32"/>
      <c r="AC959" s="32"/>
      <c r="AD959" s="32"/>
      <c r="AE959" s="32">
        <f t="shared" si="272"/>
        <v>0</v>
      </c>
      <c r="AF959" s="12"/>
      <c r="AG959" s="12"/>
      <c r="AH959" s="12"/>
      <c r="AI959" s="12">
        <f t="shared" si="268"/>
        <v>0</v>
      </c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14</v>
      </c>
      <c r="B960" s="30"/>
      <c r="C960" s="83"/>
      <c r="D960" s="32"/>
      <c r="E960" s="32"/>
      <c r="F960" s="32"/>
      <c r="G960" s="32">
        <f t="shared" si="263"/>
        <v>0</v>
      </c>
      <c r="H960" s="12"/>
      <c r="I960" s="12"/>
      <c r="J960" s="12"/>
      <c r="K960" s="12">
        <f t="shared" si="264"/>
        <v>0</v>
      </c>
      <c r="M960" s="10">
        <v>14</v>
      </c>
      <c r="N960" s="30"/>
      <c r="O960" s="31"/>
      <c r="P960" s="32"/>
      <c r="Q960" s="32"/>
      <c r="R960" s="32"/>
      <c r="S960" s="32">
        <f t="shared" si="265"/>
        <v>0</v>
      </c>
      <c r="T960" s="12"/>
      <c r="U960" s="12"/>
      <c r="V960" s="12"/>
      <c r="W960" s="12">
        <f t="shared" si="266"/>
        <v>0</v>
      </c>
      <c r="Y960" s="10">
        <v>14</v>
      </c>
      <c r="Z960" s="30"/>
      <c r="AA960" s="31"/>
      <c r="AB960" s="32"/>
      <c r="AC960" s="32"/>
      <c r="AD960" s="32"/>
      <c r="AE960" s="32">
        <f t="shared" si="272"/>
        <v>0</v>
      </c>
      <c r="AF960" s="12"/>
      <c r="AG960" s="12"/>
      <c r="AH960" s="12"/>
      <c r="AI960" s="12">
        <f t="shared" si="268"/>
        <v>0</v>
      </c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15</v>
      </c>
      <c r="B961" s="30"/>
      <c r="C961" s="83"/>
      <c r="D961" s="32"/>
      <c r="E961" s="32"/>
      <c r="F961" s="32"/>
      <c r="G961" s="32">
        <f t="shared" si="263"/>
        <v>0</v>
      </c>
      <c r="H961" s="12"/>
      <c r="I961" s="12"/>
      <c r="J961" s="12"/>
      <c r="K961" s="12">
        <f t="shared" si="264"/>
        <v>0</v>
      </c>
      <c r="M961" s="10">
        <v>15</v>
      </c>
      <c r="N961" s="30"/>
      <c r="O961" s="31"/>
      <c r="P961" s="32"/>
      <c r="Q961" s="32"/>
      <c r="R961" s="32"/>
      <c r="S961" s="32">
        <f t="shared" si="265"/>
        <v>0</v>
      </c>
      <c r="T961" s="12"/>
      <c r="U961" s="12"/>
      <c r="V961" s="12"/>
      <c r="W961" s="12">
        <f t="shared" si="266"/>
        <v>0</v>
      </c>
      <c r="Y961" s="10">
        <v>15</v>
      </c>
      <c r="Z961" s="30"/>
      <c r="AA961" s="31"/>
      <c r="AB961" s="32"/>
      <c r="AC961" s="32"/>
      <c r="AD961" s="32"/>
      <c r="AE961" s="32">
        <f t="shared" si="272"/>
        <v>0</v>
      </c>
      <c r="AF961" s="12"/>
      <c r="AG961" s="12"/>
      <c r="AH961" s="12"/>
      <c r="AI961" s="12">
        <f t="shared" si="268"/>
        <v>0</v>
      </c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16</v>
      </c>
      <c r="B962" s="30"/>
      <c r="C962" s="11"/>
      <c r="D962" s="32"/>
      <c r="E962" s="32"/>
      <c r="F962" s="32"/>
      <c r="G962" s="32">
        <f t="shared" si="263"/>
        <v>0</v>
      </c>
      <c r="H962" s="12"/>
      <c r="I962" s="12"/>
      <c r="J962" s="12"/>
      <c r="K962" s="12">
        <f t="shared" si="264"/>
        <v>0</v>
      </c>
      <c r="M962" s="10">
        <v>16</v>
      </c>
      <c r="N962" s="30"/>
      <c r="P962" s="32"/>
      <c r="Q962" s="32"/>
      <c r="R962" s="32"/>
      <c r="S962" s="32">
        <f t="shared" si="265"/>
        <v>0</v>
      </c>
      <c r="T962" s="12"/>
      <c r="U962" s="12"/>
      <c r="V962" s="12"/>
      <c r="W962" s="12">
        <f t="shared" si="266"/>
        <v>0</v>
      </c>
      <c r="Y962" s="10">
        <v>16</v>
      </c>
      <c r="Z962" s="30"/>
      <c r="AA962" s="11"/>
      <c r="AB962" s="32"/>
      <c r="AC962" s="32"/>
      <c r="AD962" s="32"/>
      <c r="AE962" s="32">
        <f t="shared" si="272"/>
        <v>0</v>
      </c>
      <c r="AF962" s="12"/>
      <c r="AG962" s="12"/>
      <c r="AH962" s="12"/>
      <c r="AI962" s="12">
        <f t="shared" si="268"/>
        <v>0</v>
      </c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17</v>
      </c>
      <c r="B963" s="30"/>
      <c r="C963" s="83"/>
      <c r="D963" s="32"/>
      <c r="E963" s="32"/>
      <c r="F963" s="32"/>
      <c r="G963" s="32">
        <f t="shared" si="263"/>
        <v>0</v>
      </c>
      <c r="H963" s="12"/>
      <c r="I963" s="12"/>
      <c r="J963" s="12"/>
      <c r="K963" s="12">
        <f t="shared" si="264"/>
        <v>0</v>
      </c>
      <c r="M963" s="10">
        <v>17</v>
      </c>
      <c r="N963" s="30"/>
      <c r="O963" s="31"/>
      <c r="P963" s="35"/>
      <c r="Q963" s="32"/>
      <c r="R963" s="32"/>
      <c r="S963" s="32">
        <f t="shared" si="265"/>
        <v>0</v>
      </c>
      <c r="T963" s="12"/>
      <c r="U963" s="12"/>
      <c r="V963" s="12"/>
      <c r="W963" s="12">
        <f t="shared" si="266"/>
        <v>0</v>
      </c>
      <c r="Y963" s="10">
        <v>17</v>
      </c>
      <c r="Z963" s="30"/>
      <c r="AA963" s="31"/>
      <c r="AB963" s="35"/>
      <c r="AC963" s="32"/>
      <c r="AD963" s="32"/>
      <c r="AE963" s="32">
        <f t="shared" si="272"/>
        <v>0</v>
      </c>
      <c r="AF963" s="12"/>
      <c r="AG963" s="12"/>
      <c r="AH963" s="12"/>
      <c r="AI963" s="12">
        <f t="shared" si="268"/>
        <v>0</v>
      </c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18</v>
      </c>
      <c r="B964" s="30"/>
      <c r="C964" s="83"/>
      <c r="D964" s="32"/>
      <c r="E964" s="32"/>
      <c r="F964" s="32"/>
      <c r="G964" s="32">
        <f t="shared" si="263"/>
        <v>0</v>
      </c>
      <c r="H964" s="12"/>
      <c r="I964" s="12"/>
      <c r="J964" s="12"/>
      <c r="K964" s="12">
        <f t="shared" si="264"/>
        <v>0</v>
      </c>
      <c r="M964" s="10">
        <v>18</v>
      </c>
      <c r="N964" s="30"/>
      <c r="O964" s="31"/>
      <c r="P964" s="32"/>
      <c r="Q964" s="32"/>
      <c r="R964" s="32"/>
      <c r="S964" s="32">
        <f t="shared" si="265"/>
        <v>0</v>
      </c>
      <c r="T964" s="12"/>
      <c r="U964" s="12"/>
      <c r="V964" s="12"/>
      <c r="W964" s="12">
        <f t="shared" si="266"/>
        <v>0</v>
      </c>
      <c r="Y964" s="10">
        <v>18</v>
      </c>
      <c r="Z964" s="30"/>
      <c r="AA964" s="31"/>
      <c r="AB964" s="32"/>
      <c r="AC964" s="32"/>
      <c r="AD964" s="32"/>
      <c r="AE964" s="32">
        <f t="shared" si="272"/>
        <v>0</v>
      </c>
      <c r="AF964" s="12"/>
      <c r="AG964" s="12"/>
      <c r="AH964" s="12"/>
      <c r="AI964" s="12">
        <f t="shared" si="268"/>
        <v>0</v>
      </c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19</v>
      </c>
      <c r="B965" s="30"/>
      <c r="C965" s="83"/>
      <c r="D965" s="32"/>
      <c r="E965" s="32"/>
      <c r="F965" s="32"/>
      <c r="G965" s="32">
        <f t="shared" si="263"/>
        <v>0</v>
      </c>
      <c r="H965" s="12"/>
      <c r="I965" s="12"/>
      <c r="J965" s="12"/>
      <c r="K965" s="12">
        <f t="shared" si="264"/>
        <v>0</v>
      </c>
      <c r="M965" s="10">
        <v>19</v>
      </c>
      <c r="N965" s="30"/>
      <c r="O965" s="31"/>
      <c r="P965" s="32"/>
      <c r="Q965" s="32"/>
      <c r="R965" s="32"/>
      <c r="S965" s="32">
        <f t="shared" si="265"/>
        <v>0</v>
      </c>
      <c r="T965" s="12"/>
      <c r="U965" s="12"/>
      <c r="V965" s="12"/>
      <c r="W965" s="12">
        <f t="shared" si="266"/>
        <v>0</v>
      </c>
      <c r="Y965" s="10">
        <v>19</v>
      </c>
      <c r="Z965" s="30"/>
      <c r="AA965" s="31"/>
      <c r="AB965" s="32"/>
      <c r="AC965" s="32"/>
      <c r="AD965" s="32"/>
      <c r="AE965" s="32">
        <f t="shared" si="272"/>
        <v>0</v>
      </c>
      <c r="AF965" s="12"/>
      <c r="AG965" s="12"/>
      <c r="AH965" s="12"/>
      <c r="AI965" s="12">
        <f t="shared" si="268"/>
        <v>0</v>
      </c>
      <c r="AK965" s="62"/>
      <c r="AL965" s="66"/>
      <c r="AM965" s="86"/>
      <c r="AN965" s="67"/>
      <c r="AO965" s="86"/>
      <c r="AP965" s="86"/>
      <c r="AQ965" s="60"/>
      <c r="AR965" s="62"/>
      <c r="AS965" s="62"/>
      <c r="AT965" s="62"/>
      <c r="AU965" s="61"/>
      <c r="AV965" s="62"/>
      <c r="AW965" s="62"/>
      <c r="AX965" s="62"/>
      <c r="AY965" s="62"/>
      <c r="AZ965" s="62"/>
    </row>
    <row r="966" spans="1:52" x14ac:dyDescent="0.25">
      <c r="A966" s="10">
        <v>20</v>
      </c>
      <c r="B966" s="30"/>
      <c r="C966" s="83"/>
      <c r="D966" s="32"/>
      <c r="E966" s="32"/>
      <c r="F966" s="32"/>
      <c r="G966" s="32">
        <f t="shared" si="263"/>
        <v>0</v>
      </c>
      <c r="H966" s="12"/>
      <c r="I966" s="12"/>
      <c r="J966" s="12"/>
      <c r="K966" s="12">
        <f t="shared" si="264"/>
        <v>0</v>
      </c>
      <c r="M966" s="10">
        <v>20</v>
      </c>
      <c r="N966" s="30"/>
      <c r="O966" s="31"/>
      <c r="P966" s="32"/>
      <c r="Q966" s="32"/>
      <c r="R966" s="32"/>
      <c r="S966" s="32">
        <f t="shared" si="265"/>
        <v>0</v>
      </c>
      <c r="T966" s="12"/>
      <c r="U966" s="12"/>
      <c r="V966" s="12"/>
      <c r="W966" s="12">
        <f t="shared" si="266"/>
        <v>0</v>
      </c>
      <c r="Y966" s="10">
        <v>20</v>
      </c>
      <c r="Z966" s="30"/>
      <c r="AB966" s="32"/>
      <c r="AC966" s="32"/>
      <c r="AD966" s="32"/>
      <c r="AE966" s="32">
        <f t="shared" si="272"/>
        <v>0</v>
      </c>
      <c r="AF966" s="12"/>
      <c r="AG966" s="12"/>
      <c r="AH966" s="12"/>
      <c r="AI966" s="12">
        <f t="shared" si="268"/>
        <v>0</v>
      </c>
      <c r="AK966" s="62"/>
      <c r="AL966" s="66"/>
      <c r="AM966" s="86"/>
      <c r="AN966" s="68"/>
      <c r="AO966" s="86"/>
      <c r="AP966" s="86"/>
      <c r="AQ966" s="60"/>
      <c r="AR966" s="62"/>
      <c r="AS966" s="62"/>
      <c r="AT966" s="62"/>
      <c r="AU966" s="61"/>
      <c r="AV966" s="62"/>
      <c r="AW966" s="62"/>
      <c r="AX966" s="62"/>
      <c r="AY966" s="62"/>
      <c r="AZ966" s="62"/>
    </row>
    <row r="967" spans="1:52" x14ac:dyDescent="0.25">
      <c r="A967" s="10">
        <v>21</v>
      </c>
      <c r="B967" s="30"/>
      <c r="C967" s="83"/>
      <c r="D967" s="32"/>
      <c r="E967" s="32"/>
      <c r="F967" s="32"/>
      <c r="G967" s="32">
        <f t="shared" si="263"/>
        <v>0</v>
      </c>
      <c r="H967" s="10"/>
      <c r="I967" s="10"/>
      <c r="J967" s="10"/>
      <c r="K967" s="12">
        <f t="shared" si="264"/>
        <v>0</v>
      </c>
      <c r="M967" s="10">
        <v>21</v>
      </c>
      <c r="N967" s="30"/>
      <c r="O967" s="31"/>
      <c r="P967" s="46"/>
      <c r="Q967" s="31"/>
      <c r="R967" s="31"/>
      <c r="S967" s="32">
        <f t="shared" si="265"/>
        <v>0</v>
      </c>
      <c r="T967" s="10"/>
      <c r="U967" s="10"/>
      <c r="V967" s="10"/>
      <c r="W967" s="12">
        <f t="shared" si="266"/>
        <v>0</v>
      </c>
      <c r="Y967" s="10">
        <v>21</v>
      </c>
      <c r="Z967" s="30"/>
      <c r="AA967" s="31"/>
      <c r="AB967" s="46"/>
      <c r="AC967" s="31"/>
      <c r="AD967" s="31"/>
      <c r="AE967" s="32">
        <f t="shared" si="272"/>
        <v>0</v>
      </c>
      <c r="AF967" s="10"/>
      <c r="AG967" s="10"/>
      <c r="AH967" s="10"/>
      <c r="AI967" s="12">
        <f t="shared" si="268"/>
        <v>0</v>
      </c>
      <c r="AK967" s="62"/>
      <c r="AL967" s="66"/>
      <c r="AM967" s="86"/>
      <c r="AN967" s="69"/>
      <c r="AO967" s="62"/>
      <c r="AP967" s="62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22</v>
      </c>
      <c r="B968" s="30"/>
      <c r="C968" s="83"/>
      <c r="D968" s="32"/>
      <c r="E968" s="32"/>
      <c r="F968" s="32"/>
      <c r="G968" s="32">
        <f t="shared" si="263"/>
        <v>0</v>
      </c>
      <c r="H968" s="10"/>
      <c r="I968" s="10"/>
      <c r="J968" s="10"/>
      <c r="K968" s="12">
        <f t="shared" si="264"/>
        <v>0</v>
      </c>
      <c r="M968" s="10">
        <v>22</v>
      </c>
      <c r="N968" s="30"/>
      <c r="O968" s="31"/>
      <c r="P968" s="45"/>
      <c r="Q968" s="31"/>
      <c r="R968" s="31"/>
      <c r="S968" s="32">
        <f t="shared" si="265"/>
        <v>0</v>
      </c>
      <c r="T968" s="10"/>
      <c r="U968" s="10"/>
      <c r="V968" s="10"/>
      <c r="W968" s="12">
        <f t="shared" si="266"/>
        <v>0</v>
      </c>
      <c r="Y968" s="10">
        <v>22</v>
      </c>
      <c r="Z968" s="30"/>
      <c r="AA968" s="31"/>
      <c r="AB968" s="45"/>
      <c r="AC968" s="31"/>
      <c r="AD968" s="31"/>
      <c r="AE968" s="32">
        <f t="shared" si="272"/>
        <v>0</v>
      </c>
      <c r="AF968" s="10"/>
      <c r="AG968" s="10"/>
      <c r="AH968" s="10"/>
      <c r="AI968" s="12">
        <f t="shared" si="268"/>
        <v>0</v>
      </c>
      <c r="AK968" s="62"/>
      <c r="AL968" s="66"/>
      <c r="AM968" s="86"/>
      <c r="AN968" s="69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23</v>
      </c>
      <c r="B969" s="30"/>
      <c r="C969" s="83"/>
      <c r="D969" s="32"/>
      <c r="E969" s="32"/>
      <c r="F969" s="32"/>
      <c r="G969" s="32">
        <f t="shared" si="263"/>
        <v>0</v>
      </c>
      <c r="H969" s="10"/>
      <c r="I969" s="10"/>
      <c r="J969" s="12"/>
      <c r="K969" s="12">
        <f t="shared" si="264"/>
        <v>0</v>
      </c>
      <c r="M969" s="10">
        <v>23</v>
      </c>
      <c r="N969" s="30"/>
      <c r="O969" s="31"/>
      <c r="P969" s="47"/>
      <c r="Q969" s="31"/>
      <c r="S969" s="32">
        <f t="shared" si="265"/>
        <v>0</v>
      </c>
      <c r="T969" s="10"/>
      <c r="U969" s="10"/>
      <c r="V969" s="10"/>
      <c r="W969" s="12">
        <f t="shared" si="266"/>
        <v>0</v>
      </c>
      <c r="Y969" s="10">
        <v>23</v>
      </c>
      <c r="Z969" s="30"/>
      <c r="AA969" s="31"/>
      <c r="AB969" s="47"/>
      <c r="AE969" s="32">
        <f t="shared" si="272"/>
        <v>0</v>
      </c>
      <c r="AF969" s="10"/>
      <c r="AG969" s="10"/>
      <c r="AH969" s="10"/>
      <c r="AI969" s="12">
        <f t="shared" si="268"/>
        <v>0</v>
      </c>
      <c r="AK969" s="62"/>
      <c r="AL969" s="66"/>
      <c r="AM969" s="86"/>
      <c r="AN969" s="69"/>
      <c r="AO969" s="86"/>
      <c r="AP969" s="86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24</v>
      </c>
      <c r="B970" s="30"/>
      <c r="C970" s="83"/>
      <c r="D970" s="32"/>
      <c r="E970" s="32"/>
      <c r="F970" s="32"/>
      <c r="G970" s="32">
        <f t="shared" si="263"/>
        <v>0</v>
      </c>
      <c r="H970" s="10"/>
      <c r="I970" s="10"/>
      <c r="J970" s="10"/>
      <c r="K970" s="12">
        <f t="shared" si="264"/>
        <v>0</v>
      </c>
      <c r="M970" s="10">
        <v>24</v>
      </c>
      <c r="N970" s="30"/>
      <c r="O970" s="31"/>
      <c r="P970" s="47"/>
      <c r="Q970" s="31"/>
      <c r="R970" s="31"/>
      <c r="S970" s="32">
        <f t="shared" si="265"/>
        <v>0</v>
      </c>
      <c r="T970" s="10"/>
      <c r="U970" s="10"/>
      <c r="V970" s="10"/>
      <c r="W970" s="12">
        <f t="shared" si="266"/>
        <v>0</v>
      </c>
      <c r="Y970" s="10">
        <v>24</v>
      </c>
      <c r="Z970" s="30"/>
      <c r="AA970" s="31"/>
      <c r="AB970" s="47"/>
      <c r="AC970" s="31"/>
      <c r="AD970" s="31"/>
      <c r="AE970" s="32">
        <f t="shared" si="272"/>
        <v>0</v>
      </c>
      <c r="AF970" s="10"/>
      <c r="AG970" s="10"/>
      <c r="AH970" s="10"/>
      <c r="AI970" s="12">
        <f t="shared" si="268"/>
        <v>0</v>
      </c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25</v>
      </c>
      <c r="B971" s="30"/>
      <c r="C971" s="83"/>
      <c r="D971" s="32"/>
      <c r="E971" s="32"/>
      <c r="F971" s="32"/>
      <c r="G971" s="32">
        <f t="shared" si="263"/>
        <v>0</v>
      </c>
      <c r="H971" s="10"/>
      <c r="I971" s="10"/>
      <c r="J971" s="10"/>
      <c r="K971" s="12">
        <f t="shared" si="264"/>
        <v>0</v>
      </c>
      <c r="M971" s="10">
        <v>25</v>
      </c>
      <c r="N971" s="30"/>
      <c r="O971" s="31"/>
      <c r="P971" s="47"/>
      <c r="Q971" s="31"/>
      <c r="R971" s="31"/>
      <c r="S971" s="32">
        <f t="shared" si="265"/>
        <v>0</v>
      </c>
      <c r="T971" s="10"/>
      <c r="U971" s="10"/>
      <c r="V971" s="10"/>
      <c r="W971" s="12">
        <f t="shared" si="266"/>
        <v>0</v>
      </c>
      <c r="Y971" s="10">
        <v>25</v>
      </c>
      <c r="Z971" s="30"/>
      <c r="AA971" s="31"/>
      <c r="AB971" s="47"/>
      <c r="AC971" s="31"/>
      <c r="AD971" s="31"/>
      <c r="AE971" s="32">
        <f t="shared" si="272"/>
        <v>0</v>
      </c>
      <c r="AF971" s="10"/>
      <c r="AG971" s="10"/>
      <c r="AH971" s="10"/>
      <c r="AI971" s="12">
        <f t="shared" si="268"/>
        <v>0</v>
      </c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26</v>
      </c>
      <c r="B972" s="30"/>
      <c r="C972" s="83"/>
      <c r="D972" s="32"/>
      <c r="E972" s="32"/>
      <c r="F972" s="32"/>
      <c r="G972" s="32">
        <f t="shared" si="263"/>
        <v>0</v>
      </c>
      <c r="H972" s="10"/>
      <c r="I972" s="10"/>
      <c r="J972" s="10"/>
      <c r="K972" s="12">
        <f t="shared" si="264"/>
        <v>0</v>
      </c>
      <c r="M972" s="10">
        <v>26</v>
      </c>
      <c r="N972" s="30"/>
      <c r="O972" s="31"/>
      <c r="P972" s="47"/>
      <c r="Q972" s="31"/>
      <c r="R972" s="31"/>
      <c r="S972" s="32">
        <f t="shared" si="265"/>
        <v>0</v>
      </c>
      <c r="T972" s="10"/>
      <c r="U972" s="10"/>
      <c r="V972" s="10"/>
      <c r="W972" s="12">
        <f t="shared" si="266"/>
        <v>0</v>
      </c>
      <c r="Y972" s="10">
        <v>26</v>
      </c>
      <c r="Z972" s="30"/>
      <c r="AA972" s="31"/>
      <c r="AB972" s="47"/>
      <c r="AC972" s="31"/>
      <c r="AD972" s="31"/>
      <c r="AE972" s="32">
        <f t="shared" si="272"/>
        <v>0</v>
      </c>
      <c r="AF972" s="10"/>
      <c r="AG972" s="10"/>
      <c r="AH972" s="10"/>
      <c r="AI972" s="12">
        <f t="shared" si="268"/>
        <v>0</v>
      </c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27</v>
      </c>
      <c r="B973" s="30"/>
      <c r="C973" s="83"/>
      <c r="D973" s="32"/>
      <c r="E973" s="32"/>
      <c r="F973" s="32"/>
      <c r="G973" s="32">
        <f t="shared" si="263"/>
        <v>0</v>
      </c>
      <c r="H973" s="10"/>
      <c r="I973" s="10"/>
      <c r="J973" s="10"/>
      <c r="K973" s="12">
        <f t="shared" si="264"/>
        <v>0</v>
      </c>
      <c r="M973" s="10">
        <v>27</v>
      </c>
      <c r="N973" s="30"/>
      <c r="O973" s="31"/>
      <c r="P973" s="47"/>
      <c r="Q973" s="31"/>
      <c r="R973" s="31"/>
      <c r="S973" s="32">
        <f t="shared" si="265"/>
        <v>0</v>
      </c>
      <c r="T973" s="10"/>
      <c r="U973" s="10"/>
      <c r="V973" s="10"/>
      <c r="W973" s="12">
        <f t="shared" si="266"/>
        <v>0</v>
      </c>
      <c r="Y973" s="10">
        <v>27</v>
      </c>
      <c r="Z973" s="30"/>
      <c r="AA973" s="31"/>
      <c r="AB973" s="47"/>
      <c r="AC973" s="31"/>
      <c r="AD973" s="31"/>
      <c r="AE973" s="32">
        <f t="shared" si="272"/>
        <v>0</v>
      </c>
      <c r="AF973" s="10"/>
      <c r="AG973" s="10"/>
      <c r="AH973" s="10"/>
      <c r="AI973" s="12">
        <f t="shared" si="268"/>
        <v>0</v>
      </c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28</v>
      </c>
      <c r="B974" s="30"/>
      <c r="C974" s="83"/>
      <c r="D974" s="32"/>
      <c r="E974" s="32"/>
      <c r="F974" s="32"/>
      <c r="G974" s="32">
        <f t="shared" si="263"/>
        <v>0</v>
      </c>
      <c r="H974" s="10"/>
      <c r="I974" s="10"/>
      <c r="J974" s="10"/>
      <c r="K974" s="12">
        <f t="shared" si="264"/>
        <v>0</v>
      </c>
      <c r="M974" s="10">
        <v>28</v>
      </c>
      <c r="N974" s="30"/>
      <c r="O974" s="31"/>
      <c r="P974" s="47"/>
      <c r="Q974" s="31"/>
      <c r="R974" s="31"/>
      <c r="S974" s="32">
        <f t="shared" si="265"/>
        <v>0</v>
      </c>
      <c r="T974" s="10"/>
      <c r="U974" s="10"/>
      <c r="V974" s="10"/>
      <c r="W974" s="12">
        <f t="shared" si="266"/>
        <v>0</v>
      </c>
      <c r="Y974" s="10">
        <v>28</v>
      </c>
      <c r="Z974" s="30"/>
      <c r="AA974" s="31"/>
      <c r="AB974" s="47"/>
      <c r="AC974" s="31"/>
      <c r="AD974" s="31"/>
      <c r="AE974" s="32">
        <f t="shared" si="272"/>
        <v>0</v>
      </c>
      <c r="AF974" s="10"/>
      <c r="AG974" s="10"/>
      <c r="AH974" s="10"/>
      <c r="AI974" s="12">
        <f t="shared" si="268"/>
        <v>0</v>
      </c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29</v>
      </c>
      <c r="B975" s="30"/>
      <c r="C975" s="83"/>
      <c r="D975" s="32"/>
      <c r="E975" s="32"/>
      <c r="F975" s="32"/>
      <c r="G975" s="32">
        <f t="shared" si="263"/>
        <v>0</v>
      </c>
      <c r="H975" s="10"/>
      <c r="I975" s="10"/>
      <c r="J975" s="10"/>
      <c r="K975" s="12">
        <f t="shared" si="264"/>
        <v>0</v>
      </c>
      <c r="M975" s="10">
        <v>29</v>
      </c>
      <c r="N975" s="30"/>
      <c r="O975" s="31"/>
      <c r="P975" s="47"/>
      <c r="Q975" s="31"/>
      <c r="R975" s="31"/>
      <c r="S975" s="32">
        <f t="shared" si="265"/>
        <v>0</v>
      </c>
      <c r="T975" s="10"/>
      <c r="U975" s="10"/>
      <c r="V975" s="10"/>
      <c r="W975" s="12">
        <f t="shared" si="266"/>
        <v>0</v>
      </c>
      <c r="Y975" s="10">
        <v>29</v>
      </c>
      <c r="Z975" s="30"/>
      <c r="AA975" s="31"/>
      <c r="AB975" s="47"/>
      <c r="AC975" s="31"/>
      <c r="AD975" s="31"/>
      <c r="AE975" s="32">
        <f t="shared" si="272"/>
        <v>0</v>
      </c>
      <c r="AF975" s="10"/>
      <c r="AG975" s="10"/>
      <c r="AH975" s="10"/>
      <c r="AI975" s="12">
        <f t="shared" si="268"/>
        <v>0</v>
      </c>
      <c r="AK975" s="62"/>
      <c r="AL975" s="66"/>
      <c r="AM975" s="62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30</v>
      </c>
      <c r="B976" s="30"/>
      <c r="C976" s="83"/>
      <c r="D976" s="32"/>
      <c r="E976" s="32"/>
      <c r="F976" s="32"/>
      <c r="G976" s="32">
        <f t="shared" si="263"/>
        <v>0</v>
      </c>
      <c r="H976" s="10"/>
      <c r="I976" s="10"/>
      <c r="J976" s="10"/>
      <c r="K976" s="12">
        <f t="shared" si="264"/>
        <v>0</v>
      </c>
      <c r="M976" s="10">
        <v>30</v>
      </c>
      <c r="N976" s="30"/>
      <c r="O976" s="31"/>
      <c r="P976" s="47"/>
      <c r="Q976" s="31"/>
      <c r="R976" s="31"/>
      <c r="S976" s="32">
        <f t="shared" si="265"/>
        <v>0</v>
      </c>
      <c r="T976" s="10"/>
      <c r="U976" s="10"/>
      <c r="V976" s="10"/>
      <c r="W976" s="12">
        <f t="shared" si="266"/>
        <v>0</v>
      </c>
      <c r="Y976" s="10">
        <v>30</v>
      </c>
      <c r="Z976" s="30"/>
      <c r="AA976" s="31"/>
      <c r="AB976" s="47"/>
      <c r="AC976" s="31"/>
      <c r="AD976" s="31"/>
      <c r="AE976" s="32">
        <f t="shared" si="272"/>
        <v>0</v>
      </c>
      <c r="AF976" s="10"/>
      <c r="AG976" s="10"/>
      <c r="AH976" s="10"/>
      <c r="AI976" s="12">
        <f t="shared" si="268"/>
        <v>0</v>
      </c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31</v>
      </c>
      <c r="B977" s="30"/>
      <c r="C977" s="83"/>
      <c r="D977" s="32"/>
      <c r="E977" s="32"/>
      <c r="F977" s="32"/>
      <c r="G977" s="32">
        <f t="shared" si="263"/>
        <v>0</v>
      </c>
      <c r="H977" s="10"/>
      <c r="I977" s="10"/>
      <c r="J977" s="10"/>
      <c r="K977" s="12">
        <f t="shared" si="264"/>
        <v>0</v>
      </c>
      <c r="M977" s="10">
        <v>31</v>
      </c>
      <c r="N977" s="30"/>
      <c r="O977" s="31"/>
      <c r="P977" s="47"/>
      <c r="Q977" s="31"/>
      <c r="R977" s="31"/>
      <c r="S977" s="32">
        <f t="shared" si="265"/>
        <v>0</v>
      </c>
      <c r="T977" s="10"/>
      <c r="U977" s="10"/>
      <c r="V977" s="10"/>
      <c r="W977" s="12">
        <f t="shared" si="266"/>
        <v>0</v>
      </c>
      <c r="Y977" s="10">
        <v>31</v>
      </c>
      <c r="Z977" s="30"/>
      <c r="AA977" s="31"/>
      <c r="AB977" s="47"/>
      <c r="AC977" s="31"/>
      <c r="AD977" s="31"/>
      <c r="AE977" s="32">
        <f t="shared" si="272"/>
        <v>0</v>
      </c>
      <c r="AF977" s="10"/>
      <c r="AG977" s="10"/>
      <c r="AH977" s="10"/>
      <c r="AI977" s="12">
        <f t="shared" si="268"/>
        <v>0</v>
      </c>
      <c r="AK977" s="62"/>
      <c r="AL977" s="66"/>
      <c r="AM977" s="86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32</v>
      </c>
      <c r="B978" s="30"/>
      <c r="C978" s="83"/>
      <c r="D978" s="32"/>
      <c r="E978" s="32"/>
      <c r="F978" s="32"/>
      <c r="G978" s="32">
        <f t="shared" si="263"/>
        <v>0</v>
      </c>
      <c r="H978" s="10"/>
      <c r="I978" s="10"/>
      <c r="J978" s="10"/>
      <c r="K978" s="12">
        <f t="shared" si="264"/>
        <v>0</v>
      </c>
      <c r="M978" s="10">
        <v>32</v>
      </c>
      <c r="N978" s="30"/>
      <c r="O978" s="31"/>
      <c r="P978" s="47"/>
      <c r="Q978" s="31"/>
      <c r="R978" s="31"/>
      <c r="S978" s="32">
        <f t="shared" si="265"/>
        <v>0</v>
      </c>
      <c r="T978" s="10"/>
      <c r="U978" s="10"/>
      <c r="V978" s="10"/>
      <c r="W978" s="12">
        <f t="shared" si="266"/>
        <v>0</v>
      </c>
      <c r="Y978" s="10">
        <v>32</v>
      </c>
      <c r="Z978" s="30"/>
      <c r="AA978" s="31"/>
      <c r="AB978" s="47"/>
      <c r="AC978" s="31"/>
      <c r="AD978" s="31"/>
      <c r="AE978" s="32">
        <f t="shared" si="272"/>
        <v>0</v>
      </c>
      <c r="AF978" s="10"/>
      <c r="AG978" s="10"/>
      <c r="AH978" s="10"/>
      <c r="AI978" s="12">
        <f t="shared" si="268"/>
        <v>0</v>
      </c>
      <c r="AK978" s="62"/>
      <c r="AL978" s="66"/>
      <c r="AM978" s="62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33</v>
      </c>
      <c r="B979" s="30"/>
      <c r="C979" s="83"/>
      <c r="D979" s="32"/>
      <c r="E979" s="32"/>
      <c r="F979" s="32"/>
      <c r="G979" s="32">
        <f t="shared" si="263"/>
        <v>0</v>
      </c>
      <c r="H979" s="10"/>
      <c r="I979" s="10"/>
      <c r="J979" s="10"/>
      <c r="K979" s="12">
        <f t="shared" si="264"/>
        <v>0</v>
      </c>
      <c r="M979" s="10">
        <v>33</v>
      </c>
      <c r="N979" s="30"/>
      <c r="O979" s="31"/>
      <c r="P979" s="47"/>
      <c r="Q979" s="31"/>
      <c r="R979" s="31"/>
      <c r="S979" s="32">
        <f t="shared" si="265"/>
        <v>0</v>
      </c>
      <c r="T979" s="10"/>
      <c r="U979" s="10"/>
      <c r="V979" s="10"/>
      <c r="W979" s="12">
        <f t="shared" si="266"/>
        <v>0</v>
      </c>
      <c r="Y979" s="10">
        <v>33</v>
      </c>
      <c r="Z979" s="30"/>
      <c r="AA979" s="31"/>
      <c r="AB979" s="47"/>
      <c r="AC979" s="31"/>
      <c r="AD979" s="31"/>
      <c r="AE979" s="32">
        <f t="shared" si="272"/>
        <v>0</v>
      </c>
      <c r="AF979" s="10"/>
      <c r="AG979" s="10"/>
      <c r="AH979" s="10"/>
      <c r="AI979" s="12">
        <f t="shared" si="268"/>
        <v>0</v>
      </c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/>
      <c r="B980" s="30"/>
      <c r="C980" s="83"/>
      <c r="D980" s="32"/>
      <c r="E980" s="32"/>
      <c r="F980" s="32"/>
      <c r="G980" s="32">
        <f t="shared" si="263"/>
        <v>0</v>
      </c>
      <c r="H980" s="10"/>
      <c r="I980" s="10"/>
      <c r="J980" s="10"/>
      <c r="K980" s="12">
        <f t="shared" si="264"/>
        <v>0</v>
      </c>
      <c r="M980" s="10">
        <v>34</v>
      </c>
      <c r="N980" s="30"/>
      <c r="O980" s="31"/>
      <c r="P980" s="47"/>
      <c r="Q980" s="31"/>
      <c r="R980" s="31"/>
      <c r="S980" s="32">
        <f t="shared" si="265"/>
        <v>0</v>
      </c>
      <c r="T980" s="10"/>
      <c r="U980" s="10"/>
      <c r="V980" s="10"/>
      <c r="W980" s="12">
        <f t="shared" si="266"/>
        <v>0</v>
      </c>
      <c r="Y980" s="10">
        <v>34</v>
      </c>
      <c r="Z980" s="30"/>
      <c r="AA980" s="31"/>
      <c r="AB980" s="47"/>
      <c r="AC980" s="31"/>
      <c r="AD980" s="31"/>
      <c r="AE980" s="32">
        <f t="shared" ref="AE980:AE985" si="274">SUM(AB980:AC980)</f>
        <v>0</v>
      </c>
      <c r="AF980" s="10"/>
      <c r="AG980" s="10"/>
      <c r="AH980" s="10"/>
      <c r="AI980" s="12">
        <f t="shared" si="268"/>
        <v>0</v>
      </c>
      <c r="AK980" s="62"/>
      <c r="AL980" s="66"/>
      <c r="AM980" s="86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83"/>
      <c r="D981" s="32"/>
      <c r="E981" s="32"/>
      <c r="F981" s="32"/>
      <c r="G981" s="32"/>
      <c r="H981" s="10"/>
      <c r="I981" s="10"/>
      <c r="J981" s="10"/>
      <c r="K981" s="12"/>
      <c r="M981" s="10">
        <v>35</v>
      </c>
      <c r="N981" s="30"/>
      <c r="O981" s="31"/>
      <c r="P981" s="47"/>
      <c r="Q981" s="31"/>
      <c r="R981" s="31"/>
      <c r="S981" s="32">
        <f t="shared" si="265"/>
        <v>0</v>
      </c>
      <c r="T981" s="10"/>
      <c r="U981" s="10"/>
      <c r="V981" s="10"/>
      <c r="W981" s="12">
        <f t="shared" si="266"/>
        <v>0</v>
      </c>
      <c r="Y981" s="10">
        <v>35</v>
      </c>
      <c r="Z981" s="30"/>
      <c r="AA981" s="31"/>
      <c r="AB981" s="47"/>
      <c r="AC981" s="31"/>
      <c r="AD981" s="31"/>
      <c r="AE981" s="32">
        <f t="shared" si="274"/>
        <v>0</v>
      </c>
      <c r="AF981" s="10"/>
      <c r="AG981" s="10"/>
      <c r="AH981" s="10"/>
      <c r="AI981" s="12">
        <f t="shared" si="268"/>
        <v>0</v>
      </c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83"/>
      <c r="D982" s="32"/>
      <c r="E982" s="32"/>
      <c r="F982" s="32"/>
      <c r="G982" s="32"/>
      <c r="H982" s="10"/>
      <c r="I982" s="10"/>
      <c r="J982" s="10"/>
      <c r="K982" s="12"/>
      <c r="M982" s="10">
        <v>36</v>
      </c>
      <c r="N982" s="30"/>
      <c r="O982" s="31"/>
      <c r="P982" s="47"/>
      <c r="Q982" s="31"/>
      <c r="R982" s="31"/>
      <c r="S982" s="32">
        <f t="shared" si="265"/>
        <v>0</v>
      </c>
      <c r="T982" s="10"/>
      <c r="U982" s="10"/>
      <c r="V982" s="10"/>
      <c r="W982" s="12">
        <f t="shared" si="266"/>
        <v>0</v>
      </c>
      <c r="Y982" s="10">
        <v>36</v>
      </c>
      <c r="Z982" s="30"/>
      <c r="AA982" s="31"/>
      <c r="AB982" s="47"/>
      <c r="AC982" s="31"/>
      <c r="AD982" s="31"/>
      <c r="AE982" s="32">
        <f t="shared" si="274"/>
        <v>0</v>
      </c>
      <c r="AF982" s="10"/>
      <c r="AG982" s="10"/>
      <c r="AH982" s="10"/>
      <c r="AI982" s="12">
        <f t="shared" si="268"/>
        <v>0</v>
      </c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31"/>
      <c r="D983" s="32"/>
      <c r="E983" s="32"/>
      <c r="F983" s="32"/>
      <c r="G983" s="32"/>
      <c r="H983" s="10"/>
      <c r="I983" s="10"/>
      <c r="J983" s="10"/>
      <c r="K983" s="12"/>
      <c r="M983" s="10">
        <v>37</v>
      </c>
      <c r="N983" s="30"/>
      <c r="P983" s="47"/>
      <c r="Q983" s="31"/>
      <c r="R983" s="31"/>
      <c r="S983" s="32">
        <f t="shared" si="265"/>
        <v>0</v>
      </c>
      <c r="T983" s="10"/>
      <c r="U983" s="10"/>
      <c r="V983" s="10"/>
      <c r="W983" s="12">
        <f t="shared" si="266"/>
        <v>0</v>
      </c>
      <c r="Y983" s="10">
        <v>37</v>
      </c>
      <c r="Z983" s="30"/>
      <c r="AA983" s="31"/>
      <c r="AB983" s="47"/>
      <c r="AC983" s="31"/>
      <c r="AD983" s="31"/>
      <c r="AE983" s="32">
        <f t="shared" si="274"/>
        <v>0</v>
      </c>
      <c r="AF983" s="10"/>
      <c r="AG983" s="10"/>
      <c r="AH983" s="10"/>
      <c r="AI983" s="12">
        <f t="shared" si="268"/>
        <v>0</v>
      </c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10">
        <v>38</v>
      </c>
      <c r="N984" s="30"/>
      <c r="O984" s="31"/>
      <c r="P984" s="47"/>
      <c r="Q984" s="31"/>
      <c r="R984" s="31"/>
      <c r="S984" s="32">
        <f t="shared" si="265"/>
        <v>0</v>
      </c>
      <c r="T984" s="10"/>
      <c r="U984" s="10"/>
      <c r="V984" s="10"/>
      <c r="W984" s="12">
        <f t="shared" si="266"/>
        <v>0</v>
      </c>
      <c r="Y984" s="10">
        <v>38</v>
      </c>
      <c r="Z984" s="30"/>
      <c r="AA984" s="31"/>
      <c r="AB984" s="47"/>
      <c r="AC984" s="31"/>
      <c r="AD984" s="31"/>
      <c r="AE984" s="32">
        <f t="shared" si="274"/>
        <v>0</v>
      </c>
      <c r="AF984" s="10"/>
      <c r="AG984" s="10"/>
      <c r="AH984" s="10"/>
      <c r="AI984" s="12">
        <f t="shared" si="268"/>
        <v>0</v>
      </c>
      <c r="AK984" s="62"/>
      <c r="AL984" s="66"/>
      <c r="AM984" s="62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10">
        <v>39</v>
      </c>
      <c r="N985" s="30"/>
      <c r="O985" s="31"/>
      <c r="P985" s="47"/>
      <c r="Q985" s="31"/>
      <c r="R985" s="31"/>
      <c r="S985" s="32">
        <f t="shared" si="265"/>
        <v>0</v>
      </c>
      <c r="T985" s="10"/>
      <c r="U985" s="10"/>
      <c r="V985" s="10"/>
      <c r="W985" s="12">
        <f t="shared" si="266"/>
        <v>0</v>
      </c>
      <c r="Y985" s="10">
        <v>39</v>
      </c>
      <c r="Z985" s="30"/>
      <c r="AA985" s="31"/>
      <c r="AB985" s="47"/>
      <c r="AC985" s="31"/>
      <c r="AD985" s="31"/>
      <c r="AE985" s="32">
        <f t="shared" si="274"/>
        <v>0</v>
      </c>
      <c r="AF985" s="10"/>
      <c r="AG985" s="10"/>
      <c r="AH985" s="10"/>
      <c r="AI985" s="12">
        <f t="shared" si="268"/>
        <v>0</v>
      </c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10"/>
      <c r="N986" s="30"/>
      <c r="P986" s="47"/>
      <c r="Q986" s="31"/>
      <c r="R986" s="31"/>
      <c r="S986" s="32"/>
      <c r="T986" s="10"/>
      <c r="U986" s="10"/>
      <c r="V986" s="10"/>
      <c r="W986" s="12">
        <f t="shared" si="266"/>
        <v>0</v>
      </c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68"/>
        <v>0</v>
      </c>
      <c r="AK986" s="62"/>
      <c r="AL986" s="86"/>
      <c r="AM986" s="86"/>
      <c r="AN986" s="86"/>
      <c r="AO986" s="86"/>
      <c r="AP986" s="86"/>
      <c r="AQ986" s="86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>
        <f t="shared" ref="G987" si="275">SUM(D987:E987)</f>
        <v>0</v>
      </c>
      <c r="H987" s="10"/>
      <c r="I987" s="10"/>
      <c r="J987" s="10"/>
      <c r="K987" s="12">
        <f t="shared" ref="K987" si="276">SUM(G987:J987)</f>
        <v>0</v>
      </c>
      <c r="M987" s="10"/>
      <c r="N987" s="30"/>
      <c r="O987" s="31"/>
      <c r="P987" s="47"/>
      <c r="Q987" s="31"/>
      <c r="R987" s="31"/>
      <c r="S987" s="32">
        <f t="shared" ref="S987" si="277">SUM(P987:Q987)</f>
        <v>0</v>
      </c>
      <c r="T987" s="10"/>
      <c r="U987" s="10"/>
      <c r="V987" s="10"/>
      <c r="W987" s="12">
        <f t="shared" si="266"/>
        <v>0</v>
      </c>
      <c r="Y987" s="10"/>
      <c r="Z987" s="30"/>
      <c r="AA987" s="31"/>
      <c r="AB987" s="47"/>
      <c r="AC987" s="31"/>
      <c r="AD987" s="31"/>
      <c r="AE987" s="32">
        <f t="shared" ref="AE987" si="278">SUM(AB987:AC987)</f>
        <v>0</v>
      </c>
      <c r="AF987" s="10"/>
      <c r="AG987" s="10"/>
      <c r="AH987" s="10"/>
      <c r="AI987" s="12">
        <f t="shared" si="268"/>
        <v>0</v>
      </c>
      <c r="AK987" s="62"/>
      <c r="AL987" s="86"/>
      <c r="AM987" s="86"/>
      <c r="AN987" s="86"/>
      <c r="AO987" s="86"/>
      <c r="AP987" s="86"/>
      <c r="AQ987" s="86"/>
      <c r="AR987" s="62"/>
      <c r="AS987" s="62"/>
      <c r="AT987" s="62"/>
      <c r="AU987" s="62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0"/>
      <c r="D988" s="32"/>
      <c r="E988" s="32"/>
      <c r="F988" s="32"/>
      <c r="G988" s="32"/>
      <c r="H988" s="10"/>
      <c r="I988" s="10"/>
      <c r="J988" s="10"/>
      <c r="K988" s="12"/>
      <c r="M988" s="10"/>
      <c r="N988" s="31"/>
      <c r="O988" s="31"/>
      <c r="P988" s="31"/>
      <c r="Q988" s="31"/>
      <c r="R988" s="31"/>
      <c r="S988" s="31"/>
      <c r="T988" s="10"/>
      <c r="U988" s="10"/>
      <c r="V988" s="10"/>
      <c r="W988" s="12">
        <f t="shared" si="266"/>
        <v>0</v>
      </c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68"/>
        <v>0</v>
      </c>
      <c r="AK988" s="62"/>
      <c r="AL988" s="86"/>
      <c r="AM988" s="86"/>
      <c r="AN988" s="70"/>
      <c r="AO988" s="70"/>
      <c r="AP988" s="70"/>
      <c r="AQ988" s="70"/>
      <c r="AR988" s="63"/>
      <c r="AS988" s="71"/>
      <c r="AT988" s="71"/>
      <c r="AU988" s="71"/>
      <c r="AV988" s="62"/>
      <c r="AW988" s="62"/>
      <c r="AX988" s="62"/>
      <c r="AY988" s="62"/>
      <c r="AZ988" s="62"/>
    </row>
    <row r="989" spans="1:52" x14ac:dyDescent="0.25">
      <c r="B989" s="57"/>
      <c r="C989" s="57"/>
      <c r="D989" s="36"/>
      <c r="E989" s="36"/>
      <c r="F989" s="36"/>
      <c r="G989" s="36"/>
      <c r="H989" s="37"/>
      <c r="I989" s="37"/>
      <c r="J989" s="37"/>
      <c r="K989" s="37"/>
      <c r="N989" s="57"/>
      <c r="O989" s="57"/>
      <c r="P989" s="36"/>
      <c r="Q989" s="36"/>
      <c r="R989" s="36"/>
      <c r="S989" s="36"/>
      <c r="T989" s="37"/>
      <c r="U989" s="37"/>
      <c r="V989" s="37"/>
      <c r="W989" s="37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K989" s="62"/>
      <c r="AL989" s="62"/>
      <c r="AM989" s="62"/>
      <c r="AN989" s="62"/>
      <c r="AO989" s="62"/>
      <c r="AP989" s="62"/>
      <c r="AQ989" s="62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8">
        <f>SUM(D947:D989)</f>
        <v>246790</v>
      </c>
      <c r="E990" s="38">
        <f t="shared" ref="E990:F990" si="279">SUM(E947:E987)</f>
        <v>0</v>
      </c>
      <c r="F990" s="38">
        <f t="shared" si="279"/>
        <v>0</v>
      </c>
      <c r="G990" s="38">
        <f>SUM(G947:G989)</f>
        <v>246790</v>
      </c>
      <c r="H990" s="4"/>
      <c r="I990" s="39">
        <f>SUM(I947:I989)</f>
        <v>708</v>
      </c>
      <c r="J990" s="39">
        <f>SUM(J947:J989)</f>
        <v>-2664</v>
      </c>
      <c r="K990" s="40">
        <f>SUM(K947:K989)</f>
        <v>244834</v>
      </c>
      <c r="N990" s="57"/>
      <c r="O990" s="57"/>
      <c r="P990" s="38">
        <f>SUM(P947:P989)</f>
        <v>221041</v>
      </c>
      <c r="Q990" s="38">
        <f t="shared" ref="Q990:R990" si="280">SUM(Q947:Q987)</f>
        <v>-1926</v>
      </c>
      <c r="R990" s="38">
        <f t="shared" si="280"/>
        <v>0</v>
      </c>
      <c r="S990" s="38">
        <f t="shared" ref="S990" si="281">SUM(S947:S989)</f>
        <v>219115</v>
      </c>
      <c r="T990" s="4"/>
      <c r="U990" s="39">
        <f t="shared" ref="U990:W990" si="282">SUM(U947:U989)</f>
        <v>855</v>
      </c>
      <c r="V990" s="39">
        <f t="shared" si="282"/>
        <v>-918</v>
      </c>
      <c r="W990" s="40">
        <f t="shared" si="282"/>
        <v>219052</v>
      </c>
      <c r="Z990" s="57"/>
      <c r="AA990" s="57"/>
      <c r="AB990" s="38">
        <f t="shared" ref="AB990" si="283">SUM(AB947:AB989)</f>
        <v>405058</v>
      </c>
      <c r="AC990" s="38">
        <f t="shared" ref="AC990:AD990" si="284">SUM(AC947:AC987)</f>
        <v>-2142</v>
      </c>
      <c r="AD990" s="38">
        <f t="shared" si="284"/>
        <v>0</v>
      </c>
      <c r="AE990" s="38">
        <f t="shared" ref="AE990" si="285">SUM(AE947:AE989)</f>
        <v>402916</v>
      </c>
      <c r="AF990" s="4"/>
      <c r="AG990" s="39">
        <f t="shared" ref="AG990:AI990" si="286">SUM(AG947:AG989)</f>
        <v>6815.25</v>
      </c>
      <c r="AH990" s="39">
        <f t="shared" si="286"/>
        <v>-14676</v>
      </c>
      <c r="AI990" s="40">
        <f t="shared" si="286"/>
        <v>395055.25</v>
      </c>
      <c r="AK990" s="62"/>
      <c r="AL990" s="62"/>
      <c r="AM990" s="62"/>
      <c r="AN990" s="62"/>
      <c r="AO990" s="62"/>
      <c r="AP990" s="62"/>
      <c r="AQ990" s="62"/>
      <c r="AR990" s="62"/>
      <c r="AS990" s="62"/>
      <c r="AT990" s="62"/>
      <c r="AU990" s="62"/>
      <c r="AV990" s="62"/>
      <c r="AW990" s="62"/>
      <c r="AX990" s="62"/>
      <c r="AY990" s="62"/>
      <c r="AZ990" s="62"/>
    </row>
    <row r="991" spans="1:52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t="s">
        <v>0</v>
      </c>
      <c r="B992" s="57"/>
      <c r="C992" s="57"/>
      <c r="D992" s="57"/>
      <c r="E992" s="57"/>
      <c r="G992" s="57"/>
      <c r="M992" t="s">
        <v>0</v>
      </c>
      <c r="N992" s="57"/>
      <c r="O992" s="57"/>
      <c r="P992" s="57"/>
      <c r="Q992" s="57"/>
      <c r="R992" s="57"/>
      <c r="S992" s="57"/>
      <c r="Y992" t="s">
        <v>0</v>
      </c>
      <c r="Z992" s="57"/>
      <c r="AA992" s="57"/>
      <c r="AB992" s="57"/>
      <c r="AC992" s="57"/>
      <c r="AD992" s="57"/>
      <c r="AE992" s="57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t="s">
        <v>28</v>
      </c>
      <c r="B993" s="57"/>
      <c r="C993" s="57"/>
      <c r="D993" s="57"/>
      <c r="E993" s="57"/>
      <c r="G993" s="57"/>
      <c r="M993" t="s">
        <v>28</v>
      </c>
      <c r="N993" s="57"/>
      <c r="O993" s="57"/>
      <c r="P993" s="57"/>
      <c r="Q993" s="57"/>
      <c r="R993" s="57"/>
      <c r="S993" s="57"/>
      <c r="Y993" t="s">
        <v>28</v>
      </c>
      <c r="Z993" s="57"/>
      <c r="AA993" s="57"/>
      <c r="AB993" s="57"/>
      <c r="AC993" s="57"/>
      <c r="AD993" s="57"/>
      <c r="AE993" s="57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B994" s="57"/>
      <c r="C994" s="57"/>
      <c r="D994" s="57"/>
      <c r="E994" s="57"/>
      <c r="G994" s="57"/>
      <c r="N994" s="57"/>
      <c r="O994" s="57"/>
      <c r="P994" s="57"/>
      <c r="Q994" s="57"/>
      <c r="R994" s="57"/>
      <c r="S994" s="57"/>
      <c r="Z994" s="57"/>
      <c r="AA994" s="57"/>
      <c r="AB994" s="57"/>
      <c r="AC994" s="57"/>
      <c r="AD994" s="57"/>
      <c r="AE994" s="57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4" t="s">
        <v>14</v>
      </c>
      <c r="B995" s="57"/>
      <c r="C995" s="57"/>
      <c r="D995" s="57"/>
      <c r="E995" s="57"/>
      <c r="G995" s="57"/>
      <c r="M995" s="4" t="s">
        <v>14</v>
      </c>
      <c r="N995" s="57"/>
      <c r="O995" s="57"/>
      <c r="P995" s="57"/>
      <c r="Q995" s="57"/>
      <c r="R995" s="57"/>
      <c r="S995" s="57"/>
      <c r="Y995" s="4" t="s">
        <v>14</v>
      </c>
      <c r="Z995" s="57"/>
      <c r="AA995" s="57"/>
      <c r="AB995" s="57"/>
      <c r="AC995" s="57"/>
      <c r="AD995" s="57"/>
      <c r="AE995" s="57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B996" s="57"/>
      <c r="C996" s="57"/>
      <c r="D996" s="57"/>
      <c r="E996" s="57"/>
      <c r="G996" s="57"/>
      <c r="N996" s="57"/>
      <c r="O996" s="57"/>
      <c r="P996" s="57"/>
      <c r="Q996" s="57"/>
      <c r="R996" s="57"/>
      <c r="S996" s="57"/>
      <c r="Z996" s="57"/>
      <c r="AA996" s="57"/>
      <c r="AB996" s="57"/>
      <c r="AC996" s="57"/>
      <c r="AD996" s="57"/>
      <c r="AE996" s="57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t="s">
        <v>47</v>
      </c>
      <c r="B997" s="57"/>
      <c r="C997" s="57"/>
      <c r="D997" s="57"/>
      <c r="E997" s="57"/>
      <c r="G997" s="57"/>
      <c r="I997" s="57" t="s">
        <v>15</v>
      </c>
      <c r="J997" s="19">
        <v>1</v>
      </c>
      <c r="M997" t="s">
        <v>47</v>
      </c>
      <c r="N997" s="57"/>
      <c r="O997" s="57"/>
      <c r="P997" s="57"/>
      <c r="Q997" s="57"/>
      <c r="R997" s="57"/>
      <c r="S997" s="57"/>
      <c r="U997" s="57" t="s">
        <v>15</v>
      </c>
      <c r="V997" s="19">
        <v>2</v>
      </c>
      <c r="Y997" t="s">
        <v>47</v>
      </c>
      <c r="Z997" s="57"/>
      <c r="AA997" s="57"/>
      <c r="AB997" s="57"/>
      <c r="AC997" s="57"/>
      <c r="AD997" s="57"/>
      <c r="AE997" s="57"/>
      <c r="AG997" s="57" t="s">
        <v>15</v>
      </c>
      <c r="AH997" s="20">
        <v>3</v>
      </c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21" t="s">
        <v>95</v>
      </c>
      <c r="B998" s="20"/>
      <c r="C998" s="57"/>
      <c r="D998" s="57"/>
      <c r="E998" s="57"/>
      <c r="G998" s="57"/>
      <c r="I998" s="22" t="s">
        <v>16</v>
      </c>
      <c r="J998" s="23" t="s">
        <v>42</v>
      </c>
      <c r="K998" s="24"/>
      <c r="M998" s="21" t="s">
        <v>95</v>
      </c>
      <c r="N998" s="20"/>
      <c r="O998" s="57"/>
      <c r="P998" s="57"/>
      <c r="Q998" s="57"/>
      <c r="R998" s="57"/>
      <c r="S998" s="57"/>
      <c r="U998" s="22" t="s">
        <v>16</v>
      </c>
      <c r="V998" s="23" t="s">
        <v>32</v>
      </c>
      <c r="W998" s="24"/>
      <c r="Y998" s="21" t="s">
        <v>95</v>
      </c>
      <c r="Z998" s="20"/>
      <c r="AA998" s="57"/>
      <c r="AB998" s="57"/>
      <c r="AC998" s="57"/>
      <c r="AD998" s="57"/>
      <c r="AE998" s="57"/>
      <c r="AG998" s="22" t="s">
        <v>16</v>
      </c>
      <c r="AH998" s="23" t="s">
        <v>33</v>
      </c>
      <c r="AI998" s="24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B999" s="57"/>
      <c r="C999" s="57"/>
      <c r="D999" s="57"/>
      <c r="E999" s="57"/>
      <c r="G999" s="57"/>
      <c r="N999" s="57"/>
      <c r="O999" s="57"/>
      <c r="P999" s="57"/>
      <c r="Q999" s="57"/>
      <c r="R999" s="57"/>
      <c r="S999" s="57"/>
      <c r="Z999" s="57"/>
      <c r="AA999" s="57"/>
      <c r="AB999" s="57"/>
      <c r="AC999" s="57"/>
      <c r="AD999" s="57"/>
      <c r="AE999" s="57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B1000" s="25"/>
      <c r="C1000" s="26"/>
      <c r="D1000" s="118" t="s">
        <v>17</v>
      </c>
      <c r="E1000" s="118"/>
      <c r="F1000" s="112"/>
      <c r="G1000" s="27"/>
      <c r="I1000" s="119" t="s">
        <v>18</v>
      </c>
      <c r="J1000" s="120"/>
      <c r="K1000" s="121" t="s">
        <v>19</v>
      </c>
      <c r="N1000" s="25"/>
      <c r="O1000" s="26"/>
      <c r="P1000" s="118" t="s">
        <v>17</v>
      </c>
      <c r="Q1000" s="118"/>
      <c r="R1000" s="112"/>
      <c r="S1000" s="27"/>
      <c r="U1000" s="119" t="s">
        <v>18</v>
      </c>
      <c r="V1000" s="120"/>
      <c r="W1000" s="121" t="s">
        <v>19</v>
      </c>
      <c r="Z1000" s="25"/>
      <c r="AA1000" s="26"/>
      <c r="AB1000" s="118" t="s">
        <v>17</v>
      </c>
      <c r="AC1000" s="118"/>
      <c r="AD1000" s="112"/>
      <c r="AE1000" s="27"/>
      <c r="AG1000" s="119" t="s">
        <v>18</v>
      </c>
      <c r="AH1000" s="120"/>
      <c r="AI1000" s="121" t="s">
        <v>19</v>
      </c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ht="30" x14ac:dyDescent="0.25">
      <c r="B1001" s="28" t="s">
        <v>20</v>
      </c>
      <c r="C1001" s="28" t="s">
        <v>21</v>
      </c>
      <c r="D1001" s="77" t="s">
        <v>22</v>
      </c>
      <c r="E1001" s="76" t="s">
        <v>23</v>
      </c>
      <c r="F1001" s="78" t="s">
        <v>31</v>
      </c>
      <c r="G1001" s="78" t="s">
        <v>24</v>
      </c>
      <c r="I1001" s="29" t="s">
        <v>25</v>
      </c>
      <c r="J1001" s="29" t="s">
        <v>26</v>
      </c>
      <c r="K1001" s="122"/>
      <c r="N1001" s="28" t="s">
        <v>20</v>
      </c>
      <c r="O1001" s="28" t="s">
        <v>21</v>
      </c>
      <c r="P1001" s="77" t="s">
        <v>22</v>
      </c>
      <c r="Q1001" s="78" t="s">
        <v>23</v>
      </c>
      <c r="R1001" s="78" t="s">
        <v>31</v>
      </c>
      <c r="S1001" s="78" t="s">
        <v>24</v>
      </c>
      <c r="U1001" s="29" t="s">
        <v>25</v>
      </c>
      <c r="V1001" s="29" t="s">
        <v>26</v>
      </c>
      <c r="W1001" s="122"/>
      <c r="Z1001" s="28" t="s">
        <v>20</v>
      </c>
      <c r="AA1001" s="28" t="s">
        <v>21</v>
      </c>
      <c r="AB1001" s="77" t="s">
        <v>22</v>
      </c>
      <c r="AC1001" s="78" t="s">
        <v>23</v>
      </c>
      <c r="AD1001" s="78" t="s">
        <v>31</v>
      </c>
      <c r="AE1001" s="78" t="s">
        <v>24</v>
      </c>
      <c r="AG1001" s="29" t="s">
        <v>25</v>
      </c>
      <c r="AH1001" s="29" t="s">
        <v>26</v>
      </c>
      <c r="AI1001" s="12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10">
        <v>1</v>
      </c>
      <c r="B1002" s="30" t="s">
        <v>96</v>
      </c>
      <c r="C1002" s="83">
        <v>11170</v>
      </c>
      <c r="D1002" s="32">
        <f>650*200+670*20+700*2+1102*2+650*5+650*5</f>
        <v>153504</v>
      </c>
      <c r="E1002" s="32"/>
      <c r="F1002" s="32"/>
      <c r="G1002" s="32">
        <f t="shared" ref="G1002:G1035" si="287">SUM(D1002:E1002)</f>
        <v>153504</v>
      </c>
      <c r="H1002" s="12"/>
      <c r="I1002" s="12">
        <f>111*222</f>
        <v>24642</v>
      </c>
      <c r="J1002" s="12">
        <f>-111*24+-84*271</f>
        <v>-25428</v>
      </c>
      <c r="K1002" s="12">
        <f t="shared" ref="K1002:K1035" si="288">SUM(G1002:J1002)</f>
        <v>152718</v>
      </c>
      <c r="M1002" s="10">
        <v>1</v>
      </c>
      <c r="N1002" s="30" t="s">
        <v>96</v>
      </c>
      <c r="O1002" s="31">
        <v>11086</v>
      </c>
      <c r="P1002" s="32">
        <f>650*5+670</f>
        <v>3920</v>
      </c>
      <c r="Q1002" s="32"/>
      <c r="R1002" s="32"/>
      <c r="S1002" s="32">
        <f>SUM(P1002:Q1002)</f>
        <v>3920</v>
      </c>
      <c r="T1002" s="12"/>
      <c r="U1002" s="12"/>
      <c r="V1002" s="12"/>
      <c r="W1002" s="12">
        <f>SUM(S1002:V1002)</f>
        <v>3920</v>
      </c>
      <c r="Y1002" s="10">
        <v>1</v>
      </c>
      <c r="Z1002" s="30" t="s">
        <v>96</v>
      </c>
      <c r="AA1002" s="31">
        <v>11122</v>
      </c>
      <c r="AB1002" s="32">
        <f>650*19+622</f>
        <v>12972</v>
      </c>
      <c r="AC1002" s="32"/>
      <c r="AD1002" s="32"/>
      <c r="AE1002" s="32">
        <f>SUM(AB1002:AC1002)</f>
        <v>12972</v>
      </c>
      <c r="AF1002" s="12"/>
      <c r="AG1002" s="12"/>
      <c r="AH1002" s="12">
        <f>-111*10</f>
        <v>-1110</v>
      </c>
      <c r="AI1002" s="12">
        <f>SUM(AE1002:AH1002)</f>
        <v>11862</v>
      </c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10">
        <v>2</v>
      </c>
      <c r="B1003" s="30" t="s">
        <v>96</v>
      </c>
      <c r="C1003" s="83">
        <f>C1002+1</f>
        <v>11171</v>
      </c>
      <c r="D1003" s="32">
        <f>650*216+670*5+1175</f>
        <v>144925</v>
      </c>
      <c r="E1003" s="32"/>
      <c r="F1003" s="32"/>
      <c r="G1003" s="32">
        <f t="shared" si="287"/>
        <v>144925</v>
      </c>
      <c r="H1003" s="12"/>
      <c r="I1003" s="12"/>
      <c r="J1003" s="12">
        <f>-84*6</f>
        <v>-504</v>
      </c>
      <c r="K1003" s="12">
        <f t="shared" si="288"/>
        <v>144421</v>
      </c>
      <c r="M1003" s="10">
        <v>2</v>
      </c>
      <c r="N1003" s="30" t="s">
        <v>96</v>
      </c>
      <c r="O1003" s="31">
        <f>O1002+1</f>
        <v>11087</v>
      </c>
      <c r="P1003" s="32">
        <f>650*5+1175+1102+9.5*5+650</f>
        <v>6224.5</v>
      </c>
      <c r="Q1003" s="32"/>
      <c r="R1003" s="32"/>
      <c r="S1003" s="32">
        <f t="shared" ref="S1003:S1040" si="289">SUM(P1003:Q1003)</f>
        <v>6224.5</v>
      </c>
      <c r="T1003" s="12"/>
      <c r="U1003" s="12"/>
      <c r="V1003" s="12"/>
      <c r="W1003" s="12">
        <f t="shared" ref="W1003:W1043" si="290">SUM(S1003:V1003)</f>
        <v>6224.5</v>
      </c>
      <c r="Y1003" s="10">
        <v>2</v>
      </c>
      <c r="Z1003" s="30" t="s">
        <v>96</v>
      </c>
      <c r="AA1003" s="31">
        <f>AA1002+1</f>
        <v>11123</v>
      </c>
      <c r="AB1003" s="32">
        <f>650*43+670*7+622*10+229</f>
        <v>39089</v>
      </c>
      <c r="AC1003" s="32"/>
      <c r="AD1003" s="32"/>
      <c r="AE1003" s="32">
        <f t="shared" ref="AE1003:AE1005" si="291">SUM(AB1003:AC1003)</f>
        <v>39089</v>
      </c>
      <c r="AF1003" s="12"/>
      <c r="AG1003" s="12"/>
      <c r="AH1003" s="12"/>
      <c r="AI1003" s="12">
        <f t="shared" ref="AI1003:AI1043" si="292">SUM(AE1003:AH1003)</f>
        <v>39089</v>
      </c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10">
        <v>3</v>
      </c>
      <c r="B1004" s="30" t="s">
        <v>96</v>
      </c>
      <c r="C1004" s="83">
        <f t="shared" ref="C1004" si="293">C1003+1</f>
        <v>11172</v>
      </c>
      <c r="D1004" s="33">
        <f>650*7+700</f>
        <v>5250</v>
      </c>
      <c r="E1004" s="33"/>
      <c r="F1004" s="33"/>
      <c r="G1004" s="33">
        <f t="shared" si="287"/>
        <v>5250</v>
      </c>
      <c r="H1004" s="34"/>
      <c r="I1004" s="34"/>
      <c r="J1004" s="34">
        <f>-111*36</f>
        <v>-3996</v>
      </c>
      <c r="K1004" s="34">
        <f t="shared" si="288"/>
        <v>1254</v>
      </c>
      <c r="M1004" s="10">
        <v>3</v>
      </c>
      <c r="N1004" s="30" t="s">
        <v>96</v>
      </c>
      <c r="O1004" s="31">
        <f t="shared" ref="O1004:O1009" si="294">O1003+1</f>
        <v>11088</v>
      </c>
      <c r="P1004" s="32">
        <f>650*63+229*2</f>
        <v>41408</v>
      </c>
      <c r="Q1004" s="32"/>
      <c r="R1004" s="32"/>
      <c r="S1004" s="32">
        <f t="shared" si="289"/>
        <v>41408</v>
      </c>
      <c r="T1004" s="12"/>
      <c r="U1004" s="12">
        <f>4.5*9+1.5*48</f>
        <v>112.5</v>
      </c>
      <c r="V1004" s="12"/>
      <c r="W1004" s="12">
        <f t="shared" si="290"/>
        <v>41520.5</v>
      </c>
      <c r="Y1004" s="10">
        <v>3</v>
      </c>
      <c r="Z1004" s="30" t="s">
        <v>96</v>
      </c>
      <c r="AA1004" s="31">
        <f t="shared" ref="AA1004:AA1009" si="295">AA1003+1</f>
        <v>11124</v>
      </c>
      <c r="AB1004" s="33">
        <f>650*8+670*2+622+229</f>
        <v>7391</v>
      </c>
      <c r="AC1004" s="33"/>
      <c r="AD1004" s="32"/>
      <c r="AE1004" s="32">
        <f t="shared" si="291"/>
        <v>7391</v>
      </c>
      <c r="AF1004" s="12"/>
      <c r="AG1004" s="12">
        <f>78</f>
        <v>78</v>
      </c>
      <c r="AH1004" s="12"/>
      <c r="AI1004" s="12">
        <f t="shared" si="292"/>
        <v>7469</v>
      </c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10">
        <v>4</v>
      </c>
      <c r="B1005" s="30" t="s">
        <v>96</v>
      </c>
      <c r="C1005" s="83">
        <f>C1004+1</f>
        <v>11173</v>
      </c>
      <c r="D1005" s="32">
        <f>500</f>
        <v>500</v>
      </c>
      <c r="E1005" s="32"/>
      <c r="F1005" s="32"/>
      <c r="G1005" s="32">
        <f t="shared" si="287"/>
        <v>500</v>
      </c>
      <c r="H1005" s="12"/>
      <c r="I1005" s="12"/>
      <c r="J1005" s="12"/>
      <c r="K1005" s="12">
        <f t="shared" si="288"/>
        <v>500</v>
      </c>
      <c r="M1005" s="10">
        <v>4</v>
      </c>
      <c r="N1005" s="30" t="s">
        <v>96</v>
      </c>
      <c r="O1005" s="31">
        <f t="shared" si="294"/>
        <v>11089</v>
      </c>
      <c r="P1005" s="32">
        <f>650*6+9.5*6</f>
        <v>3957</v>
      </c>
      <c r="Q1005" s="32"/>
      <c r="R1005" s="32"/>
      <c r="S1005" s="32">
        <f t="shared" si="289"/>
        <v>3957</v>
      </c>
      <c r="T1005" s="12"/>
      <c r="U1005" s="12"/>
      <c r="V1005" s="12">
        <f>-111</f>
        <v>-111</v>
      </c>
      <c r="W1005" s="12">
        <f t="shared" si="290"/>
        <v>3846</v>
      </c>
      <c r="Y1005" s="10">
        <v>4</v>
      </c>
      <c r="Z1005" s="30" t="s">
        <v>96</v>
      </c>
      <c r="AA1005" s="31">
        <f t="shared" si="295"/>
        <v>11125</v>
      </c>
      <c r="AB1005" s="32">
        <f>216*650+8*670+872*15+9*229</f>
        <v>160901</v>
      </c>
      <c r="AC1005" s="32"/>
      <c r="AD1005" s="32"/>
      <c r="AE1005" s="32">
        <f t="shared" si="291"/>
        <v>160901</v>
      </c>
      <c r="AF1005" s="12"/>
      <c r="AG1005">
        <f>120*11+1.5*78+4.5*12</f>
        <v>1491</v>
      </c>
      <c r="AH1005" s="12"/>
      <c r="AI1005" s="12">
        <f t="shared" si="292"/>
        <v>162392</v>
      </c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10">
        <v>5</v>
      </c>
      <c r="B1006" s="30" t="s">
        <v>96</v>
      </c>
      <c r="C1006" s="83">
        <f>C1005+1</f>
        <v>11174</v>
      </c>
      <c r="D1006" s="32">
        <f>973*50+912*3+1050*4+872*3</f>
        <v>58202</v>
      </c>
      <c r="E1006" s="32"/>
      <c r="F1006" s="32"/>
      <c r="G1006" s="32">
        <f t="shared" si="287"/>
        <v>58202</v>
      </c>
      <c r="H1006" s="12"/>
      <c r="I1006" s="12"/>
      <c r="J1006" s="12"/>
      <c r="K1006" s="12">
        <f t="shared" si="288"/>
        <v>58202</v>
      </c>
      <c r="M1006" s="10">
        <v>5</v>
      </c>
      <c r="N1006" s="30" t="s">
        <v>96</v>
      </c>
      <c r="O1006" s="31">
        <f t="shared" si="294"/>
        <v>11090</v>
      </c>
      <c r="P1006" s="32">
        <f>650*7+9.5*7</f>
        <v>4616.5</v>
      </c>
      <c r="Q1006" s="32"/>
      <c r="R1006" s="32"/>
      <c r="S1006" s="32">
        <f t="shared" si="289"/>
        <v>4616.5</v>
      </c>
      <c r="T1006" s="12"/>
      <c r="U1006" s="12">
        <f>4.5*4</f>
        <v>18</v>
      </c>
      <c r="V1006" s="12"/>
      <c r="W1006" s="12">
        <f t="shared" si="290"/>
        <v>4634.5</v>
      </c>
      <c r="Y1006" s="10">
        <v>5</v>
      </c>
      <c r="Z1006" s="30" t="s">
        <v>96</v>
      </c>
      <c r="AA1006" s="31">
        <f t="shared" si="295"/>
        <v>11126</v>
      </c>
      <c r="AB1006" s="32">
        <f>650*108+229*4</f>
        <v>71116</v>
      </c>
      <c r="AC1006" s="32">
        <f>-108*6</f>
        <v>-648</v>
      </c>
      <c r="AD1006" s="32"/>
      <c r="AE1006" s="32">
        <f t="shared" ref="AE1006:AE1034" si="296">SUM(AB1006:AC1006)</f>
        <v>70468</v>
      </c>
      <c r="AF1006" s="12"/>
      <c r="AG1006" s="12">
        <f>111*35</f>
        <v>3885</v>
      </c>
      <c r="AH1006" s="12"/>
      <c r="AI1006" s="12">
        <f t="shared" si="292"/>
        <v>74353</v>
      </c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10">
        <v>6</v>
      </c>
      <c r="B1007" s="30" t="s">
        <v>96</v>
      </c>
      <c r="C1007" s="83">
        <f t="shared" ref="C1007:C1008" si="297">C1006+1</f>
        <v>11175</v>
      </c>
      <c r="D1007" s="32">
        <f>650*3+622*3+229</f>
        <v>4045</v>
      </c>
      <c r="E1007" s="32"/>
      <c r="F1007" s="32"/>
      <c r="G1007" s="32">
        <f t="shared" si="287"/>
        <v>4045</v>
      </c>
      <c r="H1007" s="12"/>
      <c r="I1007" s="12"/>
      <c r="J1007" s="12"/>
      <c r="K1007" s="12">
        <f t="shared" si="288"/>
        <v>4045</v>
      </c>
      <c r="M1007" s="10">
        <v>6</v>
      </c>
      <c r="N1007" s="30" t="s">
        <v>96</v>
      </c>
      <c r="O1007" s="31">
        <f t="shared" si="294"/>
        <v>11091</v>
      </c>
      <c r="P1007" s="32">
        <f>650*3+9.5*3</f>
        <v>1978.5</v>
      </c>
      <c r="Q1007" s="32"/>
      <c r="R1007" s="32"/>
      <c r="S1007" s="32">
        <f t="shared" si="289"/>
        <v>1978.5</v>
      </c>
      <c r="T1007" s="12"/>
      <c r="U1007" s="12"/>
      <c r="V1007" s="10"/>
      <c r="W1007" s="12">
        <f t="shared" si="290"/>
        <v>1978.5</v>
      </c>
      <c r="Y1007" s="10">
        <v>6</v>
      </c>
      <c r="Z1007" s="30" t="s">
        <v>96</v>
      </c>
      <c r="AA1007" s="31">
        <f t="shared" si="295"/>
        <v>11127</v>
      </c>
      <c r="AB1007" s="32">
        <f>650*40+973*2+622*6+912*2+1050*2+872*2+229*2+500*3</f>
        <v>39304</v>
      </c>
      <c r="AC1007" s="32"/>
      <c r="AD1007" s="32"/>
      <c r="AE1007" s="32">
        <f t="shared" si="296"/>
        <v>39304</v>
      </c>
      <c r="AF1007" s="12"/>
      <c r="AG1007" s="12"/>
      <c r="AH1007" s="10"/>
      <c r="AI1007" s="12">
        <f t="shared" si="292"/>
        <v>39304</v>
      </c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10">
        <v>7</v>
      </c>
      <c r="B1008" s="30" t="s">
        <v>96</v>
      </c>
      <c r="C1008" s="83">
        <f t="shared" si="297"/>
        <v>11176</v>
      </c>
      <c r="D1008" s="32">
        <f>650*27+622*7</f>
        <v>21904</v>
      </c>
      <c r="E1008" s="32"/>
      <c r="F1008" s="32"/>
      <c r="G1008" s="32">
        <f t="shared" si="287"/>
        <v>21904</v>
      </c>
      <c r="H1008" s="12"/>
      <c r="I1008" s="12"/>
      <c r="J1008" s="12"/>
      <c r="K1008" s="12">
        <f t="shared" si="288"/>
        <v>21904</v>
      </c>
      <c r="M1008" s="10">
        <v>7</v>
      </c>
      <c r="N1008" s="30" t="s">
        <v>96</v>
      </c>
      <c r="O1008" s="31">
        <f t="shared" si="294"/>
        <v>11092</v>
      </c>
      <c r="P1008" s="32">
        <f>650*11+872+650</f>
        <v>8672</v>
      </c>
      <c r="Q1008" s="32"/>
      <c r="R1008" s="32"/>
      <c r="S1008" s="32">
        <f t="shared" si="289"/>
        <v>8672</v>
      </c>
      <c r="T1008" s="12"/>
      <c r="U1008" s="12">
        <f>1.5*16+4.5*6</f>
        <v>51</v>
      </c>
      <c r="V1008" s="12"/>
      <c r="W1008" s="12">
        <f t="shared" si="290"/>
        <v>8723</v>
      </c>
      <c r="Y1008" s="10">
        <v>7</v>
      </c>
      <c r="Z1008" s="30" t="s">
        <v>96</v>
      </c>
      <c r="AA1008" s="31">
        <f t="shared" si="295"/>
        <v>11128</v>
      </c>
      <c r="AB1008" s="32">
        <f>650*7</f>
        <v>4550</v>
      </c>
      <c r="AC1008" s="32"/>
      <c r="AD1008" s="32"/>
      <c r="AE1008" s="32">
        <f t="shared" si="296"/>
        <v>4550</v>
      </c>
      <c r="AF1008" s="12"/>
      <c r="AG1008" s="58"/>
      <c r="AH1008" s="12"/>
      <c r="AI1008" s="12">
        <f t="shared" si="292"/>
        <v>4550</v>
      </c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10">
        <v>8</v>
      </c>
      <c r="B1009" s="30"/>
      <c r="C1009" s="11" t="s">
        <v>27</v>
      </c>
      <c r="D1009" s="32"/>
      <c r="E1009" s="32"/>
      <c r="F1009" s="32"/>
      <c r="G1009" s="32">
        <f t="shared" si="287"/>
        <v>0</v>
      </c>
      <c r="H1009" s="12"/>
      <c r="I1009" s="12"/>
      <c r="J1009" s="12"/>
      <c r="K1009" s="12">
        <f t="shared" si="288"/>
        <v>0</v>
      </c>
      <c r="M1009" s="10">
        <v>8</v>
      </c>
      <c r="N1009" s="30" t="s">
        <v>96</v>
      </c>
      <c r="O1009" s="31">
        <f t="shared" si="294"/>
        <v>11093</v>
      </c>
      <c r="P1009" s="32">
        <f>650*165+670*5+622*20+912*2+1050*2+229*6+650*2</f>
        <v>129638</v>
      </c>
      <c r="Q1009" s="32">
        <f>-194*6</f>
        <v>-1164</v>
      </c>
      <c r="R1009" s="32"/>
      <c r="S1009" s="32">
        <f t="shared" si="289"/>
        <v>128474</v>
      </c>
      <c r="T1009" s="12"/>
      <c r="U1009" s="12">
        <f>120*3+111*17+78*4</f>
        <v>2559</v>
      </c>
      <c r="V1009" s="12">
        <f>-84+-84*4+-42*3</f>
        <v>-546</v>
      </c>
      <c r="W1009" s="12">
        <f t="shared" si="290"/>
        <v>130487</v>
      </c>
      <c r="Y1009" s="10">
        <v>8</v>
      </c>
      <c r="Z1009" s="30" t="s">
        <v>96</v>
      </c>
      <c r="AA1009" s="31">
        <f t="shared" si="295"/>
        <v>11129</v>
      </c>
      <c r="AB1009" s="32">
        <f>650*6+622*2</f>
        <v>5144</v>
      </c>
      <c r="AC1009" s="32"/>
      <c r="AE1009" s="32">
        <f t="shared" si="296"/>
        <v>5144</v>
      </c>
      <c r="AF1009" s="12"/>
      <c r="AG1009" s="12"/>
      <c r="AH1009" s="12"/>
      <c r="AI1009" s="12">
        <f t="shared" si="292"/>
        <v>5144</v>
      </c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10">
        <v>9</v>
      </c>
      <c r="B1010" s="30"/>
      <c r="C1010" s="83"/>
      <c r="D1010" s="32"/>
      <c r="E1010" s="32"/>
      <c r="F1010" s="32"/>
      <c r="G1010" s="32">
        <f t="shared" si="287"/>
        <v>0</v>
      </c>
      <c r="H1010" s="12"/>
      <c r="I1010" s="12"/>
      <c r="J1010" s="12"/>
      <c r="K1010" s="12">
        <f t="shared" si="288"/>
        <v>0</v>
      </c>
      <c r="M1010" s="10">
        <v>9</v>
      </c>
      <c r="N1010" s="30"/>
      <c r="O1010" s="11" t="s">
        <v>27</v>
      </c>
      <c r="P1010" s="32"/>
      <c r="Q1010" s="32"/>
      <c r="R1010" s="32"/>
      <c r="S1010" s="32">
        <f t="shared" si="289"/>
        <v>0</v>
      </c>
      <c r="T1010" s="12"/>
      <c r="U1010" s="12"/>
      <c r="V1010" s="12"/>
      <c r="W1010" s="12">
        <f t="shared" si="290"/>
        <v>0</v>
      </c>
      <c r="Y1010" s="10">
        <v>9</v>
      </c>
      <c r="Z1010" s="30"/>
      <c r="AA1010" s="11" t="s">
        <v>27</v>
      </c>
      <c r="AB1010" s="32"/>
      <c r="AC1010" s="32"/>
      <c r="AD1010" s="32"/>
      <c r="AE1010" s="32">
        <f t="shared" si="296"/>
        <v>0</v>
      </c>
      <c r="AF1010" s="12"/>
      <c r="AH1010" s="12"/>
      <c r="AI1010" s="12">
        <f t="shared" si="292"/>
        <v>0</v>
      </c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10">
        <v>10</v>
      </c>
      <c r="B1011" s="30"/>
      <c r="C1011" s="83"/>
      <c r="D1011" s="32"/>
      <c r="E1011" s="32"/>
      <c r="F1011" s="32"/>
      <c r="G1011" s="32">
        <f t="shared" si="287"/>
        <v>0</v>
      </c>
      <c r="H1011" s="12"/>
      <c r="I1011" s="12"/>
      <c r="J1011" s="12"/>
      <c r="K1011" s="12">
        <f t="shared" si="288"/>
        <v>0</v>
      </c>
      <c r="M1011" s="10">
        <v>10</v>
      </c>
      <c r="N1011" s="30"/>
      <c r="O1011" s="31"/>
      <c r="P1011" s="32"/>
      <c r="Q1011" s="32"/>
      <c r="R1011" s="32"/>
      <c r="S1011" s="32">
        <f t="shared" si="289"/>
        <v>0</v>
      </c>
      <c r="T1011" s="12"/>
      <c r="U1011" s="12"/>
      <c r="V1011" s="12"/>
      <c r="W1011" s="12">
        <f t="shared" si="290"/>
        <v>0</v>
      </c>
      <c r="Y1011" s="10">
        <v>10</v>
      </c>
      <c r="Z1011" s="30"/>
      <c r="AA1011" s="31"/>
      <c r="AB1011" s="32"/>
      <c r="AC1011" s="32"/>
      <c r="AD1011" s="32"/>
      <c r="AE1011" s="32">
        <f t="shared" si="296"/>
        <v>0</v>
      </c>
      <c r="AF1011" s="12"/>
      <c r="AG1011" s="12"/>
      <c r="AH1011" s="12"/>
      <c r="AI1011" s="12">
        <f t="shared" si="292"/>
        <v>0</v>
      </c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10">
        <v>11</v>
      </c>
      <c r="B1012" s="30"/>
      <c r="D1012" s="32"/>
      <c r="E1012" s="32"/>
      <c r="F1012" s="32"/>
      <c r="G1012" s="32">
        <f t="shared" si="287"/>
        <v>0</v>
      </c>
      <c r="H1012" s="12"/>
      <c r="I1012" s="12"/>
      <c r="J1012" s="12"/>
      <c r="K1012" s="12">
        <f t="shared" si="288"/>
        <v>0</v>
      </c>
      <c r="M1012" s="10">
        <v>11</v>
      </c>
      <c r="N1012" s="30"/>
      <c r="O1012" s="31"/>
      <c r="P1012" s="32"/>
      <c r="Q1012" s="32"/>
      <c r="R1012" s="32"/>
      <c r="S1012" s="32">
        <f t="shared" si="289"/>
        <v>0</v>
      </c>
      <c r="T1012" s="12"/>
      <c r="U1012" s="12"/>
      <c r="V1012" s="12"/>
      <c r="W1012" s="12">
        <f t="shared" si="290"/>
        <v>0</v>
      </c>
      <c r="Y1012" s="10">
        <v>11</v>
      </c>
      <c r="Z1012" s="30"/>
      <c r="AA1012" s="31"/>
      <c r="AB1012" s="32"/>
      <c r="AC1012" s="32"/>
      <c r="AD1012" s="32"/>
      <c r="AE1012" s="32">
        <f t="shared" si="296"/>
        <v>0</v>
      </c>
      <c r="AF1012" s="12"/>
      <c r="AG1012" s="12"/>
      <c r="AH1012" s="12"/>
      <c r="AI1012" s="12">
        <f t="shared" si="292"/>
        <v>0</v>
      </c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10">
        <v>12</v>
      </c>
      <c r="B1013" s="30"/>
      <c r="D1013" s="32"/>
      <c r="E1013" s="32"/>
      <c r="F1013" s="32"/>
      <c r="G1013" s="32">
        <f t="shared" si="287"/>
        <v>0</v>
      </c>
      <c r="H1013" s="12"/>
      <c r="I1013" s="12"/>
      <c r="J1013" s="10"/>
      <c r="K1013" s="12">
        <f t="shared" si="288"/>
        <v>0</v>
      </c>
      <c r="M1013" s="10">
        <v>12</v>
      </c>
      <c r="N1013" s="30"/>
      <c r="O1013" s="31"/>
      <c r="P1013" s="32"/>
      <c r="Q1013" s="32"/>
      <c r="R1013" s="32"/>
      <c r="S1013" s="32">
        <f t="shared" si="289"/>
        <v>0</v>
      </c>
      <c r="T1013" s="12"/>
      <c r="U1013" s="12"/>
      <c r="V1013" s="12"/>
      <c r="W1013" s="12">
        <f t="shared" si="290"/>
        <v>0</v>
      </c>
      <c r="Y1013" s="10">
        <v>12</v>
      </c>
      <c r="Z1013" s="30"/>
      <c r="AB1013" s="32"/>
      <c r="AC1013" s="32"/>
      <c r="AD1013" s="32"/>
      <c r="AE1013" s="32">
        <f t="shared" si="296"/>
        <v>0</v>
      </c>
      <c r="AF1013" s="12"/>
      <c r="AG1013" s="12"/>
      <c r="AH1013" s="12"/>
      <c r="AI1013" s="12">
        <f t="shared" si="292"/>
        <v>0</v>
      </c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10">
        <v>13</v>
      </c>
      <c r="B1014" s="30"/>
      <c r="C1014" s="83"/>
      <c r="D1014" s="32"/>
      <c r="E1014" s="32"/>
      <c r="F1014" s="32"/>
      <c r="G1014" s="32">
        <f t="shared" si="287"/>
        <v>0</v>
      </c>
      <c r="H1014" s="12"/>
      <c r="I1014" s="12"/>
      <c r="J1014" s="12"/>
      <c r="K1014" s="12">
        <f t="shared" si="288"/>
        <v>0</v>
      </c>
      <c r="M1014" s="10">
        <v>13</v>
      </c>
      <c r="N1014" s="30"/>
      <c r="O1014" s="31"/>
      <c r="P1014" s="32"/>
      <c r="Q1014" s="32"/>
      <c r="R1014" s="32"/>
      <c r="S1014" s="32">
        <f t="shared" si="289"/>
        <v>0</v>
      </c>
      <c r="T1014" s="12"/>
      <c r="U1014" s="12"/>
      <c r="V1014" s="12"/>
      <c r="W1014" s="12">
        <f t="shared" si="290"/>
        <v>0</v>
      </c>
      <c r="Y1014" s="10">
        <v>13</v>
      </c>
      <c r="Z1014" s="30"/>
      <c r="AA1014" s="31"/>
      <c r="AB1014" s="32"/>
      <c r="AC1014" s="32"/>
      <c r="AD1014" s="32"/>
      <c r="AE1014" s="32">
        <f t="shared" si="296"/>
        <v>0</v>
      </c>
      <c r="AF1014" s="12"/>
      <c r="AG1014" s="12"/>
      <c r="AH1014" s="12"/>
      <c r="AI1014" s="12">
        <f t="shared" si="292"/>
        <v>0</v>
      </c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10">
        <v>14</v>
      </c>
      <c r="B1015" s="30"/>
      <c r="C1015" s="83"/>
      <c r="D1015" s="32"/>
      <c r="E1015" s="32"/>
      <c r="F1015" s="32"/>
      <c r="G1015" s="32">
        <f t="shared" si="287"/>
        <v>0</v>
      </c>
      <c r="H1015" s="12"/>
      <c r="I1015" s="12"/>
      <c r="J1015" s="12"/>
      <c r="K1015" s="12">
        <f t="shared" si="288"/>
        <v>0</v>
      </c>
      <c r="M1015" s="10">
        <v>14</v>
      </c>
      <c r="N1015" s="30"/>
      <c r="O1015" s="31"/>
      <c r="P1015" s="32"/>
      <c r="Q1015" s="32"/>
      <c r="R1015" s="32"/>
      <c r="S1015" s="32">
        <f t="shared" si="289"/>
        <v>0</v>
      </c>
      <c r="T1015" s="12"/>
      <c r="U1015" s="12"/>
      <c r="V1015" s="12"/>
      <c r="W1015" s="12">
        <f t="shared" si="290"/>
        <v>0</v>
      </c>
      <c r="Y1015" s="10">
        <v>14</v>
      </c>
      <c r="Z1015" s="30"/>
      <c r="AA1015" s="31"/>
      <c r="AB1015" s="32"/>
      <c r="AC1015" s="32"/>
      <c r="AD1015" s="32"/>
      <c r="AE1015" s="32">
        <f t="shared" si="296"/>
        <v>0</v>
      </c>
      <c r="AF1015" s="12"/>
      <c r="AG1015" s="12"/>
      <c r="AH1015" s="12"/>
      <c r="AI1015" s="12">
        <f t="shared" si="292"/>
        <v>0</v>
      </c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10">
        <v>15</v>
      </c>
      <c r="B1016" s="30"/>
      <c r="C1016" s="83"/>
      <c r="D1016" s="32"/>
      <c r="E1016" s="32"/>
      <c r="F1016" s="32"/>
      <c r="G1016" s="32">
        <f t="shared" si="287"/>
        <v>0</v>
      </c>
      <c r="H1016" s="12"/>
      <c r="I1016" s="12"/>
      <c r="J1016" s="12"/>
      <c r="K1016" s="12">
        <f t="shared" si="288"/>
        <v>0</v>
      </c>
      <c r="M1016" s="10">
        <v>15</v>
      </c>
      <c r="N1016" s="30"/>
      <c r="O1016" s="31"/>
      <c r="P1016" s="32"/>
      <c r="Q1016" s="32"/>
      <c r="R1016" s="32"/>
      <c r="S1016" s="32">
        <f t="shared" si="289"/>
        <v>0</v>
      </c>
      <c r="T1016" s="12"/>
      <c r="U1016" s="12"/>
      <c r="V1016" s="12"/>
      <c r="W1016" s="12">
        <f t="shared" si="290"/>
        <v>0</v>
      </c>
      <c r="Y1016" s="10">
        <v>15</v>
      </c>
      <c r="Z1016" s="30"/>
      <c r="AA1016" s="31"/>
      <c r="AB1016" s="32"/>
      <c r="AC1016" s="32"/>
      <c r="AD1016" s="32"/>
      <c r="AE1016" s="32">
        <f t="shared" si="296"/>
        <v>0</v>
      </c>
      <c r="AF1016" s="12"/>
      <c r="AG1016" s="12"/>
      <c r="AH1016" s="12"/>
      <c r="AI1016" s="12">
        <f t="shared" si="292"/>
        <v>0</v>
      </c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10">
        <v>16</v>
      </c>
      <c r="B1017" s="30"/>
      <c r="C1017" s="11"/>
      <c r="D1017" s="32"/>
      <c r="E1017" s="32"/>
      <c r="F1017" s="32"/>
      <c r="G1017" s="32">
        <f t="shared" si="287"/>
        <v>0</v>
      </c>
      <c r="H1017" s="12"/>
      <c r="I1017" s="12"/>
      <c r="J1017" s="12"/>
      <c r="K1017" s="12">
        <f t="shared" si="288"/>
        <v>0</v>
      </c>
      <c r="M1017" s="10">
        <v>16</v>
      </c>
      <c r="N1017" s="30"/>
      <c r="P1017" s="32"/>
      <c r="Q1017" s="32"/>
      <c r="R1017" s="32"/>
      <c r="S1017" s="32">
        <f t="shared" si="289"/>
        <v>0</v>
      </c>
      <c r="T1017" s="12"/>
      <c r="U1017" s="12"/>
      <c r="V1017" s="12"/>
      <c r="W1017" s="12">
        <f t="shared" si="290"/>
        <v>0</v>
      </c>
      <c r="Y1017" s="10">
        <v>16</v>
      </c>
      <c r="Z1017" s="30"/>
      <c r="AA1017" s="11"/>
      <c r="AB1017" s="32"/>
      <c r="AC1017" s="32"/>
      <c r="AD1017" s="32"/>
      <c r="AE1017" s="32">
        <f t="shared" si="296"/>
        <v>0</v>
      </c>
      <c r="AF1017" s="12"/>
      <c r="AG1017" s="12"/>
      <c r="AH1017" s="12"/>
      <c r="AI1017" s="12">
        <f t="shared" si="292"/>
        <v>0</v>
      </c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10">
        <v>17</v>
      </c>
      <c r="B1018" s="30"/>
      <c r="C1018" s="83"/>
      <c r="D1018" s="32"/>
      <c r="E1018" s="32"/>
      <c r="F1018" s="32"/>
      <c r="G1018" s="32">
        <f t="shared" si="287"/>
        <v>0</v>
      </c>
      <c r="H1018" s="12"/>
      <c r="I1018" s="12"/>
      <c r="J1018" s="12"/>
      <c r="K1018" s="12">
        <f t="shared" si="288"/>
        <v>0</v>
      </c>
      <c r="M1018" s="10">
        <v>17</v>
      </c>
      <c r="N1018" s="30"/>
      <c r="O1018" s="31"/>
      <c r="P1018" s="35"/>
      <c r="Q1018" s="32"/>
      <c r="R1018" s="32"/>
      <c r="S1018" s="32">
        <f t="shared" si="289"/>
        <v>0</v>
      </c>
      <c r="T1018" s="12"/>
      <c r="U1018" s="12"/>
      <c r="V1018" s="12"/>
      <c r="W1018" s="12">
        <f t="shared" si="290"/>
        <v>0</v>
      </c>
      <c r="Y1018" s="10">
        <v>17</v>
      </c>
      <c r="Z1018" s="30"/>
      <c r="AA1018" s="31"/>
      <c r="AB1018" s="35"/>
      <c r="AC1018" s="32"/>
      <c r="AD1018" s="32"/>
      <c r="AE1018" s="32">
        <f t="shared" si="296"/>
        <v>0</v>
      </c>
      <c r="AF1018" s="12"/>
      <c r="AG1018" s="12"/>
      <c r="AH1018" s="12"/>
      <c r="AI1018" s="12">
        <f t="shared" si="292"/>
        <v>0</v>
      </c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10">
        <v>18</v>
      </c>
      <c r="B1019" s="30"/>
      <c r="C1019" s="83"/>
      <c r="D1019" s="32"/>
      <c r="E1019" s="32"/>
      <c r="F1019" s="32"/>
      <c r="G1019" s="32">
        <f t="shared" si="287"/>
        <v>0</v>
      </c>
      <c r="H1019" s="12"/>
      <c r="I1019" s="12"/>
      <c r="J1019" s="12"/>
      <c r="K1019" s="12">
        <f t="shared" si="288"/>
        <v>0</v>
      </c>
      <c r="M1019" s="10">
        <v>18</v>
      </c>
      <c r="N1019" s="30"/>
      <c r="O1019" s="31"/>
      <c r="P1019" s="32"/>
      <c r="Q1019" s="32"/>
      <c r="R1019" s="32"/>
      <c r="S1019" s="32">
        <f t="shared" si="289"/>
        <v>0</v>
      </c>
      <c r="T1019" s="12"/>
      <c r="U1019" s="12"/>
      <c r="V1019" s="12"/>
      <c r="W1019" s="12">
        <f t="shared" si="290"/>
        <v>0</v>
      </c>
      <c r="Y1019" s="10">
        <v>18</v>
      </c>
      <c r="Z1019" s="30"/>
      <c r="AA1019" s="31"/>
      <c r="AB1019" s="32"/>
      <c r="AC1019" s="32"/>
      <c r="AD1019" s="32"/>
      <c r="AE1019" s="32">
        <f t="shared" si="296"/>
        <v>0</v>
      </c>
      <c r="AF1019" s="12"/>
      <c r="AG1019" s="12"/>
      <c r="AH1019" s="12"/>
      <c r="AI1019" s="12">
        <f t="shared" si="292"/>
        <v>0</v>
      </c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10">
        <v>19</v>
      </c>
      <c r="B1020" s="30"/>
      <c r="C1020" s="83"/>
      <c r="D1020" s="32"/>
      <c r="E1020" s="32"/>
      <c r="F1020" s="32"/>
      <c r="G1020" s="32">
        <f t="shared" si="287"/>
        <v>0</v>
      </c>
      <c r="H1020" s="12"/>
      <c r="I1020" s="12"/>
      <c r="J1020" s="12"/>
      <c r="K1020" s="12">
        <f t="shared" si="288"/>
        <v>0</v>
      </c>
      <c r="M1020" s="10">
        <v>19</v>
      </c>
      <c r="N1020" s="30"/>
      <c r="O1020" s="31"/>
      <c r="P1020" s="32"/>
      <c r="Q1020" s="32"/>
      <c r="R1020" s="32"/>
      <c r="S1020" s="32">
        <f t="shared" si="289"/>
        <v>0</v>
      </c>
      <c r="T1020" s="12"/>
      <c r="U1020" s="12"/>
      <c r="V1020" s="12"/>
      <c r="W1020" s="12">
        <f t="shared" si="290"/>
        <v>0</v>
      </c>
      <c r="Y1020" s="10">
        <v>19</v>
      </c>
      <c r="Z1020" s="30"/>
      <c r="AA1020" s="31"/>
      <c r="AB1020" s="32"/>
      <c r="AC1020" s="32"/>
      <c r="AD1020" s="32"/>
      <c r="AE1020" s="32">
        <f t="shared" si="296"/>
        <v>0</v>
      </c>
      <c r="AF1020" s="12"/>
      <c r="AG1020" s="12"/>
      <c r="AH1020" s="12"/>
      <c r="AI1020" s="12">
        <f t="shared" si="292"/>
        <v>0</v>
      </c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10">
        <v>20</v>
      </c>
      <c r="B1021" s="30"/>
      <c r="C1021" s="83"/>
      <c r="D1021" s="32"/>
      <c r="E1021" s="32"/>
      <c r="F1021" s="32"/>
      <c r="G1021" s="32">
        <f t="shared" si="287"/>
        <v>0</v>
      </c>
      <c r="H1021" s="12"/>
      <c r="I1021" s="12"/>
      <c r="J1021" s="12"/>
      <c r="K1021" s="12">
        <f t="shared" si="288"/>
        <v>0</v>
      </c>
      <c r="M1021" s="10">
        <v>20</v>
      </c>
      <c r="N1021" s="30"/>
      <c r="O1021" s="31"/>
      <c r="P1021" s="32"/>
      <c r="Q1021" s="32"/>
      <c r="R1021" s="32"/>
      <c r="S1021" s="32">
        <f t="shared" si="289"/>
        <v>0</v>
      </c>
      <c r="T1021" s="12"/>
      <c r="U1021" s="12"/>
      <c r="V1021" s="12"/>
      <c r="W1021" s="12">
        <f t="shared" si="290"/>
        <v>0</v>
      </c>
      <c r="Y1021" s="10">
        <v>20</v>
      </c>
      <c r="Z1021" s="30"/>
      <c r="AB1021" s="32"/>
      <c r="AC1021" s="32"/>
      <c r="AD1021" s="32"/>
      <c r="AE1021" s="32">
        <f t="shared" si="296"/>
        <v>0</v>
      </c>
      <c r="AF1021" s="12"/>
      <c r="AG1021" s="12"/>
      <c r="AH1021" s="12"/>
      <c r="AI1021" s="12">
        <f t="shared" si="292"/>
        <v>0</v>
      </c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10">
        <v>21</v>
      </c>
      <c r="B1022" s="30"/>
      <c r="C1022" s="83"/>
      <c r="D1022" s="32"/>
      <c r="E1022" s="32"/>
      <c r="F1022" s="32"/>
      <c r="G1022" s="32">
        <f t="shared" si="287"/>
        <v>0</v>
      </c>
      <c r="H1022" s="10"/>
      <c r="I1022" s="10"/>
      <c r="J1022" s="10"/>
      <c r="K1022" s="12">
        <f t="shared" si="288"/>
        <v>0</v>
      </c>
      <c r="M1022" s="10">
        <v>21</v>
      </c>
      <c r="N1022" s="30"/>
      <c r="O1022" s="31"/>
      <c r="P1022" s="46"/>
      <c r="Q1022" s="31"/>
      <c r="R1022" s="31"/>
      <c r="S1022" s="32">
        <f t="shared" si="289"/>
        <v>0</v>
      </c>
      <c r="T1022" s="10"/>
      <c r="U1022" s="10"/>
      <c r="V1022" s="10"/>
      <c r="W1022" s="12">
        <f t="shared" si="290"/>
        <v>0</v>
      </c>
      <c r="Y1022" s="10">
        <v>21</v>
      </c>
      <c r="Z1022" s="30"/>
      <c r="AA1022" s="31"/>
      <c r="AB1022" s="46"/>
      <c r="AC1022" s="31"/>
      <c r="AD1022" s="31"/>
      <c r="AE1022" s="32">
        <f t="shared" si="296"/>
        <v>0</v>
      </c>
      <c r="AF1022" s="10"/>
      <c r="AG1022" s="10"/>
      <c r="AH1022" s="10"/>
      <c r="AI1022" s="12">
        <f t="shared" si="292"/>
        <v>0</v>
      </c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10">
        <v>22</v>
      </c>
      <c r="B1023" s="30"/>
      <c r="C1023" s="83"/>
      <c r="D1023" s="32"/>
      <c r="E1023" s="32"/>
      <c r="F1023" s="32"/>
      <c r="G1023" s="32">
        <f t="shared" si="287"/>
        <v>0</v>
      </c>
      <c r="H1023" s="10"/>
      <c r="I1023" s="10"/>
      <c r="J1023" s="10"/>
      <c r="K1023" s="12">
        <f t="shared" si="288"/>
        <v>0</v>
      </c>
      <c r="M1023" s="10">
        <v>22</v>
      </c>
      <c r="N1023" s="30"/>
      <c r="O1023" s="31"/>
      <c r="P1023" s="45"/>
      <c r="Q1023" s="31"/>
      <c r="R1023" s="31"/>
      <c r="S1023" s="32">
        <f t="shared" si="289"/>
        <v>0</v>
      </c>
      <c r="T1023" s="10"/>
      <c r="U1023" s="10"/>
      <c r="V1023" s="10"/>
      <c r="W1023" s="12">
        <f t="shared" si="290"/>
        <v>0</v>
      </c>
      <c r="Y1023" s="10">
        <v>22</v>
      </c>
      <c r="Z1023" s="30"/>
      <c r="AA1023" s="31"/>
      <c r="AB1023" s="45"/>
      <c r="AC1023" s="31"/>
      <c r="AD1023" s="31"/>
      <c r="AE1023" s="32">
        <f t="shared" si="296"/>
        <v>0</v>
      </c>
      <c r="AF1023" s="10"/>
      <c r="AG1023" s="10"/>
      <c r="AH1023" s="10"/>
      <c r="AI1023" s="12">
        <f t="shared" si="292"/>
        <v>0</v>
      </c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10">
        <v>23</v>
      </c>
      <c r="B1024" s="30"/>
      <c r="C1024" s="83"/>
      <c r="D1024" s="32"/>
      <c r="E1024" s="32"/>
      <c r="F1024" s="32"/>
      <c r="G1024" s="32">
        <f t="shared" si="287"/>
        <v>0</v>
      </c>
      <c r="H1024" s="10"/>
      <c r="I1024" s="10"/>
      <c r="J1024" s="12"/>
      <c r="K1024" s="12">
        <f t="shared" si="288"/>
        <v>0</v>
      </c>
      <c r="M1024" s="10">
        <v>23</v>
      </c>
      <c r="N1024" s="30"/>
      <c r="O1024" s="31"/>
      <c r="P1024" s="47"/>
      <c r="Q1024" s="31"/>
      <c r="S1024" s="32">
        <f t="shared" si="289"/>
        <v>0</v>
      </c>
      <c r="T1024" s="10"/>
      <c r="U1024" s="10"/>
      <c r="V1024" s="10"/>
      <c r="W1024" s="12">
        <f t="shared" si="290"/>
        <v>0</v>
      </c>
      <c r="Y1024" s="10">
        <v>23</v>
      </c>
      <c r="Z1024" s="30"/>
      <c r="AA1024" s="31"/>
      <c r="AB1024" s="47"/>
      <c r="AE1024" s="32">
        <f t="shared" si="296"/>
        <v>0</v>
      </c>
      <c r="AF1024" s="10"/>
      <c r="AG1024" s="10"/>
      <c r="AH1024" s="10"/>
      <c r="AI1024" s="12">
        <f t="shared" si="292"/>
        <v>0</v>
      </c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10">
        <v>24</v>
      </c>
      <c r="B1025" s="30"/>
      <c r="C1025" s="83"/>
      <c r="D1025" s="32"/>
      <c r="E1025" s="32"/>
      <c r="F1025" s="32"/>
      <c r="G1025" s="32">
        <f t="shared" si="287"/>
        <v>0</v>
      </c>
      <c r="H1025" s="10"/>
      <c r="I1025" s="10"/>
      <c r="J1025" s="10"/>
      <c r="K1025" s="12">
        <f t="shared" si="288"/>
        <v>0</v>
      </c>
      <c r="M1025" s="10">
        <v>24</v>
      </c>
      <c r="N1025" s="30"/>
      <c r="O1025" s="31"/>
      <c r="P1025" s="47"/>
      <c r="Q1025" s="31"/>
      <c r="R1025" s="31"/>
      <c r="S1025" s="32">
        <f t="shared" si="289"/>
        <v>0</v>
      </c>
      <c r="T1025" s="10"/>
      <c r="U1025" s="10"/>
      <c r="V1025" s="10"/>
      <c r="W1025" s="12">
        <f t="shared" si="290"/>
        <v>0</v>
      </c>
      <c r="Y1025" s="10">
        <v>24</v>
      </c>
      <c r="Z1025" s="30"/>
      <c r="AA1025" s="31"/>
      <c r="AB1025" s="47"/>
      <c r="AC1025" s="31"/>
      <c r="AD1025" s="31"/>
      <c r="AE1025" s="32">
        <f t="shared" si="296"/>
        <v>0</v>
      </c>
      <c r="AF1025" s="10"/>
      <c r="AG1025" s="10"/>
      <c r="AH1025" s="10"/>
      <c r="AI1025" s="12">
        <f t="shared" si="292"/>
        <v>0</v>
      </c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10">
        <v>25</v>
      </c>
      <c r="B1026" s="30"/>
      <c r="C1026" s="83"/>
      <c r="D1026" s="32"/>
      <c r="E1026" s="32"/>
      <c r="F1026" s="32"/>
      <c r="G1026" s="32">
        <f t="shared" si="287"/>
        <v>0</v>
      </c>
      <c r="H1026" s="10"/>
      <c r="I1026" s="10"/>
      <c r="J1026" s="10"/>
      <c r="K1026" s="12">
        <f t="shared" si="288"/>
        <v>0</v>
      </c>
      <c r="M1026" s="10">
        <v>25</v>
      </c>
      <c r="N1026" s="30"/>
      <c r="O1026" s="31"/>
      <c r="P1026" s="47"/>
      <c r="Q1026" s="31"/>
      <c r="R1026" s="31"/>
      <c r="S1026" s="32">
        <f t="shared" si="289"/>
        <v>0</v>
      </c>
      <c r="T1026" s="10"/>
      <c r="U1026" s="10"/>
      <c r="V1026" s="10"/>
      <c r="W1026" s="12">
        <f t="shared" si="290"/>
        <v>0</v>
      </c>
      <c r="Y1026" s="10">
        <v>25</v>
      </c>
      <c r="Z1026" s="30"/>
      <c r="AA1026" s="31"/>
      <c r="AB1026" s="47"/>
      <c r="AC1026" s="31"/>
      <c r="AD1026" s="31"/>
      <c r="AE1026" s="32">
        <f t="shared" si="296"/>
        <v>0</v>
      </c>
      <c r="AF1026" s="10"/>
      <c r="AG1026" s="10"/>
      <c r="AH1026" s="10"/>
      <c r="AI1026" s="12">
        <f t="shared" si="292"/>
        <v>0</v>
      </c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10">
        <v>26</v>
      </c>
      <c r="B1027" s="30"/>
      <c r="C1027" s="83"/>
      <c r="D1027" s="32"/>
      <c r="E1027" s="32"/>
      <c r="F1027" s="32"/>
      <c r="G1027" s="32">
        <f t="shared" si="287"/>
        <v>0</v>
      </c>
      <c r="H1027" s="10"/>
      <c r="I1027" s="10"/>
      <c r="J1027" s="10"/>
      <c r="K1027" s="12">
        <f t="shared" si="288"/>
        <v>0</v>
      </c>
      <c r="M1027" s="10">
        <v>26</v>
      </c>
      <c r="N1027" s="30"/>
      <c r="O1027" s="31"/>
      <c r="P1027" s="47"/>
      <c r="Q1027" s="31"/>
      <c r="R1027" s="31"/>
      <c r="S1027" s="32">
        <f t="shared" si="289"/>
        <v>0</v>
      </c>
      <c r="T1027" s="10"/>
      <c r="U1027" s="10"/>
      <c r="V1027" s="10"/>
      <c r="W1027" s="12">
        <f t="shared" si="290"/>
        <v>0</v>
      </c>
      <c r="Y1027" s="10">
        <v>26</v>
      </c>
      <c r="Z1027" s="30"/>
      <c r="AA1027" s="31"/>
      <c r="AB1027" s="47"/>
      <c r="AC1027" s="31"/>
      <c r="AD1027" s="31"/>
      <c r="AE1027" s="32">
        <f t="shared" si="296"/>
        <v>0</v>
      </c>
      <c r="AF1027" s="10"/>
      <c r="AG1027" s="10"/>
      <c r="AH1027" s="10"/>
      <c r="AI1027" s="12">
        <f t="shared" si="292"/>
        <v>0</v>
      </c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10">
        <v>27</v>
      </c>
      <c r="B1028" s="30"/>
      <c r="C1028" s="83"/>
      <c r="D1028" s="32"/>
      <c r="E1028" s="32"/>
      <c r="F1028" s="32"/>
      <c r="G1028" s="32">
        <f t="shared" si="287"/>
        <v>0</v>
      </c>
      <c r="H1028" s="10"/>
      <c r="I1028" s="10"/>
      <c r="J1028" s="10"/>
      <c r="K1028" s="12">
        <f t="shared" si="288"/>
        <v>0</v>
      </c>
      <c r="M1028" s="10">
        <v>27</v>
      </c>
      <c r="N1028" s="30"/>
      <c r="O1028" s="31"/>
      <c r="P1028" s="47"/>
      <c r="Q1028" s="31"/>
      <c r="R1028" s="31"/>
      <c r="S1028" s="32">
        <f t="shared" si="289"/>
        <v>0</v>
      </c>
      <c r="T1028" s="10"/>
      <c r="U1028" s="10"/>
      <c r="V1028" s="10"/>
      <c r="W1028" s="12">
        <f t="shared" si="290"/>
        <v>0</v>
      </c>
      <c r="Y1028" s="10">
        <v>27</v>
      </c>
      <c r="Z1028" s="30"/>
      <c r="AA1028" s="31"/>
      <c r="AB1028" s="47"/>
      <c r="AC1028" s="31"/>
      <c r="AD1028" s="31"/>
      <c r="AE1028" s="32">
        <f t="shared" si="296"/>
        <v>0</v>
      </c>
      <c r="AF1028" s="10"/>
      <c r="AG1028" s="10"/>
      <c r="AH1028" s="10"/>
      <c r="AI1028" s="12">
        <f t="shared" si="292"/>
        <v>0</v>
      </c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10">
        <v>28</v>
      </c>
      <c r="B1029" s="30"/>
      <c r="C1029" s="83"/>
      <c r="D1029" s="32"/>
      <c r="E1029" s="32"/>
      <c r="F1029" s="32"/>
      <c r="G1029" s="32">
        <f t="shared" si="287"/>
        <v>0</v>
      </c>
      <c r="H1029" s="10"/>
      <c r="I1029" s="10"/>
      <c r="J1029" s="10"/>
      <c r="K1029" s="12">
        <f t="shared" si="288"/>
        <v>0</v>
      </c>
      <c r="M1029" s="10">
        <v>28</v>
      </c>
      <c r="N1029" s="30"/>
      <c r="O1029" s="31"/>
      <c r="P1029" s="47"/>
      <c r="Q1029" s="31"/>
      <c r="R1029" s="31"/>
      <c r="S1029" s="32">
        <f t="shared" si="289"/>
        <v>0</v>
      </c>
      <c r="T1029" s="10"/>
      <c r="U1029" s="10"/>
      <c r="V1029" s="10"/>
      <c r="W1029" s="12">
        <f t="shared" si="290"/>
        <v>0</v>
      </c>
      <c r="Y1029" s="10">
        <v>28</v>
      </c>
      <c r="Z1029" s="30"/>
      <c r="AA1029" s="31"/>
      <c r="AB1029" s="47"/>
      <c r="AC1029" s="31"/>
      <c r="AD1029" s="31"/>
      <c r="AE1029" s="32">
        <f t="shared" si="296"/>
        <v>0</v>
      </c>
      <c r="AF1029" s="10"/>
      <c r="AG1029" s="10"/>
      <c r="AH1029" s="10"/>
      <c r="AI1029" s="12">
        <f t="shared" si="292"/>
        <v>0</v>
      </c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10">
        <v>29</v>
      </c>
      <c r="B1030" s="30"/>
      <c r="C1030" s="83"/>
      <c r="D1030" s="32"/>
      <c r="E1030" s="32"/>
      <c r="F1030" s="32"/>
      <c r="G1030" s="32">
        <f t="shared" si="287"/>
        <v>0</v>
      </c>
      <c r="H1030" s="10"/>
      <c r="I1030" s="10"/>
      <c r="J1030" s="10"/>
      <c r="K1030" s="12">
        <f t="shared" si="288"/>
        <v>0</v>
      </c>
      <c r="M1030" s="10">
        <v>29</v>
      </c>
      <c r="N1030" s="30"/>
      <c r="O1030" s="31"/>
      <c r="P1030" s="47"/>
      <c r="Q1030" s="31"/>
      <c r="R1030" s="31"/>
      <c r="S1030" s="32">
        <f t="shared" si="289"/>
        <v>0</v>
      </c>
      <c r="T1030" s="10"/>
      <c r="U1030" s="10"/>
      <c r="V1030" s="10"/>
      <c r="W1030" s="12">
        <f t="shared" si="290"/>
        <v>0</v>
      </c>
      <c r="Y1030" s="10">
        <v>29</v>
      </c>
      <c r="Z1030" s="30"/>
      <c r="AA1030" s="31"/>
      <c r="AB1030" s="47"/>
      <c r="AC1030" s="31"/>
      <c r="AD1030" s="31"/>
      <c r="AE1030" s="32">
        <f t="shared" si="296"/>
        <v>0</v>
      </c>
      <c r="AF1030" s="10"/>
      <c r="AG1030" s="10"/>
      <c r="AH1030" s="10"/>
      <c r="AI1030" s="12">
        <f t="shared" si="292"/>
        <v>0</v>
      </c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10">
        <v>30</v>
      </c>
      <c r="B1031" s="30"/>
      <c r="C1031" s="83"/>
      <c r="D1031" s="32"/>
      <c r="E1031" s="32"/>
      <c r="F1031" s="32"/>
      <c r="G1031" s="32">
        <f t="shared" si="287"/>
        <v>0</v>
      </c>
      <c r="H1031" s="10"/>
      <c r="I1031" s="10"/>
      <c r="J1031" s="10"/>
      <c r="K1031" s="12">
        <f t="shared" si="288"/>
        <v>0</v>
      </c>
      <c r="M1031" s="10">
        <v>30</v>
      </c>
      <c r="N1031" s="30"/>
      <c r="O1031" s="31"/>
      <c r="P1031" s="47"/>
      <c r="Q1031" s="31"/>
      <c r="R1031" s="31"/>
      <c r="S1031" s="32">
        <f t="shared" si="289"/>
        <v>0</v>
      </c>
      <c r="T1031" s="10"/>
      <c r="U1031" s="10"/>
      <c r="V1031" s="10"/>
      <c r="W1031" s="12">
        <f t="shared" si="290"/>
        <v>0</v>
      </c>
      <c r="Y1031" s="10">
        <v>30</v>
      </c>
      <c r="Z1031" s="30"/>
      <c r="AA1031" s="31"/>
      <c r="AB1031" s="47"/>
      <c r="AC1031" s="31"/>
      <c r="AD1031" s="31"/>
      <c r="AE1031" s="32">
        <f t="shared" si="296"/>
        <v>0</v>
      </c>
      <c r="AF1031" s="10"/>
      <c r="AG1031" s="10"/>
      <c r="AH1031" s="10"/>
      <c r="AI1031" s="12">
        <f t="shared" si="292"/>
        <v>0</v>
      </c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10">
        <v>31</v>
      </c>
      <c r="B1032" s="30"/>
      <c r="C1032" s="83"/>
      <c r="D1032" s="32"/>
      <c r="E1032" s="32"/>
      <c r="F1032" s="32"/>
      <c r="G1032" s="32">
        <f t="shared" si="287"/>
        <v>0</v>
      </c>
      <c r="H1032" s="10"/>
      <c r="I1032" s="10"/>
      <c r="J1032" s="10"/>
      <c r="K1032" s="12">
        <f t="shared" si="288"/>
        <v>0</v>
      </c>
      <c r="M1032" s="10">
        <v>31</v>
      </c>
      <c r="N1032" s="30"/>
      <c r="O1032" s="31"/>
      <c r="P1032" s="47"/>
      <c r="Q1032" s="31"/>
      <c r="R1032" s="31"/>
      <c r="S1032" s="32">
        <f t="shared" si="289"/>
        <v>0</v>
      </c>
      <c r="T1032" s="10"/>
      <c r="U1032" s="10"/>
      <c r="V1032" s="10"/>
      <c r="W1032" s="12">
        <f t="shared" si="290"/>
        <v>0</v>
      </c>
      <c r="Y1032" s="10">
        <v>31</v>
      </c>
      <c r="Z1032" s="30"/>
      <c r="AA1032" s="31"/>
      <c r="AB1032" s="47"/>
      <c r="AC1032" s="31"/>
      <c r="AD1032" s="31"/>
      <c r="AE1032" s="32">
        <f t="shared" si="296"/>
        <v>0</v>
      </c>
      <c r="AF1032" s="10"/>
      <c r="AG1032" s="10"/>
      <c r="AH1032" s="10"/>
      <c r="AI1032" s="12">
        <f t="shared" si="292"/>
        <v>0</v>
      </c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10">
        <v>32</v>
      </c>
      <c r="B1033" s="30"/>
      <c r="C1033" s="83"/>
      <c r="D1033" s="32"/>
      <c r="E1033" s="32"/>
      <c r="F1033" s="32"/>
      <c r="G1033" s="32">
        <f t="shared" si="287"/>
        <v>0</v>
      </c>
      <c r="H1033" s="10"/>
      <c r="I1033" s="10"/>
      <c r="J1033" s="10"/>
      <c r="K1033" s="12">
        <f t="shared" si="288"/>
        <v>0</v>
      </c>
      <c r="M1033" s="10">
        <v>32</v>
      </c>
      <c r="N1033" s="30"/>
      <c r="O1033" s="31"/>
      <c r="P1033" s="47"/>
      <c r="Q1033" s="31"/>
      <c r="R1033" s="31"/>
      <c r="S1033" s="32">
        <f t="shared" si="289"/>
        <v>0</v>
      </c>
      <c r="T1033" s="10"/>
      <c r="U1033" s="10"/>
      <c r="V1033" s="10"/>
      <c r="W1033" s="12">
        <f t="shared" si="290"/>
        <v>0</v>
      </c>
      <c r="Y1033" s="10">
        <v>32</v>
      </c>
      <c r="Z1033" s="30"/>
      <c r="AA1033" s="31"/>
      <c r="AB1033" s="47"/>
      <c r="AC1033" s="31"/>
      <c r="AD1033" s="31"/>
      <c r="AE1033" s="32">
        <f t="shared" si="296"/>
        <v>0</v>
      </c>
      <c r="AF1033" s="10"/>
      <c r="AG1033" s="10"/>
      <c r="AH1033" s="10"/>
      <c r="AI1033" s="12">
        <f t="shared" si="292"/>
        <v>0</v>
      </c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10">
        <v>33</v>
      </c>
      <c r="B1034" s="30"/>
      <c r="C1034" s="83"/>
      <c r="D1034" s="32"/>
      <c r="E1034" s="32"/>
      <c r="F1034" s="32"/>
      <c r="G1034" s="32">
        <f t="shared" si="287"/>
        <v>0</v>
      </c>
      <c r="H1034" s="10"/>
      <c r="I1034" s="10"/>
      <c r="J1034" s="10"/>
      <c r="K1034" s="12">
        <f t="shared" si="288"/>
        <v>0</v>
      </c>
      <c r="M1034" s="10">
        <v>33</v>
      </c>
      <c r="N1034" s="30"/>
      <c r="O1034" s="31"/>
      <c r="P1034" s="47"/>
      <c r="Q1034" s="31"/>
      <c r="R1034" s="31"/>
      <c r="S1034" s="32">
        <f t="shared" si="289"/>
        <v>0</v>
      </c>
      <c r="T1034" s="10"/>
      <c r="U1034" s="10"/>
      <c r="V1034" s="10"/>
      <c r="W1034" s="12">
        <f t="shared" si="290"/>
        <v>0</v>
      </c>
      <c r="Y1034" s="10">
        <v>33</v>
      </c>
      <c r="Z1034" s="30"/>
      <c r="AA1034" s="31"/>
      <c r="AB1034" s="47"/>
      <c r="AC1034" s="31"/>
      <c r="AD1034" s="31"/>
      <c r="AE1034" s="32">
        <f t="shared" si="296"/>
        <v>0</v>
      </c>
      <c r="AF1034" s="10"/>
      <c r="AG1034" s="10"/>
      <c r="AH1034" s="10"/>
      <c r="AI1034" s="12">
        <f t="shared" si="292"/>
        <v>0</v>
      </c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10"/>
      <c r="B1035" s="30"/>
      <c r="C1035" s="83"/>
      <c r="D1035" s="32"/>
      <c r="E1035" s="32"/>
      <c r="F1035" s="32"/>
      <c r="G1035" s="32">
        <f t="shared" si="287"/>
        <v>0</v>
      </c>
      <c r="H1035" s="10"/>
      <c r="I1035" s="10"/>
      <c r="J1035" s="10"/>
      <c r="K1035" s="12">
        <f t="shared" si="288"/>
        <v>0</v>
      </c>
      <c r="M1035" s="10">
        <v>34</v>
      </c>
      <c r="N1035" s="30"/>
      <c r="O1035" s="31"/>
      <c r="P1035" s="47"/>
      <c r="Q1035" s="31"/>
      <c r="R1035" s="31"/>
      <c r="S1035" s="32">
        <f t="shared" si="289"/>
        <v>0</v>
      </c>
      <c r="T1035" s="10"/>
      <c r="U1035" s="10"/>
      <c r="V1035" s="10"/>
      <c r="W1035" s="12">
        <f t="shared" si="290"/>
        <v>0</v>
      </c>
      <c r="Y1035" s="10">
        <v>34</v>
      </c>
      <c r="Z1035" s="30"/>
      <c r="AA1035" s="31"/>
      <c r="AB1035" s="47"/>
      <c r="AC1035" s="31"/>
      <c r="AD1035" s="31"/>
      <c r="AE1035" s="32">
        <f t="shared" ref="AE1035:AE1040" si="298">SUM(AB1035:AC1035)</f>
        <v>0</v>
      </c>
      <c r="AF1035" s="10"/>
      <c r="AG1035" s="10"/>
      <c r="AH1035" s="10"/>
      <c r="AI1035" s="12">
        <f t="shared" si="292"/>
        <v>0</v>
      </c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10"/>
      <c r="B1036" s="30"/>
      <c r="C1036" s="83"/>
      <c r="D1036" s="32"/>
      <c r="E1036" s="32"/>
      <c r="F1036" s="32"/>
      <c r="G1036" s="32"/>
      <c r="H1036" s="10"/>
      <c r="I1036" s="10"/>
      <c r="J1036" s="10"/>
      <c r="K1036" s="12"/>
      <c r="M1036" s="10">
        <v>35</v>
      </c>
      <c r="N1036" s="30"/>
      <c r="O1036" s="31"/>
      <c r="P1036" s="47"/>
      <c r="Q1036" s="31"/>
      <c r="R1036" s="31"/>
      <c r="S1036" s="32">
        <f t="shared" si="289"/>
        <v>0</v>
      </c>
      <c r="T1036" s="10"/>
      <c r="U1036" s="10"/>
      <c r="V1036" s="10"/>
      <c r="W1036" s="12">
        <f t="shared" si="290"/>
        <v>0</v>
      </c>
      <c r="Y1036" s="10">
        <v>35</v>
      </c>
      <c r="Z1036" s="30"/>
      <c r="AA1036" s="31"/>
      <c r="AB1036" s="47"/>
      <c r="AC1036" s="31"/>
      <c r="AD1036" s="31"/>
      <c r="AE1036" s="32">
        <f t="shared" si="298"/>
        <v>0</v>
      </c>
      <c r="AF1036" s="10"/>
      <c r="AG1036" s="10"/>
      <c r="AH1036" s="10"/>
      <c r="AI1036" s="12">
        <f t="shared" si="292"/>
        <v>0</v>
      </c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10"/>
      <c r="B1037" s="30"/>
      <c r="C1037" s="83"/>
      <c r="D1037" s="32"/>
      <c r="E1037" s="32"/>
      <c r="F1037" s="32"/>
      <c r="G1037" s="32"/>
      <c r="H1037" s="10"/>
      <c r="I1037" s="10"/>
      <c r="J1037" s="10"/>
      <c r="K1037" s="12"/>
      <c r="M1037" s="10">
        <v>36</v>
      </c>
      <c r="N1037" s="30"/>
      <c r="O1037" s="31"/>
      <c r="P1037" s="47"/>
      <c r="Q1037" s="31"/>
      <c r="R1037" s="31"/>
      <c r="S1037" s="32">
        <f t="shared" si="289"/>
        <v>0</v>
      </c>
      <c r="T1037" s="10"/>
      <c r="U1037" s="10"/>
      <c r="V1037" s="10"/>
      <c r="W1037" s="12">
        <f t="shared" si="290"/>
        <v>0</v>
      </c>
      <c r="Y1037" s="10">
        <v>36</v>
      </c>
      <c r="Z1037" s="30"/>
      <c r="AA1037" s="31"/>
      <c r="AB1037" s="47"/>
      <c r="AC1037" s="31"/>
      <c r="AD1037" s="31"/>
      <c r="AE1037" s="32">
        <f t="shared" si="298"/>
        <v>0</v>
      </c>
      <c r="AF1037" s="10"/>
      <c r="AG1037" s="10"/>
      <c r="AH1037" s="10"/>
      <c r="AI1037" s="12">
        <f t="shared" si="292"/>
        <v>0</v>
      </c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10"/>
      <c r="B1038" s="30"/>
      <c r="C1038" s="31"/>
      <c r="D1038" s="32"/>
      <c r="E1038" s="32"/>
      <c r="F1038" s="32"/>
      <c r="G1038" s="32"/>
      <c r="H1038" s="10"/>
      <c r="I1038" s="10"/>
      <c r="J1038" s="10"/>
      <c r="K1038" s="12"/>
      <c r="M1038" s="10">
        <v>37</v>
      </c>
      <c r="N1038" s="30"/>
      <c r="P1038" s="47"/>
      <c r="Q1038" s="31"/>
      <c r="R1038" s="31"/>
      <c r="S1038" s="32">
        <f t="shared" si="289"/>
        <v>0</v>
      </c>
      <c r="T1038" s="10"/>
      <c r="U1038" s="10"/>
      <c r="V1038" s="10"/>
      <c r="W1038" s="12">
        <f t="shared" si="290"/>
        <v>0</v>
      </c>
      <c r="Y1038" s="10">
        <v>37</v>
      </c>
      <c r="Z1038" s="30"/>
      <c r="AA1038" s="31"/>
      <c r="AB1038" s="47"/>
      <c r="AC1038" s="31"/>
      <c r="AD1038" s="31"/>
      <c r="AE1038" s="32">
        <f t="shared" si="298"/>
        <v>0</v>
      </c>
      <c r="AF1038" s="10"/>
      <c r="AG1038" s="10"/>
      <c r="AH1038" s="10"/>
      <c r="AI1038" s="12">
        <f t="shared" si="292"/>
        <v>0</v>
      </c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10"/>
      <c r="B1039" s="30"/>
      <c r="C1039" s="31"/>
      <c r="D1039" s="32"/>
      <c r="E1039" s="32"/>
      <c r="F1039" s="32"/>
      <c r="G1039" s="32"/>
      <c r="H1039" s="10"/>
      <c r="I1039" s="10"/>
      <c r="J1039" s="10"/>
      <c r="K1039" s="12"/>
      <c r="M1039" s="10">
        <v>38</v>
      </c>
      <c r="N1039" s="30"/>
      <c r="O1039" s="31"/>
      <c r="P1039" s="47"/>
      <c r="Q1039" s="31"/>
      <c r="R1039" s="31"/>
      <c r="S1039" s="32">
        <f t="shared" si="289"/>
        <v>0</v>
      </c>
      <c r="T1039" s="10"/>
      <c r="U1039" s="10"/>
      <c r="V1039" s="10"/>
      <c r="W1039" s="12">
        <f t="shared" si="290"/>
        <v>0</v>
      </c>
      <c r="Y1039" s="10">
        <v>38</v>
      </c>
      <c r="Z1039" s="30"/>
      <c r="AA1039" s="31"/>
      <c r="AB1039" s="47"/>
      <c r="AC1039" s="31"/>
      <c r="AD1039" s="31"/>
      <c r="AE1039" s="32">
        <f t="shared" si="298"/>
        <v>0</v>
      </c>
      <c r="AF1039" s="10"/>
      <c r="AG1039" s="10"/>
      <c r="AH1039" s="10"/>
      <c r="AI1039" s="12">
        <f t="shared" si="292"/>
        <v>0</v>
      </c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10"/>
      <c r="B1040" s="30"/>
      <c r="C1040" s="31"/>
      <c r="D1040" s="32"/>
      <c r="E1040" s="32"/>
      <c r="F1040" s="32"/>
      <c r="G1040" s="32"/>
      <c r="H1040" s="10"/>
      <c r="I1040" s="10"/>
      <c r="J1040" s="10"/>
      <c r="K1040" s="12"/>
      <c r="M1040" s="10">
        <v>39</v>
      </c>
      <c r="N1040" s="30"/>
      <c r="O1040" s="31"/>
      <c r="P1040" s="47"/>
      <c r="Q1040" s="31"/>
      <c r="R1040" s="31"/>
      <c r="S1040" s="32">
        <f t="shared" si="289"/>
        <v>0</v>
      </c>
      <c r="T1040" s="10"/>
      <c r="U1040" s="10"/>
      <c r="V1040" s="10"/>
      <c r="W1040" s="12">
        <f t="shared" si="290"/>
        <v>0</v>
      </c>
      <c r="Y1040" s="10">
        <v>39</v>
      </c>
      <c r="Z1040" s="30"/>
      <c r="AA1040" s="31"/>
      <c r="AB1040" s="47"/>
      <c r="AC1040" s="31"/>
      <c r="AD1040" s="31"/>
      <c r="AE1040" s="32">
        <f t="shared" si="298"/>
        <v>0</v>
      </c>
      <c r="AF1040" s="10"/>
      <c r="AG1040" s="10"/>
      <c r="AH1040" s="10"/>
      <c r="AI1040" s="12">
        <f t="shared" si="292"/>
        <v>0</v>
      </c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10"/>
      <c r="B1041" s="30"/>
      <c r="C1041" s="31"/>
      <c r="D1041" s="32"/>
      <c r="E1041" s="32"/>
      <c r="F1041" s="32"/>
      <c r="G1041" s="32"/>
      <c r="H1041" s="10"/>
      <c r="I1041" s="10"/>
      <c r="J1041" s="10"/>
      <c r="K1041" s="12"/>
      <c r="M1041" s="10"/>
      <c r="N1041" s="30"/>
      <c r="P1041" s="47"/>
      <c r="Q1041" s="31"/>
      <c r="R1041" s="31"/>
      <c r="S1041" s="32"/>
      <c r="T1041" s="10"/>
      <c r="U1041" s="10"/>
      <c r="V1041" s="10"/>
      <c r="W1041" s="12">
        <f t="shared" si="290"/>
        <v>0</v>
      </c>
      <c r="Y1041" s="10"/>
      <c r="Z1041" s="30"/>
      <c r="AB1041" s="47"/>
      <c r="AC1041" s="31"/>
      <c r="AD1041" s="31"/>
      <c r="AE1041" s="32"/>
      <c r="AF1041" s="10"/>
      <c r="AG1041" s="10"/>
      <c r="AH1041" s="10"/>
      <c r="AI1041" s="12">
        <f t="shared" si="292"/>
        <v>0</v>
      </c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10"/>
      <c r="B1042" s="30"/>
      <c r="C1042" s="31"/>
      <c r="D1042" s="32"/>
      <c r="E1042" s="32"/>
      <c r="F1042" s="32"/>
      <c r="G1042" s="32">
        <f t="shared" ref="G1042" si="299">SUM(D1042:E1042)</f>
        <v>0</v>
      </c>
      <c r="H1042" s="10"/>
      <c r="I1042" s="10"/>
      <c r="J1042" s="10"/>
      <c r="K1042" s="12">
        <f t="shared" ref="K1042" si="300">SUM(G1042:J1042)</f>
        <v>0</v>
      </c>
      <c r="M1042" s="10"/>
      <c r="N1042" s="30"/>
      <c r="O1042" s="31"/>
      <c r="P1042" s="47"/>
      <c r="Q1042" s="31"/>
      <c r="R1042" s="31"/>
      <c r="S1042" s="32">
        <f t="shared" ref="S1042" si="301">SUM(P1042:Q1042)</f>
        <v>0</v>
      </c>
      <c r="T1042" s="10"/>
      <c r="U1042" s="10"/>
      <c r="V1042" s="10"/>
      <c r="W1042" s="12">
        <f t="shared" si="290"/>
        <v>0</v>
      </c>
      <c r="Y1042" s="10"/>
      <c r="Z1042" s="30"/>
      <c r="AA1042" s="31"/>
      <c r="AB1042" s="47"/>
      <c r="AC1042" s="31"/>
      <c r="AD1042" s="31"/>
      <c r="AE1042" s="32">
        <f t="shared" ref="AE1042" si="302">SUM(AB1042:AC1042)</f>
        <v>0</v>
      </c>
      <c r="AF1042" s="10"/>
      <c r="AG1042" s="10"/>
      <c r="AH1042" s="10"/>
      <c r="AI1042" s="12">
        <f t="shared" si="292"/>
        <v>0</v>
      </c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10"/>
      <c r="B1043" s="30"/>
      <c r="C1043" s="30"/>
      <c r="D1043" s="32"/>
      <c r="E1043" s="32"/>
      <c r="F1043" s="32"/>
      <c r="G1043" s="32"/>
      <c r="H1043" s="10"/>
      <c r="I1043" s="10"/>
      <c r="J1043" s="10"/>
      <c r="K1043" s="12"/>
      <c r="M1043" s="10"/>
      <c r="N1043" s="31"/>
      <c r="O1043" s="31"/>
      <c r="P1043" s="31"/>
      <c r="Q1043" s="31"/>
      <c r="R1043" s="31"/>
      <c r="S1043" s="31"/>
      <c r="T1043" s="10"/>
      <c r="U1043" s="10"/>
      <c r="V1043" s="10"/>
      <c r="W1043" s="12">
        <f t="shared" si="290"/>
        <v>0</v>
      </c>
      <c r="Y1043" s="10"/>
      <c r="Z1043" s="31"/>
      <c r="AA1043" s="31"/>
      <c r="AB1043" s="31"/>
      <c r="AC1043" s="31"/>
      <c r="AD1043" s="31"/>
      <c r="AE1043" s="31"/>
      <c r="AF1043" s="10"/>
      <c r="AG1043" s="10"/>
      <c r="AH1043" s="10"/>
      <c r="AI1043" s="12">
        <f t="shared" si="292"/>
        <v>0</v>
      </c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B1044" s="57"/>
      <c r="C1044" s="57"/>
      <c r="D1044" s="36"/>
      <c r="E1044" s="36"/>
      <c r="F1044" s="36"/>
      <c r="G1044" s="36"/>
      <c r="H1044" s="37"/>
      <c r="I1044" s="37"/>
      <c r="J1044" s="37"/>
      <c r="K1044" s="37"/>
      <c r="N1044" s="57"/>
      <c r="O1044" s="57"/>
      <c r="P1044" s="36"/>
      <c r="Q1044" s="36"/>
      <c r="R1044" s="36"/>
      <c r="S1044" s="36"/>
      <c r="T1044" s="37"/>
      <c r="U1044" s="37"/>
      <c r="V1044" s="37"/>
      <c r="W1044" s="37"/>
      <c r="Z1044" s="57"/>
      <c r="AA1044" s="57"/>
      <c r="AB1044" s="36"/>
      <c r="AC1044" s="36"/>
      <c r="AD1044" s="36"/>
      <c r="AE1044" s="36"/>
      <c r="AF1044" s="37"/>
      <c r="AG1044" s="37"/>
      <c r="AH1044" s="37"/>
      <c r="AI1044" s="37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B1045" s="57"/>
      <c r="C1045" s="57"/>
      <c r="D1045" s="38">
        <f>SUM(D1002:D1044)</f>
        <v>388330</v>
      </c>
      <c r="E1045" s="38">
        <f t="shared" ref="E1045:F1045" si="303">SUM(E1002:E1042)</f>
        <v>0</v>
      </c>
      <c r="F1045" s="38">
        <f t="shared" si="303"/>
        <v>0</v>
      </c>
      <c r="G1045" s="38">
        <f>SUM(G1002:G1044)</f>
        <v>388330</v>
      </c>
      <c r="H1045" s="4"/>
      <c r="I1045" s="39">
        <f>SUM(I1002:I1044)</f>
        <v>24642</v>
      </c>
      <c r="J1045" s="39">
        <f>SUM(J1002:J1044)</f>
        <v>-29928</v>
      </c>
      <c r="K1045" s="40">
        <f>SUM(K1002:K1044)</f>
        <v>383044</v>
      </c>
      <c r="N1045" s="57"/>
      <c r="O1045" s="57"/>
      <c r="P1045" s="38">
        <f>SUM(P1002:P1044)</f>
        <v>200414.5</v>
      </c>
      <c r="Q1045" s="38">
        <f t="shared" ref="Q1045:R1045" si="304">SUM(Q1002:Q1042)</f>
        <v>-1164</v>
      </c>
      <c r="R1045" s="38">
        <f t="shared" si="304"/>
        <v>0</v>
      </c>
      <c r="S1045" s="38">
        <f t="shared" ref="S1045" si="305">SUM(S1002:S1044)</f>
        <v>199250.5</v>
      </c>
      <c r="T1045" s="4"/>
      <c r="U1045" s="39">
        <f t="shared" ref="U1045:W1045" si="306">SUM(U1002:U1044)</f>
        <v>2740.5</v>
      </c>
      <c r="V1045" s="39">
        <f t="shared" si="306"/>
        <v>-657</v>
      </c>
      <c r="W1045" s="40">
        <f t="shared" si="306"/>
        <v>201334</v>
      </c>
      <c r="Z1045" s="57"/>
      <c r="AA1045" s="57"/>
      <c r="AB1045" s="38">
        <f t="shared" ref="AB1045" si="307">SUM(AB1002:AB1044)</f>
        <v>340467</v>
      </c>
      <c r="AC1045" s="38">
        <f t="shared" ref="AC1045:AD1045" si="308">SUM(AC1002:AC1042)</f>
        <v>-648</v>
      </c>
      <c r="AD1045" s="38">
        <f t="shared" si="308"/>
        <v>0</v>
      </c>
      <c r="AE1045" s="38">
        <f t="shared" ref="AE1045" si="309">SUM(AE1002:AE1044)</f>
        <v>339819</v>
      </c>
      <c r="AF1045" s="4"/>
      <c r="AG1045" s="39">
        <f t="shared" ref="AG1045:AI1045" si="310">SUM(AG1002:AG1044)</f>
        <v>5454</v>
      </c>
      <c r="AH1045" s="39">
        <f t="shared" si="310"/>
        <v>-1110</v>
      </c>
      <c r="AI1045" s="40">
        <f t="shared" si="310"/>
        <v>344163</v>
      </c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  <c r="M1046" s="18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Y1046" s="18"/>
      <c r="Z1046" s="18"/>
      <c r="AA1046" s="18"/>
      <c r="AB1046" s="18"/>
      <c r="AC1046" s="18"/>
      <c r="AD1046" s="18"/>
      <c r="AE1046" s="18"/>
      <c r="AF1046" s="18"/>
      <c r="AG1046" s="18"/>
      <c r="AH1046" s="18"/>
      <c r="AI1046" s="18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3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M1047" t="s">
        <v>0</v>
      </c>
      <c r="N1047" s="57"/>
      <c r="O1047" s="57"/>
      <c r="P1047" s="57"/>
      <c r="Q1047" s="57"/>
      <c r="R1047" s="57"/>
      <c r="S1047" s="57"/>
      <c r="Y1047" t="s">
        <v>0</v>
      </c>
      <c r="Z1047" s="57"/>
      <c r="AA1047" s="57"/>
      <c r="AB1047" s="57"/>
      <c r="AC1047" s="57"/>
      <c r="AD1047" s="57"/>
      <c r="AE1047" s="57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M1048" t="s">
        <v>28</v>
      </c>
      <c r="N1048" s="57"/>
      <c r="O1048" s="57"/>
      <c r="P1048" s="57"/>
      <c r="Q1048" s="57"/>
      <c r="R1048" s="57"/>
      <c r="S1048" s="57"/>
      <c r="Y1048" t="s">
        <v>28</v>
      </c>
      <c r="Z1048" s="57"/>
      <c r="AA1048" s="57"/>
      <c r="AB1048" s="57"/>
      <c r="AC1048" s="57"/>
      <c r="AD1048" s="57"/>
      <c r="AE1048" s="57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ht="15.75" x14ac:dyDescent="0.25">
      <c r="A1049" s="62"/>
      <c r="B1049" s="86"/>
      <c r="C1049" s="86"/>
      <c r="D1049" s="86"/>
      <c r="E1049" s="86"/>
      <c r="F1049" s="86"/>
      <c r="G1049" s="86"/>
      <c r="H1049" s="62"/>
      <c r="I1049" s="86"/>
      <c r="J1049" s="73"/>
      <c r="K1049" s="62"/>
      <c r="N1049" s="57"/>
      <c r="O1049" s="57"/>
      <c r="P1049" s="57"/>
      <c r="Q1049" s="57"/>
      <c r="R1049" s="57"/>
      <c r="S1049" s="57"/>
      <c r="Z1049" s="57"/>
      <c r="AA1049" s="57"/>
      <c r="AB1049" s="57"/>
      <c r="AC1049" s="57"/>
      <c r="AD1049" s="57"/>
      <c r="AE1049" s="57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4"/>
      <c r="B1050" s="86"/>
      <c r="C1050" s="86"/>
      <c r="D1050" s="86"/>
      <c r="E1050" s="86"/>
      <c r="F1050" s="86"/>
      <c r="G1050" s="86"/>
      <c r="H1050" s="62"/>
      <c r="I1050" s="65"/>
      <c r="J1050" s="65"/>
      <c r="K1050" s="62"/>
      <c r="M1050" s="4" t="s">
        <v>14</v>
      </c>
      <c r="N1050" s="57"/>
      <c r="O1050" s="57"/>
      <c r="P1050" s="57"/>
      <c r="Q1050" s="57"/>
      <c r="R1050" s="57"/>
      <c r="S1050" s="57"/>
      <c r="Y1050" s="4" t="s">
        <v>14</v>
      </c>
      <c r="Z1050" s="57"/>
      <c r="AA1050" s="57"/>
      <c r="AB1050" s="57"/>
      <c r="AC1050" s="57"/>
      <c r="AD1050" s="57"/>
      <c r="AE1050" s="57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N1051" s="57"/>
      <c r="O1051" s="57"/>
      <c r="P1051" s="57"/>
      <c r="Q1051" s="57"/>
      <c r="R1051" s="57"/>
      <c r="S1051" s="57"/>
      <c r="Z1051" s="57"/>
      <c r="AA1051" s="57"/>
      <c r="AB1051" s="57"/>
      <c r="AC1051" s="57"/>
      <c r="AD1051" s="57"/>
      <c r="AE1051" s="57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65"/>
      <c r="C1052" s="86"/>
      <c r="D1052" s="123"/>
      <c r="E1052" s="123"/>
      <c r="F1052" s="86"/>
      <c r="G1052" s="86"/>
      <c r="H1052" s="62"/>
      <c r="I1052" s="123"/>
      <c r="J1052" s="123"/>
      <c r="K1052" s="124"/>
      <c r="M1052" t="s">
        <v>50</v>
      </c>
      <c r="N1052" s="57"/>
      <c r="O1052" s="57"/>
      <c r="P1052" s="57"/>
      <c r="Q1052" s="57"/>
      <c r="R1052" s="57"/>
      <c r="S1052" s="57"/>
      <c r="U1052" s="57" t="s">
        <v>15</v>
      </c>
      <c r="V1052" s="19">
        <v>2</v>
      </c>
      <c r="Y1052" t="s">
        <v>50</v>
      </c>
      <c r="Z1052" s="57"/>
      <c r="AA1052" s="57"/>
      <c r="AB1052" s="57"/>
      <c r="AC1052" s="57"/>
      <c r="AD1052" s="57"/>
      <c r="AE1052" s="57"/>
      <c r="AG1052" s="57" t="s">
        <v>15</v>
      </c>
      <c r="AH1052" s="20">
        <v>3</v>
      </c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2"/>
      <c r="B1053" s="86"/>
      <c r="C1053" s="86"/>
      <c r="D1053" s="79"/>
      <c r="E1053" s="80"/>
      <c r="F1053" s="81"/>
      <c r="G1053" s="81"/>
      <c r="H1053" s="62"/>
      <c r="I1053" s="85"/>
      <c r="J1053" s="85"/>
      <c r="K1053" s="124"/>
      <c r="M1053" s="21" t="s">
        <v>98</v>
      </c>
      <c r="N1053" s="20"/>
      <c r="O1053" s="57"/>
      <c r="P1053" s="57"/>
      <c r="Q1053" s="57"/>
      <c r="R1053" s="57"/>
      <c r="S1053" s="57"/>
      <c r="U1053" s="22" t="s">
        <v>16</v>
      </c>
      <c r="V1053" s="23" t="s">
        <v>32</v>
      </c>
      <c r="W1053" s="24"/>
      <c r="Y1053" s="21" t="s">
        <v>98</v>
      </c>
      <c r="Z1053" s="20"/>
      <c r="AA1053" s="57"/>
      <c r="AB1053" s="57"/>
      <c r="AC1053" s="57"/>
      <c r="AD1053" s="57"/>
      <c r="AE1053" s="57"/>
      <c r="AG1053" s="22" t="s">
        <v>16</v>
      </c>
      <c r="AH1053" s="23" t="s">
        <v>33</v>
      </c>
      <c r="AI1053" s="24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66"/>
      <c r="C1054" s="84"/>
      <c r="D1054" s="60"/>
      <c r="E1054" s="60"/>
      <c r="F1054" s="60"/>
      <c r="G1054" s="60"/>
      <c r="H1054" s="61"/>
      <c r="I1054" s="61"/>
      <c r="J1054" s="61"/>
      <c r="K1054" s="61"/>
      <c r="N1054" s="57"/>
      <c r="O1054" s="57"/>
      <c r="P1054" s="57"/>
      <c r="Q1054" s="57"/>
      <c r="R1054" s="57"/>
      <c r="S1054" s="57"/>
      <c r="Z1054" s="57"/>
      <c r="AA1054" s="57"/>
      <c r="AB1054" s="57"/>
      <c r="AC1054" s="57"/>
      <c r="AD1054" s="57"/>
      <c r="AE1054" s="57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6"/>
      <c r="C1055" s="86"/>
      <c r="D1055" s="60"/>
      <c r="E1055" s="60"/>
      <c r="F1055" s="60"/>
      <c r="G1055" s="60"/>
      <c r="H1055" s="61"/>
      <c r="I1055" s="61"/>
      <c r="J1055" s="61"/>
      <c r="K1055" s="61"/>
      <c r="N1055" s="25"/>
      <c r="O1055" s="26"/>
      <c r="P1055" s="118" t="s">
        <v>17</v>
      </c>
      <c r="Q1055" s="118"/>
      <c r="R1055" s="113"/>
      <c r="S1055" s="27"/>
      <c r="U1055" s="119" t="s">
        <v>18</v>
      </c>
      <c r="V1055" s="120"/>
      <c r="W1055" s="121" t="s">
        <v>19</v>
      </c>
      <c r="Z1055" s="25"/>
      <c r="AA1055" s="26"/>
      <c r="AB1055" s="118" t="s">
        <v>17</v>
      </c>
      <c r="AC1055" s="118"/>
      <c r="AD1055" s="113"/>
      <c r="AE1055" s="27"/>
      <c r="AG1055" s="119" t="s">
        <v>18</v>
      </c>
      <c r="AH1055" s="120"/>
      <c r="AI1055" s="121" t="s">
        <v>19</v>
      </c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ht="30" x14ac:dyDescent="0.25">
      <c r="A1056" s="62"/>
      <c r="B1056" s="66"/>
      <c r="C1056" s="86"/>
      <c r="D1056" s="60"/>
      <c r="E1056" s="60"/>
      <c r="F1056" s="60"/>
      <c r="G1056" s="60"/>
      <c r="H1056" s="61"/>
      <c r="I1056" s="61"/>
      <c r="J1056" s="61"/>
      <c r="K1056" s="61"/>
      <c r="N1056" s="28" t="s">
        <v>20</v>
      </c>
      <c r="O1056" s="28" t="s">
        <v>21</v>
      </c>
      <c r="P1056" s="77" t="s">
        <v>22</v>
      </c>
      <c r="Q1056" s="78" t="s">
        <v>23</v>
      </c>
      <c r="R1056" s="78" t="s">
        <v>31</v>
      </c>
      <c r="S1056" s="78" t="s">
        <v>24</v>
      </c>
      <c r="U1056" s="29" t="s">
        <v>25</v>
      </c>
      <c r="V1056" s="29" t="s">
        <v>26</v>
      </c>
      <c r="W1056" s="122"/>
      <c r="Z1056" s="28" t="s">
        <v>20</v>
      </c>
      <c r="AA1056" s="28" t="s">
        <v>21</v>
      </c>
      <c r="AB1056" s="77" t="s">
        <v>22</v>
      </c>
      <c r="AC1056" s="78" t="s">
        <v>23</v>
      </c>
      <c r="AD1056" s="78" t="s">
        <v>31</v>
      </c>
      <c r="AE1056" s="78" t="s">
        <v>24</v>
      </c>
      <c r="AG1056" s="29" t="s">
        <v>25</v>
      </c>
      <c r="AH1056" s="29" t="s">
        <v>26</v>
      </c>
      <c r="AI1056" s="12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6"/>
      <c r="D1057" s="60"/>
      <c r="E1057" s="60"/>
      <c r="F1057" s="60"/>
      <c r="G1057" s="60"/>
      <c r="H1057" s="61"/>
      <c r="I1057" s="61"/>
      <c r="J1057" s="61"/>
      <c r="K1057" s="61"/>
      <c r="M1057" s="10">
        <v>1</v>
      </c>
      <c r="N1057" s="30" t="s">
        <v>99</v>
      </c>
      <c r="O1057" s="31">
        <v>11094</v>
      </c>
      <c r="P1057" s="32">
        <f>650*80+670*3+622*10+229*2</f>
        <v>60688</v>
      </c>
      <c r="Q1057" s="32"/>
      <c r="R1057" s="32"/>
      <c r="S1057" s="32">
        <f>SUM(P1057:Q1057)</f>
        <v>60688</v>
      </c>
      <c r="T1057" s="12"/>
      <c r="U1057" s="12"/>
      <c r="V1057" s="12">
        <f>-111*15+-84*7</f>
        <v>-2253</v>
      </c>
      <c r="W1057" s="12">
        <f>SUM(S1057:V1057)</f>
        <v>58435</v>
      </c>
      <c r="Y1057" s="10">
        <v>1</v>
      </c>
      <c r="Z1057" s="30" t="s">
        <v>99</v>
      </c>
      <c r="AA1057" s="31">
        <v>11131</v>
      </c>
      <c r="AB1057" s="32">
        <f>200*650+670*20+973*10+622*50+912*10+1050*10+872*20+872*5+500*10</f>
        <v>230650</v>
      </c>
      <c r="AC1057" s="32"/>
      <c r="AD1057" s="32"/>
      <c r="AE1057" s="32">
        <f>SUM(AB1057:AC1057)</f>
        <v>230650</v>
      </c>
      <c r="AF1057" s="12"/>
      <c r="AG1057" s="12">
        <v>37170</v>
      </c>
      <c r="AH1057" s="12">
        <f>-120+-4329+-22260</f>
        <v>-26709</v>
      </c>
      <c r="AI1057" s="12">
        <f>SUM(AE1057:AH1057)</f>
        <v>241111</v>
      </c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M1058" s="10">
        <v>2</v>
      </c>
      <c r="N1058" s="30" t="s">
        <v>99</v>
      </c>
      <c r="O1058" s="31">
        <f>O1057+1</f>
        <v>11095</v>
      </c>
      <c r="P1058" s="32">
        <f>650*108+622*50+229*4</f>
        <v>102216</v>
      </c>
      <c r="Q1058" s="32">
        <f>-158*6</f>
        <v>-948</v>
      </c>
      <c r="R1058" s="32"/>
      <c r="S1058" s="32">
        <f t="shared" ref="S1058:S1095" si="311">SUM(P1058:Q1058)</f>
        <v>101268</v>
      </c>
      <c r="T1058" s="12"/>
      <c r="U1058" s="12">
        <f>111*60+1.5*96</f>
        <v>6804</v>
      </c>
      <c r="V1058" s="12"/>
      <c r="W1058" s="12">
        <f t="shared" ref="W1058:W1098" si="312">SUM(S1058:V1058)</f>
        <v>108072</v>
      </c>
      <c r="Y1058" s="10">
        <v>2</v>
      </c>
      <c r="Z1058" s="30" t="s">
        <v>99</v>
      </c>
      <c r="AA1058" s="31">
        <f>AA1057+1</f>
        <v>11132</v>
      </c>
      <c r="AB1058" s="32">
        <f>700*10+1175*4+1175+1175+1102+650*5+500*5</f>
        <v>20902</v>
      </c>
      <c r="AC1058" s="32"/>
      <c r="AD1058" s="32"/>
      <c r="AE1058" s="32">
        <f t="shared" ref="AE1058:AE1060" si="313">SUM(AB1058:AC1058)</f>
        <v>20902</v>
      </c>
      <c r="AF1058" s="12"/>
      <c r="AG1058" s="12">
        <v>1710</v>
      </c>
      <c r="AH1058" s="12"/>
      <c r="AI1058" s="12">
        <f t="shared" ref="AI1058:AI1098" si="314">SUM(AE1058:AH1058)</f>
        <v>22612</v>
      </c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M1059" s="10">
        <v>3</v>
      </c>
      <c r="N1059" s="30" t="s">
        <v>99</v>
      </c>
      <c r="O1059" s="31">
        <f t="shared" ref="O1059:O1061" si="315">O1058+1</f>
        <v>11096</v>
      </c>
      <c r="P1059" s="32">
        <f>650*216+229*9</f>
        <v>142461</v>
      </c>
      <c r="Q1059" s="32">
        <f>-216*6</f>
        <v>-1296</v>
      </c>
      <c r="R1059" s="32"/>
      <c r="S1059" s="32">
        <f t="shared" si="311"/>
        <v>141165</v>
      </c>
      <c r="T1059" s="12"/>
      <c r="U1059" s="12">
        <f>56*111+78*7</f>
        <v>6762</v>
      </c>
      <c r="V1059" s="12">
        <f>-84*14+-42*6</f>
        <v>-1428</v>
      </c>
      <c r="W1059" s="12">
        <f t="shared" si="312"/>
        <v>146499</v>
      </c>
      <c r="Y1059" s="10">
        <v>3</v>
      </c>
      <c r="Z1059" s="30" t="s">
        <v>99</v>
      </c>
      <c r="AA1059" s="31">
        <f t="shared" ref="AA1059" si="316">AA1058+1</f>
        <v>11133</v>
      </c>
      <c r="AB1059" s="33">
        <f>650*5+622*2</f>
        <v>4494</v>
      </c>
      <c r="AC1059" s="33"/>
      <c r="AD1059" s="32"/>
      <c r="AE1059" s="32">
        <f t="shared" si="313"/>
        <v>4494</v>
      </c>
      <c r="AF1059" s="12"/>
      <c r="AG1059" s="12"/>
      <c r="AH1059" s="12">
        <v>-1332</v>
      </c>
      <c r="AI1059" s="12">
        <f t="shared" si="314"/>
        <v>3162</v>
      </c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M1060" s="10">
        <v>4</v>
      </c>
      <c r="N1060" s="30" t="s">
        <v>99</v>
      </c>
      <c r="O1060" s="31">
        <f t="shared" si="315"/>
        <v>11097</v>
      </c>
      <c r="P1060" s="32">
        <f>650+622</f>
        <v>1272</v>
      </c>
      <c r="Q1060" s="32"/>
      <c r="R1060" s="32"/>
      <c r="S1060" s="32">
        <f t="shared" si="311"/>
        <v>1272</v>
      </c>
      <c r="T1060" s="12"/>
      <c r="U1060" s="12"/>
      <c r="V1060" s="12"/>
      <c r="W1060" s="12">
        <f t="shared" si="312"/>
        <v>1272</v>
      </c>
      <c r="Y1060" s="10">
        <v>4</v>
      </c>
      <c r="Z1060" s="30"/>
      <c r="AA1060" s="11" t="s">
        <v>27</v>
      </c>
      <c r="AB1060" s="32"/>
      <c r="AC1060" s="32"/>
      <c r="AD1060" s="32"/>
      <c r="AE1060" s="32">
        <f t="shared" si="313"/>
        <v>0</v>
      </c>
      <c r="AF1060" s="12"/>
      <c r="AH1060" s="12"/>
      <c r="AI1060" s="12">
        <f t="shared" si="314"/>
        <v>0</v>
      </c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M1061" s="10">
        <v>5</v>
      </c>
      <c r="N1061" s="30" t="s">
        <v>99</v>
      </c>
      <c r="O1061" s="31">
        <f t="shared" si="315"/>
        <v>11098</v>
      </c>
      <c r="P1061" s="32">
        <f>650*30+622*5</f>
        <v>22610</v>
      </c>
      <c r="Q1061" s="32"/>
      <c r="R1061" s="32"/>
      <c r="S1061" s="32">
        <f t="shared" si="311"/>
        <v>22610</v>
      </c>
      <c r="T1061" s="12"/>
      <c r="U1061" s="12">
        <f>4.5*2</f>
        <v>9</v>
      </c>
      <c r="V1061" s="12"/>
      <c r="W1061" s="12">
        <f t="shared" si="312"/>
        <v>22619</v>
      </c>
      <c r="Y1061" s="10">
        <v>5</v>
      </c>
      <c r="Z1061" s="30"/>
      <c r="AA1061" s="31"/>
      <c r="AB1061" s="32"/>
      <c r="AC1061" s="32"/>
      <c r="AD1061" s="32"/>
      <c r="AE1061" s="32">
        <f t="shared" ref="AE1061:AE1089" si="317">SUM(AB1061:AC1061)</f>
        <v>0</v>
      </c>
      <c r="AF1061" s="12"/>
      <c r="AG1061" s="12"/>
      <c r="AH1061" s="12"/>
      <c r="AI1061" s="12">
        <f t="shared" si="314"/>
        <v>0</v>
      </c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M1062" s="10">
        <v>6</v>
      </c>
      <c r="N1062" s="30"/>
      <c r="O1062" s="11" t="s">
        <v>27</v>
      </c>
      <c r="P1062" s="32"/>
      <c r="Q1062" s="32"/>
      <c r="R1062" s="32"/>
      <c r="S1062" s="32">
        <f t="shared" si="311"/>
        <v>0</v>
      </c>
      <c r="T1062" s="12"/>
      <c r="U1062" s="12"/>
      <c r="V1062" s="10"/>
      <c r="W1062" s="12">
        <f t="shared" si="312"/>
        <v>0</v>
      </c>
      <c r="Y1062" s="10">
        <v>6</v>
      </c>
      <c r="Z1062" s="30"/>
      <c r="AA1062" s="31"/>
      <c r="AB1062" s="32"/>
      <c r="AC1062" s="32"/>
      <c r="AD1062" s="32"/>
      <c r="AE1062" s="32">
        <f t="shared" si="317"/>
        <v>0</v>
      </c>
      <c r="AF1062" s="12"/>
      <c r="AG1062" s="12"/>
      <c r="AH1062" s="10"/>
      <c r="AI1062" s="12">
        <f t="shared" si="314"/>
        <v>0</v>
      </c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M1063" s="10">
        <v>7</v>
      </c>
      <c r="N1063" s="30"/>
      <c r="O1063" s="31"/>
      <c r="P1063" s="32"/>
      <c r="Q1063" s="32"/>
      <c r="R1063" s="32"/>
      <c r="S1063" s="32">
        <f t="shared" si="311"/>
        <v>0</v>
      </c>
      <c r="T1063" s="12"/>
      <c r="U1063" s="12"/>
      <c r="V1063" s="12"/>
      <c r="W1063" s="12">
        <f t="shared" si="312"/>
        <v>0</v>
      </c>
      <c r="Y1063" s="10">
        <v>7</v>
      </c>
      <c r="Z1063" s="30"/>
      <c r="AA1063" s="31"/>
      <c r="AB1063" s="32"/>
      <c r="AC1063" s="32"/>
      <c r="AD1063" s="32"/>
      <c r="AE1063" s="32">
        <f t="shared" si="317"/>
        <v>0</v>
      </c>
      <c r="AF1063" s="12"/>
      <c r="AG1063" s="58"/>
      <c r="AH1063" s="12"/>
      <c r="AI1063" s="12">
        <f t="shared" si="314"/>
        <v>0</v>
      </c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M1064" s="10">
        <v>8</v>
      </c>
      <c r="N1064" s="30"/>
      <c r="O1064" s="31"/>
      <c r="P1064" s="32"/>
      <c r="Q1064" s="32"/>
      <c r="R1064" s="32"/>
      <c r="S1064" s="32">
        <f t="shared" si="311"/>
        <v>0</v>
      </c>
      <c r="T1064" s="12"/>
      <c r="U1064" s="12"/>
      <c r="V1064" s="12"/>
      <c r="W1064" s="12">
        <f t="shared" si="312"/>
        <v>0</v>
      </c>
      <c r="Y1064" s="10">
        <v>8</v>
      </c>
      <c r="Z1064" s="30"/>
      <c r="AA1064" s="31"/>
      <c r="AB1064" s="32"/>
      <c r="AC1064" s="32"/>
      <c r="AE1064" s="32">
        <f t="shared" si="317"/>
        <v>0</v>
      </c>
      <c r="AF1064" s="12"/>
      <c r="AG1064" s="12"/>
      <c r="AH1064" s="12"/>
      <c r="AI1064" s="12">
        <f t="shared" si="314"/>
        <v>0</v>
      </c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2"/>
      <c r="K1065" s="61"/>
      <c r="M1065" s="10">
        <v>9</v>
      </c>
      <c r="N1065" s="30"/>
      <c r="P1065" s="32"/>
      <c r="Q1065" s="32"/>
      <c r="R1065" s="32"/>
      <c r="S1065" s="32">
        <f t="shared" si="311"/>
        <v>0</v>
      </c>
      <c r="T1065" s="12"/>
      <c r="U1065" s="12"/>
      <c r="V1065" s="12"/>
      <c r="W1065" s="12">
        <f t="shared" si="312"/>
        <v>0</v>
      </c>
      <c r="Y1065" s="10">
        <v>9</v>
      </c>
      <c r="Z1065" s="30"/>
      <c r="AB1065" s="32"/>
      <c r="AC1065" s="32"/>
      <c r="AD1065" s="32"/>
      <c r="AE1065" s="32">
        <f t="shared" si="317"/>
        <v>0</v>
      </c>
      <c r="AF1065" s="12"/>
      <c r="AH1065" s="12"/>
      <c r="AI1065" s="12">
        <f t="shared" si="314"/>
        <v>0</v>
      </c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M1066" s="10">
        <v>10</v>
      </c>
      <c r="N1066" s="30"/>
      <c r="O1066" s="31"/>
      <c r="P1066" s="32"/>
      <c r="Q1066" s="32"/>
      <c r="R1066" s="32"/>
      <c r="S1066" s="32">
        <f t="shared" si="311"/>
        <v>0</v>
      </c>
      <c r="T1066" s="12"/>
      <c r="U1066" s="12"/>
      <c r="V1066" s="12"/>
      <c r="W1066" s="12">
        <f t="shared" si="312"/>
        <v>0</v>
      </c>
      <c r="Y1066" s="10">
        <v>10</v>
      </c>
      <c r="Z1066" s="30"/>
      <c r="AA1066" s="31"/>
      <c r="AB1066" s="32"/>
      <c r="AC1066" s="32"/>
      <c r="AD1066" s="32"/>
      <c r="AE1066" s="32">
        <f t="shared" si="317"/>
        <v>0</v>
      </c>
      <c r="AF1066" s="12"/>
      <c r="AG1066" s="12"/>
      <c r="AH1066" s="12"/>
      <c r="AI1066" s="12">
        <f t="shared" si="314"/>
        <v>0</v>
      </c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65"/>
      <c r="D1067" s="60"/>
      <c r="E1067" s="60"/>
      <c r="F1067" s="60"/>
      <c r="G1067" s="60"/>
      <c r="H1067" s="61"/>
      <c r="I1067" s="61"/>
      <c r="J1067" s="61"/>
      <c r="K1067" s="61"/>
      <c r="M1067" s="10">
        <v>11</v>
      </c>
      <c r="N1067" s="30"/>
      <c r="O1067" s="31"/>
      <c r="P1067" s="32"/>
      <c r="Q1067" s="32"/>
      <c r="R1067" s="32"/>
      <c r="S1067" s="32">
        <f t="shared" si="311"/>
        <v>0</v>
      </c>
      <c r="T1067" s="12"/>
      <c r="U1067" s="12"/>
      <c r="V1067" s="12"/>
      <c r="W1067" s="12">
        <f t="shared" si="312"/>
        <v>0</v>
      </c>
      <c r="Y1067" s="10">
        <v>11</v>
      </c>
      <c r="Z1067" s="30"/>
      <c r="AA1067" s="31"/>
      <c r="AB1067" s="32"/>
      <c r="AC1067" s="32"/>
      <c r="AD1067" s="32"/>
      <c r="AE1067" s="32">
        <f t="shared" si="317"/>
        <v>0</v>
      </c>
      <c r="AF1067" s="12"/>
      <c r="AG1067" s="12"/>
      <c r="AH1067" s="12"/>
      <c r="AI1067" s="12">
        <f t="shared" si="314"/>
        <v>0</v>
      </c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1"/>
      <c r="K1068" s="61"/>
      <c r="M1068" s="10">
        <v>12</v>
      </c>
      <c r="N1068" s="30"/>
      <c r="O1068" s="31"/>
      <c r="P1068" s="32"/>
      <c r="Q1068" s="32"/>
      <c r="R1068" s="32"/>
      <c r="S1068" s="32">
        <f t="shared" si="311"/>
        <v>0</v>
      </c>
      <c r="T1068" s="12"/>
      <c r="U1068" s="12"/>
      <c r="V1068" s="12"/>
      <c r="W1068" s="12">
        <f t="shared" si="312"/>
        <v>0</v>
      </c>
      <c r="Y1068" s="10">
        <v>12</v>
      </c>
      <c r="Z1068" s="30"/>
      <c r="AB1068" s="32"/>
      <c r="AC1068" s="32"/>
      <c r="AD1068" s="32"/>
      <c r="AE1068" s="32">
        <f t="shared" si="317"/>
        <v>0</v>
      </c>
      <c r="AF1068" s="12"/>
      <c r="AG1068" s="12"/>
      <c r="AH1068" s="12"/>
      <c r="AI1068" s="12">
        <f t="shared" si="314"/>
        <v>0</v>
      </c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M1069" s="10">
        <v>13</v>
      </c>
      <c r="N1069" s="30"/>
      <c r="O1069" s="31"/>
      <c r="P1069" s="32"/>
      <c r="Q1069" s="32"/>
      <c r="R1069" s="32"/>
      <c r="S1069" s="32">
        <f t="shared" si="311"/>
        <v>0</v>
      </c>
      <c r="T1069" s="12"/>
      <c r="U1069" s="12"/>
      <c r="V1069" s="12"/>
      <c r="W1069" s="12">
        <f t="shared" si="312"/>
        <v>0</v>
      </c>
      <c r="Y1069" s="10">
        <v>13</v>
      </c>
      <c r="Z1069" s="30"/>
      <c r="AA1069" s="31"/>
      <c r="AB1069" s="32"/>
      <c r="AC1069" s="32"/>
      <c r="AD1069" s="32"/>
      <c r="AE1069" s="32">
        <f t="shared" si="317"/>
        <v>0</v>
      </c>
      <c r="AF1069" s="12"/>
      <c r="AG1069" s="12"/>
      <c r="AH1069" s="12"/>
      <c r="AI1069" s="12">
        <f t="shared" si="314"/>
        <v>0</v>
      </c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6"/>
      <c r="D1070" s="60"/>
      <c r="E1070" s="60"/>
      <c r="F1070" s="60"/>
      <c r="G1070" s="60"/>
      <c r="H1070" s="61"/>
      <c r="I1070" s="61"/>
      <c r="J1070" s="61"/>
      <c r="K1070" s="61"/>
      <c r="M1070" s="10">
        <v>14</v>
      </c>
      <c r="N1070" s="30"/>
      <c r="O1070" s="31"/>
      <c r="P1070" s="32"/>
      <c r="Q1070" s="32"/>
      <c r="R1070" s="32"/>
      <c r="S1070" s="32">
        <f t="shared" si="311"/>
        <v>0</v>
      </c>
      <c r="T1070" s="12"/>
      <c r="U1070" s="12"/>
      <c r="V1070" s="12"/>
      <c r="W1070" s="12">
        <f t="shared" si="312"/>
        <v>0</v>
      </c>
      <c r="Y1070" s="10">
        <v>14</v>
      </c>
      <c r="Z1070" s="30"/>
      <c r="AA1070" s="31"/>
      <c r="AB1070" s="32"/>
      <c r="AC1070" s="32"/>
      <c r="AD1070" s="32"/>
      <c r="AE1070" s="32">
        <f t="shared" si="317"/>
        <v>0</v>
      </c>
      <c r="AF1070" s="12"/>
      <c r="AG1070" s="12"/>
      <c r="AH1070" s="12"/>
      <c r="AI1070" s="12">
        <f t="shared" si="314"/>
        <v>0</v>
      </c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M1071" s="10">
        <v>15</v>
      </c>
      <c r="N1071" s="30"/>
      <c r="O1071" s="31"/>
      <c r="P1071" s="32"/>
      <c r="Q1071" s="32"/>
      <c r="R1071" s="32"/>
      <c r="S1071" s="32">
        <f t="shared" si="311"/>
        <v>0</v>
      </c>
      <c r="T1071" s="12"/>
      <c r="U1071" s="12"/>
      <c r="V1071" s="12"/>
      <c r="W1071" s="12">
        <f t="shared" si="312"/>
        <v>0</v>
      </c>
      <c r="Y1071" s="10">
        <v>15</v>
      </c>
      <c r="Z1071" s="30"/>
      <c r="AA1071" s="31"/>
      <c r="AB1071" s="32"/>
      <c r="AC1071" s="32"/>
      <c r="AD1071" s="32"/>
      <c r="AE1071" s="32">
        <f t="shared" si="317"/>
        <v>0</v>
      </c>
      <c r="AF1071" s="12"/>
      <c r="AG1071" s="12"/>
      <c r="AH1071" s="12"/>
      <c r="AI1071" s="12">
        <f t="shared" si="314"/>
        <v>0</v>
      </c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M1072" s="10">
        <v>16</v>
      </c>
      <c r="N1072" s="30"/>
      <c r="P1072" s="32"/>
      <c r="Q1072" s="32"/>
      <c r="R1072" s="32"/>
      <c r="S1072" s="32">
        <f t="shared" si="311"/>
        <v>0</v>
      </c>
      <c r="T1072" s="12"/>
      <c r="U1072" s="12"/>
      <c r="V1072" s="12"/>
      <c r="W1072" s="12">
        <f t="shared" si="312"/>
        <v>0</v>
      </c>
      <c r="Y1072" s="10">
        <v>16</v>
      </c>
      <c r="Z1072" s="30"/>
      <c r="AA1072" s="11"/>
      <c r="AB1072" s="32"/>
      <c r="AC1072" s="32"/>
      <c r="AD1072" s="32"/>
      <c r="AE1072" s="32">
        <f t="shared" si="317"/>
        <v>0</v>
      </c>
      <c r="AF1072" s="12"/>
      <c r="AG1072" s="12"/>
      <c r="AH1072" s="12"/>
      <c r="AI1072" s="12">
        <f t="shared" si="314"/>
        <v>0</v>
      </c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M1073" s="10">
        <v>17</v>
      </c>
      <c r="N1073" s="30"/>
      <c r="O1073" s="31"/>
      <c r="P1073" s="35"/>
      <c r="Q1073" s="32"/>
      <c r="R1073" s="32"/>
      <c r="S1073" s="32">
        <f t="shared" si="311"/>
        <v>0</v>
      </c>
      <c r="T1073" s="12"/>
      <c r="U1073" s="12"/>
      <c r="V1073" s="12"/>
      <c r="W1073" s="12">
        <f t="shared" si="312"/>
        <v>0</v>
      </c>
      <c r="Y1073" s="10">
        <v>17</v>
      </c>
      <c r="Z1073" s="30"/>
      <c r="AA1073" s="31"/>
      <c r="AB1073" s="35"/>
      <c r="AC1073" s="32"/>
      <c r="AD1073" s="32"/>
      <c r="AE1073" s="32">
        <f t="shared" si="317"/>
        <v>0</v>
      </c>
      <c r="AF1073" s="12"/>
      <c r="AG1073" s="12"/>
      <c r="AH1073" s="12"/>
      <c r="AI1073" s="12">
        <f t="shared" si="314"/>
        <v>0</v>
      </c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2"/>
      <c r="I1074" s="62"/>
      <c r="J1074" s="62"/>
      <c r="K1074" s="61"/>
      <c r="M1074" s="10">
        <v>18</v>
      </c>
      <c r="N1074" s="30"/>
      <c r="O1074" s="31"/>
      <c r="P1074" s="32"/>
      <c r="Q1074" s="32"/>
      <c r="R1074" s="32"/>
      <c r="S1074" s="32">
        <f t="shared" si="311"/>
        <v>0</v>
      </c>
      <c r="T1074" s="12"/>
      <c r="U1074" s="12"/>
      <c r="V1074" s="12"/>
      <c r="W1074" s="12">
        <f t="shared" si="312"/>
        <v>0</v>
      </c>
      <c r="Y1074" s="10">
        <v>18</v>
      </c>
      <c r="Z1074" s="30"/>
      <c r="AA1074" s="31"/>
      <c r="AB1074" s="32"/>
      <c r="AC1074" s="32"/>
      <c r="AD1074" s="32"/>
      <c r="AE1074" s="32">
        <f t="shared" si="317"/>
        <v>0</v>
      </c>
      <c r="AF1074" s="12"/>
      <c r="AG1074" s="12"/>
      <c r="AH1074" s="12"/>
      <c r="AI1074" s="12">
        <f t="shared" si="314"/>
        <v>0</v>
      </c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2"/>
      <c r="I1075" s="62"/>
      <c r="J1075" s="62"/>
      <c r="K1075" s="61"/>
      <c r="M1075" s="10">
        <v>19</v>
      </c>
      <c r="N1075" s="30"/>
      <c r="O1075" s="31"/>
      <c r="P1075" s="32"/>
      <c r="Q1075" s="32"/>
      <c r="R1075" s="32"/>
      <c r="S1075" s="32">
        <f t="shared" si="311"/>
        <v>0</v>
      </c>
      <c r="T1075" s="12"/>
      <c r="U1075" s="12"/>
      <c r="V1075" s="12"/>
      <c r="W1075" s="12">
        <f t="shared" si="312"/>
        <v>0</v>
      </c>
      <c r="Y1075" s="10">
        <v>19</v>
      </c>
      <c r="Z1075" s="30"/>
      <c r="AA1075" s="31"/>
      <c r="AB1075" s="32"/>
      <c r="AC1075" s="32"/>
      <c r="AD1075" s="32"/>
      <c r="AE1075" s="32">
        <f t="shared" si="317"/>
        <v>0</v>
      </c>
      <c r="AF1075" s="12"/>
      <c r="AG1075" s="12"/>
      <c r="AH1075" s="12"/>
      <c r="AI1075" s="12">
        <f t="shared" si="314"/>
        <v>0</v>
      </c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2"/>
      <c r="I1076" s="62"/>
      <c r="J1076" s="61"/>
      <c r="K1076" s="61"/>
      <c r="M1076" s="10">
        <v>20</v>
      </c>
      <c r="N1076" s="30"/>
      <c r="O1076" s="31"/>
      <c r="P1076" s="32"/>
      <c r="Q1076" s="32"/>
      <c r="R1076" s="32"/>
      <c r="S1076" s="32">
        <f t="shared" si="311"/>
        <v>0</v>
      </c>
      <c r="T1076" s="12"/>
      <c r="U1076" s="12"/>
      <c r="V1076" s="12"/>
      <c r="W1076" s="12">
        <f t="shared" si="312"/>
        <v>0</v>
      </c>
      <c r="Y1076" s="10">
        <v>20</v>
      </c>
      <c r="Z1076" s="30"/>
      <c r="AB1076" s="32"/>
      <c r="AC1076" s="32"/>
      <c r="AD1076" s="32"/>
      <c r="AE1076" s="32">
        <f t="shared" si="317"/>
        <v>0</v>
      </c>
      <c r="AF1076" s="12"/>
      <c r="AG1076" s="12"/>
      <c r="AH1076" s="12"/>
      <c r="AI1076" s="12">
        <f t="shared" si="314"/>
        <v>0</v>
      </c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M1077" s="10">
        <v>21</v>
      </c>
      <c r="N1077" s="30"/>
      <c r="O1077" s="31"/>
      <c r="P1077" s="46"/>
      <c r="Q1077" s="31"/>
      <c r="R1077" s="31"/>
      <c r="S1077" s="32">
        <f t="shared" si="311"/>
        <v>0</v>
      </c>
      <c r="T1077" s="10"/>
      <c r="U1077" s="10"/>
      <c r="V1077" s="10"/>
      <c r="W1077" s="12">
        <f t="shared" si="312"/>
        <v>0</v>
      </c>
      <c r="Y1077" s="10">
        <v>21</v>
      </c>
      <c r="Z1077" s="30"/>
      <c r="AA1077" s="31"/>
      <c r="AB1077" s="46"/>
      <c r="AC1077" s="31"/>
      <c r="AD1077" s="31"/>
      <c r="AE1077" s="32">
        <f t="shared" si="317"/>
        <v>0</v>
      </c>
      <c r="AF1077" s="10"/>
      <c r="AG1077" s="10"/>
      <c r="AH1077" s="10"/>
      <c r="AI1077" s="12">
        <f t="shared" si="314"/>
        <v>0</v>
      </c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M1078" s="10">
        <v>22</v>
      </c>
      <c r="N1078" s="30"/>
      <c r="O1078" s="31"/>
      <c r="P1078" s="45"/>
      <c r="Q1078" s="31"/>
      <c r="R1078" s="31"/>
      <c r="S1078" s="32">
        <f t="shared" si="311"/>
        <v>0</v>
      </c>
      <c r="T1078" s="10"/>
      <c r="U1078" s="10"/>
      <c r="V1078" s="10"/>
      <c r="W1078" s="12">
        <f t="shared" si="312"/>
        <v>0</v>
      </c>
      <c r="Y1078" s="10">
        <v>22</v>
      </c>
      <c r="Z1078" s="30"/>
      <c r="AA1078" s="31"/>
      <c r="AB1078" s="45"/>
      <c r="AC1078" s="31"/>
      <c r="AD1078" s="31"/>
      <c r="AE1078" s="32">
        <f t="shared" si="317"/>
        <v>0</v>
      </c>
      <c r="AF1078" s="10"/>
      <c r="AG1078" s="10"/>
      <c r="AH1078" s="10"/>
      <c r="AI1078" s="12">
        <f t="shared" si="314"/>
        <v>0</v>
      </c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2"/>
      <c r="K1079" s="61"/>
      <c r="M1079" s="10">
        <v>23</v>
      </c>
      <c r="N1079" s="30"/>
      <c r="O1079" s="31"/>
      <c r="P1079" s="47"/>
      <c r="Q1079" s="31"/>
      <c r="S1079" s="32">
        <f t="shared" si="311"/>
        <v>0</v>
      </c>
      <c r="T1079" s="10"/>
      <c r="U1079" s="10"/>
      <c r="V1079" s="10"/>
      <c r="W1079" s="12">
        <f t="shared" si="312"/>
        <v>0</v>
      </c>
      <c r="Y1079" s="10">
        <v>23</v>
      </c>
      <c r="Z1079" s="30"/>
      <c r="AA1079" s="31"/>
      <c r="AB1079" s="47"/>
      <c r="AE1079" s="32">
        <f t="shared" si="317"/>
        <v>0</v>
      </c>
      <c r="AF1079" s="10"/>
      <c r="AG1079" s="10"/>
      <c r="AH1079" s="10"/>
      <c r="AI1079" s="12">
        <f t="shared" si="314"/>
        <v>0</v>
      </c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M1080" s="10">
        <v>24</v>
      </c>
      <c r="N1080" s="30"/>
      <c r="O1080" s="31"/>
      <c r="P1080" s="47"/>
      <c r="Q1080" s="31"/>
      <c r="R1080" s="31"/>
      <c r="S1080" s="32">
        <f t="shared" si="311"/>
        <v>0</v>
      </c>
      <c r="T1080" s="10"/>
      <c r="U1080" s="10"/>
      <c r="V1080" s="10"/>
      <c r="W1080" s="12">
        <f t="shared" si="312"/>
        <v>0</v>
      </c>
      <c r="Y1080" s="10">
        <v>24</v>
      </c>
      <c r="Z1080" s="30"/>
      <c r="AA1080" s="31"/>
      <c r="AB1080" s="47"/>
      <c r="AC1080" s="31"/>
      <c r="AD1080" s="31"/>
      <c r="AE1080" s="32">
        <f t="shared" si="317"/>
        <v>0</v>
      </c>
      <c r="AF1080" s="10"/>
      <c r="AG1080" s="10"/>
      <c r="AH1080" s="10"/>
      <c r="AI1080" s="12">
        <f t="shared" si="314"/>
        <v>0</v>
      </c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M1081" s="10">
        <v>25</v>
      </c>
      <c r="N1081" s="30"/>
      <c r="O1081" s="31"/>
      <c r="P1081" s="47"/>
      <c r="Q1081" s="31"/>
      <c r="R1081" s="31"/>
      <c r="S1081" s="32">
        <f t="shared" si="311"/>
        <v>0</v>
      </c>
      <c r="T1081" s="10"/>
      <c r="U1081" s="10"/>
      <c r="V1081" s="10"/>
      <c r="W1081" s="12">
        <f t="shared" si="312"/>
        <v>0</v>
      </c>
      <c r="Y1081" s="10">
        <v>25</v>
      </c>
      <c r="Z1081" s="30"/>
      <c r="AA1081" s="31"/>
      <c r="AB1081" s="47"/>
      <c r="AC1081" s="31"/>
      <c r="AD1081" s="31"/>
      <c r="AE1081" s="32">
        <f t="shared" si="317"/>
        <v>0</v>
      </c>
      <c r="AF1081" s="10"/>
      <c r="AG1081" s="10"/>
      <c r="AH1081" s="10"/>
      <c r="AI1081" s="12">
        <f t="shared" si="314"/>
        <v>0</v>
      </c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M1082" s="10">
        <v>26</v>
      </c>
      <c r="N1082" s="30"/>
      <c r="O1082" s="31"/>
      <c r="P1082" s="47"/>
      <c r="Q1082" s="31"/>
      <c r="R1082" s="31"/>
      <c r="S1082" s="32">
        <f t="shared" si="311"/>
        <v>0</v>
      </c>
      <c r="T1082" s="10"/>
      <c r="U1082" s="10"/>
      <c r="V1082" s="10"/>
      <c r="W1082" s="12">
        <f t="shared" si="312"/>
        <v>0</v>
      </c>
      <c r="Y1082" s="10">
        <v>26</v>
      </c>
      <c r="Z1082" s="30"/>
      <c r="AA1082" s="31"/>
      <c r="AB1082" s="47"/>
      <c r="AC1082" s="31"/>
      <c r="AD1082" s="31"/>
      <c r="AE1082" s="32">
        <f t="shared" si="317"/>
        <v>0</v>
      </c>
      <c r="AF1082" s="10"/>
      <c r="AG1082" s="10"/>
      <c r="AH1082" s="10"/>
      <c r="AI1082" s="12">
        <f t="shared" si="314"/>
        <v>0</v>
      </c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M1083" s="10">
        <v>27</v>
      </c>
      <c r="N1083" s="30"/>
      <c r="O1083" s="31"/>
      <c r="P1083" s="47"/>
      <c r="Q1083" s="31"/>
      <c r="R1083" s="31"/>
      <c r="S1083" s="32">
        <f t="shared" si="311"/>
        <v>0</v>
      </c>
      <c r="T1083" s="10"/>
      <c r="U1083" s="10"/>
      <c r="V1083" s="10"/>
      <c r="W1083" s="12">
        <f t="shared" si="312"/>
        <v>0</v>
      </c>
      <c r="Y1083" s="10">
        <v>27</v>
      </c>
      <c r="Z1083" s="30"/>
      <c r="AA1083" s="31"/>
      <c r="AB1083" s="47"/>
      <c r="AC1083" s="31"/>
      <c r="AD1083" s="31"/>
      <c r="AE1083" s="32">
        <f t="shared" si="317"/>
        <v>0</v>
      </c>
      <c r="AF1083" s="10"/>
      <c r="AG1083" s="10"/>
      <c r="AH1083" s="10"/>
      <c r="AI1083" s="12">
        <f t="shared" si="314"/>
        <v>0</v>
      </c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4"/>
      <c r="D1084" s="60"/>
      <c r="E1084" s="60"/>
      <c r="F1084" s="60"/>
      <c r="G1084" s="60"/>
      <c r="H1084" s="62"/>
      <c r="I1084" s="62"/>
      <c r="J1084" s="62"/>
      <c r="K1084" s="61"/>
      <c r="M1084" s="10">
        <v>28</v>
      </c>
      <c r="N1084" s="30"/>
      <c r="O1084" s="31"/>
      <c r="P1084" s="47"/>
      <c r="Q1084" s="31"/>
      <c r="R1084" s="31"/>
      <c r="S1084" s="32">
        <f t="shared" si="311"/>
        <v>0</v>
      </c>
      <c r="T1084" s="10"/>
      <c r="U1084" s="10"/>
      <c r="V1084" s="10"/>
      <c r="W1084" s="12">
        <f t="shared" si="312"/>
        <v>0</v>
      </c>
      <c r="Y1084" s="10">
        <v>28</v>
      </c>
      <c r="Z1084" s="30"/>
      <c r="AA1084" s="31"/>
      <c r="AB1084" s="47"/>
      <c r="AC1084" s="31"/>
      <c r="AD1084" s="31"/>
      <c r="AE1084" s="32">
        <f t="shared" si="317"/>
        <v>0</v>
      </c>
      <c r="AF1084" s="10"/>
      <c r="AG1084" s="10"/>
      <c r="AH1084" s="10"/>
      <c r="AI1084" s="12">
        <f t="shared" si="314"/>
        <v>0</v>
      </c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M1085" s="10">
        <v>29</v>
      </c>
      <c r="N1085" s="30"/>
      <c r="O1085" s="31"/>
      <c r="P1085" s="47"/>
      <c r="Q1085" s="31"/>
      <c r="R1085" s="31"/>
      <c r="S1085" s="32">
        <f t="shared" si="311"/>
        <v>0</v>
      </c>
      <c r="T1085" s="10"/>
      <c r="U1085" s="10"/>
      <c r="V1085" s="10"/>
      <c r="W1085" s="12">
        <f t="shared" si="312"/>
        <v>0</v>
      </c>
      <c r="Y1085" s="10">
        <v>29</v>
      </c>
      <c r="Z1085" s="30"/>
      <c r="AA1085" s="31"/>
      <c r="AB1085" s="47"/>
      <c r="AC1085" s="31"/>
      <c r="AD1085" s="31"/>
      <c r="AE1085" s="32">
        <f t="shared" si="317"/>
        <v>0</v>
      </c>
      <c r="AF1085" s="10"/>
      <c r="AG1085" s="10"/>
      <c r="AH1085" s="10"/>
      <c r="AI1085" s="12">
        <f t="shared" si="314"/>
        <v>0</v>
      </c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4"/>
      <c r="D1086" s="60"/>
      <c r="E1086" s="60"/>
      <c r="F1086" s="60"/>
      <c r="G1086" s="60"/>
      <c r="H1086" s="62"/>
      <c r="I1086" s="62"/>
      <c r="J1086" s="62"/>
      <c r="K1086" s="61"/>
      <c r="M1086" s="10">
        <v>30</v>
      </c>
      <c r="N1086" s="30"/>
      <c r="O1086" s="31"/>
      <c r="P1086" s="47"/>
      <c r="Q1086" s="31"/>
      <c r="R1086" s="31"/>
      <c r="S1086" s="32">
        <f t="shared" si="311"/>
        <v>0</v>
      </c>
      <c r="T1086" s="10"/>
      <c r="U1086" s="10"/>
      <c r="V1086" s="10"/>
      <c r="W1086" s="12">
        <f t="shared" si="312"/>
        <v>0</v>
      </c>
      <c r="Y1086" s="10">
        <v>30</v>
      </c>
      <c r="Z1086" s="30"/>
      <c r="AA1086" s="31"/>
      <c r="AB1086" s="47"/>
      <c r="AC1086" s="31"/>
      <c r="AD1086" s="31"/>
      <c r="AE1086" s="32">
        <f t="shared" si="317"/>
        <v>0</v>
      </c>
      <c r="AF1086" s="10"/>
      <c r="AG1086" s="10"/>
      <c r="AH1086" s="10"/>
      <c r="AI1086" s="12">
        <f t="shared" si="314"/>
        <v>0</v>
      </c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M1087" s="10">
        <v>31</v>
      </c>
      <c r="N1087" s="30"/>
      <c r="O1087" s="31"/>
      <c r="P1087" s="47"/>
      <c r="Q1087" s="31"/>
      <c r="R1087" s="31"/>
      <c r="S1087" s="32">
        <f t="shared" si="311"/>
        <v>0</v>
      </c>
      <c r="T1087" s="10"/>
      <c r="U1087" s="10"/>
      <c r="V1087" s="10"/>
      <c r="W1087" s="12">
        <f t="shared" si="312"/>
        <v>0</v>
      </c>
      <c r="Y1087" s="10">
        <v>31</v>
      </c>
      <c r="Z1087" s="30"/>
      <c r="AA1087" s="31"/>
      <c r="AB1087" s="47"/>
      <c r="AC1087" s="31"/>
      <c r="AD1087" s="31"/>
      <c r="AE1087" s="32">
        <f t="shared" si="317"/>
        <v>0</v>
      </c>
      <c r="AF1087" s="10"/>
      <c r="AG1087" s="10"/>
      <c r="AH1087" s="10"/>
      <c r="AI1087" s="12">
        <f t="shared" si="314"/>
        <v>0</v>
      </c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4"/>
      <c r="D1088" s="60"/>
      <c r="E1088" s="60"/>
      <c r="F1088" s="60"/>
      <c r="G1088" s="60"/>
      <c r="H1088" s="62"/>
      <c r="I1088" s="62"/>
      <c r="J1088" s="62"/>
      <c r="K1088" s="61"/>
      <c r="M1088" s="10">
        <v>32</v>
      </c>
      <c r="N1088" s="30"/>
      <c r="O1088" s="31"/>
      <c r="P1088" s="47"/>
      <c r="Q1088" s="31"/>
      <c r="R1088" s="31"/>
      <c r="S1088" s="32">
        <f t="shared" si="311"/>
        <v>0</v>
      </c>
      <c r="T1088" s="10"/>
      <c r="U1088" s="10"/>
      <c r="V1088" s="10"/>
      <c r="W1088" s="12">
        <f t="shared" si="312"/>
        <v>0</v>
      </c>
      <c r="Y1088" s="10">
        <v>32</v>
      </c>
      <c r="Z1088" s="30"/>
      <c r="AA1088" s="31"/>
      <c r="AB1088" s="47"/>
      <c r="AC1088" s="31"/>
      <c r="AD1088" s="31"/>
      <c r="AE1088" s="32">
        <f t="shared" si="317"/>
        <v>0</v>
      </c>
      <c r="AF1088" s="10"/>
      <c r="AG1088" s="10"/>
      <c r="AH1088" s="10"/>
      <c r="AI1088" s="12">
        <f t="shared" si="314"/>
        <v>0</v>
      </c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M1089" s="10">
        <v>33</v>
      </c>
      <c r="N1089" s="30"/>
      <c r="O1089" s="31"/>
      <c r="P1089" s="47"/>
      <c r="Q1089" s="31"/>
      <c r="R1089" s="31"/>
      <c r="S1089" s="32">
        <f t="shared" si="311"/>
        <v>0</v>
      </c>
      <c r="T1089" s="10"/>
      <c r="U1089" s="10"/>
      <c r="V1089" s="10"/>
      <c r="W1089" s="12">
        <f t="shared" si="312"/>
        <v>0</v>
      </c>
      <c r="Y1089" s="10">
        <v>33</v>
      </c>
      <c r="Z1089" s="30"/>
      <c r="AA1089" s="31"/>
      <c r="AB1089" s="47"/>
      <c r="AC1089" s="31"/>
      <c r="AD1089" s="31"/>
      <c r="AE1089" s="32">
        <f t="shared" si="317"/>
        <v>0</v>
      </c>
      <c r="AF1089" s="10"/>
      <c r="AG1089" s="10"/>
      <c r="AH1089" s="10"/>
      <c r="AI1089" s="12">
        <f t="shared" si="314"/>
        <v>0</v>
      </c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6"/>
      <c r="D1090" s="60"/>
      <c r="E1090" s="60"/>
      <c r="F1090" s="60"/>
      <c r="G1090" s="60"/>
      <c r="H1090" s="62"/>
      <c r="I1090" s="62"/>
      <c r="J1090" s="62"/>
      <c r="K1090" s="61"/>
      <c r="M1090" s="10">
        <v>34</v>
      </c>
      <c r="N1090" s="30"/>
      <c r="O1090" s="31"/>
      <c r="P1090" s="47"/>
      <c r="Q1090" s="31"/>
      <c r="R1090" s="31"/>
      <c r="S1090" s="32">
        <f t="shared" si="311"/>
        <v>0</v>
      </c>
      <c r="T1090" s="10"/>
      <c r="U1090" s="10"/>
      <c r="V1090" s="10"/>
      <c r="W1090" s="12">
        <f t="shared" si="312"/>
        <v>0</v>
      </c>
      <c r="Y1090" s="10">
        <v>34</v>
      </c>
      <c r="Z1090" s="30"/>
      <c r="AA1090" s="31"/>
      <c r="AB1090" s="47"/>
      <c r="AC1090" s="31"/>
      <c r="AD1090" s="31"/>
      <c r="AE1090" s="32">
        <f t="shared" ref="AE1090:AE1095" si="318">SUM(AB1090:AC1090)</f>
        <v>0</v>
      </c>
      <c r="AF1090" s="10"/>
      <c r="AG1090" s="10"/>
      <c r="AH1090" s="10"/>
      <c r="AI1090" s="12">
        <f t="shared" si="314"/>
        <v>0</v>
      </c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6"/>
      <c r="D1091" s="60"/>
      <c r="E1091" s="60"/>
      <c r="F1091" s="60"/>
      <c r="G1091" s="60"/>
      <c r="H1091" s="62"/>
      <c r="I1091" s="62"/>
      <c r="J1091" s="62"/>
      <c r="K1091" s="61"/>
      <c r="M1091" s="10">
        <v>35</v>
      </c>
      <c r="N1091" s="30"/>
      <c r="O1091" s="31"/>
      <c r="P1091" s="47"/>
      <c r="Q1091" s="31"/>
      <c r="R1091" s="31"/>
      <c r="S1091" s="32">
        <f t="shared" si="311"/>
        <v>0</v>
      </c>
      <c r="T1091" s="10"/>
      <c r="U1091" s="10"/>
      <c r="V1091" s="10"/>
      <c r="W1091" s="12">
        <f t="shared" si="312"/>
        <v>0</v>
      </c>
      <c r="Y1091" s="10">
        <v>35</v>
      </c>
      <c r="Z1091" s="30"/>
      <c r="AA1091" s="31"/>
      <c r="AB1091" s="47"/>
      <c r="AC1091" s="31"/>
      <c r="AD1091" s="31"/>
      <c r="AE1091" s="32">
        <f t="shared" si="318"/>
        <v>0</v>
      </c>
      <c r="AF1091" s="10"/>
      <c r="AG1091" s="10"/>
      <c r="AH1091" s="10"/>
      <c r="AI1091" s="12">
        <f t="shared" si="314"/>
        <v>0</v>
      </c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6"/>
      <c r="D1092" s="60"/>
      <c r="E1092" s="60"/>
      <c r="F1092" s="60"/>
      <c r="G1092" s="60"/>
      <c r="H1092" s="62"/>
      <c r="I1092" s="62"/>
      <c r="J1092" s="62"/>
      <c r="K1092" s="61"/>
      <c r="M1092" s="10">
        <v>36</v>
      </c>
      <c r="N1092" s="30"/>
      <c r="O1092" s="31"/>
      <c r="P1092" s="47"/>
      <c r="Q1092" s="31"/>
      <c r="R1092" s="31"/>
      <c r="S1092" s="32">
        <f t="shared" si="311"/>
        <v>0</v>
      </c>
      <c r="T1092" s="10"/>
      <c r="U1092" s="10"/>
      <c r="V1092" s="10"/>
      <c r="W1092" s="12">
        <f t="shared" si="312"/>
        <v>0</v>
      </c>
      <c r="Y1092" s="10">
        <v>36</v>
      </c>
      <c r="Z1092" s="30"/>
      <c r="AA1092" s="31"/>
      <c r="AB1092" s="47"/>
      <c r="AC1092" s="31"/>
      <c r="AD1092" s="31"/>
      <c r="AE1092" s="32">
        <f t="shared" si="318"/>
        <v>0</v>
      </c>
      <c r="AF1092" s="10"/>
      <c r="AG1092" s="10"/>
      <c r="AH1092" s="10"/>
      <c r="AI1092" s="12">
        <f t="shared" si="314"/>
        <v>0</v>
      </c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M1093" s="10">
        <v>37</v>
      </c>
      <c r="N1093" s="30"/>
      <c r="P1093" s="47"/>
      <c r="Q1093" s="31"/>
      <c r="R1093" s="31"/>
      <c r="S1093" s="32">
        <f t="shared" si="311"/>
        <v>0</v>
      </c>
      <c r="T1093" s="10"/>
      <c r="U1093" s="10"/>
      <c r="V1093" s="10"/>
      <c r="W1093" s="12">
        <f t="shared" si="312"/>
        <v>0</v>
      </c>
      <c r="Y1093" s="10">
        <v>37</v>
      </c>
      <c r="Z1093" s="30"/>
      <c r="AA1093" s="31"/>
      <c r="AB1093" s="47"/>
      <c r="AC1093" s="31"/>
      <c r="AD1093" s="31"/>
      <c r="AE1093" s="32">
        <f t="shared" si="318"/>
        <v>0</v>
      </c>
      <c r="AF1093" s="10"/>
      <c r="AG1093" s="10"/>
      <c r="AH1093" s="10"/>
      <c r="AI1093" s="12">
        <f t="shared" si="314"/>
        <v>0</v>
      </c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M1094" s="10">
        <v>38</v>
      </c>
      <c r="N1094" s="30"/>
      <c r="O1094" s="31"/>
      <c r="P1094" s="47"/>
      <c r="Q1094" s="31"/>
      <c r="R1094" s="31"/>
      <c r="S1094" s="32">
        <f t="shared" si="311"/>
        <v>0</v>
      </c>
      <c r="T1094" s="10"/>
      <c r="U1094" s="10"/>
      <c r="V1094" s="10"/>
      <c r="W1094" s="12">
        <f t="shared" si="312"/>
        <v>0</v>
      </c>
      <c r="Y1094" s="10">
        <v>38</v>
      </c>
      <c r="Z1094" s="30"/>
      <c r="AA1094" s="31"/>
      <c r="AB1094" s="47"/>
      <c r="AC1094" s="31"/>
      <c r="AD1094" s="31"/>
      <c r="AE1094" s="32">
        <f t="shared" si="318"/>
        <v>0</v>
      </c>
      <c r="AF1094" s="10"/>
      <c r="AG1094" s="10"/>
      <c r="AH1094" s="10"/>
      <c r="AI1094" s="12">
        <f t="shared" si="314"/>
        <v>0</v>
      </c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66"/>
      <c r="D1095" s="60"/>
      <c r="E1095" s="60"/>
      <c r="F1095" s="60"/>
      <c r="G1095" s="60"/>
      <c r="H1095" s="62"/>
      <c r="I1095" s="62"/>
      <c r="J1095" s="62"/>
      <c r="K1095" s="61"/>
      <c r="M1095" s="10">
        <v>39</v>
      </c>
      <c r="N1095" s="30"/>
      <c r="O1095" s="31"/>
      <c r="P1095" s="47"/>
      <c r="Q1095" s="31"/>
      <c r="R1095" s="31"/>
      <c r="S1095" s="32">
        <f t="shared" si="311"/>
        <v>0</v>
      </c>
      <c r="T1095" s="10"/>
      <c r="U1095" s="10"/>
      <c r="V1095" s="10"/>
      <c r="W1095" s="12">
        <f t="shared" si="312"/>
        <v>0</v>
      </c>
      <c r="Y1095" s="10">
        <v>39</v>
      </c>
      <c r="Z1095" s="30"/>
      <c r="AA1095" s="31"/>
      <c r="AB1095" s="47"/>
      <c r="AC1095" s="31"/>
      <c r="AD1095" s="31"/>
      <c r="AE1095" s="32">
        <f t="shared" si="318"/>
        <v>0</v>
      </c>
      <c r="AF1095" s="10"/>
      <c r="AG1095" s="10"/>
      <c r="AH1095" s="10"/>
      <c r="AI1095" s="12">
        <f t="shared" si="314"/>
        <v>0</v>
      </c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86"/>
      <c r="C1096" s="86"/>
      <c r="D1096" s="86"/>
      <c r="E1096" s="86"/>
      <c r="F1096" s="86"/>
      <c r="G1096" s="86"/>
      <c r="H1096" s="62"/>
      <c r="I1096" s="62"/>
      <c r="J1096" s="62"/>
      <c r="K1096" s="62"/>
      <c r="M1096" s="10"/>
      <c r="N1096" s="30"/>
      <c r="P1096" s="47"/>
      <c r="Q1096" s="31"/>
      <c r="R1096" s="31"/>
      <c r="S1096" s="32"/>
      <c r="T1096" s="10"/>
      <c r="U1096" s="10"/>
      <c r="V1096" s="10"/>
      <c r="W1096" s="12">
        <f t="shared" si="312"/>
        <v>0</v>
      </c>
      <c r="Y1096" s="10"/>
      <c r="Z1096" s="30"/>
      <c r="AB1096" s="47"/>
      <c r="AC1096" s="31"/>
      <c r="AD1096" s="31"/>
      <c r="AE1096" s="32"/>
      <c r="AF1096" s="10"/>
      <c r="AG1096" s="10"/>
      <c r="AH1096" s="10"/>
      <c r="AI1096" s="12">
        <f t="shared" si="314"/>
        <v>0</v>
      </c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86"/>
      <c r="C1097" s="86"/>
      <c r="D1097" s="70"/>
      <c r="E1097" s="70"/>
      <c r="F1097" s="70"/>
      <c r="G1097" s="70"/>
      <c r="H1097" s="63"/>
      <c r="I1097" s="70"/>
      <c r="J1097" s="70"/>
      <c r="K1097" s="70"/>
      <c r="M1097" s="10"/>
      <c r="N1097" s="30"/>
      <c r="O1097" s="31"/>
      <c r="P1097" s="47"/>
      <c r="Q1097" s="31"/>
      <c r="R1097" s="31"/>
      <c r="S1097" s="32">
        <f t="shared" ref="S1097" si="319">SUM(P1097:Q1097)</f>
        <v>0</v>
      </c>
      <c r="T1097" s="10"/>
      <c r="U1097" s="10"/>
      <c r="V1097" s="10"/>
      <c r="W1097" s="12">
        <f t="shared" si="312"/>
        <v>0</v>
      </c>
      <c r="Y1097" s="10"/>
      <c r="Z1097" s="30"/>
      <c r="AA1097" s="31"/>
      <c r="AB1097" s="47"/>
      <c r="AC1097" s="31"/>
      <c r="AD1097" s="31"/>
      <c r="AE1097" s="32">
        <f t="shared" ref="AE1097" si="320">SUM(AB1097:AC1097)</f>
        <v>0</v>
      </c>
      <c r="AF1097" s="10"/>
      <c r="AG1097" s="10"/>
      <c r="AH1097" s="10"/>
      <c r="AI1097" s="12">
        <f t="shared" si="314"/>
        <v>0</v>
      </c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2"/>
      <c r="C1098" s="62"/>
      <c r="D1098" s="62"/>
      <c r="E1098" s="62"/>
      <c r="F1098" s="62"/>
      <c r="G1098" s="62"/>
      <c r="H1098" s="62"/>
      <c r="I1098" s="62"/>
      <c r="J1098" s="62"/>
      <c r="K1098" s="62"/>
      <c r="M1098" s="10"/>
      <c r="N1098" s="31"/>
      <c r="O1098" s="31"/>
      <c r="P1098" s="31"/>
      <c r="Q1098" s="31"/>
      <c r="R1098" s="31"/>
      <c r="S1098" s="31"/>
      <c r="T1098" s="10"/>
      <c r="U1098" s="10"/>
      <c r="V1098" s="10"/>
      <c r="W1098" s="12">
        <f t="shared" si="312"/>
        <v>0</v>
      </c>
      <c r="Y1098" s="10"/>
      <c r="Z1098" s="31"/>
      <c r="AA1098" s="31"/>
      <c r="AB1098" s="31"/>
      <c r="AC1098" s="31"/>
      <c r="AD1098" s="31"/>
      <c r="AE1098" s="31"/>
      <c r="AF1098" s="10"/>
      <c r="AG1098" s="10"/>
      <c r="AH1098" s="10"/>
      <c r="AI1098" s="12">
        <f t="shared" si="314"/>
        <v>0</v>
      </c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N1099" s="57"/>
      <c r="O1099" s="57"/>
      <c r="P1099" s="36"/>
      <c r="Q1099" s="36"/>
      <c r="R1099" s="36"/>
      <c r="S1099" s="36"/>
      <c r="T1099" s="37"/>
      <c r="U1099" s="37"/>
      <c r="V1099" s="37"/>
      <c r="W1099" s="37"/>
      <c r="Z1099" s="57"/>
      <c r="AA1099" s="57"/>
      <c r="AB1099" s="36"/>
      <c r="AC1099" s="36"/>
      <c r="AD1099" s="36"/>
      <c r="AE1099" s="36"/>
      <c r="AF1099" s="37"/>
      <c r="AG1099" s="37"/>
      <c r="AH1099" s="37"/>
      <c r="AI1099" s="37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86"/>
      <c r="E1100" s="86"/>
      <c r="F1100" s="86"/>
      <c r="G1100" s="86"/>
      <c r="H1100" s="62"/>
      <c r="I1100" s="62"/>
      <c r="J1100" s="62"/>
      <c r="K1100" s="62"/>
      <c r="N1100" s="57"/>
      <c r="O1100" s="57"/>
      <c r="P1100" s="38">
        <f>SUM(P1057:P1099)</f>
        <v>329247</v>
      </c>
      <c r="Q1100" s="38">
        <f t="shared" ref="Q1100:R1100" si="321">SUM(Q1057:Q1097)</f>
        <v>-2244</v>
      </c>
      <c r="R1100" s="38">
        <f t="shared" si="321"/>
        <v>0</v>
      </c>
      <c r="S1100" s="38">
        <f t="shared" ref="S1100" si="322">SUM(S1057:S1099)</f>
        <v>327003</v>
      </c>
      <c r="T1100" s="4"/>
      <c r="U1100" s="39">
        <f t="shared" ref="U1100:W1100" si="323">SUM(U1057:U1099)</f>
        <v>13575</v>
      </c>
      <c r="V1100" s="39">
        <f t="shared" si="323"/>
        <v>-3681</v>
      </c>
      <c r="W1100" s="40">
        <f t="shared" si="323"/>
        <v>336897</v>
      </c>
      <c r="Z1100" s="57"/>
      <c r="AA1100" s="57"/>
      <c r="AB1100" s="38">
        <f t="shared" ref="AB1100" si="324">SUM(AB1057:AB1099)</f>
        <v>256046</v>
      </c>
      <c r="AC1100" s="38">
        <f t="shared" ref="AC1100:AD1100" si="325">SUM(AC1057:AC1097)</f>
        <v>0</v>
      </c>
      <c r="AD1100" s="38">
        <f t="shared" si="325"/>
        <v>0</v>
      </c>
      <c r="AE1100" s="38">
        <f t="shared" ref="AE1100" si="326">SUM(AE1057:AE1099)</f>
        <v>256046</v>
      </c>
      <c r="AF1100" s="4"/>
      <c r="AG1100" s="39">
        <f t="shared" ref="AG1100:AI1100" si="327">SUM(AG1057:AG1099)</f>
        <v>38880</v>
      </c>
      <c r="AH1100" s="39">
        <f t="shared" si="327"/>
        <v>-28041</v>
      </c>
      <c r="AI1100" s="40">
        <f t="shared" si="327"/>
        <v>266885</v>
      </c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86"/>
      <c r="C1101" s="86"/>
      <c r="D1101" s="86"/>
      <c r="E1101" s="86"/>
      <c r="F1101" s="86"/>
      <c r="G1101" s="86"/>
      <c r="H1101" s="62"/>
      <c r="I1101" s="62"/>
      <c r="J1101" s="62"/>
      <c r="K1101" s="62"/>
      <c r="M1101" s="18"/>
      <c r="N1101" s="18"/>
      <c r="O1101" s="18"/>
      <c r="P1101" s="18"/>
      <c r="Q1101" s="18"/>
      <c r="R1101" s="18"/>
      <c r="S1101" s="18"/>
      <c r="T1101" s="18"/>
      <c r="U1101" s="18"/>
      <c r="V1101" s="18"/>
      <c r="W1101" s="18"/>
      <c r="Y1101" s="18"/>
      <c r="Z1101" s="18"/>
      <c r="AA1101" s="18"/>
      <c r="AB1101" s="18"/>
      <c r="AC1101" s="18"/>
      <c r="AD1101" s="18"/>
      <c r="AE1101" s="18"/>
      <c r="AF1101" s="18"/>
      <c r="AG1101" s="18"/>
      <c r="AH1101" s="18"/>
      <c r="AI1101" s="18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3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3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3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ht="15.75" x14ac:dyDescent="0.25">
      <c r="A1104" s="62"/>
      <c r="B1104" s="86"/>
      <c r="C1104" s="86"/>
      <c r="D1104" s="86"/>
      <c r="E1104" s="86"/>
      <c r="F1104" s="86"/>
      <c r="G1104" s="86"/>
      <c r="H1104" s="62"/>
      <c r="I1104" s="86"/>
      <c r="J1104" s="73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86"/>
      <c r="V1104" s="73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86"/>
      <c r="AH1104" s="86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4"/>
      <c r="B1105" s="86"/>
      <c r="C1105" s="86"/>
      <c r="D1105" s="86"/>
      <c r="E1105" s="86"/>
      <c r="F1105" s="86"/>
      <c r="G1105" s="86"/>
      <c r="H1105" s="62"/>
      <c r="I1105" s="65"/>
      <c r="J1105" s="65"/>
      <c r="K1105" s="62"/>
      <c r="L1105" s="62"/>
      <c r="M1105" s="64"/>
      <c r="N1105" s="86"/>
      <c r="O1105" s="86"/>
      <c r="P1105" s="86"/>
      <c r="Q1105" s="86"/>
      <c r="R1105" s="86"/>
      <c r="S1105" s="86"/>
      <c r="T1105" s="62"/>
      <c r="U1105" s="65"/>
      <c r="V1105" s="65"/>
      <c r="W1105" s="62"/>
      <c r="X1105" s="62"/>
      <c r="Y1105" s="64"/>
      <c r="Z1105" s="86"/>
      <c r="AA1105" s="86"/>
      <c r="AB1105" s="86"/>
      <c r="AC1105" s="86"/>
      <c r="AD1105" s="86"/>
      <c r="AE1105" s="86"/>
      <c r="AF1105" s="62"/>
      <c r="AG1105" s="65"/>
      <c r="AH1105" s="65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x14ac:dyDescent="0.25">
      <c r="A1107" s="62"/>
      <c r="B1107" s="65"/>
      <c r="C1107" s="86"/>
      <c r="D1107" s="123"/>
      <c r="E1107" s="123"/>
      <c r="F1107" s="86"/>
      <c r="G1107" s="86"/>
      <c r="H1107" s="62"/>
      <c r="I1107" s="123"/>
      <c r="J1107" s="123"/>
      <c r="K1107" s="124"/>
      <c r="L1107" s="62"/>
      <c r="M1107" s="62"/>
      <c r="N1107" s="65"/>
      <c r="O1107" s="86"/>
      <c r="P1107" s="123"/>
      <c r="Q1107" s="123"/>
      <c r="R1107" s="86"/>
      <c r="S1107" s="86"/>
      <c r="T1107" s="62"/>
      <c r="U1107" s="123"/>
      <c r="V1107" s="123"/>
      <c r="W1107" s="124"/>
      <c r="X1107" s="62"/>
      <c r="Y1107" s="62"/>
      <c r="Z1107" s="65"/>
      <c r="AA1107" s="86"/>
      <c r="AB1107" s="123"/>
      <c r="AC1107" s="123"/>
      <c r="AD1107" s="86"/>
      <c r="AE1107" s="86"/>
      <c r="AF1107" s="62"/>
      <c r="AG1107" s="123"/>
      <c r="AH1107" s="123"/>
      <c r="AI1107" s="124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2"/>
      <c r="B1108" s="86"/>
      <c r="C1108" s="86"/>
      <c r="D1108" s="79"/>
      <c r="E1108" s="80"/>
      <c r="F1108" s="81"/>
      <c r="G1108" s="81"/>
      <c r="H1108" s="62"/>
      <c r="I1108" s="85"/>
      <c r="J1108" s="85"/>
      <c r="K1108" s="124"/>
      <c r="L1108" s="62"/>
      <c r="M1108" s="62"/>
      <c r="N1108" s="86"/>
      <c r="O1108" s="86"/>
      <c r="P1108" s="79"/>
      <c r="Q1108" s="81"/>
      <c r="R1108" s="81"/>
      <c r="S1108" s="81"/>
      <c r="T1108" s="62"/>
      <c r="U1108" s="85"/>
      <c r="V1108" s="85"/>
      <c r="W1108" s="124"/>
      <c r="X1108" s="62"/>
      <c r="Y1108" s="62"/>
      <c r="Z1108" s="86"/>
      <c r="AA1108" s="86"/>
      <c r="AB1108" s="79"/>
      <c r="AC1108" s="81"/>
      <c r="AD1108" s="81"/>
      <c r="AE1108" s="81"/>
      <c r="AF1108" s="62"/>
      <c r="AG1108" s="85"/>
      <c r="AH1108" s="85"/>
      <c r="AI1108" s="124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66"/>
      <c r="C1109" s="84"/>
      <c r="D1109" s="60"/>
      <c r="E1109" s="60"/>
      <c r="F1109" s="60"/>
      <c r="G1109" s="60"/>
      <c r="H1109" s="61"/>
      <c r="I1109" s="61"/>
      <c r="J1109" s="61"/>
      <c r="K1109" s="61"/>
      <c r="L1109" s="62"/>
      <c r="M1109" s="62"/>
      <c r="N1109" s="66"/>
      <c r="O1109" s="86"/>
      <c r="P1109" s="60"/>
      <c r="Q1109" s="60"/>
      <c r="R1109" s="60"/>
      <c r="S1109" s="60"/>
      <c r="T1109" s="61"/>
      <c r="U1109" s="61"/>
      <c r="V1109" s="61"/>
      <c r="W1109" s="61"/>
      <c r="X1109" s="62"/>
      <c r="Y1109" s="62"/>
      <c r="Z1109" s="66"/>
      <c r="AA1109" s="86"/>
      <c r="AB1109" s="60"/>
      <c r="AC1109" s="60"/>
      <c r="AD1109" s="60"/>
      <c r="AE1109" s="60"/>
      <c r="AF1109" s="61"/>
      <c r="AG1109" s="61"/>
      <c r="AH1109" s="61"/>
      <c r="AI1109" s="61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6"/>
      <c r="C1110" s="86"/>
      <c r="D1110" s="60"/>
      <c r="E1110" s="60"/>
      <c r="F1110" s="60"/>
      <c r="G1110" s="60"/>
      <c r="H1110" s="61"/>
      <c r="I1110" s="61"/>
      <c r="J1110" s="61"/>
      <c r="K1110" s="61"/>
      <c r="L1110" s="62"/>
      <c r="M1110" s="62"/>
      <c r="N1110" s="66"/>
      <c r="O1110" s="86"/>
      <c r="P1110" s="60"/>
      <c r="Q1110" s="60"/>
      <c r="R1110" s="60"/>
      <c r="S1110" s="60"/>
      <c r="T1110" s="61"/>
      <c r="U1110" s="61"/>
      <c r="V1110" s="61"/>
      <c r="W1110" s="61"/>
      <c r="X1110" s="62"/>
      <c r="Y1110" s="62"/>
      <c r="Z1110" s="66"/>
      <c r="AA1110" s="86"/>
      <c r="AB1110" s="60"/>
      <c r="AC1110" s="60"/>
      <c r="AD1110" s="60"/>
      <c r="AE1110" s="60"/>
      <c r="AF1110" s="61"/>
      <c r="AG1110" s="61"/>
      <c r="AH1110" s="61"/>
      <c r="AI1110" s="61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66"/>
      <c r="C1111" s="86"/>
      <c r="D1111" s="60"/>
      <c r="E1111" s="60"/>
      <c r="F1111" s="60"/>
      <c r="G1111" s="60"/>
      <c r="H1111" s="61"/>
      <c r="I1111" s="61"/>
      <c r="J1111" s="61"/>
      <c r="K1111" s="61"/>
      <c r="L1111" s="62"/>
      <c r="M1111" s="62"/>
      <c r="N1111" s="66"/>
      <c r="O1111" s="86"/>
      <c r="P1111" s="60"/>
      <c r="Q1111" s="60"/>
      <c r="R1111" s="60"/>
      <c r="S1111" s="60"/>
      <c r="T1111" s="61"/>
      <c r="U1111" s="61"/>
      <c r="V1111" s="61"/>
      <c r="W1111" s="61"/>
      <c r="X1111" s="62"/>
      <c r="Y1111" s="62"/>
      <c r="Z1111" s="66"/>
      <c r="AA1111" s="86"/>
      <c r="AB1111" s="60"/>
      <c r="AC1111" s="60"/>
      <c r="AD1111" s="60"/>
      <c r="AE1111" s="60"/>
      <c r="AF1111" s="61"/>
      <c r="AG1111" s="61"/>
      <c r="AH1111" s="61"/>
      <c r="AI1111" s="61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6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65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2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2"/>
      <c r="W1114" s="61"/>
      <c r="X1114" s="62"/>
      <c r="Y1114" s="62"/>
      <c r="Z1114" s="66"/>
      <c r="AA1114" s="65"/>
      <c r="AB1114" s="60"/>
      <c r="AC1114" s="60"/>
      <c r="AD1114" s="60"/>
      <c r="AE1114" s="60"/>
      <c r="AF1114" s="61"/>
      <c r="AG1114" s="61"/>
      <c r="AH1114" s="62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6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1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62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2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1"/>
      <c r="W1117" s="61"/>
      <c r="X1117" s="62"/>
      <c r="Y1117" s="62"/>
      <c r="Z1117" s="66"/>
      <c r="AA1117" s="86"/>
      <c r="AB1117" s="60"/>
      <c r="AC1117" s="60"/>
      <c r="AD1117" s="60"/>
      <c r="AE1117" s="60"/>
      <c r="AF1117" s="61"/>
      <c r="AG1117" s="62"/>
      <c r="AH1117" s="61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65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6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0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2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62"/>
      <c r="AB1120" s="60"/>
      <c r="AC1120" s="60"/>
      <c r="AD1120" s="60"/>
      <c r="AE1120" s="60"/>
      <c r="AF1120" s="61"/>
      <c r="AG1120" s="61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6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1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86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2"/>
      <c r="I1129" s="62"/>
      <c r="J1129" s="62"/>
      <c r="K1129" s="61"/>
      <c r="L1129" s="62"/>
      <c r="M1129" s="62"/>
      <c r="N1129" s="66"/>
      <c r="O1129" s="86"/>
      <c r="P1129" s="67"/>
      <c r="Q1129" s="86"/>
      <c r="R1129" s="86"/>
      <c r="S1129" s="60"/>
      <c r="T1129" s="62"/>
      <c r="U1129" s="62"/>
      <c r="V1129" s="62"/>
      <c r="W1129" s="61"/>
      <c r="X1129" s="62"/>
      <c r="Y1129" s="62"/>
      <c r="Z1129" s="66"/>
      <c r="AA1129" s="62"/>
      <c r="AB1129" s="67"/>
      <c r="AC1129" s="86"/>
      <c r="AD1129" s="86"/>
      <c r="AE1129" s="60"/>
      <c r="AF1129" s="62"/>
      <c r="AG1129" s="62"/>
      <c r="AH1129" s="62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2"/>
      <c r="I1130" s="62"/>
      <c r="J1130" s="62"/>
      <c r="K1130" s="61"/>
      <c r="L1130" s="62"/>
      <c r="M1130" s="62"/>
      <c r="N1130" s="66"/>
      <c r="O1130" s="86"/>
      <c r="P1130" s="68"/>
      <c r="Q1130" s="86"/>
      <c r="R1130" s="86"/>
      <c r="S1130" s="60"/>
      <c r="T1130" s="62"/>
      <c r="U1130" s="62"/>
      <c r="V1130" s="62"/>
      <c r="W1130" s="61"/>
      <c r="X1130" s="62"/>
      <c r="Y1130" s="62"/>
      <c r="Z1130" s="66"/>
      <c r="AA1130" s="86"/>
      <c r="AB1130" s="68"/>
      <c r="AC1130" s="86"/>
      <c r="AD1130" s="86"/>
      <c r="AE1130" s="60"/>
      <c r="AF1130" s="62"/>
      <c r="AG1130" s="62"/>
      <c r="AH1130" s="62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2"/>
      <c r="I1131" s="62"/>
      <c r="J1131" s="61"/>
      <c r="K1131" s="61"/>
      <c r="L1131" s="62"/>
      <c r="M1131" s="62"/>
      <c r="N1131" s="66"/>
      <c r="O1131" s="86"/>
      <c r="P1131" s="69"/>
      <c r="Q1131" s="86"/>
      <c r="R1131" s="62"/>
      <c r="S1131" s="60"/>
      <c r="T1131" s="62"/>
      <c r="U1131" s="62"/>
      <c r="V1131" s="62"/>
      <c r="W1131" s="61"/>
      <c r="X1131" s="62"/>
      <c r="Y1131" s="62"/>
      <c r="Z1131" s="66"/>
      <c r="AA1131" s="62"/>
      <c r="AB1131" s="69"/>
      <c r="AC1131" s="86"/>
      <c r="AD1131" s="62"/>
      <c r="AE1131" s="60"/>
      <c r="AF1131" s="62"/>
      <c r="AG1131" s="62"/>
      <c r="AH1131" s="62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9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86"/>
      <c r="AB1132" s="69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9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9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2"/>
      <c r="K1134" s="61"/>
      <c r="L1134" s="62"/>
      <c r="M1134" s="62"/>
      <c r="N1134" s="66"/>
      <c r="O1134" s="86"/>
      <c r="P1134" s="69"/>
      <c r="Q1134" s="86"/>
      <c r="R1134" s="86"/>
      <c r="S1134" s="60"/>
      <c r="T1134" s="62"/>
      <c r="U1134" s="62"/>
      <c r="V1134" s="62"/>
      <c r="W1134" s="61"/>
      <c r="X1134" s="62"/>
      <c r="Y1134" s="62"/>
      <c r="Z1134" s="66"/>
      <c r="AA1134" s="86"/>
      <c r="AB1134" s="69"/>
      <c r="AC1134" s="86"/>
      <c r="AD1134" s="86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62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6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4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62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4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6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6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62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6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6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62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6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86"/>
      <c r="O1150" s="86"/>
      <c r="P1150" s="86"/>
      <c r="Q1150" s="86"/>
      <c r="R1150" s="86"/>
      <c r="S1150" s="86"/>
      <c r="T1150" s="62"/>
      <c r="U1150" s="62"/>
      <c r="V1150" s="62"/>
      <c r="W1150" s="61"/>
      <c r="X1150" s="62"/>
      <c r="Y1150" s="62"/>
      <c r="Z1150" s="86"/>
      <c r="AA1150" s="86"/>
      <c r="AB1150" s="86"/>
      <c r="AC1150" s="86"/>
      <c r="AD1150" s="86"/>
      <c r="AE1150" s="86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86"/>
      <c r="C1151" s="86"/>
      <c r="D1151" s="86"/>
      <c r="E1151" s="86"/>
      <c r="F1151" s="86"/>
      <c r="G1151" s="86"/>
      <c r="H1151" s="62"/>
      <c r="I1151" s="62"/>
      <c r="J1151" s="62"/>
      <c r="K1151" s="62"/>
      <c r="L1151" s="62"/>
      <c r="M1151" s="62"/>
      <c r="N1151" s="86"/>
      <c r="O1151" s="86"/>
      <c r="P1151" s="86"/>
      <c r="Q1151" s="86"/>
      <c r="R1151" s="86"/>
      <c r="S1151" s="86"/>
      <c r="T1151" s="62"/>
      <c r="U1151" s="62"/>
      <c r="V1151" s="62"/>
      <c r="W1151" s="62"/>
      <c r="X1151" s="62"/>
      <c r="Y1151" s="62"/>
      <c r="Z1151" s="86"/>
      <c r="AA1151" s="86"/>
      <c r="AB1151" s="86"/>
      <c r="AC1151" s="86"/>
      <c r="AD1151" s="86"/>
      <c r="AE1151" s="86"/>
      <c r="AF1151" s="62"/>
      <c r="AG1151" s="62"/>
      <c r="AH1151" s="62"/>
      <c r="AI1151" s="62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86"/>
      <c r="C1152" s="86"/>
      <c r="D1152" s="70"/>
      <c r="E1152" s="70"/>
      <c r="F1152" s="70"/>
      <c r="G1152" s="70"/>
      <c r="H1152" s="63"/>
      <c r="I1152" s="70"/>
      <c r="J1152" s="70"/>
      <c r="K1152" s="70"/>
      <c r="L1152" s="62"/>
      <c r="M1152" s="62"/>
      <c r="N1152" s="86"/>
      <c r="O1152" s="86"/>
      <c r="P1152" s="70"/>
      <c r="Q1152" s="70"/>
      <c r="R1152" s="70"/>
      <c r="S1152" s="70"/>
      <c r="T1152" s="63"/>
      <c r="U1152" s="71"/>
      <c r="V1152" s="71"/>
      <c r="W1152" s="71"/>
      <c r="X1152" s="62"/>
      <c r="Y1152" s="62"/>
      <c r="Z1152" s="86"/>
      <c r="AA1152" s="86"/>
      <c r="AB1152" s="70"/>
      <c r="AC1152" s="70"/>
      <c r="AD1152" s="70"/>
      <c r="AE1152" s="70"/>
      <c r="AF1152" s="63"/>
      <c r="AG1152" s="71"/>
      <c r="AH1152" s="71"/>
      <c r="AI1152" s="7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2"/>
      <c r="C1153" s="62"/>
      <c r="D1153" s="62"/>
      <c r="E1153" s="62"/>
      <c r="F1153" s="62"/>
      <c r="G1153" s="62"/>
      <c r="H1153" s="62"/>
      <c r="I1153" s="62"/>
      <c r="J1153" s="62"/>
      <c r="K1153" s="62"/>
      <c r="L1153" s="62"/>
      <c r="M1153" s="62"/>
      <c r="N1153" s="62"/>
      <c r="O1153" s="62"/>
      <c r="P1153" s="62"/>
      <c r="Q1153" s="62"/>
      <c r="R1153" s="62"/>
      <c r="S1153" s="62"/>
      <c r="T1153" s="62"/>
      <c r="U1153" s="62"/>
      <c r="V1153" s="62"/>
      <c r="W1153" s="62"/>
      <c r="X1153" s="62"/>
      <c r="Y1153" s="62"/>
      <c r="Z1153" s="62"/>
      <c r="AA1153" s="62"/>
      <c r="AB1153" s="62"/>
      <c r="AC1153" s="62"/>
      <c r="AD1153" s="62"/>
      <c r="AE1153" s="62"/>
      <c r="AF1153" s="62"/>
      <c r="AG1153" s="62"/>
      <c r="AH1153" s="62"/>
      <c r="AI1153" s="62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86"/>
      <c r="E1155" s="86"/>
      <c r="F1155" s="86"/>
      <c r="G1155" s="86"/>
      <c r="H1155" s="62"/>
      <c r="I1155" s="62"/>
      <c r="J1155" s="62"/>
      <c r="K1155" s="62"/>
      <c r="L1155" s="62"/>
      <c r="M1155" s="62"/>
      <c r="N1155" s="86"/>
      <c r="O1155" s="86"/>
      <c r="P1155" s="86"/>
      <c r="Q1155" s="86"/>
      <c r="R1155" s="86"/>
      <c r="S1155" s="86"/>
      <c r="T1155" s="62"/>
      <c r="U1155" s="62"/>
      <c r="V1155" s="62"/>
      <c r="W1155" s="62"/>
      <c r="X1155" s="62"/>
      <c r="Y1155" s="62"/>
      <c r="Z1155" s="86"/>
      <c r="AA1155" s="86"/>
      <c r="AB1155" s="86"/>
      <c r="AC1155" s="86"/>
      <c r="AD1155" s="86"/>
      <c r="AE1155" s="86"/>
      <c r="AF1155" s="62"/>
      <c r="AG1155" s="62"/>
      <c r="AH1155" s="62"/>
      <c r="AI1155" s="62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86"/>
      <c r="C1156" s="86"/>
      <c r="D1156" s="86"/>
      <c r="E1156" s="86"/>
      <c r="F1156" s="86"/>
      <c r="G1156" s="86"/>
      <c r="H1156" s="62"/>
      <c r="I1156" s="62"/>
      <c r="J1156" s="62"/>
      <c r="K1156" s="62"/>
      <c r="L1156" s="62"/>
      <c r="M1156" s="62"/>
      <c r="N1156" s="86"/>
      <c r="O1156" s="86"/>
      <c r="P1156" s="86"/>
      <c r="Q1156" s="86"/>
      <c r="R1156" s="86"/>
      <c r="S1156" s="86"/>
      <c r="T1156" s="62"/>
      <c r="U1156" s="62"/>
      <c r="V1156" s="62"/>
      <c r="W1156" s="62"/>
      <c r="X1156" s="62"/>
      <c r="Y1156" s="62"/>
      <c r="Z1156" s="86"/>
      <c r="AA1156" s="86"/>
      <c r="AB1156" s="86"/>
      <c r="AC1156" s="86"/>
      <c r="AD1156" s="86"/>
      <c r="AE1156" s="86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3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3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3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ht="15.75" x14ac:dyDescent="0.25">
      <c r="A1159" s="62"/>
      <c r="B1159" s="86"/>
      <c r="C1159" s="86"/>
      <c r="D1159" s="86"/>
      <c r="E1159" s="86"/>
      <c r="F1159" s="86"/>
      <c r="G1159" s="86"/>
      <c r="H1159" s="62"/>
      <c r="I1159" s="86"/>
      <c r="J1159" s="73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86"/>
      <c r="V1159" s="73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86"/>
      <c r="AH1159" s="86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4"/>
      <c r="B1160" s="86"/>
      <c r="C1160" s="86"/>
      <c r="D1160" s="86"/>
      <c r="E1160" s="86"/>
      <c r="F1160" s="86"/>
      <c r="G1160" s="86"/>
      <c r="H1160" s="62"/>
      <c r="I1160" s="65"/>
      <c r="J1160" s="65"/>
      <c r="K1160" s="62"/>
      <c r="L1160" s="62"/>
      <c r="M1160" s="64"/>
      <c r="N1160" s="86"/>
      <c r="O1160" s="86"/>
      <c r="P1160" s="86"/>
      <c r="Q1160" s="86"/>
      <c r="R1160" s="86"/>
      <c r="S1160" s="86"/>
      <c r="T1160" s="62"/>
      <c r="U1160" s="65"/>
      <c r="V1160" s="65"/>
      <c r="W1160" s="62"/>
      <c r="X1160" s="62"/>
      <c r="Y1160" s="64"/>
      <c r="Z1160" s="86"/>
      <c r="AA1160" s="86"/>
      <c r="AB1160" s="86"/>
      <c r="AC1160" s="86"/>
      <c r="AD1160" s="86"/>
      <c r="AE1160" s="86"/>
      <c r="AF1160" s="62"/>
      <c r="AG1160" s="65"/>
      <c r="AH1160" s="65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x14ac:dyDescent="0.25">
      <c r="A1162" s="62"/>
      <c r="B1162" s="65"/>
      <c r="C1162" s="86"/>
      <c r="D1162" s="123"/>
      <c r="E1162" s="123"/>
      <c r="F1162" s="86"/>
      <c r="G1162" s="86"/>
      <c r="H1162" s="62"/>
      <c r="I1162" s="123"/>
      <c r="J1162" s="123"/>
      <c r="K1162" s="124"/>
      <c r="L1162" s="62"/>
      <c r="M1162" s="62"/>
      <c r="N1162" s="65"/>
      <c r="O1162" s="86"/>
      <c r="P1162" s="123"/>
      <c r="Q1162" s="123"/>
      <c r="R1162" s="86"/>
      <c r="S1162" s="86"/>
      <c r="T1162" s="62"/>
      <c r="U1162" s="123"/>
      <c r="V1162" s="123"/>
      <c r="W1162" s="124"/>
      <c r="X1162" s="62"/>
      <c r="Y1162" s="62"/>
      <c r="Z1162" s="65"/>
      <c r="AA1162" s="86"/>
      <c r="AB1162" s="123"/>
      <c r="AC1162" s="123"/>
      <c r="AD1162" s="86"/>
      <c r="AE1162" s="86"/>
      <c r="AF1162" s="62"/>
      <c r="AG1162" s="123"/>
      <c r="AH1162" s="123"/>
      <c r="AI1162" s="124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2"/>
      <c r="B1163" s="86"/>
      <c r="C1163" s="86"/>
      <c r="D1163" s="79"/>
      <c r="E1163" s="80"/>
      <c r="F1163" s="81"/>
      <c r="G1163" s="81"/>
      <c r="H1163" s="62"/>
      <c r="I1163" s="85"/>
      <c r="J1163" s="85"/>
      <c r="K1163" s="124"/>
      <c r="L1163" s="62"/>
      <c r="M1163" s="62"/>
      <c r="N1163" s="86"/>
      <c r="O1163" s="86"/>
      <c r="P1163" s="79"/>
      <c r="Q1163" s="81"/>
      <c r="R1163" s="81"/>
      <c r="S1163" s="81"/>
      <c r="T1163" s="62"/>
      <c r="U1163" s="85"/>
      <c r="V1163" s="85"/>
      <c r="W1163" s="124"/>
      <c r="X1163" s="62"/>
      <c r="Y1163" s="62"/>
      <c r="Z1163" s="86"/>
      <c r="AA1163" s="86"/>
      <c r="AB1163" s="79"/>
      <c r="AC1163" s="81"/>
      <c r="AD1163" s="81"/>
      <c r="AE1163" s="81"/>
      <c r="AF1163" s="62"/>
      <c r="AG1163" s="85"/>
      <c r="AH1163" s="85"/>
      <c r="AI1163" s="124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66"/>
      <c r="C1164" s="86"/>
      <c r="D1164" s="60"/>
      <c r="E1164" s="60"/>
      <c r="F1164" s="60"/>
      <c r="G1164" s="60"/>
      <c r="H1164" s="61"/>
      <c r="I1164" s="61"/>
      <c r="J1164" s="61"/>
      <c r="K1164" s="61"/>
      <c r="L1164" s="62"/>
      <c r="M1164" s="62"/>
      <c r="N1164" s="66"/>
      <c r="O1164" s="86"/>
      <c r="P1164" s="60"/>
      <c r="Q1164" s="60"/>
      <c r="R1164" s="60"/>
      <c r="S1164" s="60"/>
      <c r="T1164" s="61"/>
      <c r="U1164" s="61"/>
      <c r="V1164" s="61"/>
      <c r="W1164" s="61"/>
      <c r="X1164" s="62"/>
      <c r="Y1164" s="62"/>
      <c r="Z1164" s="66"/>
      <c r="AA1164" s="86"/>
      <c r="AB1164" s="60"/>
      <c r="AC1164" s="60"/>
      <c r="AD1164" s="60"/>
      <c r="AE1164" s="60"/>
      <c r="AF1164" s="61"/>
      <c r="AG1164" s="61"/>
      <c r="AH1164" s="61"/>
      <c r="AI1164" s="61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6"/>
      <c r="C1165" s="86"/>
      <c r="D1165" s="60"/>
      <c r="E1165" s="60"/>
      <c r="F1165" s="60"/>
      <c r="G1165" s="60"/>
      <c r="H1165" s="61"/>
      <c r="I1165" s="61"/>
      <c r="J1165" s="61"/>
      <c r="K1165" s="61"/>
      <c r="L1165" s="62"/>
      <c r="M1165" s="62"/>
      <c r="N1165" s="66"/>
      <c r="O1165" s="86"/>
      <c r="P1165" s="60"/>
      <c r="Q1165" s="60"/>
      <c r="R1165" s="60"/>
      <c r="S1165" s="60"/>
      <c r="T1165" s="61"/>
      <c r="U1165" s="61"/>
      <c r="V1165" s="61"/>
      <c r="W1165" s="61"/>
      <c r="X1165" s="62"/>
      <c r="Y1165" s="62"/>
      <c r="Z1165" s="66"/>
      <c r="AA1165" s="86"/>
      <c r="AB1165" s="60"/>
      <c r="AC1165" s="60"/>
      <c r="AD1165" s="60"/>
      <c r="AE1165" s="60"/>
      <c r="AF1165" s="61"/>
      <c r="AG1165" s="61"/>
      <c r="AH1165" s="61"/>
      <c r="AI1165" s="61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66"/>
      <c r="C1166" s="86"/>
      <c r="D1166" s="60"/>
      <c r="E1166" s="60"/>
      <c r="F1166" s="60"/>
      <c r="G1166" s="60"/>
      <c r="H1166" s="61"/>
      <c r="I1166" s="61"/>
      <c r="J1166" s="61"/>
      <c r="K1166" s="61"/>
      <c r="L1166" s="62"/>
      <c r="M1166" s="62"/>
      <c r="N1166" s="66"/>
      <c r="O1166" s="86"/>
      <c r="P1166" s="60"/>
      <c r="Q1166" s="60"/>
      <c r="R1166" s="60"/>
      <c r="S1166" s="60"/>
      <c r="T1166" s="61"/>
      <c r="U1166" s="61"/>
      <c r="V1166" s="61"/>
      <c r="W1166" s="61"/>
      <c r="X1166" s="62"/>
      <c r="Y1166" s="62"/>
      <c r="Z1166" s="66"/>
      <c r="AA1166" s="86"/>
      <c r="AB1166" s="60"/>
      <c r="AC1166" s="60"/>
      <c r="AD1166" s="60"/>
      <c r="AE1166" s="60"/>
      <c r="AF1166" s="61"/>
      <c r="AG1166" s="61"/>
      <c r="AH1166" s="61"/>
      <c r="AI1166" s="6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2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65"/>
      <c r="P1169" s="60"/>
      <c r="Q1169" s="60"/>
      <c r="R1169" s="60"/>
      <c r="S1169" s="60"/>
      <c r="T1169" s="61"/>
      <c r="U1169" s="61"/>
      <c r="V1169" s="62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2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65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1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2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86"/>
      <c r="P1172" s="60"/>
      <c r="Q1172" s="60"/>
      <c r="R1172" s="60"/>
      <c r="S1172" s="60"/>
      <c r="T1172" s="61"/>
      <c r="U1172" s="61"/>
      <c r="V1172" s="61"/>
      <c r="W1172" s="61"/>
      <c r="X1172" s="62"/>
      <c r="Y1172" s="62"/>
      <c r="Z1172" s="66"/>
      <c r="AA1172" s="86"/>
      <c r="AB1172" s="82"/>
      <c r="AC1172" s="60"/>
      <c r="AD1172" s="60"/>
      <c r="AE1172" s="60"/>
      <c r="AF1172" s="61"/>
      <c r="AG1172" s="62"/>
      <c r="AH1172" s="61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86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62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65"/>
      <c r="AB1174" s="60"/>
      <c r="AC1174" s="60"/>
      <c r="AD1174" s="60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2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62"/>
      <c r="AB1175" s="60"/>
      <c r="AC1175" s="60"/>
      <c r="AD1175" s="60"/>
      <c r="AE1175" s="60"/>
      <c r="AF1175" s="61"/>
      <c r="AG1175" s="61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86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86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1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86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62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86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2"/>
      <c r="I1184" s="62"/>
      <c r="J1184" s="62"/>
      <c r="K1184" s="61"/>
      <c r="L1184" s="62"/>
      <c r="M1184" s="62"/>
      <c r="N1184" s="66"/>
      <c r="O1184" s="62"/>
      <c r="P1184" s="67"/>
      <c r="Q1184" s="86"/>
      <c r="R1184" s="86"/>
      <c r="S1184" s="60"/>
      <c r="T1184" s="62"/>
      <c r="U1184" s="62"/>
      <c r="V1184" s="62"/>
      <c r="W1184" s="61"/>
      <c r="X1184" s="62"/>
      <c r="Y1184" s="62"/>
      <c r="Z1184" s="66"/>
      <c r="AA1184" s="86"/>
      <c r="AB1184" s="67"/>
      <c r="AC1184" s="86"/>
      <c r="AD1184" s="86"/>
      <c r="AE1184" s="60"/>
      <c r="AF1184" s="62"/>
      <c r="AG1184" s="62"/>
      <c r="AH1184" s="62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2"/>
      <c r="I1185" s="62"/>
      <c r="J1185" s="62"/>
      <c r="K1185" s="61"/>
      <c r="L1185" s="62"/>
      <c r="M1185" s="62"/>
      <c r="N1185" s="66"/>
      <c r="O1185" s="86"/>
      <c r="P1185" s="68"/>
      <c r="Q1185" s="86"/>
      <c r="R1185" s="86"/>
      <c r="S1185" s="60"/>
      <c r="T1185" s="62"/>
      <c r="U1185" s="62"/>
      <c r="V1185" s="62"/>
      <c r="W1185" s="61"/>
      <c r="X1185" s="62"/>
      <c r="Y1185" s="62"/>
      <c r="Z1185" s="66"/>
      <c r="AA1185" s="86"/>
      <c r="AB1185" s="68"/>
      <c r="AC1185" s="86"/>
      <c r="AD1185" s="86"/>
      <c r="AE1185" s="60"/>
      <c r="AF1185" s="62"/>
      <c r="AG1185" s="62"/>
      <c r="AH1185" s="62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2"/>
      <c r="I1186" s="62"/>
      <c r="J1186" s="61"/>
      <c r="K1186" s="61"/>
      <c r="L1186" s="62"/>
      <c r="M1186" s="62"/>
      <c r="N1186" s="66"/>
      <c r="O1186" s="86"/>
      <c r="P1186" s="69"/>
      <c r="Q1186" s="86"/>
      <c r="R1186" s="62"/>
      <c r="S1186" s="60"/>
      <c r="T1186" s="62"/>
      <c r="U1186" s="62"/>
      <c r="V1186" s="62"/>
      <c r="W1186" s="61"/>
      <c r="X1186" s="62"/>
      <c r="Y1186" s="62"/>
      <c r="Z1186" s="66"/>
      <c r="AA1186" s="86"/>
      <c r="AB1186" s="69"/>
      <c r="AC1186" s="62"/>
      <c r="AD1186" s="62"/>
      <c r="AE1186" s="60"/>
      <c r="AF1186" s="62"/>
      <c r="AG1186" s="62"/>
      <c r="AH1186" s="62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86"/>
      <c r="P1187" s="69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9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9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9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2"/>
      <c r="K1189" s="61"/>
      <c r="L1189" s="62"/>
      <c r="M1189" s="62"/>
      <c r="N1189" s="66"/>
      <c r="O1189" s="62"/>
      <c r="P1189" s="69"/>
      <c r="Q1189" s="86"/>
      <c r="R1189" s="86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86"/>
      <c r="AD1189" s="86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86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65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62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65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65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86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62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86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86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86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62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6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86"/>
      <c r="O1205" s="86"/>
      <c r="P1205" s="86"/>
      <c r="Q1205" s="86"/>
      <c r="R1205" s="86"/>
      <c r="S1205" s="86"/>
      <c r="T1205" s="62"/>
      <c r="U1205" s="62"/>
      <c r="V1205" s="62"/>
      <c r="W1205" s="61"/>
      <c r="X1205" s="62"/>
      <c r="Y1205" s="62"/>
      <c r="Z1205" s="86"/>
      <c r="AA1205" s="86"/>
      <c r="AB1205" s="86"/>
      <c r="AC1205" s="86"/>
      <c r="AD1205" s="86"/>
      <c r="AE1205" s="86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86"/>
      <c r="C1206" s="86"/>
      <c r="D1206" s="86"/>
      <c r="E1206" s="86"/>
      <c r="F1206" s="86"/>
      <c r="G1206" s="86"/>
      <c r="H1206" s="62"/>
      <c r="I1206" s="62"/>
      <c r="J1206" s="62"/>
      <c r="K1206" s="62"/>
      <c r="L1206" s="62"/>
      <c r="M1206" s="62"/>
      <c r="N1206" s="86"/>
      <c r="O1206" s="86"/>
      <c r="P1206" s="86"/>
      <c r="Q1206" s="86"/>
      <c r="R1206" s="86"/>
      <c r="S1206" s="86"/>
      <c r="T1206" s="62"/>
      <c r="U1206" s="62"/>
      <c r="V1206" s="62"/>
      <c r="W1206" s="62"/>
      <c r="X1206" s="62"/>
      <c r="Y1206" s="62"/>
      <c r="Z1206" s="86"/>
      <c r="AA1206" s="86"/>
      <c r="AB1206" s="86"/>
      <c r="AC1206" s="86"/>
      <c r="AD1206" s="86"/>
      <c r="AE1206" s="86"/>
      <c r="AF1206" s="62"/>
      <c r="AG1206" s="62"/>
      <c r="AH1206" s="62"/>
      <c r="AI1206" s="62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86"/>
      <c r="C1207" s="86"/>
      <c r="D1207" s="70"/>
      <c r="E1207" s="70"/>
      <c r="F1207" s="70"/>
      <c r="G1207" s="70"/>
      <c r="H1207" s="63"/>
      <c r="I1207" s="70"/>
      <c r="J1207" s="70"/>
      <c r="K1207" s="70"/>
      <c r="L1207" s="62"/>
      <c r="M1207" s="62"/>
      <c r="N1207" s="86"/>
      <c r="O1207" s="86"/>
      <c r="P1207" s="70"/>
      <c r="Q1207" s="70"/>
      <c r="R1207" s="70"/>
      <c r="S1207" s="70"/>
      <c r="T1207" s="63"/>
      <c r="U1207" s="71"/>
      <c r="V1207" s="71"/>
      <c r="W1207" s="71"/>
      <c r="X1207" s="62"/>
      <c r="Y1207" s="62"/>
      <c r="Z1207" s="86"/>
      <c r="AA1207" s="86"/>
      <c r="AB1207" s="70"/>
      <c r="AC1207" s="70"/>
      <c r="AD1207" s="70"/>
      <c r="AE1207" s="70"/>
      <c r="AF1207" s="63"/>
      <c r="AG1207" s="71"/>
      <c r="AH1207" s="71"/>
      <c r="AI1207" s="7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2"/>
      <c r="C1208" s="62"/>
      <c r="D1208" s="62"/>
      <c r="E1208" s="62"/>
      <c r="F1208" s="62"/>
      <c r="G1208" s="62"/>
      <c r="H1208" s="62"/>
      <c r="I1208" s="62"/>
      <c r="J1208" s="62"/>
      <c r="K1208" s="62"/>
      <c r="L1208" s="62"/>
      <c r="M1208" s="62"/>
      <c r="N1208" s="62"/>
      <c r="O1208" s="62"/>
      <c r="P1208" s="62"/>
      <c r="Q1208" s="62"/>
      <c r="R1208" s="62"/>
      <c r="S1208" s="62"/>
      <c r="T1208" s="62"/>
      <c r="U1208" s="62"/>
      <c r="V1208" s="62"/>
      <c r="W1208" s="62"/>
      <c r="X1208" s="62"/>
      <c r="Y1208" s="62"/>
      <c r="Z1208" s="62"/>
      <c r="AA1208" s="62"/>
      <c r="AB1208" s="62"/>
      <c r="AC1208" s="62"/>
      <c r="AD1208" s="62"/>
      <c r="AE1208" s="62"/>
      <c r="AF1208" s="62"/>
      <c r="AG1208" s="62"/>
      <c r="AH1208" s="62"/>
      <c r="AI1208" s="62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62"/>
      <c r="C1209" s="62"/>
      <c r="D1209" s="62"/>
      <c r="E1209" s="62"/>
      <c r="F1209" s="62"/>
      <c r="G1209" s="62"/>
      <c r="H1209" s="62"/>
      <c r="I1209" s="62"/>
      <c r="J1209" s="62"/>
      <c r="K1209" s="62"/>
      <c r="L1209" s="62"/>
      <c r="M1209" s="62"/>
      <c r="N1209" s="62"/>
      <c r="O1209" s="62"/>
      <c r="P1209" s="62"/>
      <c r="Q1209" s="62"/>
      <c r="R1209" s="62"/>
      <c r="S1209" s="62"/>
      <c r="T1209" s="62"/>
      <c r="U1209" s="62"/>
      <c r="V1209" s="62"/>
      <c r="W1209" s="62"/>
      <c r="X1209" s="62"/>
      <c r="Y1209" s="62"/>
      <c r="Z1209" s="62"/>
      <c r="AA1209" s="62"/>
      <c r="AB1209" s="62"/>
      <c r="AC1209" s="62"/>
      <c r="AD1209" s="62"/>
      <c r="AE1209" s="62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86"/>
      <c r="E1210" s="86"/>
      <c r="F1210" s="86"/>
      <c r="G1210" s="86"/>
      <c r="H1210" s="62"/>
      <c r="I1210" s="62"/>
      <c r="J1210" s="62"/>
      <c r="K1210" s="62"/>
      <c r="L1210" s="62"/>
      <c r="M1210" s="62"/>
      <c r="N1210" s="86"/>
      <c r="O1210" s="86"/>
      <c r="P1210" s="86"/>
      <c r="Q1210" s="86"/>
      <c r="R1210" s="86"/>
      <c r="S1210" s="86"/>
      <c r="T1210" s="62"/>
      <c r="U1210" s="62"/>
      <c r="V1210" s="62"/>
      <c r="W1210" s="62"/>
      <c r="X1210" s="62"/>
      <c r="Y1210" s="62"/>
      <c r="Z1210" s="86"/>
      <c r="AA1210" s="86"/>
      <c r="AB1210" s="86"/>
      <c r="AC1210" s="86"/>
      <c r="AD1210" s="86"/>
      <c r="AE1210" s="86"/>
      <c r="AF1210" s="62"/>
      <c r="AG1210" s="62"/>
      <c r="AH1210" s="62"/>
      <c r="AI1210" s="62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86"/>
      <c r="C1211" s="86"/>
      <c r="D1211" s="86"/>
      <c r="E1211" s="86"/>
      <c r="F1211" s="86"/>
      <c r="G1211" s="86"/>
      <c r="H1211" s="62"/>
      <c r="I1211" s="62"/>
      <c r="J1211" s="62"/>
      <c r="K1211" s="62"/>
      <c r="L1211" s="62"/>
      <c r="M1211" s="62"/>
      <c r="N1211" s="86"/>
      <c r="O1211" s="86"/>
      <c r="P1211" s="86"/>
      <c r="Q1211" s="86"/>
      <c r="R1211" s="86"/>
      <c r="S1211" s="86"/>
      <c r="T1211" s="62"/>
      <c r="U1211" s="62"/>
      <c r="V1211" s="62"/>
      <c r="W1211" s="62"/>
      <c r="X1211" s="62"/>
      <c r="Y1211" s="62"/>
      <c r="Z1211" s="86"/>
      <c r="AA1211" s="86"/>
      <c r="AB1211" s="86"/>
      <c r="AC1211" s="86"/>
      <c r="AD1211" s="86"/>
      <c r="AE1211" s="86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86"/>
      <c r="C1212" s="86"/>
      <c r="D1212" s="86"/>
      <c r="E1212" s="86"/>
      <c r="F1212" s="86"/>
      <c r="G1212" s="86"/>
      <c r="H1212" s="62"/>
      <c r="I1212" s="62"/>
      <c r="J1212" s="62"/>
      <c r="K1212" s="62"/>
      <c r="L1212" s="62"/>
      <c r="M1212" s="62"/>
      <c r="N1212" s="86"/>
      <c r="O1212" s="86"/>
      <c r="P1212" s="86"/>
      <c r="Q1212" s="86"/>
      <c r="R1212" s="86"/>
      <c r="S1212" s="86"/>
      <c r="T1212" s="62"/>
      <c r="U1212" s="62"/>
      <c r="V1212" s="62"/>
      <c r="W1212" s="62"/>
      <c r="X1212" s="62"/>
      <c r="Y1212" s="62"/>
      <c r="Z1212" s="86"/>
      <c r="AA1212" s="86"/>
      <c r="AB1212" s="86"/>
      <c r="AC1212" s="86"/>
      <c r="AD1212" s="86"/>
      <c r="AE1212" s="86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3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3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3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ht="15.75" x14ac:dyDescent="0.25">
      <c r="A1215" s="62"/>
      <c r="B1215" s="86"/>
      <c r="C1215" s="86"/>
      <c r="D1215" s="86"/>
      <c r="E1215" s="86"/>
      <c r="F1215" s="86"/>
      <c r="G1215" s="86"/>
      <c r="H1215" s="62"/>
      <c r="I1215" s="86"/>
      <c r="J1215" s="73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86"/>
      <c r="V1215" s="73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86"/>
      <c r="AH1215" s="86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4"/>
      <c r="B1216" s="86"/>
      <c r="C1216" s="86"/>
      <c r="D1216" s="86"/>
      <c r="E1216" s="86"/>
      <c r="F1216" s="86"/>
      <c r="G1216" s="86"/>
      <c r="H1216" s="62"/>
      <c r="I1216" s="65"/>
      <c r="J1216" s="65"/>
      <c r="K1216" s="62"/>
      <c r="L1216" s="62"/>
      <c r="M1216" s="64"/>
      <c r="N1216" s="86"/>
      <c r="O1216" s="86"/>
      <c r="P1216" s="86"/>
      <c r="Q1216" s="86"/>
      <c r="R1216" s="86"/>
      <c r="S1216" s="86"/>
      <c r="T1216" s="62"/>
      <c r="U1216" s="65"/>
      <c r="V1216" s="65"/>
      <c r="W1216" s="62"/>
      <c r="X1216" s="62"/>
      <c r="Y1216" s="64"/>
      <c r="Z1216" s="86"/>
      <c r="AA1216" s="86"/>
      <c r="AB1216" s="86"/>
      <c r="AC1216" s="86"/>
      <c r="AD1216" s="86"/>
      <c r="AE1216" s="86"/>
      <c r="AF1216" s="62"/>
      <c r="AG1216" s="65"/>
      <c r="AH1216" s="65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62"/>
      <c r="B1218" s="65"/>
      <c r="C1218" s="86"/>
      <c r="D1218" s="123"/>
      <c r="E1218" s="123"/>
      <c r="F1218" s="86"/>
      <c r="G1218" s="86"/>
      <c r="H1218" s="62"/>
      <c r="I1218" s="123"/>
      <c r="J1218" s="123"/>
      <c r="K1218" s="124"/>
      <c r="L1218" s="62"/>
      <c r="M1218" s="62"/>
      <c r="N1218" s="65"/>
      <c r="O1218" s="86"/>
      <c r="P1218" s="123"/>
      <c r="Q1218" s="123"/>
      <c r="R1218" s="86"/>
      <c r="S1218" s="86"/>
      <c r="T1218" s="62"/>
      <c r="U1218" s="123"/>
      <c r="V1218" s="123"/>
      <c r="W1218" s="124"/>
      <c r="X1218" s="62"/>
      <c r="Y1218" s="62"/>
      <c r="Z1218" s="65"/>
      <c r="AA1218" s="86"/>
      <c r="AB1218" s="123"/>
      <c r="AC1218" s="123"/>
      <c r="AD1218" s="86"/>
      <c r="AE1218" s="86"/>
      <c r="AF1218" s="62"/>
      <c r="AG1218" s="123"/>
      <c r="AH1218" s="123"/>
      <c r="AI1218" s="124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2"/>
      <c r="B1219" s="86"/>
      <c r="C1219" s="86"/>
      <c r="D1219" s="79"/>
      <c r="E1219" s="80"/>
      <c r="F1219" s="81"/>
      <c r="G1219" s="81"/>
      <c r="H1219" s="62"/>
      <c r="I1219" s="85"/>
      <c r="J1219" s="85"/>
      <c r="K1219" s="124"/>
      <c r="L1219" s="62"/>
      <c r="M1219" s="62"/>
      <c r="N1219" s="86"/>
      <c r="O1219" s="86"/>
      <c r="P1219" s="79"/>
      <c r="Q1219" s="81"/>
      <c r="R1219" s="81"/>
      <c r="S1219" s="81"/>
      <c r="T1219" s="62"/>
      <c r="U1219" s="85"/>
      <c r="V1219" s="85"/>
      <c r="W1219" s="124"/>
      <c r="X1219" s="62"/>
      <c r="Y1219" s="62"/>
      <c r="Z1219" s="86"/>
      <c r="AA1219" s="86"/>
      <c r="AB1219" s="79"/>
      <c r="AC1219" s="80"/>
      <c r="AD1219" s="81"/>
      <c r="AE1219" s="81"/>
      <c r="AF1219" s="62"/>
      <c r="AG1219" s="85"/>
      <c r="AH1219" s="85"/>
      <c r="AI1219" s="124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66"/>
      <c r="C1220" s="86"/>
      <c r="D1220" s="60"/>
      <c r="E1220" s="60"/>
      <c r="F1220" s="60"/>
      <c r="G1220" s="60"/>
      <c r="H1220" s="61"/>
      <c r="I1220" s="61"/>
      <c r="J1220" s="61"/>
      <c r="K1220" s="61"/>
      <c r="L1220" s="62"/>
      <c r="M1220" s="62"/>
      <c r="N1220" s="66"/>
      <c r="O1220" s="86"/>
      <c r="P1220" s="60"/>
      <c r="Q1220" s="60"/>
      <c r="R1220" s="60"/>
      <c r="S1220" s="60"/>
      <c r="T1220" s="61"/>
      <c r="U1220" s="61"/>
      <c r="V1220" s="61"/>
      <c r="W1220" s="61"/>
      <c r="X1220" s="62"/>
      <c r="Y1220" s="62"/>
      <c r="Z1220" s="66"/>
      <c r="AA1220" s="86"/>
      <c r="AB1220" s="60"/>
      <c r="AC1220" s="60"/>
      <c r="AD1220" s="60"/>
      <c r="AE1220" s="60"/>
      <c r="AF1220" s="61"/>
      <c r="AG1220" s="61"/>
      <c r="AH1220" s="61"/>
      <c r="AI1220" s="61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6"/>
      <c r="C1221" s="86"/>
      <c r="D1221" s="60"/>
      <c r="E1221" s="60"/>
      <c r="F1221" s="60"/>
      <c r="G1221" s="60"/>
      <c r="H1221" s="61"/>
      <c r="I1221" s="61"/>
      <c r="J1221" s="61"/>
      <c r="K1221" s="61"/>
      <c r="L1221" s="62"/>
      <c r="M1221" s="62"/>
      <c r="N1221" s="66"/>
      <c r="O1221" s="86"/>
      <c r="P1221" s="60"/>
      <c r="Q1221" s="60"/>
      <c r="R1221" s="60"/>
      <c r="S1221" s="60"/>
      <c r="T1221" s="61"/>
      <c r="U1221" s="61"/>
      <c r="V1221" s="61"/>
      <c r="W1221" s="61"/>
      <c r="X1221" s="62"/>
      <c r="Y1221" s="62"/>
      <c r="Z1221" s="66"/>
      <c r="AA1221" s="86"/>
      <c r="AB1221" s="60"/>
      <c r="AC1221" s="60"/>
      <c r="AD1221" s="60"/>
      <c r="AE1221" s="60"/>
      <c r="AF1221" s="61"/>
      <c r="AG1221" s="61"/>
      <c r="AH1221" s="61"/>
      <c r="AI1221" s="61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66"/>
      <c r="C1222" s="86"/>
      <c r="D1222" s="60"/>
      <c r="E1222" s="60"/>
      <c r="F1222" s="60"/>
      <c r="G1222" s="60"/>
      <c r="H1222" s="61"/>
      <c r="I1222" s="61"/>
      <c r="J1222" s="61"/>
      <c r="K1222" s="61"/>
      <c r="L1222" s="62"/>
      <c r="M1222" s="62"/>
      <c r="N1222" s="66"/>
      <c r="O1222" s="65"/>
      <c r="P1222" s="60"/>
      <c r="Q1222" s="60"/>
      <c r="R1222" s="60"/>
      <c r="S1222" s="60"/>
      <c r="T1222" s="61"/>
      <c r="U1222" s="61"/>
      <c r="V1222" s="61"/>
      <c r="W1222" s="61"/>
      <c r="X1222" s="62"/>
      <c r="Y1222" s="62"/>
      <c r="Z1222" s="66"/>
      <c r="AA1222" s="86"/>
      <c r="AB1222" s="60"/>
      <c r="AC1222" s="60"/>
      <c r="AD1222" s="60"/>
      <c r="AE1222" s="60"/>
      <c r="AF1222" s="61"/>
      <c r="AG1222" s="61"/>
      <c r="AH1222" s="61"/>
      <c r="AI1222" s="6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62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86"/>
      <c r="P1225" s="60"/>
      <c r="Q1225" s="60"/>
      <c r="R1225" s="60"/>
      <c r="S1225" s="60"/>
      <c r="T1225" s="61"/>
      <c r="U1225" s="61"/>
      <c r="V1225" s="62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86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1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65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2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2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86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1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1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2"/>
      <c r="I1240" s="62"/>
      <c r="J1240" s="62"/>
      <c r="K1240" s="61"/>
      <c r="L1240" s="62"/>
      <c r="M1240" s="62"/>
      <c r="N1240" s="66"/>
      <c r="O1240" s="86"/>
      <c r="P1240" s="67"/>
      <c r="Q1240" s="86"/>
      <c r="R1240" s="86"/>
      <c r="S1240" s="60"/>
      <c r="T1240" s="62"/>
      <c r="U1240" s="62"/>
      <c r="V1240" s="62"/>
      <c r="W1240" s="61"/>
      <c r="X1240" s="62"/>
      <c r="Y1240" s="62"/>
      <c r="Z1240" s="66"/>
      <c r="AA1240" s="62"/>
      <c r="AB1240" s="60"/>
      <c r="AC1240" s="60"/>
      <c r="AD1240" s="60"/>
      <c r="AE1240" s="60"/>
      <c r="AF1240" s="62"/>
      <c r="AG1240" s="62"/>
      <c r="AH1240" s="62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65"/>
      <c r="D1241" s="60"/>
      <c r="E1241" s="60"/>
      <c r="F1241" s="60"/>
      <c r="G1241" s="60"/>
      <c r="H1241" s="62"/>
      <c r="I1241" s="62"/>
      <c r="J1241" s="62"/>
      <c r="K1241" s="61"/>
      <c r="L1241" s="62"/>
      <c r="M1241" s="62"/>
      <c r="N1241" s="66"/>
      <c r="O1241" s="86"/>
      <c r="P1241" s="68"/>
      <c r="Q1241" s="86"/>
      <c r="R1241" s="86"/>
      <c r="S1241" s="60"/>
      <c r="T1241" s="62"/>
      <c r="U1241" s="62"/>
      <c r="V1241" s="62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2"/>
      <c r="AG1241" s="62"/>
      <c r="AH1241" s="62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2"/>
      <c r="I1242" s="62"/>
      <c r="J1242" s="61"/>
      <c r="K1242" s="61"/>
      <c r="L1242" s="62"/>
      <c r="M1242" s="62"/>
      <c r="N1242" s="66"/>
      <c r="O1242" s="62"/>
      <c r="P1242" s="69"/>
      <c r="Q1242" s="62"/>
      <c r="R1242" s="62"/>
      <c r="S1242" s="60"/>
      <c r="T1242" s="62"/>
      <c r="U1242" s="62"/>
      <c r="V1242" s="62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2"/>
      <c r="AG1242" s="62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9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86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86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9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2"/>
      <c r="K1245" s="61"/>
      <c r="L1245" s="62"/>
      <c r="M1245" s="62"/>
      <c r="N1245" s="66"/>
      <c r="O1245" s="86"/>
      <c r="P1245" s="69"/>
      <c r="Q1245" s="86"/>
      <c r="R1245" s="86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2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62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62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65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86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86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86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62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6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86"/>
      <c r="O1269" s="86"/>
      <c r="P1269" s="86"/>
      <c r="Q1269" s="86"/>
      <c r="R1269" s="86"/>
      <c r="S1269" s="86"/>
      <c r="T1269" s="62"/>
      <c r="U1269" s="62"/>
      <c r="V1269" s="62"/>
      <c r="W1269" s="61"/>
      <c r="X1269" s="62"/>
      <c r="Y1269" s="62"/>
      <c r="Z1269" s="66"/>
      <c r="AA1269" s="6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86"/>
      <c r="C1270" s="86"/>
      <c r="D1270" s="86"/>
      <c r="E1270" s="86"/>
      <c r="F1270" s="86"/>
      <c r="G1270" s="86"/>
      <c r="H1270" s="62"/>
      <c r="I1270" s="62"/>
      <c r="J1270" s="62"/>
      <c r="K1270" s="62"/>
      <c r="L1270" s="62"/>
      <c r="M1270" s="62"/>
      <c r="N1270" s="86"/>
      <c r="O1270" s="86"/>
      <c r="P1270" s="86"/>
      <c r="Q1270" s="86"/>
      <c r="R1270" s="86"/>
      <c r="S1270" s="86"/>
      <c r="T1270" s="62"/>
      <c r="U1270" s="62"/>
      <c r="V1270" s="62"/>
      <c r="W1270" s="62"/>
      <c r="X1270" s="62"/>
      <c r="Y1270" s="62"/>
      <c r="Z1270" s="86"/>
      <c r="AA1270" s="86"/>
      <c r="AB1270" s="86"/>
      <c r="AC1270" s="86"/>
      <c r="AD1270" s="86"/>
      <c r="AE1270" s="86"/>
      <c r="AF1270" s="62"/>
      <c r="AG1270" s="62"/>
      <c r="AH1270" s="62"/>
      <c r="AI1270" s="62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86"/>
      <c r="C1271" s="86"/>
      <c r="D1271" s="70"/>
      <c r="E1271" s="70"/>
      <c r="F1271" s="70"/>
      <c r="G1271" s="70"/>
      <c r="H1271" s="63"/>
      <c r="I1271" s="70"/>
      <c r="J1271" s="70"/>
      <c r="K1271" s="70"/>
      <c r="L1271" s="62"/>
      <c r="M1271" s="62"/>
      <c r="N1271" s="86"/>
      <c r="O1271" s="86"/>
      <c r="P1271" s="70"/>
      <c r="Q1271" s="70"/>
      <c r="R1271" s="70"/>
      <c r="S1271" s="70"/>
      <c r="T1271" s="63"/>
      <c r="U1271" s="71"/>
      <c r="V1271" s="71"/>
      <c r="W1271" s="71"/>
      <c r="X1271" s="62"/>
      <c r="Y1271" s="62"/>
      <c r="Z1271" s="86"/>
      <c r="AA1271" s="86"/>
      <c r="AB1271" s="70"/>
      <c r="AC1271" s="70"/>
      <c r="AD1271" s="70"/>
      <c r="AE1271" s="70"/>
      <c r="AF1271" s="63"/>
      <c r="AG1271" s="70"/>
      <c r="AH1271" s="70"/>
      <c r="AI1271" s="70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2"/>
      <c r="C1272" s="62"/>
      <c r="D1272" s="62"/>
      <c r="E1272" s="62"/>
      <c r="F1272" s="62"/>
      <c r="G1272" s="62"/>
      <c r="H1272" s="62"/>
      <c r="I1272" s="62"/>
      <c r="J1272" s="62"/>
      <c r="K1272" s="62"/>
      <c r="L1272" s="62"/>
      <c r="M1272" s="62"/>
      <c r="N1272" s="62"/>
      <c r="O1272" s="62"/>
      <c r="P1272" s="62"/>
      <c r="Q1272" s="62"/>
      <c r="R1272" s="62"/>
      <c r="S1272" s="62"/>
      <c r="T1272" s="62"/>
      <c r="U1272" s="62"/>
      <c r="V1272" s="62"/>
      <c r="W1272" s="62"/>
      <c r="X1272" s="62"/>
      <c r="Y1272" s="62"/>
      <c r="Z1272" s="62"/>
      <c r="AA1272" s="62"/>
      <c r="AB1272" s="62"/>
      <c r="AC1272" s="62"/>
      <c r="AD1272" s="62"/>
      <c r="AE1272" s="62"/>
      <c r="AF1272" s="62"/>
      <c r="AG1272" s="62"/>
      <c r="AH1272" s="62"/>
      <c r="AI1272" s="62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86"/>
      <c r="E1274" s="86"/>
      <c r="F1274" s="86"/>
      <c r="G1274" s="86"/>
      <c r="H1274" s="62"/>
      <c r="I1274" s="62"/>
      <c r="J1274" s="62"/>
      <c r="K1274" s="62"/>
      <c r="L1274" s="62"/>
      <c r="M1274" s="62"/>
      <c r="N1274" s="86"/>
      <c r="O1274" s="86"/>
      <c r="P1274" s="86"/>
      <c r="Q1274" s="86"/>
      <c r="R1274" s="86"/>
      <c r="S1274" s="86"/>
      <c r="T1274" s="62"/>
      <c r="U1274" s="62"/>
      <c r="V1274" s="62"/>
      <c r="W1274" s="62"/>
      <c r="X1274" s="62"/>
      <c r="Y1274" s="62"/>
      <c r="Z1274" s="86"/>
      <c r="AA1274" s="86"/>
      <c r="AB1274" s="86"/>
      <c r="AC1274" s="86"/>
      <c r="AD1274" s="86"/>
      <c r="AE1274" s="86"/>
      <c r="AF1274" s="62"/>
      <c r="AG1274" s="62"/>
      <c r="AH1274" s="62"/>
      <c r="AI1274" s="62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3"/>
      <c r="B1275" s="86"/>
      <c r="C1275" s="86"/>
      <c r="D1275" s="86"/>
      <c r="E1275" s="86"/>
      <c r="F1275" s="86"/>
      <c r="G1275" s="86"/>
      <c r="H1275" s="62"/>
      <c r="I1275" s="62"/>
      <c r="J1275" s="62"/>
      <c r="K1275" s="62"/>
      <c r="L1275" s="62"/>
      <c r="M1275" s="63"/>
      <c r="N1275" s="86"/>
      <c r="O1275" s="86"/>
      <c r="P1275" s="86"/>
      <c r="Q1275" s="86"/>
      <c r="R1275" s="86"/>
      <c r="S1275" s="86"/>
      <c r="T1275" s="62"/>
      <c r="U1275" s="62"/>
      <c r="V1275" s="62"/>
      <c r="W1275" s="62"/>
      <c r="X1275" s="62"/>
      <c r="Y1275" s="63"/>
      <c r="Z1275" s="86"/>
      <c r="AA1275" s="86"/>
      <c r="AB1275" s="86"/>
      <c r="AC1275" s="86"/>
      <c r="AD1275" s="86"/>
      <c r="AE1275" s="86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ht="15.75" x14ac:dyDescent="0.25">
      <c r="A1277" s="62"/>
      <c r="B1277" s="86"/>
      <c r="C1277" s="86"/>
      <c r="D1277" s="86"/>
      <c r="E1277" s="86"/>
      <c r="F1277" s="86"/>
      <c r="G1277" s="86"/>
      <c r="H1277" s="62"/>
      <c r="I1277" s="86"/>
      <c r="J1277" s="73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86"/>
      <c r="V1277" s="73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86"/>
      <c r="AH1277" s="86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4"/>
      <c r="B1278" s="86"/>
      <c r="C1278" s="86"/>
      <c r="D1278" s="86"/>
      <c r="E1278" s="86"/>
      <c r="F1278" s="86"/>
      <c r="G1278" s="86"/>
      <c r="H1278" s="62"/>
      <c r="I1278" s="65"/>
      <c r="J1278" s="65"/>
      <c r="K1278" s="62"/>
      <c r="L1278" s="62"/>
      <c r="M1278" s="64"/>
      <c r="N1278" s="86"/>
      <c r="O1278" s="86"/>
      <c r="P1278" s="86"/>
      <c r="Q1278" s="86"/>
      <c r="R1278" s="86"/>
      <c r="S1278" s="86"/>
      <c r="T1278" s="62"/>
      <c r="U1278" s="65"/>
      <c r="V1278" s="65"/>
      <c r="W1278" s="62"/>
      <c r="X1278" s="62"/>
      <c r="Y1278" s="64"/>
      <c r="Z1278" s="86"/>
      <c r="AA1278" s="86"/>
      <c r="AB1278" s="86"/>
      <c r="AC1278" s="86"/>
      <c r="AD1278" s="86"/>
      <c r="AE1278" s="86"/>
      <c r="AF1278" s="62"/>
      <c r="AG1278" s="65"/>
      <c r="AH1278" s="65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62"/>
      <c r="B1280" s="65"/>
      <c r="C1280" s="86"/>
      <c r="D1280" s="123"/>
      <c r="E1280" s="123"/>
      <c r="F1280" s="86"/>
      <c r="G1280" s="86"/>
      <c r="H1280" s="62"/>
      <c r="I1280" s="123"/>
      <c r="J1280" s="123"/>
      <c r="K1280" s="124"/>
      <c r="L1280" s="62"/>
      <c r="M1280" s="62"/>
      <c r="N1280" s="65"/>
      <c r="O1280" s="86"/>
      <c r="P1280" s="123"/>
      <c r="Q1280" s="123"/>
      <c r="R1280" s="86"/>
      <c r="S1280" s="86"/>
      <c r="T1280" s="62"/>
      <c r="U1280" s="123"/>
      <c r="V1280" s="123"/>
      <c r="W1280" s="124"/>
      <c r="X1280" s="62"/>
      <c r="Y1280" s="62"/>
      <c r="Z1280" s="65"/>
      <c r="AA1280" s="86"/>
      <c r="AB1280" s="123"/>
      <c r="AC1280" s="123"/>
      <c r="AD1280" s="86"/>
      <c r="AE1280" s="86"/>
      <c r="AF1280" s="62"/>
      <c r="AG1280" s="123"/>
      <c r="AH1280" s="123"/>
      <c r="AI1280" s="124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2"/>
      <c r="B1281" s="86"/>
      <c r="C1281" s="86"/>
      <c r="D1281" s="86"/>
      <c r="E1281" s="85"/>
      <c r="F1281" s="85"/>
      <c r="G1281" s="85"/>
      <c r="H1281" s="62"/>
      <c r="I1281" s="85"/>
      <c r="J1281" s="85"/>
      <c r="K1281" s="124"/>
      <c r="L1281" s="62"/>
      <c r="M1281" s="62"/>
      <c r="N1281" s="86"/>
      <c r="O1281" s="86"/>
      <c r="P1281" s="86"/>
      <c r="Q1281" s="85"/>
      <c r="R1281" s="85"/>
      <c r="S1281" s="85"/>
      <c r="T1281" s="62"/>
      <c r="U1281" s="85"/>
      <c r="V1281" s="85"/>
      <c r="W1281" s="124"/>
      <c r="X1281" s="62"/>
      <c r="Y1281" s="62"/>
      <c r="Z1281" s="86"/>
      <c r="AA1281" s="86"/>
      <c r="AB1281" s="86"/>
      <c r="AC1281" s="85"/>
      <c r="AD1281" s="85"/>
      <c r="AE1281" s="85"/>
      <c r="AF1281" s="62"/>
      <c r="AG1281" s="85"/>
      <c r="AH1281" s="85"/>
      <c r="AI1281" s="124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66"/>
      <c r="C1282" s="86"/>
      <c r="D1282" s="60"/>
      <c r="E1282" s="60"/>
      <c r="F1282" s="60"/>
      <c r="G1282" s="60"/>
      <c r="H1282" s="61"/>
      <c r="I1282" s="61"/>
      <c r="J1282" s="61"/>
      <c r="K1282" s="61"/>
      <c r="L1282" s="62"/>
      <c r="M1282" s="62"/>
      <c r="N1282" s="66"/>
      <c r="O1282" s="86"/>
      <c r="P1282" s="60"/>
      <c r="Q1282" s="60"/>
      <c r="R1282" s="60"/>
      <c r="S1282" s="60"/>
      <c r="T1282" s="61"/>
      <c r="U1282" s="61"/>
      <c r="V1282" s="61"/>
      <c r="W1282" s="61"/>
      <c r="X1282" s="62"/>
      <c r="Y1282" s="62"/>
      <c r="Z1282" s="66"/>
      <c r="AA1282" s="86"/>
      <c r="AB1282" s="60"/>
      <c r="AC1282" s="60"/>
      <c r="AD1282" s="60"/>
      <c r="AE1282" s="60"/>
      <c r="AF1282" s="61"/>
      <c r="AG1282" s="61"/>
      <c r="AH1282" s="61"/>
      <c r="AI1282" s="61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6"/>
      <c r="C1283" s="86"/>
      <c r="D1283" s="60"/>
      <c r="E1283" s="60"/>
      <c r="F1283" s="60"/>
      <c r="G1283" s="60"/>
      <c r="H1283" s="61"/>
      <c r="I1283" s="61"/>
      <c r="J1283" s="61"/>
      <c r="K1283" s="61"/>
      <c r="L1283" s="62"/>
      <c r="M1283" s="62"/>
      <c r="N1283" s="66"/>
      <c r="O1283" s="86"/>
      <c r="P1283" s="60"/>
      <c r="Q1283" s="60"/>
      <c r="R1283" s="60"/>
      <c r="S1283" s="60"/>
      <c r="T1283" s="61"/>
      <c r="U1283" s="61"/>
      <c r="V1283" s="61"/>
      <c r="W1283" s="61"/>
      <c r="X1283" s="62"/>
      <c r="Y1283" s="62"/>
      <c r="Z1283" s="66"/>
      <c r="AA1283" s="86"/>
      <c r="AB1283" s="60"/>
      <c r="AC1283" s="60"/>
      <c r="AD1283" s="60"/>
      <c r="AE1283" s="60"/>
      <c r="AF1283" s="61"/>
      <c r="AG1283" s="61"/>
      <c r="AH1283" s="61"/>
      <c r="AI1283" s="6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66"/>
      <c r="C1284" s="86"/>
      <c r="D1284" s="60"/>
      <c r="E1284" s="60"/>
      <c r="F1284" s="60"/>
      <c r="G1284" s="60"/>
      <c r="H1284" s="61"/>
      <c r="I1284" s="61"/>
      <c r="J1284" s="61"/>
      <c r="K1284" s="61"/>
      <c r="L1284" s="62"/>
      <c r="M1284" s="62"/>
      <c r="N1284" s="66"/>
      <c r="O1284" s="86"/>
      <c r="P1284" s="60"/>
      <c r="Q1284" s="60"/>
      <c r="R1284" s="60"/>
      <c r="S1284" s="60"/>
      <c r="T1284" s="61"/>
      <c r="U1284" s="61"/>
      <c r="V1284" s="61"/>
      <c r="W1284" s="61"/>
      <c r="X1284" s="62"/>
      <c r="Y1284" s="62"/>
      <c r="Z1284" s="66"/>
      <c r="AA1284" s="86"/>
      <c r="AB1284" s="60"/>
      <c r="AC1284" s="60"/>
      <c r="AD1284" s="60"/>
      <c r="AE1284" s="60"/>
      <c r="AF1284" s="61"/>
      <c r="AG1284" s="61"/>
      <c r="AH1284" s="61"/>
      <c r="AI1284" s="6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2"/>
      <c r="AC1285" s="60"/>
      <c r="AD1285" s="60"/>
      <c r="AE1285" s="60"/>
      <c r="AF1285" s="61"/>
      <c r="AG1285" s="62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2"/>
      <c r="Q1287" s="60"/>
      <c r="R1287" s="60"/>
      <c r="S1287" s="60"/>
      <c r="T1287" s="61"/>
      <c r="U1287" s="61"/>
      <c r="V1287" s="62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2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0"/>
      <c r="AC1288" s="60"/>
      <c r="AD1288" s="60"/>
      <c r="AE1288" s="60"/>
      <c r="AF1288" s="61"/>
      <c r="AG1288" s="61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2"/>
      <c r="AD1289" s="62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0"/>
      <c r="Q1290" s="60"/>
      <c r="R1290" s="60"/>
      <c r="S1290" s="60"/>
      <c r="T1290" s="61"/>
      <c r="U1290" s="61"/>
      <c r="V1290" s="61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2"/>
      <c r="AH1290" s="61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2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86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0"/>
      <c r="AD1292" s="60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2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1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2"/>
      <c r="J1294" s="61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65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60"/>
      <c r="E1295" s="86"/>
      <c r="F1295" s="86"/>
      <c r="G1295" s="60"/>
      <c r="H1295" s="61"/>
      <c r="I1295" s="61"/>
      <c r="J1295" s="62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1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1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86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65"/>
      <c r="D1298" s="60"/>
      <c r="E1298" s="60"/>
      <c r="F1298" s="60"/>
      <c r="G1298" s="60"/>
      <c r="H1298" s="61"/>
      <c r="I1298" s="61"/>
      <c r="J1298" s="61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86"/>
      <c r="D1301" s="86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2"/>
      <c r="I1302" s="62"/>
      <c r="J1302" s="62"/>
      <c r="K1302" s="61"/>
      <c r="L1302" s="62"/>
      <c r="M1302" s="62"/>
      <c r="N1302" s="66"/>
      <c r="O1302" s="86"/>
      <c r="P1302" s="67"/>
      <c r="Q1302" s="86"/>
      <c r="R1302" s="86"/>
      <c r="S1302" s="60"/>
      <c r="T1302" s="62"/>
      <c r="U1302" s="62"/>
      <c r="V1302" s="62"/>
      <c r="W1302" s="61"/>
      <c r="X1302" s="62"/>
      <c r="Y1302" s="62"/>
      <c r="Z1302" s="66"/>
      <c r="AA1302" s="62"/>
      <c r="AB1302" s="67"/>
      <c r="AC1302" s="86"/>
      <c r="AD1302" s="86"/>
      <c r="AE1302" s="60"/>
      <c r="AF1302" s="62"/>
      <c r="AG1302" s="62"/>
      <c r="AH1302" s="62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2"/>
      <c r="I1303" s="62"/>
      <c r="J1303" s="62"/>
      <c r="K1303" s="61"/>
      <c r="L1303" s="62"/>
      <c r="M1303" s="62"/>
      <c r="N1303" s="66"/>
      <c r="O1303" s="86"/>
      <c r="P1303" s="68"/>
      <c r="Q1303" s="86"/>
      <c r="R1303" s="86"/>
      <c r="S1303" s="60"/>
      <c r="T1303" s="62"/>
      <c r="U1303" s="62"/>
      <c r="V1303" s="62"/>
      <c r="W1303" s="61"/>
      <c r="X1303" s="62"/>
      <c r="Y1303" s="62"/>
      <c r="Z1303" s="66"/>
      <c r="AA1303" s="86"/>
      <c r="AB1303" s="68"/>
      <c r="AC1303" s="86"/>
      <c r="AD1303" s="86"/>
      <c r="AE1303" s="60"/>
      <c r="AF1303" s="62"/>
      <c r="AG1303" s="62"/>
      <c r="AH1303" s="62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60"/>
      <c r="E1304" s="60"/>
      <c r="F1304" s="60"/>
      <c r="G1304" s="60"/>
      <c r="H1304" s="62"/>
      <c r="I1304" s="62"/>
      <c r="J1304" s="61"/>
      <c r="K1304" s="61"/>
      <c r="L1304" s="62"/>
      <c r="M1304" s="62"/>
      <c r="N1304" s="66"/>
      <c r="O1304" s="65"/>
      <c r="P1304" s="69"/>
      <c r="Q1304" s="62"/>
      <c r="R1304" s="62"/>
      <c r="S1304" s="60"/>
      <c r="T1304" s="62"/>
      <c r="U1304" s="62"/>
      <c r="V1304" s="62"/>
      <c r="W1304" s="61"/>
      <c r="X1304" s="62"/>
      <c r="Y1304" s="62"/>
      <c r="Z1304" s="66"/>
      <c r="AA1304" s="86"/>
      <c r="AB1304" s="69"/>
      <c r="AC1304" s="62"/>
      <c r="AD1304" s="62"/>
      <c r="AE1304" s="60"/>
      <c r="AF1304" s="62"/>
      <c r="AG1304" s="62"/>
      <c r="AH1304" s="62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9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86"/>
      <c r="AB1305" s="69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9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9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2"/>
      <c r="K1307" s="61"/>
      <c r="L1307" s="62"/>
      <c r="M1307" s="62"/>
      <c r="N1307" s="66"/>
      <c r="O1307" s="86"/>
      <c r="P1307" s="69"/>
      <c r="Q1307" s="86"/>
      <c r="R1307" s="86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86"/>
      <c r="AD1307" s="86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62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86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62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62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6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86"/>
      <c r="O1323" s="86"/>
      <c r="P1323" s="86"/>
      <c r="Q1323" s="86"/>
      <c r="R1323" s="86"/>
      <c r="S1323" s="86"/>
      <c r="T1323" s="62"/>
      <c r="U1323" s="62"/>
      <c r="V1323" s="62"/>
      <c r="W1323" s="61"/>
      <c r="X1323" s="62"/>
      <c r="Y1323" s="62"/>
      <c r="Z1323" s="86"/>
      <c r="AA1323" s="86"/>
      <c r="AB1323" s="86"/>
      <c r="AC1323" s="86"/>
      <c r="AD1323" s="86"/>
      <c r="AE1323" s="86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86"/>
      <c r="C1324" s="86"/>
      <c r="D1324" s="86"/>
      <c r="E1324" s="86"/>
      <c r="F1324" s="86"/>
      <c r="G1324" s="86"/>
      <c r="H1324" s="62"/>
      <c r="I1324" s="62"/>
      <c r="J1324" s="62"/>
      <c r="K1324" s="62"/>
      <c r="L1324" s="62"/>
      <c r="M1324" s="62"/>
      <c r="N1324" s="86"/>
      <c r="O1324" s="86"/>
      <c r="P1324" s="86"/>
      <c r="Q1324" s="86"/>
      <c r="R1324" s="86"/>
      <c r="S1324" s="86"/>
      <c r="T1324" s="62"/>
      <c r="U1324" s="62"/>
      <c r="V1324" s="62"/>
      <c r="W1324" s="62"/>
      <c r="X1324" s="62"/>
      <c r="Y1324" s="62"/>
      <c r="Z1324" s="86"/>
      <c r="AA1324" s="86"/>
      <c r="AB1324" s="86"/>
      <c r="AC1324" s="86"/>
      <c r="AD1324" s="86"/>
      <c r="AE1324" s="86"/>
      <c r="AF1324" s="62"/>
      <c r="AG1324" s="62"/>
      <c r="AH1324" s="62"/>
      <c r="AI1324" s="62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86"/>
      <c r="C1325" s="86"/>
      <c r="D1325" s="70"/>
      <c r="E1325" s="70"/>
      <c r="F1325" s="70"/>
      <c r="G1325" s="70"/>
      <c r="H1325" s="63"/>
      <c r="I1325" s="70"/>
      <c r="J1325" s="70"/>
      <c r="K1325" s="70"/>
      <c r="L1325" s="62"/>
      <c r="M1325" s="62"/>
      <c r="N1325" s="86"/>
      <c r="O1325" s="86"/>
      <c r="P1325" s="70"/>
      <c r="Q1325" s="70"/>
      <c r="R1325" s="70"/>
      <c r="S1325" s="70"/>
      <c r="T1325" s="63"/>
      <c r="U1325" s="71"/>
      <c r="V1325" s="71"/>
      <c r="W1325" s="71"/>
      <c r="X1325" s="62"/>
      <c r="Y1325" s="62"/>
      <c r="Z1325" s="86"/>
      <c r="AA1325" s="86"/>
      <c r="AB1325" s="70"/>
      <c r="AC1325" s="70"/>
      <c r="AD1325" s="70"/>
      <c r="AE1325" s="74"/>
      <c r="AF1325" s="63"/>
      <c r="AG1325" s="71"/>
      <c r="AH1325" s="71"/>
      <c r="AI1325" s="7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2"/>
      <c r="C1326" s="62"/>
      <c r="D1326" s="62"/>
      <c r="E1326" s="62"/>
      <c r="F1326" s="62"/>
      <c r="G1326" s="62"/>
      <c r="H1326" s="62"/>
      <c r="I1326" s="62"/>
      <c r="J1326" s="62"/>
      <c r="K1326" s="62"/>
      <c r="L1326" s="62"/>
      <c r="M1326" s="62"/>
      <c r="N1326" s="62"/>
      <c r="O1326" s="62"/>
      <c r="P1326" s="62"/>
      <c r="Q1326" s="62"/>
      <c r="R1326" s="62"/>
      <c r="S1326" s="62"/>
      <c r="T1326" s="62"/>
      <c r="U1326" s="62"/>
      <c r="V1326" s="62"/>
      <c r="W1326" s="62"/>
      <c r="X1326" s="62"/>
      <c r="Y1326" s="62"/>
      <c r="Z1326" s="62"/>
      <c r="AA1326" s="62"/>
      <c r="AB1326" s="62"/>
      <c r="AC1326" s="62"/>
      <c r="AD1326" s="62"/>
      <c r="AE1326" s="62"/>
      <c r="AF1326" s="62"/>
      <c r="AG1326" s="62"/>
      <c r="AH1326" s="62"/>
      <c r="AI1326" s="62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62"/>
      <c r="O1327" s="62"/>
      <c r="P1327" s="62"/>
      <c r="Q1327" s="62"/>
      <c r="R1327" s="62"/>
      <c r="S1327" s="62"/>
      <c r="T1327" s="62"/>
      <c r="U1327" s="62"/>
      <c r="V1327" s="62"/>
      <c r="W1327" s="62"/>
      <c r="X1327" s="62"/>
      <c r="Y1327" s="62"/>
      <c r="Z1327" s="62"/>
      <c r="AA1327" s="62"/>
      <c r="AB1327" s="62"/>
      <c r="AC1327" s="62"/>
      <c r="AD1327" s="62"/>
      <c r="AE1327" s="62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86"/>
      <c r="E1328" s="86"/>
      <c r="F1328" s="86"/>
      <c r="G1328" s="86"/>
      <c r="H1328" s="62"/>
      <c r="I1328" s="62"/>
      <c r="J1328" s="62"/>
      <c r="K1328" s="62"/>
      <c r="L1328" s="62"/>
      <c r="M1328" s="62"/>
      <c r="N1328" s="62"/>
      <c r="O1328" s="62"/>
      <c r="P1328" s="62"/>
      <c r="Q1328" s="62"/>
      <c r="R1328" s="62"/>
      <c r="S1328" s="62"/>
      <c r="T1328" s="62"/>
      <c r="U1328" s="62"/>
      <c r="V1328" s="62"/>
      <c r="W1328" s="62"/>
      <c r="X1328" s="62"/>
      <c r="Y1328" s="62"/>
      <c r="Z1328" s="62"/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86"/>
      <c r="C1329" s="86"/>
      <c r="D1329" s="86"/>
      <c r="E1329" s="86"/>
      <c r="F1329" s="86"/>
      <c r="G1329" s="86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</sheetData>
  <mergeCells count="225">
    <mergeCell ref="AI890:AI891"/>
    <mergeCell ref="W725:W726"/>
    <mergeCell ref="U725:V725"/>
    <mergeCell ref="P725:Q725"/>
    <mergeCell ref="AI725:AI726"/>
    <mergeCell ref="AG725:AH725"/>
    <mergeCell ref="AB725:AC725"/>
    <mergeCell ref="P835:Q835"/>
    <mergeCell ref="U835:V835"/>
    <mergeCell ref="W835:W836"/>
    <mergeCell ref="AB835:AC835"/>
    <mergeCell ref="AG835:AH835"/>
    <mergeCell ref="AI835:AI836"/>
    <mergeCell ref="D670:E670"/>
    <mergeCell ref="U670:V670"/>
    <mergeCell ref="P670:Q670"/>
    <mergeCell ref="W670:W671"/>
    <mergeCell ref="K725:K726"/>
    <mergeCell ref="I725:J725"/>
    <mergeCell ref="D725:E725"/>
    <mergeCell ref="AU943:AU944"/>
    <mergeCell ref="AS943:AT943"/>
    <mergeCell ref="AN943:AO943"/>
    <mergeCell ref="D835:E835"/>
    <mergeCell ref="I835:J835"/>
    <mergeCell ref="K835:K836"/>
    <mergeCell ref="AB780:AC780"/>
    <mergeCell ref="AG780:AH780"/>
    <mergeCell ref="AI780:AI781"/>
    <mergeCell ref="D890:E890"/>
    <mergeCell ref="I890:J890"/>
    <mergeCell ref="K890:K891"/>
    <mergeCell ref="P890:Q890"/>
    <mergeCell ref="U890:V890"/>
    <mergeCell ref="W890:W891"/>
    <mergeCell ref="AB890:AC890"/>
    <mergeCell ref="AG890:AH890"/>
    <mergeCell ref="U615:V615"/>
    <mergeCell ref="P615:Q615"/>
    <mergeCell ref="AI615:AI616"/>
    <mergeCell ref="AG615:AH615"/>
    <mergeCell ref="AB615:AC615"/>
    <mergeCell ref="K450:K451"/>
    <mergeCell ref="AB560:AC560"/>
    <mergeCell ref="AG560:AH560"/>
    <mergeCell ref="AI560:AI561"/>
    <mergeCell ref="AI504:AI505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0:K1281"/>
    <mergeCell ref="I1280:J1280"/>
    <mergeCell ref="D1280:E1280"/>
    <mergeCell ref="W1280:W1281"/>
    <mergeCell ref="U1280:V1280"/>
    <mergeCell ref="P1280:Q1280"/>
    <mergeCell ref="U120:V120"/>
    <mergeCell ref="U340:V340"/>
    <mergeCell ref="D1107:E1107"/>
    <mergeCell ref="W1107:W1108"/>
    <mergeCell ref="U1107:V1107"/>
    <mergeCell ref="P1107:Q1107"/>
    <mergeCell ref="K1218:K1219"/>
    <mergeCell ref="I1218:J1218"/>
    <mergeCell ref="D1218:E1218"/>
    <mergeCell ref="K1162:K1163"/>
    <mergeCell ref="I1162:J1162"/>
    <mergeCell ref="D1162:E1162"/>
    <mergeCell ref="K1107:K1108"/>
    <mergeCell ref="I1107:J1107"/>
    <mergeCell ref="K1052:K1053"/>
    <mergeCell ref="I1052:J1052"/>
    <mergeCell ref="D1052:E1052"/>
    <mergeCell ref="K615:K616"/>
    <mergeCell ref="W1162:W1163"/>
    <mergeCell ref="U1162:V1162"/>
    <mergeCell ref="P1162:Q1162"/>
    <mergeCell ref="AI1162:AI1163"/>
    <mergeCell ref="AG1162:AH1162"/>
    <mergeCell ref="AB1162:AC1162"/>
    <mergeCell ref="AI1107:AI1108"/>
    <mergeCell ref="AG1107:AH1107"/>
    <mergeCell ref="AB1107:AC1107"/>
    <mergeCell ref="AI1280:AI1281"/>
    <mergeCell ref="AG1280:AH1280"/>
    <mergeCell ref="AB1280:AC1280"/>
    <mergeCell ref="W1218:W1219"/>
    <mergeCell ref="U1218:V1218"/>
    <mergeCell ref="P1218:Q1218"/>
    <mergeCell ref="AI1218:AI1219"/>
    <mergeCell ref="AG1218:AH1218"/>
    <mergeCell ref="AB1218:AC1218"/>
    <mergeCell ref="I450:J450"/>
    <mergeCell ref="D395:E395"/>
    <mergeCell ref="W340:W341"/>
    <mergeCell ref="I340:J340"/>
    <mergeCell ref="D340:E340"/>
    <mergeCell ref="D780:E780"/>
    <mergeCell ref="I780:J780"/>
    <mergeCell ref="K780:K781"/>
    <mergeCell ref="P780:Q780"/>
    <mergeCell ref="U780:V780"/>
    <mergeCell ref="W780:W781"/>
    <mergeCell ref="W450:W451"/>
    <mergeCell ref="D560:E560"/>
    <mergeCell ref="I560:J560"/>
    <mergeCell ref="K560:K561"/>
    <mergeCell ref="K340:K341"/>
    <mergeCell ref="D450:E450"/>
    <mergeCell ref="K670:K671"/>
    <mergeCell ref="I670:J670"/>
    <mergeCell ref="I615:J615"/>
    <mergeCell ref="D615:E615"/>
    <mergeCell ref="D505:E505"/>
    <mergeCell ref="I505:J505"/>
    <mergeCell ref="K505:K506"/>
    <mergeCell ref="P285:Q285"/>
    <mergeCell ref="I285:J285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AI120:AI121"/>
    <mergeCell ref="AG120:AH120"/>
    <mergeCell ref="AB120:AC120"/>
    <mergeCell ref="P120:Q120"/>
    <mergeCell ref="K120:K121"/>
    <mergeCell ref="I120:J120"/>
    <mergeCell ref="W120:W121"/>
    <mergeCell ref="D285:E285"/>
    <mergeCell ref="W230:W231"/>
    <mergeCell ref="K230:K231"/>
    <mergeCell ref="I230:J230"/>
    <mergeCell ref="D230:E230"/>
    <mergeCell ref="AI670:AI671"/>
    <mergeCell ref="AG670:AH670"/>
    <mergeCell ref="AB670:AC670"/>
    <mergeCell ref="AG340:AH340"/>
    <mergeCell ref="AB340:AC340"/>
    <mergeCell ref="AB395:AC395"/>
    <mergeCell ref="AG504:AH504"/>
    <mergeCell ref="AB504:AC504"/>
    <mergeCell ref="P340:Q340"/>
    <mergeCell ref="W395:W396"/>
    <mergeCell ref="U395:V395"/>
    <mergeCell ref="P395:Q395"/>
    <mergeCell ref="U450:V450"/>
    <mergeCell ref="P450:Q450"/>
    <mergeCell ref="W505:W506"/>
    <mergeCell ref="P560:Q560"/>
    <mergeCell ref="U560:V560"/>
    <mergeCell ref="W560:W561"/>
    <mergeCell ref="AI450:AI451"/>
    <mergeCell ref="AG450:AH450"/>
    <mergeCell ref="AB450:AC450"/>
    <mergeCell ref="P505:Q505"/>
    <mergeCell ref="U505:V505"/>
    <mergeCell ref="W615:W616"/>
    <mergeCell ref="D945:E945"/>
    <mergeCell ref="I945:J945"/>
    <mergeCell ref="K945:K946"/>
    <mergeCell ref="P945:Q945"/>
    <mergeCell ref="U945:V945"/>
    <mergeCell ref="W945:W946"/>
    <mergeCell ref="AB945:AC945"/>
    <mergeCell ref="AG945:AH945"/>
    <mergeCell ref="AI945:AI946"/>
    <mergeCell ref="P1055:Q1055"/>
    <mergeCell ref="U1055:V1055"/>
    <mergeCell ref="W1055:W1056"/>
    <mergeCell ref="AB1055:AC1055"/>
    <mergeCell ref="AG1055:AH1055"/>
    <mergeCell ref="AI1055:AI1056"/>
    <mergeCell ref="D1000:E1000"/>
    <mergeCell ref="I1000:J1000"/>
    <mergeCell ref="K1000:K1001"/>
    <mergeCell ref="P1000:Q1000"/>
    <mergeCell ref="U1000:V1000"/>
    <mergeCell ref="W1000:W1001"/>
    <mergeCell ref="AB1000:AC1000"/>
    <mergeCell ref="AG1000:AH1000"/>
    <mergeCell ref="AI1000:AI1001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JUNE</vt:lpstr>
      <vt:lpstr>DSIS | JUNE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2026-06-27T03:30:32Z</dcterms:modified>
</cp:coreProperties>
</file>