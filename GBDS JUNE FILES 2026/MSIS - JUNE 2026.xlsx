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DA9EDC8-8E8F-4D7E-B2BC-96DB2ABEEFE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059" i="2" l="1"/>
  <c r="AB1059" i="2"/>
  <c r="AB1058" i="2"/>
  <c r="AH1057" i="2"/>
  <c r="AH1100" i="2" l="1"/>
  <c r="AG1100" i="2"/>
  <c r="AB1057" i="2"/>
  <c r="AB1100" i="2" s="1"/>
  <c r="AD1100" i="2"/>
  <c r="AC1100" i="2"/>
  <c r="AI1098" i="2"/>
  <c r="AE1097" i="2"/>
  <c r="AI1097" i="2" s="1"/>
  <c r="AI1096" i="2"/>
  <c r="AI1095" i="2"/>
  <c r="AE1095" i="2"/>
  <c r="AI1094" i="2"/>
  <c r="AE1094" i="2"/>
  <c r="AI1093" i="2"/>
  <c r="AE1093" i="2"/>
  <c r="AE1092" i="2"/>
  <c r="AI1092" i="2" s="1"/>
  <c r="AE1091" i="2"/>
  <c r="AI1091" i="2" s="1"/>
  <c r="AE1090" i="2"/>
  <c r="AI1090" i="2" s="1"/>
  <c r="AI1089" i="2"/>
  <c r="AE1089" i="2"/>
  <c r="AE1088" i="2"/>
  <c r="AI1088" i="2" s="1"/>
  <c r="AI1087" i="2"/>
  <c r="AE1087" i="2"/>
  <c r="AI1086" i="2"/>
  <c r="AE1086" i="2"/>
  <c r="AI1085" i="2"/>
  <c r="AE1085" i="2"/>
  <c r="AE1084" i="2"/>
  <c r="AI1084" i="2" s="1"/>
  <c r="AE1083" i="2"/>
  <c r="AI1083" i="2" s="1"/>
  <c r="AE1082" i="2"/>
  <c r="AI1082" i="2" s="1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E1075" i="2"/>
  <c r="AI1075" i="2" s="1"/>
  <c r="AE1074" i="2"/>
  <c r="AI1074" i="2" s="1"/>
  <c r="AI1073" i="2"/>
  <c r="AE1073" i="2"/>
  <c r="AE1072" i="2"/>
  <c r="AI1072" i="2" s="1"/>
  <c r="AI1071" i="2"/>
  <c r="AE1071" i="2"/>
  <c r="AI1070" i="2"/>
  <c r="AE1070" i="2"/>
  <c r="AI1069" i="2"/>
  <c r="AE1069" i="2"/>
  <c r="AE1068" i="2"/>
  <c r="AI1068" i="2" s="1"/>
  <c r="AE1067" i="2"/>
  <c r="AI1067" i="2" s="1"/>
  <c r="AE1066" i="2"/>
  <c r="AI1066" i="2" s="1"/>
  <c r="AI1065" i="2"/>
  <c r="AE1065" i="2"/>
  <c r="AE1064" i="2"/>
  <c r="AI1064" i="2" s="1"/>
  <c r="AE1063" i="2"/>
  <c r="AI1063" i="2" s="1"/>
  <c r="AE1062" i="2"/>
  <c r="AI1062" i="2" s="1"/>
  <c r="AE1061" i="2"/>
  <c r="AI1061" i="2" s="1"/>
  <c r="AE1060" i="2"/>
  <c r="AI1060" i="2" s="1"/>
  <c r="AE1059" i="2"/>
  <c r="AI1059" i="2" s="1"/>
  <c r="AE1058" i="2"/>
  <c r="AI1058" i="2" s="1"/>
  <c r="AA1058" i="2"/>
  <c r="AA1059" i="2" s="1"/>
  <c r="U1061" i="2"/>
  <c r="P1061" i="2"/>
  <c r="P1060" i="2"/>
  <c r="S1060" i="2" s="1"/>
  <c r="W1060" i="2" s="1"/>
  <c r="V1059" i="2"/>
  <c r="U1059" i="2"/>
  <c r="P1059" i="2"/>
  <c r="Q1059" i="2"/>
  <c r="Q1100" i="2" s="1"/>
  <c r="U1058" i="2"/>
  <c r="Q1058" i="2"/>
  <c r="P1058" i="2"/>
  <c r="S1058" i="2" s="1"/>
  <c r="W1058" i="2" s="1"/>
  <c r="V1057" i="2"/>
  <c r="P1057" i="2"/>
  <c r="S1057" i="2" s="1"/>
  <c r="R1100" i="2"/>
  <c r="W1098" i="2"/>
  <c r="S1097" i="2"/>
  <c r="W1097" i="2" s="1"/>
  <c r="W1096" i="2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S1075" i="2"/>
  <c r="W1075" i="2" s="1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S1066" i="2"/>
  <c r="W1066" i="2" s="1"/>
  <c r="S1065" i="2"/>
  <c r="W1065" i="2" s="1"/>
  <c r="S1063" i="2"/>
  <c r="W1063" i="2" s="1"/>
  <c r="S1062" i="2"/>
  <c r="W1062" i="2" s="1"/>
  <c r="S1061" i="2"/>
  <c r="W1061" i="2" s="1"/>
  <c r="O1058" i="2"/>
  <c r="O1059" i="2" s="1"/>
  <c r="O1060" i="2" s="1"/>
  <c r="O1061" i="2" s="1"/>
  <c r="AE1057" i="2" l="1"/>
  <c r="AE1100" i="2" s="1"/>
  <c r="U1100" i="2"/>
  <c r="S1064" i="2"/>
  <c r="W1064" i="2" s="1"/>
  <c r="V1100" i="2"/>
  <c r="P1100" i="2"/>
  <c r="W1057" i="2"/>
  <c r="S1059" i="2"/>
  <c r="W1059" i="2" s="1"/>
  <c r="V1009" i="2"/>
  <c r="U1009" i="2"/>
  <c r="P1009" i="2"/>
  <c r="Q1009" i="2"/>
  <c r="AI1057" i="2" l="1"/>
  <c r="AI1100" i="2" s="1"/>
  <c r="W1100" i="2"/>
  <c r="S1100" i="2"/>
  <c r="AB1009" i="2"/>
  <c r="AB1008" i="2"/>
  <c r="AB1007" i="2"/>
  <c r="AG1006" i="2"/>
  <c r="AC1006" i="2"/>
  <c r="AB1006" i="2"/>
  <c r="AE1006" i="2" s="1"/>
  <c r="AG1005" i="2"/>
  <c r="AB1005" i="2"/>
  <c r="AE1005" i="2"/>
  <c r="AG1004" i="2"/>
  <c r="AB1004" i="2"/>
  <c r="AB1003" i="2"/>
  <c r="AE1003" i="2" s="1"/>
  <c r="AI1003" i="2" s="1"/>
  <c r="AH1002" i="2"/>
  <c r="AH1045" i="2" s="1"/>
  <c r="AB1002" i="2"/>
  <c r="AE1002" i="2" s="1"/>
  <c r="AD1045" i="2"/>
  <c r="AI1043" i="2"/>
  <c r="AE1042" i="2"/>
  <c r="AI1042" i="2" s="1"/>
  <c r="AI1041" i="2"/>
  <c r="AE1040" i="2"/>
  <c r="AI1040" i="2" s="1"/>
  <c r="AE1039" i="2"/>
  <c r="AI1039" i="2" s="1"/>
  <c r="AE1038" i="2"/>
  <c r="AI1038" i="2" s="1"/>
  <c r="AE1037" i="2"/>
  <c r="AI1037" i="2" s="1"/>
  <c r="AE1036" i="2"/>
  <c r="AI1036" i="2" s="1"/>
  <c r="AE1035" i="2"/>
  <c r="AI1035" i="2" s="1"/>
  <c r="AE1034" i="2"/>
  <c r="AI1034" i="2" s="1"/>
  <c r="AE1033" i="2"/>
  <c r="AI1033" i="2" s="1"/>
  <c r="AE1032" i="2"/>
  <c r="AI1032" i="2" s="1"/>
  <c r="AI1031" i="2"/>
  <c r="AE1031" i="2"/>
  <c r="AE1030" i="2"/>
  <c r="AI1030" i="2" s="1"/>
  <c r="AE1029" i="2"/>
  <c r="AI1029" i="2" s="1"/>
  <c r="AE1028" i="2"/>
  <c r="AI1028" i="2" s="1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E1021" i="2"/>
  <c r="AI1021" i="2" s="1"/>
  <c r="AE1020" i="2"/>
  <c r="AI1020" i="2" s="1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E1013" i="2"/>
  <c r="AI1013" i="2" s="1"/>
  <c r="AE1012" i="2"/>
  <c r="AI1012" i="2" s="1"/>
  <c r="AE1011" i="2"/>
  <c r="AI1011" i="2" s="1"/>
  <c r="AE1010" i="2"/>
  <c r="AI1010" i="2" s="1"/>
  <c r="AE1009" i="2"/>
  <c r="AI1009" i="2" s="1"/>
  <c r="AE1008" i="2"/>
  <c r="AI1008" i="2" s="1"/>
  <c r="AE1007" i="2"/>
  <c r="AI1007" i="2" s="1"/>
  <c r="AE1004" i="2"/>
  <c r="AC1045" i="2"/>
  <c r="AA1003" i="2"/>
  <c r="AA1004" i="2" s="1"/>
  <c r="AA1005" i="2" s="1"/>
  <c r="AA1006" i="2" s="1"/>
  <c r="AA1007" i="2" s="1"/>
  <c r="AA1008" i="2" s="1"/>
  <c r="AA1009" i="2" s="1"/>
  <c r="U1008" i="2"/>
  <c r="P1008" i="2"/>
  <c r="P1007" i="2"/>
  <c r="S1007" i="2" s="1"/>
  <c r="W1007" i="2" s="1"/>
  <c r="U1006" i="2"/>
  <c r="P1006" i="2"/>
  <c r="S1006" i="2" s="1"/>
  <c r="W1006" i="2" s="1"/>
  <c r="V1005" i="2"/>
  <c r="V1045" i="2" s="1"/>
  <c r="P1005" i="2"/>
  <c r="S1005" i="2" s="1"/>
  <c r="W1005" i="2" s="1"/>
  <c r="U1004" i="2"/>
  <c r="P1004" i="2"/>
  <c r="S1004" i="2" s="1"/>
  <c r="P1003" i="2"/>
  <c r="S1003" i="2" s="1"/>
  <c r="W1003" i="2" s="1"/>
  <c r="P1002" i="2"/>
  <c r="O1006" i="2"/>
  <c r="O1007" i="2" s="1"/>
  <c r="O1008" i="2" s="1"/>
  <c r="O1009" i="2" s="1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S1035" i="2"/>
  <c r="W1035" i="2" s="1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S1027" i="2"/>
  <c r="W1027" i="2" s="1"/>
  <c r="S1026" i="2"/>
  <c r="W1026" i="2" s="1"/>
  <c r="S1025" i="2"/>
  <c r="W1025" i="2" s="1"/>
  <c r="S1024" i="2"/>
  <c r="W1024" i="2" s="1"/>
  <c r="S1023" i="2"/>
  <c r="W1023" i="2" s="1"/>
  <c r="S1022" i="2"/>
  <c r="W1022" i="2" s="1"/>
  <c r="S1021" i="2"/>
  <c r="W1021" i="2" s="1"/>
  <c r="S1020" i="2"/>
  <c r="W1020" i="2" s="1"/>
  <c r="S1019" i="2"/>
  <c r="W1019" i="2" s="1"/>
  <c r="S1018" i="2"/>
  <c r="W1018" i="2" s="1"/>
  <c r="S1017" i="2"/>
  <c r="W1017" i="2" s="1"/>
  <c r="S1016" i="2"/>
  <c r="W1016" i="2" s="1"/>
  <c r="S1015" i="2"/>
  <c r="W1015" i="2" s="1"/>
  <c r="W1014" i="2"/>
  <c r="S1014" i="2"/>
  <c r="W1013" i="2"/>
  <c r="S1013" i="2"/>
  <c r="S1012" i="2"/>
  <c r="W1012" i="2" s="1"/>
  <c r="S1011" i="2"/>
  <c r="W1011" i="2" s="1"/>
  <c r="S1010" i="2"/>
  <c r="W1010" i="2" s="1"/>
  <c r="S1009" i="2"/>
  <c r="W1009" i="2" s="1"/>
  <c r="S1008" i="2"/>
  <c r="W1008" i="2" s="1"/>
  <c r="Q1045" i="2"/>
  <c r="O1003" i="2"/>
  <c r="O1004" i="2" s="1"/>
  <c r="O1005" i="2" s="1"/>
  <c r="S1002" i="2"/>
  <c r="D1008" i="2"/>
  <c r="G1008" i="2" s="1"/>
  <c r="K1008" i="2" s="1"/>
  <c r="D1007" i="2"/>
  <c r="G1007" i="2" s="1"/>
  <c r="K1007" i="2" s="1"/>
  <c r="D1006" i="2"/>
  <c r="G1006" i="2" s="1"/>
  <c r="K1006" i="2" s="1"/>
  <c r="D1005" i="2"/>
  <c r="G1005" i="2" s="1"/>
  <c r="K1005" i="2" s="1"/>
  <c r="J1004" i="2"/>
  <c r="D1004" i="2"/>
  <c r="G1004" i="2" s="1"/>
  <c r="K1004" i="2" s="1"/>
  <c r="J1003" i="2"/>
  <c r="D1003" i="2"/>
  <c r="G1003" i="2" s="1"/>
  <c r="J1002" i="2"/>
  <c r="I1002" i="2"/>
  <c r="I1045" i="2" s="1"/>
  <c r="D1002" i="2"/>
  <c r="G1002" i="2" s="1"/>
  <c r="F1045" i="2"/>
  <c r="E1045" i="2"/>
  <c r="G1042" i="2"/>
  <c r="K1042" i="2" s="1"/>
  <c r="K1035" i="2"/>
  <c r="G1035" i="2"/>
  <c r="G1034" i="2"/>
  <c r="K1034" i="2" s="1"/>
  <c r="G1033" i="2"/>
  <c r="K1033" i="2" s="1"/>
  <c r="G1032" i="2"/>
  <c r="K1032" i="2" s="1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G1024" i="2"/>
  <c r="K1024" i="2" s="1"/>
  <c r="G1023" i="2"/>
  <c r="K1023" i="2" s="1"/>
  <c r="G1022" i="2"/>
  <c r="K1022" i="2" s="1"/>
  <c r="G1021" i="2"/>
  <c r="K1021" i="2" s="1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C1003" i="2"/>
  <c r="C1004" i="2" s="1"/>
  <c r="C1005" i="2" s="1"/>
  <c r="C1006" i="2" s="1"/>
  <c r="C1007" i="2" s="1"/>
  <c r="C1008" i="2" s="1"/>
  <c r="AI1006" i="2" l="1"/>
  <c r="AI1005" i="2"/>
  <c r="AG1045" i="2"/>
  <c r="AI1004" i="2"/>
  <c r="AE1045" i="2"/>
  <c r="AI1002" i="2"/>
  <c r="AB1045" i="2"/>
  <c r="U1045" i="2"/>
  <c r="W1004" i="2"/>
  <c r="S1045" i="2"/>
  <c r="W1002" i="2"/>
  <c r="W1045" i="2" s="1"/>
  <c r="P1045" i="2"/>
  <c r="K1003" i="2"/>
  <c r="J1045" i="2"/>
  <c r="K1002" i="2"/>
  <c r="K1045" i="2" s="1"/>
  <c r="G1045" i="2"/>
  <c r="D1045" i="2"/>
  <c r="I947" i="2"/>
  <c r="AI1045" i="2" l="1"/>
  <c r="AB957" i="2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G949" i="2"/>
  <c r="AB949" i="2"/>
  <c r="AG948" i="2"/>
  <c r="AC948" i="2"/>
  <c r="AB948" i="2"/>
  <c r="AG947" i="2"/>
  <c r="AH947" i="2"/>
  <c r="AB947" i="2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E975" i="2"/>
  <c r="AI975" i="2" s="1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E962" i="2"/>
  <c r="AI962" i="2" s="1"/>
  <c r="AE961" i="2"/>
  <c r="AI961" i="2" s="1"/>
  <c r="AE960" i="2"/>
  <c r="AI960" i="2" s="1"/>
  <c r="AE959" i="2"/>
  <c r="AI959" i="2" s="1"/>
  <c r="AE958" i="2"/>
  <c r="AI958" i="2" s="1"/>
  <c r="AE949" i="2"/>
  <c r="AA948" i="2"/>
  <c r="AA949" i="2" s="1"/>
  <c r="AA950" i="2" s="1"/>
  <c r="AA951" i="2" s="1"/>
  <c r="AA952" i="2" s="1"/>
  <c r="AA953" i="2" s="1"/>
  <c r="AA954" i="2" s="1"/>
  <c r="AA955" i="2" s="1"/>
  <c r="AA956" i="2" s="1"/>
  <c r="AA957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S983" i="2"/>
  <c r="W983" i="2" s="1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S975" i="2"/>
  <c r="W975" i="2" s="1"/>
  <c r="S974" i="2"/>
  <c r="W974" i="2" s="1"/>
  <c r="S973" i="2"/>
  <c r="W973" i="2" s="1"/>
  <c r="S972" i="2"/>
  <c r="W972" i="2" s="1"/>
  <c r="S971" i="2"/>
  <c r="W971" i="2" s="1"/>
  <c r="S970" i="2"/>
  <c r="W970" i="2" s="1"/>
  <c r="S969" i="2"/>
  <c r="W969" i="2" s="1"/>
  <c r="S968" i="2"/>
  <c r="W968" i="2" s="1"/>
  <c r="S967" i="2"/>
  <c r="W967" i="2" s="1"/>
  <c r="S966" i="2"/>
  <c r="W966" i="2" s="1"/>
  <c r="S965" i="2"/>
  <c r="W965" i="2" s="1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G958" i="2"/>
  <c r="K958" i="2" s="1"/>
  <c r="G957" i="2"/>
  <c r="K957" i="2" s="1"/>
  <c r="G951" i="2"/>
  <c r="K951" i="2" s="1"/>
  <c r="G949" i="2"/>
  <c r="K949" i="2" s="1"/>
  <c r="C948" i="2"/>
  <c r="C949" i="2" s="1"/>
  <c r="C950" i="2" s="1"/>
  <c r="C951" i="2" s="1"/>
  <c r="C952" i="2" s="1"/>
  <c r="C953" i="2" s="1"/>
  <c r="C954" i="2" s="1"/>
  <c r="C955" i="2" s="1"/>
  <c r="C956" i="2" s="1"/>
  <c r="E990" i="2"/>
  <c r="AI949" i="2" l="1"/>
  <c r="AI950" i="2"/>
  <c r="AI954" i="2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B896" i="2"/>
  <c r="AE896" i="2" s="1"/>
  <c r="AI896" i="2" s="1"/>
  <c r="AG895" i="2"/>
  <c r="AB895" i="2"/>
  <c r="AG894" i="2"/>
  <c r="AC894" i="2"/>
  <c r="AB894" i="2"/>
  <c r="AG893" i="2"/>
  <c r="AC893" i="2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E928" i="2"/>
  <c r="AI928" i="2" s="1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E920" i="2"/>
  <c r="AI920" i="2" s="1"/>
  <c r="AE919" i="2"/>
  <c r="AI919" i="2" s="1"/>
  <c r="AE918" i="2"/>
  <c r="AI918" i="2" s="1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E910" i="2"/>
  <c r="AI910" i="2" s="1"/>
  <c r="AE909" i="2"/>
  <c r="AI909" i="2" s="1"/>
  <c r="AE908" i="2"/>
  <c r="AI908" i="2" s="1"/>
  <c r="AE907" i="2"/>
  <c r="AI907" i="2" s="1"/>
  <c r="AE906" i="2"/>
  <c r="AI906" i="2" s="1"/>
  <c r="AE905" i="2"/>
  <c r="AI905" i="2" s="1"/>
  <c r="AE904" i="2"/>
  <c r="AI904" i="2" s="1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S897" i="2" s="1"/>
  <c r="W897" i="2" s="1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S892" i="2" s="1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O893" i="2"/>
  <c r="O894" i="2" s="1"/>
  <c r="O895" i="2" s="1"/>
  <c r="O896" i="2" s="1"/>
  <c r="O897" i="2" s="1"/>
  <c r="O898" i="2" s="1"/>
  <c r="J896" i="2"/>
  <c r="J935" i="2" s="1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G904" i="2"/>
  <c r="K904" i="2" s="1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C896" i="2" s="1"/>
  <c r="AE893" i="2" l="1"/>
  <c r="AI897" i="2"/>
  <c r="AI947" i="2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P935" i="2"/>
  <c r="I935" i="2"/>
  <c r="K893" i="2"/>
  <c r="G892" i="2"/>
  <c r="G935" i="2"/>
  <c r="K892" i="2"/>
  <c r="D935" i="2"/>
  <c r="AH825" i="2"/>
  <c r="AD825" i="2"/>
  <c r="V825" i="2"/>
  <c r="R825" i="2"/>
  <c r="W935" i="2" l="1"/>
  <c r="K935" i="2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E841" i="2" s="1"/>
  <c r="AI841" i="2" s="1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I385" i="2" l="1"/>
  <c r="K348" i="2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 s="1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35" authorId="0" shapeId="0" xr:uid="{CD2F5B81-386E-4CAC-82DB-CD1035CB4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892" authorId="0" shapeId="0" xr:uid="{3F4E4662-6246-4296-A766-7D8FA3727F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
</t>
        </r>
      </text>
    </comment>
    <comment ref="O892" authorId="0" shapeId="0" xr:uid="{408128D0-F52B-4902-9FBF-725B3FC4A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892" authorId="0" shapeId="0" xr:uid="{E659DE0B-E0A2-4FF7-ADA2-35F891170C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PASCON STORE</t>
        </r>
      </text>
    </comment>
    <comment ref="C893" authorId="0" shapeId="0" xr:uid="{423908CB-C18E-40D5-9591-37C9505CF1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CRISTYL</t>
        </r>
      </text>
    </comment>
    <comment ref="O893" authorId="0" shapeId="0" xr:uid="{22CC3C84-A336-40EA-B7DF-50E440771A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893" authorId="0" shapeId="0" xr:uid="{98D11D5E-E379-4C01-A62E-C8C5B52BD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894" authorId="0" shapeId="0" xr:uid="{C7F71FE3-F809-4ECF-881F-DB55B634A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OMOYAN
</t>
        </r>
      </text>
    </comment>
    <comment ref="O894" authorId="0" shapeId="0" xr:uid="{28FE9403-7FA2-409E-8CDC-2C6FCC27B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
BRGY. INUMAN
</t>
        </r>
      </text>
    </comment>
    <comment ref="AA894" authorId="0" shapeId="0" xr:uid="{AED4AB10-158C-4EF6-B692-36733BD70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895" authorId="0" shapeId="0" xr:uid="{F7ED485C-6E3B-416F-A2DB-29A217C17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</t>
        </r>
      </text>
    </comment>
    <comment ref="O895" authorId="0" shapeId="0" xr:uid="{2E2A3588-BAA6-40D7-9F8E-F449C1F4B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895" authorId="0" shapeId="0" xr:uid="{D8140DAD-9FCC-4F90-923F-229789E44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C896" authorId="0" shapeId="0" xr:uid="{2EE2C591-C9F8-49F6-BDD5-FA6D3ADDE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G-FOOD CORNER</t>
        </r>
      </text>
    </comment>
    <comment ref="O896" authorId="0" shapeId="0" xr:uid="{86872AD1-732F-41D8-8E14-292B01369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896" authorId="0" shapeId="0" xr:uid="{AC6D6518-A36B-47C1-BD2C-5EDEBBA61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O897" authorId="0" shapeId="0" xr:uid="{75E139C1-F844-4109-B282-B84AF045A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897" authorId="0" shapeId="0" xr:uid="{D1B75749-8EA9-4C4A-BDC1-F2B1C5ADA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O898" authorId="0" shapeId="0" xr:uid="{7537DBD8-2A3C-4D2C-9B14-005CCD311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79A42EF2-5D73-4006-9152-A68463789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POB. SINDANGAN</t>
        </r>
      </text>
    </comment>
    <comment ref="O1002" authorId="0" shapeId="0" xr:uid="{FA4BB93B-BC36-4D4D-823A-FA5C95BAA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002" authorId="0" shapeId="0" xr:uid="{3B659BD5-26A8-463D-AEF3-4573EAF28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BLILOY
</t>
        </r>
      </text>
    </comment>
    <comment ref="C1003" authorId="0" shapeId="0" xr:uid="{FE78D239-29BE-429C-A201-E755035CEE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O1003" authorId="0" shapeId="0" xr:uid="{8F492541-BA7A-45DF-AD4D-4A807C36A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BALID STORE
TALINGA BACUNGAN</t>
        </r>
      </text>
    </comment>
    <comment ref="AA1003" authorId="0" shapeId="0" xr:uid="{96EAC14C-6B9E-47A7-A96A-59545BFAB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 LILOY</t>
        </r>
      </text>
    </comment>
    <comment ref="C1004" authorId="0" shapeId="0" xr:uid="{81A87BAF-EF6D-4BE1-B787-8B73CA3A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</t>
        </r>
      </text>
    </comment>
    <comment ref="O1004" authorId="0" shapeId="0" xr:uid="{721DAA6D-8111-4DB1-B33B-05862C2C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AA1004" authorId="0" shapeId="0" xr:uid="{66FACA9B-6300-46F5-889C-BE3CA22189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005" authorId="0" shapeId="0" xr:uid="{B376A780-8C0A-4106-BAED-116695C797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SY EATERY
POB. SINDANGAN</t>
        </r>
      </text>
    </comment>
    <comment ref="O1005" authorId="0" shapeId="0" xr:uid="{666072EC-1311-4807-8A05-9BD63FCFA7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KYRIE ZAI STORE
BRGY. MARAS</t>
        </r>
      </text>
    </comment>
    <comment ref="AA1005" authorId="0" shapeId="0" xr:uid="{030717A8-7BBD-402F-83A3-ED4F47445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6" authorId="0" shapeId="0" xr:uid="{258AC08F-4159-4CA3-881C-1C0971F29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BAR
POB. SINDANGAN
</t>
        </r>
      </text>
    </comment>
    <comment ref="O1006" authorId="0" shapeId="0" xr:uid="{40E38844-1065-46AA-8B2A-66E36E03B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BILLONES
UPPER INUMAN</t>
        </r>
      </text>
    </comment>
    <comment ref="AA1006" authorId="0" shapeId="0" xr:uid="{9D7623AA-008E-455F-AEC1-8059F6F0F8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</t>
        </r>
      </text>
    </comment>
    <comment ref="C1007" authorId="0" shapeId="0" xr:uid="{B35E016E-4DF3-49C9-B956-81AC0245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O1007" authorId="0" shapeId="0" xr:uid="{74E7AF25-325F-49FC-86D5-72AAD7F6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BRGY. DATU TANGKILAN</t>
        </r>
      </text>
    </comment>
    <comment ref="AA1007" authorId="0" shapeId="0" xr:uid="{55426715-27E2-4755-B883-1D8F978699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008" authorId="0" shapeId="0" xr:uid="{4AAD2B74-D7D1-42A8-8BE2-FF938E63D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POB. SINDANGAN
</t>
        </r>
      </text>
    </comment>
    <comment ref="O1008" authorId="0" shapeId="0" xr:uid="{A1D9BE24-FDA3-4F97-AA63-EF2FAF2C4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AA1008" authorId="0" shapeId="0" xr:uid="{D2A46833-C1AA-40F5-A28A-263260A6D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BAYBAY, LILOY</t>
        </r>
      </text>
    </comment>
    <comment ref="O1009" authorId="0" shapeId="0" xr:uid="{CBAAE2B8-E940-44CE-A028-0970D6C84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009" authorId="0" shapeId="0" xr:uid="{5C4980B5-1752-4ABF-9954-BFE245DA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GUNI-OS
BAYBAY LILOY</t>
        </r>
      </text>
    </comment>
    <comment ref="O1057" authorId="0" shapeId="0" xr:uid="{985D5080-5DB9-463B-A249-604D5195B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
</t>
        </r>
      </text>
    </comment>
    <comment ref="AA1057" authorId="0" shapeId="0" xr:uid="{BC521CB4-E678-46FC-9EAE-F1BDC27B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</t>
        </r>
      </text>
    </comment>
    <comment ref="O1058" authorId="0" shapeId="0" xr:uid="{B9FD0D81-F8A8-40F0-A673-E62933310D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058" authorId="0" shapeId="0" xr:uid="{7ACE9F77-E9C6-40E3-B048-BCE5B2918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BAYBAY LILOY</t>
        </r>
      </text>
    </comment>
    <comment ref="O1059" authorId="0" shapeId="0" xr:uid="{571A8C7A-43D4-48CB-B1C0-02A674E8A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
</t>
        </r>
      </text>
    </comment>
    <comment ref="AA1059" authorId="0" shapeId="0" xr:uid="{E4DD24C9-E1CD-4C6E-8222-564D892BBA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</t>
        </r>
      </text>
    </comment>
    <comment ref="O1060" authorId="0" shapeId="0" xr:uid="{59CAF426-EDFE-40BB-B8B3-C7B1EF6A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
</t>
        </r>
      </text>
    </comment>
    <comment ref="O1061" authorId="0" shapeId="0" xr:uid="{53024D3D-C313-490A-9BDA-4F5B42D2CE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</commentList>
</comments>
</file>

<file path=xl/sharedStrings.xml><?xml version="1.0" encoding="utf-8"?>
<sst xmlns="http://schemas.openxmlformats.org/spreadsheetml/2006/main" count="1274" uniqueCount="101">
  <si>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</si>
  <si>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</si>
  <si>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</si>
  <si>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</si>
  <si>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</si>
  <si>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</si>
  <si>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</si>
  <si>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</si>
  <si>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</si>
  <si>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</si>
  <si>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</si>
  <si>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</si>
  <si>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</si>
  <si>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</si>
  <si>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</si>
  <si>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</si>
  <si>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</si>
  <si>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</si>
  <si>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</si>
  <si>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</si>
  <si>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</si>
  <si>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</si>
  <si>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</si>
  <si>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</si>
  <si>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</si>
  <si>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</si>
  <si>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</si>
  <si>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</si>
  <si>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</si>
  <si>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</si>
  <si>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</si>
  <si>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</si>
  <si>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</si>
  <si>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</si>
  <si>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</si>
  <si>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</si>
  <si>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</si>
  <si>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</si>
  <si>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</si>
  <si>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</si>
  <si>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</si>
  <si>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</si>
  <si>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</si>
  <si>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</si>
  <si>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</si>
  <si>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</si>
  <si>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</si>
  <si>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</si>
  <si>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</si>
  <si>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</si>
  <si>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</si>
  <si>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</si>
  <si>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</si>
  <si>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</si>
  <si>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</si>
  <si>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</si>
  <si>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</si>
  <si>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</si>
  <si>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</si>
  <si>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</si>
  <si>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</si>
  <si>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</si>
  <si>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</si>
  <si>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</si>
  <si>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</si>
  <si>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</si>
  <si>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</si>
  <si>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</si>
  <si>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</si>
  <si>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</si>
  <si>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</si>
  <si>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</si>
  <si>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</si>
  <si>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</si>
  <si>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</si>
  <si>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</si>
  <si>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</si>
  <si>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</si>
  <si>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</si>
  <si>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</si>
  <si>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</si>
  <si>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</si>
  <si>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</si>
  <si>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</si>
  <si>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</si>
  <si>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</si>
  <si>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</si>
  <si>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</si>
  <si>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</si>
  <si>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</si>
  <si>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</si>
  <si>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</si>
  <si>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</si>
  <si>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</si>
  <si>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</si>
  <si>
    <t>JUNE 25, 2026</t>
  </si>
  <si>
    <t>06/25/2026</t>
  </si>
  <si>
    <t>11170-11176/11086-11093/11122/11129</t>
  </si>
  <si>
    <t>JUNE 26, 2026</t>
  </si>
  <si>
    <t>06/26/2026</t>
  </si>
  <si>
    <t>/11094-11098/11131-11133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</si>
</sst>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6" sqref="C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 t="s">
        <v>97</v>
      </c>
      <c r="D34" s="16">
        <f t="shared" ref="D34:D39" si="5">J34</f>
        <v>927399.5</v>
      </c>
      <c r="E34" s="14"/>
      <c r="F34" s="14">
        <v>388330</v>
      </c>
      <c r="G34" s="14">
        <v>199250.5</v>
      </c>
      <c r="H34" s="14">
        <v>339819</v>
      </c>
      <c r="I34" s="14"/>
      <c r="J34" s="17">
        <f t="shared" si="1"/>
        <v>927399.5</v>
      </c>
    </row>
    <row r="35" spans="1:10" x14ac:dyDescent="0.25">
      <c r="A35" s="10">
        <f t="shared" si="2"/>
        <v>26</v>
      </c>
      <c r="B35" s="43" t="s">
        <v>4</v>
      </c>
      <c r="C35" s="12" t="s">
        <v>100</v>
      </c>
      <c r="D35" s="16">
        <f t="shared" si="5"/>
        <v>622529</v>
      </c>
      <c r="E35" s="14"/>
      <c r="F35" s="14"/>
      <c r="G35" s="14">
        <v>327003</v>
      </c>
      <c r="H35" s="14">
        <v>295526</v>
      </c>
      <c r="I35" s="14"/>
      <c r="J35" s="17">
        <f t="shared" si="1"/>
        <v>622529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15175360.440000001</v>
      </c>
      <c r="J42" s="49">
        <f>SUM(J10:J41)</f>
        <v>15175360.440000001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5"/>
  <sheetViews>
    <sheetView tabSelected="1" topLeftCell="P1069" zoomScaleNormal="100" workbookViewId="0">
      <selection activeCell="AF1081" sqref="AF108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5"/>
      <c r="G10" s="27"/>
      <c r="I10" s="122" t="s">
        <v>18</v>
      </c>
      <c r="J10" s="123"/>
      <c r="K10" s="120" t="s">
        <v>19</v>
      </c>
      <c r="N10" s="25"/>
      <c r="O10" s="26"/>
      <c r="P10" s="124" t="s">
        <v>17</v>
      </c>
      <c r="Q10" s="124"/>
      <c r="R10" s="75"/>
      <c r="S10" s="27"/>
      <c r="U10" s="122" t="s">
        <v>18</v>
      </c>
      <c r="V10" s="123"/>
      <c r="W10" s="120" t="s">
        <v>19</v>
      </c>
      <c r="Z10" s="25"/>
      <c r="AA10" s="26"/>
      <c r="AB10" s="124" t="s">
        <v>17</v>
      </c>
      <c r="AC10" s="124"/>
      <c r="AD10" s="75"/>
      <c r="AE10" s="27"/>
      <c r="AG10" s="122" t="s">
        <v>18</v>
      </c>
      <c r="AH10" s="123"/>
      <c r="AI10" s="12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4" t="s">
        <v>17</v>
      </c>
      <c r="E65" s="124"/>
      <c r="F65" s="89"/>
      <c r="G65" s="27"/>
      <c r="I65" s="122" t="s">
        <v>18</v>
      </c>
      <c r="J65" s="123"/>
      <c r="K65" s="120" t="s">
        <v>19</v>
      </c>
      <c r="N65" s="25"/>
      <c r="O65" s="26"/>
      <c r="P65" s="124" t="s">
        <v>17</v>
      </c>
      <c r="Q65" s="124"/>
      <c r="R65" s="89"/>
      <c r="S65" s="27"/>
      <c r="U65" s="122" t="s">
        <v>18</v>
      </c>
      <c r="V65" s="123"/>
      <c r="W65" s="120" t="s">
        <v>19</v>
      </c>
      <c r="Z65" s="25"/>
      <c r="AA65" s="26"/>
      <c r="AB65" s="124" t="s">
        <v>17</v>
      </c>
      <c r="AC65" s="124"/>
      <c r="AD65" s="89"/>
      <c r="AE65" s="27"/>
      <c r="AG65" s="122" t="s">
        <v>18</v>
      </c>
      <c r="AH65" s="123"/>
      <c r="AI65" s="12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0"/>
      <c r="G120" s="27"/>
      <c r="I120" s="122" t="s">
        <v>18</v>
      </c>
      <c r="J120" s="123"/>
      <c r="K120" s="120" t="s">
        <v>19</v>
      </c>
      <c r="M120" s="62"/>
      <c r="N120" s="65"/>
      <c r="O120" s="87"/>
      <c r="P120" s="119"/>
      <c r="Q120" s="119"/>
      <c r="R120" s="87"/>
      <c r="S120" s="87"/>
      <c r="T120" s="62"/>
      <c r="U120" s="119"/>
      <c r="V120" s="119"/>
      <c r="W120" s="118"/>
      <c r="X120" s="62"/>
      <c r="Y120" s="62"/>
      <c r="Z120" s="65"/>
      <c r="AA120" s="87"/>
      <c r="AB120" s="119"/>
      <c r="AC120" s="119"/>
      <c r="AD120" s="87"/>
      <c r="AE120" s="87"/>
      <c r="AF120" s="62"/>
      <c r="AG120" s="119"/>
      <c r="AH120" s="119"/>
      <c r="AI120" s="118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1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118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118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4" t="s">
        <v>17</v>
      </c>
      <c r="E175" s="124"/>
      <c r="F175" s="91"/>
      <c r="G175" s="27"/>
      <c r="I175" s="122" t="s">
        <v>18</v>
      </c>
      <c r="J175" s="123"/>
      <c r="K175" s="120" t="s">
        <v>19</v>
      </c>
      <c r="N175" s="25"/>
      <c r="O175" s="26"/>
      <c r="P175" s="124" t="s">
        <v>17</v>
      </c>
      <c r="Q175" s="124"/>
      <c r="R175" s="91"/>
      <c r="S175" s="27"/>
      <c r="U175" s="122" t="s">
        <v>18</v>
      </c>
      <c r="V175" s="123"/>
      <c r="W175" s="120" t="s">
        <v>19</v>
      </c>
      <c r="Z175" s="25"/>
      <c r="AA175" s="26"/>
      <c r="AB175" s="124" t="s">
        <v>17</v>
      </c>
      <c r="AC175" s="124"/>
      <c r="AD175" s="91"/>
      <c r="AE175" s="27"/>
      <c r="AG175" s="122" t="s">
        <v>18</v>
      </c>
      <c r="AH175" s="123"/>
      <c r="AI175" s="12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19"/>
      <c r="E230" s="119"/>
      <c r="F230" s="93"/>
      <c r="G230" s="93"/>
      <c r="H230" s="62"/>
      <c r="I230" s="119"/>
      <c r="J230" s="119"/>
      <c r="K230" s="118"/>
      <c r="N230" s="25"/>
      <c r="O230" s="26"/>
      <c r="P230" s="124" t="s">
        <v>17</v>
      </c>
      <c r="Q230" s="124"/>
      <c r="R230" s="94"/>
      <c r="S230" s="27"/>
      <c r="U230" s="122" t="s">
        <v>18</v>
      </c>
      <c r="V230" s="123"/>
      <c r="W230" s="120" t="s">
        <v>19</v>
      </c>
      <c r="Z230" s="25"/>
      <c r="AA230" s="26"/>
      <c r="AB230" s="124" t="s">
        <v>17</v>
      </c>
      <c r="AC230" s="124"/>
      <c r="AD230" s="94"/>
      <c r="AE230" s="27"/>
      <c r="AG230" s="122" t="s">
        <v>18</v>
      </c>
      <c r="AH230" s="123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3"/>
      <c r="C231" s="93"/>
      <c r="D231" s="79"/>
      <c r="E231" s="80"/>
      <c r="F231" s="81"/>
      <c r="G231" s="81"/>
      <c r="H231" s="62"/>
      <c r="I231" s="92"/>
      <c r="J231" s="92"/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3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119"/>
      <c r="E285" s="119"/>
      <c r="F285" s="87"/>
      <c r="G285" s="87"/>
      <c r="H285" s="62"/>
      <c r="I285" s="119"/>
      <c r="J285" s="119"/>
      <c r="K285" s="118"/>
      <c r="N285" s="25"/>
      <c r="O285" s="26"/>
      <c r="P285" s="124" t="s">
        <v>17</v>
      </c>
      <c r="Q285" s="124"/>
      <c r="R285" s="95"/>
      <c r="S285" s="27"/>
      <c r="U285" s="122" t="s">
        <v>18</v>
      </c>
      <c r="V285" s="123"/>
      <c r="W285" s="120" t="s">
        <v>19</v>
      </c>
      <c r="Z285" s="25"/>
      <c r="AA285" s="26"/>
      <c r="AB285" s="124" t="s">
        <v>17</v>
      </c>
      <c r="AC285" s="124"/>
      <c r="AD285" s="95"/>
      <c r="AE285" s="27"/>
      <c r="AG285" s="122" t="s">
        <v>18</v>
      </c>
      <c r="AH285" s="123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4" t="s">
        <v>17</v>
      </c>
      <c r="E340" s="124"/>
      <c r="F340" s="96"/>
      <c r="G340" s="27"/>
      <c r="I340" s="122" t="s">
        <v>18</v>
      </c>
      <c r="J340" s="123"/>
      <c r="K340" s="120" t="s">
        <v>19</v>
      </c>
      <c r="N340" s="25"/>
      <c r="O340" s="26"/>
      <c r="P340" s="124" t="s">
        <v>17</v>
      </c>
      <c r="Q340" s="124"/>
      <c r="R340" s="96"/>
      <c r="S340" s="27"/>
      <c r="U340" s="122" t="s">
        <v>18</v>
      </c>
      <c r="V340" s="123"/>
      <c r="W340" s="120" t="s">
        <v>19</v>
      </c>
      <c r="Z340" s="25"/>
      <c r="AA340" s="26"/>
      <c r="AB340" s="124" t="s">
        <v>17</v>
      </c>
      <c r="AC340" s="124"/>
      <c r="AD340" s="96"/>
      <c r="AE340" s="27"/>
      <c r="AG340" s="122" t="s">
        <v>18</v>
      </c>
      <c r="AH340" s="123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97"/>
      <c r="G395" s="27"/>
      <c r="I395" s="122" t="s">
        <v>18</v>
      </c>
      <c r="J395" s="123"/>
      <c r="K395" s="120" t="s">
        <v>19</v>
      </c>
      <c r="M395" s="62"/>
      <c r="N395" s="65"/>
      <c r="O395" s="87"/>
      <c r="P395" s="119"/>
      <c r="Q395" s="119"/>
      <c r="R395" s="87"/>
      <c r="S395" s="87"/>
      <c r="T395" s="62"/>
      <c r="U395" s="119"/>
      <c r="V395" s="119"/>
      <c r="W395" s="118"/>
      <c r="Z395" s="25"/>
      <c r="AA395" s="26"/>
      <c r="AB395" s="124" t="s">
        <v>17</v>
      </c>
      <c r="AC395" s="124"/>
      <c r="AD395" s="97"/>
      <c r="AE395" s="27"/>
      <c r="AG395" s="122" t="s">
        <v>18</v>
      </c>
      <c r="AH395" s="123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1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19"/>
      <c r="E450" s="119"/>
      <c r="F450" s="87"/>
      <c r="G450" s="87"/>
      <c r="H450" s="62"/>
      <c r="I450" s="119"/>
      <c r="J450" s="119"/>
      <c r="K450" s="118"/>
      <c r="N450" s="25"/>
      <c r="O450" s="26"/>
      <c r="P450" s="124" t="s">
        <v>17</v>
      </c>
      <c r="Q450" s="124"/>
      <c r="R450" s="98"/>
      <c r="S450" s="27"/>
      <c r="U450" s="122" t="s">
        <v>18</v>
      </c>
      <c r="V450" s="123"/>
      <c r="W450" s="120" t="s">
        <v>19</v>
      </c>
      <c r="Z450" s="25"/>
      <c r="AA450" s="26"/>
      <c r="AB450" s="124" t="s">
        <v>17</v>
      </c>
      <c r="AC450" s="124"/>
      <c r="AD450" s="98"/>
      <c r="AE450" s="27"/>
      <c r="AG450" s="122" t="s">
        <v>18</v>
      </c>
      <c r="AH450" s="123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0"/>
      <c r="AA497" s="100"/>
      <c r="AB497" s="100"/>
      <c r="AC497" s="100"/>
      <c r="AD497" s="100"/>
      <c r="AE497" s="10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0"/>
      <c r="AA498" s="100"/>
      <c r="AB498" s="100"/>
      <c r="AC498" s="100"/>
      <c r="AD498" s="100"/>
      <c r="AE498" s="10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0"/>
      <c r="AA499" s="100"/>
      <c r="AB499" s="100"/>
      <c r="AC499" s="100"/>
      <c r="AD499" s="100"/>
      <c r="AE499" s="10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0"/>
      <c r="AA500" s="100"/>
      <c r="AB500" s="100"/>
      <c r="AC500" s="100"/>
      <c r="AD500" s="100"/>
      <c r="AE500" s="10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0"/>
      <c r="AA501" s="100"/>
      <c r="AB501" s="100"/>
      <c r="AC501" s="100"/>
      <c r="AD501" s="100"/>
      <c r="AE501" s="100"/>
      <c r="AF501" s="62"/>
      <c r="AG501" s="100"/>
      <c r="AH501" s="100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0"/>
      <c r="AA502" s="100"/>
      <c r="AB502" s="100"/>
      <c r="AC502" s="100"/>
      <c r="AD502" s="100"/>
      <c r="AE502" s="100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0"/>
      <c r="AA503" s="100"/>
      <c r="AB503" s="100"/>
      <c r="AC503" s="100"/>
      <c r="AD503" s="100"/>
      <c r="AE503" s="100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0"/>
      <c r="AB504" s="119"/>
      <c r="AC504" s="119"/>
      <c r="AD504" s="100"/>
      <c r="AE504" s="100"/>
      <c r="AF504" s="62"/>
      <c r="AG504" s="119"/>
      <c r="AH504" s="119"/>
      <c r="AI504" s="118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4" t="s">
        <v>17</v>
      </c>
      <c r="E505" s="124"/>
      <c r="F505" s="101"/>
      <c r="G505" s="27"/>
      <c r="I505" s="122" t="s">
        <v>18</v>
      </c>
      <c r="J505" s="123"/>
      <c r="K505" s="120" t="s">
        <v>19</v>
      </c>
      <c r="N505" s="25"/>
      <c r="O505" s="26"/>
      <c r="P505" s="124" t="s">
        <v>17</v>
      </c>
      <c r="Q505" s="124"/>
      <c r="R505" s="101"/>
      <c r="S505" s="27"/>
      <c r="U505" s="122" t="s">
        <v>18</v>
      </c>
      <c r="V505" s="123"/>
      <c r="W505" s="120" t="s">
        <v>19</v>
      </c>
      <c r="Y505" s="62"/>
      <c r="Z505" s="100"/>
      <c r="AA505" s="100"/>
      <c r="AB505" s="79"/>
      <c r="AC505" s="81"/>
      <c r="AD505" s="81"/>
      <c r="AE505" s="81"/>
      <c r="AF505" s="62"/>
      <c r="AG505" s="99"/>
      <c r="AH505" s="99"/>
      <c r="AI505" s="11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1"/>
      <c r="Y506" s="62"/>
      <c r="Z506" s="66"/>
      <c r="AA506" s="100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0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0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0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0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0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0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0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0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0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0"/>
      <c r="AB526" s="67"/>
      <c r="AC526" s="100"/>
      <c r="AD526" s="100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0"/>
      <c r="AB527" s="68"/>
      <c r="AC527" s="100"/>
      <c r="AD527" s="10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0"/>
      <c r="AB528" s="69"/>
      <c r="AC528" s="100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0"/>
      <c r="AB529" s="69"/>
      <c r="AC529" s="100"/>
      <c r="AD529" s="100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0"/>
      <c r="AB530" s="69"/>
      <c r="AC530" s="100"/>
      <c r="AD530" s="10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0"/>
      <c r="AB531" s="69"/>
      <c r="AC531" s="100"/>
      <c r="AD531" s="10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0"/>
      <c r="AB532" s="69"/>
      <c r="AC532" s="100"/>
      <c r="AD532" s="10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0"/>
      <c r="AB533" s="69"/>
      <c r="AC533" s="100"/>
      <c r="AD533" s="10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0"/>
      <c r="AB534" s="69"/>
      <c r="AC534" s="100"/>
      <c r="AD534" s="10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0"/>
      <c r="AB535" s="69"/>
      <c r="AC535" s="100"/>
      <c r="AD535" s="10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0"/>
      <c r="AB536" s="69"/>
      <c r="AC536" s="100"/>
      <c r="AD536" s="10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0"/>
      <c r="AB537" s="69"/>
      <c r="AC537" s="100"/>
      <c r="AD537" s="10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0"/>
      <c r="AB538" s="69"/>
      <c r="AC538" s="100"/>
      <c r="AD538" s="10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0"/>
      <c r="AB539" s="69"/>
      <c r="AC539" s="100"/>
      <c r="AD539" s="10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0"/>
      <c r="AB540" s="69"/>
      <c r="AC540" s="100"/>
      <c r="AD540" s="10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0"/>
      <c r="AB541" s="69"/>
      <c r="AC541" s="100"/>
      <c r="AD541" s="10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0"/>
      <c r="AB542" s="69"/>
      <c r="AC542" s="100"/>
      <c r="AD542" s="10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0"/>
      <c r="AB543" s="69"/>
      <c r="AC543" s="100"/>
      <c r="AD543" s="10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0"/>
      <c r="AB544" s="69"/>
      <c r="AC544" s="100"/>
      <c r="AD544" s="10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0"/>
      <c r="AD545" s="10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0"/>
      <c r="AB546" s="69"/>
      <c r="AC546" s="100"/>
      <c r="AD546" s="10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0"/>
      <c r="AA547" s="100"/>
      <c r="AB547" s="100"/>
      <c r="AC547" s="100"/>
      <c r="AD547" s="100"/>
      <c r="AE547" s="10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0"/>
      <c r="AA548" s="100"/>
      <c r="AB548" s="100"/>
      <c r="AC548" s="100"/>
      <c r="AD548" s="100"/>
      <c r="AE548" s="100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0"/>
      <c r="AA549" s="100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4" t="s">
        <v>17</v>
      </c>
      <c r="E560" s="124"/>
      <c r="F560" s="102"/>
      <c r="G560" s="27"/>
      <c r="I560" s="122" t="s">
        <v>18</v>
      </c>
      <c r="J560" s="123"/>
      <c r="K560" s="120" t="s">
        <v>19</v>
      </c>
      <c r="N560" s="25"/>
      <c r="O560" s="26"/>
      <c r="P560" s="124" t="s">
        <v>17</v>
      </c>
      <c r="Q560" s="124"/>
      <c r="R560" s="102"/>
      <c r="S560" s="27"/>
      <c r="U560" s="122" t="s">
        <v>18</v>
      </c>
      <c r="V560" s="123"/>
      <c r="W560" s="120" t="s">
        <v>19</v>
      </c>
      <c r="Z560" s="25"/>
      <c r="AA560" s="26"/>
      <c r="AB560" s="124" t="s">
        <v>17</v>
      </c>
      <c r="AC560" s="124"/>
      <c r="AD560" s="102"/>
      <c r="AE560" s="27"/>
      <c r="AG560" s="122" t="s">
        <v>18</v>
      </c>
      <c r="AH560" s="123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1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4" t="s">
        <v>17</v>
      </c>
      <c r="E615" s="124"/>
      <c r="F615" s="103"/>
      <c r="G615" s="27"/>
      <c r="I615" s="122" t="s">
        <v>18</v>
      </c>
      <c r="J615" s="123"/>
      <c r="K615" s="120" t="s">
        <v>19</v>
      </c>
      <c r="N615" s="25"/>
      <c r="O615" s="26"/>
      <c r="P615" s="124" t="s">
        <v>17</v>
      </c>
      <c r="Q615" s="124"/>
      <c r="R615" s="103"/>
      <c r="S615" s="27"/>
      <c r="U615" s="122" t="s">
        <v>18</v>
      </c>
      <c r="V615" s="123"/>
      <c r="W615" s="120" t="s">
        <v>19</v>
      </c>
      <c r="Z615" s="25"/>
      <c r="AA615" s="26"/>
      <c r="AB615" s="124" t="s">
        <v>17</v>
      </c>
      <c r="AC615" s="124"/>
      <c r="AD615" s="103"/>
      <c r="AE615" s="27"/>
      <c r="AG615" s="122" t="s">
        <v>18</v>
      </c>
      <c r="AH615" s="123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4" t="s">
        <v>17</v>
      </c>
      <c r="E670" s="124"/>
      <c r="F670" s="104"/>
      <c r="G670" s="27"/>
      <c r="I670" s="122" t="s">
        <v>18</v>
      </c>
      <c r="J670" s="123"/>
      <c r="K670" s="120" t="s">
        <v>19</v>
      </c>
      <c r="N670" s="25"/>
      <c r="O670" s="26"/>
      <c r="P670" s="124" t="s">
        <v>17</v>
      </c>
      <c r="Q670" s="124"/>
      <c r="R670" s="104"/>
      <c r="S670" s="27"/>
      <c r="U670" s="122" t="s">
        <v>18</v>
      </c>
      <c r="V670" s="123"/>
      <c r="W670" s="120" t="s">
        <v>19</v>
      </c>
      <c r="Z670" s="25"/>
      <c r="AA670" s="26"/>
      <c r="AB670" s="124" t="s">
        <v>17</v>
      </c>
      <c r="AC670" s="124"/>
      <c r="AD670" s="104"/>
      <c r="AE670" s="27"/>
      <c r="AG670" s="122" t="s">
        <v>18</v>
      </c>
      <c r="AH670" s="123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4" t="s">
        <v>17</v>
      </c>
      <c r="E725" s="124"/>
      <c r="F725" s="105"/>
      <c r="G725" s="27"/>
      <c r="I725" s="122" t="s">
        <v>18</v>
      </c>
      <c r="J725" s="123"/>
      <c r="K725" s="120" t="s">
        <v>19</v>
      </c>
      <c r="N725" s="25"/>
      <c r="O725" s="26"/>
      <c r="P725" s="124" t="s">
        <v>17</v>
      </c>
      <c r="Q725" s="124"/>
      <c r="R725" s="105"/>
      <c r="S725" s="27"/>
      <c r="U725" s="122" t="s">
        <v>18</v>
      </c>
      <c r="V725" s="123"/>
      <c r="W725" s="120" t="s">
        <v>19</v>
      </c>
      <c r="Z725" s="25"/>
      <c r="AA725" s="26"/>
      <c r="AB725" s="124" t="s">
        <v>17</v>
      </c>
      <c r="AC725" s="124"/>
      <c r="AD725" s="105"/>
      <c r="AE725" s="27"/>
      <c r="AG725" s="122" t="s">
        <v>18</v>
      </c>
      <c r="AH725" s="123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8"/>
      <c r="C772" s="108"/>
      <c r="D772" s="108"/>
      <c r="E772" s="108"/>
      <c r="F772" s="108"/>
      <c r="G772" s="108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8"/>
      <c r="C773" s="108"/>
      <c r="D773" s="108"/>
      <c r="E773" s="108"/>
      <c r="F773" s="108"/>
      <c r="G773" s="108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8"/>
      <c r="C774" s="108"/>
      <c r="D774" s="108"/>
      <c r="E774" s="108"/>
      <c r="F774" s="108"/>
      <c r="G774" s="108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8"/>
      <c r="C775" s="108"/>
      <c r="D775" s="108"/>
      <c r="E775" s="108"/>
      <c r="F775" s="108"/>
      <c r="G775" s="108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8"/>
      <c r="C776" s="108"/>
      <c r="D776" s="108"/>
      <c r="E776" s="108"/>
      <c r="F776" s="108"/>
      <c r="G776" s="108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8"/>
      <c r="C777" s="108"/>
      <c r="D777" s="108"/>
      <c r="E777" s="108"/>
      <c r="F777" s="108"/>
      <c r="G777" s="108"/>
      <c r="H777" s="62"/>
      <c r="I777" s="108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8"/>
      <c r="C778" s="108"/>
      <c r="D778" s="108"/>
      <c r="E778" s="108"/>
      <c r="F778" s="108"/>
      <c r="G778" s="108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8"/>
      <c r="C779" s="108"/>
      <c r="D779" s="108"/>
      <c r="E779" s="108"/>
      <c r="F779" s="108"/>
      <c r="G779" s="108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8"/>
      <c r="D780" s="119"/>
      <c r="E780" s="119"/>
      <c r="F780" s="108"/>
      <c r="G780" s="108"/>
      <c r="H780" s="62"/>
      <c r="I780" s="119"/>
      <c r="J780" s="119"/>
      <c r="K780" s="118"/>
      <c r="N780" s="25"/>
      <c r="O780" s="26"/>
      <c r="P780" s="124" t="s">
        <v>17</v>
      </c>
      <c r="Q780" s="124"/>
      <c r="R780" s="106"/>
      <c r="S780" s="27"/>
      <c r="U780" s="122" t="s">
        <v>18</v>
      </c>
      <c r="V780" s="123"/>
      <c r="W780" s="120" t="s">
        <v>19</v>
      </c>
      <c r="Z780" s="25"/>
      <c r="AA780" s="26"/>
      <c r="AB780" s="124" t="s">
        <v>17</v>
      </c>
      <c r="AC780" s="124"/>
      <c r="AD780" s="106"/>
      <c r="AE780" s="27"/>
      <c r="AG780" s="122" t="s">
        <v>18</v>
      </c>
      <c r="AH780" s="123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8"/>
      <c r="C781" s="108"/>
      <c r="D781" s="79"/>
      <c r="E781" s="80"/>
      <c r="F781" s="81"/>
      <c r="G781" s="81"/>
      <c r="H781" s="62"/>
      <c r="I781" s="107"/>
      <c r="J781" s="107"/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8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8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8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8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8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8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8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8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8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8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8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4" t="s">
        <v>17</v>
      </c>
      <c r="E835" s="124"/>
      <c r="F835" s="109"/>
      <c r="G835" s="27"/>
      <c r="I835" s="122" t="s">
        <v>18</v>
      </c>
      <c r="J835" s="123"/>
      <c r="K835" s="120" t="s">
        <v>19</v>
      </c>
      <c r="N835" s="25"/>
      <c r="O835" s="26"/>
      <c r="P835" s="124" t="s">
        <v>17</v>
      </c>
      <c r="Q835" s="124"/>
      <c r="R835" s="109"/>
      <c r="S835" s="27"/>
      <c r="U835" s="122" t="s">
        <v>18</v>
      </c>
      <c r="V835" s="123"/>
      <c r="W835" s="120" t="s">
        <v>19</v>
      </c>
      <c r="Z835" s="25"/>
      <c r="AA835" s="26"/>
      <c r="AB835" s="124" t="s">
        <v>17</v>
      </c>
      <c r="AC835" s="124"/>
      <c r="AD835" s="109"/>
      <c r="AE835" s="27"/>
      <c r="AG835" s="122" t="s">
        <v>18</v>
      </c>
      <c r="AH835" s="123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4" t="s">
        <v>17</v>
      </c>
      <c r="E890" s="124"/>
      <c r="F890" s="110"/>
      <c r="G890" s="27"/>
      <c r="I890" s="122" t="s">
        <v>18</v>
      </c>
      <c r="J890" s="123"/>
      <c r="K890" s="120" t="s">
        <v>19</v>
      </c>
      <c r="N890" s="25"/>
      <c r="O890" s="26"/>
      <c r="P890" s="124" t="s">
        <v>17</v>
      </c>
      <c r="Q890" s="124"/>
      <c r="R890" s="110"/>
      <c r="S890" s="27"/>
      <c r="U890" s="122" t="s">
        <v>18</v>
      </c>
      <c r="V890" s="123"/>
      <c r="W890" s="120" t="s">
        <v>19</v>
      </c>
      <c r="Z890" s="25"/>
      <c r="AA890" s="26"/>
      <c r="AB890" s="124" t="s">
        <v>17</v>
      </c>
      <c r="AC890" s="124"/>
      <c r="AD890" s="110"/>
      <c r="AE890" s="27"/>
      <c r="AG890" s="122" t="s">
        <v>18</v>
      </c>
      <c r="AH890" s="123"/>
      <c r="AI890" s="120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1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1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6"/>
      <c r="AN943" s="119"/>
      <c r="AO943" s="119"/>
      <c r="AP943" s="86"/>
      <c r="AQ943" s="86"/>
      <c r="AR943" s="62"/>
      <c r="AS943" s="119"/>
      <c r="AT943" s="119"/>
      <c r="AU943" s="118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8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24" t="s">
        <v>17</v>
      </c>
      <c r="E945" s="124"/>
      <c r="F945" s="111"/>
      <c r="G945" s="27"/>
      <c r="I945" s="122" t="s">
        <v>18</v>
      </c>
      <c r="J945" s="123"/>
      <c r="K945" s="120" t="s">
        <v>19</v>
      </c>
      <c r="N945" s="25"/>
      <c r="O945" s="26"/>
      <c r="P945" s="124" t="s">
        <v>17</v>
      </c>
      <c r="Q945" s="124"/>
      <c r="R945" s="111"/>
      <c r="S945" s="27"/>
      <c r="U945" s="122" t="s">
        <v>18</v>
      </c>
      <c r="V945" s="123"/>
      <c r="W945" s="120" t="s">
        <v>19</v>
      </c>
      <c r="Z945" s="25"/>
      <c r="AA945" s="26"/>
      <c r="AB945" s="124" t="s">
        <v>17</v>
      </c>
      <c r="AC945" s="124"/>
      <c r="AD945" s="111"/>
      <c r="AE945" s="27"/>
      <c r="AG945" s="122" t="s">
        <v>18</v>
      </c>
      <c r="AH945" s="123"/>
      <c r="AI945" s="120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1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1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1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>
        <f>111</f>
        <v>111</v>
      </c>
      <c r="J947" s="12"/>
      <c r="K947" s="12">
        <f t="shared" ref="K947:K980" si="264">SUM(G947:J947)</f>
        <v>3361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3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3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0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3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3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3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3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3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3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3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708</v>
      </c>
      <c r="J990" s="39">
        <f>SUM(J947:J989)</f>
        <v>-2664</v>
      </c>
      <c r="K990" s="40">
        <f>SUM(K947:K989)</f>
        <v>244834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47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47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47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95</v>
      </c>
      <c r="B998" s="20"/>
      <c r="C998" s="57"/>
      <c r="D998" s="57"/>
      <c r="E998" s="57"/>
      <c r="G998" s="57"/>
      <c r="I998" s="22" t="s">
        <v>16</v>
      </c>
      <c r="J998" s="23" t="s">
        <v>42</v>
      </c>
      <c r="K998" s="24"/>
      <c r="M998" s="21" t="s">
        <v>95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32</v>
      </c>
      <c r="W998" s="24"/>
      <c r="Y998" s="21" t="s">
        <v>95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33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4" t="s">
        <v>17</v>
      </c>
      <c r="E1000" s="124"/>
      <c r="F1000" s="112"/>
      <c r="G1000" s="27"/>
      <c r="I1000" s="122" t="s">
        <v>18</v>
      </c>
      <c r="J1000" s="123"/>
      <c r="K1000" s="120" t="s">
        <v>19</v>
      </c>
      <c r="N1000" s="25"/>
      <c r="O1000" s="26"/>
      <c r="P1000" s="124" t="s">
        <v>17</v>
      </c>
      <c r="Q1000" s="124"/>
      <c r="R1000" s="112"/>
      <c r="S1000" s="27"/>
      <c r="U1000" s="122" t="s">
        <v>18</v>
      </c>
      <c r="V1000" s="123"/>
      <c r="W1000" s="120" t="s">
        <v>19</v>
      </c>
      <c r="Z1000" s="25"/>
      <c r="AA1000" s="26"/>
      <c r="AB1000" s="124" t="s">
        <v>17</v>
      </c>
      <c r="AC1000" s="124"/>
      <c r="AD1000" s="112"/>
      <c r="AE1000" s="27"/>
      <c r="AG1000" s="122" t="s">
        <v>18</v>
      </c>
      <c r="AH1000" s="123"/>
      <c r="AI1000" s="120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31</v>
      </c>
      <c r="G1001" s="78" t="s">
        <v>24</v>
      </c>
      <c r="I1001" s="29" t="s">
        <v>25</v>
      </c>
      <c r="J1001" s="29" t="s">
        <v>26</v>
      </c>
      <c r="K1001" s="121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31</v>
      </c>
      <c r="S1001" s="78" t="s">
        <v>24</v>
      </c>
      <c r="U1001" s="29" t="s">
        <v>25</v>
      </c>
      <c r="V1001" s="29" t="s">
        <v>26</v>
      </c>
      <c r="W1001" s="121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1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96</v>
      </c>
      <c r="C1002" s="83">
        <v>11170</v>
      </c>
      <c r="D1002" s="32">
        <f>650*200+670*20+700*2+1102*2+650*5+650*5</f>
        <v>153504</v>
      </c>
      <c r="E1002" s="32"/>
      <c r="F1002" s="32"/>
      <c r="G1002" s="32">
        <f t="shared" ref="G1002:G1035" si="287">SUM(D1002:E1002)</f>
        <v>153504</v>
      </c>
      <c r="H1002" s="12"/>
      <c r="I1002" s="12">
        <f>111*222</f>
        <v>24642</v>
      </c>
      <c r="J1002" s="12">
        <f>-111*24+-84*271</f>
        <v>-25428</v>
      </c>
      <c r="K1002" s="12">
        <f t="shared" ref="K1002:K1035" si="288">SUM(G1002:J1002)</f>
        <v>152718</v>
      </c>
      <c r="M1002" s="10">
        <v>1</v>
      </c>
      <c r="N1002" s="30" t="s">
        <v>96</v>
      </c>
      <c r="O1002" s="31">
        <v>11086</v>
      </c>
      <c r="P1002" s="32">
        <f>650*5+670</f>
        <v>3920</v>
      </c>
      <c r="Q1002" s="32"/>
      <c r="R1002" s="32"/>
      <c r="S1002" s="32">
        <f>SUM(P1002:Q1002)</f>
        <v>3920</v>
      </c>
      <c r="T1002" s="12"/>
      <c r="U1002" s="12"/>
      <c r="V1002" s="12"/>
      <c r="W1002" s="12">
        <f>SUM(S1002:V1002)</f>
        <v>3920</v>
      </c>
      <c r="Y1002" s="10">
        <v>1</v>
      </c>
      <c r="Z1002" s="30" t="s">
        <v>96</v>
      </c>
      <c r="AA1002" s="31">
        <v>11122</v>
      </c>
      <c r="AB1002" s="32">
        <f>650*19+622</f>
        <v>12972</v>
      </c>
      <c r="AC1002" s="32"/>
      <c r="AD1002" s="32"/>
      <c r="AE1002" s="32">
        <f>SUM(AB1002:AC1002)</f>
        <v>12972</v>
      </c>
      <c r="AF1002" s="12"/>
      <c r="AG1002" s="12"/>
      <c r="AH1002" s="12">
        <f>-111*10</f>
        <v>-1110</v>
      </c>
      <c r="AI1002" s="12">
        <f>SUM(AE1002:AH1002)</f>
        <v>11862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96</v>
      </c>
      <c r="C1003" s="83">
        <f>C1002+1</f>
        <v>11171</v>
      </c>
      <c r="D1003" s="32">
        <f>650*216+670*5+1175</f>
        <v>144925</v>
      </c>
      <c r="E1003" s="32"/>
      <c r="F1003" s="32"/>
      <c r="G1003" s="32">
        <f t="shared" si="287"/>
        <v>144925</v>
      </c>
      <c r="H1003" s="12"/>
      <c r="I1003" s="12"/>
      <c r="J1003" s="12">
        <f>-84*6</f>
        <v>-504</v>
      </c>
      <c r="K1003" s="12">
        <f t="shared" si="288"/>
        <v>144421</v>
      </c>
      <c r="M1003" s="10">
        <v>2</v>
      </c>
      <c r="N1003" s="30" t="s">
        <v>96</v>
      </c>
      <c r="O1003" s="31">
        <f>O1002+1</f>
        <v>11087</v>
      </c>
      <c r="P1003" s="32">
        <f>650*5+1175+1102+9.5*5+650</f>
        <v>6224.5</v>
      </c>
      <c r="Q1003" s="32"/>
      <c r="R1003" s="32"/>
      <c r="S1003" s="32">
        <f t="shared" ref="S1003:S1040" si="289">SUM(P1003:Q1003)</f>
        <v>6224.5</v>
      </c>
      <c r="T1003" s="12"/>
      <c r="U1003" s="12"/>
      <c r="V1003" s="12"/>
      <c r="W1003" s="12">
        <f t="shared" ref="W1003:W1043" si="290">SUM(S1003:V1003)</f>
        <v>6224.5</v>
      </c>
      <c r="Y1003" s="10">
        <v>2</v>
      </c>
      <c r="Z1003" s="30" t="s">
        <v>96</v>
      </c>
      <c r="AA1003" s="31">
        <f>AA1002+1</f>
        <v>11123</v>
      </c>
      <c r="AB1003" s="32">
        <f>650*43+670*7+622*10+229</f>
        <v>39089</v>
      </c>
      <c r="AC1003" s="32"/>
      <c r="AD1003" s="32"/>
      <c r="AE1003" s="32">
        <f t="shared" ref="AE1003:AE1005" si="291">SUM(AB1003:AC1003)</f>
        <v>39089</v>
      </c>
      <c r="AF1003" s="12"/>
      <c r="AG1003" s="12"/>
      <c r="AH1003" s="12"/>
      <c r="AI1003" s="12">
        <f t="shared" ref="AI1003:AI1043" si="292">SUM(AE1003:AH1003)</f>
        <v>39089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96</v>
      </c>
      <c r="C1004" s="83">
        <f t="shared" ref="C1004" si="293">C1003+1</f>
        <v>11172</v>
      </c>
      <c r="D1004" s="33">
        <f>650*7+700</f>
        <v>5250</v>
      </c>
      <c r="E1004" s="33"/>
      <c r="F1004" s="33"/>
      <c r="G1004" s="33">
        <f t="shared" si="287"/>
        <v>5250</v>
      </c>
      <c r="H1004" s="34"/>
      <c r="I1004" s="34"/>
      <c r="J1004" s="34">
        <f>-111*36</f>
        <v>-3996</v>
      </c>
      <c r="K1004" s="34">
        <f t="shared" si="288"/>
        <v>1254</v>
      </c>
      <c r="M1004" s="10">
        <v>3</v>
      </c>
      <c r="N1004" s="30" t="s">
        <v>96</v>
      </c>
      <c r="O1004" s="31">
        <f t="shared" ref="O1004:O1009" si="294">O1003+1</f>
        <v>11088</v>
      </c>
      <c r="P1004" s="32">
        <f>650*63+229*2</f>
        <v>41408</v>
      </c>
      <c r="Q1004" s="32"/>
      <c r="R1004" s="32"/>
      <c r="S1004" s="32">
        <f t="shared" si="289"/>
        <v>41408</v>
      </c>
      <c r="T1004" s="12"/>
      <c r="U1004" s="12">
        <f>4.5*9+1.5*48</f>
        <v>112.5</v>
      </c>
      <c r="V1004" s="12"/>
      <c r="W1004" s="12">
        <f t="shared" si="290"/>
        <v>41520.5</v>
      </c>
      <c r="Y1004" s="10">
        <v>3</v>
      </c>
      <c r="Z1004" s="30" t="s">
        <v>96</v>
      </c>
      <c r="AA1004" s="31">
        <f t="shared" ref="AA1004:AA1009" si="295">AA1003+1</f>
        <v>11124</v>
      </c>
      <c r="AB1004" s="33">
        <f>650*8+670*2+622+229</f>
        <v>7391</v>
      </c>
      <c r="AC1004" s="33"/>
      <c r="AD1004" s="32"/>
      <c r="AE1004" s="32">
        <f t="shared" si="291"/>
        <v>7391</v>
      </c>
      <c r="AF1004" s="12"/>
      <c r="AG1004" s="12">
        <f>78</f>
        <v>78</v>
      </c>
      <c r="AH1004" s="12"/>
      <c r="AI1004" s="12">
        <f t="shared" si="292"/>
        <v>7469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96</v>
      </c>
      <c r="C1005" s="83">
        <f>C1004+1</f>
        <v>11173</v>
      </c>
      <c r="D1005" s="32">
        <f>500</f>
        <v>500</v>
      </c>
      <c r="E1005" s="32"/>
      <c r="F1005" s="32"/>
      <c r="G1005" s="32">
        <f t="shared" si="287"/>
        <v>500</v>
      </c>
      <c r="H1005" s="12"/>
      <c r="I1005" s="12"/>
      <c r="J1005" s="12"/>
      <c r="K1005" s="12">
        <f t="shared" si="288"/>
        <v>500</v>
      </c>
      <c r="M1005" s="10">
        <v>4</v>
      </c>
      <c r="N1005" s="30" t="s">
        <v>96</v>
      </c>
      <c r="O1005" s="31">
        <f t="shared" si="294"/>
        <v>11089</v>
      </c>
      <c r="P1005" s="32">
        <f>650*6+9.5*6</f>
        <v>3957</v>
      </c>
      <c r="Q1005" s="32"/>
      <c r="R1005" s="32"/>
      <c r="S1005" s="32">
        <f t="shared" si="289"/>
        <v>3957</v>
      </c>
      <c r="T1005" s="12"/>
      <c r="U1005" s="12"/>
      <c r="V1005" s="12">
        <f>-111</f>
        <v>-111</v>
      </c>
      <c r="W1005" s="12">
        <f t="shared" si="290"/>
        <v>3846</v>
      </c>
      <c r="Y1005" s="10">
        <v>4</v>
      </c>
      <c r="Z1005" s="30" t="s">
        <v>96</v>
      </c>
      <c r="AA1005" s="31">
        <f t="shared" si="295"/>
        <v>11125</v>
      </c>
      <c r="AB1005" s="32">
        <f>216*650+8*670+872*15+9*229</f>
        <v>160901</v>
      </c>
      <c r="AC1005" s="32"/>
      <c r="AD1005" s="32"/>
      <c r="AE1005" s="32">
        <f t="shared" si="291"/>
        <v>160901</v>
      </c>
      <c r="AF1005" s="12"/>
      <c r="AG1005">
        <f>120*11+1.5*78+4.5*12</f>
        <v>1491</v>
      </c>
      <c r="AH1005" s="12"/>
      <c r="AI1005" s="12">
        <f t="shared" si="292"/>
        <v>162392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96</v>
      </c>
      <c r="C1006" s="83">
        <f>C1005+1</f>
        <v>11174</v>
      </c>
      <c r="D1006" s="32">
        <f>973*50+912*3+1050*4+872*3</f>
        <v>58202</v>
      </c>
      <c r="E1006" s="32"/>
      <c r="F1006" s="32"/>
      <c r="G1006" s="32">
        <f t="shared" si="287"/>
        <v>58202</v>
      </c>
      <c r="H1006" s="12"/>
      <c r="I1006" s="12"/>
      <c r="J1006" s="12"/>
      <c r="K1006" s="12">
        <f t="shared" si="288"/>
        <v>58202</v>
      </c>
      <c r="M1006" s="10">
        <v>5</v>
      </c>
      <c r="N1006" s="30" t="s">
        <v>96</v>
      </c>
      <c r="O1006" s="31">
        <f t="shared" si="294"/>
        <v>11090</v>
      </c>
      <c r="P1006" s="32">
        <f>650*7+9.5*7</f>
        <v>4616.5</v>
      </c>
      <c r="Q1006" s="32"/>
      <c r="R1006" s="32"/>
      <c r="S1006" s="32">
        <f t="shared" si="289"/>
        <v>4616.5</v>
      </c>
      <c r="T1006" s="12"/>
      <c r="U1006" s="12">
        <f>4.5*4</f>
        <v>18</v>
      </c>
      <c r="V1006" s="12"/>
      <c r="W1006" s="12">
        <f t="shared" si="290"/>
        <v>4634.5</v>
      </c>
      <c r="Y1006" s="10">
        <v>5</v>
      </c>
      <c r="Z1006" s="30" t="s">
        <v>96</v>
      </c>
      <c r="AA1006" s="31">
        <f t="shared" si="295"/>
        <v>11126</v>
      </c>
      <c r="AB1006" s="32">
        <f>650*108+229*4</f>
        <v>71116</v>
      </c>
      <c r="AC1006" s="32">
        <f>-108*6</f>
        <v>-648</v>
      </c>
      <c r="AD1006" s="32"/>
      <c r="AE1006" s="32">
        <f t="shared" ref="AE1006:AE1034" si="296">SUM(AB1006:AC1006)</f>
        <v>70468</v>
      </c>
      <c r="AF1006" s="12"/>
      <c r="AG1006" s="12">
        <f>111*35</f>
        <v>3885</v>
      </c>
      <c r="AH1006" s="12"/>
      <c r="AI1006" s="12">
        <f t="shared" si="292"/>
        <v>74353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96</v>
      </c>
      <c r="C1007" s="83">
        <f t="shared" ref="C1007:C1008" si="297">C1006+1</f>
        <v>11175</v>
      </c>
      <c r="D1007" s="32">
        <f>650*3+622*3+229</f>
        <v>4045</v>
      </c>
      <c r="E1007" s="32"/>
      <c r="F1007" s="32"/>
      <c r="G1007" s="32">
        <f t="shared" si="287"/>
        <v>4045</v>
      </c>
      <c r="H1007" s="12"/>
      <c r="I1007" s="12"/>
      <c r="J1007" s="12"/>
      <c r="K1007" s="12">
        <f t="shared" si="288"/>
        <v>4045</v>
      </c>
      <c r="M1007" s="10">
        <v>6</v>
      </c>
      <c r="N1007" s="30" t="s">
        <v>96</v>
      </c>
      <c r="O1007" s="31">
        <f t="shared" si="294"/>
        <v>11091</v>
      </c>
      <c r="P1007" s="32">
        <f>650*3+9.5*3</f>
        <v>1978.5</v>
      </c>
      <c r="Q1007" s="32"/>
      <c r="R1007" s="32"/>
      <c r="S1007" s="32">
        <f t="shared" si="289"/>
        <v>1978.5</v>
      </c>
      <c r="T1007" s="12"/>
      <c r="U1007" s="12"/>
      <c r="V1007" s="10"/>
      <c r="W1007" s="12">
        <f t="shared" si="290"/>
        <v>1978.5</v>
      </c>
      <c r="Y1007" s="10">
        <v>6</v>
      </c>
      <c r="Z1007" s="30" t="s">
        <v>96</v>
      </c>
      <c r="AA1007" s="31">
        <f t="shared" si="295"/>
        <v>11127</v>
      </c>
      <c r="AB1007" s="32">
        <f>650*40+973*2+622*6+912*2+1050*2+872*2+229*2+500*3</f>
        <v>39304</v>
      </c>
      <c r="AC1007" s="32"/>
      <c r="AD1007" s="32"/>
      <c r="AE1007" s="32">
        <f t="shared" si="296"/>
        <v>39304</v>
      </c>
      <c r="AF1007" s="12"/>
      <c r="AG1007" s="12"/>
      <c r="AH1007" s="10"/>
      <c r="AI1007" s="12">
        <f t="shared" si="292"/>
        <v>39304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96</v>
      </c>
      <c r="C1008" s="83">
        <f t="shared" si="297"/>
        <v>11176</v>
      </c>
      <c r="D1008" s="32">
        <f>650*27+622*7</f>
        <v>21904</v>
      </c>
      <c r="E1008" s="32"/>
      <c r="F1008" s="32"/>
      <c r="G1008" s="32">
        <f t="shared" si="287"/>
        <v>21904</v>
      </c>
      <c r="H1008" s="12"/>
      <c r="I1008" s="12"/>
      <c r="J1008" s="12"/>
      <c r="K1008" s="12">
        <f t="shared" si="288"/>
        <v>21904</v>
      </c>
      <c r="M1008" s="10">
        <v>7</v>
      </c>
      <c r="N1008" s="30" t="s">
        <v>96</v>
      </c>
      <c r="O1008" s="31">
        <f t="shared" si="294"/>
        <v>11092</v>
      </c>
      <c r="P1008" s="32">
        <f>650*11+872+650</f>
        <v>8672</v>
      </c>
      <c r="Q1008" s="32"/>
      <c r="R1008" s="32"/>
      <c r="S1008" s="32">
        <f t="shared" si="289"/>
        <v>8672</v>
      </c>
      <c r="T1008" s="12"/>
      <c r="U1008" s="12">
        <f>1.5*16+4.5*6</f>
        <v>51</v>
      </c>
      <c r="V1008" s="12"/>
      <c r="W1008" s="12">
        <f t="shared" si="290"/>
        <v>8723</v>
      </c>
      <c r="Y1008" s="10">
        <v>7</v>
      </c>
      <c r="Z1008" s="30" t="s">
        <v>96</v>
      </c>
      <c r="AA1008" s="31">
        <f t="shared" si="295"/>
        <v>11128</v>
      </c>
      <c r="AB1008" s="32">
        <f>650*7</f>
        <v>4550</v>
      </c>
      <c r="AC1008" s="32"/>
      <c r="AD1008" s="32"/>
      <c r="AE1008" s="32">
        <f t="shared" si="296"/>
        <v>4550</v>
      </c>
      <c r="AF1008" s="12"/>
      <c r="AG1008" s="58"/>
      <c r="AH1008" s="12"/>
      <c r="AI1008" s="12">
        <f t="shared" si="292"/>
        <v>4550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27</v>
      </c>
      <c r="D1009" s="32"/>
      <c r="E1009" s="32"/>
      <c r="F1009" s="32"/>
      <c r="G1009" s="32">
        <f t="shared" si="287"/>
        <v>0</v>
      </c>
      <c r="H1009" s="12"/>
      <c r="I1009" s="12"/>
      <c r="J1009" s="12"/>
      <c r="K1009" s="12">
        <f t="shared" si="288"/>
        <v>0</v>
      </c>
      <c r="M1009" s="10">
        <v>8</v>
      </c>
      <c r="N1009" s="30" t="s">
        <v>96</v>
      </c>
      <c r="O1009" s="31">
        <f t="shared" si="294"/>
        <v>11093</v>
      </c>
      <c r="P1009" s="32">
        <f>650*165+670*5+622*20+912*2+1050*2+229*6+650*2</f>
        <v>129638</v>
      </c>
      <c r="Q1009" s="32">
        <f>-194*6</f>
        <v>-1164</v>
      </c>
      <c r="R1009" s="32"/>
      <c r="S1009" s="32">
        <f t="shared" si="289"/>
        <v>128474</v>
      </c>
      <c r="T1009" s="12"/>
      <c r="U1009" s="12">
        <f>120*3+111*17+78*4</f>
        <v>2559</v>
      </c>
      <c r="V1009" s="12">
        <f>-84+-84*4+-42*3</f>
        <v>-546</v>
      </c>
      <c r="W1009" s="12">
        <f t="shared" si="290"/>
        <v>130487</v>
      </c>
      <c r="Y1009" s="10">
        <v>8</v>
      </c>
      <c r="Z1009" s="30" t="s">
        <v>96</v>
      </c>
      <c r="AA1009" s="31">
        <f t="shared" si="295"/>
        <v>11129</v>
      </c>
      <c r="AB1009" s="32">
        <f>650*6+622*2</f>
        <v>5144</v>
      </c>
      <c r="AC1009" s="32"/>
      <c r="AE1009" s="32">
        <f t="shared" si="296"/>
        <v>5144</v>
      </c>
      <c r="AF1009" s="12"/>
      <c r="AG1009" s="12"/>
      <c r="AH1009" s="12"/>
      <c r="AI1009" s="12">
        <f t="shared" si="292"/>
        <v>5144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87"/>
        <v>0</v>
      </c>
      <c r="H1010" s="12"/>
      <c r="I1010" s="12"/>
      <c r="J1010" s="12"/>
      <c r="K1010" s="12">
        <f t="shared" si="288"/>
        <v>0</v>
      </c>
      <c r="M1010" s="10">
        <v>9</v>
      </c>
      <c r="N1010" s="30"/>
      <c r="O1010" s="11" t="s">
        <v>27</v>
      </c>
      <c r="P1010" s="32"/>
      <c r="Q1010" s="32"/>
      <c r="R1010" s="32"/>
      <c r="S1010" s="32">
        <f t="shared" si="289"/>
        <v>0</v>
      </c>
      <c r="T1010" s="12"/>
      <c r="U1010" s="12"/>
      <c r="V1010" s="12"/>
      <c r="W1010" s="12">
        <f t="shared" si="290"/>
        <v>0</v>
      </c>
      <c r="Y1010" s="10">
        <v>9</v>
      </c>
      <c r="Z1010" s="30"/>
      <c r="AA1010" s="11" t="s">
        <v>27</v>
      </c>
      <c r="AB1010" s="32"/>
      <c r="AC1010" s="32"/>
      <c r="AD1010" s="32"/>
      <c r="AE1010" s="32">
        <f t="shared" si="296"/>
        <v>0</v>
      </c>
      <c r="AF1010" s="12"/>
      <c r="AH1010" s="12"/>
      <c r="AI1010" s="12">
        <f t="shared" si="29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87"/>
        <v>0</v>
      </c>
      <c r="H1011" s="12"/>
      <c r="I1011" s="12"/>
      <c r="J1011" s="12"/>
      <c r="K1011" s="12">
        <f t="shared" si="288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89"/>
        <v>0</v>
      </c>
      <c r="T1011" s="12"/>
      <c r="U1011" s="12"/>
      <c r="V1011" s="12"/>
      <c r="W1011" s="12">
        <f t="shared" si="29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6"/>
        <v>0</v>
      </c>
      <c r="AF1011" s="12"/>
      <c r="AG1011" s="12"/>
      <c r="AH1011" s="12"/>
      <c r="AI1011" s="12">
        <f t="shared" si="29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D1012" s="32"/>
      <c r="E1012" s="32"/>
      <c r="F1012" s="32"/>
      <c r="G1012" s="32">
        <f t="shared" si="287"/>
        <v>0</v>
      </c>
      <c r="H1012" s="12"/>
      <c r="I1012" s="12"/>
      <c r="J1012" s="12"/>
      <c r="K1012" s="12">
        <f t="shared" si="288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89"/>
        <v>0</v>
      </c>
      <c r="T1012" s="12"/>
      <c r="U1012" s="12"/>
      <c r="V1012" s="12"/>
      <c r="W1012" s="12">
        <f t="shared" si="29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96"/>
        <v>0</v>
      </c>
      <c r="AF1012" s="12"/>
      <c r="AG1012" s="12"/>
      <c r="AH1012" s="12"/>
      <c r="AI1012" s="12">
        <f t="shared" si="29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87"/>
        <v>0</v>
      </c>
      <c r="H1013" s="12"/>
      <c r="I1013" s="12"/>
      <c r="J1013" s="10"/>
      <c r="K1013" s="12">
        <f t="shared" si="288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89"/>
        <v>0</v>
      </c>
      <c r="T1013" s="12"/>
      <c r="U1013" s="12"/>
      <c r="V1013" s="12"/>
      <c r="W1013" s="12">
        <f t="shared" si="290"/>
        <v>0</v>
      </c>
      <c r="Y1013" s="10">
        <v>12</v>
      </c>
      <c r="Z1013" s="30"/>
      <c r="AB1013" s="32"/>
      <c r="AC1013" s="32"/>
      <c r="AD1013" s="32"/>
      <c r="AE1013" s="32">
        <f t="shared" si="296"/>
        <v>0</v>
      </c>
      <c r="AF1013" s="12"/>
      <c r="AG1013" s="12"/>
      <c r="AH1013" s="12"/>
      <c r="AI1013" s="12">
        <f t="shared" si="29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87"/>
        <v>0</v>
      </c>
      <c r="H1014" s="12"/>
      <c r="I1014" s="12"/>
      <c r="J1014" s="12"/>
      <c r="K1014" s="12">
        <f t="shared" si="288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89"/>
        <v>0</v>
      </c>
      <c r="T1014" s="12"/>
      <c r="U1014" s="12"/>
      <c r="V1014" s="12"/>
      <c r="W1014" s="12">
        <f t="shared" si="290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6"/>
        <v>0</v>
      </c>
      <c r="AF1014" s="12"/>
      <c r="AG1014" s="12"/>
      <c r="AH1014" s="12"/>
      <c r="AI1014" s="12">
        <f t="shared" si="29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87"/>
        <v>0</v>
      </c>
      <c r="H1015" s="12"/>
      <c r="I1015" s="12"/>
      <c r="J1015" s="12"/>
      <c r="K1015" s="12">
        <f t="shared" si="288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89"/>
        <v>0</v>
      </c>
      <c r="T1015" s="12"/>
      <c r="U1015" s="12"/>
      <c r="V1015" s="12"/>
      <c r="W1015" s="12">
        <f t="shared" si="29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6"/>
        <v>0</v>
      </c>
      <c r="AF1015" s="12"/>
      <c r="AG1015" s="12"/>
      <c r="AH1015" s="12"/>
      <c r="AI1015" s="12">
        <f t="shared" si="29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87"/>
        <v>0</v>
      </c>
      <c r="H1016" s="12"/>
      <c r="I1016" s="12"/>
      <c r="J1016" s="12"/>
      <c r="K1016" s="12">
        <f t="shared" si="288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89"/>
        <v>0</v>
      </c>
      <c r="T1016" s="12"/>
      <c r="U1016" s="12"/>
      <c r="V1016" s="12"/>
      <c r="W1016" s="12">
        <f t="shared" si="29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6"/>
        <v>0</v>
      </c>
      <c r="AF1016" s="12"/>
      <c r="AG1016" s="12"/>
      <c r="AH1016" s="12"/>
      <c r="AI1016" s="12">
        <f t="shared" si="29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87"/>
        <v>0</v>
      </c>
      <c r="H1017" s="12"/>
      <c r="I1017" s="12"/>
      <c r="J1017" s="12"/>
      <c r="K1017" s="12">
        <f t="shared" si="288"/>
        <v>0</v>
      </c>
      <c r="M1017" s="10">
        <v>16</v>
      </c>
      <c r="N1017" s="30"/>
      <c r="P1017" s="32"/>
      <c r="Q1017" s="32"/>
      <c r="R1017" s="32"/>
      <c r="S1017" s="32">
        <f t="shared" si="289"/>
        <v>0</v>
      </c>
      <c r="T1017" s="12"/>
      <c r="U1017" s="12"/>
      <c r="V1017" s="12"/>
      <c r="W1017" s="12">
        <f t="shared" si="29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96"/>
        <v>0</v>
      </c>
      <c r="AF1017" s="12"/>
      <c r="AG1017" s="12"/>
      <c r="AH1017" s="12"/>
      <c r="AI1017" s="12">
        <f t="shared" si="29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87"/>
        <v>0</v>
      </c>
      <c r="H1018" s="12"/>
      <c r="I1018" s="12"/>
      <c r="J1018" s="12"/>
      <c r="K1018" s="12">
        <f t="shared" si="288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89"/>
        <v>0</v>
      </c>
      <c r="T1018" s="12"/>
      <c r="U1018" s="12"/>
      <c r="V1018" s="12"/>
      <c r="W1018" s="12">
        <f t="shared" si="29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6"/>
        <v>0</v>
      </c>
      <c r="AF1018" s="12"/>
      <c r="AG1018" s="12"/>
      <c r="AH1018" s="12"/>
      <c r="AI1018" s="12">
        <f t="shared" si="29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87"/>
        <v>0</v>
      </c>
      <c r="H1019" s="12"/>
      <c r="I1019" s="12"/>
      <c r="J1019" s="12"/>
      <c r="K1019" s="12">
        <f t="shared" si="288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89"/>
        <v>0</v>
      </c>
      <c r="T1019" s="12"/>
      <c r="U1019" s="12"/>
      <c r="V1019" s="12"/>
      <c r="W1019" s="12">
        <f t="shared" si="290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6"/>
        <v>0</v>
      </c>
      <c r="AF1019" s="12"/>
      <c r="AG1019" s="12"/>
      <c r="AH1019" s="12"/>
      <c r="AI1019" s="12">
        <f t="shared" si="29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87"/>
        <v>0</v>
      </c>
      <c r="H1020" s="12"/>
      <c r="I1020" s="12"/>
      <c r="J1020" s="12"/>
      <c r="K1020" s="12">
        <f t="shared" si="288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89"/>
        <v>0</v>
      </c>
      <c r="T1020" s="12"/>
      <c r="U1020" s="12"/>
      <c r="V1020" s="12"/>
      <c r="W1020" s="12">
        <f t="shared" si="29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6"/>
        <v>0</v>
      </c>
      <c r="AF1020" s="12"/>
      <c r="AG1020" s="12"/>
      <c r="AH1020" s="12"/>
      <c r="AI1020" s="12">
        <f t="shared" si="29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87"/>
        <v>0</v>
      </c>
      <c r="H1021" s="12"/>
      <c r="I1021" s="12"/>
      <c r="J1021" s="12"/>
      <c r="K1021" s="12">
        <f t="shared" si="288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89"/>
        <v>0</v>
      </c>
      <c r="T1021" s="12"/>
      <c r="U1021" s="12"/>
      <c r="V1021" s="12"/>
      <c r="W1021" s="12">
        <f t="shared" si="290"/>
        <v>0</v>
      </c>
      <c r="Y1021" s="10">
        <v>20</v>
      </c>
      <c r="Z1021" s="30"/>
      <c r="AB1021" s="32"/>
      <c r="AC1021" s="32"/>
      <c r="AD1021" s="32"/>
      <c r="AE1021" s="32">
        <f t="shared" si="296"/>
        <v>0</v>
      </c>
      <c r="AF1021" s="12"/>
      <c r="AG1021" s="12"/>
      <c r="AH1021" s="12"/>
      <c r="AI1021" s="12">
        <f t="shared" si="29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87"/>
        <v>0</v>
      </c>
      <c r="H1022" s="10"/>
      <c r="I1022" s="10"/>
      <c r="J1022" s="10"/>
      <c r="K1022" s="12">
        <f t="shared" si="288"/>
        <v>0</v>
      </c>
      <c r="M1022" s="10">
        <v>21</v>
      </c>
      <c r="N1022" s="30"/>
      <c r="O1022" s="31"/>
      <c r="P1022" s="46"/>
      <c r="Q1022" s="31"/>
      <c r="R1022" s="31"/>
      <c r="S1022" s="32">
        <f t="shared" si="289"/>
        <v>0</v>
      </c>
      <c r="T1022" s="10"/>
      <c r="U1022" s="10"/>
      <c r="V1022" s="10"/>
      <c r="W1022" s="12">
        <f t="shared" si="29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6"/>
        <v>0</v>
      </c>
      <c r="AF1022" s="10"/>
      <c r="AG1022" s="10"/>
      <c r="AH1022" s="10"/>
      <c r="AI1022" s="12">
        <f t="shared" si="29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3"/>
      <c r="D1023" s="32"/>
      <c r="E1023" s="32"/>
      <c r="F1023" s="32"/>
      <c r="G1023" s="32">
        <f t="shared" si="287"/>
        <v>0</v>
      </c>
      <c r="H1023" s="10"/>
      <c r="I1023" s="10"/>
      <c r="J1023" s="10"/>
      <c r="K1023" s="12">
        <f t="shared" si="288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89"/>
        <v>0</v>
      </c>
      <c r="T1023" s="10"/>
      <c r="U1023" s="10"/>
      <c r="V1023" s="10"/>
      <c r="W1023" s="12">
        <f t="shared" si="29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6"/>
        <v>0</v>
      </c>
      <c r="AF1023" s="10"/>
      <c r="AG1023" s="10"/>
      <c r="AH1023" s="10"/>
      <c r="AI1023" s="12">
        <f t="shared" si="29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87"/>
        <v>0</v>
      </c>
      <c r="H1024" s="10"/>
      <c r="I1024" s="10"/>
      <c r="J1024" s="12"/>
      <c r="K1024" s="12">
        <f t="shared" si="288"/>
        <v>0</v>
      </c>
      <c r="M1024" s="10">
        <v>23</v>
      </c>
      <c r="N1024" s="30"/>
      <c r="O1024" s="31"/>
      <c r="P1024" s="47"/>
      <c r="Q1024" s="31"/>
      <c r="S1024" s="32">
        <f t="shared" si="289"/>
        <v>0</v>
      </c>
      <c r="T1024" s="10"/>
      <c r="U1024" s="10"/>
      <c r="V1024" s="10"/>
      <c r="W1024" s="12">
        <f t="shared" si="290"/>
        <v>0</v>
      </c>
      <c r="Y1024" s="10">
        <v>23</v>
      </c>
      <c r="Z1024" s="30"/>
      <c r="AA1024" s="31"/>
      <c r="AB1024" s="47"/>
      <c r="AE1024" s="32">
        <f t="shared" si="296"/>
        <v>0</v>
      </c>
      <c r="AF1024" s="10"/>
      <c r="AG1024" s="10"/>
      <c r="AH1024" s="10"/>
      <c r="AI1024" s="12">
        <f t="shared" si="29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87"/>
        <v>0</v>
      </c>
      <c r="H1025" s="10"/>
      <c r="I1025" s="10"/>
      <c r="J1025" s="10"/>
      <c r="K1025" s="12">
        <f t="shared" si="288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89"/>
        <v>0</v>
      </c>
      <c r="T1025" s="10"/>
      <c r="U1025" s="10"/>
      <c r="V1025" s="10"/>
      <c r="W1025" s="12">
        <f t="shared" si="29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6"/>
        <v>0</v>
      </c>
      <c r="AF1025" s="10"/>
      <c r="AG1025" s="10"/>
      <c r="AH1025" s="10"/>
      <c r="AI1025" s="12">
        <f t="shared" si="29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87"/>
        <v>0</v>
      </c>
      <c r="H1026" s="10"/>
      <c r="I1026" s="10"/>
      <c r="J1026" s="10"/>
      <c r="K1026" s="12">
        <f t="shared" si="288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89"/>
        <v>0</v>
      </c>
      <c r="T1026" s="10"/>
      <c r="U1026" s="10"/>
      <c r="V1026" s="10"/>
      <c r="W1026" s="12">
        <f t="shared" si="29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96"/>
        <v>0</v>
      </c>
      <c r="AF1026" s="10"/>
      <c r="AG1026" s="10"/>
      <c r="AH1026" s="10"/>
      <c r="AI1026" s="12">
        <f t="shared" si="29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87"/>
        <v>0</v>
      </c>
      <c r="H1027" s="10"/>
      <c r="I1027" s="10"/>
      <c r="J1027" s="10"/>
      <c r="K1027" s="12">
        <f t="shared" si="288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89"/>
        <v>0</v>
      </c>
      <c r="T1027" s="10"/>
      <c r="U1027" s="10"/>
      <c r="V1027" s="10"/>
      <c r="W1027" s="12">
        <f t="shared" si="29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96"/>
        <v>0</v>
      </c>
      <c r="AF1027" s="10"/>
      <c r="AG1027" s="10"/>
      <c r="AH1027" s="10"/>
      <c r="AI1027" s="12">
        <f t="shared" si="29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87"/>
        <v>0</v>
      </c>
      <c r="H1028" s="10"/>
      <c r="I1028" s="10"/>
      <c r="J1028" s="10"/>
      <c r="K1028" s="12">
        <f t="shared" si="288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89"/>
        <v>0</v>
      </c>
      <c r="T1028" s="10"/>
      <c r="U1028" s="10"/>
      <c r="V1028" s="10"/>
      <c r="W1028" s="12">
        <f t="shared" si="29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6"/>
        <v>0</v>
      </c>
      <c r="AF1028" s="10"/>
      <c r="AG1028" s="10"/>
      <c r="AH1028" s="10"/>
      <c r="AI1028" s="12">
        <f t="shared" si="29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87"/>
        <v>0</v>
      </c>
      <c r="H1029" s="10"/>
      <c r="I1029" s="10"/>
      <c r="J1029" s="10"/>
      <c r="K1029" s="12">
        <f t="shared" si="288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89"/>
        <v>0</v>
      </c>
      <c r="T1029" s="10"/>
      <c r="U1029" s="10"/>
      <c r="V1029" s="10"/>
      <c r="W1029" s="12">
        <f t="shared" si="29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6"/>
        <v>0</v>
      </c>
      <c r="AF1029" s="10"/>
      <c r="AG1029" s="10"/>
      <c r="AH1029" s="10"/>
      <c r="AI1029" s="12">
        <f t="shared" si="29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87"/>
        <v>0</v>
      </c>
      <c r="H1030" s="10"/>
      <c r="I1030" s="10"/>
      <c r="J1030" s="10"/>
      <c r="K1030" s="12">
        <f t="shared" si="288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89"/>
        <v>0</v>
      </c>
      <c r="T1030" s="10"/>
      <c r="U1030" s="10"/>
      <c r="V1030" s="10"/>
      <c r="W1030" s="12">
        <f t="shared" si="29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6"/>
        <v>0</v>
      </c>
      <c r="AF1030" s="10"/>
      <c r="AG1030" s="10"/>
      <c r="AH1030" s="10"/>
      <c r="AI1030" s="12">
        <f t="shared" si="29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87"/>
        <v>0</v>
      </c>
      <c r="H1031" s="10"/>
      <c r="I1031" s="10"/>
      <c r="J1031" s="10"/>
      <c r="K1031" s="12">
        <f t="shared" si="288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89"/>
        <v>0</v>
      </c>
      <c r="T1031" s="10"/>
      <c r="U1031" s="10"/>
      <c r="V1031" s="10"/>
      <c r="W1031" s="12">
        <f t="shared" si="290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96"/>
        <v>0</v>
      </c>
      <c r="AF1031" s="10"/>
      <c r="AG1031" s="10"/>
      <c r="AH1031" s="10"/>
      <c r="AI1031" s="12">
        <f t="shared" si="29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3"/>
      <c r="D1032" s="32"/>
      <c r="E1032" s="32"/>
      <c r="F1032" s="32"/>
      <c r="G1032" s="32">
        <f t="shared" si="287"/>
        <v>0</v>
      </c>
      <c r="H1032" s="10"/>
      <c r="I1032" s="10"/>
      <c r="J1032" s="10"/>
      <c r="K1032" s="12">
        <f t="shared" si="288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89"/>
        <v>0</v>
      </c>
      <c r="T1032" s="10"/>
      <c r="U1032" s="10"/>
      <c r="V1032" s="10"/>
      <c r="W1032" s="12">
        <f t="shared" si="29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96"/>
        <v>0</v>
      </c>
      <c r="AF1032" s="10"/>
      <c r="AG1032" s="10"/>
      <c r="AH1032" s="10"/>
      <c r="AI1032" s="12">
        <f t="shared" si="29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87"/>
        <v>0</v>
      </c>
      <c r="H1033" s="10"/>
      <c r="I1033" s="10"/>
      <c r="J1033" s="10"/>
      <c r="K1033" s="12">
        <f t="shared" si="288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89"/>
        <v>0</v>
      </c>
      <c r="T1033" s="10"/>
      <c r="U1033" s="10"/>
      <c r="V1033" s="10"/>
      <c r="W1033" s="12">
        <f t="shared" si="29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6"/>
        <v>0</v>
      </c>
      <c r="AF1033" s="10"/>
      <c r="AG1033" s="10"/>
      <c r="AH1033" s="10"/>
      <c r="AI1033" s="12">
        <f t="shared" si="29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87"/>
        <v>0</v>
      </c>
      <c r="H1034" s="10"/>
      <c r="I1034" s="10"/>
      <c r="J1034" s="10"/>
      <c r="K1034" s="12">
        <f t="shared" si="288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89"/>
        <v>0</v>
      </c>
      <c r="T1034" s="10"/>
      <c r="U1034" s="10"/>
      <c r="V1034" s="10"/>
      <c r="W1034" s="12">
        <f t="shared" si="29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6"/>
        <v>0</v>
      </c>
      <c r="AF1034" s="10"/>
      <c r="AG1034" s="10"/>
      <c r="AH1034" s="10"/>
      <c r="AI1034" s="12">
        <f t="shared" si="29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87"/>
        <v>0</v>
      </c>
      <c r="H1035" s="10"/>
      <c r="I1035" s="10"/>
      <c r="J1035" s="10"/>
      <c r="K1035" s="12">
        <f t="shared" si="288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89"/>
        <v>0</v>
      </c>
      <c r="T1035" s="10"/>
      <c r="U1035" s="10"/>
      <c r="V1035" s="10"/>
      <c r="W1035" s="12">
        <f t="shared" si="29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ref="AE1035:AE1040" si="298">SUM(AB1035:AC1035)</f>
        <v>0</v>
      </c>
      <c r="AF1035" s="10"/>
      <c r="AG1035" s="10"/>
      <c r="AH1035" s="10"/>
      <c r="AI1035" s="12">
        <f t="shared" si="29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89"/>
        <v>0</v>
      </c>
      <c r="T1036" s="10"/>
      <c r="U1036" s="10"/>
      <c r="V1036" s="10"/>
      <c r="W1036" s="12">
        <f t="shared" si="29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8"/>
        <v>0</v>
      </c>
      <c r="AF1036" s="10"/>
      <c r="AG1036" s="10"/>
      <c r="AH1036" s="10"/>
      <c r="AI1036" s="12">
        <f t="shared" si="29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89"/>
        <v>0</v>
      </c>
      <c r="T1037" s="10"/>
      <c r="U1037" s="10"/>
      <c r="V1037" s="10"/>
      <c r="W1037" s="12">
        <f t="shared" si="29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8"/>
        <v>0</v>
      </c>
      <c r="AF1037" s="10"/>
      <c r="AG1037" s="10"/>
      <c r="AH1037" s="10"/>
      <c r="AI1037" s="12">
        <f t="shared" si="29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89"/>
        <v>0</v>
      </c>
      <c r="T1038" s="10"/>
      <c r="U1038" s="10"/>
      <c r="V1038" s="10"/>
      <c r="W1038" s="12">
        <f t="shared" si="29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8"/>
        <v>0</v>
      </c>
      <c r="AF1038" s="10"/>
      <c r="AG1038" s="10"/>
      <c r="AH1038" s="10"/>
      <c r="AI1038" s="12">
        <f t="shared" si="29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89"/>
        <v>0</v>
      </c>
      <c r="T1039" s="10"/>
      <c r="U1039" s="10"/>
      <c r="V1039" s="10"/>
      <c r="W1039" s="12">
        <f t="shared" si="29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8"/>
        <v>0</v>
      </c>
      <c r="AF1039" s="10"/>
      <c r="AG1039" s="10"/>
      <c r="AH1039" s="10"/>
      <c r="AI1039" s="12">
        <f t="shared" si="29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89"/>
        <v>0</v>
      </c>
      <c r="T1040" s="10"/>
      <c r="U1040" s="10"/>
      <c r="V1040" s="10"/>
      <c r="W1040" s="12">
        <f t="shared" si="29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8"/>
        <v>0</v>
      </c>
      <c r="AF1040" s="10"/>
      <c r="AG1040" s="10"/>
      <c r="AH1040" s="10"/>
      <c r="AI1040" s="12">
        <f t="shared" si="29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9">SUM(D1042:E1042)</f>
        <v>0</v>
      </c>
      <c r="H1042" s="10"/>
      <c r="I1042" s="10"/>
      <c r="J1042" s="10"/>
      <c r="K1042" s="12">
        <f t="shared" ref="K1042" si="300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1">SUM(P1042:Q1042)</f>
        <v>0</v>
      </c>
      <c r="T1042" s="10"/>
      <c r="U1042" s="10"/>
      <c r="V1042" s="10"/>
      <c r="W1042" s="12">
        <f t="shared" si="290"/>
        <v>0</v>
      </c>
      <c r="Y1042" s="10"/>
      <c r="Z1042" s="30"/>
      <c r="AA1042" s="31"/>
      <c r="AB1042" s="47"/>
      <c r="AC1042" s="31"/>
      <c r="AD1042" s="31"/>
      <c r="AE1042" s="32">
        <f t="shared" ref="AE1042" si="302">SUM(AB1042:AC1042)</f>
        <v>0</v>
      </c>
      <c r="AF1042" s="10"/>
      <c r="AG1042" s="10"/>
      <c r="AH1042" s="10"/>
      <c r="AI1042" s="12">
        <f t="shared" si="29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388330</v>
      </c>
      <c r="E1045" s="38">
        <f t="shared" ref="E1045:F1045" si="303">SUM(E1002:E1042)</f>
        <v>0</v>
      </c>
      <c r="F1045" s="38">
        <f t="shared" si="303"/>
        <v>0</v>
      </c>
      <c r="G1045" s="38">
        <f>SUM(G1002:G1044)</f>
        <v>388330</v>
      </c>
      <c r="H1045" s="4"/>
      <c r="I1045" s="39">
        <f>SUM(I1002:I1044)</f>
        <v>24642</v>
      </c>
      <c r="J1045" s="39">
        <f>SUM(J1002:J1044)</f>
        <v>-29928</v>
      </c>
      <c r="K1045" s="40">
        <f>SUM(K1002:K1044)</f>
        <v>383044</v>
      </c>
      <c r="N1045" s="57"/>
      <c r="O1045" s="57"/>
      <c r="P1045" s="38">
        <f>SUM(P1002:P1044)</f>
        <v>200414.5</v>
      </c>
      <c r="Q1045" s="38">
        <f t="shared" ref="Q1045:R1045" si="304">SUM(Q1002:Q1042)</f>
        <v>-1164</v>
      </c>
      <c r="R1045" s="38">
        <f t="shared" si="304"/>
        <v>0</v>
      </c>
      <c r="S1045" s="38">
        <f t="shared" ref="S1045" si="305">SUM(S1002:S1044)</f>
        <v>199250.5</v>
      </c>
      <c r="T1045" s="4"/>
      <c r="U1045" s="39">
        <f t="shared" ref="U1045:W1045" si="306">SUM(U1002:U1044)</f>
        <v>2740.5</v>
      </c>
      <c r="V1045" s="39">
        <f t="shared" si="306"/>
        <v>-657</v>
      </c>
      <c r="W1045" s="40">
        <f t="shared" si="306"/>
        <v>201334</v>
      </c>
      <c r="Z1045" s="57"/>
      <c r="AA1045" s="57"/>
      <c r="AB1045" s="38">
        <f t="shared" ref="AB1045" si="307">SUM(AB1002:AB1044)</f>
        <v>340467</v>
      </c>
      <c r="AC1045" s="38">
        <f t="shared" ref="AC1045:AD1045" si="308">SUM(AC1002:AC1042)</f>
        <v>-648</v>
      </c>
      <c r="AD1045" s="38">
        <f t="shared" si="308"/>
        <v>0</v>
      </c>
      <c r="AE1045" s="38">
        <f t="shared" ref="AE1045" si="309">SUM(AE1002:AE1044)</f>
        <v>339819</v>
      </c>
      <c r="AF1045" s="4"/>
      <c r="AG1045" s="39">
        <f t="shared" ref="AG1045:AI1045" si="310">SUM(AG1002:AG1044)</f>
        <v>5454</v>
      </c>
      <c r="AH1045" s="39">
        <f t="shared" si="310"/>
        <v>-1110</v>
      </c>
      <c r="AI1045" s="40">
        <f t="shared" si="310"/>
        <v>344163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3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ht="15.75" x14ac:dyDescent="0.25">
      <c r="A1049" s="62"/>
      <c r="B1049" s="86"/>
      <c r="C1049" s="86"/>
      <c r="D1049" s="86"/>
      <c r="E1049" s="86"/>
      <c r="F1049" s="86"/>
      <c r="G1049" s="86"/>
      <c r="H1049" s="62"/>
      <c r="I1049" s="86"/>
      <c r="J1049" s="73"/>
      <c r="K1049" s="62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4"/>
      <c r="B1050" s="86"/>
      <c r="C1050" s="86"/>
      <c r="D1050" s="86"/>
      <c r="E1050" s="86"/>
      <c r="F1050" s="86"/>
      <c r="G1050" s="86"/>
      <c r="H1050" s="62"/>
      <c r="I1050" s="65"/>
      <c r="J1050" s="65"/>
      <c r="K1050" s="62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65"/>
      <c r="C1052" s="86"/>
      <c r="D1052" s="119"/>
      <c r="E1052" s="119"/>
      <c r="F1052" s="86"/>
      <c r="G1052" s="86"/>
      <c r="H1052" s="62"/>
      <c r="I1052" s="119"/>
      <c r="J1052" s="119"/>
      <c r="K1052" s="118"/>
      <c r="M1052" t="s">
        <v>50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50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79"/>
      <c r="E1053" s="80"/>
      <c r="F1053" s="81"/>
      <c r="G1053" s="81"/>
      <c r="H1053" s="62"/>
      <c r="I1053" s="85"/>
      <c r="J1053" s="85"/>
      <c r="K1053" s="118"/>
      <c r="M1053" s="21" t="s">
        <v>98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32</v>
      </c>
      <c r="W1053" s="24"/>
      <c r="Y1053" s="21" t="s">
        <v>98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33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6"/>
      <c r="C1054" s="84"/>
      <c r="D1054" s="60"/>
      <c r="E1054" s="60"/>
      <c r="F1054" s="60"/>
      <c r="G1054" s="60"/>
      <c r="H1054" s="61"/>
      <c r="I1054" s="61"/>
      <c r="J1054" s="61"/>
      <c r="K1054" s="61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6"/>
      <c r="D1055" s="60"/>
      <c r="E1055" s="60"/>
      <c r="F1055" s="60"/>
      <c r="G1055" s="60"/>
      <c r="H1055" s="61"/>
      <c r="I1055" s="61"/>
      <c r="J1055" s="61"/>
      <c r="K1055" s="61"/>
      <c r="N1055" s="25"/>
      <c r="O1055" s="26"/>
      <c r="P1055" s="124" t="s">
        <v>17</v>
      </c>
      <c r="Q1055" s="124"/>
      <c r="R1055" s="113"/>
      <c r="S1055" s="27"/>
      <c r="U1055" s="122" t="s">
        <v>18</v>
      </c>
      <c r="V1055" s="123"/>
      <c r="W1055" s="120" t="s">
        <v>19</v>
      </c>
      <c r="Z1055" s="25"/>
      <c r="AA1055" s="26"/>
      <c r="AB1055" s="124" t="s">
        <v>17</v>
      </c>
      <c r="AC1055" s="124"/>
      <c r="AD1055" s="113"/>
      <c r="AE1055" s="27"/>
      <c r="AG1055" s="122" t="s">
        <v>18</v>
      </c>
      <c r="AH1055" s="123"/>
      <c r="AI1055" s="120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31</v>
      </c>
      <c r="S1056" s="78" t="s">
        <v>24</v>
      </c>
      <c r="U1056" s="29" t="s">
        <v>25</v>
      </c>
      <c r="V1056" s="29" t="s">
        <v>26</v>
      </c>
      <c r="W1056" s="121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31</v>
      </c>
      <c r="AE1056" s="78" t="s">
        <v>24</v>
      </c>
      <c r="AG1056" s="29" t="s">
        <v>25</v>
      </c>
      <c r="AH1056" s="29" t="s">
        <v>26</v>
      </c>
      <c r="AI1056" s="121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M1057" s="10">
        <v>1</v>
      </c>
      <c r="N1057" s="30" t="s">
        <v>99</v>
      </c>
      <c r="O1057" s="31">
        <v>11094</v>
      </c>
      <c r="P1057" s="32">
        <f>650*80+670*3+622*10+229*2</f>
        <v>60688</v>
      </c>
      <c r="Q1057" s="32"/>
      <c r="R1057" s="32"/>
      <c r="S1057" s="32">
        <f>SUM(P1057:Q1057)</f>
        <v>60688</v>
      </c>
      <c r="T1057" s="12"/>
      <c r="U1057" s="12"/>
      <c r="V1057" s="12">
        <f>-111*15+-84*7</f>
        <v>-2253</v>
      </c>
      <c r="W1057" s="12">
        <f>SUM(S1057:V1057)</f>
        <v>58435</v>
      </c>
      <c r="Y1057" s="10">
        <v>1</v>
      </c>
      <c r="Z1057" s="30" t="s">
        <v>99</v>
      </c>
      <c r="AA1057" s="31">
        <v>11131</v>
      </c>
      <c r="AB1057" s="32">
        <f>200*761+781*20+10*1093+50*733+10*1032+10*1170+20*992+5*992+10*620</f>
        <v>268420</v>
      </c>
      <c r="AC1057" s="32"/>
      <c r="AD1057" s="32"/>
      <c r="AE1057" s="32">
        <f>SUM(AB1057:AC1057)</f>
        <v>268420</v>
      </c>
      <c r="AF1057" s="12"/>
      <c r="AG1057" s="12"/>
      <c r="AH1057" s="12">
        <f>-120+-111*39+-84*265</f>
        <v>-26709</v>
      </c>
      <c r="AI1057" s="12">
        <f>SUM(AE1057:AH1057)</f>
        <v>241711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M1058" s="10">
        <v>2</v>
      </c>
      <c r="N1058" s="30" t="s">
        <v>99</v>
      </c>
      <c r="O1058" s="31">
        <f>O1057+1</f>
        <v>11095</v>
      </c>
      <c r="P1058" s="32">
        <f>650*108+622*50+229*4</f>
        <v>102216</v>
      </c>
      <c r="Q1058" s="32">
        <f>-158*6</f>
        <v>-948</v>
      </c>
      <c r="R1058" s="32"/>
      <c r="S1058" s="32">
        <f t="shared" ref="S1058:S1095" si="311">SUM(P1058:Q1058)</f>
        <v>101268</v>
      </c>
      <c r="T1058" s="12"/>
      <c r="U1058" s="12">
        <f>111*60+1.5*96</f>
        <v>6804</v>
      </c>
      <c r="V1058" s="12"/>
      <c r="W1058" s="12">
        <f t="shared" ref="W1058:W1098" si="312">SUM(S1058:V1058)</f>
        <v>108072</v>
      </c>
      <c r="Y1058" s="10">
        <v>2</v>
      </c>
      <c r="Z1058" s="30" t="s">
        <v>99</v>
      </c>
      <c r="AA1058" s="31">
        <f>AA1057+1</f>
        <v>11132</v>
      </c>
      <c r="AB1058" s="32">
        <f>811*10+1175*4+1175+1175+1102+650*5+620*5</f>
        <v>22612</v>
      </c>
      <c r="AC1058" s="32"/>
      <c r="AD1058" s="32"/>
      <c r="AE1058" s="32">
        <f t="shared" ref="AE1058:AE1060" si="313">SUM(AB1058:AC1058)</f>
        <v>22612</v>
      </c>
      <c r="AF1058" s="12"/>
      <c r="AG1058" s="12"/>
      <c r="AH1058" s="12"/>
      <c r="AI1058" s="12">
        <f t="shared" ref="AI1058:AI1098" si="314">SUM(AE1058:AH1058)</f>
        <v>22612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M1059" s="10">
        <v>3</v>
      </c>
      <c r="N1059" s="30" t="s">
        <v>99</v>
      </c>
      <c r="O1059" s="31">
        <f t="shared" ref="O1059:O1064" si="315">O1058+1</f>
        <v>11096</v>
      </c>
      <c r="P1059" s="32">
        <f>650*216+229*9</f>
        <v>142461</v>
      </c>
      <c r="Q1059" s="32">
        <f>-216*6</f>
        <v>-1296</v>
      </c>
      <c r="R1059" s="32"/>
      <c r="S1059" s="32">
        <f t="shared" si="311"/>
        <v>141165</v>
      </c>
      <c r="T1059" s="12"/>
      <c r="U1059" s="12">
        <f>56*111+78*7</f>
        <v>6762</v>
      </c>
      <c r="V1059" s="12">
        <f>-84*14+-42*6</f>
        <v>-1428</v>
      </c>
      <c r="W1059" s="12">
        <f t="shared" si="312"/>
        <v>146499</v>
      </c>
      <c r="Y1059" s="10">
        <v>3</v>
      </c>
      <c r="Z1059" s="30" t="s">
        <v>99</v>
      </c>
      <c r="AA1059" s="31">
        <f t="shared" ref="AA1059:AA1064" si="316">AA1058+1</f>
        <v>11133</v>
      </c>
      <c r="AB1059" s="33">
        <f>650*5+622*2</f>
        <v>4494</v>
      </c>
      <c r="AC1059" s="33"/>
      <c r="AD1059" s="32"/>
      <c r="AE1059" s="32">
        <f t="shared" si="313"/>
        <v>4494</v>
      </c>
      <c r="AF1059" s="12"/>
      <c r="AG1059" s="12"/>
      <c r="AH1059" s="12">
        <f>-111*12</f>
        <v>-1332</v>
      </c>
      <c r="AI1059" s="12">
        <f t="shared" si="314"/>
        <v>3162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M1060" s="10">
        <v>4</v>
      </c>
      <c r="N1060" s="30" t="s">
        <v>99</v>
      </c>
      <c r="O1060" s="31">
        <f t="shared" si="315"/>
        <v>11097</v>
      </c>
      <c r="P1060" s="32">
        <f>650+622</f>
        <v>1272</v>
      </c>
      <c r="Q1060" s="32"/>
      <c r="R1060" s="32"/>
      <c r="S1060" s="32">
        <f t="shared" si="311"/>
        <v>1272</v>
      </c>
      <c r="T1060" s="12"/>
      <c r="U1060" s="12"/>
      <c r="V1060" s="12"/>
      <c r="W1060" s="12">
        <f t="shared" si="312"/>
        <v>1272</v>
      </c>
      <c r="Y1060" s="10">
        <v>4</v>
      </c>
      <c r="Z1060" s="30"/>
      <c r="AA1060" s="11" t="s">
        <v>27</v>
      </c>
      <c r="AB1060" s="32"/>
      <c r="AC1060" s="32"/>
      <c r="AD1060" s="32"/>
      <c r="AE1060" s="32">
        <f t="shared" si="313"/>
        <v>0</v>
      </c>
      <c r="AF1060" s="12"/>
      <c r="AH1060" s="12"/>
      <c r="AI1060" s="12">
        <f t="shared" si="314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M1061" s="10">
        <v>5</v>
      </c>
      <c r="N1061" s="30" t="s">
        <v>99</v>
      </c>
      <c r="O1061" s="31">
        <f t="shared" si="315"/>
        <v>11098</v>
      </c>
      <c r="P1061" s="32">
        <f>650*30+622*5</f>
        <v>22610</v>
      </c>
      <c r="Q1061" s="32"/>
      <c r="R1061" s="32"/>
      <c r="S1061" s="32">
        <f t="shared" si="311"/>
        <v>22610</v>
      </c>
      <c r="T1061" s="12"/>
      <c r="U1061" s="12">
        <f>4.5*2</f>
        <v>9</v>
      </c>
      <c r="V1061" s="12"/>
      <c r="W1061" s="12">
        <f t="shared" si="312"/>
        <v>22619</v>
      </c>
      <c r="Y1061" s="10">
        <v>5</v>
      </c>
      <c r="Z1061" s="30"/>
      <c r="AA1061" s="31"/>
      <c r="AB1061" s="32"/>
      <c r="AC1061" s="32"/>
      <c r="AD1061" s="32"/>
      <c r="AE1061" s="32">
        <f t="shared" ref="AE1061:AE1089" si="317">SUM(AB1061:AC1061)</f>
        <v>0</v>
      </c>
      <c r="AF1061" s="12"/>
      <c r="AG1061" s="12"/>
      <c r="AH1061" s="12"/>
      <c r="AI1061" s="12">
        <f t="shared" si="314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M1062" s="10">
        <v>6</v>
      </c>
      <c r="N1062" s="30"/>
      <c r="O1062" s="11" t="s">
        <v>27</v>
      </c>
      <c r="P1062" s="32"/>
      <c r="Q1062" s="32"/>
      <c r="R1062" s="32"/>
      <c r="S1062" s="32">
        <f t="shared" si="311"/>
        <v>0</v>
      </c>
      <c r="T1062" s="12"/>
      <c r="U1062" s="12"/>
      <c r="V1062" s="10"/>
      <c r="W1062" s="12">
        <f t="shared" si="312"/>
        <v>0</v>
      </c>
      <c r="Y1062" s="10">
        <v>6</v>
      </c>
      <c r="Z1062" s="30"/>
      <c r="AA1062" s="31"/>
      <c r="AB1062" s="32"/>
      <c r="AC1062" s="32"/>
      <c r="AD1062" s="32"/>
      <c r="AE1062" s="32">
        <f t="shared" si="317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M1063" s="10">
        <v>7</v>
      </c>
      <c r="N1063" s="30"/>
      <c r="O1063" s="31"/>
      <c r="P1063" s="32"/>
      <c r="Q1063" s="32"/>
      <c r="R1063" s="32"/>
      <c r="S1063" s="32">
        <f t="shared" si="311"/>
        <v>0</v>
      </c>
      <c r="T1063" s="12"/>
      <c r="U1063" s="12"/>
      <c r="V1063" s="12"/>
      <c r="W1063" s="12">
        <f t="shared" si="312"/>
        <v>0</v>
      </c>
      <c r="Y1063" s="10">
        <v>7</v>
      </c>
      <c r="Z1063" s="30"/>
      <c r="AA1063" s="31"/>
      <c r="AB1063" s="32"/>
      <c r="AC1063" s="32"/>
      <c r="AD1063" s="32"/>
      <c r="AE1063" s="32">
        <f t="shared" si="317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M1064" s="10">
        <v>8</v>
      </c>
      <c r="N1064" s="30"/>
      <c r="O1064" s="31"/>
      <c r="P1064" s="32"/>
      <c r="Q1064" s="32"/>
      <c r="R1064" s="32"/>
      <c r="S1064" s="32">
        <f t="shared" si="311"/>
        <v>0</v>
      </c>
      <c r="T1064" s="12"/>
      <c r="U1064" s="12"/>
      <c r="V1064" s="12"/>
      <c r="W1064" s="12">
        <f t="shared" si="312"/>
        <v>0</v>
      </c>
      <c r="Y1064" s="10">
        <v>8</v>
      </c>
      <c r="Z1064" s="30"/>
      <c r="AA1064" s="31"/>
      <c r="AB1064" s="32"/>
      <c r="AC1064" s="32"/>
      <c r="AE1064" s="32">
        <f t="shared" si="317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2"/>
      <c r="K1065" s="61"/>
      <c r="M1065" s="10">
        <v>9</v>
      </c>
      <c r="N1065" s="30"/>
      <c r="P1065" s="32"/>
      <c r="Q1065" s="32"/>
      <c r="R1065" s="32"/>
      <c r="S1065" s="32">
        <f t="shared" si="311"/>
        <v>0</v>
      </c>
      <c r="T1065" s="12"/>
      <c r="U1065" s="12"/>
      <c r="V1065" s="12"/>
      <c r="W1065" s="12">
        <f t="shared" si="312"/>
        <v>0</v>
      </c>
      <c r="Y1065" s="10">
        <v>9</v>
      </c>
      <c r="Z1065" s="30"/>
      <c r="AB1065" s="32"/>
      <c r="AC1065" s="32"/>
      <c r="AD1065" s="32"/>
      <c r="AE1065" s="32">
        <f t="shared" si="317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M1066" s="10">
        <v>10</v>
      </c>
      <c r="N1066" s="30"/>
      <c r="O1066" s="31"/>
      <c r="P1066" s="32"/>
      <c r="Q1066" s="32"/>
      <c r="R1066" s="32"/>
      <c r="S1066" s="32">
        <f t="shared" si="311"/>
        <v>0</v>
      </c>
      <c r="T1066" s="12"/>
      <c r="U1066" s="12"/>
      <c r="V1066" s="12"/>
      <c r="W1066" s="12">
        <f t="shared" si="312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317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65"/>
      <c r="D1067" s="60"/>
      <c r="E1067" s="60"/>
      <c r="F1067" s="60"/>
      <c r="G1067" s="60"/>
      <c r="H1067" s="61"/>
      <c r="I1067" s="61"/>
      <c r="J1067" s="61"/>
      <c r="K1067" s="61"/>
      <c r="M1067" s="10">
        <v>11</v>
      </c>
      <c r="N1067" s="30"/>
      <c r="O1067" s="31"/>
      <c r="P1067" s="32"/>
      <c r="Q1067" s="32"/>
      <c r="R1067" s="32"/>
      <c r="S1067" s="32">
        <f t="shared" si="311"/>
        <v>0</v>
      </c>
      <c r="T1067" s="12"/>
      <c r="U1067" s="12"/>
      <c r="V1067" s="12"/>
      <c r="W1067" s="12">
        <f t="shared" si="312"/>
        <v>0</v>
      </c>
      <c r="Y1067" s="10">
        <v>11</v>
      </c>
      <c r="Z1067" s="30"/>
      <c r="AA1067" s="31"/>
      <c r="AB1067" s="32"/>
      <c r="AC1067" s="32"/>
      <c r="AD1067" s="32"/>
      <c r="AE1067" s="32">
        <f t="shared" si="317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M1068" s="10">
        <v>12</v>
      </c>
      <c r="N1068" s="30"/>
      <c r="O1068" s="31"/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B1068" s="32"/>
      <c r="AC1068" s="32"/>
      <c r="AD1068" s="32"/>
      <c r="AE1068" s="32">
        <f t="shared" si="317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7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7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7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M1072" s="10">
        <v>16</v>
      </c>
      <c r="N1072" s="30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A1072" s="11"/>
      <c r="AB1072" s="32"/>
      <c r="AC1072" s="32"/>
      <c r="AD1072" s="32"/>
      <c r="AE1072" s="32">
        <f t="shared" si="317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7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2"/>
      <c r="I1074" s="62"/>
      <c r="J1074" s="62"/>
      <c r="K1074" s="61"/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7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7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1"/>
      <c r="K1076" s="61"/>
      <c r="M1076" s="10">
        <v>20</v>
      </c>
      <c r="N1076" s="30"/>
      <c r="O1076" s="31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B1076" s="32"/>
      <c r="AC1076" s="32"/>
      <c r="AD1076" s="32"/>
      <c r="AE1076" s="32">
        <f t="shared" si="317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M1077" s="10">
        <v>21</v>
      </c>
      <c r="N1077" s="30"/>
      <c r="O1077" s="31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7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7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M1079" s="10">
        <v>23</v>
      </c>
      <c r="N1079" s="30"/>
      <c r="O1079" s="31"/>
      <c r="P1079" s="47"/>
      <c r="Q1079" s="31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7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7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M1081" s="10">
        <v>25</v>
      </c>
      <c r="N1081" s="30"/>
      <c r="O1081" s="31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7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M1082" s="10">
        <v>26</v>
      </c>
      <c r="N1082" s="30"/>
      <c r="O1082" s="31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7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7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4"/>
      <c r="D1084" s="60"/>
      <c r="E1084" s="60"/>
      <c r="F1084" s="60"/>
      <c r="G1084" s="60"/>
      <c r="H1084" s="62"/>
      <c r="I1084" s="62"/>
      <c r="J1084" s="62"/>
      <c r="K1084" s="61"/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7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M1085" s="10">
        <v>29</v>
      </c>
      <c r="N1085" s="30"/>
      <c r="O1085" s="31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7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M1086" s="10">
        <v>30</v>
      </c>
      <c r="N1086" s="30"/>
      <c r="O1086" s="31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7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7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M1088" s="10">
        <v>32</v>
      </c>
      <c r="N1088" s="30"/>
      <c r="O1088" s="31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7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7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6"/>
      <c r="D1090" s="60"/>
      <c r="E1090" s="60"/>
      <c r="F1090" s="60"/>
      <c r="G1090" s="60"/>
      <c r="H1090" s="62"/>
      <c r="I1090" s="62"/>
      <c r="J1090" s="62"/>
      <c r="K1090" s="61"/>
      <c r="M1090" s="10">
        <v>34</v>
      </c>
      <c r="N1090" s="30"/>
      <c r="O1090" s="31"/>
      <c r="P1090" s="47"/>
      <c r="Q1090" s="31"/>
      <c r="R1090" s="31"/>
      <c r="S1090" s="32">
        <f t="shared" si="311"/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8">SUM(AB1090:AC1090)</f>
        <v>0</v>
      </c>
      <c r="AF1090" s="10"/>
      <c r="AG1090" s="10"/>
      <c r="AH1090" s="10"/>
      <c r="AI1090" s="12">
        <f t="shared" si="314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M1091" s="10">
        <v>35</v>
      </c>
      <c r="N1091" s="30"/>
      <c r="O1091" s="31"/>
      <c r="P1091" s="47"/>
      <c r="Q1091" s="31"/>
      <c r="R1091" s="31"/>
      <c r="S1091" s="32">
        <f t="shared" si="311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4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M1092" s="10">
        <v>36</v>
      </c>
      <c r="N1092" s="30"/>
      <c r="O1092" s="31"/>
      <c r="P1092" s="47"/>
      <c r="Q1092" s="31"/>
      <c r="R1092" s="31"/>
      <c r="S1092" s="32">
        <f t="shared" si="311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4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M1093" s="10">
        <v>37</v>
      </c>
      <c r="N1093" s="30"/>
      <c r="P1093" s="47"/>
      <c r="Q1093" s="31"/>
      <c r="R1093" s="31"/>
      <c r="S1093" s="32">
        <f t="shared" si="311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4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M1094" s="10">
        <v>38</v>
      </c>
      <c r="N1094" s="30"/>
      <c r="O1094" s="31"/>
      <c r="P1094" s="47"/>
      <c r="Q1094" s="31"/>
      <c r="R1094" s="31"/>
      <c r="S1094" s="32">
        <f t="shared" si="311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4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66"/>
      <c r="D1095" s="60"/>
      <c r="E1095" s="60"/>
      <c r="F1095" s="60"/>
      <c r="G1095" s="60"/>
      <c r="H1095" s="62"/>
      <c r="I1095" s="62"/>
      <c r="J1095" s="62"/>
      <c r="K1095" s="61"/>
      <c r="M1095" s="10">
        <v>39</v>
      </c>
      <c r="N1095" s="30"/>
      <c r="O1095" s="31"/>
      <c r="P1095" s="47"/>
      <c r="Q1095" s="31"/>
      <c r="R1095" s="31"/>
      <c r="S1095" s="32">
        <f t="shared" si="311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4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86"/>
      <c r="C1096" s="86"/>
      <c r="D1096" s="86"/>
      <c r="E1096" s="86"/>
      <c r="F1096" s="86"/>
      <c r="G1096" s="86"/>
      <c r="H1096" s="62"/>
      <c r="I1096" s="62"/>
      <c r="J1096" s="62"/>
      <c r="K1096" s="6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4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70"/>
      <c r="E1097" s="70"/>
      <c r="F1097" s="70"/>
      <c r="G1097" s="70"/>
      <c r="H1097" s="63"/>
      <c r="I1097" s="70"/>
      <c r="J1097" s="70"/>
      <c r="K1097" s="70"/>
      <c r="M1097" s="10"/>
      <c r="N1097" s="30"/>
      <c r="O1097" s="31"/>
      <c r="P1097" s="47"/>
      <c r="Q1097" s="31"/>
      <c r="R1097" s="31"/>
      <c r="S1097" s="32">
        <f t="shared" ref="S1097" si="319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0">SUM(AB1097:AC1097)</f>
        <v>0</v>
      </c>
      <c r="AF1097" s="10"/>
      <c r="AG1097" s="10"/>
      <c r="AH1097" s="10"/>
      <c r="AI1097" s="12">
        <f t="shared" si="314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2"/>
      <c r="C1098" s="62"/>
      <c r="D1098" s="62"/>
      <c r="E1098" s="62"/>
      <c r="F1098" s="62"/>
      <c r="G1098" s="62"/>
      <c r="H1098" s="62"/>
      <c r="I1098" s="62"/>
      <c r="J1098" s="62"/>
      <c r="K1098" s="6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4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N1100" s="57"/>
      <c r="O1100" s="57"/>
      <c r="P1100" s="38">
        <f>SUM(P1057:P1099)</f>
        <v>329247</v>
      </c>
      <c r="Q1100" s="38">
        <f t="shared" ref="Q1100:R1100" si="321">SUM(Q1057:Q1097)</f>
        <v>-2244</v>
      </c>
      <c r="R1100" s="38">
        <f t="shared" si="321"/>
        <v>0</v>
      </c>
      <c r="S1100" s="38">
        <f t="shared" ref="S1100" si="322">SUM(S1057:S1099)</f>
        <v>327003</v>
      </c>
      <c r="T1100" s="4"/>
      <c r="U1100" s="39">
        <f t="shared" ref="U1100:W1100" si="323">SUM(U1057:U1099)</f>
        <v>13575</v>
      </c>
      <c r="V1100" s="39">
        <f t="shared" si="323"/>
        <v>-3681</v>
      </c>
      <c r="W1100" s="40">
        <f t="shared" si="323"/>
        <v>336897</v>
      </c>
      <c r="Z1100" s="57"/>
      <c r="AA1100" s="57"/>
      <c r="AB1100" s="38">
        <f t="shared" ref="AB1100" si="324">SUM(AB1057:AB1099)</f>
        <v>295526</v>
      </c>
      <c r="AC1100" s="38">
        <f t="shared" ref="AC1100:AD1100" si="325">SUM(AC1057:AC1097)</f>
        <v>0</v>
      </c>
      <c r="AD1100" s="38">
        <f t="shared" si="325"/>
        <v>0</v>
      </c>
      <c r="AE1100" s="38">
        <f t="shared" ref="AE1100" si="326">SUM(AE1057:AE1099)</f>
        <v>295526</v>
      </c>
      <c r="AF1100" s="4"/>
      <c r="AG1100" s="39">
        <f t="shared" ref="AG1100:AI1100" si="327">SUM(AG1057:AG1099)</f>
        <v>0</v>
      </c>
      <c r="AH1100" s="39">
        <f t="shared" si="327"/>
        <v>-28041</v>
      </c>
      <c r="AI1100" s="40">
        <f t="shared" si="327"/>
        <v>267485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3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3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3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ht="15.75" x14ac:dyDescent="0.25">
      <c r="A1104" s="62"/>
      <c r="B1104" s="86"/>
      <c r="C1104" s="86"/>
      <c r="D1104" s="86"/>
      <c r="E1104" s="86"/>
      <c r="F1104" s="86"/>
      <c r="G1104" s="86"/>
      <c r="H1104" s="62"/>
      <c r="I1104" s="86"/>
      <c r="J1104" s="73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86"/>
      <c r="V1104" s="73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86"/>
      <c r="AH1104" s="86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4"/>
      <c r="B1105" s="86"/>
      <c r="C1105" s="86"/>
      <c r="D1105" s="86"/>
      <c r="E1105" s="86"/>
      <c r="F1105" s="86"/>
      <c r="G1105" s="86"/>
      <c r="H1105" s="62"/>
      <c r="I1105" s="65"/>
      <c r="J1105" s="65"/>
      <c r="K1105" s="62"/>
      <c r="L1105" s="62"/>
      <c r="M1105" s="64"/>
      <c r="N1105" s="86"/>
      <c r="O1105" s="86"/>
      <c r="P1105" s="86"/>
      <c r="Q1105" s="86"/>
      <c r="R1105" s="86"/>
      <c r="S1105" s="86"/>
      <c r="T1105" s="62"/>
      <c r="U1105" s="65"/>
      <c r="V1105" s="65"/>
      <c r="W1105" s="62"/>
      <c r="X1105" s="62"/>
      <c r="Y1105" s="64"/>
      <c r="Z1105" s="86"/>
      <c r="AA1105" s="86"/>
      <c r="AB1105" s="86"/>
      <c r="AC1105" s="86"/>
      <c r="AD1105" s="86"/>
      <c r="AE1105" s="86"/>
      <c r="AF1105" s="62"/>
      <c r="AG1105" s="65"/>
      <c r="AH1105" s="65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65"/>
      <c r="C1107" s="86"/>
      <c r="D1107" s="119"/>
      <c r="E1107" s="119"/>
      <c r="F1107" s="86"/>
      <c r="G1107" s="86"/>
      <c r="H1107" s="62"/>
      <c r="I1107" s="119"/>
      <c r="J1107" s="119"/>
      <c r="K1107" s="118"/>
      <c r="L1107" s="62"/>
      <c r="M1107" s="62"/>
      <c r="N1107" s="65"/>
      <c r="O1107" s="86"/>
      <c r="P1107" s="119"/>
      <c r="Q1107" s="119"/>
      <c r="R1107" s="86"/>
      <c r="S1107" s="86"/>
      <c r="T1107" s="62"/>
      <c r="U1107" s="119"/>
      <c r="V1107" s="119"/>
      <c r="W1107" s="118"/>
      <c r="X1107" s="62"/>
      <c r="Y1107" s="62"/>
      <c r="Z1107" s="65"/>
      <c r="AA1107" s="86"/>
      <c r="AB1107" s="119"/>
      <c r="AC1107" s="119"/>
      <c r="AD1107" s="86"/>
      <c r="AE1107" s="86"/>
      <c r="AF1107" s="62"/>
      <c r="AG1107" s="119"/>
      <c r="AH1107" s="119"/>
      <c r="AI1107" s="118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79"/>
      <c r="E1108" s="80"/>
      <c r="F1108" s="81"/>
      <c r="G1108" s="81"/>
      <c r="H1108" s="62"/>
      <c r="I1108" s="85"/>
      <c r="J1108" s="85"/>
      <c r="K1108" s="118"/>
      <c r="L1108" s="62"/>
      <c r="M1108" s="62"/>
      <c r="N1108" s="86"/>
      <c r="O1108" s="86"/>
      <c r="P1108" s="79"/>
      <c r="Q1108" s="81"/>
      <c r="R1108" s="81"/>
      <c r="S1108" s="81"/>
      <c r="T1108" s="62"/>
      <c r="U1108" s="85"/>
      <c r="V1108" s="85"/>
      <c r="W1108" s="118"/>
      <c r="X1108" s="62"/>
      <c r="Y1108" s="62"/>
      <c r="Z1108" s="86"/>
      <c r="AA1108" s="86"/>
      <c r="AB1108" s="79"/>
      <c r="AC1108" s="81"/>
      <c r="AD1108" s="81"/>
      <c r="AE1108" s="81"/>
      <c r="AF1108" s="62"/>
      <c r="AG1108" s="85"/>
      <c r="AH1108" s="85"/>
      <c r="AI1108" s="118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6"/>
      <c r="C1109" s="84"/>
      <c r="D1109" s="60"/>
      <c r="E1109" s="60"/>
      <c r="F1109" s="60"/>
      <c r="G1109" s="60"/>
      <c r="H1109" s="61"/>
      <c r="I1109" s="61"/>
      <c r="J1109" s="61"/>
      <c r="K1109" s="61"/>
      <c r="L1109" s="62"/>
      <c r="M1109" s="62"/>
      <c r="N1109" s="66"/>
      <c r="O1109" s="86"/>
      <c r="P1109" s="60"/>
      <c r="Q1109" s="60"/>
      <c r="R1109" s="60"/>
      <c r="S1109" s="60"/>
      <c r="T1109" s="61"/>
      <c r="U1109" s="61"/>
      <c r="V1109" s="61"/>
      <c r="W1109" s="61"/>
      <c r="X1109" s="62"/>
      <c r="Y1109" s="62"/>
      <c r="Z1109" s="66"/>
      <c r="AA1109" s="86"/>
      <c r="AB1109" s="60"/>
      <c r="AC1109" s="60"/>
      <c r="AD1109" s="60"/>
      <c r="AE1109" s="60"/>
      <c r="AF1109" s="61"/>
      <c r="AG1109" s="61"/>
      <c r="AH1109" s="61"/>
      <c r="AI1109" s="61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6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65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2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2"/>
      <c r="W1114" s="61"/>
      <c r="X1114" s="62"/>
      <c r="Y1114" s="62"/>
      <c r="Z1114" s="66"/>
      <c r="AA1114" s="65"/>
      <c r="AB1114" s="60"/>
      <c r="AC1114" s="60"/>
      <c r="AD1114" s="60"/>
      <c r="AE1114" s="60"/>
      <c r="AF1114" s="61"/>
      <c r="AG1114" s="61"/>
      <c r="AH1114" s="62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62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2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2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65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2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62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2"/>
      <c r="I1129" s="62"/>
      <c r="J1129" s="62"/>
      <c r="K1129" s="61"/>
      <c r="L1129" s="62"/>
      <c r="M1129" s="62"/>
      <c r="N1129" s="66"/>
      <c r="O1129" s="86"/>
      <c r="P1129" s="67"/>
      <c r="Q1129" s="86"/>
      <c r="R1129" s="86"/>
      <c r="S1129" s="60"/>
      <c r="T1129" s="62"/>
      <c r="U1129" s="62"/>
      <c r="V1129" s="62"/>
      <c r="W1129" s="61"/>
      <c r="X1129" s="62"/>
      <c r="Y1129" s="62"/>
      <c r="Z1129" s="66"/>
      <c r="AA1129" s="62"/>
      <c r="AB1129" s="67"/>
      <c r="AC1129" s="86"/>
      <c r="AD1129" s="86"/>
      <c r="AE1129" s="60"/>
      <c r="AF1129" s="62"/>
      <c r="AG1129" s="62"/>
      <c r="AH1129" s="62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8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86"/>
      <c r="AB1130" s="68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1"/>
      <c r="K1131" s="61"/>
      <c r="L1131" s="62"/>
      <c r="M1131" s="62"/>
      <c r="N1131" s="66"/>
      <c r="O1131" s="86"/>
      <c r="P1131" s="69"/>
      <c r="Q1131" s="86"/>
      <c r="R1131" s="62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9"/>
      <c r="AC1131" s="86"/>
      <c r="AD1131" s="62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9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9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62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62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6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62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62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6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86"/>
      <c r="O1150" s="86"/>
      <c r="P1150" s="86"/>
      <c r="Q1150" s="86"/>
      <c r="R1150" s="86"/>
      <c r="S1150" s="86"/>
      <c r="T1150" s="62"/>
      <c r="U1150" s="62"/>
      <c r="V1150" s="62"/>
      <c r="W1150" s="61"/>
      <c r="X1150" s="62"/>
      <c r="Y1150" s="62"/>
      <c r="Z1150" s="86"/>
      <c r="AA1150" s="86"/>
      <c r="AB1150" s="86"/>
      <c r="AC1150" s="86"/>
      <c r="AD1150" s="86"/>
      <c r="AE1150" s="86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86"/>
      <c r="C1151" s="86"/>
      <c r="D1151" s="86"/>
      <c r="E1151" s="86"/>
      <c r="F1151" s="86"/>
      <c r="G1151" s="86"/>
      <c r="H1151" s="62"/>
      <c r="I1151" s="62"/>
      <c r="J1151" s="62"/>
      <c r="K1151" s="62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2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2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70"/>
      <c r="E1152" s="70"/>
      <c r="F1152" s="70"/>
      <c r="G1152" s="70"/>
      <c r="H1152" s="63"/>
      <c r="I1152" s="70"/>
      <c r="J1152" s="70"/>
      <c r="K1152" s="70"/>
      <c r="L1152" s="62"/>
      <c r="M1152" s="62"/>
      <c r="N1152" s="86"/>
      <c r="O1152" s="86"/>
      <c r="P1152" s="70"/>
      <c r="Q1152" s="70"/>
      <c r="R1152" s="70"/>
      <c r="S1152" s="70"/>
      <c r="T1152" s="63"/>
      <c r="U1152" s="71"/>
      <c r="V1152" s="71"/>
      <c r="W1152" s="71"/>
      <c r="X1152" s="62"/>
      <c r="Y1152" s="62"/>
      <c r="Z1152" s="86"/>
      <c r="AA1152" s="86"/>
      <c r="AB1152" s="70"/>
      <c r="AC1152" s="70"/>
      <c r="AD1152" s="70"/>
      <c r="AE1152" s="70"/>
      <c r="AF1152" s="63"/>
      <c r="AG1152" s="71"/>
      <c r="AH1152" s="71"/>
      <c r="AI1152" s="7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2"/>
      <c r="C1153" s="62"/>
      <c r="D1153" s="62"/>
      <c r="E1153" s="62"/>
      <c r="F1153" s="62"/>
      <c r="G1153" s="62"/>
      <c r="H1153" s="62"/>
      <c r="I1153" s="62"/>
      <c r="J1153" s="62"/>
      <c r="K1153" s="62"/>
      <c r="L1153" s="62"/>
      <c r="M1153" s="62"/>
      <c r="N1153" s="62"/>
      <c r="O1153" s="62"/>
      <c r="P1153" s="62"/>
      <c r="Q1153" s="62"/>
      <c r="R1153" s="62"/>
      <c r="S1153" s="62"/>
      <c r="T1153" s="62"/>
      <c r="U1153" s="62"/>
      <c r="V1153" s="62"/>
      <c r="W1153" s="62"/>
      <c r="X1153" s="62"/>
      <c r="Y1153" s="62"/>
      <c r="Z1153" s="62"/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3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3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3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ht="15.75" x14ac:dyDescent="0.25">
      <c r="A1159" s="62"/>
      <c r="B1159" s="86"/>
      <c r="C1159" s="86"/>
      <c r="D1159" s="86"/>
      <c r="E1159" s="86"/>
      <c r="F1159" s="86"/>
      <c r="G1159" s="86"/>
      <c r="H1159" s="62"/>
      <c r="I1159" s="86"/>
      <c r="J1159" s="73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86"/>
      <c r="V1159" s="73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86"/>
      <c r="AH1159" s="86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4"/>
      <c r="B1160" s="86"/>
      <c r="C1160" s="86"/>
      <c r="D1160" s="86"/>
      <c r="E1160" s="86"/>
      <c r="F1160" s="86"/>
      <c r="G1160" s="86"/>
      <c r="H1160" s="62"/>
      <c r="I1160" s="65"/>
      <c r="J1160" s="65"/>
      <c r="K1160" s="62"/>
      <c r="L1160" s="62"/>
      <c r="M1160" s="64"/>
      <c r="N1160" s="86"/>
      <c r="O1160" s="86"/>
      <c r="P1160" s="86"/>
      <c r="Q1160" s="86"/>
      <c r="R1160" s="86"/>
      <c r="S1160" s="86"/>
      <c r="T1160" s="62"/>
      <c r="U1160" s="65"/>
      <c r="V1160" s="65"/>
      <c r="W1160" s="62"/>
      <c r="X1160" s="62"/>
      <c r="Y1160" s="64"/>
      <c r="Z1160" s="86"/>
      <c r="AA1160" s="86"/>
      <c r="AB1160" s="86"/>
      <c r="AC1160" s="86"/>
      <c r="AD1160" s="86"/>
      <c r="AE1160" s="86"/>
      <c r="AF1160" s="62"/>
      <c r="AG1160" s="65"/>
      <c r="AH1160" s="65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65"/>
      <c r="C1162" s="86"/>
      <c r="D1162" s="119"/>
      <c r="E1162" s="119"/>
      <c r="F1162" s="86"/>
      <c r="G1162" s="86"/>
      <c r="H1162" s="62"/>
      <c r="I1162" s="119"/>
      <c r="J1162" s="119"/>
      <c r="K1162" s="118"/>
      <c r="L1162" s="62"/>
      <c r="M1162" s="62"/>
      <c r="N1162" s="65"/>
      <c r="O1162" s="86"/>
      <c r="P1162" s="119"/>
      <c r="Q1162" s="119"/>
      <c r="R1162" s="86"/>
      <c r="S1162" s="86"/>
      <c r="T1162" s="62"/>
      <c r="U1162" s="119"/>
      <c r="V1162" s="119"/>
      <c r="W1162" s="118"/>
      <c r="X1162" s="62"/>
      <c r="Y1162" s="62"/>
      <c r="Z1162" s="65"/>
      <c r="AA1162" s="86"/>
      <c r="AB1162" s="119"/>
      <c r="AC1162" s="119"/>
      <c r="AD1162" s="86"/>
      <c r="AE1162" s="86"/>
      <c r="AF1162" s="62"/>
      <c r="AG1162" s="119"/>
      <c r="AH1162" s="119"/>
      <c r="AI1162" s="118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79"/>
      <c r="E1163" s="80"/>
      <c r="F1163" s="81"/>
      <c r="G1163" s="81"/>
      <c r="H1163" s="62"/>
      <c r="I1163" s="85"/>
      <c r="J1163" s="85"/>
      <c r="K1163" s="118"/>
      <c r="L1163" s="62"/>
      <c r="M1163" s="62"/>
      <c r="N1163" s="86"/>
      <c r="O1163" s="86"/>
      <c r="P1163" s="79"/>
      <c r="Q1163" s="81"/>
      <c r="R1163" s="81"/>
      <c r="S1163" s="81"/>
      <c r="T1163" s="62"/>
      <c r="U1163" s="85"/>
      <c r="V1163" s="85"/>
      <c r="W1163" s="118"/>
      <c r="X1163" s="62"/>
      <c r="Y1163" s="62"/>
      <c r="Z1163" s="86"/>
      <c r="AA1163" s="86"/>
      <c r="AB1163" s="79"/>
      <c r="AC1163" s="81"/>
      <c r="AD1163" s="81"/>
      <c r="AE1163" s="81"/>
      <c r="AF1163" s="62"/>
      <c r="AG1163" s="85"/>
      <c r="AH1163" s="85"/>
      <c r="AI1163" s="118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6"/>
      <c r="C1164" s="86"/>
      <c r="D1164" s="60"/>
      <c r="E1164" s="60"/>
      <c r="F1164" s="60"/>
      <c r="G1164" s="60"/>
      <c r="H1164" s="61"/>
      <c r="I1164" s="61"/>
      <c r="J1164" s="61"/>
      <c r="K1164" s="61"/>
      <c r="L1164" s="62"/>
      <c r="M1164" s="62"/>
      <c r="N1164" s="66"/>
      <c r="O1164" s="86"/>
      <c r="P1164" s="60"/>
      <c r="Q1164" s="60"/>
      <c r="R1164" s="60"/>
      <c r="S1164" s="60"/>
      <c r="T1164" s="61"/>
      <c r="U1164" s="61"/>
      <c r="V1164" s="61"/>
      <c r="W1164" s="61"/>
      <c r="X1164" s="62"/>
      <c r="Y1164" s="62"/>
      <c r="Z1164" s="66"/>
      <c r="AA1164" s="86"/>
      <c r="AB1164" s="60"/>
      <c r="AC1164" s="60"/>
      <c r="AD1164" s="60"/>
      <c r="AE1164" s="60"/>
      <c r="AF1164" s="61"/>
      <c r="AG1164" s="61"/>
      <c r="AH1164" s="61"/>
      <c r="AI1164" s="61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2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65"/>
      <c r="P1169" s="60"/>
      <c r="Q1169" s="60"/>
      <c r="R1169" s="60"/>
      <c r="S1169" s="60"/>
      <c r="T1169" s="61"/>
      <c r="U1169" s="61"/>
      <c r="V1169" s="62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2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65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2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82"/>
      <c r="AC1172" s="60"/>
      <c r="AD1172" s="60"/>
      <c r="AE1172" s="60"/>
      <c r="AF1172" s="61"/>
      <c r="AG1172" s="62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62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65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2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2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62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2"/>
      <c r="I1184" s="62"/>
      <c r="J1184" s="62"/>
      <c r="K1184" s="61"/>
      <c r="L1184" s="62"/>
      <c r="M1184" s="62"/>
      <c r="N1184" s="66"/>
      <c r="O1184" s="62"/>
      <c r="P1184" s="67"/>
      <c r="Q1184" s="86"/>
      <c r="R1184" s="86"/>
      <c r="S1184" s="60"/>
      <c r="T1184" s="62"/>
      <c r="U1184" s="62"/>
      <c r="V1184" s="62"/>
      <c r="W1184" s="61"/>
      <c r="X1184" s="62"/>
      <c r="Y1184" s="62"/>
      <c r="Z1184" s="66"/>
      <c r="AA1184" s="86"/>
      <c r="AB1184" s="67"/>
      <c r="AC1184" s="86"/>
      <c r="AD1184" s="86"/>
      <c r="AE1184" s="60"/>
      <c r="AF1184" s="62"/>
      <c r="AG1184" s="62"/>
      <c r="AH1184" s="62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86"/>
      <c r="P1185" s="68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8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1"/>
      <c r="K1186" s="61"/>
      <c r="L1186" s="62"/>
      <c r="M1186" s="62"/>
      <c r="N1186" s="66"/>
      <c r="O1186" s="86"/>
      <c r="P1186" s="69"/>
      <c r="Q1186" s="86"/>
      <c r="R1186" s="62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9"/>
      <c r="AC1186" s="62"/>
      <c r="AD1186" s="62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9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62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65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62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62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86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62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6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86"/>
      <c r="O1205" s="86"/>
      <c r="P1205" s="86"/>
      <c r="Q1205" s="86"/>
      <c r="R1205" s="86"/>
      <c r="S1205" s="86"/>
      <c r="T1205" s="62"/>
      <c r="U1205" s="62"/>
      <c r="V1205" s="62"/>
      <c r="W1205" s="61"/>
      <c r="X1205" s="62"/>
      <c r="Y1205" s="62"/>
      <c r="Z1205" s="86"/>
      <c r="AA1205" s="86"/>
      <c r="AB1205" s="86"/>
      <c r="AC1205" s="86"/>
      <c r="AD1205" s="86"/>
      <c r="AE1205" s="86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86"/>
      <c r="C1206" s="86"/>
      <c r="D1206" s="86"/>
      <c r="E1206" s="86"/>
      <c r="F1206" s="86"/>
      <c r="G1206" s="86"/>
      <c r="H1206" s="62"/>
      <c r="I1206" s="62"/>
      <c r="J1206" s="62"/>
      <c r="K1206" s="62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2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2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70"/>
      <c r="E1207" s="70"/>
      <c r="F1207" s="70"/>
      <c r="G1207" s="70"/>
      <c r="H1207" s="63"/>
      <c r="I1207" s="70"/>
      <c r="J1207" s="70"/>
      <c r="K1207" s="70"/>
      <c r="L1207" s="62"/>
      <c r="M1207" s="62"/>
      <c r="N1207" s="86"/>
      <c r="O1207" s="86"/>
      <c r="P1207" s="70"/>
      <c r="Q1207" s="70"/>
      <c r="R1207" s="70"/>
      <c r="S1207" s="70"/>
      <c r="T1207" s="63"/>
      <c r="U1207" s="71"/>
      <c r="V1207" s="71"/>
      <c r="W1207" s="71"/>
      <c r="X1207" s="62"/>
      <c r="Y1207" s="62"/>
      <c r="Z1207" s="86"/>
      <c r="AA1207" s="86"/>
      <c r="AB1207" s="70"/>
      <c r="AC1207" s="70"/>
      <c r="AD1207" s="70"/>
      <c r="AE1207" s="70"/>
      <c r="AF1207" s="63"/>
      <c r="AG1207" s="71"/>
      <c r="AH1207" s="71"/>
      <c r="AI1207" s="7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2"/>
      <c r="C1208" s="62"/>
      <c r="D1208" s="62"/>
      <c r="E1208" s="62"/>
      <c r="F1208" s="62"/>
      <c r="G1208" s="62"/>
      <c r="H1208" s="62"/>
      <c r="I1208" s="62"/>
      <c r="J1208" s="62"/>
      <c r="K1208" s="62"/>
      <c r="L1208" s="62"/>
      <c r="M1208" s="62"/>
      <c r="N1208" s="62"/>
      <c r="O1208" s="62"/>
      <c r="P1208" s="62"/>
      <c r="Q1208" s="62"/>
      <c r="R1208" s="62"/>
      <c r="S1208" s="62"/>
      <c r="T1208" s="62"/>
      <c r="U1208" s="62"/>
      <c r="V1208" s="62"/>
      <c r="W1208" s="62"/>
      <c r="X1208" s="62"/>
      <c r="Y1208" s="62"/>
      <c r="Z1208" s="62"/>
      <c r="AA1208" s="62"/>
      <c r="AB1208" s="62"/>
      <c r="AC1208" s="62"/>
      <c r="AD1208" s="62"/>
      <c r="AE1208" s="62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86"/>
      <c r="E1210" s="86"/>
      <c r="F1210" s="86"/>
      <c r="G1210" s="86"/>
      <c r="H1210" s="62"/>
      <c r="I1210" s="62"/>
      <c r="J1210" s="62"/>
      <c r="K1210" s="62"/>
      <c r="L1210" s="62"/>
      <c r="M1210" s="62"/>
      <c r="N1210" s="86"/>
      <c r="O1210" s="86"/>
      <c r="P1210" s="86"/>
      <c r="Q1210" s="86"/>
      <c r="R1210" s="86"/>
      <c r="S1210" s="86"/>
      <c r="T1210" s="62"/>
      <c r="U1210" s="62"/>
      <c r="V1210" s="62"/>
      <c r="W1210" s="62"/>
      <c r="X1210" s="62"/>
      <c r="Y1210" s="62"/>
      <c r="Z1210" s="86"/>
      <c r="AA1210" s="86"/>
      <c r="AB1210" s="86"/>
      <c r="AC1210" s="86"/>
      <c r="AD1210" s="86"/>
      <c r="AE1210" s="86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3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3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3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ht="15.75" x14ac:dyDescent="0.25">
      <c r="A1215" s="62"/>
      <c r="B1215" s="86"/>
      <c r="C1215" s="86"/>
      <c r="D1215" s="86"/>
      <c r="E1215" s="86"/>
      <c r="F1215" s="86"/>
      <c r="G1215" s="86"/>
      <c r="H1215" s="62"/>
      <c r="I1215" s="86"/>
      <c r="J1215" s="73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86"/>
      <c r="V1215" s="73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86"/>
      <c r="AH1215" s="86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4"/>
      <c r="B1216" s="86"/>
      <c r="C1216" s="86"/>
      <c r="D1216" s="86"/>
      <c r="E1216" s="86"/>
      <c r="F1216" s="86"/>
      <c r="G1216" s="86"/>
      <c r="H1216" s="62"/>
      <c r="I1216" s="65"/>
      <c r="J1216" s="65"/>
      <c r="K1216" s="62"/>
      <c r="L1216" s="62"/>
      <c r="M1216" s="64"/>
      <c r="N1216" s="86"/>
      <c r="O1216" s="86"/>
      <c r="P1216" s="86"/>
      <c r="Q1216" s="86"/>
      <c r="R1216" s="86"/>
      <c r="S1216" s="86"/>
      <c r="T1216" s="62"/>
      <c r="U1216" s="65"/>
      <c r="V1216" s="65"/>
      <c r="W1216" s="62"/>
      <c r="X1216" s="62"/>
      <c r="Y1216" s="64"/>
      <c r="Z1216" s="86"/>
      <c r="AA1216" s="86"/>
      <c r="AB1216" s="86"/>
      <c r="AC1216" s="86"/>
      <c r="AD1216" s="86"/>
      <c r="AE1216" s="86"/>
      <c r="AF1216" s="62"/>
      <c r="AG1216" s="65"/>
      <c r="AH1216" s="65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65"/>
      <c r="C1218" s="86"/>
      <c r="D1218" s="119"/>
      <c r="E1218" s="119"/>
      <c r="F1218" s="86"/>
      <c r="G1218" s="86"/>
      <c r="H1218" s="62"/>
      <c r="I1218" s="119"/>
      <c r="J1218" s="119"/>
      <c r="K1218" s="118"/>
      <c r="L1218" s="62"/>
      <c r="M1218" s="62"/>
      <c r="N1218" s="65"/>
      <c r="O1218" s="86"/>
      <c r="P1218" s="119"/>
      <c r="Q1218" s="119"/>
      <c r="R1218" s="86"/>
      <c r="S1218" s="86"/>
      <c r="T1218" s="62"/>
      <c r="U1218" s="119"/>
      <c r="V1218" s="119"/>
      <c r="W1218" s="118"/>
      <c r="X1218" s="62"/>
      <c r="Y1218" s="62"/>
      <c r="Z1218" s="65"/>
      <c r="AA1218" s="86"/>
      <c r="AB1218" s="119"/>
      <c r="AC1218" s="119"/>
      <c r="AD1218" s="86"/>
      <c r="AE1218" s="86"/>
      <c r="AF1218" s="62"/>
      <c r="AG1218" s="119"/>
      <c r="AH1218" s="119"/>
      <c r="AI1218" s="118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79"/>
      <c r="E1219" s="80"/>
      <c r="F1219" s="81"/>
      <c r="G1219" s="81"/>
      <c r="H1219" s="62"/>
      <c r="I1219" s="85"/>
      <c r="J1219" s="85"/>
      <c r="K1219" s="118"/>
      <c r="L1219" s="62"/>
      <c r="M1219" s="62"/>
      <c r="N1219" s="86"/>
      <c r="O1219" s="86"/>
      <c r="P1219" s="79"/>
      <c r="Q1219" s="81"/>
      <c r="R1219" s="81"/>
      <c r="S1219" s="81"/>
      <c r="T1219" s="62"/>
      <c r="U1219" s="85"/>
      <c r="V1219" s="85"/>
      <c r="W1219" s="118"/>
      <c r="X1219" s="62"/>
      <c r="Y1219" s="62"/>
      <c r="Z1219" s="86"/>
      <c r="AA1219" s="86"/>
      <c r="AB1219" s="79"/>
      <c r="AC1219" s="80"/>
      <c r="AD1219" s="81"/>
      <c r="AE1219" s="81"/>
      <c r="AF1219" s="62"/>
      <c r="AG1219" s="85"/>
      <c r="AH1219" s="85"/>
      <c r="AI1219" s="118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6"/>
      <c r="C1220" s="86"/>
      <c r="D1220" s="60"/>
      <c r="E1220" s="60"/>
      <c r="F1220" s="60"/>
      <c r="G1220" s="60"/>
      <c r="H1220" s="61"/>
      <c r="I1220" s="61"/>
      <c r="J1220" s="61"/>
      <c r="K1220" s="61"/>
      <c r="L1220" s="62"/>
      <c r="M1220" s="62"/>
      <c r="N1220" s="66"/>
      <c r="O1220" s="86"/>
      <c r="P1220" s="60"/>
      <c r="Q1220" s="60"/>
      <c r="R1220" s="60"/>
      <c r="S1220" s="60"/>
      <c r="T1220" s="61"/>
      <c r="U1220" s="61"/>
      <c r="V1220" s="61"/>
      <c r="W1220" s="61"/>
      <c r="X1220" s="62"/>
      <c r="Y1220" s="62"/>
      <c r="Z1220" s="66"/>
      <c r="AA1220" s="86"/>
      <c r="AB1220" s="60"/>
      <c r="AC1220" s="60"/>
      <c r="AD1220" s="60"/>
      <c r="AE1220" s="60"/>
      <c r="AF1220" s="61"/>
      <c r="AG1220" s="61"/>
      <c r="AH1220" s="61"/>
      <c r="AI1220" s="6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65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2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2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6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2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2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2"/>
      <c r="I1240" s="62"/>
      <c r="J1240" s="62"/>
      <c r="K1240" s="61"/>
      <c r="L1240" s="62"/>
      <c r="M1240" s="62"/>
      <c r="N1240" s="66"/>
      <c r="O1240" s="86"/>
      <c r="P1240" s="67"/>
      <c r="Q1240" s="86"/>
      <c r="R1240" s="86"/>
      <c r="S1240" s="60"/>
      <c r="T1240" s="62"/>
      <c r="U1240" s="62"/>
      <c r="V1240" s="62"/>
      <c r="W1240" s="61"/>
      <c r="X1240" s="62"/>
      <c r="Y1240" s="62"/>
      <c r="Z1240" s="66"/>
      <c r="AA1240" s="62"/>
      <c r="AB1240" s="60"/>
      <c r="AC1240" s="60"/>
      <c r="AD1240" s="60"/>
      <c r="AE1240" s="60"/>
      <c r="AF1240" s="62"/>
      <c r="AG1240" s="62"/>
      <c r="AH1240" s="62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65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8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1"/>
      <c r="K1242" s="61"/>
      <c r="L1242" s="62"/>
      <c r="M1242" s="62"/>
      <c r="N1242" s="66"/>
      <c r="O1242" s="62"/>
      <c r="P1242" s="69"/>
      <c r="Q1242" s="62"/>
      <c r="R1242" s="62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9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62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62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6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62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6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86"/>
      <c r="O1269" s="86"/>
      <c r="P1269" s="86"/>
      <c r="Q1269" s="86"/>
      <c r="R1269" s="86"/>
      <c r="S1269" s="86"/>
      <c r="T1269" s="62"/>
      <c r="U1269" s="62"/>
      <c r="V1269" s="62"/>
      <c r="W1269" s="61"/>
      <c r="X1269" s="62"/>
      <c r="Y1269" s="62"/>
      <c r="Z1269" s="66"/>
      <c r="AA1269" s="6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86"/>
      <c r="C1270" s="86"/>
      <c r="D1270" s="86"/>
      <c r="E1270" s="86"/>
      <c r="F1270" s="86"/>
      <c r="G1270" s="86"/>
      <c r="H1270" s="62"/>
      <c r="I1270" s="62"/>
      <c r="J1270" s="62"/>
      <c r="K1270" s="62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2"/>
      <c r="X1270" s="62"/>
      <c r="Y1270" s="62"/>
      <c r="Z1270" s="86"/>
      <c r="AA1270" s="86"/>
      <c r="AB1270" s="86"/>
      <c r="AC1270" s="86"/>
      <c r="AD1270" s="86"/>
      <c r="AE1270" s="86"/>
      <c r="AF1270" s="62"/>
      <c r="AG1270" s="62"/>
      <c r="AH1270" s="62"/>
      <c r="AI1270" s="62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70"/>
      <c r="E1271" s="70"/>
      <c r="F1271" s="70"/>
      <c r="G1271" s="70"/>
      <c r="H1271" s="63"/>
      <c r="I1271" s="70"/>
      <c r="J1271" s="70"/>
      <c r="K1271" s="70"/>
      <c r="L1271" s="62"/>
      <c r="M1271" s="62"/>
      <c r="N1271" s="86"/>
      <c r="O1271" s="86"/>
      <c r="P1271" s="70"/>
      <c r="Q1271" s="70"/>
      <c r="R1271" s="70"/>
      <c r="S1271" s="70"/>
      <c r="T1271" s="63"/>
      <c r="U1271" s="71"/>
      <c r="V1271" s="71"/>
      <c r="W1271" s="71"/>
      <c r="X1271" s="62"/>
      <c r="Y1271" s="62"/>
      <c r="Z1271" s="86"/>
      <c r="AA1271" s="86"/>
      <c r="AB1271" s="70"/>
      <c r="AC1271" s="70"/>
      <c r="AD1271" s="70"/>
      <c r="AE1271" s="70"/>
      <c r="AF1271" s="63"/>
      <c r="AG1271" s="70"/>
      <c r="AH1271" s="70"/>
      <c r="AI1271" s="70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2"/>
      <c r="C1272" s="62"/>
      <c r="D1272" s="62"/>
      <c r="E1272" s="62"/>
      <c r="F1272" s="62"/>
      <c r="G1272" s="62"/>
      <c r="H1272" s="62"/>
      <c r="I1272" s="62"/>
      <c r="J1272" s="62"/>
      <c r="K1272" s="62"/>
      <c r="L1272" s="62"/>
      <c r="M1272" s="62"/>
      <c r="N1272" s="62"/>
      <c r="O1272" s="62"/>
      <c r="P1272" s="62"/>
      <c r="Q1272" s="62"/>
      <c r="R1272" s="62"/>
      <c r="S1272" s="62"/>
      <c r="T1272" s="62"/>
      <c r="U1272" s="62"/>
      <c r="V1272" s="62"/>
      <c r="W1272" s="62"/>
      <c r="X1272" s="62"/>
      <c r="Y1272" s="62"/>
      <c r="Z1272" s="62"/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3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3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3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ht="15.75" x14ac:dyDescent="0.25">
      <c r="A1277" s="62"/>
      <c r="B1277" s="86"/>
      <c r="C1277" s="86"/>
      <c r="D1277" s="86"/>
      <c r="E1277" s="86"/>
      <c r="F1277" s="86"/>
      <c r="G1277" s="86"/>
      <c r="H1277" s="62"/>
      <c r="I1277" s="86"/>
      <c r="J1277" s="73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86"/>
      <c r="V1277" s="73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86"/>
      <c r="AH1277" s="86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4"/>
      <c r="B1278" s="86"/>
      <c r="C1278" s="86"/>
      <c r="D1278" s="86"/>
      <c r="E1278" s="86"/>
      <c r="F1278" s="86"/>
      <c r="G1278" s="86"/>
      <c r="H1278" s="62"/>
      <c r="I1278" s="65"/>
      <c r="J1278" s="65"/>
      <c r="K1278" s="62"/>
      <c r="L1278" s="62"/>
      <c r="M1278" s="64"/>
      <c r="N1278" s="86"/>
      <c r="O1278" s="86"/>
      <c r="P1278" s="86"/>
      <c r="Q1278" s="86"/>
      <c r="R1278" s="86"/>
      <c r="S1278" s="86"/>
      <c r="T1278" s="62"/>
      <c r="U1278" s="65"/>
      <c r="V1278" s="65"/>
      <c r="W1278" s="62"/>
      <c r="X1278" s="62"/>
      <c r="Y1278" s="64"/>
      <c r="Z1278" s="86"/>
      <c r="AA1278" s="86"/>
      <c r="AB1278" s="86"/>
      <c r="AC1278" s="86"/>
      <c r="AD1278" s="86"/>
      <c r="AE1278" s="86"/>
      <c r="AF1278" s="62"/>
      <c r="AG1278" s="65"/>
      <c r="AH1278" s="6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65"/>
      <c r="C1280" s="86"/>
      <c r="D1280" s="119"/>
      <c r="E1280" s="119"/>
      <c r="F1280" s="86"/>
      <c r="G1280" s="86"/>
      <c r="H1280" s="62"/>
      <c r="I1280" s="119"/>
      <c r="J1280" s="119"/>
      <c r="K1280" s="118"/>
      <c r="L1280" s="62"/>
      <c r="M1280" s="62"/>
      <c r="N1280" s="65"/>
      <c r="O1280" s="86"/>
      <c r="P1280" s="119"/>
      <c r="Q1280" s="119"/>
      <c r="R1280" s="86"/>
      <c r="S1280" s="86"/>
      <c r="T1280" s="62"/>
      <c r="U1280" s="119"/>
      <c r="V1280" s="119"/>
      <c r="W1280" s="118"/>
      <c r="X1280" s="62"/>
      <c r="Y1280" s="62"/>
      <c r="Z1280" s="65"/>
      <c r="AA1280" s="86"/>
      <c r="AB1280" s="119"/>
      <c r="AC1280" s="119"/>
      <c r="AD1280" s="86"/>
      <c r="AE1280" s="86"/>
      <c r="AF1280" s="62"/>
      <c r="AG1280" s="119"/>
      <c r="AH1280" s="119"/>
      <c r="AI1280" s="118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5"/>
      <c r="F1281" s="85"/>
      <c r="G1281" s="85"/>
      <c r="H1281" s="62"/>
      <c r="I1281" s="85"/>
      <c r="J1281" s="85"/>
      <c r="K1281" s="118"/>
      <c r="L1281" s="62"/>
      <c r="M1281" s="62"/>
      <c r="N1281" s="86"/>
      <c r="O1281" s="86"/>
      <c r="P1281" s="86"/>
      <c r="Q1281" s="85"/>
      <c r="R1281" s="85"/>
      <c r="S1281" s="85"/>
      <c r="T1281" s="62"/>
      <c r="U1281" s="85"/>
      <c r="V1281" s="85"/>
      <c r="W1281" s="118"/>
      <c r="X1281" s="62"/>
      <c r="Y1281" s="62"/>
      <c r="Z1281" s="86"/>
      <c r="AA1281" s="86"/>
      <c r="AB1281" s="86"/>
      <c r="AC1281" s="85"/>
      <c r="AD1281" s="85"/>
      <c r="AE1281" s="85"/>
      <c r="AF1281" s="62"/>
      <c r="AG1281" s="85"/>
      <c r="AH1281" s="85"/>
      <c r="AI1281" s="118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6"/>
      <c r="C1282" s="86"/>
      <c r="D1282" s="60"/>
      <c r="E1282" s="60"/>
      <c r="F1282" s="60"/>
      <c r="G1282" s="60"/>
      <c r="H1282" s="61"/>
      <c r="I1282" s="61"/>
      <c r="J1282" s="61"/>
      <c r="K1282" s="61"/>
      <c r="L1282" s="62"/>
      <c r="M1282" s="62"/>
      <c r="N1282" s="66"/>
      <c r="O1282" s="86"/>
      <c r="P1282" s="60"/>
      <c r="Q1282" s="60"/>
      <c r="R1282" s="60"/>
      <c r="S1282" s="60"/>
      <c r="T1282" s="61"/>
      <c r="U1282" s="61"/>
      <c r="V1282" s="61"/>
      <c r="W1282" s="61"/>
      <c r="X1282" s="62"/>
      <c r="Y1282" s="62"/>
      <c r="Z1282" s="66"/>
      <c r="AA1282" s="86"/>
      <c r="AB1282" s="60"/>
      <c r="AC1282" s="60"/>
      <c r="AD1282" s="60"/>
      <c r="AE1282" s="60"/>
      <c r="AF1282" s="61"/>
      <c r="AG1282" s="61"/>
      <c r="AH1282" s="61"/>
      <c r="AI1282" s="6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2"/>
      <c r="AC1285" s="60"/>
      <c r="AD1285" s="60"/>
      <c r="AE1285" s="60"/>
      <c r="AF1285" s="61"/>
      <c r="AG1285" s="62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2"/>
      <c r="Q1287" s="60"/>
      <c r="R1287" s="60"/>
      <c r="S1287" s="60"/>
      <c r="T1287" s="61"/>
      <c r="U1287" s="61"/>
      <c r="V1287" s="62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2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2"/>
      <c r="AD1289" s="62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2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2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86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2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6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86"/>
      <c r="F1295" s="86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6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86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2"/>
      <c r="I1302" s="62"/>
      <c r="J1302" s="62"/>
      <c r="K1302" s="61"/>
      <c r="L1302" s="62"/>
      <c r="M1302" s="62"/>
      <c r="N1302" s="66"/>
      <c r="O1302" s="86"/>
      <c r="P1302" s="67"/>
      <c r="Q1302" s="86"/>
      <c r="R1302" s="86"/>
      <c r="S1302" s="60"/>
      <c r="T1302" s="62"/>
      <c r="U1302" s="62"/>
      <c r="V1302" s="62"/>
      <c r="W1302" s="61"/>
      <c r="X1302" s="62"/>
      <c r="Y1302" s="62"/>
      <c r="Z1302" s="66"/>
      <c r="AA1302" s="62"/>
      <c r="AB1302" s="67"/>
      <c r="AC1302" s="86"/>
      <c r="AD1302" s="86"/>
      <c r="AE1302" s="60"/>
      <c r="AF1302" s="62"/>
      <c r="AG1302" s="62"/>
      <c r="AH1302" s="62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8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86"/>
      <c r="AB1303" s="68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1"/>
      <c r="K1304" s="61"/>
      <c r="L1304" s="62"/>
      <c r="M1304" s="62"/>
      <c r="N1304" s="66"/>
      <c r="O1304" s="65"/>
      <c r="P1304" s="69"/>
      <c r="Q1304" s="62"/>
      <c r="R1304" s="62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9"/>
      <c r="AC1304" s="62"/>
      <c r="AD1304" s="62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9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62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62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62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6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86"/>
      <c r="O1323" s="86"/>
      <c r="P1323" s="86"/>
      <c r="Q1323" s="86"/>
      <c r="R1323" s="86"/>
      <c r="S1323" s="86"/>
      <c r="T1323" s="62"/>
      <c r="U1323" s="62"/>
      <c r="V1323" s="62"/>
      <c r="W1323" s="61"/>
      <c r="X1323" s="62"/>
      <c r="Y1323" s="62"/>
      <c r="Z1323" s="86"/>
      <c r="AA1323" s="86"/>
      <c r="AB1323" s="86"/>
      <c r="AC1323" s="86"/>
      <c r="AD1323" s="86"/>
      <c r="AE1323" s="86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86"/>
      <c r="C1324" s="86"/>
      <c r="D1324" s="86"/>
      <c r="E1324" s="86"/>
      <c r="F1324" s="86"/>
      <c r="G1324" s="86"/>
      <c r="H1324" s="62"/>
      <c r="I1324" s="62"/>
      <c r="J1324" s="62"/>
      <c r="K1324" s="62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2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2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70"/>
      <c r="E1325" s="70"/>
      <c r="F1325" s="70"/>
      <c r="G1325" s="70"/>
      <c r="H1325" s="63"/>
      <c r="I1325" s="70"/>
      <c r="J1325" s="70"/>
      <c r="K1325" s="70"/>
      <c r="L1325" s="62"/>
      <c r="M1325" s="62"/>
      <c r="N1325" s="86"/>
      <c r="O1325" s="86"/>
      <c r="P1325" s="70"/>
      <c r="Q1325" s="70"/>
      <c r="R1325" s="70"/>
      <c r="S1325" s="70"/>
      <c r="T1325" s="63"/>
      <c r="U1325" s="71"/>
      <c r="V1325" s="71"/>
      <c r="W1325" s="71"/>
      <c r="X1325" s="62"/>
      <c r="Y1325" s="62"/>
      <c r="Z1325" s="86"/>
      <c r="AA1325" s="86"/>
      <c r="AB1325" s="70"/>
      <c r="AC1325" s="70"/>
      <c r="AD1325" s="70"/>
      <c r="AE1325" s="74"/>
      <c r="AF1325" s="63"/>
      <c r="AG1325" s="71"/>
      <c r="AH1325" s="71"/>
      <c r="AI1325" s="7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2"/>
      <c r="C1326" s="62"/>
      <c r="D1326" s="62"/>
      <c r="E1326" s="62"/>
      <c r="F1326" s="62"/>
      <c r="G1326" s="62"/>
      <c r="H1326" s="62"/>
      <c r="I1326" s="62"/>
      <c r="J1326" s="62"/>
      <c r="K1326" s="62"/>
      <c r="L1326" s="62"/>
      <c r="M1326" s="62"/>
      <c r="N1326" s="62"/>
      <c r="O1326" s="62"/>
      <c r="P1326" s="62"/>
      <c r="Q1326" s="62"/>
      <c r="R1326" s="62"/>
      <c r="S1326" s="62"/>
      <c r="T1326" s="62"/>
      <c r="U1326" s="62"/>
      <c r="V1326" s="62"/>
      <c r="W1326" s="62"/>
      <c r="X1326" s="62"/>
      <c r="Y1326" s="62"/>
      <c r="Z1326" s="62"/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</sheetData>
  <mergeCells count="225">
    <mergeCell ref="P1055:Q1055"/>
    <mergeCell ref="U1055:V1055"/>
    <mergeCell ref="W1055:W1056"/>
    <mergeCell ref="AB1055:AC1055"/>
    <mergeCell ref="AG1055:AH1055"/>
    <mergeCell ref="AI1055:AI1056"/>
    <mergeCell ref="D1000:E1000"/>
    <mergeCell ref="I1000:J1000"/>
    <mergeCell ref="K1000:K1001"/>
    <mergeCell ref="P1000:Q1000"/>
    <mergeCell ref="U1000:V1000"/>
    <mergeCell ref="W1000:W1001"/>
    <mergeCell ref="AB1000:AC1000"/>
    <mergeCell ref="AG1000:AH1000"/>
    <mergeCell ref="AI1000:AI1001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505:Q505"/>
    <mergeCell ref="U505:V505"/>
    <mergeCell ref="W615:W616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D505:E505"/>
    <mergeCell ref="I505:J505"/>
    <mergeCell ref="K505:K506"/>
    <mergeCell ref="AI1280:AI1281"/>
    <mergeCell ref="AG1280:AH1280"/>
    <mergeCell ref="AB1280:AC1280"/>
    <mergeCell ref="W1218:W1219"/>
    <mergeCell ref="U1218:V1218"/>
    <mergeCell ref="P1218:Q1218"/>
    <mergeCell ref="AI1218:AI1219"/>
    <mergeCell ref="AG1218:AH1218"/>
    <mergeCell ref="AB1218:AC1218"/>
    <mergeCell ref="W1162:W1163"/>
    <mergeCell ref="U1162:V1162"/>
    <mergeCell ref="P1162:Q1162"/>
    <mergeCell ref="AI1162:AI1163"/>
    <mergeCell ref="AG1162:AH1162"/>
    <mergeCell ref="AB1162:AC1162"/>
    <mergeCell ref="AI1107:AI1108"/>
    <mergeCell ref="AG1107:AH1107"/>
    <mergeCell ref="AB1107:AC1107"/>
    <mergeCell ref="K1280:K1281"/>
    <mergeCell ref="I1280:J1280"/>
    <mergeCell ref="D1280:E1280"/>
    <mergeCell ref="W1280:W1281"/>
    <mergeCell ref="U1280:V1280"/>
    <mergeCell ref="P1280:Q1280"/>
    <mergeCell ref="U120:V120"/>
    <mergeCell ref="U340:V340"/>
    <mergeCell ref="D1107:E1107"/>
    <mergeCell ref="W1107:W1108"/>
    <mergeCell ref="U1107:V1107"/>
    <mergeCell ref="P1107:Q1107"/>
    <mergeCell ref="K1218:K1219"/>
    <mergeCell ref="I1218:J1218"/>
    <mergeCell ref="D1218:E1218"/>
    <mergeCell ref="K1162:K1163"/>
    <mergeCell ref="I1162:J1162"/>
    <mergeCell ref="D1162:E1162"/>
    <mergeCell ref="K1107:K1108"/>
    <mergeCell ref="I1107:J1107"/>
    <mergeCell ref="K1052:K1053"/>
    <mergeCell ref="I1052:J1052"/>
    <mergeCell ref="D1052:E1052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D835:E835"/>
    <mergeCell ref="I835:J835"/>
    <mergeCell ref="K835:K836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W725:W726"/>
    <mergeCell ref="U725:V725"/>
    <mergeCell ref="P725:Q725"/>
    <mergeCell ref="AI725:AI726"/>
    <mergeCell ref="AG725:AH725"/>
    <mergeCell ref="AB725:AC725"/>
    <mergeCell ref="P835:Q835"/>
    <mergeCell ref="U835:V835"/>
    <mergeCell ref="W835:W836"/>
    <mergeCell ref="AB835:AC835"/>
    <mergeCell ref="AG835:AH835"/>
    <mergeCell ref="AI835:AI836"/>
    <mergeCell ref="AI890:AI89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2026-06-27T01:50:02Z</dcterms:modified>
</cp:coreProperties>
</file>