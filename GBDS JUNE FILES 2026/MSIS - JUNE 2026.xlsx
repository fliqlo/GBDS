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04E8413D-EE8E-4E02-AD6E-CBB09E5E902F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JUNE" sheetId="1" r:id="rId1"/>
    <sheet name="DSIS | JUNE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619" i="2" l="1"/>
  <c r="AH620" i="2"/>
  <c r="AH660" i="2" s="1"/>
  <c r="AC620" i="2"/>
  <c r="AB620" i="2"/>
  <c r="AE620" i="2" s="1"/>
  <c r="AI620" i="2" s="1"/>
  <c r="AB619" i="2"/>
  <c r="AB618" i="2"/>
  <c r="AE618" i="2" s="1"/>
  <c r="AI618" i="2" s="1"/>
  <c r="AB617" i="2"/>
  <c r="AE617" i="2"/>
  <c r="AA618" i="2"/>
  <c r="AA619" i="2" s="1"/>
  <c r="AA620" i="2" s="1"/>
  <c r="AE619" i="2"/>
  <c r="AI619" i="2" s="1"/>
  <c r="AC660" i="2"/>
  <c r="AE621" i="2"/>
  <c r="AI621" i="2" s="1"/>
  <c r="AE622" i="2"/>
  <c r="AI622" i="2"/>
  <c r="AE623" i="2"/>
  <c r="AI623" i="2" s="1"/>
  <c r="AG660" i="2"/>
  <c r="AE624" i="2"/>
  <c r="AI624" i="2"/>
  <c r="AE625" i="2"/>
  <c r="AI625" i="2"/>
  <c r="AE626" i="2"/>
  <c r="AI626" i="2" s="1"/>
  <c r="AE627" i="2"/>
  <c r="AI627" i="2"/>
  <c r="AE628" i="2"/>
  <c r="AI628" i="2"/>
  <c r="AE629" i="2"/>
  <c r="AI629" i="2"/>
  <c r="AE630" i="2"/>
  <c r="AI630" i="2"/>
  <c r="AE631" i="2"/>
  <c r="AI631" i="2" s="1"/>
  <c r="AE632" i="2"/>
  <c r="AI632" i="2"/>
  <c r="AE633" i="2"/>
  <c r="AI633" i="2"/>
  <c r="AE634" i="2"/>
  <c r="AI634" i="2" s="1"/>
  <c r="AE635" i="2"/>
  <c r="AI635" i="2"/>
  <c r="AE636" i="2"/>
  <c r="AI636" i="2"/>
  <c r="AE637" i="2"/>
  <c r="AI637" i="2"/>
  <c r="AE638" i="2"/>
  <c r="AI638" i="2"/>
  <c r="AE639" i="2"/>
  <c r="AI639" i="2" s="1"/>
  <c r="AE640" i="2"/>
  <c r="AI640" i="2"/>
  <c r="AE641" i="2"/>
  <c r="AI641" i="2"/>
  <c r="AE642" i="2"/>
  <c r="AI642" i="2" s="1"/>
  <c r="AE643" i="2"/>
  <c r="AI643" i="2"/>
  <c r="AE644" i="2"/>
  <c r="AI644" i="2"/>
  <c r="AE645" i="2"/>
  <c r="AI645" i="2"/>
  <c r="AE646" i="2"/>
  <c r="AI646" i="2"/>
  <c r="AE647" i="2"/>
  <c r="AI647" i="2" s="1"/>
  <c r="AE648" i="2"/>
  <c r="AI648" i="2"/>
  <c r="AE649" i="2"/>
  <c r="AI649" i="2"/>
  <c r="AE650" i="2"/>
  <c r="AI650" i="2" s="1"/>
  <c r="AE651" i="2"/>
  <c r="AI651" i="2"/>
  <c r="AE652" i="2"/>
  <c r="AI652" i="2"/>
  <c r="AE653" i="2"/>
  <c r="AI653" i="2"/>
  <c r="AE654" i="2"/>
  <c r="AI654" i="2"/>
  <c r="AE655" i="2"/>
  <c r="AI655" i="2" s="1"/>
  <c r="AI656" i="2"/>
  <c r="AE657" i="2"/>
  <c r="AI657" i="2" s="1"/>
  <c r="AI658" i="2"/>
  <c r="AD660" i="2"/>
  <c r="P622" i="2"/>
  <c r="S622" i="2" s="1"/>
  <c r="W622" i="2" s="1"/>
  <c r="P621" i="2"/>
  <c r="S621" i="2" s="1"/>
  <c r="W621" i="2" s="1"/>
  <c r="P620" i="2"/>
  <c r="S620" i="2" s="1"/>
  <c r="W620" i="2" s="1"/>
  <c r="P619" i="2"/>
  <c r="S619" i="2" s="1"/>
  <c r="W619" i="2" s="1"/>
  <c r="U618" i="2"/>
  <c r="P618" i="2"/>
  <c r="Q660" i="2"/>
  <c r="P617" i="2"/>
  <c r="O620" i="2"/>
  <c r="O621" i="2" s="1"/>
  <c r="O622" i="2" s="1"/>
  <c r="S617" i="2"/>
  <c r="V660" i="2"/>
  <c r="W617" i="2"/>
  <c r="O618" i="2"/>
  <c r="U660" i="2"/>
  <c r="O619" i="2"/>
  <c r="S623" i="2"/>
  <c r="W623" i="2"/>
  <c r="S624" i="2"/>
  <c r="W624" i="2"/>
  <c r="S625" i="2"/>
  <c r="W625" i="2"/>
  <c r="S626" i="2"/>
  <c r="W626" i="2"/>
  <c r="S627" i="2"/>
  <c r="W627" i="2"/>
  <c r="S628" i="2"/>
  <c r="W628" i="2"/>
  <c r="S629" i="2"/>
  <c r="W629" i="2"/>
  <c r="S630" i="2"/>
  <c r="W630" i="2"/>
  <c r="S631" i="2"/>
  <c r="W631" i="2"/>
  <c r="S632" i="2"/>
  <c r="W632" i="2"/>
  <c r="S633" i="2"/>
  <c r="W633" i="2"/>
  <c r="S634" i="2"/>
  <c r="W634" i="2"/>
  <c r="S635" i="2"/>
  <c r="W635" i="2"/>
  <c r="S636" i="2"/>
  <c r="W636" i="2"/>
  <c r="S637" i="2"/>
  <c r="W637" i="2"/>
  <c r="S638" i="2"/>
  <c r="W638" i="2"/>
  <c r="S639" i="2"/>
  <c r="W639" i="2"/>
  <c r="S640" i="2"/>
  <c r="W640" i="2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/>
  <c r="W656" i="2"/>
  <c r="S657" i="2"/>
  <c r="W657" i="2"/>
  <c r="W658" i="2"/>
  <c r="R660" i="2"/>
  <c r="D622" i="2"/>
  <c r="J621" i="2"/>
  <c r="D621" i="2"/>
  <c r="G621" i="2" s="1"/>
  <c r="D620" i="2"/>
  <c r="G620" i="2" s="1"/>
  <c r="K620" i="2" s="1"/>
  <c r="E619" i="2"/>
  <c r="E660" i="2" s="1"/>
  <c r="D619" i="2"/>
  <c r="J618" i="2"/>
  <c r="D618" i="2"/>
  <c r="D617" i="2"/>
  <c r="G617" i="2"/>
  <c r="K617" i="2" s="1"/>
  <c r="C618" i="2"/>
  <c r="C620" i="2" s="1"/>
  <c r="C621" i="2" s="1"/>
  <c r="C622" i="2" s="1"/>
  <c r="G618" i="2"/>
  <c r="K618" i="2" s="1"/>
  <c r="G622" i="2"/>
  <c r="K622" i="2" s="1"/>
  <c r="G623" i="2"/>
  <c r="K623" i="2"/>
  <c r="G624" i="2"/>
  <c r="K624" i="2" s="1"/>
  <c r="G625" i="2"/>
  <c r="K625" i="2"/>
  <c r="G626" i="2"/>
  <c r="K626" i="2"/>
  <c r="G627" i="2"/>
  <c r="K627" i="2" s="1"/>
  <c r="G628" i="2"/>
  <c r="K628" i="2"/>
  <c r="G629" i="2"/>
  <c r="K629" i="2"/>
  <c r="G630" i="2"/>
  <c r="K630" i="2" s="1"/>
  <c r="G631" i="2"/>
  <c r="K631" i="2"/>
  <c r="G632" i="2"/>
  <c r="K632" i="2" s="1"/>
  <c r="G633" i="2"/>
  <c r="K633" i="2"/>
  <c r="G634" i="2"/>
  <c r="K634" i="2"/>
  <c r="G635" i="2"/>
  <c r="K635" i="2" s="1"/>
  <c r="G636" i="2"/>
  <c r="K636" i="2"/>
  <c r="G637" i="2"/>
  <c r="K637" i="2"/>
  <c r="G638" i="2"/>
  <c r="K638" i="2" s="1"/>
  <c r="G639" i="2"/>
  <c r="K639" i="2"/>
  <c r="G640" i="2"/>
  <c r="K640" i="2" s="1"/>
  <c r="G641" i="2"/>
  <c r="K641" i="2"/>
  <c r="G642" i="2"/>
  <c r="K642" i="2" s="1"/>
  <c r="G643" i="2"/>
  <c r="K643" i="2" s="1"/>
  <c r="G644" i="2"/>
  <c r="K644" i="2"/>
  <c r="G645" i="2"/>
  <c r="K645" i="2"/>
  <c r="G646" i="2"/>
  <c r="K646" i="2" s="1"/>
  <c r="G647" i="2"/>
  <c r="K647" i="2"/>
  <c r="G648" i="2"/>
  <c r="K648" i="2"/>
  <c r="G649" i="2"/>
  <c r="K649" i="2"/>
  <c r="G650" i="2"/>
  <c r="K650" i="2"/>
  <c r="G657" i="2"/>
  <c r="K657" i="2" s="1"/>
  <c r="F660" i="2"/>
  <c r="I660" i="2"/>
  <c r="AB660" i="2" l="1"/>
  <c r="AI617" i="2"/>
  <c r="AI660" i="2" s="1"/>
  <c r="AE660" i="2"/>
  <c r="S618" i="2"/>
  <c r="W618" i="2" s="1"/>
  <c r="W660" i="2" s="1"/>
  <c r="P660" i="2"/>
  <c r="K621" i="2"/>
  <c r="J660" i="2"/>
  <c r="D660" i="2"/>
  <c r="G619" i="2"/>
  <c r="K619" i="2" s="1"/>
  <c r="AG568" i="2"/>
  <c r="AB568" i="2"/>
  <c r="AH567" i="2"/>
  <c r="AH605" i="2" s="1"/>
  <c r="AB567" i="2"/>
  <c r="AE567" i="2" s="1"/>
  <c r="AB566" i="2"/>
  <c r="AE566" i="2" s="1"/>
  <c r="AI566" i="2" s="1"/>
  <c r="AC565" i="2"/>
  <c r="AB565" i="2"/>
  <c r="AB564" i="2"/>
  <c r="AC563" i="2"/>
  <c r="AG563" i="2"/>
  <c r="AB563" i="2"/>
  <c r="AE563" i="2" s="1"/>
  <c r="AG562" i="2"/>
  <c r="AB562" i="2"/>
  <c r="AE562" i="2" s="1"/>
  <c r="AD605" i="2"/>
  <c r="AI603" i="2"/>
  <c r="AE602" i="2"/>
  <c r="AI602" i="2" s="1"/>
  <c r="AI601" i="2"/>
  <c r="AE600" i="2"/>
  <c r="AI600" i="2" s="1"/>
  <c r="AE599" i="2"/>
  <c r="AI599" i="2" s="1"/>
  <c r="AI598" i="2"/>
  <c r="AE598" i="2"/>
  <c r="AE597" i="2"/>
  <c r="AI597" i="2" s="1"/>
  <c r="AI596" i="2"/>
  <c r="AE596" i="2"/>
  <c r="AE595" i="2"/>
  <c r="AI595" i="2" s="1"/>
  <c r="AI594" i="2"/>
  <c r="AE594" i="2"/>
  <c r="AE593" i="2"/>
  <c r="AI593" i="2" s="1"/>
  <c r="AE592" i="2"/>
  <c r="AI592" i="2" s="1"/>
  <c r="AE591" i="2"/>
  <c r="AI591" i="2" s="1"/>
  <c r="AI590" i="2"/>
  <c r="AE590" i="2"/>
  <c r="AE589" i="2"/>
  <c r="AI589" i="2" s="1"/>
  <c r="AI588" i="2"/>
  <c r="AE588" i="2"/>
  <c r="AE587" i="2"/>
  <c r="AI587" i="2" s="1"/>
  <c r="AI586" i="2"/>
  <c r="AE586" i="2"/>
  <c r="AE585" i="2"/>
  <c r="AI585" i="2" s="1"/>
  <c r="AE584" i="2"/>
  <c r="AI584" i="2" s="1"/>
  <c r="AE583" i="2"/>
  <c r="AI583" i="2" s="1"/>
  <c r="AI582" i="2"/>
  <c r="AE582" i="2"/>
  <c r="AE581" i="2"/>
  <c r="AI581" i="2" s="1"/>
  <c r="AI580" i="2"/>
  <c r="AE580" i="2"/>
  <c r="AI579" i="2"/>
  <c r="AE579" i="2"/>
  <c r="AI578" i="2"/>
  <c r="AE578" i="2"/>
  <c r="AE577" i="2"/>
  <c r="AI577" i="2" s="1"/>
  <c r="AE576" i="2"/>
  <c r="AI576" i="2" s="1"/>
  <c r="AE575" i="2"/>
  <c r="AI575" i="2" s="1"/>
  <c r="AI574" i="2"/>
  <c r="AE574" i="2"/>
  <c r="AE573" i="2"/>
  <c r="AI573" i="2" s="1"/>
  <c r="AI572" i="2"/>
  <c r="AE572" i="2"/>
  <c r="AI571" i="2"/>
  <c r="AE571" i="2"/>
  <c r="AE570" i="2"/>
  <c r="AI570" i="2" s="1"/>
  <c r="AE569" i="2"/>
  <c r="AI569" i="2" s="1"/>
  <c r="AE568" i="2"/>
  <c r="AI568" i="2" s="1"/>
  <c r="AC605" i="2"/>
  <c r="AE565" i="2"/>
  <c r="AI565" i="2" s="1"/>
  <c r="AE564" i="2"/>
  <c r="AI564" i="2" s="1"/>
  <c r="AA563" i="2"/>
  <c r="AA564" i="2" s="1"/>
  <c r="AA565" i="2" s="1"/>
  <c r="AA566" i="2" s="1"/>
  <c r="AA567" i="2" s="1"/>
  <c r="AA568" i="2" s="1"/>
  <c r="P564" i="2"/>
  <c r="V563" i="2"/>
  <c r="U563" i="2"/>
  <c r="Q563" i="2"/>
  <c r="P563" i="2"/>
  <c r="S563" i="2" s="1"/>
  <c r="W563" i="2" s="1"/>
  <c r="V562" i="2"/>
  <c r="Q562" i="2"/>
  <c r="Q605" i="2" s="1"/>
  <c r="P562" i="2"/>
  <c r="R605" i="2"/>
  <c r="W603" i="2"/>
  <c r="S602" i="2"/>
  <c r="W602" i="2" s="1"/>
  <c r="W601" i="2"/>
  <c r="S600" i="2"/>
  <c r="W600" i="2" s="1"/>
  <c r="S599" i="2"/>
  <c r="W599" i="2" s="1"/>
  <c r="W598" i="2"/>
  <c r="S598" i="2"/>
  <c r="S597" i="2"/>
  <c r="W597" i="2" s="1"/>
  <c r="S596" i="2"/>
  <c r="W596" i="2" s="1"/>
  <c r="W595" i="2"/>
  <c r="S595" i="2"/>
  <c r="S594" i="2"/>
  <c r="W594" i="2" s="1"/>
  <c r="S593" i="2"/>
  <c r="W593" i="2" s="1"/>
  <c r="S592" i="2"/>
  <c r="W592" i="2" s="1"/>
  <c r="S591" i="2"/>
  <c r="W591" i="2" s="1"/>
  <c r="W590" i="2"/>
  <c r="S590" i="2"/>
  <c r="S589" i="2"/>
  <c r="W589" i="2" s="1"/>
  <c r="S588" i="2"/>
  <c r="W588" i="2" s="1"/>
  <c r="S587" i="2"/>
  <c r="W587" i="2" s="1"/>
  <c r="S586" i="2"/>
  <c r="W586" i="2" s="1"/>
  <c r="S585" i="2"/>
  <c r="W585" i="2" s="1"/>
  <c r="S584" i="2"/>
  <c r="W584" i="2" s="1"/>
  <c r="S583" i="2"/>
  <c r="W583" i="2" s="1"/>
  <c r="W582" i="2"/>
  <c r="S582" i="2"/>
  <c r="S581" i="2"/>
  <c r="W581" i="2" s="1"/>
  <c r="S580" i="2"/>
  <c r="W580" i="2" s="1"/>
  <c r="W579" i="2"/>
  <c r="S579" i="2"/>
  <c r="S578" i="2"/>
  <c r="W578" i="2" s="1"/>
  <c r="S577" i="2"/>
  <c r="W577" i="2" s="1"/>
  <c r="S576" i="2"/>
  <c r="W576" i="2" s="1"/>
  <c r="S575" i="2"/>
  <c r="W575" i="2" s="1"/>
  <c r="W574" i="2"/>
  <c r="S574" i="2"/>
  <c r="S573" i="2"/>
  <c r="W573" i="2" s="1"/>
  <c r="S572" i="2"/>
  <c r="W572" i="2" s="1"/>
  <c r="W571" i="2"/>
  <c r="S571" i="2"/>
  <c r="S570" i="2"/>
  <c r="W570" i="2" s="1"/>
  <c r="W569" i="2"/>
  <c r="S569" i="2"/>
  <c r="S568" i="2"/>
  <c r="W568" i="2" s="1"/>
  <c r="S567" i="2"/>
  <c r="W567" i="2" s="1"/>
  <c r="S566" i="2"/>
  <c r="W566" i="2" s="1"/>
  <c r="S565" i="2"/>
  <c r="W565" i="2" s="1"/>
  <c r="U605" i="2"/>
  <c r="S564" i="2"/>
  <c r="W564" i="2" s="1"/>
  <c r="V605" i="2"/>
  <c r="O563" i="2"/>
  <c r="O564" i="2" s="1"/>
  <c r="D565" i="2"/>
  <c r="G565" i="2" s="1"/>
  <c r="K565" i="2" s="1"/>
  <c r="J564" i="2"/>
  <c r="E564" i="2"/>
  <c r="G564" i="2" s="1"/>
  <c r="K564" i="2" s="1"/>
  <c r="D564" i="2"/>
  <c r="D563" i="2"/>
  <c r="G563" i="2" s="1"/>
  <c r="K563" i="2" s="1"/>
  <c r="I562" i="2"/>
  <c r="I605" i="2" s="1"/>
  <c r="E562" i="2"/>
  <c r="D562" i="2"/>
  <c r="J605" i="2"/>
  <c r="F605" i="2"/>
  <c r="K602" i="2"/>
  <c r="G602" i="2"/>
  <c r="K595" i="2"/>
  <c r="G595" i="2"/>
  <c r="K594" i="2"/>
  <c r="G594" i="2"/>
  <c r="G593" i="2"/>
  <c r="K593" i="2" s="1"/>
  <c r="G592" i="2"/>
  <c r="K592" i="2" s="1"/>
  <c r="G591" i="2"/>
  <c r="K591" i="2" s="1"/>
  <c r="G590" i="2"/>
  <c r="K590" i="2" s="1"/>
  <c r="G589" i="2"/>
  <c r="K589" i="2" s="1"/>
  <c r="G588" i="2"/>
  <c r="K588" i="2" s="1"/>
  <c r="K587" i="2"/>
  <c r="G587" i="2"/>
  <c r="K586" i="2"/>
  <c r="G586" i="2"/>
  <c r="G585" i="2"/>
  <c r="K585" i="2" s="1"/>
  <c r="G584" i="2"/>
  <c r="K584" i="2" s="1"/>
  <c r="G583" i="2"/>
  <c r="K583" i="2" s="1"/>
  <c r="G582" i="2"/>
  <c r="K582" i="2" s="1"/>
  <c r="G581" i="2"/>
  <c r="K581" i="2" s="1"/>
  <c r="G580" i="2"/>
  <c r="K580" i="2" s="1"/>
  <c r="K579" i="2"/>
  <c r="G579" i="2"/>
  <c r="K578" i="2"/>
  <c r="G578" i="2"/>
  <c r="G577" i="2"/>
  <c r="K577" i="2" s="1"/>
  <c r="G576" i="2"/>
  <c r="K576" i="2" s="1"/>
  <c r="G575" i="2"/>
  <c r="K575" i="2" s="1"/>
  <c r="G574" i="2"/>
  <c r="K574" i="2" s="1"/>
  <c r="G573" i="2"/>
  <c r="K573" i="2" s="1"/>
  <c r="G572" i="2"/>
  <c r="K572" i="2" s="1"/>
  <c r="K571" i="2"/>
  <c r="G571" i="2"/>
  <c r="K570" i="2"/>
  <c r="G570" i="2"/>
  <c r="G569" i="2"/>
  <c r="K569" i="2" s="1"/>
  <c r="G568" i="2"/>
  <c r="K568" i="2" s="1"/>
  <c r="G567" i="2"/>
  <c r="K567" i="2" s="1"/>
  <c r="C563" i="2"/>
  <c r="C564" i="2" s="1"/>
  <c r="C565" i="2" s="1"/>
  <c r="S660" i="2" l="1"/>
  <c r="K660" i="2"/>
  <c r="G660" i="2"/>
  <c r="AG605" i="2"/>
  <c r="AI567" i="2"/>
  <c r="AI563" i="2"/>
  <c r="AE605" i="2"/>
  <c r="AI562" i="2"/>
  <c r="AI605" i="2" s="1"/>
  <c r="AB605" i="2"/>
  <c r="P605" i="2"/>
  <c r="S562" i="2"/>
  <c r="E605" i="2"/>
  <c r="D605" i="2"/>
  <c r="G562" i="2"/>
  <c r="G566" i="2"/>
  <c r="K566" i="2" s="1"/>
  <c r="V512" i="2"/>
  <c r="U512" i="2"/>
  <c r="Q512" i="2"/>
  <c r="P512" i="2"/>
  <c r="S512" i="2" s="1"/>
  <c r="O512" i="2"/>
  <c r="P511" i="2"/>
  <c r="S511" i="2" s="1"/>
  <c r="W511" i="2" s="1"/>
  <c r="P510" i="2"/>
  <c r="S510" i="2" s="1"/>
  <c r="W510" i="2" s="1"/>
  <c r="U509" i="2"/>
  <c r="P509" i="2"/>
  <c r="S509" i="2" s="1"/>
  <c r="V508" i="2"/>
  <c r="P508" i="2"/>
  <c r="S508" i="2" s="1"/>
  <c r="W508" i="2" s="1"/>
  <c r="P507" i="2"/>
  <c r="R550" i="2"/>
  <c r="W548" i="2"/>
  <c r="S547" i="2"/>
  <c r="W547" i="2" s="1"/>
  <c r="W546" i="2"/>
  <c r="W545" i="2"/>
  <c r="S545" i="2"/>
  <c r="S544" i="2"/>
  <c r="W544" i="2" s="1"/>
  <c r="W543" i="2"/>
  <c r="S543" i="2"/>
  <c r="W542" i="2"/>
  <c r="S542" i="2"/>
  <c r="S541" i="2"/>
  <c r="W541" i="2" s="1"/>
  <c r="W540" i="2"/>
  <c r="S540" i="2"/>
  <c r="S539" i="2"/>
  <c r="W539" i="2" s="1"/>
  <c r="S538" i="2"/>
  <c r="W538" i="2" s="1"/>
  <c r="S537" i="2"/>
  <c r="W537" i="2" s="1"/>
  <c r="S536" i="2"/>
  <c r="W536" i="2" s="1"/>
  <c r="W535" i="2"/>
  <c r="S535" i="2"/>
  <c r="W534" i="2"/>
  <c r="S534" i="2"/>
  <c r="S533" i="2"/>
  <c r="W533" i="2" s="1"/>
  <c r="W532" i="2"/>
  <c r="S532" i="2"/>
  <c r="S531" i="2"/>
  <c r="W531" i="2" s="1"/>
  <c r="W530" i="2"/>
  <c r="S530" i="2"/>
  <c r="S529" i="2"/>
  <c r="W529" i="2" s="1"/>
  <c r="S528" i="2"/>
  <c r="W528" i="2" s="1"/>
  <c r="W527" i="2"/>
  <c r="S527" i="2"/>
  <c r="W526" i="2"/>
  <c r="S526" i="2"/>
  <c r="S525" i="2"/>
  <c r="W525" i="2" s="1"/>
  <c r="W524" i="2"/>
  <c r="S524" i="2"/>
  <c r="S523" i="2"/>
  <c r="W523" i="2" s="1"/>
  <c r="S522" i="2"/>
  <c r="W522" i="2" s="1"/>
  <c r="S521" i="2"/>
  <c r="W521" i="2" s="1"/>
  <c r="S520" i="2"/>
  <c r="W520" i="2" s="1"/>
  <c r="W519" i="2"/>
  <c r="S519" i="2"/>
  <c r="W518" i="2"/>
  <c r="S518" i="2"/>
  <c r="S517" i="2"/>
  <c r="W517" i="2" s="1"/>
  <c r="W516" i="2"/>
  <c r="S516" i="2"/>
  <c r="S515" i="2"/>
  <c r="W515" i="2" s="1"/>
  <c r="S514" i="2"/>
  <c r="W514" i="2" s="1"/>
  <c r="S513" i="2"/>
  <c r="W513" i="2" s="1"/>
  <c r="Q550" i="2"/>
  <c r="O508" i="2"/>
  <c r="O509" i="2" s="1"/>
  <c r="O510" i="2" s="1"/>
  <c r="O511" i="2" s="1"/>
  <c r="S507" i="2"/>
  <c r="I512" i="2"/>
  <c r="D512" i="2"/>
  <c r="I511" i="2"/>
  <c r="E511" i="2"/>
  <c r="E550" i="2" s="1"/>
  <c r="D511" i="2"/>
  <c r="D510" i="2"/>
  <c r="D509" i="2"/>
  <c r="G509" i="2" s="1"/>
  <c r="K509" i="2" s="1"/>
  <c r="D508" i="2"/>
  <c r="D507" i="2"/>
  <c r="G507" i="2" s="1"/>
  <c r="I507" i="2"/>
  <c r="J550" i="2"/>
  <c r="F550" i="2"/>
  <c r="G547" i="2"/>
  <c r="K547" i="2" s="1"/>
  <c r="G540" i="2"/>
  <c r="K540" i="2" s="1"/>
  <c r="G539" i="2"/>
  <c r="K539" i="2" s="1"/>
  <c r="G538" i="2"/>
  <c r="K538" i="2" s="1"/>
  <c r="G537" i="2"/>
  <c r="K537" i="2" s="1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G529" i="2"/>
  <c r="K529" i="2" s="1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K518" i="2"/>
  <c r="G518" i="2"/>
  <c r="G517" i="2"/>
  <c r="K517" i="2" s="1"/>
  <c r="G516" i="2"/>
  <c r="K516" i="2" s="1"/>
  <c r="G515" i="2"/>
  <c r="K515" i="2" s="1"/>
  <c r="G514" i="2"/>
  <c r="K514" i="2" s="1"/>
  <c r="G513" i="2"/>
  <c r="K513" i="2" s="1"/>
  <c r="G512" i="2"/>
  <c r="G511" i="2"/>
  <c r="K511" i="2" s="1"/>
  <c r="G510" i="2"/>
  <c r="K510" i="2" s="1"/>
  <c r="G508" i="2"/>
  <c r="K508" i="2" s="1"/>
  <c r="C508" i="2"/>
  <c r="C509" i="2" s="1"/>
  <c r="C510" i="2" s="1"/>
  <c r="C511" i="2" s="1"/>
  <c r="C512" i="2" s="1"/>
  <c r="S605" i="2" l="1"/>
  <c r="W562" i="2"/>
  <c r="W605" i="2" s="1"/>
  <c r="G605" i="2"/>
  <c r="K562" i="2"/>
  <c r="K605" i="2" s="1"/>
  <c r="V550" i="2"/>
  <c r="U550" i="2"/>
  <c r="W512" i="2"/>
  <c r="W509" i="2"/>
  <c r="W507" i="2"/>
  <c r="S550" i="2"/>
  <c r="P550" i="2"/>
  <c r="I550" i="2"/>
  <c r="K512" i="2"/>
  <c r="D550" i="2"/>
  <c r="G550" i="2"/>
  <c r="K507" i="2"/>
  <c r="K550" i="2" s="1"/>
  <c r="AB460" i="2"/>
  <c r="AE460" i="2" s="1"/>
  <c r="AI460" i="2" s="1"/>
  <c r="AC459" i="2"/>
  <c r="AB459" i="2"/>
  <c r="AE459" i="2" s="1"/>
  <c r="AI459" i="2" s="1"/>
  <c r="AC458" i="2"/>
  <c r="AB458" i="2"/>
  <c r="AE458" i="2" s="1"/>
  <c r="AI458" i="2" s="1"/>
  <c r="AC457" i="2"/>
  <c r="AC495" i="2" s="1"/>
  <c r="AB457" i="2"/>
  <c r="AH456" i="2"/>
  <c r="AH495" i="2" s="1"/>
  <c r="AB456" i="2"/>
  <c r="AE456" i="2" s="1"/>
  <c r="AB455" i="2"/>
  <c r="AE455" i="2" s="1"/>
  <c r="AI455" i="2" s="1"/>
  <c r="AB454" i="2"/>
  <c r="AE454" i="2" s="1"/>
  <c r="AI454" i="2" s="1"/>
  <c r="AG453" i="2"/>
  <c r="AG495" i="2" s="1"/>
  <c r="AB453" i="2"/>
  <c r="AB452" i="2"/>
  <c r="AA453" i="2"/>
  <c r="AA454" i="2" s="1"/>
  <c r="AA455" i="2" s="1"/>
  <c r="AA456" i="2" s="1"/>
  <c r="AA457" i="2" s="1"/>
  <c r="AA458" i="2" s="1"/>
  <c r="AA459" i="2" s="1"/>
  <c r="AA460" i="2" s="1"/>
  <c r="AE461" i="2"/>
  <c r="AI461" i="2" s="1"/>
  <c r="AE462" i="2"/>
  <c r="AI462" i="2" s="1"/>
  <c r="AE463" i="2"/>
  <c r="AI463" i="2"/>
  <c r="AE464" i="2"/>
  <c r="AI464" i="2"/>
  <c r="AE465" i="2"/>
  <c r="AI465" i="2" s="1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/>
  <c r="AE472" i="2"/>
  <c r="AI472" i="2"/>
  <c r="AE473" i="2"/>
  <c r="AI473" i="2"/>
  <c r="AE474" i="2"/>
  <c r="AI474" i="2" s="1"/>
  <c r="AE475" i="2"/>
  <c r="AI475" i="2" s="1"/>
  <c r="AE476" i="2"/>
  <c r="AI476" i="2"/>
  <c r="AE477" i="2"/>
  <c r="AI477" i="2"/>
  <c r="AE478" i="2"/>
  <c r="AI478" i="2" s="1"/>
  <c r="AE479" i="2"/>
  <c r="AI479" i="2"/>
  <c r="AE480" i="2"/>
  <c r="AI480" i="2"/>
  <c r="AE481" i="2"/>
  <c r="AI481" i="2" s="1"/>
  <c r="AE482" i="2"/>
  <c r="AI482" i="2" s="1"/>
  <c r="AE483" i="2"/>
  <c r="AI483" i="2" s="1"/>
  <c r="AE484" i="2"/>
  <c r="AI484" i="2"/>
  <c r="AE485" i="2"/>
  <c r="AI485" i="2"/>
  <c r="AE486" i="2"/>
  <c r="AI486" i="2" s="1"/>
  <c r="AE487" i="2"/>
  <c r="AI487" i="2"/>
  <c r="AE488" i="2"/>
  <c r="AI488" i="2" s="1"/>
  <c r="AE489" i="2"/>
  <c r="AI489" i="2"/>
  <c r="AE490" i="2"/>
  <c r="AI490" i="2" s="1"/>
  <c r="AI491" i="2"/>
  <c r="AE492" i="2"/>
  <c r="AI492" i="2"/>
  <c r="AI493" i="2"/>
  <c r="AD495" i="2"/>
  <c r="P456" i="2"/>
  <c r="S456" i="2" s="1"/>
  <c r="W456" i="2" s="1"/>
  <c r="P455" i="2"/>
  <c r="S455" i="2" s="1"/>
  <c r="W455" i="2" s="1"/>
  <c r="U454" i="2"/>
  <c r="U495" i="2" s="1"/>
  <c r="V454" i="2"/>
  <c r="V495" i="2" s="1"/>
  <c r="Q454" i="2"/>
  <c r="Q495" i="2" s="1"/>
  <c r="P454" i="2"/>
  <c r="S454" i="2" s="1"/>
  <c r="W454" i="2" s="1"/>
  <c r="P453" i="2"/>
  <c r="S453" i="2" s="1"/>
  <c r="W453" i="2" s="1"/>
  <c r="P452" i="2"/>
  <c r="S452" i="2" s="1"/>
  <c r="R495" i="2"/>
  <c r="W493" i="2"/>
  <c r="W492" i="2"/>
  <c r="S492" i="2"/>
  <c r="W491" i="2"/>
  <c r="S490" i="2"/>
  <c r="W490" i="2" s="1"/>
  <c r="S489" i="2"/>
  <c r="W489" i="2" s="1"/>
  <c r="S488" i="2"/>
  <c r="W488" i="2" s="1"/>
  <c r="S487" i="2"/>
  <c r="W487" i="2" s="1"/>
  <c r="S486" i="2"/>
  <c r="W486" i="2" s="1"/>
  <c r="S485" i="2"/>
  <c r="W485" i="2" s="1"/>
  <c r="S484" i="2"/>
  <c r="W484" i="2" s="1"/>
  <c r="S483" i="2"/>
  <c r="W483" i="2" s="1"/>
  <c r="S482" i="2"/>
  <c r="W482" i="2" s="1"/>
  <c r="S481" i="2"/>
  <c r="W481" i="2" s="1"/>
  <c r="W480" i="2"/>
  <c r="S480" i="2"/>
  <c r="S479" i="2"/>
  <c r="W479" i="2" s="1"/>
  <c r="S478" i="2"/>
  <c r="W478" i="2" s="1"/>
  <c r="S477" i="2"/>
  <c r="W477" i="2" s="1"/>
  <c r="S476" i="2"/>
  <c r="W476" i="2" s="1"/>
  <c r="S475" i="2"/>
  <c r="W475" i="2" s="1"/>
  <c r="S474" i="2"/>
  <c r="W474" i="2" s="1"/>
  <c r="S473" i="2"/>
  <c r="W473" i="2" s="1"/>
  <c r="W472" i="2"/>
  <c r="S472" i="2"/>
  <c r="S471" i="2"/>
  <c r="W471" i="2" s="1"/>
  <c r="S470" i="2"/>
  <c r="W470" i="2" s="1"/>
  <c r="S469" i="2"/>
  <c r="W469" i="2" s="1"/>
  <c r="S468" i="2"/>
  <c r="W468" i="2" s="1"/>
  <c r="S467" i="2"/>
  <c r="W467" i="2" s="1"/>
  <c r="S466" i="2"/>
  <c r="W466" i="2" s="1"/>
  <c r="S465" i="2"/>
  <c r="W465" i="2" s="1"/>
  <c r="S464" i="2"/>
  <c r="W464" i="2" s="1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S457" i="2"/>
  <c r="W457" i="2" s="1"/>
  <c r="O453" i="2"/>
  <c r="O454" i="2" s="1"/>
  <c r="O455" i="2" s="1"/>
  <c r="O456" i="2" s="1"/>
  <c r="W550" i="2" l="1"/>
  <c r="AE457" i="2"/>
  <c r="AI457" i="2" s="1"/>
  <c r="AI456" i="2"/>
  <c r="AB495" i="2"/>
  <c r="AE452" i="2"/>
  <c r="AI452" i="2"/>
  <c r="AE453" i="2"/>
  <c r="AI453" i="2" s="1"/>
  <c r="W452" i="2"/>
  <c r="W495" i="2" s="1"/>
  <c r="S495" i="2"/>
  <c r="P495" i="2"/>
  <c r="AB403" i="2"/>
  <c r="AB402" i="2"/>
  <c r="AE495" i="2" l="1"/>
  <c r="AI495" i="2"/>
  <c r="AG401" i="2"/>
  <c r="AC401" i="2"/>
  <c r="AC440" i="2" s="1"/>
  <c r="AB401" i="2"/>
  <c r="AE401" i="2" s="1"/>
  <c r="AB400" i="2"/>
  <c r="AE400" i="2" s="1"/>
  <c r="AI400" i="2" s="1"/>
  <c r="AH399" i="2"/>
  <c r="AG399" i="2"/>
  <c r="AB399" i="2"/>
  <c r="AE399" i="2" s="1"/>
  <c r="AB398" i="2"/>
  <c r="AE398" i="2" s="1"/>
  <c r="AI398" i="2" s="1"/>
  <c r="AH397" i="2"/>
  <c r="AG397" i="2"/>
  <c r="AB397" i="2"/>
  <c r="AE397" i="2" s="1"/>
  <c r="AD440" i="2"/>
  <c r="AI438" i="2"/>
  <c r="AE437" i="2"/>
  <c r="AI437" i="2" s="1"/>
  <c r="AI436" i="2"/>
  <c r="AE435" i="2"/>
  <c r="AI435" i="2" s="1"/>
  <c r="AI434" i="2"/>
  <c r="AE434" i="2"/>
  <c r="AI433" i="2"/>
  <c r="AE433" i="2"/>
  <c r="AE432" i="2"/>
  <c r="AI432" i="2" s="1"/>
  <c r="AE431" i="2"/>
  <c r="AI431" i="2" s="1"/>
  <c r="AE430" i="2"/>
  <c r="AI430" i="2" s="1"/>
  <c r="AE429" i="2"/>
  <c r="AI429" i="2" s="1"/>
  <c r="AE428" i="2"/>
  <c r="AI428" i="2" s="1"/>
  <c r="AE427" i="2"/>
  <c r="AI427" i="2" s="1"/>
  <c r="AE426" i="2"/>
  <c r="AI426" i="2" s="1"/>
  <c r="AE425" i="2"/>
  <c r="AI425" i="2" s="1"/>
  <c r="AE424" i="2"/>
  <c r="AI424" i="2" s="1"/>
  <c r="AE423" i="2"/>
  <c r="AI423" i="2" s="1"/>
  <c r="AE422" i="2"/>
  <c r="AI422" i="2" s="1"/>
  <c r="AI421" i="2"/>
  <c r="AE421" i="2"/>
  <c r="AE420" i="2"/>
  <c r="AI420" i="2" s="1"/>
  <c r="AE419" i="2"/>
  <c r="AI419" i="2" s="1"/>
  <c r="AE418" i="2"/>
  <c r="AI418" i="2" s="1"/>
  <c r="AE417" i="2"/>
  <c r="AI417" i="2" s="1"/>
  <c r="AE416" i="2"/>
  <c r="AI416" i="2" s="1"/>
  <c r="AE415" i="2"/>
  <c r="AI415" i="2" s="1"/>
  <c r="AE414" i="2"/>
  <c r="AI414" i="2" s="1"/>
  <c r="AE413" i="2"/>
  <c r="AI413" i="2" s="1"/>
  <c r="AE412" i="2"/>
  <c r="AI412" i="2" s="1"/>
  <c r="AE411" i="2"/>
  <c r="AI411" i="2" s="1"/>
  <c r="AE410" i="2"/>
  <c r="AI410" i="2" s="1"/>
  <c r="AE409" i="2"/>
  <c r="AI409" i="2" s="1"/>
  <c r="AE408" i="2"/>
  <c r="AI408" i="2" s="1"/>
  <c r="AE407" i="2"/>
  <c r="AI407" i="2" s="1"/>
  <c r="AE406" i="2"/>
  <c r="AI406" i="2" s="1"/>
  <c r="AE405" i="2"/>
  <c r="AI405" i="2" s="1"/>
  <c r="AE404" i="2"/>
  <c r="AI404" i="2" s="1"/>
  <c r="AE403" i="2"/>
  <c r="AI403" i="2" s="1"/>
  <c r="AE402" i="2"/>
  <c r="AI402" i="2" s="1"/>
  <c r="AA398" i="2"/>
  <c r="AA399" i="2" s="1"/>
  <c r="AA400" i="2" s="1"/>
  <c r="AA401" i="2" s="1"/>
  <c r="AA402" i="2" s="1"/>
  <c r="AA403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I397" i="2"/>
  <c r="I440" i="2" s="1"/>
  <c r="D397" i="2"/>
  <c r="J440" i="2"/>
  <c r="F440" i="2"/>
  <c r="E440" i="2"/>
  <c r="G437" i="2"/>
  <c r="K437" i="2" s="1"/>
  <c r="G430" i="2"/>
  <c r="K430" i="2" s="1"/>
  <c r="K429" i="2"/>
  <c r="G429" i="2"/>
  <c r="G428" i="2"/>
  <c r="K428" i="2" s="1"/>
  <c r="K427" i="2"/>
  <c r="G427" i="2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G406" i="2"/>
  <c r="K406" i="2" s="1"/>
  <c r="G405" i="2"/>
  <c r="K405" i="2" s="1"/>
  <c r="G403" i="2"/>
  <c r="K403" i="2" s="1"/>
  <c r="G402" i="2"/>
  <c r="K402" i="2" s="1"/>
  <c r="C398" i="2"/>
  <c r="C399" i="2" s="1"/>
  <c r="C400" i="2" s="1"/>
  <c r="C401" i="2" s="1"/>
  <c r="AI401" i="2" l="1"/>
  <c r="AG440" i="2"/>
  <c r="AI399" i="2"/>
  <c r="AH440" i="2"/>
  <c r="AB440" i="2"/>
  <c r="AE440" i="2"/>
  <c r="AI397" i="2"/>
  <c r="AI440" i="2" s="1"/>
  <c r="D440" i="2"/>
  <c r="G397" i="2"/>
  <c r="K397" i="2"/>
  <c r="G404" i="2"/>
  <c r="K404" i="2" s="1"/>
  <c r="AG344" i="2"/>
  <c r="K440" i="2" l="1"/>
  <c r="G440" i="2"/>
  <c r="AB346" i="2"/>
  <c r="AC345" i="2"/>
  <c r="AB345" i="2"/>
  <c r="AE345" i="2" s="1"/>
  <c r="AI345" i="2" s="1"/>
  <c r="AC344" i="2"/>
  <c r="AB344" i="2"/>
  <c r="AB343" i="2"/>
  <c r="AB342" i="2"/>
  <c r="AA343" i="2"/>
  <c r="AA344" i="2" s="1"/>
  <c r="AA345" i="2" s="1"/>
  <c r="AA346" i="2" s="1"/>
  <c r="AE342" i="2"/>
  <c r="AG385" i="2"/>
  <c r="AH385" i="2"/>
  <c r="AE344" i="2"/>
  <c r="AI344" i="2" s="1"/>
  <c r="AE346" i="2"/>
  <c r="AI346" i="2"/>
  <c r="AE347" i="2"/>
  <c r="AI347" i="2" s="1"/>
  <c r="AE348" i="2"/>
  <c r="AI348" i="2"/>
  <c r="AE349" i="2"/>
  <c r="AI349" i="2"/>
  <c r="AE350" i="2"/>
  <c r="AI350" i="2" s="1"/>
  <c r="AE351" i="2"/>
  <c r="AI351" i="2"/>
  <c r="AE352" i="2"/>
  <c r="AI352" i="2"/>
  <c r="AE353" i="2"/>
  <c r="AI353" i="2" s="1"/>
  <c r="AE354" i="2"/>
  <c r="AI354" i="2"/>
  <c r="AE355" i="2"/>
  <c r="AI355" i="2" s="1"/>
  <c r="AE356" i="2"/>
  <c r="AI356" i="2" s="1"/>
  <c r="AE357" i="2"/>
  <c r="AI357" i="2"/>
  <c r="AE358" i="2"/>
  <c r="AI358" i="2"/>
  <c r="AE359" i="2"/>
  <c r="AI359" i="2" s="1"/>
  <c r="AE360" i="2"/>
  <c r="AI360" i="2"/>
  <c r="AE361" i="2"/>
  <c r="AI361" i="2" s="1"/>
  <c r="AE362" i="2"/>
  <c r="AI362" i="2"/>
  <c r="AE363" i="2"/>
  <c r="AI363" i="2" s="1"/>
  <c r="AE364" i="2"/>
  <c r="AI364" i="2" s="1"/>
  <c r="AE365" i="2"/>
  <c r="AI365" i="2" s="1"/>
  <c r="AE366" i="2"/>
  <c r="AI366" i="2"/>
  <c r="AE367" i="2"/>
  <c r="AI367" i="2"/>
  <c r="AE368" i="2"/>
  <c r="AI368" i="2" s="1"/>
  <c r="AE369" i="2"/>
  <c r="AI369" i="2" s="1"/>
  <c r="AE370" i="2"/>
  <c r="AI370" i="2"/>
  <c r="AE371" i="2"/>
  <c r="AI371" i="2" s="1"/>
  <c r="AE372" i="2"/>
  <c r="AI372" i="2"/>
  <c r="AE373" i="2"/>
  <c r="AI373" i="2" s="1"/>
  <c r="AE374" i="2"/>
  <c r="AI374" i="2" s="1"/>
  <c r="AE375" i="2"/>
  <c r="AI375" i="2"/>
  <c r="AE376" i="2"/>
  <c r="AI376" i="2"/>
  <c r="AE377" i="2"/>
  <c r="AI377" i="2" s="1"/>
  <c r="AE378" i="2"/>
  <c r="AI378" i="2"/>
  <c r="AE379" i="2"/>
  <c r="AI379" i="2" s="1"/>
  <c r="AE380" i="2"/>
  <c r="AI380" i="2" s="1"/>
  <c r="AI381" i="2"/>
  <c r="AE382" i="2"/>
  <c r="AI382" i="2" s="1"/>
  <c r="AI383" i="2"/>
  <c r="AD385" i="2"/>
  <c r="P346" i="2"/>
  <c r="S346" i="2" s="1"/>
  <c r="W346" i="2" s="1"/>
  <c r="V345" i="2"/>
  <c r="Q345" i="2"/>
  <c r="P345" i="2"/>
  <c r="S345" i="2" s="1"/>
  <c r="W345" i="2" s="1"/>
  <c r="U344" i="2"/>
  <c r="U385" i="2" s="1"/>
  <c r="P344" i="2"/>
  <c r="S344" i="2" s="1"/>
  <c r="P343" i="2"/>
  <c r="S343" i="2" s="1"/>
  <c r="W343" i="2" s="1"/>
  <c r="P342" i="2"/>
  <c r="O343" i="2"/>
  <c r="V385" i="2"/>
  <c r="O344" i="2"/>
  <c r="Q385" i="2"/>
  <c r="O345" i="2"/>
  <c r="O346" i="2" s="1"/>
  <c r="S347" i="2"/>
  <c r="W347" i="2" s="1"/>
  <c r="S348" i="2"/>
  <c r="W348" i="2" s="1"/>
  <c r="S349" i="2"/>
  <c r="W349" i="2" s="1"/>
  <c r="S350" i="2"/>
  <c r="W350" i="2"/>
  <c r="S351" i="2"/>
  <c r="W351" i="2"/>
  <c r="S352" i="2"/>
  <c r="W352" i="2"/>
  <c r="S353" i="2"/>
  <c r="W353" i="2"/>
  <c r="S354" i="2"/>
  <c r="W354" i="2" s="1"/>
  <c r="S355" i="2"/>
  <c r="W355" i="2"/>
  <c r="S356" i="2"/>
  <c r="W356" i="2"/>
  <c r="S357" i="2"/>
  <c r="W357" i="2" s="1"/>
  <c r="S358" i="2"/>
  <c r="W358" i="2"/>
  <c r="S359" i="2"/>
  <c r="W359" i="2"/>
  <c r="S360" i="2"/>
  <c r="W360" i="2" s="1"/>
  <c r="S361" i="2"/>
  <c r="W361" i="2" s="1"/>
  <c r="S362" i="2"/>
  <c r="W362" i="2"/>
  <c r="S363" i="2"/>
  <c r="W363" i="2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/>
  <c r="S371" i="2"/>
  <c r="W371" i="2" s="1"/>
  <c r="S372" i="2"/>
  <c r="W372" i="2"/>
  <c r="S373" i="2"/>
  <c r="W373" i="2" s="1"/>
  <c r="S374" i="2"/>
  <c r="W374" i="2" s="1"/>
  <c r="S375" i="2"/>
  <c r="W375" i="2" s="1"/>
  <c r="S376" i="2"/>
  <c r="W376" i="2"/>
  <c r="S377" i="2"/>
  <c r="W377" i="2" s="1"/>
  <c r="S378" i="2"/>
  <c r="W378" i="2" s="1"/>
  <c r="S379" i="2"/>
  <c r="W379" i="2"/>
  <c r="S380" i="2"/>
  <c r="W380" i="2"/>
  <c r="W381" i="2"/>
  <c r="S382" i="2"/>
  <c r="W382" i="2"/>
  <c r="W383" i="2"/>
  <c r="R385" i="2"/>
  <c r="D353" i="2"/>
  <c r="D352" i="2"/>
  <c r="G352" i="2"/>
  <c r="K352" i="2" s="1"/>
  <c r="D351" i="2"/>
  <c r="G351" i="2" s="1"/>
  <c r="K351" i="2" s="1"/>
  <c r="D350" i="2"/>
  <c r="G350" i="2" s="1"/>
  <c r="K350" i="2" s="1"/>
  <c r="D349" i="2"/>
  <c r="G349" i="2" s="1"/>
  <c r="K349" i="2" s="1"/>
  <c r="I348" i="2"/>
  <c r="D348" i="2"/>
  <c r="G348" i="2" s="1"/>
  <c r="K348" i="2" s="1"/>
  <c r="I347" i="2"/>
  <c r="I385" i="2" s="1"/>
  <c r="D347" i="2"/>
  <c r="G347" i="2" s="1"/>
  <c r="K347" i="2" s="1"/>
  <c r="D346" i="2"/>
  <c r="G346" i="2" s="1"/>
  <c r="K346" i="2" s="1"/>
  <c r="D345" i="2"/>
  <c r="G345" i="2" s="1"/>
  <c r="K345" i="2" s="1"/>
  <c r="D344" i="2"/>
  <c r="G344" i="2" s="1"/>
  <c r="K344" i="2" s="1"/>
  <c r="D343" i="2"/>
  <c r="D342" i="2"/>
  <c r="G342" i="2" s="1"/>
  <c r="J385" i="2"/>
  <c r="F385" i="2"/>
  <c r="G382" i="2"/>
  <c r="K382" i="2" s="1"/>
  <c r="G375" i="2"/>
  <c r="K375" i="2" s="1"/>
  <c r="G374" i="2"/>
  <c r="K374" i="2" s="1"/>
  <c r="G373" i="2"/>
  <c r="K373" i="2" s="1"/>
  <c r="G372" i="2"/>
  <c r="K372" i="2" s="1"/>
  <c r="G371" i="2"/>
  <c r="K371" i="2" s="1"/>
  <c r="G370" i="2"/>
  <c r="K370" i="2" s="1"/>
  <c r="G369" i="2"/>
  <c r="K369" i="2" s="1"/>
  <c r="G368" i="2"/>
  <c r="K368" i="2" s="1"/>
  <c r="G367" i="2"/>
  <c r="K367" i="2" s="1"/>
  <c r="G366" i="2"/>
  <c r="K366" i="2" s="1"/>
  <c r="G365" i="2"/>
  <c r="K365" i="2" s="1"/>
  <c r="G364" i="2"/>
  <c r="K364" i="2" s="1"/>
  <c r="G363" i="2"/>
  <c r="K363" i="2" s="1"/>
  <c r="G362" i="2"/>
  <c r="K362" i="2" s="1"/>
  <c r="G361" i="2"/>
  <c r="K361" i="2" s="1"/>
  <c r="G360" i="2"/>
  <c r="K360" i="2" s="1"/>
  <c r="G359" i="2"/>
  <c r="K359" i="2" s="1"/>
  <c r="G358" i="2"/>
  <c r="K358" i="2" s="1"/>
  <c r="G357" i="2"/>
  <c r="K357" i="2" s="1"/>
  <c r="G356" i="2"/>
  <c r="K356" i="2" s="1"/>
  <c r="G355" i="2"/>
  <c r="K355" i="2" s="1"/>
  <c r="G354" i="2"/>
  <c r="K354" i="2" s="1"/>
  <c r="G353" i="2"/>
  <c r="K353" i="2" s="1"/>
  <c r="E385" i="2"/>
  <c r="G343" i="2"/>
  <c r="K343" i="2" s="1"/>
  <c r="C343" i="2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AB385" i="2" l="1"/>
  <c r="AC385" i="2"/>
  <c r="AI342" i="2"/>
  <c r="AE343" i="2"/>
  <c r="AI343" i="2" s="1"/>
  <c r="W344" i="2"/>
  <c r="P385" i="2"/>
  <c r="S342" i="2"/>
  <c r="S385" i="2" s="1"/>
  <c r="G385" i="2"/>
  <c r="K342" i="2"/>
  <c r="K385" i="2" s="1"/>
  <c r="D385" i="2"/>
  <c r="AB291" i="2"/>
  <c r="AE291" i="2" s="1"/>
  <c r="AI291" i="2" s="1"/>
  <c r="AC290" i="2"/>
  <c r="AC330" i="2" s="1"/>
  <c r="AB290" i="2"/>
  <c r="AE290" i="2" s="1"/>
  <c r="AI290" i="2" s="1"/>
  <c r="AH289" i="2"/>
  <c r="AH330" i="2" s="1"/>
  <c r="AB289" i="2"/>
  <c r="AH288" i="2"/>
  <c r="AG288" i="2"/>
  <c r="AC288" i="2"/>
  <c r="AB288" i="2"/>
  <c r="AG287" i="2"/>
  <c r="AC287" i="2"/>
  <c r="AB287" i="2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2" i="2"/>
  <c r="AI292" i="2" s="1"/>
  <c r="AE289" i="2"/>
  <c r="AE288" i="2"/>
  <c r="AA288" i="2"/>
  <c r="AA289" i="2" s="1"/>
  <c r="AA290" i="2" s="1"/>
  <c r="AA291" i="2" s="1"/>
  <c r="V290" i="2"/>
  <c r="U290" i="2"/>
  <c r="Q290" i="2"/>
  <c r="P290" i="2"/>
  <c r="U289" i="2"/>
  <c r="Q289" i="2"/>
  <c r="P289" i="2"/>
  <c r="V288" i="2"/>
  <c r="P288" i="2"/>
  <c r="S288" i="2" s="1"/>
  <c r="Q287" i="2"/>
  <c r="P287" i="2"/>
  <c r="R330" i="2"/>
  <c r="W328" i="2"/>
  <c r="S327" i="2"/>
  <c r="W327" i="2" s="1"/>
  <c r="W326" i="2"/>
  <c r="S325" i="2"/>
  <c r="W325" i="2" s="1"/>
  <c r="S324" i="2"/>
  <c r="W324" i="2" s="1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S309" i="2"/>
  <c r="W309" i="2" s="1"/>
  <c r="S308" i="2"/>
  <c r="W308" i="2" s="1"/>
  <c r="S307" i="2"/>
  <c r="W307" i="2" s="1"/>
  <c r="S306" i="2"/>
  <c r="W306" i="2" s="1"/>
  <c r="W305" i="2"/>
  <c r="S305" i="2"/>
  <c r="S304" i="2"/>
  <c r="W304" i="2" s="1"/>
  <c r="S303" i="2"/>
  <c r="W303" i="2" s="1"/>
  <c r="S302" i="2"/>
  <c r="W302" i="2" s="1"/>
  <c r="S301" i="2"/>
  <c r="W301" i="2" s="1"/>
  <c r="S300" i="2"/>
  <c r="W300" i="2" s="1"/>
  <c r="S299" i="2"/>
  <c r="W299" i="2" s="1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W293" i="2" s="1"/>
  <c r="S292" i="2"/>
  <c r="W292" i="2" s="1"/>
  <c r="S291" i="2"/>
  <c r="W291" i="2" s="1"/>
  <c r="O288" i="2"/>
  <c r="O289" i="2" s="1"/>
  <c r="O290" i="2" s="1"/>
  <c r="S287" i="2"/>
  <c r="W342" i="2" l="1"/>
  <c r="W385" i="2" s="1"/>
  <c r="U330" i="2"/>
  <c r="S290" i="2"/>
  <c r="AI385" i="2"/>
  <c r="AE385" i="2"/>
  <c r="AB330" i="2"/>
  <c r="AI289" i="2"/>
  <c r="AI288" i="2"/>
  <c r="AG330" i="2"/>
  <c r="AE287" i="2"/>
  <c r="AE330" i="2"/>
  <c r="AI287" i="2"/>
  <c r="W290" i="2"/>
  <c r="V330" i="2"/>
  <c r="Q330" i="2"/>
  <c r="S289" i="2"/>
  <c r="W289" i="2" s="1"/>
  <c r="W288" i="2"/>
  <c r="W287" i="2"/>
  <c r="P330" i="2"/>
  <c r="AH237" i="2"/>
  <c r="AB237" i="2"/>
  <c r="AE237" i="2" s="1"/>
  <c r="AI237" i="2" s="1"/>
  <c r="AB236" i="2"/>
  <c r="AE236" i="2" s="1"/>
  <c r="AI236" i="2" s="1"/>
  <c r="AG235" i="2"/>
  <c r="AB235" i="2"/>
  <c r="AE235" i="2" s="1"/>
  <c r="AB234" i="2"/>
  <c r="AE234" i="2" s="1"/>
  <c r="AI234" i="2" s="1"/>
  <c r="AG233" i="2"/>
  <c r="AC233" i="2"/>
  <c r="AC275" i="2" s="1"/>
  <c r="AB233" i="2"/>
  <c r="AE233" i="2" s="1"/>
  <c r="AI233" i="2" s="1"/>
  <c r="AH232" i="2"/>
  <c r="AH275" i="2" s="1"/>
  <c r="AB232" i="2"/>
  <c r="AE232" i="2" s="1"/>
  <c r="AA236" i="2"/>
  <c r="AA237" i="2" s="1"/>
  <c r="AA233" i="2"/>
  <c r="AA234" i="2" s="1"/>
  <c r="AA235" i="2" s="1"/>
  <c r="AE238" i="2"/>
  <c r="AI238" i="2"/>
  <c r="AE239" i="2"/>
  <c r="AI239" i="2"/>
  <c r="AE240" i="2"/>
  <c r="AI240" i="2" s="1"/>
  <c r="AE241" i="2"/>
  <c r="AI241" i="2" s="1"/>
  <c r="AE242" i="2"/>
  <c r="AI242" i="2"/>
  <c r="AE243" i="2"/>
  <c r="AI243" i="2"/>
  <c r="AE244" i="2"/>
  <c r="AI244" i="2" s="1"/>
  <c r="AE245" i="2"/>
  <c r="AI245" i="2" s="1"/>
  <c r="AE246" i="2"/>
  <c r="AI246" i="2"/>
  <c r="AE247" i="2"/>
  <c r="AI247" i="2"/>
  <c r="AE248" i="2"/>
  <c r="AI248" i="2" s="1"/>
  <c r="AE249" i="2"/>
  <c r="AI249" i="2"/>
  <c r="AE250" i="2"/>
  <c r="AI250" i="2"/>
  <c r="AE251" i="2"/>
  <c r="AI251" i="2"/>
  <c r="AE252" i="2"/>
  <c r="AI252" i="2" s="1"/>
  <c r="AE253" i="2"/>
  <c r="AI253" i="2" s="1"/>
  <c r="AE254" i="2"/>
  <c r="AI254" i="2"/>
  <c r="AE255" i="2"/>
  <c r="AI255" i="2"/>
  <c r="AE256" i="2"/>
  <c r="AI256" i="2"/>
  <c r="AE257" i="2"/>
  <c r="AI257" i="2" s="1"/>
  <c r="AE258" i="2"/>
  <c r="AI258" i="2"/>
  <c r="AE259" i="2"/>
  <c r="AI259" i="2"/>
  <c r="AE260" i="2"/>
  <c r="AI260" i="2" s="1"/>
  <c r="AE261" i="2"/>
  <c r="AI261" i="2" s="1"/>
  <c r="AE262" i="2"/>
  <c r="AI262" i="2"/>
  <c r="AE263" i="2"/>
  <c r="AI263" i="2" s="1"/>
  <c r="AE264" i="2"/>
  <c r="AI264" i="2"/>
  <c r="AE265" i="2"/>
  <c r="AI265" i="2"/>
  <c r="AE266" i="2"/>
  <c r="AI266" i="2" s="1"/>
  <c r="AE267" i="2"/>
  <c r="AI267" i="2"/>
  <c r="AE268" i="2"/>
  <c r="AI268" i="2" s="1"/>
  <c r="AE269" i="2"/>
  <c r="AI269" i="2" s="1"/>
  <c r="AE270" i="2"/>
  <c r="AI270" i="2"/>
  <c r="AI271" i="2"/>
  <c r="AE272" i="2"/>
  <c r="AI272" i="2" s="1"/>
  <c r="AI273" i="2"/>
  <c r="AD275" i="2"/>
  <c r="P237" i="2"/>
  <c r="P236" i="2"/>
  <c r="S236" i="2" s="1"/>
  <c r="W236" i="2" s="1"/>
  <c r="U275" i="2"/>
  <c r="S235" i="2"/>
  <c r="W235" i="2" s="1"/>
  <c r="P234" i="2"/>
  <c r="S234" i="2" s="1"/>
  <c r="W234" i="2" s="1"/>
  <c r="V233" i="2"/>
  <c r="P233" i="2"/>
  <c r="S233" i="2" s="1"/>
  <c r="W233" i="2" s="1"/>
  <c r="P232" i="2"/>
  <c r="O233" i="2"/>
  <c r="O234" i="2"/>
  <c r="O235" i="2" s="1"/>
  <c r="O236" i="2" s="1"/>
  <c r="O237" i="2" s="1"/>
  <c r="S237" i="2"/>
  <c r="W237" i="2" s="1"/>
  <c r="S238" i="2"/>
  <c r="W238" i="2" s="1"/>
  <c r="S239" i="2"/>
  <c r="W239" i="2" s="1"/>
  <c r="S240" i="2"/>
  <c r="W240" i="2"/>
  <c r="S241" i="2"/>
  <c r="W241" i="2"/>
  <c r="S242" i="2"/>
  <c r="W242" i="2" s="1"/>
  <c r="S243" i="2"/>
  <c r="W243" i="2" s="1"/>
  <c r="S244" i="2"/>
  <c r="W244" i="2"/>
  <c r="S245" i="2"/>
  <c r="W245" i="2"/>
  <c r="S246" i="2"/>
  <c r="W246" i="2"/>
  <c r="S247" i="2"/>
  <c r="W247" i="2"/>
  <c r="S248" i="2"/>
  <c r="W248" i="2" s="1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/>
  <c r="S256" i="2"/>
  <c r="W256" i="2" s="1"/>
  <c r="S257" i="2"/>
  <c r="W257" i="2" s="1"/>
  <c r="S258" i="2"/>
  <c r="W258" i="2" s="1"/>
  <c r="S259" i="2"/>
  <c r="W259" i="2"/>
  <c r="S260" i="2"/>
  <c r="W260" i="2"/>
  <c r="S261" i="2"/>
  <c r="W261" i="2"/>
  <c r="S262" i="2"/>
  <c r="W262" i="2"/>
  <c r="S263" i="2"/>
  <c r="W263" i="2"/>
  <c r="S264" i="2"/>
  <c r="W264" i="2"/>
  <c r="S265" i="2"/>
  <c r="W265" i="2" s="1"/>
  <c r="S266" i="2"/>
  <c r="W266" i="2" s="1"/>
  <c r="S267" i="2"/>
  <c r="W267" i="2"/>
  <c r="S268" i="2"/>
  <c r="W268" i="2"/>
  <c r="S269" i="2"/>
  <c r="W269" i="2" s="1"/>
  <c r="S270" i="2"/>
  <c r="W270" i="2"/>
  <c r="W271" i="2"/>
  <c r="S272" i="2"/>
  <c r="W272" i="2"/>
  <c r="W273" i="2"/>
  <c r="R275" i="2"/>
  <c r="V275" i="2"/>
  <c r="S330" i="2" l="1"/>
  <c r="AI330" i="2"/>
  <c r="W330" i="2"/>
  <c r="AG275" i="2"/>
  <c r="AI235" i="2"/>
  <c r="AI232" i="2"/>
  <c r="AE275" i="2"/>
  <c r="AB275" i="2"/>
  <c r="Q275" i="2"/>
  <c r="P275" i="2"/>
  <c r="S232" i="2"/>
  <c r="S275" i="2" s="1"/>
  <c r="W232" i="2"/>
  <c r="W275" i="2" s="1"/>
  <c r="AH180" i="2"/>
  <c r="AH220" i="2" s="1"/>
  <c r="AC180" i="2"/>
  <c r="AB180" i="2"/>
  <c r="AE180" i="2" s="1"/>
  <c r="AH179" i="2"/>
  <c r="AB179" i="2"/>
  <c r="AB178" i="2"/>
  <c r="AE178" i="2" s="1"/>
  <c r="AI178" i="2" s="1"/>
  <c r="AC177" i="2"/>
  <c r="AB177" i="2"/>
  <c r="AA178" i="2"/>
  <c r="AA179" i="2" s="1"/>
  <c r="AA180" i="2" s="1"/>
  <c r="AG220" i="2"/>
  <c r="AD220" i="2"/>
  <c r="AI218" i="2"/>
  <c r="AE217" i="2"/>
  <c r="AI217" i="2" s="1"/>
  <c r="AI216" i="2"/>
  <c r="AE215" i="2"/>
  <c r="AI215" i="2" s="1"/>
  <c r="AE214" i="2"/>
  <c r="AI214" i="2" s="1"/>
  <c r="AE213" i="2"/>
  <c r="AI213" i="2" s="1"/>
  <c r="AE212" i="2"/>
  <c r="AI212" i="2" s="1"/>
  <c r="AE211" i="2"/>
  <c r="AI211" i="2" s="1"/>
  <c r="AE210" i="2"/>
  <c r="AI210" i="2" s="1"/>
  <c r="AE209" i="2"/>
  <c r="AI209" i="2" s="1"/>
  <c r="AE208" i="2"/>
  <c r="AI208" i="2" s="1"/>
  <c r="AE207" i="2"/>
  <c r="AI207" i="2" s="1"/>
  <c r="AE206" i="2"/>
  <c r="AI206" i="2" s="1"/>
  <c r="AE205" i="2"/>
  <c r="AI205" i="2" s="1"/>
  <c r="AE204" i="2"/>
  <c r="AI204" i="2" s="1"/>
  <c r="AE203" i="2"/>
  <c r="AI203" i="2" s="1"/>
  <c r="AE202" i="2"/>
  <c r="AI202" i="2" s="1"/>
  <c r="AE201" i="2"/>
  <c r="AI201" i="2" s="1"/>
  <c r="AI200" i="2"/>
  <c r="AE200" i="2"/>
  <c r="AE199" i="2"/>
  <c r="AI199" i="2" s="1"/>
  <c r="AE198" i="2"/>
  <c r="AI198" i="2" s="1"/>
  <c r="AE197" i="2"/>
  <c r="AI197" i="2" s="1"/>
  <c r="AE196" i="2"/>
  <c r="AI196" i="2" s="1"/>
  <c r="AE195" i="2"/>
  <c r="AI195" i="2" s="1"/>
  <c r="AE194" i="2"/>
  <c r="AI194" i="2" s="1"/>
  <c r="AE193" i="2"/>
  <c r="AI193" i="2" s="1"/>
  <c r="AE192" i="2"/>
  <c r="AI192" i="2" s="1"/>
  <c r="AE191" i="2"/>
  <c r="AI191" i="2" s="1"/>
  <c r="AE190" i="2"/>
  <c r="AI190" i="2" s="1"/>
  <c r="AE189" i="2"/>
  <c r="AI189" i="2" s="1"/>
  <c r="AE188" i="2"/>
  <c r="AI188" i="2" s="1"/>
  <c r="AE187" i="2"/>
  <c r="AI187" i="2" s="1"/>
  <c r="AE186" i="2"/>
  <c r="AI186" i="2" s="1"/>
  <c r="AE185" i="2"/>
  <c r="AI185" i="2" s="1"/>
  <c r="AE184" i="2"/>
  <c r="AI184" i="2" s="1"/>
  <c r="AE183" i="2"/>
  <c r="AI183" i="2" s="1"/>
  <c r="AE182" i="2"/>
  <c r="AI182" i="2" s="1"/>
  <c r="AE181" i="2"/>
  <c r="AI181" i="2" s="1"/>
  <c r="AE179" i="2"/>
  <c r="AI179" i="2" s="1"/>
  <c r="V179" i="2"/>
  <c r="P179" i="2"/>
  <c r="U178" i="2"/>
  <c r="Q178" i="2"/>
  <c r="P178" i="2"/>
  <c r="V177" i="2"/>
  <c r="V220" i="2" s="1"/>
  <c r="U177" i="2"/>
  <c r="Q177" i="2"/>
  <c r="P177" i="2"/>
  <c r="R220" i="2"/>
  <c r="W218" i="2"/>
  <c r="S217" i="2"/>
  <c r="W217" i="2" s="1"/>
  <c r="W216" i="2"/>
  <c r="S215" i="2"/>
  <c r="W215" i="2" s="1"/>
  <c r="S214" i="2"/>
  <c r="W214" i="2" s="1"/>
  <c r="S213" i="2"/>
  <c r="W213" i="2" s="1"/>
  <c r="S212" i="2"/>
  <c r="W212" i="2" s="1"/>
  <c r="S211" i="2"/>
  <c r="W211" i="2" s="1"/>
  <c r="S210" i="2"/>
  <c r="W210" i="2" s="1"/>
  <c r="S209" i="2"/>
  <c r="W209" i="2" s="1"/>
  <c r="S208" i="2"/>
  <c r="W208" i="2" s="1"/>
  <c r="S207" i="2"/>
  <c r="W207" i="2" s="1"/>
  <c r="S206" i="2"/>
  <c r="W206" i="2" s="1"/>
  <c r="S205" i="2"/>
  <c r="W205" i="2" s="1"/>
  <c r="S204" i="2"/>
  <c r="W204" i="2" s="1"/>
  <c r="S203" i="2"/>
  <c r="W203" i="2" s="1"/>
  <c r="S202" i="2"/>
  <c r="W202" i="2" s="1"/>
  <c r="S201" i="2"/>
  <c r="W201" i="2" s="1"/>
  <c r="S200" i="2"/>
  <c r="W200" i="2" s="1"/>
  <c r="S199" i="2"/>
  <c r="W199" i="2" s="1"/>
  <c r="S198" i="2"/>
  <c r="W198" i="2" s="1"/>
  <c r="S197" i="2"/>
  <c r="W197" i="2" s="1"/>
  <c r="S196" i="2"/>
  <c r="W196" i="2" s="1"/>
  <c r="S195" i="2"/>
  <c r="W195" i="2" s="1"/>
  <c r="S194" i="2"/>
  <c r="W194" i="2" s="1"/>
  <c r="S193" i="2"/>
  <c r="W193" i="2" s="1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S179" i="2"/>
  <c r="P220" i="2"/>
  <c r="O178" i="2"/>
  <c r="O179" i="2" s="1"/>
  <c r="D184" i="2"/>
  <c r="D183" i="2"/>
  <c r="G183" i="2" s="1"/>
  <c r="K183" i="2" s="1"/>
  <c r="J182" i="2"/>
  <c r="J220" i="2" s="1"/>
  <c r="I182" i="2"/>
  <c r="E182" i="2"/>
  <c r="E220" i="2" s="1"/>
  <c r="D182" i="2"/>
  <c r="G182" i="2" s="1"/>
  <c r="K182" i="2" s="1"/>
  <c r="I181" i="2"/>
  <c r="D181" i="2"/>
  <c r="G181" i="2" s="1"/>
  <c r="K181" i="2" s="1"/>
  <c r="D180" i="2"/>
  <c r="D179" i="2"/>
  <c r="D178" i="2"/>
  <c r="G178" i="2" s="1"/>
  <c r="K178" i="2" s="1"/>
  <c r="I177" i="2"/>
  <c r="D177" i="2"/>
  <c r="G177" i="2" s="1"/>
  <c r="C180" i="2"/>
  <c r="C181" i="2" s="1"/>
  <c r="C182" i="2" s="1"/>
  <c r="C183" i="2" s="1"/>
  <c r="F220" i="2"/>
  <c r="K217" i="2"/>
  <c r="G217" i="2"/>
  <c r="G210" i="2"/>
  <c r="K210" i="2" s="1"/>
  <c r="G209" i="2"/>
  <c r="K209" i="2" s="1"/>
  <c r="G208" i="2"/>
  <c r="K208" i="2" s="1"/>
  <c r="K207" i="2"/>
  <c r="G207" i="2"/>
  <c r="G206" i="2"/>
  <c r="K206" i="2" s="1"/>
  <c r="G205" i="2"/>
  <c r="K205" i="2" s="1"/>
  <c r="G204" i="2"/>
  <c r="K204" i="2" s="1"/>
  <c r="G203" i="2"/>
  <c r="K203" i="2" s="1"/>
  <c r="G202" i="2"/>
  <c r="K202" i="2" s="1"/>
  <c r="K201" i="2"/>
  <c r="G201" i="2"/>
  <c r="G200" i="2"/>
  <c r="K200" i="2" s="1"/>
  <c r="G199" i="2"/>
  <c r="K199" i="2" s="1"/>
  <c r="G198" i="2"/>
  <c r="K198" i="2" s="1"/>
  <c r="G197" i="2"/>
  <c r="K197" i="2" s="1"/>
  <c r="G196" i="2"/>
  <c r="K196" i="2" s="1"/>
  <c r="G195" i="2"/>
  <c r="K195" i="2" s="1"/>
  <c r="G194" i="2"/>
  <c r="K194" i="2" s="1"/>
  <c r="G193" i="2"/>
  <c r="K193" i="2" s="1"/>
  <c r="G192" i="2"/>
  <c r="K192" i="2" s="1"/>
  <c r="K191" i="2"/>
  <c r="G191" i="2"/>
  <c r="G190" i="2"/>
  <c r="K190" i="2" s="1"/>
  <c r="G189" i="2"/>
  <c r="K189" i="2" s="1"/>
  <c r="G188" i="2"/>
  <c r="K188" i="2" s="1"/>
  <c r="G187" i="2"/>
  <c r="K187" i="2" s="1"/>
  <c r="G186" i="2"/>
  <c r="K186" i="2" s="1"/>
  <c r="G185" i="2"/>
  <c r="K185" i="2" s="1"/>
  <c r="G184" i="2"/>
  <c r="K184" i="2" s="1"/>
  <c r="G180" i="2"/>
  <c r="K180" i="2" s="1"/>
  <c r="G179" i="2"/>
  <c r="K179" i="2" s="1"/>
  <c r="C178" i="2"/>
  <c r="C179" i="2" s="1"/>
  <c r="Q220" i="2" l="1"/>
  <c r="AI275" i="2"/>
  <c r="AC220" i="2"/>
  <c r="S177" i="2"/>
  <c r="AI180" i="2"/>
  <c r="AE177" i="2"/>
  <c r="AE220" i="2"/>
  <c r="AI177" i="2"/>
  <c r="AI220" i="2" s="1"/>
  <c r="AB220" i="2"/>
  <c r="W179" i="2"/>
  <c r="U220" i="2"/>
  <c r="W177" i="2"/>
  <c r="S178" i="2"/>
  <c r="W178" i="2" s="1"/>
  <c r="I220" i="2"/>
  <c r="G220" i="2"/>
  <c r="K177" i="2"/>
  <c r="K220" i="2" s="1"/>
  <c r="D220" i="2"/>
  <c r="D124" i="2"/>
  <c r="D123" i="2"/>
  <c r="G123" i="2" s="1"/>
  <c r="K123" i="2" s="1"/>
  <c r="I122" i="2"/>
  <c r="I165" i="2" s="1"/>
  <c r="D122" i="2"/>
  <c r="G122" i="2"/>
  <c r="C123" i="2"/>
  <c r="C124" i="2" s="1"/>
  <c r="G124" i="2"/>
  <c r="K124" i="2" s="1"/>
  <c r="G125" i="2"/>
  <c r="K125" i="2" s="1"/>
  <c r="G126" i="2"/>
  <c r="K126" i="2"/>
  <c r="G127" i="2"/>
  <c r="K127" i="2" s="1"/>
  <c r="G128" i="2"/>
  <c r="K128" i="2" s="1"/>
  <c r="G129" i="2"/>
  <c r="K129" i="2" s="1"/>
  <c r="G130" i="2"/>
  <c r="K130" i="2"/>
  <c r="G131" i="2"/>
  <c r="K131" i="2" s="1"/>
  <c r="G132" i="2"/>
  <c r="K132" i="2" s="1"/>
  <c r="G133" i="2"/>
  <c r="K133" i="2"/>
  <c r="G134" i="2"/>
  <c r="K134" i="2"/>
  <c r="G135" i="2"/>
  <c r="K135" i="2"/>
  <c r="G136" i="2"/>
  <c r="K136" i="2" s="1"/>
  <c r="G137" i="2"/>
  <c r="K137" i="2"/>
  <c r="G138" i="2"/>
  <c r="K138" i="2"/>
  <c r="G139" i="2"/>
  <c r="K139" i="2" s="1"/>
  <c r="G140" i="2"/>
  <c r="K140" i="2" s="1"/>
  <c r="G141" i="2"/>
  <c r="K141" i="2" s="1"/>
  <c r="G142" i="2"/>
  <c r="K142" i="2"/>
  <c r="G143" i="2"/>
  <c r="K143" i="2"/>
  <c r="G144" i="2"/>
  <c r="K144" i="2" s="1"/>
  <c r="G145" i="2"/>
  <c r="K145" i="2"/>
  <c r="G146" i="2"/>
  <c r="K146" i="2"/>
  <c r="G147" i="2"/>
  <c r="K147" i="2" s="1"/>
  <c r="G148" i="2"/>
  <c r="K148" i="2" s="1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 s="1"/>
  <c r="E165" i="2"/>
  <c r="F165" i="2"/>
  <c r="J165" i="2"/>
  <c r="W220" i="2" l="1"/>
  <c r="S220" i="2"/>
  <c r="D165" i="2"/>
  <c r="K122" i="2"/>
  <c r="K165" i="2" s="1"/>
  <c r="G165" i="2"/>
  <c r="AG69" i="2"/>
  <c r="AB69" i="2" l="1"/>
  <c r="AH69" i="2" l="1"/>
  <c r="AH71" i="2" l="1"/>
  <c r="AB71" i="2"/>
  <c r="AB70" i="2"/>
  <c r="AE70" i="2"/>
  <c r="AI70" i="2" s="1"/>
  <c r="AH68" i="2"/>
  <c r="AH110" i="2" s="1"/>
  <c r="AB68" i="2"/>
  <c r="AC67" i="2"/>
  <c r="AC110" i="2" s="1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E101" i="2"/>
  <c r="AI101" i="2" s="1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I90" i="2"/>
  <c r="AE90" i="2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I74" i="2"/>
  <c r="AE74" i="2"/>
  <c r="AE73" i="2"/>
  <c r="AI73" i="2" s="1"/>
  <c r="AE72" i="2"/>
  <c r="AI72" i="2" s="1"/>
  <c r="AE71" i="2"/>
  <c r="AI71" i="2" s="1"/>
  <c r="AG110" i="2"/>
  <c r="AE68" i="2"/>
  <c r="AI68" i="2" s="1"/>
  <c r="AA68" i="2"/>
  <c r="AA69" i="2" s="1"/>
  <c r="AA70" i="2" s="1"/>
  <c r="AA71" i="2" s="1"/>
  <c r="P70" i="2"/>
  <c r="S70" i="2" s="1"/>
  <c r="W70" i="2" s="1"/>
  <c r="P69" i="2"/>
  <c r="S69" i="2" s="1"/>
  <c r="W69" i="2" s="1"/>
  <c r="V68" i="2"/>
  <c r="P68" i="2"/>
  <c r="S68" i="2" s="1"/>
  <c r="V67" i="2"/>
  <c r="U67" i="2"/>
  <c r="U110" i="2" s="1"/>
  <c r="Q67" i="2"/>
  <c r="Q110" i="2" s="1"/>
  <c r="P67" i="2"/>
  <c r="R110" i="2"/>
  <c r="W108" i="2"/>
  <c r="S107" i="2"/>
  <c r="W107" i="2" s="1"/>
  <c r="W106" i="2"/>
  <c r="S105" i="2"/>
  <c r="W105" i="2" s="1"/>
  <c r="S104" i="2"/>
  <c r="W104" i="2" s="1"/>
  <c r="S103" i="2"/>
  <c r="W103" i="2" s="1"/>
  <c r="S102" i="2"/>
  <c r="W102" i="2" s="1"/>
  <c r="S101" i="2"/>
  <c r="W101" i="2" s="1"/>
  <c r="S100" i="2"/>
  <c r="W100" i="2" s="1"/>
  <c r="S99" i="2"/>
  <c r="W99" i="2" s="1"/>
  <c r="S98" i="2"/>
  <c r="W98" i="2" s="1"/>
  <c r="S97" i="2"/>
  <c r="W97" i="2" s="1"/>
  <c r="S96" i="2"/>
  <c r="W96" i="2" s="1"/>
  <c r="S95" i="2"/>
  <c r="W95" i="2" s="1"/>
  <c r="S94" i="2"/>
  <c r="W94" i="2" s="1"/>
  <c r="S93" i="2"/>
  <c r="W93" i="2" s="1"/>
  <c r="S92" i="2"/>
  <c r="W92" i="2" s="1"/>
  <c r="S91" i="2"/>
  <c r="W91" i="2" s="1"/>
  <c r="S90" i="2"/>
  <c r="W90" i="2" s="1"/>
  <c r="S89" i="2"/>
  <c r="W89" i="2" s="1"/>
  <c r="S88" i="2"/>
  <c r="W88" i="2" s="1"/>
  <c r="S87" i="2"/>
  <c r="W87" i="2" s="1"/>
  <c r="S86" i="2"/>
  <c r="W86" i="2" s="1"/>
  <c r="S85" i="2"/>
  <c r="W85" i="2" s="1"/>
  <c r="S84" i="2"/>
  <c r="W84" i="2" s="1"/>
  <c r="S83" i="2"/>
  <c r="W83" i="2" s="1"/>
  <c r="S82" i="2"/>
  <c r="W82" i="2" s="1"/>
  <c r="S81" i="2"/>
  <c r="W81" i="2" s="1"/>
  <c r="S80" i="2"/>
  <c r="W80" i="2" s="1"/>
  <c r="S79" i="2"/>
  <c r="W79" i="2" s="1"/>
  <c r="S78" i="2"/>
  <c r="W78" i="2" s="1"/>
  <c r="S77" i="2"/>
  <c r="W77" i="2" s="1"/>
  <c r="S76" i="2"/>
  <c r="W76" i="2" s="1"/>
  <c r="S75" i="2"/>
  <c r="W75" i="2" s="1"/>
  <c r="S74" i="2"/>
  <c r="W74" i="2" s="1"/>
  <c r="S73" i="2"/>
  <c r="W73" i="2" s="1"/>
  <c r="S72" i="2"/>
  <c r="W72" i="2" s="1"/>
  <c r="S71" i="2"/>
  <c r="W71" i="2" s="1"/>
  <c r="O68" i="2"/>
  <c r="O69" i="2" s="1"/>
  <c r="O70" i="2" s="1"/>
  <c r="D77" i="2"/>
  <c r="E76" i="2"/>
  <c r="E110" i="2" s="1"/>
  <c r="D76" i="2"/>
  <c r="G76" i="2" s="1"/>
  <c r="K76" i="2" s="1"/>
  <c r="D75" i="2"/>
  <c r="G75" i="2" s="1"/>
  <c r="K75" i="2" s="1"/>
  <c r="I74" i="2"/>
  <c r="I110" i="2" s="1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G69" i="2" s="1"/>
  <c r="K69" i="2" s="1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J110" i="2"/>
  <c r="G77" i="2"/>
  <c r="K77" i="2" s="1"/>
  <c r="G78" i="2"/>
  <c r="K78" i="2" s="1"/>
  <c r="G79" i="2"/>
  <c r="K79" i="2"/>
  <c r="G80" i="2"/>
  <c r="K80" i="2"/>
  <c r="G81" i="2"/>
  <c r="K81" i="2"/>
  <c r="G82" i="2"/>
  <c r="K82" i="2"/>
  <c r="G83" i="2"/>
  <c r="K83" i="2"/>
  <c r="G84" i="2"/>
  <c r="K84" i="2"/>
  <c r="G85" i="2"/>
  <c r="K85" i="2" s="1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 s="1"/>
  <c r="G94" i="2"/>
  <c r="K94" i="2" s="1"/>
  <c r="G95" i="2"/>
  <c r="K95" i="2"/>
  <c r="G96" i="2"/>
  <c r="K96" i="2"/>
  <c r="G97" i="2"/>
  <c r="K97" i="2"/>
  <c r="G98" i="2"/>
  <c r="K98" i="2"/>
  <c r="G99" i="2"/>
  <c r="K99" i="2"/>
  <c r="G100" i="2"/>
  <c r="K100" i="2"/>
  <c r="G107" i="2"/>
  <c r="K107" i="2" s="1"/>
  <c r="F110" i="2"/>
  <c r="AB110" i="2" l="1"/>
  <c r="AE69" i="2"/>
  <c r="AI69" i="2" s="1"/>
  <c r="AE67" i="2"/>
  <c r="V110" i="2"/>
  <c r="W68" i="2"/>
  <c r="S67" i="2"/>
  <c r="S110" i="2"/>
  <c r="W67" i="2"/>
  <c r="W110" i="2" s="1"/>
  <c r="P110" i="2"/>
  <c r="D110" i="2"/>
  <c r="G110" i="2"/>
  <c r="K67" i="2"/>
  <c r="K110" i="2" s="1"/>
  <c r="AB17" i="2"/>
  <c r="AB16" i="2"/>
  <c r="AG15" i="2"/>
  <c r="AB15" i="2"/>
  <c r="AB14" i="2"/>
  <c r="AC13" i="2"/>
  <c r="AB13" i="2"/>
  <c r="AH12" i="2"/>
  <c r="AC12" i="2"/>
  <c r="AB12" i="2"/>
  <c r="P22" i="2"/>
  <c r="P21" i="2"/>
  <c r="P20" i="2"/>
  <c r="P19" i="2"/>
  <c r="U18" i="2"/>
  <c r="P18" i="2"/>
  <c r="U17" i="2"/>
  <c r="P17" i="2"/>
  <c r="U16" i="2"/>
  <c r="P16" i="2"/>
  <c r="U15" i="2"/>
  <c r="P15" i="2"/>
  <c r="U14" i="2"/>
  <c r="Q14" i="2"/>
  <c r="P14" i="2"/>
  <c r="P13" i="2"/>
  <c r="U12" i="2"/>
  <c r="P12" i="2"/>
  <c r="J16" i="2"/>
  <c r="I16" i="2"/>
  <c r="E16" i="2"/>
  <c r="D16" i="2"/>
  <c r="D15" i="2"/>
  <c r="D14" i="2"/>
  <c r="D13" i="2"/>
  <c r="D12" i="2"/>
  <c r="AE110" i="2" l="1"/>
  <c r="AI67" i="2"/>
  <c r="AI110" i="2" s="1"/>
  <c r="J39" i="1"/>
  <c r="J32" i="1"/>
  <c r="D32" i="1" s="1"/>
  <c r="J33" i="1"/>
  <c r="D33" i="1" s="1"/>
  <c r="J34" i="1"/>
  <c r="J35" i="1"/>
  <c r="J36" i="1"/>
  <c r="J25" i="1"/>
  <c r="D25" i="1" s="1"/>
  <c r="J26" i="1"/>
  <c r="D26" i="1" s="1"/>
  <c r="J27" i="1"/>
  <c r="D27" i="1" s="1"/>
  <c r="J28" i="1"/>
  <c r="D28" i="1" s="1"/>
  <c r="J29" i="1"/>
  <c r="D29" i="1" s="1"/>
  <c r="J18" i="1"/>
  <c r="D18" i="1" s="1"/>
  <c r="J19" i="1"/>
  <c r="D19" i="1" s="1"/>
  <c r="J20" i="1"/>
  <c r="D20" i="1" s="1"/>
  <c r="J21" i="1"/>
  <c r="D21" i="1" s="1"/>
  <c r="J12" i="1"/>
  <c r="D12" i="1" s="1"/>
  <c r="J13" i="1"/>
  <c r="D13" i="1" s="1"/>
  <c r="J14" i="1"/>
  <c r="D14" i="1" s="1"/>
  <c r="D31" i="1"/>
  <c r="D39" i="1"/>
  <c r="J11" i="1" l="1"/>
  <c r="D11" i="1" s="1"/>
  <c r="J22" i="1" l="1"/>
  <c r="D35" i="1"/>
  <c r="C13" i="2" l="1"/>
  <c r="J10" i="1" l="1"/>
  <c r="D10" i="1" s="1"/>
  <c r="J17" i="1"/>
  <c r="D17" i="1" s="1"/>
  <c r="J24" i="1"/>
  <c r="D24" i="1" s="1"/>
  <c r="J38" i="1"/>
  <c r="D38" i="1" s="1"/>
  <c r="J31" i="1"/>
  <c r="D34" i="1"/>
  <c r="AA13" i="2" l="1"/>
  <c r="D36" i="1" l="1"/>
  <c r="C14" i="2" l="1"/>
  <c r="C15" i="2" s="1"/>
  <c r="C16" i="2" s="1"/>
  <c r="O13" i="2" l="1"/>
  <c r="O14" i="2" s="1"/>
  <c r="O15" i="2" s="1"/>
  <c r="O16" i="2" s="1"/>
  <c r="O17" i="2" s="1"/>
  <c r="O18" i="2" s="1"/>
  <c r="O19" i="2" s="1"/>
  <c r="O20" i="2" s="1"/>
  <c r="O21" i="2" s="1"/>
  <c r="O22" i="2" s="1"/>
  <c r="D42" i="1" l="1"/>
  <c r="AA14" i="2" l="1"/>
  <c r="AA15" i="2" s="1"/>
  <c r="AA16" i="2" s="1"/>
  <c r="AA17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12" authorId="0" shapeId="0" xr:uid="{14EC9151-FA86-4C03-B7E0-3F941F748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12" authorId="0" shapeId="0" xr:uid="{E6709E63-C166-4191-814B-CDFE67E29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4" authorId="0" shapeId="0" xr:uid="{108AEE59-284E-476D-B8AC-00B7504BA7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7" authorId="0" shapeId="0" xr:uid="{631F14F3-7114-44E4-85D9-FA74F8801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  <comment ref="G19" authorId="0" shapeId="0" xr:uid="{F579E08C-7F6D-4EE5-B0B2-B345710850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
</t>
        </r>
      </text>
    </comment>
    <comment ref="F20" authorId="0" shapeId="0" xr:uid="{8C2C06B6-8BAE-46C3-9364-44BE82EC80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1" authorId="0" shapeId="0" xr:uid="{1B8B8B60-302F-460C-8138-C23FBC5DC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DAY OFF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14652F10-124C-414F-BE7C-F0C56E094111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VILLARIN</t>
        </r>
      </text>
    </comment>
    <comment ref="O12" authorId="0" shapeId="0" xr:uid="{D4444AFC-13A2-4A05-8EA7-959FB4C80A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BEBOY'S EATERY
UPPER INUMAN</t>
        </r>
      </text>
    </comment>
    <comment ref="AA12" authorId="0" shapeId="0" xr:uid="{39CF777D-660B-48E3-A984-4AEA66CD07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BACONG,SALUG</t>
        </r>
      </text>
    </comment>
    <comment ref="C13" authorId="0" shapeId="0" xr:uid="{55DC2BCA-0DB9-4470-ACD8-ADBB6A15D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
DISUD</t>
        </r>
      </text>
    </comment>
    <comment ref="O13" authorId="0" shapeId="0" xr:uid="{0032F911-56C9-4AAF-B519-CDD73CCAD0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ALIH STORE
BRGY. TINAPLAN</t>
        </r>
      </text>
    </comment>
    <comment ref="AA13" authorId="0" shapeId="0" xr:uid="{0C2C0AF0-DD43-48DE-B09A-404031DD50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 EAST,SALUG</t>
        </r>
      </text>
    </comment>
    <comment ref="C14" authorId="0" shapeId="0" xr:uid="{98B91DF6-478A-4BDA-B283-D26DD8E4C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PODIOTAN
POB. SIAYAN</t>
        </r>
      </text>
    </comment>
    <comment ref="O14" authorId="0" shapeId="0" xr:uid="{735A4934-7860-447B-A7AA-D0254DBF8A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BACUNGAN</t>
        </r>
      </text>
    </comment>
    <comment ref="AA14" authorId="0" shapeId="0" xr:uid="{F23D8260-8BAA-4B81-AFF8-F1C4445717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POBLACION EAST,SALUG</t>
        </r>
      </text>
    </comment>
    <comment ref="C15" authorId="0" shapeId="0" xr:uid="{7CDD0E04-1323-436C-B6DB-4FDF97187A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MOLAS, JANICE4
DICOYUNG</t>
        </r>
      </text>
    </comment>
    <comment ref="O15" authorId="0" shapeId="0" xr:uid="{AFA82D64-AE7C-4817-B588-FE0D4E615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AGAM STORE
BACUNGAN</t>
        </r>
      </text>
    </comment>
    <comment ref="AA15" authorId="0" shapeId="0" xr:uid="{E20BC6F9-08F6-4294-A1ED-183E186B36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POBALACION EAST,SALUG</t>
        </r>
      </text>
    </comment>
    <comment ref="C16" authorId="0" shapeId="0" xr:uid="{2CD56B93-F3B0-4583-B2C8-8708B9D5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POB. SINDANGAN</t>
        </r>
      </text>
    </comment>
    <comment ref="O16" authorId="0" shapeId="0" xr:uid="{5903CC8C-FB56-47C0-A96B-E3916CD7FF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 BACUNGAN</t>
        </r>
      </text>
    </comment>
    <comment ref="AA16" authorId="0" shapeId="0" xr:uid="{BD05C0B1-B835-4568-B751-10B3F7FED9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O17" authorId="0" shapeId="0" xr:uid="{4E234181-F117-4A5F-A66D-90AE4EBF2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 BACUNGAN</t>
        </r>
      </text>
    </comment>
    <comment ref="AA17" authorId="0" shapeId="0" xr:uid="{C6AF897F-570E-4306-8FA2-723F6098C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POBLACION EAST,SALUG</t>
        </r>
      </text>
    </comment>
    <comment ref="O18" authorId="0" shapeId="0" xr:uid="{95AC44E8-0C32-409B-920C-402F7401D0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 BACUNGAN</t>
        </r>
      </text>
    </comment>
    <comment ref="O19" authorId="0" shapeId="0" xr:uid="{5E76E172-48BD-4D3F-A969-67FFCC1835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BACUNGAN
BRGY. GOLEO</t>
        </r>
      </text>
    </comment>
    <comment ref="O20" authorId="0" shapeId="0" xr:uid="{4A4ABE40-0D1D-423A-A4E1-8D6593B975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ESCORIAL STORE</t>
        </r>
      </text>
    </comment>
    <comment ref="O21" authorId="0" shapeId="0" xr:uid="{72755EBA-DB63-4E13-85F5-9B4EBA4B51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BRGY. GOLEO</t>
        </r>
      </text>
    </comment>
    <comment ref="O22" authorId="0" shapeId="0" xr:uid="{D54E84B5-BB0E-47A0-A1B8-A0CCD08895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BRGY. GOLEO</t>
        </r>
      </text>
    </comment>
    <comment ref="C67" authorId="0" shapeId="0" xr:uid="{93F88AB5-31C8-4827-B539-BB250A8C7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 SINDANGAN</t>
        </r>
      </text>
    </comment>
    <comment ref="O67" authorId="0" shapeId="0" xr:uid="{23500A45-06C8-4DDA-B264-2DD96FF38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67" authorId="0" shapeId="0" xr:uid="{8FDC1C43-DF34-4F7D-84C5-2DF26D77F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8" authorId="0" shapeId="0" xr:uid="{60C42C2C-9784-4361-8A9B-549F03332D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 STORE
DENUYAN</t>
        </r>
      </text>
    </comment>
    <comment ref="O68" authorId="0" shapeId="0" xr:uid="{E1847FED-4E00-4FA5-988B-50E89B0802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 LONAH
BRGY. DATU MANDIH</t>
        </r>
      </text>
    </comment>
    <comment ref="AA68" authorId="0" shapeId="0" xr:uid="{183DAF15-C4B4-4F2B-90D6-1303EB843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9" authorId="0" shapeId="0" xr:uid="{3099422B-5626-40AC-9AD0-774D4675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SINDANGAN</t>
        </r>
      </text>
    </comment>
    <comment ref="O69" authorId="0" shapeId="0" xr:uid="{913E87CD-A450-498E-B9CC-0A3D6011D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TRILLIANA 
BRGY.GOLEO</t>
        </r>
      </text>
    </comment>
    <comment ref="AA69" authorId="0" shapeId="0" xr:uid="{319328C6-5B93-4485-B7DF-EC2183F0F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0" authorId="0" shapeId="0" xr:uid="{F0B4BA48-266E-4F8A-AC5D-FC3E6C5B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POB. SIAYAN</t>
        </r>
      </text>
    </comment>
    <comment ref="O70" authorId="0" shapeId="0" xr:uid="{20F3F940-EB5B-4768-B7FB-B7CC3ED760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BRGY.GOLEO</t>
        </r>
      </text>
    </comment>
    <comment ref="AA70" authorId="0" shapeId="0" xr:uid="{276D32A6-A397-4F25-B27D-0FF742C44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1" authorId="0" shapeId="0" xr:uid="{60D71057-80BF-412B-97FE-05ED45F4B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AA71" authorId="0" shapeId="0" xr:uid="{D3BB33E0-A151-44FC-83E1-0710FBC25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2" authorId="0" shapeId="0" xr:uid="{628F5AB5-27CB-4CAE-9492-DD0FFA0909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 
POB.SIAYAN</t>
        </r>
      </text>
    </comment>
    <comment ref="C73" authorId="0" shapeId="0" xr:uid="{C0055A7F-4BC2-4F0F-B5CA-86055C98C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POB.SIAYAN</t>
        </r>
      </text>
    </comment>
    <comment ref="C74" authorId="0" shapeId="0" xr:uid="{BB4C8DAC-61C8-4922-B9C2-626371D7E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POBLACION SIAYAN</t>
        </r>
      </text>
    </comment>
    <comment ref="C75" authorId="0" shapeId="0" xr:uid="{93E78153-0AB9-4997-9F57-766409EF3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POB. SIAYAN</t>
        </r>
      </text>
    </comment>
    <comment ref="C76" authorId="0" shapeId="0" xr:uid="{D8DCAEA3-A3A8-4A8A-96EC-C1AA6D95BE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</t>
        </r>
      </text>
    </comment>
    <comment ref="C77" authorId="0" shapeId="0" xr:uid="{C091B230-2292-4352-ABB5-3664ADEB6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MANGO, LODGE
DAPAON</t>
        </r>
      </text>
    </comment>
    <comment ref="C122" authorId="0" shapeId="0" xr:uid="{655904BE-C82F-4FC5-9FD6-3A8D2AC8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123" authorId="0" shapeId="0" xr:uid="{680756B5-5402-41AE-B4FB-8408880A46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C124" authorId="0" shapeId="0" xr:uid="{726C8808-D5BC-45A9-853F-3C147F60F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C177" authorId="0" shapeId="0" xr:uid="{C0D87620-D31B-402E-B95C-DA3E05CB7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ALVAREZ, ALEXANDER 
POB. SINDANGAN
</t>
        </r>
      </text>
    </comment>
    <comment ref="O177" authorId="0" shapeId="0" xr:uid="{EFB485E8-3D81-4EB8-90A3-4CEB9C78D7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POB.SINDANGAN</t>
        </r>
      </text>
    </comment>
    <comment ref="AA177" authorId="0" shapeId="0" xr:uid="{9375BDB1-0E56-4196-A2A5-2F3DC3DBE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BAYBAY, LILOY
</t>
        </r>
      </text>
    </comment>
    <comment ref="C178" authorId="0" shapeId="0" xr:uid="{4B226EF4-A893-474B-8DB1-F796A3D40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O178" authorId="0" shapeId="0" xr:uid="{9277BAAC-2CA7-42DA-BB38-82FE392D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178" authorId="0" shapeId="0" xr:uid="{BAC7C544-D8D8-482E-BB82-9B4183159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BA6181BC-0AB9-4424-841E-9A35169402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MARGIE, ANIÑON
DISUD</t>
        </r>
      </text>
    </comment>
    <comment ref="O179" authorId="0" shapeId="0" xr:uid="{11940AAC-5A21-44A9-AD31-55EBCDDE7E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179" authorId="0" shapeId="0" xr:uid="{13068936-D53A-42A2-912B-9B7799FC9D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3F388049-CCD0-4FB4-9F32-57E757AEA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MAGSAYSAY</t>
        </r>
      </text>
    </comment>
    <comment ref="AA180" authorId="0" shapeId="0" xr:uid="{E17228BA-B908-487B-912C-12EE0A508A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 LILOY</t>
        </r>
      </text>
    </comment>
    <comment ref="C181" authorId="0" shapeId="0" xr:uid="{15183B98-C0F4-4950-8997-7AC636B7D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RONAS STORE
DAPAON</t>
        </r>
      </text>
    </comment>
    <comment ref="C182" authorId="0" shapeId="0" xr:uid="{7D3F993E-D663-4EB1-87E7-597F0D394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POB.SINDANGAN</t>
        </r>
      </text>
    </comment>
    <comment ref="C183" authorId="0" shapeId="0" xr:uid="{880C3FCE-9836-4079-A9A3-E6AD933CEC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POB. SINDANGAN</t>
        </r>
      </text>
    </comment>
    <comment ref="C184" authorId="0" shapeId="0" xr:uid="{D02CF717-EDE7-492A-BB8C-0ABD5C0D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</t>
        </r>
      </text>
    </comment>
    <comment ref="O232" authorId="0" shapeId="0" xr:uid="{6ADC5B6F-673E-4AD0-AEA8-0B5321B50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32" authorId="0" shapeId="0" xr:uid="{2F1DA5B1-5EBB-40D1-84BF-0DCD3D945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233" authorId="0" shapeId="0" xr:uid="{0F9D7011-4E1C-474E-B274-CFA3E7FC16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233" authorId="0" shapeId="0" xr:uid="{FBBA75DC-953D-4E5F-AA9F-D8CE53DE6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234" authorId="0" shapeId="0" xr:uid="{1AFFCC65-DBB3-4B53-8645-553510F99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4" authorId="0" shapeId="0" xr:uid="{2A368E09-E596-400F-8ABF-681D79C4A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235" authorId="0" shapeId="0" xr:uid="{8E8C99F5-9FC7-42C5-B52F-6801505DFE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5" authorId="0" shapeId="0" xr:uid="{7E0941D0-6164-4CB4-8275-35A714460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O236" authorId="0" shapeId="0" xr:uid="{4B6557F8-ADED-401F-B843-C5A70CC2B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RODELIA BAGAA-AN
GOLEO, SINDANGAN</t>
        </r>
      </text>
    </comment>
    <comment ref="AA236" authorId="0" shapeId="0" xr:uid="{A7B6A280-B54C-4487-9741-F7AAC1452F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BALLASUELA VIP
BAYBAY, LILOY</t>
        </r>
      </text>
    </comment>
    <comment ref="O237" authorId="0" shapeId="0" xr:uid="{5B740299-B29F-45E2-97BC-D55985827D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NACUA
INUMAN, SINDANGAN</t>
        </r>
      </text>
    </comment>
    <comment ref="AA237" authorId="0" shapeId="0" xr:uid="{2B99D0B0-D41A-4668-857E-298EDA2EB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AQUINO STORE
BAYBAY, LILOY</t>
        </r>
      </text>
    </comment>
    <comment ref="O287" authorId="0" shapeId="0" xr:uid="{4DA62E95-D570-4863-AFE4-1995E97A05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</t>
        </r>
      </text>
    </comment>
    <comment ref="AA287" authorId="0" shapeId="0" xr:uid="{894FFFF7-B66E-4C49-9E76-EF92DBB695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SALUG</t>
        </r>
      </text>
    </comment>
    <comment ref="O288" authorId="0" shapeId="0" xr:uid="{11CD6FCB-F8A5-4F8C-9292-ABD43AF8E9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BRGY.DICOYUNG</t>
        </r>
      </text>
    </comment>
    <comment ref="AA288" authorId="0" shapeId="0" xr:uid="{0A6CF5ED-8E54-475E-A937-3E7136288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POB.SALUG
</t>
        </r>
      </text>
    </comment>
    <comment ref="O289" authorId="0" shapeId="0" xr:uid="{7ECAC710-5368-424F-B24D-89337D24D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89" authorId="0" shapeId="0" xr:uid="{F71E4799-17D8-453E-B1C2-C2C6CCA8A2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POB.SALUG</t>
        </r>
      </text>
    </comment>
    <comment ref="O290" authorId="0" shapeId="0" xr:uid="{56FE801E-447A-46A9-98A5-355B51A898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90" authorId="0" shapeId="0" xr:uid="{C96D173F-8CAF-4BAE-AAFD-CACAC5B33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SALUG</t>
        </r>
      </text>
    </comment>
    <comment ref="AA291" authorId="0" shapeId="0" xr:uid="{56EC4C89-D58E-48B3-A54F-365FADC92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 SINDANGAN</t>
        </r>
      </text>
    </comment>
    <comment ref="C342" authorId="0" shapeId="0" xr:uid="{AF6DC63E-9B4C-4575-A752-A7EF8B36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42" authorId="0" shapeId="0" xr:uid="{9EFB6CA8-C9D0-4B86-A7BD-AD31ADF4A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342" authorId="0" shapeId="0" xr:uid="{3F90D4AF-8FD2-4B78-ABDC-02785F2744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3" authorId="0" shapeId="0" xr:uid="{73205BBC-F767-4F87-8223-E0E985B11F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D5916C21-48F9-4B48-8757-E23F1DB05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3" authorId="0" shapeId="0" xr:uid="{01C690FA-3406-400A-B033-4CFCA334ED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4" authorId="0" shapeId="0" xr:uid="{A231412D-0BC8-489F-8578-F0F9EF50C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344" authorId="0" shapeId="0" xr:uid="{D97A5846-5259-4AFF-92DF-4119EE432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4" authorId="0" shapeId="0" xr:uid="{6E9B08D4-5F4F-4882-98CB-42C225A27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</t>
        </r>
      </text>
    </comment>
    <comment ref="C345" authorId="0" shapeId="0" xr:uid="{23FCB082-7459-47F8-BAF2-647CEBBE7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5" authorId="0" shapeId="0" xr:uid="{7364D82A-600A-4634-9668-65334293E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345" authorId="0" shapeId="0" xr:uid="{AE635CA8-E265-4DB2-87C4-4390E86024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346" authorId="0" shapeId="0" xr:uid="{DA44C8D7-B316-4565-94F9-055A33BD28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SALUG</t>
        </r>
      </text>
    </comment>
    <comment ref="O346" authorId="0" shapeId="0" xr:uid="{4FEBAD7B-D51E-4BC5-BD43-E5F3693C06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346" authorId="0" shapeId="0" xr:uid="{1373BB26-2872-4D19-801F-AA091DC0E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</t>
        </r>
      </text>
    </comment>
    <comment ref="C347" authorId="0" shapeId="0" xr:uid="{0B5962BB-9862-480C-A725-4B2597C94A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C348" authorId="0" shapeId="0" xr:uid="{4DA5A84E-9958-42B7-B031-4004E6DE1E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C349" authorId="0" shapeId="0" xr:uid="{3FAA6260-EDC1-4E6F-9590-F9DD3DE5CF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350" authorId="0" shapeId="0" xr:uid="{90A46417-BC64-4CF8-8C43-9FBA980A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351" authorId="0" shapeId="0" xr:uid="{C8550D61-B78B-47A9-8CAF-003CF7152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 STORE
POB, SIAYAN</t>
        </r>
      </text>
    </comment>
    <comment ref="C352" authorId="0" shapeId="0" xr:uid="{6CB2C8B5-DF00-4FC0-9EA3-192853D80C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C353" authorId="0" shapeId="0" xr:uid="{350EA87B-F297-4BAE-80C5-B285ADAF9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LIGHTS BAR
POB, SINDANGAN</t>
        </r>
      </text>
    </comment>
    <comment ref="C397" authorId="0" shapeId="0" xr:uid="{53E93746-01A4-49F1-9E9D-25A885221B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VILLARIN,ELMER
POB. SINDANGAN</t>
        </r>
      </text>
    </comment>
    <comment ref="AA397" authorId="0" shapeId="0" xr:uid="{822D2830-3490-4E7C-8DAA-02CAF5CE58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</t>
        </r>
      </text>
    </comment>
    <comment ref="C398" authorId="0" shapeId="0" xr:uid="{78E193B2-6BBD-4175-95E5-2F5471BF0A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CATIG,STORE
GUNYAN SIAYAN
</t>
        </r>
      </text>
    </comment>
    <comment ref="AA398" authorId="0" shapeId="0" xr:uid="{9B06BFC1-3AE6-48B4-8F8C-A3B425376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</t>
        </r>
      </text>
    </comment>
    <comment ref="C399" authorId="0" shapeId="0" xr:uid="{1423AC9C-9989-47AD-930D-99180B6A0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POB. SIAYAN
</t>
        </r>
      </text>
    </comment>
    <comment ref="AA399" authorId="0" shapeId="0" xr:uid="{F5E22AA2-AE24-4DA6-B331-BBFCA8A9FD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00" authorId="0" shapeId="0" xr:uid="{8A68D454-DC41-4BFC-B418-75193DD5C4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POB. SIAYAN</t>
        </r>
      </text>
    </comment>
    <comment ref="AA400" authorId="0" shapeId="0" xr:uid="{10681BA6-7DDB-466B-BD4B-66217F7862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</t>
        </r>
      </text>
    </comment>
    <comment ref="C401" authorId="0" shapeId="0" xr:uid="{22648A9A-99CC-4D11-8914-A9CBE195AB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DICOYUNG
</t>
        </r>
      </text>
    </comment>
    <comment ref="AA401" authorId="0" shapeId="0" xr:uid="{2845FAEA-F84A-49C5-8535-727247174B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AA402" authorId="0" shapeId="0" xr:uid="{0557B11C-0D86-46F2-B971-B02F48F52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JAY </t>
        </r>
      </text>
    </comment>
    <comment ref="AA403" authorId="0" shapeId="0" xr:uid="{E105872F-1D48-4A74-ABA4-6B3AB8257B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JBN</t>
        </r>
      </text>
    </comment>
    <comment ref="O452" authorId="0" shapeId="0" xr:uid="{CB968D7B-8EF5-4F3F-A909-8706E2BF11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452" authorId="0" shapeId="0" xr:uid="{FAC83E3B-0CAD-4A46-87AF-2AF6C7ABB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453" authorId="0" shapeId="0" xr:uid="{9BDF6F4F-5018-4FE3-9A38-5E5BDFD42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TABOADA STORE
POB, BACUNGAN</t>
        </r>
      </text>
    </comment>
    <comment ref="AA453" authorId="0" shapeId="0" xr:uid="{11F28711-8047-4A86-804F-90BD3E354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O454" authorId="0" shapeId="0" xr:uid="{607B7C75-6FF3-4AEC-A738-5820A157C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454" authorId="0" shapeId="0" xr:uid="{588B855B-77D5-4379-ABF3-3C1BAD8265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BACONG, SALUG</t>
        </r>
      </text>
    </comment>
    <comment ref="O455" authorId="0" shapeId="0" xr:uid="{2B0029F3-717B-4E5C-8C84-94D5E8AF16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A455" authorId="0" shapeId="0" xr:uid="{5EA9FD8A-C1E4-4314-9A4E-09D0C136E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456" authorId="0" shapeId="0" xr:uid="{2CA23BFE-AA86-414E-821C-7D49770A0A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TARIGA GINA
UPPER INUMAN, SINDANGAN</t>
        </r>
      </text>
    </comment>
    <comment ref="AA456" authorId="0" shapeId="0" xr:uid="{AD84A670-7342-46C6-8705-40D612C75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A457" authorId="0" shapeId="0" xr:uid="{11AA9CF9-6459-441F-8F10-2CD07FB12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458" authorId="0" shapeId="0" xr:uid="{E37BF491-F93A-48CD-84E6-1552381B44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AA459" authorId="0" shapeId="0" xr:uid="{439E28CC-9582-4143-8CAD-A6571384F6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460" authorId="0" shapeId="0" xr:uid="{AC2187CB-D2F6-4894-9D7A-3E94DC249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507" authorId="0" shapeId="0" xr:uid="{966FE771-25E2-4D04-A7DF-BE2D01D9B4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507" authorId="0" shapeId="0" xr:uid="{3E929339-D46B-4947-A522-1784A46055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</t>
        </r>
      </text>
    </comment>
    <comment ref="C508" authorId="0" shapeId="0" xr:uid="{D8AB0B90-490F-4A95-886B-A3F0D14A8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508" authorId="0" shapeId="0" xr:uid="{81234CA3-9154-44A4-ACC3-E353E0E15B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C509" authorId="0" shapeId="0" xr:uid="{C4F9E90C-3426-4075-BEE1-E06EEAB3F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POB. SIAYAN</t>
        </r>
      </text>
    </comment>
    <comment ref="O509" authorId="0" shapeId="0" xr:uid="{85A42D93-F405-4B76-8979-D1604B2657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BRGY. DATU TANGKILAN
</t>
        </r>
      </text>
    </comment>
    <comment ref="C510" authorId="0" shapeId="0" xr:uid="{1E89947C-90C6-4A5C-8017-EBA7CADC6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510" authorId="0" shapeId="0" xr:uid="{608C213A-2512-46A6-9C8C-7F1F98D3A58A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DINIEGA STORE
TALINGA SINDANGAN</t>
        </r>
      </text>
    </comment>
    <comment ref="C511" authorId="0" shapeId="0" xr:uid="{A2864229-8BC8-4807-B330-F7C6242EC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511" authorId="0" shapeId="0" xr:uid="{3FEDB232-D455-419D-906C-B74093FAE3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</t>
        </r>
      </text>
    </comment>
    <comment ref="C512" authorId="0" shapeId="0" xr:uid="{B6CEA163-C8AD-4ACE-9586-BA8BA0B905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O512" authorId="0" shapeId="0" xr:uid="{6F25F9C0-D42B-4929-9B95-07E91E1C4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POB. SINDANGAN</t>
        </r>
      </text>
    </comment>
    <comment ref="C562" authorId="0" shapeId="0" xr:uid="{267E1210-6AC9-48D8-8131-28FC7F753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PO.SINDANGAN</t>
        </r>
      </text>
    </comment>
    <comment ref="O562" authorId="0" shapeId="0" xr:uid="{ADB1E6A3-EA1D-4EE6-8648-1497DD4EE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562" authorId="0" shapeId="0" xr:uid="{019864BC-17E3-44FD-9C56-DC8EB0DAE9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HENSONS STORE
BACONG, SALUG</t>
        </r>
      </text>
    </comment>
    <comment ref="C563" authorId="0" shapeId="0" xr:uid="{9DD3E046-3BAC-4BE2-9C52-117541928E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 
POB.SINDANGAN</t>
        </r>
      </text>
    </comment>
    <comment ref="O563" authorId="0" shapeId="0" xr:uid="{DEB68933-1D84-4BBA-BDDD-BCB13A8592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563" authorId="0" shapeId="0" xr:uid="{EE17DD84-0736-48A7-B815-86AE5CEB5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 SALUG</t>
        </r>
      </text>
    </comment>
    <comment ref="C564" authorId="0" shapeId="0" xr:uid="{BF2FC232-01C3-495D-B091-D19E527B55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POB.SINDANGAN</t>
        </r>
      </text>
    </comment>
    <comment ref="O564" authorId="0" shapeId="0" xr:uid="{234BBFC8-94F6-413A-B668-DB8DCFDE68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 SINDANGAN
</t>
        </r>
      </text>
    </comment>
    <comment ref="AA564" authorId="0" shapeId="0" xr:uid="{478951FA-A7E5-4800-BB99-E00A396A4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EAST SALUG</t>
        </r>
      </text>
    </comment>
    <comment ref="C565" authorId="0" shapeId="0" xr:uid="{E65BA699-7F13-4581-9635-02D0F7CF8E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DICOYUNG SINDANGAN</t>
        </r>
      </text>
    </comment>
    <comment ref="AA565" authorId="0" shapeId="0" xr:uid="{5CBD6796-4743-4244-A95F-441C0ED3E4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POB.EAST SALUG</t>
        </r>
      </text>
    </comment>
    <comment ref="AA566" authorId="0" shapeId="0" xr:uid="{56108501-358F-4B06-AB5A-FE05CDA12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POB. EAST SALUG</t>
        </r>
      </text>
    </comment>
    <comment ref="AA567" authorId="0" shapeId="0" xr:uid="{4C7736A1-03FB-416E-B2DE-F7B26AC28D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POB.EAST SALUG</t>
        </r>
      </text>
    </comment>
    <comment ref="AA568" authorId="0" shapeId="0" xr:uid="{D0CC0BA9-BDB1-4CAF-A774-F9BA95A601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POB. EAST SALUG</t>
        </r>
      </text>
    </comment>
    <comment ref="C617" authorId="0" shapeId="0" xr:uid="{F9B18B4F-BEC7-49E0-AEB2-B6E3491E54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617" authorId="0" shapeId="0" xr:uid="{C0BC202D-BD44-49A8-AD7A-897746F38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617" authorId="0" shapeId="0" xr:uid="{08ABAB39-ACF5-49A9-8441-A0B2347AC2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618" authorId="0" shapeId="0" xr:uid="{33DD6042-45AE-46EA-BF5F-9356F2E41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618" authorId="0" shapeId="0" xr:uid="{9AD07749-01C7-482F-8889-2E0284E9A3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618" authorId="0" shapeId="0" xr:uid="{2EA19094-524B-49D4-B9CA-9EB171F1F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19" authorId="0" shapeId="0" xr:uid="{04DDEDA9-6AA5-420C-ACF0-CEFE77941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19" authorId="0" shapeId="0" xr:uid="{7194AC8D-09BF-44AA-BB72-3B9FE4857B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619" authorId="0" shapeId="0" xr:uid="{DB9EB226-07AD-4953-A3BE-21B7B0F688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20" authorId="0" shapeId="0" xr:uid="{DCE0E3AB-B60C-463D-A293-1E891C807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620" authorId="0" shapeId="0" xr:uid="{FE235DC0-BA87-48EA-A288-37DB53EF01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620" authorId="0" shapeId="0" xr:uid="{BFBAF944-F898-4CF3-9DF7-AD45A9A901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EATERY
BAYBAY, LILOY</t>
        </r>
      </text>
    </comment>
    <comment ref="C621" authorId="0" shapeId="0" xr:uid="{EC0CD188-53E1-407A-98AF-F822243F9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621" authorId="0" shapeId="0" xr:uid="{1E5498C1-8211-4C2A-BE91-A3A530A776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C622" authorId="0" shapeId="0" xr:uid="{ABB2E15F-B67D-4AEF-AB64-061F9C2648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O622" authorId="0" shapeId="0" xr:uid="{209C06CE-2DEE-47A8-9CD2-5CA11E2AB0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</commentList>
</comments>
</file>

<file path=xl/sharedStrings.xml><?xml version="1.0" encoding="utf-8"?>
<sst xmlns="http://schemas.openxmlformats.org/spreadsheetml/2006/main" count="675" uniqueCount="76">
  <si>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</si>
  <si>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</si>
  <si>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</si>
  <si>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</si>
  <si>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</si>
  <si>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</si>
  <si>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</si>
  <si>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</si>
  <si>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</si>
  <si>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</si>
  <si>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</si>
  <si>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</si>
  <si>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</si>
  <si>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</si>
  <si>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</si>
  <si>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</si>
  <si>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</si>
  <si>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</si>
  <si>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</si>
  <si>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</si>
  <si>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</si>
  <si>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</si>
  <si>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</si>
  <si>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</si>
  <si>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</si>
  <si>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</si>
  <si>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</si>
  <si>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</si>
  <si>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</si>
  <si>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</si>
  <si>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</si>
  <si>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</si>
  <si>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</si>
  <si>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</si>
  <si>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</si>
  <si>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</si>
  <si>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JUNE 2026</t>
  </si>
  <si>
    <t>MODAY</t>
  </si>
  <si>
    <t>JUNE 01, 2026</t>
  </si>
  <si>
    <t>PODIOTAN, AIR JOHN</t>
  </si>
  <si>
    <t>10826-10830/10791-10801/10733-10738</t>
  </si>
  <si>
    <t>TUESDAY</t>
  </si>
  <si>
    <t>JUNE 02, 2026</t>
  </si>
  <si>
    <t>DANDAYO, RONNEL</t>
  </si>
  <si>
    <t>10831-10841/10852-10855/10739-10743</t>
  </si>
  <si>
    <t>WEDNESDAY</t>
  </si>
  <si>
    <t>JUNE 03, 2026</t>
  </si>
  <si>
    <t>10842-10844//</t>
  </si>
  <si>
    <t>THURSDAY</t>
  </si>
  <si>
    <t>JUNE 04, 2026</t>
  </si>
  <si>
    <t>10857-10859/10857-10859/10744-10747/</t>
  </si>
  <si>
    <t>FRIDAY</t>
  </si>
  <si>
    <t>JUNE 05, 2026</t>
  </si>
  <si>
    <t>/10861-10866/10902-10907</t>
  </si>
  <si>
    <t>NO TRIP</t>
  </si>
  <si>
    <t>DANDAYO,RONNEL</t>
  </si>
  <si>
    <t>/10867-10870/10908-10912</t>
  </si>
  <si>
    <t>JUNE 09, 2026</t>
  </si>
  <si>
    <t>10913-10924/10871-10875/10951-10955</t>
  </si>
  <si>
    <t>PODIOTAN,AIR JOHN</t>
  </si>
  <si>
    <t>10925-10939//10956-10962</t>
  </si>
  <si>
    <t>JUNE 10, 2026</t>
  </si>
  <si>
    <t>JUNE 11, 2026</t>
  </si>
  <si>
    <t>10876-10880/10930-10938</t>
  </si>
  <si>
    <t>10939-10944/10881-10886/</t>
  </si>
  <si>
    <t>MONDAY</t>
  </si>
  <si>
    <t>JUNE 15, 2026</t>
  </si>
  <si>
    <t>06/15/2026</t>
  </si>
  <si>
    <t>06/15/2027</t>
  </si>
  <si>
    <t>06/15/2028</t>
  </si>
  <si>
    <t>06/15/2029</t>
  </si>
  <si>
    <t>06/15/2030</t>
  </si>
  <si>
    <t>06/15/2031</t>
  </si>
  <si>
    <t>JUNE 16, 2026</t>
  </si>
  <si>
    <t>06/16/2026</t>
  </si>
  <si>
    <t>10949-10950,11001-11004/10890-10895/10970-10973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</si>
</sst>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4" zoomScaleNormal="100" workbookViewId="0">
      <selection activeCell="C26" sqref="C2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7" t="s">
        <v>36</v>
      </c>
      <c r="B6" s="107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9" si="0">J10</f>
        <v>832720</v>
      </c>
      <c r="F10" s="14">
        <v>402890</v>
      </c>
      <c r="G10" s="14">
        <v>210384</v>
      </c>
      <c r="H10" s="14">
        <v>219446</v>
      </c>
      <c r="I10" s="14"/>
      <c r="J10" s="17">
        <f t="shared" ref="J10:J39" si="1">F10+G10+H10</f>
        <v>832720</v>
      </c>
    </row>
    <row r="11" spans="1:10" x14ac:dyDescent="0.25">
      <c r="A11" s="10">
        <f>A10+1</f>
        <v>2</v>
      </c>
      <c r="B11" s="43" t="s">
        <v>8</v>
      </c>
      <c r="C11" s="12" t="s">
        <v>44</v>
      </c>
      <c r="D11" s="16">
        <f t="shared" si="0"/>
        <v>774946.5</v>
      </c>
      <c r="F11" s="14">
        <v>207389.5</v>
      </c>
      <c r="G11" s="14">
        <v>217086</v>
      </c>
      <c r="H11" s="14">
        <v>350471</v>
      </c>
      <c r="I11" s="14"/>
      <c r="J11" s="17">
        <f t="shared" si="1"/>
        <v>774946.5</v>
      </c>
    </row>
    <row r="12" spans="1:10" x14ac:dyDescent="0.25">
      <c r="A12" s="10">
        <f t="shared" ref="A12:A39" si="2">A11+1</f>
        <v>3</v>
      </c>
      <c r="B12" s="56" t="s">
        <v>9</v>
      </c>
      <c r="C12" s="12" t="s">
        <v>47</v>
      </c>
      <c r="D12" s="16">
        <f t="shared" si="0"/>
        <v>307436.5</v>
      </c>
      <c r="F12" s="14">
        <v>307436.5</v>
      </c>
      <c r="G12" s="14"/>
      <c r="H12" s="14"/>
      <c r="I12" s="14"/>
      <c r="J12" s="17">
        <f t="shared" si="1"/>
        <v>307436.5</v>
      </c>
    </row>
    <row r="13" spans="1:10" x14ac:dyDescent="0.25">
      <c r="A13" s="10">
        <f t="shared" si="2"/>
        <v>4</v>
      </c>
      <c r="B13" s="11" t="s">
        <v>30</v>
      </c>
      <c r="C13" s="12" t="s">
        <v>50</v>
      </c>
      <c r="D13" s="16">
        <f t="shared" si="0"/>
        <v>1141826</v>
      </c>
      <c r="F13" s="14">
        <v>434115</v>
      </c>
      <c r="G13" s="14">
        <v>210333</v>
      </c>
      <c r="H13" s="14">
        <v>497378</v>
      </c>
      <c r="I13" s="14"/>
      <c r="J13" s="17">
        <f t="shared" si="1"/>
        <v>1141826</v>
      </c>
    </row>
    <row r="14" spans="1:10" x14ac:dyDescent="0.25">
      <c r="A14" s="10">
        <f t="shared" si="2"/>
        <v>5</v>
      </c>
      <c r="B14" s="43" t="s">
        <v>4</v>
      </c>
      <c r="C14" s="12" t="s">
        <v>53</v>
      </c>
      <c r="D14" s="16">
        <f t="shared" si="0"/>
        <v>558015</v>
      </c>
      <c r="F14" s="14"/>
      <c r="G14" s="14">
        <v>256777</v>
      </c>
      <c r="H14" s="14">
        <v>301238</v>
      </c>
      <c r="I14" s="14"/>
      <c r="J14" s="17">
        <f t="shared" si="1"/>
        <v>558015</v>
      </c>
    </row>
    <row r="15" spans="1:10" x14ac:dyDescent="0.25">
      <c r="A15" s="10">
        <f t="shared" si="2"/>
        <v>6</v>
      </c>
      <c r="B15" s="56" t="s">
        <v>5</v>
      </c>
      <c r="C15" s="44" t="s">
        <v>54</v>
      </c>
      <c r="D15" s="55" t="s">
        <v>54</v>
      </c>
      <c r="F15" s="14"/>
      <c r="G15" s="14"/>
      <c r="H15" s="14"/>
      <c r="I15" s="14"/>
      <c r="J15" s="59"/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56</v>
      </c>
      <c r="D17" s="16">
        <f t="shared" si="0"/>
        <v>643812</v>
      </c>
      <c r="F17" s="14"/>
      <c r="G17" s="14">
        <v>320209</v>
      </c>
      <c r="H17" s="14">
        <v>323603</v>
      </c>
      <c r="I17" s="14"/>
      <c r="J17" s="17">
        <f t="shared" si="1"/>
        <v>643812</v>
      </c>
    </row>
    <row r="18" spans="1:10" x14ac:dyDescent="0.25">
      <c r="A18" s="10">
        <f t="shared" si="2"/>
        <v>9</v>
      </c>
      <c r="B18" s="43" t="s">
        <v>8</v>
      </c>
      <c r="C18" s="12" t="s">
        <v>58</v>
      </c>
      <c r="D18" s="16">
        <f t="shared" si="0"/>
        <v>912979.5</v>
      </c>
      <c r="F18" s="14">
        <v>243649.5</v>
      </c>
      <c r="G18" s="14">
        <v>251120</v>
      </c>
      <c r="H18" s="14">
        <v>418210</v>
      </c>
      <c r="I18" s="14"/>
      <c r="J18" s="17">
        <f t="shared" si="1"/>
        <v>912979.5</v>
      </c>
    </row>
    <row r="19" spans="1:10" x14ac:dyDescent="0.25">
      <c r="A19" s="10">
        <f t="shared" si="2"/>
        <v>10</v>
      </c>
      <c r="B19" s="56" t="s">
        <v>9</v>
      </c>
      <c r="C19" s="12" t="s">
        <v>60</v>
      </c>
      <c r="D19" s="16">
        <f t="shared" si="0"/>
        <v>480419.94</v>
      </c>
      <c r="F19" s="14">
        <v>224662</v>
      </c>
      <c r="G19" s="14"/>
      <c r="H19" s="14">
        <v>255757.94</v>
      </c>
      <c r="I19" s="14"/>
      <c r="J19" s="17">
        <f t="shared" si="1"/>
        <v>480419.94</v>
      </c>
    </row>
    <row r="20" spans="1:10" x14ac:dyDescent="0.25">
      <c r="A20" s="10">
        <f t="shared" si="2"/>
        <v>11</v>
      </c>
      <c r="B20" s="11" t="s">
        <v>30</v>
      </c>
      <c r="C20" s="12" t="s">
        <v>63</v>
      </c>
      <c r="D20" s="16">
        <f t="shared" si="0"/>
        <v>496647.5</v>
      </c>
      <c r="F20" s="14"/>
      <c r="G20" s="14">
        <v>242255.5</v>
      </c>
      <c r="H20" s="14">
        <v>254392</v>
      </c>
      <c r="I20" s="14"/>
      <c r="J20" s="17">
        <f t="shared" si="1"/>
        <v>496647.5</v>
      </c>
    </row>
    <row r="21" spans="1:10" x14ac:dyDescent="0.25">
      <c r="A21" s="10">
        <f t="shared" si="2"/>
        <v>12</v>
      </c>
      <c r="B21" s="43" t="s">
        <v>4</v>
      </c>
      <c r="C21" s="12" t="s">
        <v>64</v>
      </c>
      <c r="D21" s="16">
        <f t="shared" si="0"/>
        <v>578861</v>
      </c>
      <c r="F21" s="14">
        <v>346521</v>
      </c>
      <c r="G21" s="14">
        <v>232340</v>
      </c>
      <c r="H21" s="14"/>
      <c r="I21" s="14"/>
      <c r="J21" s="17">
        <f t="shared" si="1"/>
        <v>578861</v>
      </c>
    </row>
    <row r="22" spans="1:10" x14ac:dyDescent="0.25">
      <c r="A22" s="10">
        <f t="shared" si="2"/>
        <v>13</v>
      </c>
      <c r="B22" s="56" t="s">
        <v>5</v>
      </c>
      <c r="C22" s="44" t="s">
        <v>54</v>
      </c>
      <c r="D22" s="55" t="s">
        <v>54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si="0"/>
        <v>973436</v>
      </c>
      <c r="F24" s="14">
        <v>285037</v>
      </c>
      <c r="G24" s="14">
        <v>254534</v>
      </c>
      <c r="H24" s="14">
        <v>433865</v>
      </c>
      <c r="I24" s="14"/>
      <c r="J24" s="17">
        <f>F24+G24+H24</f>
        <v>973436</v>
      </c>
    </row>
    <row r="25" spans="1:10" x14ac:dyDescent="0.25">
      <c r="A25" s="10">
        <f t="shared" si="2"/>
        <v>16</v>
      </c>
      <c r="B25" s="43" t="s">
        <v>8</v>
      </c>
      <c r="C25" s="12" t="s">
        <v>75</v>
      </c>
      <c r="D25" s="16">
        <f t="shared" si="0"/>
        <v>1180407</v>
      </c>
      <c r="F25" s="14">
        <v>467038</v>
      </c>
      <c r="G25" s="14">
        <v>214149</v>
      </c>
      <c r="H25" s="14">
        <v>499220</v>
      </c>
      <c r="I25" s="14"/>
      <c r="J25" s="17">
        <f t="shared" ref="J25:J29" si="3">F25+G25+H25</f>
        <v>1180407</v>
      </c>
    </row>
    <row r="26" spans="1:10" x14ac:dyDescent="0.25">
      <c r="A26" s="10">
        <f t="shared" si="2"/>
        <v>17</v>
      </c>
      <c r="B26" s="56" t="s">
        <v>9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3"/>
        <v>0</v>
      </c>
    </row>
    <row r="27" spans="1:10" x14ac:dyDescent="0.25">
      <c r="A27" s="10">
        <f t="shared" si="2"/>
        <v>18</v>
      </c>
      <c r="B27" s="11" t="s">
        <v>30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3"/>
        <v>0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0"/>
        <v>0</v>
      </c>
      <c r="F28" s="14"/>
      <c r="G28" s="14"/>
      <c r="H28" s="14"/>
      <c r="I28" s="14"/>
      <c r="J28" s="17">
        <f t="shared" si="3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si="0"/>
        <v>0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ref="D31:D33" si="4">J31</f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ref="D34:D39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59"/>
    </row>
    <row r="38" spans="1:10" x14ac:dyDescent="0.25">
      <c r="A38" s="10">
        <f t="shared" si="2"/>
        <v>29</v>
      </c>
      <c r="B38" s="43" t="s">
        <v>7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8" t="s">
        <v>10</v>
      </c>
      <c r="B42" s="109"/>
      <c r="C42" s="110"/>
      <c r="D42" s="48">
        <f>SUM(D2:D41)</f>
        <v>8881506.9400000013</v>
      </c>
      <c r="J42" s="49">
        <f>SUM(J10:J41)</f>
        <v>8881506.9400000013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7"/>
  <sheetViews>
    <sheetView topLeftCell="A631" zoomScaleNormal="100" workbookViewId="0">
      <selection activeCell="B661" sqref="B661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39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4" t="s">
        <v>17</v>
      </c>
      <c r="E10" s="114"/>
      <c r="F10" s="75"/>
      <c r="G10" s="27"/>
      <c r="I10" s="112" t="s">
        <v>18</v>
      </c>
      <c r="J10" s="113"/>
      <c r="K10" s="116" t="s">
        <v>19</v>
      </c>
      <c r="N10" s="25"/>
      <c r="O10" s="26"/>
      <c r="P10" s="114" t="s">
        <v>17</v>
      </c>
      <c r="Q10" s="114"/>
      <c r="R10" s="75"/>
      <c r="S10" s="27"/>
      <c r="U10" s="112" t="s">
        <v>18</v>
      </c>
      <c r="V10" s="113"/>
      <c r="W10" s="116" t="s">
        <v>19</v>
      </c>
      <c r="Z10" s="25"/>
      <c r="AA10" s="26"/>
      <c r="AB10" s="114" t="s">
        <v>17</v>
      </c>
      <c r="AC10" s="114"/>
      <c r="AD10" s="75"/>
      <c r="AE10" s="27"/>
      <c r="AG10" s="112" t="s">
        <v>18</v>
      </c>
      <c r="AH10" s="113"/>
      <c r="AI10" s="116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31</v>
      </c>
      <c r="G11" s="78" t="s">
        <v>24</v>
      </c>
      <c r="I11" s="29" t="s">
        <v>25</v>
      </c>
      <c r="J11" s="29" t="s">
        <v>26</v>
      </c>
      <c r="K11" s="117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17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17"/>
    </row>
    <row r="12" spans="1:35" x14ac:dyDescent="0.25">
      <c r="A12" s="10">
        <v>1</v>
      </c>
      <c r="B12" s="30">
        <v>46028</v>
      </c>
      <c r="C12" s="83">
        <v>10826</v>
      </c>
      <c r="D12" s="32">
        <f>650*53+670*2+622*3</f>
        <v>37656</v>
      </c>
      <c r="E12" s="32"/>
      <c r="F12" s="32"/>
      <c r="G12" s="32">
        <f t="shared" ref="G12:G45" si="0">SUM(D12:E12)</f>
        <v>37656</v>
      </c>
      <c r="H12" s="12"/>
      <c r="I12" s="12"/>
      <c r="J12" s="12"/>
      <c r="K12" s="12">
        <f t="shared" ref="K12:K45" si="1">SUM(G12:J12)</f>
        <v>37656</v>
      </c>
      <c r="M12" s="10">
        <v>1</v>
      </c>
      <c r="N12" s="30">
        <v>46028</v>
      </c>
      <c r="O12" s="31">
        <v>10791</v>
      </c>
      <c r="P12" s="32">
        <f>650*3+9.5*3</f>
        <v>1978.5</v>
      </c>
      <c r="Q12" s="32"/>
      <c r="R12" s="32"/>
      <c r="S12" s="32">
        <f>SUM(P12:Q12)</f>
        <v>1978.5</v>
      </c>
      <c r="T12" s="12"/>
      <c r="U12" s="12">
        <f>4.5*6</f>
        <v>27</v>
      </c>
      <c r="V12" s="12"/>
      <c r="W12" s="12">
        <f>SUM(S12:V12)</f>
        <v>2005.5</v>
      </c>
      <c r="Y12" s="10">
        <v>1</v>
      </c>
      <c r="Z12" s="30">
        <v>46028</v>
      </c>
      <c r="AA12" s="31">
        <v>10733</v>
      </c>
      <c r="AB12" s="32">
        <f>650*98+229*4</f>
        <v>64616</v>
      </c>
      <c r="AC12" s="32">
        <f>-98*6</f>
        <v>-588</v>
      </c>
      <c r="AD12" s="32"/>
      <c r="AE12" s="32">
        <f>SUM(AB12:AC12)</f>
        <v>64028</v>
      </c>
      <c r="AF12" s="12"/>
      <c r="AG12" s="12"/>
      <c r="AH12" s="12">
        <f>-111*175</f>
        <v>-19425</v>
      </c>
      <c r="AI12" s="12">
        <f>SUM(AE12:AH12)</f>
        <v>44603</v>
      </c>
    </row>
    <row r="13" spans="1:35" x14ac:dyDescent="0.25">
      <c r="A13" s="10">
        <v>2</v>
      </c>
      <c r="B13" s="30">
        <v>46028</v>
      </c>
      <c r="C13" s="83">
        <f>C12+1</f>
        <v>10827</v>
      </c>
      <c r="D13" s="32">
        <f>650*13+622*7+229+500</f>
        <v>13533</v>
      </c>
      <c r="E13" s="32"/>
      <c r="F13" s="32"/>
      <c r="G13" s="32">
        <f t="shared" si="0"/>
        <v>13533</v>
      </c>
      <c r="H13" s="12"/>
      <c r="I13" s="12"/>
      <c r="J13" s="12"/>
      <c r="K13" s="12">
        <f t="shared" si="1"/>
        <v>13533</v>
      </c>
      <c r="M13" s="10">
        <v>2</v>
      </c>
      <c r="N13" s="30">
        <v>46028</v>
      </c>
      <c r="O13" s="31">
        <f>O12+1</f>
        <v>10792</v>
      </c>
      <c r="P13" s="32">
        <f>622*32</f>
        <v>19904</v>
      </c>
      <c r="Q13" s="32"/>
      <c r="R13" s="32"/>
      <c r="S13" s="32">
        <f t="shared" ref="S13:S44" si="2">SUM(P13:Q13)</f>
        <v>19904</v>
      </c>
      <c r="T13" s="12"/>
      <c r="U13" s="12"/>
      <c r="V13" s="12"/>
      <c r="W13" s="12">
        <f t="shared" ref="W13:W44" si="3">SUM(S13:V13)</f>
        <v>19904</v>
      </c>
      <c r="Y13" s="10">
        <v>2</v>
      </c>
      <c r="Z13" s="30">
        <v>46028</v>
      </c>
      <c r="AA13" s="31">
        <f>AA12+1</f>
        <v>10734</v>
      </c>
      <c r="AB13" s="32">
        <f>650*55+670*5+622*20+1050+872*3+229*3</f>
        <v>55893</v>
      </c>
      <c r="AC13" s="32">
        <f>-84*6</f>
        <v>-504</v>
      </c>
      <c r="AD13" s="32"/>
      <c r="AE13" s="32">
        <f t="shared" ref="AE13:AE44" si="4">SUM(AB13:AC13)</f>
        <v>55389</v>
      </c>
      <c r="AF13" s="12"/>
      <c r="AG13" s="12"/>
      <c r="AH13" s="12"/>
      <c r="AI13" s="12">
        <f t="shared" ref="AI13:AI44" si="5">SUM(AE13:AH13)</f>
        <v>55389</v>
      </c>
    </row>
    <row r="14" spans="1:35" x14ac:dyDescent="0.25">
      <c r="A14" s="10">
        <v>3</v>
      </c>
      <c r="B14" s="30">
        <v>46028</v>
      </c>
      <c r="C14" s="83">
        <f t="shared" ref="C14:C16" si="6">C13+1</f>
        <v>10828</v>
      </c>
      <c r="D14" s="33">
        <f>650*52</f>
        <v>33800</v>
      </c>
      <c r="E14" s="33"/>
      <c r="F14" s="33"/>
      <c r="G14" s="33">
        <f t="shared" si="0"/>
        <v>33800</v>
      </c>
      <c r="H14" s="34"/>
      <c r="I14" s="34"/>
      <c r="J14" s="34"/>
      <c r="K14" s="34">
        <f t="shared" si="1"/>
        <v>33800</v>
      </c>
      <c r="M14" s="10">
        <v>3</v>
      </c>
      <c r="N14" s="30">
        <v>46028</v>
      </c>
      <c r="O14" s="31">
        <f t="shared" ref="O14:O20" si="7">O13+1</f>
        <v>10793</v>
      </c>
      <c r="P14" s="32">
        <f>650*108+622*8+229*2</f>
        <v>75634</v>
      </c>
      <c r="Q14" s="32">
        <f>-116*6</f>
        <v>-696</v>
      </c>
      <c r="R14" s="32"/>
      <c r="S14" s="32">
        <f t="shared" si="2"/>
        <v>74938</v>
      </c>
      <c r="T14" s="12"/>
      <c r="U14" s="12">
        <f>1.5*48</f>
        <v>72</v>
      </c>
      <c r="V14" s="12"/>
      <c r="W14" s="12">
        <f t="shared" si="3"/>
        <v>75010</v>
      </c>
      <c r="Y14" s="10">
        <v>3</v>
      </c>
      <c r="Z14" s="30">
        <v>46028</v>
      </c>
      <c r="AA14" s="31">
        <f t="shared" ref="AA14:AA17" si="8">AA13+1</f>
        <v>10735</v>
      </c>
      <c r="AB14" s="33">
        <f>650*10+1050</f>
        <v>7550</v>
      </c>
      <c r="AC14" s="33"/>
      <c r="AD14" s="32"/>
      <c r="AE14" s="32">
        <f t="shared" si="4"/>
        <v>7550</v>
      </c>
      <c r="AF14" s="12"/>
      <c r="AG14" s="12"/>
      <c r="AH14" s="12"/>
      <c r="AI14" s="12">
        <f t="shared" si="5"/>
        <v>7550</v>
      </c>
    </row>
    <row r="15" spans="1:35" x14ac:dyDescent="0.25">
      <c r="A15" s="10">
        <v>4</v>
      </c>
      <c r="B15" s="30">
        <v>46028</v>
      </c>
      <c r="C15" s="83">
        <f t="shared" si="6"/>
        <v>10829</v>
      </c>
      <c r="D15" s="32">
        <f>650*19+622*3</f>
        <v>14216</v>
      </c>
      <c r="E15" s="32"/>
      <c r="F15" s="32"/>
      <c r="G15" s="32">
        <f t="shared" si="0"/>
        <v>14216</v>
      </c>
      <c r="H15" s="12"/>
      <c r="I15" s="12"/>
      <c r="J15" s="12"/>
      <c r="K15" s="12">
        <f t="shared" si="1"/>
        <v>14216</v>
      </c>
      <c r="M15" s="10">
        <v>4</v>
      </c>
      <c r="N15" s="30">
        <v>46028</v>
      </c>
      <c r="O15" s="31">
        <f t="shared" si="7"/>
        <v>10794</v>
      </c>
      <c r="P15" s="32">
        <f>650*55+229</f>
        <v>35979</v>
      </c>
      <c r="Q15" s="32"/>
      <c r="R15" s="32"/>
      <c r="S15" s="32">
        <f t="shared" si="2"/>
        <v>35979</v>
      </c>
      <c r="T15" s="12"/>
      <c r="U15" s="12">
        <f>4.5*2+1.5*24</f>
        <v>45</v>
      </c>
      <c r="V15" s="12"/>
      <c r="W15" s="12">
        <f t="shared" si="3"/>
        <v>36024</v>
      </c>
      <c r="Y15" s="10">
        <v>4</v>
      </c>
      <c r="Z15" s="30">
        <v>46028</v>
      </c>
      <c r="AA15" s="31">
        <f t="shared" si="8"/>
        <v>10736</v>
      </c>
      <c r="AB15" s="32">
        <f>650*54+229*2</f>
        <v>35558</v>
      </c>
      <c r="AC15" s="32"/>
      <c r="AD15" s="32"/>
      <c r="AE15" s="32">
        <f t="shared" si="4"/>
        <v>35558</v>
      </c>
      <c r="AF15" s="12"/>
      <c r="AG15">
        <f>1.5*27</f>
        <v>40.5</v>
      </c>
      <c r="AH15" s="12"/>
      <c r="AI15" s="12">
        <f t="shared" si="5"/>
        <v>35598.5</v>
      </c>
    </row>
    <row r="16" spans="1:35" x14ac:dyDescent="0.25">
      <c r="A16" s="10">
        <v>5</v>
      </c>
      <c r="B16" s="30">
        <v>46028</v>
      </c>
      <c r="C16" s="83">
        <f t="shared" si="6"/>
        <v>10830</v>
      </c>
      <c r="D16" s="32">
        <f>650*432+670*8+912*10+872*10+229*5+650*2</f>
        <v>306445</v>
      </c>
      <c r="E16" s="32">
        <f>-460*6</f>
        <v>-2760</v>
      </c>
      <c r="F16" s="32"/>
      <c r="G16" s="32">
        <f t="shared" si="0"/>
        <v>303685</v>
      </c>
      <c r="H16" s="12"/>
      <c r="I16" s="12">
        <f>111*142+120*5</f>
        <v>16362</v>
      </c>
      <c r="J16" s="12">
        <f>-78*11+-84*4+-42*25+-4.5+-1.5*7</f>
        <v>-2259</v>
      </c>
      <c r="K16" s="12">
        <f t="shared" si="1"/>
        <v>317788</v>
      </c>
      <c r="M16" s="10">
        <v>5</v>
      </c>
      <c r="N16" s="30">
        <v>46028</v>
      </c>
      <c r="O16" s="31">
        <f t="shared" si="7"/>
        <v>10795</v>
      </c>
      <c r="P16" s="32">
        <f>650*24+9.5*5</f>
        <v>15647.5</v>
      </c>
      <c r="Q16" s="32"/>
      <c r="R16" s="32"/>
      <c r="S16" s="32">
        <f t="shared" si="2"/>
        <v>15647.5</v>
      </c>
      <c r="T16" s="12"/>
      <c r="U16" s="12">
        <f>4.5*6</f>
        <v>27</v>
      </c>
      <c r="V16" s="12"/>
      <c r="W16" s="12">
        <f t="shared" si="3"/>
        <v>15674.5</v>
      </c>
      <c r="Y16" s="10">
        <v>5</v>
      </c>
      <c r="Z16" s="30">
        <v>46028</v>
      </c>
      <c r="AA16" s="31">
        <f t="shared" si="8"/>
        <v>10737</v>
      </c>
      <c r="AB16" s="32">
        <f>650*75+622*5+912+229</f>
        <v>53001</v>
      </c>
      <c r="AC16" s="32"/>
      <c r="AD16" s="32"/>
      <c r="AE16" s="32">
        <f t="shared" ref="AE16:AE21" si="9">SUM(AB16:AC16)</f>
        <v>53001</v>
      </c>
      <c r="AF16" s="12"/>
      <c r="AG16" s="12">
        <v>120</v>
      </c>
      <c r="AH16" s="12"/>
      <c r="AI16" s="12">
        <f t="shared" si="5"/>
        <v>53121</v>
      </c>
    </row>
    <row r="17" spans="1:35" x14ac:dyDescent="0.25">
      <c r="A17" s="10">
        <v>6</v>
      </c>
      <c r="B17" s="30"/>
      <c r="C17" s="11" t="s">
        <v>27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46028</v>
      </c>
      <c r="O17" s="31">
        <f t="shared" si="7"/>
        <v>10796</v>
      </c>
      <c r="P17" s="32">
        <f>650*13+650</f>
        <v>9100</v>
      </c>
      <c r="Q17" s="32"/>
      <c r="R17" s="32"/>
      <c r="S17" s="32">
        <f t="shared" si="2"/>
        <v>9100</v>
      </c>
      <c r="T17" s="12"/>
      <c r="U17" s="12">
        <f>4.5*6</f>
        <v>27</v>
      </c>
      <c r="V17" s="10"/>
      <c r="W17" s="12">
        <f t="shared" si="3"/>
        <v>9127</v>
      </c>
      <c r="Y17" s="10">
        <v>6</v>
      </c>
      <c r="Z17" s="30">
        <v>46028</v>
      </c>
      <c r="AA17" s="31">
        <f t="shared" si="8"/>
        <v>10738</v>
      </c>
      <c r="AB17" s="32">
        <f>650*5+670</f>
        <v>3920</v>
      </c>
      <c r="AC17" s="32"/>
      <c r="AD17" s="32"/>
      <c r="AE17" s="32">
        <f t="shared" si="9"/>
        <v>3920</v>
      </c>
      <c r="AF17" s="12"/>
      <c r="AG17" s="12"/>
      <c r="AH17" s="10"/>
      <c r="AI17" s="12">
        <f t="shared" si="5"/>
        <v>3920</v>
      </c>
    </row>
    <row r="18" spans="1:35" x14ac:dyDescent="0.25">
      <c r="A18" s="10">
        <v>7</v>
      </c>
      <c r="B18" s="30"/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46028</v>
      </c>
      <c r="O18" s="31">
        <f t="shared" si="7"/>
        <v>10797</v>
      </c>
      <c r="P18" s="32">
        <f>650*28+9.5*5</f>
        <v>18247.5</v>
      </c>
      <c r="Q18" s="32"/>
      <c r="R18" s="32"/>
      <c r="S18" s="32">
        <f t="shared" si="2"/>
        <v>18247.5</v>
      </c>
      <c r="T18" s="12"/>
      <c r="U18" s="12">
        <f>4.5*3</f>
        <v>13.5</v>
      </c>
      <c r="V18" s="12"/>
      <c r="W18" s="12">
        <f t="shared" si="3"/>
        <v>18261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46028</v>
      </c>
      <c r="O19" s="31">
        <f t="shared" si="7"/>
        <v>10798</v>
      </c>
      <c r="P19" s="32">
        <f>650*19+670*2+9.5*5</f>
        <v>13737.5</v>
      </c>
      <c r="Q19" s="32"/>
      <c r="R19" s="32"/>
      <c r="S19" s="32">
        <f t="shared" si="2"/>
        <v>13737.5</v>
      </c>
      <c r="T19" s="12"/>
      <c r="U19" s="12"/>
      <c r="V19" s="12"/>
      <c r="W19" s="12">
        <f t="shared" si="3"/>
        <v>13737.5</v>
      </c>
      <c r="Y19" s="10">
        <v>8</v>
      </c>
      <c r="Z19" s="30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46028</v>
      </c>
      <c r="O20" s="31">
        <f t="shared" si="7"/>
        <v>10799</v>
      </c>
      <c r="P20" s="32">
        <f>650*6+670*2+1050+872</f>
        <v>7162</v>
      </c>
      <c r="Q20" s="32"/>
      <c r="R20" s="32"/>
      <c r="S20" s="32">
        <f t="shared" si="2"/>
        <v>7162</v>
      </c>
      <c r="T20" s="12"/>
      <c r="U20" s="12"/>
      <c r="V20" s="12"/>
      <c r="W20" s="12">
        <f t="shared" si="3"/>
        <v>7162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46028</v>
      </c>
      <c r="O21" s="31">
        <f>O20+1</f>
        <v>10800</v>
      </c>
      <c r="P21" s="32">
        <f>650*9+670*2</f>
        <v>7190</v>
      </c>
      <c r="Q21" s="32"/>
      <c r="R21" s="32"/>
      <c r="S21" s="32">
        <f t="shared" si="2"/>
        <v>7190</v>
      </c>
      <c r="T21" s="12"/>
      <c r="U21" s="12"/>
      <c r="V21" s="12"/>
      <c r="W21" s="12">
        <f t="shared" si="3"/>
        <v>7190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>
        <v>46028</v>
      </c>
      <c r="O22" s="31">
        <f>O21+1</f>
        <v>10801</v>
      </c>
      <c r="P22" s="32">
        <f>650*10</f>
        <v>6500</v>
      </c>
      <c r="Q22" s="32"/>
      <c r="R22" s="32"/>
      <c r="S22" s="32">
        <f t="shared" si="2"/>
        <v>6500</v>
      </c>
      <c r="T22" s="12"/>
      <c r="U22" s="12"/>
      <c r="V22" s="12"/>
      <c r="W22" s="12">
        <f t="shared" si="3"/>
        <v>6500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11" t="s">
        <v>27</v>
      </c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405650</v>
      </c>
      <c r="E55" s="38">
        <f t="shared" ref="E55:F55" si="18">SUM(E12:E52)</f>
        <v>-2760</v>
      </c>
      <c r="F55" s="38">
        <f t="shared" si="18"/>
        <v>0</v>
      </c>
      <c r="G55" s="38">
        <f>SUM(G12:G54)</f>
        <v>402890</v>
      </c>
      <c r="H55" s="4"/>
      <c r="I55" s="39">
        <f>SUM(I12:I54)</f>
        <v>16362</v>
      </c>
      <c r="J55" s="39">
        <f>SUM(J12:J54)</f>
        <v>-2259</v>
      </c>
      <c r="K55" s="40">
        <f>SUM(K12:K54)</f>
        <v>416993</v>
      </c>
      <c r="N55" s="57"/>
      <c r="O55" s="57"/>
      <c r="P55" s="38">
        <f>SUM(P12:P54)</f>
        <v>211080</v>
      </c>
      <c r="Q55" s="38">
        <f>SUM(Q12:Q36)</f>
        <v>-696</v>
      </c>
      <c r="R55" s="38">
        <f>SUM(R12:R36)</f>
        <v>0</v>
      </c>
      <c r="S55" s="38">
        <f>SUM(S12:S54)</f>
        <v>210384</v>
      </c>
      <c r="T55" s="4"/>
      <c r="U55" s="41">
        <f>SUM(U12:U54)</f>
        <v>211.5</v>
      </c>
      <c r="V55" s="41">
        <f>SUM(V12:V36)</f>
        <v>0</v>
      </c>
      <c r="W55" s="42">
        <f>SUM(W12:W54)</f>
        <v>210595.5</v>
      </c>
      <c r="Z55" s="57"/>
      <c r="AA55" s="57"/>
      <c r="AB55" s="38">
        <f>SUM(AB12:AB54)</f>
        <v>220538</v>
      </c>
      <c r="AC55" s="38">
        <f>SUM(AC12:AC36)</f>
        <v>-1092</v>
      </c>
      <c r="AD55" s="38">
        <f>SUM(AD12:AD36)</f>
        <v>0</v>
      </c>
      <c r="AE55" s="38">
        <f>SUM(AE12:AE54)</f>
        <v>219446</v>
      </c>
      <c r="AF55" s="4"/>
      <c r="AG55" s="41">
        <f>SUM(AG12:AG54)</f>
        <v>160.5</v>
      </c>
      <c r="AH55" s="41">
        <f>SUM(AH12:AH36)</f>
        <v>-19425</v>
      </c>
      <c r="AI55" s="42">
        <f>SUM(AI12:AI54)</f>
        <v>200181.5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43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32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4" t="s">
        <v>17</v>
      </c>
      <c r="E65" s="114"/>
      <c r="F65" s="92"/>
      <c r="G65" s="27"/>
      <c r="I65" s="112" t="s">
        <v>18</v>
      </c>
      <c r="J65" s="113"/>
      <c r="K65" s="116" t="s">
        <v>19</v>
      </c>
      <c r="N65" s="25"/>
      <c r="O65" s="26"/>
      <c r="P65" s="114" t="s">
        <v>17</v>
      </c>
      <c r="Q65" s="114"/>
      <c r="R65" s="92"/>
      <c r="S65" s="27"/>
      <c r="U65" s="112" t="s">
        <v>18</v>
      </c>
      <c r="V65" s="113"/>
      <c r="W65" s="116" t="s">
        <v>19</v>
      </c>
      <c r="Z65" s="25"/>
      <c r="AA65" s="26"/>
      <c r="AB65" s="114" t="s">
        <v>17</v>
      </c>
      <c r="AC65" s="114"/>
      <c r="AD65" s="92"/>
      <c r="AE65" s="27"/>
      <c r="AG65" s="112" t="s">
        <v>18</v>
      </c>
      <c r="AH65" s="113"/>
      <c r="AI65" s="116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17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31</v>
      </c>
      <c r="S66" s="78" t="s">
        <v>24</v>
      </c>
      <c r="U66" s="29" t="s">
        <v>25</v>
      </c>
      <c r="V66" s="29" t="s">
        <v>26</v>
      </c>
      <c r="W66" s="117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17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46059</v>
      </c>
      <c r="C67" s="83">
        <v>10831</v>
      </c>
      <c r="D67" s="32">
        <f>650*30+670*2+912</f>
        <v>21752</v>
      </c>
      <c r="E67" s="32"/>
      <c r="F67" s="32"/>
      <c r="G67" s="32">
        <f t="shared" ref="G67:G100" si="19">SUM(D67:E67)</f>
        <v>21752</v>
      </c>
      <c r="H67" s="12"/>
      <c r="I67" s="12"/>
      <c r="J67" s="12"/>
      <c r="K67" s="12">
        <f t="shared" ref="K67:K100" si="20">SUM(G67:J67)</f>
        <v>21752</v>
      </c>
      <c r="M67" s="10">
        <v>1</v>
      </c>
      <c r="N67" s="30">
        <v>46059</v>
      </c>
      <c r="O67" s="31">
        <v>10852</v>
      </c>
      <c r="P67" s="32">
        <f>650*324+229*13</f>
        <v>213577</v>
      </c>
      <c r="Q67" s="32">
        <f>-324*6</f>
        <v>-1944</v>
      </c>
      <c r="R67" s="32"/>
      <c r="S67" s="32">
        <f>SUM(P67:Q67)</f>
        <v>211633</v>
      </c>
      <c r="T67" s="12"/>
      <c r="U67" s="12">
        <f>78*10</f>
        <v>780</v>
      </c>
      <c r="V67" s="12">
        <f>-42*11</f>
        <v>-462</v>
      </c>
      <c r="W67" s="12">
        <f>SUM(S67:V67)</f>
        <v>211951</v>
      </c>
      <c r="Y67" s="10">
        <v>1</v>
      </c>
      <c r="Z67" s="30">
        <v>46059</v>
      </c>
      <c r="AA67" s="31">
        <v>10739</v>
      </c>
      <c r="AB67" s="32">
        <f>650*131+622*20+872*2</f>
        <v>99334</v>
      </c>
      <c r="AC67" s="32">
        <f>-153*6</f>
        <v>-918</v>
      </c>
      <c r="AD67" s="32"/>
      <c r="AE67" s="32">
        <f>SUM(AB67:AC67)</f>
        <v>98416</v>
      </c>
      <c r="AF67" s="12"/>
      <c r="AG67" s="12"/>
      <c r="AH67" s="12"/>
      <c r="AI67" s="12">
        <f>SUM(AE67:AH67)</f>
        <v>98416</v>
      </c>
      <c r="AK67" s="62"/>
      <c r="AL67" s="65"/>
      <c r="AM67" s="86"/>
      <c r="AN67" s="115"/>
      <c r="AO67" s="115"/>
      <c r="AP67" s="86"/>
      <c r="AQ67" s="62"/>
      <c r="AR67" s="115"/>
      <c r="AS67" s="115"/>
      <c r="AT67" s="111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46059</v>
      </c>
      <c r="C68" s="83">
        <f>C67+1</f>
        <v>10832</v>
      </c>
      <c r="D68" s="32">
        <v>650</v>
      </c>
      <c r="E68" s="32"/>
      <c r="F68" s="32"/>
      <c r="G68" s="32">
        <f t="shared" si="19"/>
        <v>650</v>
      </c>
      <c r="H68" s="12"/>
      <c r="I68" s="12"/>
      <c r="J68" s="12"/>
      <c r="K68" s="12">
        <f t="shared" si="20"/>
        <v>650</v>
      </c>
      <c r="M68" s="10">
        <v>2</v>
      </c>
      <c r="N68" s="30">
        <v>46059</v>
      </c>
      <c r="O68" s="31">
        <f>O67+1</f>
        <v>10853</v>
      </c>
      <c r="P68" s="32">
        <f>650*2+9.5*2</f>
        <v>1319</v>
      </c>
      <c r="Q68" s="32"/>
      <c r="R68" s="32"/>
      <c r="S68" s="32">
        <f t="shared" ref="S68:S99" si="21">SUM(P68:Q68)</f>
        <v>1319</v>
      </c>
      <c r="T68" s="12"/>
      <c r="U68" s="12"/>
      <c r="V68" s="12">
        <f>-111*3</f>
        <v>-333</v>
      </c>
      <c r="W68" s="12">
        <f t="shared" ref="W68:W99" si="22">SUM(S68:V68)</f>
        <v>986</v>
      </c>
      <c r="Y68" s="10">
        <v>2</v>
      </c>
      <c r="Z68" s="30">
        <v>46059</v>
      </c>
      <c r="AA68" s="31">
        <f>AA67+1</f>
        <v>10740</v>
      </c>
      <c r="AB68" s="32">
        <f>1582+1102+1175+1102*2+1582+1667*2+1102*2+650*5+650*2</f>
        <v>17733</v>
      </c>
      <c r="AC68" s="32"/>
      <c r="AD68" s="32"/>
      <c r="AE68" s="32">
        <f t="shared" ref="AE68:AE70" si="23">SUM(AB68:AC68)</f>
        <v>17733</v>
      </c>
      <c r="AF68" s="12"/>
      <c r="AG68" s="12"/>
      <c r="AH68" s="12">
        <f>-84*3</f>
        <v>-252</v>
      </c>
      <c r="AI68" s="12">
        <f t="shared" ref="AI68:AI99" si="24">SUM(AE68:AH68)</f>
        <v>17481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1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46059</v>
      </c>
      <c r="C69" s="83">
        <f t="shared" ref="C69:C77" si="25">C68+1</f>
        <v>10833</v>
      </c>
      <c r="D69" s="33">
        <f>650*30+622*5+500</f>
        <v>23110</v>
      </c>
      <c r="E69" s="33"/>
      <c r="F69" s="33"/>
      <c r="G69" s="33">
        <f t="shared" si="19"/>
        <v>23110</v>
      </c>
      <c r="H69" s="34"/>
      <c r="I69" s="34"/>
      <c r="J69" s="34"/>
      <c r="K69" s="34">
        <f t="shared" si="20"/>
        <v>23110</v>
      </c>
      <c r="M69" s="10">
        <v>3</v>
      </c>
      <c r="N69" s="30">
        <v>46059</v>
      </c>
      <c r="O69" s="31">
        <f t="shared" ref="O69:O70" si="26">O68+1</f>
        <v>10854</v>
      </c>
      <c r="P69" s="32">
        <f>650*4+622</f>
        <v>3222</v>
      </c>
      <c r="Q69" s="32"/>
      <c r="R69" s="32"/>
      <c r="S69" s="32">
        <f t="shared" si="21"/>
        <v>3222</v>
      </c>
      <c r="T69" s="12"/>
      <c r="U69" s="12"/>
      <c r="V69" s="12"/>
      <c r="W69" s="12">
        <f t="shared" si="22"/>
        <v>3222</v>
      </c>
      <c r="Y69" s="10">
        <v>3</v>
      </c>
      <c r="Z69" s="30">
        <v>46059</v>
      </c>
      <c r="AA69" s="31">
        <f t="shared" ref="AA69:AA71" si="27">AA68+1</f>
        <v>10741</v>
      </c>
      <c r="AB69" s="33">
        <f>650*200+670*20+973+622*50+700*10+872*10+872*8+872*2+500*10</f>
        <v>204913</v>
      </c>
      <c r="AC69" s="33"/>
      <c r="AD69" s="32"/>
      <c r="AE69" s="32">
        <f t="shared" si="23"/>
        <v>204913</v>
      </c>
      <c r="AF69" s="12"/>
      <c r="AG69" s="12">
        <f>200*111+20*111+120+50*111+10*111+20*120+10*120</f>
        <v>34800</v>
      </c>
      <c r="AH69" s="12">
        <f>-111*104+-84*76+-84*396</f>
        <v>-51192</v>
      </c>
      <c r="AI69" s="12">
        <f t="shared" si="24"/>
        <v>188521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46059</v>
      </c>
      <c r="C70" s="83">
        <f t="shared" si="25"/>
        <v>10834</v>
      </c>
      <c r="D70" s="32">
        <f>650*50</f>
        <v>32500</v>
      </c>
      <c r="E70" s="32"/>
      <c r="F70" s="32"/>
      <c r="G70" s="32">
        <f t="shared" si="19"/>
        <v>32500</v>
      </c>
      <c r="H70" s="12"/>
      <c r="I70" s="12"/>
      <c r="J70" s="12"/>
      <c r="K70" s="12">
        <f t="shared" si="20"/>
        <v>32500</v>
      </c>
      <c r="M70" s="10">
        <v>4</v>
      </c>
      <c r="N70" s="30">
        <v>46059</v>
      </c>
      <c r="O70" s="31">
        <f t="shared" si="26"/>
        <v>10855</v>
      </c>
      <c r="P70" s="32">
        <f>912</f>
        <v>912</v>
      </c>
      <c r="Q70" s="32"/>
      <c r="R70" s="32"/>
      <c r="S70" s="32">
        <f t="shared" si="21"/>
        <v>912</v>
      </c>
      <c r="T70" s="12"/>
      <c r="U70" s="12"/>
      <c r="V70" s="12"/>
      <c r="W70" s="12">
        <f t="shared" si="22"/>
        <v>912</v>
      </c>
      <c r="Y70" s="10">
        <v>4</v>
      </c>
      <c r="Z70" s="30">
        <v>46059</v>
      </c>
      <c r="AA70" s="31">
        <f t="shared" si="27"/>
        <v>10742</v>
      </c>
      <c r="AB70" s="32">
        <f>1702+1702+1277+1702+1702+1242+1324+1770+650*5</f>
        <v>15671</v>
      </c>
      <c r="AC70" s="32"/>
      <c r="AD70" s="32"/>
      <c r="AE70" s="32">
        <f t="shared" si="23"/>
        <v>15671</v>
      </c>
      <c r="AF70" s="12"/>
      <c r="AH70" s="12"/>
      <c r="AI70" s="12">
        <f t="shared" si="24"/>
        <v>15671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46059</v>
      </c>
      <c r="C71" s="83">
        <f t="shared" si="25"/>
        <v>10835</v>
      </c>
      <c r="D71" s="32">
        <f>650*6+9.5*6</f>
        <v>3957</v>
      </c>
      <c r="E71" s="32"/>
      <c r="F71" s="32"/>
      <c r="G71" s="32">
        <f t="shared" si="19"/>
        <v>3957</v>
      </c>
      <c r="H71" s="12"/>
      <c r="I71" s="12"/>
      <c r="J71" s="12"/>
      <c r="K71" s="12">
        <f t="shared" si="20"/>
        <v>3957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46059</v>
      </c>
      <c r="AA71" s="31">
        <f t="shared" si="27"/>
        <v>10743</v>
      </c>
      <c r="AB71" s="32">
        <f>650*15+622*4</f>
        <v>12238</v>
      </c>
      <c r="AC71" s="32"/>
      <c r="AD71" s="32"/>
      <c r="AE71" s="32">
        <f t="shared" ref="AE71:AE76" si="28">SUM(AB71:AC71)</f>
        <v>12238</v>
      </c>
      <c r="AF71" s="12"/>
      <c r="AG71" s="12"/>
      <c r="AH71" s="12">
        <f>-1554+-1260</f>
        <v>-2814</v>
      </c>
      <c r="AI71" s="12">
        <f t="shared" si="24"/>
        <v>9424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46059</v>
      </c>
      <c r="C72" s="83">
        <f t="shared" si="25"/>
        <v>10836</v>
      </c>
      <c r="D72" s="32">
        <f>650*21</f>
        <v>13650</v>
      </c>
      <c r="E72" s="32"/>
      <c r="F72" s="32"/>
      <c r="G72" s="32">
        <f t="shared" si="19"/>
        <v>13650</v>
      </c>
      <c r="H72" s="12"/>
      <c r="I72" s="12"/>
      <c r="J72" s="12"/>
      <c r="K72" s="12">
        <f t="shared" si="20"/>
        <v>13650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46059</v>
      </c>
      <c r="C73" s="83">
        <f t="shared" si="25"/>
        <v>10837</v>
      </c>
      <c r="D73" s="32">
        <f>650*19+9.5*19</f>
        <v>12530.5</v>
      </c>
      <c r="E73" s="32"/>
      <c r="F73" s="32"/>
      <c r="G73" s="32">
        <f t="shared" si="19"/>
        <v>12530.5</v>
      </c>
      <c r="H73" s="12"/>
      <c r="I73" s="12"/>
      <c r="J73" s="12"/>
      <c r="K73" s="12">
        <f t="shared" si="20"/>
        <v>12530.5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46059</v>
      </c>
      <c r="C74" s="83">
        <f t="shared" si="25"/>
        <v>10838</v>
      </c>
      <c r="D74" s="32">
        <f>650*80+622*5</f>
        <v>55110</v>
      </c>
      <c r="E74" s="32"/>
      <c r="F74" s="32"/>
      <c r="G74" s="32">
        <f t="shared" si="19"/>
        <v>55110</v>
      </c>
      <c r="H74" s="12"/>
      <c r="I74" s="12">
        <f>4.5*33</f>
        <v>148.5</v>
      </c>
      <c r="J74" s="12"/>
      <c r="K74" s="12">
        <f t="shared" si="20"/>
        <v>55258.5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46059</v>
      </c>
      <c r="C75" s="83">
        <f t="shared" si="25"/>
        <v>10839</v>
      </c>
      <c r="D75" s="32">
        <f>650*50</f>
        <v>32500</v>
      </c>
      <c r="E75" s="32"/>
      <c r="F75" s="32"/>
      <c r="G75" s="32">
        <f t="shared" si="19"/>
        <v>32500</v>
      </c>
      <c r="H75" s="12"/>
      <c r="I75" s="12"/>
      <c r="J75" s="12"/>
      <c r="K75" s="12">
        <f t="shared" si="20"/>
        <v>32500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1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46059</v>
      </c>
      <c r="C76" s="83">
        <f t="shared" si="25"/>
        <v>10840</v>
      </c>
      <c r="D76" s="32">
        <f>650*7</f>
        <v>4550</v>
      </c>
      <c r="E76" s="32">
        <f>-7*6</f>
        <v>-42</v>
      </c>
      <c r="F76" s="32"/>
      <c r="G76" s="32">
        <f t="shared" si="19"/>
        <v>4508</v>
      </c>
      <c r="H76" s="12"/>
      <c r="I76" s="12"/>
      <c r="J76" s="12"/>
      <c r="K76" s="12">
        <f t="shared" si="20"/>
        <v>4508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46059</v>
      </c>
      <c r="C77" s="83">
        <f t="shared" si="25"/>
        <v>10841</v>
      </c>
      <c r="D77" s="32">
        <f>650*10+622</f>
        <v>7122</v>
      </c>
      <c r="E77" s="32"/>
      <c r="F77" s="32"/>
      <c r="G77" s="32">
        <f t="shared" si="19"/>
        <v>7122</v>
      </c>
      <c r="H77" s="12"/>
      <c r="I77" s="12"/>
      <c r="J77" s="12"/>
      <c r="K77" s="12">
        <f t="shared" si="20"/>
        <v>7122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207431.5</v>
      </c>
      <c r="E110" s="38">
        <f t="shared" ref="E110:F110" si="38">SUM(E67:E107)</f>
        <v>-42</v>
      </c>
      <c r="F110" s="38">
        <f t="shared" si="38"/>
        <v>0</v>
      </c>
      <c r="G110" s="38">
        <f>SUM(G67:G109)</f>
        <v>207389.5</v>
      </c>
      <c r="H110" s="4"/>
      <c r="I110" s="39">
        <f>SUM(I67:I109)</f>
        <v>148.5</v>
      </c>
      <c r="J110" s="39">
        <f>SUM(J67:J109)</f>
        <v>0</v>
      </c>
      <c r="K110" s="40">
        <f>SUM(K67:K109)</f>
        <v>207538</v>
      </c>
      <c r="N110" s="57"/>
      <c r="O110" s="57"/>
      <c r="P110" s="38">
        <f>SUM(P67:P109)</f>
        <v>219030</v>
      </c>
      <c r="Q110" s="38">
        <f>SUM(Q67:Q91)</f>
        <v>-1944</v>
      </c>
      <c r="R110" s="38">
        <f>SUM(R67:R91)</f>
        <v>0</v>
      </c>
      <c r="S110" s="38">
        <f>SUM(S67:S109)</f>
        <v>217086</v>
      </c>
      <c r="T110" s="4"/>
      <c r="U110" s="41">
        <f>SUM(U67:U109)</f>
        <v>780</v>
      </c>
      <c r="V110" s="41">
        <f>SUM(V67:V91)</f>
        <v>-795</v>
      </c>
      <c r="W110" s="42">
        <f>SUM(W67:W109)</f>
        <v>217071</v>
      </c>
      <c r="Z110" s="57"/>
      <c r="AA110" s="57"/>
      <c r="AB110" s="38">
        <f>SUM(AB67:AB109)</f>
        <v>349889</v>
      </c>
      <c r="AC110" s="38">
        <f>SUM(AC67:AC91)</f>
        <v>-918</v>
      </c>
      <c r="AD110" s="38">
        <f>SUM(AD67:AD91)</f>
        <v>0</v>
      </c>
      <c r="AE110" s="38">
        <f>SUM(AE67:AE109)</f>
        <v>348971</v>
      </c>
      <c r="AF110" s="4"/>
      <c r="AG110" s="41">
        <f>SUM(AG67:AG109)</f>
        <v>34800</v>
      </c>
      <c r="AH110" s="41">
        <f>SUM(AH67:AH91)</f>
        <v>-54258</v>
      </c>
      <c r="AI110" s="42">
        <f>SUM(AI67:AI109)</f>
        <v>329513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s="62"/>
      <c r="N112" s="90"/>
      <c r="O112" s="90"/>
      <c r="P112" s="90"/>
      <c r="Q112" s="90"/>
      <c r="R112" s="90"/>
      <c r="S112" s="90"/>
      <c r="T112" s="62"/>
      <c r="U112" s="62"/>
      <c r="V112" s="62"/>
      <c r="W112" s="62"/>
      <c r="X112" s="62"/>
      <c r="Y112" s="62"/>
      <c r="Z112" s="90"/>
      <c r="AA112" s="90"/>
      <c r="AB112" s="90"/>
      <c r="AC112" s="90"/>
      <c r="AD112" s="90"/>
      <c r="AE112" s="90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s="62"/>
      <c r="N113" s="90"/>
      <c r="O113" s="90"/>
      <c r="P113" s="90"/>
      <c r="Q113" s="90"/>
      <c r="R113" s="90"/>
      <c r="S113" s="90"/>
      <c r="T113" s="62"/>
      <c r="U113" s="62"/>
      <c r="V113" s="62"/>
      <c r="W113" s="62"/>
      <c r="X113" s="62"/>
      <c r="Y113" s="62"/>
      <c r="Z113" s="90"/>
      <c r="AA113" s="90"/>
      <c r="AB113" s="90"/>
      <c r="AC113" s="90"/>
      <c r="AD113" s="90"/>
      <c r="AE113" s="90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M114" s="62"/>
      <c r="N114" s="90"/>
      <c r="O114" s="90"/>
      <c r="P114" s="90"/>
      <c r="Q114" s="90"/>
      <c r="R114" s="90"/>
      <c r="S114" s="90"/>
      <c r="T114" s="62"/>
      <c r="U114" s="62"/>
      <c r="V114" s="62"/>
      <c r="W114" s="62"/>
      <c r="X114" s="62"/>
      <c r="Y114" s="62"/>
      <c r="Z114" s="90"/>
      <c r="AA114" s="90"/>
      <c r="AB114" s="90"/>
      <c r="AC114" s="90"/>
      <c r="AD114" s="90"/>
      <c r="AE114" s="90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63"/>
      <c r="N115" s="90"/>
      <c r="O115" s="90"/>
      <c r="P115" s="90"/>
      <c r="Q115" s="90"/>
      <c r="R115" s="90"/>
      <c r="S115" s="90"/>
      <c r="T115" s="62"/>
      <c r="U115" s="62"/>
      <c r="V115" s="62"/>
      <c r="W115" s="62"/>
      <c r="X115" s="62"/>
      <c r="Y115" s="63"/>
      <c r="Z115" s="90"/>
      <c r="AA115" s="90"/>
      <c r="AB115" s="90"/>
      <c r="AC115" s="90"/>
      <c r="AD115" s="90"/>
      <c r="AE115" s="90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M116" s="62"/>
      <c r="N116" s="90"/>
      <c r="O116" s="90"/>
      <c r="P116" s="90"/>
      <c r="Q116" s="90"/>
      <c r="R116" s="90"/>
      <c r="S116" s="90"/>
      <c r="T116" s="62"/>
      <c r="U116" s="62"/>
      <c r="V116" s="62"/>
      <c r="W116" s="62"/>
      <c r="X116" s="62"/>
      <c r="Y116" s="62"/>
      <c r="Z116" s="90"/>
      <c r="AA116" s="90"/>
      <c r="AB116" s="90"/>
      <c r="AC116" s="90"/>
      <c r="AD116" s="90"/>
      <c r="AE116" s="90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s="62"/>
      <c r="N117" s="90"/>
      <c r="O117" s="90"/>
      <c r="P117" s="90"/>
      <c r="Q117" s="90"/>
      <c r="R117" s="90"/>
      <c r="S117" s="90"/>
      <c r="T117" s="62"/>
      <c r="U117" s="90"/>
      <c r="V117" s="73"/>
      <c r="W117" s="62"/>
      <c r="X117" s="62"/>
      <c r="Y117" s="62"/>
      <c r="Z117" s="90"/>
      <c r="AA117" s="90"/>
      <c r="AB117" s="90"/>
      <c r="AC117" s="90"/>
      <c r="AD117" s="90"/>
      <c r="AE117" s="90"/>
      <c r="AF117" s="62"/>
      <c r="AG117" s="90"/>
      <c r="AH117" s="90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43</v>
      </c>
      <c r="K118" s="24"/>
      <c r="M118" s="64"/>
      <c r="N118" s="90"/>
      <c r="O118" s="90"/>
      <c r="P118" s="90"/>
      <c r="Q118" s="90"/>
      <c r="R118" s="90"/>
      <c r="S118" s="90"/>
      <c r="T118" s="62"/>
      <c r="U118" s="65"/>
      <c r="V118" s="65"/>
      <c r="W118" s="62"/>
      <c r="X118" s="62"/>
      <c r="Y118" s="64"/>
      <c r="Z118" s="90"/>
      <c r="AA118" s="90"/>
      <c r="AB118" s="90"/>
      <c r="AC118" s="90"/>
      <c r="AD118" s="90"/>
      <c r="AE118" s="90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M119" s="62"/>
      <c r="N119" s="90"/>
      <c r="O119" s="90"/>
      <c r="P119" s="90"/>
      <c r="Q119" s="90"/>
      <c r="R119" s="90"/>
      <c r="S119" s="90"/>
      <c r="T119" s="62"/>
      <c r="U119" s="62"/>
      <c r="V119" s="62"/>
      <c r="W119" s="62"/>
      <c r="X119" s="62"/>
      <c r="Y119" s="62"/>
      <c r="Z119" s="90"/>
      <c r="AA119" s="90"/>
      <c r="AB119" s="90"/>
      <c r="AC119" s="90"/>
      <c r="AD119" s="90"/>
      <c r="AE119" s="90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4" t="s">
        <v>17</v>
      </c>
      <c r="E120" s="114"/>
      <c r="F120" s="93"/>
      <c r="G120" s="27"/>
      <c r="I120" s="112" t="s">
        <v>18</v>
      </c>
      <c r="J120" s="113"/>
      <c r="K120" s="116" t="s">
        <v>19</v>
      </c>
      <c r="M120" s="62"/>
      <c r="N120" s="65"/>
      <c r="O120" s="90"/>
      <c r="P120" s="115"/>
      <c r="Q120" s="115"/>
      <c r="R120" s="90"/>
      <c r="S120" s="90"/>
      <c r="T120" s="62"/>
      <c r="U120" s="115"/>
      <c r="V120" s="115"/>
      <c r="W120" s="111"/>
      <c r="X120" s="62"/>
      <c r="Y120" s="62"/>
      <c r="Z120" s="65"/>
      <c r="AA120" s="90"/>
      <c r="AB120" s="115"/>
      <c r="AC120" s="115"/>
      <c r="AD120" s="90"/>
      <c r="AE120" s="90"/>
      <c r="AF120" s="62"/>
      <c r="AG120" s="115"/>
      <c r="AH120" s="115"/>
      <c r="AI120" s="111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17"/>
      <c r="M121" s="62"/>
      <c r="N121" s="90"/>
      <c r="O121" s="90"/>
      <c r="P121" s="79"/>
      <c r="Q121" s="81"/>
      <c r="R121" s="81"/>
      <c r="S121" s="81"/>
      <c r="T121" s="62"/>
      <c r="U121" s="91"/>
      <c r="V121" s="91"/>
      <c r="W121" s="111"/>
      <c r="X121" s="62"/>
      <c r="Y121" s="62"/>
      <c r="Z121" s="90"/>
      <c r="AA121" s="90"/>
      <c r="AB121" s="79"/>
      <c r="AC121" s="81"/>
      <c r="AD121" s="81"/>
      <c r="AE121" s="81"/>
      <c r="AF121" s="62"/>
      <c r="AG121" s="91"/>
      <c r="AH121" s="91"/>
      <c r="AI121" s="111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46087</v>
      </c>
      <c r="C122" s="83">
        <v>10842</v>
      </c>
      <c r="D122" s="32">
        <f>324*650+229*13</f>
        <v>213577</v>
      </c>
      <c r="E122" s="32">
        <v>-1944</v>
      </c>
      <c r="F122" s="32"/>
      <c r="G122" s="32">
        <f t="shared" ref="G122:G155" si="39">SUM(D122:E122)</f>
        <v>211633</v>
      </c>
      <c r="H122" s="12"/>
      <c r="I122" s="12">
        <f>90*111+78*5+168*1.5+66*4.5</f>
        <v>10929</v>
      </c>
      <c r="J122" s="12"/>
      <c r="K122" s="12">
        <f t="shared" ref="K122:K155" si="40">SUM(G122:J122)</f>
        <v>222562</v>
      </c>
      <c r="M122" s="62"/>
      <c r="N122" s="66"/>
      <c r="O122" s="90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90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46087</v>
      </c>
      <c r="C123" s="83">
        <f>C122+1</f>
        <v>10843</v>
      </c>
      <c r="D123" s="32">
        <f>650*107+670*5+973+622*10+912+1050*2+872*2+500+650*2+500+700*2</f>
        <v>88549</v>
      </c>
      <c r="E123" s="32"/>
      <c r="F123" s="32"/>
      <c r="G123" s="32">
        <f t="shared" si="39"/>
        <v>88549</v>
      </c>
      <c r="H123" s="12"/>
      <c r="I123" s="12"/>
      <c r="J123" s="12"/>
      <c r="K123" s="12">
        <f t="shared" si="40"/>
        <v>88549</v>
      </c>
      <c r="M123" s="62"/>
      <c r="N123" s="66"/>
      <c r="O123" s="90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90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46087</v>
      </c>
      <c r="C124" s="83">
        <f t="shared" ref="C124" si="41">C123+1</f>
        <v>10844</v>
      </c>
      <c r="D124" s="33">
        <f>650*11+9.5*11</f>
        <v>7254.5</v>
      </c>
      <c r="E124" s="33"/>
      <c r="F124" s="33"/>
      <c r="G124" s="33">
        <f t="shared" si="39"/>
        <v>7254.5</v>
      </c>
      <c r="H124" s="34"/>
      <c r="I124" s="34"/>
      <c r="J124" s="34"/>
      <c r="K124" s="34">
        <f t="shared" si="40"/>
        <v>7254.5</v>
      </c>
      <c r="M124" s="62"/>
      <c r="N124" s="66"/>
      <c r="O124" s="90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90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62"/>
      <c r="N125" s="66"/>
      <c r="O125" s="90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90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62"/>
      <c r="N126" s="66"/>
      <c r="O126" s="90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90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62"/>
      <c r="N127" s="66"/>
      <c r="O127" s="90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90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62"/>
      <c r="N128" s="66"/>
      <c r="O128" s="90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90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62"/>
      <c r="N129" s="66"/>
      <c r="O129" s="90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90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90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62"/>
      <c r="N131" s="66"/>
      <c r="O131" s="90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90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62"/>
      <c r="N132" s="66"/>
      <c r="O132" s="90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62"/>
      <c r="N133" s="66"/>
      <c r="O133" s="90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90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62"/>
      <c r="N134" s="66"/>
      <c r="O134" s="90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90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57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62"/>
      <c r="N135" s="66"/>
      <c r="O135" s="90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90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62"/>
      <c r="N136" s="66"/>
      <c r="O136" s="90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90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62"/>
      <c r="N137" s="66"/>
      <c r="O137" s="65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5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62"/>
      <c r="N138" s="66"/>
      <c r="O138" s="90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90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62"/>
      <c r="N139" s="66"/>
      <c r="O139" s="90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90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62"/>
      <c r="N140" s="66"/>
      <c r="O140" s="90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90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62"/>
      <c r="N141" s="66"/>
      <c r="O141" s="90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62"/>
      <c r="N142" s="66"/>
      <c r="O142" s="90"/>
      <c r="P142" s="67"/>
      <c r="Q142" s="90"/>
      <c r="R142" s="90"/>
      <c r="S142" s="60"/>
      <c r="T142" s="62"/>
      <c r="U142" s="62"/>
      <c r="V142" s="62"/>
      <c r="W142" s="61"/>
      <c r="X142" s="62"/>
      <c r="Y142" s="62"/>
      <c r="Z142" s="66"/>
      <c r="AA142" s="90"/>
      <c r="AB142" s="67"/>
      <c r="AC142" s="90"/>
      <c r="AD142" s="90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62"/>
      <c r="N143" s="66"/>
      <c r="O143" s="90"/>
      <c r="P143" s="68"/>
      <c r="Q143" s="90"/>
      <c r="R143" s="90"/>
      <c r="S143" s="60"/>
      <c r="T143" s="62"/>
      <c r="U143" s="62"/>
      <c r="V143" s="62"/>
      <c r="W143" s="61"/>
      <c r="X143" s="62"/>
      <c r="Y143" s="62"/>
      <c r="Z143" s="66"/>
      <c r="AA143" s="90"/>
      <c r="AB143" s="68"/>
      <c r="AC143" s="90"/>
      <c r="AD143" s="90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62"/>
      <c r="N144" s="66"/>
      <c r="O144" s="90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90"/>
      <c r="AB144" s="69"/>
      <c r="AC144" s="90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62"/>
      <c r="N145" s="66"/>
      <c r="O145" s="90"/>
      <c r="P145" s="69"/>
      <c r="Q145" s="90"/>
      <c r="R145" s="90"/>
      <c r="S145" s="60"/>
      <c r="T145" s="62"/>
      <c r="U145" s="62"/>
      <c r="V145" s="62"/>
      <c r="W145" s="61"/>
      <c r="X145" s="62"/>
      <c r="Y145" s="62"/>
      <c r="Z145" s="66"/>
      <c r="AA145" s="90"/>
      <c r="AB145" s="69"/>
      <c r="AC145" s="90"/>
      <c r="AD145" s="90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62"/>
      <c r="N146" s="66"/>
      <c r="O146" s="90"/>
      <c r="P146" s="69"/>
      <c r="Q146" s="90"/>
      <c r="R146" s="90"/>
      <c r="S146" s="60"/>
      <c r="T146" s="62"/>
      <c r="U146" s="62"/>
      <c r="V146" s="62"/>
      <c r="W146" s="61"/>
      <c r="X146" s="62"/>
      <c r="Y146" s="62"/>
      <c r="Z146" s="66"/>
      <c r="AA146" s="90"/>
      <c r="AB146" s="69"/>
      <c r="AC146" s="90"/>
      <c r="AD146" s="90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62"/>
      <c r="N147" s="66"/>
      <c r="O147" s="90"/>
      <c r="P147" s="69"/>
      <c r="Q147" s="90"/>
      <c r="R147" s="90"/>
      <c r="S147" s="60"/>
      <c r="T147" s="62"/>
      <c r="U147" s="62"/>
      <c r="V147" s="62"/>
      <c r="W147" s="61"/>
      <c r="X147" s="62"/>
      <c r="Y147" s="62"/>
      <c r="Z147" s="66"/>
      <c r="AA147" s="90"/>
      <c r="AB147" s="69"/>
      <c r="AC147" s="90"/>
      <c r="AD147" s="90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62"/>
      <c r="N148" s="66"/>
      <c r="O148" s="90"/>
      <c r="P148" s="69"/>
      <c r="Q148" s="90"/>
      <c r="R148" s="90"/>
      <c r="S148" s="60"/>
      <c r="T148" s="62"/>
      <c r="U148" s="62"/>
      <c r="V148" s="62"/>
      <c r="W148" s="61"/>
      <c r="X148" s="62"/>
      <c r="Y148" s="62"/>
      <c r="Z148" s="66"/>
      <c r="AA148" s="90"/>
      <c r="AB148" s="69"/>
      <c r="AC148" s="90"/>
      <c r="AD148" s="90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62"/>
      <c r="N149" s="66"/>
      <c r="O149" s="90"/>
      <c r="P149" s="69"/>
      <c r="Q149" s="90"/>
      <c r="R149" s="90"/>
      <c r="S149" s="60"/>
      <c r="T149" s="62"/>
      <c r="U149" s="62"/>
      <c r="V149" s="62"/>
      <c r="W149" s="61"/>
      <c r="X149" s="62"/>
      <c r="Y149" s="62"/>
      <c r="Z149" s="66"/>
      <c r="AA149" s="90"/>
      <c r="AB149" s="69"/>
      <c r="AC149" s="90"/>
      <c r="AD149" s="90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62"/>
      <c r="N150" s="66"/>
      <c r="O150" s="90"/>
      <c r="P150" s="69"/>
      <c r="Q150" s="90"/>
      <c r="R150" s="90"/>
      <c r="S150" s="60"/>
      <c r="T150" s="62"/>
      <c r="U150" s="62"/>
      <c r="V150" s="62"/>
      <c r="W150" s="61"/>
      <c r="X150" s="62"/>
      <c r="Y150" s="62"/>
      <c r="Z150" s="66"/>
      <c r="AA150" s="90"/>
      <c r="AB150" s="69"/>
      <c r="AC150" s="90"/>
      <c r="AD150" s="90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62"/>
      <c r="N151" s="66"/>
      <c r="O151" s="90"/>
      <c r="P151" s="69"/>
      <c r="Q151" s="90"/>
      <c r="R151" s="90"/>
      <c r="S151" s="60"/>
      <c r="T151" s="62"/>
      <c r="U151" s="62"/>
      <c r="V151" s="62"/>
      <c r="W151" s="61"/>
      <c r="X151" s="62"/>
      <c r="Y151" s="62"/>
      <c r="Z151" s="66"/>
      <c r="AA151" s="90"/>
      <c r="AB151" s="69"/>
      <c r="AC151" s="90"/>
      <c r="AD151" s="90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62"/>
      <c r="N152" s="66"/>
      <c r="O152" s="90"/>
      <c r="P152" s="69"/>
      <c r="Q152" s="90"/>
      <c r="R152" s="90"/>
      <c r="S152" s="60"/>
      <c r="T152" s="62"/>
      <c r="U152" s="62"/>
      <c r="V152" s="62"/>
      <c r="W152" s="61"/>
      <c r="X152" s="62"/>
      <c r="Y152" s="62"/>
      <c r="Z152" s="66"/>
      <c r="AA152" s="90"/>
      <c r="AB152" s="69"/>
      <c r="AC152" s="90"/>
      <c r="AD152" s="90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62"/>
      <c r="N153" s="66"/>
      <c r="O153" s="90"/>
      <c r="P153" s="69"/>
      <c r="Q153" s="90"/>
      <c r="R153" s="90"/>
      <c r="S153" s="60"/>
      <c r="T153" s="62"/>
      <c r="U153" s="62"/>
      <c r="V153" s="62"/>
      <c r="W153" s="61"/>
      <c r="X153" s="62"/>
      <c r="Y153" s="62"/>
      <c r="Z153" s="66"/>
      <c r="AA153" s="90"/>
      <c r="AB153" s="69"/>
      <c r="AC153" s="90"/>
      <c r="AD153" s="90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62"/>
      <c r="N154" s="66"/>
      <c r="O154" s="90"/>
      <c r="P154" s="69"/>
      <c r="Q154" s="90"/>
      <c r="R154" s="90"/>
      <c r="S154" s="60"/>
      <c r="T154" s="62"/>
      <c r="U154" s="62"/>
      <c r="V154" s="62"/>
      <c r="W154" s="61"/>
      <c r="X154" s="62"/>
      <c r="Y154" s="62"/>
      <c r="Z154" s="66"/>
      <c r="AA154" s="90"/>
      <c r="AB154" s="69"/>
      <c r="AC154" s="90"/>
      <c r="AD154" s="90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62"/>
      <c r="N155" s="66"/>
      <c r="O155" s="90"/>
      <c r="P155" s="69"/>
      <c r="Q155" s="90"/>
      <c r="R155" s="90"/>
      <c r="S155" s="60"/>
      <c r="T155" s="62"/>
      <c r="U155" s="62"/>
      <c r="V155" s="62"/>
      <c r="W155" s="61"/>
      <c r="X155" s="62"/>
      <c r="Y155" s="62"/>
      <c r="Z155" s="66"/>
      <c r="AA155" s="90"/>
      <c r="AB155" s="69"/>
      <c r="AC155" s="90"/>
      <c r="AD155" s="90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62"/>
      <c r="N156" s="66"/>
      <c r="O156" s="90"/>
      <c r="P156" s="69"/>
      <c r="Q156" s="90"/>
      <c r="R156" s="90"/>
      <c r="S156" s="60"/>
      <c r="T156" s="62"/>
      <c r="U156" s="62"/>
      <c r="V156" s="62"/>
      <c r="W156" s="61"/>
      <c r="X156" s="62"/>
      <c r="Y156" s="62"/>
      <c r="Z156" s="66"/>
      <c r="AA156" s="90"/>
      <c r="AB156" s="69"/>
      <c r="AC156" s="90"/>
      <c r="AD156" s="90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62"/>
      <c r="N157" s="66"/>
      <c r="O157" s="90"/>
      <c r="P157" s="69"/>
      <c r="Q157" s="90"/>
      <c r="R157" s="90"/>
      <c r="S157" s="60"/>
      <c r="T157" s="62"/>
      <c r="U157" s="62"/>
      <c r="V157" s="62"/>
      <c r="W157" s="61"/>
      <c r="X157" s="62"/>
      <c r="Y157" s="62"/>
      <c r="Z157" s="66"/>
      <c r="AA157" s="90"/>
      <c r="AB157" s="69"/>
      <c r="AC157" s="90"/>
      <c r="AD157" s="90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62"/>
      <c r="N158" s="66"/>
      <c r="O158" s="62"/>
      <c r="P158" s="69"/>
      <c r="Q158" s="90"/>
      <c r="R158" s="90"/>
      <c r="S158" s="60"/>
      <c r="T158" s="62"/>
      <c r="U158" s="62"/>
      <c r="V158" s="62"/>
      <c r="W158" s="61"/>
      <c r="X158" s="62"/>
      <c r="Y158" s="62"/>
      <c r="Z158" s="66"/>
      <c r="AA158" s="90"/>
      <c r="AB158" s="69"/>
      <c r="AC158" s="90"/>
      <c r="AD158" s="90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62"/>
      <c r="N159" s="66"/>
      <c r="O159" s="90"/>
      <c r="P159" s="69"/>
      <c r="Q159" s="90"/>
      <c r="R159" s="90"/>
      <c r="S159" s="60"/>
      <c r="T159" s="62"/>
      <c r="U159" s="62"/>
      <c r="V159" s="62"/>
      <c r="W159" s="61"/>
      <c r="X159" s="62"/>
      <c r="Y159" s="62"/>
      <c r="Z159" s="66"/>
      <c r="AA159" s="90"/>
      <c r="AB159" s="69"/>
      <c r="AC159" s="90"/>
      <c r="AD159" s="90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62"/>
      <c r="N160" s="66"/>
      <c r="O160" s="90"/>
      <c r="P160" s="69"/>
      <c r="Q160" s="90"/>
      <c r="R160" s="90"/>
      <c r="S160" s="60"/>
      <c r="T160" s="62"/>
      <c r="U160" s="62"/>
      <c r="V160" s="62"/>
      <c r="W160" s="61"/>
      <c r="X160" s="62"/>
      <c r="Y160" s="62"/>
      <c r="Z160" s="66"/>
      <c r="AA160" s="90"/>
      <c r="AB160" s="69"/>
      <c r="AC160" s="90"/>
      <c r="AD160" s="90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62"/>
      <c r="N161" s="66"/>
      <c r="O161" s="62"/>
      <c r="P161" s="69"/>
      <c r="Q161" s="90"/>
      <c r="R161" s="90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90"/>
      <c r="AD161" s="90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2">SUM(D162:E162)</f>
        <v>0</v>
      </c>
      <c r="H162" s="10"/>
      <c r="I162" s="10"/>
      <c r="J162" s="10"/>
      <c r="K162" s="12">
        <f t="shared" ref="K162" si="43">SUM(G162:J162)</f>
        <v>0</v>
      </c>
      <c r="M162" s="62"/>
      <c r="N162" s="66"/>
      <c r="O162" s="90"/>
      <c r="P162" s="69"/>
      <c r="Q162" s="90"/>
      <c r="R162" s="90"/>
      <c r="S162" s="60"/>
      <c r="T162" s="62"/>
      <c r="U162" s="62"/>
      <c r="V162" s="62"/>
      <c r="W162" s="61"/>
      <c r="X162" s="62"/>
      <c r="Y162" s="62"/>
      <c r="Z162" s="66"/>
      <c r="AA162" s="90"/>
      <c r="AB162" s="69"/>
      <c r="AC162" s="90"/>
      <c r="AD162" s="90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62"/>
      <c r="N163" s="90"/>
      <c r="O163" s="90"/>
      <c r="P163" s="90"/>
      <c r="Q163" s="90"/>
      <c r="R163" s="90"/>
      <c r="S163" s="90"/>
      <c r="T163" s="62"/>
      <c r="U163" s="62"/>
      <c r="V163" s="62"/>
      <c r="W163" s="61"/>
      <c r="X163" s="62"/>
      <c r="Y163" s="62"/>
      <c r="Z163" s="90"/>
      <c r="AA163" s="90"/>
      <c r="AB163" s="90"/>
      <c r="AC163" s="90"/>
      <c r="AD163" s="90"/>
      <c r="AE163" s="90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M164" s="62"/>
      <c r="N164" s="90"/>
      <c r="O164" s="90"/>
      <c r="P164" s="90"/>
      <c r="Q164" s="90"/>
      <c r="R164" s="90"/>
      <c r="S164" s="90"/>
      <c r="T164" s="62"/>
      <c r="U164" s="62"/>
      <c r="V164" s="62"/>
      <c r="W164" s="62"/>
      <c r="X164" s="62"/>
      <c r="Y164" s="62"/>
      <c r="Z164" s="90"/>
      <c r="AA164" s="90"/>
      <c r="AB164" s="90"/>
      <c r="AC164" s="90"/>
      <c r="AD164" s="90"/>
      <c r="AE164" s="90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309380.5</v>
      </c>
      <c r="E165" s="38">
        <f t="shared" ref="E165:F165" si="44">SUM(E122:E162)</f>
        <v>-1944</v>
      </c>
      <c r="F165" s="38">
        <f t="shared" si="44"/>
        <v>0</v>
      </c>
      <c r="G165" s="38">
        <f>SUM(G122:G164)</f>
        <v>307436.5</v>
      </c>
      <c r="H165" s="4"/>
      <c r="I165" s="39">
        <f>SUM(I122:I164)</f>
        <v>10929</v>
      </c>
      <c r="J165" s="39">
        <f>SUM(J122:J164)</f>
        <v>0</v>
      </c>
      <c r="K165" s="40">
        <f>SUM(K122:K164)</f>
        <v>318365.5</v>
      </c>
      <c r="M165" s="62"/>
      <c r="N165" s="90"/>
      <c r="O165" s="90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90"/>
      <c r="AA165" s="90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43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33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4" t="s">
        <v>17</v>
      </c>
      <c r="E175" s="114"/>
      <c r="F175" s="94"/>
      <c r="G175" s="27"/>
      <c r="I175" s="112" t="s">
        <v>18</v>
      </c>
      <c r="J175" s="113"/>
      <c r="K175" s="116" t="s">
        <v>19</v>
      </c>
      <c r="N175" s="25"/>
      <c r="O175" s="26"/>
      <c r="P175" s="114" t="s">
        <v>17</v>
      </c>
      <c r="Q175" s="114"/>
      <c r="R175" s="94"/>
      <c r="S175" s="27"/>
      <c r="U175" s="112" t="s">
        <v>18</v>
      </c>
      <c r="V175" s="113"/>
      <c r="W175" s="116" t="s">
        <v>19</v>
      </c>
      <c r="Z175" s="25"/>
      <c r="AA175" s="26"/>
      <c r="AB175" s="114" t="s">
        <v>17</v>
      </c>
      <c r="AC175" s="114"/>
      <c r="AD175" s="94"/>
      <c r="AE175" s="27"/>
      <c r="AG175" s="112" t="s">
        <v>18</v>
      </c>
      <c r="AH175" s="113"/>
      <c r="AI175" s="116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17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17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17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46118</v>
      </c>
      <c r="C177" s="83">
        <v>10844</v>
      </c>
      <c r="D177" s="32">
        <f>650*8+9.5*8</f>
        <v>5276</v>
      </c>
      <c r="E177" s="32"/>
      <c r="F177" s="32"/>
      <c r="G177" s="32">
        <f t="shared" ref="G177:G210" si="45">SUM(D177:E177)</f>
        <v>5276</v>
      </c>
      <c r="H177" s="12"/>
      <c r="I177" s="12">
        <f>111*8+1.5*8</f>
        <v>900</v>
      </c>
      <c r="J177" s="12"/>
      <c r="K177" s="12">
        <f t="shared" ref="K177:K210" si="46">SUM(G177:J177)</f>
        <v>6176</v>
      </c>
      <c r="M177" s="10">
        <v>1</v>
      </c>
      <c r="N177" s="30">
        <v>46118</v>
      </c>
      <c r="O177" s="31">
        <v>10857</v>
      </c>
      <c r="P177" s="32">
        <f>650*185+622*10+229*6+650*4</f>
        <v>130444</v>
      </c>
      <c r="Q177" s="32">
        <f>-195*6</f>
        <v>-1170</v>
      </c>
      <c r="R177" s="32"/>
      <c r="S177" s="32">
        <f>SUM(P177:Q177)</f>
        <v>129274</v>
      </c>
      <c r="T177" s="12"/>
      <c r="U177" s="12">
        <f>78*3</f>
        <v>234</v>
      </c>
      <c r="V177" s="12">
        <f>-111*20+-84*7+-42*7</f>
        <v>-3102</v>
      </c>
      <c r="W177" s="12">
        <f>SUM(S177:V177)</f>
        <v>126406</v>
      </c>
      <c r="Y177" s="10">
        <v>1</v>
      </c>
      <c r="Z177" s="30">
        <v>46118</v>
      </c>
      <c r="AA177" s="31">
        <v>10744</v>
      </c>
      <c r="AB177" s="32">
        <f>650*107+670*20+622*27+229*4</f>
        <v>100660</v>
      </c>
      <c r="AC177" s="32">
        <f>-154*6</f>
        <v>-924</v>
      </c>
      <c r="AD177" s="32"/>
      <c r="AE177" s="32">
        <f>SUM(AB177:AC177)</f>
        <v>99736</v>
      </c>
      <c r="AF177" s="12"/>
      <c r="AG177" s="12"/>
      <c r="AH177" s="12"/>
      <c r="AI177" s="12">
        <f>SUM(AE177:AH177)</f>
        <v>99736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46118</v>
      </c>
      <c r="C178" s="83">
        <f>C177+1</f>
        <v>10845</v>
      </c>
      <c r="D178" s="32">
        <f>650*10+622*2</f>
        <v>7744</v>
      </c>
      <c r="E178" s="32"/>
      <c r="F178" s="32"/>
      <c r="G178" s="32">
        <f t="shared" si="45"/>
        <v>7744</v>
      </c>
      <c r="H178" s="12"/>
      <c r="I178" s="12"/>
      <c r="J178" s="12"/>
      <c r="K178" s="12">
        <f t="shared" si="46"/>
        <v>7744</v>
      </c>
      <c r="M178" s="10">
        <v>2</v>
      </c>
      <c r="N178" s="30">
        <v>46118</v>
      </c>
      <c r="O178" s="31">
        <f>O177+1</f>
        <v>10858</v>
      </c>
      <c r="P178" s="32">
        <f>650*108+622*13+229</f>
        <v>78515</v>
      </c>
      <c r="Q178" s="32">
        <f>-121*6</f>
        <v>-726</v>
      </c>
      <c r="R178" s="32"/>
      <c r="S178" s="32">
        <f t="shared" ref="S178:S209" si="47">SUM(P178:Q178)</f>
        <v>77789</v>
      </c>
      <c r="T178" s="12"/>
      <c r="U178" s="12">
        <f>1.5*24</f>
        <v>36</v>
      </c>
      <c r="V178" s="12"/>
      <c r="W178" s="12">
        <f t="shared" ref="W178:W209" si="48">SUM(S178:V178)</f>
        <v>77825</v>
      </c>
      <c r="Y178" s="10">
        <v>2</v>
      </c>
      <c r="Z178" s="30">
        <v>46118</v>
      </c>
      <c r="AA178" s="31">
        <f>AA177+1</f>
        <v>10745</v>
      </c>
      <c r="AB178" s="32">
        <f>650*332+622*108+1050*20+872*20+229*18+650*5</f>
        <v>328788</v>
      </c>
      <c r="AC178" s="32"/>
      <c r="AD178" s="32"/>
      <c r="AE178" s="32">
        <f t="shared" ref="AE178:AE180" si="49">SUM(AB178:AC178)</f>
        <v>328788</v>
      </c>
      <c r="AF178" s="12"/>
      <c r="AG178" s="12"/>
      <c r="AH178" s="12"/>
      <c r="AI178" s="12">
        <f t="shared" ref="AI178:AI209" si="50">SUM(AE178:AH178)</f>
        <v>328788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46118</v>
      </c>
      <c r="C179" s="83">
        <f t="shared" ref="C179:C183" si="51">C178+1</f>
        <v>10846</v>
      </c>
      <c r="D179" s="33">
        <f>650*10+973+622*3</f>
        <v>9339</v>
      </c>
      <c r="E179" s="33"/>
      <c r="F179" s="33"/>
      <c r="G179" s="33">
        <f t="shared" si="45"/>
        <v>9339</v>
      </c>
      <c r="H179" s="34"/>
      <c r="I179" s="34"/>
      <c r="J179" s="34"/>
      <c r="K179" s="34">
        <f t="shared" si="46"/>
        <v>9339</v>
      </c>
      <c r="M179" s="10">
        <v>3</v>
      </c>
      <c r="N179" s="30">
        <v>46118</v>
      </c>
      <c r="O179" s="31">
        <f t="shared" ref="O179" si="52">O178+1</f>
        <v>10859</v>
      </c>
      <c r="P179" s="32">
        <f>650*4+670</f>
        <v>3270</v>
      </c>
      <c r="Q179" s="32"/>
      <c r="R179" s="32"/>
      <c r="S179" s="32">
        <f t="shared" si="47"/>
        <v>3270</v>
      </c>
      <c r="T179" s="12"/>
      <c r="U179" s="12"/>
      <c r="V179" s="12">
        <f>-120*2+-111*13</f>
        <v>-1683</v>
      </c>
      <c r="W179" s="12">
        <f t="shared" si="48"/>
        <v>1587</v>
      </c>
      <c r="Y179" s="10">
        <v>3</v>
      </c>
      <c r="Z179" s="30">
        <v>46118</v>
      </c>
      <c r="AA179" s="31">
        <f t="shared" ref="AA179:AA180" si="53">AA178+1</f>
        <v>10746</v>
      </c>
      <c r="AB179" s="33">
        <f>650*50+229*2</f>
        <v>32958</v>
      </c>
      <c r="AC179" s="33"/>
      <c r="AD179" s="32"/>
      <c r="AE179" s="32">
        <f t="shared" si="49"/>
        <v>32958</v>
      </c>
      <c r="AF179" s="12"/>
      <c r="AG179" s="12"/>
      <c r="AH179" s="12">
        <f>-111*8</f>
        <v>-888</v>
      </c>
      <c r="AI179" s="12">
        <f t="shared" si="50"/>
        <v>32070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46118</v>
      </c>
      <c r="C180" s="83">
        <f t="shared" si="51"/>
        <v>10847</v>
      </c>
      <c r="D180" s="32">
        <f>872</f>
        <v>872</v>
      </c>
      <c r="E180" s="32"/>
      <c r="F180" s="32"/>
      <c r="G180" s="32">
        <f t="shared" si="45"/>
        <v>872</v>
      </c>
      <c r="H180" s="12"/>
      <c r="I180" s="12"/>
      <c r="J180" s="12"/>
      <c r="K180" s="12">
        <f t="shared" si="46"/>
        <v>872</v>
      </c>
      <c r="M180" s="10">
        <v>4</v>
      </c>
      <c r="N180" s="30"/>
      <c r="O180" s="11" t="s">
        <v>27</v>
      </c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46118</v>
      </c>
      <c r="AA180" s="31">
        <f t="shared" si="53"/>
        <v>10747</v>
      </c>
      <c r="AB180" s="32">
        <f>650*50+1102+650*4</f>
        <v>36202</v>
      </c>
      <c r="AC180" s="32">
        <f>-51*6</f>
        <v>-306</v>
      </c>
      <c r="AD180" s="32"/>
      <c r="AE180" s="32">
        <f t="shared" si="49"/>
        <v>35896</v>
      </c>
      <c r="AF180" s="12"/>
      <c r="AH180" s="12">
        <f>-111*50</f>
        <v>-5550</v>
      </c>
      <c r="AI180" s="12">
        <f t="shared" si="50"/>
        <v>30346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46118</v>
      </c>
      <c r="C181" s="83">
        <f t="shared" si="51"/>
        <v>10848</v>
      </c>
      <c r="D181" s="32">
        <f>650*9+700*3+622*3</f>
        <v>9816</v>
      </c>
      <c r="E181" s="32"/>
      <c r="F181" s="32"/>
      <c r="G181" s="32">
        <f t="shared" si="45"/>
        <v>9816</v>
      </c>
      <c r="H181" s="12"/>
      <c r="I181" s="12">
        <f>4.5*68</f>
        <v>306</v>
      </c>
      <c r="J181" s="12"/>
      <c r="K181" s="12">
        <f t="shared" si="46"/>
        <v>10122</v>
      </c>
      <c r="M181" s="10">
        <v>5</v>
      </c>
      <c r="N181" s="30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186" si="54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15"/>
      <c r="AO181" s="115"/>
      <c r="AP181" s="86"/>
      <c r="AQ181" s="62"/>
      <c r="AR181" s="115"/>
      <c r="AS181" s="115"/>
      <c r="AT181" s="111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46118</v>
      </c>
      <c r="C182" s="83">
        <f t="shared" si="51"/>
        <v>10849</v>
      </c>
      <c r="D182" s="32">
        <f>650*324+670*50+622*108+872*25+229*10</f>
        <v>335366</v>
      </c>
      <c r="E182" s="32">
        <f>-507*6</f>
        <v>-3042</v>
      </c>
      <c r="F182" s="32"/>
      <c r="G182" s="32">
        <f t="shared" si="45"/>
        <v>332324</v>
      </c>
      <c r="H182" s="12"/>
      <c r="I182" s="12">
        <f>120*25</f>
        <v>3000</v>
      </c>
      <c r="J182" s="12">
        <f>-111*128</f>
        <v>-14208</v>
      </c>
      <c r="K182" s="12">
        <f t="shared" si="46"/>
        <v>321116</v>
      </c>
      <c r="M182" s="10">
        <v>6</v>
      </c>
      <c r="N182" s="30"/>
      <c r="O182" s="31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4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1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46118</v>
      </c>
      <c r="C183" s="83">
        <f t="shared" si="51"/>
        <v>10850</v>
      </c>
      <c r="D183" s="32">
        <f>973*64</f>
        <v>62272</v>
      </c>
      <c r="E183" s="32"/>
      <c r="F183" s="32"/>
      <c r="G183" s="32">
        <f t="shared" si="45"/>
        <v>62272</v>
      </c>
      <c r="H183" s="12"/>
      <c r="I183" s="12"/>
      <c r="J183" s="12"/>
      <c r="K183" s="12">
        <f t="shared" si="46"/>
        <v>62272</v>
      </c>
      <c r="M183" s="10">
        <v>7</v>
      </c>
      <c r="N183" s="30"/>
      <c r="O183" s="31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4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46118</v>
      </c>
      <c r="C184" s="83">
        <v>10901</v>
      </c>
      <c r="D184" s="32">
        <f>650*9+622</f>
        <v>6472</v>
      </c>
      <c r="E184" s="32"/>
      <c r="F184" s="32"/>
      <c r="G184" s="32">
        <f t="shared" si="45"/>
        <v>6472</v>
      </c>
      <c r="H184" s="12"/>
      <c r="I184" s="12"/>
      <c r="J184" s="12"/>
      <c r="K184" s="12">
        <f t="shared" si="46"/>
        <v>6472</v>
      </c>
      <c r="M184" s="10">
        <v>8</v>
      </c>
      <c r="N184" s="30"/>
      <c r="O184" s="31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B184" s="32"/>
      <c r="AC184" s="32"/>
      <c r="AE184" s="32">
        <f t="shared" si="54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A185" s="11"/>
      <c r="AC185" s="32"/>
      <c r="AD185" s="32"/>
      <c r="AE185" s="32">
        <f t="shared" si="54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O186" s="31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A186" s="11"/>
      <c r="AB186" s="32"/>
      <c r="AC186" s="32"/>
      <c r="AD186" s="32"/>
      <c r="AE186" s="32">
        <f t="shared" si="54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55">SUM(AB187:AC187)</f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5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5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57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11"/>
      <c r="AB190" s="32"/>
      <c r="AC190" s="32"/>
      <c r="AD190" s="32"/>
      <c r="AE190" s="32">
        <f t="shared" si="55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5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5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5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5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5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5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5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5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5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5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5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5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5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5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5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5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5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5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5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6">SUM(P210:Q210)</f>
        <v>0</v>
      </c>
      <c r="T210" s="10"/>
      <c r="U210" s="10"/>
      <c r="V210" s="10"/>
      <c r="W210" s="12">
        <f t="shared" ref="W210:W218" si="57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58">SUM(AB210:AC210)</f>
        <v>0</v>
      </c>
      <c r="AF210" s="10"/>
      <c r="AG210" s="10"/>
      <c r="AH210" s="10"/>
      <c r="AI210" s="12">
        <f t="shared" ref="AI210:AI218" si="5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6"/>
        <v>0</v>
      </c>
      <c r="T211" s="10"/>
      <c r="U211" s="10"/>
      <c r="V211" s="10"/>
      <c r="W211" s="12">
        <f t="shared" si="5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8"/>
        <v>0</v>
      </c>
      <c r="AF211" s="10"/>
      <c r="AG211" s="10"/>
      <c r="AH211" s="10"/>
      <c r="AI211" s="12">
        <f t="shared" si="5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6"/>
        <v>0</v>
      </c>
      <c r="T212" s="10"/>
      <c r="U212" s="10"/>
      <c r="V212" s="10"/>
      <c r="W212" s="12">
        <f t="shared" si="5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8"/>
        <v>0</v>
      </c>
      <c r="AF212" s="10"/>
      <c r="AG212" s="10"/>
      <c r="AH212" s="10"/>
      <c r="AI212" s="12">
        <f t="shared" si="5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6"/>
        <v>0</v>
      </c>
      <c r="T213" s="10"/>
      <c r="U213" s="10"/>
      <c r="V213" s="10"/>
      <c r="W213" s="12">
        <f t="shared" si="5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8"/>
        <v>0</v>
      </c>
      <c r="AF213" s="10"/>
      <c r="AG213" s="10"/>
      <c r="AH213" s="10"/>
      <c r="AI213" s="12">
        <f t="shared" si="5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6"/>
        <v>0</v>
      </c>
      <c r="T214" s="10"/>
      <c r="U214" s="10"/>
      <c r="V214" s="10"/>
      <c r="W214" s="12">
        <f t="shared" si="5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8"/>
        <v>0</v>
      </c>
      <c r="AF214" s="10"/>
      <c r="AG214" s="10"/>
      <c r="AH214" s="10"/>
      <c r="AI214" s="12">
        <f t="shared" si="5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6"/>
        <v>0</v>
      </c>
      <c r="T215" s="10"/>
      <c r="U215" s="10"/>
      <c r="V215" s="10"/>
      <c r="W215" s="12">
        <f t="shared" si="5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8"/>
        <v>0</v>
      </c>
      <c r="AF215" s="10"/>
      <c r="AG215" s="10"/>
      <c r="AH215" s="10"/>
      <c r="AI215" s="12">
        <f t="shared" si="5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0">SUM(D217:E217)</f>
        <v>0</v>
      </c>
      <c r="H217" s="10"/>
      <c r="I217" s="10"/>
      <c r="J217" s="10"/>
      <c r="K217" s="12">
        <f t="shared" ref="K217" si="61">SUM(G217:J217)</f>
        <v>0</v>
      </c>
      <c r="M217" s="10"/>
      <c r="N217" s="30"/>
      <c r="O217" s="31"/>
      <c r="P217" s="47"/>
      <c r="Q217" s="31"/>
      <c r="R217" s="31"/>
      <c r="S217" s="32">
        <f t="shared" ref="S217" si="62">SUM(P217:Q217)</f>
        <v>0</v>
      </c>
      <c r="T217" s="10"/>
      <c r="U217" s="10"/>
      <c r="V217" s="10"/>
      <c r="W217" s="12">
        <f t="shared" si="57"/>
        <v>0</v>
      </c>
      <c r="Y217" s="10"/>
      <c r="Z217" s="30"/>
      <c r="AA217" s="31"/>
      <c r="AB217" s="47"/>
      <c r="AC217" s="31"/>
      <c r="AD217" s="31"/>
      <c r="AE217" s="32">
        <f t="shared" ref="AE217" si="63">SUM(AB217:AC217)</f>
        <v>0</v>
      </c>
      <c r="AF217" s="10"/>
      <c r="AG217" s="10"/>
      <c r="AH217" s="10"/>
      <c r="AI217" s="12">
        <f t="shared" si="5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437157</v>
      </c>
      <c r="E220" s="38">
        <f t="shared" ref="E220:F220" si="64">SUM(E177:E217)</f>
        <v>-3042</v>
      </c>
      <c r="F220" s="38">
        <f t="shared" si="64"/>
        <v>0</v>
      </c>
      <c r="G220" s="38">
        <f>SUM(G177:G219)</f>
        <v>434115</v>
      </c>
      <c r="H220" s="4"/>
      <c r="I220" s="39">
        <f>SUM(I177:I219)</f>
        <v>4206</v>
      </c>
      <c r="J220" s="39">
        <f>SUM(J177:J219)</f>
        <v>-14208</v>
      </c>
      <c r="K220" s="40">
        <f>SUM(K177:K219)</f>
        <v>424113</v>
      </c>
      <c r="N220" s="57"/>
      <c r="O220" s="57"/>
      <c r="P220" s="38">
        <f>SUM(P177:P219)</f>
        <v>212229</v>
      </c>
      <c r="Q220" s="38">
        <f>SUM(Q177:Q201)</f>
        <v>-1896</v>
      </c>
      <c r="R220" s="38">
        <f>SUM(R177:R201)</f>
        <v>0</v>
      </c>
      <c r="S220" s="38">
        <f>SUM(S177:S219)</f>
        <v>210333</v>
      </c>
      <c r="T220" s="4"/>
      <c r="U220" s="41">
        <f>SUM(U177:U219)</f>
        <v>270</v>
      </c>
      <c r="V220" s="41">
        <f>SUM(V177:V201)</f>
        <v>-4785</v>
      </c>
      <c r="W220" s="42">
        <f>SUM(W177:W219)</f>
        <v>205818</v>
      </c>
      <c r="Z220" s="57"/>
      <c r="AA220" s="57"/>
      <c r="AB220" s="38">
        <f>SUM(AB177:AB219)</f>
        <v>498608</v>
      </c>
      <c r="AC220" s="38">
        <f>SUM(AC177:AC201)</f>
        <v>-1230</v>
      </c>
      <c r="AD220" s="38">
        <f>SUM(AD177:AD201)</f>
        <v>0</v>
      </c>
      <c r="AE220" s="38">
        <f>SUM(AE177:AE219)</f>
        <v>497378</v>
      </c>
      <c r="AF220" s="4"/>
      <c r="AG220" s="41">
        <f>SUM(AG177:AG219)</f>
        <v>0</v>
      </c>
      <c r="AH220" s="41">
        <f>SUM(AH177:AH201)</f>
        <v>-6438</v>
      </c>
      <c r="AI220" s="42">
        <f>SUM(AI177:AI219)</f>
        <v>490940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6"/>
      <c r="C222" s="96"/>
      <c r="D222" s="96"/>
      <c r="E222" s="96"/>
      <c r="F222" s="96"/>
      <c r="G222" s="96"/>
      <c r="H222" s="62"/>
      <c r="I222" s="62"/>
      <c r="J222" s="62"/>
      <c r="K222" s="62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6"/>
      <c r="C223" s="96"/>
      <c r="D223" s="96"/>
      <c r="E223" s="96"/>
      <c r="F223" s="96"/>
      <c r="G223" s="96"/>
      <c r="H223" s="62"/>
      <c r="I223" s="62"/>
      <c r="J223" s="62"/>
      <c r="K223" s="62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6"/>
      <c r="C224" s="96"/>
      <c r="D224" s="96"/>
      <c r="E224" s="96"/>
      <c r="F224" s="96"/>
      <c r="G224" s="96"/>
      <c r="H224" s="62"/>
      <c r="I224" s="62"/>
      <c r="J224" s="62"/>
      <c r="K224" s="62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6"/>
      <c r="C225" s="96"/>
      <c r="D225" s="96"/>
      <c r="E225" s="96"/>
      <c r="F225" s="96"/>
      <c r="G225" s="96"/>
      <c r="H225" s="62"/>
      <c r="I225" s="62"/>
      <c r="J225" s="62"/>
      <c r="K225" s="62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6"/>
      <c r="C226" s="96"/>
      <c r="D226" s="96"/>
      <c r="E226" s="96"/>
      <c r="F226" s="96"/>
      <c r="G226" s="96"/>
      <c r="H226" s="62"/>
      <c r="I226" s="62"/>
      <c r="J226" s="62"/>
      <c r="K226" s="62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6"/>
      <c r="C227" s="96"/>
      <c r="D227" s="96"/>
      <c r="E227" s="96"/>
      <c r="F227" s="96"/>
      <c r="G227" s="96"/>
      <c r="H227" s="62"/>
      <c r="I227" s="96"/>
      <c r="J227" s="73"/>
      <c r="K227" s="62"/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6"/>
      <c r="C228" s="96"/>
      <c r="D228" s="96"/>
      <c r="E228" s="96"/>
      <c r="F228" s="96"/>
      <c r="G228" s="96"/>
      <c r="H228" s="62"/>
      <c r="I228" s="65"/>
      <c r="J228" s="65"/>
      <c r="K228" s="62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6"/>
      <c r="C229" s="96"/>
      <c r="D229" s="96"/>
      <c r="E229" s="96"/>
      <c r="F229" s="96"/>
      <c r="G229" s="96"/>
      <c r="H229" s="62"/>
      <c r="I229" s="62"/>
      <c r="J229" s="62"/>
      <c r="K229" s="62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6"/>
      <c r="D230" s="115"/>
      <c r="E230" s="115"/>
      <c r="F230" s="96"/>
      <c r="G230" s="96"/>
      <c r="H230" s="62"/>
      <c r="I230" s="115"/>
      <c r="J230" s="115"/>
      <c r="K230" s="111"/>
      <c r="N230" s="25"/>
      <c r="O230" s="26"/>
      <c r="P230" s="114" t="s">
        <v>17</v>
      </c>
      <c r="Q230" s="114"/>
      <c r="R230" s="97"/>
      <c r="S230" s="27"/>
      <c r="U230" s="112" t="s">
        <v>18</v>
      </c>
      <c r="V230" s="113"/>
      <c r="W230" s="116" t="s">
        <v>19</v>
      </c>
      <c r="Z230" s="25"/>
      <c r="AA230" s="26"/>
      <c r="AB230" s="114" t="s">
        <v>17</v>
      </c>
      <c r="AC230" s="114"/>
      <c r="AD230" s="97"/>
      <c r="AE230" s="27"/>
      <c r="AG230" s="112" t="s">
        <v>18</v>
      </c>
      <c r="AH230" s="113"/>
      <c r="AI230" s="116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96"/>
      <c r="C231" s="96"/>
      <c r="D231" s="79"/>
      <c r="E231" s="80"/>
      <c r="F231" s="81"/>
      <c r="G231" s="81"/>
      <c r="H231" s="62"/>
      <c r="I231" s="95"/>
      <c r="J231" s="95"/>
      <c r="K231" s="111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17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17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M232" s="10">
        <v>1</v>
      </c>
      <c r="N232" s="30">
        <v>46148</v>
      </c>
      <c r="O232" s="31">
        <v>10861</v>
      </c>
      <c r="P232" s="32">
        <f>60*650+670*4+622*5+229*4</f>
        <v>45706</v>
      </c>
      <c r="Q232" s="32"/>
      <c r="R232" s="32"/>
      <c r="S232" s="32">
        <f>SUM(P232:Q232)</f>
        <v>45706</v>
      </c>
      <c r="T232" s="12"/>
      <c r="U232" s="12"/>
      <c r="V232" s="12"/>
      <c r="W232" s="12">
        <f>SUM(S232:V232)</f>
        <v>45706</v>
      </c>
      <c r="Y232" s="10">
        <v>1</v>
      </c>
      <c r="Z232" s="30">
        <v>46148</v>
      </c>
      <c r="AA232" s="31">
        <v>10902</v>
      </c>
      <c r="AB232" s="32">
        <f>650*100+670*8+229*5</f>
        <v>71505</v>
      </c>
      <c r="AC232" s="32"/>
      <c r="AD232" s="32"/>
      <c r="AE232" s="32">
        <f>SUM(AB232:AC232)</f>
        <v>71505</v>
      </c>
      <c r="AF232" s="12"/>
      <c r="AG232" s="12"/>
      <c r="AH232" s="12">
        <f>-120*4+-111*14+-4*78</f>
        <v>-2346</v>
      </c>
      <c r="AI232" s="12">
        <f>SUM(AE232:AH232)</f>
        <v>69159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M233" s="10">
        <v>2</v>
      </c>
      <c r="N233" s="30">
        <v>46148</v>
      </c>
      <c r="O233" s="31">
        <f>O232+1</f>
        <v>10862</v>
      </c>
      <c r="P233" s="32">
        <f>650*60+229</f>
        <v>39229</v>
      </c>
      <c r="Q233" s="32"/>
      <c r="R233" s="32"/>
      <c r="S233" s="32">
        <f t="shared" ref="S233:S264" si="65">SUM(P233:Q233)</f>
        <v>39229</v>
      </c>
      <c r="T233" s="12"/>
      <c r="U233" s="12">
        <v>222</v>
      </c>
      <c r="V233" s="12">
        <f>-78*2+-1.5*24</f>
        <v>-192</v>
      </c>
      <c r="W233" s="12">
        <f t="shared" ref="W233:W264" si="66">SUM(S233:V233)</f>
        <v>39259</v>
      </c>
      <c r="Y233" s="10">
        <v>2</v>
      </c>
      <c r="Z233" s="30">
        <v>46148</v>
      </c>
      <c r="AA233" s="31">
        <f>AA232+1</f>
        <v>10903</v>
      </c>
      <c r="AB233" s="32">
        <f>650*143+670*10+622*20+912*2+1050*2+872*5+229</f>
        <v>120603</v>
      </c>
      <c r="AC233" s="32">
        <f>-182*6</f>
        <v>-1092</v>
      </c>
      <c r="AD233" s="32"/>
      <c r="AE233" s="32">
        <f t="shared" ref="AE233:AE235" si="67">SUM(AB233:AC233)</f>
        <v>119511</v>
      </c>
      <c r="AF233" s="12"/>
      <c r="AG233" s="12">
        <f>1.5*24+4.5*42</f>
        <v>225</v>
      </c>
      <c r="AH233" s="12"/>
      <c r="AI233" s="12">
        <f t="shared" ref="AI233:AI264" si="68">SUM(AE233:AH233)</f>
        <v>119736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M234" s="10">
        <v>3</v>
      </c>
      <c r="N234" s="30">
        <v>46148</v>
      </c>
      <c r="O234" s="31">
        <f t="shared" ref="O234:O237" si="69">O233+1</f>
        <v>10863</v>
      </c>
      <c r="P234" s="32">
        <f>650*38</f>
        <v>24700</v>
      </c>
      <c r="Q234" s="32"/>
      <c r="R234" s="32"/>
      <c r="S234" s="32">
        <f t="shared" si="65"/>
        <v>24700</v>
      </c>
      <c r="T234" s="12"/>
      <c r="U234" s="12"/>
      <c r="V234" s="12">
        <v>-888</v>
      </c>
      <c r="W234" s="12">
        <f t="shared" si="66"/>
        <v>23812</v>
      </c>
      <c r="Y234" s="10">
        <v>3</v>
      </c>
      <c r="Z234" s="30">
        <v>46148</v>
      </c>
      <c r="AA234" s="31">
        <f t="shared" ref="AA234:AA237" si="70">AA233+1</f>
        <v>10904</v>
      </c>
      <c r="AB234" s="33">
        <f>622*10</f>
        <v>6220</v>
      </c>
      <c r="AC234" s="33"/>
      <c r="AD234" s="32"/>
      <c r="AE234" s="32">
        <f t="shared" si="67"/>
        <v>6220</v>
      </c>
      <c r="AF234" s="12"/>
      <c r="AG234" s="12"/>
      <c r="AH234" s="12"/>
      <c r="AI234" s="12">
        <f t="shared" si="68"/>
        <v>6220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M235" s="10">
        <v>4</v>
      </c>
      <c r="N235" s="30">
        <v>46148</v>
      </c>
      <c r="O235" s="31">
        <f t="shared" si="69"/>
        <v>10864</v>
      </c>
      <c r="P235" s="32">
        <v>141316</v>
      </c>
      <c r="Q235" s="32">
        <v>-1296</v>
      </c>
      <c r="R235" s="32"/>
      <c r="S235" s="32">
        <f t="shared" si="65"/>
        <v>140020</v>
      </c>
      <c r="T235" s="12"/>
      <c r="U235" s="12">
        <v>5805</v>
      </c>
      <c r="V235" s="12"/>
      <c r="W235" s="12">
        <f t="shared" si="66"/>
        <v>145825</v>
      </c>
      <c r="Y235" s="10">
        <v>4</v>
      </c>
      <c r="Z235" s="30">
        <v>46148</v>
      </c>
      <c r="AA235" s="31">
        <f t="shared" si="70"/>
        <v>10905</v>
      </c>
      <c r="AB235" s="32">
        <f>89*650+670+622*10</f>
        <v>64740</v>
      </c>
      <c r="AC235" s="32"/>
      <c r="AD235" s="32"/>
      <c r="AE235" s="32">
        <f t="shared" si="67"/>
        <v>64740</v>
      </c>
      <c r="AF235" s="12"/>
      <c r="AG235">
        <f>111*40+4.5*11</f>
        <v>4489.5</v>
      </c>
      <c r="AH235" s="12"/>
      <c r="AI235" s="12">
        <f t="shared" si="68"/>
        <v>69229.5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M236" s="10">
        <v>5</v>
      </c>
      <c r="N236" s="30">
        <v>46148</v>
      </c>
      <c r="O236" s="31">
        <f t="shared" si="69"/>
        <v>10865</v>
      </c>
      <c r="P236" s="32">
        <f>650*7+622</f>
        <v>5172</v>
      </c>
      <c r="Q236" s="32"/>
      <c r="R236" s="32"/>
      <c r="S236" s="32">
        <f t="shared" si="65"/>
        <v>5172</v>
      </c>
      <c r="T236" s="12"/>
      <c r="U236" s="12"/>
      <c r="V236" s="12"/>
      <c r="W236" s="12">
        <f t="shared" si="66"/>
        <v>5172</v>
      </c>
      <c r="Y236" s="10">
        <v>5</v>
      </c>
      <c r="Z236" s="30">
        <v>46148</v>
      </c>
      <c r="AA236" s="31">
        <f t="shared" si="70"/>
        <v>10906</v>
      </c>
      <c r="AB236" s="32">
        <f>650*37+622*5+229*2</f>
        <v>27618</v>
      </c>
      <c r="AC236" s="32"/>
      <c r="AD236" s="32"/>
      <c r="AE236" s="32">
        <f t="shared" ref="AE236:AE264" si="71">SUM(AB236:AC236)</f>
        <v>27618</v>
      </c>
      <c r="AF236" s="12"/>
      <c r="AG236" s="12"/>
      <c r="AH236" s="12"/>
      <c r="AI236" s="12">
        <f t="shared" si="68"/>
        <v>27618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M237" s="10">
        <v>6</v>
      </c>
      <c r="N237" s="30">
        <v>46148</v>
      </c>
      <c r="O237" s="31">
        <f t="shared" si="69"/>
        <v>10866</v>
      </c>
      <c r="P237" s="32">
        <f>650*3</f>
        <v>1950</v>
      </c>
      <c r="Q237" s="32"/>
      <c r="R237" s="32"/>
      <c r="S237" s="32">
        <f t="shared" si="65"/>
        <v>1950</v>
      </c>
      <c r="T237" s="12"/>
      <c r="U237" s="12"/>
      <c r="V237" s="10"/>
      <c r="W237" s="12">
        <f t="shared" si="66"/>
        <v>1950</v>
      </c>
      <c r="Y237" s="10">
        <v>6</v>
      </c>
      <c r="Z237" s="30">
        <v>46148</v>
      </c>
      <c r="AA237" s="31">
        <f t="shared" si="70"/>
        <v>10907</v>
      </c>
      <c r="AB237" s="32">
        <f>650*16+622*2</f>
        <v>11644</v>
      </c>
      <c r="AC237" s="32"/>
      <c r="AD237" s="32"/>
      <c r="AE237" s="32">
        <f t="shared" si="71"/>
        <v>11644</v>
      </c>
      <c r="AF237" s="12"/>
      <c r="AG237" s="12"/>
      <c r="AH237" s="10">
        <f>-29*111</f>
        <v>-3219</v>
      </c>
      <c r="AI237" s="12">
        <f t="shared" si="68"/>
        <v>8425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M238" s="10">
        <v>7</v>
      </c>
      <c r="N238" s="30"/>
      <c r="O238" s="11" t="s">
        <v>27</v>
      </c>
      <c r="P238" s="32"/>
      <c r="Q238" s="32"/>
      <c r="R238" s="32"/>
      <c r="S238" s="32">
        <f t="shared" si="65"/>
        <v>0</v>
      </c>
      <c r="T238" s="12"/>
      <c r="U238" s="12"/>
      <c r="V238" s="12"/>
      <c r="W238" s="12">
        <f t="shared" si="66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71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M239" s="10">
        <v>8</v>
      </c>
      <c r="N239" s="30"/>
      <c r="O239" s="31"/>
      <c r="P239" s="32"/>
      <c r="Q239" s="32"/>
      <c r="R239" s="32"/>
      <c r="S239" s="32">
        <f t="shared" si="65"/>
        <v>0</v>
      </c>
      <c r="T239" s="12"/>
      <c r="U239" s="12"/>
      <c r="V239" s="12"/>
      <c r="W239" s="12">
        <f t="shared" si="66"/>
        <v>0</v>
      </c>
      <c r="Y239" s="10">
        <v>8</v>
      </c>
      <c r="Z239" s="30"/>
      <c r="AA239" s="31"/>
      <c r="AB239" s="32"/>
      <c r="AC239" s="32"/>
      <c r="AE239" s="32">
        <f t="shared" si="71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M240" s="10">
        <v>9</v>
      </c>
      <c r="N240" s="30"/>
      <c r="O240" s="31"/>
      <c r="P240" s="32"/>
      <c r="Q240" s="32"/>
      <c r="R240" s="32"/>
      <c r="S240" s="32">
        <f t="shared" si="65"/>
        <v>0</v>
      </c>
      <c r="T240" s="12"/>
      <c r="U240" s="12"/>
      <c r="V240" s="12"/>
      <c r="W240" s="12">
        <f t="shared" si="66"/>
        <v>0</v>
      </c>
      <c r="Y240" s="10">
        <v>9</v>
      </c>
      <c r="Z240" s="30"/>
      <c r="AA240" s="31"/>
      <c r="AC240" s="32"/>
      <c r="AD240" s="32"/>
      <c r="AE240" s="32">
        <f t="shared" si="71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M241" s="10">
        <v>10</v>
      </c>
      <c r="N241" s="30"/>
      <c r="O241" s="31"/>
      <c r="P241" s="32"/>
      <c r="Q241" s="32"/>
      <c r="R241" s="32"/>
      <c r="S241" s="32">
        <f t="shared" si="65"/>
        <v>0</v>
      </c>
      <c r="T241" s="12"/>
      <c r="U241" s="12"/>
      <c r="V241" s="12"/>
      <c r="W241" s="12">
        <f t="shared" si="66"/>
        <v>0</v>
      </c>
      <c r="Y241" s="10">
        <v>10</v>
      </c>
      <c r="Z241" s="30"/>
      <c r="AA241" s="31"/>
      <c r="AB241" s="32"/>
      <c r="AC241" s="32"/>
      <c r="AD241" s="32"/>
      <c r="AE241" s="32">
        <f t="shared" si="71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M242" s="10">
        <v>11</v>
      </c>
      <c r="N242" s="30"/>
      <c r="O242" s="11"/>
      <c r="P242" s="32"/>
      <c r="Q242" s="32"/>
      <c r="R242" s="32"/>
      <c r="S242" s="32">
        <f t="shared" si="65"/>
        <v>0</v>
      </c>
      <c r="T242" s="12"/>
      <c r="U242" s="12"/>
      <c r="V242" s="12"/>
      <c r="W242" s="12">
        <f t="shared" si="66"/>
        <v>0</v>
      </c>
      <c r="Y242" s="10">
        <v>11</v>
      </c>
      <c r="Z242" s="30"/>
      <c r="AA242" s="31"/>
      <c r="AB242" s="32"/>
      <c r="AC242" s="32"/>
      <c r="AD242" s="32"/>
      <c r="AE242" s="32">
        <f t="shared" si="71"/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M243" s="10">
        <v>12</v>
      </c>
      <c r="N243" s="30"/>
      <c r="P243" s="32"/>
      <c r="Q243" s="32"/>
      <c r="R243" s="32"/>
      <c r="S243" s="32">
        <f t="shared" si="65"/>
        <v>0</v>
      </c>
      <c r="T243" s="12"/>
      <c r="U243" s="12"/>
      <c r="V243" s="12"/>
      <c r="W243" s="12">
        <f t="shared" si="66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1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M244" s="10">
        <v>13</v>
      </c>
      <c r="N244" s="30"/>
      <c r="O244" s="31"/>
      <c r="P244" s="32"/>
      <c r="Q244" s="32"/>
      <c r="R244" s="32"/>
      <c r="S244" s="32">
        <f t="shared" si="65"/>
        <v>0</v>
      </c>
      <c r="T244" s="12"/>
      <c r="U244" s="12"/>
      <c r="V244" s="12"/>
      <c r="W244" s="12">
        <f t="shared" si="66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1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M245" s="10">
        <v>14</v>
      </c>
      <c r="N245" s="30"/>
      <c r="O245" s="31"/>
      <c r="P245" s="32"/>
      <c r="Q245" s="32"/>
      <c r="R245" s="32"/>
      <c r="S245" s="32">
        <f t="shared" si="65"/>
        <v>0</v>
      </c>
      <c r="T245" s="12"/>
      <c r="U245" s="12"/>
      <c r="V245" s="12"/>
      <c r="W245" s="12">
        <f t="shared" si="66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1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M246" s="10">
        <v>15</v>
      </c>
      <c r="N246" s="30"/>
      <c r="O246" s="31"/>
      <c r="P246" s="32"/>
      <c r="Q246" s="32"/>
      <c r="R246" s="32"/>
      <c r="S246" s="32">
        <f t="shared" si="65"/>
        <v>0</v>
      </c>
      <c r="T246" s="12"/>
      <c r="U246" s="12"/>
      <c r="V246" s="12"/>
      <c r="W246" s="12">
        <f t="shared" si="66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1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M247" s="10">
        <v>16</v>
      </c>
      <c r="N247" s="30"/>
      <c r="P247" s="32"/>
      <c r="Q247" s="32"/>
      <c r="R247" s="32"/>
      <c r="S247" s="32">
        <f t="shared" si="65"/>
        <v>0</v>
      </c>
      <c r="T247" s="12"/>
      <c r="U247" s="12"/>
      <c r="V247" s="12"/>
      <c r="W247" s="12">
        <f t="shared" si="66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1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M248" s="10">
        <v>17</v>
      </c>
      <c r="N248" s="30"/>
      <c r="O248" s="31"/>
      <c r="P248" s="35"/>
      <c r="Q248" s="32"/>
      <c r="R248" s="32"/>
      <c r="S248" s="32">
        <f t="shared" si="65"/>
        <v>0</v>
      </c>
      <c r="T248" s="12"/>
      <c r="U248" s="12"/>
      <c r="V248" s="12"/>
      <c r="W248" s="12">
        <f t="shared" si="66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1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6"/>
      <c r="D249" s="60"/>
      <c r="E249" s="60"/>
      <c r="F249" s="60"/>
      <c r="G249" s="60"/>
      <c r="H249" s="61"/>
      <c r="I249" s="61"/>
      <c r="J249" s="61"/>
      <c r="K249" s="61"/>
      <c r="M249" s="10">
        <v>18</v>
      </c>
      <c r="N249" s="30"/>
      <c r="O249" s="31"/>
      <c r="P249" s="32"/>
      <c r="Q249" s="32"/>
      <c r="R249" s="32"/>
      <c r="S249" s="32">
        <f t="shared" si="65"/>
        <v>0</v>
      </c>
      <c r="T249" s="12"/>
      <c r="U249" s="12"/>
      <c r="V249" s="12"/>
      <c r="W249" s="12">
        <f t="shared" si="66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1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M250" s="10">
        <v>19</v>
      </c>
      <c r="N250" s="30"/>
      <c r="O250" s="31"/>
      <c r="P250" s="32"/>
      <c r="Q250" s="32"/>
      <c r="R250" s="32"/>
      <c r="S250" s="32">
        <f t="shared" si="65"/>
        <v>0</v>
      </c>
      <c r="T250" s="12"/>
      <c r="U250" s="12"/>
      <c r="V250" s="12"/>
      <c r="W250" s="12">
        <f t="shared" si="66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1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M251" s="10">
        <v>20</v>
      </c>
      <c r="N251" s="30"/>
      <c r="O251" s="31"/>
      <c r="P251" s="32"/>
      <c r="Q251" s="32"/>
      <c r="R251" s="32"/>
      <c r="S251" s="32">
        <f t="shared" si="65"/>
        <v>0</v>
      </c>
      <c r="T251" s="12"/>
      <c r="U251" s="12"/>
      <c r="V251" s="12"/>
      <c r="W251" s="12">
        <f t="shared" si="66"/>
        <v>0</v>
      </c>
      <c r="Y251" s="10">
        <v>20</v>
      </c>
      <c r="Z251" s="30"/>
      <c r="AB251" s="32"/>
      <c r="AC251" s="32"/>
      <c r="AD251" s="32"/>
      <c r="AE251" s="32">
        <f t="shared" si="71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M252" s="10">
        <v>21</v>
      </c>
      <c r="N252" s="30"/>
      <c r="O252" s="31"/>
      <c r="P252" s="46"/>
      <c r="Q252" s="31"/>
      <c r="R252" s="31"/>
      <c r="S252" s="32">
        <f t="shared" si="65"/>
        <v>0</v>
      </c>
      <c r="T252" s="10"/>
      <c r="U252" s="10"/>
      <c r="V252" s="10"/>
      <c r="W252" s="12">
        <f t="shared" si="66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1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M253" s="10">
        <v>22</v>
      </c>
      <c r="N253" s="30"/>
      <c r="O253" s="31"/>
      <c r="P253" s="45"/>
      <c r="Q253" s="31"/>
      <c r="R253" s="31"/>
      <c r="S253" s="32">
        <f t="shared" si="65"/>
        <v>0</v>
      </c>
      <c r="T253" s="10"/>
      <c r="U253" s="10"/>
      <c r="V253" s="10"/>
      <c r="W253" s="12">
        <f t="shared" si="66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1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M254" s="10">
        <v>23</v>
      </c>
      <c r="N254" s="30"/>
      <c r="O254" s="31"/>
      <c r="P254" s="47"/>
      <c r="S254" s="32">
        <f t="shared" si="65"/>
        <v>0</v>
      </c>
      <c r="T254" s="10"/>
      <c r="U254" s="10"/>
      <c r="V254" s="10"/>
      <c r="W254" s="12">
        <f t="shared" si="66"/>
        <v>0</v>
      </c>
      <c r="Y254" s="10">
        <v>23</v>
      </c>
      <c r="Z254" s="30"/>
      <c r="AA254" s="31"/>
      <c r="AB254" s="47"/>
      <c r="AE254" s="32">
        <f t="shared" si="71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M255" s="10">
        <v>24</v>
      </c>
      <c r="N255" s="30"/>
      <c r="O255" s="31"/>
      <c r="P255" s="47"/>
      <c r="Q255" s="31"/>
      <c r="R255" s="31"/>
      <c r="S255" s="32">
        <f t="shared" si="65"/>
        <v>0</v>
      </c>
      <c r="T255" s="10"/>
      <c r="U255" s="10"/>
      <c r="V255" s="10"/>
      <c r="W255" s="12">
        <f t="shared" si="66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1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M256" s="10">
        <v>25</v>
      </c>
      <c r="N256" s="30"/>
      <c r="O256" s="31"/>
      <c r="P256" s="47"/>
      <c r="Q256" s="31"/>
      <c r="R256" s="31"/>
      <c r="S256" s="32">
        <f t="shared" si="65"/>
        <v>0</v>
      </c>
      <c r="T256" s="10"/>
      <c r="U256" s="10"/>
      <c r="V256" s="10"/>
      <c r="W256" s="12">
        <f t="shared" si="66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1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M257" s="10">
        <v>26</v>
      </c>
      <c r="N257" s="30"/>
      <c r="O257" s="31"/>
      <c r="P257" s="47"/>
      <c r="Q257" s="31"/>
      <c r="R257" s="31"/>
      <c r="S257" s="32">
        <f t="shared" si="65"/>
        <v>0</v>
      </c>
      <c r="T257" s="10"/>
      <c r="U257" s="10"/>
      <c r="V257" s="10"/>
      <c r="W257" s="12">
        <f t="shared" si="66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1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M258" s="10">
        <v>27</v>
      </c>
      <c r="N258" s="30"/>
      <c r="O258" s="31"/>
      <c r="P258" s="47"/>
      <c r="Q258" s="31"/>
      <c r="R258" s="31"/>
      <c r="S258" s="32">
        <f t="shared" si="65"/>
        <v>0</v>
      </c>
      <c r="T258" s="10"/>
      <c r="U258" s="10"/>
      <c r="V258" s="10"/>
      <c r="W258" s="12">
        <f t="shared" si="66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1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M259" s="10">
        <v>28</v>
      </c>
      <c r="N259" s="30"/>
      <c r="O259" s="31"/>
      <c r="P259" s="47"/>
      <c r="Q259" s="31"/>
      <c r="R259" s="31"/>
      <c r="S259" s="32">
        <f t="shared" si="65"/>
        <v>0</v>
      </c>
      <c r="T259" s="10"/>
      <c r="U259" s="10"/>
      <c r="V259" s="10"/>
      <c r="W259" s="12">
        <f t="shared" si="66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1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M260" s="10">
        <v>29</v>
      </c>
      <c r="N260" s="30"/>
      <c r="O260" s="31"/>
      <c r="P260" s="47"/>
      <c r="Q260" s="31"/>
      <c r="R260" s="31"/>
      <c r="S260" s="32">
        <f t="shared" si="65"/>
        <v>0</v>
      </c>
      <c r="T260" s="10"/>
      <c r="U260" s="10"/>
      <c r="V260" s="10"/>
      <c r="W260" s="12">
        <f t="shared" si="66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1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M261" s="10">
        <v>30</v>
      </c>
      <c r="N261" s="30"/>
      <c r="O261" s="31"/>
      <c r="P261" s="47"/>
      <c r="Q261" s="31"/>
      <c r="R261" s="31"/>
      <c r="S261" s="32">
        <f t="shared" si="65"/>
        <v>0</v>
      </c>
      <c r="T261" s="10"/>
      <c r="U261" s="10"/>
      <c r="V261" s="10"/>
      <c r="W261" s="12">
        <f t="shared" si="66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1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M262" s="10">
        <v>31</v>
      </c>
      <c r="N262" s="30"/>
      <c r="O262" s="31"/>
      <c r="P262" s="47"/>
      <c r="Q262" s="31"/>
      <c r="R262" s="31"/>
      <c r="S262" s="32">
        <f t="shared" si="65"/>
        <v>0</v>
      </c>
      <c r="T262" s="10"/>
      <c r="U262" s="10"/>
      <c r="V262" s="10"/>
      <c r="W262" s="12">
        <f t="shared" si="66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1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M263" s="10">
        <v>32</v>
      </c>
      <c r="N263" s="30"/>
      <c r="O263" s="31"/>
      <c r="P263" s="47"/>
      <c r="Q263" s="31"/>
      <c r="R263" s="31"/>
      <c r="S263" s="32">
        <f t="shared" si="65"/>
        <v>0</v>
      </c>
      <c r="T263" s="10"/>
      <c r="U263" s="10"/>
      <c r="V263" s="10"/>
      <c r="W263" s="12">
        <f t="shared" si="66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1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M264" s="10">
        <v>33</v>
      </c>
      <c r="N264" s="30"/>
      <c r="O264" s="31"/>
      <c r="P264" s="47"/>
      <c r="Q264" s="31"/>
      <c r="R264" s="31"/>
      <c r="S264" s="32">
        <f t="shared" si="65"/>
        <v>0</v>
      </c>
      <c r="T264" s="10"/>
      <c r="U264" s="10"/>
      <c r="V264" s="10"/>
      <c r="W264" s="12">
        <f t="shared" si="66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1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M265" s="10">
        <v>34</v>
      </c>
      <c r="N265" s="30"/>
      <c r="O265" s="31"/>
      <c r="P265" s="47"/>
      <c r="Q265" s="31"/>
      <c r="R265" s="31"/>
      <c r="S265" s="32">
        <f t="shared" ref="S265:S270" si="72">SUM(P265:Q265)</f>
        <v>0</v>
      </c>
      <c r="T265" s="10"/>
      <c r="U265" s="10"/>
      <c r="V265" s="10"/>
      <c r="W265" s="12">
        <f t="shared" ref="W265:W273" si="73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74">SUM(AB265:AC265)</f>
        <v>0</v>
      </c>
      <c r="AF265" s="10"/>
      <c r="AG265" s="10"/>
      <c r="AH265" s="10"/>
      <c r="AI265" s="12">
        <f t="shared" ref="AI265:AI273" si="75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M266" s="10">
        <v>35</v>
      </c>
      <c r="N266" s="30"/>
      <c r="O266" s="31"/>
      <c r="P266" s="47"/>
      <c r="Q266" s="31"/>
      <c r="R266" s="31"/>
      <c r="S266" s="32">
        <f t="shared" si="72"/>
        <v>0</v>
      </c>
      <c r="T266" s="10"/>
      <c r="U266" s="10"/>
      <c r="V266" s="10"/>
      <c r="W266" s="12">
        <f t="shared" si="73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4"/>
        <v>0</v>
      </c>
      <c r="AF266" s="10"/>
      <c r="AG266" s="10"/>
      <c r="AH266" s="10"/>
      <c r="AI266" s="12">
        <f t="shared" si="75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M267" s="10">
        <v>36</v>
      </c>
      <c r="N267" s="30"/>
      <c r="O267" s="31"/>
      <c r="P267" s="47"/>
      <c r="Q267" s="31"/>
      <c r="R267" s="31"/>
      <c r="S267" s="32">
        <f t="shared" si="72"/>
        <v>0</v>
      </c>
      <c r="T267" s="10"/>
      <c r="U267" s="10"/>
      <c r="V267" s="10"/>
      <c r="W267" s="12">
        <f t="shared" si="73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4"/>
        <v>0</v>
      </c>
      <c r="AF267" s="10"/>
      <c r="AG267" s="10"/>
      <c r="AH267" s="10"/>
      <c r="AI267" s="12">
        <f t="shared" si="75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6"/>
      <c r="D268" s="60"/>
      <c r="E268" s="60"/>
      <c r="F268" s="60"/>
      <c r="G268" s="60"/>
      <c r="H268" s="62"/>
      <c r="I268" s="62"/>
      <c r="J268" s="62"/>
      <c r="K268" s="61"/>
      <c r="M268" s="10">
        <v>37</v>
      </c>
      <c r="N268" s="30"/>
      <c r="P268" s="47"/>
      <c r="Q268" s="31"/>
      <c r="R268" s="31"/>
      <c r="S268" s="32">
        <f t="shared" si="72"/>
        <v>0</v>
      </c>
      <c r="T268" s="10"/>
      <c r="U268" s="10"/>
      <c r="V268" s="10"/>
      <c r="W268" s="12">
        <f t="shared" si="73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4"/>
        <v>0</v>
      </c>
      <c r="AF268" s="10"/>
      <c r="AG268" s="10"/>
      <c r="AH268" s="10"/>
      <c r="AI268" s="12">
        <f t="shared" si="75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6"/>
      <c r="D269" s="60"/>
      <c r="E269" s="60"/>
      <c r="F269" s="60"/>
      <c r="G269" s="60"/>
      <c r="H269" s="62"/>
      <c r="I269" s="62"/>
      <c r="J269" s="62"/>
      <c r="K269" s="61"/>
      <c r="M269" s="10">
        <v>38</v>
      </c>
      <c r="N269" s="30"/>
      <c r="O269" s="31"/>
      <c r="P269" s="47"/>
      <c r="Q269" s="31"/>
      <c r="R269" s="31"/>
      <c r="S269" s="32">
        <f t="shared" si="72"/>
        <v>0</v>
      </c>
      <c r="T269" s="10"/>
      <c r="U269" s="10"/>
      <c r="V269" s="10"/>
      <c r="W269" s="12">
        <f t="shared" si="73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4"/>
        <v>0</v>
      </c>
      <c r="AF269" s="10"/>
      <c r="AG269" s="10"/>
      <c r="AH269" s="10"/>
      <c r="AI269" s="12">
        <f t="shared" si="75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6"/>
      <c r="D270" s="60"/>
      <c r="E270" s="60"/>
      <c r="F270" s="60"/>
      <c r="G270" s="60"/>
      <c r="H270" s="62"/>
      <c r="I270" s="62"/>
      <c r="J270" s="62"/>
      <c r="K270" s="61"/>
      <c r="M270" s="10">
        <v>39</v>
      </c>
      <c r="N270" s="30"/>
      <c r="O270" s="31"/>
      <c r="P270" s="47"/>
      <c r="Q270" s="31"/>
      <c r="R270" s="31"/>
      <c r="S270" s="32">
        <f t="shared" si="72"/>
        <v>0</v>
      </c>
      <c r="T270" s="10"/>
      <c r="U270" s="10"/>
      <c r="V270" s="10"/>
      <c r="W270" s="12">
        <f t="shared" si="73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4"/>
        <v>0</v>
      </c>
      <c r="AF270" s="10"/>
      <c r="AG270" s="10"/>
      <c r="AH270" s="10"/>
      <c r="AI270" s="12">
        <f t="shared" si="75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6"/>
      <c r="D271" s="60"/>
      <c r="E271" s="60"/>
      <c r="F271" s="60"/>
      <c r="G271" s="60"/>
      <c r="H271" s="62"/>
      <c r="I271" s="62"/>
      <c r="J271" s="62"/>
      <c r="K271" s="61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3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75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6"/>
      <c r="D272" s="60"/>
      <c r="E272" s="60"/>
      <c r="F272" s="60"/>
      <c r="G272" s="60"/>
      <c r="H272" s="62"/>
      <c r="I272" s="62"/>
      <c r="J272" s="62"/>
      <c r="K272" s="61"/>
      <c r="M272" s="10"/>
      <c r="N272" s="30"/>
      <c r="O272" s="31"/>
      <c r="P272" s="47"/>
      <c r="Q272" s="31"/>
      <c r="R272" s="31"/>
      <c r="S272" s="32">
        <f t="shared" ref="S272" si="76">SUM(P272:Q272)</f>
        <v>0</v>
      </c>
      <c r="T272" s="10"/>
      <c r="U272" s="10"/>
      <c r="V272" s="10"/>
      <c r="W272" s="12">
        <f t="shared" si="73"/>
        <v>0</v>
      </c>
      <c r="Y272" s="10"/>
      <c r="Z272" s="30"/>
      <c r="AA272" s="31"/>
      <c r="AB272" s="47"/>
      <c r="AC272" s="31"/>
      <c r="AD272" s="31"/>
      <c r="AE272" s="32">
        <f t="shared" ref="AE272" si="77">SUM(AB272:AC272)</f>
        <v>0</v>
      </c>
      <c r="AF272" s="10"/>
      <c r="AG272" s="10"/>
      <c r="AH272" s="10"/>
      <c r="AI272" s="12">
        <f t="shared" si="75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3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75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6"/>
      <c r="C274" s="96"/>
      <c r="D274" s="96"/>
      <c r="E274" s="96"/>
      <c r="F274" s="96"/>
      <c r="G274" s="96"/>
      <c r="H274" s="62"/>
      <c r="I274" s="62"/>
      <c r="J274" s="62"/>
      <c r="K274" s="62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6"/>
      <c r="C275" s="96"/>
      <c r="D275" s="70"/>
      <c r="E275" s="70"/>
      <c r="F275" s="70"/>
      <c r="G275" s="70"/>
      <c r="H275" s="63"/>
      <c r="I275" s="70"/>
      <c r="J275" s="70"/>
      <c r="K275" s="70"/>
      <c r="N275" s="57"/>
      <c r="O275" s="57"/>
      <c r="P275" s="38">
        <f>SUM(P232:P274)</f>
        <v>258073</v>
      </c>
      <c r="Q275" s="38">
        <f>SUM(Q232:Q256)</f>
        <v>-1296</v>
      </c>
      <c r="R275" s="38">
        <f>SUM(R232:R256)</f>
        <v>0</v>
      </c>
      <c r="S275" s="38">
        <f>SUM(S232:S274)</f>
        <v>256777</v>
      </c>
      <c r="T275" s="4"/>
      <c r="U275" s="41">
        <f>SUM(U232:U274)</f>
        <v>6027</v>
      </c>
      <c r="V275" s="41">
        <f>SUM(V232:V256)</f>
        <v>-1080</v>
      </c>
      <c r="W275" s="42">
        <f>SUM(W232:W274)</f>
        <v>261724</v>
      </c>
      <c r="Z275" s="57"/>
      <c r="AA275" s="57"/>
      <c r="AB275" s="38">
        <f>SUM(AB232:AB274)</f>
        <v>302330</v>
      </c>
      <c r="AC275" s="38">
        <f>SUM(AC232:AC256)</f>
        <v>-1092</v>
      </c>
      <c r="AD275" s="38">
        <f>SUM(AD232:AD256)</f>
        <v>0</v>
      </c>
      <c r="AE275" s="38">
        <f>SUM(AE232:AE274)</f>
        <v>301238</v>
      </c>
      <c r="AF275" s="4"/>
      <c r="AG275" s="41">
        <f>SUM(AG232:AG274)</f>
        <v>4714.5</v>
      </c>
      <c r="AH275" s="41">
        <f>SUM(AH232:AH256)</f>
        <v>-5565</v>
      </c>
      <c r="AI275" s="42">
        <f>SUM(AI232:AI274)</f>
        <v>300387.5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0"/>
      <c r="C277" s="90"/>
      <c r="D277" s="90"/>
      <c r="E277" s="90"/>
      <c r="F277" s="90"/>
      <c r="G277" s="90"/>
      <c r="H277" s="62"/>
      <c r="I277" s="62"/>
      <c r="J277" s="62"/>
      <c r="K277" s="62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0"/>
      <c r="C278" s="90"/>
      <c r="D278" s="90"/>
      <c r="E278" s="90"/>
      <c r="F278" s="90"/>
      <c r="G278" s="90"/>
      <c r="H278" s="62"/>
      <c r="I278" s="62"/>
      <c r="J278" s="62"/>
      <c r="K278" s="62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0"/>
      <c r="C279" s="90"/>
      <c r="D279" s="90"/>
      <c r="E279" s="90"/>
      <c r="F279" s="90"/>
      <c r="G279" s="90"/>
      <c r="H279" s="62"/>
      <c r="I279" s="62"/>
      <c r="J279" s="62"/>
      <c r="K279" s="62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0"/>
      <c r="C280" s="90"/>
      <c r="D280" s="90"/>
      <c r="E280" s="90"/>
      <c r="F280" s="90"/>
      <c r="G280" s="90"/>
      <c r="H280" s="62"/>
      <c r="I280" s="62"/>
      <c r="J280" s="62"/>
      <c r="K280" s="62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0"/>
      <c r="C281" s="90"/>
      <c r="D281" s="90"/>
      <c r="E281" s="90"/>
      <c r="F281" s="90"/>
      <c r="G281" s="90"/>
      <c r="H281" s="62"/>
      <c r="I281" s="62"/>
      <c r="J281" s="62"/>
      <c r="K281" s="62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0"/>
      <c r="C282" s="90"/>
      <c r="D282" s="90"/>
      <c r="E282" s="90"/>
      <c r="F282" s="90"/>
      <c r="G282" s="90"/>
      <c r="H282" s="62"/>
      <c r="I282" s="90"/>
      <c r="J282" s="73"/>
      <c r="K282" s="62"/>
      <c r="M282" t="s">
        <v>51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0"/>
      <c r="C283" s="90"/>
      <c r="D283" s="90"/>
      <c r="E283" s="90"/>
      <c r="F283" s="90"/>
      <c r="G283" s="90"/>
      <c r="H283" s="62"/>
      <c r="I283" s="65"/>
      <c r="J283" s="65"/>
      <c r="K283" s="62"/>
      <c r="M283" s="21" t="s">
        <v>52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52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55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0"/>
      <c r="C284" s="90"/>
      <c r="D284" s="90"/>
      <c r="E284" s="90"/>
      <c r="F284" s="90"/>
      <c r="G284" s="90"/>
      <c r="H284" s="62"/>
      <c r="I284" s="62"/>
      <c r="J284" s="62"/>
      <c r="K284" s="62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0"/>
      <c r="D285" s="115"/>
      <c r="E285" s="115"/>
      <c r="F285" s="90"/>
      <c r="G285" s="90"/>
      <c r="H285" s="62"/>
      <c r="I285" s="115"/>
      <c r="J285" s="115"/>
      <c r="K285" s="111"/>
      <c r="N285" s="25"/>
      <c r="O285" s="26"/>
      <c r="P285" s="114" t="s">
        <v>17</v>
      </c>
      <c r="Q285" s="114"/>
      <c r="R285" s="98"/>
      <c r="S285" s="27"/>
      <c r="U285" s="112" t="s">
        <v>18</v>
      </c>
      <c r="V285" s="113"/>
      <c r="W285" s="116" t="s">
        <v>19</v>
      </c>
      <c r="Z285" s="25"/>
      <c r="AA285" s="26"/>
      <c r="AB285" s="114" t="s">
        <v>17</v>
      </c>
      <c r="AC285" s="114"/>
      <c r="AD285" s="98"/>
      <c r="AE285" s="27"/>
      <c r="AG285" s="112" t="s">
        <v>18</v>
      </c>
      <c r="AH285" s="113"/>
      <c r="AI285" s="116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A286" s="62"/>
      <c r="B286" s="90"/>
      <c r="C286" s="90"/>
      <c r="D286" s="79"/>
      <c r="E286" s="80"/>
      <c r="F286" s="81"/>
      <c r="G286" s="81"/>
      <c r="H286" s="62"/>
      <c r="I286" s="91"/>
      <c r="J286" s="91"/>
      <c r="K286" s="111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17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17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M287" s="10">
        <v>1</v>
      </c>
      <c r="N287" s="30">
        <v>46240</v>
      </c>
      <c r="O287" s="31">
        <v>10867</v>
      </c>
      <c r="P287" s="32">
        <f>650*6</f>
        <v>3900</v>
      </c>
      <c r="Q287" s="32">
        <f>-6*6</f>
        <v>-36</v>
      </c>
      <c r="R287" s="32"/>
      <c r="S287" s="32">
        <f>SUM(P287:Q287)</f>
        <v>3864</v>
      </c>
      <c r="T287" s="12"/>
      <c r="U287" s="12"/>
      <c r="V287" s="12"/>
      <c r="W287" s="12">
        <f>SUM(S287:V287)</f>
        <v>3864</v>
      </c>
      <c r="Y287" s="10">
        <v>1</v>
      </c>
      <c r="Z287" s="30">
        <v>46240</v>
      </c>
      <c r="AA287" s="31">
        <v>10908</v>
      </c>
      <c r="AB287" s="32">
        <f>650*173+622*66+1050+872*3+229*5</f>
        <v>158313</v>
      </c>
      <c r="AC287" s="32">
        <f>-243*6</f>
        <v>-1458</v>
      </c>
      <c r="AD287" s="32"/>
      <c r="AE287" s="32">
        <f>SUM(AB287:AC287)</f>
        <v>156855</v>
      </c>
      <c r="AF287" s="12"/>
      <c r="AG287" s="12">
        <f>111*66+1.5*20+1.5*96+4.5*24</f>
        <v>7608</v>
      </c>
      <c r="AH287" s="12"/>
      <c r="AI287" s="12">
        <f>SUM(AE287:AH287)</f>
        <v>164463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M288" s="10">
        <v>2</v>
      </c>
      <c r="N288" s="30">
        <v>46240</v>
      </c>
      <c r="O288" s="31">
        <f>O287+1</f>
        <v>10868</v>
      </c>
      <c r="P288" s="32">
        <f>650*18+622*3</f>
        <v>13566</v>
      </c>
      <c r="Q288" s="32"/>
      <c r="R288" s="32"/>
      <c r="S288" s="32">
        <f t="shared" ref="S288:S325" si="78">SUM(P288:Q288)</f>
        <v>13566</v>
      </c>
      <c r="T288" s="12"/>
      <c r="U288" s="12"/>
      <c r="V288" s="12">
        <f>-111*6</f>
        <v>-666</v>
      </c>
      <c r="W288" s="12">
        <f t="shared" ref="W288:W328" si="79">SUM(S288:V288)</f>
        <v>12900</v>
      </c>
      <c r="Y288" s="10">
        <v>2</v>
      </c>
      <c r="Z288" s="30">
        <v>46240</v>
      </c>
      <c r="AA288" s="31">
        <f>AA287+1</f>
        <v>10909</v>
      </c>
      <c r="AB288" s="32">
        <f>650*108+670*10+872*2+229*4</f>
        <v>79560</v>
      </c>
      <c r="AC288" s="32">
        <f>-120*6</f>
        <v>-720</v>
      </c>
      <c r="AD288" s="32"/>
      <c r="AE288" s="32">
        <f t="shared" ref="AE288:AE290" si="80">SUM(AB288:AC288)</f>
        <v>78840</v>
      </c>
      <c r="AF288" s="12"/>
      <c r="AG288" s="12">
        <f>4.5*4</f>
        <v>18</v>
      </c>
      <c r="AH288" s="12">
        <f>-111*61</f>
        <v>-6771</v>
      </c>
      <c r="AI288" s="12">
        <f t="shared" ref="AI288:AI328" si="81">SUM(AE288:AH288)</f>
        <v>72087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M289" s="10">
        <v>3</v>
      </c>
      <c r="N289" s="30">
        <v>46240</v>
      </c>
      <c r="O289" s="31">
        <f t="shared" ref="O289:O290" si="82">O288+1</f>
        <v>10869</v>
      </c>
      <c r="P289" s="32">
        <f>650*108+622*30+229*2</f>
        <v>89318</v>
      </c>
      <c r="Q289" s="32">
        <f>-138*6</f>
        <v>-828</v>
      </c>
      <c r="R289" s="32"/>
      <c r="S289" s="32">
        <f t="shared" si="78"/>
        <v>88490</v>
      </c>
      <c r="T289" s="12"/>
      <c r="U289" s="12">
        <f>1.5*48</f>
        <v>72</v>
      </c>
      <c r="V289" s="12"/>
      <c r="W289" s="12">
        <f t="shared" si="79"/>
        <v>88562</v>
      </c>
      <c r="Y289" s="10">
        <v>3</v>
      </c>
      <c r="Z289" s="30">
        <v>46240</v>
      </c>
      <c r="AA289" s="31">
        <f t="shared" ref="AA289:AA291" si="83">AA288+1</f>
        <v>10910</v>
      </c>
      <c r="AB289" s="33">
        <f>650*45</f>
        <v>29250</v>
      </c>
      <c r="AC289" s="33"/>
      <c r="AD289" s="32"/>
      <c r="AE289" s="32">
        <f t="shared" si="80"/>
        <v>29250</v>
      </c>
      <c r="AF289" s="12"/>
      <c r="AG289" s="12"/>
      <c r="AH289" s="12">
        <f>-111*16</f>
        <v>-1776</v>
      </c>
      <c r="AI289" s="12">
        <f t="shared" si="81"/>
        <v>27474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M290" s="10">
        <v>4</v>
      </c>
      <c r="N290" s="30">
        <v>46240</v>
      </c>
      <c r="O290" s="31">
        <f t="shared" si="82"/>
        <v>10870</v>
      </c>
      <c r="P290" s="32">
        <f>650*324+670*4+229*13</f>
        <v>216257</v>
      </c>
      <c r="Q290" s="32">
        <f>-328*6</f>
        <v>-1968</v>
      </c>
      <c r="R290" s="32"/>
      <c r="S290" s="32">
        <f t="shared" si="78"/>
        <v>214289</v>
      </c>
      <c r="T290" s="12"/>
      <c r="U290" s="12">
        <f>78*12</f>
        <v>936</v>
      </c>
      <c r="V290" s="12">
        <f>-42*15</f>
        <v>-630</v>
      </c>
      <c r="W290" s="12">
        <f t="shared" si="79"/>
        <v>214595</v>
      </c>
      <c r="Y290" s="10">
        <v>4</v>
      </c>
      <c r="Z290" s="30">
        <v>46240</v>
      </c>
      <c r="AA290" s="31">
        <f t="shared" si="83"/>
        <v>10911</v>
      </c>
      <c r="AB290" s="32">
        <f>650*50+229</f>
        <v>32729</v>
      </c>
      <c r="AC290" s="32">
        <f>-50*6</f>
        <v>-300</v>
      </c>
      <c r="AD290" s="32"/>
      <c r="AE290" s="32">
        <f t="shared" si="80"/>
        <v>32429</v>
      </c>
      <c r="AF290" s="12"/>
      <c r="AH290" s="12"/>
      <c r="AI290" s="12">
        <f t="shared" si="81"/>
        <v>32429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M291" s="10">
        <v>5</v>
      </c>
      <c r="N291" s="30"/>
      <c r="O291" s="11" t="s">
        <v>27</v>
      </c>
      <c r="P291" s="32"/>
      <c r="Q291" s="32"/>
      <c r="R291" s="32"/>
      <c r="S291" s="32">
        <f t="shared" si="78"/>
        <v>0</v>
      </c>
      <c r="T291" s="12"/>
      <c r="U291" s="12"/>
      <c r="V291" s="12"/>
      <c r="W291" s="12">
        <f t="shared" si="79"/>
        <v>0</v>
      </c>
      <c r="Y291" s="10">
        <v>5</v>
      </c>
      <c r="Z291" s="30">
        <v>46240</v>
      </c>
      <c r="AA291" s="31">
        <f t="shared" si="83"/>
        <v>10912</v>
      </c>
      <c r="AB291" s="32">
        <f>650*40+229</f>
        <v>26229</v>
      </c>
      <c r="AC291" s="32"/>
      <c r="AD291" s="32"/>
      <c r="AE291" s="32">
        <f t="shared" ref="AE291:AE319" si="84">SUM(AB291:AC291)</f>
        <v>26229</v>
      </c>
      <c r="AF291" s="12"/>
      <c r="AG291" s="12"/>
      <c r="AH291" s="12"/>
      <c r="AI291" s="12">
        <f t="shared" si="81"/>
        <v>26229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M292" s="10">
        <v>6</v>
      </c>
      <c r="N292" s="30"/>
      <c r="O292" s="31"/>
      <c r="P292" s="32"/>
      <c r="Q292" s="32"/>
      <c r="R292" s="32"/>
      <c r="S292" s="32">
        <f t="shared" si="78"/>
        <v>0</v>
      </c>
      <c r="T292" s="12"/>
      <c r="U292" s="12"/>
      <c r="V292" s="10"/>
      <c r="W292" s="12">
        <f t="shared" si="79"/>
        <v>0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84"/>
        <v>0</v>
      </c>
      <c r="AF292" s="12"/>
      <c r="AG292" s="12"/>
      <c r="AH292" s="10"/>
      <c r="AI292" s="12">
        <f t="shared" si="81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M293" s="10">
        <v>7</v>
      </c>
      <c r="N293" s="30"/>
      <c r="O293" s="31"/>
      <c r="P293" s="32"/>
      <c r="Q293" s="32"/>
      <c r="R293" s="32"/>
      <c r="S293" s="32">
        <f t="shared" si="78"/>
        <v>0</v>
      </c>
      <c r="T293" s="12"/>
      <c r="U293" s="12"/>
      <c r="V293" s="12"/>
      <c r="W293" s="12">
        <f t="shared" si="79"/>
        <v>0</v>
      </c>
      <c r="Y293" s="10">
        <v>7</v>
      </c>
      <c r="Z293" s="30"/>
      <c r="AB293" s="32"/>
      <c r="AC293" s="32"/>
      <c r="AD293" s="32"/>
      <c r="AE293" s="32">
        <f t="shared" si="84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M294" s="10">
        <v>8</v>
      </c>
      <c r="N294" s="30"/>
      <c r="O294" s="31"/>
      <c r="P294" s="32"/>
      <c r="Q294" s="32"/>
      <c r="R294" s="32"/>
      <c r="S294" s="32">
        <f t="shared" si="78"/>
        <v>0</v>
      </c>
      <c r="T294" s="12"/>
      <c r="U294" s="12"/>
      <c r="V294" s="12"/>
      <c r="W294" s="12">
        <f t="shared" si="79"/>
        <v>0</v>
      </c>
      <c r="Y294" s="10">
        <v>8</v>
      </c>
      <c r="Z294" s="30"/>
      <c r="AA294" s="31"/>
      <c r="AB294" s="32"/>
      <c r="AC294" s="32"/>
      <c r="AE294" s="32">
        <f t="shared" si="84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M295" s="10">
        <v>9</v>
      </c>
      <c r="N295" s="30"/>
      <c r="O295" s="31"/>
      <c r="P295" s="32"/>
      <c r="Q295" s="32"/>
      <c r="R295" s="32"/>
      <c r="S295" s="32">
        <f t="shared" si="78"/>
        <v>0</v>
      </c>
      <c r="T295" s="12"/>
      <c r="U295" s="12"/>
      <c r="V295" s="12"/>
      <c r="W295" s="12">
        <f t="shared" si="79"/>
        <v>0</v>
      </c>
      <c r="Y295" s="10">
        <v>9</v>
      </c>
      <c r="Z295" s="30"/>
      <c r="AA295" s="31"/>
      <c r="AC295" s="32"/>
      <c r="AD295" s="32"/>
      <c r="AE295" s="32">
        <f t="shared" si="84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M296" s="10">
        <v>10</v>
      </c>
      <c r="N296" s="30"/>
      <c r="P296" s="32"/>
      <c r="Q296" s="32"/>
      <c r="R296" s="32"/>
      <c r="S296" s="32">
        <f t="shared" si="78"/>
        <v>0</v>
      </c>
      <c r="T296" s="12"/>
      <c r="U296" s="12"/>
      <c r="V296" s="12"/>
      <c r="W296" s="12">
        <f t="shared" si="79"/>
        <v>0</v>
      </c>
      <c r="Y296" s="10">
        <v>10</v>
      </c>
      <c r="Z296" s="30"/>
      <c r="AA296" s="31"/>
      <c r="AB296" s="32"/>
      <c r="AC296" s="32"/>
      <c r="AD296" s="32"/>
      <c r="AE296" s="32">
        <f t="shared" si="84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M297" s="10">
        <v>11</v>
      </c>
      <c r="N297" s="30"/>
      <c r="O297" s="11"/>
      <c r="P297" s="32"/>
      <c r="Q297" s="32"/>
      <c r="R297" s="32"/>
      <c r="S297" s="32">
        <f t="shared" si="78"/>
        <v>0</v>
      </c>
      <c r="T297" s="12"/>
      <c r="U297" s="12"/>
      <c r="V297" s="12"/>
      <c r="W297" s="12">
        <f t="shared" si="79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4"/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M298" s="10">
        <v>12</v>
      </c>
      <c r="N298" s="30"/>
      <c r="P298" s="32"/>
      <c r="Q298" s="32"/>
      <c r="R298" s="32"/>
      <c r="S298" s="32">
        <f t="shared" si="78"/>
        <v>0</v>
      </c>
      <c r="T298" s="12"/>
      <c r="U298" s="12"/>
      <c r="V298" s="12"/>
      <c r="W298" s="12">
        <f t="shared" si="79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4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M299" s="10">
        <v>13</v>
      </c>
      <c r="N299" s="30"/>
      <c r="O299" s="31"/>
      <c r="P299" s="32"/>
      <c r="Q299" s="32"/>
      <c r="R299" s="32"/>
      <c r="S299" s="32">
        <f t="shared" si="78"/>
        <v>0</v>
      </c>
      <c r="T299" s="12"/>
      <c r="U299" s="12"/>
      <c r="V299" s="12"/>
      <c r="W299" s="12">
        <f t="shared" si="79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4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M300" s="10">
        <v>14</v>
      </c>
      <c r="N300" s="30"/>
      <c r="O300" s="31"/>
      <c r="P300" s="32"/>
      <c r="Q300" s="32"/>
      <c r="R300" s="32"/>
      <c r="S300" s="32">
        <f t="shared" si="78"/>
        <v>0</v>
      </c>
      <c r="T300" s="12"/>
      <c r="U300" s="12"/>
      <c r="V300" s="12"/>
      <c r="W300" s="12">
        <f t="shared" si="79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4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M301" s="10">
        <v>15</v>
      </c>
      <c r="N301" s="30"/>
      <c r="O301" s="31"/>
      <c r="P301" s="32"/>
      <c r="Q301" s="32"/>
      <c r="R301" s="32"/>
      <c r="S301" s="32">
        <f t="shared" si="78"/>
        <v>0</v>
      </c>
      <c r="T301" s="12"/>
      <c r="U301" s="12"/>
      <c r="V301" s="12"/>
      <c r="W301" s="12">
        <f t="shared" si="79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4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M302" s="10">
        <v>16</v>
      </c>
      <c r="N302" s="30"/>
      <c r="P302" s="32"/>
      <c r="Q302" s="32"/>
      <c r="R302" s="32"/>
      <c r="S302" s="32">
        <f t="shared" si="78"/>
        <v>0</v>
      </c>
      <c r="T302" s="12"/>
      <c r="U302" s="12"/>
      <c r="V302" s="12"/>
      <c r="W302" s="12">
        <f t="shared" si="79"/>
        <v>0</v>
      </c>
      <c r="Y302" s="10">
        <v>16</v>
      </c>
      <c r="Z302" s="30"/>
      <c r="AA302" s="11"/>
      <c r="AB302" s="32"/>
      <c r="AC302" s="32"/>
      <c r="AD302" s="32"/>
      <c r="AE302" s="32">
        <f t="shared" si="84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M303" s="10">
        <v>17</v>
      </c>
      <c r="N303" s="30"/>
      <c r="O303" s="31"/>
      <c r="P303" s="35"/>
      <c r="Q303" s="32"/>
      <c r="R303" s="32"/>
      <c r="S303" s="32">
        <f t="shared" si="78"/>
        <v>0</v>
      </c>
      <c r="T303" s="12"/>
      <c r="U303" s="12"/>
      <c r="V303" s="12"/>
      <c r="W303" s="12">
        <f t="shared" si="79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4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0"/>
      <c r="D304" s="60"/>
      <c r="E304" s="60"/>
      <c r="F304" s="60"/>
      <c r="G304" s="60"/>
      <c r="H304" s="61"/>
      <c r="I304" s="61"/>
      <c r="J304" s="61"/>
      <c r="K304" s="61"/>
      <c r="M304" s="10">
        <v>18</v>
      </c>
      <c r="N304" s="30"/>
      <c r="O304" s="31"/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4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4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M306" s="10">
        <v>20</v>
      </c>
      <c r="N306" s="30"/>
      <c r="O306" s="31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4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4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4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E309" s="32">
        <f t="shared" si="84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4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4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4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4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4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4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4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4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4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4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5">SUM(AB320:AC320)</f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0"/>
      <c r="D323" s="60"/>
      <c r="E323" s="60"/>
      <c r="F323" s="60"/>
      <c r="G323" s="60"/>
      <c r="H323" s="62"/>
      <c r="I323" s="62"/>
      <c r="J323" s="62"/>
      <c r="K323" s="61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0"/>
      <c r="D324" s="60"/>
      <c r="E324" s="60"/>
      <c r="F324" s="60"/>
      <c r="G324" s="60"/>
      <c r="H324" s="62"/>
      <c r="I324" s="62"/>
      <c r="J324" s="62"/>
      <c r="K324" s="61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0"/>
      <c r="D325" s="60"/>
      <c r="E325" s="60"/>
      <c r="F325" s="60"/>
      <c r="G325" s="60"/>
      <c r="H325" s="62"/>
      <c r="I325" s="62"/>
      <c r="J325" s="62"/>
      <c r="K325" s="61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0"/>
      <c r="D326" s="60"/>
      <c r="E326" s="60"/>
      <c r="F326" s="60"/>
      <c r="G326" s="60"/>
      <c r="H326" s="62"/>
      <c r="I326" s="62"/>
      <c r="J326" s="62"/>
      <c r="K326" s="61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0"/>
      <c r="D327" s="60"/>
      <c r="E327" s="60"/>
      <c r="F327" s="60"/>
      <c r="G327" s="60"/>
      <c r="H327" s="62"/>
      <c r="I327" s="62"/>
      <c r="J327" s="62"/>
      <c r="K327" s="61"/>
      <c r="M327" s="10"/>
      <c r="N327" s="30"/>
      <c r="O327" s="31"/>
      <c r="P327" s="47"/>
      <c r="Q327" s="31"/>
      <c r="R327" s="31"/>
      <c r="S327" s="32">
        <f t="shared" ref="S327" si="86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7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0"/>
      <c r="C329" s="90"/>
      <c r="D329" s="90"/>
      <c r="E329" s="90"/>
      <c r="F329" s="90"/>
      <c r="G329" s="90"/>
      <c r="H329" s="62"/>
      <c r="I329" s="62"/>
      <c r="J329" s="62"/>
      <c r="K329" s="62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0"/>
      <c r="C330" s="90"/>
      <c r="D330" s="70"/>
      <c r="E330" s="70"/>
      <c r="F330" s="70"/>
      <c r="G330" s="70"/>
      <c r="H330" s="63"/>
      <c r="I330" s="70"/>
      <c r="J330" s="70"/>
      <c r="K330" s="70"/>
      <c r="N330" s="57"/>
      <c r="O330" s="57"/>
      <c r="P330" s="38">
        <f>SUM(P287:P329)</f>
        <v>323041</v>
      </c>
      <c r="Q330" s="38">
        <f>SUM(Q287:Q311)</f>
        <v>-2832</v>
      </c>
      <c r="R330" s="38">
        <f>SUM(R287:R311)</f>
        <v>0</v>
      </c>
      <c r="S330" s="38">
        <f>SUM(S287:S329)</f>
        <v>320209</v>
      </c>
      <c r="T330" s="4"/>
      <c r="U330" s="41">
        <f>SUM(U287:U329)</f>
        <v>1008</v>
      </c>
      <c r="V330" s="41">
        <f>SUM(V287:V311)</f>
        <v>-1296</v>
      </c>
      <c r="W330" s="42">
        <f>SUM(W287:W329)</f>
        <v>319921</v>
      </c>
      <c r="Z330" s="57"/>
      <c r="AA330" s="57"/>
      <c r="AB330" s="38">
        <f>SUM(AB287:AB329)</f>
        <v>326081</v>
      </c>
      <c r="AC330" s="38">
        <f>SUM(AC287:AC311)</f>
        <v>-2478</v>
      </c>
      <c r="AD330" s="38">
        <f>SUM(AD287:AD311)</f>
        <v>0</v>
      </c>
      <c r="AE330" s="38">
        <f>SUM(AE287:AE329)</f>
        <v>323603</v>
      </c>
      <c r="AF330" s="4"/>
      <c r="AG330" s="41">
        <f>SUM(AG287:AG329)</f>
        <v>7626</v>
      </c>
      <c r="AH330" s="41">
        <f>SUM(AH287:AH311)</f>
        <v>-8547</v>
      </c>
      <c r="AI330" s="42">
        <f>SUM(AI287:AI329)</f>
        <v>322682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41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41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41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57</v>
      </c>
      <c r="B338" s="20"/>
      <c r="C338" s="57"/>
      <c r="D338" s="57"/>
      <c r="E338" s="57"/>
      <c r="G338" s="57"/>
      <c r="I338" s="22" t="s">
        <v>16</v>
      </c>
      <c r="J338" s="23" t="s">
        <v>43</v>
      </c>
      <c r="K338" s="24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55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4" t="s">
        <v>17</v>
      </c>
      <c r="E340" s="114"/>
      <c r="F340" s="99"/>
      <c r="G340" s="27"/>
      <c r="I340" s="112" t="s">
        <v>18</v>
      </c>
      <c r="J340" s="113"/>
      <c r="K340" s="116" t="s">
        <v>19</v>
      </c>
      <c r="N340" s="25"/>
      <c r="O340" s="26"/>
      <c r="P340" s="114" t="s">
        <v>17</v>
      </c>
      <c r="Q340" s="114"/>
      <c r="R340" s="99"/>
      <c r="S340" s="27"/>
      <c r="U340" s="112" t="s">
        <v>18</v>
      </c>
      <c r="V340" s="113"/>
      <c r="W340" s="116" t="s">
        <v>19</v>
      </c>
      <c r="Z340" s="25"/>
      <c r="AA340" s="26"/>
      <c r="AB340" s="114" t="s">
        <v>17</v>
      </c>
      <c r="AC340" s="114"/>
      <c r="AD340" s="99"/>
      <c r="AE340" s="27"/>
      <c r="AG340" s="112" t="s">
        <v>18</v>
      </c>
      <c r="AH340" s="113"/>
      <c r="AI340" s="116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17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17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17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46271</v>
      </c>
      <c r="C342" s="83">
        <v>10913</v>
      </c>
      <c r="D342" s="32">
        <f>650*10+670*2+95</f>
        <v>7935</v>
      </c>
      <c r="E342" s="32"/>
      <c r="F342" s="32"/>
      <c r="G342" s="32">
        <f t="shared" ref="G342:G375" si="88">SUM(D342:E342)</f>
        <v>7935</v>
      </c>
      <c r="H342" s="12"/>
      <c r="I342" s="12"/>
      <c r="J342" s="12"/>
      <c r="K342" s="12">
        <f t="shared" ref="K342:K375" si="89">SUM(G342:J342)</f>
        <v>7935</v>
      </c>
      <c r="M342" s="10">
        <v>1</v>
      </c>
      <c r="N342" s="30">
        <v>46271</v>
      </c>
      <c r="O342" s="31">
        <v>10871</v>
      </c>
      <c r="P342" s="32">
        <f>650*5+670</f>
        <v>3920</v>
      </c>
      <c r="Q342" s="32"/>
      <c r="R342" s="32"/>
      <c r="S342" s="32">
        <f>SUM(P342:Q342)</f>
        <v>3920</v>
      </c>
      <c r="T342" s="12"/>
      <c r="U342" s="12"/>
      <c r="V342" s="12">
        <v>-666</v>
      </c>
      <c r="W342" s="12">
        <f>SUM(S342:V342)</f>
        <v>3254</v>
      </c>
      <c r="Y342" s="10">
        <v>1</v>
      </c>
      <c r="Z342" s="30">
        <v>46271</v>
      </c>
      <c r="AA342" s="31">
        <v>10951</v>
      </c>
      <c r="AB342" s="32">
        <f>650*16+670*2+229</f>
        <v>11969</v>
      </c>
      <c r="AC342" s="32"/>
      <c r="AD342" s="32"/>
      <c r="AE342" s="32">
        <f>SUM(AB342:AC342)</f>
        <v>11969</v>
      </c>
      <c r="AF342" s="12"/>
      <c r="AG342" s="12"/>
      <c r="AH342" s="12"/>
      <c r="AI342" s="12">
        <f>SUM(AE342:AH342)</f>
        <v>11969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46271</v>
      </c>
      <c r="C343" s="83">
        <f>C342+1</f>
        <v>10914</v>
      </c>
      <c r="D343" s="32">
        <f>650*17+670*3+622*2</f>
        <v>14304</v>
      </c>
      <c r="E343" s="32"/>
      <c r="F343" s="32"/>
      <c r="G343" s="32">
        <f t="shared" si="88"/>
        <v>14304</v>
      </c>
      <c r="H343" s="12"/>
      <c r="I343" s="12"/>
      <c r="J343" s="12"/>
      <c r="K343" s="12">
        <f t="shared" si="89"/>
        <v>14304</v>
      </c>
      <c r="M343" s="10">
        <v>2</v>
      </c>
      <c r="N343" s="30">
        <v>46271</v>
      </c>
      <c r="O343" s="31">
        <f>O342+1</f>
        <v>10872</v>
      </c>
      <c r="P343" s="32">
        <f>650*3+670</f>
        <v>2620</v>
      </c>
      <c r="Q343" s="32"/>
      <c r="R343" s="32"/>
      <c r="S343" s="32">
        <f t="shared" ref="S343:S380" si="90">SUM(P343:Q343)</f>
        <v>2620</v>
      </c>
      <c r="T343" s="12"/>
      <c r="U343" s="12"/>
      <c r="V343" s="12"/>
      <c r="W343" s="12">
        <f t="shared" ref="W343:W383" si="91">SUM(S343:V343)</f>
        <v>2620</v>
      </c>
      <c r="Y343" s="10">
        <v>2</v>
      </c>
      <c r="Z343" s="30">
        <v>46271</v>
      </c>
      <c r="AA343" s="31">
        <f>AA342+1</f>
        <v>10952</v>
      </c>
      <c r="AB343" s="32">
        <f>650*15+973</f>
        <v>10723</v>
      </c>
      <c r="AC343" s="32"/>
      <c r="AD343" s="32"/>
      <c r="AE343" s="32">
        <f t="shared" ref="AE343:AE345" si="92">SUM(AB343:AC343)</f>
        <v>10723</v>
      </c>
      <c r="AF343" s="12"/>
      <c r="AG343" s="12"/>
      <c r="AH343" s="12"/>
      <c r="AI343" s="12">
        <f t="shared" ref="AI343:AI383" si="93">SUM(AE343:AH343)</f>
        <v>10723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46271</v>
      </c>
      <c r="C344" s="83">
        <f t="shared" ref="C344:C353" si="94">C343+1</f>
        <v>10915</v>
      </c>
      <c r="D344" s="33">
        <f>650*35+229</f>
        <v>22979</v>
      </c>
      <c r="E344" s="33"/>
      <c r="F344" s="33"/>
      <c r="G344" s="33">
        <f t="shared" si="88"/>
        <v>22979</v>
      </c>
      <c r="H344" s="34"/>
      <c r="I344" s="34"/>
      <c r="J344" s="34"/>
      <c r="K344" s="34">
        <f t="shared" si="89"/>
        <v>22979</v>
      </c>
      <c r="M344" s="10">
        <v>3</v>
      </c>
      <c r="N344" s="30">
        <v>46271</v>
      </c>
      <c r="O344" s="31">
        <f t="shared" ref="O344:O346" si="95">O343+1</f>
        <v>10873</v>
      </c>
      <c r="P344" s="32">
        <f>650*13+622*10+872</f>
        <v>15542</v>
      </c>
      <c r="Q344" s="32"/>
      <c r="R344" s="32"/>
      <c r="S344" s="32">
        <f t="shared" si="90"/>
        <v>15542</v>
      </c>
      <c r="T344" s="12"/>
      <c r="U344" s="12">
        <f>117+36</f>
        <v>153</v>
      </c>
      <c r="V344" s="12"/>
      <c r="W344" s="12">
        <f t="shared" si="91"/>
        <v>15695</v>
      </c>
      <c r="Y344" s="10">
        <v>3</v>
      </c>
      <c r="Z344" s="30">
        <v>46271</v>
      </c>
      <c r="AA344" s="31">
        <f t="shared" ref="AA344:AA346" si="96">AA343+1</f>
        <v>10953</v>
      </c>
      <c r="AB344" s="33">
        <f>650*201+670*25+622*108+912*5+872*9+229*13</f>
        <v>229961</v>
      </c>
      <c r="AC344" s="33">
        <f>-348*6</f>
        <v>-2088</v>
      </c>
      <c r="AD344" s="32"/>
      <c r="AE344" s="32">
        <f t="shared" si="92"/>
        <v>227873</v>
      </c>
      <c r="AF344" s="12"/>
      <c r="AG344" s="12">
        <f>120*3+111*35+111*8+1.5*72</f>
        <v>5241</v>
      </c>
      <c r="AH344" s="12"/>
      <c r="AI344" s="12">
        <f t="shared" si="93"/>
        <v>233114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46271</v>
      </c>
      <c r="C345" s="83">
        <f t="shared" si="94"/>
        <v>10916</v>
      </c>
      <c r="D345" s="32">
        <f>650*25+622*5</f>
        <v>19360</v>
      </c>
      <c r="E345" s="32"/>
      <c r="F345" s="32"/>
      <c r="G345" s="32">
        <f t="shared" si="88"/>
        <v>19360</v>
      </c>
      <c r="H345" s="12"/>
      <c r="I345" s="12"/>
      <c r="J345" s="12"/>
      <c r="K345" s="12">
        <f t="shared" si="89"/>
        <v>19360</v>
      </c>
      <c r="M345" s="10">
        <v>4</v>
      </c>
      <c r="N345" s="30">
        <v>46271</v>
      </c>
      <c r="O345" s="31">
        <f t="shared" si="95"/>
        <v>10874</v>
      </c>
      <c r="P345" s="32">
        <f>650*300+622*40+912*5+229*12+650*3</f>
        <v>229138</v>
      </c>
      <c r="Q345" s="32">
        <f>-345*6</f>
        <v>-2070</v>
      </c>
      <c r="R345" s="32"/>
      <c r="S345" s="32">
        <f t="shared" si="90"/>
        <v>227068</v>
      </c>
      <c r="T345" s="12"/>
      <c r="U345" s="12"/>
      <c r="V345" s="12">
        <f>-120*4+-14*111+-84*2</f>
        <v>-2202</v>
      </c>
      <c r="W345" s="12">
        <f t="shared" si="91"/>
        <v>224866</v>
      </c>
      <c r="Y345" s="10">
        <v>4</v>
      </c>
      <c r="Z345" s="30">
        <v>46271</v>
      </c>
      <c r="AA345" s="31">
        <f t="shared" si="96"/>
        <v>10954</v>
      </c>
      <c r="AB345" s="32">
        <f>650*200+229*5</f>
        <v>131145</v>
      </c>
      <c r="AC345" s="32">
        <f>-200*6</f>
        <v>-1200</v>
      </c>
      <c r="AD345" s="32"/>
      <c r="AE345" s="32">
        <f t="shared" si="92"/>
        <v>129945</v>
      </c>
      <c r="AF345" s="12"/>
      <c r="AH345" s="12"/>
      <c r="AI345" s="12">
        <f t="shared" si="93"/>
        <v>129945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46271</v>
      </c>
      <c r="C346" s="83">
        <f t="shared" si="94"/>
        <v>10917</v>
      </c>
      <c r="D346" s="32">
        <f>650*25+670*3+622*2+872+872</f>
        <v>21248</v>
      </c>
      <c r="E346" s="32"/>
      <c r="F346" s="32"/>
      <c r="G346" s="32">
        <f t="shared" si="88"/>
        <v>21248</v>
      </c>
      <c r="H346" s="12"/>
      <c r="I346" s="12">
        <v>189</v>
      </c>
      <c r="J346" s="12"/>
      <c r="K346" s="12">
        <f t="shared" si="89"/>
        <v>21437</v>
      </c>
      <c r="M346" s="10">
        <v>5</v>
      </c>
      <c r="N346" s="30">
        <v>46271</v>
      </c>
      <c r="O346" s="31">
        <f t="shared" si="95"/>
        <v>10875</v>
      </c>
      <c r="P346" s="32">
        <f>650*2+670</f>
        <v>1970</v>
      </c>
      <c r="Q346" s="32"/>
      <c r="R346" s="32"/>
      <c r="S346" s="32">
        <f t="shared" si="90"/>
        <v>1970</v>
      </c>
      <c r="T346" s="12"/>
      <c r="U346" s="12"/>
      <c r="V346" s="12"/>
      <c r="W346" s="12">
        <f t="shared" si="91"/>
        <v>1970</v>
      </c>
      <c r="Y346" s="10">
        <v>5</v>
      </c>
      <c r="Z346" s="30">
        <v>46271</v>
      </c>
      <c r="AA346" s="31">
        <f t="shared" si="96"/>
        <v>10955</v>
      </c>
      <c r="AB346" s="32">
        <f>650*58</f>
        <v>37700</v>
      </c>
      <c r="AC346" s="32"/>
      <c r="AD346" s="32"/>
      <c r="AE346" s="32">
        <f t="shared" ref="AE346:AE374" si="97">SUM(AB346:AC346)</f>
        <v>37700</v>
      </c>
      <c r="AF346" s="12"/>
      <c r="AG346" s="12"/>
      <c r="AH346" s="12"/>
      <c r="AI346" s="12">
        <f t="shared" si="93"/>
        <v>37700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46271</v>
      </c>
      <c r="C347" s="83">
        <f t="shared" si="94"/>
        <v>10918</v>
      </c>
      <c r="D347" s="32">
        <f>650*10+9.5*10</f>
        <v>6595</v>
      </c>
      <c r="E347" s="32"/>
      <c r="F347" s="32"/>
      <c r="G347" s="32">
        <f t="shared" si="88"/>
        <v>6595</v>
      </c>
      <c r="H347" s="12"/>
      <c r="I347" s="12">
        <f>84*3</f>
        <v>252</v>
      </c>
      <c r="J347" s="12"/>
      <c r="K347" s="12">
        <f t="shared" si="89"/>
        <v>6847</v>
      </c>
      <c r="M347" s="10">
        <v>6</v>
      </c>
      <c r="N347" s="30"/>
      <c r="O347" s="11" t="s">
        <v>27</v>
      </c>
      <c r="P347" s="32"/>
      <c r="Q347" s="32"/>
      <c r="R347" s="32"/>
      <c r="S347" s="32">
        <f t="shared" si="90"/>
        <v>0</v>
      </c>
      <c r="T347" s="12"/>
      <c r="U347" s="12"/>
      <c r="V347" s="10"/>
      <c r="W347" s="12">
        <f t="shared" si="91"/>
        <v>0</v>
      </c>
      <c r="Y347" s="10">
        <v>6</v>
      </c>
      <c r="Z347" s="30"/>
      <c r="AA347" s="11" t="s">
        <v>27</v>
      </c>
      <c r="AB347" s="32"/>
      <c r="AC347" s="32"/>
      <c r="AD347" s="32"/>
      <c r="AE347" s="32">
        <f t="shared" si="97"/>
        <v>0</v>
      </c>
      <c r="AF347" s="12"/>
      <c r="AG347" s="12"/>
      <c r="AH347" s="10"/>
      <c r="AI347" s="12">
        <f t="shared" si="93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46271</v>
      </c>
      <c r="C348" s="83">
        <f t="shared" si="94"/>
        <v>10919</v>
      </c>
      <c r="D348" s="32">
        <f>650*170+622*11+650*4</f>
        <v>119942</v>
      </c>
      <c r="E348" s="32"/>
      <c r="F348" s="32"/>
      <c r="G348" s="32">
        <f t="shared" si="88"/>
        <v>119942</v>
      </c>
      <c r="H348" s="12"/>
      <c r="I348" s="12">
        <f>111*49</f>
        <v>5439</v>
      </c>
      <c r="J348" s="12"/>
      <c r="K348" s="12">
        <f t="shared" si="89"/>
        <v>125381</v>
      </c>
      <c r="M348" s="10">
        <v>7</v>
      </c>
      <c r="N348" s="30"/>
      <c r="O348" s="31"/>
      <c r="P348" s="32"/>
      <c r="Q348" s="32"/>
      <c r="R348" s="32"/>
      <c r="S348" s="32">
        <f t="shared" si="90"/>
        <v>0</v>
      </c>
      <c r="T348" s="12"/>
      <c r="U348" s="12"/>
      <c r="V348" s="12"/>
      <c r="W348" s="12">
        <f t="shared" si="91"/>
        <v>0</v>
      </c>
      <c r="Y348" s="10">
        <v>7</v>
      </c>
      <c r="Z348" s="30"/>
      <c r="AB348" s="32"/>
      <c r="AC348" s="32"/>
      <c r="AD348" s="32"/>
      <c r="AE348" s="32">
        <f t="shared" si="97"/>
        <v>0</v>
      </c>
      <c r="AF348" s="12"/>
      <c r="AG348" s="58"/>
      <c r="AH348" s="12"/>
      <c r="AI348" s="12">
        <f t="shared" si="93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46271</v>
      </c>
      <c r="C349" s="83">
        <f t="shared" si="94"/>
        <v>10920</v>
      </c>
      <c r="D349" s="32">
        <f>650*19</f>
        <v>12350</v>
      </c>
      <c r="E349" s="32"/>
      <c r="F349" s="32"/>
      <c r="G349" s="32">
        <f t="shared" si="88"/>
        <v>12350</v>
      </c>
      <c r="H349" s="12"/>
      <c r="I349" s="12"/>
      <c r="J349" s="12"/>
      <c r="K349" s="12">
        <f t="shared" si="89"/>
        <v>12350</v>
      </c>
      <c r="M349" s="10">
        <v>8</v>
      </c>
      <c r="N349" s="30"/>
      <c r="O349" s="31"/>
      <c r="P349" s="32"/>
      <c r="Q349" s="32"/>
      <c r="R349" s="32"/>
      <c r="S349" s="32">
        <f t="shared" si="90"/>
        <v>0</v>
      </c>
      <c r="T349" s="12"/>
      <c r="U349" s="12"/>
      <c r="V349" s="12"/>
      <c r="W349" s="12">
        <f t="shared" si="91"/>
        <v>0</v>
      </c>
      <c r="Y349" s="10">
        <v>8</v>
      </c>
      <c r="Z349" s="30"/>
      <c r="AA349" s="31"/>
      <c r="AB349" s="32"/>
      <c r="AC349" s="32"/>
      <c r="AE349" s="32">
        <f t="shared" si="97"/>
        <v>0</v>
      </c>
      <c r="AF349" s="12"/>
      <c r="AG349" s="12"/>
      <c r="AH349" s="12"/>
      <c r="AI349" s="12">
        <f t="shared" si="93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46271</v>
      </c>
      <c r="C350" s="83">
        <f t="shared" si="94"/>
        <v>10921</v>
      </c>
      <c r="D350" s="32">
        <f>650*8</f>
        <v>5200</v>
      </c>
      <c r="E350" s="32"/>
      <c r="F350" s="32"/>
      <c r="G350" s="32">
        <f t="shared" si="88"/>
        <v>5200</v>
      </c>
      <c r="H350" s="12"/>
      <c r="I350" s="12"/>
      <c r="J350" s="12"/>
      <c r="K350" s="12">
        <f t="shared" si="89"/>
        <v>5200</v>
      </c>
      <c r="M350" s="10">
        <v>9</v>
      </c>
      <c r="N350" s="30"/>
      <c r="O350" s="31"/>
      <c r="P350" s="32"/>
      <c r="Q350" s="32"/>
      <c r="R350" s="32"/>
      <c r="S350" s="32">
        <f t="shared" si="90"/>
        <v>0</v>
      </c>
      <c r="T350" s="12"/>
      <c r="U350" s="12"/>
      <c r="V350" s="12"/>
      <c r="W350" s="12">
        <f t="shared" si="91"/>
        <v>0</v>
      </c>
      <c r="Y350" s="10">
        <v>9</v>
      </c>
      <c r="Z350" s="30"/>
      <c r="AA350" s="31"/>
      <c r="AC350" s="32"/>
      <c r="AD350" s="32"/>
      <c r="AE350" s="32">
        <f t="shared" si="97"/>
        <v>0</v>
      </c>
      <c r="AF350" s="12"/>
      <c r="AH350" s="12"/>
      <c r="AI350" s="12">
        <f t="shared" si="93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46271</v>
      </c>
      <c r="C351" s="83">
        <f t="shared" si="94"/>
        <v>10922</v>
      </c>
      <c r="D351" s="32">
        <f>650*7+9.5*7</f>
        <v>4616.5</v>
      </c>
      <c r="E351" s="32"/>
      <c r="F351" s="32"/>
      <c r="G351" s="32">
        <f t="shared" si="88"/>
        <v>4616.5</v>
      </c>
      <c r="H351" s="12"/>
      <c r="I351" s="12"/>
      <c r="J351" s="12"/>
      <c r="K351" s="12">
        <f t="shared" si="89"/>
        <v>4616.5</v>
      </c>
      <c r="M351" s="10">
        <v>10</v>
      </c>
      <c r="N351" s="30"/>
      <c r="O351" s="31"/>
      <c r="P351" s="32"/>
      <c r="Q351" s="32"/>
      <c r="R351" s="32"/>
      <c r="S351" s="32">
        <f t="shared" si="90"/>
        <v>0</v>
      </c>
      <c r="T351" s="12"/>
      <c r="U351" s="12"/>
      <c r="V351" s="12"/>
      <c r="W351" s="12">
        <f t="shared" si="9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97"/>
        <v>0</v>
      </c>
      <c r="AF351" s="12"/>
      <c r="AG351" s="12"/>
      <c r="AH351" s="12"/>
      <c r="AI351" s="12">
        <f t="shared" si="93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46271</v>
      </c>
      <c r="C352" s="83">
        <f t="shared" si="94"/>
        <v>10923</v>
      </c>
      <c r="D352" s="32">
        <f>650*10+670</f>
        <v>7170</v>
      </c>
      <c r="E352" s="32"/>
      <c r="F352" s="32"/>
      <c r="G352" s="32">
        <f t="shared" si="88"/>
        <v>7170</v>
      </c>
      <c r="H352" s="12"/>
      <c r="I352" s="12"/>
      <c r="J352" s="12"/>
      <c r="K352" s="12">
        <f t="shared" si="89"/>
        <v>7170</v>
      </c>
      <c r="M352" s="10">
        <v>11</v>
      </c>
      <c r="N352" s="30"/>
      <c r="O352" s="11"/>
      <c r="P352" s="32"/>
      <c r="Q352" s="32"/>
      <c r="R352" s="32"/>
      <c r="S352" s="32">
        <f t="shared" si="90"/>
        <v>0</v>
      </c>
      <c r="T352" s="12"/>
      <c r="U352" s="12"/>
      <c r="V352" s="12"/>
      <c r="W352" s="12">
        <f t="shared" si="91"/>
        <v>0</v>
      </c>
      <c r="Y352" s="10">
        <v>11</v>
      </c>
      <c r="Z352" s="30"/>
      <c r="AA352" s="31"/>
      <c r="AB352" s="32"/>
      <c r="AC352" s="32"/>
      <c r="AD352" s="32"/>
      <c r="AE352" s="32">
        <f t="shared" si="97"/>
        <v>0</v>
      </c>
      <c r="AF352" s="12"/>
      <c r="AG352" s="12"/>
      <c r="AH352" s="12"/>
      <c r="AI352" s="12">
        <f t="shared" si="93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46271</v>
      </c>
      <c r="C353" s="83">
        <f t="shared" si="94"/>
        <v>10924</v>
      </c>
      <c r="D353" s="32">
        <f>650*3</f>
        <v>1950</v>
      </c>
      <c r="E353" s="32"/>
      <c r="F353" s="32"/>
      <c r="G353" s="32">
        <f t="shared" si="88"/>
        <v>1950</v>
      </c>
      <c r="H353" s="12"/>
      <c r="I353" s="12"/>
      <c r="J353" s="10"/>
      <c r="K353" s="12">
        <f t="shared" si="89"/>
        <v>1950</v>
      </c>
      <c r="M353" s="10">
        <v>12</v>
      </c>
      <c r="N353" s="30"/>
      <c r="P353" s="32"/>
      <c r="Q353" s="32"/>
      <c r="R353" s="32"/>
      <c r="S353" s="32">
        <f t="shared" si="90"/>
        <v>0</v>
      </c>
      <c r="T353" s="12"/>
      <c r="U353" s="12"/>
      <c r="V353" s="12"/>
      <c r="W353" s="12">
        <f t="shared" si="9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3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11" t="s">
        <v>27</v>
      </c>
      <c r="D354" s="32"/>
      <c r="E354" s="32"/>
      <c r="F354" s="32"/>
      <c r="G354" s="32">
        <f t="shared" si="88"/>
        <v>0</v>
      </c>
      <c r="H354" s="12"/>
      <c r="I354" s="12"/>
      <c r="J354" s="12"/>
      <c r="K354" s="12">
        <f t="shared" si="89"/>
        <v>0</v>
      </c>
      <c r="M354" s="10">
        <v>13</v>
      </c>
      <c r="N354" s="30"/>
      <c r="O354" s="31"/>
      <c r="P354" s="32"/>
      <c r="Q354" s="32"/>
      <c r="R354" s="32"/>
      <c r="S354" s="32">
        <f t="shared" si="90"/>
        <v>0</v>
      </c>
      <c r="T354" s="12"/>
      <c r="U354" s="12"/>
      <c r="V354" s="12"/>
      <c r="W354" s="12">
        <f t="shared" si="9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3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88"/>
        <v>0</v>
      </c>
      <c r="H355" s="12"/>
      <c r="I355" s="12"/>
      <c r="J355" s="12"/>
      <c r="K355" s="12">
        <f t="shared" si="89"/>
        <v>0</v>
      </c>
      <c r="M355" s="10">
        <v>14</v>
      </c>
      <c r="N355" s="30"/>
      <c r="O355" s="31"/>
      <c r="P355" s="32"/>
      <c r="Q355" s="32"/>
      <c r="R355" s="32"/>
      <c r="S355" s="32">
        <f t="shared" si="90"/>
        <v>0</v>
      </c>
      <c r="T355" s="12"/>
      <c r="U355" s="12"/>
      <c r="V355" s="12"/>
      <c r="W355" s="12">
        <f t="shared" si="9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3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88"/>
        <v>0</v>
      </c>
      <c r="H356" s="12"/>
      <c r="I356" s="12"/>
      <c r="J356" s="12"/>
      <c r="K356" s="12">
        <f t="shared" si="89"/>
        <v>0</v>
      </c>
      <c r="M356" s="10">
        <v>15</v>
      </c>
      <c r="N356" s="30"/>
      <c r="O356" s="31"/>
      <c r="P356" s="32"/>
      <c r="Q356" s="32"/>
      <c r="R356" s="32"/>
      <c r="S356" s="32">
        <f t="shared" si="90"/>
        <v>0</v>
      </c>
      <c r="T356" s="12"/>
      <c r="U356" s="12"/>
      <c r="V356" s="12"/>
      <c r="W356" s="12">
        <f t="shared" si="9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3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11"/>
      <c r="D357" s="32"/>
      <c r="E357" s="32"/>
      <c r="F357" s="32"/>
      <c r="G357" s="32">
        <f t="shared" si="88"/>
        <v>0</v>
      </c>
      <c r="H357" s="12"/>
      <c r="I357" s="12"/>
      <c r="J357" s="12"/>
      <c r="K357" s="12">
        <f t="shared" si="89"/>
        <v>0</v>
      </c>
      <c r="M357" s="10">
        <v>16</v>
      </c>
      <c r="N357" s="30"/>
      <c r="P357" s="32"/>
      <c r="Q357" s="32"/>
      <c r="R357" s="32"/>
      <c r="S357" s="32">
        <f t="shared" si="90"/>
        <v>0</v>
      </c>
      <c r="T357" s="12"/>
      <c r="U357" s="12"/>
      <c r="V357" s="12"/>
      <c r="W357" s="12">
        <f t="shared" si="91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3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88"/>
        <v>0</v>
      </c>
      <c r="H358" s="12"/>
      <c r="I358" s="12"/>
      <c r="J358" s="12"/>
      <c r="K358" s="12">
        <f t="shared" si="89"/>
        <v>0</v>
      </c>
      <c r="M358" s="10">
        <v>17</v>
      </c>
      <c r="N358" s="30"/>
      <c r="O358" s="31"/>
      <c r="P358" s="35"/>
      <c r="Q358" s="32"/>
      <c r="R358" s="32"/>
      <c r="S358" s="32">
        <f t="shared" si="90"/>
        <v>0</v>
      </c>
      <c r="T358" s="12"/>
      <c r="U358" s="12"/>
      <c r="V358" s="12"/>
      <c r="W358" s="12">
        <f t="shared" si="9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3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88"/>
        <v>0</v>
      </c>
      <c r="H359" s="12"/>
      <c r="I359" s="12"/>
      <c r="J359" s="12"/>
      <c r="K359" s="12">
        <f t="shared" si="89"/>
        <v>0</v>
      </c>
      <c r="M359" s="10">
        <v>18</v>
      </c>
      <c r="N359" s="30"/>
      <c r="O359" s="31"/>
      <c r="P359" s="32"/>
      <c r="Q359" s="32"/>
      <c r="R359" s="32"/>
      <c r="S359" s="32">
        <f t="shared" si="90"/>
        <v>0</v>
      </c>
      <c r="T359" s="12"/>
      <c r="U359" s="12"/>
      <c r="V359" s="12"/>
      <c r="W359" s="12">
        <f t="shared" si="9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3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88"/>
        <v>0</v>
      </c>
      <c r="H360" s="12"/>
      <c r="I360" s="12"/>
      <c r="J360" s="12"/>
      <c r="K360" s="12">
        <f t="shared" si="89"/>
        <v>0</v>
      </c>
      <c r="M360" s="10">
        <v>19</v>
      </c>
      <c r="N360" s="30"/>
      <c r="O360" s="31"/>
      <c r="P360" s="32"/>
      <c r="Q360" s="32"/>
      <c r="R360" s="32"/>
      <c r="S360" s="32">
        <f t="shared" si="90"/>
        <v>0</v>
      </c>
      <c r="T360" s="12"/>
      <c r="U360" s="12"/>
      <c r="V360" s="12"/>
      <c r="W360" s="12">
        <f t="shared" si="9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3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88"/>
        <v>0</v>
      </c>
      <c r="H361" s="12"/>
      <c r="I361" s="12"/>
      <c r="J361" s="12"/>
      <c r="K361" s="12">
        <f t="shared" si="89"/>
        <v>0</v>
      </c>
      <c r="M361" s="10">
        <v>20</v>
      </c>
      <c r="N361" s="30"/>
      <c r="O361" s="31"/>
      <c r="P361" s="32"/>
      <c r="Q361" s="32"/>
      <c r="R361" s="32"/>
      <c r="S361" s="32">
        <f t="shared" si="90"/>
        <v>0</v>
      </c>
      <c r="T361" s="12"/>
      <c r="U361" s="12"/>
      <c r="V361" s="12"/>
      <c r="W361" s="12">
        <f t="shared" si="91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3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88"/>
        <v>0</v>
      </c>
      <c r="H362" s="10"/>
      <c r="I362" s="10"/>
      <c r="J362" s="10"/>
      <c r="K362" s="12">
        <f t="shared" si="89"/>
        <v>0</v>
      </c>
      <c r="M362" s="10">
        <v>21</v>
      </c>
      <c r="N362" s="30"/>
      <c r="O362" s="31"/>
      <c r="P362" s="46"/>
      <c r="Q362" s="31"/>
      <c r="R362" s="31"/>
      <c r="S362" s="32">
        <f t="shared" si="90"/>
        <v>0</v>
      </c>
      <c r="T362" s="10"/>
      <c r="U362" s="10"/>
      <c r="V362" s="10"/>
      <c r="W362" s="12">
        <f t="shared" si="9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3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88"/>
        <v>0</v>
      </c>
      <c r="H363" s="10"/>
      <c r="I363" s="10"/>
      <c r="J363" s="10"/>
      <c r="K363" s="12">
        <f t="shared" si="89"/>
        <v>0</v>
      </c>
      <c r="M363" s="10">
        <v>22</v>
      </c>
      <c r="N363" s="30"/>
      <c r="O363" s="31"/>
      <c r="P363" s="45"/>
      <c r="Q363" s="31"/>
      <c r="R363" s="31"/>
      <c r="S363" s="32">
        <f t="shared" si="90"/>
        <v>0</v>
      </c>
      <c r="T363" s="10"/>
      <c r="U363" s="10"/>
      <c r="V363" s="10"/>
      <c r="W363" s="12">
        <f t="shared" si="9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3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88"/>
        <v>0</v>
      </c>
      <c r="H364" s="10"/>
      <c r="I364" s="10"/>
      <c r="J364" s="12"/>
      <c r="K364" s="12">
        <f t="shared" si="89"/>
        <v>0</v>
      </c>
      <c r="M364" s="10">
        <v>23</v>
      </c>
      <c r="N364" s="30"/>
      <c r="O364" s="31"/>
      <c r="P364" s="47"/>
      <c r="Q364" s="31"/>
      <c r="S364" s="32">
        <f t="shared" si="90"/>
        <v>0</v>
      </c>
      <c r="T364" s="10"/>
      <c r="U364" s="10"/>
      <c r="V364" s="10"/>
      <c r="W364" s="12">
        <f t="shared" si="91"/>
        <v>0</v>
      </c>
      <c r="Y364" s="10">
        <v>23</v>
      </c>
      <c r="Z364" s="30"/>
      <c r="AA364" s="31"/>
      <c r="AB364" s="47"/>
      <c r="AE364" s="32">
        <f t="shared" si="97"/>
        <v>0</v>
      </c>
      <c r="AF364" s="10"/>
      <c r="AG364" s="10"/>
      <c r="AH364" s="10"/>
      <c r="AI364" s="12">
        <f t="shared" si="93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88"/>
        <v>0</v>
      </c>
      <c r="H365" s="10"/>
      <c r="I365" s="10"/>
      <c r="J365" s="10"/>
      <c r="K365" s="12">
        <f t="shared" si="89"/>
        <v>0</v>
      </c>
      <c r="M365" s="10">
        <v>24</v>
      </c>
      <c r="N365" s="30"/>
      <c r="O365" s="31"/>
      <c r="P365" s="47"/>
      <c r="Q365" s="31"/>
      <c r="R365" s="31"/>
      <c r="S365" s="32">
        <f t="shared" si="90"/>
        <v>0</v>
      </c>
      <c r="T365" s="10"/>
      <c r="U365" s="10"/>
      <c r="V365" s="10"/>
      <c r="W365" s="12">
        <f t="shared" si="9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3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88"/>
        <v>0</v>
      </c>
      <c r="H366" s="10"/>
      <c r="I366" s="10"/>
      <c r="J366" s="10"/>
      <c r="K366" s="12">
        <f t="shared" si="89"/>
        <v>0</v>
      </c>
      <c r="M366" s="10">
        <v>25</v>
      </c>
      <c r="N366" s="30"/>
      <c r="O366" s="31"/>
      <c r="P366" s="47"/>
      <c r="Q366" s="31"/>
      <c r="R366" s="31"/>
      <c r="S366" s="32">
        <f t="shared" si="90"/>
        <v>0</v>
      </c>
      <c r="T366" s="10"/>
      <c r="U366" s="10"/>
      <c r="V366" s="10"/>
      <c r="W366" s="12">
        <f t="shared" si="9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3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88"/>
        <v>0</v>
      </c>
      <c r="H367" s="10"/>
      <c r="I367" s="10"/>
      <c r="J367" s="10"/>
      <c r="K367" s="12">
        <f t="shared" si="89"/>
        <v>0</v>
      </c>
      <c r="M367" s="10">
        <v>26</v>
      </c>
      <c r="N367" s="30"/>
      <c r="O367" s="31"/>
      <c r="P367" s="47"/>
      <c r="Q367" s="31"/>
      <c r="R367" s="31"/>
      <c r="S367" s="32">
        <f t="shared" si="90"/>
        <v>0</v>
      </c>
      <c r="T367" s="10"/>
      <c r="U367" s="10"/>
      <c r="V367" s="10"/>
      <c r="W367" s="12">
        <f t="shared" si="9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3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88"/>
        <v>0</v>
      </c>
      <c r="H368" s="10"/>
      <c r="I368" s="10"/>
      <c r="J368" s="10"/>
      <c r="K368" s="12">
        <f t="shared" si="89"/>
        <v>0</v>
      </c>
      <c r="M368" s="10">
        <v>27</v>
      </c>
      <c r="N368" s="30"/>
      <c r="O368" s="31"/>
      <c r="P368" s="47"/>
      <c r="Q368" s="31"/>
      <c r="R368" s="31"/>
      <c r="S368" s="32">
        <f t="shared" si="90"/>
        <v>0</v>
      </c>
      <c r="T368" s="10"/>
      <c r="U368" s="10"/>
      <c r="V368" s="10"/>
      <c r="W368" s="12">
        <f t="shared" si="9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3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88"/>
        <v>0</v>
      </c>
      <c r="H369" s="10"/>
      <c r="I369" s="10"/>
      <c r="J369" s="10"/>
      <c r="K369" s="12">
        <f t="shared" si="89"/>
        <v>0</v>
      </c>
      <c r="M369" s="10">
        <v>28</v>
      </c>
      <c r="N369" s="30"/>
      <c r="O369" s="31"/>
      <c r="P369" s="47"/>
      <c r="Q369" s="31"/>
      <c r="R369" s="31"/>
      <c r="S369" s="32">
        <f t="shared" si="90"/>
        <v>0</v>
      </c>
      <c r="T369" s="10"/>
      <c r="U369" s="10"/>
      <c r="V369" s="10"/>
      <c r="W369" s="12">
        <f t="shared" si="9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3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88"/>
        <v>0</v>
      </c>
      <c r="H370" s="10"/>
      <c r="I370" s="10"/>
      <c r="J370" s="10"/>
      <c r="K370" s="12">
        <f t="shared" si="89"/>
        <v>0</v>
      </c>
      <c r="M370" s="10">
        <v>29</v>
      </c>
      <c r="N370" s="30"/>
      <c r="O370" s="31"/>
      <c r="P370" s="47"/>
      <c r="Q370" s="31"/>
      <c r="R370" s="31"/>
      <c r="S370" s="32">
        <f t="shared" si="90"/>
        <v>0</v>
      </c>
      <c r="T370" s="10"/>
      <c r="U370" s="10"/>
      <c r="V370" s="10"/>
      <c r="W370" s="12">
        <f t="shared" si="9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3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88"/>
        <v>0</v>
      </c>
      <c r="H371" s="10"/>
      <c r="I371" s="10"/>
      <c r="J371" s="10"/>
      <c r="K371" s="12">
        <f t="shared" si="89"/>
        <v>0</v>
      </c>
      <c r="M371" s="10">
        <v>30</v>
      </c>
      <c r="N371" s="30"/>
      <c r="O371" s="31"/>
      <c r="P371" s="47"/>
      <c r="Q371" s="31"/>
      <c r="R371" s="31"/>
      <c r="S371" s="32">
        <f t="shared" si="90"/>
        <v>0</v>
      </c>
      <c r="T371" s="10"/>
      <c r="U371" s="10"/>
      <c r="V371" s="10"/>
      <c r="W371" s="12">
        <f t="shared" si="9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3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88"/>
        <v>0</v>
      </c>
      <c r="H372" s="10"/>
      <c r="I372" s="10"/>
      <c r="J372" s="10"/>
      <c r="K372" s="12">
        <f t="shared" si="89"/>
        <v>0</v>
      </c>
      <c r="M372" s="10">
        <v>31</v>
      </c>
      <c r="N372" s="30"/>
      <c r="O372" s="31"/>
      <c r="P372" s="47"/>
      <c r="Q372" s="31"/>
      <c r="R372" s="31"/>
      <c r="S372" s="32">
        <f t="shared" si="90"/>
        <v>0</v>
      </c>
      <c r="T372" s="10"/>
      <c r="U372" s="10"/>
      <c r="V372" s="10"/>
      <c r="W372" s="12">
        <f t="shared" si="9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3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88"/>
        <v>0</v>
      </c>
      <c r="H373" s="10"/>
      <c r="I373" s="10"/>
      <c r="J373" s="10"/>
      <c r="K373" s="12">
        <f t="shared" si="89"/>
        <v>0</v>
      </c>
      <c r="M373" s="10">
        <v>32</v>
      </c>
      <c r="N373" s="30"/>
      <c r="O373" s="31"/>
      <c r="P373" s="47"/>
      <c r="Q373" s="31"/>
      <c r="R373" s="31"/>
      <c r="S373" s="32">
        <f t="shared" si="90"/>
        <v>0</v>
      </c>
      <c r="T373" s="10"/>
      <c r="U373" s="10"/>
      <c r="V373" s="10"/>
      <c r="W373" s="12">
        <f t="shared" si="9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3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88"/>
        <v>0</v>
      </c>
      <c r="H374" s="10"/>
      <c r="I374" s="10"/>
      <c r="J374" s="10"/>
      <c r="K374" s="12">
        <f t="shared" si="89"/>
        <v>0</v>
      </c>
      <c r="M374" s="10">
        <v>33</v>
      </c>
      <c r="N374" s="30"/>
      <c r="O374" s="31"/>
      <c r="P374" s="47"/>
      <c r="Q374" s="31"/>
      <c r="R374" s="31"/>
      <c r="S374" s="32">
        <f t="shared" si="90"/>
        <v>0</v>
      </c>
      <c r="T374" s="10"/>
      <c r="U374" s="10"/>
      <c r="V374" s="10"/>
      <c r="W374" s="12">
        <f t="shared" si="9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3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88"/>
        <v>0</v>
      </c>
      <c r="H375" s="10"/>
      <c r="I375" s="10"/>
      <c r="J375" s="10"/>
      <c r="K375" s="12">
        <f t="shared" si="89"/>
        <v>0</v>
      </c>
      <c r="M375" s="10">
        <v>34</v>
      </c>
      <c r="N375" s="30"/>
      <c r="O375" s="31"/>
      <c r="P375" s="47"/>
      <c r="Q375" s="31"/>
      <c r="R375" s="31"/>
      <c r="S375" s="32">
        <f t="shared" si="90"/>
        <v>0</v>
      </c>
      <c r="T375" s="10"/>
      <c r="U375" s="10"/>
      <c r="V375" s="10"/>
      <c r="W375" s="12">
        <f t="shared" si="91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98">SUM(AB375:AC375)</f>
        <v>0</v>
      </c>
      <c r="AF375" s="10"/>
      <c r="AG375" s="10"/>
      <c r="AH375" s="10"/>
      <c r="AI375" s="12">
        <f t="shared" si="93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90"/>
        <v>0</v>
      </c>
      <c r="T376" s="10"/>
      <c r="U376" s="10"/>
      <c r="V376" s="10"/>
      <c r="W376" s="12">
        <f t="shared" si="9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8"/>
        <v>0</v>
      </c>
      <c r="AF376" s="10"/>
      <c r="AG376" s="10"/>
      <c r="AH376" s="10"/>
      <c r="AI376" s="12">
        <f t="shared" si="93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90"/>
        <v>0</v>
      </c>
      <c r="T377" s="10"/>
      <c r="U377" s="10"/>
      <c r="V377" s="10"/>
      <c r="W377" s="12">
        <f t="shared" si="9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8"/>
        <v>0</v>
      </c>
      <c r="AF377" s="10"/>
      <c r="AG377" s="10"/>
      <c r="AH377" s="10"/>
      <c r="AI377" s="12">
        <f t="shared" si="93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90"/>
        <v>0</v>
      </c>
      <c r="T378" s="10"/>
      <c r="U378" s="10"/>
      <c r="V378" s="10"/>
      <c r="W378" s="12">
        <f t="shared" si="9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8"/>
        <v>0</v>
      </c>
      <c r="AF378" s="10"/>
      <c r="AG378" s="10"/>
      <c r="AH378" s="10"/>
      <c r="AI378" s="12">
        <f t="shared" si="93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90"/>
        <v>0</v>
      </c>
      <c r="T379" s="10"/>
      <c r="U379" s="10"/>
      <c r="V379" s="10"/>
      <c r="W379" s="12">
        <f t="shared" si="9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8"/>
        <v>0</v>
      </c>
      <c r="AF379" s="10"/>
      <c r="AG379" s="10"/>
      <c r="AH379" s="10"/>
      <c r="AI379" s="12">
        <f t="shared" si="93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90"/>
        <v>0</v>
      </c>
      <c r="T380" s="10"/>
      <c r="U380" s="10"/>
      <c r="V380" s="10"/>
      <c r="W380" s="12">
        <f t="shared" si="9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8"/>
        <v>0</v>
      </c>
      <c r="AF380" s="10"/>
      <c r="AG380" s="10"/>
      <c r="AH380" s="10"/>
      <c r="AI380" s="12">
        <f t="shared" si="93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3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99">SUM(D382:E382)</f>
        <v>0</v>
      </c>
      <c r="H382" s="10"/>
      <c r="I382" s="10"/>
      <c r="J382" s="10"/>
      <c r="K382" s="12">
        <f t="shared" ref="K382" si="100">SUM(G382:J382)</f>
        <v>0</v>
      </c>
      <c r="M382" s="10"/>
      <c r="N382" s="30"/>
      <c r="O382" s="31"/>
      <c r="P382" s="47"/>
      <c r="Q382" s="31"/>
      <c r="R382" s="31"/>
      <c r="S382" s="32">
        <f t="shared" ref="S382" si="101">SUM(P382:Q382)</f>
        <v>0</v>
      </c>
      <c r="T382" s="10"/>
      <c r="U382" s="10"/>
      <c r="V382" s="10"/>
      <c r="W382" s="12">
        <f t="shared" si="91"/>
        <v>0</v>
      </c>
      <c r="Y382" s="10"/>
      <c r="Z382" s="30"/>
      <c r="AA382" s="31"/>
      <c r="AB382" s="47"/>
      <c r="AC382" s="31"/>
      <c r="AD382" s="31"/>
      <c r="AE382" s="32">
        <f t="shared" ref="AE382" si="102">SUM(AB382:AC382)</f>
        <v>0</v>
      </c>
      <c r="AF382" s="10"/>
      <c r="AG382" s="10"/>
      <c r="AH382" s="10"/>
      <c r="AI382" s="12">
        <f t="shared" si="93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3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243649.5</v>
      </c>
      <c r="E385" s="38">
        <f t="shared" ref="E385:F385" si="103">SUM(E342:E382)</f>
        <v>0</v>
      </c>
      <c r="F385" s="38">
        <f t="shared" si="103"/>
        <v>0</v>
      </c>
      <c r="G385" s="38">
        <f>SUM(G342:G384)</f>
        <v>243649.5</v>
      </c>
      <c r="H385" s="4"/>
      <c r="I385" s="39">
        <f>SUM(I342:I384)</f>
        <v>5880</v>
      </c>
      <c r="J385" s="39">
        <f>SUM(J342:J384)</f>
        <v>0</v>
      </c>
      <c r="K385" s="40">
        <f>SUM(K342:K384)</f>
        <v>249529.5</v>
      </c>
      <c r="N385" s="57"/>
      <c r="O385" s="57"/>
      <c r="P385" s="38">
        <f>SUM(P342:P384)</f>
        <v>253190</v>
      </c>
      <c r="Q385" s="38">
        <f>SUM(Q342:Q366)</f>
        <v>-2070</v>
      </c>
      <c r="R385" s="38">
        <f>SUM(R342:R366)</f>
        <v>0</v>
      </c>
      <c r="S385" s="38">
        <f>SUM(S342:S384)</f>
        <v>251120</v>
      </c>
      <c r="T385" s="4"/>
      <c r="U385" s="41">
        <f>SUM(U342:U384)</f>
        <v>153</v>
      </c>
      <c r="V385" s="41">
        <f>SUM(V342:V366)</f>
        <v>-2868</v>
      </c>
      <c r="W385" s="42">
        <f>SUM(W342:W384)</f>
        <v>248405</v>
      </c>
      <c r="Z385" s="57"/>
      <c r="AA385" s="57"/>
      <c r="AB385" s="38">
        <f>SUM(AB342:AB384)</f>
        <v>421498</v>
      </c>
      <c r="AC385" s="38">
        <f>SUM(AC342:AC366)</f>
        <v>-3288</v>
      </c>
      <c r="AD385" s="38">
        <f>SUM(AD342:AD366)</f>
        <v>0</v>
      </c>
      <c r="AE385" s="38">
        <f>SUM(AE342:AE384)</f>
        <v>418210</v>
      </c>
      <c r="AF385" s="4"/>
      <c r="AG385" s="41">
        <f>SUM(AG342:AG384)</f>
        <v>5241</v>
      </c>
      <c r="AH385" s="41">
        <f>SUM(AH342:AH366)</f>
        <v>0</v>
      </c>
      <c r="AI385" s="42">
        <f>SUM(AI342:AI384)</f>
        <v>423451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s="62"/>
      <c r="N387" s="90"/>
      <c r="O387" s="90"/>
      <c r="P387" s="90"/>
      <c r="Q387" s="90"/>
      <c r="R387" s="90"/>
      <c r="S387" s="90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s="62"/>
      <c r="N388" s="90"/>
      <c r="O388" s="90"/>
      <c r="P388" s="90"/>
      <c r="Q388" s="90"/>
      <c r="R388" s="90"/>
      <c r="S388" s="90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M389" s="62"/>
      <c r="N389" s="90"/>
      <c r="O389" s="90"/>
      <c r="P389" s="90"/>
      <c r="Q389" s="90"/>
      <c r="R389" s="90"/>
      <c r="S389" s="90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63"/>
      <c r="N390" s="90"/>
      <c r="O390" s="90"/>
      <c r="P390" s="90"/>
      <c r="Q390" s="90"/>
      <c r="R390" s="90"/>
      <c r="S390" s="90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M391" s="62"/>
      <c r="N391" s="90"/>
      <c r="O391" s="90"/>
      <c r="P391" s="90"/>
      <c r="Q391" s="90"/>
      <c r="R391" s="90"/>
      <c r="S391" s="90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s="62"/>
      <c r="N392" s="90"/>
      <c r="O392" s="90"/>
      <c r="P392" s="90"/>
      <c r="Q392" s="90"/>
      <c r="R392" s="90"/>
      <c r="S392" s="90"/>
      <c r="T392" s="62"/>
      <c r="U392" s="90"/>
      <c r="V392" s="73"/>
      <c r="W392" s="62"/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43</v>
      </c>
      <c r="K393" s="24"/>
      <c r="M393" s="64"/>
      <c r="N393" s="90"/>
      <c r="O393" s="90"/>
      <c r="P393" s="90"/>
      <c r="Q393" s="90"/>
      <c r="R393" s="90"/>
      <c r="S393" s="90"/>
      <c r="T393" s="62"/>
      <c r="U393" s="65"/>
      <c r="V393" s="65"/>
      <c r="W393" s="62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59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M394" s="62"/>
      <c r="N394" s="90"/>
      <c r="O394" s="90"/>
      <c r="P394" s="90"/>
      <c r="Q394" s="90"/>
      <c r="R394" s="90"/>
      <c r="S394" s="90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4" t="s">
        <v>17</v>
      </c>
      <c r="E395" s="114"/>
      <c r="F395" s="100"/>
      <c r="G395" s="27"/>
      <c r="I395" s="112" t="s">
        <v>18</v>
      </c>
      <c r="J395" s="113"/>
      <c r="K395" s="116" t="s">
        <v>19</v>
      </c>
      <c r="M395" s="62"/>
      <c r="N395" s="65"/>
      <c r="O395" s="90"/>
      <c r="P395" s="115"/>
      <c r="Q395" s="115"/>
      <c r="R395" s="90"/>
      <c r="S395" s="90"/>
      <c r="T395" s="62"/>
      <c r="U395" s="115"/>
      <c r="V395" s="115"/>
      <c r="W395" s="111"/>
      <c r="Z395" s="25"/>
      <c r="AA395" s="26"/>
      <c r="AB395" s="114" t="s">
        <v>17</v>
      </c>
      <c r="AC395" s="114"/>
      <c r="AD395" s="100"/>
      <c r="AE395" s="27"/>
      <c r="AG395" s="112" t="s">
        <v>18</v>
      </c>
      <c r="AH395" s="113"/>
      <c r="AI395" s="116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31</v>
      </c>
      <c r="G396" s="78" t="s">
        <v>24</v>
      </c>
      <c r="I396" s="29" t="s">
        <v>25</v>
      </c>
      <c r="J396" s="29" t="s">
        <v>26</v>
      </c>
      <c r="K396" s="117"/>
      <c r="M396" s="62"/>
      <c r="N396" s="90"/>
      <c r="O396" s="90"/>
      <c r="P396" s="79"/>
      <c r="Q396" s="81"/>
      <c r="R396" s="81"/>
      <c r="S396" s="81"/>
      <c r="T396" s="62"/>
      <c r="U396" s="91"/>
      <c r="V396" s="91"/>
      <c r="W396" s="111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17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46301</v>
      </c>
      <c r="C397" s="83">
        <v>10925</v>
      </c>
      <c r="D397" s="32">
        <f>650*50+670*2+700*2+622*5+872</f>
        <v>39222</v>
      </c>
      <c r="E397" s="32"/>
      <c r="F397" s="32"/>
      <c r="G397" s="32">
        <f t="shared" ref="G397:G430" si="104">SUM(D397:E397)</f>
        <v>39222</v>
      </c>
      <c r="H397" s="12"/>
      <c r="I397" s="12">
        <f>4.5*30</f>
        <v>135</v>
      </c>
      <c r="J397" s="12"/>
      <c r="K397" s="12">
        <f t="shared" ref="K397:K430" si="105">SUM(G397:J397)</f>
        <v>39357</v>
      </c>
      <c r="M397" s="62"/>
      <c r="N397" s="66"/>
      <c r="O397" s="90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46301</v>
      </c>
      <c r="AA397" s="31">
        <v>10956</v>
      </c>
      <c r="AB397" s="32">
        <f>650*60+622*10+872*5+229*2+650*3</f>
        <v>51988</v>
      </c>
      <c r="AC397" s="32"/>
      <c r="AD397" s="32"/>
      <c r="AE397" s="32">
        <f>SUM(AB397:AC397)</f>
        <v>51988</v>
      </c>
      <c r="AF397" s="12"/>
      <c r="AG397" s="12">
        <f>78*2+120*5</f>
        <v>756</v>
      </c>
      <c r="AH397" s="12">
        <f>-84*22+-42*6+-84*3</f>
        <v>-2352</v>
      </c>
      <c r="AI397" s="12">
        <f>SUM(AE397:AH397)</f>
        <v>50392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46301</v>
      </c>
      <c r="C398" s="83">
        <f>C397+1</f>
        <v>10926</v>
      </c>
      <c r="D398" s="32">
        <f>650*25+622*5</f>
        <v>19360</v>
      </c>
      <c r="E398" s="32"/>
      <c r="F398" s="32"/>
      <c r="G398" s="32">
        <f t="shared" si="104"/>
        <v>19360</v>
      </c>
      <c r="H398" s="12"/>
      <c r="I398" s="12"/>
      <c r="J398" s="12"/>
      <c r="K398" s="12">
        <f t="shared" si="105"/>
        <v>19360</v>
      </c>
      <c r="M398" s="62"/>
      <c r="N398" s="66"/>
      <c r="O398" s="90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46301</v>
      </c>
      <c r="AA398" s="31">
        <f>AA397+1</f>
        <v>10957</v>
      </c>
      <c r="AB398" s="32">
        <f>650*30</f>
        <v>19500</v>
      </c>
      <c r="AC398" s="32"/>
      <c r="AD398" s="32"/>
      <c r="AE398" s="32">
        <f t="shared" ref="AE398:AE400" si="106">SUM(AB398:AC398)</f>
        <v>19500</v>
      </c>
      <c r="AF398" s="12"/>
      <c r="AG398" s="12"/>
      <c r="AH398" s="12"/>
      <c r="AI398" s="12">
        <f t="shared" ref="AI398:AI438" si="107">SUM(AE398:AH398)</f>
        <v>19500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46301</v>
      </c>
      <c r="C399" s="83">
        <f t="shared" ref="C399:C401" si="108">C398+1</f>
        <v>10927</v>
      </c>
      <c r="D399" s="33">
        <f>650*216+670*6+622*5+650*4</f>
        <v>150130</v>
      </c>
      <c r="E399" s="33"/>
      <c r="F399" s="33"/>
      <c r="G399" s="33">
        <f t="shared" si="104"/>
        <v>150130</v>
      </c>
      <c r="H399" s="34"/>
      <c r="I399" s="34"/>
      <c r="J399" s="34"/>
      <c r="K399" s="34">
        <f t="shared" si="105"/>
        <v>150130</v>
      </c>
      <c r="M399" s="62"/>
      <c r="N399" s="66"/>
      <c r="O399" s="90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46301</v>
      </c>
      <c r="AA399" s="31">
        <f t="shared" ref="AA399:AA403" si="109">AA398+1</f>
        <v>10958</v>
      </c>
      <c r="AB399" s="33">
        <f>650*27+670+622*2</f>
        <v>19464</v>
      </c>
      <c r="AC399" s="33"/>
      <c r="AD399" s="32"/>
      <c r="AE399" s="32">
        <f t="shared" si="106"/>
        <v>19464</v>
      </c>
      <c r="AF399" s="12"/>
      <c r="AG399" s="12">
        <f>4.5*42</f>
        <v>189</v>
      </c>
      <c r="AH399" s="12">
        <f>-78*8</f>
        <v>-624</v>
      </c>
      <c r="AI399" s="12">
        <f t="shared" si="107"/>
        <v>19029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46301</v>
      </c>
      <c r="C400" s="83">
        <f t="shared" si="108"/>
        <v>10928</v>
      </c>
      <c r="D400" s="32">
        <f>650+650+500*2</f>
        <v>2300</v>
      </c>
      <c r="E400" s="32"/>
      <c r="F400" s="32"/>
      <c r="G400" s="32">
        <f t="shared" si="104"/>
        <v>2300</v>
      </c>
      <c r="H400" s="12"/>
      <c r="I400" s="12"/>
      <c r="J400" s="12"/>
      <c r="K400" s="12">
        <f t="shared" si="105"/>
        <v>2300</v>
      </c>
      <c r="M400" s="62"/>
      <c r="N400" s="66"/>
      <c r="O400" s="90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46301</v>
      </c>
      <c r="AA400" s="31">
        <f t="shared" si="109"/>
        <v>10959</v>
      </c>
      <c r="AB400" s="32">
        <f>650*26+229</f>
        <v>17129</v>
      </c>
      <c r="AC400" s="32"/>
      <c r="AD400" s="32"/>
      <c r="AE400" s="32">
        <f t="shared" si="106"/>
        <v>17129</v>
      </c>
      <c r="AF400" s="12"/>
      <c r="AH400" s="12"/>
      <c r="AI400" s="12">
        <f t="shared" si="107"/>
        <v>17129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46301</v>
      </c>
      <c r="C401" s="83">
        <f t="shared" si="108"/>
        <v>10929</v>
      </c>
      <c r="D401" s="32">
        <f>650*21</f>
        <v>13650</v>
      </c>
      <c r="E401" s="32"/>
      <c r="F401" s="32"/>
      <c r="G401" s="32">
        <f t="shared" si="104"/>
        <v>13650</v>
      </c>
      <c r="H401" s="12"/>
      <c r="I401" s="12"/>
      <c r="J401" s="12"/>
      <c r="K401" s="12">
        <f t="shared" si="105"/>
        <v>13650</v>
      </c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46301</v>
      </c>
      <c r="AA401" s="31">
        <f t="shared" si="109"/>
        <v>10960</v>
      </c>
      <c r="AB401" s="32">
        <f>650*216+229*6</f>
        <v>141774</v>
      </c>
      <c r="AC401" s="32">
        <f>-216*6</f>
        <v>-1296</v>
      </c>
      <c r="AD401" s="32"/>
      <c r="AE401" s="32">
        <f t="shared" ref="AE401:AE429" si="110">SUM(AB401:AC401)</f>
        <v>140478</v>
      </c>
      <c r="AF401" s="12"/>
      <c r="AG401" s="12">
        <f>78*4</f>
        <v>312</v>
      </c>
      <c r="AH401" s="12"/>
      <c r="AI401" s="12">
        <f t="shared" si="107"/>
        <v>140790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/>
      <c r="C402" s="11" t="s">
        <v>27</v>
      </c>
      <c r="D402" s="32"/>
      <c r="E402" s="32"/>
      <c r="F402" s="32"/>
      <c r="G402" s="32">
        <f t="shared" si="104"/>
        <v>0</v>
      </c>
      <c r="H402" s="12"/>
      <c r="I402" s="12"/>
      <c r="J402" s="12"/>
      <c r="K402" s="12">
        <f t="shared" si="105"/>
        <v>0</v>
      </c>
      <c r="M402" s="62"/>
      <c r="N402" s="66"/>
      <c r="O402" s="90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46301</v>
      </c>
      <c r="AA402" s="31">
        <f t="shared" si="109"/>
        <v>10961</v>
      </c>
      <c r="AB402" s="32">
        <f>650*6+622*2+9.5*8</f>
        <v>5220</v>
      </c>
      <c r="AC402" s="32"/>
      <c r="AD402" s="32"/>
      <c r="AE402" s="32">
        <f t="shared" si="110"/>
        <v>5220</v>
      </c>
      <c r="AF402" s="12"/>
      <c r="AG402" s="12"/>
      <c r="AH402" s="10"/>
      <c r="AI402" s="12">
        <f t="shared" si="107"/>
        <v>5220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/>
      <c r="C403" s="83"/>
      <c r="D403" s="32"/>
      <c r="E403" s="32"/>
      <c r="F403" s="32"/>
      <c r="G403" s="32">
        <f t="shared" si="104"/>
        <v>0</v>
      </c>
      <c r="H403" s="12"/>
      <c r="I403" s="12"/>
      <c r="J403" s="12"/>
      <c r="K403" s="12">
        <f t="shared" si="105"/>
        <v>0</v>
      </c>
      <c r="M403" s="62"/>
      <c r="N403" s="66"/>
      <c r="O403" s="90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46301</v>
      </c>
      <c r="AA403" s="31">
        <f t="shared" si="109"/>
        <v>10962</v>
      </c>
      <c r="AB403" s="32">
        <f>650*3+9.5*3</f>
        <v>1978.5</v>
      </c>
      <c r="AC403" s="32"/>
      <c r="AD403" s="32"/>
      <c r="AE403" s="32">
        <f t="shared" si="110"/>
        <v>1978.5</v>
      </c>
      <c r="AF403" s="12"/>
      <c r="AG403" s="58"/>
      <c r="AH403" s="12"/>
      <c r="AI403" s="12">
        <f t="shared" si="107"/>
        <v>1978.5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83"/>
      <c r="D404" s="32"/>
      <c r="E404" s="32"/>
      <c r="F404" s="32"/>
      <c r="G404" s="32">
        <f t="shared" si="104"/>
        <v>0</v>
      </c>
      <c r="H404" s="12"/>
      <c r="I404" s="12"/>
      <c r="J404" s="12"/>
      <c r="K404" s="12">
        <f t="shared" si="105"/>
        <v>0</v>
      </c>
      <c r="M404" s="62"/>
      <c r="N404" s="66"/>
      <c r="O404" s="90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/>
      <c r="AA404" s="11" t="s">
        <v>27</v>
      </c>
      <c r="AB404" s="32"/>
      <c r="AC404" s="32"/>
      <c r="AE404" s="32">
        <f t="shared" si="110"/>
        <v>0</v>
      </c>
      <c r="AF404" s="12"/>
      <c r="AG404" s="12"/>
      <c r="AH404" s="12"/>
      <c r="AI404" s="12">
        <f t="shared" si="10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D405" s="32"/>
      <c r="E405" s="32"/>
      <c r="F405" s="32"/>
      <c r="G405" s="32">
        <f t="shared" si="104"/>
        <v>0</v>
      </c>
      <c r="H405" s="12"/>
      <c r="I405" s="12"/>
      <c r="J405" s="12"/>
      <c r="K405" s="12">
        <f t="shared" si="105"/>
        <v>0</v>
      </c>
      <c r="M405" s="62"/>
      <c r="N405" s="66"/>
      <c r="O405" s="90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/>
      <c r="AC405" s="32"/>
      <c r="AD405" s="32"/>
      <c r="AE405" s="32">
        <f t="shared" si="110"/>
        <v>0</v>
      </c>
      <c r="AF405" s="12"/>
      <c r="AH405" s="12"/>
      <c r="AI405" s="12">
        <f t="shared" si="10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04"/>
        <v>0</v>
      </c>
      <c r="H406" s="12"/>
      <c r="I406" s="12"/>
      <c r="J406" s="12"/>
      <c r="K406" s="12">
        <f t="shared" si="105"/>
        <v>0</v>
      </c>
      <c r="M406" s="62"/>
      <c r="N406" s="66"/>
      <c r="O406" s="90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/>
      <c r="AA406" s="31"/>
      <c r="AB406" s="32"/>
      <c r="AC406" s="32"/>
      <c r="AD406" s="32"/>
      <c r="AE406" s="32">
        <f t="shared" si="110"/>
        <v>0</v>
      </c>
      <c r="AF406" s="12"/>
      <c r="AG406" s="12"/>
      <c r="AH406" s="12"/>
      <c r="AI406" s="12">
        <f t="shared" si="10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04"/>
        <v>0</v>
      </c>
      <c r="H407" s="12"/>
      <c r="I407" s="12"/>
      <c r="J407" s="12"/>
      <c r="K407" s="12">
        <f t="shared" si="105"/>
        <v>0</v>
      </c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/>
      <c r="AA407" s="31"/>
      <c r="AB407" s="32"/>
      <c r="AC407" s="32"/>
      <c r="AD407" s="32"/>
      <c r="AE407" s="32">
        <f t="shared" si="110"/>
        <v>0</v>
      </c>
      <c r="AF407" s="12"/>
      <c r="AG407" s="12"/>
      <c r="AH407" s="12"/>
      <c r="AI407" s="12">
        <f t="shared" si="10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4"/>
        <v>0</v>
      </c>
      <c r="H408" s="12"/>
      <c r="I408" s="12"/>
      <c r="J408" s="10"/>
      <c r="K408" s="12">
        <f t="shared" si="105"/>
        <v>0</v>
      </c>
      <c r="M408" s="62"/>
      <c r="N408" s="66"/>
      <c r="O408" s="90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31"/>
      <c r="AB408" s="32"/>
      <c r="AC408" s="32"/>
      <c r="AD408" s="32"/>
      <c r="AE408" s="32">
        <f t="shared" si="110"/>
        <v>0</v>
      </c>
      <c r="AF408" s="12"/>
      <c r="AG408" s="12"/>
      <c r="AH408" s="12"/>
      <c r="AI408" s="12">
        <f t="shared" si="10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D409" s="32"/>
      <c r="E409" s="32"/>
      <c r="F409" s="32"/>
      <c r="G409" s="32">
        <f t="shared" si="104"/>
        <v>0</v>
      </c>
      <c r="H409" s="12"/>
      <c r="I409" s="12"/>
      <c r="J409" s="12"/>
      <c r="K409" s="12">
        <f t="shared" si="105"/>
        <v>0</v>
      </c>
      <c r="M409" s="62"/>
      <c r="N409" s="66"/>
      <c r="O409" s="90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0"/>
        <v>0</v>
      </c>
      <c r="AF409" s="12"/>
      <c r="AG409" s="12"/>
      <c r="AH409" s="12"/>
      <c r="AI409" s="12">
        <f t="shared" si="10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4"/>
        <v>0</v>
      </c>
      <c r="H410" s="12"/>
      <c r="I410" s="12"/>
      <c r="J410" s="12"/>
      <c r="K410" s="12">
        <f t="shared" si="105"/>
        <v>0</v>
      </c>
      <c r="M410" s="62"/>
      <c r="N410" s="66"/>
      <c r="O410" s="90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0"/>
        <v>0</v>
      </c>
      <c r="AF410" s="12"/>
      <c r="AG410" s="12"/>
      <c r="AH410" s="12"/>
      <c r="AI410" s="12">
        <f t="shared" si="10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4"/>
        <v>0</v>
      </c>
      <c r="H411" s="12"/>
      <c r="I411" s="12"/>
      <c r="J411" s="12"/>
      <c r="K411" s="12">
        <f t="shared" si="105"/>
        <v>0</v>
      </c>
      <c r="M411" s="62"/>
      <c r="N411" s="66"/>
      <c r="O411" s="90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0"/>
        <v>0</v>
      </c>
      <c r="AF411" s="12"/>
      <c r="AG411" s="12"/>
      <c r="AH411" s="12"/>
      <c r="AI411" s="12">
        <f t="shared" si="10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4"/>
        <v>0</v>
      </c>
      <c r="H412" s="12"/>
      <c r="I412" s="12"/>
      <c r="J412" s="12"/>
      <c r="K412" s="12">
        <f t="shared" si="105"/>
        <v>0</v>
      </c>
      <c r="M412" s="62"/>
      <c r="N412" s="66"/>
      <c r="O412" s="90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0"/>
        <v>0</v>
      </c>
      <c r="AF412" s="12"/>
      <c r="AG412" s="12"/>
      <c r="AH412" s="12"/>
      <c r="AI412" s="12">
        <f t="shared" si="10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4"/>
        <v>0</v>
      </c>
      <c r="H413" s="12"/>
      <c r="I413" s="12"/>
      <c r="J413" s="12"/>
      <c r="K413" s="12">
        <f t="shared" si="105"/>
        <v>0</v>
      </c>
      <c r="M413" s="62"/>
      <c r="N413" s="66"/>
      <c r="O413" s="90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0"/>
        <v>0</v>
      </c>
      <c r="AF413" s="12"/>
      <c r="AG413" s="12"/>
      <c r="AH413" s="12"/>
      <c r="AI413" s="12">
        <f t="shared" si="10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4"/>
        <v>0</v>
      </c>
      <c r="H414" s="12"/>
      <c r="I414" s="12"/>
      <c r="J414" s="12"/>
      <c r="K414" s="12">
        <f t="shared" si="105"/>
        <v>0</v>
      </c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0"/>
        <v>0</v>
      </c>
      <c r="AF414" s="12"/>
      <c r="AG414" s="12"/>
      <c r="AH414" s="12"/>
      <c r="AI414" s="12">
        <f t="shared" si="10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4"/>
        <v>0</v>
      </c>
      <c r="H415" s="12"/>
      <c r="I415" s="12"/>
      <c r="J415" s="12"/>
      <c r="K415" s="12">
        <f t="shared" si="105"/>
        <v>0</v>
      </c>
      <c r="M415" s="62"/>
      <c r="N415" s="66"/>
      <c r="O415" s="90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0"/>
        <v>0</v>
      </c>
      <c r="AF415" s="12"/>
      <c r="AG415" s="12"/>
      <c r="AH415" s="12"/>
      <c r="AI415" s="12">
        <f t="shared" si="10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4"/>
        <v>0</v>
      </c>
      <c r="H416" s="12"/>
      <c r="I416" s="12"/>
      <c r="J416" s="12"/>
      <c r="K416" s="12">
        <f t="shared" si="105"/>
        <v>0</v>
      </c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0"/>
        <v>0</v>
      </c>
      <c r="AF416" s="12"/>
      <c r="AG416" s="12"/>
      <c r="AH416" s="12"/>
      <c r="AI416" s="12">
        <f t="shared" si="10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4"/>
        <v>0</v>
      </c>
      <c r="H417" s="10"/>
      <c r="I417" s="10"/>
      <c r="J417" s="10"/>
      <c r="K417" s="12">
        <f t="shared" si="105"/>
        <v>0</v>
      </c>
      <c r="M417" s="62"/>
      <c r="N417" s="66"/>
      <c r="O417" s="90"/>
      <c r="P417" s="67"/>
      <c r="Q417" s="90"/>
      <c r="R417" s="90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0"/>
        <v>0</v>
      </c>
      <c r="AF417" s="10"/>
      <c r="AG417" s="10"/>
      <c r="AH417" s="10"/>
      <c r="AI417" s="12">
        <f t="shared" si="10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4"/>
        <v>0</v>
      </c>
      <c r="H418" s="10"/>
      <c r="I418" s="10"/>
      <c r="J418" s="10"/>
      <c r="K418" s="12">
        <f t="shared" si="105"/>
        <v>0</v>
      </c>
      <c r="M418" s="62"/>
      <c r="N418" s="66"/>
      <c r="O418" s="90"/>
      <c r="P418" s="68"/>
      <c r="Q418" s="90"/>
      <c r="R418" s="90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0"/>
        <v>0</v>
      </c>
      <c r="AF418" s="10"/>
      <c r="AG418" s="10"/>
      <c r="AH418" s="10"/>
      <c r="AI418" s="12">
        <f t="shared" si="10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4"/>
        <v>0</v>
      </c>
      <c r="H419" s="10"/>
      <c r="I419" s="10"/>
      <c r="J419" s="12"/>
      <c r="K419" s="12">
        <f t="shared" si="105"/>
        <v>0</v>
      </c>
      <c r="M419" s="62"/>
      <c r="N419" s="66"/>
      <c r="O419" s="90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0"/>
        <v>0</v>
      </c>
      <c r="AF419" s="10"/>
      <c r="AG419" s="10"/>
      <c r="AH419" s="10"/>
      <c r="AI419" s="12">
        <f t="shared" si="10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4"/>
        <v>0</v>
      </c>
      <c r="H420" s="10"/>
      <c r="I420" s="10"/>
      <c r="J420" s="10"/>
      <c r="K420" s="12">
        <f t="shared" si="105"/>
        <v>0</v>
      </c>
      <c r="M420" s="62"/>
      <c r="N420" s="66"/>
      <c r="O420" s="90"/>
      <c r="P420" s="69"/>
      <c r="Q420" s="90"/>
      <c r="R420" s="90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0"/>
        <v>0</v>
      </c>
      <c r="AF420" s="10"/>
      <c r="AG420" s="10"/>
      <c r="AH420" s="10"/>
      <c r="AI420" s="12">
        <f t="shared" si="10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4"/>
        <v>0</v>
      </c>
      <c r="H421" s="10"/>
      <c r="I421" s="10"/>
      <c r="J421" s="10"/>
      <c r="K421" s="12">
        <f t="shared" si="105"/>
        <v>0</v>
      </c>
      <c r="M421" s="62"/>
      <c r="N421" s="66"/>
      <c r="O421" s="90"/>
      <c r="P421" s="69"/>
      <c r="Q421" s="90"/>
      <c r="R421" s="90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0"/>
        <v>0</v>
      </c>
      <c r="AF421" s="10"/>
      <c r="AG421" s="10"/>
      <c r="AH421" s="10"/>
      <c r="AI421" s="12">
        <f t="shared" si="10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4"/>
        <v>0</v>
      </c>
      <c r="H422" s="10"/>
      <c r="I422" s="10"/>
      <c r="J422" s="10"/>
      <c r="K422" s="12">
        <f t="shared" si="105"/>
        <v>0</v>
      </c>
      <c r="M422" s="62"/>
      <c r="N422" s="66"/>
      <c r="O422" s="90"/>
      <c r="P422" s="69"/>
      <c r="Q422" s="90"/>
      <c r="R422" s="90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0"/>
        <v>0</v>
      </c>
      <c r="AF422" s="10"/>
      <c r="AG422" s="10"/>
      <c r="AH422" s="10"/>
      <c r="AI422" s="12">
        <f t="shared" si="10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4"/>
        <v>0</v>
      </c>
      <c r="H423" s="10"/>
      <c r="I423" s="10"/>
      <c r="J423" s="10"/>
      <c r="K423" s="12">
        <f t="shared" si="105"/>
        <v>0</v>
      </c>
      <c r="M423" s="62"/>
      <c r="N423" s="66"/>
      <c r="O423" s="90"/>
      <c r="P423" s="69"/>
      <c r="Q423" s="90"/>
      <c r="R423" s="90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0"/>
        <v>0</v>
      </c>
      <c r="AF423" s="10"/>
      <c r="AG423" s="10"/>
      <c r="AH423" s="10"/>
      <c r="AI423" s="12">
        <f t="shared" si="10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4"/>
        <v>0</v>
      </c>
      <c r="H424" s="10"/>
      <c r="I424" s="10"/>
      <c r="J424" s="10"/>
      <c r="K424" s="12">
        <f t="shared" si="105"/>
        <v>0</v>
      </c>
      <c r="M424" s="62"/>
      <c r="N424" s="66"/>
      <c r="O424" s="90"/>
      <c r="P424" s="69"/>
      <c r="Q424" s="90"/>
      <c r="R424" s="90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0"/>
        <v>0</v>
      </c>
      <c r="AF424" s="10"/>
      <c r="AG424" s="10"/>
      <c r="AH424" s="10"/>
      <c r="AI424" s="12">
        <f t="shared" si="10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4"/>
        <v>0</v>
      </c>
      <c r="H425" s="10"/>
      <c r="I425" s="10"/>
      <c r="J425" s="10"/>
      <c r="K425" s="12">
        <f t="shared" si="105"/>
        <v>0</v>
      </c>
      <c r="M425" s="62"/>
      <c r="N425" s="66"/>
      <c r="O425" s="90"/>
      <c r="P425" s="69"/>
      <c r="Q425" s="90"/>
      <c r="R425" s="90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0"/>
        <v>0</v>
      </c>
      <c r="AF425" s="10"/>
      <c r="AG425" s="10"/>
      <c r="AH425" s="10"/>
      <c r="AI425" s="12">
        <f t="shared" si="10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4"/>
        <v>0</v>
      </c>
      <c r="H426" s="10"/>
      <c r="I426" s="10"/>
      <c r="J426" s="10"/>
      <c r="K426" s="12">
        <f t="shared" si="105"/>
        <v>0</v>
      </c>
      <c r="M426" s="62"/>
      <c r="N426" s="66"/>
      <c r="O426" s="90"/>
      <c r="P426" s="69"/>
      <c r="Q426" s="90"/>
      <c r="R426" s="90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0"/>
        <v>0</v>
      </c>
      <c r="AF426" s="10"/>
      <c r="AG426" s="10"/>
      <c r="AH426" s="10"/>
      <c r="AI426" s="12">
        <f t="shared" si="10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4"/>
        <v>0</v>
      </c>
      <c r="H427" s="10"/>
      <c r="I427" s="10"/>
      <c r="J427" s="10"/>
      <c r="K427" s="12">
        <f t="shared" si="105"/>
        <v>0</v>
      </c>
      <c r="M427" s="62"/>
      <c r="N427" s="66"/>
      <c r="O427" s="90"/>
      <c r="P427" s="69"/>
      <c r="Q427" s="90"/>
      <c r="R427" s="90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0"/>
        <v>0</v>
      </c>
      <c r="AF427" s="10"/>
      <c r="AG427" s="10"/>
      <c r="AH427" s="10"/>
      <c r="AI427" s="12">
        <f t="shared" si="10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4"/>
        <v>0</v>
      </c>
      <c r="H428" s="10"/>
      <c r="I428" s="10"/>
      <c r="J428" s="10"/>
      <c r="K428" s="12">
        <f t="shared" si="105"/>
        <v>0</v>
      </c>
      <c r="M428" s="62"/>
      <c r="N428" s="66"/>
      <c r="O428" s="90"/>
      <c r="P428" s="69"/>
      <c r="Q428" s="90"/>
      <c r="R428" s="90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0"/>
        <v>0</v>
      </c>
      <c r="AF428" s="10"/>
      <c r="AG428" s="10"/>
      <c r="AH428" s="10"/>
      <c r="AI428" s="12">
        <f t="shared" si="10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4"/>
        <v>0</v>
      </c>
      <c r="H429" s="10"/>
      <c r="I429" s="10"/>
      <c r="J429" s="10"/>
      <c r="K429" s="12">
        <f t="shared" si="105"/>
        <v>0</v>
      </c>
      <c r="M429" s="62"/>
      <c r="N429" s="66"/>
      <c r="O429" s="90"/>
      <c r="P429" s="69"/>
      <c r="Q429" s="90"/>
      <c r="R429" s="90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0"/>
        <v>0</v>
      </c>
      <c r="AF429" s="10"/>
      <c r="AG429" s="10"/>
      <c r="AH429" s="10"/>
      <c r="AI429" s="12">
        <f t="shared" si="10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4"/>
        <v>0</v>
      </c>
      <c r="H430" s="10"/>
      <c r="I430" s="10"/>
      <c r="J430" s="10"/>
      <c r="K430" s="12">
        <f t="shared" si="105"/>
        <v>0</v>
      </c>
      <c r="M430" s="62"/>
      <c r="N430" s="66"/>
      <c r="O430" s="90"/>
      <c r="P430" s="69"/>
      <c r="Q430" s="90"/>
      <c r="R430" s="90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ref="AE430:AE435" si="111">SUM(AB430:AC430)</f>
        <v>0</v>
      </c>
      <c r="AF430" s="10"/>
      <c r="AG430" s="10"/>
      <c r="AH430" s="10"/>
      <c r="AI430" s="12">
        <f t="shared" si="10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62"/>
      <c r="N431" s="66"/>
      <c r="O431" s="90"/>
      <c r="P431" s="69"/>
      <c r="Q431" s="90"/>
      <c r="R431" s="90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1"/>
        <v>0</v>
      </c>
      <c r="AF431" s="10"/>
      <c r="AG431" s="10"/>
      <c r="AH431" s="10"/>
      <c r="AI431" s="12">
        <f t="shared" si="10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62"/>
      <c r="N432" s="66"/>
      <c r="O432" s="90"/>
      <c r="P432" s="69"/>
      <c r="Q432" s="90"/>
      <c r="R432" s="90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1"/>
        <v>0</v>
      </c>
      <c r="AF432" s="10"/>
      <c r="AG432" s="10"/>
      <c r="AH432" s="10"/>
      <c r="AI432" s="12">
        <f t="shared" si="10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62"/>
      <c r="N433" s="66"/>
      <c r="O433" s="62"/>
      <c r="P433" s="69"/>
      <c r="Q433" s="90"/>
      <c r="R433" s="90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1"/>
        <v>0</v>
      </c>
      <c r="AF433" s="10"/>
      <c r="AG433" s="10"/>
      <c r="AH433" s="10"/>
      <c r="AI433" s="12">
        <f t="shared" si="10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62"/>
      <c r="N434" s="66"/>
      <c r="O434" s="90"/>
      <c r="P434" s="69"/>
      <c r="Q434" s="90"/>
      <c r="R434" s="90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1"/>
        <v>0</v>
      </c>
      <c r="AF434" s="10"/>
      <c r="AG434" s="10"/>
      <c r="AH434" s="10"/>
      <c r="AI434" s="12">
        <f t="shared" si="10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62"/>
      <c r="N435" s="66"/>
      <c r="O435" s="90"/>
      <c r="P435" s="69"/>
      <c r="Q435" s="90"/>
      <c r="R435" s="90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1"/>
        <v>0</v>
      </c>
      <c r="AF435" s="10"/>
      <c r="AG435" s="10"/>
      <c r="AH435" s="10"/>
      <c r="AI435" s="12">
        <f t="shared" si="10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62"/>
      <c r="N436" s="66"/>
      <c r="O436" s="62"/>
      <c r="P436" s="69"/>
      <c r="Q436" s="90"/>
      <c r="R436" s="90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2">SUM(D437:E437)</f>
        <v>0</v>
      </c>
      <c r="H437" s="10"/>
      <c r="I437" s="10"/>
      <c r="J437" s="10"/>
      <c r="K437" s="12">
        <f t="shared" ref="K437" si="113">SUM(G437:J437)</f>
        <v>0</v>
      </c>
      <c r="M437" s="62"/>
      <c r="N437" s="66"/>
      <c r="O437" s="90"/>
      <c r="P437" s="69"/>
      <c r="Q437" s="90"/>
      <c r="R437" s="90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4">SUM(AB437:AC437)</f>
        <v>0</v>
      </c>
      <c r="AF437" s="10"/>
      <c r="AG437" s="10"/>
      <c r="AH437" s="10"/>
      <c r="AI437" s="12">
        <f t="shared" si="10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62"/>
      <c r="N438" s="90"/>
      <c r="O438" s="90"/>
      <c r="P438" s="90"/>
      <c r="Q438" s="90"/>
      <c r="R438" s="90"/>
      <c r="S438" s="90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M439" s="62"/>
      <c r="N439" s="90"/>
      <c r="O439" s="90"/>
      <c r="P439" s="90"/>
      <c r="Q439" s="90"/>
      <c r="R439" s="90"/>
      <c r="S439" s="90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224662</v>
      </c>
      <c r="E440" s="38">
        <f t="shared" ref="E440:F440" si="115">SUM(E397:E437)</f>
        <v>0</v>
      </c>
      <c r="F440" s="38">
        <f t="shared" si="115"/>
        <v>0</v>
      </c>
      <c r="G440" s="38">
        <f>SUM(G397:G439)</f>
        <v>224662</v>
      </c>
      <c r="H440" s="4"/>
      <c r="I440" s="39">
        <f>SUM(I397:I439)</f>
        <v>135</v>
      </c>
      <c r="J440" s="39">
        <f>SUM(J397:J439)</f>
        <v>0</v>
      </c>
      <c r="K440" s="40">
        <f>SUM(K397:K439)</f>
        <v>224797</v>
      </c>
      <c r="M440" s="62"/>
      <c r="N440" s="90"/>
      <c r="O440" s="90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257053.5</v>
      </c>
      <c r="AC440" s="38">
        <f>SUM(AC397:AC421)</f>
        <v>-1296</v>
      </c>
      <c r="AD440" s="38">
        <f>SUM(AD397:AD421)</f>
        <v>0</v>
      </c>
      <c r="AE440" s="38">
        <f>SUM(AE397:AE439)</f>
        <v>255757.5</v>
      </c>
      <c r="AF440" s="4"/>
      <c r="AG440" s="41">
        <f>SUM(AG397:AG439)</f>
        <v>1257</v>
      </c>
      <c r="AH440" s="41">
        <f>SUM(AH397:AH421)</f>
        <v>-2976</v>
      </c>
      <c r="AI440" s="42">
        <f>SUM(AI397:AI439)</f>
        <v>254038.5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0"/>
      <c r="C442" s="90"/>
      <c r="D442" s="90"/>
      <c r="E442" s="90"/>
      <c r="F442" s="90"/>
      <c r="G442" s="90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0"/>
      <c r="C443" s="90"/>
      <c r="D443" s="90"/>
      <c r="E443" s="90"/>
      <c r="F443" s="90"/>
      <c r="G443" s="90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0"/>
      <c r="C444" s="90"/>
      <c r="D444" s="90"/>
      <c r="E444" s="90"/>
      <c r="F444" s="90"/>
      <c r="G444" s="90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0"/>
      <c r="C445" s="90"/>
      <c r="D445" s="90"/>
      <c r="E445" s="90"/>
      <c r="F445" s="90"/>
      <c r="G445" s="90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0"/>
      <c r="C446" s="90"/>
      <c r="D446" s="90"/>
      <c r="E446" s="90"/>
      <c r="F446" s="90"/>
      <c r="G446" s="90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0"/>
      <c r="C447" s="90"/>
      <c r="D447" s="90"/>
      <c r="E447" s="90"/>
      <c r="F447" s="90"/>
      <c r="G447" s="90"/>
      <c r="H447" s="62"/>
      <c r="I447" s="90"/>
      <c r="J447" s="73"/>
      <c r="K447" s="62"/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0"/>
      <c r="C448" s="90"/>
      <c r="D448" s="90"/>
      <c r="E448" s="90"/>
      <c r="F448" s="90"/>
      <c r="G448" s="90"/>
      <c r="H448" s="62"/>
      <c r="I448" s="65"/>
      <c r="J448" s="65"/>
      <c r="K448" s="62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43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0"/>
      <c r="C449" s="90"/>
      <c r="D449" s="90"/>
      <c r="E449" s="90"/>
      <c r="F449" s="90"/>
      <c r="G449" s="90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0"/>
      <c r="D450" s="115"/>
      <c r="E450" s="115"/>
      <c r="F450" s="90"/>
      <c r="G450" s="90"/>
      <c r="H450" s="62"/>
      <c r="I450" s="115"/>
      <c r="J450" s="115"/>
      <c r="K450" s="111"/>
      <c r="N450" s="25"/>
      <c r="O450" s="26"/>
      <c r="P450" s="114" t="s">
        <v>17</v>
      </c>
      <c r="Q450" s="114"/>
      <c r="R450" s="101"/>
      <c r="S450" s="27"/>
      <c r="U450" s="112" t="s">
        <v>18</v>
      </c>
      <c r="V450" s="113"/>
      <c r="W450" s="116" t="s">
        <v>19</v>
      </c>
      <c r="Z450" s="25"/>
      <c r="AA450" s="26"/>
      <c r="AB450" s="114" t="s">
        <v>17</v>
      </c>
      <c r="AC450" s="114"/>
      <c r="AD450" s="101"/>
      <c r="AE450" s="27"/>
      <c r="AG450" s="112" t="s">
        <v>18</v>
      </c>
      <c r="AH450" s="113"/>
      <c r="AI450" s="116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90"/>
      <c r="C451" s="90"/>
      <c r="D451" s="79"/>
      <c r="E451" s="80"/>
      <c r="F451" s="81"/>
      <c r="G451" s="81"/>
      <c r="H451" s="62"/>
      <c r="I451" s="91"/>
      <c r="J451" s="91"/>
      <c r="K451" s="111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17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17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46332</v>
      </c>
      <c r="O452" s="31">
        <v>10876</v>
      </c>
      <c r="P452" s="32">
        <f>650*18+9.5*18</f>
        <v>11871</v>
      </c>
      <c r="Q452" s="32"/>
      <c r="R452" s="32"/>
      <c r="S452" s="32">
        <f>SUM(P452:Q452)</f>
        <v>11871</v>
      </c>
      <c r="T452" s="12"/>
      <c r="U452" s="12"/>
      <c r="V452" s="12"/>
      <c r="W452" s="12">
        <f>SUM(S452:V452)</f>
        <v>11871</v>
      </c>
      <c r="Y452" s="10">
        <v>1</v>
      </c>
      <c r="Z452" s="30">
        <v>46332</v>
      </c>
      <c r="AA452" s="31">
        <v>10930</v>
      </c>
      <c r="AB452" s="32">
        <f>650*30+670*3+622*15+229</f>
        <v>31069</v>
      </c>
      <c r="AC452" s="32"/>
      <c r="AD452" s="32"/>
      <c r="AE452" s="32">
        <f>SUM(AB452:AC452)</f>
        <v>31069</v>
      </c>
      <c r="AF452" s="12"/>
      <c r="AG452" s="12">
        <v>31.5</v>
      </c>
      <c r="AH452" s="12"/>
      <c r="AI452" s="12">
        <f>SUM(AE452:AH452)</f>
        <v>31100.5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46332</v>
      </c>
      <c r="O453" s="31">
        <f>O452+1</f>
        <v>10877</v>
      </c>
      <c r="P453" s="32">
        <f>650*10+622*2+9.5*12</f>
        <v>7858</v>
      </c>
      <c r="Q453" s="32"/>
      <c r="R453" s="32"/>
      <c r="S453" s="32">
        <f t="shared" ref="S453:S490" si="116">SUM(P453:Q453)</f>
        <v>7858</v>
      </c>
      <c r="T453" s="12"/>
      <c r="U453" s="12"/>
      <c r="V453" s="12"/>
      <c r="W453" s="12">
        <f t="shared" ref="W453:W493" si="117">SUM(S453:V453)</f>
        <v>7858</v>
      </c>
      <c r="Y453" s="10">
        <v>2</v>
      </c>
      <c r="Z453" s="30">
        <v>46332</v>
      </c>
      <c r="AA453" s="31">
        <f>AA452+1</f>
        <v>10931</v>
      </c>
      <c r="AB453" s="32">
        <f>650*20+670*4+622*16+872*2+229</f>
        <v>27605</v>
      </c>
      <c r="AC453" s="32"/>
      <c r="AD453" s="32"/>
      <c r="AE453" s="32">
        <f t="shared" ref="AE453:AE455" si="118">SUM(AB453:AC453)</f>
        <v>27605</v>
      </c>
      <c r="AF453" s="12"/>
      <c r="AG453" s="12">
        <f>4.5*29</f>
        <v>130.5</v>
      </c>
      <c r="AH453" s="12"/>
      <c r="AI453" s="12">
        <f t="shared" ref="AI453:AI493" si="119">SUM(AE453:AH453)</f>
        <v>27735.5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46332</v>
      </c>
      <c r="O454" s="31">
        <f t="shared" ref="O454:O456" si="120">O453+1</f>
        <v>10878</v>
      </c>
      <c r="P454" s="32">
        <f>650*216+622*106+229*13+650*2</f>
        <v>210609</v>
      </c>
      <c r="Q454" s="32">
        <f>-322*6</f>
        <v>-1932</v>
      </c>
      <c r="R454" s="32"/>
      <c r="S454" s="32">
        <f t="shared" si="116"/>
        <v>208677</v>
      </c>
      <c r="T454" s="12"/>
      <c r="U454" s="12">
        <f>111*30+78*13</f>
        <v>4344</v>
      </c>
      <c r="V454" s="12">
        <f>-84*24+-42*7</f>
        <v>-2310</v>
      </c>
      <c r="W454" s="12">
        <f t="shared" si="117"/>
        <v>210711</v>
      </c>
      <c r="Y454" s="10">
        <v>3</v>
      </c>
      <c r="Z454" s="30">
        <v>46332</v>
      </c>
      <c r="AA454" s="31">
        <f t="shared" ref="AA454:AA460" si="121">AA453+1</f>
        <v>10932</v>
      </c>
      <c r="AB454" s="33">
        <f>700*3</f>
        <v>2100</v>
      </c>
      <c r="AC454" s="33"/>
      <c r="AD454" s="32"/>
      <c r="AE454" s="32">
        <f t="shared" si="118"/>
        <v>2100</v>
      </c>
      <c r="AF454" s="12"/>
      <c r="AG454" s="12"/>
      <c r="AH454" s="12"/>
      <c r="AI454" s="12">
        <f t="shared" si="119"/>
        <v>2100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>
        <v>46332</v>
      </c>
      <c r="O455" s="31">
        <f t="shared" si="120"/>
        <v>10879</v>
      </c>
      <c r="P455" s="32">
        <f>650*6+9.5*6</f>
        <v>3957</v>
      </c>
      <c r="Q455" s="32"/>
      <c r="R455" s="32"/>
      <c r="S455" s="32">
        <f t="shared" si="116"/>
        <v>3957</v>
      </c>
      <c r="T455" s="12"/>
      <c r="U455" s="12"/>
      <c r="V455" s="12">
        <v>-333</v>
      </c>
      <c r="W455" s="12">
        <f t="shared" si="117"/>
        <v>3624</v>
      </c>
      <c r="Y455" s="10">
        <v>4</v>
      </c>
      <c r="Z455" s="30">
        <v>46332</v>
      </c>
      <c r="AA455" s="31">
        <f t="shared" si="121"/>
        <v>10933</v>
      </c>
      <c r="AB455" s="32">
        <f>650*19+670*3+622*5</f>
        <v>17470</v>
      </c>
      <c r="AC455" s="32"/>
      <c r="AD455" s="32"/>
      <c r="AE455" s="32">
        <f t="shared" si="118"/>
        <v>17470</v>
      </c>
      <c r="AF455" s="12"/>
      <c r="AH455" s="12"/>
      <c r="AI455" s="12">
        <f t="shared" si="119"/>
        <v>17470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>
        <v>46332</v>
      </c>
      <c r="O456" s="31">
        <f t="shared" si="120"/>
        <v>10880</v>
      </c>
      <c r="P456" s="32">
        <f>650*15+9.5*15</f>
        <v>9892.5</v>
      </c>
      <c r="Q456" s="32"/>
      <c r="R456" s="32"/>
      <c r="S456" s="32">
        <f t="shared" si="116"/>
        <v>9892.5</v>
      </c>
      <c r="T456" s="12"/>
      <c r="U456" s="12">
        <v>135</v>
      </c>
      <c r="V456" s="12"/>
      <c r="W456" s="12">
        <f t="shared" si="117"/>
        <v>10027.5</v>
      </c>
      <c r="Y456" s="10">
        <v>5</v>
      </c>
      <c r="Z456" s="30">
        <v>46332</v>
      </c>
      <c r="AA456" s="31">
        <f t="shared" si="121"/>
        <v>10934</v>
      </c>
      <c r="AB456" s="32">
        <f>650*9+622*4</f>
        <v>8338</v>
      </c>
      <c r="AC456" s="32"/>
      <c r="AD456" s="32"/>
      <c r="AE456" s="32">
        <f t="shared" ref="AE456:AE484" si="122">SUM(AB456:AC456)</f>
        <v>8338</v>
      </c>
      <c r="AF456" s="12"/>
      <c r="AG456" s="12"/>
      <c r="AH456" s="12">
        <f>-111*11</f>
        <v>-1221</v>
      </c>
      <c r="AI456" s="12">
        <f t="shared" si="119"/>
        <v>7117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O457" s="11" t="s">
        <v>27</v>
      </c>
      <c r="P457" s="32"/>
      <c r="Q457" s="32"/>
      <c r="R457" s="32"/>
      <c r="S457" s="32">
        <f t="shared" si="116"/>
        <v>0</v>
      </c>
      <c r="T457" s="12"/>
      <c r="U457" s="12"/>
      <c r="V457" s="10"/>
      <c r="W457" s="12">
        <f t="shared" si="117"/>
        <v>0</v>
      </c>
      <c r="Y457" s="10">
        <v>6</v>
      </c>
      <c r="Z457" s="30">
        <v>46332</v>
      </c>
      <c r="AA457" s="31">
        <f t="shared" si="121"/>
        <v>10935</v>
      </c>
      <c r="AB457" s="32">
        <f>650*43+670+622*6</f>
        <v>32352</v>
      </c>
      <c r="AC457" s="32">
        <f>-50*6</f>
        <v>-300</v>
      </c>
      <c r="AD457" s="32"/>
      <c r="AE457" s="32">
        <f t="shared" si="122"/>
        <v>32052</v>
      </c>
      <c r="AF457" s="12"/>
      <c r="AG457" s="12"/>
      <c r="AH457" s="10"/>
      <c r="AI457" s="12">
        <f t="shared" si="119"/>
        <v>32052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16"/>
        <v>0</v>
      </c>
      <c r="T458" s="12"/>
      <c r="U458" s="12"/>
      <c r="V458" s="12"/>
      <c r="W458" s="12">
        <f t="shared" si="117"/>
        <v>0</v>
      </c>
      <c r="Y458" s="10">
        <v>7</v>
      </c>
      <c r="Z458" s="30">
        <v>46332</v>
      </c>
      <c r="AA458" s="31">
        <f t="shared" si="121"/>
        <v>10936</v>
      </c>
      <c r="AB458" s="32">
        <f>650*136+16*622</f>
        <v>98352</v>
      </c>
      <c r="AC458" s="32">
        <f>-152*6</f>
        <v>-912</v>
      </c>
      <c r="AD458" s="32"/>
      <c r="AE458" s="32">
        <f t="shared" si="122"/>
        <v>97440</v>
      </c>
      <c r="AF458" s="12"/>
      <c r="AG458" s="58"/>
      <c r="AH458" s="12"/>
      <c r="AI458" s="12">
        <f t="shared" si="119"/>
        <v>97440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16"/>
        <v>0</v>
      </c>
      <c r="T459" s="12"/>
      <c r="U459" s="12"/>
      <c r="V459" s="12"/>
      <c r="W459" s="12">
        <f t="shared" si="117"/>
        <v>0</v>
      </c>
      <c r="Y459" s="10">
        <v>8</v>
      </c>
      <c r="Z459" s="30">
        <v>46332</v>
      </c>
      <c r="AA459" s="31">
        <f t="shared" si="121"/>
        <v>10937</v>
      </c>
      <c r="AB459" s="32">
        <f>650*5</f>
        <v>3250</v>
      </c>
      <c r="AC459" s="32">
        <f>-5*6</f>
        <v>-30</v>
      </c>
      <c r="AE459" s="32">
        <f t="shared" si="122"/>
        <v>3220</v>
      </c>
      <c r="AF459" s="12"/>
      <c r="AG459" s="12"/>
      <c r="AH459" s="12"/>
      <c r="AI459" s="12">
        <f t="shared" si="119"/>
        <v>3220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16"/>
        <v>0</v>
      </c>
      <c r="T460" s="12"/>
      <c r="U460" s="12"/>
      <c r="V460" s="12"/>
      <c r="W460" s="12">
        <f t="shared" si="117"/>
        <v>0</v>
      </c>
      <c r="Y460" s="10">
        <v>9</v>
      </c>
      <c r="Z460" s="30">
        <v>46332</v>
      </c>
      <c r="AA460" s="31">
        <f t="shared" si="121"/>
        <v>10938</v>
      </c>
      <c r="AB460" s="32">
        <f>650*7+973*26+1050*5</f>
        <v>35098</v>
      </c>
      <c r="AC460" s="32"/>
      <c r="AD460" s="32"/>
      <c r="AE460" s="32">
        <f t="shared" si="122"/>
        <v>35098</v>
      </c>
      <c r="AF460" s="12"/>
      <c r="AH460" s="12"/>
      <c r="AI460" s="12">
        <f t="shared" si="119"/>
        <v>35098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16"/>
        <v>0</v>
      </c>
      <c r="T461" s="12"/>
      <c r="U461" s="12"/>
      <c r="V461" s="12"/>
      <c r="W461" s="12">
        <f t="shared" si="117"/>
        <v>0</v>
      </c>
      <c r="Y461" s="10">
        <v>10</v>
      </c>
      <c r="Z461" s="30"/>
      <c r="AA461" s="11" t="s">
        <v>27</v>
      </c>
      <c r="AB461" s="32"/>
      <c r="AC461" s="32"/>
      <c r="AD461" s="32"/>
      <c r="AE461" s="32">
        <f t="shared" si="122"/>
        <v>0</v>
      </c>
      <c r="AF461" s="12"/>
      <c r="AG461" s="12"/>
      <c r="AH461" s="12"/>
      <c r="AI461" s="12">
        <f t="shared" si="11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0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16"/>
        <v>0</v>
      </c>
      <c r="T462" s="12"/>
      <c r="U462" s="12"/>
      <c r="V462" s="12"/>
      <c r="W462" s="12">
        <f t="shared" si="117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2"/>
        <v>0</v>
      </c>
      <c r="AF462" s="12"/>
      <c r="AG462" s="12"/>
      <c r="AH462" s="12"/>
      <c r="AI462" s="12">
        <f t="shared" si="11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16"/>
        <v>0</v>
      </c>
      <c r="T463" s="12"/>
      <c r="U463" s="12"/>
      <c r="V463" s="12"/>
      <c r="W463" s="12">
        <f t="shared" si="11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2"/>
        <v>0</v>
      </c>
      <c r="AF463" s="12"/>
      <c r="AG463" s="12"/>
      <c r="AH463" s="12"/>
      <c r="AI463" s="12">
        <f t="shared" si="11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16"/>
        <v>0</v>
      </c>
      <c r="T464" s="12"/>
      <c r="U464" s="12"/>
      <c r="V464" s="12"/>
      <c r="W464" s="12">
        <f t="shared" si="11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2"/>
        <v>0</v>
      </c>
      <c r="AF464" s="12"/>
      <c r="AG464" s="12"/>
      <c r="AH464" s="12"/>
      <c r="AI464" s="12">
        <f t="shared" si="11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16"/>
        <v>0</v>
      </c>
      <c r="T465" s="12"/>
      <c r="U465" s="12"/>
      <c r="V465" s="12"/>
      <c r="W465" s="12">
        <f t="shared" si="11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2"/>
        <v>0</v>
      </c>
      <c r="AF465" s="12"/>
      <c r="AG465" s="12"/>
      <c r="AH465" s="12"/>
      <c r="AI465" s="12">
        <f t="shared" si="11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16"/>
        <v>0</v>
      </c>
      <c r="T466" s="12"/>
      <c r="U466" s="12"/>
      <c r="V466" s="12"/>
      <c r="W466" s="12">
        <f t="shared" si="11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2"/>
        <v>0</v>
      </c>
      <c r="AF466" s="12"/>
      <c r="AG466" s="12"/>
      <c r="AH466" s="12"/>
      <c r="AI466" s="12">
        <f t="shared" si="11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11"/>
      <c r="P467" s="32"/>
      <c r="Q467" s="32"/>
      <c r="R467" s="32"/>
      <c r="S467" s="32">
        <f t="shared" si="116"/>
        <v>0</v>
      </c>
      <c r="T467" s="12"/>
      <c r="U467" s="12"/>
      <c r="V467" s="12"/>
      <c r="W467" s="12">
        <f t="shared" si="117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22"/>
        <v>0</v>
      </c>
      <c r="AF467" s="12"/>
      <c r="AG467" s="12"/>
      <c r="AH467" s="12"/>
      <c r="AI467" s="12">
        <f t="shared" si="11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O468" s="31"/>
      <c r="P468" s="35"/>
      <c r="Q468" s="32"/>
      <c r="R468" s="32"/>
      <c r="S468" s="32">
        <f t="shared" si="116"/>
        <v>0</v>
      </c>
      <c r="T468" s="12"/>
      <c r="U468" s="12"/>
      <c r="V468" s="12"/>
      <c r="W468" s="12">
        <f t="shared" si="11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2"/>
        <v>0</v>
      </c>
      <c r="AF468" s="12"/>
      <c r="AG468" s="12"/>
      <c r="AH468" s="12"/>
      <c r="AI468" s="12">
        <f t="shared" si="11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0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16"/>
        <v>0</v>
      </c>
      <c r="T469" s="12"/>
      <c r="U469" s="12"/>
      <c r="V469" s="12"/>
      <c r="W469" s="12">
        <f t="shared" si="11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2"/>
        <v>0</v>
      </c>
      <c r="AF469" s="12"/>
      <c r="AG469" s="12"/>
      <c r="AH469" s="12"/>
      <c r="AI469" s="12">
        <f t="shared" si="11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16"/>
        <v>0</v>
      </c>
      <c r="T470" s="12"/>
      <c r="U470" s="12"/>
      <c r="V470" s="12"/>
      <c r="W470" s="12">
        <f t="shared" si="11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2"/>
        <v>0</v>
      </c>
      <c r="AF470" s="12"/>
      <c r="AG470" s="12"/>
      <c r="AH470" s="12"/>
      <c r="AI470" s="12">
        <f t="shared" si="11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16"/>
        <v>0</v>
      </c>
      <c r="T471" s="12"/>
      <c r="U471" s="12"/>
      <c r="V471" s="12"/>
      <c r="W471" s="12">
        <f t="shared" si="117"/>
        <v>0</v>
      </c>
      <c r="Y471" s="10">
        <v>20</v>
      </c>
      <c r="Z471" s="30"/>
      <c r="AB471" s="32"/>
      <c r="AC471" s="32"/>
      <c r="AD471" s="32"/>
      <c r="AE471" s="32">
        <f t="shared" si="122"/>
        <v>0</v>
      </c>
      <c r="AF471" s="12"/>
      <c r="AG471" s="12"/>
      <c r="AH471" s="12"/>
      <c r="AI471" s="12">
        <f t="shared" si="11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16"/>
        <v>0</v>
      </c>
      <c r="T472" s="10"/>
      <c r="U472" s="10"/>
      <c r="V472" s="10"/>
      <c r="W472" s="12">
        <f t="shared" si="11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2"/>
        <v>0</v>
      </c>
      <c r="AF472" s="10"/>
      <c r="AG472" s="10"/>
      <c r="AH472" s="10"/>
      <c r="AI472" s="12">
        <f t="shared" si="11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16"/>
        <v>0</v>
      </c>
      <c r="T473" s="10"/>
      <c r="U473" s="10"/>
      <c r="V473" s="10"/>
      <c r="W473" s="12">
        <f t="shared" si="11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2"/>
        <v>0</v>
      </c>
      <c r="AF473" s="10"/>
      <c r="AG473" s="10"/>
      <c r="AH473" s="10"/>
      <c r="AI473" s="12">
        <f t="shared" si="11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Q474" s="31"/>
      <c r="S474" s="32">
        <f t="shared" si="116"/>
        <v>0</v>
      </c>
      <c r="T474" s="10"/>
      <c r="U474" s="10"/>
      <c r="V474" s="10"/>
      <c r="W474" s="12">
        <f t="shared" si="117"/>
        <v>0</v>
      </c>
      <c r="Y474" s="10">
        <v>23</v>
      </c>
      <c r="Z474" s="30"/>
      <c r="AA474" s="31"/>
      <c r="AB474" s="47"/>
      <c r="AE474" s="32">
        <f t="shared" si="122"/>
        <v>0</v>
      </c>
      <c r="AF474" s="10"/>
      <c r="AG474" s="10"/>
      <c r="AH474" s="10"/>
      <c r="AI474" s="12">
        <f t="shared" si="11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O475" s="31"/>
      <c r="P475" s="47"/>
      <c r="Q475" s="31"/>
      <c r="R475" s="31"/>
      <c r="S475" s="32">
        <f t="shared" si="116"/>
        <v>0</v>
      </c>
      <c r="T475" s="10"/>
      <c r="U475" s="10"/>
      <c r="V475" s="10"/>
      <c r="W475" s="12">
        <f t="shared" si="11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2"/>
        <v>0</v>
      </c>
      <c r="AF475" s="10"/>
      <c r="AG475" s="10"/>
      <c r="AH475" s="10"/>
      <c r="AI475" s="12">
        <f t="shared" si="11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16"/>
        <v>0</v>
      </c>
      <c r="T476" s="10"/>
      <c r="U476" s="10"/>
      <c r="V476" s="10"/>
      <c r="W476" s="12">
        <f t="shared" si="11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2"/>
        <v>0</v>
      </c>
      <c r="AF476" s="10"/>
      <c r="AG476" s="10"/>
      <c r="AH476" s="10"/>
      <c r="AI476" s="12">
        <f t="shared" si="11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O477" s="31"/>
      <c r="P477" s="47"/>
      <c r="Q477" s="31"/>
      <c r="R477" s="31"/>
      <c r="S477" s="32">
        <f t="shared" si="116"/>
        <v>0</v>
      </c>
      <c r="T477" s="10"/>
      <c r="U477" s="10"/>
      <c r="V477" s="10"/>
      <c r="W477" s="12">
        <f t="shared" si="117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2"/>
        <v>0</v>
      </c>
      <c r="AF477" s="10"/>
      <c r="AG477" s="10"/>
      <c r="AH477" s="10"/>
      <c r="AI477" s="12">
        <f t="shared" si="11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16"/>
        <v>0</v>
      </c>
      <c r="T478" s="10"/>
      <c r="U478" s="10"/>
      <c r="V478" s="10"/>
      <c r="W478" s="12">
        <f t="shared" si="11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2"/>
        <v>0</v>
      </c>
      <c r="AF478" s="10"/>
      <c r="AG478" s="10"/>
      <c r="AH478" s="10"/>
      <c r="AI478" s="12">
        <f t="shared" si="11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16"/>
        <v>0</v>
      </c>
      <c r="T479" s="10"/>
      <c r="U479" s="10"/>
      <c r="V479" s="10"/>
      <c r="W479" s="12">
        <f t="shared" si="11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2"/>
        <v>0</v>
      </c>
      <c r="AF479" s="10"/>
      <c r="AG479" s="10"/>
      <c r="AH479" s="10"/>
      <c r="AI479" s="12">
        <f t="shared" si="11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O480" s="31"/>
      <c r="P480" s="47"/>
      <c r="Q480" s="31"/>
      <c r="R480" s="31"/>
      <c r="S480" s="32">
        <f t="shared" si="116"/>
        <v>0</v>
      </c>
      <c r="T480" s="10"/>
      <c r="U480" s="10"/>
      <c r="V480" s="10"/>
      <c r="W480" s="12">
        <f t="shared" si="11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2"/>
        <v>0</v>
      </c>
      <c r="AF480" s="10"/>
      <c r="AG480" s="10"/>
      <c r="AH480" s="10"/>
      <c r="AI480" s="12">
        <f t="shared" si="11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O481" s="31"/>
      <c r="P481" s="47"/>
      <c r="Q481" s="31"/>
      <c r="R481" s="31"/>
      <c r="S481" s="32">
        <f t="shared" si="116"/>
        <v>0</v>
      </c>
      <c r="T481" s="10"/>
      <c r="U481" s="10"/>
      <c r="V481" s="10"/>
      <c r="W481" s="12">
        <f t="shared" si="11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2"/>
        <v>0</v>
      </c>
      <c r="AF481" s="10"/>
      <c r="AG481" s="10"/>
      <c r="AH481" s="10"/>
      <c r="AI481" s="12">
        <f t="shared" si="11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16"/>
        <v>0</v>
      </c>
      <c r="T482" s="10"/>
      <c r="U482" s="10"/>
      <c r="V482" s="10"/>
      <c r="W482" s="12">
        <f t="shared" si="11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2"/>
        <v>0</v>
      </c>
      <c r="AF482" s="10"/>
      <c r="AG482" s="10"/>
      <c r="AH482" s="10"/>
      <c r="AI482" s="12">
        <f t="shared" si="11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O483" s="31"/>
      <c r="P483" s="47"/>
      <c r="Q483" s="31"/>
      <c r="R483" s="31"/>
      <c r="S483" s="32">
        <f t="shared" si="116"/>
        <v>0</v>
      </c>
      <c r="T483" s="10"/>
      <c r="U483" s="10"/>
      <c r="V483" s="10"/>
      <c r="W483" s="12">
        <f t="shared" si="11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2"/>
        <v>0</v>
      </c>
      <c r="AF483" s="10"/>
      <c r="AG483" s="10"/>
      <c r="AH483" s="10"/>
      <c r="AI483" s="12">
        <f t="shared" si="11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16"/>
        <v>0</v>
      </c>
      <c r="T484" s="10"/>
      <c r="U484" s="10"/>
      <c r="V484" s="10"/>
      <c r="W484" s="12">
        <f t="shared" si="11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2"/>
        <v>0</v>
      </c>
      <c r="AF484" s="10"/>
      <c r="AG484" s="10"/>
      <c r="AH484" s="10"/>
      <c r="AI484" s="12">
        <f t="shared" si="11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si="116"/>
        <v>0</v>
      </c>
      <c r="T485" s="10"/>
      <c r="U485" s="10"/>
      <c r="V485" s="10"/>
      <c r="W485" s="12">
        <f t="shared" si="11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23">SUM(AB485:AC485)</f>
        <v>0</v>
      </c>
      <c r="AF485" s="10"/>
      <c r="AG485" s="10"/>
      <c r="AH485" s="10"/>
      <c r="AI485" s="12">
        <f t="shared" si="11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16"/>
        <v>0</v>
      </c>
      <c r="T486" s="10"/>
      <c r="U486" s="10"/>
      <c r="V486" s="10"/>
      <c r="W486" s="12">
        <f t="shared" si="11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1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16"/>
        <v>0</v>
      </c>
      <c r="T487" s="10"/>
      <c r="U487" s="10"/>
      <c r="V487" s="10"/>
      <c r="W487" s="12">
        <f t="shared" si="11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1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0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16"/>
        <v>0</v>
      </c>
      <c r="T488" s="10"/>
      <c r="U488" s="10"/>
      <c r="V488" s="10"/>
      <c r="W488" s="12">
        <f t="shared" si="11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1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0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16"/>
        <v>0</v>
      </c>
      <c r="T489" s="10"/>
      <c r="U489" s="10"/>
      <c r="V489" s="10"/>
      <c r="W489" s="12">
        <f t="shared" si="11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1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0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16"/>
        <v>0</v>
      </c>
      <c r="T490" s="10"/>
      <c r="U490" s="10"/>
      <c r="V490" s="10"/>
      <c r="W490" s="12">
        <f t="shared" si="11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1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0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1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0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24">SUM(P492:Q492)</f>
        <v>0</v>
      </c>
      <c r="T492" s="10"/>
      <c r="U492" s="10"/>
      <c r="V492" s="10"/>
      <c r="W492" s="12">
        <f t="shared" si="117"/>
        <v>0</v>
      </c>
      <c r="Y492" s="10"/>
      <c r="Z492" s="30"/>
      <c r="AA492" s="31"/>
      <c r="AB492" s="47"/>
      <c r="AC492" s="31"/>
      <c r="AD492" s="31"/>
      <c r="AE492" s="32">
        <f t="shared" ref="AE492" si="125">SUM(AB492:AC492)</f>
        <v>0</v>
      </c>
      <c r="AF492" s="10"/>
      <c r="AG492" s="10"/>
      <c r="AH492" s="10"/>
      <c r="AI492" s="12">
        <f t="shared" si="11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1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0"/>
      <c r="C494" s="90"/>
      <c r="D494" s="90"/>
      <c r="E494" s="90"/>
      <c r="F494" s="90"/>
      <c r="G494" s="90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0"/>
      <c r="C495" s="90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244187.5</v>
      </c>
      <c r="Q495" s="38">
        <f>SUM(Q452:Q476)</f>
        <v>-1932</v>
      </c>
      <c r="R495" s="38">
        <f>SUM(R452:R476)</f>
        <v>0</v>
      </c>
      <c r="S495" s="38">
        <f>SUM(S452:S494)</f>
        <v>242255.5</v>
      </c>
      <c r="T495" s="4"/>
      <c r="U495" s="41">
        <f>SUM(U452:U494)</f>
        <v>4479</v>
      </c>
      <c r="V495" s="41">
        <f>SUM(V452:V476)</f>
        <v>-2643</v>
      </c>
      <c r="W495" s="42">
        <f>SUM(W452:W494)</f>
        <v>244091.5</v>
      </c>
      <c r="Z495" s="57"/>
      <c r="AA495" s="57"/>
      <c r="AB495" s="38">
        <f>SUM(AB452:AB494)</f>
        <v>255634</v>
      </c>
      <c r="AC495" s="38">
        <f>SUM(AC452:AC476)</f>
        <v>-1242</v>
      </c>
      <c r="AD495" s="38">
        <f>SUM(AD452:AD476)</f>
        <v>0</v>
      </c>
      <c r="AE495" s="38">
        <f>SUM(AE452:AE494)</f>
        <v>254392</v>
      </c>
      <c r="AF495" s="4"/>
      <c r="AG495" s="41">
        <f>SUM(AG452:AG494)</f>
        <v>162</v>
      </c>
      <c r="AH495" s="41">
        <f>SUM(AH452:AH476)</f>
        <v>-1221</v>
      </c>
      <c r="AI495" s="42">
        <f>SUM(AI452:AI494)</f>
        <v>253333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103"/>
      <c r="AA497" s="103"/>
      <c r="AB497" s="103"/>
      <c r="AC497" s="103"/>
      <c r="AD497" s="103"/>
      <c r="AE497" s="103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103"/>
      <c r="AA498" s="103"/>
      <c r="AB498" s="103"/>
      <c r="AC498" s="103"/>
      <c r="AD498" s="103"/>
      <c r="AE498" s="103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3"/>
      <c r="Z499" s="103"/>
      <c r="AA499" s="103"/>
      <c r="AB499" s="103"/>
      <c r="AC499" s="103"/>
      <c r="AD499" s="103"/>
      <c r="AE499" s="103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2"/>
      <c r="Z500" s="103"/>
      <c r="AA500" s="103"/>
      <c r="AB500" s="103"/>
      <c r="AC500" s="103"/>
      <c r="AD500" s="103"/>
      <c r="AE500" s="103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103"/>
      <c r="AA501" s="103"/>
      <c r="AB501" s="103"/>
      <c r="AC501" s="103"/>
      <c r="AD501" s="103"/>
      <c r="AE501" s="103"/>
      <c r="AF501" s="62"/>
      <c r="AG501" s="103"/>
      <c r="AH501" s="103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45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48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4"/>
      <c r="Z502" s="103"/>
      <c r="AA502" s="103"/>
      <c r="AB502" s="103"/>
      <c r="AC502" s="103"/>
      <c r="AD502" s="103"/>
      <c r="AE502" s="103"/>
      <c r="AF502" s="62"/>
      <c r="AG502" s="65"/>
      <c r="AH502" s="65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61</v>
      </c>
      <c r="B503" s="20"/>
      <c r="C503" s="57"/>
      <c r="D503" s="57"/>
      <c r="E503" s="57"/>
      <c r="G503" s="57"/>
      <c r="I503" s="22" t="s">
        <v>16</v>
      </c>
      <c r="J503" s="23" t="s">
        <v>43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62"/>
      <c r="Z503" s="103"/>
      <c r="AA503" s="103"/>
      <c r="AB503" s="103"/>
      <c r="AC503" s="103"/>
      <c r="AD503" s="103"/>
      <c r="AE503" s="103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65"/>
      <c r="AA504" s="103"/>
      <c r="AB504" s="115"/>
      <c r="AC504" s="115"/>
      <c r="AD504" s="103"/>
      <c r="AE504" s="103"/>
      <c r="AF504" s="62"/>
      <c r="AG504" s="115"/>
      <c r="AH504" s="115"/>
      <c r="AI504" s="111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14" t="s">
        <v>17</v>
      </c>
      <c r="E505" s="114"/>
      <c r="F505" s="104"/>
      <c r="G505" s="27"/>
      <c r="I505" s="112" t="s">
        <v>18</v>
      </c>
      <c r="J505" s="113"/>
      <c r="K505" s="116" t="s">
        <v>19</v>
      </c>
      <c r="N505" s="25"/>
      <c r="O505" s="26"/>
      <c r="P505" s="114" t="s">
        <v>17</v>
      </c>
      <c r="Q505" s="114"/>
      <c r="R505" s="104"/>
      <c r="S505" s="27"/>
      <c r="U505" s="112" t="s">
        <v>18</v>
      </c>
      <c r="V505" s="113"/>
      <c r="W505" s="116" t="s">
        <v>19</v>
      </c>
      <c r="Y505" s="62"/>
      <c r="Z505" s="103"/>
      <c r="AA505" s="103"/>
      <c r="AB505" s="79"/>
      <c r="AC505" s="81"/>
      <c r="AD505" s="81"/>
      <c r="AE505" s="81"/>
      <c r="AF505" s="62"/>
      <c r="AG505" s="102"/>
      <c r="AH505" s="102"/>
      <c r="AI505" s="111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17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17"/>
      <c r="Y506" s="62"/>
      <c r="Z506" s="66"/>
      <c r="AA506" s="103"/>
      <c r="AB506" s="60"/>
      <c r="AC506" s="60"/>
      <c r="AD506" s="60"/>
      <c r="AE506" s="60"/>
      <c r="AF506" s="61"/>
      <c r="AG506" s="61"/>
      <c r="AH506" s="61"/>
      <c r="AI506" s="6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46362</v>
      </c>
      <c r="C507" s="83">
        <v>10939</v>
      </c>
      <c r="D507" s="32">
        <f>650*90+670*4+622*20+500*4</f>
        <v>75620</v>
      </c>
      <c r="E507" s="32"/>
      <c r="F507" s="32"/>
      <c r="G507" s="32">
        <f t="shared" ref="G507:G540" si="126">SUM(D507:E507)</f>
        <v>75620</v>
      </c>
      <c r="H507" s="12"/>
      <c r="I507" s="12">
        <f>1.5*24</f>
        <v>36</v>
      </c>
      <c r="J507" s="12"/>
      <c r="K507" s="12">
        <f t="shared" ref="K507:K540" si="127">SUM(G507:J507)</f>
        <v>75656</v>
      </c>
      <c r="M507" s="10">
        <v>1</v>
      </c>
      <c r="N507" s="30">
        <v>46362</v>
      </c>
      <c r="O507" s="31">
        <v>10881</v>
      </c>
      <c r="P507" s="32">
        <f>622*36</f>
        <v>22392</v>
      </c>
      <c r="Q507" s="32"/>
      <c r="R507" s="32"/>
      <c r="S507" s="32">
        <f>SUM(P507:Q507)</f>
        <v>22392</v>
      </c>
      <c r="T507" s="12"/>
      <c r="U507" s="12"/>
      <c r="V507" s="12"/>
      <c r="W507" s="12">
        <f>SUM(S507:V507)</f>
        <v>22392</v>
      </c>
      <c r="Y507" s="62"/>
      <c r="Z507" s="66"/>
      <c r="AA507" s="103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46362</v>
      </c>
      <c r="C508" s="83">
        <f>C507+1</f>
        <v>10940</v>
      </c>
      <c r="D508" s="32">
        <f>650*20</f>
        <v>13000</v>
      </c>
      <c r="E508" s="32"/>
      <c r="F508" s="32"/>
      <c r="G508" s="32">
        <f t="shared" si="126"/>
        <v>13000</v>
      </c>
      <c r="H508" s="12"/>
      <c r="I508" s="12"/>
      <c r="J508" s="12"/>
      <c r="K508" s="12">
        <f t="shared" si="127"/>
        <v>13000</v>
      </c>
      <c r="M508" s="10">
        <v>2</v>
      </c>
      <c r="N508" s="30">
        <v>46362</v>
      </c>
      <c r="O508" s="31">
        <f>O507+1</f>
        <v>10882</v>
      </c>
      <c r="P508" s="32">
        <f>650*50+670*3+622*10+500+872+229*4+650</f>
        <v>43668</v>
      </c>
      <c r="Q508" s="32"/>
      <c r="R508" s="32"/>
      <c r="S508" s="32">
        <f t="shared" ref="S508:S545" si="128">SUM(P508:Q508)</f>
        <v>43668</v>
      </c>
      <c r="T508" s="12"/>
      <c r="U508" s="12"/>
      <c r="V508" s="12">
        <f>-111*11</f>
        <v>-1221</v>
      </c>
      <c r="W508" s="12">
        <f t="shared" ref="W508:W548" si="129">SUM(S508:V508)</f>
        <v>42447</v>
      </c>
      <c r="Y508" s="62"/>
      <c r="Z508" s="66"/>
      <c r="AA508" s="103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46362</v>
      </c>
      <c r="C509" s="83">
        <f t="shared" ref="C509:C512" si="130">C508+1</f>
        <v>10941</v>
      </c>
      <c r="D509" s="33">
        <f>650*178+622*10+229*5</f>
        <v>123065</v>
      </c>
      <c r="E509" s="33"/>
      <c r="F509" s="33"/>
      <c r="G509" s="33">
        <f t="shared" si="126"/>
        <v>123065</v>
      </c>
      <c r="H509" s="34"/>
      <c r="I509" s="34"/>
      <c r="J509" s="34"/>
      <c r="K509" s="34">
        <f t="shared" si="127"/>
        <v>123065</v>
      </c>
      <c r="M509" s="10">
        <v>3</v>
      </c>
      <c r="N509" s="30">
        <v>46362</v>
      </c>
      <c r="O509" s="31">
        <f t="shared" ref="O509:O512" si="131">O508+1</f>
        <v>10883</v>
      </c>
      <c r="P509" s="32">
        <f>650*10+872+650</f>
        <v>8022</v>
      </c>
      <c r="Q509" s="32"/>
      <c r="R509" s="32"/>
      <c r="S509" s="32">
        <f t="shared" si="128"/>
        <v>8022</v>
      </c>
      <c r="T509" s="12"/>
      <c r="U509" s="12">
        <f>4.5*12</f>
        <v>54</v>
      </c>
      <c r="V509" s="12"/>
      <c r="W509" s="12">
        <f t="shared" si="129"/>
        <v>8076</v>
      </c>
      <c r="Y509" s="62"/>
      <c r="Z509" s="66"/>
      <c r="AA509" s="103"/>
      <c r="AB509" s="60"/>
      <c r="AC509" s="60"/>
      <c r="AD509" s="60"/>
      <c r="AE509" s="60"/>
      <c r="AF509" s="61"/>
      <c r="AG509" s="62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46362</v>
      </c>
      <c r="C510" s="83">
        <f t="shared" si="130"/>
        <v>10942</v>
      </c>
      <c r="D510" s="32">
        <f>650*5+650*2</f>
        <v>4550</v>
      </c>
      <c r="E510" s="32"/>
      <c r="F510" s="32"/>
      <c r="G510" s="32">
        <f t="shared" si="126"/>
        <v>4550</v>
      </c>
      <c r="H510" s="12"/>
      <c r="I510" s="12"/>
      <c r="J510" s="12"/>
      <c r="K510" s="12">
        <f t="shared" si="127"/>
        <v>4550</v>
      </c>
      <c r="M510" s="10">
        <v>4</v>
      </c>
      <c r="N510" s="30">
        <v>46362</v>
      </c>
      <c r="O510" s="31">
        <f t="shared" si="131"/>
        <v>10884</v>
      </c>
      <c r="P510" s="32">
        <f>650*43+622*2+670+650</f>
        <v>30514</v>
      </c>
      <c r="Q510" s="32"/>
      <c r="R510" s="32"/>
      <c r="S510" s="32">
        <f t="shared" si="128"/>
        <v>30514</v>
      </c>
      <c r="T510" s="12"/>
      <c r="U510" s="12"/>
      <c r="V510" s="12"/>
      <c r="W510" s="12">
        <f t="shared" si="129"/>
        <v>30514</v>
      </c>
      <c r="Y510" s="62"/>
      <c r="Z510" s="66"/>
      <c r="AA510" s="103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46362</v>
      </c>
      <c r="C511" s="83">
        <f t="shared" si="130"/>
        <v>10943</v>
      </c>
      <c r="D511" s="32">
        <f>650*108+622*71+229*6</f>
        <v>115736</v>
      </c>
      <c r="E511" s="32">
        <f>-179*6</f>
        <v>-1074</v>
      </c>
      <c r="F511" s="32"/>
      <c r="G511" s="32">
        <f t="shared" si="126"/>
        <v>114662</v>
      </c>
      <c r="H511" s="12"/>
      <c r="I511" s="12">
        <f>111*179+78*6</f>
        <v>20337</v>
      </c>
      <c r="J511" s="12"/>
      <c r="K511" s="12">
        <f t="shared" si="127"/>
        <v>134999</v>
      </c>
      <c r="M511" s="10">
        <v>5</v>
      </c>
      <c r="N511" s="30">
        <v>46362</v>
      </c>
      <c r="O511" s="31">
        <f t="shared" si="131"/>
        <v>10885</v>
      </c>
      <c r="P511" s="32">
        <f>650*4+670</f>
        <v>3270</v>
      </c>
      <c r="Q511" s="32"/>
      <c r="R511" s="32"/>
      <c r="S511" s="32">
        <f t="shared" si="128"/>
        <v>3270</v>
      </c>
      <c r="T511" s="12"/>
      <c r="U511" s="12"/>
      <c r="V511" s="12"/>
      <c r="W511" s="12">
        <f t="shared" si="129"/>
        <v>3270</v>
      </c>
      <c r="Y511" s="62"/>
      <c r="Z511" s="66"/>
      <c r="AA511" s="103"/>
      <c r="AB511" s="60"/>
      <c r="AC511" s="60"/>
      <c r="AD511" s="60"/>
      <c r="AE511" s="60"/>
      <c r="AF511" s="61"/>
      <c r="AG511" s="61"/>
      <c r="AH511" s="62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46362</v>
      </c>
      <c r="C512" s="83">
        <f t="shared" si="130"/>
        <v>10944</v>
      </c>
      <c r="D512" s="32">
        <f>650*18+670*4+622*2</f>
        <v>15624</v>
      </c>
      <c r="E512" s="32"/>
      <c r="F512" s="32"/>
      <c r="G512" s="32">
        <f t="shared" si="126"/>
        <v>15624</v>
      </c>
      <c r="H512" s="12"/>
      <c r="I512" s="12">
        <f>4.5*28</f>
        <v>126</v>
      </c>
      <c r="J512" s="12"/>
      <c r="K512" s="12">
        <f t="shared" si="127"/>
        <v>15750</v>
      </c>
      <c r="M512" s="10">
        <v>6</v>
      </c>
      <c r="N512" s="30">
        <v>46362</v>
      </c>
      <c r="O512" s="31">
        <f t="shared" si="131"/>
        <v>10886</v>
      </c>
      <c r="P512" s="32">
        <f>650*170+622*20+229*6+650*2</f>
        <v>125614</v>
      </c>
      <c r="Q512" s="32">
        <f>-190*6</f>
        <v>-1140</v>
      </c>
      <c r="R512" s="32"/>
      <c r="S512" s="32">
        <f t="shared" si="128"/>
        <v>124474</v>
      </c>
      <c r="T512" s="12"/>
      <c r="U512" s="12">
        <f>78*4</f>
        <v>312</v>
      </c>
      <c r="V512" s="10">
        <f>-120*5+-111*42+-42*4</f>
        <v>-5430</v>
      </c>
      <c r="W512" s="12">
        <f t="shared" si="129"/>
        <v>119356</v>
      </c>
      <c r="Y512" s="62"/>
      <c r="Z512" s="66"/>
      <c r="AA512" s="103"/>
      <c r="AB512" s="60"/>
      <c r="AC512" s="60"/>
      <c r="AD512" s="60"/>
      <c r="AE512" s="60"/>
      <c r="AF512" s="61"/>
      <c r="AG512" s="61"/>
      <c r="AH512" s="61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11" t="s">
        <v>27</v>
      </c>
      <c r="D513" s="32"/>
      <c r="E513" s="32"/>
      <c r="F513" s="32"/>
      <c r="G513" s="32">
        <f t="shared" si="126"/>
        <v>0</v>
      </c>
      <c r="H513" s="12"/>
      <c r="I513" s="12"/>
      <c r="J513" s="12"/>
      <c r="K513" s="12">
        <f t="shared" si="127"/>
        <v>0</v>
      </c>
      <c r="M513" s="10">
        <v>7</v>
      </c>
      <c r="N513" s="30"/>
      <c r="O513" s="11" t="s">
        <v>27</v>
      </c>
      <c r="P513" s="32"/>
      <c r="Q513" s="32"/>
      <c r="R513" s="32"/>
      <c r="S513" s="32">
        <f t="shared" si="128"/>
        <v>0</v>
      </c>
      <c r="T513" s="12"/>
      <c r="U513" s="12"/>
      <c r="V513" s="12"/>
      <c r="W513" s="12">
        <f t="shared" si="129"/>
        <v>0</v>
      </c>
      <c r="Y513" s="62"/>
      <c r="Z513" s="66"/>
      <c r="AA513" s="103"/>
      <c r="AB513" s="60"/>
      <c r="AC513" s="60"/>
      <c r="AD513" s="62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26"/>
        <v>0</v>
      </c>
      <c r="H514" s="12"/>
      <c r="I514" s="12"/>
      <c r="J514" s="12"/>
      <c r="K514" s="12">
        <f t="shared" si="127"/>
        <v>0</v>
      </c>
      <c r="M514" s="10">
        <v>8</v>
      </c>
      <c r="N514" s="30"/>
      <c r="P514" s="32"/>
      <c r="Q514" s="32"/>
      <c r="R514" s="32"/>
      <c r="S514" s="32">
        <f t="shared" si="128"/>
        <v>0</v>
      </c>
      <c r="T514" s="12"/>
      <c r="U514" s="12"/>
      <c r="V514" s="12"/>
      <c r="W514" s="12">
        <f t="shared" si="129"/>
        <v>0</v>
      </c>
      <c r="Y514" s="62"/>
      <c r="Z514" s="66"/>
      <c r="AA514" s="103"/>
      <c r="AB514" s="60"/>
      <c r="AC514" s="60"/>
      <c r="AD514" s="60"/>
      <c r="AE514" s="60"/>
      <c r="AF514" s="61"/>
      <c r="AG514" s="62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57"/>
      <c r="D515" s="32"/>
      <c r="E515" s="32"/>
      <c r="F515" s="32"/>
      <c r="G515" s="32">
        <f t="shared" si="126"/>
        <v>0</v>
      </c>
      <c r="H515" s="12"/>
      <c r="I515" s="12"/>
      <c r="J515" s="12"/>
      <c r="K515" s="12">
        <f t="shared" si="127"/>
        <v>0</v>
      </c>
      <c r="M515" s="10">
        <v>9</v>
      </c>
      <c r="N515" s="30"/>
      <c r="O515" s="31"/>
      <c r="P515" s="32"/>
      <c r="Q515" s="32"/>
      <c r="R515" s="32"/>
      <c r="S515" s="32">
        <f t="shared" si="128"/>
        <v>0</v>
      </c>
      <c r="T515" s="12"/>
      <c r="U515" s="12"/>
      <c r="V515" s="12"/>
      <c r="W515" s="12">
        <f t="shared" si="129"/>
        <v>0</v>
      </c>
      <c r="Y515" s="62"/>
      <c r="Z515" s="66"/>
      <c r="AA515" s="103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26"/>
        <v>0</v>
      </c>
      <c r="H516" s="12"/>
      <c r="I516" s="12"/>
      <c r="J516" s="12"/>
      <c r="K516" s="12">
        <f t="shared" si="127"/>
        <v>0</v>
      </c>
      <c r="M516" s="10">
        <v>10</v>
      </c>
      <c r="N516" s="30"/>
      <c r="O516" s="31"/>
      <c r="P516" s="32"/>
      <c r="Q516" s="32"/>
      <c r="R516" s="32"/>
      <c r="S516" s="32">
        <f t="shared" si="128"/>
        <v>0</v>
      </c>
      <c r="T516" s="12"/>
      <c r="U516" s="12"/>
      <c r="V516" s="12"/>
      <c r="W516" s="12">
        <f t="shared" si="129"/>
        <v>0</v>
      </c>
      <c r="Y516" s="62"/>
      <c r="Z516" s="66"/>
      <c r="AA516" s="103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26"/>
        <v>0</v>
      </c>
      <c r="H517" s="12"/>
      <c r="I517" s="12"/>
      <c r="J517" s="12"/>
      <c r="K517" s="12">
        <f t="shared" si="127"/>
        <v>0</v>
      </c>
      <c r="M517" s="10">
        <v>11</v>
      </c>
      <c r="N517" s="30"/>
      <c r="O517" s="31"/>
      <c r="P517" s="32"/>
      <c r="Q517" s="32"/>
      <c r="R517" s="32"/>
      <c r="S517" s="32">
        <f t="shared" si="128"/>
        <v>0</v>
      </c>
      <c r="T517" s="12"/>
      <c r="U517" s="12"/>
      <c r="V517" s="12"/>
      <c r="W517" s="12">
        <f t="shared" si="129"/>
        <v>0</v>
      </c>
      <c r="Y517" s="62"/>
      <c r="Z517" s="66"/>
      <c r="AA517" s="65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26"/>
        <v>0</v>
      </c>
      <c r="H518" s="12"/>
      <c r="I518" s="12"/>
      <c r="J518" s="10"/>
      <c r="K518" s="12">
        <f t="shared" si="127"/>
        <v>0</v>
      </c>
      <c r="M518" s="10">
        <v>12</v>
      </c>
      <c r="N518" s="30"/>
      <c r="O518" s="31"/>
      <c r="P518" s="32"/>
      <c r="Q518" s="32"/>
      <c r="R518" s="32"/>
      <c r="S518" s="32">
        <f t="shared" si="128"/>
        <v>0</v>
      </c>
      <c r="T518" s="12"/>
      <c r="U518" s="12"/>
      <c r="V518" s="12"/>
      <c r="W518" s="12">
        <f t="shared" si="129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57"/>
      <c r="D519" s="32"/>
      <c r="E519" s="32"/>
      <c r="F519" s="32"/>
      <c r="G519" s="32">
        <f t="shared" si="126"/>
        <v>0</v>
      </c>
      <c r="H519" s="12"/>
      <c r="I519" s="12"/>
      <c r="J519" s="12"/>
      <c r="K519" s="12">
        <f t="shared" si="127"/>
        <v>0</v>
      </c>
      <c r="M519" s="10">
        <v>13</v>
      </c>
      <c r="N519" s="30"/>
      <c r="O519" s="31"/>
      <c r="P519" s="32"/>
      <c r="Q519" s="32"/>
      <c r="R519" s="32"/>
      <c r="S519" s="32">
        <f t="shared" si="128"/>
        <v>0</v>
      </c>
      <c r="T519" s="12"/>
      <c r="U519" s="12"/>
      <c r="V519" s="12"/>
      <c r="W519" s="12">
        <f t="shared" si="129"/>
        <v>0</v>
      </c>
      <c r="Y519" s="62"/>
      <c r="Z519" s="66"/>
      <c r="AA519" s="103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26"/>
        <v>0</v>
      </c>
      <c r="H520" s="12"/>
      <c r="I520" s="12"/>
      <c r="J520" s="12"/>
      <c r="K520" s="12">
        <f t="shared" si="127"/>
        <v>0</v>
      </c>
      <c r="M520" s="10">
        <v>14</v>
      </c>
      <c r="N520" s="30"/>
      <c r="O520" s="31"/>
      <c r="P520" s="32"/>
      <c r="Q520" s="32"/>
      <c r="R520" s="32"/>
      <c r="S520" s="32">
        <f t="shared" si="128"/>
        <v>0</v>
      </c>
      <c r="T520" s="12"/>
      <c r="U520" s="12"/>
      <c r="V520" s="12"/>
      <c r="W520" s="12">
        <f t="shared" si="129"/>
        <v>0</v>
      </c>
      <c r="Y520" s="62"/>
      <c r="Z520" s="66"/>
      <c r="AA520" s="103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26"/>
        <v>0</v>
      </c>
      <c r="H521" s="12"/>
      <c r="I521" s="12"/>
      <c r="J521" s="12"/>
      <c r="K521" s="12">
        <f t="shared" si="127"/>
        <v>0</v>
      </c>
      <c r="M521" s="10">
        <v>15</v>
      </c>
      <c r="N521" s="30"/>
      <c r="O521" s="31"/>
      <c r="P521" s="32"/>
      <c r="Q521" s="32"/>
      <c r="R521" s="32"/>
      <c r="S521" s="32">
        <f t="shared" si="128"/>
        <v>0</v>
      </c>
      <c r="T521" s="12"/>
      <c r="U521" s="12"/>
      <c r="V521" s="12"/>
      <c r="W521" s="12">
        <f t="shared" si="129"/>
        <v>0</v>
      </c>
      <c r="Y521" s="62"/>
      <c r="Z521" s="62"/>
      <c r="AA521" s="65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26"/>
        <v>0</v>
      </c>
      <c r="H522" s="12"/>
      <c r="I522" s="12"/>
      <c r="J522" s="12"/>
      <c r="K522" s="12">
        <f t="shared" si="127"/>
        <v>0</v>
      </c>
      <c r="M522" s="10">
        <v>16</v>
      </c>
      <c r="N522" s="30"/>
      <c r="O522" s="11"/>
      <c r="P522" s="32"/>
      <c r="Q522" s="32"/>
      <c r="R522" s="32"/>
      <c r="S522" s="32">
        <f t="shared" si="128"/>
        <v>0</v>
      </c>
      <c r="T522" s="12"/>
      <c r="U522" s="12"/>
      <c r="V522" s="12"/>
      <c r="W522" s="12">
        <f t="shared" si="129"/>
        <v>0</v>
      </c>
      <c r="Y522" s="62"/>
      <c r="Z522" s="66"/>
      <c r="AA522" s="103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26"/>
        <v>0</v>
      </c>
      <c r="H523" s="12"/>
      <c r="I523" s="12"/>
      <c r="J523" s="12"/>
      <c r="K523" s="12">
        <f t="shared" si="127"/>
        <v>0</v>
      </c>
      <c r="M523" s="10">
        <v>17</v>
      </c>
      <c r="N523" s="30"/>
      <c r="O523" s="31"/>
      <c r="P523" s="35"/>
      <c r="Q523" s="32"/>
      <c r="R523" s="32"/>
      <c r="S523" s="32">
        <f t="shared" si="128"/>
        <v>0</v>
      </c>
      <c r="T523" s="12"/>
      <c r="U523" s="12"/>
      <c r="V523" s="12"/>
      <c r="W523" s="12">
        <f t="shared" si="129"/>
        <v>0</v>
      </c>
      <c r="Y523" s="62"/>
      <c r="Z523" s="66"/>
      <c r="AA523" s="103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26"/>
        <v>0</v>
      </c>
      <c r="H524" s="12"/>
      <c r="I524" s="12"/>
      <c r="J524" s="12"/>
      <c r="K524" s="12">
        <f t="shared" si="127"/>
        <v>0</v>
      </c>
      <c r="M524" s="10">
        <v>18</v>
      </c>
      <c r="N524" s="30"/>
      <c r="O524" s="31"/>
      <c r="P524" s="32"/>
      <c r="Q524" s="32"/>
      <c r="R524" s="32"/>
      <c r="S524" s="32">
        <f t="shared" si="128"/>
        <v>0</v>
      </c>
      <c r="T524" s="12"/>
      <c r="U524" s="12"/>
      <c r="V524" s="12"/>
      <c r="W524" s="12">
        <f t="shared" si="129"/>
        <v>0</v>
      </c>
      <c r="Y524" s="62"/>
      <c r="Z524" s="66"/>
      <c r="AA524" s="103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26"/>
        <v>0</v>
      </c>
      <c r="H525" s="12"/>
      <c r="I525" s="12"/>
      <c r="J525" s="12"/>
      <c r="K525" s="12">
        <f t="shared" si="127"/>
        <v>0</v>
      </c>
      <c r="M525" s="10">
        <v>19</v>
      </c>
      <c r="N525" s="30"/>
      <c r="O525" s="31"/>
      <c r="P525" s="32"/>
      <c r="Q525" s="32"/>
      <c r="R525" s="32"/>
      <c r="S525" s="32">
        <f t="shared" si="128"/>
        <v>0</v>
      </c>
      <c r="T525" s="12"/>
      <c r="U525" s="12"/>
      <c r="V525" s="12"/>
      <c r="W525" s="12">
        <f t="shared" si="129"/>
        <v>0</v>
      </c>
      <c r="Y525" s="62"/>
      <c r="Z525" s="66"/>
      <c r="AA525" s="62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26"/>
        <v>0</v>
      </c>
      <c r="H526" s="12"/>
      <c r="I526" s="12"/>
      <c r="J526" s="12"/>
      <c r="K526" s="12">
        <f t="shared" si="127"/>
        <v>0</v>
      </c>
      <c r="M526" s="10">
        <v>20</v>
      </c>
      <c r="N526" s="30"/>
      <c r="O526" s="31"/>
      <c r="P526" s="32"/>
      <c r="Q526" s="32"/>
      <c r="R526" s="32"/>
      <c r="S526" s="32">
        <f t="shared" si="128"/>
        <v>0</v>
      </c>
      <c r="T526" s="12"/>
      <c r="U526" s="12"/>
      <c r="V526" s="12"/>
      <c r="W526" s="12">
        <f t="shared" si="129"/>
        <v>0</v>
      </c>
      <c r="Y526" s="62"/>
      <c r="Z526" s="66"/>
      <c r="AA526" s="103"/>
      <c r="AB526" s="67"/>
      <c r="AC526" s="103"/>
      <c r="AD526" s="103"/>
      <c r="AE526" s="60"/>
      <c r="AF526" s="62"/>
      <c r="AG526" s="62"/>
      <c r="AH526" s="62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26"/>
        <v>0</v>
      </c>
      <c r="H527" s="10"/>
      <c r="I527" s="10"/>
      <c r="J527" s="10"/>
      <c r="K527" s="12">
        <f t="shared" si="127"/>
        <v>0</v>
      </c>
      <c r="M527" s="10">
        <v>21</v>
      </c>
      <c r="N527" s="30"/>
      <c r="O527" s="31"/>
      <c r="P527" s="46"/>
      <c r="Q527" s="31"/>
      <c r="R527" s="31"/>
      <c r="S527" s="32">
        <f t="shared" si="128"/>
        <v>0</v>
      </c>
      <c r="T527" s="10"/>
      <c r="U527" s="10"/>
      <c r="V527" s="10"/>
      <c r="W527" s="12">
        <f t="shared" si="129"/>
        <v>0</v>
      </c>
      <c r="Y527" s="62"/>
      <c r="Z527" s="66"/>
      <c r="AA527" s="103"/>
      <c r="AB527" s="68"/>
      <c r="AC527" s="103"/>
      <c r="AD527" s="103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26"/>
        <v>0</v>
      </c>
      <c r="H528" s="10"/>
      <c r="I528" s="10"/>
      <c r="J528" s="10"/>
      <c r="K528" s="12">
        <f t="shared" si="127"/>
        <v>0</v>
      </c>
      <c r="M528" s="10">
        <v>22</v>
      </c>
      <c r="N528" s="30"/>
      <c r="O528" s="31"/>
      <c r="P528" s="45"/>
      <c r="Q528" s="31"/>
      <c r="R528" s="31"/>
      <c r="S528" s="32">
        <f t="shared" si="128"/>
        <v>0</v>
      </c>
      <c r="T528" s="10"/>
      <c r="U528" s="10"/>
      <c r="V528" s="10"/>
      <c r="W528" s="12">
        <f t="shared" si="129"/>
        <v>0</v>
      </c>
      <c r="Y528" s="62"/>
      <c r="Z528" s="66"/>
      <c r="AA528" s="103"/>
      <c r="AB528" s="69"/>
      <c r="AC528" s="103"/>
      <c r="AD528" s="62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26"/>
        <v>0</v>
      </c>
      <c r="H529" s="10"/>
      <c r="I529" s="10"/>
      <c r="J529" s="12"/>
      <c r="K529" s="12">
        <f t="shared" si="127"/>
        <v>0</v>
      </c>
      <c r="M529" s="10">
        <v>23</v>
      </c>
      <c r="N529" s="30"/>
      <c r="O529" s="31"/>
      <c r="P529" s="47"/>
      <c r="Q529" s="31"/>
      <c r="S529" s="32">
        <f t="shared" si="128"/>
        <v>0</v>
      </c>
      <c r="T529" s="10"/>
      <c r="U529" s="10"/>
      <c r="V529" s="10"/>
      <c r="W529" s="12">
        <f t="shared" si="129"/>
        <v>0</v>
      </c>
      <c r="Y529" s="62"/>
      <c r="Z529" s="66"/>
      <c r="AA529" s="103"/>
      <c r="AB529" s="69"/>
      <c r="AC529" s="103"/>
      <c r="AD529" s="103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26"/>
        <v>0</v>
      </c>
      <c r="H530" s="10"/>
      <c r="I530" s="10"/>
      <c r="J530" s="10"/>
      <c r="K530" s="12">
        <f t="shared" si="127"/>
        <v>0</v>
      </c>
      <c r="M530" s="10">
        <v>24</v>
      </c>
      <c r="N530" s="30"/>
      <c r="O530" s="31"/>
      <c r="P530" s="47"/>
      <c r="Q530" s="31"/>
      <c r="R530" s="31"/>
      <c r="S530" s="32">
        <f t="shared" si="128"/>
        <v>0</v>
      </c>
      <c r="T530" s="10"/>
      <c r="U530" s="10"/>
      <c r="V530" s="10"/>
      <c r="W530" s="12">
        <f t="shared" si="129"/>
        <v>0</v>
      </c>
      <c r="Y530" s="62"/>
      <c r="Z530" s="66"/>
      <c r="AA530" s="103"/>
      <c r="AB530" s="69"/>
      <c r="AC530" s="103"/>
      <c r="AD530" s="103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26"/>
        <v>0</v>
      </c>
      <c r="H531" s="10"/>
      <c r="I531" s="10"/>
      <c r="J531" s="10"/>
      <c r="K531" s="12">
        <f t="shared" si="127"/>
        <v>0</v>
      </c>
      <c r="M531" s="10">
        <v>25</v>
      </c>
      <c r="N531" s="30"/>
      <c r="O531" s="31"/>
      <c r="P531" s="47"/>
      <c r="Q531" s="31"/>
      <c r="R531" s="31"/>
      <c r="S531" s="32">
        <f t="shared" si="128"/>
        <v>0</v>
      </c>
      <c r="T531" s="10"/>
      <c r="U531" s="10"/>
      <c r="V531" s="10"/>
      <c r="W531" s="12">
        <f t="shared" si="129"/>
        <v>0</v>
      </c>
      <c r="Y531" s="62"/>
      <c r="Z531" s="66"/>
      <c r="AA531" s="103"/>
      <c r="AB531" s="69"/>
      <c r="AC531" s="103"/>
      <c r="AD531" s="103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26"/>
        <v>0</v>
      </c>
      <c r="H532" s="10"/>
      <c r="I532" s="10"/>
      <c r="J532" s="10"/>
      <c r="K532" s="12">
        <f t="shared" si="127"/>
        <v>0</v>
      </c>
      <c r="M532" s="10">
        <v>26</v>
      </c>
      <c r="N532" s="30"/>
      <c r="O532" s="31"/>
      <c r="P532" s="47"/>
      <c r="Q532" s="31"/>
      <c r="R532" s="31"/>
      <c r="S532" s="32">
        <f t="shared" si="128"/>
        <v>0</v>
      </c>
      <c r="T532" s="10"/>
      <c r="U532" s="10"/>
      <c r="V532" s="10"/>
      <c r="W532" s="12">
        <f t="shared" si="129"/>
        <v>0</v>
      </c>
      <c r="Y532" s="62"/>
      <c r="Z532" s="66"/>
      <c r="AA532" s="103"/>
      <c r="AB532" s="69"/>
      <c r="AC532" s="103"/>
      <c r="AD532" s="103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26"/>
        <v>0</v>
      </c>
      <c r="H533" s="10"/>
      <c r="I533" s="10"/>
      <c r="J533" s="10"/>
      <c r="K533" s="12">
        <f t="shared" si="127"/>
        <v>0</v>
      </c>
      <c r="M533" s="10">
        <v>27</v>
      </c>
      <c r="N533" s="30"/>
      <c r="O533" s="31"/>
      <c r="P533" s="47"/>
      <c r="Q533" s="31"/>
      <c r="R533" s="31"/>
      <c r="S533" s="32">
        <f t="shared" si="128"/>
        <v>0</v>
      </c>
      <c r="T533" s="10"/>
      <c r="U533" s="10"/>
      <c r="V533" s="10"/>
      <c r="W533" s="12">
        <f t="shared" si="129"/>
        <v>0</v>
      </c>
      <c r="Y533" s="62"/>
      <c r="Z533" s="66"/>
      <c r="AA533" s="103"/>
      <c r="AB533" s="69"/>
      <c r="AC533" s="103"/>
      <c r="AD533" s="103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26"/>
        <v>0</v>
      </c>
      <c r="H534" s="10"/>
      <c r="I534" s="10"/>
      <c r="J534" s="10"/>
      <c r="K534" s="12">
        <f t="shared" si="127"/>
        <v>0</v>
      </c>
      <c r="M534" s="10">
        <v>28</v>
      </c>
      <c r="N534" s="30"/>
      <c r="O534" s="31"/>
      <c r="P534" s="47"/>
      <c r="Q534" s="31"/>
      <c r="R534" s="31"/>
      <c r="S534" s="32">
        <f t="shared" si="128"/>
        <v>0</v>
      </c>
      <c r="T534" s="10"/>
      <c r="U534" s="10"/>
      <c r="V534" s="10"/>
      <c r="W534" s="12">
        <f t="shared" si="129"/>
        <v>0</v>
      </c>
      <c r="Y534" s="62"/>
      <c r="Z534" s="66"/>
      <c r="AA534" s="103"/>
      <c r="AB534" s="69"/>
      <c r="AC534" s="103"/>
      <c r="AD534" s="103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26"/>
        <v>0</v>
      </c>
      <c r="H535" s="10"/>
      <c r="I535" s="10"/>
      <c r="J535" s="10"/>
      <c r="K535" s="12">
        <f t="shared" si="127"/>
        <v>0</v>
      </c>
      <c r="M535" s="10">
        <v>29</v>
      </c>
      <c r="N535" s="30"/>
      <c r="O535" s="31"/>
      <c r="P535" s="47"/>
      <c r="Q535" s="31"/>
      <c r="R535" s="31"/>
      <c r="S535" s="32">
        <f t="shared" si="128"/>
        <v>0</v>
      </c>
      <c r="T535" s="10"/>
      <c r="U535" s="10"/>
      <c r="V535" s="10"/>
      <c r="W535" s="12">
        <f t="shared" si="129"/>
        <v>0</v>
      </c>
      <c r="Y535" s="62"/>
      <c r="Z535" s="66"/>
      <c r="AA535" s="103"/>
      <c r="AB535" s="69"/>
      <c r="AC535" s="103"/>
      <c r="AD535" s="103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26"/>
        <v>0</v>
      </c>
      <c r="H536" s="10"/>
      <c r="I536" s="10"/>
      <c r="J536" s="10"/>
      <c r="K536" s="12">
        <f t="shared" si="127"/>
        <v>0</v>
      </c>
      <c r="M536" s="10">
        <v>30</v>
      </c>
      <c r="N536" s="30"/>
      <c r="O536" s="31"/>
      <c r="P536" s="47"/>
      <c r="Q536" s="31"/>
      <c r="R536" s="31"/>
      <c r="S536" s="32">
        <f t="shared" si="128"/>
        <v>0</v>
      </c>
      <c r="T536" s="10"/>
      <c r="U536" s="10"/>
      <c r="V536" s="10"/>
      <c r="W536" s="12">
        <f t="shared" si="129"/>
        <v>0</v>
      </c>
      <c r="Y536" s="62"/>
      <c r="Z536" s="66"/>
      <c r="AA536" s="103"/>
      <c r="AB536" s="69"/>
      <c r="AC536" s="103"/>
      <c r="AD536" s="103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26"/>
        <v>0</v>
      </c>
      <c r="H537" s="10"/>
      <c r="I537" s="10"/>
      <c r="J537" s="10"/>
      <c r="K537" s="12">
        <f t="shared" si="127"/>
        <v>0</v>
      </c>
      <c r="M537" s="10">
        <v>31</v>
      </c>
      <c r="N537" s="30"/>
      <c r="O537" s="31"/>
      <c r="P537" s="47"/>
      <c r="Q537" s="31"/>
      <c r="R537" s="31"/>
      <c r="S537" s="32">
        <f t="shared" si="128"/>
        <v>0</v>
      </c>
      <c r="T537" s="10"/>
      <c r="U537" s="10"/>
      <c r="V537" s="10"/>
      <c r="W537" s="12">
        <f t="shared" si="129"/>
        <v>0</v>
      </c>
      <c r="Y537" s="62"/>
      <c r="Z537" s="66"/>
      <c r="AA537" s="103"/>
      <c r="AB537" s="69"/>
      <c r="AC537" s="103"/>
      <c r="AD537" s="103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26"/>
        <v>0</v>
      </c>
      <c r="H538" s="10"/>
      <c r="I538" s="10"/>
      <c r="J538" s="10"/>
      <c r="K538" s="12">
        <f t="shared" si="127"/>
        <v>0</v>
      </c>
      <c r="M538" s="10">
        <v>32</v>
      </c>
      <c r="N538" s="30"/>
      <c r="O538" s="31"/>
      <c r="P538" s="47"/>
      <c r="Q538" s="31"/>
      <c r="R538" s="31"/>
      <c r="S538" s="32">
        <f t="shared" si="128"/>
        <v>0</v>
      </c>
      <c r="T538" s="10"/>
      <c r="U538" s="10"/>
      <c r="V538" s="10"/>
      <c r="W538" s="12">
        <f t="shared" si="129"/>
        <v>0</v>
      </c>
      <c r="Y538" s="62"/>
      <c r="Z538" s="66"/>
      <c r="AA538" s="103"/>
      <c r="AB538" s="69"/>
      <c r="AC538" s="103"/>
      <c r="AD538" s="103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26"/>
        <v>0</v>
      </c>
      <c r="H539" s="10"/>
      <c r="I539" s="10"/>
      <c r="J539" s="10"/>
      <c r="K539" s="12">
        <f t="shared" si="127"/>
        <v>0</v>
      </c>
      <c r="M539" s="10">
        <v>33</v>
      </c>
      <c r="N539" s="30"/>
      <c r="O539" s="31"/>
      <c r="P539" s="47"/>
      <c r="Q539" s="31"/>
      <c r="R539" s="31"/>
      <c r="S539" s="32">
        <f t="shared" si="128"/>
        <v>0</v>
      </c>
      <c r="T539" s="10"/>
      <c r="U539" s="10"/>
      <c r="V539" s="10"/>
      <c r="W539" s="12">
        <f t="shared" si="129"/>
        <v>0</v>
      </c>
      <c r="Y539" s="62"/>
      <c r="Z539" s="66"/>
      <c r="AA539" s="103"/>
      <c r="AB539" s="69"/>
      <c r="AC539" s="103"/>
      <c r="AD539" s="103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26"/>
        <v>0</v>
      </c>
      <c r="H540" s="10"/>
      <c r="I540" s="10"/>
      <c r="J540" s="10"/>
      <c r="K540" s="12">
        <f t="shared" si="127"/>
        <v>0</v>
      </c>
      <c r="M540" s="10">
        <v>34</v>
      </c>
      <c r="N540" s="30"/>
      <c r="O540" s="31"/>
      <c r="P540" s="47"/>
      <c r="Q540" s="31"/>
      <c r="R540" s="31"/>
      <c r="S540" s="32">
        <f t="shared" si="128"/>
        <v>0</v>
      </c>
      <c r="T540" s="10"/>
      <c r="U540" s="10"/>
      <c r="V540" s="10"/>
      <c r="W540" s="12">
        <f t="shared" si="129"/>
        <v>0</v>
      </c>
      <c r="Y540" s="62"/>
      <c r="Z540" s="66"/>
      <c r="AA540" s="103"/>
      <c r="AB540" s="69"/>
      <c r="AC540" s="103"/>
      <c r="AD540" s="103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28"/>
        <v>0</v>
      </c>
      <c r="T541" s="10"/>
      <c r="U541" s="10"/>
      <c r="V541" s="10"/>
      <c r="W541" s="12">
        <f t="shared" si="129"/>
        <v>0</v>
      </c>
      <c r="Y541" s="62"/>
      <c r="Z541" s="66"/>
      <c r="AA541" s="103"/>
      <c r="AB541" s="69"/>
      <c r="AC541" s="103"/>
      <c r="AD541" s="103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28"/>
        <v>0</v>
      </c>
      <c r="T542" s="10"/>
      <c r="U542" s="10"/>
      <c r="V542" s="10"/>
      <c r="W542" s="12">
        <f t="shared" si="129"/>
        <v>0</v>
      </c>
      <c r="Y542" s="62"/>
      <c r="Z542" s="66"/>
      <c r="AA542" s="103"/>
      <c r="AB542" s="69"/>
      <c r="AC542" s="103"/>
      <c r="AD542" s="103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28"/>
        <v>0</v>
      </c>
      <c r="T543" s="10"/>
      <c r="U543" s="10"/>
      <c r="V543" s="10"/>
      <c r="W543" s="12">
        <f t="shared" si="129"/>
        <v>0</v>
      </c>
      <c r="Y543" s="62"/>
      <c r="Z543" s="66"/>
      <c r="AA543" s="103"/>
      <c r="AB543" s="69"/>
      <c r="AC543" s="103"/>
      <c r="AD543" s="103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28"/>
        <v>0</v>
      </c>
      <c r="T544" s="10"/>
      <c r="U544" s="10"/>
      <c r="V544" s="10"/>
      <c r="W544" s="12">
        <f t="shared" si="129"/>
        <v>0</v>
      </c>
      <c r="Y544" s="62"/>
      <c r="Z544" s="66"/>
      <c r="AA544" s="103"/>
      <c r="AB544" s="69"/>
      <c r="AC544" s="103"/>
      <c r="AD544" s="103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28"/>
        <v>0</v>
      </c>
      <c r="T545" s="10"/>
      <c r="U545" s="10"/>
      <c r="V545" s="10"/>
      <c r="W545" s="12">
        <f t="shared" si="129"/>
        <v>0</v>
      </c>
      <c r="Y545" s="62"/>
      <c r="Z545" s="66"/>
      <c r="AA545" s="62"/>
      <c r="AB545" s="69"/>
      <c r="AC545" s="103"/>
      <c r="AD545" s="103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29"/>
        <v>0</v>
      </c>
      <c r="Y546" s="62"/>
      <c r="Z546" s="66"/>
      <c r="AA546" s="103"/>
      <c r="AB546" s="69"/>
      <c r="AC546" s="103"/>
      <c r="AD546" s="103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2">SUM(D547:E547)</f>
        <v>0</v>
      </c>
      <c r="H547" s="10"/>
      <c r="I547" s="10"/>
      <c r="J547" s="10"/>
      <c r="K547" s="12">
        <f t="shared" ref="K547" si="133">SUM(G547:J547)</f>
        <v>0</v>
      </c>
      <c r="M547" s="10"/>
      <c r="N547" s="30"/>
      <c r="O547" s="31"/>
      <c r="P547" s="47"/>
      <c r="Q547" s="31"/>
      <c r="R547" s="31"/>
      <c r="S547" s="32">
        <f t="shared" ref="S547" si="134">SUM(P547:Q547)</f>
        <v>0</v>
      </c>
      <c r="T547" s="10"/>
      <c r="U547" s="10"/>
      <c r="V547" s="10"/>
      <c r="W547" s="12">
        <f t="shared" si="129"/>
        <v>0</v>
      </c>
      <c r="Y547" s="62"/>
      <c r="Z547" s="103"/>
      <c r="AA547" s="103"/>
      <c r="AB547" s="103"/>
      <c r="AC547" s="103"/>
      <c r="AD547" s="103"/>
      <c r="AE547" s="103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29"/>
        <v>0</v>
      </c>
      <c r="Y548" s="62"/>
      <c r="Z548" s="103"/>
      <c r="AA548" s="103"/>
      <c r="AB548" s="103"/>
      <c r="AC548" s="103"/>
      <c r="AD548" s="103"/>
      <c r="AE548" s="103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103"/>
      <c r="AA549" s="103"/>
      <c r="AB549" s="70"/>
      <c r="AC549" s="70"/>
      <c r="AD549" s="70"/>
      <c r="AE549" s="70"/>
      <c r="AF549" s="63"/>
      <c r="AG549" s="71"/>
      <c r="AH549" s="71"/>
      <c r="AI549" s="71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347595</v>
      </c>
      <c r="E550" s="38">
        <f t="shared" ref="E550:F550" si="135">SUM(E507:E547)</f>
        <v>-1074</v>
      </c>
      <c r="F550" s="38">
        <f t="shared" si="135"/>
        <v>0</v>
      </c>
      <c r="G550" s="38">
        <f>SUM(G507:G549)</f>
        <v>346521</v>
      </c>
      <c r="H550" s="4"/>
      <c r="I550" s="39">
        <f>SUM(I507:I549)</f>
        <v>20499</v>
      </c>
      <c r="J550" s="39">
        <f>SUM(J507:J549)</f>
        <v>0</v>
      </c>
      <c r="K550" s="40">
        <f>SUM(K507:K549)</f>
        <v>367020</v>
      </c>
      <c r="N550" s="57"/>
      <c r="O550" s="57"/>
      <c r="P550" s="38">
        <f>SUM(P507:P549)</f>
        <v>233480</v>
      </c>
      <c r="Q550" s="38">
        <f>SUM(Q507:Q531)</f>
        <v>-1140</v>
      </c>
      <c r="R550" s="38">
        <f>SUM(R507:R531)</f>
        <v>0</v>
      </c>
      <c r="S550" s="38">
        <f>SUM(S507:S549)</f>
        <v>232340</v>
      </c>
      <c r="T550" s="4"/>
      <c r="U550" s="41">
        <f>SUM(U507:U549)</f>
        <v>366</v>
      </c>
      <c r="V550" s="41">
        <f>SUM(V507:V531)</f>
        <v>-6651</v>
      </c>
      <c r="W550" s="42">
        <f>SUM(W507:W549)</f>
        <v>226055</v>
      </c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65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65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65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66</v>
      </c>
      <c r="B558" s="20"/>
      <c r="C558" s="57"/>
      <c r="D558" s="57"/>
      <c r="E558" s="57"/>
      <c r="G558" s="57"/>
      <c r="I558" s="22" t="s">
        <v>16</v>
      </c>
      <c r="J558" s="23" t="s">
        <v>43</v>
      </c>
      <c r="K558" s="24"/>
      <c r="M558" s="21" t="s">
        <v>66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32</v>
      </c>
      <c r="W558" s="24"/>
      <c r="Y558" s="21" t="s">
        <v>66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43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B560" s="25"/>
      <c r="C560" s="26"/>
      <c r="D560" s="114" t="s">
        <v>17</v>
      </c>
      <c r="E560" s="114"/>
      <c r="F560" s="105"/>
      <c r="G560" s="27"/>
      <c r="I560" s="112" t="s">
        <v>18</v>
      </c>
      <c r="J560" s="113"/>
      <c r="K560" s="116" t="s">
        <v>19</v>
      </c>
      <c r="N560" s="25"/>
      <c r="O560" s="26"/>
      <c r="P560" s="114" t="s">
        <v>17</v>
      </c>
      <c r="Q560" s="114"/>
      <c r="R560" s="105"/>
      <c r="S560" s="27"/>
      <c r="U560" s="112" t="s">
        <v>18</v>
      </c>
      <c r="V560" s="113"/>
      <c r="W560" s="116" t="s">
        <v>19</v>
      </c>
      <c r="Z560" s="25"/>
      <c r="AA560" s="26"/>
      <c r="AB560" s="114" t="s">
        <v>17</v>
      </c>
      <c r="AC560" s="114"/>
      <c r="AD560" s="105"/>
      <c r="AE560" s="27"/>
      <c r="AG560" s="112" t="s">
        <v>18</v>
      </c>
      <c r="AH560" s="113"/>
      <c r="AI560" s="116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31</v>
      </c>
      <c r="G561" s="78" t="s">
        <v>24</v>
      </c>
      <c r="I561" s="29" t="s">
        <v>25</v>
      </c>
      <c r="J561" s="29" t="s">
        <v>26</v>
      </c>
      <c r="K561" s="117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31</v>
      </c>
      <c r="S561" s="78" t="s">
        <v>24</v>
      </c>
      <c r="U561" s="29" t="s">
        <v>25</v>
      </c>
      <c r="V561" s="29" t="s">
        <v>26</v>
      </c>
      <c r="W561" s="117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31</v>
      </c>
      <c r="AE561" s="78" t="s">
        <v>24</v>
      </c>
      <c r="AG561" s="29" t="s">
        <v>25</v>
      </c>
      <c r="AH561" s="29" t="s">
        <v>26</v>
      </c>
      <c r="AI561" s="117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67</v>
      </c>
      <c r="C562" s="83">
        <v>10945</v>
      </c>
      <c r="D562" s="32">
        <f>650*75+229*4</f>
        <v>49666</v>
      </c>
      <c r="E562" s="32">
        <f>-75*6</f>
        <v>-450</v>
      </c>
      <c r="F562" s="32"/>
      <c r="G562" s="32">
        <f t="shared" ref="G562:G595" si="136">SUM(D562:E562)</f>
        <v>49216</v>
      </c>
      <c r="H562" s="12"/>
      <c r="I562" s="12">
        <f>111*75+78*4</f>
        <v>8637</v>
      </c>
      <c r="J562" s="12"/>
      <c r="K562" s="12">
        <f t="shared" ref="K562:K595" si="137">SUM(G562:J562)</f>
        <v>57853</v>
      </c>
      <c r="M562" s="10">
        <v>1</v>
      </c>
      <c r="N562" s="30" t="s">
        <v>67</v>
      </c>
      <c r="O562" s="31">
        <v>10887</v>
      </c>
      <c r="P562" s="32">
        <f>650*160+670*6+622*4+229*2</f>
        <v>110966</v>
      </c>
      <c r="Q562" s="32">
        <f>-170*6</f>
        <v>-1020</v>
      </c>
      <c r="R562" s="32"/>
      <c r="S562" s="32">
        <f>SUM(P562:Q562)</f>
        <v>109946</v>
      </c>
      <c r="T562" s="12"/>
      <c r="U562" s="12"/>
      <c r="V562" s="12">
        <f>-111*7</f>
        <v>-777</v>
      </c>
      <c r="W562" s="12">
        <f>SUM(S562:V562)</f>
        <v>109169</v>
      </c>
      <c r="Y562" s="10">
        <v>1</v>
      </c>
      <c r="Z562" s="30" t="s">
        <v>67</v>
      </c>
      <c r="AA562" s="31">
        <v>10963</v>
      </c>
      <c r="AB562" s="32">
        <f>650*216+622*108+872+229*12</f>
        <v>211196</v>
      </c>
      <c r="AC562" s="32"/>
      <c r="AD562" s="32"/>
      <c r="AE562" s="32">
        <f>SUM(AB562:AC562)</f>
        <v>211196</v>
      </c>
      <c r="AF562" s="12"/>
      <c r="AG562" s="12">
        <f>120*2+111*204+78*12</f>
        <v>23820</v>
      </c>
      <c r="AH562" s="12"/>
      <c r="AI562" s="12">
        <f>SUM(AE562:AH562)</f>
        <v>235016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67</v>
      </c>
      <c r="C563" s="83">
        <f>C562+1</f>
        <v>10946</v>
      </c>
      <c r="D563" s="32">
        <f>650*17+872*2+650*2</f>
        <v>14094</v>
      </c>
      <c r="E563" s="32"/>
      <c r="F563" s="32"/>
      <c r="G563" s="32">
        <f t="shared" si="136"/>
        <v>14094</v>
      </c>
      <c r="H563" s="12"/>
      <c r="I563" s="12"/>
      <c r="J563" s="12"/>
      <c r="K563" s="12">
        <f t="shared" si="137"/>
        <v>14094</v>
      </c>
      <c r="M563" s="10">
        <v>2</v>
      </c>
      <c r="N563" s="30" t="s">
        <v>67</v>
      </c>
      <c r="O563" s="31">
        <f>O562+1</f>
        <v>10888</v>
      </c>
      <c r="P563" s="32">
        <f>650*216+229*10</f>
        <v>142690</v>
      </c>
      <c r="Q563" s="32">
        <f>-216*6</f>
        <v>-1296</v>
      </c>
      <c r="R563" s="32"/>
      <c r="S563" s="32">
        <f t="shared" ref="S563:S600" si="138">SUM(P563:Q563)</f>
        <v>141394</v>
      </c>
      <c r="T563" s="12"/>
      <c r="U563" s="12">
        <f>78*5</f>
        <v>390</v>
      </c>
      <c r="V563" s="12">
        <f>-42*9</f>
        <v>-378</v>
      </c>
      <c r="W563" s="12">
        <f t="shared" ref="W563:W603" si="139">SUM(S563:V563)</f>
        <v>141406</v>
      </c>
      <c r="Y563" s="10">
        <v>2</v>
      </c>
      <c r="Z563" s="30" t="s">
        <v>67</v>
      </c>
      <c r="AA563" s="31">
        <f>AA562+1</f>
        <v>10964</v>
      </c>
      <c r="AB563" s="32">
        <f>650*108+622*30+229*4+650</f>
        <v>90426</v>
      </c>
      <c r="AC563" s="32">
        <f>-138*6</f>
        <v>-828</v>
      </c>
      <c r="AD563" s="32"/>
      <c r="AE563" s="32">
        <f t="shared" ref="AE563:AE565" si="140">SUM(AB563:AC563)</f>
        <v>89598</v>
      </c>
      <c r="AF563" s="12"/>
      <c r="AG563" s="12">
        <f>1.5*16</f>
        <v>24</v>
      </c>
      <c r="AH563" s="12"/>
      <c r="AI563" s="12">
        <f t="shared" ref="AI563:AI603" si="141">SUM(AE563:AH563)</f>
        <v>89622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68</v>
      </c>
      <c r="C564" s="83">
        <f t="shared" ref="C564:C565" si="142">C563+1</f>
        <v>10947</v>
      </c>
      <c r="D564" s="33">
        <f>650*216+670*6+622*108+229*5</f>
        <v>212741</v>
      </c>
      <c r="E564" s="33">
        <f>-330*6</f>
        <v>-1980</v>
      </c>
      <c r="F564" s="33"/>
      <c r="G564" s="33">
        <f t="shared" si="136"/>
        <v>210761</v>
      </c>
      <c r="H564" s="34"/>
      <c r="I564" s="34"/>
      <c r="J564" s="34">
        <f>-120*19+-111*200+-78*18+-111*14+-84+-42*2</f>
        <v>-27606</v>
      </c>
      <c r="K564" s="34">
        <f t="shared" si="137"/>
        <v>183155</v>
      </c>
      <c r="M564" s="10">
        <v>3</v>
      </c>
      <c r="N564" s="30" t="s">
        <v>68</v>
      </c>
      <c r="O564" s="31">
        <f t="shared" ref="O564" si="143">O563+1</f>
        <v>10889</v>
      </c>
      <c r="P564" s="32">
        <f>650*3+622*2</f>
        <v>3194</v>
      </c>
      <c r="Q564" s="32"/>
      <c r="R564" s="32"/>
      <c r="S564" s="32">
        <f t="shared" si="138"/>
        <v>3194</v>
      </c>
      <c r="T564" s="12"/>
      <c r="U564" s="12"/>
      <c r="V564" s="12"/>
      <c r="W564" s="12">
        <f t="shared" si="139"/>
        <v>3194</v>
      </c>
      <c r="Y564" s="10">
        <v>3</v>
      </c>
      <c r="Z564" s="30" t="s">
        <v>68</v>
      </c>
      <c r="AA564" s="31">
        <f t="shared" ref="AA564:AA568" si="144">AA563+1</f>
        <v>10965</v>
      </c>
      <c r="AB564" s="33">
        <f>872+650</f>
        <v>1522</v>
      </c>
      <c r="AC564" s="33"/>
      <c r="AD564" s="32"/>
      <c r="AE564" s="32">
        <f t="shared" si="140"/>
        <v>1522</v>
      </c>
      <c r="AF564" s="12"/>
      <c r="AG564" s="12"/>
      <c r="AH564" s="12"/>
      <c r="AI564" s="12">
        <f t="shared" si="141"/>
        <v>1522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69</v>
      </c>
      <c r="C565" s="83">
        <f t="shared" si="142"/>
        <v>10948</v>
      </c>
      <c r="D565" s="32">
        <f>650*14+622*3</f>
        <v>10966</v>
      </c>
      <c r="E565" s="32"/>
      <c r="F565" s="32"/>
      <c r="G565" s="32">
        <f t="shared" si="136"/>
        <v>10966</v>
      </c>
      <c r="H565" s="12"/>
      <c r="I565" s="12"/>
      <c r="J565" s="12"/>
      <c r="K565" s="12">
        <f t="shared" si="137"/>
        <v>10966</v>
      </c>
      <c r="M565" s="10">
        <v>4</v>
      </c>
      <c r="N565" s="30"/>
      <c r="O565" s="11" t="s">
        <v>27</v>
      </c>
      <c r="P565" s="32"/>
      <c r="Q565" s="32"/>
      <c r="R565" s="32"/>
      <c r="S565" s="32">
        <f t="shared" si="138"/>
        <v>0</v>
      </c>
      <c r="T565" s="12"/>
      <c r="U565" s="12"/>
      <c r="V565" s="12"/>
      <c r="W565" s="12">
        <f t="shared" si="139"/>
        <v>0</v>
      </c>
      <c r="Y565" s="10">
        <v>4</v>
      </c>
      <c r="Z565" s="30" t="s">
        <v>69</v>
      </c>
      <c r="AA565" s="31">
        <f t="shared" si="144"/>
        <v>10966</v>
      </c>
      <c r="AB565" s="32">
        <f>650*92+670*5+622*24+229*4</f>
        <v>78994</v>
      </c>
      <c r="AC565" s="32">
        <f>-121*6</f>
        <v>-726</v>
      </c>
      <c r="AD565" s="32"/>
      <c r="AE565" s="32">
        <f t="shared" si="140"/>
        <v>78268</v>
      </c>
      <c r="AF565" s="12"/>
      <c r="AH565" s="12"/>
      <c r="AI565" s="12">
        <f t="shared" si="141"/>
        <v>78268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/>
      <c r="C566" s="11" t="s">
        <v>27</v>
      </c>
      <c r="D566" s="32"/>
      <c r="E566" s="32"/>
      <c r="F566" s="32"/>
      <c r="G566" s="32">
        <f t="shared" si="136"/>
        <v>0</v>
      </c>
      <c r="H566" s="12"/>
      <c r="I566" s="12"/>
      <c r="J566" s="12"/>
      <c r="K566" s="12">
        <f t="shared" si="137"/>
        <v>0</v>
      </c>
      <c r="M566" s="10">
        <v>5</v>
      </c>
      <c r="N566" s="30"/>
      <c r="O566" s="31"/>
      <c r="P566" s="32"/>
      <c r="Q566" s="32"/>
      <c r="R566" s="32"/>
      <c r="S566" s="32">
        <f t="shared" si="138"/>
        <v>0</v>
      </c>
      <c r="T566" s="12"/>
      <c r="U566" s="12"/>
      <c r="V566" s="12"/>
      <c r="W566" s="12">
        <f t="shared" si="139"/>
        <v>0</v>
      </c>
      <c r="Y566" s="10">
        <v>5</v>
      </c>
      <c r="Z566" s="30" t="s">
        <v>70</v>
      </c>
      <c r="AA566" s="31">
        <f t="shared" si="144"/>
        <v>10967</v>
      </c>
      <c r="AB566" s="32">
        <f>650*16+229</f>
        <v>10629</v>
      </c>
      <c r="AC566" s="32"/>
      <c r="AD566" s="32"/>
      <c r="AE566" s="32">
        <f t="shared" ref="AE566:AE594" si="145">SUM(AB566:AC566)</f>
        <v>10629</v>
      </c>
      <c r="AF566" s="12"/>
      <c r="AG566" s="12"/>
      <c r="AH566" s="12"/>
      <c r="AI566" s="12">
        <f t="shared" si="141"/>
        <v>10629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/>
      <c r="C567" s="83"/>
      <c r="D567" s="32"/>
      <c r="E567" s="32"/>
      <c r="F567" s="32"/>
      <c r="G567" s="32">
        <f t="shared" si="136"/>
        <v>0</v>
      </c>
      <c r="H567" s="12"/>
      <c r="I567" s="12"/>
      <c r="J567" s="12"/>
      <c r="K567" s="12">
        <f t="shared" si="137"/>
        <v>0</v>
      </c>
      <c r="M567" s="10">
        <v>6</v>
      </c>
      <c r="N567" s="30"/>
      <c r="O567" s="31"/>
      <c r="P567" s="32"/>
      <c r="Q567" s="32"/>
      <c r="R567" s="32"/>
      <c r="S567" s="32">
        <f t="shared" si="138"/>
        <v>0</v>
      </c>
      <c r="T567" s="12"/>
      <c r="U567" s="12"/>
      <c r="V567" s="10"/>
      <c r="W567" s="12">
        <f t="shared" si="139"/>
        <v>0</v>
      </c>
      <c r="Y567" s="10">
        <v>6</v>
      </c>
      <c r="Z567" s="30" t="s">
        <v>71</v>
      </c>
      <c r="AA567" s="31">
        <f t="shared" si="144"/>
        <v>10968</v>
      </c>
      <c r="AB567" s="32">
        <f>650*50+650+229*2</f>
        <v>33608</v>
      </c>
      <c r="AC567" s="32"/>
      <c r="AD567" s="32"/>
      <c r="AE567" s="32">
        <f t="shared" si="145"/>
        <v>33608</v>
      </c>
      <c r="AF567" s="12"/>
      <c r="AG567" s="12"/>
      <c r="AH567" s="10">
        <f>-111*8</f>
        <v>-888</v>
      </c>
      <c r="AI567" s="12">
        <f t="shared" si="141"/>
        <v>32720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D568" s="32"/>
      <c r="E568" s="32"/>
      <c r="F568" s="32"/>
      <c r="G568" s="32">
        <f t="shared" si="136"/>
        <v>0</v>
      </c>
      <c r="H568" s="12"/>
      <c r="I568" s="12"/>
      <c r="J568" s="12"/>
      <c r="K568" s="12">
        <f t="shared" si="137"/>
        <v>0</v>
      </c>
      <c r="M568" s="10">
        <v>7</v>
      </c>
      <c r="N568" s="30"/>
      <c r="P568" s="32"/>
      <c r="Q568" s="32"/>
      <c r="R568" s="32"/>
      <c r="S568" s="32">
        <f t="shared" si="138"/>
        <v>0</v>
      </c>
      <c r="T568" s="12"/>
      <c r="U568" s="12"/>
      <c r="V568" s="12"/>
      <c r="W568" s="12">
        <f t="shared" si="139"/>
        <v>0</v>
      </c>
      <c r="Y568" s="10">
        <v>7</v>
      </c>
      <c r="Z568" s="30" t="s">
        <v>72</v>
      </c>
      <c r="AA568" s="31">
        <f t="shared" si="144"/>
        <v>10969</v>
      </c>
      <c r="AB568" s="32">
        <f>1050*2+872*2+650*8</f>
        <v>9044</v>
      </c>
      <c r="AC568" s="32"/>
      <c r="AD568" s="32"/>
      <c r="AE568" s="32">
        <f t="shared" si="145"/>
        <v>9044</v>
      </c>
      <c r="AF568" s="12"/>
      <c r="AG568" s="58">
        <f>1.5*96</f>
        <v>144</v>
      </c>
      <c r="AH568" s="12"/>
      <c r="AI568" s="12">
        <f t="shared" si="141"/>
        <v>9188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3"/>
      <c r="D569" s="32"/>
      <c r="E569" s="32"/>
      <c r="F569" s="32"/>
      <c r="G569" s="32">
        <f t="shared" si="136"/>
        <v>0</v>
      </c>
      <c r="H569" s="12"/>
      <c r="I569" s="12"/>
      <c r="J569" s="12"/>
      <c r="K569" s="12">
        <f t="shared" si="137"/>
        <v>0</v>
      </c>
      <c r="M569" s="10">
        <v>8</v>
      </c>
      <c r="N569" s="30"/>
      <c r="P569" s="32"/>
      <c r="Q569" s="32"/>
      <c r="R569" s="32"/>
      <c r="S569" s="32">
        <f t="shared" si="138"/>
        <v>0</v>
      </c>
      <c r="T569" s="12"/>
      <c r="U569" s="12"/>
      <c r="V569" s="12"/>
      <c r="W569" s="12">
        <f t="shared" si="139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si="145"/>
        <v>0</v>
      </c>
      <c r="AF569" s="12"/>
      <c r="AG569" s="12"/>
      <c r="AH569" s="12"/>
      <c r="AI569" s="12">
        <f t="shared" si="141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57"/>
      <c r="D570" s="32"/>
      <c r="E570" s="32"/>
      <c r="F570" s="32"/>
      <c r="G570" s="32">
        <f t="shared" si="136"/>
        <v>0</v>
      </c>
      <c r="H570" s="12"/>
      <c r="I570" s="12"/>
      <c r="J570" s="12"/>
      <c r="K570" s="12">
        <f t="shared" si="137"/>
        <v>0</v>
      </c>
      <c r="M570" s="10">
        <v>9</v>
      </c>
      <c r="N570" s="30"/>
      <c r="O570" s="31"/>
      <c r="P570" s="32"/>
      <c r="Q570" s="32"/>
      <c r="R570" s="32"/>
      <c r="S570" s="32">
        <f t="shared" si="138"/>
        <v>0</v>
      </c>
      <c r="T570" s="12"/>
      <c r="U570" s="12"/>
      <c r="V570" s="12"/>
      <c r="W570" s="12">
        <f t="shared" si="139"/>
        <v>0</v>
      </c>
      <c r="Y570" s="10">
        <v>9</v>
      </c>
      <c r="Z570" s="30"/>
      <c r="AA570" s="31"/>
      <c r="AB570" s="32"/>
      <c r="AC570" s="32"/>
      <c r="AD570" s="32"/>
      <c r="AE570" s="32">
        <f t="shared" si="145"/>
        <v>0</v>
      </c>
      <c r="AF570" s="12"/>
      <c r="AH570" s="12"/>
      <c r="AI570" s="12">
        <f t="shared" si="141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3"/>
      <c r="D571" s="32"/>
      <c r="E571" s="32"/>
      <c r="F571" s="32"/>
      <c r="G571" s="32">
        <f t="shared" si="136"/>
        <v>0</v>
      </c>
      <c r="H571" s="12"/>
      <c r="I571" s="12"/>
      <c r="J571" s="12"/>
      <c r="K571" s="12">
        <f t="shared" si="137"/>
        <v>0</v>
      </c>
      <c r="M571" s="10">
        <v>10</v>
      </c>
      <c r="N571" s="30"/>
      <c r="O571" s="31"/>
      <c r="P571" s="32"/>
      <c r="Q571" s="32"/>
      <c r="R571" s="32"/>
      <c r="S571" s="32">
        <f t="shared" si="138"/>
        <v>0</v>
      </c>
      <c r="T571" s="12"/>
      <c r="U571" s="12"/>
      <c r="V571" s="12"/>
      <c r="W571" s="12">
        <f t="shared" si="139"/>
        <v>0</v>
      </c>
      <c r="Y571" s="10">
        <v>10</v>
      </c>
      <c r="Z571" s="30"/>
      <c r="AB571" s="32"/>
      <c r="AC571" s="32"/>
      <c r="AD571" s="32"/>
      <c r="AE571" s="32">
        <f t="shared" si="145"/>
        <v>0</v>
      </c>
      <c r="AF571" s="12"/>
      <c r="AG571" s="12"/>
      <c r="AH571" s="12"/>
      <c r="AI571" s="12">
        <f t="shared" si="141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36"/>
        <v>0</v>
      </c>
      <c r="H572" s="12"/>
      <c r="I572" s="12"/>
      <c r="J572" s="12"/>
      <c r="K572" s="12">
        <f t="shared" si="137"/>
        <v>0</v>
      </c>
      <c r="M572" s="10">
        <v>11</v>
      </c>
      <c r="N572" s="30"/>
      <c r="O572" s="31"/>
      <c r="P572" s="32"/>
      <c r="Q572" s="32"/>
      <c r="R572" s="32"/>
      <c r="S572" s="32">
        <f t="shared" si="138"/>
        <v>0</v>
      </c>
      <c r="T572" s="12"/>
      <c r="U572" s="12"/>
      <c r="V572" s="12"/>
      <c r="W572" s="12">
        <f t="shared" si="139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45"/>
        <v>0</v>
      </c>
      <c r="AF572" s="12"/>
      <c r="AG572" s="12"/>
      <c r="AH572" s="12"/>
      <c r="AI572" s="12">
        <f t="shared" si="141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36"/>
        <v>0</v>
      </c>
      <c r="H573" s="12"/>
      <c r="I573" s="12"/>
      <c r="J573" s="10"/>
      <c r="K573" s="12">
        <f t="shared" si="137"/>
        <v>0</v>
      </c>
      <c r="M573" s="10">
        <v>12</v>
      </c>
      <c r="N573" s="30"/>
      <c r="O573" s="31"/>
      <c r="P573" s="32"/>
      <c r="Q573" s="32"/>
      <c r="R573" s="32"/>
      <c r="S573" s="32">
        <f t="shared" si="138"/>
        <v>0</v>
      </c>
      <c r="T573" s="12"/>
      <c r="U573" s="12"/>
      <c r="V573" s="12"/>
      <c r="W573" s="12">
        <f t="shared" si="139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45"/>
        <v>0</v>
      </c>
      <c r="AF573" s="12"/>
      <c r="AG573" s="12"/>
      <c r="AH573" s="12"/>
      <c r="AI573" s="12">
        <f t="shared" si="141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57"/>
      <c r="D574" s="32"/>
      <c r="E574" s="32"/>
      <c r="F574" s="32"/>
      <c r="G574" s="32">
        <f t="shared" si="136"/>
        <v>0</v>
      </c>
      <c r="H574" s="12"/>
      <c r="I574" s="12"/>
      <c r="J574" s="12"/>
      <c r="K574" s="12">
        <f t="shared" si="137"/>
        <v>0</v>
      </c>
      <c r="M574" s="10">
        <v>13</v>
      </c>
      <c r="N574" s="30"/>
      <c r="O574" s="31"/>
      <c r="P574" s="32"/>
      <c r="Q574" s="32"/>
      <c r="R574" s="32"/>
      <c r="S574" s="32">
        <f t="shared" si="138"/>
        <v>0</v>
      </c>
      <c r="T574" s="12"/>
      <c r="U574" s="12"/>
      <c r="V574" s="12"/>
      <c r="W574" s="12">
        <f t="shared" si="139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45"/>
        <v>0</v>
      </c>
      <c r="AF574" s="12"/>
      <c r="AG574" s="12"/>
      <c r="AH574" s="12"/>
      <c r="AI574" s="12">
        <f t="shared" si="141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36"/>
        <v>0</v>
      </c>
      <c r="H575" s="12"/>
      <c r="I575" s="12"/>
      <c r="J575" s="12"/>
      <c r="K575" s="12">
        <f t="shared" si="137"/>
        <v>0</v>
      </c>
      <c r="M575" s="10">
        <v>14</v>
      </c>
      <c r="N575" s="30"/>
      <c r="O575" s="31"/>
      <c r="P575" s="32"/>
      <c r="Q575" s="32"/>
      <c r="R575" s="32"/>
      <c r="S575" s="32">
        <f t="shared" si="138"/>
        <v>0</v>
      </c>
      <c r="T575" s="12"/>
      <c r="U575" s="12"/>
      <c r="V575" s="12"/>
      <c r="W575" s="12">
        <f t="shared" si="139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45"/>
        <v>0</v>
      </c>
      <c r="AF575" s="12"/>
      <c r="AG575" s="12"/>
      <c r="AH575" s="12"/>
      <c r="AI575" s="12">
        <f t="shared" si="141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36"/>
        <v>0</v>
      </c>
      <c r="H576" s="12"/>
      <c r="I576" s="12"/>
      <c r="J576" s="12"/>
      <c r="K576" s="12">
        <f t="shared" si="137"/>
        <v>0</v>
      </c>
      <c r="M576" s="10">
        <v>15</v>
      </c>
      <c r="N576" s="30"/>
      <c r="O576" s="31"/>
      <c r="P576" s="32"/>
      <c r="Q576" s="32"/>
      <c r="R576" s="32"/>
      <c r="S576" s="32">
        <f t="shared" si="138"/>
        <v>0</v>
      </c>
      <c r="T576" s="12"/>
      <c r="U576" s="12"/>
      <c r="V576" s="12"/>
      <c r="W576" s="12">
        <f t="shared" si="139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45"/>
        <v>0</v>
      </c>
      <c r="AF576" s="12"/>
      <c r="AG576" s="12"/>
      <c r="AH576" s="12"/>
      <c r="AI576" s="12">
        <f t="shared" si="141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11"/>
      <c r="D577" s="32"/>
      <c r="E577" s="32"/>
      <c r="F577" s="32"/>
      <c r="G577" s="32">
        <f t="shared" si="136"/>
        <v>0</v>
      </c>
      <c r="H577" s="12"/>
      <c r="I577" s="12"/>
      <c r="J577" s="12"/>
      <c r="K577" s="12">
        <f t="shared" si="137"/>
        <v>0</v>
      </c>
      <c r="M577" s="10">
        <v>16</v>
      </c>
      <c r="N577" s="30"/>
      <c r="O577" s="11"/>
      <c r="P577" s="32"/>
      <c r="Q577" s="32"/>
      <c r="R577" s="32"/>
      <c r="S577" s="32">
        <f t="shared" si="138"/>
        <v>0</v>
      </c>
      <c r="T577" s="12"/>
      <c r="U577" s="12"/>
      <c r="V577" s="12"/>
      <c r="W577" s="12">
        <f t="shared" si="139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45"/>
        <v>0</v>
      </c>
      <c r="AF577" s="12"/>
      <c r="AG577" s="12"/>
      <c r="AH577" s="12"/>
      <c r="AI577" s="12">
        <f t="shared" si="141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36"/>
        <v>0</v>
      </c>
      <c r="H578" s="12"/>
      <c r="I578" s="12"/>
      <c r="J578" s="12"/>
      <c r="K578" s="12">
        <f t="shared" si="137"/>
        <v>0</v>
      </c>
      <c r="M578" s="10">
        <v>17</v>
      </c>
      <c r="N578" s="30"/>
      <c r="O578" s="31"/>
      <c r="P578" s="35"/>
      <c r="Q578" s="32"/>
      <c r="R578" s="32"/>
      <c r="S578" s="32">
        <f t="shared" si="138"/>
        <v>0</v>
      </c>
      <c r="T578" s="12"/>
      <c r="U578" s="12"/>
      <c r="V578" s="12"/>
      <c r="W578" s="12">
        <f t="shared" si="139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45"/>
        <v>0</v>
      </c>
      <c r="AF578" s="12"/>
      <c r="AG578" s="12"/>
      <c r="AH578" s="12"/>
      <c r="AI578" s="12">
        <f t="shared" si="141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36"/>
        <v>0</v>
      </c>
      <c r="H579" s="12"/>
      <c r="I579" s="12"/>
      <c r="J579" s="12"/>
      <c r="K579" s="12">
        <f t="shared" si="137"/>
        <v>0</v>
      </c>
      <c r="M579" s="10">
        <v>18</v>
      </c>
      <c r="N579" s="30"/>
      <c r="O579" s="31"/>
      <c r="P579" s="32"/>
      <c r="Q579" s="32"/>
      <c r="R579" s="32"/>
      <c r="S579" s="32">
        <f t="shared" si="138"/>
        <v>0</v>
      </c>
      <c r="T579" s="12"/>
      <c r="U579" s="12"/>
      <c r="V579" s="12"/>
      <c r="W579" s="12">
        <f t="shared" si="139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45"/>
        <v>0</v>
      </c>
      <c r="AF579" s="12"/>
      <c r="AG579" s="12"/>
      <c r="AH579" s="12"/>
      <c r="AI579" s="12">
        <f t="shared" si="141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36"/>
        <v>0</v>
      </c>
      <c r="H580" s="12"/>
      <c r="I580" s="12"/>
      <c r="J580" s="12"/>
      <c r="K580" s="12">
        <f t="shared" si="137"/>
        <v>0</v>
      </c>
      <c r="M580" s="10">
        <v>19</v>
      </c>
      <c r="N580" s="30"/>
      <c r="O580" s="31"/>
      <c r="P580" s="32"/>
      <c r="Q580" s="32"/>
      <c r="R580" s="32"/>
      <c r="S580" s="32">
        <f t="shared" si="138"/>
        <v>0</v>
      </c>
      <c r="T580" s="12"/>
      <c r="U580" s="12"/>
      <c r="V580" s="12"/>
      <c r="W580" s="12">
        <f t="shared" si="139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45"/>
        <v>0</v>
      </c>
      <c r="AF580" s="12"/>
      <c r="AG580" s="12"/>
      <c r="AH580" s="12"/>
      <c r="AI580" s="12">
        <f t="shared" si="141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36"/>
        <v>0</v>
      </c>
      <c r="H581" s="12"/>
      <c r="I581" s="12"/>
      <c r="J581" s="12"/>
      <c r="K581" s="12">
        <f t="shared" si="137"/>
        <v>0</v>
      </c>
      <c r="M581" s="10">
        <v>20</v>
      </c>
      <c r="N581" s="30"/>
      <c r="O581" s="31"/>
      <c r="P581" s="32"/>
      <c r="Q581" s="32"/>
      <c r="R581" s="32"/>
      <c r="S581" s="32">
        <f t="shared" si="138"/>
        <v>0</v>
      </c>
      <c r="T581" s="12"/>
      <c r="U581" s="12"/>
      <c r="V581" s="12"/>
      <c r="W581" s="12">
        <f t="shared" si="139"/>
        <v>0</v>
      </c>
      <c r="Y581" s="10">
        <v>20</v>
      </c>
      <c r="Z581" s="30"/>
      <c r="AB581" s="32"/>
      <c r="AC581" s="32"/>
      <c r="AD581" s="32"/>
      <c r="AE581" s="32">
        <f t="shared" si="145"/>
        <v>0</v>
      </c>
      <c r="AF581" s="12"/>
      <c r="AG581" s="12"/>
      <c r="AH581" s="12"/>
      <c r="AI581" s="12">
        <f t="shared" si="141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36"/>
        <v>0</v>
      </c>
      <c r="H582" s="10"/>
      <c r="I582" s="10"/>
      <c r="J582" s="10"/>
      <c r="K582" s="12">
        <f t="shared" si="137"/>
        <v>0</v>
      </c>
      <c r="M582" s="10">
        <v>21</v>
      </c>
      <c r="N582" s="30"/>
      <c r="O582" s="31"/>
      <c r="P582" s="46"/>
      <c r="Q582" s="31"/>
      <c r="R582" s="31"/>
      <c r="S582" s="32">
        <f t="shared" si="138"/>
        <v>0</v>
      </c>
      <c r="T582" s="10"/>
      <c r="U582" s="10"/>
      <c r="V582" s="10"/>
      <c r="W582" s="12">
        <f t="shared" si="139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45"/>
        <v>0</v>
      </c>
      <c r="AF582" s="10"/>
      <c r="AG582" s="10"/>
      <c r="AH582" s="10"/>
      <c r="AI582" s="12">
        <f t="shared" si="141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3"/>
      <c r="D583" s="32"/>
      <c r="E583" s="32"/>
      <c r="F583" s="32"/>
      <c r="G583" s="32">
        <f t="shared" si="136"/>
        <v>0</v>
      </c>
      <c r="H583" s="10"/>
      <c r="I583" s="10"/>
      <c r="J583" s="10"/>
      <c r="K583" s="12">
        <f t="shared" si="137"/>
        <v>0</v>
      </c>
      <c r="M583" s="10">
        <v>22</v>
      </c>
      <c r="N583" s="30"/>
      <c r="O583" s="31"/>
      <c r="P583" s="45"/>
      <c r="Q583" s="31"/>
      <c r="R583" s="31"/>
      <c r="S583" s="32">
        <f t="shared" si="138"/>
        <v>0</v>
      </c>
      <c r="T583" s="10"/>
      <c r="U583" s="10"/>
      <c r="V583" s="10"/>
      <c r="W583" s="12">
        <f t="shared" si="139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45"/>
        <v>0</v>
      </c>
      <c r="AF583" s="10"/>
      <c r="AG583" s="10"/>
      <c r="AH583" s="10"/>
      <c r="AI583" s="12">
        <f t="shared" si="141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36"/>
        <v>0</v>
      </c>
      <c r="H584" s="10"/>
      <c r="I584" s="10"/>
      <c r="J584" s="12"/>
      <c r="K584" s="12">
        <f t="shared" si="137"/>
        <v>0</v>
      </c>
      <c r="M584" s="10">
        <v>23</v>
      </c>
      <c r="N584" s="30"/>
      <c r="O584" s="31"/>
      <c r="P584" s="47"/>
      <c r="Q584" s="31"/>
      <c r="S584" s="32">
        <f t="shared" si="138"/>
        <v>0</v>
      </c>
      <c r="T584" s="10"/>
      <c r="U584" s="10"/>
      <c r="V584" s="10"/>
      <c r="W584" s="12">
        <f t="shared" si="139"/>
        <v>0</v>
      </c>
      <c r="Y584" s="10">
        <v>23</v>
      </c>
      <c r="Z584" s="30"/>
      <c r="AA584" s="31"/>
      <c r="AB584" s="47"/>
      <c r="AE584" s="32">
        <f t="shared" si="145"/>
        <v>0</v>
      </c>
      <c r="AF584" s="10"/>
      <c r="AG584" s="10"/>
      <c r="AH584" s="10"/>
      <c r="AI584" s="12">
        <f t="shared" si="141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36"/>
        <v>0</v>
      </c>
      <c r="H585" s="10"/>
      <c r="I585" s="10"/>
      <c r="J585" s="10"/>
      <c r="K585" s="12">
        <f t="shared" si="137"/>
        <v>0</v>
      </c>
      <c r="M585" s="10">
        <v>24</v>
      </c>
      <c r="N585" s="30"/>
      <c r="O585" s="31"/>
      <c r="P585" s="47"/>
      <c r="Q585" s="31"/>
      <c r="R585" s="31"/>
      <c r="S585" s="32">
        <f t="shared" si="138"/>
        <v>0</v>
      </c>
      <c r="T585" s="10"/>
      <c r="U585" s="10"/>
      <c r="V585" s="10"/>
      <c r="W585" s="12">
        <f t="shared" si="139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45"/>
        <v>0</v>
      </c>
      <c r="AF585" s="10"/>
      <c r="AG585" s="10"/>
      <c r="AH585" s="10"/>
      <c r="AI585" s="12">
        <f t="shared" si="141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36"/>
        <v>0</v>
      </c>
      <c r="H586" s="10"/>
      <c r="I586" s="10"/>
      <c r="J586" s="10"/>
      <c r="K586" s="12">
        <f t="shared" si="137"/>
        <v>0</v>
      </c>
      <c r="M586" s="10">
        <v>25</v>
      </c>
      <c r="N586" s="30"/>
      <c r="O586" s="31"/>
      <c r="P586" s="47"/>
      <c r="Q586" s="31"/>
      <c r="R586" s="31"/>
      <c r="S586" s="32">
        <f t="shared" si="138"/>
        <v>0</v>
      </c>
      <c r="T586" s="10"/>
      <c r="U586" s="10"/>
      <c r="V586" s="10"/>
      <c r="W586" s="12">
        <f t="shared" si="139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45"/>
        <v>0</v>
      </c>
      <c r="AF586" s="10"/>
      <c r="AG586" s="10"/>
      <c r="AH586" s="10"/>
      <c r="AI586" s="12">
        <f t="shared" si="141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36"/>
        <v>0</v>
      </c>
      <c r="H587" s="10"/>
      <c r="I587" s="10"/>
      <c r="J587" s="10"/>
      <c r="K587" s="12">
        <f t="shared" si="137"/>
        <v>0</v>
      </c>
      <c r="M587" s="10">
        <v>26</v>
      </c>
      <c r="N587" s="30"/>
      <c r="O587" s="31"/>
      <c r="P587" s="47"/>
      <c r="Q587" s="31"/>
      <c r="R587" s="31"/>
      <c r="S587" s="32">
        <f t="shared" si="138"/>
        <v>0</v>
      </c>
      <c r="T587" s="10"/>
      <c r="U587" s="10"/>
      <c r="V587" s="10"/>
      <c r="W587" s="12">
        <f t="shared" si="139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45"/>
        <v>0</v>
      </c>
      <c r="AF587" s="10"/>
      <c r="AG587" s="10"/>
      <c r="AH587" s="10"/>
      <c r="AI587" s="12">
        <f t="shared" si="141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36"/>
        <v>0</v>
      </c>
      <c r="H588" s="10"/>
      <c r="I588" s="10"/>
      <c r="J588" s="10"/>
      <c r="K588" s="12">
        <f t="shared" si="137"/>
        <v>0</v>
      </c>
      <c r="M588" s="10">
        <v>27</v>
      </c>
      <c r="N588" s="30"/>
      <c r="O588" s="31"/>
      <c r="P588" s="47"/>
      <c r="Q588" s="31"/>
      <c r="R588" s="31"/>
      <c r="S588" s="32">
        <f t="shared" si="138"/>
        <v>0</v>
      </c>
      <c r="T588" s="10"/>
      <c r="U588" s="10"/>
      <c r="V588" s="10"/>
      <c r="W588" s="12">
        <f t="shared" si="139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45"/>
        <v>0</v>
      </c>
      <c r="AF588" s="10"/>
      <c r="AG588" s="10"/>
      <c r="AH588" s="10"/>
      <c r="AI588" s="12">
        <f t="shared" si="141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36"/>
        <v>0</v>
      </c>
      <c r="H589" s="10"/>
      <c r="I589" s="10"/>
      <c r="J589" s="10"/>
      <c r="K589" s="12">
        <f t="shared" si="137"/>
        <v>0</v>
      </c>
      <c r="M589" s="10">
        <v>28</v>
      </c>
      <c r="N589" s="30"/>
      <c r="O589" s="31"/>
      <c r="P589" s="47"/>
      <c r="Q589" s="31"/>
      <c r="R589" s="31"/>
      <c r="S589" s="32">
        <f t="shared" si="138"/>
        <v>0</v>
      </c>
      <c r="T589" s="10"/>
      <c r="U589" s="10"/>
      <c r="V589" s="10"/>
      <c r="W589" s="12">
        <f t="shared" si="139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45"/>
        <v>0</v>
      </c>
      <c r="AF589" s="10"/>
      <c r="AG589" s="10"/>
      <c r="AH589" s="10"/>
      <c r="AI589" s="12">
        <f t="shared" si="141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36"/>
        <v>0</v>
      </c>
      <c r="H590" s="10"/>
      <c r="I590" s="10"/>
      <c r="J590" s="10"/>
      <c r="K590" s="12">
        <f t="shared" si="137"/>
        <v>0</v>
      </c>
      <c r="M590" s="10">
        <v>29</v>
      </c>
      <c r="N590" s="30"/>
      <c r="O590" s="31"/>
      <c r="P590" s="47"/>
      <c r="Q590" s="31"/>
      <c r="R590" s="31"/>
      <c r="S590" s="32">
        <f t="shared" si="138"/>
        <v>0</v>
      </c>
      <c r="T590" s="10"/>
      <c r="U590" s="10"/>
      <c r="V590" s="10"/>
      <c r="W590" s="12">
        <f t="shared" si="139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45"/>
        <v>0</v>
      </c>
      <c r="AF590" s="10"/>
      <c r="AG590" s="10"/>
      <c r="AH590" s="10"/>
      <c r="AI590" s="12">
        <f t="shared" si="141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36"/>
        <v>0</v>
      </c>
      <c r="H591" s="10"/>
      <c r="I591" s="10"/>
      <c r="J591" s="10"/>
      <c r="K591" s="12">
        <f t="shared" si="137"/>
        <v>0</v>
      </c>
      <c r="M591" s="10">
        <v>30</v>
      </c>
      <c r="N591" s="30"/>
      <c r="O591" s="31"/>
      <c r="P591" s="47"/>
      <c r="Q591" s="31"/>
      <c r="R591" s="31"/>
      <c r="S591" s="32">
        <f t="shared" si="138"/>
        <v>0</v>
      </c>
      <c r="T591" s="10"/>
      <c r="U591" s="10"/>
      <c r="V591" s="10"/>
      <c r="W591" s="12">
        <f t="shared" si="139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45"/>
        <v>0</v>
      </c>
      <c r="AF591" s="10"/>
      <c r="AG591" s="10"/>
      <c r="AH591" s="10"/>
      <c r="AI591" s="12">
        <f t="shared" si="141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36"/>
        <v>0</v>
      </c>
      <c r="H592" s="10"/>
      <c r="I592" s="10"/>
      <c r="J592" s="10"/>
      <c r="K592" s="12">
        <f t="shared" si="137"/>
        <v>0</v>
      </c>
      <c r="M592" s="10">
        <v>31</v>
      </c>
      <c r="N592" s="30"/>
      <c r="O592" s="31"/>
      <c r="P592" s="47"/>
      <c r="Q592" s="31"/>
      <c r="R592" s="31"/>
      <c r="S592" s="32">
        <f t="shared" si="138"/>
        <v>0</v>
      </c>
      <c r="T592" s="10"/>
      <c r="U592" s="10"/>
      <c r="V592" s="10"/>
      <c r="W592" s="12">
        <f t="shared" si="139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45"/>
        <v>0</v>
      </c>
      <c r="AF592" s="10"/>
      <c r="AG592" s="10"/>
      <c r="AH592" s="10"/>
      <c r="AI592" s="12">
        <f t="shared" si="141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36"/>
        <v>0</v>
      </c>
      <c r="H593" s="10"/>
      <c r="I593" s="10"/>
      <c r="J593" s="10"/>
      <c r="K593" s="12">
        <f t="shared" si="137"/>
        <v>0</v>
      </c>
      <c r="M593" s="10">
        <v>32</v>
      </c>
      <c r="N593" s="30"/>
      <c r="O593" s="31"/>
      <c r="P593" s="47"/>
      <c r="Q593" s="31"/>
      <c r="R593" s="31"/>
      <c r="S593" s="32">
        <f t="shared" si="138"/>
        <v>0</v>
      </c>
      <c r="T593" s="10"/>
      <c r="U593" s="10"/>
      <c r="V593" s="10"/>
      <c r="W593" s="12">
        <f t="shared" si="139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45"/>
        <v>0</v>
      </c>
      <c r="AF593" s="10"/>
      <c r="AG593" s="10"/>
      <c r="AH593" s="10"/>
      <c r="AI593" s="12">
        <f t="shared" si="141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36"/>
        <v>0</v>
      </c>
      <c r="H594" s="10"/>
      <c r="I594" s="10"/>
      <c r="J594" s="10"/>
      <c r="K594" s="12">
        <f t="shared" si="137"/>
        <v>0</v>
      </c>
      <c r="M594" s="10">
        <v>33</v>
      </c>
      <c r="N594" s="30"/>
      <c r="O594" s="31"/>
      <c r="P594" s="47"/>
      <c r="Q594" s="31"/>
      <c r="R594" s="31"/>
      <c r="S594" s="32">
        <f t="shared" si="138"/>
        <v>0</v>
      </c>
      <c r="T594" s="10"/>
      <c r="U594" s="10"/>
      <c r="V594" s="10"/>
      <c r="W594" s="12">
        <f t="shared" si="139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45"/>
        <v>0</v>
      </c>
      <c r="AF594" s="10"/>
      <c r="AG594" s="10"/>
      <c r="AH594" s="10"/>
      <c r="AI594" s="12">
        <f t="shared" si="141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36"/>
        <v>0</v>
      </c>
      <c r="H595" s="10"/>
      <c r="I595" s="10"/>
      <c r="J595" s="10"/>
      <c r="K595" s="12">
        <f t="shared" si="137"/>
        <v>0</v>
      </c>
      <c r="M595" s="10">
        <v>34</v>
      </c>
      <c r="N595" s="30"/>
      <c r="O595" s="31"/>
      <c r="P595" s="47"/>
      <c r="Q595" s="31"/>
      <c r="R595" s="31"/>
      <c r="S595" s="32">
        <f t="shared" si="138"/>
        <v>0</v>
      </c>
      <c r="T595" s="10"/>
      <c r="U595" s="10"/>
      <c r="V595" s="10"/>
      <c r="W595" s="12">
        <f t="shared" si="139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46">SUM(AB595:AC595)</f>
        <v>0</v>
      </c>
      <c r="AF595" s="10"/>
      <c r="AG595" s="10"/>
      <c r="AH595" s="10"/>
      <c r="AI595" s="12">
        <f t="shared" si="141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38"/>
        <v>0</v>
      </c>
      <c r="T596" s="10"/>
      <c r="U596" s="10"/>
      <c r="V596" s="10"/>
      <c r="W596" s="12">
        <f t="shared" si="139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46"/>
        <v>0</v>
      </c>
      <c r="AF596" s="10"/>
      <c r="AG596" s="10"/>
      <c r="AH596" s="10"/>
      <c r="AI596" s="12">
        <f t="shared" si="14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38"/>
        <v>0</v>
      </c>
      <c r="T597" s="10"/>
      <c r="U597" s="10"/>
      <c r="V597" s="10"/>
      <c r="W597" s="12">
        <f t="shared" si="139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46"/>
        <v>0</v>
      </c>
      <c r="AF597" s="10"/>
      <c r="AG597" s="10"/>
      <c r="AH597" s="10"/>
      <c r="AI597" s="12">
        <f t="shared" si="14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38"/>
        <v>0</v>
      </c>
      <c r="T598" s="10"/>
      <c r="U598" s="10"/>
      <c r="V598" s="10"/>
      <c r="W598" s="12">
        <f t="shared" si="139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46"/>
        <v>0</v>
      </c>
      <c r="AF598" s="10"/>
      <c r="AG598" s="10"/>
      <c r="AH598" s="10"/>
      <c r="AI598" s="12">
        <f t="shared" si="14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38"/>
        <v>0</v>
      </c>
      <c r="T599" s="10"/>
      <c r="U599" s="10"/>
      <c r="V599" s="10"/>
      <c r="W599" s="12">
        <f t="shared" si="139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46"/>
        <v>0</v>
      </c>
      <c r="AF599" s="10"/>
      <c r="AG599" s="10"/>
      <c r="AH599" s="10"/>
      <c r="AI599" s="12">
        <f t="shared" si="14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38"/>
        <v>0</v>
      </c>
      <c r="T600" s="10"/>
      <c r="U600" s="10"/>
      <c r="V600" s="10"/>
      <c r="W600" s="12">
        <f t="shared" si="139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46"/>
        <v>0</v>
      </c>
      <c r="AF600" s="10"/>
      <c r="AG600" s="10"/>
      <c r="AH600" s="10"/>
      <c r="AI600" s="12">
        <f t="shared" si="14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39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7">SUM(D602:E602)</f>
        <v>0</v>
      </c>
      <c r="H602" s="10"/>
      <c r="I602" s="10"/>
      <c r="J602" s="10"/>
      <c r="K602" s="12">
        <f t="shared" ref="K602" si="148">SUM(G602:J602)</f>
        <v>0</v>
      </c>
      <c r="M602" s="10"/>
      <c r="N602" s="30"/>
      <c r="O602" s="31"/>
      <c r="P602" s="47"/>
      <c r="Q602" s="31"/>
      <c r="R602" s="31"/>
      <c r="S602" s="32">
        <f t="shared" ref="S602" si="149">SUM(P602:Q602)</f>
        <v>0</v>
      </c>
      <c r="T602" s="10"/>
      <c r="U602" s="10"/>
      <c r="V602" s="10"/>
      <c r="W602" s="12">
        <f t="shared" si="139"/>
        <v>0</v>
      </c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39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287467</v>
      </c>
      <c r="E605" s="38">
        <f t="shared" ref="E605:F605" si="151">SUM(E562:E602)</f>
        <v>-2430</v>
      </c>
      <c r="F605" s="38">
        <f t="shared" si="151"/>
        <v>0</v>
      </c>
      <c r="G605" s="38">
        <f>SUM(G562:G604)</f>
        <v>285037</v>
      </c>
      <c r="H605" s="4"/>
      <c r="I605" s="39">
        <f>SUM(I562:I604)</f>
        <v>8637</v>
      </c>
      <c r="J605" s="39">
        <f>SUM(J562:J604)</f>
        <v>-27606</v>
      </c>
      <c r="K605" s="40">
        <f>SUM(K562:K604)</f>
        <v>266068</v>
      </c>
      <c r="N605" s="57"/>
      <c r="O605" s="57"/>
      <c r="P605" s="38">
        <f>SUM(P562:P604)</f>
        <v>256850</v>
      </c>
      <c r="Q605" s="38">
        <f>SUM(Q562:Q586)</f>
        <v>-2316</v>
      </c>
      <c r="R605" s="38">
        <f>SUM(R562:R586)</f>
        <v>0</v>
      </c>
      <c r="S605" s="38">
        <f>SUM(S562:S604)</f>
        <v>254534</v>
      </c>
      <c r="T605" s="4"/>
      <c r="U605" s="41">
        <f>SUM(U562:U604)</f>
        <v>390</v>
      </c>
      <c r="V605" s="41">
        <f>SUM(V562:V586)</f>
        <v>-1155</v>
      </c>
      <c r="W605" s="42">
        <f>SUM(W562:W604)</f>
        <v>253769</v>
      </c>
      <c r="Z605" s="57"/>
      <c r="AA605" s="57"/>
      <c r="AB605" s="38">
        <f>SUM(AB562:AB604)</f>
        <v>435419</v>
      </c>
      <c r="AC605" s="38">
        <f>SUM(AC562:AC586)</f>
        <v>-1554</v>
      </c>
      <c r="AD605" s="38">
        <f>SUM(AD562:AD586)</f>
        <v>0</v>
      </c>
      <c r="AE605" s="38">
        <f>SUM(AE562:AE604)</f>
        <v>433865</v>
      </c>
      <c r="AF605" s="4"/>
      <c r="AG605" s="41">
        <f>SUM(AG562:AG604)</f>
        <v>23988</v>
      </c>
      <c r="AH605" s="41">
        <f>SUM(AH562:AH586)</f>
        <v>-888</v>
      </c>
      <c r="AI605" s="42">
        <f>SUM(AI562:AI604)</f>
        <v>456965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41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41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41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73</v>
      </c>
      <c r="B613" s="20"/>
      <c r="C613" s="57"/>
      <c r="D613" s="57"/>
      <c r="E613" s="57"/>
      <c r="G613" s="57"/>
      <c r="I613" s="22" t="s">
        <v>16</v>
      </c>
      <c r="J613" s="23" t="s">
        <v>43</v>
      </c>
      <c r="K613" s="24"/>
      <c r="M613" s="21" t="s">
        <v>73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32</v>
      </c>
      <c r="W613" s="24"/>
      <c r="Y613" s="21" t="s">
        <v>73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43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B615" s="25"/>
      <c r="C615" s="26"/>
      <c r="D615" s="114" t="s">
        <v>17</v>
      </c>
      <c r="E615" s="114"/>
      <c r="F615" s="106"/>
      <c r="G615" s="27"/>
      <c r="I615" s="112" t="s">
        <v>18</v>
      </c>
      <c r="J615" s="113"/>
      <c r="K615" s="116" t="s">
        <v>19</v>
      </c>
      <c r="N615" s="25"/>
      <c r="O615" s="26"/>
      <c r="P615" s="114" t="s">
        <v>17</v>
      </c>
      <c r="Q615" s="114"/>
      <c r="R615" s="106"/>
      <c r="S615" s="27"/>
      <c r="U615" s="112" t="s">
        <v>18</v>
      </c>
      <c r="V615" s="113"/>
      <c r="W615" s="116" t="s">
        <v>19</v>
      </c>
      <c r="Z615" s="25"/>
      <c r="AA615" s="26"/>
      <c r="AB615" s="114" t="s">
        <v>17</v>
      </c>
      <c r="AC615" s="114"/>
      <c r="AD615" s="106"/>
      <c r="AE615" s="27"/>
      <c r="AG615" s="112" t="s">
        <v>18</v>
      </c>
      <c r="AH615" s="113"/>
      <c r="AI615" s="116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31</v>
      </c>
      <c r="G616" s="78" t="s">
        <v>24</v>
      </c>
      <c r="I616" s="29" t="s">
        <v>25</v>
      </c>
      <c r="J616" s="29" t="s">
        <v>26</v>
      </c>
      <c r="K616" s="117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31</v>
      </c>
      <c r="S616" s="78" t="s">
        <v>24</v>
      </c>
      <c r="U616" s="29" t="s">
        <v>25</v>
      </c>
      <c r="V616" s="29" t="s">
        <v>26</v>
      </c>
      <c r="W616" s="117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31</v>
      </c>
      <c r="AE616" s="78" t="s">
        <v>24</v>
      </c>
      <c r="AG616" s="29" t="s">
        <v>25</v>
      </c>
      <c r="AH616" s="29" t="s">
        <v>26</v>
      </c>
      <c r="AI616" s="117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74</v>
      </c>
      <c r="C617" s="83">
        <v>10949</v>
      </c>
      <c r="D617" s="32">
        <f>650*50+670*3+622*6</f>
        <v>38242</v>
      </c>
      <c r="E617" s="32"/>
      <c r="F617" s="32"/>
      <c r="G617" s="32">
        <f t="shared" ref="G617:G661" si="152">SUM(D617:E617)</f>
        <v>38242</v>
      </c>
      <c r="H617" s="12"/>
      <c r="I617" s="12">
        <v>148.5</v>
      </c>
      <c r="J617" s="12"/>
      <c r="K617" s="12">
        <f t="shared" ref="K617:K661" si="153">SUM(G617:J617)</f>
        <v>38390.5</v>
      </c>
      <c r="M617" s="10">
        <v>1</v>
      </c>
      <c r="N617" s="30" t="s">
        <v>74</v>
      </c>
      <c r="O617" s="31">
        <v>10890</v>
      </c>
      <c r="P617" s="32">
        <f>650*7+670</f>
        <v>5220</v>
      </c>
      <c r="Q617" s="32"/>
      <c r="R617" s="32"/>
      <c r="S617" s="32">
        <f>SUM(P617:Q617)</f>
        <v>5220</v>
      </c>
      <c r="T617" s="12"/>
      <c r="U617" s="12"/>
      <c r="V617" s="12"/>
      <c r="W617" s="12">
        <f>SUM(S617:V617)</f>
        <v>5220</v>
      </c>
      <c r="Y617" s="10">
        <v>1</v>
      </c>
      <c r="Z617" s="30" t="s">
        <v>74</v>
      </c>
      <c r="AA617" s="31">
        <v>10970</v>
      </c>
      <c r="AB617" s="32">
        <f>650*216+229*9</f>
        <v>142461</v>
      </c>
      <c r="AC617" s="32">
        <v>-1296</v>
      </c>
      <c r="AD617" s="32"/>
      <c r="AE617" s="32">
        <f>SUM(AB617:AC617)</f>
        <v>141165</v>
      </c>
      <c r="AF617" s="12"/>
      <c r="AG617" s="12"/>
      <c r="AH617" s="12"/>
      <c r="AI617" s="12">
        <f>SUM(AE617:AH617)</f>
        <v>141165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74</v>
      </c>
      <c r="C618" s="83">
        <f>C617+1</f>
        <v>10950</v>
      </c>
      <c r="D618" s="32">
        <f>650*123+670*5+700*3+622*5+912*2+1050*2+872*2</f>
        <v>94178</v>
      </c>
      <c r="E618" s="32"/>
      <c r="F618" s="32"/>
      <c r="G618" s="32">
        <f t="shared" si="152"/>
        <v>94178</v>
      </c>
      <c r="H618" s="12"/>
      <c r="I618" s="12">
        <v>405</v>
      </c>
      <c r="J618" s="12">
        <f>-78*11</f>
        <v>-858</v>
      </c>
      <c r="K618" s="12">
        <f t="shared" si="153"/>
        <v>93725</v>
      </c>
      <c r="M618" s="10">
        <v>2</v>
      </c>
      <c r="N618" s="30" t="s">
        <v>74</v>
      </c>
      <c r="O618" s="31">
        <f>O617+1</f>
        <v>10891</v>
      </c>
      <c r="P618" s="32">
        <f>650*216+670*6+229*6</f>
        <v>145794</v>
      </c>
      <c r="Q618" s="32">
        <v>-1332</v>
      </c>
      <c r="R618" s="32"/>
      <c r="S618" s="32">
        <f t="shared" ref="S618:S661" si="154">SUM(P618:Q618)</f>
        <v>144462</v>
      </c>
      <c r="T618" s="12"/>
      <c r="U618" s="12">
        <f>1.5*144</f>
        <v>216</v>
      </c>
      <c r="V618" s="12"/>
      <c r="W618" s="12">
        <f t="shared" ref="W618:W661" si="155">SUM(S618:V618)</f>
        <v>144678</v>
      </c>
      <c r="Y618" s="10">
        <v>2</v>
      </c>
      <c r="Z618" s="30" t="s">
        <v>74</v>
      </c>
      <c r="AA618" s="31">
        <f>AA617+1</f>
        <v>10971</v>
      </c>
      <c r="AB618" s="32">
        <f>650*324+670*8+622*40+912*2+1050*15+872*12+229*9</f>
        <v>270939</v>
      </c>
      <c r="AC618" s="32"/>
      <c r="AD618" s="32"/>
      <c r="AE618" s="32">
        <f t="shared" ref="AE618:AE622" si="156">SUM(AB618:AC618)</f>
        <v>270939</v>
      </c>
      <c r="AF618" s="12"/>
      <c r="AG618" s="12">
        <v>78</v>
      </c>
      <c r="AH618" s="12"/>
      <c r="AI618" s="12">
        <f t="shared" ref="AI618:AI661" si="157">SUM(AE618:AH618)</f>
        <v>271017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74</v>
      </c>
      <c r="C619" s="83">
        <v>11001</v>
      </c>
      <c r="D619" s="33">
        <f>650*324+622*108+229*10</f>
        <v>280066</v>
      </c>
      <c r="E619" s="33">
        <f>-432*6</f>
        <v>-2592</v>
      </c>
      <c r="F619" s="33"/>
      <c r="G619" s="33">
        <f t="shared" si="152"/>
        <v>277474</v>
      </c>
      <c r="H619" s="34"/>
      <c r="I619" s="34"/>
      <c r="J619" s="34">
        <f>-720+-13653+-312+-840</f>
        <v>-15525</v>
      </c>
      <c r="K619" s="34">
        <f t="shared" si="153"/>
        <v>261949</v>
      </c>
      <c r="M619" s="10">
        <v>3</v>
      </c>
      <c r="N619" s="30" t="s">
        <v>74</v>
      </c>
      <c r="O619" s="31">
        <f t="shared" ref="O619:O631" si="158">O618+1</f>
        <v>10892</v>
      </c>
      <c r="P619" s="32">
        <f>650*54+229</f>
        <v>35329</v>
      </c>
      <c r="Q619" s="32"/>
      <c r="R619" s="32"/>
      <c r="S619" s="32">
        <f t="shared" si="154"/>
        <v>35329</v>
      </c>
      <c r="T619" s="12"/>
      <c r="U619" s="12">
        <v>36</v>
      </c>
      <c r="V619" s="12"/>
      <c r="W619" s="12">
        <f t="shared" si="155"/>
        <v>35365</v>
      </c>
      <c r="Y619" s="10">
        <v>3</v>
      </c>
      <c r="Z619" s="30" t="s">
        <v>74</v>
      </c>
      <c r="AA619" s="31">
        <f t="shared" ref="AA619:AA631" si="159">AA618+1</f>
        <v>10972</v>
      </c>
      <c r="AB619" s="33">
        <f>650*8</f>
        <v>5200</v>
      </c>
      <c r="AC619" s="33"/>
      <c r="AD619" s="32"/>
      <c r="AE619" s="32">
        <f t="shared" si="156"/>
        <v>5200</v>
      </c>
      <c r="AF619" s="12"/>
      <c r="AG619" s="12"/>
      <c r="AH619" s="12">
        <v>-222</v>
      </c>
      <c r="AI619" s="12">
        <f t="shared" si="157"/>
        <v>4978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74</v>
      </c>
      <c r="C620" s="83">
        <f t="shared" ref="C619:C631" si="160">C619+1</f>
        <v>11002</v>
      </c>
      <c r="D620" s="32">
        <f>650*55</f>
        <v>35750</v>
      </c>
      <c r="E620" s="32"/>
      <c r="F620" s="32"/>
      <c r="G620" s="32">
        <f t="shared" si="152"/>
        <v>35750</v>
      </c>
      <c r="H620" s="12"/>
      <c r="I620" s="12"/>
      <c r="J620" s="12"/>
      <c r="K620" s="12">
        <f t="shared" si="153"/>
        <v>35750</v>
      </c>
      <c r="M620" s="10">
        <v>4</v>
      </c>
      <c r="N620" s="30" t="s">
        <v>74</v>
      </c>
      <c r="O620" s="31">
        <f t="shared" si="158"/>
        <v>10893</v>
      </c>
      <c r="P620" s="32">
        <f>650*24</f>
        <v>15600</v>
      </c>
      <c r="Q620" s="32"/>
      <c r="R620" s="32"/>
      <c r="S620" s="32">
        <f t="shared" si="154"/>
        <v>15600</v>
      </c>
      <c r="T620" s="12"/>
      <c r="U620" s="12">
        <v>45</v>
      </c>
      <c r="V620" s="12"/>
      <c r="W620" s="12">
        <f t="shared" si="155"/>
        <v>15645</v>
      </c>
      <c r="Y620" s="10">
        <v>4</v>
      </c>
      <c r="Z620" s="30" t="s">
        <v>74</v>
      </c>
      <c r="AA620" s="31">
        <f t="shared" si="159"/>
        <v>10973</v>
      </c>
      <c r="AB620" s="32">
        <f>650*100+670*10+872*10+229*4+650*2</f>
        <v>82636</v>
      </c>
      <c r="AC620" s="32">
        <f>-120*6</f>
        <v>-720</v>
      </c>
      <c r="AD620" s="32"/>
      <c r="AE620" s="32">
        <f t="shared" si="156"/>
        <v>81916</v>
      </c>
      <c r="AF620" s="12"/>
      <c r="AG620">
        <v>54</v>
      </c>
      <c r="AH620" s="12">
        <f>-777+-504</f>
        <v>-1281</v>
      </c>
      <c r="AI620" s="12">
        <f t="shared" si="157"/>
        <v>80689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74</v>
      </c>
      <c r="C621" s="83">
        <f t="shared" si="160"/>
        <v>11003</v>
      </c>
      <c r="D621" s="32">
        <f>650*30+622*2</f>
        <v>20744</v>
      </c>
      <c r="E621" s="32"/>
      <c r="F621" s="32"/>
      <c r="G621" s="32">
        <f t="shared" si="152"/>
        <v>20744</v>
      </c>
      <c r="H621" s="12"/>
      <c r="I621" s="12">
        <v>864</v>
      </c>
      <c r="J621" s="12">
        <f>-120+-6660</f>
        <v>-6780</v>
      </c>
      <c r="K621" s="12">
        <f t="shared" si="153"/>
        <v>14828</v>
      </c>
      <c r="M621" s="10">
        <v>5</v>
      </c>
      <c r="N621" s="30" t="s">
        <v>74</v>
      </c>
      <c r="O621" s="31">
        <f t="shared" si="158"/>
        <v>10894</v>
      </c>
      <c r="P621" s="32">
        <f>650*8</f>
        <v>5200</v>
      </c>
      <c r="Q621" s="32"/>
      <c r="R621" s="32"/>
      <c r="S621" s="32">
        <f t="shared" si="154"/>
        <v>5200</v>
      </c>
      <c r="T621" s="12"/>
      <c r="U621" s="12"/>
      <c r="V621" s="12"/>
      <c r="W621" s="12">
        <f t="shared" si="155"/>
        <v>5200</v>
      </c>
      <c r="Y621" s="10">
        <v>5</v>
      </c>
      <c r="Z621" s="30"/>
      <c r="AA621" s="11" t="s">
        <v>27</v>
      </c>
      <c r="AB621" s="32"/>
      <c r="AC621" s="32"/>
      <c r="AD621" s="32"/>
      <c r="AE621" s="32">
        <f t="shared" ref="AE621:AE661" si="161">SUM(AB621:AC621)</f>
        <v>0</v>
      </c>
      <c r="AF621" s="12"/>
      <c r="AG621" s="12"/>
      <c r="AH621" s="12"/>
      <c r="AI621" s="12">
        <f t="shared" si="157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74</v>
      </c>
      <c r="C622" s="83">
        <f t="shared" si="160"/>
        <v>11004</v>
      </c>
      <c r="D622" s="32">
        <f>650</f>
        <v>650</v>
      </c>
      <c r="E622" s="32"/>
      <c r="F622" s="32"/>
      <c r="G622" s="32">
        <f t="shared" si="152"/>
        <v>650</v>
      </c>
      <c r="H622" s="12"/>
      <c r="I622" s="12"/>
      <c r="J622" s="12"/>
      <c r="K622" s="12">
        <f t="shared" si="153"/>
        <v>650</v>
      </c>
      <c r="M622" s="10">
        <v>6</v>
      </c>
      <c r="N622" s="30" t="s">
        <v>74</v>
      </c>
      <c r="O622" s="31">
        <f t="shared" si="158"/>
        <v>10895</v>
      </c>
      <c r="P622" s="32">
        <f>650*9+622*4</f>
        <v>8338</v>
      </c>
      <c r="Q622" s="32"/>
      <c r="R622" s="32"/>
      <c r="S622" s="32">
        <f t="shared" si="154"/>
        <v>8338</v>
      </c>
      <c r="T622" s="12"/>
      <c r="U622" s="12"/>
      <c r="V622" s="10">
        <v>-888</v>
      </c>
      <c r="W622" s="12">
        <f t="shared" si="155"/>
        <v>7450</v>
      </c>
      <c r="Y622" s="10">
        <v>6</v>
      </c>
      <c r="Z622" s="30"/>
      <c r="AA622" s="31"/>
      <c r="AB622" s="32"/>
      <c r="AC622" s="32"/>
      <c r="AD622" s="32"/>
      <c r="AE622" s="32">
        <f t="shared" si="161"/>
        <v>0</v>
      </c>
      <c r="AF622" s="12"/>
      <c r="AG622" s="12"/>
      <c r="AH622" s="10"/>
      <c r="AI622" s="12">
        <f t="shared" si="157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11" t="s">
        <v>27</v>
      </c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54"/>
        <v>0</v>
      </c>
      <c r="T623" s="12"/>
      <c r="U623" s="12"/>
      <c r="V623" s="12"/>
      <c r="W623" s="12">
        <f t="shared" si="155"/>
        <v>0</v>
      </c>
      <c r="Y623" s="10">
        <v>7</v>
      </c>
      <c r="Z623" s="30"/>
      <c r="AA623" s="31"/>
      <c r="AB623" s="32"/>
      <c r="AC623" s="32"/>
      <c r="AD623" s="32"/>
      <c r="AE623" s="32">
        <f t="shared" si="161"/>
        <v>0</v>
      </c>
      <c r="AF623" s="12"/>
      <c r="AG623" s="58"/>
      <c r="AH623" s="12"/>
      <c r="AI623" s="12">
        <f t="shared" si="157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3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/>
      <c r="O624" s="31"/>
      <c r="P624" s="32"/>
      <c r="Q624" s="32"/>
      <c r="R624" s="32"/>
      <c r="S624" s="32">
        <f t="shared" si="154"/>
        <v>0</v>
      </c>
      <c r="T624" s="12"/>
      <c r="U624" s="12"/>
      <c r="V624" s="12"/>
      <c r="W624" s="12">
        <f t="shared" si="155"/>
        <v>0</v>
      </c>
      <c r="Y624" s="10">
        <v>8</v>
      </c>
      <c r="Z624" s="30"/>
      <c r="AA624" s="31"/>
      <c r="AB624" s="32"/>
      <c r="AC624" s="32"/>
      <c r="AE624" s="32">
        <f t="shared" si="161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3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/>
      <c r="O625" s="31"/>
      <c r="P625" s="32"/>
      <c r="Q625" s="32"/>
      <c r="R625" s="32"/>
      <c r="S625" s="32">
        <f t="shared" si="154"/>
        <v>0</v>
      </c>
      <c r="T625" s="12"/>
      <c r="U625" s="12"/>
      <c r="V625" s="12"/>
      <c r="W625" s="12">
        <f t="shared" si="155"/>
        <v>0</v>
      </c>
      <c r="Y625" s="10">
        <v>9</v>
      </c>
      <c r="Z625" s="30"/>
      <c r="AA625" s="31"/>
      <c r="AB625" s="32"/>
      <c r="AC625" s="32"/>
      <c r="AD625" s="32"/>
      <c r="AE625" s="32">
        <f t="shared" si="161"/>
        <v>0</v>
      </c>
      <c r="AF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3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/>
      <c r="O626" s="31"/>
      <c r="P626" s="32"/>
      <c r="Q626" s="32"/>
      <c r="R626" s="32"/>
      <c r="S626" s="32">
        <f t="shared" si="154"/>
        <v>0</v>
      </c>
      <c r="T626" s="12"/>
      <c r="U626" s="12"/>
      <c r="V626" s="12"/>
      <c r="W626" s="12">
        <f t="shared" si="155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61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C627" s="83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31"/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61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3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61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3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61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3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61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3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61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1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A632" s="11"/>
      <c r="AB632" s="32"/>
      <c r="AC632" s="32"/>
      <c r="AD632" s="32"/>
      <c r="AE632" s="32">
        <f t="shared" si="161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O633" s="31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61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3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61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61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O636" s="31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61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3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61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61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Q639" s="31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E639" s="32">
        <f t="shared" si="161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61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3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61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61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61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61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61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61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61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61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61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60" si="162">SUM(AB650:AC650)</f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62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62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62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62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62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3">SUM(D657:E657)</f>
        <v>0</v>
      </c>
      <c r="H657" s="10"/>
      <c r="I657" s="10"/>
      <c r="J657" s="10"/>
      <c r="K657" s="12">
        <f t="shared" ref="K657" si="164">SUM(G657:J657)</f>
        <v>0</v>
      </c>
      <c r="M657" s="10"/>
      <c r="N657" s="30"/>
      <c r="O657" s="31"/>
      <c r="P657" s="47"/>
      <c r="Q657" s="31"/>
      <c r="R657" s="31"/>
      <c r="S657" s="32">
        <f t="shared" ref="S657" si="165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6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469630</v>
      </c>
      <c r="E660" s="38">
        <f t="shared" ref="E660:G660" si="167">SUM(E617:E657)</f>
        <v>-2592</v>
      </c>
      <c r="F660" s="38">
        <f t="shared" si="167"/>
        <v>0</v>
      </c>
      <c r="G660" s="38">
        <f>SUM(G617:G659)</f>
        <v>467038</v>
      </c>
      <c r="H660" s="4"/>
      <c r="I660" s="39">
        <f>SUM(I617:I659)</f>
        <v>1417.5</v>
      </c>
      <c r="J660" s="39">
        <f>SUM(J617:J659)</f>
        <v>-23163</v>
      </c>
      <c r="K660" s="40">
        <f>SUM(K617:K659)</f>
        <v>445292.5</v>
      </c>
      <c r="N660" s="57"/>
      <c r="O660" s="57"/>
      <c r="P660" s="38">
        <f>SUM(P617:P659)</f>
        <v>215481</v>
      </c>
      <c r="Q660" s="38">
        <f>SUM(Q617:Q641)</f>
        <v>-1332</v>
      </c>
      <c r="R660" s="38">
        <f>SUM(R617:R641)</f>
        <v>0</v>
      </c>
      <c r="S660" s="38">
        <f>SUM(S617:S659)</f>
        <v>214149</v>
      </c>
      <c r="T660" s="4"/>
      <c r="U660" s="41">
        <f>SUM(U617:U659)</f>
        <v>297</v>
      </c>
      <c r="V660" s="41">
        <f>SUM(V617:V641)</f>
        <v>-888</v>
      </c>
      <c r="W660" s="42">
        <f>SUM(W617:W659)</f>
        <v>213558</v>
      </c>
      <c r="Z660" s="57"/>
      <c r="AA660" s="57"/>
      <c r="AB660" s="38">
        <f>SUM(AB617:AB659)</f>
        <v>501236</v>
      </c>
      <c r="AC660" s="38">
        <f>SUM(AC617:AC641)</f>
        <v>-2016</v>
      </c>
      <c r="AD660" s="38">
        <f>SUM(AD617:AD641)</f>
        <v>0</v>
      </c>
      <c r="AE660" s="38">
        <f>SUM(AE617:AE659)</f>
        <v>499220</v>
      </c>
      <c r="AF660" s="4"/>
      <c r="AG660" s="41">
        <f>SUM(AG617:AG659)</f>
        <v>132</v>
      </c>
      <c r="AH660" s="41">
        <f>SUM(AH617:AH641)</f>
        <v>-1503</v>
      </c>
      <c r="AI660" s="42">
        <f>SUM(AI617:AI659)</f>
        <v>497849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0"/>
      <c r="C662" s="90"/>
      <c r="D662" s="90"/>
      <c r="E662" s="90"/>
      <c r="F662" s="90"/>
      <c r="G662" s="90"/>
      <c r="H662" s="62"/>
      <c r="I662" s="62"/>
      <c r="J662" s="62"/>
      <c r="K662" s="62"/>
      <c r="L662" s="62"/>
      <c r="M662" s="62"/>
      <c r="N662" s="90"/>
      <c r="O662" s="90"/>
      <c r="P662" s="90"/>
      <c r="Q662" s="90"/>
      <c r="R662" s="90"/>
      <c r="S662" s="90"/>
      <c r="T662" s="62"/>
      <c r="U662" s="62"/>
      <c r="V662" s="62"/>
      <c r="W662" s="62"/>
      <c r="X662" s="62"/>
      <c r="Y662" s="62"/>
      <c r="Z662" s="90"/>
      <c r="AA662" s="90"/>
      <c r="AB662" s="90"/>
      <c r="AC662" s="90"/>
      <c r="AD662" s="90"/>
      <c r="AE662" s="90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0"/>
      <c r="C663" s="90"/>
      <c r="D663" s="90"/>
      <c r="E663" s="90"/>
      <c r="F663" s="90"/>
      <c r="G663" s="90"/>
      <c r="H663" s="62"/>
      <c r="I663" s="62"/>
      <c r="J663" s="62"/>
      <c r="K663" s="62"/>
      <c r="L663" s="62"/>
      <c r="M663" s="62"/>
      <c r="N663" s="90"/>
      <c r="O663" s="90"/>
      <c r="P663" s="90"/>
      <c r="Q663" s="90"/>
      <c r="R663" s="90"/>
      <c r="S663" s="90"/>
      <c r="T663" s="62"/>
      <c r="U663" s="62"/>
      <c r="V663" s="62"/>
      <c r="W663" s="62"/>
      <c r="X663" s="62"/>
      <c r="Y663" s="62"/>
      <c r="Z663" s="90"/>
      <c r="AA663" s="90"/>
      <c r="AB663" s="90"/>
      <c r="AC663" s="90"/>
      <c r="AD663" s="90"/>
      <c r="AE663" s="90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3"/>
      <c r="B664" s="90"/>
      <c r="C664" s="90"/>
      <c r="D664" s="90"/>
      <c r="E664" s="90"/>
      <c r="F664" s="90"/>
      <c r="G664" s="90"/>
      <c r="H664" s="62"/>
      <c r="I664" s="62"/>
      <c r="J664" s="62"/>
      <c r="K664" s="62"/>
      <c r="L664" s="62"/>
      <c r="M664" s="63"/>
      <c r="N664" s="90"/>
      <c r="O664" s="90"/>
      <c r="P664" s="90"/>
      <c r="Q664" s="90"/>
      <c r="R664" s="90"/>
      <c r="S664" s="90"/>
      <c r="T664" s="62"/>
      <c r="U664" s="62"/>
      <c r="V664" s="62"/>
      <c r="W664" s="62"/>
      <c r="X664" s="62"/>
      <c r="Y664" s="63"/>
      <c r="Z664" s="90"/>
      <c r="AA664" s="90"/>
      <c r="AB664" s="90"/>
      <c r="AC664" s="90"/>
      <c r="AD664" s="90"/>
      <c r="AE664" s="90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2"/>
      <c r="B665" s="90"/>
      <c r="C665" s="90"/>
      <c r="D665" s="90"/>
      <c r="E665" s="90"/>
      <c r="F665" s="90"/>
      <c r="G665" s="90"/>
      <c r="H665" s="62"/>
      <c r="I665" s="62"/>
      <c r="J665" s="62"/>
      <c r="K665" s="62"/>
      <c r="L665" s="62"/>
      <c r="M665" s="62"/>
      <c r="N665" s="90"/>
      <c r="O665" s="90"/>
      <c r="P665" s="90"/>
      <c r="Q665" s="90"/>
      <c r="R665" s="90"/>
      <c r="S665" s="90"/>
      <c r="T665" s="62"/>
      <c r="U665" s="62"/>
      <c r="V665" s="62"/>
      <c r="W665" s="62"/>
      <c r="X665" s="62"/>
      <c r="Y665" s="62"/>
      <c r="Z665" s="90"/>
      <c r="AA665" s="90"/>
      <c r="AB665" s="90"/>
      <c r="AC665" s="90"/>
      <c r="AD665" s="90"/>
      <c r="AE665" s="90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ht="15.75" x14ac:dyDescent="0.25">
      <c r="A666" s="62"/>
      <c r="B666" s="90"/>
      <c r="C666" s="90"/>
      <c r="D666" s="90"/>
      <c r="E666" s="90"/>
      <c r="F666" s="90"/>
      <c r="G666" s="90"/>
      <c r="H666" s="62"/>
      <c r="I666" s="90"/>
      <c r="J666" s="73"/>
      <c r="K666" s="62"/>
      <c r="L666" s="62"/>
      <c r="M666" s="62"/>
      <c r="N666" s="90"/>
      <c r="O666" s="90"/>
      <c r="P666" s="90"/>
      <c r="Q666" s="90"/>
      <c r="R666" s="90"/>
      <c r="S666" s="90"/>
      <c r="T666" s="62"/>
      <c r="U666" s="90"/>
      <c r="V666" s="73"/>
      <c r="W666" s="62"/>
      <c r="X666" s="62"/>
      <c r="Y666" s="62"/>
      <c r="Z666" s="90"/>
      <c r="AA666" s="90"/>
      <c r="AB666" s="90"/>
      <c r="AC666" s="90"/>
      <c r="AD666" s="90"/>
      <c r="AE666" s="90"/>
      <c r="AF666" s="62"/>
      <c r="AG666" s="90"/>
      <c r="AH666" s="90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x14ac:dyDescent="0.25">
      <c r="A667" s="64"/>
      <c r="B667" s="90"/>
      <c r="C667" s="90"/>
      <c r="D667" s="90"/>
      <c r="E667" s="90"/>
      <c r="F667" s="90"/>
      <c r="G667" s="90"/>
      <c r="H667" s="62"/>
      <c r="I667" s="65"/>
      <c r="J667" s="65"/>
      <c r="K667" s="62"/>
      <c r="L667" s="62"/>
      <c r="M667" s="64"/>
      <c r="N667" s="90"/>
      <c r="O667" s="90"/>
      <c r="P667" s="90"/>
      <c r="Q667" s="90"/>
      <c r="R667" s="90"/>
      <c r="S667" s="90"/>
      <c r="T667" s="62"/>
      <c r="U667" s="65"/>
      <c r="V667" s="65"/>
      <c r="W667" s="62"/>
      <c r="X667" s="62"/>
      <c r="Y667" s="64"/>
      <c r="Z667" s="90"/>
      <c r="AA667" s="90"/>
      <c r="AB667" s="90"/>
      <c r="AC667" s="90"/>
      <c r="AD667" s="90"/>
      <c r="AE667" s="90"/>
      <c r="AF667" s="62"/>
      <c r="AG667" s="65"/>
      <c r="AH667" s="65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2"/>
      <c r="B668" s="90"/>
      <c r="C668" s="90"/>
      <c r="D668" s="90"/>
      <c r="E668" s="90"/>
      <c r="F668" s="90"/>
      <c r="G668" s="90"/>
      <c r="H668" s="62"/>
      <c r="I668" s="62"/>
      <c r="J668" s="62"/>
      <c r="K668" s="62"/>
      <c r="L668" s="62"/>
      <c r="M668" s="62"/>
      <c r="N668" s="90"/>
      <c r="O668" s="90"/>
      <c r="P668" s="90"/>
      <c r="Q668" s="90"/>
      <c r="R668" s="90"/>
      <c r="S668" s="90"/>
      <c r="T668" s="62"/>
      <c r="U668" s="62"/>
      <c r="V668" s="62"/>
      <c r="W668" s="62"/>
      <c r="X668" s="62"/>
      <c r="Y668" s="62"/>
      <c r="Z668" s="90"/>
      <c r="AA668" s="90"/>
      <c r="AB668" s="90"/>
      <c r="AC668" s="90"/>
      <c r="AD668" s="90"/>
      <c r="AE668" s="90"/>
      <c r="AF668" s="62"/>
      <c r="AG668" s="62"/>
      <c r="AH668" s="62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65"/>
      <c r="C669" s="90"/>
      <c r="D669" s="115"/>
      <c r="E669" s="115"/>
      <c r="F669" s="90"/>
      <c r="G669" s="90"/>
      <c r="H669" s="62"/>
      <c r="I669" s="115"/>
      <c r="J669" s="115"/>
      <c r="K669" s="111"/>
      <c r="L669" s="62"/>
      <c r="M669" s="62"/>
      <c r="N669" s="65"/>
      <c r="O669" s="90"/>
      <c r="P669" s="115"/>
      <c r="Q669" s="115"/>
      <c r="R669" s="90"/>
      <c r="S669" s="90"/>
      <c r="T669" s="62"/>
      <c r="U669" s="115"/>
      <c r="V669" s="115"/>
      <c r="W669" s="111"/>
      <c r="X669" s="62"/>
      <c r="Y669" s="62"/>
      <c r="Z669" s="65"/>
      <c r="AA669" s="90"/>
      <c r="AB669" s="115"/>
      <c r="AC669" s="115"/>
      <c r="AD669" s="90"/>
      <c r="AE669" s="90"/>
      <c r="AF669" s="62"/>
      <c r="AG669" s="115"/>
      <c r="AH669" s="115"/>
      <c r="AI669" s="111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90"/>
      <c r="C670" s="90"/>
      <c r="D670" s="79"/>
      <c r="E670" s="80"/>
      <c r="F670" s="81"/>
      <c r="G670" s="81"/>
      <c r="H670" s="62"/>
      <c r="I670" s="91"/>
      <c r="J670" s="91"/>
      <c r="K670" s="111"/>
      <c r="L670" s="62"/>
      <c r="M670" s="62"/>
      <c r="N670" s="90"/>
      <c r="O670" s="90"/>
      <c r="P670" s="79"/>
      <c r="Q670" s="81"/>
      <c r="R670" s="81"/>
      <c r="S670" s="81"/>
      <c r="T670" s="62"/>
      <c r="U670" s="91"/>
      <c r="V670" s="91"/>
      <c r="W670" s="111"/>
      <c r="X670" s="62"/>
      <c r="Y670" s="62"/>
      <c r="Z670" s="90"/>
      <c r="AA670" s="90"/>
      <c r="AB670" s="79"/>
      <c r="AC670" s="81"/>
      <c r="AD670" s="81"/>
      <c r="AE670" s="81"/>
      <c r="AF670" s="62"/>
      <c r="AG670" s="91"/>
      <c r="AH670" s="91"/>
      <c r="AI670" s="111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66"/>
      <c r="C671" s="84"/>
      <c r="D671" s="60"/>
      <c r="E671" s="60"/>
      <c r="F671" s="60"/>
      <c r="G671" s="60"/>
      <c r="H671" s="61"/>
      <c r="I671" s="61"/>
      <c r="J671" s="61"/>
      <c r="K671" s="61"/>
      <c r="L671" s="62"/>
      <c r="M671" s="62"/>
      <c r="N671" s="66"/>
      <c r="O671" s="90"/>
      <c r="P671" s="60"/>
      <c r="Q671" s="60"/>
      <c r="R671" s="60"/>
      <c r="S671" s="60"/>
      <c r="T671" s="61"/>
      <c r="U671" s="61"/>
      <c r="V671" s="61"/>
      <c r="W671" s="61"/>
      <c r="X671" s="62"/>
      <c r="Y671" s="62"/>
      <c r="Z671" s="66"/>
      <c r="AA671" s="90"/>
      <c r="AB671" s="60"/>
      <c r="AC671" s="60"/>
      <c r="AD671" s="60"/>
      <c r="AE671" s="60"/>
      <c r="AF671" s="61"/>
      <c r="AG671" s="61"/>
      <c r="AH671" s="61"/>
      <c r="AI671" s="61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0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0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0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0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65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0"/>
      <c r="AB674" s="60"/>
      <c r="AC674" s="60"/>
      <c r="AD674" s="60"/>
      <c r="AE674" s="60"/>
      <c r="AF674" s="61"/>
      <c r="AG674" s="62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0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90"/>
      <c r="AB675" s="60"/>
      <c r="AC675" s="60"/>
      <c r="AD675" s="60"/>
      <c r="AE675" s="60"/>
      <c r="AF675" s="61"/>
      <c r="AG675" s="61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0"/>
      <c r="P676" s="60"/>
      <c r="Q676" s="60"/>
      <c r="R676" s="60"/>
      <c r="S676" s="60"/>
      <c r="T676" s="61"/>
      <c r="U676" s="61"/>
      <c r="V676" s="62"/>
      <c r="W676" s="61"/>
      <c r="X676" s="62"/>
      <c r="Y676" s="62"/>
      <c r="Z676" s="66"/>
      <c r="AA676" s="90"/>
      <c r="AB676" s="60"/>
      <c r="AC676" s="60"/>
      <c r="AD676" s="60"/>
      <c r="AE676" s="60"/>
      <c r="AF676" s="61"/>
      <c r="AG676" s="61"/>
      <c r="AH676" s="62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0"/>
      <c r="P677" s="60"/>
      <c r="Q677" s="60"/>
      <c r="R677" s="60"/>
      <c r="S677" s="60"/>
      <c r="T677" s="61"/>
      <c r="U677" s="61"/>
      <c r="V677" s="61"/>
      <c r="W677" s="61"/>
      <c r="X677" s="62"/>
      <c r="Y677" s="62"/>
      <c r="Z677" s="66"/>
      <c r="AA677" s="90"/>
      <c r="AB677" s="60"/>
      <c r="AC677" s="60"/>
      <c r="AD677" s="60"/>
      <c r="AE677" s="60"/>
      <c r="AF677" s="61"/>
      <c r="AG677" s="61"/>
      <c r="AH677" s="61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0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0"/>
      <c r="AB678" s="60"/>
      <c r="AC678" s="60"/>
      <c r="AD678" s="62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0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65"/>
      <c r="AB679" s="60"/>
      <c r="AC679" s="60"/>
      <c r="AD679" s="60"/>
      <c r="AE679" s="60"/>
      <c r="AF679" s="61"/>
      <c r="AG679" s="62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0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2"/>
      <c r="AB680" s="60"/>
      <c r="AC680" s="60"/>
      <c r="AD680" s="60"/>
      <c r="AE680" s="60"/>
      <c r="AF680" s="61"/>
      <c r="AG680" s="61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65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62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0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2"/>
      <c r="K682" s="61"/>
      <c r="L682" s="62"/>
      <c r="M682" s="62"/>
      <c r="N682" s="66"/>
      <c r="O682" s="90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0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1"/>
      <c r="K683" s="61"/>
      <c r="L683" s="62"/>
      <c r="M683" s="62"/>
      <c r="N683" s="66"/>
      <c r="O683" s="90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0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0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0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0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0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90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0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2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62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90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65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0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0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0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62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62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2"/>
      <c r="I691" s="62"/>
      <c r="J691" s="62"/>
      <c r="K691" s="61"/>
      <c r="L691" s="62"/>
      <c r="M691" s="62"/>
      <c r="N691" s="66"/>
      <c r="O691" s="90"/>
      <c r="P691" s="67"/>
      <c r="Q691" s="90"/>
      <c r="R691" s="90"/>
      <c r="S691" s="60"/>
      <c r="T691" s="62"/>
      <c r="U691" s="62"/>
      <c r="V691" s="62"/>
      <c r="W691" s="61"/>
      <c r="X691" s="62"/>
      <c r="Y691" s="62"/>
      <c r="Z691" s="66"/>
      <c r="AA691" s="90"/>
      <c r="AB691" s="67"/>
      <c r="AC691" s="90"/>
      <c r="AD691" s="90"/>
      <c r="AE691" s="60"/>
      <c r="AF691" s="62"/>
      <c r="AG691" s="62"/>
      <c r="AH691" s="62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90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0"/>
      <c r="P692" s="68"/>
      <c r="Q692" s="90"/>
      <c r="R692" s="90"/>
      <c r="S692" s="60"/>
      <c r="T692" s="62"/>
      <c r="U692" s="62"/>
      <c r="V692" s="62"/>
      <c r="W692" s="61"/>
      <c r="X692" s="62"/>
      <c r="Y692" s="62"/>
      <c r="Z692" s="66"/>
      <c r="AA692" s="90"/>
      <c r="AB692" s="68"/>
      <c r="AC692" s="90"/>
      <c r="AD692" s="90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4"/>
      <c r="D693" s="60"/>
      <c r="E693" s="60"/>
      <c r="F693" s="60"/>
      <c r="G693" s="60"/>
      <c r="H693" s="62"/>
      <c r="I693" s="62"/>
      <c r="J693" s="61"/>
      <c r="K693" s="61"/>
      <c r="L693" s="62"/>
      <c r="M693" s="62"/>
      <c r="N693" s="66"/>
      <c r="O693" s="90"/>
      <c r="P693" s="69"/>
      <c r="Q693" s="68"/>
      <c r="R693" s="62"/>
      <c r="S693" s="60"/>
      <c r="T693" s="62"/>
      <c r="U693" s="62"/>
      <c r="V693" s="62"/>
      <c r="W693" s="61"/>
      <c r="X693" s="62"/>
      <c r="Y693" s="62"/>
      <c r="Z693" s="66"/>
      <c r="AA693" s="90"/>
      <c r="AB693" s="69"/>
      <c r="AC693" s="90"/>
      <c r="AD693" s="62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2"/>
      <c r="K694" s="61"/>
      <c r="L694" s="62"/>
      <c r="M694" s="62"/>
      <c r="N694" s="66"/>
      <c r="O694" s="90"/>
      <c r="P694" s="69"/>
      <c r="Q694" s="90"/>
      <c r="R694" s="90"/>
      <c r="S694" s="60"/>
      <c r="T694" s="62"/>
      <c r="U694" s="62"/>
      <c r="V694" s="62"/>
      <c r="W694" s="61"/>
      <c r="X694" s="62"/>
      <c r="Y694" s="62"/>
      <c r="Z694" s="66"/>
      <c r="AA694" s="90"/>
      <c r="AB694" s="69"/>
      <c r="AC694" s="90"/>
      <c r="AD694" s="90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0"/>
      <c r="P695" s="69"/>
      <c r="Q695" s="90"/>
      <c r="R695" s="90"/>
      <c r="S695" s="60"/>
      <c r="T695" s="62"/>
      <c r="U695" s="62"/>
      <c r="V695" s="62"/>
      <c r="W695" s="61"/>
      <c r="X695" s="62"/>
      <c r="Y695" s="62"/>
      <c r="Z695" s="66"/>
      <c r="AA695" s="90"/>
      <c r="AB695" s="69"/>
      <c r="AC695" s="90"/>
      <c r="AD695" s="90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0"/>
      <c r="P696" s="69"/>
      <c r="Q696" s="90"/>
      <c r="R696" s="90"/>
      <c r="S696" s="60"/>
      <c r="T696" s="62"/>
      <c r="U696" s="62"/>
      <c r="V696" s="62"/>
      <c r="W696" s="61"/>
      <c r="X696" s="62"/>
      <c r="Y696" s="62"/>
      <c r="Z696" s="66"/>
      <c r="AA696" s="90"/>
      <c r="AB696" s="69"/>
      <c r="AC696" s="90"/>
      <c r="AD696" s="90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0"/>
      <c r="P697" s="69"/>
      <c r="Q697" s="90"/>
      <c r="R697" s="90"/>
      <c r="S697" s="60"/>
      <c r="T697" s="62"/>
      <c r="U697" s="62"/>
      <c r="V697" s="62"/>
      <c r="W697" s="61"/>
      <c r="X697" s="62"/>
      <c r="Y697" s="62"/>
      <c r="Z697" s="66"/>
      <c r="AA697" s="90"/>
      <c r="AB697" s="69"/>
      <c r="AC697" s="90"/>
      <c r="AD697" s="90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0"/>
      <c r="P698" s="69"/>
      <c r="Q698" s="90"/>
      <c r="R698" s="90"/>
      <c r="S698" s="60"/>
      <c r="T698" s="62"/>
      <c r="U698" s="62"/>
      <c r="V698" s="62"/>
      <c r="W698" s="61"/>
      <c r="X698" s="62"/>
      <c r="Y698" s="62"/>
      <c r="Z698" s="66"/>
      <c r="AA698" s="90"/>
      <c r="AB698" s="69"/>
      <c r="AC698" s="90"/>
      <c r="AD698" s="90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0"/>
      <c r="P699" s="69"/>
      <c r="Q699" s="90"/>
      <c r="R699" s="90"/>
      <c r="S699" s="60"/>
      <c r="T699" s="62"/>
      <c r="U699" s="62"/>
      <c r="V699" s="62"/>
      <c r="W699" s="61"/>
      <c r="X699" s="62"/>
      <c r="Y699" s="62"/>
      <c r="Z699" s="66"/>
      <c r="AA699" s="90"/>
      <c r="AB699" s="69"/>
      <c r="AC699" s="90"/>
      <c r="AD699" s="90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0"/>
      <c r="P700" s="69"/>
      <c r="Q700" s="90"/>
      <c r="R700" s="90"/>
      <c r="S700" s="60"/>
      <c r="T700" s="62"/>
      <c r="U700" s="62"/>
      <c r="V700" s="62"/>
      <c r="W700" s="61"/>
      <c r="X700" s="62"/>
      <c r="Y700" s="62"/>
      <c r="Z700" s="66"/>
      <c r="AA700" s="90"/>
      <c r="AB700" s="69"/>
      <c r="AC700" s="90"/>
      <c r="AD700" s="90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65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0"/>
      <c r="P701" s="69"/>
      <c r="Q701" s="90"/>
      <c r="R701" s="90"/>
      <c r="S701" s="60"/>
      <c r="T701" s="62"/>
      <c r="U701" s="62"/>
      <c r="V701" s="62"/>
      <c r="W701" s="61"/>
      <c r="X701" s="62"/>
      <c r="Y701" s="62"/>
      <c r="Z701" s="66"/>
      <c r="AA701" s="90"/>
      <c r="AB701" s="69"/>
      <c r="AC701" s="90"/>
      <c r="AD701" s="90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0"/>
      <c r="P702" s="69"/>
      <c r="Q702" s="90"/>
      <c r="R702" s="90"/>
      <c r="S702" s="60"/>
      <c r="T702" s="62"/>
      <c r="U702" s="62"/>
      <c r="V702" s="62"/>
      <c r="W702" s="61"/>
      <c r="X702" s="62"/>
      <c r="Y702" s="62"/>
      <c r="Z702" s="66"/>
      <c r="AA702" s="90"/>
      <c r="AB702" s="69"/>
      <c r="AC702" s="90"/>
      <c r="AD702" s="90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0"/>
      <c r="P703" s="69"/>
      <c r="Q703" s="90"/>
      <c r="R703" s="90"/>
      <c r="S703" s="60"/>
      <c r="T703" s="62"/>
      <c r="U703" s="62"/>
      <c r="V703" s="62"/>
      <c r="W703" s="61"/>
      <c r="X703" s="62"/>
      <c r="Y703" s="62"/>
      <c r="Z703" s="66"/>
      <c r="AA703" s="90"/>
      <c r="AB703" s="69"/>
      <c r="AC703" s="90"/>
      <c r="AD703" s="90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0"/>
      <c r="P704" s="69"/>
      <c r="Q704" s="90"/>
      <c r="R704" s="90"/>
      <c r="S704" s="60"/>
      <c r="T704" s="62"/>
      <c r="U704" s="62"/>
      <c r="V704" s="62"/>
      <c r="W704" s="61"/>
      <c r="X704" s="62"/>
      <c r="Y704" s="62"/>
      <c r="Z704" s="66"/>
      <c r="AA704" s="90"/>
      <c r="AB704" s="69"/>
      <c r="AC704" s="90"/>
      <c r="AD704" s="90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0"/>
      <c r="P705" s="69"/>
      <c r="Q705" s="90"/>
      <c r="R705" s="90"/>
      <c r="S705" s="60"/>
      <c r="T705" s="62"/>
      <c r="U705" s="62"/>
      <c r="V705" s="62"/>
      <c r="W705" s="61"/>
      <c r="X705" s="62"/>
      <c r="Y705" s="62"/>
      <c r="Z705" s="66"/>
      <c r="AA705" s="90"/>
      <c r="AB705" s="69"/>
      <c r="AC705" s="90"/>
      <c r="AD705" s="90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0"/>
      <c r="P706" s="69"/>
      <c r="Q706" s="90"/>
      <c r="R706" s="90"/>
      <c r="S706" s="60"/>
      <c r="T706" s="62"/>
      <c r="U706" s="62"/>
      <c r="V706" s="62"/>
      <c r="W706" s="61"/>
      <c r="X706" s="62"/>
      <c r="Y706" s="62"/>
      <c r="Z706" s="66"/>
      <c r="AA706" s="90"/>
      <c r="AB706" s="69"/>
      <c r="AC706" s="90"/>
      <c r="AD706" s="90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90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62"/>
      <c r="P707" s="69"/>
      <c r="Q707" s="90"/>
      <c r="R707" s="90"/>
      <c r="S707" s="60"/>
      <c r="T707" s="62"/>
      <c r="U707" s="62"/>
      <c r="V707" s="62"/>
      <c r="W707" s="61"/>
      <c r="X707" s="62"/>
      <c r="Y707" s="62"/>
      <c r="Z707" s="66"/>
      <c r="AA707" s="90"/>
      <c r="AB707" s="69"/>
      <c r="AC707" s="90"/>
      <c r="AD707" s="90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0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90"/>
      <c r="P708" s="69"/>
      <c r="Q708" s="90"/>
      <c r="R708" s="90"/>
      <c r="S708" s="60"/>
      <c r="T708" s="62"/>
      <c r="U708" s="62"/>
      <c r="V708" s="62"/>
      <c r="W708" s="61"/>
      <c r="X708" s="62"/>
      <c r="Y708" s="62"/>
      <c r="Z708" s="66"/>
      <c r="AA708" s="90"/>
      <c r="AB708" s="69"/>
      <c r="AC708" s="90"/>
      <c r="AD708" s="90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0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0"/>
      <c r="P709" s="69"/>
      <c r="Q709" s="90"/>
      <c r="R709" s="90"/>
      <c r="S709" s="60"/>
      <c r="T709" s="62"/>
      <c r="U709" s="62"/>
      <c r="V709" s="62"/>
      <c r="W709" s="61"/>
      <c r="X709" s="62"/>
      <c r="Y709" s="62"/>
      <c r="Z709" s="66"/>
      <c r="AA709" s="90"/>
      <c r="AB709" s="69"/>
      <c r="AC709" s="90"/>
      <c r="AD709" s="90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0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62"/>
      <c r="P710" s="69"/>
      <c r="Q710" s="90"/>
      <c r="R710" s="90"/>
      <c r="S710" s="60"/>
      <c r="T710" s="62"/>
      <c r="U710" s="62"/>
      <c r="V710" s="62"/>
      <c r="W710" s="61"/>
      <c r="X710" s="62"/>
      <c r="Y710" s="62"/>
      <c r="Z710" s="66"/>
      <c r="AA710" s="62"/>
      <c r="AB710" s="69"/>
      <c r="AC710" s="90"/>
      <c r="AD710" s="90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0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90"/>
      <c r="P711" s="69"/>
      <c r="Q711" s="90"/>
      <c r="R711" s="90"/>
      <c r="S711" s="60"/>
      <c r="T711" s="62"/>
      <c r="U711" s="62"/>
      <c r="V711" s="62"/>
      <c r="W711" s="61"/>
      <c r="X711" s="62"/>
      <c r="Y711" s="62"/>
      <c r="Z711" s="66"/>
      <c r="AA711" s="90"/>
      <c r="AB711" s="69"/>
      <c r="AC711" s="90"/>
      <c r="AD711" s="90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66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90"/>
      <c r="O712" s="90"/>
      <c r="P712" s="90"/>
      <c r="Q712" s="90"/>
      <c r="R712" s="90"/>
      <c r="S712" s="90"/>
      <c r="T712" s="62"/>
      <c r="U712" s="62"/>
      <c r="V712" s="62"/>
      <c r="W712" s="61"/>
      <c r="X712" s="62"/>
      <c r="Y712" s="62"/>
      <c r="Z712" s="90"/>
      <c r="AA712" s="90"/>
      <c r="AB712" s="90"/>
      <c r="AC712" s="90"/>
      <c r="AD712" s="90"/>
      <c r="AE712" s="9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90"/>
      <c r="C713" s="90"/>
      <c r="D713" s="90"/>
      <c r="E713" s="90"/>
      <c r="F713" s="90"/>
      <c r="G713" s="90"/>
      <c r="H713" s="62"/>
      <c r="I713" s="62"/>
      <c r="J713" s="62"/>
      <c r="K713" s="62"/>
      <c r="L713" s="62"/>
      <c r="M713" s="62"/>
      <c r="N713" s="90"/>
      <c r="O713" s="90"/>
      <c r="P713" s="90"/>
      <c r="Q713" s="90"/>
      <c r="R713" s="90"/>
      <c r="S713" s="90"/>
      <c r="T713" s="62"/>
      <c r="U713" s="62"/>
      <c r="V713" s="62"/>
      <c r="W713" s="62"/>
      <c r="X713" s="62"/>
      <c r="Y713" s="62"/>
      <c r="Z713" s="90"/>
      <c r="AA713" s="90"/>
      <c r="AB713" s="90"/>
      <c r="AC713" s="90"/>
      <c r="AD713" s="90"/>
      <c r="AE713" s="90"/>
      <c r="AF713" s="62"/>
      <c r="AG713" s="62"/>
      <c r="AH713" s="62"/>
      <c r="AI713" s="62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0"/>
      <c r="C714" s="90"/>
      <c r="D714" s="70"/>
      <c r="E714" s="70"/>
      <c r="F714" s="70"/>
      <c r="G714" s="70"/>
      <c r="H714" s="63"/>
      <c r="I714" s="70"/>
      <c r="J714" s="70"/>
      <c r="K714" s="70"/>
      <c r="L714" s="62"/>
      <c r="M714" s="62"/>
      <c r="N714" s="90"/>
      <c r="O714" s="90"/>
      <c r="P714" s="70"/>
      <c r="Q714" s="70"/>
      <c r="R714" s="70"/>
      <c r="S714" s="70"/>
      <c r="T714" s="63"/>
      <c r="U714" s="71"/>
      <c r="V714" s="71"/>
      <c r="W714" s="71"/>
      <c r="X714" s="62"/>
      <c r="Y714" s="62"/>
      <c r="Z714" s="90"/>
      <c r="AA714" s="90"/>
      <c r="AB714" s="70"/>
      <c r="AC714" s="70"/>
      <c r="AD714" s="70"/>
      <c r="AE714" s="70"/>
      <c r="AF714" s="63"/>
      <c r="AG714" s="71"/>
      <c r="AH714" s="71"/>
      <c r="AI714" s="71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90"/>
      <c r="C716" s="90"/>
      <c r="D716" s="90"/>
      <c r="E716" s="90"/>
      <c r="F716" s="90"/>
      <c r="G716" s="90"/>
      <c r="H716" s="62"/>
      <c r="I716" s="62"/>
      <c r="J716" s="62"/>
      <c r="K716" s="62"/>
      <c r="L716" s="62"/>
      <c r="M716" s="62"/>
      <c r="N716" s="90"/>
      <c r="O716" s="90"/>
      <c r="P716" s="90"/>
      <c r="Q716" s="90"/>
      <c r="R716" s="90"/>
      <c r="S716" s="90"/>
      <c r="T716" s="62"/>
      <c r="U716" s="62"/>
      <c r="V716" s="62"/>
      <c r="W716" s="62"/>
      <c r="X716" s="62"/>
      <c r="Y716" s="62"/>
      <c r="Z716" s="90"/>
      <c r="AA716" s="90"/>
      <c r="AB716" s="90"/>
      <c r="AC716" s="90"/>
      <c r="AD716" s="90"/>
      <c r="AE716" s="90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0"/>
      <c r="C717" s="90"/>
      <c r="D717" s="90"/>
      <c r="E717" s="90"/>
      <c r="F717" s="90"/>
      <c r="G717" s="90"/>
      <c r="H717" s="62"/>
      <c r="I717" s="62"/>
      <c r="J717" s="62"/>
      <c r="K717" s="62"/>
      <c r="L717" s="62"/>
      <c r="M717" s="62"/>
      <c r="N717" s="90"/>
      <c r="O717" s="90"/>
      <c r="P717" s="90"/>
      <c r="Q717" s="90"/>
      <c r="R717" s="90"/>
      <c r="S717" s="90"/>
      <c r="T717" s="62"/>
      <c r="U717" s="62"/>
      <c r="V717" s="62"/>
      <c r="W717" s="62"/>
      <c r="X717" s="62"/>
      <c r="Y717" s="62"/>
      <c r="Z717" s="90"/>
      <c r="AA717" s="90"/>
      <c r="AB717" s="90"/>
      <c r="AC717" s="90"/>
      <c r="AD717" s="90"/>
      <c r="AE717" s="90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0"/>
      <c r="C718" s="90"/>
      <c r="D718" s="90"/>
      <c r="E718" s="90"/>
      <c r="F718" s="90"/>
      <c r="G718" s="90"/>
      <c r="H718" s="62"/>
      <c r="I718" s="62"/>
      <c r="J718" s="62"/>
      <c r="K718" s="62"/>
      <c r="L718" s="62"/>
      <c r="M718" s="62"/>
      <c r="N718" s="90"/>
      <c r="O718" s="90"/>
      <c r="P718" s="90"/>
      <c r="Q718" s="90"/>
      <c r="R718" s="90"/>
      <c r="S718" s="90"/>
      <c r="T718" s="62"/>
      <c r="U718" s="62"/>
      <c r="V718" s="62"/>
      <c r="W718" s="62"/>
      <c r="X718" s="62"/>
      <c r="Y718" s="62"/>
      <c r="Z718" s="90"/>
      <c r="AA718" s="90"/>
      <c r="AB718" s="90"/>
      <c r="AC718" s="90"/>
      <c r="AD718" s="90"/>
      <c r="AE718" s="90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3"/>
      <c r="B719" s="90"/>
      <c r="C719" s="90"/>
      <c r="D719" s="90"/>
      <c r="E719" s="90"/>
      <c r="F719" s="90"/>
      <c r="G719" s="90"/>
      <c r="H719" s="62"/>
      <c r="I719" s="62"/>
      <c r="J719" s="62"/>
      <c r="K719" s="62"/>
      <c r="L719" s="62"/>
      <c r="M719" s="63"/>
      <c r="N719" s="90"/>
      <c r="O719" s="90"/>
      <c r="P719" s="90"/>
      <c r="Q719" s="90"/>
      <c r="R719" s="90"/>
      <c r="S719" s="90"/>
      <c r="T719" s="62"/>
      <c r="U719" s="62"/>
      <c r="V719" s="62"/>
      <c r="W719" s="62"/>
      <c r="X719" s="62"/>
      <c r="Y719" s="63"/>
      <c r="Z719" s="90"/>
      <c r="AA719" s="90"/>
      <c r="AB719" s="90"/>
      <c r="AC719" s="90"/>
      <c r="AD719" s="90"/>
      <c r="AE719" s="90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2"/>
      <c r="B720" s="90"/>
      <c r="C720" s="90"/>
      <c r="D720" s="90"/>
      <c r="E720" s="90"/>
      <c r="F720" s="90"/>
      <c r="G720" s="90"/>
      <c r="H720" s="62"/>
      <c r="I720" s="62"/>
      <c r="J720" s="62"/>
      <c r="K720" s="62"/>
      <c r="L720" s="62"/>
      <c r="M720" s="62"/>
      <c r="N720" s="90"/>
      <c r="O720" s="90"/>
      <c r="P720" s="90"/>
      <c r="Q720" s="90"/>
      <c r="R720" s="90"/>
      <c r="S720" s="90"/>
      <c r="T720" s="62"/>
      <c r="U720" s="62"/>
      <c r="V720" s="62"/>
      <c r="W720" s="62"/>
      <c r="X720" s="62"/>
      <c r="Y720" s="62"/>
      <c r="Z720" s="90"/>
      <c r="AA720" s="90"/>
      <c r="AB720" s="90"/>
      <c r="AC720" s="90"/>
      <c r="AD720" s="90"/>
      <c r="AE720" s="90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ht="15.75" x14ac:dyDescent="0.25">
      <c r="A721" s="62"/>
      <c r="B721" s="90"/>
      <c r="C721" s="90"/>
      <c r="D721" s="90"/>
      <c r="E721" s="90"/>
      <c r="F721" s="90"/>
      <c r="G721" s="90"/>
      <c r="H721" s="62"/>
      <c r="I721" s="90"/>
      <c r="J721" s="73"/>
      <c r="K721" s="62"/>
      <c r="L721" s="62"/>
      <c r="M721" s="62"/>
      <c r="N721" s="90"/>
      <c r="O721" s="90"/>
      <c r="P721" s="90"/>
      <c r="Q721" s="90"/>
      <c r="R721" s="90"/>
      <c r="S721" s="90"/>
      <c r="T721" s="62"/>
      <c r="U721" s="90"/>
      <c r="V721" s="73"/>
      <c r="W721" s="62"/>
      <c r="X721" s="62"/>
      <c r="Y721" s="62"/>
      <c r="Z721" s="90"/>
      <c r="AA721" s="90"/>
      <c r="AB721" s="90"/>
      <c r="AC721" s="90"/>
      <c r="AD721" s="90"/>
      <c r="AE721" s="90"/>
      <c r="AF721" s="62"/>
      <c r="AG721" s="90"/>
      <c r="AH721" s="90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x14ac:dyDescent="0.25">
      <c r="A722" s="64"/>
      <c r="B722" s="90"/>
      <c r="C722" s="90"/>
      <c r="D722" s="90"/>
      <c r="E722" s="90"/>
      <c r="F722" s="90"/>
      <c r="G722" s="90"/>
      <c r="H722" s="62"/>
      <c r="I722" s="65"/>
      <c r="J722" s="65"/>
      <c r="K722" s="62"/>
      <c r="L722" s="62"/>
      <c r="M722" s="64"/>
      <c r="N722" s="90"/>
      <c r="O722" s="90"/>
      <c r="P722" s="90"/>
      <c r="Q722" s="90"/>
      <c r="R722" s="90"/>
      <c r="S722" s="90"/>
      <c r="T722" s="62"/>
      <c r="U722" s="65"/>
      <c r="V722" s="65"/>
      <c r="W722" s="62"/>
      <c r="X722" s="62"/>
      <c r="Y722" s="64"/>
      <c r="Z722" s="90"/>
      <c r="AA722" s="90"/>
      <c r="AB722" s="90"/>
      <c r="AC722" s="90"/>
      <c r="AD722" s="90"/>
      <c r="AE722" s="90"/>
      <c r="AF722" s="62"/>
      <c r="AG722" s="65"/>
      <c r="AH722" s="65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2"/>
      <c r="B723" s="90"/>
      <c r="C723" s="90"/>
      <c r="D723" s="90"/>
      <c r="E723" s="90"/>
      <c r="F723" s="90"/>
      <c r="G723" s="90"/>
      <c r="H723" s="62"/>
      <c r="I723" s="62"/>
      <c r="J723" s="62"/>
      <c r="K723" s="62"/>
      <c r="L723" s="62"/>
      <c r="M723" s="62"/>
      <c r="N723" s="90"/>
      <c r="O723" s="90"/>
      <c r="P723" s="90"/>
      <c r="Q723" s="90"/>
      <c r="R723" s="90"/>
      <c r="S723" s="90"/>
      <c r="T723" s="62"/>
      <c r="U723" s="62"/>
      <c r="V723" s="62"/>
      <c r="W723" s="62"/>
      <c r="X723" s="62"/>
      <c r="Y723" s="62"/>
      <c r="Z723" s="90"/>
      <c r="AA723" s="90"/>
      <c r="AB723" s="90"/>
      <c r="AC723" s="90"/>
      <c r="AD723" s="90"/>
      <c r="AE723" s="90"/>
      <c r="AF723" s="62"/>
      <c r="AG723" s="62"/>
      <c r="AH723" s="62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A724" s="62"/>
      <c r="B724" s="65"/>
      <c r="C724" s="90"/>
      <c r="D724" s="115"/>
      <c r="E724" s="115"/>
      <c r="F724" s="90"/>
      <c r="G724" s="90"/>
      <c r="H724" s="62"/>
      <c r="I724" s="115"/>
      <c r="J724" s="115"/>
      <c r="K724" s="111"/>
      <c r="L724" s="62"/>
      <c r="M724" s="62"/>
      <c r="N724" s="65"/>
      <c r="O724" s="90"/>
      <c r="P724" s="115"/>
      <c r="Q724" s="115"/>
      <c r="R724" s="90"/>
      <c r="S724" s="90"/>
      <c r="T724" s="62"/>
      <c r="U724" s="115"/>
      <c r="V724" s="115"/>
      <c r="W724" s="111"/>
      <c r="X724" s="62"/>
      <c r="Y724" s="62"/>
      <c r="Z724" s="65"/>
      <c r="AA724" s="90"/>
      <c r="AB724" s="115"/>
      <c r="AC724" s="115"/>
      <c r="AD724" s="90"/>
      <c r="AE724" s="90"/>
      <c r="AF724" s="62"/>
      <c r="AG724" s="115"/>
      <c r="AH724" s="115"/>
      <c r="AI724" s="111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90"/>
      <c r="C725" s="90"/>
      <c r="D725" s="79"/>
      <c r="E725" s="80"/>
      <c r="F725" s="81"/>
      <c r="G725" s="81"/>
      <c r="H725" s="62"/>
      <c r="I725" s="91"/>
      <c r="J725" s="91"/>
      <c r="K725" s="111"/>
      <c r="L725" s="62"/>
      <c r="M725" s="62"/>
      <c r="N725" s="90"/>
      <c r="O725" s="90"/>
      <c r="P725" s="79"/>
      <c r="Q725" s="81"/>
      <c r="R725" s="81"/>
      <c r="S725" s="81"/>
      <c r="T725" s="62"/>
      <c r="U725" s="91"/>
      <c r="V725" s="91"/>
      <c r="W725" s="111"/>
      <c r="X725" s="62"/>
      <c r="Y725" s="62"/>
      <c r="Z725" s="90"/>
      <c r="AA725" s="90"/>
      <c r="AB725" s="79"/>
      <c r="AC725" s="81"/>
      <c r="AD725" s="81"/>
      <c r="AE725" s="81"/>
      <c r="AF725" s="62"/>
      <c r="AG725" s="91"/>
      <c r="AH725" s="91"/>
      <c r="AI725" s="111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66"/>
      <c r="C726" s="84"/>
      <c r="D726" s="60"/>
      <c r="E726" s="60"/>
      <c r="F726" s="60"/>
      <c r="G726" s="60"/>
      <c r="H726" s="61"/>
      <c r="I726" s="61"/>
      <c r="J726" s="61"/>
      <c r="K726" s="61"/>
      <c r="L726" s="62"/>
      <c r="M726" s="62"/>
      <c r="N726" s="66"/>
      <c r="O726" s="90"/>
      <c r="P726" s="60"/>
      <c r="Q726" s="60"/>
      <c r="R726" s="60"/>
      <c r="S726" s="60"/>
      <c r="T726" s="61"/>
      <c r="U726" s="61"/>
      <c r="V726" s="61"/>
      <c r="W726" s="61"/>
      <c r="X726" s="62"/>
      <c r="Y726" s="62"/>
      <c r="Z726" s="66"/>
      <c r="AA726" s="90"/>
      <c r="AB726" s="60"/>
      <c r="AC726" s="60"/>
      <c r="AD726" s="60"/>
      <c r="AE726" s="60"/>
      <c r="AF726" s="61"/>
      <c r="AG726" s="61"/>
      <c r="AH726" s="61"/>
      <c r="AI726" s="61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0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0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0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0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65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0"/>
      <c r="AB729" s="60"/>
      <c r="AC729" s="60"/>
      <c r="AD729" s="60"/>
      <c r="AE729" s="60"/>
      <c r="AF729" s="61"/>
      <c r="AG729" s="62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0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0"/>
      <c r="AB730" s="60"/>
      <c r="AC730" s="60"/>
      <c r="AD730" s="60"/>
      <c r="AE730" s="60"/>
      <c r="AF730" s="61"/>
      <c r="AG730" s="61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65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0"/>
      <c r="P731" s="60"/>
      <c r="Q731" s="60"/>
      <c r="R731" s="60"/>
      <c r="S731" s="60"/>
      <c r="T731" s="61"/>
      <c r="U731" s="61"/>
      <c r="V731" s="62"/>
      <c r="W731" s="61"/>
      <c r="X731" s="62"/>
      <c r="Y731" s="62"/>
      <c r="Z731" s="66"/>
      <c r="AA731" s="65"/>
      <c r="AB731" s="60"/>
      <c r="AC731" s="60"/>
      <c r="AD731" s="60"/>
      <c r="AE731" s="60"/>
      <c r="AF731" s="61"/>
      <c r="AG731" s="61"/>
      <c r="AH731" s="62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0"/>
      <c r="P732" s="60"/>
      <c r="Q732" s="60"/>
      <c r="R732" s="60"/>
      <c r="S732" s="60"/>
      <c r="T732" s="61"/>
      <c r="U732" s="61"/>
      <c r="V732" s="61"/>
      <c r="W732" s="61"/>
      <c r="X732" s="62"/>
      <c r="Y732" s="62"/>
      <c r="Z732" s="66"/>
      <c r="AA732" s="90"/>
      <c r="AB732" s="60"/>
      <c r="AC732" s="60"/>
      <c r="AD732" s="60"/>
      <c r="AE732" s="60"/>
      <c r="AF732" s="61"/>
      <c r="AG732" s="61"/>
      <c r="AH732" s="61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0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62"/>
      <c r="AB733" s="60"/>
      <c r="AC733" s="60"/>
      <c r="AD733" s="62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0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62"/>
      <c r="AB734" s="60"/>
      <c r="AC734" s="60"/>
      <c r="AD734" s="60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0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0"/>
      <c r="AB735" s="60"/>
      <c r="AC735" s="60"/>
      <c r="AD735" s="60"/>
      <c r="AE735" s="60"/>
      <c r="AF735" s="61"/>
      <c r="AG735" s="61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62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62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2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0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1"/>
      <c r="K738" s="61"/>
      <c r="L738" s="62"/>
      <c r="M738" s="62"/>
      <c r="N738" s="66"/>
      <c r="O738" s="90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0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0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0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0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0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65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0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62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90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65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0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0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0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62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62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2"/>
      <c r="I746" s="62"/>
      <c r="J746" s="62"/>
      <c r="K746" s="61"/>
      <c r="L746" s="62"/>
      <c r="M746" s="62"/>
      <c r="N746" s="66"/>
      <c r="O746" s="90"/>
      <c r="P746" s="67"/>
      <c r="Q746" s="90"/>
      <c r="R746" s="90"/>
      <c r="S746" s="60"/>
      <c r="T746" s="62"/>
      <c r="U746" s="62"/>
      <c r="V746" s="62"/>
      <c r="W746" s="61"/>
      <c r="X746" s="62"/>
      <c r="Y746" s="62"/>
      <c r="Z746" s="66"/>
      <c r="AA746" s="90"/>
      <c r="AB746" s="67"/>
      <c r="AC746" s="90"/>
      <c r="AD746" s="90"/>
      <c r="AE746" s="60"/>
      <c r="AF746" s="62"/>
      <c r="AG746" s="62"/>
      <c r="AH746" s="62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0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0"/>
      <c r="P747" s="68"/>
      <c r="Q747" s="90"/>
      <c r="R747" s="90"/>
      <c r="S747" s="60"/>
      <c r="T747" s="62"/>
      <c r="U747" s="62"/>
      <c r="V747" s="62"/>
      <c r="W747" s="61"/>
      <c r="X747" s="62"/>
      <c r="Y747" s="62"/>
      <c r="Z747" s="66"/>
      <c r="AA747" s="90"/>
      <c r="AB747" s="68"/>
      <c r="AC747" s="90"/>
      <c r="AD747" s="90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1"/>
      <c r="K748" s="61"/>
      <c r="L748" s="62"/>
      <c r="M748" s="62"/>
      <c r="N748" s="66"/>
      <c r="O748" s="90"/>
      <c r="P748" s="69"/>
      <c r="Q748" s="68"/>
      <c r="R748" s="62"/>
      <c r="S748" s="60"/>
      <c r="T748" s="62"/>
      <c r="U748" s="62"/>
      <c r="V748" s="62"/>
      <c r="W748" s="61"/>
      <c r="X748" s="62"/>
      <c r="Y748" s="62"/>
      <c r="Z748" s="66"/>
      <c r="AA748" s="90"/>
      <c r="AB748" s="69"/>
      <c r="AC748" s="90"/>
      <c r="AD748" s="62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2"/>
      <c r="K749" s="61"/>
      <c r="L749" s="62"/>
      <c r="M749" s="62"/>
      <c r="N749" s="66"/>
      <c r="O749" s="90"/>
      <c r="P749" s="69"/>
      <c r="Q749" s="90"/>
      <c r="R749" s="90"/>
      <c r="S749" s="60"/>
      <c r="T749" s="62"/>
      <c r="U749" s="62"/>
      <c r="V749" s="62"/>
      <c r="W749" s="61"/>
      <c r="X749" s="62"/>
      <c r="Y749" s="62"/>
      <c r="Z749" s="66"/>
      <c r="AA749" s="90"/>
      <c r="AB749" s="69"/>
      <c r="AC749" s="90"/>
      <c r="AD749" s="90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0"/>
      <c r="P750" s="69"/>
      <c r="Q750" s="90"/>
      <c r="R750" s="90"/>
      <c r="S750" s="60"/>
      <c r="T750" s="62"/>
      <c r="U750" s="62"/>
      <c r="V750" s="62"/>
      <c r="W750" s="61"/>
      <c r="X750" s="62"/>
      <c r="Y750" s="62"/>
      <c r="Z750" s="66"/>
      <c r="AA750" s="90"/>
      <c r="AB750" s="69"/>
      <c r="AC750" s="90"/>
      <c r="AD750" s="90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0"/>
      <c r="P751" s="69"/>
      <c r="Q751" s="90"/>
      <c r="R751" s="90"/>
      <c r="S751" s="60"/>
      <c r="T751" s="62"/>
      <c r="U751" s="62"/>
      <c r="V751" s="62"/>
      <c r="W751" s="61"/>
      <c r="X751" s="62"/>
      <c r="Y751" s="62"/>
      <c r="Z751" s="66"/>
      <c r="AA751" s="90"/>
      <c r="AB751" s="69"/>
      <c r="AC751" s="90"/>
      <c r="AD751" s="90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0"/>
      <c r="P752" s="69"/>
      <c r="Q752" s="90"/>
      <c r="R752" s="90"/>
      <c r="S752" s="60"/>
      <c r="T752" s="62"/>
      <c r="U752" s="62"/>
      <c r="V752" s="62"/>
      <c r="W752" s="61"/>
      <c r="X752" s="62"/>
      <c r="Y752" s="62"/>
      <c r="Z752" s="66"/>
      <c r="AA752" s="90"/>
      <c r="AB752" s="69"/>
      <c r="AC752" s="90"/>
      <c r="AD752" s="90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0"/>
      <c r="P753" s="69"/>
      <c r="Q753" s="90"/>
      <c r="R753" s="90"/>
      <c r="S753" s="60"/>
      <c r="T753" s="62"/>
      <c r="U753" s="62"/>
      <c r="V753" s="62"/>
      <c r="W753" s="61"/>
      <c r="X753" s="62"/>
      <c r="Y753" s="62"/>
      <c r="Z753" s="66"/>
      <c r="AA753" s="90"/>
      <c r="AB753" s="69"/>
      <c r="AC753" s="90"/>
      <c r="AD753" s="90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0"/>
      <c r="P754" s="69"/>
      <c r="Q754" s="90"/>
      <c r="R754" s="90"/>
      <c r="S754" s="60"/>
      <c r="T754" s="62"/>
      <c r="U754" s="62"/>
      <c r="V754" s="62"/>
      <c r="W754" s="61"/>
      <c r="X754" s="62"/>
      <c r="Y754" s="62"/>
      <c r="Z754" s="66"/>
      <c r="AA754" s="90"/>
      <c r="AB754" s="69"/>
      <c r="AC754" s="90"/>
      <c r="AD754" s="90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0"/>
      <c r="P755" s="69"/>
      <c r="Q755" s="90"/>
      <c r="R755" s="90"/>
      <c r="S755" s="60"/>
      <c r="T755" s="62"/>
      <c r="U755" s="62"/>
      <c r="V755" s="62"/>
      <c r="W755" s="61"/>
      <c r="X755" s="62"/>
      <c r="Y755" s="62"/>
      <c r="Z755" s="66"/>
      <c r="AA755" s="90"/>
      <c r="AB755" s="69"/>
      <c r="AC755" s="90"/>
      <c r="AD755" s="90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65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0"/>
      <c r="P756" s="69"/>
      <c r="Q756" s="90"/>
      <c r="R756" s="90"/>
      <c r="S756" s="60"/>
      <c r="T756" s="62"/>
      <c r="U756" s="62"/>
      <c r="V756" s="62"/>
      <c r="W756" s="61"/>
      <c r="X756" s="62"/>
      <c r="Y756" s="62"/>
      <c r="Z756" s="66"/>
      <c r="AA756" s="90"/>
      <c r="AB756" s="69"/>
      <c r="AC756" s="90"/>
      <c r="AD756" s="90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0"/>
      <c r="P757" s="69"/>
      <c r="Q757" s="90"/>
      <c r="R757" s="90"/>
      <c r="S757" s="60"/>
      <c r="T757" s="62"/>
      <c r="U757" s="62"/>
      <c r="V757" s="62"/>
      <c r="W757" s="61"/>
      <c r="X757" s="62"/>
      <c r="Y757" s="62"/>
      <c r="Z757" s="66"/>
      <c r="AA757" s="90"/>
      <c r="AB757" s="69"/>
      <c r="AC757" s="90"/>
      <c r="AD757" s="90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0"/>
      <c r="P758" s="69"/>
      <c r="Q758" s="90"/>
      <c r="R758" s="90"/>
      <c r="S758" s="60"/>
      <c r="T758" s="62"/>
      <c r="U758" s="62"/>
      <c r="V758" s="62"/>
      <c r="W758" s="61"/>
      <c r="X758" s="62"/>
      <c r="Y758" s="62"/>
      <c r="Z758" s="66"/>
      <c r="AA758" s="90"/>
      <c r="AB758" s="69"/>
      <c r="AC758" s="90"/>
      <c r="AD758" s="90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0"/>
      <c r="P759" s="69"/>
      <c r="Q759" s="90"/>
      <c r="R759" s="90"/>
      <c r="S759" s="60"/>
      <c r="T759" s="62"/>
      <c r="U759" s="62"/>
      <c r="V759" s="62"/>
      <c r="W759" s="61"/>
      <c r="X759" s="62"/>
      <c r="Y759" s="62"/>
      <c r="Z759" s="66"/>
      <c r="AA759" s="90"/>
      <c r="AB759" s="69"/>
      <c r="AC759" s="90"/>
      <c r="AD759" s="90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0"/>
      <c r="P760" s="69"/>
      <c r="Q760" s="90"/>
      <c r="R760" s="90"/>
      <c r="S760" s="60"/>
      <c r="T760" s="62"/>
      <c r="U760" s="62"/>
      <c r="V760" s="62"/>
      <c r="W760" s="61"/>
      <c r="X760" s="62"/>
      <c r="Y760" s="62"/>
      <c r="Z760" s="66"/>
      <c r="AA760" s="90"/>
      <c r="AB760" s="69"/>
      <c r="AC760" s="90"/>
      <c r="AD760" s="90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0"/>
      <c r="P761" s="69"/>
      <c r="Q761" s="90"/>
      <c r="R761" s="90"/>
      <c r="S761" s="60"/>
      <c r="T761" s="62"/>
      <c r="U761" s="62"/>
      <c r="V761" s="62"/>
      <c r="W761" s="61"/>
      <c r="X761" s="62"/>
      <c r="Y761" s="62"/>
      <c r="Z761" s="66"/>
      <c r="AA761" s="90"/>
      <c r="AB761" s="69"/>
      <c r="AC761" s="90"/>
      <c r="AD761" s="90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0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62"/>
      <c r="P762" s="69"/>
      <c r="Q762" s="90"/>
      <c r="R762" s="90"/>
      <c r="S762" s="60"/>
      <c r="T762" s="62"/>
      <c r="U762" s="62"/>
      <c r="V762" s="62"/>
      <c r="W762" s="61"/>
      <c r="X762" s="62"/>
      <c r="Y762" s="62"/>
      <c r="Z762" s="66"/>
      <c r="AA762" s="90"/>
      <c r="AB762" s="69"/>
      <c r="AC762" s="90"/>
      <c r="AD762" s="90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0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90"/>
      <c r="P763" s="69"/>
      <c r="Q763" s="90"/>
      <c r="R763" s="90"/>
      <c r="S763" s="60"/>
      <c r="T763" s="62"/>
      <c r="U763" s="62"/>
      <c r="V763" s="62"/>
      <c r="W763" s="61"/>
      <c r="X763" s="62"/>
      <c r="Y763" s="62"/>
      <c r="Z763" s="66"/>
      <c r="AA763" s="90"/>
      <c r="AB763" s="69"/>
      <c r="AC763" s="90"/>
      <c r="AD763" s="90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0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0"/>
      <c r="P764" s="69"/>
      <c r="Q764" s="90"/>
      <c r="R764" s="90"/>
      <c r="S764" s="60"/>
      <c r="T764" s="62"/>
      <c r="U764" s="62"/>
      <c r="V764" s="62"/>
      <c r="W764" s="61"/>
      <c r="X764" s="62"/>
      <c r="Y764" s="62"/>
      <c r="Z764" s="66"/>
      <c r="AA764" s="90"/>
      <c r="AB764" s="69"/>
      <c r="AC764" s="90"/>
      <c r="AD764" s="90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0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62"/>
      <c r="P765" s="69"/>
      <c r="Q765" s="90"/>
      <c r="R765" s="90"/>
      <c r="S765" s="60"/>
      <c r="T765" s="62"/>
      <c r="U765" s="62"/>
      <c r="V765" s="62"/>
      <c r="W765" s="61"/>
      <c r="X765" s="62"/>
      <c r="Y765" s="62"/>
      <c r="Z765" s="66"/>
      <c r="AA765" s="62"/>
      <c r="AB765" s="69"/>
      <c r="AC765" s="90"/>
      <c r="AD765" s="90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0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90"/>
      <c r="P766" s="69"/>
      <c r="Q766" s="90"/>
      <c r="R766" s="90"/>
      <c r="S766" s="60"/>
      <c r="T766" s="62"/>
      <c r="U766" s="62"/>
      <c r="V766" s="62"/>
      <c r="W766" s="61"/>
      <c r="X766" s="62"/>
      <c r="Y766" s="62"/>
      <c r="Z766" s="66"/>
      <c r="AA766" s="90"/>
      <c r="AB766" s="69"/>
      <c r="AC766" s="90"/>
      <c r="AD766" s="90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66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90"/>
      <c r="O767" s="90"/>
      <c r="P767" s="90"/>
      <c r="Q767" s="90"/>
      <c r="R767" s="90"/>
      <c r="S767" s="90"/>
      <c r="T767" s="62"/>
      <c r="U767" s="62"/>
      <c r="V767" s="62"/>
      <c r="W767" s="61"/>
      <c r="X767" s="62"/>
      <c r="Y767" s="62"/>
      <c r="Z767" s="90"/>
      <c r="AA767" s="90"/>
      <c r="AB767" s="90"/>
      <c r="AC767" s="90"/>
      <c r="AD767" s="90"/>
      <c r="AE767" s="9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90"/>
      <c r="C768" s="90"/>
      <c r="D768" s="90"/>
      <c r="E768" s="90"/>
      <c r="F768" s="90"/>
      <c r="G768" s="90"/>
      <c r="H768" s="62"/>
      <c r="I768" s="62"/>
      <c r="J768" s="62"/>
      <c r="K768" s="62"/>
      <c r="L768" s="62"/>
      <c r="M768" s="62"/>
      <c r="N768" s="90"/>
      <c r="O768" s="90"/>
      <c r="P768" s="90"/>
      <c r="Q768" s="90"/>
      <c r="R768" s="90"/>
      <c r="S768" s="90"/>
      <c r="T768" s="62"/>
      <c r="U768" s="62"/>
      <c r="V768" s="62"/>
      <c r="W768" s="62"/>
      <c r="X768" s="62"/>
      <c r="Y768" s="62"/>
      <c r="Z768" s="90"/>
      <c r="AA768" s="90"/>
      <c r="AB768" s="90"/>
      <c r="AC768" s="90"/>
      <c r="AD768" s="90"/>
      <c r="AE768" s="90"/>
      <c r="AF768" s="62"/>
      <c r="AG768" s="62"/>
      <c r="AH768" s="62"/>
      <c r="AI768" s="62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0"/>
      <c r="C769" s="90"/>
      <c r="D769" s="70"/>
      <c r="E769" s="70"/>
      <c r="F769" s="70"/>
      <c r="G769" s="70"/>
      <c r="H769" s="63"/>
      <c r="I769" s="70"/>
      <c r="J769" s="70"/>
      <c r="K769" s="70"/>
      <c r="L769" s="62"/>
      <c r="M769" s="62"/>
      <c r="N769" s="90"/>
      <c r="O769" s="90"/>
      <c r="P769" s="70"/>
      <c r="Q769" s="70"/>
      <c r="R769" s="70"/>
      <c r="S769" s="70"/>
      <c r="T769" s="63"/>
      <c r="U769" s="71"/>
      <c r="V769" s="71"/>
      <c r="W769" s="71"/>
      <c r="X769" s="62"/>
      <c r="Y769" s="62"/>
      <c r="Z769" s="90"/>
      <c r="AA769" s="90"/>
      <c r="AB769" s="70"/>
      <c r="AC769" s="70"/>
      <c r="AD769" s="70"/>
      <c r="AE769" s="70"/>
      <c r="AF769" s="63"/>
      <c r="AG769" s="71"/>
      <c r="AH769" s="71"/>
      <c r="AI769" s="71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0"/>
      <c r="C772" s="90"/>
      <c r="D772" s="90"/>
      <c r="E772" s="90"/>
      <c r="F772" s="90"/>
      <c r="G772" s="90"/>
      <c r="H772" s="62"/>
      <c r="I772" s="62"/>
      <c r="J772" s="62"/>
      <c r="K772" s="62"/>
      <c r="L772" s="62"/>
      <c r="M772" s="62"/>
      <c r="N772" s="90"/>
      <c r="O772" s="90"/>
      <c r="P772" s="90"/>
      <c r="Q772" s="90"/>
      <c r="R772" s="90"/>
      <c r="S772" s="90"/>
      <c r="T772" s="62"/>
      <c r="U772" s="62"/>
      <c r="V772" s="62"/>
      <c r="W772" s="62"/>
      <c r="X772" s="62"/>
      <c r="Y772" s="62"/>
      <c r="Z772" s="90"/>
      <c r="AA772" s="90"/>
      <c r="AB772" s="90"/>
      <c r="AC772" s="90"/>
      <c r="AD772" s="90"/>
      <c r="AE772" s="90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0"/>
      <c r="C773" s="90"/>
      <c r="D773" s="90"/>
      <c r="E773" s="90"/>
      <c r="F773" s="90"/>
      <c r="G773" s="90"/>
      <c r="H773" s="62"/>
      <c r="I773" s="62"/>
      <c r="J773" s="62"/>
      <c r="K773" s="62"/>
      <c r="L773" s="62"/>
      <c r="M773" s="62"/>
      <c r="N773" s="90"/>
      <c r="O773" s="90"/>
      <c r="P773" s="90"/>
      <c r="Q773" s="90"/>
      <c r="R773" s="90"/>
      <c r="S773" s="90"/>
      <c r="T773" s="62"/>
      <c r="U773" s="62"/>
      <c r="V773" s="62"/>
      <c r="W773" s="62"/>
      <c r="X773" s="62"/>
      <c r="Y773" s="62"/>
      <c r="Z773" s="90"/>
      <c r="AA773" s="90"/>
      <c r="AB773" s="90"/>
      <c r="AC773" s="90"/>
      <c r="AD773" s="90"/>
      <c r="AE773" s="90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0"/>
      <c r="C774" s="90"/>
      <c r="D774" s="90"/>
      <c r="E774" s="90"/>
      <c r="F774" s="90"/>
      <c r="G774" s="90"/>
      <c r="H774" s="62"/>
      <c r="I774" s="62"/>
      <c r="J774" s="62"/>
      <c r="K774" s="62"/>
      <c r="L774" s="62"/>
      <c r="M774" s="62"/>
      <c r="N774" s="90"/>
      <c r="O774" s="90"/>
      <c r="P774" s="90"/>
      <c r="Q774" s="90"/>
      <c r="R774" s="90"/>
      <c r="S774" s="90"/>
      <c r="T774" s="62"/>
      <c r="U774" s="62"/>
      <c r="V774" s="62"/>
      <c r="W774" s="62"/>
      <c r="X774" s="62"/>
      <c r="Y774" s="62"/>
      <c r="Z774" s="90"/>
      <c r="AA774" s="90"/>
      <c r="AB774" s="90"/>
      <c r="AC774" s="90"/>
      <c r="AD774" s="90"/>
      <c r="AE774" s="90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0"/>
      <c r="C775" s="90"/>
      <c r="D775" s="90"/>
      <c r="E775" s="90"/>
      <c r="F775" s="90"/>
      <c r="G775" s="90"/>
      <c r="H775" s="62"/>
      <c r="I775" s="62"/>
      <c r="J775" s="62"/>
      <c r="K775" s="62"/>
      <c r="L775" s="62"/>
      <c r="M775" s="63"/>
      <c r="N775" s="90"/>
      <c r="O775" s="90"/>
      <c r="P775" s="90"/>
      <c r="Q775" s="90"/>
      <c r="R775" s="90"/>
      <c r="S775" s="90"/>
      <c r="T775" s="62"/>
      <c r="U775" s="62"/>
      <c r="V775" s="62"/>
      <c r="W775" s="62"/>
      <c r="X775" s="62"/>
      <c r="Y775" s="63"/>
      <c r="Z775" s="90"/>
      <c r="AA775" s="90"/>
      <c r="AB775" s="90"/>
      <c r="AC775" s="90"/>
      <c r="AD775" s="90"/>
      <c r="AE775" s="90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0"/>
      <c r="C776" s="90"/>
      <c r="D776" s="90"/>
      <c r="E776" s="90"/>
      <c r="F776" s="90"/>
      <c r="G776" s="90"/>
      <c r="H776" s="62"/>
      <c r="I776" s="62"/>
      <c r="J776" s="62"/>
      <c r="K776" s="62"/>
      <c r="L776" s="62"/>
      <c r="M776" s="62"/>
      <c r="N776" s="90"/>
      <c r="O776" s="90"/>
      <c r="P776" s="90"/>
      <c r="Q776" s="90"/>
      <c r="R776" s="90"/>
      <c r="S776" s="90"/>
      <c r="T776" s="62"/>
      <c r="U776" s="62"/>
      <c r="V776" s="62"/>
      <c r="W776" s="62"/>
      <c r="X776" s="62"/>
      <c r="Y776" s="62"/>
      <c r="Z776" s="90"/>
      <c r="AA776" s="90"/>
      <c r="AB776" s="90"/>
      <c r="AC776" s="90"/>
      <c r="AD776" s="90"/>
      <c r="AE776" s="90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0"/>
      <c r="C777" s="90"/>
      <c r="D777" s="90"/>
      <c r="E777" s="90"/>
      <c r="F777" s="90"/>
      <c r="G777" s="90"/>
      <c r="H777" s="62"/>
      <c r="I777" s="90"/>
      <c r="J777" s="73"/>
      <c r="K777" s="62"/>
      <c r="L777" s="62"/>
      <c r="M777" s="62"/>
      <c r="N777" s="90"/>
      <c r="O777" s="90"/>
      <c r="P777" s="90"/>
      <c r="Q777" s="90"/>
      <c r="R777" s="90"/>
      <c r="S777" s="90"/>
      <c r="T777" s="62"/>
      <c r="U777" s="90"/>
      <c r="V777" s="73"/>
      <c r="W777" s="62"/>
      <c r="X777" s="62"/>
      <c r="Y777" s="62"/>
      <c r="Z777" s="90"/>
      <c r="AA777" s="90"/>
      <c r="AB777" s="90"/>
      <c r="AC777" s="90"/>
      <c r="AD777" s="90"/>
      <c r="AE777" s="90"/>
      <c r="AF777" s="62"/>
      <c r="AG777" s="90"/>
      <c r="AH777" s="90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0"/>
      <c r="C778" s="90"/>
      <c r="D778" s="90"/>
      <c r="E778" s="90"/>
      <c r="F778" s="90"/>
      <c r="G778" s="90"/>
      <c r="H778" s="62"/>
      <c r="I778" s="65"/>
      <c r="J778" s="65"/>
      <c r="K778" s="62"/>
      <c r="L778" s="62"/>
      <c r="M778" s="64"/>
      <c r="N778" s="90"/>
      <c r="O778" s="90"/>
      <c r="P778" s="90"/>
      <c r="Q778" s="90"/>
      <c r="R778" s="90"/>
      <c r="S778" s="90"/>
      <c r="T778" s="62"/>
      <c r="U778" s="65"/>
      <c r="V778" s="65"/>
      <c r="W778" s="62"/>
      <c r="X778" s="62"/>
      <c r="Y778" s="64"/>
      <c r="Z778" s="90"/>
      <c r="AA778" s="90"/>
      <c r="AB778" s="90"/>
      <c r="AC778" s="90"/>
      <c r="AD778" s="90"/>
      <c r="AE778" s="90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0"/>
      <c r="C779" s="90"/>
      <c r="D779" s="90"/>
      <c r="E779" s="90"/>
      <c r="F779" s="90"/>
      <c r="G779" s="90"/>
      <c r="H779" s="62"/>
      <c r="I779" s="62"/>
      <c r="J779" s="62"/>
      <c r="K779" s="62"/>
      <c r="L779" s="62"/>
      <c r="M779" s="62"/>
      <c r="N779" s="90"/>
      <c r="O779" s="90"/>
      <c r="P779" s="90"/>
      <c r="Q779" s="90"/>
      <c r="R779" s="90"/>
      <c r="S779" s="90"/>
      <c r="T779" s="62"/>
      <c r="U779" s="62"/>
      <c r="V779" s="62"/>
      <c r="W779" s="62"/>
      <c r="X779" s="62"/>
      <c r="Y779" s="62"/>
      <c r="Z779" s="90"/>
      <c r="AA779" s="90"/>
      <c r="AB779" s="90"/>
      <c r="AC779" s="90"/>
      <c r="AD779" s="90"/>
      <c r="AE779" s="90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0"/>
      <c r="D780" s="115"/>
      <c r="E780" s="115"/>
      <c r="F780" s="90"/>
      <c r="G780" s="90"/>
      <c r="H780" s="62"/>
      <c r="I780" s="115"/>
      <c r="J780" s="115"/>
      <c r="K780" s="111"/>
      <c r="L780" s="62"/>
      <c r="M780" s="62"/>
      <c r="N780" s="65"/>
      <c r="O780" s="90"/>
      <c r="P780" s="115"/>
      <c r="Q780" s="115"/>
      <c r="R780" s="90"/>
      <c r="S780" s="90"/>
      <c r="T780" s="62"/>
      <c r="U780" s="115"/>
      <c r="V780" s="115"/>
      <c r="W780" s="111"/>
      <c r="X780" s="62"/>
      <c r="Y780" s="62"/>
      <c r="Z780" s="65"/>
      <c r="AA780" s="90"/>
      <c r="AB780" s="115"/>
      <c r="AC780" s="115"/>
      <c r="AD780" s="90"/>
      <c r="AE780" s="90"/>
      <c r="AF780" s="62"/>
      <c r="AG780" s="115"/>
      <c r="AH780" s="115"/>
      <c r="AI780" s="111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0"/>
      <c r="C781" s="90"/>
      <c r="D781" s="79"/>
      <c r="E781" s="80"/>
      <c r="F781" s="81"/>
      <c r="G781" s="81"/>
      <c r="H781" s="62"/>
      <c r="I781" s="91"/>
      <c r="J781" s="91"/>
      <c r="K781" s="111"/>
      <c r="L781" s="62"/>
      <c r="M781" s="62"/>
      <c r="N781" s="90"/>
      <c r="O781" s="90"/>
      <c r="P781" s="79"/>
      <c r="Q781" s="81"/>
      <c r="R781" s="81"/>
      <c r="S781" s="81"/>
      <c r="T781" s="62"/>
      <c r="U781" s="91"/>
      <c r="V781" s="91"/>
      <c r="W781" s="111"/>
      <c r="X781" s="62"/>
      <c r="Y781" s="62"/>
      <c r="Z781" s="90"/>
      <c r="AA781" s="90"/>
      <c r="AB781" s="79"/>
      <c r="AC781" s="81"/>
      <c r="AD781" s="81"/>
      <c r="AE781" s="81"/>
      <c r="AF781" s="62"/>
      <c r="AG781" s="91"/>
      <c r="AH781" s="91"/>
      <c r="AI781" s="111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0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0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0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0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0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0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0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0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0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0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65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0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2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90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0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0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0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62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65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62"/>
      <c r="AB790" s="60"/>
      <c r="AC790" s="60"/>
      <c r="AD790" s="60"/>
      <c r="AE790" s="60"/>
      <c r="AF790" s="61"/>
      <c r="AG790" s="61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0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62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0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0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2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62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0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0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0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0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0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0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0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90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62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0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5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0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0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0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62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0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0"/>
      <c r="P802" s="67"/>
      <c r="Q802" s="90"/>
      <c r="R802" s="90"/>
      <c r="S802" s="60"/>
      <c r="T802" s="62"/>
      <c r="U802" s="62"/>
      <c r="V802" s="62"/>
      <c r="W802" s="61"/>
      <c r="X802" s="62"/>
      <c r="Y802" s="62"/>
      <c r="Z802" s="66"/>
      <c r="AA802" s="90"/>
      <c r="AB802" s="67"/>
      <c r="AC802" s="90"/>
      <c r="AD802" s="90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0"/>
      <c r="P803" s="68"/>
      <c r="Q803" s="90"/>
      <c r="R803" s="90"/>
      <c r="S803" s="60"/>
      <c r="T803" s="62"/>
      <c r="U803" s="62"/>
      <c r="V803" s="62"/>
      <c r="W803" s="61"/>
      <c r="X803" s="62"/>
      <c r="Y803" s="62"/>
      <c r="Z803" s="66"/>
      <c r="AA803" s="90"/>
      <c r="AB803" s="68"/>
      <c r="AC803" s="90"/>
      <c r="AD803" s="90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0"/>
      <c r="P804" s="69"/>
      <c r="Q804" s="68"/>
      <c r="R804" s="62"/>
      <c r="S804" s="60"/>
      <c r="T804" s="62"/>
      <c r="U804" s="62"/>
      <c r="V804" s="62"/>
      <c r="W804" s="61"/>
      <c r="X804" s="62"/>
      <c r="Y804" s="62"/>
      <c r="Z804" s="66"/>
      <c r="AA804" s="90"/>
      <c r="AB804" s="69"/>
      <c r="AC804" s="90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0"/>
      <c r="P805" s="69"/>
      <c r="Q805" s="90"/>
      <c r="R805" s="90"/>
      <c r="S805" s="60"/>
      <c r="T805" s="62"/>
      <c r="U805" s="62"/>
      <c r="V805" s="62"/>
      <c r="W805" s="61"/>
      <c r="X805" s="62"/>
      <c r="Y805" s="62"/>
      <c r="Z805" s="66"/>
      <c r="AA805" s="90"/>
      <c r="AB805" s="69"/>
      <c r="AC805" s="90"/>
      <c r="AD805" s="90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0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0"/>
      <c r="P806" s="69"/>
      <c r="Q806" s="90"/>
      <c r="R806" s="90"/>
      <c r="S806" s="60"/>
      <c r="T806" s="62"/>
      <c r="U806" s="62"/>
      <c r="V806" s="62"/>
      <c r="W806" s="61"/>
      <c r="X806" s="62"/>
      <c r="Y806" s="62"/>
      <c r="Z806" s="66"/>
      <c r="AA806" s="90"/>
      <c r="AB806" s="69"/>
      <c r="AC806" s="90"/>
      <c r="AD806" s="90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0"/>
      <c r="P807" s="69"/>
      <c r="Q807" s="90"/>
      <c r="R807" s="90"/>
      <c r="S807" s="60"/>
      <c r="T807" s="62"/>
      <c r="U807" s="62"/>
      <c r="V807" s="62"/>
      <c r="W807" s="61"/>
      <c r="X807" s="62"/>
      <c r="Y807" s="62"/>
      <c r="Z807" s="66"/>
      <c r="AA807" s="90"/>
      <c r="AB807" s="69"/>
      <c r="AC807" s="90"/>
      <c r="AD807" s="90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0"/>
      <c r="P808" s="69"/>
      <c r="Q808" s="90"/>
      <c r="R808" s="90"/>
      <c r="S808" s="60"/>
      <c r="T808" s="62"/>
      <c r="U808" s="62"/>
      <c r="V808" s="62"/>
      <c r="W808" s="61"/>
      <c r="X808" s="62"/>
      <c r="Y808" s="62"/>
      <c r="Z808" s="66"/>
      <c r="AA808" s="90"/>
      <c r="AB808" s="69"/>
      <c r="AC808" s="90"/>
      <c r="AD808" s="90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0"/>
      <c r="P809" s="69"/>
      <c r="Q809" s="90"/>
      <c r="R809" s="90"/>
      <c r="S809" s="60"/>
      <c r="T809" s="62"/>
      <c r="U809" s="62"/>
      <c r="V809" s="62"/>
      <c r="W809" s="61"/>
      <c r="X809" s="62"/>
      <c r="Y809" s="62"/>
      <c r="Z809" s="66"/>
      <c r="AA809" s="90"/>
      <c r="AB809" s="69"/>
      <c r="AC809" s="90"/>
      <c r="AD809" s="90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0"/>
      <c r="P810" s="69"/>
      <c r="Q810" s="90"/>
      <c r="R810" s="90"/>
      <c r="S810" s="60"/>
      <c r="T810" s="62"/>
      <c r="U810" s="62"/>
      <c r="V810" s="62"/>
      <c r="W810" s="61"/>
      <c r="X810" s="62"/>
      <c r="Y810" s="62"/>
      <c r="Z810" s="66"/>
      <c r="AA810" s="90"/>
      <c r="AB810" s="69"/>
      <c r="AC810" s="90"/>
      <c r="AD810" s="90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0"/>
      <c r="P811" s="69"/>
      <c r="Q811" s="90"/>
      <c r="R811" s="90"/>
      <c r="S811" s="60"/>
      <c r="T811" s="62"/>
      <c r="U811" s="62"/>
      <c r="V811" s="62"/>
      <c r="W811" s="61"/>
      <c r="X811" s="62"/>
      <c r="Y811" s="62"/>
      <c r="Z811" s="66"/>
      <c r="AA811" s="90"/>
      <c r="AB811" s="69"/>
      <c r="AC811" s="90"/>
      <c r="AD811" s="90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0"/>
      <c r="P812" s="69"/>
      <c r="Q812" s="90"/>
      <c r="R812" s="90"/>
      <c r="S812" s="60"/>
      <c r="T812" s="62"/>
      <c r="U812" s="62"/>
      <c r="V812" s="62"/>
      <c r="W812" s="61"/>
      <c r="X812" s="62"/>
      <c r="Y812" s="62"/>
      <c r="Z812" s="66"/>
      <c r="AA812" s="90"/>
      <c r="AB812" s="69"/>
      <c r="AC812" s="90"/>
      <c r="AD812" s="90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0"/>
      <c r="P813" s="69"/>
      <c r="Q813" s="90"/>
      <c r="R813" s="90"/>
      <c r="S813" s="60"/>
      <c r="T813" s="62"/>
      <c r="U813" s="62"/>
      <c r="V813" s="62"/>
      <c r="W813" s="61"/>
      <c r="X813" s="62"/>
      <c r="Y813" s="62"/>
      <c r="Z813" s="66"/>
      <c r="AA813" s="90"/>
      <c r="AB813" s="69"/>
      <c r="AC813" s="90"/>
      <c r="AD813" s="90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0"/>
      <c r="P814" s="69"/>
      <c r="Q814" s="90"/>
      <c r="R814" s="90"/>
      <c r="S814" s="60"/>
      <c r="T814" s="62"/>
      <c r="U814" s="62"/>
      <c r="V814" s="62"/>
      <c r="W814" s="61"/>
      <c r="X814" s="62"/>
      <c r="Y814" s="62"/>
      <c r="Z814" s="66"/>
      <c r="AA814" s="90"/>
      <c r="AB814" s="69"/>
      <c r="AC814" s="90"/>
      <c r="AD814" s="90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0"/>
      <c r="P815" s="69"/>
      <c r="Q815" s="90"/>
      <c r="R815" s="90"/>
      <c r="S815" s="60"/>
      <c r="T815" s="62"/>
      <c r="U815" s="62"/>
      <c r="V815" s="62"/>
      <c r="W815" s="61"/>
      <c r="X815" s="62"/>
      <c r="Y815" s="62"/>
      <c r="Z815" s="66"/>
      <c r="AA815" s="90"/>
      <c r="AB815" s="69"/>
      <c r="AC815" s="90"/>
      <c r="AD815" s="90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0"/>
      <c r="P816" s="69"/>
      <c r="Q816" s="90"/>
      <c r="R816" s="90"/>
      <c r="S816" s="60"/>
      <c r="T816" s="62"/>
      <c r="U816" s="62"/>
      <c r="V816" s="62"/>
      <c r="W816" s="61"/>
      <c r="X816" s="62"/>
      <c r="Y816" s="62"/>
      <c r="Z816" s="66"/>
      <c r="AA816" s="90"/>
      <c r="AB816" s="69"/>
      <c r="AC816" s="90"/>
      <c r="AD816" s="90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0"/>
      <c r="P817" s="69"/>
      <c r="Q817" s="90"/>
      <c r="R817" s="90"/>
      <c r="S817" s="60"/>
      <c r="T817" s="62"/>
      <c r="U817" s="62"/>
      <c r="V817" s="62"/>
      <c r="W817" s="61"/>
      <c r="X817" s="62"/>
      <c r="Y817" s="62"/>
      <c r="Z817" s="66"/>
      <c r="AA817" s="90"/>
      <c r="AB817" s="69"/>
      <c r="AC817" s="90"/>
      <c r="AD817" s="90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0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0"/>
      <c r="R818" s="90"/>
      <c r="S818" s="60"/>
      <c r="T818" s="62"/>
      <c r="U818" s="62"/>
      <c r="V818" s="62"/>
      <c r="W818" s="61"/>
      <c r="X818" s="62"/>
      <c r="Y818" s="62"/>
      <c r="Z818" s="66"/>
      <c r="AA818" s="90"/>
      <c r="AB818" s="69"/>
      <c r="AC818" s="90"/>
      <c r="AD818" s="90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0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0"/>
      <c r="P819" s="69"/>
      <c r="Q819" s="90"/>
      <c r="R819" s="90"/>
      <c r="S819" s="60"/>
      <c r="T819" s="62"/>
      <c r="U819" s="62"/>
      <c r="V819" s="62"/>
      <c r="W819" s="61"/>
      <c r="X819" s="62"/>
      <c r="Y819" s="62"/>
      <c r="Z819" s="66"/>
      <c r="AA819" s="90"/>
      <c r="AB819" s="69"/>
      <c r="AC819" s="90"/>
      <c r="AD819" s="90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0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0"/>
      <c r="P820" s="69"/>
      <c r="Q820" s="90"/>
      <c r="R820" s="90"/>
      <c r="S820" s="60"/>
      <c r="T820" s="62"/>
      <c r="U820" s="62"/>
      <c r="V820" s="62"/>
      <c r="W820" s="61"/>
      <c r="X820" s="62"/>
      <c r="Y820" s="62"/>
      <c r="Z820" s="66"/>
      <c r="AA820" s="90"/>
      <c r="AB820" s="69"/>
      <c r="AC820" s="90"/>
      <c r="AD820" s="90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0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0"/>
      <c r="R821" s="90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0"/>
      <c r="AD821" s="90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0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0"/>
      <c r="P822" s="69"/>
      <c r="Q822" s="90"/>
      <c r="R822" s="90"/>
      <c r="S822" s="60"/>
      <c r="T822" s="62"/>
      <c r="U822" s="62"/>
      <c r="V822" s="62"/>
      <c r="W822" s="61"/>
      <c r="X822" s="62"/>
      <c r="Y822" s="62"/>
      <c r="Z822" s="66"/>
      <c r="AA822" s="90"/>
      <c r="AB822" s="69"/>
      <c r="AC822" s="90"/>
      <c r="AD822" s="90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0"/>
      <c r="O823" s="90"/>
      <c r="P823" s="90"/>
      <c r="Q823" s="90"/>
      <c r="R823" s="90"/>
      <c r="S823" s="90"/>
      <c r="T823" s="62"/>
      <c r="U823" s="62"/>
      <c r="V823" s="62"/>
      <c r="W823" s="61"/>
      <c r="X823" s="62"/>
      <c r="Y823" s="62"/>
      <c r="Z823" s="90"/>
      <c r="AA823" s="90"/>
      <c r="AB823" s="90"/>
      <c r="AC823" s="90"/>
      <c r="AD823" s="90"/>
      <c r="AE823" s="90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0"/>
      <c r="C824" s="90"/>
      <c r="D824" s="90"/>
      <c r="E824" s="90"/>
      <c r="F824" s="90"/>
      <c r="G824" s="90"/>
      <c r="H824" s="62"/>
      <c r="I824" s="62"/>
      <c r="J824" s="62"/>
      <c r="K824" s="62"/>
      <c r="L824" s="62"/>
      <c r="M824" s="62"/>
      <c r="N824" s="90"/>
      <c r="O824" s="90"/>
      <c r="P824" s="90"/>
      <c r="Q824" s="90"/>
      <c r="R824" s="90"/>
      <c r="S824" s="90"/>
      <c r="T824" s="62"/>
      <c r="U824" s="62"/>
      <c r="V824" s="62"/>
      <c r="W824" s="62"/>
      <c r="X824" s="62"/>
      <c r="Y824" s="62"/>
      <c r="Z824" s="90"/>
      <c r="AA824" s="90"/>
      <c r="AB824" s="90"/>
      <c r="AC824" s="90"/>
      <c r="AD824" s="90"/>
      <c r="AE824" s="90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0"/>
      <c r="C825" s="90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0"/>
      <c r="O825" s="90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0"/>
      <c r="AA825" s="90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3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3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3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2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2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2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ht="15.75" x14ac:dyDescent="0.25">
      <c r="A831" s="62"/>
      <c r="B831" s="89"/>
      <c r="C831" s="89"/>
      <c r="D831" s="89"/>
      <c r="E831" s="89"/>
      <c r="F831" s="89"/>
      <c r="G831" s="89"/>
      <c r="H831" s="62"/>
      <c r="I831" s="89"/>
      <c r="J831" s="73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89"/>
      <c r="V831" s="73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89"/>
      <c r="AH831" s="89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x14ac:dyDescent="0.25">
      <c r="A832" s="64"/>
      <c r="B832" s="89"/>
      <c r="C832" s="89"/>
      <c r="D832" s="89"/>
      <c r="E832" s="89"/>
      <c r="F832" s="89"/>
      <c r="G832" s="89"/>
      <c r="H832" s="62"/>
      <c r="I832" s="65"/>
      <c r="J832" s="65"/>
      <c r="K832" s="62"/>
      <c r="L832" s="62"/>
      <c r="M832" s="64"/>
      <c r="N832" s="89"/>
      <c r="O832" s="89"/>
      <c r="P832" s="89"/>
      <c r="Q832" s="89"/>
      <c r="R832" s="89"/>
      <c r="S832" s="89"/>
      <c r="T832" s="62"/>
      <c r="U832" s="65"/>
      <c r="V832" s="65"/>
      <c r="W832" s="62"/>
      <c r="X832" s="62"/>
      <c r="Y832" s="64"/>
      <c r="Z832" s="89"/>
      <c r="AA832" s="89"/>
      <c r="AB832" s="89"/>
      <c r="AC832" s="89"/>
      <c r="AD832" s="89"/>
      <c r="AE832" s="89"/>
      <c r="AF832" s="62"/>
      <c r="AG832" s="65"/>
      <c r="AH832" s="65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2"/>
      <c r="B833" s="89"/>
      <c r="C833" s="89"/>
      <c r="D833" s="89"/>
      <c r="E833" s="89"/>
      <c r="F833" s="89"/>
      <c r="G833" s="89"/>
      <c r="H833" s="62"/>
      <c r="I833" s="62"/>
      <c r="J833" s="62"/>
      <c r="K833" s="62"/>
      <c r="L833" s="62"/>
      <c r="M833" s="62"/>
      <c r="N833" s="89"/>
      <c r="O833" s="89"/>
      <c r="P833" s="89"/>
      <c r="Q833" s="89"/>
      <c r="R833" s="89"/>
      <c r="S833" s="89"/>
      <c r="T833" s="62"/>
      <c r="U833" s="62"/>
      <c r="V833" s="62"/>
      <c r="W833" s="62"/>
      <c r="X833" s="62"/>
      <c r="Y833" s="62"/>
      <c r="Z833" s="89"/>
      <c r="AA833" s="89"/>
      <c r="AB833" s="89"/>
      <c r="AC833" s="89"/>
      <c r="AD833" s="89"/>
      <c r="AE833" s="89"/>
      <c r="AF833" s="62"/>
      <c r="AG833" s="62"/>
      <c r="AH833" s="62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65"/>
      <c r="C834" s="89"/>
      <c r="D834" s="115"/>
      <c r="E834" s="115"/>
      <c r="F834" s="89"/>
      <c r="G834" s="89"/>
      <c r="H834" s="62"/>
      <c r="I834" s="115"/>
      <c r="J834" s="115"/>
      <c r="K834" s="111"/>
      <c r="L834" s="62"/>
      <c r="M834" s="62"/>
      <c r="N834" s="65"/>
      <c r="O834" s="89"/>
      <c r="P834" s="115"/>
      <c r="Q834" s="115"/>
      <c r="R834" s="89"/>
      <c r="S834" s="89"/>
      <c r="T834" s="62"/>
      <c r="U834" s="115"/>
      <c r="V834" s="115"/>
      <c r="W834" s="111"/>
      <c r="X834" s="62"/>
      <c r="Y834" s="62"/>
      <c r="Z834" s="65"/>
      <c r="AA834" s="89"/>
      <c r="AB834" s="115"/>
      <c r="AC834" s="115"/>
      <c r="AD834" s="89"/>
      <c r="AE834" s="89"/>
      <c r="AF834" s="62"/>
      <c r="AG834" s="115"/>
      <c r="AH834" s="115"/>
      <c r="AI834" s="111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89"/>
      <c r="C835" s="89"/>
      <c r="D835" s="79"/>
      <c r="E835" s="80"/>
      <c r="F835" s="81"/>
      <c r="G835" s="81"/>
      <c r="H835" s="62"/>
      <c r="I835" s="88"/>
      <c r="J835" s="88"/>
      <c r="K835" s="111"/>
      <c r="L835" s="62"/>
      <c r="M835" s="62"/>
      <c r="N835" s="89"/>
      <c r="O835" s="89"/>
      <c r="P835" s="79"/>
      <c r="Q835" s="81"/>
      <c r="R835" s="81"/>
      <c r="S835" s="81"/>
      <c r="T835" s="62"/>
      <c r="U835" s="88"/>
      <c r="V835" s="88"/>
      <c r="W835" s="111"/>
      <c r="X835" s="62"/>
      <c r="Y835" s="62"/>
      <c r="Z835" s="89"/>
      <c r="AA835" s="89"/>
      <c r="AB835" s="79"/>
      <c r="AC835" s="81"/>
      <c r="AD835" s="81"/>
      <c r="AE835" s="81"/>
      <c r="AF835" s="62"/>
      <c r="AG835" s="88"/>
      <c r="AH835" s="88"/>
      <c r="AI835" s="111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66"/>
      <c r="C836" s="84"/>
      <c r="D836" s="60"/>
      <c r="E836" s="60"/>
      <c r="F836" s="60"/>
      <c r="G836" s="60"/>
      <c r="H836" s="61"/>
      <c r="I836" s="61"/>
      <c r="J836" s="61"/>
      <c r="K836" s="61"/>
      <c r="L836" s="62"/>
      <c r="M836" s="62"/>
      <c r="N836" s="66"/>
      <c r="O836" s="89"/>
      <c r="P836" s="60"/>
      <c r="Q836" s="60"/>
      <c r="R836" s="60"/>
      <c r="S836" s="60"/>
      <c r="T836" s="61"/>
      <c r="U836" s="61"/>
      <c r="V836" s="61"/>
      <c r="W836" s="61"/>
      <c r="X836" s="62"/>
      <c r="Y836" s="62"/>
      <c r="Z836" s="66"/>
      <c r="AA836" s="89"/>
      <c r="AB836" s="60"/>
      <c r="AC836" s="60"/>
      <c r="AD836" s="60"/>
      <c r="AE836" s="60"/>
      <c r="AF836" s="61"/>
      <c r="AG836" s="61"/>
      <c r="AH836" s="61"/>
      <c r="AI836" s="61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2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1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2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2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1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1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65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9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2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0"/>
      <c r="AE844" s="60"/>
      <c r="AF844" s="61"/>
      <c r="AG844" s="62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65"/>
      <c r="AB845" s="60"/>
      <c r="AC845" s="60"/>
      <c r="AD845" s="60"/>
      <c r="AE845" s="60"/>
      <c r="AF845" s="61"/>
      <c r="AG845" s="61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9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2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1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9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9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65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2"/>
      <c r="AA851" s="65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9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9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62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9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62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2"/>
      <c r="I856" s="62"/>
      <c r="J856" s="62"/>
      <c r="K856" s="61"/>
      <c r="L856" s="62"/>
      <c r="M856" s="62"/>
      <c r="N856" s="66"/>
      <c r="O856" s="65"/>
      <c r="P856" s="67"/>
      <c r="Q856" s="89"/>
      <c r="R856" s="89"/>
      <c r="S856" s="60"/>
      <c r="T856" s="62"/>
      <c r="U856" s="62"/>
      <c r="V856" s="62"/>
      <c r="W856" s="61"/>
      <c r="X856" s="62"/>
      <c r="Y856" s="62"/>
      <c r="Z856" s="66"/>
      <c r="AA856" s="89"/>
      <c r="AB856" s="67"/>
      <c r="AC856" s="89"/>
      <c r="AD856" s="89"/>
      <c r="AE856" s="60"/>
      <c r="AF856" s="62"/>
      <c r="AG856" s="62"/>
      <c r="AH856" s="62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9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9"/>
      <c r="P857" s="68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8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1"/>
      <c r="K858" s="61"/>
      <c r="L858" s="62"/>
      <c r="M858" s="62"/>
      <c r="N858" s="66"/>
      <c r="O858" s="89"/>
      <c r="P858" s="69"/>
      <c r="Q858" s="62"/>
      <c r="R858" s="62"/>
      <c r="S858" s="60"/>
      <c r="T858" s="62"/>
      <c r="U858" s="62"/>
      <c r="V858" s="62"/>
      <c r="W858" s="61"/>
      <c r="X858" s="62"/>
      <c r="Y858" s="62"/>
      <c r="Z858" s="66"/>
      <c r="AA858" s="89"/>
      <c r="AB858" s="69"/>
      <c r="AC858" s="89"/>
      <c r="AD858" s="62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2"/>
      <c r="K859" s="61"/>
      <c r="L859" s="62"/>
      <c r="M859" s="62"/>
      <c r="N859" s="66"/>
      <c r="O859" s="89"/>
      <c r="P859" s="69"/>
      <c r="Q859" s="89"/>
      <c r="R859" s="89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89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65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9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65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ht="15" customHeight="1" x14ac:dyDescent="0.25">
      <c r="A872" s="62"/>
      <c r="B872" s="66"/>
      <c r="C872" s="89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62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89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62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62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89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89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66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89"/>
      <c r="O877" s="89"/>
      <c r="P877" s="89"/>
      <c r="Q877" s="89"/>
      <c r="R877" s="89"/>
      <c r="S877" s="89"/>
      <c r="T877" s="62"/>
      <c r="U877" s="62"/>
      <c r="V877" s="62"/>
      <c r="W877" s="61"/>
      <c r="X877" s="62"/>
      <c r="Y877" s="62"/>
      <c r="Z877" s="89"/>
      <c r="AA877" s="89"/>
      <c r="AB877" s="89"/>
      <c r="AC877" s="89"/>
      <c r="AD877" s="89"/>
      <c r="AE877" s="89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89"/>
      <c r="C878" s="89"/>
      <c r="D878" s="89"/>
      <c r="E878" s="89"/>
      <c r="F878" s="89"/>
      <c r="G878" s="89"/>
      <c r="H878" s="62"/>
      <c r="I878" s="62"/>
      <c r="J878" s="62"/>
      <c r="K878" s="62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2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2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70"/>
      <c r="E879" s="70"/>
      <c r="F879" s="70"/>
      <c r="G879" s="70"/>
      <c r="H879" s="63"/>
      <c r="I879" s="70"/>
      <c r="J879" s="70"/>
      <c r="K879" s="70"/>
      <c r="L879" s="62"/>
      <c r="M879" s="62"/>
      <c r="N879" s="89"/>
      <c r="O879" s="89"/>
      <c r="P879" s="70"/>
      <c r="Q879" s="70"/>
      <c r="R879" s="70"/>
      <c r="S879" s="70"/>
      <c r="T879" s="63"/>
      <c r="U879" s="71"/>
      <c r="V879" s="71"/>
      <c r="W879" s="71"/>
      <c r="X879" s="62"/>
      <c r="Y879" s="62"/>
      <c r="Z879" s="89"/>
      <c r="AA879" s="89"/>
      <c r="AB879" s="70"/>
      <c r="AC879" s="70"/>
      <c r="AD879" s="70"/>
      <c r="AE879" s="70"/>
      <c r="AF879" s="63"/>
      <c r="AG879" s="71"/>
      <c r="AH879" s="71"/>
      <c r="AI879" s="71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  <c r="AE880" s="62"/>
      <c r="AF880" s="62"/>
      <c r="AG880" s="62"/>
      <c r="AH880" s="62"/>
      <c r="AI880" s="62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89"/>
      <c r="C881" s="89"/>
      <c r="D881" s="89"/>
      <c r="E881" s="89"/>
      <c r="F881" s="89"/>
      <c r="G881" s="89"/>
      <c r="H881" s="62"/>
      <c r="I881" s="62"/>
      <c r="J881" s="62"/>
      <c r="K881" s="62"/>
      <c r="L881" s="62"/>
      <c r="M881" s="62"/>
      <c r="N881" s="89"/>
      <c r="O881" s="89"/>
      <c r="P881" s="89"/>
      <c r="Q881" s="89"/>
      <c r="R881" s="89"/>
      <c r="S881" s="89"/>
      <c r="T881" s="62"/>
      <c r="U881" s="62"/>
      <c r="V881" s="62"/>
      <c r="W881" s="62"/>
      <c r="X881" s="62"/>
      <c r="Y881" s="62"/>
      <c r="Z881" s="89"/>
      <c r="AA881" s="89"/>
      <c r="AB881" s="89"/>
      <c r="AC881" s="89"/>
      <c r="AD881" s="89"/>
      <c r="AE881" s="89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3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3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3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2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2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2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ht="15.75" x14ac:dyDescent="0.25">
      <c r="A886" s="62"/>
      <c r="B886" s="89"/>
      <c r="C886" s="89"/>
      <c r="D886" s="89"/>
      <c r="E886" s="89"/>
      <c r="F886" s="89"/>
      <c r="G886" s="89"/>
      <c r="H886" s="62"/>
      <c r="I886" s="89"/>
      <c r="J886" s="73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89"/>
      <c r="V886" s="73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89"/>
      <c r="AH886" s="89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x14ac:dyDescent="0.25">
      <c r="A887" s="64"/>
      <c r="B887" s="89"/>
      <c r="C887" s="89"/>
      <c r="D887" s="89"/>
      <c r="E887" s="89"/>
      <c r="F887" s="89"/>
      <c r="G887" s="89"/>
      <c r="H887" s="62"/>
      <c r="I887" s="65"/>
      <c r="J887" s="65"/>
      <c r="K887" s="62"/>
      <c r="L887" s="62"/>
      <c r="M887" s="64"/>
      <c r="N887" s="89"/>
      <c r="O887" s="89"/>
      <c r="P887" s="89"/>
      <c r="Q887" s="89"/>
      <c r="R887" s="89"/>
      <c r="S887" s="89"/>
      <c r="T887" s="62"/>
      <c r="U887" s="65"/>
      <c r="V887" s="65"/>
      <c r="W887" s="62"/>
      <c r="X887" s="62"/>
      <c r="Y887" s="64"/>
      <c r="Z887" s="89"/>
      <c r="AA887" s="89"/>
      <c r="AB887" s="89"/>
      <c r="AC887" s="89"/>
      <c r="AD887" s="89"/>
      <c r="AE887" s="89"/>
      <c r="AF887" s="62"/>
      <c r="AG887" s="65"/>
      <c r="AH887" s="65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2"/>
      <c r="B888" s="89"/>
      <c r="C888" s="89"/>
      <c r="D888" s="89"/>
      <c r="E888" s="89"/>
      <c r="F888" s="89"/>
      <c r="G888" s="89"/>
      <c r="H888" s="62"/>
      <c r="I888" s="62"/>
      <c r="J888" s="62"/>
      <c r="K888" s="62"/>
      <c r="L888" s="62"/>
      <c r="M888" s="62"/>
      <c r="N888" s="89"/>
      <c r="O888" s="89"/>
      <c r="P888" s="89"/>
      <c r="Q888" s="89"/>
      <c r="R888" s="89"/>
      <c r="S888" s="89"/>
      <c r="T888" s="62"/>
      <c r="U888" s="62"/>
      <c r="V888" s="62"/>
      <c r="W888" s="62"/>
      <c r="X888" s="62"/>
      <c r="Y888" s="62"/>
      <c r="Z888" s="89"/>
      <c r="AA888" s="89"/>
      <c r="AB888" s="89"/>
      <c r="AC888" s="89"/>
      <c r="AD888" s="89"/>
      <c r="AE888" s="89"/>
      <c r="AF888" s="62"/>
      <c r="AG888" s="62"/>
      <c r="AH888" s="62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65"/>
      <c r="C889" s="89"/>
      <c r="D889" s="115"/>
      <c r="E889" s="115"/>
      <c r="F889" s="89"/>
      <c r="G889" s="89"/>
      <c r="H889" s="62"/>
      <c r="I889" s="115"/>
      <c r="J889" s="115"/>
      <c r="K889" s="111"/>
      <c r="L889" s="62"/>
      <c r="M889" s="62"/>
      <c r="N889" s="65"/>
      <c r="O889" s="89"/>
      <c r="P889" s="115"/>
      <c r="Q889" s="115"/>
      <c r="R889" s="89"/>
      <c r="S889" s="89"/>
      <c r="T889" s="62"/>
      <c r="U889" s="115"/>
      <c r="V889" s="115"/>
      <c r="W889" s="111"/>
      <c r="X889" s="62"/>
      <c r="Y889" s="62"/>
      <c r="Z889" s="65"/>
      <c r="AA889" s="89"/>
      <c r="AB889" s="115"/>
      <c r="AC889" s="115"/>
      <c r="AD889" s="89"/>
      <c r="AE889" s="89"/>
      <c r="AF889" s="62"/>
      <c r="AG889" s="115"/>
      <c r="AH889" s="115"/>
      <c r="AI889" s="111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89"/>
      <c r="C890" s="89"/>
      <c r="D890" s="79"/>
      <c r="E890" s="80"/>
      <c r="F890" s="81"/>
      <c r="G890" s="81"/>
      <c r="H890" s="62"/>
      <c r="I890" s="88"/>
      <c r="J890" s="88"/>
      <c r="K890" s="111"/>
      <c r="L890" s="62"/>
      <c r="M890" s="62"/>
      <c r="N890" s="89"/>
      <c r="O890" s="89"/>
      <c r="P890" s="79"/>
      <c r="Q890" s="81"/>
      <c r="R890" s="81"/>
      <c r="S890" s="81"/>
      <c r="T890" s="62"/>
      <c r="U890" s="88"/>
      <c r="V890" s="88"/>
      <c r="W890" s="111"/>
      <c r="X890" s="62"/>
      <c r="Y890" s="62"/>
      <c r="Z890" s="89"/>
      <c r="AA890" s="89"/>
      <c r="AB890" s="79"/>
      <c r="AC890" s="81"/>
      <c r="AD890" s="81"/>
      <c r="AE890" s="81"/>
      <c r="AF890" s="62"/>
      <c r="AG890" s="88"/>
      <c r="AH890" s="88"/>
      <c r="AI890" s="111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66"/>
      <c r="C891" s="84"/>
      <c r="D891" s="60"/>
      <c r="E891" s="60"/>
      <c r="F891" s="60"/>
      <c r="G891" s="60"/>
      <c r="H891" s="61"/>
      <c r="I891" s="61"/>
      <c r="J891" s="61"/>
      <c r="K891" s="61"/>
      <c r="L891" s="62"/>
      <c r="M891" s="62"/>
      <c r="N891" s="66"/>
      <c r="O891" s="89"/>
      <c r="P891" s="60"/>
      <c r="Q891" s="60"/>
      <c r="R891" s="60"/>
      <c r="S891" s="60"/>
      <c r="T891" s="61"/>
      <c r="U891" s="61"/>
      <c r="V891" s="61"/>
      <c r="W891" s="61"/>
      <c r="X891" s="62"/>
      <c r="Y891" s="62"/>
      <c r="Z891" s="66"/>
      <c r="AA891" s="89"/>
      <c r="AB891" s="60"/>
      <c r="AC891" s="60"/>
      <c r="AD891" s="60"/>
      <c r="AE891" s="60"/>
      <c r="AF891" s="61"/>
      <c r="AG891" s="61"/>
      <c r="AH891" s="61"/>
      <c r="AI891" s="61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2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2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2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1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1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65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2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9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0"/>
      <c r="AE899" s="60"/>
      <c r="AF899" s="61"/>
      <c r="AG899" s="62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1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9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2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1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65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65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2"/>
      <c r="AA906" s="65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9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9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62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9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62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9"/>
      <c r="D911" s="60"/>
      <c r="E911" s="60"/>
      <c r="F911" s="60"/>
      <c r="G911" s="60"/>
      <c r="H911" s="62"/>
      <c r="I911" s="62"/>
      <c r="J911" s="62"/>
      <c r="K911" s="61"/>
      <c r="L911" s="62"/>
      <c r="M911" s="62"/>
      <c r="N911" s="66"/>
      <c r="O911" s="65"/>
      <c r="P911" s="67"/>
      <c r="Q911" s="89"/>
      <c r="R911" s="89"/>
      <c r="S911" s="60"/>
      <c r="T911" s="62"/>
      <c r="U911" s="62"/>
      <c r="V911" s="62"/>
      <c r="W911" s="61"/>
      <c r="X911" s="62"/>
      <c r="Y911" s="62"/>
      <c r="Z911" s="66"/>
      <c r="AA911" s="89"/>
      <c r="AB911" s="67"/>
      <c r="AC911" s="89"/>
      <c r="AD911" s="89"/>
      <c r="AE911" s="60"/>
      <c r="AF911" s="62"/>
      <c r="AG911" s="62"/>
      <c r="AH911" s="62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9"/>
      <c r="P912" s="68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8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1"/>
      <c r="K913" s="61"/>
      <c r="L913" s="62"/>
      <c r="M913" s="62"/>
      <c r="N913" s="66"/>
      <c r="O913" s="89"/>
      <c r="P913" s="69"/>
      <c r="Q913" s="62"/>
      <c r="R913" s="62"/>
      <c r="S913" s="60"/>
      <c r="T913" s="62"/>
      <c r="U913" s="62"/>
      <c r="V913" s="62"/>
      <c r="W913" s="61"/>
      <c r="X913" s="62"/>
      <c r="Y913" s="62"/>
      <c r="Z913" s="66"/>
      <c r="AA913" s="89"/>
      <c r="AB913" s="69"/>
      <c r="AC913" s="89"/>
      <c r="AD913" s="62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2"/>
      <c r="K914" s="61"/>
      <c r="L914" s="62"/>
      <c r="M914" s="62"/>
      <c r="N914" s="66"/>
      <c r="O914" s="89"/>
      <c r="P914" s="69"/>
      <c r="Q914" s="89"/>
      <c r="R914" s="89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89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65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9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9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62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89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62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62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89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89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66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89"/>
      <c r="O932" s="89"/>
      <c r="P932" s="89"/>
      <c r="Q932" s="89"/>
      <c r="R932" s="89"/>
      <c r="S932" s="89"/>
      <c r="T932" s="62"/>
      <c r="U932" s="62"/>
      <c r="V932" s="62"/>
      <c r="W932" s="61"/>
      <c r="X932" s="62"/>
      <c r="Y932" s="62"/>
      <c r="Z932" s="89"/>
      <c r="AA932" s="89"/>
      <c r="AB932" s="89"/>
      <c r="AC932" s="89"/>
      <c r="AD932" s="89"/>
      <c r="AE932" s="89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89"/>
      <c r="C933" s="89"/>
      <c r="D933" s="89"/>
      <c r="E933" s="89"/>
      <c r="F933" s="89"/>
      <c r="G933" s="89"/>
      <c r="H933" s="62"/>
      <c r="I933" s="62"/>
      <c r="J933" s="62"/>
      <c r="K933" s="62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2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2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70"/>
      <c r="E934" s="70"/>
      <c r="F934" s="70"/>
      <c r="G934" s="70"/>
      <c r="H934" s="63"/>
      <c r="I934" s="70"/>
      <c r="J934" s="70"/>
      <c r="K934" s="70"/>
      <c r="L934" s="62"/>
      <c r="M934" s="62"/>
      <c r="N934" s="89"/>
      <c r="O934" s="89"/>
      <c r="P934" s="70"/>
      <c r="Q934" s="70"/>
      <c r="R934" s="70"/>
      <c r="S934" s="70"/>
      <c r="T934" s="63"/>
      <c r="U934" s="71"/>
      <c r="V934" s="71"/>
      <c r="W934" s="71"/>
      <c r="X934" s="62"/>
      <c r="Y934" s="62"/>
      <c r="Z934" s="89"/>
      <c r="AA934" s="89"/>
      <c r="AB934" s="70"/>
      <c r="AC934" s="70"/>
      <c r="AD934" s="70"/>
      <c r="AE934" s="70"/>
      <c r="AF934" s="63"/>
      <c r="AG934" s="71"/>
      <c r="AH934" s="71"/>
      <c r="AI934" s="71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89"/>
      <c r="C936" s="89"/>
      <c r="D936" s="89"/>
      <c r="E936" s="89"/>
      <c r="F936" s="89"/>
      <c r="G936" s="89"/>
      <c r="H936" s="62"/>
      <c r="I936" s="62"/>
      <c r="J936" s="62"/>
      <c r="K936" s="62"/>
      <c r="L936" s="62"/>
      <c r="M936" s="62"/>
      <c r="N936" s="89"/>
      <c r="O936" s="89"/>
      <c r="P936" s="89"/>
      <c r="Q936" s="89"/>
      <c r="R936" s="89"/>
      <c r="S936" s="89"/>
      <c r="T936" s="62"/>
      <c r="U936" s="62"/>
      <c r="V936" s="62"/>
      <c r="W936" s="62"/>
      <c r="X936" s="62"/>
      <c r="Y936" s="62"/>
      <c r="Z936" s="89"/>
      <c r="AA936" s="89"/>
      <c r="AB936" s="89"/>
      <c r="AC936" s="89"/>
      <c r="AD936" s="89"/>
      <c r="AE936" s="89"/>
      <c r="AF936" s="62"/>
      <c r="AG936" s="62"/>
      <c r="AH936" s="62"/>
      <c r="AI936" s="62"/>
      <c r="AJ936" s="62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3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3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3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3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2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2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2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ht="15.75" x14ac:dyDescent="0.25">
      <c r="A941" s="62"/>
      <c r="B941" s="89"/>
      <c r="C941" s="89"/>
      <c r="D941" s="89"/>
      <c r="E941" s="89"/>
      <c r="F941" s="89"/>
      <c r="G941" s="89"/>
      <c r="H941" s="62"/>
      <c r="I941" s="89"/>
      <c r="J941" s="73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89"/>
      <c r="V941" s="73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89"/>
      <c r="AH941" s="89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86"/>
      <c r="AT941" s="86"/>
      <c r="AU941" s="62"/>
      <c r="AV941" s="62"/>
      <c r="AW941" s="62"/>
      <c r="AX941" s="62"/>
      <c r="AY941" s="62"/>
      <c r="AZ941" s="62"/>
    </row>
    <row r="942" spans="1:52" x14ac:dyDescent="0.25">
      <c r="A942" s="64"/>
      <c r="B942" s="89"/>
      <c r="C942" s="89"/>
      <c r="D942" s="89"/>
      <c r="E942" s="89"/>
      <c r="F942" s="89"/>
      <c r="G942" s="89"/>
      <c r="H942" s="62"/>
      <c r="I942" s="65"/>
      <c r="J942" s="65"/>
      <c r="K942" s="62"/>
      <c r="L942" s="62"/>
      <c r="M942" s="64"/>
      <c r="N942" s="89"/>
      <c r="O942" s="89"/>
      <c r="P942" s="89"/>
      <c r="Q942" s="89"/>
      <c r="R942" s="89"/>
      <c r="S942" s="89"/>
      <c r="T942" s="62"/>
      <c r="U942" s="65"/>
      <c r="V942" s="65"/>
      <c r="W942" s="62"/>
      <c r="X942" s="62"/>
      <c r="Y942" s="64"/>
      <c r="Z942" s="89"/>
      <c r="AA942" s="89"/>
      <c r="AB942" s="89"/>
      <c r="AC942" s="89"/>
      <c r="AD942" s="89"/>
      <c r="AE942" s="89"/>
      <c r="AF942" s="62"/>
      <c r="AG942" s="65"/>
      <c r="AH942" s="65"/>
      <c r="AI942" s="62"/>
      <c r="AJ942" s="62"/>
      <c r="AK942" s="64"/>
      <c r="AL942" s="86"/>
      <c r="AM942" s="86"/>
      <c r="AN942" s="86"/>
      <c r="AO942" s="86"/>
      <c r="AP942" s="86"/>
      <c r="AQ942" s="86"/>
      <c r="AR942" s="62"/>
      <c r="AS942" s="65"/>
      <c r="AT942" s="65"/>
      <c r="AU942" s="62"/>
      <c r="AV942" s="62"/>
      <c r="AW942" s="62"/>
      <c r="AX942" s="62"/>
      <c r="AY942" s="62"/>
      <c r="AZ942" s="62"/>
    </row>
    <row r="943" spans="1:52" x14ac:dyDescent="0.25">
      <c r="A943" s="62"/>
      <c r="B943" s="89"/>
      <c r="C943" s="89"/>
      <c r="D943" s="89"/>
      <c r="E943" s="89"/>
      <c r="F943" s="89"/>
      <c r="G943" s="89"/>
      <c r="H943" s="62"/>
      <c r="I943" s="62"/>
      <c r="J943" s="62"/>
      <c r="K943" s="62"/>
      <c r="L943" s="62"/>
      <c r="M943" s="62"/>
      <c r="N943" s="89"/>
      <c r="O943" s="89"/>
      <c r="P943" s="89"/>
      <c r="Q943" s="89"/>
      <c r="R943" s="89"/>
      <c r="S943" s="89"/>
      <c r="T943" s="62"/>
      <c r="U943" s="62"/>
      <c r="V943" s="62"/>
      <c r="W943" s="62"/>
      <c r="X943" s="62"/>
      <c r="Y943" s="62"/>
      <c r="Z943" s="89"/>
      <c r="AA943" s="89"/>
      <c r="AB943" s="89"/>
      <c r="AC943" s="89"/>
      <c r="AD943" s="89"/>
      <c r="AE943" s="89"/>
      <c r="AF943" s="62"/>
      <c r="AG943" s="62"/>
      <c r="AH943" s="62"/>
      <c r="AI943" s="62"/>
      <c r="AJ943" s="62"/>
      <c r="AK943" s="62"/>
      <c r="AL943" s="86"/>
      <c r="AM943" s="86"/>
      <c r="AN943" s="86"/>
      <c r="AO943" s="86"/>
      <c r="AP943" s="86"/>
      <c r="AQ943" s="86"/>
      <c r="AR943" s="62"/>
      <c r="AS943" s="62"/>
      <c r="AT943" s="62"/>
      <c r="AU943" s="62"/>
      <c r="AV943" s="62"/>
      <c r="AW943" s="62"/>
      <c r="AX943" s="62"/>
      <c r="AY943" s="62"/>
      <c r="AZ943" s="62"/>
    </row>
    <row r="944" spans="1:52" ht="15" customHeight="1" x14ac:dyDescent="0.25">
      <c r="A944" s="62"/>
      <c r="B944" s="65"/>
      <c r="C944" s="89"/>
      <c r="D944" s="115"/>
      <c r="E944" s="115"/>
      <c r="F944" s="89"/>
      <c r="G944" s="89"/>
      <c r="H944" s="62"/>
      <c r="I944" s="115"/>
      <c r="J944" s="115"/>
      <c r="K944" s="111"/>
      <c r="L944" s="62"/>
      <c r="M944" s="62"/>
      <c r="N944" s="65"/>
      <c r="O944" s="89"/>
      <c r="P944" s="115"/>
      <c r="Q944" s="115"/>
      <c r="R944" s="89"/>
      <c r="S944" s="89"/>
      <c r="T944" s="62"/>
      <c r="U944" s="115"/>
      <c r="V944" s="115"/>
      <c r="W944" s="111"/>
      <c r="X944" s="62"/>
      <c r="Y944" s="62"/>
      <c r="Z944" s="65"/>
      <c r="AA944" s="89"/>
      <c r="AB944" s="115"/>
      <c r="AC944" s="115"/>
      <c r="AD944" s="89"/>
      <c r="AE944" s="89"/>
      <c r="AF944" s="62"/>
      <c r="AG944" s="115"/>
      <c r="AH944" s="115"/>
      <c r="AI944" s="111"/>
      <c r="AJ944" s="62"/>
      <c r="AK944" s="62"/>
      <c r="AL944" s="65"/>
      <c r="AM944" s="86"/>
      <c r="AN944" s="115"/>
      <c r="AO944" s="115"/>
      <c r="AP944" s="86"/>
      <c r="AQ944" s="86"/>
      <c r="AR944" s="62"/>
      <c r="AS944" s="115"/>
      <c r="AT944" s="115"/>
      <c r="AU944" s="111"/>
      <c r="AV944" s="62"/>
      <c r="AW944" s="62"/>
      <c r="AX944" s="62"/>
      <c r="AY944" s="62"/>
      <c r="AZ944" s="62"/>
    </row>
    <row r="945" spans="1:52" x14ac:dyDescent="0.25">
      <c r="A945" s="62"/>
      <c r="B945" s="89"/>
      <c r="C945" s="89"/>
      <c r="D945" s="79"/>
      <c r="E945" s="80"/>
      <c r="F945" s="81"/>
      <c r="G945" s="81"/>
      <c r="H945" s="62"/>
      <c r="I945" s="88"/>
      <c r="J945" s="88"/>
      <c r="K945" s="111"/>
      <c r="L945" s="62"/>
      <c r="M945" s="62"/>
      <c r="N945" s="89"/>
      <c r="O945" s="89"/>
      <c r="P945" s="79"/>
      <c r="Q945" s="81"/>
      <c r="R945" s="81"/>
      <c r="S945" s="81"/>
      <c r="T945" s="62"/>
      <c r="U945" s="88"/>
      <c r="V945" s="88"/>
      <c r="W945" s="111"/>
      <c r="X945" s="62"/>
      <c r="Y945" s="62"/>
      <c r="Z945" s="89"/>
      <c r="AA945" s="89"/>
      <c r="AB945" s="79"/>
      <c r="AC945" s="81"/>
      <c r="AD945" s="81"/>
      <c r="AE945" s="81"/>
      <c r="AF945" s="62"/>
      <c r="AG945" s="88"/>
      <c r="AH945" s="88"/>
      <c r="AI945" s="111"/>
      <c r="AJ945" s="62"/>
      <c r="AK945" s="62"/>
      <c r="AL945" s="86"/>
      <c r="AM945" s="86"/>
      <c r="AN945" s="79"/>
      <c r="AO945" s="81"/>
      <c r="AP945" s="81"/>
      <c r="AQ945" s="81"/>
      <c r="AR945" s="62"/>
      <c r="AS945" s="85"/>
      <c r="AT945" s="85"/>
      <c r="AU945" s="111"/>
      <c r="AV945" s="62"/>
      <c r="AW945" s="62"/>
      <c r="AX945" s="62"/>
      <c r="AY945" s="62"/>
      <c r="AZ945" s="62"/>
    </row>
    <row r="946" spans="1:52" x14ac:dyDescent="0.25">
      <c r="A946" s="62"/>
      <c r="B946" s="66"/>
      <c r="C946" s="84"/>
      <c r="D946" s="60"/>
      <c r="E946" s="60"/>
      <c r="F946" s="60"/>
      <c r="G946" s="60"/>
      <c r="H946" s="61"/>
      <c r="I946" s="61"/>
      <c r="J946" s="61"/>
      <c r="K946" s="61"/>
      <c r="L946" s="62"/>
      <c r="M946" s="62"/>
      <c r="N946" s="66"/>
      <c r="O946" s="89"/>
      <c r="P946" s="60"/>
      <c r="Q946" s="60"/>
      <c r="R946" s="60"/>
      <c r="S946" s="60"/>
      <c r="T946" s="61"/>
      <c r="U946" s="61"/>
      <c r="V946" s="61"/>
      <c r="W946" s="61"/>
      <c r="X946" s="62"/>
      <c r="Y946" s="62"/>
      <c r="Z946" s="66"/>
      <c r="AA946" s="89"/>
      <c r="AB946" s="60"/>
      <c r="AC946" s="60"/>
      <c r="AD946" s="60"/>
      <c r="AE946" s="60"/>
      <c r="AF946" s="61"/>
      <c r="AG946" s="61"/>
      <c r="AH946" s="61"/>
      <c r="AI946" s="61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2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2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1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1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65"/>
      <c r="P951" s="60"/>
      <c r="Q951" s="60"/>
      <c r="R951" s="60"/>
      <c r="S951" s="60"/>
      <c r="T951" s="61"/>
      <c r="U951" s="61"/>
      <c r="V951" s="62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2"/>
      <c r="AI951" s="61"/>
      <c r="AJ951" s="62"/>
      <c r="AK951" s="62"/>
      <c r="AL951" s="66"/>
      <c r="AM951" s="65"/>
      <c r="AN951" s="60"/>
      <c r="AO951" s="60"/>
      <c r="AP951" s="60"/>
      <c r="AQ951" s="60"/>
      <c r="AR951" s="61"/>
      <c r="AS951" s="61"/>
      <c r="AT951" s="62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1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1"/>
      <c r="AI952" s="61"/>
      <c r="AJ952" s="62"/>
      <c r="AK952" s="62"/>
      <c r="AL952" s="66"/>
      <c r="AM952" s="86"/>
      <c r="AN952" s="60"/>
      <c r="AO952" s="60"/>
      <c r="AP952" s="60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65"/>
      <c r="AB953" s="60"/>
      <c r="AC953" s="60"/>
      <c r="AD953" s="62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2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0"/>
      <c r="AE954" s="60"/>
      <c r="AF954" s="61"/>
      <c r="AG954" s="62"/>
      <c r="AH954" s="61"/>
      <c r="AI954" s="61"/>
      <c r="AJ954" s="62"/>
      <c r="AK954" s="62"/>
      <c r="AL954" s="66"/>
      <c r="AM954" s="86"/>
      <c r="AN954" s="62"/>
      <c r="AO954" s="60"/>
      <c r="AP954" s="60"/>
      <c r="AQ954" s="60"/>
      <c r="AR954" s="61"/>
      <c r="AS954" s="62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62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2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1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9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2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4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62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2"/>
      <c r="I966" s="62"/>
      <c r="J966" s="62"/>
      <c r="K966" s="61"/>
      <c r="L966" s="62"/>
      <c r="M966" s="62"/>
      <c r="N966" s="66"/>
      <c r="O966" s="89"/>
      <c r="P966" s="87"/>
      <c r="Q966" s="89"/>
      <c r="R966" s="89"/>
      <c r="S966" s="60"/>
      <c r="T966" s="62"/>
      <c r="U966" s="62"/>
      <c r="V966" s="62"/>
      <c r="W966" s="61"/>
      <c r="X966" s="62"/>
      <c r="Y966" s="62"/>
      <c r="Z966" s="66"/>
      <c r="AA966" s="89"/>
      <c r="AB966" s="67"/>
      <c r="AC966" s="89"/>
      <c r="AD966" s="89"/>
      <c r="AE966" s="60"/>
      <c r="AF966" s="62"/>
      <c r="AG966" s="62"/>
      <c r="AH966" s="62"/>
      <c r="AI966" s="61"/>
      <c r="AJ966" s="62"/>
      <c r="AK966" s="62"/>
      <c r="AL966" s="66"/>
      <c r="AM966" s="86"/>
      <c r="AN966" s="67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9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8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8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1"/>
      <c r="K968" s="61"/>
      <c r="L968" s="62"/>
      <c r="M968" s="62"/>
      <c r="N968" s="66"/>
      <c r="O968" s="89"/>
      <c r="P968" s="69"/>
      <c r="Q968" s="89"/>
      <c r="R968" s="62"/>
      <c r="S968" s="60"/>
      <c r="T968" s="62"/>
      <c r="U968" s="62"/>
      <c r="V968" s="62"/>
      <c r="W968" s="61"/>
      <c r="X968" s="62"/>
      <c r="Y968" s="62"/>
      <c r="Z968" s="66"/>
      <c r="AA968" s="89"/>
      <c r="AB968" s="69"/>
      <c r="AC968" s="89"/>
      <c r="AD968" s="62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62"/>
      <c r="AP968" s="62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2"/>
      <c r="K969" s="61"/>
      <c r="L969" s="62"/>
      <c r="M969" s="62"/>
      <c r="N969" s="66"/>
      <c r="O969" s="62"/>
      <c r="P969" s="69"/>
      <c r="Q969" s="89"/>
      <c r="R969" s="89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89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65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62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62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62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89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62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62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62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89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89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86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66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89"/>
      <c r="O987" s="89"/>
      <c r="P987" s="89"/>
      <c r="Q987" s="89"/>
      <c r="R987" s="89"/>
      <c r="S987" s="89"/>
      <c r="T987" s="62"/>
      <c r="U987" s="62"/>
      <c r="V987" s="62"/>
      <c r="W987" s="61"/>
      <c r="X987" s="62"/>
      <c r="Y987" s="62"/>
      <c r="Z987" s="89"/>
      <c r="AA987" s="89"/>
      <c r="AB987" s="89"/>
      <c r="AC987" s="89"/>
      <c r="AD987" s="89"/>
      <c r="AE987" s="89"/>
      <c r="AF987" s="62"/>
      <c r="AG987" s="62"/>
      <c r="AH987" s="62"/>
      <c r="AI987" s="61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89"/>
      <c r="C988" s="89"/>
      <c r="D988" s="89"/>
      <c r="E988" s="89"/>
      <c r="F988" s="89"/>
      <c r="G988" s="89"/>
      <c r="H988" s="62"/>
      <c r="I988" s="62"/>
      <c r="J988" s="62"/>
      <c r="K988" s="62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2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2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2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70"/>
      <c r="E989" s="70"/>
      <c r="F989" s="70"/>
      <c r="G989" s="70"/>
      <c r="H989" s="63"/>
      <c r="I989" s="70"/>
      <c r="J989" s="70"/>
      <c r="K989" s="70"/>
      <c r="L989" s="62"/>
      <c r="M989" s="62"/>
      <c r="N989" s="89"/>
      <c r="O989" s="89"/>
      <c r="P989" s="70"/>
      <c r="Q989" s="70"/>
      <c r="R989" s="70"/>
      <c r="S989" s="70"/>
      <c r="T989" s="63"/>
      <c r="U989" s="71"/>
      <c r="V989" s="71"/>
      <c r="W989" s="71"/>
      <c r="X989" s="62"/>
      <c r="Y989" s="62"/>
      <c r="Z989" s="89"/>
      <c r="AA989" s="89"/>
      <c r="AB989" s="70"/>
      <c r="AC989" s="70"/>
      <c r="AD989" s="70"/>
      <c r="AE989" s="70"/>
      <c r="AF989" s="63"/>
      <c r="AG989" s="71"/>
      <c r="AH989" s="71"/>
      <c r="AI989" s="71"/>
      <c r="AJ989" s="62"/>
      <c r="AK989" s="62"/>
      <c r="AL989" s="86"/>
      <c r="AM989" s="86"/>
      <c r="AN989" s="70"/>
      <c r="AO989" s="70"/>
      <c r="AP989" s="70"/>
      <c r="AQ989" s="70"/>
      <c r="AR989" s="63"/>
      <c r="AS989" s="71"/>
      <c r="AT989" s="71"/>
      <c r="AU989" s="71"/>
      <c r="AV989" s="62"/>
      <c r="AW989" s="62"/>
      <c r="AX989" s="62"/>
      <c r="AY989" s="62"/>
      <c r="AZ989" s="62"/>
    </row>
    <row r="990" spans="1:52" x14ac:dyDescent="0.25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  <c r="R990" s="62"/>
      <c r="S990" s="62"/>
      <c r="T990" s="62"/>
      <c r="U990" s="62"/>
      <c r="V990" s="62"/>
      <c r="W990" s="62"/>
      <c r="X990" s="62"/>
      <c r="Y990" s="62"/>
      <c r="Z990" s="62"/>
      <c r="AA990" s="62"/>
      <c r="AB990" s="62"/>
      <c r="AC990" s="62"/>
      <c r="AD990" s="62"/>
      <c r="AE990" s="62"/>
      <c r="AF990" s="62"/>
      <c r="AG990" s="62"/>
      <c r="AH990" s="62"/>
      <c r="AI990" s="62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86"/>
      <c r="C991" s="86"/>
      <c r="D991" s="86"/>
      <c r="E991" s="86"/>
      <c r="F991" s="86"/>
      <c r="G991" s="86"/>
      <c r="H991" s="62"/>
      <c r="I991" s="62"/>
      <c r="J991" s="62"/>
      <c r="K991" s="62"/>
      <c r="L991" s="62"/>
      <c r="M991" s="62"/>
      <c r="N991" s="86"/>
      <c r="O991" s="86"/>
      <c r="P991" s="86"/>
      <c r="Q991" s="86"/>
      <c r="R991" s="86"/>
      <c r="S991" s="86"/>
      <c r="T991" s="62"/>
      <c r="U991" s="62"/>
      <c r="V991" s="62"/>
      <c r="W991" s="62"/>
      <c r="X991" s="62"/>
      <c r="Y991" s="62"/>
      <c r="Z991" s="86"/>
      <c r="AA991" s="86"/>
      <c r="AB991" s="86"/>
      <c r="AC991" s="86"/>
      <c r="AD991" s="86"/>
      <c r="AE991" s="86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3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3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3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2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ht="15.75" x14ac:dyDescent="0.25">
      <c r="A996" s="62"/>
      <c r="B996" s="86"/>
      <c r="C996" s="86"/>
      <c r="D996" s="86"/>
      <c r="E996" s="86"/>
      <c r="F996" s="86"/>
      <c r="G996" s="86"/>
      <c r="H996" s="62"/>
      <c r="I996" s="86"/>
      <c r="J996" s="73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86"/>
      <c r="V996" s="73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86"/>
      <c r="AH996" s="86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4"/>
      <c r="B997" s="86"/>
      <c r="C997" s="86"/>
      <c r="D997" s="86"/>
      <c r="E997" s="86"/>
      <c r="F997" s="86"/>
      <c r="G997" s="86"/>
      <c r="H997" s="62"/>
      <c r="I997" s="65"/>
      <c r="J997" s="65"/>
      <c r="K997" s="62"/>
      <c r="L997" s="62"/>
      <c r="M997" s="64"/>
      <c r="N997" s="86"/>
      <c r="O997" s="86"/>
      <c r="P997" s="86"/>
      <c r="Q997" s="86"/>
      <c r="R997" s="86"/>
      <c r="S997" s="86"/>
      <c r="T997" s="62"/>
      <c r="U997" s="65"/>
      <c r="V997" s="65"/>
      <c r="W997" s="62"/>
      <c r="X997" s="62"/>
      <c r="Y997" s="64"/>
      <c r="Z997" s="86"/>
      <c r="AA997" s="86"/>
      <c r="AB997" s="86"/>
      <c r="AC997" s="86"/>
      <c r="AD997" s="86"/>
      <c r="AE997" s="86"/>
      <c r="AF997" s="62"/>
      <c r="AG997" s="65"/>
      <c r="AH997" s="65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86"/>
      <c r="C998" s="86"/>
      <c r="D998" s="86"/>
      <c r="E998" s="86"/>
      <c r="F998" s="86"/>
      <c r="G998" s="86"/>
      <c r="H998" s="62"/>
      <c r="I998" s="62"/>
      <c r="J998" s="62"/>
      <c r="K998" s="62"/>
      <c r="L998" s="62"/>
      <c r="M998" s="62"/>
      <c r="N998" s="86"/>
      <c r="O998" s="86"/>
      <c r="P998" s="86"/>
      <c r="Q998" s="86"/>
      <c r="R998" s="86"/>
      <c r="S998" s="86"/>
      <c r="T998" s="62"/>
      <c r="U998" s="62"/>
      <c r="V998" s="62"/>
      <c r="W998" s="62"/>
      <c r="X998" s="62"/>
      <c r="Y998" s="62"/>
      <c r="Z998" s="86"/>
      <c r="AA998" s="86"/>
      <c r="AB998" s="86"/>
      <c r="AC998" s="86"/>
      <c r="AD998" s="86"/>
      <c r="AE998" s="86"/>
      <c r="AF998" s="62"/>
      <c r="AG998" s="62"/>
      <c r="AH998" s="62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65"/>
      <c r="C999" s="86"/>
      <c r="D999" s="115"/>
      <c r="E999" s="115"/>
      <c r="F999" s="86"/>
      <c r="G999" s="86"/>
      <c r="H999" s="62"/>
      <c r="I999" s="115"/>
      <c r="J999" s="115"/>
      <c r="K999" s="111"/>
      <c r="L999" s="62"/>
      <c r="M999" s="62"/>
      <c r="N999" s="65"/>
      <c r="O999" s="86"/>
      <c r="P999" s="115"/>
      <c r="Q999" s="115"/>
      <c r="R999" s="86"/>
      <c r="S999" s="86"/>
      <c r="T999" s="62"/>
      <c r="U999" s="115"/>
      <c r="V999" s="115"/>
      <c r="W999" s="111"/>
      <c r="X999" s="62"/>
      <c r="Y999" s="62"/>
      <c r="Z999" s="65"/>
      <c r="AA999" s="86"/>
      <c r="AB999" s="115"/>
      <c r="AC999" s="115"/>
      <c r="AD999" s="86"/>
      <c r="AE999" s="86"/>
      <c r="AF999" s="62"/>
      <c r="AG999" s="115"/>
      <c r="AH999" s="115"/>
      <c r="AI999" s="111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86"/>
      <c r="C1000" s="86"/>
      <c r="D1000" s="79"/>
      <c r="E1000" s="80"/>
      <c r="F1000" s="81"/>
      <c r="G1000" s="81"/>
      <c r="H1000" s="62"/>
      <c r="I1000" s="85"/>
      <c r="J1000" s="85"/>
      <c r="K1000" s="111"/>
      <c r="L1000" s="62"/>
      <c r="M1000" s="62"/>
      <c r="N1000" s="86"/>
      <c r="O1000" s="86"/>
      <c r="P1000" s="79"/>
      <c r="Q1000" s="81"/>
      <c r="R1000" s="81"/>
      <c r="S1000" s="81"/>
      <c r="T1000" s="62"/>
      <c r="U1000" s="85"/>
      <c r="V1000" s="85"/>
      <c r="W1000" s="111"/>
      <c r="X1000" s="62"/>
      <c r="Y1000" s="62"/>
      <c r="Z1000" s="86"/>
      <c r="AA1000" s="86"/>
      <c r="AB1000" s="79"/>
      <c r="AC1000" s="81"/>
      <c r="AD1000" s="81"/>
      <c r="AE1000" s="81"/>
      <c r="AF1000" s="62"/>
      <c r="AG1000" s="85"/>
      <c r="AH1000" s="85"/>
      <c r="AI1000" s="11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4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65"/>
      <c r="AB1004" s="60"/>
      <c r="AC1004" s="60"/>
      <c r="AD1004" s="60"/>
      <c r="AE1004" s="60"/>
      <c r="AF1004" s="61"/>
      <c r="AG1004" s="62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2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2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2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2"/>
      <c r="AC1009" s="60"/>
      <c r="AD1009" s="60"/>
      <c r="AE1009" s="60"/>
      <c r="AF1009" s="61"/>
      <c r="AG1009" s="62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62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2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65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62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7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7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8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8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1"/>
      <c r="K1023" s="61"/>
      <c r="L1023" s="62"/>
      <c r="M1023" s="62"/>
      <c r="N1023" s="66"/>
      <c r="O1023" s="86"/>
      <c r="P1023" s="69"/>
      <c r="Q1023" s="86"/>
      <c r="R1023" s="62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62"/>
      <c r="AD1023" s="62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5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4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6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62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62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62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62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86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86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6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1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86"/>
      <c r="E1043" s="86"/>
      <c r="F1043" s="86"/>
      <c r="G1043" s="86"/>
      <c r="H1043" s="62"/>
      <c r="I1043" s="62"/>
      <c r="J1043" s="62"/>
      <c r="K1043" s="62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2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2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70"/>
      <c r="E1044" s="70"/>
      <c r="F1044" s="70"/>
      <c r="G1044" s="70"/>
      <c r="H1044" s="63"/>
      <c r="I1044" s="70"/>
      <c r="J1044" s="70"/>
      <c r="K1044" s="70"/>
      <c r="L1044" s="62"/>
      <c r="M1044" s="62"/>
      <c r="N1044" s="86"/>
      <c r="O1044" s="86"/>
      <c r="P1044" s="70"/>
      <c r="Q1044" s="70"/>
      <c r="R1044" s="70"/>
      <c r="S1044" s="70"/>
      <c r="T1044" s="63"/>
      <c r="U1044" s="71"/>
      <c r="V1044" s="71"/>
      <c r="W1044" s="71"/>
      <c r="X1044" s="62"/>
      <c r="Y1044" s="62"/>
      <c r="Z1044" s="86"/>
      <c r="AA1044" s="86"/>
      <c r="AB1044" s="70"/>
      <c r="AC1044" s="70"/>
      <c r="AD1044" s="70"/>
      <c r="AE1044" s="70"/>
      <c r="AF1044" s="63"/>
      <c r="AG1044" s="71"/>
      <c r="AH1044" s="71"/>
      <c r="AI1044" s="71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62"/>
      <c r="C1045" s="62"/>
      <c r="D1045" s="62"/>
      <c r="E1045" s="62"/>
      <c r="F1045" s="62"/>
      <c r="G1045" s="62"/>
      <c r="H1045" s="62"/>
      <c r="I1045" s="62"/>
      <c r="J1045" s="62"/>
      <c r="K1045" s="62"/>
      <c r="L1045" s="62"/>
      <c r="M1045" s="62"/>
      <c r="N1045" s="62"/>
      <c r="O1045" s="62"/>
      <c r="P1045" s="62"/>
      <c r="Q1045" s="62"/>
      <c r="R1045" s="62"/>
      <c r="S1045" s="62"/>
      <c r="T1045" s="62"/>
      <c r="U1045" s="62"/>
      <c r="V1045" s="62"/>
      <c r="W1045" s="62"/>
      <c r="X1045" s="62"/>
      <c r="Y1045" s="62"/>
      <c r="Z1045" s="62"/>
      <c r="AA1045" s="62"/>
      <c r="AB1045" s="62"/>
      <c r="AC1045" s="62"/>
      <c r="AD1045" s="62"/>
      <c r="AE1045" s="62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3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3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3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2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ht="15.75" x14ac:dyDescent="0.25">
      <c r="A1051" s="62"/>
      <c r="B1051" s="86"/>
      <c r="C1051" s="86"/>
      <c r="D1051" s="86"/>
      <c r="E1051" s="86"/>
      <c r="F1051" s="86"/>
      <c r="G1051" s="86"/>
      <c r="H1051" s="62"/>
      <c r="I1051" s="86"/>
      <c r="J1051" s="73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86"/>
      <c r="V1051" s="73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86"/>
      <c r="AH1051" s="86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4"/>
      <c r="B1052" s="86"/>
      <c r="C1052" s="86"/>
      <c r="D1052" s="86"/>
      <c r="E1052" s="86"/>
      <c r="F1052" s="86"/>
      <c r="G1052" s="86"/>
      <c r="H1052" s="62"/>
      <c r="I1052" s="65"/>
      <c r="J1052" s="65"/>
      <c r="K1052" s="62"/>
      <c r="L1052" s="62"/>
      <c r="M1052" s="64"/>
      <c r="N1052" s="86"/>
      <c r="O1052" s="86"/>
      <c r="P1052" s="86"/>
      <c r="Q1052" s="86"/>
      <c r="R1052" s="86"/>
      <c r="S1052" s="86"/>
      <c r="T1052" s="62"/>
      <c r="U1052" s="65"/>
      <c r="V1052" s="65"/>
      <c r="W1052" s="62"/>
      <c r="X1052" s="62"/>
      <c r="Y1052" s="64"/>
      <c r="Z1052" s="86"/>
      <c r="AA1052" s="86"/>
      <c r="AB1052" s="86"/>
      <c r="AC1052" s="86"/>
      <c r="AD1052" s="86"/>
      <c r="AE1052" s="86"/>
      <c r="AF1052" s="62"/>
      <c r="AG1052" s="65"/>
      <c r="AH1052" s="65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86"/>
      <c r="C1053" s="86"/>
      <c r="D1053" s="86"/>
      <c r="E1053" s="86"/>
      <c r="F1053" s="86"/>
      <c r="G1053" s="86"/>
      <c r="H1053" s="62"/>
      <c r="I1053" s="62"/>
      <c r="J1053" s="62"/>
      <c r="K1053" s="62"/>
      <c r="L1053" s="62"/>
      <c r="M1053" s="62"/>
      <c r="N1053" s="86"/>
      <c r="O1053" s="86"/>
      <c r="P1053" s="86"/>
      <c r="Q1053" s="86"/>
      <c r="R1053" s="86"/>
      <c r="S1053" s="86"/>
      <c r="T1053" s="62"/>
      <c r="U1053" s="62"/>
      <c r="V1053" s="62"/>
      <c r="W1053" s="62"/>
      <c r="X1053" s="62"/>
      <c r="Y1053" s="62"/>
      <c r="Z1053" s="86"/>
      <c r="AA1053" s="86"/>
      <c r="AB1053" s="86"/>
      <c r="AC1053" s="86"/>
      <c r="AD1053" s="86"/>
      <c r="AE1053" s="86"/>
      <c r="AF1053" s="62"/>
      <c r="AG1053" s="62"/>
      <c r="AH1053" s="62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65"/>
      <c r="C1054" s="86"/>
      <c r="D1054" s="115"/>
      <c r="E1054" s="115"/>
      <c r="F1054" s="86"/>
      <c r="G1054" s="86"/>
      <c r="H1054" s="62"/>
      <c r="I1054" s="115"/>
      <c r="J1054" s="115"/>
      <c r="K1054" s="111"/>
      <c r="L1054" s="62"/>
      <c r="M1054" s="62"/>
      <c r="N1054" s="65"/>
      <c r="O1054" s="86"/>
      <c r="P1054" s="115"/>
      <c r="Q1054" s="115"/>
      <c r="R1054" s="86"/>
      <c r="S1054" s="86"/>
      <c r="T1054" s="62"/>
      <c r="U1054" s="115"/>
      <c r="V1054" s="115"/>
      <c r="W1054" s="111"/>
      <c r="X1054" s="62"/>
      <c r="Y1054" s="62"/>
      <c r="Z1054" s="65"/>
      <c r="AA1054" s="86"/>
      <c r="AB1054" s="115"/>
      <c r="AC1054" s="115"/>
      <c r="AD1054" s="86"/>
      <c r="AE1054" s="86"/>
      <c r="AF1054" s="62"/>
      <c r="AG1054" s="115"/>
      <c r="AH1054" s="115"/>
      <c r="AI1054" s="111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86"/>
      <c r="C1055" s="86"/>
      <c r="D1055" s="79"/>
      <c r="E1055" s="80"/>
      <c r="F1055" s="81"/>
      <c r="G1055" s="81"/>
      <c r="H1055" s="62"/>
      <c r="I1055" s="85"/>
      <c r="J1055" s="85"/>
      <c r="K1055" s="111"/>
      <c r="L1055" s="62"/>
      <c r="M1055" s="62"/>
      <c r="N1055" s="86"/>
      <c r="O1055" s="86"/>
      <c r="P1055" s="79"/>
      <c r="Q1055" s="81"/>
      <c r="R1055" s="81"/>
      <c r="S1055" s="81"/>
      <c r="T1055" s="62"/>
      <c r="U1055" s="85"/>
      <c r="V1055" s="85"/>
      <c r="W1055" s="111"/>
      <c r="X1055" s="62"/>
      <c r="Y1055" s="62"/>
      <c r="Z1055" s="86"/>
      <c r="AA1055" s="86"/>
      <c r="AB1055" s="79"/>
      <c r="AC1055" s="81"/>
      <c r="AD1055" s="81"/>
      <c r="AE1055" s="81"/>
      <c r="AF1055" s="62"/>
      <c r="AG1055" s="85"/>
      <c r="AH1055" s="85"/>
      <c r="AI1055" s="11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4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2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2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2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65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2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2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2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5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65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7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62"/>
      <c r="AB1076" s="67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8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86"/>
      <c r="AB1077" s="68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1"/>
      <c r="K1078" s="61"/>
      <c r="L1078" s="62"/>
      <c r="M1078" s="62"/>
      <c r="N1078" s="66"/>
      <c r="O1078" s="86"/>
      <c r="P1078" s="69"/>
      <c r="Q1078" s="86"/>
      <c r="R1078" s="62"/>
      <c r="S1078" s="60"/>
      <c r="T1078" s="62"/>
      <c r="U1078" s="62"/>
      <c r="V1078" s="62"/>
      <c r="W1078" s="61"/>
      <c r="X1078" s="62"/>
      <c r="Y1078" s="62"/>
      <c r="Z1078" s="66"/>
      <c r="AA1078" s="62"/>
      <c r="AB1078" s="69"/>
      <c r="AC1078" s="86"/>
      <c r="AD1078" s="62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4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6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62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62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62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86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86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6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1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86"/>
      <c r="E1098" s="86"/>
      <c r="F1098" s="86"/>
      <c r="G1098" s="86"/>
      <c r="H1098" s="62"/>
      <c r="I1098" s="62"/>
      <c r="J1098" s="62"/>
      <c r="K1098" s="62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2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2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70"/>
      <c r="E1099" s="70"/>
      <c r="F1099" s="70"/>
      <c r="G1099" s="70"/>
      <c r="H1099" s="63"/>
      <c r="I1099" s="70"/>
      <c r="J1099" s="70"/>
      <c r="K1099" s="70"/>
      <c r="L1099" s="62"/>
      <c r="M1099" s="62"/>
      <c r="N1099" s="86"/>
      <c r="O1099" s="86"/>
      <c r="P1099" s="70"/>
      <c r="Q1099" s="70"/>
      <c r="R1099" s="70"/>
      <c r="S1099" s="70"/>
      <c r="T1099" s="63"/>
      <c r="U1099" s="71"/>
      <c r="V1099" s="71"/>
      <c r="W1099" s="71"/>
      <c r="X1099" s="62"/>
      <c r="Y1099" s="62"/>
      <c r="Z1099" s="86"/>
      <c r="AA1099" s="86"/>
      <c r="AB1099" s="70"/>
      <c r="AC1099" s="70"/>
      <c r="AD1099" s="70"/>
      <c r="AE1099" s="70"/>
      <c r="AF1099" s="63"/>
      <c r="AG1099" s="71"/>
      <c r="AH1099" s="71"/>
      <c r="AI1099" s="71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62"/>
      <c r="C1100" s="62"/>
      <c r="D1100" s="62"/>
      <c r="E1100" s="62"/>
      <c r="F1100" s="62"/>
      <c r="G1100" s="62"/>
      <c r="H1100" s="62"/>
      <c r="I1100" s="62"/>
      <c r="J1100" s="62"/>
      <c r="K1100" s="62"/>
      <c r="L1100" s="62"/>
      <c r="M1100" s="62"/>
      <c r="N1100" s="62"/>
      <c r="O1100" s="62"/>
      <c r="P1100" s="62"/>
      <c r="Q1100" s="62"/>
      <c r="R1100" s="62"/>
      <c r="S1100" s="62"/>
      <c r="T1100" s="62"/>
      <c r="U1100" s="62"/>
      <c r="V1100" s="62"/>
      <c r="W1100" s="62"/>
      <c r="X1100" s="62"/>
      <c r="Y1100" s="62"/>
      <c r="Z1100" s="62"/>
      <c r="AA1100" s="62"/>
      <c r="AB1100" s="62"/>
      <c r="AC1100" s="62"/>
      <c r="AD1100" s="62"/>
      <c r="AE1100" s="62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3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3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3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2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ht="15.75" x14ac:dyDescent="0.25">
      <c r="A1106" s="62"/>
      <c r="B1106" s="86"/>
      <c r="C1106" s="86"/>
      <c r="D1106" s="86"/>
      <c r="E1106" s="86"/>
      <c r="F1106" s="86"/>
      <c r="G1106" s="86"/>
      <c r="H1106" s="62"/>
      <c r="I1106" s="86"/>
      <c r="J1106" s="73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86"/>
      <c r="V1106" s="73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86"/>
      <c r="AH1106" s="86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4"/>
      <c r="B1107" s="86"/>
      <c r="C1107" s="86"/>
      <c r="D1107" s="86"/>
      <c r="E1107" s="86"/>
      <c r="F1107" s="86"/>
      <c r="G1107" s="86"/>
      <c r="H1107" s="62"/>
      <c r="I1107" s="65"/>
      <c r="J1107" s="65"/>
      <c r="K1107" s="62"/>
      <c r="L1107" s="62"/>
      <c r="M1107" s="64"/>
      <c r="N1107" s="86"/>
      <c r="O1107" s="86"/>
      <c r="P1107" s="86"/>
      <c r="Q1107" s="86"/>
      <c r="R1107" s="86"/>
      <c r="S1107" s="86"/>
      <c r="T1107" s="62"/>
      <c r="U1107" s="65"/>
      <c r="V1107" s="65"/>
      <c r="W1107" s="62"/>
      <c r="X1107" s="62"/>
      <c r="Y1107" s="64"/>
      <c r="Z1107" s="86"/>
      <c r="AA1107" s="86"/>
      <c r="AB1107" s="86"/>
      <c r="AC1107" s="86"/>
      <c r="AD1107" s="86"/>
      <c r="AE1107" s="86"/>
      <c r="AF1107" s="62"/>
      <c r="AG1107" s="65"/>
      <c r="AH1107" s="65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86"/>
      <c r="C1108" s="86"/>
      <c r="D1108" s="86"/>
      <c r="E1108" s="86"/>
      <c r="F1108" s="86"/>
      <c r="G1108" s="86"/>
      <c r="H1108" s="62"/>
      <c r="I1108" s="62"/>
      <c r="J1108" s="62"/>
      <c r="K1108" s="62"/>
      <c r="L1108" s="62"/>
      <c r="M1108" s="62"/>
      <c r="N1108" s="86"/>
      <c r="O1108" s="86"/>
      <c r="P1108" s="86"/>
      <c r="Q1108" s="86"/>
      <c r="R1108" s="86"/>
      <c r="S1108" s="86"/>
      <c r="T1108" s="62"/>
      <c r="U1108" s="62"/>
      <c r="V1108" s="62"/>
      <c r="W1108" s="62"/>
      <c r="X1108" s="62"/>
      <c r="Y1108" s="62"/>
      <c r="Z1108" s="86"/>
      <c r="AA1108" s="86"/>
      <c r="AB1108" s="86"/>
      <c r="AC1108" s="86"/>
      <c r="AD1108" s="86"/>
      <c r="AE1108" s="86"/>
      <c r="AF1108" s="62"/>
      <c r="AG1108" s="62"/>
      <c r="AH1108" s="62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65"/>
      <c r="C1109" s="86"/>
      <c r="D1109" s="115"/>
      <c r="E1109" s="115"/>
      <c r="F1109" s="86"/>
      <c r="G1109" s="86"/>
      <c r="H1109" s="62"/>
      <c r="I1109" s="115"/>
      <c r="J1109" s="115"/>
      <c r="K1109" s="111"/>
      <c r="L1109" s="62"/>
      <c r="M1109" s="62"/>
      <c r="N1109" s="65"/>
      <c r="O1109" s="86"/>
      <c r="P1109" s="115"/>
      <c r="Q1109" s="115"/>
      <c r="R1109" s="86"/>
      <c r="S1109" s="86"/>
      <c r="T1109" s="62"/>
      <c r="U1109" s="115"/>
      <c r="V1109" s="115"/>
      <c r="W1109" s="111"/>
      <c r="X1109" s="62"/>
      <c r="Y1109" s="62"/>
      <c r="Z1109" s="65"/>
      <c r="AA1109" s="86"/>
      <c r="AB1109" s="115"/>
      <c r="AC1109" s="115"/>
      <c r="AD1109" s="86"/>
      <c r="AE1109" s="86"/>
      <c r="AF1109" s="62"/>
      <c r="AG1109" s="115"/>
      <c r="AH1109" s="115"/>
      <c r="AI1109" s="111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86"/>
      <c r="C1110" s="86"/>
      <c r="D1110" s="79"/>
      <c r="E1110" s="80"/>
      <c r="F1110" s="81"/>
      <c r="G1110" s="81"/>
      <c r="H1110" s="62"/>
      <c r="I1110" s="85"/>
      <c r="J1110" s="85"/>
      <c r="K1110" s="111"/>
      <c r="L1110" s="62"/>
      <c r="M1110" s="62"/>
      <c r="N1110" s="86"/>
      <c r="O1110" s="86"/>
      <c r="P1110" s="79"/>
      <c r="Q1110" s="81"/>
      <c r="R1110" s="81"/>
      <c r="S1110" s="81"/>
      <c r="T1110" s="62"/>
      <c r="U1110" s="85"/>
      <c r="V1110" s="85"/>
      <c r="W1110" s="111"/>
      <c r="X1110" s="62"/>
      <c r="Y1110" s="62"/>
      <c r="Z1110" s="86"/>
      <c r="AA1110" s="86"/>
      <c r="AB1110" s="79"/>
      <c r="AC1110" s="81"/>
      <c r="AD1110" s="81"/>
      <c r="AE1110" s="81"/>
      <c r="AF1110" s="62"/>
      <c r="AG1110" s="85"/>
      <c r="AH1110" s="85"/>
      <c r="AI1110" s="11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4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65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2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1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2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2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0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62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2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2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65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2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7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62"/>
      <c r="AB1131" s="67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8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86"/>
      <c r="AB1132" s="68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1"/>
      <c r="K1133" s="61"/>
      <c r="L1133" s="62"/>
      <c r="M1133" s="62"/>
      <c r="N1133" s="66"/>
      <c r="O1133" s="86"/>
      <c r="P1133" s="69"/>
      <c r="Q1133" s="86"/>
      <c r="R1133" s="62"/>
      <c r="S1133" s="60"/>
      <c r="T1133" s="62"/>
      <c r="U1133" s="62"/>
      <c r="V1133" s="62"/>
      <c r="W1133" s="61"/>
      <c r="X1133" s="62"/>
      <c r="Y1133" s="62"/>
      <c r="Z1133" s="66"/>
      <c r="AA1133" s="62"/>
      <c r="AB1133" s="69"/>
      <c r="AC1133" s="86"/>
      <c r="AD1133" s="62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6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62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62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62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86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86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6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1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86"/>
      <c r="E1153" s="86"/>
      <c r="F1153" s="86"/>
      <c r="G1153" s="86"/>
      <c r="H1153" s="62"/>
      <c r="I1153" s="62"/>
      <c r="J1153" s="62"/>
      <c r="K1153" s="62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2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2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70"/>
      <c r="E1154" s="70"/>
      <c r="F1154" s="70"/>
      <c r="G1154" s="70"/>
      <c r="H1154" s="63"/>
      <c r="I1154" s="70"/>
      <c r="J1154" s="70"/>
      <c r="K1154" s="70"/>
      <c r="L1154" s="62"/>
      <c r="M1154" s="62"/>
      <c r="N1154" s="86"/>
      <c r="O1154" s="86"/>
      <c r="P1154" s="70"/>
      <c r="Q1154" s="70"/>
      <c r="R1154" s="70"/>
      <c r="S1154" s="70"/>
      <c r="T1154" s="63"/>
      <c r="U1154" s="71"/>
      <c r="V1154" s="71"/>
      <c r="W1154" s="71"/>
      <c r="X1154" s="62"/>
      <c r="Y1154" s="62"/>
      <c r="Z1154" s="86"/>
      <c r="AA1154" s="86"/>
      <c r="AB1154" s="70"/>
      <c r="AC1154" s="70"/>
      <c r="AD1154" s="70"/>
      <c r="AE1154" s="70"/>
      <c r="AF1154" s="63"/>
      <c r="AG1154" s="71"/>
      <c r="AH1154" s="71"/>
      <c r="AI1154" s="71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62"/>
      <c r="C1155" s="62"/>
      <c r="D1155" s="62"/>
      <c r="E1155" s="62"/>
      <c r="F1155" s="62"/>
      <c r="G1155" s="62"/>
      <c r="H1155" s="62"/>
      <c r="I1155" s="62"/>
      <c r="J1155" s="62"/>
      <c r="K1155" s="62"/>
      <c r="L1155" s="62"/>
      <c r="M1155" s="62"/>
      <c r="N1155" s="62"/>
      <c r="O1155" s="62"/>
      <c r="P1155" s="62"/>
      <c r="Q1155" s="62"/>
      <c r="R1155" s="62"/>
      <c r="S1155" s="62"/>
      <c r="T1155" s="62"/>
      <c r="U1155" s="62"/>
      <c r="V1155" s="62"/>
      <c r="W1155" s="62"/>
      <c r="X1155" s="62"/>
      <c r="Y1155" s="62"/>
      <c r="Z1155" s="62"/>
      <c r="AA1155" s="62"/>
      <c r="AB1155" s="62"/>
      <c r="AC1155" s="62"/>
      <c r="AD1155" s="62"/>
      <c r="AE1155" s="62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3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3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3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2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ht="15.75" x14ac:dyDescent="0.25">
      <c r="A1161" s="62"/>
      <c r="B1161" s="86"/>
      <c r="C1161" s="86"/>
      <c r="D1161" s="86"/>
      <c r="E1161" s="86"/>
      <c r="F1161" s="86"/>
      <c r="G1161" s="86"/>
      <c r="H1161" s="62"/>
      <c r="I1161" s="86"/>
      <c r="J1161" s="73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86"/>
      <c r="V1161" s="73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86"/>
      <c r="AH1161" s="86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4"/>
      <c r="B1162" s="86"/>
      <c r="C1162" s="86"/>
      <c r="D1162" s="86"/>
      <c r="E1162" s="86"/>
      <c r="F1162" s="86"/>
      <c r="G1162" s="86"/>
      <c r="H1162" s="62"/>
      <c r="I1162" s="65"/>
      <c r="J1162" s="65"/>
      <c r="K1162" s="62"/>
      <c r="L1162" s="62"/>
      <c r="M1162" s="64"/>
      <c r="N1162" s="86"/>
      <c r="O1162" s="86"/>
      <c r="P1162" s="86"/>
      <c r="Q1162" s="86"/>
      <c r="R1162" s="86"/>
      <c r="S1162" s="86"/>
      <c r="T1162" s="62"/>
      <c r="U1162" s="65"/>
      <c r="V1162" s="65"/>
      <c r="W1162" s="62"/>
      <c r="X1162" s="62"/>
      <c r="Y1162" s="64"/>
      <c r="Z1162" s="86"/>
      <c r="AA1162" s="86"/>
      <c r="AB1162" s="86"/>
      <c r="AC1162" s="86"/>
      <c r="AD1162" s="86"/>
      <c r="AE1162" s="86"/>
      <c r="AF1162" s="62"/>
      <c r="AG1162" s="65"/>
      <c r="AH1162" s="65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86"/>
      <c r="C1163" s="86"/>
      <c r="D1163" s="86"/>
      <c r="E1163" s="86"/>
      <c r="F1163" s="86"/>
      <c r="G1163" s="86"/>
      <c r="H1163" s="62"/>
      <c r="I1163" s="62"/>
      <c r="J1163" s="62"/>
      <c r="K1163" s="62"/>
      <c r="L1163" s="62"/>
      <c r="M1163" s="62"/>
      <c r="N1163" s="86"/>
      <c r="O1163" s="86"/>
      <c r="P1163" s="86"/>
      <c r="Q1163" s="86"/>
      <c r="R1163" s="86"/>
      <c r="S1163" s="86"/>
      <c r="T1163" s="62"/>
      <c r="U1163" s="62"/>
      <c r="V1163" s="62"/>
      <c r="W1163" s="62"/>
      <c r="X1163" s="62"/>
      <c r="Y1163" s="62"/>
      <c r="Z1163" s="86"/>
      <c r="AA1163" s="86"/>
      <c r="AB1163" s="86"/>
      <c r="AC1163" s="86"/>
      <c r="AD1163" s="86"/>
      <c r="AE1163" s="86"/>
      <c r="AF1163" s="62"/>
      <c r="AG1163" s="62"/>
      <c r="AH1163" s="62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65"/>
      <c r="C1164" s="86"/>
      <c r="D1164" s="115"/>
      <c r="E1164" s="115"/>
      <c r="F1164" s="86"/>
      <c r="G1164" s="86"/>
      <c r="H1164" s="62"/>
      <c r="I1164" s="115"/>
      <c r="J1164" s="115"/>
      <c r="K1164" s="111"/>
      <c r="L1164" s="62"/>
      <c r="M1164" s="62"/>
      <c r="N1164" s="65"/>
      <c r="O1164" s="86"/>
      <c r="P1164" s="115"/>
      <c r="Q1164" s="115"/>
      <c r="R1164" s="86"/>
      <c r="S1164" s="86"/>
      <c r="T1164" s="62"/>
      <c r="U1164" s="115"/>
      <c r="V1164" s="115"/>
      <c r="W1164" s="111"/>
      <c r="X1164" s="62"/>
      <c r="Y1164" s="62"/>
      <c r="Z1164" s="65"/>
      <c r="AA1164" s="86"/>
      <c r="AB1164" s="115"/>
      <c r="AC1164" s="115"/>
      <c r="AD1164" s="86"/>
      <c r="AE1164" s="86"/>
      <c r="AF1164" s="62"/>
      <c r="AG1164" s="115"/>
      <c r="AH1164" s="115"/>
      <c r="AI1164" s="111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86"/>
      <c r="C1165" s="86"/>
      <c r="D1165" s="79"/>
      <c r="E1165" s="80"/>
      <c r="F1165" s="81"/>
      <c r="G1165" s="81"/>
      <c r="H1165" s="62"/>
      <c r="I1165" s="85"/>
      <c r="J1165" s="85"/>
      <c r="K1165" s="111"/>
      <c r="L1165" s="62"/>
      <c r="M1165" s="62"/>
      <c r="N1165" s="86"/>
      <c r="O1165" s="86"/>
      <c r="P1165" s="79"/>
      <c r="Q1165" s="81"/>
      <c r="R1165" s="81"/>
      <c r="S1165" s="81"/>
      <c r="T1165" s="62"/>
      <c r="U1165" s="85"/>
      <c r="V1165" s="85"/>
      <c r="W1165" s="111"/>
      <c r="X1165" s="62"/>
      <c r="Y1165" s="62"/>
      <c r="Z1165" s="86"/>
      <c r="AA1165" s="86"/>
      <c r="AB1165" s="79"/>
      <c r="AC1165" s="81"/>
      <c r="AD1165" s="81"/>
      <c r="AE1165" s="81"/>
      <c r="AF1165" s="62"/>
      <c r="AG1165" s="85"/>
      <c r="AH1165" s="85"/>
      <c r="AI1165" s="11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2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65"/>
      <c r="P1171" s="60"/>
      <c r="Q1171" s="60"/>
      <c r="R1171" s="60"/>
      <c r="S1171" s="60"/>
      <c r="T1171" s="61"/>
      <c r="U1171" s="61"/>
      <c r="V1171" s="62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2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65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2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82"/>
      <c r="AC1174" s="60"/>
      <c r="AD1174" s="60"/>
      <c r="AE1174" s="60"/>
      <c r="AF1174" s="61"/>
      <c r="AG1174" s="62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62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5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2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2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62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62"/>
      <c r="P1186" s="67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7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86"/>
      <c r="P1187" s="68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8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1"/>
      <c r="K1188" s="61"/>
      <c r="L1188" s="62"/>
      <c r="M1188" s="62"/>
      <c r="N1188" s="66"/>
      <c r="O1188" s="86"/>
      <c r="P1188" s="69"/>
      <c r="Q1188" s="86"/>
      <c r="R1188" s="62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62"/>
      <c r="AD1188" s="62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62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62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62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62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62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86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86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6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1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86"/>
      <c r="E1208" s="86"/>
      <c r="F1208" s="86"/>
      <c r="G1208" s="86"/>
      <c r="H1208" s="62"/>
      <c r="I1208" s="62"/>
      <c r="J1208" s="62"/>
      <c r="K1208" s="62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2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2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70"/>
      <c r="E1209" s="70"/>
      <c r="F1209" s="70"/>
      <c r="G1209" s="70"/>
      <c r="H1209" s="63"/>
      <c r="I1209" s="70"/>
      <c r="J1209" s="70"/>
      <c r="K1209" s="70"/>
      <c r="L1209" s="62"/>
      <c r="M1209" s="62"/>
      <c r="N1209" s="86"/>
      <c r="O1209" s="86"/>
      <c r="P1209" s="70"/>
      <c r="Q1209" s="70"/>
      <c r="R1209" s="70"/>
      <c r="S1209" s="70"/>
      <c r="T1209" s="63"/>
      <c r="U1209" s="71"/>
      <c r="V1209" s="71"/>
      <c r="W1209" s="71"/>
      <c r="X1209" s="62"/>
      <c r="Y1209" s="62"/>
      <c r="Z1209" s="86"/>
      <c r="AA1209" s="86"/>
      <c r="AB1209" s="70"/>
      <c r="AC1209" s="70"/>
      <c r="AD1209" s="70"/>
      <c r="AE1209" s="70"/>
      <c r="AF1209" s="63"/>
      <c r="AG1209" s="71"/>
      <c r="AH1209" s="71"/>
      <c r="AI1209" s="71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3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3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3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2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ht="15.75" x14ac:dyDescent="0.25">
      <c r="A1217" s="62"/>
      <c r="B1217" s="86"/>
      <c r="C1217" s="86"/>
      <c r="D1217" s="86"/>
      <c r="E1217" s="86"/>
      <c r="F1217" s="86"/>
      <c r="G1217" s="86"/>
      <c r="H1217" s="62"/>
      <c r="I1217" s="86"/>
      <c r="J1217" s="73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86"/>
      <c r="V1217" s="73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86"/>
      <c r="AH1217" s="86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4"/>
      <c r="B1218" s="86"/>
      <c r="C1218" s="86"/>
      <c r="D1218" s="86"/>
      <c r="E1218" s="86"/>
      <c r="F1218" s="86"/>
      <c r="G1218" s="86"/>
      <c r="H1218" s="62"/>
      <c r="I1218" s="65"/>
      <c r="J1218" s="65"/>
      <c r="K1218" s="62"/>
      <c r="L1218" s="62"/>
      <c r="M1218" s="64"/>
      <c r="N1218" s="86"/>
      <c r="O1218" s="86"/>
      <c r="P1218" s="86"/>
      <c r="Q1218" s="86"/>
      <c r="R1218" s="86"/>
      <c r="S1218" s="86"/>
      <c r="T1218" s="62"/>
      <c r="U1218" s="65"/>
      <c r="V1218" s="65"/>
      <c r="W1218" s="62"/>
      <c r="X1218" s="62"/>
      <c r="Y1218" s="64"/>
      <c r="Z1218" s="86"/>
      <c r="AA1218" s="86"/>
      <c r="AB1218" s="86"/>
      <c r="AC1218" s="86"/>
      <c r="AD1218" s="86"/>
      <c r="AE1218" s="86"/>
      <c r="AF1218" s="62"/>
      <c r="AG1218" s="65"/>
      <c r="AH1218" s="65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86"/>
      <c r="C1219" s="86"/>
      <c r="D1219" s="86"/>
      <c r="E1219" s="86"/>
      <c r="F1219" s="86"/>
      <c r="G1219" s="86"/>
      <c r="H1219" s="62"/>
      <c r="I1219" s="62"/>
      <c r="J1219" s="62"/>
      <c r="K1219" s="62"/>
      <c r="L1219" s="62"/>
      <c r="M1219" s="62"/>
      <c r="N1219" s="86"/>
      <c r="O1219" s="86"/>
      <c r="P1219" s="86"/>
      <c r="Q1219" s="86"/>
      <c r="R1219" s="86"/>
      <c r="S1219" s="86"/>
      <c r="T1219" s="62"/>
      <c r="U1219" s="62"/>
      <c r="V1219" s="62"/>
      <c r="W1219" s="62"/>
      <c r="X1219" s="62"/>
      <c r="Y1219" s="62"/>
      <c r="Z1219" s="86"/>
      <c r="AA1219" s="86"/>
      <c r="AB1219" s="86"/>
      <c r="AC1219" s="86"/>
      <c r="AD1219" s="86"/>
      <c r="AE1219" s="86"/>
      <c r="AF1219" s="62"/>
      <c r="AG1219" s="62"/>
      <c r="AH1219" s="62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65"/>
      <c r="C1220" s="86"/>
      <c r="D1220" s="115"/>
      <c r="E1220" s="115"/>
      <c r="F1220" s="86"/>
      <c r="G1220" s="86"/>
      <c r="H1220" s="62"/>
      <c r="I1220" s="115"/>
      <c r="J1220" s="115"/>
      <c r="K1220" s="111"/>
      <c r="L1220" s="62"/>
      <c r="M1220" s="62"/>
      <c r="N1220" s="65"/>
      <c r="O1220" s="86"/>
      <c r="P1220" s="115"/>
      <c r="Q1220" s="115"/>
      <c r="R1220" s="86"/>
      <c r="S1220" s="86"/>
      <c r="T1220" s="62"/>
      <c r="U1220" s="115"/>
      <c r="V1220" s="115"/>
      <c r="W1220" s="111"/>
      <c r="X1220" s="62"/>
      <c r="Y1220" s="62"/>
      <c r="Z1220" s="65"/>
      <c r="AA1220" s="86"/>
      <c r="AB1220" s="115"/>
      <c r="AC1220" s="115"/>
      <c r="AD1220" s="86"/>
      <c r="AE1220" s="86"/>
      <c r="AF1220" s="62"/>
      <c r="AG1220" s="115"/>
      <c r="AH1220" s="115"/>
      <c r="AI1220" s="111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86"/>
      <c r="C1221" s="86"/>
      <c r="D1221" s="79"/>
      <c r="E1221" s="80"/>
      <c r="F1221" s="81"/>
      <c r="G1221" s="81"/>
      <c r="H1221" s="62"/>
      <c r="I1221" s="85"/>
      <c r="J1221" s="85"/>
      <c r="K1221" s="111"/>
      <c r="L1221" s="62"/>
      <c r="M1221" s="62"/>
      <c r="N1221" s="86"/>
      <c r="O1221" s="86"/>
      <c r="P1221" s="79"/>
      <c r="Q1221" s="81"/>
      <c r="R1221" s="81"/>
      <c r="S1221" s="81"/>
      <c r="T1221" s="62"/>
      <c r="U1221" s="85"/>
      <c r="V1221" s="85"/>
      <c r="W1221" s="111"/>
      <c r="X1221" s="62"/>
      <c r="Y1221" s="62"/>
      <c r="Z1221" s="86"/>
      <c r="AA1221" s="86"/>
      <c r="AB1221" s="79"/>
      <c r="AC1221" s="80"/>
      <c r="AD1221" s="81"/>
      <c r="AE1221" s="81"/>
      <c r="AF1221" s="62"/>
      <c r="AG1221" s="85"/>
      <c r="AH1221" s="85"/>
      <c r="AI1221" s="11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5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2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2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65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2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2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7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62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65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8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1"/>
      <c r="K1244" s="61"/>
      <c r="L1244" s="62"/>
      <c r="M1244" s="62"/>
      <c r="N1244" s="66"/>
      <c r="O1244" s="62"/>
      <c r="P1244" s="69"/>
      <c r="Q1244" s="62"/>
      <c r="R1244" s="62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1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62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62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65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62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86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6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1"/>
      <c r="X1271" s="62"/>
      <c r="Y1271" s="62"/>
      <c r="Z1271" s="66"/>
      <c r="AA1271" s="6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86"/>
      <c r="E1272" s="86"/>
      <c r="F1272" s="86"/>
      <c r="G1272" s="86"/>
      <c r="H1272" s="62"/>
      <c r="I1272" s="62"/>
      <c r="J1272" s="62"/>
      <c r="K1272" s="62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2"/>
      <c r="X1272" s="62"/>
      <c r="Y1272" s="62"/>
      <c r="Z1272" s="86"/>
      <c r="AA1272" s="86"/>
      <c r="AB1272" s="86"/>
      <c r="AC1272" s="86"/>
      <c r="AD1272" s="86"/>
      <c r="AE1272" s="86"/>
      <c r="AF1272" s="62"/>
      <c r="AG1272" s="62"/>
      <c r="AH1272" s="62"/>
      <c r="AI1272" s="62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70"/>
      <c r="E1273" s="70"/>
      <c r="F1273" s="70"/>
      <c r="G1273" s="70"/>
      <c r="H1273" s="63"/>
      <c r="I1273" s="70"/>
      <c r="J1273" s="70"/>
      <c r="K1273" s="70"/>
      <c r="L1273" s="62"/>
      <c r="M1273" s="62"/>
      <c r="N1273" s="86"/>
      <c r="O1273" s="86"/>
      <c r="P1273" s="70"/>
      <c r="Q1273" s="70"/>
      <c r="R1273" s="70"/>
      <c r="S1273" s="70"/>
      <c r="T1273" s="63"/>
      <c r="U1273" s="71"/>
      <c r="V1273" s="71"/>
      <c r="W1273" s="71"/>
      <c r="X1273" s="62"/>
      <c r="Y1273" s="62"/>
      <c r="Z1273" s="86"/>
      <c r="AA1273" s="86"/>
      <c r="AB1273" s="70"/>
      <c r="AC1273" s="70"/>
      <c r="AD1273" s="70"/>
      <c r="AE1273" s="70"/>
      <c r="AF1273" s="63"/>
      <c r="AG1273" s="70"/>
      <c r="AH1273" s="70"/>
      <c r="AI1273" s="70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62"/>
      <c r="C1274" s="62"/>
      <c r="D1274" s="62"/>
      <c r="E1274" s="62"/>
      <c r="F1274" s="62"/>
      <c r="G1274" s="62"/>
      <c r="H1274" s="62"/>
      <c r="I1274" s="62"/>
      <c r="J1274" s="62"/>
      <c r="K1274" s="62"/>
      <c r="L1274" s="62"/>
      <c r="M1274" s="62"/>
      <c r="N1274" s="62"/>
      <c r="O1274" s="62"/>
      <c r="P1274" s="62"/>
      <c r="Q1274" s="62"/>
      <c r="R1274" s="62"/>
      <c r="S1274" s="62"/>
      <c r="T1274" s="62"/>
      <c r="U1274" s="62"/>
      <c r="V1274" s="62"/>
      <c r="W1274" s="62"/>
      <c r="X1274" s="62"/>
      <c r="Y1274" s="62"/>
      <c r="Z1274" s="62"/>
      <c r="AA1274" s="62"/>
      <c r="AB1274" s="62"/>
      <c r="AC1274" s="62"/>
      <c r="AD1274" s="62"/>
      <c r="AE1274" s="62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3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3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3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2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ht="15.75" x14ac:dyDescent="0.25">
      <c r="A1279" s="62"/>
      <c r="B1279" s="86"/>
      <c r="C1279" s="86"/>
      <c r="D1279" s="86"/>
      <c r="E1279" s="86"/>
      <c r="F1279" s="86"/>
      <c r="G1279" s="86"/>
      <c r="H1279" s="62"/>
      <c r="I1279" s="86"/>
      <c r="J1279" s="73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86"/>
      <c r="V1279" s="73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86"/>
      <c r="AH1279" s="86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4"/>
      <c r="B1280" s="86"/>
      <c r="C1280" s="86"/>
      <c r="D1280" s="86"/>
      <c r="E1280" s="86"/>
      <c r="F1280" s="86"/>
      <c r="G1280" s="86"/>
      <c r="H1280" s="62"/>
      <c r="I1280" s="65"/>
      <c r="J1280" s="65"/>
      <c r="K1280" s="62"/>
      <c r="L1280" s="62"/>
      <c r="M1280" s="64"/>
      <c r="N1280" s="86"/>
      <c r="O1280" s="86"/>
      <c r="P1280" s="86"/>
      <c r="Q1280" s="86"/>
      <c r="R1280" s="86"/>
      <c r="S1280" s="86"/>
      <c r="T1280" s="62"/>
      <c r="U1280" s="65"/>
      <c r="V1280" s="65"/>
      <c r="W1280" s="62"/>
      <c r="X1280" s="62"/>
      <c r="Y1280" s="64"/>
      <c r="Z1280" s="86"/>
      <c r="AA1280" s="86"/>
      <c r="AB1280" s="86"/>
      <c r="AC1280" s="86"/>
      <c r="AD1280" s="86"/>
      <c r="AE1280" s="86"/>
      <c r="AF1280" s="62"/>
      <c r="AG1280" s="65"/>
      <c r="AH1280" s="65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86"/>
      <c r="C1281" s="86"/>
      <c r="D1281" s="86"/>
      <c r="E1281" s="86"/>
      <c r="F1281" s="86"/>
      <c r="G1281" s="86"/>
      <c r="H1281" s="62"/>
      <c r="I1281" s="62"/>
      <c r="J1281" s="62"/>
      <c r="K1281" s="62"/>
      <c r="L1281" s="62"/>
      <c r="M1281" s="62"/>
      <c r="N1281" s="86"/>
      <c r="O1281" s="86"/>
      <c r="P1281" s="86"/>
      <c r="Q1281" s="86"/>
      <c r="R1281" s="86"/>
      <c r="S1281" s="86"/>
      <c r="T1281" s="62"/>
      <c r="U1281" s="62"/>
      <c r="V1281" s="62"/>
      <c r="W1281" s="62"/>
      <c r="X1281" s="62"/>
      <c r="Y1281" s="62"/>
      <c r="Z1281" s="86"/>
      <c r="AA1281" s="86"/>
      <c r="AB1281" s="86"/>
      <c r="AC1281" s="86"/>
      <c r="AD1281" s="86"/>
      <c r="AE1281" s="86"/>
      <c r="AF1281" s="62"/>
      <c r="AG1281" s="62"/>
      <c r="AH1281" s="62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65"/>
      <c r="C1282" s="86"/>
      <c r="D1282" s="115"/>
      <c r="E1282" s="115"/>
      <c r="F1282" s="86"/>
      <c r="G1282" s="86"/>
      <c r="H1282" s="62"/>
      <c r="I1282" s="115"/>
      <c r="J1282" s="115"/>
      <c r="K1282" s="111"/>
      <c r="L1282" s="62"/>
      <c r="M1282" s="62"/>
      <c r="N1282" s="65"/>
      <c r="O1282" s="86"/>
      <c r="P1282" s="115"/>
      <c r="Q1282" s="115"/>
      <c r="R1282" s="86"/>
      <c r="S1282" s="86"/>
      <c r="T1282" s="62"/>
      <c r="U1282" s="115"/>
      <c r="V1282" s="115"/>
      <c r="W1282" s="111"/>
      <c r="X1282" s="62"/>
      <c r="Y1282" s="62"/>
      <c r="Z1282" s="65"/>
      <c r="AA1282" s="86"/>
      <c r="AB1282" s="115"/>
      <c r="AC1282" s="115"/>
      <c r="AD1282" s="86"/>
      <c r="AE1282" s="86"/>
      <c r="AF1282" s="62"/>
      <c r="AG1282" s="115"/>
      <c r="AH1282" s="115"/>
      <c r="AI1282" s="111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86"/>
      <c r="C1283" s="86"/>
      <c r="D1283" s="86"/>
      <c r="E1283" s="85"/>
      <c r="F1283" s="85"/>
      <c r="G1283" s="85"/>
      <c r="H1283" s="62"/>
      <c r="I1283" s="85"/>
      <c r="J1283" s="85"/>
      <c r="K1283" s="111"/>
      <c r="L1283" s="62"/>
      <c r="M1283" s="62"/>
      <c r="N1283" s="86"/>
      <c r="O1283" s="86"/>
      <c r="P1283" s="86"/>
      <c r="Q1283" s="85"/>
      <c r="R1283" s="85"/>
      <c r="S1283" s="85"/>
      <c r="T1283" s="62"/>
      <c r="U1283" s="85"/>
      <c r="V1283" s="85"/>
      <c r="W1283" s="111"/>
      <c r="X1283" s="62"/>
      <c r="Y1283" s="62"/>
      <c r="Z1283" s="86"/>
      <c r="AA1283" s="86"/>
      <c r="AB1283" s="86"/>
      <c r="AC1283" s="85"/>
      <c r="AD1283" s="85"/>
      <c r="AE1283" s="85"/>
      <c r="AF1283" s="62"/>
      <c r="AG1283" s="85"/>
      <c r="AH1283" s="85"/>
      <c r="AI1283" s="11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2"/>
      <c r="AC1287" s="60"/>
      <c r="AD1287" s="60"/>
      <c r="AE1287" s="60"/>
      <c r="AF1287" s="61"/>
      <c r="AG1287" s="62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2"/>
      <c r="Q1289" s="60"/>
      <c r="R1289" s="60"/>
      <c r="S1289" s="60"/>
      <c r="T1289" s="61"/>
      <c r="U1289" s="61"/>
      <c r="V1289" s="62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2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2"/>
      <c r="AD1291" s="62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2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2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86"/>
      <c r="E1294" s="60"/>
      <c r="F1294" s="60"/>
      <c r="G1294" s="60"/>
      <c r="H1294" s="61"/>
      <c r="I1294" s="61"/>
      <c r="J1294" s="61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1"/>
      <c r="J1295" s="62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2"/>
      <c r="J1296" s="61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65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86"/>
      <c r="F1297" s="86"/>
      <c r="G1297" s="60"/>
      <c r="H1297" s="61"/>
      <c r="I1297" s="61"/>
      <c r="J1297" s="62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65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86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7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62"/>
      <c r="AB1304" s="67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8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8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1"/>
      <c r="K1306" s="61"/>
      <c r="L1306" s="62"/>
      <c r="M1306" s="62"/>
      <c r="N1306" s="66"/>
      <c r="O1306" s="65"/>
      <c r="P1306" s="69"/>
      <c r="Q1306" s="62"/>
      <c r="R1306" s="62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62"/>
      <c r="AD1306" s="62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62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62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62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62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86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86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6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1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86"/>
      <c r="E1326" s="86"/>
      <c r="F1326" s="86"/>
      <c r="G1326" s="86"/>
      <c r="H1326" s="62"/>
      <c r="I1326" s="62"/>
      <c r="J1326" s="62"/>
      <c r="K1326" s="62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2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2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70"/>
      <c r="E1327" s="70"/>
      <c r="F1327" s="70"/>
      <c r="G1327" s="70"/>
      <c r="H1327" s="63"/>
      <c r="I1327" s="70"/>
      <c r="J1327" s="70"/>
      <c r="K1327" s="70"/>
      <c r="L1327" s="62"/>
      <c r="M1327" s="62"/>
      <c r="N1327" s="86"/>
      <c r="O1327" s="86"/>
      <c r="P1327" s="70"/>
      <c r="Q1327" s="70"/>
      <c r="R1327" s="70"/>
      <c r="S1327" s="70"/>
      <c r="T1327" s="63"/>
      <c r="U1327" s="71"/>
      <c r="V1327" s="71"/>
      <c r="W1327" s="71"/>
      <c r="X1327" s="62"/>
      <c r="Y1327" s="62"/>
      <c r="Z1327" s="86"/>
      <c r="AA1327" s="86"/>
      <c r="AB1327" s="70"/>
      <c r="AC1327" s="70"/>
      <c r="AD1327" s="70"/>
      <c r="AE1327" s="74"/>
      <c r="AF1327" s="63"/>
      <c r="AG1327" s="71"/>
      <c r="AH1327" s="71"/>
      <c r="AI1327" s="71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62"/>
      <c r="C1328" s="62"/>
      <c r="D1328" s="62"/>
      <c r="E1328" s="62"/>
      <c r="F1328" s="62"/>
      <c r="G1328" s="62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</sheetData>
  <mergeCells count="225">
    <mergeCell ref="AI889:AI890"/>
    <mergeCell ref="AG889:AH889"/>
    <mergeCell ref="AB889:AC889"/>
    <mergeCell ref="AI944:AI945"/>
    <mergeCell ref="AB834:AC834"/>
    <mergeCell ref="AG834:AH834"/>
    <mergeCell ref="K944:K945"/>
    <mergeCell ref="I944:J944"/>
    <mergeCell ref="W944:W945"/>
    <mergeCell ref="AG944:AH944"/>
    <mergeCell ref="AB944:AC944"/>
    <mergeCell ref="W834:W835"/>
    <mergeCell ref="U834:V834"/>
    <mergeCell ref="P834:Q834"/>
    <mergeCell ref="K889:K890"/>
    <mergeCell ref="I889:J889"/>
    <mergeCell ref="W889:W890"/>
    <mergeCell ref="U889:V889"/>
    <mergeCell ref="P889:Q889"/>
    <mergeCell ref="K834:K835"/>
    <mergeCell ref="AI834:AI835"/>
    <mergeCell ref="AU944:AU945"/>
    <mergeCell ref="AS944:AT944"/>
    <mergeCell ref="AN944:AO944"/>
    <mergeCell ref="W1054:W1055"/>
    <mergeCell ref="U1054:V1054"/>
    <mergeCell ref="P1054:Q1054"/>
    <mergeCell ref="AI1054:AI1055"/>
    <mergeCell ref="AG1054:AH1054"/>
    <mergeCell ref="AB1054:AC1054"/>
    <mergeCell ref="W999:W1000"/>
    <mergeCell ref="U999:V999"/>
    <mergeCell ref="P999:Q999"/>
    <mergeCell ref="D889:E889"/>
    <mergeCell ref="D724:E724"/>
    <mergeCell ref="I669:J669"/>
    <mergeCell ref="K724:K725"/>
    <mergeCell ref="I724:J724"/>
    <mergeCell ref="AG669:AH669"/>
    <mergeCell ref="AB669:AC669"/>
    <mergeCell ref="K669:K670"/>
    <mergeCell ref="D669:E669"/>
    <mergeCell ref="W669:W670"/>
    <mergeCell ref="U669:V669"/>
    <mergeCell ref="AB780:AC780"/>
    <mergeCell ref="AG780:AH780"/>
    <mergeCell ref="U724:V724"/>
    <mergeCell ref="P724:Q724"/>
    <mergeCell ref="AB724:AC724"/>
    <mergeCell ref="AG724:AH724"/>
    <mergeCell ref="D834:E834"/>
    <mergeCell ref="I834:J834"/>
    <mergeCell ref="K615:K616"/>
    <mergeCell ref="I615:J615"/>
    <mergeCell ref="D615:E615"/>
    <mergeCell ref="AI450:AI451"/>
    <mergeCell ref="AG450:AH450"/>
    <mergeCell ref="AB450:AC450"/>
    <mergeCell ref="D505:E50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AI780:AI78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450:K451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2:K1283"/>
    <mergeCell ref="I1282:J1282"/>
    <mergeCell ref="D1282:E1282"/>
    <mergeCell ref="W1282:W1283"/>
    <mergeCell ref="U1282:V1282"/>
    <mergeCell ref="P1282:Q1282"/>
    <mergeCell ref="U120:V120"/>
    <mergeCell ref="U340:V340"/>
    <mergeCell ref="U944:V944"/>
    <mergeCell ref="D1109:E1109"/>
    <mergeCell ref="W1109:W1110"/>
    <mergeCell ref="U1109:V1109"/>
    <mergeCell ref="P1109:Q1109"/>
    <mergeCell ref="K1220:K1221"/>
    <mergeCell ref="I1220:J1220"/>
    <mergeCell ref="D1220:E1220"/>
    <mergeCell ref="K1164:K1165"/>
    <mergeCell ref="I1164:J1164"/>
    <mergeCell ref="D1164:E1164"/>
    <mergeCell ref="K1109:K1110"/>
    <mergeCell ref="I1109:J1109"/>
    <mergeCell ref="K1054:K1055"/>
    <mergeCell ref="I1054:J1054"/>
    <mergeCell ref="D1054:E1054"/>
    <mergeCell ref="AI1282:AI1283"/>
    <mergeCell ref="AG1282:AH1282"/>
    <mergeCell ref="AB1282:AC1282"/>
    <mergeCell ref="AI999:AI1000"/>
    <mergeCell ref="AG999:AH999"/>
    <mergeCell ref="AB999:AC999"/>
    <mergeCell ref="W1220:W1221"/>
    <mergeCell ref="U1220:V1220"/>
    <mergeCell ref="P1220:Q1220"/>
    <mergeCell ref="AI1220:AI1221"/>
    <mergeCell ref="AG1220:AH1220"/>
    <mergeCell ref="AB1220:AC1220"/>
    <mergeCell ref="W1164:W1165"/>
    <mergeCell ref="U1164:V1164"/>
    <mergeCell ref="P1164:Q1164"/>
    <mergeCell ref="AI1164:AI1165"/>
    <mergeCell ref="AG1164:AH1164"/>
    <mergeCell ref="AB1164:AC1164"/>
    <mergeCell ref="AI1109:AI1110"/>
    <mergeCell ref="AG1109:AH1109"/>
    <mergeCell ref="AB1109:AC1109"/>
    <mergeCell ref="K999:K1000"/>
    <mergeCell ref="I999:J999"/>
    <mergeCell ref="D999:E999"/>
    <mergeCell ref="P944:Q944"/>
    <mergeCell ref="D944:E944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D175:E175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AI669:AI670"/>
    <mergeCell ref="W724:W725"/>
    <mergeCell ref="AG340:AH340"/>
    <mergeCell ref="AB340:AC340"/>
    <mergeCell ref="AB395:AC395"/>
    <mergeCell ref="AG504:AH504"/>
    <mergeCell ref="AB504:AC504"/>
    <mergeCell ref="P340:Q340"/>
    <mergeCell ref="W395:W396"/>
    <mergeCell ref="U395:V395"/>
    <mergeCell ref="P395:Q395"/>
    <mergeCell ref="U450:V450"/>
    <mergeCell ref="P450:Q450"/>
    <mergeCell ref="AI724:AI725"/>
    <mergeCell ref="P669:Q669"/>
    <mergeCell ref="W505:W506"/>
    <mergeCell ref="P560:Q560"/>
    <mergeCell ref="U560:V560"/>
    <mergeCell ref="W560:W561"/>
    <mergeCell ref="AB560:AC560"/>
    <mergeCell ref="AG560:AH560"/>
    <mergeCell ref="AI560:AI561"/>
    <mergeCell ref="AI504:AI50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JUNE</vt:lpstr>
      <vt:lpstr>DSIS | JUNE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2026-06-17T00:45:00Z</dcterms:modified>
</cp:coreProperties>
</file>