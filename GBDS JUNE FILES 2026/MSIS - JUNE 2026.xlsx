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8FE4690-9924-495D-9BCA-1CBE6879BC2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177" i="2" l="1"/>
  <c r="AH1210" i="2" s="1"/>
  <c r="AB1177" i="2"/>
  <c r="AB1176" i="2"/>
  <c r="AB1175" i="2"/>
  <c r="AB1174" i="2"/>
  <c r="AE1174" i="2" s="1"/>
  <c r="AI1174" i="2" s="1"/>
  <c r="AB1173" i="2"/>
  <c r="AE1173" i="2" s="1"/>
  <c r="AI1173" i="2" s="1"/>
  <c r="AB1172" i="2"/>
  <c r="AG1171" i="2"/>
  <c r="AG1210" i="2" s="1"/>
  <c r="AC1171" i="2"/>
  <c r="AB1171" i="2"/>
  <c r="AE1171" i="2" s="1"/>
  <c r="AB1170" i="2"/>
  <c r="AE1170" i="2" s="1"/>
  <c r="AI1170" i="2" s="1"/>
  <c r="AH1169" i="2"/>
  <c r="AB1169" i="2"/>
  <c r="AE1169" i="2"/>
  <c r="AI1169" i="2" s="1"/>
  <c r="AB1168" i="2"/>
  <c r="AC1167" i="2"/>
  <c r="AB1167" i="2"/>
  <c r="AA1175" i="2"/>
  <c r="AA1176" i="2" s="1"/>
  <c r="AA1177" i="2" s="1"/>
  <c r="AA1170" i="2"/>
  <c r="AA1171" i="2"/>
  <c r="AA1172" i="2"/>
  <c r="AA1173" i="2"/>
  <c r="AA1174" i="2"/>
  <c r="AD1210" i="2"/>
  <c r="AI1208" i="2"/>
  <c r="AE1207" i="2"/>
  <c r="AI1207" i="2" s="1"/>
  <c r="AI1206" i="2"/>
  <c r="AE1205" i="2"/>
  <c r="AI1205" i="2" s="1"/>
  <c r="AI1204" i="2"/>
  <c r="AE1204" i="2"/>
  <c r="AI1203" i="2"/>
  <c r="AE1203" i="2"/>
  <c r="AE1202" i="2"/>
  <c r="AI1202" i="2" s="1"/>
  <c r="AE1201" i="2"/>
  <c r="AI1201" i="2" s="1"/>
  <c r="AE1200" i="2"/>
  <c r="AI1200" i="2" s="1"/>
  <c r="AE1199" i="2"/>
  <c r="AI1199" i="2" s="1"/>
  <c r="AE1198" i="2"/>
  <c r="AI1198" i="2" s="1"/>
  <c r="AE1197" i="2"/>
  <c r="AI1197" i="2" s="1"/>
  <c r="AI1196" i="2"/>
  <c r="AE1196" i="2"/>
  <c r="AI1195" i="2"/>
  <c r="AE1195" i="2"/>
  <c r="AE1194" i="2"/>
  <c r="AI1194" i="2" s="1"/>
  <c r="AE1193" i="2"/>
  <c r="AI1193" i="2" s="1"/>
  <c r="AE1192" i="2"/>
  <c r="AI1192" i="2" s="1"/>
  <c r="AE1191" i="2"/>
  <c r="AI1191" i="2" s="1"/>
  <c r="AE1190" i="2"/>
  <c r="AI1190" i="2" s="1"/>
  <c r="AE1189" i="2"/>
  <c r="AI1189" i="2" s="1"/>
  <c r="AI1188" i="2"/>
  <c r="AE1188" i="2"/>
  <c r="AI1187" i="2"/>
  <c r="AE1187" i="2"/>
  <c r="AE1186" i="2"/>
  <c r="AI1186" i="2" s="1"/>
  <c r="AE1185" i="2"/>
  <c r="AI1185" i="2" s="1"/>
  <c r="AE1184" i="2"/>
  <c r="AI1184" i="2" s="1"/>
  <c r="AE1183" i="2"/>
  <c r="AI1183" i="2" s="1"/>
  <c r="AE1182" i="2"/>
  <c r="AI1182" i="2" s="1"/>
  <c r="AE1181" i="2"/>
  <c r="AI1181" i="2" s="1"/>
  <c r="AI1180" i="2"/>
  <c r="AE1180" i="2"/>
  <c r="AI1179" i="2"/>
  <c r="AE1179" i="2"/>
  <c r="AE1178" i="2"/>
  <c r="AI1178" i="2" s="1"/>
  <c r="AE1177" i="2"/>
  <c r="AE1176" i="2"/>
  <c r="AI1176" i="2" s="1"/>
  <c r="AE1175" i="2"/>
  <c r="AI1175" i="2" s="1"/>
  <c r="AE1172" i="2"/>
  <c r="AI1172" i="2" s="1"/>
  <c r="AA1168" i="2"/>
  <c r="AA1169" i="2" s="1"/>
  <c r="AE1167" i="2"/>
  <c r="AI1167" i="2" s="1"/>
  <c r="AC1210" i="2"/>
  <c r="U1174" i="2"/>
  <c r="P1174" i="2"/>
  <c r="S1174" i="2" s="1"/>
  <c r="W1174" i="2" s="1"/>
  <c r="U1173" i="2"/>
  <c r="P1173" i="2"/>
  <c r="S1173" i="2" s="1"/>
  <c r="W1173" i="2" s="1"/>
  <c r="U1172" i="2"/>
  <c r="P1172" i="2"/>
  <c r="V1171" i="2"/>
  <c r="U1171" i="2"/>
  <c r="Q1171" i="2"/>
  <c r="Q1210" i="2" s="1"/>
  <c r="P1171" i="2"/>
  <c r="V1170" i="2"/>
  <c r="P1170" i="2"/>
  <c r="S1170" i="2" s="1"/>
  <c r="U1169" i="2"/>
  <c r="P1169" i="2"/>
  <c r="S1169" i="2" s="1"/>
  <c r="V1168" i="2"/>
  <c r="P1168" i="2"/>
  <c r="P1167" i="2"/>
  <c r="R1210" i="2"/>
  <c r="W1208" i="2"/>
  <c r="W1207" i="2"/>
  <c r="S1207" i="2"/>
  <c r="W1206" i="2"/>
  <c r="S1205" i="2"/>
  <c r="W1205" i="2" s="1"/>
  <c r="W1204" i="2"/>
  <c r="S1204" i="2"/>
  <c r="S1203" i="2"/>
  <c r="W1203" i="2" s="1"/>
  <c r="S1202" i="2"/>
  <c r="W1202" i="2" s="1"/>
  <c r="W1201" i="2"/>
  <c r="S1201" i="2"/>
  <c r="S1200" i="2"/>
  <c r="W1200" i="2" s="1"/>
  <c r="W1199" i="2"/>
  <c r="S1199" i="2"/>
  <c r="S1198" i="2"/>
  <c r="W1198" i="2" s="1"/>
  <c r="S1197" i="2"/>
  <c r="W1197" i="2" s="1"/>
  <c r="W1196" i="2"/>
  <c r="S1196" i="2"/>
  <c r="S1195" i="2"/>
  <c r="W1195" i="2" s="1"/>
  <c r="S1194" i="2"/>
  <c r="W1194" i="2" s="1"/>
  <c r="W1193" i="2"/>
  <c r="S1193" i="2"/>
  <c r="S1192" i="2"/>
  <c r="W1192" i="2" s="1"/>
  <c r="W1191" i="2"/>
  <c r="S1191" i="2"/>
  <c r="S1190" i="2"/>
  <c r="W1190" i="2" s="1"/>
  <c r="S1189" i="2"/>
  <c r="W1189" i="2" s="1"/>
  <c r="W1188" i="2"/>
  <c r="S1188" i="2"/>
  <c r="S1187" i="2"/>
  <c r="W1187" i="2" s="1"/>
  <c r="S1186" i="2"/>
  <c r="W1186" i="2" s="1"/>
  <c r="W1185" i="2"/>
  <c r="S1185" i="2"/>
  <c r="S1184" i="2"/>
  <c r="W1184" i="2" s="1"/>
  <c r="W1183" i="2"/>
  <c r="S1183" i="2"/>
  <c r="S1182" i="2"/>
  <c r="W1182" i="2" s="1"/>
  <c r="S1181" i="2"/>
  <c r="W1181" i="2" s="1"/>
  <c r="W1180" i="2"/>
  <c r="S1180" i="2"/>
  <c r="S1179" i="2"/>
  <c r="W1179" i="2" s="1"/>
  <c r="S1178" i="2"/>
  <c r="W1178" i="2" s="1"/>
  <c r="W1177" i="2"/>
  <c r="S1177" i="2"/>
  <c r="S1176" i="2"/>
  <c r="W1176" i="2" s="1"/>
  <c r="W1175" i="2"/>
  <c r="S1175" i="2"/>
  <c r="S1172" i="2"/>
  <c r="O1168" i="2"/>
  <c r="O1169" i="2" s="1"/>
  <c r="O1170" i="2" s="1"/>
  <c r="O1171" i="2" s="1"/>
  <c r="O1172" i="2" s="1"/>
  <c r="O1173" i="2" s="1"/>
  <c r="O1174" i="2" s="1"/>
  <c r="J1170" i="2"/>
  <c r="J1210" i="2" s="1"/>
  <c r="I1170" i="2"/>
  <c r="I1210" i="2" s="1"/>
  <c r="E1170" i="2"/>
  <c r="D1170" i="2"/>
  <c r="G1170" i="2" s="1"/>
  <c r="D1169" i="2"/>
  <c r="G1169" i="2" s="1"/>
  <c r="K1169" i="2" s="1"/>
  <c r="D1168" i="2"/>
  <c r="D1167" i="2"/>
  <c r="C1170" i="2"/>
  <c r="F1210" i="2"/>
  <c r="K1207" i="2"/>
  <c r="G1207" i="2"/>
  <c r="G1200" i="2"/>
  <c r="K1200" i="2" s="1"/>
  <c r="G1199" i="2"/>
  <c r="K1199" i="2" s="1"/>
  <c r="K1198" i="2"/>
  <c r="G1198" i="2"/>
  <c r="K1197" i="2"/>
  <c r="G1197" i="2"/>
  <c r="G1196" i="2"/>
  <c r="K1196" i="2" s="1"/>
  <c r="G1195" i="2"/>
  <c r="K1195" i="2" s="1"/>
  <c r="G1194" i="2"/>
  <c r="K1194" i="2" s="1"/>
  <c r="K1193" i="2"/>
  <c r="G1193" i="2"/>
  <c r="G1192" i="2"/>
  <c r="K1192" i="2" s="1"/>
  <c r="G1191" i="2"/>
  <c r="K1191" i="2" s="1"/>
  <c r="G1190" i="2"/>
  <c r="K1190" i="2" s="1"/>
  <c r="K1189" i="2"/>
  <c r="G1189" i="2"/>
  <c r="G1188" i="2"/>
  <c r="K1188" i="2" s="1"/>
  <c r="G1187" i="2"/>
  <c r="K1187" i="2" s="1"/>
  <c r="G1186" i="2"/>
  <c r="K1186" i="2" s="1"/>
  <c r="K1185" i="2"/>
  <c r="G1185" i="2"/>
  <c r="G1184" i="2"/>
  <c r="K1184" i="2" s="1"/>
  <c r="G1183" i="2"/>
  <c r="K1183" i="2" s="1"/>
  <c r="G1182" i="2"/>
  <c r="K1182" i="2" s="1"/>
  <c r="K1181" i="2"/>
  <c r="G1181" i="2"/>
  <c r="G1180" i="2"/>
  <c r="K1180" i="2" s="1"/>
  <c r="G1179" i="2"/>
  <c r="K1179" i="2" s="1"/>
  <c r="G1178" i="2"/>
  <c r="K1178" i="2" s="1"/>
  <c r="K1177" i="2"/>
  <c r="G1177" i="2"/>
  <c r="G1176" i="2"/>
  <c r="K1176" i="2" s="1"/>
  <c r="G1175" i="2"/>
  <c r="K1175" i="2" s="1"/>
  <c r="G1174" i="2"/>
  <c r="K1174" i="2" s="1"/>
  <c r="K1173" i="2"/>
  <c r="G1173" i="2"/>
  <c r="G1172" i="2"/>
  <c r="K1172" i="2" s="1"/>
  <c r="G1171" i="2"/>
  <c r="K1171" i="2" s="1"/>
  <c r="E1210" i="2"/>
  <c r="G1168" i="2"/>
  <c r="K1168" i="2" s="1"/>
  <c r="C1168" i="2"/>
  <c r="C1169" i="2" s="1"/>
  <c r="G1167" i="2"/>
  <c r="AI1177" i="2" l="1"/>
  <c r="AI1210" i="2" s="1"/>
  <c r="AI1171" i="2"/>
  <c r="AB1210" i="2"/>
  <c r="AE1168" i="2"/>
  <c r="AI1168" i="2" s="1"/>
  <c r="AE1210" i="2"/>
  <c r="U1210" i="2"/>
  <c r="W1172" i="2"/>
  <c r="V1210" i="2"/>
  <c r="S1171" i="2"/>
  <c r="W1171" i="2" s="1"/>
  <c r="W1170" i="2"/>
  <c r="W1169" i="2"/>
  <c r="P1210" i="2"/>
  <c r="S1168" i="2"/>
  <c r="W1168" i="2" s="1"/>
  <c r="S1167" i="2"/>
  <c r="K1170" i="2"/>
  <c r="K1167" i="2"/>
  <c r="G1210" i="2"/>
  <c r="D1210" i="2"/>
  <c r="AE1155" i="2"/>
  <c r="AH1114" i="2"/>
  <c r="AB1114" i="2"/>
  <c r="AE1114" i="2" s="1"/>
  <c r="AI1114" i="2" s="1"/>
  <c r="AC1113" i="2"/>
  <c r="AC1155" i="2" s="1"/>
  <c r="AB1113" i="2"/>
  <c r="AE1113" i="2" s="1"/>
  <c r="AI1113" i="2" s="1"/>
  <c r="AG1112" i="2"/>
  <c r="AC1112" i="2"/>
  <c r="AB1112" i="2"/>
  <c r="AH1155" i="2"/>
  <c r="AG1155" i="2"/>
  <c r="AD1155" i="2"/>
  <c r="AI1153" i="2"/>
  <c r="AE1152" i="2"/>
  <c r="AI1152" i="2" s="1"/>
  <c r="AI1151" i="2"/>
  <c r="AI1150" i="2"/>
  <c r="AE1150" i="2"/>
  <c r="AE1149" i="2"/>
  <c r="AI1149" i="2" s="1"/>
  <c r="AE1148" i="2"/>
  <c r="AI1148" i="2" s="1"/>
  <c r="AE1147" i="2"/>
  <c r="AI1147" i="2" s="1"/>
  <c r="AE1146" i="2"/>
  <c r="AI1146" i="2" s="1"/>
  <c r="AE1145" i="2"/>
  <c r="AI1145" i="2" s="1"/>
  <c r="AE1144" i="2"/>
  <c r="AI1144" i="2" s="1"/>
  <c r="AE1143" i="2"/>
  <c r="AI1143" i="2" s="1"/>
  <c r="AI1142" i="2"/>
  <c r="AE1142" i="2"/>
  <c r="AE1141" i="2"/>
  <c r="AI1141" i="2" s="1"/>
  <c r="AE1140" i="2"/>
  <c r="AI1140" i="2" s="1"/>
  <c r="AI1139" i="2"/>
  <c r="AE1139" i="2"/>
  <c r="AI1138" i="2"/>
  <c r="AE1138" i="2"/>
  <c r="AE1137" i="2"/>
  <c r="AI1137" i="2" s="1"/>
  <c r="AE1136" i="2"/>
  <c r="AI1136" i="2" s="1"/>
  <c r="AE1135" i="2"/>
  <c r="AI1135" i="2" s="1"/>
  <c r="AI1134" i="2"/>
  <c r="AE1134" i="2"/>
  <c r="AE1133" i="2"/>
  <c r="AI1133" i="2" s="1"/>
  <c r="AE1132" i="2"/>
  <c r="AI1132" i="2" s="1"/>
  <c r="AE1131" i="2"/>
  <c r="AI1131" i="2" s="1"/>
  <c r="AI1130" i="2"/>
  <c r="AE1130" i="2"/>
  <c r="AI1129" i="2"/>
  <c r="AE1129" i="2"/>
  <c r="AE1128" i="2"/>
  <c r="AI1128" i="2" s="1"/>
  <c r="AE1127" i="2"/>
  <c r="AI1127" i="2" s="1"/>
  <c r="AI1126" i="2"/>
  <c r="AE1126" i="2"/>
  <c r="AE1125" i="2"/>
  <c r="AI1125" i="2" s="1"/>
  <c r="AE1124" i="2"/>
  <c r="AI1124" i="2" s="1"/>
  <c r="AE1123" i="2"/>
  <c r="AI1123" i="2" s="1"/>
  <c r="AI1122" i="2"/>
  <c r="AE1122" i="2"/>
  <c r="AI1121" i="2"/>
  <c r="AE1121" i="2"/>
  <c r="AE1120" i="2"/>
  <c r="AI1120" i="2" s="1"/>
  <c r="AE1119" i="2"/>
  <c r="AI1119" i="2" s="1"/>
  <c r="AI1118" i="2"/>
  <c r="AE1118" i="2"/>
  <c r="AE1117" i="2"/>
  <c r="AI1117" i="2" s="1"/>
  <c r="AE1116" i="2"/>
  <c r="AI1116" i="2" s="1"/>
  <c r="AE1115" i="2"/>
  <c r="AI1115" i="2" s="1"/>
  <c r="AA1113" i="2"/>
  <c r="AA1114" i="2" s="1"/>
  <c r="P1120" i="2"/>
  <c r="P1119" i="2"/>
  <c r="S1119" i="2" s="1"/>
  <c r="W1119" i="2" s="1"/>
  <c r="O1120" i="2"/>
  <c r="P1118" i="2"/>
  <c r="S1118" i="2" s="1"/>
  <c r="W1118" i="2" s="1"/>
  <c r="P1117" i="2"/>
  <c r="S1117" i="2" s="1"/>
  <c r="W1117" i="2" s="1"/>
  <c r="O1118" i="2"/>
  <c r="O1119" i="2" s="1"/>
  <c r="P1116" i="2"/>
  <c r="Q1115" i="2"/>
  <c r="Q1155" i="2" s="1"/>
  <c r="P1115" i="2"/>
  <c r="S1115" i="2" s="1"/>
  <c r="W1115" i="2" s="1"/>
  <c r="U1114" i="2"/>
  <c r="U1155" i="2" s="1"/>
  <c r="P1114" i="2"/>
  <c r="S1114" i="2" s="1"/>
  <c r="W1114" i="2" s="1"/>
  <c r="P1113" i="2"/>
  <c r="V1113" i="2"/>
  <c r="S1113" i="2"/>
  <c r="P1112" i="2"/>
  <c r="S1112" i="2" s="1"/>
  <c r="R1155" i="2"/>
  <c r="W1153" i="2"/>
  <c r="S1152" i="2"/>
  <c r="W1152" i="2" s="1"/>
  <c r="W1151" i="2"/>
  <c r="S1150" i="2"/>
  <c r="W1150" i="2" s="1"/>
  <c r="S1149" i="2"/>
  <c r="W1149" i="2" s="1"/>
  <c r="W1148" i="2"/>
  <c r="S1148" i="2"/>
  <c r="W1147" i="2"/>
  <c r="S1147" i="2"/>
  <c r="S1146" i="2"/>
  <c r="W1146" i="2" s="1"/>
  <c r="W1145" i="2"/>
  <c r="S1145" i="2"/>
  <c r="W1144" i="2"/>
  <c r="S1144" i="2"/>
  <c r="S1143" i="2"/>
  <c r="W1143" i="2" s="1"/>
  <c r="S1142" i="2"/>
  <c r="W1142" i="2" s="1"/>
  <c r="S1141" i="2"/>
  <c r="W1141" i="2" s="1"/>
  <c r="W1140" i="2"/>
  <c r="S1140" i="2"/>
  <c r="W1139" i="2"/>
  <c r="S1139" i="2"/>
  <c r="S1138" i="2"/>
  <c r="W1138" i="2" s="1"/>
  <c r="W1137" i="2"/>
  <c r="S1137" i="2"/>
  <c r="W1136" i="2"/>
  <c r="S1136" i="2"/>
  <c r="S1135" i="2"/>
  <c r="W1135" i="2" s="1"/>
  <c r="S1134" i="2"/>
  <c r="W1134" i="2" s="1"/>
  <c r="S1133" i="2"/>
  <c r="W1133" i="2" s="1"/>
  <c r="W1132" i="2"/>
  <c r="S1132" i="2"/>
  <c r="W1131" i="2"/>
  <c r="S1131" i="2"/>
  <c r="S1130" i="2"/>
  <c r="W1130" i="2" s="1"/>
  <c r="W1129" i="2"/>
  <c r="S1129" i="2"/>
  <c r="S1128" i="2"/>
  <c r="W1128" i="2" s="1"/>
  <c r="S1127" i="2"/>
  <c r="W1127" i="2" s="1"/>
  <c r="S1126" i="2"/>
  <c r="W1126" i="2" s="1"/>
  <c r="S1125" i="2"/>
  <c r="W1125" i="2" s="1"/>
  <c r="W1124" i="2"/>
  <c r="S1124" i="2"/>
  <c r="W1123" i="2"/>
  <c r="S1123" i="2"/>
  <c r="S1122" i="2"/>
  <c r="W1122" i="2" s="1"/>
  <c r="W1121" i="2"/>
  <c r="S1121" i="2"/>
  <c r="S1120" i="2"/>
  <c r="W1120" i="2" s="1"/>
  <c r="S1116" i="2"/>
  <c r="W1116" i="2" s="1"/>
  <c r="V1155" i="2"/>
  <c r="O1113" i="2"/>
  <c r="O1114" i="2" s="1"/>
  <c r="O1115" i="2" s="1"/>
  <c r="O1116" i="2" s="1"/>
  <c r="O1117" i="2" s="1"/>
  <c r="D1114" i="2"/>
  <c r="G1114" i="2" s="1"/>
  <c r="K1114" i="2" s="1"/>
  <c r="I1113" i="2"/>
  <c r="E1113" i="2"/>
  <c r="E1155" i="2" s="1"/>
  <c r="D1113" i="2"/>
  <c r="I1112" i="2"/>
  <c r="D1112" i="2"/>
  <c r="F1155" i="2"/>
  <c r="G1152" i="2"/>
  <c r="K1152" i="2" s="1"/>
  <c r="G1145" i="2"/>
  <c r="K1145" i="2" s="1"/>
  <c r="K1144" i="2"/>
  <c r="G1144" i="2"/>
  <c r="G1143" i="2"/>
  <c r="K1143" i="2" s="1"/>
  <c r="K1142" i="2"/>
  <c r="G1142" i="2"/>
  <c r="G1141" i="2"/>
  <c r="K1141" i="2" s="1"/>
  <c r="G1140" i="2"/>
  <c r="K1140" i="2" s="1"/>
  <c r="K1139" i="2"/>
  <c r="G1139" i="2"/>
  <c r="G1138" i="2"/>
  <c r="K1138" i="2" s="1"/>
  <c r="G1137" i="2"/>
  <c r="K1137" i="2" s="1"/>
  <c r="G1136" i="2"/>
  <c r="K1136" i="2" s="1"/>
  <c r="G1135" i="2"/>
  <c r="K1135" i="2" s="1"/>
  <c r="K1134" i="2"/>
  <c r="G1134" i="2"/>
  <c r="G1133" i="2"/>
  <c r="K1133" i="2" s="1"/>
  <c r="G1132" i="2"/>
  <c r="K1132" i="2" s="1"/>
  <c r="K1131" i="2"/>
  <c r="G1131" i="2"/>
  <c r="G1130" i="2"/>
  <c r="K1130" i="2" s="1"/>
  <c r="G1129" i="2"/>
  <c r="K1129" i="2" s="1"/>
  <c r="G1128" i="2"/>
  <c r="K1128" i="2" s="1"/>
  <c r="G1127" i="2"/>
  <c r="K1127" i="2" s="1"/>
  <c r="K1126" i="2"/>
  <c r="G1126" i="2"/>
  <c r="G1125" i="2"/>
  <c r="K1125" i="2" s="1"/>
  <c r="G1124" i="2"/>
  <c r="K1124" i="2" s="1"/>
  <c r="K1123" i="2"/>
  <c r="G1123" i="2"/>
  <c r="G1122" i="2"/>
  <c r="K1122" i="2" s="1"/>
  <c r="G1121" i="2"/>
  <c r="K1121" i="2" s="1"/>
  <c r="G1120" i="2"/>
  <c r="K1120" i="2" s="1"/>
  <c r="G1119" i="2"/>
  <c r="K1119" i="2" s="1"/>
  <c r="G1118" i="2"/>
  <c r="K1118" i="2" s="1"/>
  <c r="G1117" i="2"/>
  <c r="K1117" i="2" s="1"/>
  <c r="G1116" i="2"/>
  <c r="K1116" i="2" s="1"/>
  <c r="G1115" i="2"/>
  <c r="K1115" i="2" s="1"/>
  <c r="C1113" i="2"/>
  <c r="C1114" i="2" s="1"/>
  <c r="J1155" i="2"/>
  <c r="S1210" i="2" l="1"/>
  <c r="W1167" i="2"/>
  <c r="W1210" i="2" s="1"/>
  <c r="K1210" i="2"/>
  <c r="AB1155" i="2"/>
  <c r="AE1112" i="2"/>
  <c r="W1113" i="2"/>
  <c r="S1155" i="2"/>
  <c r="W1112" i="2"/>
  <c r="P1155" i="2"/>
  <c r="I1155" i="2"/>
  <c r="G1113" i="2"/>
  <c r="K1113" i="2" s="1"/>
  <c r="D1155" i="2"/>
  <c r="G1112" i="2"/>
  <c r="AB1057" i="2"/>
  <c r="AB1059" i="2"/>
  <c r="AB1058" i="2"/>
  <c r="AH1057" i="2"/>
  <c r="AI1112" i="2" l="1"/>
  <c r="AI1155" i="2" s="1"/>
  <c r="W1155" i="2"/>
  <c r="G1155" i="2"/>
  <c r="K1112" i="2"/>
  <c r="K1155" i="2" s="1"/>
  <c r="AH1100" i="2"/>
  <c r="AG1100" i="2"/>
  <c r="AB1100" i="2"/>
  <c r="AD1100" i="2"/>
  <c r="AC1100" i="2"/>
  <c r="AI1098" i="2"/>
  <c r="AE1097" i="2"/>
  <c r="AI1097" i="2" s="1"/>
  <c r="AI1096" i="2"/>
  <c r="AI1095" i="2"/>
  <c r="AE1095" i="2"/>
  <c r="AI1094" i="2"/>
  <c r="AE1094" i="2"/>
  <c r="AI1093" i="2"/>
  <c r="AE1093" i="2"/>
  <c r="AE1092" i="2"/>
  <c r="AI1092" i="2" s="1"/>
  <c r="AE1091" i="2"/>
  <c r="AI1091" i="2" s="1"/>
  <c r="AE1090" i="2"/>
  <c r="AI1090" i="2" s="1"/>
  <c r="AI1089" i="2"/>
  <c r="AE1089" i="2"/>
  <c r="AE1088" i="2"/>
  <c r="AI1088" i="2" s="1"/>
  <c r="AI1087" i="2"/>
  <c r="AE1087" i="2"/>
  <c r="AI1086" i="2"/>
  <c r="AE1086" i="2"/>
  <c r="AI1085" i="2"/>
  <c r="AE1085" i="2"/>
  <c r="AE1084" i="2"/>
  <c r="AI1084" i="2" s="1"/>
  <c r="AE1083" i="2"/>
  <c r="AI1083" i="2" s="1"/>
  <c r="AE1082" i="2"/>
  <c r="AI1082" i="2" s="1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E1075" i="2"/>
  <c r="AI1075" i="2" s="1"/>
  <c r="AE1074" i="2"/>
  <c r="AI1074" i="2" s="1"/>
  <c r="AI1073" i="2"/>
  <c r="AE1073" i="2"/>
  <c r="AE1072" i="2"/>
  <c r="AI1072" i="2" s="1"/>
  <c r="AI1071" i="2"/>
  <c r="AE1071" i="2"/>
  <c r="AI1070" i="2"/>
  <c r="AE1070" i="2"/>
  <c r="AI1069" i="2"/>
  <c r="AE1069" i="2"/>
  <c r="AE1068" i="2"/>
  <c r="AI1068" i="2" s="1"/>
  <c r="AE1067" i="2"/>
  <c r="AI1067" i="2" s="1"/>
  <c r="AE1066" i="2"/>
  <c r="AI1066" i="2" s="1"/>
  <c r="AI1065" i="2"/>
  <c r="AE1065" i="2"/>
  <c r="AE1064" i="2"/>
  <c r="AI1064" i="2" s="1"/>
  <c r="AE1063" i="2"/>
  <c r="AI1063" i="2" s="1"/>
  <c r="AE1062" i="2"/>
  <c r="AI1062" i="2" s="1"/>
  <c r="AE1061" i="2"/>
  <c r="AI1061" i="2" s="1"/>
  <c r="AE1060" i="2"/>
  <c r="AI1060" i="2" s="1"/>
  <c r="AE1059" i="2"/>
  <c r="AI1059" i="2" s="1"/>
  <c r="AE1058" i="2"/>
  <c r="AI1058" i="2" s="1"/>
  <c r="AA1058" i="2"/>
  <c r="AA1059" i="2" s="1"/>
  <c r="U1061" i="2"/>
  <c r="P1061" i="2"/>
  <c r="P1060" i="2"/>
  <c r="S1060" i="2" s="1"/>
  <c r="W1060" i="2" s="1"/>
  <c r="V1059" i="2"/>
  <c r="U1059" i="2"/>
  <c r="P1059" i="2"/>
  <c r="Q1059" i="2"/>
  <c r="Q1100" i="2" s="1"/>
  <c r="U1058" i="2"/>
  <c r="Q1058" i="2"/>
  <c r="P1058" i="2"/>
  <c r="S1058" i="2" s="1"/>
  <c r="W1058" i="2" s="1"/>
  <c r="V1057" i="2"/>
  <c r="P1057" i="2"/>
  <c r="S1057" i="2" s="1"/>
  <c r="R1100" i="2"/>
  <c r="W1098" i="2"/>
  <c r="S1097" i="2"/>
  <c r="W1097" i="2" s="1"/>
  <c r="W1096" i="2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S1075" i="2"/>
  <c r="W1075" i="2" s="1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S1066" i="2"/>
  <c r="W1066" i="2" s="1"/>
  <c r="S1065" i="2"/>
  <c r="W1065" i="2" s="1"/>
  <c r="S1063" i="2"/>
  <c r="W1063" i="2" s="1"/>
  <c r="S1062" i="2"/>
  <c r="W1062" i="2" s="1"/>
  <c r="S1061" i="2"/>
  <c r="W1061" i="2" s="1"/>
  <c r="O1058" i="2"/>
  <c r="O1059" i="2" s="1"/>
  <c r="O1060" i="2" s="1"/>
  <c r="O1061" i="2" s="1"/>
  <c r="AE1057" i="2" l="1"/>
  <c r="AE1100" i="2" s="1"/>
  <c r="U1100" i="2"/>
  <c r="S1064" i="2"/>
  <c r="W1064" i="2" s="1"/>
  <c r="V1100" i="2"/>
  <c r="P1100" i="2"/>
  <c r="W1057" i="2"/>
  <c r="S1059" i="2"/>
  <c r="W1059" i="2" s="1"/>
  <c r="V1009" i="2"/>
  <c r="U1009" i="2"/>
  <c r="P1009" i="2"/>
  <c r="Q1009" i="2"/>
  <c r="AI1057" i="2" l="1"/>
  <c r="AI1100" i="2" s="1"/>
  <c r="W1100" i="2"/>
  <c r="S1100" i="2"/>
  <c r="AB1009" i="2"/>
  <c r="AB1008" i="2"/>
  <c r="AB1007" i="2"/>
  <c r="AG1006" i="2"/>
  <c r="AC1006" i="2"/>
  <c r="AB1006" i="2"/>
  <c r="AE1006" i="2" s="1"/>
  <c r="AG1005" i="2"/>
  <c r="AB1005" i="2"/>
  <c r="AE1005" i="2"/>
  <c r="AG1004" i="2"/>
  <c r="AB1004" i="2"/>
  <c r="AB1003" i="2"/>
  <c r="AE1003" i="2" s="1"/>
  <c r="AI1003" i="2" s="1"/>
  <c r="AH1002" i="2"/>
  <c r="AH1045" i="2" s="1"/>
  <c r="AB1002" i="2"/>
  <c r="AE1002" i="2" s="1"/>
  <c r="AD1045" i="2"/>
  <c r="AI1043" i="2"/>
  <c r="AE1042" i="2"/>
  <c r="AI1042" i="2" s="1"/>
  <c r="AI1041" i="2"/>
  <c r="AE1040" i="2"/>
  <c r="AI1040" i="2" s="1"/>
  <c r="AE1039" i="2"/>
  <c r="AI1039" i="2" s="1"/>
  <c r="AE1038" i="2"/>
  <c r="AI1038" i="2" s="1"/>
  <c r="AE1037" i="2"/>
  <c r="AI1037" i="2" s="1"/>
  <c r="AE1036" i="2"/>
  <c r="AI1036" i="2" s="1"/>
  <c r="AE1035" i="2"/>
  <c r="AI1035" i="2" s="1"/>
  <c r="AE1034" i="2"/>
  <c r="AI1034" i="2" s="1"/>
  <c r="AE1033" i="2"/>
  <c r="AI1033" i="2" s="1"/>
  <c r="AE1032" i="2"/>
  <c r="AI1032" i="2" s="1"/>
  <c r="AI1031" i="2"/>
  <c r="AE1031" i="2"/>
  <c r="AE1030" i="2"/>
  <c r="AI1030" i="2" s="1"/>
  <c r="AE1029" i="2"/>
  <c r="AI1029" i="2" s="1"/>
  <c r="AE1028" i="2"/>
  <c r="AI1028" i="2" s="1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E1021" i="2"/>
  <c r="AI1021" i="2" s="1"/>
  <c r="AE1020" i="2"/>
  <c r="AI1020" i="2" s="1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E1013" i="2"/>
  <c r="AI1013" i="2" s="1"/>
  <c r="AE1012" i="2"/>
  <c r="AI1012" i="2" s="1"/>
  <c r="AE1011" i="2"/>
  <c r="AI1011" i="2" s="1"/>
  <c r="AE1010" i="2"/>
  <c r="AI1010" i="2" s="1"/>
  <c r="AE1009" i="2"/>
  <c r="AI1009" i="2" s="1"/>
  <c r="AE1008" i="2"/>
  <c r="AI1008" i="2" s="1"/>
  <c r="AE1007" i="2"/>
  <c r="AI1007" i="2" s="1"/>
  <c r="AE1004" i="2"/>
  <c r="AC1045" i="2"/>
  <c r="AA1003" i="2"/>
  <c r="AA1004" i="2" s="1"/>
  <c r="AA1005" i="2" s="1"/>
  <c r="AA1006" i="2" s="1"/>
  <c r="AA1007" i="2" s="1"/>
  <c r="AA1008" i="2" s="1"/>
  <c r="AA1009" i="2" s="1"/>
  <c r="U1008" i="2"/>
  <c r="P1008" i="2"/>
  <c r="P1007" i="2"/>
  <c r="S1007" i="2" s="1"/>
  <c r="W1007" i="2" s="1"/>
  <c r="U1006" i="2"/>
  <c r="P1006" i="2"/>
  <c r="S1006" i="2" s="1"/>
  <c r="W1006" i="2" s="1"/>
  <c r="V1005" i="2"/>
  <c r="V1045" i="2" s="1"/>
  <c r="P1005" i="2"/>
  <c r="S1005" i="2" s="1"/>
  <c r="W1005" i="2" s="1"/>
  <c r="U1004" i="2"/>
  <c r="P1004" i="2"/>
  <c r="S1004" i="2" s="1"/>
  <c r="P1003" i="2"/>
  <c r="S1003" i="2" s="1"/>
  <c r="W1003" i="2" s="1"/>
  <c r="P1002" i="2"/>
  <c r="O1006" i="2"/>
  <c r="O1007" i="2" s="1"/>
  <c r="O1008" i="2" s="1"/>
  <c r="O1009" i="2" s="1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S1035" i="2"/>
  <c r="W1035" i="2" s="1"/>
  <c r="S1034" i="2"/>
  <c r="W1034" i="2" s="1"/>
  <c r="S1033" i="2"/>
  <c r="W1033" i="2" s="1"/>
  <c r="S1032" i="2"/>
  <c r="W1032" i="2" s="1"/>
  <c r="S1031" i="2"/>
  <c r="W1031" i="2" s="1"/>
  <c r="S1030" i="2"/>
  <c r="W1030" i="2" s="1"/>
  <c r="W1029" i="2"/>
  <c r="S1029" i="2"/>
  <c r="S1028" i="2"/>
  <c r="W1028" i="2" s="1"/>
  <c r="S1027" i="2"/>
  <c r="W1027" i="2" s="1"/>
  <c r="S1026" i="2"/>
  <c r="W1026" i="2" s="1"/>
  <c r="S1025" i="2"/>
  <c r="W1025" i="2" s="1"/>
  <c r="S1024" i="2"/>
  <c r="W1024" i="2" s="1"/>
  <c r="S1023" i="2"/>
  <c r="W1023" i="2" s="1"/>
  <c r="S1022" i="2"/>
  <c r="W1022" i="2" s="1"/>
  <c r="S1021" i="2"/>
  <c r="W1021" i="2" s="1"/>
  <c r="S1020" i="2"/>
  <c r="W1020" i="2" s="1"/>
  <c r="S1019" i="2"/>
  <c r="W1019" i="2" s="1"/>
  <c r="S1018" i="2"/>
  <c r="W1018" i="2" s="1"/>
  <c r="S1017" i="2"/>
  <c r="W1017" i="2" s="1"/>
  <c r="S1016" i="2"/>
  <c r="W1016" i="2" s="1"/>
  <c r="S1015" i="2"/>
  <c r="W1015" i="2" s="1"/>
  <c r="W1014" i="2"/>
  <c r="S1014" i="2"/>
  <c r="W1013" i="2"/>
  <c r="S1013" i="2"/>
  <c r="S1012" i="2"/>
  <c r="W1012" i="2" s="1"/>
  <c r="S1011" i="2"/>
  <c r="W1011" i="2" s="1"/>
  <c r="S1010" i="2"/>
  <c r="W1010" i="2" s="1"/>
  <c r="S1009" i="2"/>
  <c r="W1009" i="2" s="1"/>
  <c r="S1008" i="2"/>
  <c r="W1008" i="2" s="1"/>
  <c r="Q1045" i="2"/>
  <c r="O1003" i="2"/>
  <c r="O1004" i="2" s="1"/>
  <c r="O1005" i="2" s="1"/>
  <c r="S1002" i="2"/>
  <c r="D1008" i="2"/>
  <c r="G1008" i="2" s="1"/>
  <c r="K1008" i="2" s="1"/>
  <c r="D1007" i="2"/>
  <c r="G1007" i="2" s="1"/>
  <c r="K1007" i="2" s="1"/>
  <c r="D1006" i="2"/>
  <c r="G1006" i="2" s="1"/>
  <c r="K1006" i="2" s="1"/>
  <c r="D1005" i="2"/>
  <c r="G1005" i="2" s="1"/>
  <c r="K1005" i="2" s="1"/>
  <c r="J1004" i="2"/>
  <c r="D1004" i="2"/>
  <c r="G1004" i="2" s="1"/>
  <c r="K1004" i="2" s="1"/>
  <c r="J1003" i="2"/>
  <c r="D1003" i="2"/>
  <c r="G1003" i="2" s="1"/>
  <c r="J1002" i="2"/>
  <c r="I1002" i="2"/>
  <c r="I1045" i="2" s="1"/>
  <c r="D1002" i="2"/>
  <c r="G1002" i="2" s="1"/>
  <c r="F1045" i="2"/>
  <c r="E1045" i="2"/>
  <c r="G1042" i="2"/>
  <c r="K1042" i="2" s="1"/>
  <c r="K1035" i="2"/>
  <c r="G1035" i="2"/>
  <c r="G1034" i="2"/>
  <c r="K1034" i="2" s="1"/>
  <c r="G1033" i="2"/>
  <c r="K1033" i="2" s="1"/>
  <c r="G1032" i="2"/>
  <c r="K1032" i="2" s="1"/>
  <c r="G1031" i="2"/>
  <c r="K1031" i="2" s="1"/>
  <c r="G1030" i="2"/>
  <c r="K1030" i="2" s="1"/>
  <c r="K1029" i="2"/>
  <c r="G1029" i="2"/>
  <c r="G1028" i="2"/>
  <c r="K1028" i="2" s="1"/>
  <c r="G1027" i="2"/>
  <c r="K1027" i="2" s="1"/>
  <c r="G1026" i="2"/>
  <c r="K1026" i="2" s="1"/>
  <c r="G1025" i="2"/>
  <c r="K1025" i="2" s="1"/>
  <c r="G1024" i="2"/>
  <c r="K1024" i="2" s="1"/>
  <c r="G1023" i="2"/>
  <c r="K1023" i="2" s="1"/>
  <c r="G1022" i="2"/>
  <c r="K1022" i="2" s="1"/>
  <c r="G1021" i="2"/>
  <c r="K1021" i="2" s="1"/>
  <c r="G1020" i="2"/>
  <c r="K1020" i="2" s="1"/>
  <c r="G1019" i="2"/>
  <c r="K1019" i="2" s="1"/>
  <c r="G1018" i="2"/>
  <c r="K1018" i="2" s="1"/>
  <c r="G1017" i="2"/>
  <c r="K1017" i="2" s="1"/>
  <c r="G1016" i="2"/>
  <c r="K1016" i="2" s="1"/>
  <c r="G1015" i="2"/>
  <c r="K1015" i="2" s="1"/>
  <c r="G1014" i="2"/>
  <c r="K1014" i="2" s="1"/>
  <c r="G1013" i="2"/>
  <c r="K1013" i="2" s="1"/>
  <c r="G1012" i="2"/>
  <c r="K1012" i="2" s="1"/>
  <c r="G1011" i="2"/>
  <c r="K1011" i="2" s="1"/>
  <c r="G1010" i="2"/>
  <c r="K1010" i="2" s="1"/>
  <c r="G1009" i="2"/>
  <c r="K1009" i="2" s="1"/>
  <c r="C1003" i="2"/>
  <c r="C1004" i="2" s="1"/>
  <c r="C1005" i="2" s="1"/>
  <c r="C1006" i="2" s="1"/>
  <c r="C1007" i="2" s="1"/>
  <c r="C1008" i="2" s="1"/>
  <c r="AI1006" i="2" l="1"/>
  <c r="AI1005" i="2"/>
  <c r="AG1045" i="2"/>
  <c r="AI1004" i="2"/>
  <c r="AE1045" i="2"/>
  <c r="AI1002" i="2"/>
  <c r="AB1045" i="2"/>
  <c r="U1045" i="2"/>
  <c r="W1004" i="2"/>
  <c r="S1045" i="2"/>
  <c r="W1002" i="2"/>
  <c r="W1045" i="2" s="1"/>
  <c r="P1045" i="2"/>
  <c r="K1003" i="2"/>
  <c r="J1045" i="2"/>
  <c r="K1002" i="2"/>
  <c r="K1045" i="2" s="1"/>
  <c r="G1045" i="2"/>
  <c r="D1045" i="2"/>
  <c r="I947" i="2"/>
  <c r="AI1045" i="2" l="1"/>
  <c r="AB957" i="2"/>
  <c r="AE957" i="2" s="1"/>
  <c r="AI957" i="2" s="1"/>
  <c r="AB956" i="2"/>
  <c r="AE956" i="2" s="1"/>
  <c r="AI956" i="2" s="1"/>
  <c r="AG955" i="2"/>
  <c r="AB955" i="2"/>
  <c r="AE955" i="2" s="1"/>
  <c r="AI955" i="2" s="1"/>
  <c r="AG954" i="2"/>
  <c r="AB954" i="2"/>
  <c r="AE954" i="2" s="1"/>
  <c r="AB953" i="2"/>
  <c r="AE953" i="2" s="1"/>
  <c r="AI953" i="2" s="1"/>
  <c r="AG952" i="2"/>
  <c r="AC952" i="2"/>
  <c r="AB952" i="2"/>
  <c r="AE952" i="2" s="1"/>
  <c r="AI952" i="2" s="1"/>
  <c r="AH951" i="2"/>
  <c r="AB951" i="2"/>
  <c r="AG950" i="2"/>
  <c r="AB950" i="2"/>
  <c r="AE950" i="2" s="1"/>
  <c r="AG949" i="2"/>
  <c r="AB949" i="2"/>
  <c r="AG948" i="2"/>
  <c r="AC948" i="2"/>
  <c r="AB948" i="2"/>
  <c r="AG947" i="2"/>
  <c r="AH947" i="2"/>
  <c r="AB947" i="2"/>
  <c r="AD990" i="2"/>
  <c r="AI988" i="2"/>
  <c r="AE987" i="2"/>
  <c r="AI987" i="2" s="1"/>
  <c r="AI986" i="2"/>
  <c r="AE985" i="2"/>
  <c r="AI985" i="2" s="1"/>
  <c r="AE984" i="2"/>
  <c r="AI984" i="2" s="1"/>
  <c r="AI983" i="2"/>
  <c r="AE983" i="2"/>
  <c r="AE982" i="2"/>
  <c r="AI982" i="2" s="1"/>
  <c r="AE981" i="2"/>
  <c r="AI981" i="2" s="1"/>
  <c r="AE980" i="2"/>
  <c r="AI980" i="2" s="1"/>
  <c r="AE979" i="2"/>
  <c r="AI979" i="2" s="1"/>
  <c r="AI978" i="2"/>
  <c r="AE978" i="2"/>
  <c r="AE977" i="2"/>
  <c r="AI977" i="2" s="1"/>
  <c r="AE976" i="2"/>
  <c r="AI976" i="2" s="1"/>
  <c r="AE975" i="2"/>
  <c r="AI975" i="2" s="1"/>
  <c r="AE974" i="2"/>
  <c r="AI974" i="2" s="1"/>
  <c r="AE973" i="2"/>
  <c r="AI973" i="2" s="1"/>
  <c r="AE972" i="2"/>
  <c r="AI972" i="2" s="1"/>
  <c r="AE971" i="2"/>
  <c r="AI971" i="2" s="1"/>
  <c r="AI970" i="2"/>
  <c r="AE970" i="2"/>
  <c r="AE969" i="2"/>
  <c r="AI969" i="2" s="1"/>
  <c r="AE968" i="2"/>
  <c r="AI968" i="2" s="1"/>
  <c r="AE967" i="2"/>
  <c r="AI967" i="2" s="1"/>
  <c r="AE966" i="2"/>
  <c r="AI966" i="2" s="1"/>
  <c r="AE965" i="2"/>
  <c r="AI965" i="2" s="1"/>
  <c r="AE964" i="2"/>
  <c r="AI964" i="2" s="1"/>
  <c r="AE963" i="2"/>
  <c r="AI963" i="2" s="1"/>
  <c r="AE962" i="2"/>
  <c r="AI962" i="2" s="1"/>
  <c r="AE961" i="2"/>
  <c r="AI961" i="2" s="1"/>
  <c r="AE960" i="2"/>
  <c r="AI960" i="2" s="1"/>
  <c r="AE959" i="2"/>
  <c r="AI959" i="2" s="1"/>
  <c r="AE958" i="2"/>
  <c r="AI958" i="2" s="1"/>
  <c r="AE949" i="2"/>
  <c r="AA948" i="2"/>
  <c r="AA949" i="2" s="1"/>
  <c r="AA950" i="2" s="1"/>
  <c r="AA951" i="2" s="1"/>
  <c r="AA952" i="2" s="1"/>
  <c r="AA953" i="2" s="1"/>
  <c r="AA954" i="2" s="1"/>
  <c r="AA955" i="2" s="1"/>
  <c r="AA956" i="2" s="1"/>
  <c r="AA957" i="2" s="1"/>
  <c r="P950" i="2"/>
  <c r="S950" i="2" s="1"/>
  <c r="W950" i="2" s="1"/>
  <c r="P949" i="2"/>
  <c r="V948" i="2"/>
  <c r="Q948" i="2"/>
  <c r="P948" i="2"/>
  <c r="V947" i="2"/>
  <c r="U947" i="2"/>
  <c r="Q947" i="2"/>
  <c r="P947" i="2"/>
  <c r="V990" i="2"/>
  <c r="R990" i="2"/>
  <c r="W988" i="2"/>
  <c r="S987" i="2"/>
  <c r="W987" i="2" s="1"/>
  <c r="W986" i="2"/>
  <c r="S985" i="2"/>
  <c r="W985" i="2" s="1"/>
  <c r="S984" i="2"/>
  <c r="W984" i="2" s="1"/>
  <c r="S983" i="2"/>
  <c r="W983" i="2" s="1"/>
  <c r="S982" i="2"/>
  <c r="W982" i="2" s="1"/>
  <c r="S981" i="2"/>
  <c r="W981" i="2" s="1"/>
  <c r="S980" i="2"/>
  <c r="W980" i="2" s="1"/>
  <c r="S979" i="2"/>
  <c r="W979" i="2" s="1"/>
  <c r="S978" i="2"/>
  <c r="W978" i="2" s="1"/>
  <c r="S977" i="2"/>
  <c r="W977" i="2" s="1"/>
  <c r="S976" i="2"/>
  <c r="W976" i="2" s="1"/>
  <c r="S975" i="2"/>
  <c r="W975" i="2" s="1"/>
  <c r="S974" i="2"/>
  <c r="W974" i="2" s="1"/>
  <c r="S973" i="2"/>
  <c r="W973" i="2" s="1"/>
  <c r="S972" i="2"/>
  <c r="W972" i="2" s="1"/>
  <c r="S971" i="2"/>
  <c r="W971" i="2" s="1"/>
  <c r="S970" i="2"/>
  <c r="W970" i="2" s="1"/>
  <c r="S969" i="2"/>
  <c r="W969" i="2" s="1"/>
  <c r="S968" i="2"/>
  <c r="W968" i="2" s="1"/>
  <c r="S967" i="2"/>
  <c r="W967" i="2" s="1"/>
  <c r="S966" i="2"/>
  <c r="W966" i="2" s="1"/>
  <c r="S965" i="2"/>
  <c r="W965" i="2" s="1"/>
  <c r="S964" i="2"/>
  <c r="W964" i="2" s="1"/>
  <c r="S963" i="2"/>
  <c r="W963" i="2" s="1"/>
  <c r="S962" i="2"/>
  <c r="W962" i="2" s="1"/>
  <c r="S961" i="2"/>
  <c r="W961" i="2" s="1"/>
  <c r="S960" i="2"/>
  <c r="W960" i="2" s="1"/>
  <c r="W959" i="2"/>
  <c r="S959" i="2"/>
  <c r="S958" i="2"/>
  <c r="W958" i="2" s="1"/>
  <c r="S957" i="2"/>
  <c r="W957" i="2" s="1"/>
  <c r="S956" i="2"/>
  <c r="W956" i="2" s="1"/>
  <c r="S955" i="2"/>
  <c r="W955" i="2" s="1"/>
  <c r="S954" i="2"/>
  <c r="W954" i="2" s="1"/>
  <c r="S953" i="2"/>
  <c r="W953" i="2" s="1"/>
  <c r="S952" i="2"/>
  <c r="W952" i="2" s="1"/>
  <c r="S951" i="2"/>
  <c r="W951" i="2" s="1"/>
  <c r="S949" i="2"/>
  <c r="W949" i="2" s="1"/>
  <c r="U990" i="2"/>
  <c r="Q990" i="2"/>
  <c r="S948" i="2"/>
  <c r="W948" i="2" s="1"/>
  <c r="O948" i="2"/>
  <c r="O949" i="2" s="1"/>
  <c r="O950" i="2" s="1"/>
  <c r="J956" i="2"/>
  <c r="D956" i="2"/>
  <c r="G956" i="2" s="1"/>
  <c r="K956" i="2" s="1"/>
  <c r="D955" i="2"/>
  <c r="G955" i="2" s="1"/>
  <c r="K955" i="2" s="1"/>
  <c r="I954" i="2"/>
  <c r="J954" i="2"/>
  <c r="D954" i="2"/>
  <c r="G954" i="2" s="1"/>
  <c r="K954" i="2" s="1"/>
  <c r="D953" i="2"/>
  <c r="G953" i="2" s="1"/>
  <c r="K953" i="2" s="1"/>
  <c r="D952" i="2"/>
  <c r="G952" i="2" s="1"/>
  <c r="K952" i="2" s="1"/>
  <c r="D951" i="2"/>
  <c r="D950" i="2"/>
  <c r="G950" i="2" s="1"/>
  <c r="K950" i="2" s="1"/>
  <c r="I949" i="2"/>
  <c r="D949" i="2"/>
  <c r="D948" i="2"/>
  <c r="G948" i="2"/>
  <c r="K948" i="2" s="1"/>
  <c r="D947" i="2"/>
  <c r="I990" i="2"/>
  <c r="F990" i="2"/>
  <c r="G987" i="2"/>
  <c r="K987" i="2" s="1"/>
  <c r="G980" i="2"/>
  <c r="K980" i="2" s="1"/>
  <c r="G979" i="2"/>
  <c r="K979" i="2" s="1"/>
  <c r="G978" i="2"/>
  <c r="K978" i="2" s="1"/>
  <c r="G977" i="2"/>
  <c r="K977" i="2" s="1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G970" i="2"/>
  <c r="K970" i="2" s="1"/>
  <c r="G969" i="2"/>
  <c r="K969" i="2" s="1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G962" i="2"/>
  <c r="K962" i="2" s="1"/>
  <c r="G961" i="2"/>
  <c r="K961" i="2" s="1"/>
  <c r="G960" i="2"/>
  <c r="K960" i="2" s="1"/>
  <c r="G959" i="2"/>
  <c r="K959" i="2" s="1"/>
  <c r="G958" i="2"/>
  <c r="K958" i="2" s="1"/>
  <c r="G957" i="2"/>
  <c r="K957" i="2" s="1"/>
  <c r="G951" i="2"/>
  <c r="K951" i="2" s="1"/>
  <c r="G949" i="2"/>
  <c r="K949" i="2" s="1"/>
  <c r="C948" i="2"/>
  <c r="C949" i="2" s="1"/>
  <c r="C950" i="2" s="1"/>
  <c r="C951" i="2" s="1"/>
  <c r="C952" i="2" s="1"/>
  <c r="C953" i="2" s="1"/>
  <c r="C954" i="2" s="1"/>
  <c r="C955" i="2" s="1"/>
  <c r="C956" i="2" s="1"/>
  <c r="E990" i="2"/>
  <c r="AI949" i="2" l="1"/>
  <c r="AI950" i="2"/>
  <c r="AI954" i="2"/>
  <c r="AE951" i="2"/>
  <c r="AI951" i="2" s="1"/>
  <c r="AC990" i="2"/>
  <c r="AH990" i="2"/>
  <c r="AG990" i="2"/>
  <c r="AB990" i="2"/>
  <c r="AE948" i="2"/>
  <c r="AI948" i="2" s="1"/>
  <c r="AE947" i="2"/>
  <c r="P990" i="2"/>
  <c r="S947" i="2"/>
  <c r="J990" i="2"/>
  <c r="D990" i="2"/>
  <c r="G947" i="2"/>
  <c r="AH897" i="2"/>
  <c r="AH935" i="2" s="1"/>
  <c r="AB897" i="2"/>
  <c r="AE897" i="2" s="1"/>
  <c r="AB896" i="2"/>
  <c r="AE896" i="2" s="1"/>
  <c r="AI896" i="2" s="1"/>
  <c r="AG895" i="2"/>
  <c r="AB895" i="2"/>
  <c r="AG894" i="2"/>
  <c r="AC894" i="2"/>
  <c r="AB894" i="2"/>
  <c r="AG893" i="2"/>
  <c r="AC893" i="2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E928" i="2"/>
  <c r="AI928" i="2" s="1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E920" i="2"/>
  <c r="AI920" i="2" s="1"/>
  <c r="AE919" i="2"/>
  <c r="AI919" i="2" s="1"/>
  <c r="AE918" i="2"/>
  <c r="AI918" i="2" s="1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E910" i="2"/>
  <c r="AI910" i="2" s="1"/>
  <c r="AE909" i="2"/>
  <c r="AI909" i="2" s="1"/>
  <c r="AE908" i="2"/>
  <c r="AI908" i="2" s="1"/>
  <c r="AE907" i="2"/>
  <c r="AI907" i="2" s="1"/>
  <c r="AE906" i="2"/>
  <c r="AI906" i="2" s="1"/>
  <c r="AE905" i="2"/>
  <c r="AI905" i="2" s="1"/>
  <c r="AE904" i="2"/>
  <c r="AI904" i="2" s="1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S897" i="2" s="1"/>
  <c r="W897" i="2" s="1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S892" i="2" s="1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O893" i="2"/>
  <c r="O894" i="2" s="1"/>
  <c r="O895" i="2" s="1"/>
  <c r="O896" i="2" s="1"/>
  <c r="O897" i="2" s="1"/>
  <c r="O898" i="2" s="1"/>
  <c r="J896" i="2"/>
  <c r="J935" i="2" s="1"/>
  <c r="D896" i="2"/>
  <c r="G896" i="2" s="1"/>
  <c r="K896" i="2" s="1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G904" i="2"/>
  <c r="K904" i="2" s="1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C896" i="2" s="1"/>
  <c r="AE893" i="2" l="1"/>
  <c r="AI897" i="2"/>
  <c r="AI947" i="2"/>
  <c r="AI990" i="2" s="1"/>
  <c r="AE990" i="2"/>
  <c r="S990" i="2"/>
  <c r="W947" i="2"/>
  <c r="W990" i="2" s="1"/>
  <c r="G990" i="2"/>
  <c r="K947" i="2"/>
  <c r="K990" i="2" s="1"/>
  <c r="AG935" i="2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P935" i="2"/>
  <c r="I935" i="2"/>
  <c r="K893" i="2"/>
  <c r="G892" i="2"/>
  <c r="G935" i="2"/>
  <c r="K892" i="2"/>
  <c r="D935" i="2"/>
  <c r="AH825" i="2"/>
  <c r="AD825" i="2"/>
  <c r="V825" i="2"/>
  <c r="R825" i="2"/>
  <c r="W935" i="2" l="1"/>
  <c r="K935" i="2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E841" i="2" s="1"/>
  <c r="AI841" i="2" s="1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I385" i="2" l="1"/>
  <c r="K348" i="2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 s="1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D39" i="1" s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35" authorId="0" shapeId="0" xr:uid="{CD2F5B81-386E-4CAC-82DB-CD1035CB4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621" authorId="0" shapeId="0" xr:uid="{B462DA9E-5386-4C43-9669-D2FD4F602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
DAVAO CITY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  <comment ref="C892" authorId="0" shapeId="0" xr:uid="{3F4E4662-6246-4296-A766-7D8FA3727F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
</t>
        </r>
      </text>
    </comment>
    <comment ref="O892" authorId="0" shapeId="0" xr:uid="{408128D0-F52B-4902-9FBF-725B3FC4A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</t>
        </r>
      </text>
    </comment>
    <comment ref="AA892" authorId="0" shapeId="0" xr:uid="{E659DE0B-E0A2-4FF7-ADA2-35F891170C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PASCON STORE</t>
        </r>
      </text>
    </comment>
    <comment ref="C893" authorId="0" shapeId="0" xr:uid="{423908CB-C18E-40D5-9591-37C9505CF1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CRISTYL</t>
        </r>
      </text>
    </comment>
    <comment ref="O893" authorId="0" shapeId="0" xr:uid="{22CC3C84-A336-40EA-B7DF-50E440771A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893" authorId="0" shapeId="0" xr:uid="{98D11D5E-E379-4C01-A62E-C8C5B52BD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894" authorId="0" shapeId="0" xr:uid="{C7F71FE3-F809-4ECF-881F-DB55B634A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OMOYAN
</t>
        </r>
      </text>
    </comment>
    <comment ref="O894" authorId="0" shapeId="0" xr:uid="{28FE9403-7FA2-409E-8CDC-2C6FCC27BA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
BRGY. INUMAN
</t>
        </r>
      </text>
    </comment>
    <comment ref="AA894" authorId="0" shapeId="0" xr:uid="{AED4AB10-158C-4EF6-B692-36733BD70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895" authorId="0" shapeId="0" xr:uid="{F7ED485C-6E3B-416F-A2DB-29A217C17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</t>
        </r>
      </text>
    </comment>
    <comment ref="O895" authorId="0" shapeId="0" xr:uid="{2E2A3588-BAA6-40D7-9F8E-F449C1F4B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895" authorId="0" shapeId="0" xr:uid="{D8140DAD-9FCC-4F90-923F-229789E44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C896" authorId="0" shapeId="0" xr:uid="{2EE2C591-C9F8-49F6-BDD5-FA6D3ADDE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G-FOOD CORNER</t>
        </r>
      </text>
    </comment>
    <comment ref="O896" authorId="0" shapeId="0" xr:uid="{86872AD1-732F-41D8-8E14-292B01369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896" authorId="0" shapeId="0" xr:uid="{AC6D6518-A36B-47C1-BD2C-5EDEBBA61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O897" authorId="0" shapeId="0" xr:uid="{75E139C1-F844-4109-B282-B84AF045A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897" authorId="0" shapeId="0" xr:uid="{D1B75749-8EA9-4C4A-BDC1-F2B1C5ADA9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O898" authorId="0" shapeId="0" xr:uid="{7537DBD8-2A3C-4D2C-9B14-005CCD311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947" authorId="0" shapeId="0" xr:uid="{B585CF46-400F-414E-BB1C-35096E21D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INUMAN</t>
        </r>
      </text>
    </comment>
    <comment ref="O947" authorId="0" shapeId="0" xr:uid="{64B4CA38-4398-42FE-9D12-1BB21F782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947" authorId="0" shapeId="0" xr:uid="{0DA7CD23-A9C3-456B-B468-24CE0A890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HENSON
BACONG, SALUG</t>
        </r>
      </text>
    </comment>
    <comment ref="C948" authorId="0" shapeId="0" xr:uid="{F0603417-2DB5-4D21-9085-DB1FD627CC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O948" authorId="0" shapeId="0" xr:uid="{2B88BD27-53CA-4A85-ADC5-C04BC55FC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948" authorId="0" shapeId="0" xr:uid="{A7B4BB15-A79C-4566-9640-B5BD05595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949" authorId="0" shapeId="0" xr:uid="{5353882A-FA88-44BB-AB6A-1CFE9BB40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
LABAKID</t>
        </r>
      </text>
    </comment>
    <comment ref="O949" authorId="0" shapeId="0" xr:uid="{9D2276F8-CD5B-47AC-8605-E7F645DF1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RESTO/CHERRY TIJADA
BACUNGAN</t>
        </r>
      </text>
    </comment>
    <comment ref="AA949" authorId="0" shapeId="0" xr:uid="{C319E383-1E0E-47C2-B53E-1C51B3BC9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 SALUG</t>
        </r>
      </text>
    </comment>
    <comment ref="C950" authorId="0" shapeId="0" xr:uid="{F031A376-7A7A-4746-87EC-A3266CC9E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</t>
        </r>
      </text>
    </comment>
    <comment ref="O950" authorId="0" shapeId="0" xr:uid="{A01398D4-77C8-449E-91F2-E00EA16FC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BEBOY'S EATERY
UPPER INUMAN</t>
        </r>
      </text>
    </comment>
    <comment ref="AA950" authorId="0" shapeId="0" xr:uid="{B66F50D5-713D-4568-AA91-739D73F5B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
</t>
        </r>
      </text>
    </comment>
    <comment ref="C951" authorId="0" shapeId="0" xr:uid="{C08FEA34-4473-4696-8A0D-4068802BD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</t>
        </r>
      </text>
    </comment>
    <comment ref="AA951" authorId="0" shapeId="0" xr:uid="{76923A1C-F20F-4418-8B54-A87D15624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POBLACION EAST</t>
        </r>
      </text>
    </comment>
    <comment ref="C952" authorId="0" shapeId="0" xr:uid="{0B52E4E3-2A51-4F83-B81E-25271057F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</t>
        </r>
      </text>
    </comment>
    <comment ref="AA952" authorId="0" shapeId="0" xr:uid="{F17D5D31-976D-4FAF-84D5-EE0E8F3DE6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953" authorId="0" shapeId="0" xr:uid="{7B874656-DC0E-4C10-BDF7-F8014E67B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DENUYAN SIAYAN</t>
        </r>
      </text>
    </comment>
    <comment ref="AA953" authorId="0" shapeId="0" xr:uid="{FCCF0597-7AAF-411D-9076-D75DA7DBBC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BAYBAY LILOY</t>
        </r>
      </text>
    </comment>
    <comment ref="C954" authorId="0" shapeId="0" xr:uid="{DEF239EF-6E28-4B65-AE45-64C2CAB63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A954" authorId="0" shapeId="0" xr:uid="{CCF7577C-824E-4BBF-BE81-F2E693BC9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JANMAEDEYS STORE
CAYOK, LILOY</t>
        </r>
      </text>
    </comment>
    <comment ref="C955" authorId="0" shapeId="0" xr:uid="{8864C25F-658E-4F77-A26C-2F8AA8B5E4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 SIAYAN</t>
        </r>
      </text>
    </comment>
    <comment ref="AA955" authorId="0" shapeId="0" xr:uid="{A68CBB60-59D2-452E-868C-87671B94EE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</t>
        </r>
      </text>
    </comment>
    <comment ref="C956" authorId="0" shapeId="0" xr:uid="{6F51A798-6D46-4D79-9F4E-0847024DA8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956" authorId="0" shapeId="0" xr:uid="{E18DFC33-770E-45BA-8AE2-DD96613403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NEZMIN STORE
KAYOK, LILOY</t>
        </r>
      </text>
    </comment>
    <comment ref="AA957" authorId="0" shapeId="0" xr:uid="{880E3B78-C7F1-4CE2-8E4E-86B99F99D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79A42EF2-5D73-4006-9152-A68463789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POB. SINDANGAN</t>
        </r>
      </text>
    </comment>
    <comment ref="O1002" authorId="0" shapeId="0" xr:uid="{FA4BB93B-BC36-4D4D-823A-FA5C95BAA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002" authorId="0" shapeId="0" xr:uid="{3B659BD5-26A8-463D-AEF3-4573EAF28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BLILOY
</t>
        </r>
      </text>
    </comment>
    <comment ref="C1003" authorId="0" shapeId="0" xr:uid="{FE78D239-29BE-429C-A201-E755035CEE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O1003" authorId="0" shapeId="0" xr:uid="{8F492541-BA7A-45DF-AD4D-4A807C36A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BALID STORE
TALINGA BACUNGAN</t>
        </r>
      </text>
    </comment>
    <comment ref="AA1003" authorId="0" shapeId="0" xr:uid="{96EAC14C-6B9E-47A7-A96A-59545BFAB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 LILOY</t>
        </r>
      </text>
    </comment>
    <comment ref="C1004" authorId="0" shapeId="0" xr:uid="{81A87BAF-EF6D-4BE1-B787-8B73CA3A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</t>
        </r>
      </text>
    </comment>
    <comment ref="O1004" authorId="0" shapeId="0" xr:uid="{721DAA6D-8111-4DB1-B33B-05862C2C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AA1004" authorId="0" shapeId="0" xr:uid="{66FACA9B-6300-46F5-889C-BE3CA22189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005" authorId="0" shapeId="0" xr:uid="{B376A780-8C0A-4106-BAED-116695C797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SY EATERY
POB. SINDANGAN</t>
        </r>
      </text>
    </comment>
    <comment ref="O1005" authorId="0" shapeId="0" xr:uid="{666072EC-1311-4807-8A05-9BD63FCFA7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KYRIE ZAI STORE
BRGY. MARAS</t>
        </r>
      </text>
    </comment>
    <comment ref="AA1005" authorId="0" shapeId="0" xr:uid="{030717A8-7BBD-402F-83A3-ED4F47445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6" authorId="0" shapeId="0" xr:uid="{258AC08F-4159-4CA3-881C-1C0971F29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BAR
POB. SINDANGAN
</t>
        </r>
      </text>
    </comment>
    <comment ref="O1006" authorId="0" shapeId="0" xr:uid="{40E38844-1065-46AA-8B2A-66E36E03B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BILLONES
UPPER INUMAN</t>
        </r>
      </text>
    </comment>
    <comment ref="AA1006" authorId="0" shapeId="0" xr:uid="{9D7623AA-008E-455F-AEC1-8059F6F0F8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</t>
        </r>
      </text>
    </comment>
    <comment ref="C1007" authorId="0" shapeId="0" xr:uid="{B35E016E-4DF3-49C9-B956-81AC0245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O1007" authorId="0" shapeId="0" xr:uid="{74E7AF25-325F-49FC-86D5-72AAD7F6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BRGY. DATU TANGKILAN</t>
        </r>
      </text>
    </comment>
    <comment ref="AA1007" authorId="0" shapeId="0" xr:uid="{55426715-27E2-4755-B883-1D8F978699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008" authorId="0" shapeId="0" xr:uid="{4AAD2B74-D7D1-42A8-8BE2-FF938E63D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POB. SINDANGAN
</t>
        </r>
      </text>
    </comment>
    <comment ref="O1008" authorId="0" shapeId="0" xr:uid="{A1D9BE24-FDA3-4F97-AA63-EF2FAF2C4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AA1008" authorId="0" shapeId="0" xr:uid="{D2A46833-C1AA-40F5-A28A-263260A6D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BAYBAY, LILOY</t>
        </r>
      </text>
    </comment>
    <comment ref="O1009" authorId="0" shapeId="0" xr:uid="{CBAAE2B8-E940-44CE-A028-0970D6C84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1009" authorId="0" shapeId="0" xr:uid="{5C4980B5-1752-4ABF-9954-BFE245DA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GUNI-OS
BAYBAY LILOY</t>
        </r>
      </text>
    </comment>
    <comment ref="O1057" authorId="0" shapeId="0" xr:uid="{985D5080-5DB9-463B-A249-604D5195B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
</t>
        </r>
      </text>
    </comment>
    <comment ref="AA1057" authorId="0" shapeId="0" xr:uid="{BC521CB4-E678-46FC-9EAE-F1BDC27B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LKS-LILOY
</t>
        </r>
      </text>
    </comment>
    <comment ref="O1058" authorId="0" shapeId="0" xr:uid="{B9FD0D81-F8A8-40F0-A673-E62933310D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058" authorId="0" shapeId="0" xr:uid="{7ACE9F77-E9C6-40E3-B048-BCE5B2918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LKS-LILOY
BAYBAY LILOY</t>
        </r>
      </text>
    </comment>
    <comment ref="O1059" authorId="0" shapeId="0" xr:uid="{571A8C7A-43D4-48CB-B1C0-02A674E8A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
</t>
        </r>
      </text>
    </comment>
    <comment ref="AA1059" authorId="0" shapeId="0" xr:uid="{E4DD24C9-E1CD-4C6E-8222-564D892BBA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</t>
        </r>
      </text>
    </comment>
    <comment ref="O1060" authorId="0" shapeId="0" xr:uid="{59CAF426-EDFE-40BB-B8B3-C7B1EF6A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
</t>
        </r>
      </text>
    </comment>
    <comment ref="O1061" authorId="0" shapeId="0" xr:uid="{53024D3D-C313-490A-9BDA-4F5B42D2CE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C1112" authorId="0" shapeId="0" xr:uid="{0054E6D9-4AB8-403B-BE59-4BBA4F2D1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POB. SINDANGAN
</t>
        </r>
      </text>
    </comment>
    <comment ref="O1112" authorId="0" shapeId="0" xr:uid="{AEA0B8B1-E606-49F1-B622-75ABC8183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</t>
        </r>
      </text>
    </comment>
    <comment ref="AA1112" authorId="0" shapeId="0" xr:uid="{9972AB96-63C1-4AE0-822F-1516CDD07F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1113" authorId="0" shapeId="0" xr:uid="{DF38BC20-EC91-4113-9341-3B78BAE7FD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BILLYJUN CATIG
GUNYAN SIAYAN</t>
        </r>
      </text>
    </comment>
    <comment ref="O1113" authorId="0" shapeId="0" xr:uid="{87E5DEB4-293D-443B-8961-4F72B76D0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113" authorId="0" shapeId="0" xr:uid="{17ED655C-F02F-4657-B2C7-4F3D51D4B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1114" authorId="0" shapeId="0" xr:uid="{B7B028D2-A51C-42F7-A7C8-828516D903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1114" authorId="0" shapeId="0" xr:uid="{419A0A5D-0D14-4B14-9D46-F618000F5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</t>
        </r>
      </text>
    </comment>
    <comment ref="AA1114" authorId="0" shapeId="0" xr:uid="{BDD07D32-07A9-4284-8361-B2058E634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O1115" authorId="0" shapeId="0" xr:uid="{B2F099E2-BAE0-40CA-A37E-4AD477E4AD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1116" authorId="0" shapeId="0" xr:uid="{0FFBEDCD-ABC4-4E6C-8C54-AA775CEDD9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MAGSAYSAY SALUG</t>
        </r>
      </text>
    </comment>
    <comment ref="O1117" authorId="0" shapeId="0" xr:uid="{44C01B83-EA12-405C-A70C-7D749D96A9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ASHLEY STORE
BACUNGAN</t>
        </r>
      </text>
    </comment>
    <comment ref="O1118" authorId="0" shapeId="0" xr:uid="{1034D5FD-8E78-4182-9444-D692E2049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</t>
        </r>
      </text>
    </comment>
    <comment ref="O1119" authorId="0" shapeId="0" xr:uid="{7866D9AD-E0E6-4316-9713-DBCFD581C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 BACUNGAN</t>
        </r>
      </text>
    </comment>
    <comment ref="O1120" authorId="0" shapeId="0" xr:uid="{9B004D66-8A7C-4667-95F4-33FE711813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C1167" authorId="0" shapeId="0" xr:uid="{CB726B41-A9CF-442D-8918-FA15D8BB65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MAGSAYSAY</t>
        </r>
      </text>
    </comment>
    <comment ref="O1167" authorId="0" shapeId="0" xr:uid="{38C6032A-6234-4A9F-815C-10B7FC55F3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STORE
BRGY. DATU TANGKILAN</t>
        </r>
      </text>
    </comment>
    <comment ref="AA1167" authorId="0" shapeId="0" xr:uid="{E349AEF0-38B6-441B-A052-4A9E65D744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POB. EAST, SALUG</t>
        </r>
      </text>
    </comment>
    <comment ref="C1168" authorId="0" shapeId="0" xr:uid="{44518983-5B5B-443B-A557-A8D9085EC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168" authorId="0" shapeId="0" xr:uid="{8B054ADA-4B1F-4554-B7CB-86C76505A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BRGY. MARAS
</t>
        </r>
      </text>
    </comment>
    <comment ref="AA1168" authorId="0" shapeId="0" xr:uid="{4F70C945-5D4A-4553-8CA8-B00D12A0E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POB. EAST,SALUG</t>
        </r>
      </text>
    </comment>
    <comment ref="C1169" authorId="0" shapeId="0" xr:uid="{43C9F6AA-2C87-4A65-9161-1690A05A8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1169" authorId="0" shapeId="0" xr:uid="{C61D54E5-6A80-44FA-8E2C-04CA8DF1B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BRGY.MARAS</t>
        </r>
      </text>
    </comment>
    <comment ref="AA1169" authorId="0" shapeId="0" xr:uid="{128C4CBC-975D-432D-A131-98CFCADB7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POBLACION EAST, SALUG</t>
        </r>
      </text>
    </comment>
    <comment ref="C1170" authorId="0" shapeId="0" xr:uid="{B7620FC3-E77F-4E41-8BEC-701FFD3ED8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
</t>
        </r>
      </text>
    </comment>
    <comment ref="O1170" authorId="0" shapeId="0" xr:uid="{84DCE822-293C-4842-8539-BE5DF598D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BRGY. MARAS</t>
        </r>
      </text>
    </comment>
    <comment ref="AA1170" authorId="0" shapeId="0" xr:uid="{B73CFAEB-5825-4674-8D03-07EBEA1F6D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POBLACION EAST, SALUG</t>
        </r>
      </text>
    </comment>
    <comment ref="O1171" authorId="0" shapeId="0" xr:uid="{3D35724D-57EC-4FFD-B174-B47BD69423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1171" authorId="0" shapeId="0" xr:uid="{40FAEFFA-A908-4B0E-806E-DDB52720B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1172" authorId="0" shapeId="0" xr:uid="{BF15D823-BEA5-49A0-8F7E-3FDD20415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 BAR
BACUNGAN
</t>
        </r>
      </text>
    </comment>
    <comment ref="AA1172" authorId="0" shapeId="0" xr:uid="{A61F7F94-FD2D-4BB4-8FC0-4935861BE9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POBLACION EAST, SALUG</t>
        </r>
      </text>
    </comment>
    <comment ref="O1173" authorId="0" shapeId="0" xr:uid="{45B6EB16-B568-42F9-BB23-9A84D3B725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1173" authorId="0" shapeId="0" xr:uid="{69E91703-B262-4FE4-AB9A-22B4B192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POBLACION EAST, SALUG</t>
        </r>
      </text>
    </comment>
    <comment ref="O1174" authorId="0" shapeId="0" xr:uid="{3DB8F605-696A-4CD0-A938-C03800D32E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</t>
        </r>
      </text>
    </comment>
    <comment ref="AA1174" authorId="0" shapeId="0" xr:uid="{72374AFD-DD09-4B0B-996A-0FF7E525EB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POBLACION EAST, SALUG</t>
        </r>
      </text>
    </comment>
    <comment ref="AA1175" authorId="0" shapeId="0" xr:uid="{3F782E74-03B2-4147-B150-5A86998D1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NAONG, GINASTORE
BACONG, SALUG</t>
        </r>
      </text>
    </comment>
    <comment ref="AA1176" authorId="0" shapeId="0" xr:uid="{FD17F759-A2BE-41FD-8CE5-8D3DA235F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 SALUG</t>
        </r>
      </text>
    </comment>
    <comment ref="AA1177" authorId="0" shapeId="0" xr:uid="{8201BE10-C899-49F6-B0AF-1F1B41E27F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BACONG,SALUG</t>
        </r>
      </text>
    </comment>
  </commentList>
</comments>
</file>

<file path=xl/sharedStrings.xml><?xml version="1.0" encoding="utf-8"?>
<sst xmlns="http://schemas.openxmlformats.org/spreadsheetml/2006/main" count="1437" uniqueCount="108">
  <si>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</si>
  <si>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</si>
  <si>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</si>
  <si>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</si>
  <si>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</si>
  <si>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</si>
  <si>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</si>
  <si>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</si>
  <si>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</si>
  <si>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</si>
  <si>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</si>
  <si>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</si>
  <si>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</si>
  <si>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</si>
  <si>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</si>
  <si>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</si>
  <si>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</si>
  <si>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</si>
  <si>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</si>
  <si>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</si>
  <si>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</si>
  <si>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</si>
  <si>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</si>
  <si>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</si>
  <si>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</si>
  <si>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</si>
  <si>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</si>
  <si>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</si>
  <si>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</si>
  <si>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</si>
  <si>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</si>
  <si>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</si>
  <si>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</si>
  <si>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</si>
  <si>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</si>
  <si>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</si>
  <si>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</si>
  <si>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</si>
  <si>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</si>
  <si>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</si>
  <si>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</si>
  <si>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</si>
  <si>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</si>
  <si>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</si>
  <si>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</si>
  <si>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</si>
  <si>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</si>
  <si>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</si>
  <si>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</si>
  <si>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</si>
  <si>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</si>
  <si>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</si>
  <si>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</si>
  <si>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</si>
  <si>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</si>
  <si>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</si>
  <si>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</si>
  <si>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</si>
  <si>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</si>
  <si>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</si>
  <si>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</si>
  <si>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</si>
  <si>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</si>
  <si>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</si>
  <si>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</si>
  <si>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</si>
  <si>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</si>
  <si>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</si>
  <si>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</si>
  <si>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</si>
  <si>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</si>
  <si>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</si>
  <si>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</si>
  <si>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</si>
  <si>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</si>
  <si>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</si>
  <si>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</si>
  <si>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</si>
  <si>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</si>
  <si>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</si>
  <si>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</si>
  <si>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</si>
  <si>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</si>
  <si>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</si>
  <si>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</si>
  <si>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</si>
  <si>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</si>
  <si>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</si>
  <si>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</si>
  <si>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</si>
  <si>
    <t>JUNE 12, 2026</t>
  </si>
  <si>
    <t>JUNE 08, 2026</t>
  </si>
  <si>
    <t>JUNE 24, 2026</t>
  </si>
  <si>
    <t>06/24/2026</t>
  </si>
  <si>
    <t>11160-11169/11082-11085/11111-11121</t>
  </si>
  <si>
    <t>JUNE 25, 2026</t>
  </si>
  <si>
    <t>06/25/2026</t>
  </si>
  <si>
    <t>11170-11176/11086-11093/11122/11129</t>
  </si>
  <si>
    <t>JUNE 26, 2026</t>
  </si>
  <si>
    <t>06/26/2026</t>
  </si>
  <si>
    <t>/11094-11098/11131-11133</t>
  </si>
  <si>
    <t>06/29/2026</t>
  </si>
  <si>
    <t>JUNE 29, 2026</t>
  </si>
  <si>
    <t>11177-11179/11099-11207/11134/11136</t>
  </si>
  <si>
    <t>JUNE 30, 2026</t>
  </si>
  <si>
    <t>06/30/2026</t>
  </si>
  <si>
    <t>11180-11183/11208-11215/11137-11147</t>
  </si>
  <si>
    <t>06/16/2025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</si>
</sst>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M35" sqref="M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36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39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46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53</v>
      </c>
      <c r="D15" s="55" t="s">
        <v>53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62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53</v>
      </c>
      <c r="D22" s="55" t="s">
        <v>53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53</v>
      </c>
      <c r="D29" s="55" t="s">
        <v>53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86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89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 t="s">
        <v>94</v>
      </c>
      <c r="D33" s="16">
        <f t="shared" si="4"/>
        <v>868821</v>
      </c>
      <c r="E33" s="15"/>
      <c r="F33" s="15">
        <v>246790</v>
      </c>
      <c r="G33" s="14">
        <v>219115</v>
      </c>
      <c r="H33" s="14">
        <v>402916</v>
      </c>
      <c r="I33" s="14"/>
      <c r="J33" s="17">
        <f t="shared" si="1"/>
        <v>868821</v>
      </c>
    </row>
    <row r="34" spans="1:10" x14ac:dyDescent="0.25">
      <c r="A34" s="10">
        <f>A33+1</f>
        <v>25</v>
      </c>
      <c r="B34" s="11" t="s">
        <v>30</v>
      </c>
      <c r="C34" s="12" t="s">
        <v>97</v>
      </c>
      <c r="D34" s="16">
        <f t="shared" ref="D34:D39" si="5">J34</f>
        <v>927399.5</v>
      </c>
      <c r="E34" s="14"/>
      <c r="F34" s="14">
        <v>388330</v>
      </c>
      <c r="G34" s="14">
        <v>199250.5</v>
      </c>
      <c r="H34" s="14">
        <v>339819</v>
      </c>
      <c r="I34" s="14"/>
      <c r="J34" s="17">
        <f t="shared" si="1"/>
        <v>927399.5</v>
      </c>
    </row>
    <row r="35" spans="1:10" x14ac:dyDescent="0.25">
      <c r="A35" s="10">
        <f t="shared" si="2"/>
        <v>26</v>
      </c>
      <c r="B35" s="43" t="s">
        <v>4</v>
      </c>
      <c r="C35" s="12" t="s">
        <v>100</v>
      </c>
      <c r="D35" s="16">
        <f t="shared" si="5"/>
        <v>622529</v>
      </c>
      <c r="E35" s="14"/>
      <c r="F35" s="14"/>
      <c r="G35" s="14">
        <v>327003</v>
      </c>
      <c r="H35" s="14">
        <v>295526</v>
      </c>
      <c r="I35" s="14"/>
      <c r="J35" s="17">
        <f t="shared" si="1"/>
        <v>622529</v>
      </c>
    </row>
    <row r="36" spans="1:10" x14ac:dyDescent="0.25">
      <c r="A36" s="10">
        <f t="shared" si="2"/>
        <v>27</v>
      </c>
      <c r="B36" s="56" t="s">
        <v>5</v>
      </c>
      <c r="C36" s="44" t="s">
        <v>53</v>
      </c>
      <c r="D36" s="44" t="s">
        <v>53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 t="s">
        <v>103</v>
      </c>
      <c r="D38" s="16">
        <f t="shared" si="5"/>
        <v>952982</v>
      </c>
      <c r="E38" s="14"/>
      <c r="F38" s="14">
        <v>401562</v>
      </c>
      <c r="G38" s="14">
        <v>196691</v>
      </c>
      <c r="H38" s="14">
        <v>354729</v>
      </c>
      <c r="I38" s="14"/>
      <c r="J38" s="17">
        <f t="shared" si="1"/>
        <v>952982</v>
      </c>
    </row>
    <row r="39" spans="1:10" x14ac:dyDescent="0.25">
      <c r="A39" s="10">
        <f t="shared" si="2"/>
        <v>30</v>
      </c>
      <c r="B39" s="56" t="s">
        <v>8</v>
      </c>
      <c r="C39" s="12" t="s">
        <v>106</v>
      </c>
      <c r="D39" s="16">
        <f t="shared" si="5"/>
        <v>788904.5</v>
      </c>
      <c r="E39" s="14"/>
      <c r="F39" s="14">
        <v>333041</v>
      </c>
      <c r="G39" s="14">
        <v>196465.5</v>
      </c>
      <c r="H39" s="14">
        <v>259398</v>
      </c>
      <c r="I39" s="14"/>
      <c r="J39" s="17">
        <f t="shared" si="1"/>
        <v>788904.5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16917246.940000001</v>
      </c>
      <c r="J42" s="49">
        <f>SUM(J10:J41)</f>
        <v>16917246.940000001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5"/>
  <sheetViews>
    <sheetView tabSelected="1" topLeftCell="P605" zoomScaleNormal="100" workbookViewId="0">
      <selection activeCell="AB622" sqref="AB62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64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64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64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38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3" t="s">
        <v>17</v>
      </c>
      <c r="E10" s="123"/>
      <c r="F10" s="75"/>
      <c r="G10" s="27"/>
      <c r="I10" s="121" t="s">
        <v>18</v>
      </c>
      <c r="J10" s="122"/>
      <c r="K10" s="119" t="s">
        <v>19</v>
      </c>
      <c r="N10" s="25"/>
      <c r="O10" s="26"/>
      <c r="P10" s="123" t="s">
        <v>17</v>
      </c>
      <c r="Q10" s="123"/>
      <c r="R10" s="75"/>
      <c r="S10" s="27"/>
      <c r="U10" s="121" t="s">
        <v>18</v>
      </c>
      <c r="V10" s="122"/>
      <c r="W10" s="119" t="s">
        <v>19</v>
      </c>
      <c r="Z10" s="25"/>
      <c r="AA10" s="26"/>
      <c r="AB10" s="123" t="s">
        <v>17</v>
      </c>
      <c r="AC10" s="123"/>
      <c r="AD10" s="75"/>
      <c r="AE10" s="27"/>
      <c r="AG10" s="121" t="s">
        <v>18</v>
      </c>
      <c r="AH10" s="122"/>
      <c r="AI10" s="11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2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2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20"/>
    </row>
    <row r="12" spans="1:35" x14ac:dyDescent="0.25">
      <c r="A12" s="10">
        <v>1</v>
      </c>
      <c r="B12" s="30">
        <v>46028</v>
      </c>
      <c r="C12" s="82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2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2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2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2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2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2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3" t="s">
        <v>17</v>
      </c>
      <c r="E65" s="123"/>
      <c r="F65" s="88"/>
      <c r="G65" s="27"/>
      <c r="I65" s="121" t="s">
        <v>18</v>
      </c>
      <c r="J65" s="122"/>
      <c r="K65" s="119" t="s">
        <v>19</v>
      </c>
      <c r="N65" s="25"/>
      <c r="O65" s="26"/>
      <c r="P65" s="123" t="s">
        <v>17</v>
      </c>
      <c r="Q65" s="123"/>
      <c r="R65" s="88"/>
      <c r="S65" s="27"/>
      <c r="U65" s="121" t="s">
        <v>18</v>
      </c>
      <c r="V65" s="122"/>
      <c r="W65" s="119" t="s">
        <v>19</v>
      </c>
      <c r="Z65" s="25"/>
      <c r="AA65" s="26"/>
      <c r="AB65" s="123" t="s">
        <v>17</v>
      </c>
      <c r="AC65" s="123"/>
      <c r="AD65" s="88"/>
      <c r="AE65" s="27"/>
      <c r="AG65" s="121" t="s">
        <v>18</v>
      </c>
      <c r="AH65" s="122"/>
      <c r="AI65" s="119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2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2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20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2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5"/>
      <c r="AN67" s="125"/>
      <c r="AO67" s="125"/>
      <c r="AP67" s="85"/>
      <c r="AQ67" s="62"/>
      <c r="AR67" s="125"/>
      <c r="AS67" s="125"/>
      <c r="AT67" s="12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2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2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2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2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2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2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2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2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2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2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2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2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2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6"/>
      <c r="O112" s="86"/>
      <c r="P112" s="86"/>
      <c r="Q112" s="86"/>
      <c r="R112" s="86"/>
      <c r="S112" s="86"/>
      <c r="T112" s="62"/>
      <c r="U112" s="62"/>
      <c r="V112" s="62"/>
      <c r="W112" s="62"/>
      <c r="X112" s="62"/>
      <c r="Y112" s="62"/>
      <c r="Z112" s="86"/>
      <c r="AA112" s="86"/>
      <c r="AB112" s="86"/>
      <c r="AC112" s="86"/>
      <c r="AD112" s="86"/>
      <c r="AE112" s="86"/>
      <c r="AF112" s="62"/>
      <c r="AG112" s="62"/>
      <c r="AH112" s="62"/>
      <c r="AI112" s="62"/>
      <c r="AJ112" s="62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86"/>
      <c r="O113" s="86"/>
      <c r="P113" s="86"/>
      <c r="Q113" s="86"/>
      <c r="R113" s="86"/>
      <c r="S113" s="86"/>
      <c r="T113" s="62"/>
      <c r="U113" s="62"/>
      <c r="V113" s="62"/>
      <c r="W113" s="62"/>
      <c r="X113" s="62"/>
      <c r="Y113" s="62"/>
      <c r="Z113" s="86"/>
      <c r="AA113" s="86"/>
      <c r="AB113" s="86"/>
      <c r="AC113" s="86"/>
      <c r="AD113" s="86"/>
      <c r="AE113" s="86"/>
      <c r="AF113" s="62"/>
      <c r="AG113" s="62"/>
      <c r="AH113" s="62"/>
      <c r="AI113" s="62"/>
      <c r="AJ113" s="62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6"/>
      <c r="O114" s="86"/>
      <c r="P114" s="86"/>
      <c r="Q114" s="86"/>
      <c r="R114" s="86"/>
      <c r="S114" s="86"/>
      <c r="T114" s="62"/>
      <c r="U114" s="62"/>
      <c r="V114" s="62"/>
      <c r="W114" s="62"/>
      <c r="X114" s="62"/>
      <c r="Y114" s="62"/>
      <c r="Z114" s="86"/>
      <c r="AA114" s="86"/>
      <c r="AB114" s="86"/>
      <c r="AC114" s="86"/>
      <c r="AD114" s="86"/>
      <c r="AE114" s="86"/>
      <c r="AF114" s="62"/>
      <c r="AG114" s="62"/>
      <c r="AH114" s="62"/>
      <c r="AI114" s="62"/>
      <c r="AJ114" s="62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86"/>
      <c r="O115" s="86"/>
      <c r="P115" s="86"/>
      <c r="Q115" s="86"/>
      <c r="R115" s="86"/>
      <c r="S115" s="86"/>
      <c r="T115" s="62"/>
      <c r="U115" s="62"/>
      <c r="V115" s="62"/>
      <c r="W115" s="62"/>
      <c r="X115" s="62"/>
      <c r="Y115" s="63"/>
      <c r="Z115" s="86"/>
      <c r="AA115" s="86"/>
      <c r="AB115" s="86"/>
      <c r="AC115" s="86"/>
      <c r="AD115" s="86"/>
      <c r="AE115" s="86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6"/>
      <c r="O116" s="86"/>
      <c r="P116" s="86"/>
      <c r="Q116" s="86"/>
      <c r="R116" s="86"/>
      <c r="S116" s="86"/>
      <c r="T116" s="62"/>
      <c r="U116" s="62"/>
      <c r="V116" s="62"/>
      <c r="W116" s="62"/>
      <c r="X116" s="62"/>
      <c r="Y116" s="62"/>
      <c r="Z116" s="86"/>
      <c r="AA116" s="86"/>
      <c r="AB116" s="86"/>
      <c r="AC116" s="86"/>
      <c r="AD116" s="86"/>
      <c r="AE116" s="86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86"/>
      <c r="O117" s="86"/>
      <c r="P117" s="86"/>
      <c r="Q117" s="86"/>
      <c r="R117" s="86"/>
      <c r="S117" s="86"/>
      <c r="T117" s="62"/>
      <c r="U117" s="86"/>
      <c r="V117" s="73"/>
      <c r="W117" s="62"/>
      <c r="X117" s="62"/>
      <c r="Y117" s="62"/>
      <c r="Z117" s="86"/>
      <c r="AA117" s="86"/>
      <c r="AB117" s="86"/>
      <c r="AC117" s="86"/>
      <c r="AD117" s="86"/>
      <c r="AE117" s="86"/>
      <c r="AF117" s="62"/>
      <c r="AG117" s="86"/>
      <c r="AH117" s="86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42</v>
      </c>
      <c r="K118" s="24"/>
      <c r="M118" s="64"/>
      <c r="N118" s="86"/>
      <c r="O118" s="86"/>
      <c r="P118" s="86"/>
      <c r="Q118" s="86"/>
      <c r="R118" s="86"/>
      <c r="S118" s="86"/>
      <c r="T118" s="62"/>
      <c r="U118" s="65"/>
      <c r="V118" s="65"/>
      <c r="W118" s="62"/>
      <c r="X118" s="62"/>
      <c r="Y118" s="64"/>
      <c r="Z118" s="86"/>
      <c r="AA118" s="86"/>
      <c r="AB118" s="86"/>
      <c r="AC118" s="86"/>
      <c r="AD118" s="86"/>
      <c r="AE118" s="86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6"/>
      <c r="O119" s="86"/>
      <c r="P119" s="86"/>
      <c r="Q119" s="86"/>
      <c r="R119" s="86"/>
      <c r="S119" s="86"/>
      <c r="T119" s="62"/>
      <c r="U119" s="62"/>
      <c r="V119" s="62"/>
      <c r="W119" s="62"/>
      <c r="X119" s="62"/>
      <c r="Y119" s="62"/>
      <c r="Z119" s="86"/>
      <c r="AA119" s="86"/>
      <c r="AB119" s="86"/>
      <c r="AC119" s="86"/>
      <c r="AD119" s="86"/>
      <c r="AE119" s="86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3" t="s">
        <v>17</v>
      </c>
      <c r="E120" s="123"/>
      <c r="F120" s="89"/>
      <c r="G120" s="27"/>
      <c r="I120" s="121" t="s">
        <v>18</v>
      </c>
      <c r="J120" s="122"/>
      <c r="K120" s="119" t="s">
        <v>19</v>
      </c>
      <c r="M120" s="62"/>
      <c r="N120" s="65"/>
      <c r="O120" s="86"/>
      <c r="P120" s="125"/>
      <c r="Q120" s="125"/>
      <c r="R120" s="86"/>
      <c r="S120" s="86"/>
      <c r="T120" s="62"/>
      <c r="U120" s="125"/>
      <c r="V120" s="125"/>
      <c r="W120" s="124"/>
      <c r="X120" s="62"/>
      <c r="Y120" s="62"/>
      <c r="Z120" s="65"/>
      <c r="AA120" s="86"/>
      <c r="AB120" s="125"/>
      <c r="AC120" s="125"/>
      <c r="AD120" s="86"/>
      <c r="AE120" s="86"/>
      <c r="AF120" s="62"/>
      <c r="AG120" s="125"/>
      <c r="AH120" s="125"/>
      <c r="AI120" s="124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20"/>
      <c r="M121" s="62"/>
      <c r="N121" s="86"/>
      <c r="O121" s="86"/>
      <c r="P121" s="79"/>
      <c r="Q121" s="81"/>
      <c r="R121" s="81"/>
      <c r="S121" s="81"/>
      <c r="T121" s="62"/>
      <c r="U121" s="87"/>
      <c r="V121" s="87"/>
      <c r="W121" s="124"/>
      <c r="X121" s="62"/>
      <c r="Y121" s="62"/>
      <c r="Z121" s="86"/>
      <c r="AA121" s="86"/>
      <c r="AB121" s="79"/>
      <c r="AC121" s="81"/>
      <c r="AD121" s="81"/>
      <c r="AE121" s="81"/>
      <c r="AF121" s="62"/>
      <c r="AG121" s="87"/>
      <c r="AH121" s="87"/>
      <c r="AI121" s="124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2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86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6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2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86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6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2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86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6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86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6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2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86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6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2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86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6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86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6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86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6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6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86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6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86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86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6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86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6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86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6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86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6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2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86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6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86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6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86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6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86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86"/>
      <c r="P142" s="67"/>
      <c r="Q142" s="86"/>
      <c r="R142" s="86"/>
      <c r="S142" s="60"/>
      <c r="T142" s="62"/>
      <c r="U142" s="62"/>
      <c r="V142" s="62"/>
      <c r="W142" s="61"/>
      <c r="X142" s="62"/>
      <c r="Y142" s="62"/>
      <c r="Z142" s="66"/>
      <c r="AA142" s="86"/>
      <c r="AB142" s="67"/>
      <c r="AC142" s="86"/>
      <c r="AD142" s="86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86"/>
      <c r="P143" s="68"/>
      <c r="Q143" s="86"/>
      <c r="R143" s="86"/>
      <c r="S143" s="60"/>
      <c r="T143" s="62"/>
      <c r="U143" s="62"/>
      <c r="V143" s="62"/>
      <c r="W143" s="61"/>
      <c r="X143" s="62"/>
      <c r="Y143" s="62"/>
      <c r="Z143" s="66"/>
      <c r="AA143" s="86"/>
      <c r="AB143" s="68"/>
      <c r="AC143" s="86"/>
      <c r="AD143" s="86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86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6"/>
      <c r="AB144" s="69"/>
      <c r="AC144" s="86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86"/>
      <c r="P145" s="69"/>
      <c r="Q145" s="86"/>
      <c r="R145" s="86"/>
      <c r="S145" s="60"/>
      <c r="T145" s="62"/>
      <c r="U145" s="62"/>
      <c r="V145" s="62"/>
      <c r="W145" s="61"/>
      <c r="X145" s="62"/>
      <c r="Y145" s="62"/>
      <c r="Z145" s="66"/>
      <c r="AA145" s="86"/>
      <c r="AB145" s="69"/>
      <c r="AC145" s="86"/>
      <c r="AD145" s="86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86"/>
      <c r="P146" s="69"/>
      <c r="Q146" s="86"/>
      <c r="R146" s="86"/>
      <c r="S146" s="60"/>
      <c r="T146" s="62"/>
      <c r="U146" s="62"/>
      <c r="V146" s="62"/>
      <c r="W146" s="61"/>
      <c r="X146" s="62"/>
      <c r="Y146" s="62"/>
      <c r="Z146" s="66"/>
      <c r="AA146" s="86"/>
      <c r="AB146" s="69"/>
      <c r="AC146" s="86"/>
      <c r="AD146" s="86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86"/>
      <c r="P147" s="69"/>
      <c r="Q147" s="86"/>
      <c r="R147" s="86"/>
      <c r="S147" s="60"/>
      <c r="T147" s="62"/>
      <c r="U147" s="62"/>
      <c r="V147" s="62"/>
      <c r="W147" s="61"/>
      <c r="X147" s="62"/>
      <c r="Y147" s="62"/>
      <c r="Z147" s="66"/>
      <c r="AA147" s="86"/>
      <c r="AB147" s="69"/>
      <c r="AC147" s="86"/>
      <c r="AD147" s="86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86"/>
      <c r="P148" s="69"/>
      <c r="Q148" s="86"/>
      <c r="R148" s="86"/>
      <c r="S148" s="60"/>
      <c r="T148" s="62"/>
      <c r="U148" s="62"/>
      <c r="V148" s="62"/>
      <c r="W148" s="61"/>
      <c r="X148" s="62"/>
      <c r="Y148" s="62"/>
      <c r="Z148" s="66"/>
      <c r="AA148" s="86"/>
      <c r="AB148" s="69"/>
      <c r="AC148" s="86"/>
      <c r="AD148" s="86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86"/>
      <c r="P149" s="69"/>
      <c r="Q149" s="86"/>
      <c r="R149" s="86"/>
      <c r="S149" s="60"/>
      <c r="T149" s="62"/>
      <c r="U149" s="62"/>
      <c r="V149" s="62"/>
      <c r="W149" s="61"/>
      <c r="X149" s="62"/>
      <c r="Y149" s="62"/>
      <c r="Z149" s="66"/>
      <c r="AA149" s="86"/>
      <c r="AB149" s="69"/>
      <c r="AC149" s="86"/>
      <c r="AD149" s="86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86"/>
      <c r="P150" s="69"/>
      <c r="Q150" s="86"/>
      <c r="R150" s="86"/>
      <c r="S150" s="60"/>
      <c r="T150" s="62"/>
      <c r="U150" s="62"/>
      <c r="V150" s="62"/>
      <c r="W150" s="61"/>
      <c r="X150" s="62"/>
      <c r="Y150" s="62"/>
      <c r="Z150" s="66"/>
      <c r="AA150" s="86"/>
      <c r="AB150" s="69"/>
      <c r="AC150" s="86"/>
      <c r="AD150" s="86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86"/>
      <c r="P151" s="69"/>
      <c r="Q151" s="86"/>
      <c r="R151" s="86"/>
      <c r="S151" s="60"/>
      <c r="T151" s="62"/>
      <c r="U151" s="62"/>
      <c r="V151" s="62"/>
      <c r="W151" s="61"/>
      <c r="X151" s="62"/>
      <c r="Y151" s="62"/>
      <c r="Z151" s="66"/>
      <c r="AA151" s="86"/>
      <c r="AB151" s="69"/>
      <c r="AC151" s="86"/>
      <c r="AD151" s="86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86"/>
      <c r="P152" s="69"/>
      <c r="Q152" s="86"/>
      <c r="R152" s="86"/>
      <c r="S152" s="60"/>
      <c r="T152" s="62"/>
      <c r="U152" s="62"/>
      <c r="V152" s="62"/>
      <c r="W152" s="61"/>
      <c r="X152" s="62"/>
      <c r="Y152" s="62"/>
      <c r="Z152" s="66"/>
      <c r="AA152" s="86"/>
      <c r="AB152" s="69"/>
      <c r="AC152" s="86"/>
      <c r="AD152" s="86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86"/>
      <c r="P153" s="69"/>
      <c r="Q153" s="86"/>
      <c r="R153" s="86"/>
      <c r="S153" s="60"/>
      <c r="T153" s="62"/>
      <c r="U153" s="62"/>
      <c r="V153" s="62"/>
      <c r="W153" s="61"/>
      <c r="X153" s="62"/>
      <c r="Y153" s="62"/>
      <c r="Z153" s="66"/>
      <c r="AA153" s="86"/>
      <c r="AB153" s="69"/>
      <c r="AC153" s="86"/>
      <c r="AD153" s="86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86"/>
      <c r="P154" s="69"/>
      <c r="Q154" s="86"/>
      <c r="R154" s="86"/>
      <c r="S154" s="60"/>
      <c r="T154" s="62"/>
      <c r="U154" s="62"/>
      <c r="V154" s="62"/>
      <c r="W154" s="61"/>
      <c r="X154" s="62"/>
      <c r="Y154" s="62"/>
      <c r="Z154" s="66"/>
      <c r="AA154" s="86"/>
      <c r="AB154" s="69"/>
      <c r="AC154" s="86"/>
      <c r="AD154" s="86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86"/>
      <c r="P155" s="69"/>
      <c r="Q155" s="86"/>
      <c r="R155" s="86"/>
      <c r="S155" s="60"/>
      <c r="T155" s="62"/>
      <c r="U155" s="62"/>
      <c r="V155" s="62"/>
      <c r="W155" s="61"/>
      <c r="X155" s="62"/>
      <c r="Y155" s="62"/>
      <c r="Z155" s="66"/>
      <c r="AA155" s="86"/>
      <c r="AB155" s="69"/>
      <c r="AC155" s="86"/>
      <c r="AD155" s="86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6"/>
      <c r="P156" s="69"/>
      <c r="Q156" s="86"/>
      <c r="R156" s="86"/>
      <c r="S156" s="60"/>
      <c r="T156" s="62"/>
      <c r="U156" s="62"/>
      <c r="V156" s="62"/>
      <c r="W156" s="61"/>
      <c r="X156" s="62"/>
      <c r="Y156" s="62"/>
      <c r="Z156" s="66"/>
      <c r="AA156" s="86"/>
      <c r="AB156" s="69"/>
      <c r="AC156" s="86"/>
      <c r="AD156" s="86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6"/>
      <c r="P157" s="69"/>
      <c r="Q157" s="86"/>
      <c r="R157" s="86"/>
      <c r="S157" s="60"/>
      <c r="T157" s="62"/>
      <c r="U157" s="62"/>
      <c r="V157" s="62"/>
      <c r="W157" s="61"/>
      <c r="X157" s="62"/>
      <c r="Y157" s="62"/>
      <c r="Z157" s="66"/>
      <c r="AA157" s="86"/>
      <c r="AB157" s="69"/>
      <c r="AC157" s="86"/>
      <c r="AD157" s="86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6"/>
      <c r="R158" s="86"/>
      <c r="S158" s="60"/>
      <c r="T158" s="62"/>
      <c r="U158" s="62"/>
      <c r="V158" s="62"/>
      <c r="W158" s="61"/>
      <c r="X158" s="62"/>
      <c r="Y158" s="62"/>
      <c r="Z158" s="66"/>
      <c r="AA158" s="86"/>
      <c r="AB158" s="69"/>
      <c r="AC158" s="86"/>
      <c r="AD158" s="86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6"/>
      <c r="P159" s="69"/>
      <c r="Q159" s="86"/>
      <c r="R159" s="86"/>
      <c r="S159" s="60"/>
      <c r="T159" s="62"/>
      <c r="U159" s="62"/>
      <c r="V159" s="62"/>
      <c r="W159" s="61"/>
      <c r="X159" s="62"/>
      <c r="Y159" s="62"/>
      <c r="Z159" s="66"/>
      <c r="AA159" s="86"/>
      <c r="AB159" s="69"/>
      <c r="AC159" s="86"/>
      <c r="AD159" s="86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6"/>
      <c r="P160" s="69"/>
      <c r="Q160" s="86"/>
      <c r="R160" s="86"/>
      <c r="S160" s="60"/>
      <c r="T160" s="62"/>
      <c r="U160" s="62"/>
      <c r="V160" s="62"/>
      <c r="W160" s="61"/>
      <c r="X160" s="62"/>
      <c r="Y160" s="62"/>
      <c r="Z160" s="66"/>
      <c r="AA160" s="86"/>
      <c r="AB160" s="69"/>
      <c r="AC160" s="86"/>
      <c r="AD160" s="86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6"/>
      <c r="R161" s="86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6"/>
      <c r="AD161" s="86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86"/>
      <c r="P162" s="69"/>
      <c r="Q162" s="86"/>
      <c r="R162" s="86"/>
      <c r="S162" s="60"/>
      <c r="T162" s="62"/>
      <c r="U162" s="62"/>
      <c r="V162" s="62"/>
      <c r="W162" s="61"/>
      <c r="X162" s="62"/>
      <c r="Y162" s="62"/>
      <c r="Z162" s="66"/>
      <c r="AA162" s="86"/>
      <c r="AB162" s="69"/>
      <c r="AC162" s="86"/>
      <c r="AD162" s="86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6"/>
      <c r="O163" s="86"/>
      <c r="P163" s="86"/>
      <c r="Q163" s="86"/>
      <c r="R163" s="86"/>
      <c r="S163" s="86"/>
      <c r="T163" s="62"/>
      <c r="U163" s="62"/>
      <c r="V163" s="62"/>
      <c r="W163" s="61"/>
      <c r="X163" s="62"/>
      <c r="Y163" s="62"/>
      <c r="Z163" s="86"/>
      <c r="AA163" s="86"/>
      <c r="AB163" s="86"/>
      <c r="AC163" s="86"/>
      <c r="AD163" s="86"/>
      <c r="AE163" s="86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6"/>
      <c r="O164" s="86"/>
      <c r="P164" s="86"/>
      <c r="Q164" s="86"/>
      <c r="R164" s="86"/>
      <c r="S164" s="86"/>
      <c r="T164" s="62"/>
      <c r="U164" s="62"/>
      <c r="V164" s="62"/>
      <c r="W164" s="62"/>
      <c r="X164" s="62"/>
      <c r="Y164" s="62"/>
      <c r="Z164" s="86"/>
      <c r="AA164" s="86"/>
      <c r="AB164" s="86"/>
      <c r="AC164" s="86"/>
      <c r="AD164" s="86"/>
      <c r="AE164" s="86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86"/>
      <c r="O165" s="86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6"/>
      <c r="AA165" s="86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42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3" t="s">
        <v>17</v>
      </c>
      <c r="E175" s="123"/>
      <c r="F175" s="90"/>
      <c r="G175" s="27"/>
      <c r="I175" s="121" t="s">
        <v>18</v>
      </c>
      <c r="J175" s="122"/>
      <c r="K175" s="119" t="s">
        <v>19</v>
      </c>
      <c r="N175" s="25"/>
      <c r="O175" s="26"/>
      <c r="P175" s="123" t="s">
        <v>17</v>
      </c>
      <c r="Q175" s="123"/>
      <c r="R175" s="90"/>
      <c r="S175" s="27"/>
      <c r="U175" s="121" t="s">
        <v>18</v>
      </c>
      <c r="V175" s="122"/>
      <c r="W175" s="119" t="s">
        <v>19</v>
      </c>
      <c r="Z175" s="25"/>
      <c r="AA175" s="26"/>
      <c r="AB175" s="123" t="s">
        <v>17</v>
      </c>
      <c r="AC175" s="123"/>
      <c r="AD175" s="90"/>
      <c r="AE175" s="27"/>
      <c r="AG175" s="121" t="s">
        <v>18</v>
      </c>
      <c r="AH175" s="122"/>
      <c r="AI175" s="119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2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2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20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2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2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2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2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2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5"/>
      <c r="AN181" s="125"/>
      <c r="AO181" s="125"/>
      <c r="AP181" s="85"/>
      <c r="AQ181" s="62"/>
      <c r="AR181" s="125"/>
      <c r="AS181" s="125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2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2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2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2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2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2"/>
      <c r="C222" s="92"/>
      <c r="D222" s="92"/>
      <c r="E222" s="92"/>
      <c r="F222" s="92"/>
      <c r="G222" s="92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2"/>
      <c r="C223" s="92"/>
      <c r="D223" s="92"/>
      <c r="E223" s="92"/>
      <c r="F223" s="92"/>
      <c r="G223" s="92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2"/>
      <c r="C224" s="92"/>
      <c r="D224" s="92"/>
      <c r="E224" s="92"/>
      <c r="F224" s="92"/>
      <c r="G224" s="92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2"/>
      <c r="C225" s="92"/>
      <c r="D225" s="92"/>
      <c r="E225" s="92"/>
      <c r="F225" s="92"/>
      <c r="G225" s="92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2"/>
      <c r="C226" s="92"/>
      <c r="D226" s="92"/>
      <c r="E226" s="92"/>
      <c r="F226" s="92"/>
      <c r="G226" s="92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2"/>
      <c r="C227" s="92"/>
      <c r="D227" s="92"/>
      <c r="E227" s="92"/>
      <c r="F227" s="92"/>
      <c r="G227" s="92"/>
      <c r="H227" s="62"/>
      <c r="I227" s="92"/>
      <c r="J227" s="73"/>
      <c r="K227" s="62"/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2"/>
      <c r="C228" s="92"/>
      <c r="D228" s="92"/>
      <c r="E228" s="92"/>
      <c r="F228" s="92"/>
      <c r="G228" s="92"/>
      <c r="H228" s="62"/>
      <c r="I228" s="65"/>
      <c r="J228" s="65"/>
      <c r="K228" s="62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2"/>
      <c r="C229" s="92"/>
      <c r="D229" s="92"/>
      <c r="E229" s="92"/>
      <c r="F229" s="92"/>
      <c r="G229" s="92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2"/>
      <c r="D230" s="125"/>
      <c r="E230" s="125"/>
      <c r="F230" s="92"/>
      <c r="G230" s="92"/>
      <c r="H230" s="62"/>
      <c r="I230" s="125"/>
      <c r="J230" s="125"/>
      <c r="K230" s="124"/>
      <c r="N230" s="25"/>
      <c r="O230" s="26"/>
      <c r="P230" s="123" t="s">
        <v>17</v>
      </c>
      <c r="Q230" s="123"/>
      <c r="R230" s="93"/>
      <c r="S230" s="27"/>
      <c r="U230" s="121" t="s">
        <v>18</v>
      </c>
      <c r="V230" s="122"/>
      <c r="W230" s="119" t="s">
        <v>19</v>
      </c>
      <c r="Z230" s="25"/>
      <c r="AA230" s="26"/>
      <c r="AB230" s="123" t="s">
        <v>17</v>
      </c>
      <c r="AC230" s="123"/>
      <c r="AD230" s="93"/>
      <c r="AE230" s="27"/>
      <c r="AG230" s="121" t="s">
        <v>18</v>
      </c>
      <c r="AH230" s="122"/>
      <c r="AI230" s="11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2"/>
      <c r="C231" s="92"/>
      <c r="D231" s="79"/>
      <c r="E231" s="80"/>
      <c r="F231" s="81"/>
      <c r="G231" s="81"/>
      <c r="H231" s="62"/>
      <c r="I231" s="91"/>
      <c r="J231" s="91"/>
      <c r="K231" s="12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2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2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3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3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3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3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3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3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3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3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3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3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3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3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3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3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3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2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3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3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3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3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3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3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3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3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3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3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3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3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3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3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3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3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3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3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2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2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2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2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2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2"/>
      <c r="C274" s="92"/>
      <c r="D274" s="92"/>
      <c r="E274" s="92"/>
      <c r="F274" s="92"/>
      <c r="G274" s="92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2"/>
      <c r="C275" s="92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6"/>
      <c r="C277" s="86"/>
      <c r="D277" s="86"/>
      <c r="E277" s="86"/>
      <c r="F277" s="86"/>
      <c r="G277" s="86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6"/>
      <c r="C278" s="86"/>
      <c r="D278" s="86"/>
      <c r="E278" s="86"/>
      <c r="F278" s="86"/>
      <c r="G278" s="86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6"/>
      <c r="C279" s="86"/>
      <c r="D279" s="86"/>
      <c r="E279" s="86"/>
      <c r="F279" s="86"/>
      <c r="G279" s="86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6"/>
      <c r="C280" s="86"/>
      <c r="D280" s="86"/>
      <c r="E280" s="86"/>
      <c r="F280" s="86"/>
      <c r="G280" s="86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6"/>
      <c r="C281" s="86"/>
      <c r="D281" s="86"/>
      <c r="E281" s="86"/>
      <c r="F281" s="86"/>
      <c r="G281" s="86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6"/>
      <c r="C282" s="86"/>
      <c r="D282" s="86"/>
      <c r="E282" s="86"/>
      <c r="F282" s="86"/>
      <c r="G282" s="86"/>
      <c r="H282" s="62"/>
      <c r="I282" s="86"/>
      <c r="J282" s="73"/>
      <c r="K282" s="62"/>
      <c r="M282" t="s">
        <v>64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64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6"/>
      <c r="C283" s="86"/>
      <c r="D283" s="86"/>
      <c r="E283" s="86"/>
      <c r="F283" s="86"/>
      <c r="G283" s="86"/>
      <c r="H283" s="62"/>
      <c r="I283" s="65"/>
      <c r="J283" s="65"/>
      <c r="K283" s="62"/>
      <c r="M283" s="21" t="s">
        <v>91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91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6"/>
      <c r="C284" s="86"/>
      <c r="D284" s="86"/>
      <c r="E284" s="86"/>
      <c r="F284" s="86"/>
      <c r="G284" s="86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6"/>
      <c r="D285" s="125"/>
      <c r="E285" s="125"/>
      <c r="F285" s="86"/>
      <c r="G285" s="86"/>
      <c r="H285" s="62"/>
      <c r="I285" s="125"/>
      <c r="J285" s="125"/>
      <c r="K285" s="124"/>
      <c r="N285" s="25"/>
      <c r="O285" s="26"/>
      <c r="P285" s="123" t="s">
        <v>17</v>
      </c>
      <c r="Q285" s="123"/>
      <c r="R285" s="94"/>
      <c r="S285" s="27"/>
      <c r="U285" s="121" t="s">
        <v>18</v>
      </c>
      <c r="V285" s="122"/>
      <c r="W285" s="119" t="s">
        <v>19</v>
      </c>
      <c r="Z285" s="25"/>
      <c r="AA285" s="26"/>
      <c r="AB285" s="123" t="s">
        <v>17</v>
      </c>
      <c r="AC285" s="123"/>
      <c r="AD285" s="94"/>
      <c r="AE285" s="27"/>
      <c r="AG285" s="121" t="s">
        <v>18</v>
      </c>
      <c r="AH285" s="122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6"/>
      <c r="C286" s="86"/>
      <c r="D286" s="79"/>
      <c r="E286" s="80"/>
      <c r="F286" s="81"/>
      <c r="G286" s="81"/>
      <c r="H286" s="62"/>
      <c r="I286" s="87"/>
      <c r="J286" s="87"/>
      <c r="K286" s="12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2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2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3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3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3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3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3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3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3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3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3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3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3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3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3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3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3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6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3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3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3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3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3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3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3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3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3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3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3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3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3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3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3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3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3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3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6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6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6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6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6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6"/>
      <c r="C329" s="86"/>
      <c r="D329" s="86"/>
      <c r="E329" s="86"/>
      <c r="F329" s="86"/>
      <c r="G329" s="86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6"/>
      <c r="C330" s="86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42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3" t="s">
        <v>17</v>
      </c>
      <c r="E340" s="123"/>
      <c r="F340" s="95"/>
      <c r="G340" s="27"/>
      <c r="I340" s="121" t="s">
        <v>18</v>
      </c>
      <c r="J340" s="122"/>
      <c r="K340" s="119" t="s">
        <v>19</v>
      </c>
      <c r="N340" s="25"/>
      <c r="O340" s="26"/>
      <c r="P340" s="123" t="s">
        <v>17</v>
      </c>
      <c r="Q340" s="123"/>
      <c r="R340" s="95"/>
      <c r="S340" s="27"/>
      <c r="U340" s="121" t="s">
        <v>18</v>
      </c>
      <c r="V340" s="122"/>
      <c r="W340" s="119" t="s">
        <v>19</v>
      </c>
      <c r="Z340" s="25"/>
      <c r="AA340" s="26"/>
      <c r="AB340" s="123" t="s">
        <v>17</v>
      </c>
      <c r="AC340" s="123"/>
      <c r="AD340" s="95"/>
      <c r="AE340" s="27"/>
      <c r="AG340" s="121" t="s">
        <v>18</v>
      </c>
      <c r="AH340" s="122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2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20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2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2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2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2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2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2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2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2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2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2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2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2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2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2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2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44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42</v>
      </c>
      <c r="K393" s="24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58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3" t="s">
        <v>17</v>
      </c>
      <c r="E395" s="123"/>
      <c r="F395" s="96"/>
      <c r="G395" s="27"/>
      <c r="I395" s="121" t="s">
        <v>18</v>
      </c>
      <c r="J395" s="122"/>
      <c r="K395" s="119" t="s">
        <v>19</v>
      </c>
      <c r="M395" s="62"/>
      <c r="N395" s="65"/>
      <c r="O395" s="86"/>
      <c r="P395" s="125"/>
      <c r="Q395" s="125"/>
      <c r="R395" s="86"/>
      <c r="S395" s="86"/>
      <c r="T395" s="62"/>
      <c r="U395" s="125"/>
      <c r="V395" s="125"/>
      <c r="W395" s="124"/>
      <c r="Z395" s="25"/>
      <c r="AA395" s="26"/>
      <c r="AB395" s="123" t="s">
        <v>17</v>
      </c>
      <c r="AC395" s="123"/>
      <c r="AD395" s="96"/>
      <c r="AE395" s="27"/>
      <c r="AG395" s="121" t="s">
        <v>18</v>
      </c>
      <c r="AH395" s="122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20"/>
      <c r="M396" s="62"/>
      <c r="N396" s="86"/>
      <c r="O396" s="86"/>
      <c r="P396" s="79"/>
      <c r="Q396" s="81"/>
      <c r="R396" s="81"/>
      <c r="S396" s="81"/>
      <c r="T396" s="62"/>
      <c r="U396" s="87"/>
      <c r="V396" s="87"/>
      <c r="W396" s="12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2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2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2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2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2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2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2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2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2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2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86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86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2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2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86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86"/>
      <c r="P420" s="69"/>
      <c r="Q420" s="86"/>
      <c r="R420" s="86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42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125"/>
      <c r="E450" s="125"/>
      <c r="F450" s="86"/>
      <c r="G450" s="86"/>
      <c r="H450" s="62"/>
      <c r="I450" s="125"/>
      <c r="J450" s="125"/>
      <c r="K450" s="124"/>
      <c r="N450" s="25"/>
      <c r="O450" s="26"/>
      <c r="P450" s="123" t="s">
        <v>17</v>
      </c>
      <c r="Q450" s="123"/>
      <c r="R450" s="97"/>
      <c r="S450" s="27"/>
      <c r="U450" s="121" t="s">
        <v>18</v>
      </c>
      <c r="V450" s="122"/>
      <c r="W450" s="119" t="s">
        <v>19</v>
      </c>
      <c r="Z450" s="25"/>
      <c r="AA450" s="26"/>
      <c r="AB450" s="123" t="s">
        <v>17</v>
      </c>
      <c r="AC450" s="123"/>
      <c r="AD450" s="97"/>
      <c r="AE450" s="27"/>
      <c r="AG450" s="121" t="s">
        <v>18</v>
      </c>
      <c r="AH450" s="122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86"/>
      <c r="C451" s="86"/>
      <c r="D451" s="79"/>
      <c r="E451" s="80"/>
      <c r="F451" s="81"/>
      <c r="G451" s="81"/>
      <c r="H451" s="62"/>
      <c r="I451" s="87"/>
      <c r="J451" s="87"/>
      <c r="K451" s="12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2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2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3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3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3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3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3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3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3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3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3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3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3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3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3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3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3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3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3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3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3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3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3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3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3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3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3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3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3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3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99"/>
      <c r="AA497" s="99"/>
      <c r="AB497" s="99"/>
      <c r="AC497" s="99"/>
      <c r="AD497" s="99"/>
      <c r="AE497" s="9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99"/>
      <c r="AA498" s="99"/>
      <c r="AB498" s="99"/>
      <c r="AC498" s="99"/>
      <c r="AD498" s="99"/>
      <c r="AE498" s="9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99"/>
      <c r="AA499" s="99"/>
      <c r="AB499" s="99"/>
      <c r="AC499" s="99"/>
      <c r="AD499" s="99"/>
      <c r="AE499" s="9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99"/>
      <c r="AA500" s="99"/>
      <c r="AB500" s="99"/>
      <c r="AC500" s="99"/>
      <c r="AD500" s="99"/>
      <c r="AE500" s="9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99"/>
      <c r="AA501" s="99"/>
      <c r="AB501" s="99"/>
      <c r="AC501" s="99"/>
      <c r="AD501" s="99"/>
      <c r="AE501" s="99"/>
      <c r="AF501" s="62"/>
      <c r="AG501" s="99"/>
      <c r="AH501" s="99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50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99"/>
      <c r="AA502" s="99"/>
      <c r="AB502" s="99"/>
      <c r="AC502" s="99"/>
      <c r="AD502" s="99"/>
      <c r="AE502" s="99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90</v>
      </c>
      <c r="B503" s="20"/>
      <c r="C503" s="57"/>
      <c r="D503" s="57"/>
      <c r="E503" s="57"/>
      <c r="G503" s="57"/>
      <c r="I503" s="22" t="s">
        <v>16</v>
      </c>
      <c r="J503" s="23" t="s">
        <v>42</v>
      </c>
      <c r="K503" s="24"/>
      <c r="M503" s="21" t="s">
        <v>90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99"/>
      <c r="AA503" s="99"/>
      <c r="AB503" s="99"/>
      <c r="AC503" s="99"/>
      <c r="AD503" s="99"/>
      <c r="AE503" s="99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99"/>
      <c r="AB504" s="125"/>
      <c r="AC504" s="125"/>
      <c r="AD504" s="99"/>
      <c r="AE504" s="99"/>
      <c r="AF504" s="62"/>
      <c r="AG504" s="125"/>
      <c r="AH504" s="125"/>
      <c r="AI504" s="124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3" t="s">
        <v>17</v>
      </c>
      <c r="E505" s="123"/>
      <c r="F505" s="100"/>
      <c r="G505" s="27"/>
      <c r="I505" s="121" t="s">
        <v>18</v>
      </c>
      <c r="J505" s="122"/>
      <c r="K505" s="119" t="s">
        <v>19</v>
      </c>
      <c r="N505" s="25"/>
      <c r="O505" s="26"/>
      <c r="P505" s="123" t="s">
        <v>17</v>
      </c>
      <c r="Q505" s="123"/>
      <c r="R505" s="100"/>
      <c r="S505" s="27"/>
      <c r="U505" s="121" t="s">
        <v>18</v>
      </c>
      <c r="V505" s="122"/>
      <c r="W505" s="119" t="s">
        <v>19</v>
      </c>
      <c r="Y505" s="62"/>
      <c r="Z505" s="99"/>
      <c r="AA505" s="99"/>
      <c r="AB505" s="79"/>
      <c r="AC505" s="81"/>
      <c r="AD505" s="81"/>
      <c r="AE505" s="81"/>
      <c r="AF505" s="62"/>
      <c r="AG505" s="98"/>
      <c r="AH505" s="98"/>
      <c r="AI505" s="12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2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20"/>
      <c r="Y506" s="62"/>
      <c r="Z506" s="66"/>
      <c r="AA506" s="99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2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9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2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9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2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99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2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99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2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99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2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99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99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2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99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99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2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9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2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2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9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2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9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2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99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9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9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99"/>
      <c r="AB526" s="67"/>
      <c r="AC526" s="99"/>
      <c r="AD526" s="99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2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99"/>
      <c r="AB527" s="68"/>
      <c r="AC527" s="99"/>
      <c r="AD527" s="9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99"/>
      <c r="AB528" s="69"/>
      <c r="AC528" s="99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99"/>
      <c r="AB529" s="69"/>
      <c r="AC529" s="99"/>
      <c r="AD529" s="99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99"/>
      <c r="AB530" s="69"/>
      <c r="AC530" s="99"/>
      <c r="AD530" s="9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99"/>
      <c r="AB531" s="69"/>
      <c r="AC531" s="99"/>
      <c r="AD531" s="9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99"/>
      <c r="AB532" s="69"/>
      <c r="AC532" s="99"/>
      <c r="AD532" s="9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99"/>
      <c r="AB533" s="69"/>
      <c r="AC533" s="99"/>
      <c r="AD533" s="9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99"/>
      <c r="AB534" s="69"/>
      <c r="AC534" s="99"/>
      <c r="AD534" s="9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99"/>
      <c r="AB535" s="69"/>
      <c r="AC535" s="99"/>
      <c r="AD535" s="9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99"/>
      <c r="AB536" s="69"/>
      <c r="AC536" s="99"/>
      <c r="AD536" s="9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99"/>
      <c r="AB537" s="69"/>
      <c r="AC537" s="99"/>
      <c r="AD537" s="9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99"/>
      <c r="AB538" s="69"/>
      <c r="AC538" s="99"/>
      <c r="AD538" s="9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99"/>
      <c r="AB539" s="69"/>
      <c r="AC539" s="99"/>
      <c r="AD539" s="9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99"/>
      <c r="AB540" s="69"/>
      <c r="AC540" s="99"/>
      <c r="AD540" s="9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99"/>
      <c r="AB541" s="69"/>
      <c r="AC541" s="99"/>
      <c r="AD541" s="9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99"/>
      <c r="AB542" s="69"/>
      <c r="AC542" s="99"/>
      <c r="AD542" s="9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99"/>
      <c r="AB543" s="69"/>
      <c r="AC543" s="99"/>
      <c r="AD543" s="9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99"/>
      <c r="AB544" s="69"/>
      <c r="AC544" s="99"/>
      <c r="AD544" s="9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99"/>
      <c r="AD545" s="9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99"/>
      <c r="AB546" s="69"/>
      <c r="AC546" s="99"/>
      <c r="AD546" s="9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99"/>
      <c r="AA547" s="99"/>
      <c r="AB547" s="99"/>
      <c r="AC547" s="99"/>
      <c r="AD547" s="99"/>
      <c r="AE547" s="99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99"/>
      <c r="AA548" s="99"/>
      <c r="AB548" s="99"/>
      <c r="AC548" s="99"/>
      <c r="AD548" s="99"/>
      <c r="AE548" s="99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99"/>
      <c r="AA549" s="99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64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42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3" t="s">
        <v>17</v>
      </c>
      <c r="E560" s="123"/>
      <c r="F560" s="101"/>
      <c r="G560" s="27"/>
      <c r="I560" s="121" t="s">
        <v>18</v>
      </c>
      <c r="J560" s="122"/>
      <c r="K560" s="119" t="s">
        <v>19</v>
      </c>
      <c r="N560" s="25"/>
      <c r="O560" s="26"/>
      <c r="P560" s="123" t="s">
        <v>17</v>
      </c>
      <c r="Q560" s="123"/>
      <c r="R560" s="101"/>
      <c r="S560" s="27"/>
      <c r="U560" s="121" t="s">
        <v>18</v>
      </c>
      <c r="V560" s="122"/>
      <c r="W560" s="119" t="s">
        <v>19</v>
      </c>
      <c r="Z560" s="25"/>
      <c r="AA560" s="26"/>
      <c r="AB560" s="123" t="s">
        <v>17</v>
      </c>
      <c r="AC560" s="123"/>
      <c r="AD560" s="101"/>
      <c r="AE560" s="27"/>
      <c r="AG560" s="121" t="s">
        <v>18</v>
      </c>
      <c r="AH560" s="122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20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2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2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2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66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66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2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66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66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2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67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67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82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68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69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2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70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71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2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2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2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2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2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40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40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40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72</v>
      </c>
      <c r="B613" s="20"/>
      <c r="C613" s="57"/>
      <c r="D613" s="57"/>
      <c r="E613" s="57"/>
      <c r="G613" s="57"/>
      <c r="I613" s="22" t="s">
        <v>16</v>
      </c>
      <c r="J613" s="23" t="s">
        <v>42</v>
      </c>
      <c r="K613" s="24"/>
      <c r="M613" s="21" t="s">
        <v>72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72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3" t="s">
        <v>17</v>
      </c>
      <c r="E615" s="123"/>
      <c r="F615" s="102"/>
      <c r="G615" s="27"/>
      <c r="I615" s="121" t="s">
        <v>18</v>
      </c>
      <c r="J615" s="122"/>
      <c r="K615" s="119" t="s">
        <v>19</v>
      </c>
      <c r="N615" s="25"/>
      <c r="O615" s="26"/>
      <c r="P615" s="123" t="s">
        <v>17</v>
      </c>
      <c r="Q615" s="123"/>
      <c r="R615" s="102"/>
      <c r="S615" s="27"/>
      <c r="U615" s="121" t="s">
        <v>18</v>
      </c>
      <c r="V615" s="122"/>
      <c r="W615" s="119" t="s">
        <v>19</v>
      </c>
      <c r="Z615" s="25"/>
      <c r="AA615" s="26"/>
      <c r="AB615" s="123" t="s">
        <v>17</v>
      </c>
      <c r="AC615" s="123"/>
      <c r="AD615" s="102"/>
      <c r="AE615" s="27"/>
      <c r="AG615" s="121" t="s">
        <v>18</v>
      </c>
      <c r="AH615" s="122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20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2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2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73</v>
      </c>
      <c r="C617" s="82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73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73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73</v>
      </c>
      <c r="C618" s="82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73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73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73</v>
      </c>
      <c r="C619" s="82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73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73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73</v>
      </c>
      <c r="C620" s="82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73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73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73</v>
      </c>
      <c r="C621" s="82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73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 t="s">
        <v>107</v>
      </c>
      <c r="AA621" s="57">
        <v>11101</v>
      </c>
      <c r="AB621" s="32">
        <v>5151.3500000000004</v>
      </c>
      <c r="AC621" s="32"/>
      <c r="AD621" s="32"/>
      <c r="AE621" s="32">
        <f t="shared" ref="AE621:AE649" si="161">SUM(AB621:AC621)</f>
        <v>5151.3500000000004</v>
      </c>
      <c r="AF621" s="12"/>
      <c r="AG621" s="12"/>
      <c r="AH621" s="12"/>
      <c r="AI621" s="12">
        <f t="shared" si="157"/>
        <v>5151.3500000000004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73</v>
      </c>
      <c r="C622" s="82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73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2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2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2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2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2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2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2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2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2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2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2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506387.35</v>
      </c>
      <c r="AC660" s="38">
        <f>SUM(AC617:AC641)</f>
        <v>-2016</v>
      </c>
      <c r="AD660" s="38">
        <f>SUM(AD617:AD641)</f>
        <v>0</v>
      </c>
      <c r="AE660" s="38">
        <f>SUM(AE617:AE659)</f>
        <v>504371.35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503000.35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75</v>
      </c>
      <c r="B668" s="20"/>
      <c r="C668" s="57"/>
      <c r="D668" s="57"/>
      <c r="E668" s="57"/>
      <c r="G668" s="57"/>
      <c r="I668" s="22" t="s">
        <v>16</v>
      </c>
      <c r="J668" s="23" t="s">
        <v>42</v>
      </c>
      <c r="K668" s="24"/>
      <c r="M668" s="21" t="s">
        <v>75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75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3" t="s">
        <v>17</v>
      </c>
      <c r="E670" s="123"/>
      <c r="F670" s="103"/>
      <c r="G670" s="27"/>
      <c r="I670" s="121" t="s">
        <v>18</v>
      </c>
      <c r="J670" s="122"/>
      <c r="K670" s="119" t="s">
        <v>19</v>
      </c>
      <c r="N670" s="25"/>
      <c r="O670" s="26"/>
      <c r="P670" s="123" t="s">
        <v>17</v>
      </c>
      <c r="Q670" s="123"/>
      <c r="R670" s="103"/>
      <c r="S670" s="27"/>
      <c r="U670" s="121" t="s">
        <v>18</v>
      </c>
      <c r="V670" s="122"/>
      <c r="W670" s="119" t="s">
        <v>19</v>
      </c>
      <c r="Z670" s="25"/>
      <c r="AA670" s="26"/>
      <c r="AB670" s="123" t="s">
        <v>17</v>
      </c>
      <c r="AC670" s="123"/>
      <c r="AD670" s="103"/>
      <c r="AE670" s="27"/>
      <c r="AG670" s="121" t="s">
        <v>18</v>
      </c>
      <c r="AH670" s="122"/>
      <c r="AI670" s="11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2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20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2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76</v>
      </c>
      <c r="C672" s="82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76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76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76</v>
      </c>
      <c r="C673" s="82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76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76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76</v>
      </c>
      <c r="C674" s="82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76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76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76</v>
      </c>
      <c r="C675" s="82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76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76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76</v>
      </c>
      <c r="C676" s="82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76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76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76</v>
      </c>
      <c r="C677" s="82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76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76</v>
      </c>
      <c r="C678" s="82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76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76</v>
      </c>
      <c r="C679" s="82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76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2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2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2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2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2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2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2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2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2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2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2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2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2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2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2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2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78</v>
      </c>
      <c r="B723" s="20"/>
      <c r="C723" s="57"/>
      <c r="D723" s="57"/>
      <c r="E723" s="57"/>
      <c r="G723" s="57"/>
      <c r="I723" s="22" t="s">
        <v>16</v>
      </c>
      <c r="J723" s="23" t="s">
        <v>42</v>
      </c>
      <c r="K723" s="24"/>
      <c r="M723" s="21" t="s">
        <v>78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78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3" t="s">
        <v>17</v>
      </c>
      <c r="E725" s="123"/>
      <c r="F725" s="104"/>
      <c r="G725" s="27"/>
      <c r="I725" s="121" t="s">
        <v>18</v>
      </c>
      <c r="J725" s="122"/>
      <c r="K725" s="119" t="s">
        <v>19</v>
      </c>
      <c r="N725" s="25"/>
      <c r="O725" s="26"/>
      <c r="P725" s="123" t="s">
        <v>17</v>
      </c>
      <c r="Q725" s="123"/>
      <c r="R725" s="104"/>
      <c r="S725" s="27"/>
      <c r="U725" s="121" t="s">
        <v>18</v>
      </c>
      <c r="V725" s="122"/>
      <c r="W725" s="119" t="s">
        <v>19</v>
      </c>
      <c r="Z725" s="25"/>
      <c r="AA725" s="26"/>
      <c r="AB725" s="123" t="s">
        <v>17</v>
      </c>
      <c r="AC725" s="123"/>
      <c r="AD725" s="104"/>
      <c r="AE725" s="27"/>
      <c r="AG725" s="121" t="s">
        <v>18</v>
      </c>
      <c r="AH725" s="122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20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20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2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79</v>
      </c>
      <c r="C727" s="82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79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79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79</v>
      </c>
      <c r="C728" s="82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79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79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79</v>
      </c>
      <c r="C729" s="82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79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79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79</v>
      </c>
      <c r="C730" s="82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79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79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79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2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79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2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79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2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2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2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2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2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2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2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2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2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2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2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2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2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2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2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2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2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2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7"/>
      <c r="C772" s="107"/>
      <c r="D772" s="107"/>
      <c r="E772" s="107"/>
      <c r="F772" s="107"/>
      <c r="G772" s="107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7"/>
      <c r="C773" s="107"/>
      <c r="D773" s="107"/>
      <c r="E773" s="107"/>
      <c r="F773" s="107"/>
      <c r="G773" s="107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7"/>
      <c r="C774" s="107"/>
      <c r="D774" s="107"/>
      <c r="E774" s="107"/>
      <c r="F774" s="107"/>
      <c r="G774" s="107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7"/>
      <c r="C775" s="107"/>
      <c r="D775" s="107"/>
      <c r="E775" s="107"/>
      <c r="F775" s="107"/>
      <c r="G775" s="107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7"/>
      <c r="C776" s="107"/>
      <c r="D776" s="107"/>
      <c r="E776" s="107"/>
      <c r="F776" s="107"/>
      <c r="G776" s="107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7"/>
      <c r="C777" s="107"/>
      <c r="D777" s="107"/>
      <c r="E777" s="107"/>
      <c r="F777" s="107"/>
      <c r="G777" s="107"/>
      <c r="H777" s="62"/>
      <c r="I777" s="107"/>
      <c r="J777" s="73"/>
      <c r="K777" s="62"/>
      <c r="M777" t="s">
        <v>50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50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7"/>
      <c r="C778" s="107"/>
      <c r="D778" s="107"/>
      <c r="E778" s="107"/>
      <c r="F778" s="107"/>
      <c r="G778" s="107"/>
      <c r="H778" s="62"/>
      <c r="I778" s="65"/>
      <c r="J778" s="65"/>
      <c r="K778" s="62"/>
      <c r="M778" s="21" t="s">
        <v>81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81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7"/>
      <c r="C779" s="107"/>
      <c r="D779" s="107"/>
      <c r="E779" s="107"/>
      <c r="F779" s="107"/>
      <c r="G779" s="107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7"/>
      <c r="D780" s="125"/>
      <c r="E780" s="125"/>
      <c r="F780" s="107"/>
      <c r="G780" s="107"/>
      <c r="H780" s="62"/>
      <c r="I780" s="125"/>
      <c r="J780" s="125"/>
      <c r="K780" s="124"/>
      <c r="N780" s="25"/>
      <c r="O780" s="26"/>
      <c r="P780" s="123" t="s">
        <v>17</v>
      </c>
      <c r="Q780" s="123"/>
      <c r="R780" s="105"/>
      <c r="S780" s="27"/>
      <c r="U780" s="121" t="s">
        <v>18</v>
      </c>
      <c r="V780" s="122"/>
      <c r="W780" s="119" t="s">
        <v>19</v>
      </c>
      <c r="Z780" s="25"/>
      <c r="AA780" s="26"/>
      <c r="AB780" s="123" t="s">
        <v>17</v>
      </c>
      <c r="AC780" s="123"/>
      <c r="AD780" s="105"/>
      <c r="AE780" s="27"/>
      <c r="AG780" s="121" t="s">
        <v>18</v>
      </c>
      <c r="AH780" s="122"/>
      <c r="AI780" s="119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7"/>
      <c r="C781" s="107"/>
      <c r="D781" s="79"/>
      <c r="E781" s="80"/>
      <c r="F781" s="81"/>
      <c r="G781" s="81"/>
      <c r="H781" s="62"/>
      <c r="I781" s="106"/>
      <c r="J781" s="106"/>
      <c r="K781" s="124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20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20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3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82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82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3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82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82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3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82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82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7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82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82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82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82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3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82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82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7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82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3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82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3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82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7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82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7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82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3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82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3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82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3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82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3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82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3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3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3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3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3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7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3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3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3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7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3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3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3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3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3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3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3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3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3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3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3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7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7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7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7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7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64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64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64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38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3" t="s">
        <v>17</v>
      </c>
      <c r="E835" s="123"/>
      <c r="F835" s="108"/>
      <c r="G835" s="27"/>
      <c r="I835" s="121" t="s">
        <v>18</v>
      </c>
      <c r="J835" s="122"/>
      <c r="K835" s="119" t="s">
        <v>19</v>
      </c>
      <c r="N835" s="25"/>
      <c r="O835" s="26"/>
      <c r="P835" s="123" t="s">
        <v>17</v>
      </c>
      <c r="Q835" s="123"/>
      <c r="R835" s="108"/>
      <c r="S835" s="27"/>
      <c r="U835" s="121" t="s">
        <v>18</v>
      </c>
      <c r="V835" s="122"/>
      <c r="W835" s="119" t="s">
        <v>19</v>
      </c>
      <c r="Z835" s="25"/>
      <c r="AA835" s="26"/>
      <c r="AB835" s="123" t="s">
        <v>17</v>
      </c>
      <c r="AC835" s="123"/>
      <c r="AD835" s="108"/>
      <c r="AE835" s="27"/>
      <c r="AG835" s="121" t="s">
        <v>18</v>
      </c>
      <c r="AH835" s="122"/>
      <c r="AI835" s="119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20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20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20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2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85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85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82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85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85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82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85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85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85</v>
      </c>
      <c r="C840" s="82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85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85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85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85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2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85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2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85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2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85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2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85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2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2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2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2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2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2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2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2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2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2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2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2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2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2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2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2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2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2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2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2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88</v>
      </c>
      <c r="B888" s="20"/>
      <c r="C888" s="57"/>
      <c r="D888" s="57"/>
      <c r="E888" s="57"/>
      <c r="G888" s="57"/>
      <c r="I888" s="22" t="s">
        <v>16</v>
      </c>
      <c r="J888" s="23" t="s">
        <v>38</v>
      </c>
      <c r="K888" s="24"/>
      <c r="M888" s="21" t="s">
        <v>88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88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3" t="s">
        <v>17</v>
      </c>
      <c r="E890" s="123"/>
      <c r="F890" s="109"/>
      <c r="G890" s="27"/>
      <c r="I890" s="121" t="s">
        <v>18</v>
      </c>
      <c r="J890" s="122"/>
      <c r="K890" s="119" t="s">
        <v>19</v>
      </c>
      <c r="N890" s="25"/>
      <c r="O890" s="26"/>
      <c r="P890" s="123" t="s">
        <v>17</v>
      </c>
      <c r="Q890" s="123"/>
      <c r="R890" s="109"/>
      <c r="S890" s="27"/>
      <c r="U890" s="121" t="s">
        <v>18</v>
      </c>
      <c r="V890" s="122"/>
      <c r="W890" s="119" t="s">
        <v>19</v>
      </c>
      <c r="Z890" s="25"/>
      <c r="AA890" s="26"/>
      <c r="AB890" s="123" t="s">
        <v>17</v>
      </c>
      <c r="AC890" s="123"/>
      <c r="AD890" s="109"/>
      <c r="AE890" s="27"/>
      <c r="AG890" s="121" t="s">
        <v>18</v>
      </c>
      <c r="AH890" s="122"/>
      <c r="AI890" s="119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20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20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20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82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87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87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82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87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87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82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87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87</v>
      </c>
      <c r="AA894" s="31">
        <f t="shared" ref="AA894:AA897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82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87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87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82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87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87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87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87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87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2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2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2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2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2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2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2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2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2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2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2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2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2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2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2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2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2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2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2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2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2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2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5"/>
      <c r="AM935" s="85"/>
      <c r="AN935" s="85"/>
      <c r="AO935" s="85"/>
      <c r="AP935" s="85"/>
      <c r="AQ935" s="85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5"/>
      <c r="AM936" s="85"/>
      <c r="AN936" s="85"/>
      <c r="AO936" s="85"/>
      <c r="AP936" s="85"/>
      <c r="AQ936" s="85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5"/>
      <c r="AM940" s="85"/>
      <c r="AN940" s="85"/>
      <c r="AO940" s="85"/>
      <c r="AP940" s="85"/>
      <c r="AQ940" s="85"/>
      <c r="AR940" s="62"/>
      <c r="AS940" s="85"/>
      <c r="AT940" s="85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5"/>
      <c r="AM941" s="85"/>
      <c r="AN941" s="85"/>
      <c r="AO941" s="85"/>
      <c r="AP941" s="85"/>
      <c r="AQ941" s="85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44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42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92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33</v>
      </c>
      <c r="AI943" s="24"/>
      <c r="AK943" s="62"/>
      <c r="AL943" s="65"/>
      <c r="AM943" s="85"/>
      <c r="AN943" s="125"/>
      <c r="AO943" s="125"/>
      <c r="AP943" s="85"/>
      <c r="AQ943" s="85"/>
      <c r="AR943" s="62"/>
      <c r="AS943" s="125"/>
      <c r="AT943" s="125"/>
      <c r="AU943" s="124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79"/>
      <c r="AO944" s="81"/>
      <c r="AP944" s="81"/>
      <c r="AQ944" s="81"/>
      <c r="AR944" s="62"/>
      <c r="AS944" s="84"/>
      <c r="AT944" s="84"/>
      <c r="AU944" s="124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23" t="s">
        <v>17</v>
      </c>
      <c r="E945" s="123"/>
      <c r="F945" s="110"/>
      <c r="G945" s="27"/>
      <c r="I945" s="121" t="s">
        <v>18</v>
      </c>
      <c r="J945" s="122"/>
      <c r="K945" s="119" t="s">
        <v>19</v>
      </c>
      <c r="N945" s="25"/>
      <c r="O945" s="26"/>
      <c r="P945" s="123" t="s">
        <v>17</v>
      </c>
      <c r="Q945" s="123"/>
      <c r="R945" s="110"/>
      <c r="S945" s="27"/>
      <c r="U945" s="121" t="s">
        <v>18</v>
      </c>
      <c r="V945" s="122"/>
      <c r="W945" s="119" t="s">
        <v>19</v>
      </c>
      <c r="Z945" s="25"/>
      <c r="AA945" s="26"/>
      <c r="AB945" s="123" t="s">
        <v>17</v>
      </c>
      <c r="AC945" s="123"/>
      <c r="AD945" s="110"/>
      <c r="AE945" s="27"/>
      <c r="AG945" s="121" t="s">
        <v>18</v>
      </c>
      <c r="AH945" s="122"/>
      <c r="AI945" s="119" t="s">
        <v>19</v>
      </c>
      <c r="AK945" s="62"/>
      <c r="AL945" s="66"/>
      <c r="AM945" s="85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20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20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20"/>
      <c r="AK946" s="62"/>
      <c r="AL946" s="66"/>
      <c r="AM946" s="85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2">
        <v>11160</v>
      </c>
      <c r="D947" s="32">
        <f>650*5</f>
        <v>3250</v>
      </c>
      <c r="E947" s="32"/>
      <c r="F947" s="32"/>
      <c r="G947" s="32">
        <f t="shared" ref="G947:G980" si="263">SUM(D947:E947)</f>
        <v>3250</v>
      </c>
      <c r="H947" s="12"/>
      <c r="I947" s="12">
        <f>111</f>
        <v>111</v>
      </c>
      <c r="J947" s="12"/>
      <c r="K947" s="12">
        <f t="shared" ref="K947:K980" si="264">SUM(G947:J947)</f>
        <v>3361</v>
      </c>
      <c r="M947" s="10">
        <v>1</v>
      </c>
      <c r="N947" s="30" t="s">
        <v>93</v>
      </c>
      <c r="O947" s="31">
        <v>11082</v>
      </c>
      <c r="P947" s="32">
        <f>650*216+229*9+650</f>
        <v>143111</v>
      </c>
      <c r="Q947" s="32">
        <f>-216*6</f>
        <v>-1296</v>
      </c>
      <c r="R947" s="32"/>
      <c r="S947" s="32">
        <f>SUM(P947:Q947)</f>
        <v>141815</v>
      </c>
      <c r="T947" s="12"/>
      <c r="U947" s="12">
        <f>78*8</f>
        <v>624</v>
      </c>
      <c r="V947" s="12">
        <f>-42*6</f>
        <v>-252</v>
      </c>
      <c r="W947" s="12">
        <f>SUM(S947:V947)</f>
        <v>142187</v>
      </c>
      <c r="Y947" s="10">
        <v>1</v>
      </c>
      <c r="Z947" s="30" t="s">
        <v>93</v>
      </c>
      <c r="AA947" s="31">
        <v>11111</v>
      </c>
      <c r="AB947" s="32">
        <f>650*108+872*2+229*5</f>
        <v>73089</v>
      </c>
      <c r="AC947" s="32"/>
      <c r="AD947" s="32"/>
      <c r="AE947" s="32">
        <f>SUM(AB947:AC947)</f>
        <v>73089</v>
      </c>
      <c r="AF947" s="12"/>
      <c r="AG947" s="12">
        <f>120*2</f>
        <v>240</v>
      </c>
      <c r="AH947" s="12">
        <f>-111*120+-78*6</f>
        <v>-13788</v>
      </c>
      <c r="AI947" s="12">
        <f>SUM(AE947:AH947)</f>
        <v>59541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82">
        <f>C947+1</f>
        <v>11161</v>
      </c>
      <c r="D948" s="32">
        <f>650*28+670+622*6+650</f>
        <v>23252</v>
      </c>
      <c r="E948" s="32"/>
      <c r="F948" s="32"/>
      <c r="G948" s="32">
        <f t="shared" si="263"/>
        <v>23252</v>
      </c>
      <c r="H948" s="12"/>
      <c r="I948" s="12"/>
      <c r="J948" s="12"/>
      <c r="K948" s="12">
        <f t="shared" si="264"/>
        <v>23252</v>
      </c>
      <c r="M948" s="10">
        <v>2</v>
      </c>
      <c r="N948" s="30" t="s">
        <v>93</v>
      </c>
      <c r="O948" s="31">
        <f>O947+1</f>
        <v>11083</v>
      </c>
      <c r="P948" s="32">
        <f>650*100+622*5+229*2</f>
        <v>68568</v>
      </c>
      <c r="Q948" s="32">
        <f>-105*6</f>
        <v>-630</v>
      </c>
      <c r="R948" s="32"/>
      <c r="S948" s="32">
        <f t="shared" ref="S948:S985" si="265">SUM(P948:Q948)</f>
        <v>67938</v>
      </c>
      <c r="T948" s="12"/>
      <c r="U948" s="12"/>
      <c r="V948" s="12">
        <f>-111*6</f>
        <v>-666</v>
      </c>
      <c r="W948" s="12">
        <f t="shared" ref="W948:W988" si="266">SUM(S948:V948)</f>
        <v>67272</v>
      </c>
      <c r="Y948" s="10">
        <v>2</v>
      </c>
      <c r="Z948" s="30" t="s">
        <v>93</v>
      </c>
      <c r="AA948" s="31">
        <f>AA947+1</f>
        <v>11112</v>
      </c>
      <c r="AB948" s="32">
        <f>650*195+229*4</f>
        <v>127666</v>
      </c>
      <c r="AC948" s="32">
        <f>-195*6</f>
        <v>-1170</v>
      </c>
      <c r="AD948" s="32"/>
      <c r="AE948" s="32">
        <f t="shared" ref="AE948:AE950" si="267">SUM(AB948:AC948)</f>
        <v>126496</v>
      </c>
      <c r="AF948" s="12"/>
      <c r="AG948" s="12">
        <f>1.5*60</f>
        <v>90</v>
      </c>
      <c r="AH948" s="12"/>
      <c r="AI948" s="12">
        <f t="shared" ref="AI948:AI988" si="268">SUM(AE948:AH948)</f>
        <v>126586</v>
      </c>
      <c r="AK948" s="62"/>
      <c r="AL948" s="66"/>
      <c r="AM948" s="85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82">
        <f t="shared" ref="C949" si="269">C948+1</f>
        <v>11162</v>
      </c>
      <c r="D949" s="33">
        <f>650*20+1175+1102+622*5+1175+1050+872*2+1175+650*4</f>
        <v>26131</v>
      </c>
      <c r="E949" s="33"/>
      <c r="F949" s="33"/>
      <c r="G949" s="33">
        <f t="shared" si="263"/>
        <v>26131</v>
      </c>
      <c r="H949" s="34"/>
      <c r="I949" s="34">
        <f>111*4+4.5*30</f>
        <v>579</v>
      </c>
      <c r="J949" s="34"/>
      <c r="K949" s="34">
        <f t="shared" si="264"/>
        <v>26710</v>
      </c>
      <c r="M949" s="10">
        <v>3</v>
      </c>
      <c r="N949" s="30" t="s">
        <v>93</v>
      </c>
      <c r="O949" s="31">
        <f t="shared" ref="O949:O950" si="270">O948+1</f>
        <v>11084</v>
      </c>
      <c r="P949" s="32">
        <f>650*10+670</f>
        <v>7170</v>
      </c>
      <c r="Q949" s="32"/>
      <c r="R949" s="32"/>
      <c r="S949" s="32">
        <f t="shared" si="265"/>
        <v>7170</v>
      </c>
      <c r="T949" s="12"/>
      <c r="U949" s="12">
        <v>111</v>
      </c>
      <c r="V949" s="12"/>
      <c r="W949" s="12">
        <f t="shared" si="266"/>
        <v>7281</v>
      </c>
      <c r="Y949" s="10">
        <v>3</v>
      </c>
      <c r="Z949" s="30" t="s">
        <v>93</v>
      </c>
      <c r="AA949" s="31">
        <f t="shared" ref="AA949:AA957" si="271">AA948+1</f>
        <v>11113</v>
      </c>
      <c r="AB949" s="33">
        <f>670*10</f>
        <v>6700</v>
      </c>
      <c r="AC949" s="33"/>
      <c r="AD949" s="32"/>
      <c r="AE949" s="32">
        <f t="shared" si="267"/>
        <v>6700</v>
      </c>
      <c r="AF949" s="12"/>
      <c r="AG949" s="12">
        <f>2.25+4.5*6</f>
        <v>29.25</v>
      </c>
      <c r="AH949" s="12"/>
      <c r="AI949" s="12">
        <f t="shared" si="268"/>
        <v>6729.25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93</v>
      </c>
      <c r="C950" s="82">
        <f>C949+1</f>
        <v>11163</v>
      </c>
      <c r="D950" s="32">
        <f>650*6+9.5*6</f>
        <v>3957</v>
      </c>
      <c r="E950" s="32"/>
      <c r="F950" s="32"/>
      <c r="G950" s="32">
        <f t="shared" si="263"/>
        <v>3957</v>
      </c>
      <c r="H950" s="12"/>
      <c r="I950" s="12"/>
      <c r="J950" s="12"/>
      <c r="K950" s="12">
        <f t="shared" si="264"/>
        <v>3957</v>
      </c>
      <c r="M950" s="10">
        <v>4</v>
      </c>
      <c r="N950" s="30" t="s">
        <v>93</v>
      </c>
      <c r="O950" s="31">
        <f t="shared" si="270"/>
        <v>11085</v>
      </c>
      <c r="P950" s="32">
        <f>650+670+872</f>
        <v>2192</v>
      </c>
      <c r="Q950" s="32"/>
      <c r="R950" s="32"/>
      <c r="S950" s="32">
        <f t="shared" si="265"/>
        <v>2192</v>
      </c>
      <c r="T950" s="12"/>
      <c r="U950" s="12">
        <v>120</v>
      </c>
      <c r="V950" s="12"/>
      <c r="W950" s="12">
        <f t="shared" si="266"/>
        <v>2312</v>
      </c>
      <c r="Y950" s="10">
        <v>4</v>
      </c>
      <c r="Z950" s="30" t="s">
        <v>93</v>
      </c>
      <c r="AA950" s="31">
        <f t="shared" si="271"/>
        <v>11114</v>
      </c>
      <c r="AB950" s="32">
        <f>670*10</f>
        <v>6700</v>
      </c>
      <c r="AC950" s="32"/>
      <c r="AD950" s="32"/>
      <c r="AE950" s="32">
        <f t="shared" si="267"/>
        <v>6700</v>
      </c>
      <c r="AF950" s="12"/>
      <c r="AG950">
        <f>4.5*12</f>
        <v>54</v>
      </c>
      <c r="AH950" s="12"/>
      <c r="AI950" s="12">
        <f t="shared" si="268"/>
        <v>6754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93</v>
      </c>
      <c r="C951" s="82">
        <f>C950+1</f>
        <v>11164</v>
      </c>
      <c r="D951" s="32">
        <f>650*9+670*2+622*5+912+9.5*14</f>
        <v>11345</v>
      </c>
      <c r="E951" s="32"/>
      <c r="F951" s="32"/>
      <c r="G951" s="32">
        <f t="shared" si="263"/>
        <v>11345</v>
      </c>
      <c r="H951" s="12"/>
      <c r="I951" s="12"/>
      <c r="J951" s="12"/>
      <c r="K951" s="12">
        <f t="shared" si="264"/>
        <v>11345</v>
      </c>
      <c r="M951" s="10">
        <v>5</v>
      </c>
      <c r="N951" s="30"/>
      <c r="O951" s="11" t="s">
        <v>27</v>
      </c>
      <c r="P951" s="32"/>
      <c r="Q951" s="32"/>
      <c r="R951" s="32"/>
      <c r="S951" s="32">
        <f t="shared" si="265"/>
        <v>0</v>
      </c>
      <c r="T951" s="12"/>
      <c r="U951" s="12"/>
      <c r="V951" s="12"/>
      <c r="W951" s="12">
        <f t="shared" si="266"/>
        <v>0</v>
      </c>
      <c r="Y951" s="10">
        <v>5</v>
      </c>
      <c r="Z951" s="30" t="s">
        <v>93</v>
      </c>
      <c r="AA951" s="31">
        <f t="shared" si="271"/>
        <v>11115</v>
      </c>
      <c r="AB951" s="32">
        <f>650*45+622*9+229</f>
        <v>35077</v>
      </c>
      <c r="AC951" s="32"/>
      <c r="AD951" s="32"/>
      <c r="AE951" s="32">
        <f t="shared" ref="AE951:AE979" si="272">SUM(AB951:AC951)</f>
        <v>35077</v>
      </c>
      <c r="AF951" s="12"/>
      <c r="AG951" s="12"/>
      <c r="AH951" s="12">
        <f>-111*8</f>
        <v>-888</v>
      </c>
      <c r="AI951" s="12">
        <f t="shared" si="268"/>
        <v>34189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93</v>
      </c>
      <c r="C952" s="82">
        <f t="shared" ref="C952:C956" si="273">C951+1</f>
        <v>11165</v>
      </c>
      <c r="D952" s="32">
        <f>650*18+670*2+9.5*18</f>
        <v>13211</v>
      </c>
      <c r="E952" s="32"/>
      <c r="F952" s="32"/>
      <c r="G952" s="32">
        <f t="shared" si="263"/>
        <v>13211</v>
      </c>
      <c r="H952" s="12"/>
      <c r="I952" s="12"/>
      <c r="J952" s="12"/>
      <c r="K952" s="12">
        <f t="shared" si="264"/>
        <v>13211</v>
      </c>
      <c r="M952" s="10">
        <v>6</v>
      </c>
      <c r="N952" s="30"/>
      <c r="O952" s="31"/>
      <c r="P952" s="32"/>
      <c r="Q952" s="32"/>
      <c r="R952" s="32"/>
      <c r="S952" s="32">
        <f t="shared" si="265"/>
        <v>0</v>
      </c>
      <c r="T952" s="12"/>
      <c r="U952" s="12"/>
      <c r="V952" s="10"/>
      <c r="W952" s="12">
        <f t="shared" si="266"/>
        <v>0</v>
      </c>
      <c r="Y952" s="10">
        <v>6</v>
      </c>
      <c r="Z952" s="30" t="s">
        <v>93</v>
      </c>
      <c r="AA952" s="31">
        <f t="shared" si="271"/>
        <v>11116</v>
      </c>
      <c r="AB952" s="32">
        <f>650*162+229*5</f>
        <v>106445</v>
      </c>
      <c r="AC952" s="32">
        <f>-162*6</f>
        <v>-972</v>
      </c>
      <c r="AD952" s="32"/>
      <c r="AE952" s="32">
        <f t="shared" si="272"/>
        <v>105473</v>
      </c>
      <c r="AF952" s="12"/>
      <c r="AG952" s="12">
        <f>111*56</f>
        <v>6216</v>
      </c>
      <c r="AH952" s="10"/>
      <c r="AI952" s="12">
        <f t="shared" si="268"/>
        <v>111689</v>
      </c>
      <c r="AK952" s="62"/>
      <c r="AL952" s="66"/>
      <c r="AM952" s="85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93</v>
      </c>
      <c r="C953" s="82">
        <f t="shared" si="273"/>
        <v>11166</v>
      </c>
      <c r="D953" s="32">
        <f>650*55</f>
        <v>35750</v>
      </c>
      <c r="E953" s="32"/>
      <c r="F953" s="32"/>
      <c r="G953" s="32">
        <f t="shared" si="263"/>
        <v>35750</v>
      </c>
      <c r="H953" s="12"/>
      <c r="I953" s="12"/>
      <c r="J953" s="12"/>
      <c r="K953" s="12">
        <f t="shared" si="264"/>
        <v>35750</v>
      </c>
      <c r="M953" s="10">
        <v>7</v>
      </c>
      <c r="N953" s="30"/>
      <c r="O953" s="31"/>
      <c r="P953" s="32"/>
      <c r="Q953" s="32"/>
      <c r="R953" s="32"/>
      <c r="S953" s="32">
        <f t="shared" si="265"/>
        <v>0</v>
      </c>
      <c r="T953" s="12"/>
      <c r="U953" s="12"/>
      <c r="V953" s="12"/>
      <c r="W953" s="12">
        <f t="shared" si="266"/>
        <v>0</v>
      </c>
      <c r="Y953" s="10">
        <v>7</v>
      </c>
      <c r="Z953" s="30" t="s">
        <v>93</v>
      </c>
      <c r="AA953" s="31">
        <f t="shared" si="271"/>
        <v>11117</v>
      </c>
      <c r="AB953" s="32">
        <f>650*10</f>
        <v>6500</v>
      </c>
      <c r="AC953" s="32"/>
      <c r="AD953" s="32"/>
      <c r="AE953" s="32">
        <f t="shared" si="272"/>
        <v>6500</v>
      </c>
      <c r="AF953" s="12"/>
      <c r="AG953" s="58"/>
      <c r="AH953" s="12"/>
      <c r="AI953" s="12">
        <f t="shared" si="268"/>
        <v>6500</v>
      </c>
      <c r="AK953" s="62"/>
      <c r="AL953" s="66"/>
      <c r="AM953" s="85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93</v>
      </c>
      <c r="C954" s="82">
        <f t="shared" si="273"/>
        <v>11167</v>
      </c>
      <c r="D954" s="32">
        <f>650*120+622*20</f>
        <v>90440</v>
      </c>
      <c r="E954" s="32"/>
      <c r="F954" s="32"/>
      <c r="G954" s="32">
        <f t="shared" si="263"/>
        <v>90440</v>
      </c>
      <c r="H954" s="12"/>
      <c r="I954" s="12">
        <f>4.5*4</f>
        <v>18</v>
      </c>
      <c r="J954" s="12">
        <f>-111*21</f>
        <v>-2331</v>
      </c>
      <c r="K954" s="12">
        <f t="shared" si="264"/>
        <v>88127</v>
      </c>
      <c r="M954" s="10">
        <v>8</v>
      </c>
      <c r="N954" s="30"/>
      <c r="P954" s="32"/>
      <c r="Q954" s="32"/>
      <c r="R954" s="32"/>
      <c r="S954" s="32">
        <f t="shared" si="265"/>
        <v>0</v>
      </c>
      <c r="T954" s="12"/>
      <c r="U954" s="12"/>
      <c r="V954" s="12"/>
      <c r="W954" s="12">
        <f t="shared" si="266"/>
        <v>0</v>
      </c>
      <c r="Y954" s="10">
        <v>8</v>
      </c>
      <c r="Z954" s="30" t="s">
        <v>93</v>
      </c>
      <c r="AA954" s="31">
        <f t="shared" si="271"/>
        <v>11118</v>
      </c>
      <c r="AB954" s="32">
        <f>650*5+670*2+622*4</f>
        <v>7078</v>
      </c>
      <c r="AC954" s="32"/>
      <c r="AE954" s="32">
        <f t="shared" si="272"/>
        <v>7078</v>
      </c>
      <c r="AF954" s="12"/>
      <c r="AG954" s="12">
        <f>4.5*33</f>
        <v>148.5</v>
      </c>
      <c r="AH954" s="12"/>
      <c r="AI954" s="12">
        <f t="shared" si="268"/>
        <v>7226.5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93</v>
      </c>
      <c r="C955" s="82">
        <f t="shared" si="273"/>
        <v>11168</v>
      </c>
      <c r="D955" s="32">
        <f>650*35+622*5</f>
        <v>25860</v>
      </c>
      <c r="E955" s="32"/>
      <c r="F955" s="32"/>
      <c r="G955" s="32">
        <f t="shared" si="263"/>
        <v>25860</v>
      </c>
      <c r="H955" s="12"/>
      <c r="I955" s="12"/>
      <c r="J955" s="12"/>
      <c r="K955" s="12">
        <f t="shared" si="264"/>
        <v>25860</v>
      </c>
      <c r="M955" s="10">
        <v>9</v>
      </c>
      <c r="N955" s="30"/>
      <c r="O955" s="31"/>
      <c r="P955" s="32"/>
      <c r="Q955" s="32"/>
      <c r="R955" s="32"/>
      <c r="S955" s="32">
        <f t="shared" si="265"/>
        <v>0</v>
      </c>
      <c r="T955" s="12"/>
      <c r="U955" s="12"/>
      <c r="V955" s="12"/>
      <c r="W955" s="12">
        <f t="shared" si="266"/>
        <v>0</v>
      </c>
      <c r="Y955" s="10">
        <v>9</v>
      </c>
      <c r="Z955" s="30" t="s">
        <v>93</v>
      </c>
      <c r="AA955" s="31">
        <f t="shared" si="271"/>
        <v>11119</v>
      </c>
      <c r="AB955" s="32">
        <f>650*35+622*5+229</f>
        <v>26089</v>
      </c>
      <c r="AC955" s="32"/>
      <c r="AD955" s="32"/>
      <c r="AE955" s="32">
        <f t="shared" si="272"/>
        <v>26089</v>
      </c>
      <c r="AF955" s="12"/>
      <c r="AG955">
        <f>1.5*4+4.5*7</f>
        <v>37.5</v>
      </c>
      <c r="AH955" s="12"/>
      <c r="AI955" s="12">
        <f t="shared" si="268"/>
        <v>26126.5</v>
      </c>
      <c r="AK955" s="62"/>
      <c r="AL955" s="66"/>
      <c r="AM955" s="85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93</v>
      </c>
      <c r="C956" s="82">
        <f t="shared" si="273"/>
        <v>11169</v>
      </c>
      <c r="D956" s="32">
        <f>650*19+622*2</f>
        <v>13594</v>
      </c>
      <c r="E956" s="32"/>
      <c r="F956" s="32"/>
      <c r="G956" s="32">
        <f t="shared" si="263"/>
        <v>13594</v>
      </c>
      <c r="H956" s="12"/>
      <c r="I956" s="12"/>
      <c r="J956" s="12">
        <f>-111*3</f>
        <v>-333</v>
      </c>
      <c r="K956" s="12">
        <f t="shared" si="264"/>
        <v>13261</v>
      </c>
      <c r="M956" s="10">
        <v>10</v>
      </c>
      <c r="N956" s="30"/>
      <c r="O956" s="31"/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 t="s">
        <v>93</v>
      </c>
      <c r="AA956" s="31">
        <f t="shared" si="271"/>
        <v>11120</v>
      </c>
      <c r="AB956" s="32">
        <f>650*7+670+622*2</f>
        <v>6464</v>
      </c>
      <c r="AC956" s="32"/>
      <c r="AD956" s="32"/>
      <c r="AE956" s="32">
        <f t="shared" si="272"/>
        <v>6464</v>
      </c>
      <c r="AF956" s="12"/>
      <c r="AG956" s="12"/>
      <c r="AH956" s="12"/>
      <c r="AI956" s="12">
        <f t="shared" si="268"/>
        <v>6464</v>
      </c>
      <c r="AK956" s="62"/>
      <c r="AL956" s="66"/>
      <c r="AM956" s="85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11" t="s">
        <v>27</v>
      </c>
      <c r="D957" s="32"/>
      <c r="E957" s="32"/>
      <c r="F957" s="32"/>
      <c r="G957" s="32">
        <f t="shared" si="263"/>
        <v>0</v>
      </c>
      <c r="H957" s="12"/>
      <c r="I957" s="12"/>
      <c r="J957" s="12"/>
      <c r="K957" s="12">
        <f t="shared" si="264"/>
        <v>0</v>
      </c>
      <c r="M957" s="10">
        <v>11</v>
      </c>
      <c r="N957" s="30"/>
      <c r="O957" s="31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 t="s">
        <v>93</v>
      </c>
      <c r="AA957" s="31">
        <f t="shared" si="271"/>
        <v>11121</v>
      </c>
      <c r="AB957" s="32">
        <f>650*5</f>
        <v>3250</v>
      </c>
      <c r="AC957" s="32"/>
      <c r="AD957" s="32"/>
      <c r="AE957" s="32">
        <f t="shared" si="272"/>
        <v>3250</v>
      </c>
      <c r="AF957" s="12"/>
      <c r="AG957" s="12"/>
      <c r="AH957" s="12"/>
      <c r="AI957" s="12">
        <f t="shared" si="268"/>
        <v>3250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2"/>
      <c r="D958" s="32"/>
      <c r="E958" s="32"/>
      <c r="F958" s="32"/>
      <c r="G958" s="32">
        <f t="shared" si="263"/>
        <v>0</v>
      </c>
      <c r="H958" s="12"/>
      <c r="I958" s="12"/>
      <c r="J958" s="10"/>
      <c r="K958" s="12">
        <f t="shared" si="264"/>
        <v>0</v>
      </c>
      <c r="M958" s="10">
        <v>12</v>
      </c>
      <c r="N958" s="30"/>
      <c r="O958" s="31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11" t="s">
        <v>27</v>
      </c>
      <c r="AB958" s="32"/>
      <c r="AC958" s="32"/>
      <c r="AD958" s="32"/>
      <c r="AE958" s="32">
        <f t="shared" si="272"/>
        <v>0</v>
      </c>
      <c r="AF958" s="12"/>
      <c r="AG958" s="12"/>
      <c r="AH958" s="12"/>
      <c r="AI958" s="12">
        <f t="shared" si="268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2"/>
      <c r="D959" s="32"/>
      <c r="E959" s="32"/>
      <c r="F959" s="32"/>
      <c r="G959" s="32">
        <f t="shared" si="263"/>
        <v>0</v>
      </c>
      <c r="H959" s="12"/>
      <c r="I959" s="12"/>
      <c r="J959" s="12"/>
      <c r="K959" s="12">
        <f t="shared" si="264"/>
        <v>0</v>
      </c>
      <c r="M959" s="10">
        <v>13</v>
      </c>
      <c r="N959" s="30"/>
      <c r="O959" s="31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2"/>
        <v>0</v>
      </c>
      <c r="AF959" s="12"/>
      <c r="AG959" s="12"/>
      <c r="AH959" s="12"/>
      <c r="AI959" s="12">
        <f t="shared" si="268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2"/>
      <c r="D960" s="32"/>
      <c r="E960" s="32"/>
      <c r="F960" s="32"/>
      <c r="G960" s="32">
        <f t="shared" si="263"/>
        <v>0</v>
      </c>
      <c r="H960" s="12"/>
      <c r="I960" s="12"/>
      <c r="J960" s="12"/>
      <c r="K960" s="12">
        <f t="shared" si="264"/>
        <v>0</v>
      </c>
      <c r="M960" s="10">
        <v>14</v>
      </c>
      <c r="N960" s="30"/>
      <c r="O960" s="31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2"/>
        <v>0</v>
      </c>
      <c r="AF960" s="12"/>
      <c r="AG960" s="12"/>
      <c r="AH960" s="12"/>
      <c r="AI960" s="12">
        <f t="shared" si="268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2"/>
      <c r="D961" s="32"/>
      <c r="E961" s="32"/>
      <c r="F961" s="32"/>
      <c r="G961" s="32">
        <f t="shared" si="263"/>
        <v>0</v>
      </c>
      <c r="H961" s="12"/>
      <c r="I961" s="12"/>
      <c r="J961" s="12"/>
      <c r="K961" s="12">
        <f t="shared" si="264"/>
        <v>0</v>
      </c>
      <c r="M961" s="10">
        <v>15</v>
      </c>
      <c r="N961" s="30"/>
      <c r="O961" s="31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2"/>
        <v>0</v>
      </c>
      <c r="AF961" s="12"/>
      <c r="AG961" s="12"/>
      <c r="AH961" s="12"/>
      <c r="AI961" s="12">
        <f t="shared" si="268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63"/>
        <v>0</v>
      </c>
      <c r="H962" s="12"/>
      <c r="I962" s="12"/>
      <c r="J962" s="12"/>
      <c r="K962" s="12">
        <f t="shared" si="264"/>
        <v>0</v>
      </c>
      <c r="M962" s="10">
        <v>16</v>
      </c>
      <c r="N962" s="30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72"/>
        <v>0</v>
      </c>
      <c r="AF962" s="12"/>
      <c r="AG962" s="12"/>
      <c r="AH962" s="12"/>
      <c r="AI962" s="12">
        <f t="shared" si="268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2"/>
      <c r="D963" s="32"/>
      <c r="E963" s="32"/>
      <c r="F963" s="32"/>
      <c r="G963" s="32">
        <f t="shared" si="263"/>
        <v>0</v>
      </c>
      <c r="H963" s="12"/>
      <c r="I963" s="12"/>
      <c r="J963" s="12"/>
      <c r="K963" s="12">
        <f t="shared" si="264"/>
        <v>0</v>
      </c>
      <c r="M963" s="10">
        <v>17</v>
      </c>
      <c r="N963" s="30"/>
      <c r="O963" s="31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2"/>
        <v>0</v>
      </c>
      <c r="AF963" s="12"/>
      <c r="AG963" s="12"/>
      <c r="AH963" s="12"/>
      <c r="AI963" s="12">
        <f t="shared" si="268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2"/>
      <c r="D964" s="32"/>
      <c r="E964" s="32"/>
      <c r="F964" s="32"/>
      <c r="G964" s="32">
        <f t="shared" si="263"/>
        <v>0</v>
      </c>
      <c r="H964" s="12"/>
      <c r="I964" s="12"/>
      <c r="J964" s="12"/>
      <c r="K964" s="12">
        <f t="shared" si="264"/>
        <v>0</v>
      </c>
      <c r="M964" s="10">
        <v>18</v>
      </c>
      <c r="N964" s="30"/>
      <c r="O964" s="31"/>
      <c r="P964" s="32"/>
      <c r="Q964" s="32"/>
      <c r="R964" s="32"/>
      <c r="S964" s="32">
        <f t="shared" si="265"/>
        <v>0</v>
      </c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2"/>
        <v>0</v>
      </c>
      <c r="AF964" s="12"/>
      <c r="AG964" s="12"/>
      <c r="AH964" s="12"/>
      <c r="AI964" s="12">
        <f t="shared" si="268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2"/>
      <c r="D965" s="32"/>
      <c r="E965" s="32"/>
      <c r="F965" s="32"/>
      <c r="G965" s="32">
        <f t="shared" si="263"/>
        <v>0</v>
      </c>
      <c r="H965" s="12"/>
      <c r="I965" s="12"/>
      <c r="J965" s="12"/>
      <c r="K965" s="12">
        <f t="shared" si="264"/>
        <v>0</v>
      </c>
      <c r="M965" s="10">
        <v>19</v>
      </c>
      <c r="N965" s="30"/>
      <c r="O965" s="31"/>
      <c r="P965" s="32"/>
      <c r="Q965" s="32"/>
      <c r="R965" s="32"/>
      <c r="S965" s="32">
        <f t="shared" si="265"/>
        <v>0</v>
      </c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2"/>
        <v>0</v>
      </c>
      <c r="AF965" s="12"/>
      <c r="AG965" s="12"/>
      <c r="AH965" s="12"/>
      <c r="AI965" s="12">
        <f t="shared" si="268"/>
        <v>0</v>
      </c>
      <c r="AK965" s="62"/>
      <c r="AL965" s="66"/>
      <c r="AM965" s="85"/>
      <c r="AN965" s="67"/>
      <c r="AO965" s="85"/>
      <c r="AP965" s="85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2"/>
      <c r="D966" s="32"/>
      <c r="E966" s="32"/>
      <c r="F966" s="32"/>
      <c r="G966" s="32">
        <f t="shared" si="263"/>
        <v>0</v>
      </c>
      <c r="H966" s="12"/>
      <c r="I966" s="12"/>
      <c r="J966" s="12"/>
      <c r="K966" s="12">
        <f t="shared" si="264"/>
        <v>0</v>
      </c>
      <c r="M966" s="10">
        <v>20</v>
      </c>
      <c r="N966" s="30"/>
      <c r="O966" s="31"/>
      <c r="P966" s="32"/>
      <c r="Q966" s="32"/>
      <c r="R966" s="32"/>
      <c r="S966" s="32">
        <f t="shared" si="265"/>
        <v>0</v>
      </c>
      <c r="T966" s="12"/>
      <c r="U966" s="12"/>
      <c r="V966" s="12"/>
      <c r="W966" s="12">
        <f t="shared" si="266"/>
        <v>0</v>
      </c>
      <c r="Y966" s="10">
        <v>20</v>
      </c>
      <c r="Z966" s="30"/>
      <c r="AB966" s="32"/>
      <c r="AC966" s="32"/>
      <c r="AD966" s="32"/>
      <c r="AE966" s="32">
        <f t="shared" si="272"/>
        <v>0</v>
      </c>
      <c r="AF966" s="12"/>
      <c r="AG966" s="12"/>
      <c r="AH966" s="12"/>
      <c r="AI966" s="12">
        <f t="shared" si="268"/>
        <v>0</v>
      </c>
      <c r="AK966" s="62"/>
      <c r="AL966" s="66"/>
      <c r="AM966" s="85"/>
      <c r="AN966" s="68"/>
      <c r="AO966" s="85"/>
      <c r="AP966" s="85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2"/>
      <c r="D967" s="32"/>
      <c r="E967" s="32"/>
      <c r="F967" s="32"/>
      <c r="G967" s="32">
        <f t="shared" si="263"/>
        <v>0</v>
      </c>
      <c r="H967" s="10"/>
      <c r="I967" s="10"/>
      <c r="J967" s="10"/>
      <c r="K967" s="12">
        <f t="shared" si="264"/>
        <v>0</v>
      </c>
      <c r="M967" s="10">
        <v>21</v>
      </c>
      <c r="N967" s="30"/>
      <c r="O967" s="31"/>
      <c r="P967" s="46"/>
      <c r="Q967" s="31"/>
      <c r="R967" s="31"/>
      <c r="S967" s="32">
        <f t="shared" si="265"/>
        <v>0</v>
      </c>
      <c r="T967" s="10"/>
      <c r="U967" s="10"/>
      <c r="V967" s="10"/>
      <c r="W967" s="12">
        <f t="shared" si="266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72"/>
        <v>0</v>
      </c>
      <c r="AF967" s="10"/>
      <c r="AG967" s="10"/>
      <c r="AH967" s="10"/>
      <c r="AI967" s="12">
        <f t="shared" si="268"/>
        <v>0</v>
      </c>
      <c r="AK967" s="62"/>
      <c r="AL967" s="66"/>
      <c r="AM967" s="85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2"/>
      <c r="D968" s="32"/>
      <c r="E968" s="32"/>
      <c r="F968" s="32"/>
      <c r="G968" s="32">
        <f t="shared" si="263"/>
        <v>0</v>
      </c>
      <c r="H968" s="10"/>
      <c r="I968" s="10"/>
      <c r="J968" s="10"/>
      <c r="K968" s="12">
        <f t="shared" si="264"/>
        <v>0</v>
      </c>
      <c r="M968" s="10">
        <v>22</v>
      </c>
      <c r="N968" s="30"/>
      <c r="O968" s="31"/>
      <c r="P968" s="45"/>
      <c r="Q968" s="31"/>
      <c r="R968" s="31"/>
      <c r="S968" s="32">
        <f t="shared" si="265"/>
        <v>0</v>
      </c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2"/>
        <v>0</v>
      </c>
      <c r="AF968" s="10"/>
      <c r="AG968" s="10"/>
      <c r="AH968" s="10"/>
      <c r="AI968" s="12">
        <f t="shared" si="268"/>
        <v>0</v>
      </c>
      <c r="AK968" s="62"/>
      <c r="AL968" s="66"/>
      <c r="AM968" s="85"/>
      <c r="AN968" s="69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2"/>
      <c r="D969" s="32"/>
      <c r="E969" s="32"/>
      <c r="F969" s="32"/>
      <c r="G969" s="32">
        <f t="shared" si="263"/>
        <v>0</v>
      </c>
      <c r="H969" s="10"/>
      <c r="I969" s="10"/>
      <c r="J969" s="12"/>
      <c r="K969" s="12">
        <f t="shared" si="264"/>
        <v>0</v>
      </c>
      <c r="M969" s="10">
        <v>23</v>
      </c>
      <c r="N969" s="30"/>
      <c r="O969" s="31"/>
      <c r="P969" s="47"/>
      <c r="Q969" s="31"/>
      <c r="S969" s="32">
        <f t="shared" si="265"/>
        <v>0</v>
      </c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2"/>
        <v>0</v>
      </c>
      <c r="AF969" s="10"/>
      <c r="AG969" s="10"/>
      <c r="AH969" s="10"/>
      <c r="AI969" s="12">
        <f t="shared" si="268"/>
        <v>0</v>
      </c>
      <c r="AK969" s="62"/>
      <c r="AL969" s="66"/>
      <c r="AM969" s="85"/>
      <c r="AN969" s="69"/>
      <c r="AO969" s="85"/>
      <c r="AP969" s="85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2"/>
      <c r="D970" s="32"/>
      <c r="E970" s="32"/>
      <c r="F970" s="32"/>
      <c r="G970" s="32">
        <f t="shared" si="263"/>
        <v>0</v>
      </c>
      <c r="H970" s="10"/>
      <c r="I970" s="10"/>
      <c r="J970" s="10"/>
      <c r="K970" s="12">
        <f t="shared" si="264"/>
        <v>0</v>
      </c>
      <c r="M970" s="10">
        <v>24</v>
      </c>
      <c r="N970" s="30"/>
      <c r="O970" s="31"/>
      <c r="P970" s="47"/>
      <c r="Q970" s="31"/>
      <c r="R970" s="31"/>
      <c r="S970" s="32">
        <f t="shared" si="265"/>
        <v>0</v>
      </c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2"/>
        <v>0</v>
      </c>
      <c r="AF970" s="10"/>
      <c r="AG970" s="10"/>
      <c r="AH970" s="10"/>
      <c r="AI970" s="12">
        <f t="shared" si="268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2"/>
      <c r="D971" s="32"/>
      <c r="E971" s="32"/>
      <c r="F971" s="32"/>
      <c r="G971" s="32">
        <f t="shared" si="263"/>
        <v>0</v>
      </c>
      <c r="H971" s="10"/>
      <c r="I971" s="10"/>
      <c r="J971" s="10"/>
      <c r="K971" s="12">
        <f t="shared" si="264"/>
        <v>0</v>
      </c>
      <c r="M971" s="10">
        <v>25</v>
      </c>
      <c r="N971" s="30"/>
      <c r="O971" s="31"/>
      <c r="P971" s="47"/>
      <c r="Q971" s="31"/>
      <c r="R971" s="31"/>
      <c r="S971" s="32">
        <f t="shared" si="265"/>
        <v>0</v>
      </c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2"/>
        <v>0</v>
      </c>
      <c r="AF971" s="10"/>
      <c r="AG971" s="10"/>
      <c r="AH971" s="10"/>
      <c r="AI971" s="12">
        <f t="shared" si="268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2"/>
      <c r="D972" s="32"/>
      <c r="E972" s="32"/>
      <c r="F972" s="32"/>
      <c r="G972" s="32">
        <f t="shared" si="263"/>
        <v>0</v>
      </c>
      <c r="H972" s="10"/>
      <c r="I972" s="10"/>
      <c r="J972" s="10"/>
      <c r="K972" s="12">
        <f t="shared" si="264"/>
        <v>0</v>
      </c>
      <c r="M972" s="10">
        <v>26</v>
      </c>
      <c r="N972" s="30"/>
      <c r="O972" s="31"/>
      <c r="P972" s="47"/>
      <c r="Q972" s="31"/>
      <c r="R972" s="31"/>
      <c r="S972" s="32">
        <f t="shared" si="265"/>
        <v>0</v>
      </c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2"/>
        <v>0</v>
      </c>
      <c r="AF972" s="10"/>
      <c r="AG972" s="10"/>
      <c r="AH972" s="10"/>
      <c r="AI972" s="12">
        <f t="shared" si="268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2"/>
      <c r="D973" s="32"/>
      <c r="E973" s="32"/>
      <c r="F973" s="32"/>
      <c r="G973" s="32">
        <f t="shared" si="263"/>
        <v>0</v>
      </c>
      <c r="H973" s="10"/>
      <c r="I973" s="10"/>
      <c r="J973" s="10"/>
      <c r="K973" s="12">
        <f t="shared" si="264"/>
        <v>0</v>
      </c>
      <c r="M973" s="10">
        <v>27</v>
      </c>
      <c r="N973" s="30"/>
      <c r="O973" s="31"/>
      <c r="P973" s="47"/>
      <c r="Q973" s="31"/>
      <c r="R973" s="31"/>
      <c r="S973" s="32">
        <f t="shared" si="265"/>
        <v>0</v>
      </c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2"/>
        <v>0</v>
      </c>
      <c r="AF973" s="10"/>
      <c r="AG973" s="10"/>
      <c r="AH973" s="10"/>
      <c r="AI973" s="12">
        <f t="shared" si="268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2"/>
      <c r="D974" s="32"/>
      <c r="E974" s="32"/>
      <c r="F974" s="32"/>
      <c r="G974" s="32">
        <f t="shared" si="263"/>
        <v>0</v>
      </c>
      <c r="H974" s="10"/>
      <c r="I974" s="10"/>
      <c r="J974" s="10"/>
      <c r="K974" s="12">
        <f t="shared" si="264"/>
        <v>0</v>
      </c>
      <c r="M974" s="10">
        <v>28</v>
      </c>
      <c r="N974" s="30"/>
      <c r="O974" s="31"/>
      <c r="P974" s="47"/>
      <c r="Q974" s="31"/>
      <c r="R974" s="31"/>
      <c r="S974" s="32">
        <f t="shared" si="265"/>
        <v>0</v>
      </c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2"/>
        <v>0</v>
      </c>
      <c r="AF974" s="10"/>
      <c r="AG974" s="10"/>
      <c r="AH974" s="10"/>
      <c r="AI974" s="12">
        <f t="shared" si="268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2"/>
      <c r="D975" s="32"/>
      <c r="E975" s="32"/>
      <c r="F975" s="32"/>
      <c r="G975" s="32">
        <f t="shared" si="263"/>
        <v>0</v>
      </c>
      <c r="H975" s="10"/>
      <c r="I975" s="10"/>
      <c r="J975" s="10"/>
      <c r="K975" s="12">
        <f t="shared" si="264"/>
        <v>0</v>
      </c>
      <c r="M975" s="10">
        <v>29</v>
      </c>
      <c r="N975" s="30"/>
      <c r="O975" s="31"/>
      <c r="P975" s="47"/>
      <c r="Q975" s="31"/>
      <c r="R975" s="31"/>
      <c r="S975" s="32">
        <f t="shared" si="265"/>
        <v>0</v>
      </c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2"/>
        <v>0</v>
      </c>
      <c r="AF975" s="10"/>
      <c r="AG975" s="10"/>
      <c r="AH975" s="10"/>
      <c r="AI975" s="12">
        <f t="shared" si="268"/>
        <v>0</v>
      </c>
      <c r="AK975" s="62"/>
      <c r="AL975" s="66"/>
      <c r="AM975" s="62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2"/>
      <c r="D976" s="32"/>
      <c r="E976" s="32"/>
      <c r="F976" s="32"/>
      <c r="G976" s="32">
        <f t="shared" si="263"/>
        <v>0</v>
      </c>
      <c r="H976" s="10"/>
      <c r="I976" s="10"/>
      <c r="J976" s="10"/>
      <c r="K976" s="12">
        <f t="shared" si="264"/>
        <v>0</v>
      </c>
      <c r="M976" s="10">
        <v>30</v>
      </c>
      <c r="N976" s="30"/>
      <c r="O976" s="31"/>
      <c r="P976" s="47"/>
      <c r="Q976" s="31"/>
      <c r="R976" s="31"/>
      <c r="S976" s="32">
        <f t="shared" si="265"/>
        <v>0</v>
      </c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2"/>
        <v>0</v>
      </c>
      <c r="AF976" s="10"/>
      <c r="AG976" s="10"/>
      <c r="AH976" s="10"/>
      <c r="AI976" s="12">
        <f t="shared" si="268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2"/>
      <c r="D977" s="32"/>
      <c r="E977" s="32"/>
      <c r="F977" s="32"/>
      <c r="G977" s="32">
        <f t="shared" si="263"/>
        <v>0</v>
      </c>
      <c r="H977" s="10"/>
      <c r="I977" s="10"/>
      <c r="J977" s="10"/>
      <c r="K977" s="12">
        <f t="shared" si="264"/>
        <v>0</v>
      </c>
      <c r="M977" s="10">
        <v>31</v>
      </c>
      <c r="N977" s="30"/>
      <c r="O977" s="31"/>
      <c r="P977" s="47"/>
      <c r="Q977" s="31"/>
      <c r="R977" s="31"/>
      <c r="S977" s="32">
        <f t="shared" si="265"/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2"/>
        <v>0</v>
      </c>
      <c r="AF977" s="10"/>
      <c r="AG977" s="10"/>
      <c r="AH977" s="10"/>
      <c r="AI977" s="12">
        <f t="shared" si="268"/>
        <v>0</v>
      </c>
      <c r="AK977" s="62"/>
      <c r="AL977" s="66"/>
      <c r="AM977" s="85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63"/>
        <v>0</v>
      </c>
      <c r="H978" s="10"/>
      <c r="I978" s="10"/>
      <c r="J978" s="10"/>
      <c r="K978" s="12">
        <f t="shared" si="264"/>
        <v>0</v>
      </c>
      <c r="M978" s="10">
        <v>32</v>
      </c>
      <c r="N978" s="30"/>
      <c r="O978" s="31"/>
      <c r="P978" s="47"/>
      <c r="Q978" s="31"/>
      <c r="R978" s="31"/>
      <c r="S978" s="32">
        <f t="shared" si="265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2"/>
        <v>0</v>
      </c>
      <c r="AF978" s="10"/>
      <c r="AG978" s="10"/>
      <c r="AH978" s="10"/>
      <c r="AI978" s="12">
        <f t="shared" si="268"/>
        <v>0</v>
      </c>
      <c r="AK978" s="62"/>
      <c r="AL978" s="66"/>
      <c r="AM978" s="62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63"/>
        <v>0</v>
      </c>
      <c r="H979" s="10"/>
      <c r="I979" s="10"/>
      <c r="J979" s="10"/>
      <c r="K979" s="12">
        <f t="shared" si="264"/>
        <v>0</v>
      </c>
      <c r="M979" s="10">
        <v>33</v>
      </c>
      <c r="N979" s="30"/>
      <c r="O979" s="31"/>
      <c r="P979" s="47"/>
      <c r="Q979" s="31"/>
      <c r="R979" s="31"/>
      <c r="S979" s="32">
        <f t="shared" si="265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2"/>
        <v>0</v>
      </c>
      <c r="AF979" s="10"/>
      <c r="AG979" s="10"/>
      <c r="AH979" s="10"/>
      <c r="AI979" s="12">
        <f t="shared" si="268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63"/>
        <v>0</v>
      </c>
      <c r="H980" s="10"/>
      <c r="I980" s="10"/>
      <c r="J980" s="10"/>
      <c r="K980" s="12">
        <f t="shared" si="264"/>
        <v>0</v>
      </c>
      <c r="M980" s="10">
        <v>34</v>
      </c>
      <c r="N980" s="30"/>
      <c r="O980" s="31"/>
      <c r="P980" s="47"/>
      <c r="Q980" s="31"/>
      <c r="R980" s="31"/>
      <c r="S980" s="32">
        <f t="shared" si="265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74">SUM(AB980:AC980)</f>
        <v>0</v>
      </c>
      <c r="AF980" s="10"/>
      <c r="AG980" s="10"/>
      <c r="AH980" s="10"/>
      <c r="AI980" s="12">
        <f t="shared" si="268"/>
        <v>0</v>
      </c>
      <c r="AK980" s="62"/>
      <c r="AL980" s="66"/>
      <c r="AM980" s="85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5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4"/>
        <v>0</v>
      </c>
      <c r="AF981" s="10"/>
      <c r="AG981" s="10"/>
      <c r="AH981" s="10"/>
      <c r="AI981" s="12">
        <f t="shared" si="268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5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4"/>
        <v>0</v>
      </c>
      <c r="AF982" s="10"/>
      <c r="AG982" s="10"/>
      <c r="AH982" s="10"/>
      <c r="AI982" s="12">
        <f t="shared" si="268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5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4"/>
        <v>0</v>
      </c>
      <c r="AF983" s="10"/>
      <c r="AG983" s="10"/>
      <c r="AH983" s="10"/>
      <c r="AI983" s="12">
        <f t="shared" si="268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5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4"/>
        <v>0</v>
      </c>
      <c r="AF984" s="10"/>
      <c r="AG984" s="10"/>
      <c r="AH984" s="10"/>
      <c r="AI984" s="12">
        <f t="shared" si="268"/>
        <v>0</v>
      </c>
      <c r="AK984" s="62"/>
      <c r="AL984" s="66"/>
      <c r="AM984" s="62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5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4"/>
        <v>0</v>
      </c>
      <c r="AF985" s="10"/>
      <c r="AG985" s="10"/>
      <c r="AH985" s="10"/>
      <c r="AI985" s="12">
        <f t="shared" si="268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8"/>
        <v>0</v>
      </c>
      <c r="AK986" s="62"/>
      <c r="AL986" s="85"/>
      <c r="AM986" s="85"/>
      <c r="AN986" s="85"/>
      <c r="AO986" s="85"/>
      <c r="AP986" s="85"/>
      <c r="AQ986" s="85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5">SUM(D987:E987)</f>
        <v>0</v>
      </c>
      <c r="H987" s="10"/>
      <c r="I987" s="10"/>
      <c r="J987" s="10"/>
      <c r="K987" s="12">
        <f t="shared" ref="K987" si="276">SUM(G987:J987)</f>
        <v>0</v>
      </c>
      <c r="M987" s="10"/>
      <c r="N987" s="30"/>
      <c r="O987" s="31"/>
      <c r="P987" s="47"/>
      <c r="Q987" s="31"/>
      <c r="R987" s="31"/>
      <c r="S987" s="32">
        <f t="shared" ref="S987" si="277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8">SUM(AB987:AC987)</f>
        <v>0</v>
      </c>
      <c r="AF987" s="10"/>
      <c r="AG987" s="10"/>
      <c r="AH987" s="10"/>
      <c r="AI987" s="12">
        <f t="shared" si="268"/>
        <v>0</v>
      </c>
      <c r="AK987" s="62"/>
      <c r="AL987" s="85"/>
      <c r="AM987" s="85"/>
      <c r="AN987" s="85"/>
      <c r="AO987" s="85"/>
      <c r="AP987" s="85"/>
      <c r="AQ987" s="85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8"/>
        <v>0</v>
      </c>
      <c r="AK988" s="62"/>
      <c r="AL988" s="85"/>
      <c r="AM988" s="85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246790</v>
      </c>
      <c r="E990" s="38">
        <f t="shared" ref="E990:F990" si="279">SUM(E947:E987)</f>
        <v>0</v>
      </c>
      <c r="F990" s="38">
        <f t="shared" si="279"/>
        <v>0</v>
      </c>
      <c r="G990" s="38">
        <f>SUM(G947:G989)</f>
        <v>246790</v>
      </c>
      <c r="H990" s="4"/>
      <c r="I990" s="39">
        <f>SUM(I947:I989)</f>
        <v>708</v>
      </c>
      <c r="J990" s="39">
        <f>SUM(J947:J989)</f>
        <v>-2664</v>
      </c>
      <c r="K990" s="40">
        <f>SUM(K947:K989)</f>
        <v>244834</v>
      </c>
      <c r="N990" s="57"/>
      <c r="O990" s="57"/>
      <c r="P990" s="38">
        <f>SUM(P947:P989)</f>
        <v>221041</v>
      </c>
      <c r="Q990" s="38">
        <f t="shared" ref="Q990:R990" si="280">SUM(Q947:Q987)</f>
        <v>-1926</v>
      </c>
      <c r="R990" s="38">
        <f t="shared" si="280"/>
        <v>0</v>
      </c>
      <c r="S990" s="38">
        <f t="shared" ref="S990" si="281">SUM(S947:S989)</f>
        <v>219115</v>
      </c>
      <c r="T990" s="4"/>
      <c r="U990" s="39">
        <f t="shared" ref="U990:W990" si="282">SUM(U947:U989)</f>
        <v>855</v>
      </c>
      <c r="V990" s="39">
        <f t="shared" si="282"/>
        <v>-918</v>
      </c>
      <c r="W990" s="40">
        <f t="shared" si="282"/>
        <v>219052</v>
      </c>
      <c r="Z990" s="57"/>
      <c r="AA990" s="57"/>
      <c r="AB990" s="38">
        <f t="shared" ref="AB990" si="283">SUM(AB947:AB989)</f>
        <v>405058</v>
      </c>
      <c r="AC990" s="38">
        <f t="shared" ref="AC990:AD990" si="284">SUM(AC947:AC987)</f>
        <v>-2142</v>
      </c>
      <c r="AD990" s="38">
        <f t="shared" si="284"/>
        <v>0</v>
      </c>
      <c r="AE990" s="38">
        <f t="shared" ref="AE990" si="285">SUM(AE947:AE989)</f>
        <v>402916</v>
      </c>
      <c r="AF990" s="4"/>
      <c r="AG990" s="39">
        <f t="shared" ref="AG990:AI990" si="286">SUM(AG947:AG989)</f>
        <v>6815.25</v>
      </c>
      <c r="AH990" s="39">
        <f t="shared" si="286"/>
        <v>-14676</v>
      </c>
      <c r="AI990" s="40">
        <f t="shared" si="286"/>
        <v>395055.25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47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47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47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95</v>
      </c>
      <c r="B998" s="20"/>
      <c r="C998" s="57"/>
      <c r="D998" s="57"/>
      <c r="E998" s="57"/>
      <c r="G998" s="57"/>
      <c r="I998" s="22" t="s">
        <v>16</v>
      </c>
      <c r="J998" s="23" t="s">
        <v>42</v>
      </c>
      <c r="K998" s="24"/>
      <c r="M998" s="21" t="s">
        <v>95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32</v>
      </c>
      <c r="W998" s="24"/>
      <c r="Y998" s="21" t="s">
        <v>95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33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3" t="s">
        <v>17</v>
      </c>
      <c r="E1000" s="123"/>
      <c r="F1000" s="111"/>
      <c r="G1000" s="27"/>
      <c r="I1000" s="121" t="s">
        <v>18</v>
      </c>
      <c r="J1000" s="122"/>
      <c r="K1000" s="119" t="s">
        <v>19</v>
      </c>
      <c r="N1000" s="25"/>
      <c r="O1000" s="26"/>
      <c r="P1000" s="123" t="s">
        <v>17</v>
      </c>
      <c r="Q1000" s="123"/>
      <c r="R1000" s="111"/>
      <c r="S1000" s="27"/>
      <c r="U1000" s="121" t="s">
        <v>18</v>
      </c>
      <c r="V1000" s="122"/>
      <c r="W1000" s="119" t="s">
        <v>19</v>
      </c>
      <c r="Z1000" s="25"/>
      <c r="AA1000" s="26"/>
      <c r="AB1000" s="123" t="s">
        <v>17</v>
      </c>
      <c r="AC1000" s="123"/>
      <c r="AD1000" s="111"/>
      <c r="AE1000" s="27"/>
      <c r="AG1000" s="121" t="s">
        <v>18</v>
      </c>
      <c r="AH1000" s="122"/>
      <c r="AI1000" s="119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31</v>
      </c>
      <c r="G1001" s="78" t="s">
        <v>24</v>
      </c>
      <c r="I1001" s="29" t="s">
        <v>25</v>
      </c>
      <c r="J1001" s="29" t="s">
        <v>26</v>
      </c>
      <c r="K1001" s="120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31</v>
      </c>
      <c r="S1001" s="78" t="s">
        <v>24</v>
      </c>
      <c r="U1001" s="29" t="s">
        <v>25</v>
      </c>
      <c r="V1001" s="29" t="s">
        <v>26</v>
      </c>
      <c r="W1001" s="120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31</v>
      </c>
      <c r="AE1001" s="78" t="s">
        <v>24</v>
      </c>
      <c r="AG1001" s="29" t="s">
        <v>25</v>
      </c>
      <c r="AH1001" s="29" t="s">
        <v>26</v>
      </c>
      <c r="AI1001" s="120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96</v>
      </c>
      <c r="C1002" s="82">
        <v>11170</v>
      </c>
      <c r="D1002" s="32">
        <f>650*200+670*20+700*2+1102*2+650*5+650*5</f>
        <v>153504</v>
      </c>
      <c r="E1002" s="32"/>
      <c r="F1002" s="32"/>
      <c r="G1002" s="32">
        <f t="shared" ref="G1002:G1035" si="287">SUM(D1002:E1002)</f>
        <v>153504</v>
      </c>
      <c r="H1002" s="12"/>
      <c r="I1002" s="12">
        <f>111*222</f>
        <v>24642</v>
      </c>
      <c r="J1002" s="12">
        <f>-111*24+-84*271</f>
        <v>-25428</v>
      </c>
      <c r="K1002" s="12">
        <f t="shared" ref="K1002:K1035" si="288">SUM(G1002:J1002)</f>
        <v>152718</v>
      </c>
      <c r="M1002" s="10">
        <v>1</v>
      </c>
      <c r="N1002" s="30" t="s">
        <v>96</v>
      </c>
      <c r="O1002" s="31">
        <v>11086</v>
      </c>
      <c r="P1002" s="32">
        <f>650*5+670</f>
        <v>3920</v>
      </c>
      <c r="Q1002" s="32"/>
      <c r="R1002" s="32"/>
      <c r="S1002" s="32">
        <f>SUM(P1002:Q1002)</f>
        <v>3920</v>
      </c>
      <c r="T1002" s="12"/>
      <c r="U1002" s="12"/>
      <c r="V1002" s="12"/>
      <c r="W1002" s="12">
        <f>SUM(S1002:V1002)</f>
        <v>3920</v>
      </c>
      <c r="Y1002" s="10">
        <v>1</v>
      </c>
      <c r="Z1002" s="30" t="s">
        <v>96</v>
      </c>
      <c r="AA1002" s="31">
        <v>11122</v>
      </c>
      <c r="AB1002" s="32">
        <f>650*19+622</f>
        <v>12972</v>
      </c>
      <c r="AC1002" s="32"/>
      <c r="AD1002" s="32"/>
      <c r="AE1002" s="32">
        <f>SUM(AB1002:AC1002)</f>
        <v>12972</v>
      </c>
      <c r="AF1002" s="12"/>
      <c r="AG1002" s="12"/>
      <c r="AH1002" s="12">
        <f>-111*10</f>
        <v>-1110</v>
      </c>
      <c r="AI1002" s="12">
        <f>SUM(AE1002:AH1002)</f>
        <v>11862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96</v>
      </c>
      <c r="C1003" s="82">
        <f>C1002+1</f>
        <v>11171</v>
      </c>
      <c r="D1003" s="32">
        <f>650*216+670*5+1175</f>
        <v>144925</v>
      </c>
      <c r="E1003" s="32"/>
      <c r="F1003" s="32"/>
      <c r="G1003" s="32">
        <f t="shared" si="287"/>
        <v>144925</v>
      </c>
      <c r="H1003" s="12"/>
      <c r="I1003" s="12"/>
      <c r="J1003" s="12">
        <f>-84*6</f>
        <v>-504</v>
      </c>
      <c r="K1003" s="12">
        <f t="shared" si="288"/>
        <v>144421</v>
      </c>
      <c r="M1003" s="10">
        <v>2</v>
      </c>
      <c r="N1003" s="30" t="s">
        <v>96</v>
      </c>
      <c r="O1003" s="31">
        <f>O1002+1</f>
        <v>11087</v>
      </c>
      <c r="P1003" s="32">
        <f>650*5+1175+1102+9.5*5+650</f>
        <v>6224.5</v>
      </c>
      <c r="Q1003" s="32"/>
      <c r="R1003" s="32"/>
      <c r="S1003" s="32">
        <f t="shared" ref="S1003:S1040" si="289">SUM(P1003:Q1003)</f>
        <v>6224.5</v>
      </c>
      <c r="T1003" s="12"/>
      <c r="U1003" s="12"/>
      <c r="V1003" s="12"/>
      <c r="W1003" s="12">
        <f t="shared" ref="W1003:W1043" si="290">SUM(S1003:V1003)</f>
        <v>6224.5</v>
      </c>
      <c r="Y1003" s="10">
        <v>2</v>
      </c>
      <c r="Z1003" s="30" t="s">
        <v>96</v>
      </c>
      <c r="AA1003" s="31">
        <f>AA1002+1</f>
        <v>11123</v>
      </c>
      <c r="AB1003" s="32">
        <f>650*43+670*7+622*10+229</f>
        <v>39089</v>
      </c>
      <c r="AC1003" s="32"/>
      <c r="AD1003" s="32"/>
      <c r="AE1003" s="32">
        <f t="shared" ref="AE1003:AE1005" si="291">SUM(AB1003:AC1003)</f>
        <v>39089</v>
      </c>
      <c r="AF1003" s="12"/>
      <c r="AG1003" s="12"/>
      <c r="AH1003" s="12"/>
      <c r="AI1003" s="12">
        <f t="shared" ref="AI1003:AI1043" si="292">SUM(AE1003:AH1003)</f>
        <v>39089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96</v>
      </c>
      <c r="C1004" s="82">
        <f t="shared" ref="C1004" si="293">C1003+1</f>
        <v>11172</v>
      </c>
      <c r="D1004" s="33">
        <f>650*7+700</f>
        <v>5250</v>
      </c>
      <c r="E1004" s="33"/>
      <c r="F1004" s="33"/>
      <c r="G1004" s="33">
        <f t="shared" si="287"/>
        <v>5250</v>
      </c>
      <c r="H1004" s="34"/>
      <c r="I1004" s="34"/>
      <c r="J1004" s="34">
        <f>-111*36</f>
        <v>-3996</v>
      </c>
      <c r="K1004" s="34">
        <f t="shared" si="288"/>
        <v>1254</v>
      </c>
      <c r="M1004" s="10">
        <v>3</v>
      </c>
      <c r="N1004" s="30" t="s">
        <v>96</v>
      </c>
      <c r="O1004" s="31">
        <f t="shared" ref="O1004:O1009" si="294">O1003+1</f>
        <v>11088</v>
      </c>
      <c r="P1004" s="32">
        <f>650*63+229*2</f>
        <v>41408</v>
      </c>
      <c r="Q1004" s="32"/>
      <c r="R1004" s="32"/>
      <c r="S1004" s="32">
        <f t="shared" si="289"/>
        <v>41408</v>
      </c>
      <c r="T1004" s="12"/>
      <c r="U1004" s="12">
        <f>4.5*9+1.5*48</f>
        <v>112.5</v>
      </c>
      <c r="V1004" s="12"/>
      <c r="W1004" s="12">
        <f t="shared" si="290"/>
        <v>41520.5</v>
      </c>
      <c r="Y1004" s="10">
        <v>3</v>
      </c>
      <c r="Z1004" s="30" t="s">
        <v>96</v>
      </c>
      <c r="AA1004" s="31">
        <f t="shared" ref="AA1004:AA1009" si="295">AA1003+1</f>
        <v>11124</v>
      </c>
      <c r="AB1004" s="33">
        <f>650*8+670*2+622+229</f>
        <v>7391</v>
      </c>
      <c r="AC1004" s="33"/>
      <c r="AD1004" s="32"/>
      <c r="AE1004" s="32">
        <f t="shared" si="291"/>
        <v>7391</v>
      </c>
      <c r="AF1004" s="12"/>
      <c r="AG1004" s="12">
        <f>78</f>
        <v>78</v>
      </c>
      <c r="AH1004" s="12"/>
      <c r="AI1004" s="12">
        <f t="shared" si="292"/>
        <v>7469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96</v>
      </c>
      <c r="C1005" s="82">
        <f>C1004+1</f>
        <v>11173</v>
      </c>
      <c r="D1005" s="32">
        <f>500</f>
        <v>500</v>
      </c>
      <c r="E1005" s="32"/>
      <c r="F1005" s="32"/>
      <c r="G1005" s="32">
        <f t="shared" si="287"/>
        <v>500</v>
      </c>
      <c r="H1005" s="12"/>
      <c r="I1005" s="12"/>
      <c r="J1005" s="12"/>
      <c r="K1005" s="12">
        <f t="shared" si="288"/>
        <v>500</v>
      </c>
      <c r="M1005" s="10">
        <v>4</v>
      </c>
      <c r="N1005" s="30" t="s">
        <v>96</v>
      </c>
      <c r="O1005" s="31">
        <f t="shared" si="294"/>
        <v>11089</v>
      </c>
      <c r="P1005" s="32">
        <f>650*6+9.5*6</f>
        <v>3957</v>
      </c>
      <c r="Q1005" s="32"/>
      <c r="R1005" s="32"/>
      <c r="S1005" s="32">
        <f t="shared" si="289"/>
        <v>3957</v>
      </c>
      <c r="T1005" s="12"/>
      <c r="U1005" s="12"/>
      <c r="V1005" s="12">
        <f>-111</f>
        <v>-111</v>
      </c>
      <c r="W1005" s="12">
        <f t="shared" si="290"/>
        <v>3846</v>
      </c>
      <c r="Y1005" s="10">
        <v>4</v>
      </c>
      <c r="Z1005" s="30" t="s">
        <v>96</v>
      </c>
      <c r="AA1005" s="31">
        <f t="shared" si="295"/>
        <v>11125</v>
      </c>
      <c r="AB1005" s="32">
        <f>216*650+8*670+872*15+9*229</f>
        <v>160901</v>
      </c>
      <c r="AC1005" s="32"/>
      <c r="AD1005" s="32"/>
      <c r="AE1005" s="32">
        <f t="shared" si="291"/>
        <v>160901</v>
      </c>
      <c r="AF1005" s="12"/>
      <c r="AG1005">
        <f>120*11+1.5*78+4.5*12</f>
        <v>1491</v>
      </c>
      <c r="AH1005" s="12"/>
      <c r="AI1005" s="12">
        <f t="shared" si="292"/>
        <v>162392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96</v>
      </c>
      <c r="C1006" s="82">
        <f>C1005+1</f>
        <v>11174</v>
      </c>
      <c r="D1006" s="32">
        <f>973*50+912*3+1050*4+872*3</f>
        <v>58202</v>
      </c>
      <c r="E1006" s="32"/>
      <c r="F1006" s="32"/>
      <c r="G1006" s="32">
        <f t="shared" si="287"/>
        <v>58202</v>
      </c>
      <c r="H1006" s="12"/>
      <c r="I1006" s="12"/>
      <c r="J1006" s="12"/>
      <c r="K1006" s="12">
        <f t="shared" si="288"/>
        <v>58202</v>
      </c>
      <c r="M1006" s="10">
        <v>5</v>
      </c>
      <c r="N1006" s="30" t="s">
        <v>96</v>
      </c>
      <c r="O1006" s="31">
        <f t="shared" si="294"/>
        <v>11090</v>
      </c>
      <c r="P1006" s="32">
        <f>650*7+9.5*7</f>
        <v>4616.5</v>
      </c>
      <c r="Q1006" s="32"/>
      <c r="R1006" s="32"/>
      <c r="S1006" s="32">
        <f t="shared" si="289"/>
        <v>4616.5</v>
      </c>
      <c r="T1006" s="12"/>
      <c r="U1006" s="12">
        <f>4.5*4</f>
        <v>18</v>
      </c>
      <c r="V1006" s="12"/>
      <c r="W1006" s="12">
        <f t="shared" si="290"/>
        <v>4634.5</v>
      </c>
      <c r="Y1006" s="10">
        <v>5</v>
      </c>
      <c r="Z1006" s="30" t="s">
        <v>96</v>
      </c>
      <c r="AA1006" s="31">
        <f t="shared" si="295"/>
        <v>11126</v>
      </c>
      <c r="AB1006" s="32">
        <f>650*108+229*4</f>
        <v>71116</v>
      </c>
      <c r="AC1006" s="32">
        <f>-108*6</f>
        <v>-648</v>
      </c>
      <c r="AD1006" s="32"/>
      <c r="AE1006" s="32">
        <f t="shared" ref="AE1006:AE1034" si="296">SUM(AB1006:AC1006)</f>
        <v>70468</v>
      </c>
      <c r="AF1006" s="12"/>
      <c r="AG1006" s="12">
        <f>111*35</f>
        <v>3885</v>
      </c>
      <c r="AH1006" s="12"/>
      <c r="AI1006" s="12">
        <f t="shared" si="292"/>
        <v>74353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96</v>
      </c>
      <c r="C1007" s="82">
        <f t="shared" ref="C1007:C1008" si="297">C1006+1</f>
        <v>11175</v>
      </c>
      <c r="D1007" s="32">
        <f>650*3+622*3+229</f>
        <v>4045</v>
      </c>
      <c r="E1007" s="32"/>
      <c r="F1007" s="32"/>
      <c r="G1007" s="32">
        <f t="shared" si="287"/>
        <v>4045</v>
      </c>
      <c r="H1007" s="12"/>
      <c r="I1007" s="12"/>
      <c r="J1007" s="12"/>
      <c r="K1007" s="12">
        <f t="shared" si="288"/>
        <v>4045</v>
      </c>
      <c r="M1007" s="10">
        <v>6</v>
      </c>
      <c r="N1007" s="30" t="s">
        <v>96</v>
      </c>
      <c r="O1007" s="31">
        <f t="shared" si="294"/>
        <v>11091</v>
      </c>
      <c r="P1007" s="32">
        <f>650*3+9.5*3</f>
        <v>1978.5</v>
      </c>
      <c r="Q1007" s="32"/>
      <c r="R1007" s="32"/>
      <c r="S1007" s="32">
        <f t="shared" si="289"/>
        <v>1978.5</v>
      </c>
      <c r="T1007" s="12"/>
      <c r="U1007" s="12"/>
      <c r="V1007" s="10"/>
      <c r="W1007" s="12">
        <f t="shared" si="290"/>
        <v>1978.5</v>
      </c>
      <c r="Y1007" s="10">
        <v>6</v>
      </c>
      <c r="Z1007" s="30" t="s">
        <v>96</v>
      </c>
      <c r="AA1007" s="31">
        <f t="shared" si="295"/>
        <v>11127</v>
      </c>
      <c r="AB1007" s="32">
        <f>650*40+973*2+622*6+912*2+1050*2+872*2+229*2+500*3</f>
        <v>39304</v>
      </c>
      <c r="AC1007" s="32"/>
      <c r="AD1007" s="32"/>
      <c r="AE1007" s="32">
        <f t="shared" si="296"/>
        <v>39304</v>
      </c>
      <c r="AF1007" s="12"/>
      <c r="AG1007" s="12"/>
      <c r="AH1007" s="10"/>
      <c r="AI1007" s="12">
        <f t="shared" si="292"/>
        <v>39304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96</v>
      </c>
      <c r="C1008" s="82">
        <f t="shared" si="297"/>
        <v>11176</v>
      </c>
      <c r="D1008" s="32">
        <f>650*27+622*7</f>
        <v>21904</v>
      </c>
      <c r="E1008" s="32"/>
      <c r="F1008" s="32"/>
      <c r="G1008" s="32">
        <f t="shared" si="287"/>
        <v>21904</v>
      </c>
      <c r="H1008" s="12"/>
      <c r="I1008" s="12"/>
      <c r="J1008" s="12"/>
      <c r="K1008" s="12">
        <f t="shared" si="288"/>
        <v>21904</v>
      </c>
      <c r="M1008" s="10">
        <v>7</v>
      </c>
      <c r="N1008" s="30" t="s">
        <v>96</v>
      </c>
      <c r="O1008" s="31">
        <f t="shared" si="294"/>
        <v>11092</v>
      </c>
      <c r="P1008" s="32">
        <f>650*11+872+650</f>
        <v>8672</v>
      </c>
      <c r="Q1008" s="32"/>
      <c r="R1008" s="32"/>
      <c r="S1008" s="32">
        <f t="shared" si="289"/>
        <v>8672</v>
      </c>
      <c r="T1008" s="12"/>
      <c r="U1008" s="12">
        <f>1.5*16+4.5*6</f>
        <v>51</v>
      </c>
      <c r="V1008" s="12"/>
      <c r="W1008" s="12">
        <f t="shared" si="290"/>
        <v>8723</v>
      </c>
      <c r="Y1008" s="10">
        <v>7</v>
      </c>
      <c r="Z1008" s="30" t="s">
        <v>96</v>
      </c>
      <c r="AA1008" s="31">
        <f t="shared" si="295"/>
        <v>11128</v>
      </c>
      <c r="AB1008" s="32">
        <f>650*7</f>
        <v>4550</v>
      </c>
      <c r="AC1008" s="32"/>
      <c r="AD1008" s="32"/>
      <c r="AE1008" s="32">
        <f t="shared" si="296"/>
        <v>4550</v>
      </c>
      <c r="AF1008" s="12"/>
      <c r="AG1008" s="58"/>
      <c r="AH1008" s="12"/>
      <c r="AI1008" s="12">
        <f t="shared" si="292"/>
        <v>4550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27</v>
      </c>
      <c r="D1009" s="32"/>
      <c r="E1009" s="32"/>
      <c r="F1009" s="32"/>
      <c r="G1009" s="32">
        <f t="shared" si="287"/>
        <v>0</v>
      </c>
      <c r="H1009" s="12"/>
      <c r="I1009" s="12"/>
      <c r="J1009" s="12"/>
      <c r="K1009" s="12">
        <f t="shared" si="288"/>
        <v>0</v>
      </c>
      <c r="M1009" s="10">
        <v>8</v>
      </c>
      <c r="N1009" s="30" t="s">
        <v>96</v>
      </c>
      <c r="O1009" s="31">
        <f t="shared" si="294"/>
        <v>11093</v>
      </c>
      <c r="P1009" s="32">
        <f>650*165+670*5+622*20+912*2+1050*2+229*6+650*2</f>
        <v>129638</v>
      </c>
      <c r="Q1009" s="32">
        <f>-194*6</f>
        <v>-1164</v>
      </c>
      <c r="R1009" s="32"/>
      <c r="S1009" s="32">
        <f t="shared" si="289"/>
        <v>128474</v>
      </c>
      <c r="T1009" s="12"/>
      <c r="U1009" s="12">
        <f>120*3+111*17+78*4</f>
        <v>2559</v>
      </c>
      <c r="V1009" s="12">
        <f>-84+-84*4+-42*3</f>
        <v>-546</v>
      </c>
      <c r="W1009" s="12">
        <f t="shared" si="290"/>
        <v>130487</v>
      </c>
      <c r="Y1009" s="10">
        <v>8</v>
      </c>
      <c r="Z1009" s="30" t="s">
        <v>96</v>
      </c>
      <c r="AA1009" s="31">
        <f t="shared" si="295"/>
        <v>11129</v>
      </c>
      <c r="AB1009" s="32">
        <f>650*6+622*2</f>
        <v>5144</v>
      </c>
      <c r="AC1009" s="32"/>
      <c r="AE1009" s="32">
        <f t="shared" si="296"/>
        <v>5144</v>
      </c>
      <c r="AF1009" s="12"/>
      <c r="AG1009" s="12"/>
      <c r="AH1009" s="12"/>
      <c r="AI1009" s="12">
        <f t="shared" si="292"/>
        <v>5144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2"/>
      <c r="D1010" s="32"/>
      <c r="E1010" s="32"/>
      <c r="F1010" s="32"/>
      <c r="G1010" s="32">
        <f t="shared" si="287"/>
        <v>0</v>
      </c>
      <c r="H1010" s="12"/>
      <c r="I1010" s="12"/>
      <c r="J1010" s="12"/>
      <c r="K1010" s="12">
        <f t="shared" si="288"/>
        <v>0</v>
      </c>
      <c r="M1010" s="10">
        <v>9</v>
      </c>
      <c r="N1010" s="30"/>
      <c r="O1010" s="11" t="s">
        <v>27</v>
      </c>
      <c r="P1010" s="32"/>
      <c r="Q1010" s="32"/>
      <c r="R1010" s="32"/>
      <c r="S1010" s="32">
        <f t="shared" si="289"/>
        <v>0</v>
      </c>
      <c r="T1010" s="12"/>
      <c r="U1010" s="12"/>
      <c r="V1010" s="12"/>
      <c r="W1010" s="12">
        <f t="shared" si="290"/>
        <v>0</v>
      </c>
      <c r="Y1010" s="10">
        <v>9</v>
      </c>
      <c r="Z1010" s="30"/>
      <c r="AA1010" s="11" t="s">
        <v>27</v>
      </c>
      <c r="AB1010" s="32"/>
      <c r="AC1010" s="32"/>
      <c r="AD1010" s="32"/>
      <c r="AE1010" s="32">
        <f t="shared" si="296"/>
        <v>0</v>
      </c>
      <c r="AF1010" s="12"/>
      <c r="AH1010" s="12"/>
      <c r="AI1010" s="12">
        <f t="shared" si="292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2"/>
      <c r="D1011" s="32"/>
      <c r="E1011" s="32"/>
      <c r="F1011" s="32"/>
      <c r="G1011" s="32">
        <f t="shared" si="287"/>
        <v>0</v>
      </c>
      <c r="H1011" s="12"/>
      <c r="I1011" s="12"/>
      <c r="J1011" s="12"/>
      <c r="K1011" s="12">
        <f t="shared" si="288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89"/>
        <v>0</v>
      </c>
      <c r="T1011" s="12"/>
      <c r="U1011" s="12"/>
      <c r="V1011" s="12"/>
      <c r="W1011" s="12">
        <f t="shared" si="290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6"/>
        <v>0</v>
      </c>
      <c r="AF1011" s="12"/>
      <c r="AG1011" s="12"/>
      <c r="AH1011" s="12"/>
      <c r="AI1011" s="12">
        <f t="shared" si="292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D1012" s="32"/>
      <c r="E1012" s="32"/>
      <c r="F1012" s="32"/>
      <c r="G1012" s="32">
        <f t="shared" si="287"/>
        <v>0</v>
      </c>
      <c r="H1012" s="12"/>
      <c r="I1012" s="12"/>
      <c r="J1012" s="12"/>
      <c r="K1012" s="12">
        <f t="shared" si="288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89"/>
        <v>0</v>
      </c>
      <c r="T1012" s="12"/>
      <c r="U1012" s="12"/>
      <c r="V1012" s="12"/>
      <c r="W1012" s="12">
        <f t="shared" si="290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296"/>
        <v>0</v>
      </c>
      <c r="AF1012" s="12"/>
      <c r="AG1012" s="12"/>
      <c r="AH1012" s="12"/>
      <c r="AI1012" s="12">
        <f t="shared" si="292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87"/>
        <v>0</v>
      </c>
      <c r="H1013" s="12"/>
      <c r="I1013" s="12"/>
      <c r="J1013" s="10"/>
      <c r="K1013" s="12">
        <f t="shared" si="288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89"/>
        <v>0</v>
      </c>
      <c r="T1013" s="12"/>
      <c r="U1013" s="12"/>
      <c r="V1013" s="12"/>
      <c r="W1013" s="12">
        <f t="shared" si="290"/>
        <v>0</v>
      </c>
      <c r="Y1013" s="10">
        <v>12</v>
      </c>
      <c r="Z1013" s="30"/>
      <c r="AB1013" s="32"/>
      <c r="AC1013" s="32"/>
      <c r="AD1013" s="32"/>
      <c r="AE1013" s="32">
        <f t="shared" si="296"/>
        <v>0</v>
      </c>
      <c r="AF1013" s="12"/>
      <c r="AG1013" s="12"/>
      <c r="AH1013" s="12"/>
      <c r="AI1013" s="12">
        <f t="shared" si="292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2"/>
      <c r="D1014" s="32"/>
      <c r="E1014" s="32"/>
      <c r="F1014" s="32"/>
      <c r="G1014" s="32">
        <f t="shared" si="287"/>
        <v>0</v>
      </c>
      <c r="H1014" s="12"/>
      <c r="I1014" s="12"/>
      <c r="J1014" s="12"/>
      <c r="K1014" s="12">
        <f t="shared" si="288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89"/>
        <v>0</v>
      </c>
      <c r="T1014" s="12"/>
      <c r="U1014" s="12"/>
      <c r="V1014" s="12"/>
      <c r="W1014" s="12">
        <f t="shared" si="290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6"/>
        <v>0</v>
      </c>
      <c r="AF1014" s="12"/>
      <c r="AG1014" s="12"/>
      <c r="AH1014" s="12"/>
      <c r="AI1014" s="12">
        <f t="shared" si="292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2"/>
      <c r="D1015" s="32"/>
      <c r="E1015" s="32"/>
      <c r="F1015" s="32"/>
      <c r="G1015" s="32">
        <f t="shared" si="287"/>
        <v>0</v>
      </c>
      <c r="H1015" s="12"/>
      <c r="I1015" s="12"/>
      <c r="J1015" s="12"/>
      <c r="K1015" s="12">
        <f t="shared" si="288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89"/>
        <v>0</v>
      </c>
      <c r="T1015" s="12"/>
      <c r="U1015" s="12"/>
      <c r="V1015" s="12"/>
      <c r="W1015" s="12">
        <f t="shared" si="290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6"/>
        <v>0</v>
      </c>
      <c r="AF1015" s="12"/>
      <c r="AG1015" s="12"/>
      <c r="AH1015" s="12"/>
      <c r="AI1015" s="12">
        <f t="shared" si="292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2"/>
      <c r="D1016" s="32"/>
      <c r="E1016" s="32"/>
      <c r="F1016" s="32"/>
      <c r="G1016" s="32">
        <f t="shared" si="287"/>
        <v>0</v>
      </c>
      <c r="H1016" s="12"/>
      <c r="I1016" s="12"/>
      <c r="J1016" s="12"/>
      <c r="K1016" s="12">
        <f t="shared" si="288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89"/>
        <v>0</v>
      </c>
      <c r="T1016" s="12"/>
      <c r="U1016" s="12"/>
      <c r="V1016" s="12"/>
      <c r="W1016" s="12">
        <f t="shared" si="290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6"/>
        <v>0</v>
      </c>
      <c r="AF1016" s="12"/>
      <c r="AG1016" s="12"/>
      <c r="AH1016" s="12"/>
      <c r="AI1016" s="12">
        <f t="shared" si="292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87"/>
        <v>0</v>
      </c>
      <c r="H1017" s="12"/>
      <c r="I1017" s="12"/>
      <c r="J1017" s="12"/>
      <c r="K1017" s="12">
        <f t="shared" si="288"/>
        <v>0</v>
      </c>
      <c r="M1017" s="10">
        <v>16</v>
      </c>
      <c r="N1017" s="30"/>
      <c r="P1017" s="32"/>
      <c r="Q1017" s="32"/>
      <c r="R1017" s="32"/>
      <c r="S1017" s="32">
        <f t="shared" si="289"/>
        <v>0</v>
      </c>
      <c r="T1017" s="12"/>
      <c r="U1017" s="12"/>
      <c r="V1017" s="12"/>
      <c r="W1017" s="12">
        <f t="shared" si="290"/>
        <v>0</v>
      </c>
      <c r="Y1017" s="10">
        <v>16</v>
      </c>
      <c r="Z1017" s="30"/>
      <c r="AA1017" s="11"/>
      <c r="AB1017" s="32"/>
      <c r="AC1017" s="32"/>
      <c r="AD1017" s="32"/>
      <c r="AE1017" s="32">
        <f t="shared" si="296"/>
        <v>0</v>
      </c>
      <c r="AF1017" s="12"/>
      <c r="AG1017" s="12"/>
      <c r="AH1017" s="12"/>
      <c r="AI1017" s="12">
        <f t="shared" si="292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2"/>
      <c r="D1018" s="32"/>
      <c r="E1018" s="32"/>
      <c r="F1018" s="32"/>
      <c r="G1018" s="32">
        <f t="shared" si="287"/>
        <v>0</v>
      </c>
      <c r="H1018" s="12"/>
      <c r="I1018" s="12"/>
      <c r="J1018" s="12"/>
      <c r="K1018" s="12">
        <f t="shared" si="288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89"/>
        <v>0</v>
      </c>
      <c r="T1018" s="12"/>
      <c r="U1018" s="12"/>
      <c r="V1018" s="12"/>
      <c r="W1018" s="12">
        <f t="shared" si="290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6"/>
        <v>0</v>
      </c>
      <c r="AF1018" s="12"/>
      <c r="AG1018" s="12"/>
      <c r="AH1018" s="12"/>
      <c r="AI1018" s="12">
        <f t="shared" si="292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2"/>
      <c r="D1019" s="32"/>
      <c r="E1019" s="32"/>
      <c r="F1019" s="32"/>
      <c r="G1019" s="32">
        <f t="shared" si="287"/>
        <v>0</v>
      </c>
      <c r="H1019" s="12"/>
      <c r="I1019" s="12"/>
      <c r="J1019" s="12"/>
      <c r="K1019" s="12">
        <f t="shared" si="288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89"/>
        <v>0</v>
      </c>
      <c r="T1019" s="12"/>
      <c r="U1019" s="12"/>
      <c r="V1019" s="12"/>
      <c r="W1019" s="12">
        <f t="shared" si="290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6"/>
        <v>0</v>
      </c>
      <c r="AF1019" s="12"/>
      <c r="AG1019" s="12"/>
      <c r="AH1019" s="12"/>
      <c r="AI1019" s="12">
        <f t="shared" si="292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2"/>
      <c r="D1020" s="32"/>
      <c r="E1020" s="32"/>
      <c r="F1020" s="32"/>
      <c r="G1020" s="32">
        <f t="shared" si="287"/>
        <v>0</v>
      </c>
      <c r="H1020" s="12"/>
      <c r="I1020" s="12"/>
      <c r="J1020" s="12"/>
      <c r="K1020" s="12">
        <f t="shared" si="288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89"/>
        <v>0</v>
      </c>
      <c r="T1020" s="12"/>
      <c r="U1020" s="12"/>
      <c r="V1020" s="12"/>
      <c r="W1020" s="12">
        <f t="shared" si="290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6"/>
        <v>0</v>
      </c>
      <c r="AF1020" s="12"/>
      <c r="AG1020" s="12"/>
      <c r="AH1020" s="12"/>
      <c r="AI1020" s="12">
        <f t="shared" si="292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2"/>
      <c r="D1021" s="32"/>
      <c r="E1021" s="32"/>
      <c r="F1021" s="32"/>
      <c r="G1021" s="32">
        <f t="shared" si="287"/>
        <v>0</v>
      </c>
      <c r="H1021" s="12"/>
      <c r="I1021" s="12"/>
      <c r="J1021" s="12"/>
      <c r="K1021" s="12">
        <f t="shared" si="288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89"/>
        <v>0</v>
      </c>
      <c r="T1021" s="12"/>
      <c r="U1021" s="12"/>
      <c r="V1021" s="12"/>
      <c r="W1021" s="12">
        <f t="shared" si="290"/>
        <v>0</v>
      </c>
      <c r="Y1021" s="10">
        <v>20</v>
      </c>
      <c r="Z1021" s="30"/>
      <c r="AB1021" s="32"/>
      <c r="AC1021" s="32"/>
      <c r="AD1021" s="32"/>
      <c r="AE1021" s="32">
        <f t="shared" si="296"/>
        <v>0</v>
      </c>
      <c r="AF1021" s="12"/>
      <c r="AG1021" s="12"/>
      <c r="AH1021" s="12"/>
      <c r="AI1021" s="12">
        <f t="shared" si="292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2"/>
      <c r="D1022" s="32"/>
      <c r="E1022" s="32"/>
      <c r="F1022" s="32"/>
      <c r="G1022" s="32">
        <f t="shared" si="287"/>
        <v>0</v>
      </c>
      <c r="H1022" s="10"/>
      <c r="I1022" s="10"/>
      <c r="J1022" s="10"/>
      <c r="K1022" s="12">
        <f t="shared" si="288"/>
        <v>0</v>
      </c>
      <c r="M1022" s="10">
        <v>21</v>
      </c>
      <c r="N1022" s="30"/>
      <c r="O1022" s="31"/>
      <c r="P1022" s="46"/>
      <c r="Q1022" s="31"/>
      <c r="R1022" s="31"/>
      <c r="S1022" s="32">
        <f t="shared" si="289"/>
        <v>0</v>
      </c>
      <c r="T1022" s="10"/>
      <c r="U1022" s="10"/>
      <c r="V1022" s="10"/>
      <c r="W1022" s="12">
        <f t="shared" si="290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6"/>
        <v>0</v>
      </c>
      <c r="AF1022" s="10"/>
      <c r="AG1022" s="10"/>
      <c r="AH1022" s="10"/>
      <c r="AI1022" s="12">
        <f t="shared" si="292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82"/>
      <c r="D1023" s="32"/>
      <c r="E1023" s="32"/>
      <c r="F1023" s="32"/>
      <c r="G1023" s="32">
        <f t="shared" si="287"/>
        <v>0</v>
      </c>
      <c r="H1023" s="10"/>
      <c r="I1023" s="10"/>
      <c r="J1023" s="10"/>
      <c r="K1023" s="12">
        <f t="shared" si="288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89"/>
        <v>0</v>
      </c>
      <c r="T1023" s="10"/>
      <c r="U1023" s="10"/>
      <c r="V1023" s="10"/>
      <c r="W1023" s="12">
        <f t="shared" si="290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6"/>
        <v>0</v>
      </c>
      <c r="AF1023" s="10"/>
      <c r="AG1023" s="10"/>
      <c r="AH1023" s="10"/>
      <c r="AI1023" s="12">
        <f t="shared" si="292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2"/>
      <c r="D1024" s="32"/>
      <c r="E1024" s="32"/>
      <c r="F1024" s="32"/>
      <c r="G1024" s="32">
        <f t="shared" si="287"/>
        <v>0</v>
      </c>
      <c r="H1024" s="10"/>
      <c r="I1024" s="10"/>
      <c r="J1024" s="12"/>
      <c r="K1024" s="12">
        <f t="shared" si="288"/>
        <v>0</v>
      </c>
      <c r="M1024" s="10">
        <v>23</v>
      </c>
      <c r="N1024" s="30"/>
      <c r="O1024" s="31"/>
      <c r="P1024" s="47"/>
      <c r="Q1024" s="31"/>
      <c r="S1024" s="32">
        <f t="shared" si="289"/>
        <v>0</v>
      </c>
      <c r="T1024" s="10"/>
      <c r="U1024" s="10"/>
      <c r="V1024" s="10"/>
      <c r="W1024" s="12">
        <f t="shared" si="290"/>
        <v>0</v>
      </c>
      <c r="Y1024" s="10">
        <v>23</v>
      </c>
      <c r="Z1024" s="30"/>
      <c r="AA1024" s="31"/>
      <c r="AB1024" s="47"/>
      <c r="AE1024" s="32">
        <f t="shared" si="296"/>
        <v>0</v>
      </c>
      <c r="AF1024" s="10"/>
      <c r="AG1024" s="10"/>
      <c r="AH1024" s="10"/>
      <c r="AI1024" s="12">
        <f t="shared" si="292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2"/>
      <c r="D1025" s="32"/>
      <c r="E1025" s="32"/>
      <c r="F1025" s="32"/>
      <c r="G1025" s="32">
        <f t="shared" si="287"/>
        <v>0</v>
      </c>
      <c r="H1025" s="10"/>
      <c r="I1025" s="10"/>
      <c r="J1025" s="10"/>
      <c r="K1025" s="12">
        <f t="shared" si="288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89"/>
        <v>0</v>
      </c>
      <c r="T1025" s="10"/>
      <c r="U1025" s="10"/>
      <c r="V1025" s="10"/>
      <c r="W1025" s="12">
        <f t="shared" si="290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6"/>
        <v>0</v>
      </c>
      <c r="AF1025" s="10"/>
      <c r="AG1025" s="10"/>
      <c r="AH1025" s="10"/>
      <c r="AI1025" s="12">
        <f t="shared" si="292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2"/>
      <c r="D1026" s="32"/>
      <c r="E1026" s="32"/>
      <c r="F1026" s="32"/>
      <c r="G1026" s="32">
        <f t="shared" si="287"/>
        <v>0</v>
      </c>
      <c r="H1026" s="10"/>
      <c r="I1026" s="10"/>
      <c r="J1026" s="10"/>
      <c r="K1026" s="12">
        <f t="shared" si="288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89"/>
        <v>0</v>
      </c>
      <c r="T1026" s="10"/>
      <c r="U1026" s="10"/>
      <c r="V1026" s="10"/>
      <c r="W1026" s="12">
        <f t="shared" si="290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96"/>
        <v>0</v>
      </c>
      <c r="AF1026" s="10"/>
      <c r="AG1026" s="10"/>
      <c r="AH1026" s="10"/>
      <c r="AI1026" s="12">
        <f t="shared" si="292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2"/>
      <c r="D1027" s="32"/>
      <c r="E1027" s="32"/>
      <c r="F1027" s="32"/>
      <c r="G1027" s="32">
        <f t="shared" si="287"/>
        <v>0</v>
      </c>
      <c r="H1027" s="10"/>
      <c r="I1027" s="10"/>
      <c r="J1027" s="10"/>
      <c r="K1027" s="12">
        <f t="shared" si="288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89"/>
        <v>0</v>
      </c>
      <c r="T1027" s="10"/>
      <c r="U1027" s="10"/>
      <c r="V1027" s="10"/>
      <c r="W1027" s="12">
        <f t="shared" si="290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96"/>
        <v>0</v>
      </c>
      <c r="AF1027" s="10"/>
      <c r="AG1027" s="10"/>
      <c r="AH1027" s="10"/>
      <c r="AI1027" s="12">
        <f t="shared" si="292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2"/>
      <c r="D1028" s="32"/>
      <c r="E1028" s="32"/>
      <c r="F1028" s="32"/>
      <c r="G1028" s="32">
        <f t="shared" si="287"/>
        <v>0</v>
      </c>
      <c r="H1028" s="10"/>
      <c r="I1028" s="10"/>
      <c r="J1028" s="10"/>
      <c r="K1028" s="12">
        <f t="shared" si="288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89"/>
        <v>0</v>
      </c>
      <c r="T1028" s="10"/>
      <c r="U1028" s="10"/>
      <c r="V1028" s="10"/>
      <c r="W1028" s="12">
        <f t="shared" si="290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6"/>
        <v>0</v>
      </c>
      <c r="AF1028" s="10"/>
      <c r="AG1028" s="10"/>
      <c r="AH1028" s="10"/>
      <c r="AI1028" s="12">
        <f t="shared" si="292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2"/>
      <c r="D1029" s="32"/>
      <c r="E1029" s="32"/>
      <c r="F1029" s="32"/>
      <c r="G1029" s="32">
        <f t="shared" si="287"/>
        <v>0</v>
      </c>
      <c r="H1029" s="10"/>
      <c r="I1029" s="10"/>
      <c r="J1029" s="10"/>
      <c r="K1029" s="12">
        <f t="shared" si="288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89"/>
        <v>0</v>
      </c>
      <c r="T1029" s="10"/>
      <c r="U1029" s="10"/>
      <c r="V1029" s="10"/>
      <c r="W1029" s="12">
        <f t="shared" si="290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6"/>
        <v>0</v>
      </c>
      <c r="AF1029" s="10"/>
      <c r="AG1029" s="10"/>
      <c r="AH1029" s="10"/>
      <c r="AI1029" s="12">
        <f t="shared" si="292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2"/>
      <c r="D1030" s="32"/>
      <c r="E1030" s="32"/>
      <c r="F1030" s="32"/>
      <c r="G1030" s="32">
        <f t="shared" si="287"/>
        <v>0</v>
      </c>
      <c r="H1030" s="10"/>
      <c r="I1030" s="10"/>
      <c r="J1030" s="10"/>
      <c r="K1030" s="12">
        <f t="shared" si="288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89"/>
        <v>0</v>
      </c>
      <c r="T1030" s="10"/>
      <c r="U1030" s="10"/>
      <c r="V1030" s="10"/>
      <c r="W1030" s="12">
        <f t="shared" si="290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6"/>
        <v>0</v>
      </c>
      <c r="AF1030" s="10"/>
      <c r="AG1030" s="10"/>
      <c r="AH1030" s="10"/>
      <c r="AI1030" s="12">
        <f t="shared" si="292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2"/>
      <c r="D1031" s="32"/>
      <c r="E1031" s="32"/>
      <c r="F1031" s="32"/>
      <c r="G1031" s="32">
        <f t="shared" si="287"/>
        <v>0</v>
      </c>
      <c r="H1031" s="10"/>
      <c r="I1031" s="10"/>
      <c r="J1031" s="10"/>
      <c r="K1031" s="12">
        <f t="shared" si="288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89"/>
        <v>0</v>
      </c>
      <c r="T1031" s="10"/>
      <c r="U1031" s="10"/>
      <c r="V1031" s="10"/>
      <c r="W1031" s="12">
        <f t="shared" si="290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96"/>
        <v>0</v>
      </c>
      <c r="AF1031" s="10"/>
      <c r="AG1031" s="10"/>
      <c r="AH1031" s="10"/>
      <c r="AI1031" s="12">
        <f t="shared" si="292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2"/>
      <c r="D1032" s="32"/>
      <c r="E1032" s="32"/>
      <c r="F1032" s="32"/>
      <c r="G1032" s="32">
        <f t="shared" si="287"/>
        <v>0</v>
      </c>
      <c r="H1032" s="10"/>
      <c r="I1032" s="10"/>
      <c r="J1032" s="10"/>
      <c r="K1032" s="12">
        <f t="shared" si="288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89"/>
        <v>0</v>
      </c>
      <c r="T1032" s="10"/>
      <c r="U1032" s="10"/>
      <c r="V1032" s="10"/>
      <c r="W1032" s="12">
        <f t="shared" si="290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96"/>
        <v>0</v>
      </c>
      <c r="AF1032" s="10"/>
      <c r="AG1032" s="10"/>
      <c r="AH1032" s="10"/>
      <c r="AI1032" s="12">
        <f t="shared" si="292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2"/>
      <c r="D1033" s="32"/>
      <c r="E1033" s="32"/>
      <c r="F1033" s="32"/>
      <c r="G1033" s="32">
        <f t="shared" si="287"/>
        <v>0</v>
      </c>
      <c r="H1033" s="10"/>
      <c r="I1033" s="10"/>
      <c r="J1033" s="10"/>
      <c r="K1033" s="12">
        <f t="shared" si="288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89"/>
        <v>0</v>
      </c>
      <c r="T1033" s="10"/>
      <c r="U1033" s="10"/>
      <c r="V1033" s="10"/>
      <c r="W1033" s="12">
        <f t="shared" si="290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6"/>
        <v>0</v>
      </c>
      <c r="AF1033" s="10"/>
      <c r="AG1033" s="10"/>
      <c r="AH1033" s="10"/>
      <c r="AI1033" s="12">
        <f t="shared" si="292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2"/>
      <c r="D1034" s="32"/>
      <c r="E1034" s="32"/>
      <c r="F1034" s="32"/>
      <c r="G1034" s="32">
        <f t="shared" si="287"/>
        <v>0</v>
      </c>
      <c r="H1034" s="10"/>
      <c r="I1034" s="10"/>
      <c r="J1034" s="10"/>
      <c r="K1034" s="12">
        <f t="shared" si="288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89"/>
        <v>0</v>
      </c>
      <c r="T1034" s="10"/>
      <c r="U1034" s="10"/>
      <c r="V1034" s="10"/>
      <c r="W1034" s="12">
        <f t="shared" si="290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6"/>
        <v>0</v>
      </c>
      <c r="AF1034" s="10"/>
      <c r="AG1034" s="10"/>
      <c r="AH1034" s="10"/>
      <c r="AI1034" s="12">
        <f t="shared" si="292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2"/>
      <c r="D1035" s="32"/>
      <c r="E1035" s="32"/>
      <c r="F1035" s="32"/>
      <c r="G1035" s="32">
        <f t="shared" si="287"/>
        <v>0</v>
      </c>
      <c r="H1035" s="10"/>
      <c r="I1035" s="10"/>
      <c r="J1035" s="10"/>
      <c r="K1035" s="12">
        <f t="shared" si="288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89"/>
        <v>0</v>
      </c>
      <c r="T1035" s="10"/>
      <c r="U1035" s="10"/>
      <c r="V1035" s="10"/>
      <c r="W1035" s="12">
        <f t="shared" si="290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ref="AE1035:AE1040" si="298">SUM(AB1035:AC1035)</f>
        <v>0</v>
      </c>
      <c r="AF1035" s="10"/>
      <c r="AG1035" s="10"/>
      <c r="AH1035" s="10"/>
      <c r="AI1035" s="12">
        <f t="shared" si="292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2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89"/>
        <v>0</v>
      </c>
      <c r="T1036" s="10"/>
      <c r="U1036" s="10"/>
      <c r="V1036" s="10"/>
      <c r="W1036" s="12">
        <f t="shared" si="290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8"/>
        <v>0</v>
      </c>
      <c r="AF1036" s="10"/>
      <c r="AG1036" s="10"/>
      <c r="AH1036" s="10"/>
      <c r="AI1036" s="12">
        <f t="shared" si="292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2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89"/>
        <v>0</v>
      </c>
      <c r="T1037" s="10"/>
      <c r="U1037" s="10"/>
      <c r="V1037" s="10"/>
      <c r="W1037" s="12">
        <f t="shared" si="290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8"/>
        <v>0</v>
      </c>
      <c r="AF1037" s="10"/>
      <c r="AG1037" s="10"/>
      <c r="AH1037" s="10"/>
      <c r="AI1037" s="12">
        <f t="shared" si="292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89"/>
        <v>0</v>
      </c>
      <c r="T1038" s="10"/>
      <c r="U1038" s="10"/>
      <c r="V1038" s="10"/>
      <c r="W1038" s="12">
        <f t="shared" si="290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8"/>
        <v>0</v>
      </c>
      <c r="AF1038" s="10"/>
      <c r="AG1038" s="10"/>
      <c r="AH1038" s="10"/>
      <c r="AI1038" s="12">
        <f t="shared" si="292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89"/>
        <v>0</v>
      </c>
      <c r="T1039" s="10"/>
      <c r="U1039" s="10"/>
      <c r="V1039" s="10"/>
      <c r="W1039" s="12">
        <f t="shared" si="290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8"/>
        <v>0</v>
      </c>
      <c r="AF1039" s="10"/>
      <c r="AG1039" s="10"/>
      <c r="AH1039" s="10"/>
      <c r="AI1039" s="12">
        <f t="shared" si="292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89"/>
        <v>0</v>
      </c>
      <c r="T1040" s="10"/>
      <c r="U1040" s="10"/>
      <c r="V1040" s="10"/>
      <c r="W1040" s="12">
        <f t="shared" si="290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8"/>
        <v>0</v>
      </c>
      <c r="AF1040" s="10"/>
      <c r="AG1040" s="10"/>
      <c r="AH1040" s="10"/>
      <c r="AI1040" s="12">
        <f t="shared" si="292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0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2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9">SUM(D1042:E1042)</f>
        <v>0</v>
      </c>
      <c r="H1042" s="10"/>
      <c r="I1042" s="10"/>
      <c r="J1042" s="10"/>
      <c r="K1042" s="12">
        <f t="shared" ref="K1042" si="300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1">SUM(P1042:Q1042)</f>
        <v>0</v>
      </c>
      <c r="T1042" s="10"/>
      <c r="U1042" s="10"/>
      <c r="V1042" s="10"/>
      <c r="W1042" s="12">
        <f t="shared" si="290"/>
        <v>0</v>
      </c>
      <c r="Y1042" s="10"/>
      <c r="Z1042" s="30"/>
      <c r="AA1042" s="31"/>
      <c r="AB1042" s="47"/>
      <c r="AC1042" s="31"/>
      <c r="AD1042" s="31"/>
      <c r="AE1042" s="32">
        <f t="shared" ref="AE1042" si="302">SUM(AB1042:AC1042)</f>
        <v>0</v>
      </c>
      <c r="AF1042" s="10"/>
      <c r="AG1042" s="10"/>
      <c r="AH1042" s="10"/>
      <c r="AI1042" s="12">
        <f t="shared" si="292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0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2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388330</v>
      </c>
      <c r="E1045" s="38">
        <f t="shared" ref="E1045:F1045" si="303">SUM(E1002:E1042)</f>
        <v>0</v>
      </c>
      <c r="F1045" s="38">
        <f t="shared" si="303"/>
        <v>0</v>
      </c>
      <c r="G1045" s="38">
        <f>SUM(G1002:G1044)</f>
        <v>388330</v>
      </c>
      <c r="H1045" s="4"/>
      <c r="I1045" s="39">
        <f>SUM(I1002:I1044)</f>
        <v>24642</v>
      </c>
      <c r="J1045" s="39">
        <f>SUM(J1002:J1044)</f>
        <v>-29928</v>
      </c>
      <c r="K1045" s="40">
        <f>SUM(K1002:K1044)</f>
        <v>383044</v>
      </c>
      <c r="N1045" s="57"/>
      <c r="O1045" s="57"/>
      <c r="P1045" s="38">
        <f>SUM(P1002:P1044)</f>
        <v>200414.5</v>
      </c>
      <c r="Q1045" s="38">
        <f t="shared" ref="Q1045:R1045" si="304">SUM(Q1002:Q1042)</f>
        <v>-1164</v>
      </c>
      <c r="R1045" s="38">
        <f t="shared" si="304"/>
        <v>0</v>
      </c>
      <c r="S1045" s="38">
        <f t="shared" ref="S1045" si="305">SUM(S1002:S1044)</f>
        <v>199250.5</v>
      </c>
      <c r="T1045" s="4"/>
      <c r="U1045" s="39">
        <f t="shared" ref="U1045:W1045" si="306">SUM(U1002:U1044)</f>
        <v>2740.5</v>
      </c>
      <c r="V1045" s="39">
        <f t="shared" si="306"/>
        <v>-657</v>
      </c>
      <c r="W1045" s="40">
        <f t="shared" si="306"/>
        <v>201334</v>
      </c>
      <c r="Z1045" s="57"/>
      <c r="AA1045" s="57"/>
      <c r="AB1045" s="38">
        <f t="shared" ref="AB1045" si="307">SUM(AB1002:AB1044)</f>
        <v>340467</v>
      </c>
      <c r="AC1045" s="38">
        <f t="shared" ref="AC1045:AD1045" si="308">SUM(AC1002:AC1042)</f>
        <v>-648</v>
      </c>
      <c r="AD1045" s="38">
        <f t="shared" si="308"/>
        <v>0</v>
      </c>
      <c r="AE1045" s="38">
        <f t="shared" ref="AE1045" si="309">SUM(AE1002:AE1044)</f>
        <v>339819</v>
      </c>
      <c r="AF1045" s="4"/>
      <c r="AG1045" s="39">
        <f t="shared" ref="AG1045:AI1045" si="310">SUM(AG1002:AG1044)</f>
        <v>5454</v>
      </c>
      <c r="AH1045" s="39">
        <f t="shared" si="310"/>
        <v>-1110</v>
      </c>
      <c r="AI1045" s="40">
        <f t="shared" si="310"/>
        <v>344163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3"/>
      <c r="B1047" s="85"/>
      <c r="C1047" s="85"/>
      <c r="D1047" s="85"/>
      <c r="E1047" s="85"/>
      <c r="F1047" s="85"/>
      <c r="G1047" s="85"/>
      <c r="H1047" s="62"/>
      <c r="I1047" s="62"/>
      <c r="J1047" s="62"/>
      <c r="K1047" s="62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5"/>
      <c r="C1048" s="85"/>
      <c r="D1048" s="85"/>
      <c r="E1048" s="85"/>
      <c r="F1048" s="85"/>
      <c r="G1048" s="85"/>
      <c r="H1048" s="62"/>
      <c r="I1048" s="62"/>
      <c r="J1048" s="62"/>
      <c r="K1048" s="62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ht="15.75" x14ac:dyDescent="0.25">
      <c r="A1049" s="62"/>
      <c r="B1049" s="85"/>
      <c r="C1049" s="85"/>
      <c r="D1049" s="85"/>
      <c r="E1049" s="85"/>
      <c r="F1049" s="85"/>
      <c r="G1049" s="85"/>
      <c r="H1049" s="62"/>
      <c r="I1049" s="85"/>
      <c r="J1049" s="73"/>
      <c r="K1049" s="62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4"/>
      <c r="B1050" s="85"/>
      <c r="C1050" s="85"/>
      <c r="D1050" s="85"/>
      <c r="E1050" s="85"/>
      <c r="F1050" s="85"/>
      <c r="G1050" s="85"/>
      <c r="H1050" s="62"/>
      <c r="I1050" s="65"/>
      <c r="J1050" s="65"/>
      <c r="K1050" s="62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5"/>
      <c r="C1051" s="85"/>
      <c r="D1051" s="85"/>
      <c r="E1051" s="85"/>
      <c r="F1051" s="85"/>
      <c r="G1051" s="85"/>
      <c r="H1051" s="62"/>
      <c r="I1051" s="62"/>
      <c r="J1051" s="62"/>
      <c r="K1051" s="62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65"/>
      <c r="C1052" s="85"/>
      <c r="D1052" s="125"/>
      <c r="E1052" s="125"/>
      <c r="F1052" s="85"/>
      <c r="G1052" s="85"/>
      <c r="H1052" s="62"/>
      <c r="I1052" s="125"/>
      <c r="J1052" s="125"/>
      <c r="K1052" s="124"/>
      <c r="M1052" t="s">
        <v>50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50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5"/>
      <c r="C1053" s="85"/>
      <c r="D1053" s="79"/>
      <c r="E1053" s="80"/>
      <c r="F1053" s="81"/>
      <c r="G1053" s="81"/>
      <c r="H1053" s="62"/>
      <c r="I1053" s="84"/>
      <c r="J1053" s="84"/>
      <c r="K1053" s="124"/>
      <c r="M1053" s="21" t="s">
        <v>98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32</v>
      </c>
      <c r="W1053" s="24"/>
      <c r="Y1053" s="21" t="s">
        <v>98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33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6"/>
      <c r="C1054" s="83"/>
      <c r="D1054" s="60"/>
      <c r="E1054" s="60"/>
      <c r="F1054" s="60"/>
      <c r="G1054" s="60"/>
      <c r="H1054" s="61"/>
      <c r="I1054" s="61"/>
      <c r="J1054" s="61"/>
      <c r="K1054" s="61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5"/>
      <c r="D1055" s="60"/>
      <c r="E1055" s="60"/>
      <c r="F1055" s="60"/>
      <c r="G1055" s="60"/>
      <c r="H1055" s="61"/>
      <c r="I1055" s="61"/>
      <c r="J1055" s="61"/>
      <c r="K1055" s="61"/>
      <c r="N1055" s="25"/>
      <c r="O1055" s="26"/>
      <c r="P1055" s="123" t="s">
        <v>17</v>
      </c>
      <c r="Q1055" s="123"/>
      <c r="R1055" s="112"/>
      <c r="S1055" s="27"/>
      <c r="U1055" s="121" t="s">
        <v>18</v>
      </c>
      <c r="V1055" s="122"/>
      <c r="W1055" s="119" t="s">
        <v>19</v>
      </c>
      <c r="Z1055" s="25"/>
      <c r="AA1055" s="26"/>
      <c r="AB1055" s="123" t="s">
        <v>17</v>
      </c>
      <c r="AC1055" s="123"/>
      <c r="AD1055" s="112"/>
      <c r="AE1055" s="27"/>
      <c r="AG1055" s="121" t="s">
        <v>18</v>
      </c>
      <c r="AH1055" s="122"/>
      <c r="AI1055" s="119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A1056" s="62"/>
      <c r="B1056" s="66"/>
      <c r="C1056" s="85"/>
      <c r="D1056" s="60"/>
      <c r="E1056" s="60"/>
      <c r="F1056" s="60"/>
      <c r="G1056" s="60"/>
      <c r="H1056" s="61"/>
      <c r="I1056" s="61"/>
      <c r="J1056" s="61"/>
      <c r="K1056" s="61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31</v>
      </c>
      <c r="S1056" s="78" t="s">
        <v>24</v>
      </c>
      <c r="U1056" s="29" t="s">
        <v>25</v>
      </c>
      <c r="V1056" s="29" t="s">
        <v>26</v>
      </c>
      <c r="W1056" s="120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31</v>
      </c>
      <c r="AE1056" s="78" t="s">
        <v>24</v>
      </c>
      <c r="AG1056" s="29" t="s">
        <v>25</v>
      </c>
      <c r="AH1056" s="29" t="s">
        <v>26</v>
      </c>
      <c r="AI1056" s="120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5"/>
      <c r="D1057" s="60"/>
      <c r="E1057" s="60"/>
      <c r="F1057" s="60"/>
      <c r="G1057" s="60"/>
      <c r="H1057" s="61"/>
      <c r="I1057" s="61"/>
      <c r="J1057" s="61"/>
      <c r="K1057" s="61"/>
      <c r="M1057" s="10">
        <v>1</v>
      </c>
      <c r="N1057" s="30" t="s">
        <v>99</v>
      </c>
      <c r="O1057" s="31">
        <v>11094</v>
      </c>
      <c r="P1057" s="32">
        <f>650*80+670*3+622*10+229*2</f>
        <v>60688</v>
      </c>
      <c r="Q1057" s="32"/>
      <c r="R1057" s="32"/>
      <c r="S1057" s="32">
        <f>SUM(P1057:Q1057)</f>
        <v>60688</v>
      </c>
      <c r="T1057" s="12"/>
      <c r="U1057" s="12"/>
      <c r="V1057" s="12">
        <f>-111*15+-84*7</f>
        <v>-2253</v>
      </c>
      <c r="W1057" s="12">
        <f>SUM(S1057:V1057)</f>
        <v>58435</v>
      </c>
      <c r="Y1057" s="10">
        <v>1</v>
      </c>
      <c r="Z1057" s="30" t="s">
        <v>99</v>
      </c>
      <c r="AA1057" s="31">
        <v>11131</v>
      </c>
      <c r="AB1057" s="32">
        <f>200*650+670*20+973*10+622*50+912*10+1050*10+872*20+872*5+500*10</f>
        <v>230650</v>
      </c>
      <c r="AC1057" s="32"/>
      <c r="AD1057" s="32"/>
      <c r="AE1057" s="32">
        <f>SUM(AB1057:AC1057)</f>
        <v>230650</v>
      </c>
      <c r="AF1057" s="12"/>
      <c r="AG1057" s="12">
        <v>37170</v>
      </c>
      <c r="AH1057" s="12">
        <f>-120+-4329+-22260</f>
        <v>-26709</v>
      </c>
      <c r="AI1057" s="12">
        <f>SUM(AE1057:AH1057)</f>
        <v>241111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5"/>
      <c r="D1058" s="60"/>
      <c r="E1058" s="60"/>
      <c r="F1058" s="60"/>
      <c r="G1058" s="60"/>
      <c r="H1058" s="61"/>
      <c r="I1058" s="61"/>
      <c r="J1058" s="61"/>
      <c r="K1058" s="61"/>
      <c r="M1058" s="10">
        <v>2</v>
      </c>
      <c r="N1058" s="30" t="s">
        <v>99</v>
      </c>
      <c r="O1058" s="31">
        <f>O1057+1</f>
        <v>11095</v>
      </c>
      <c r="P1058" s="32">
        <f>650*108+622*50+229*4</f>
        <v>102216</v>
      </c>
      <c r="Q1058" s="32">
        <f>-158*6</f>
        <v>-948</v>
      </c>
      <c r="R1058" s="32"/>
      <c r="S1058" s="32">
        <f t="shared" ref="S1058:S1095" si="311">SUM(P1058:Q1058)</f>
        <v>101268</v>
      </c>
      <c r="T1058" s="12"/>
      <c r="U1058" s="12">
        <f>111*60+1.5*96</f>
        <v>6804</v>
      </c>
      <c r="V1058" s="12"/>
      <c r="W1058" s="12">
        <f t="shared" ref="W1058:W1098" si="312">SUM(S1058:V1058)</f>
        <v>108072</v>
      </c>
      <c r="Y1058" s="10">
        <v>2</v>
      </c>
      <c r="Z1058" s="30" t="s">
        <v>99</v>
      </c>
      <c r="AA1058" s="31">
        <f>AA1057+1</f>
        <v>11132</v>
      </c>
      <c r="AB1058" s="32">
        <f>700*10+1175*4+1175+1175+1102+650*5+500*5</f>
        <v>20902</v>
      </c>
      <c r="AC1058" s="32"/>
      <c r="AD1058" s="32"/>
      <c r="AE1058" s="32">
        <f t="shared" ref="AE1058:AE1060" si="313">SUM(AB1058:AC1058)</f>
        <v>20902</v>
      </c>
      <c r="AF1058" s="12"/>
      <c r="AG1058" s="12">
        <v>1710</v>
      </c>
      <c r="AH1058" s="12"/>
      <c r="AI1058" s="12">
        <f t="shared" ref="AI1058:AI1098" si="314">SUM(AE1058:AH1058)</f>
        <v>22612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5"/>
      <c r="D1059" s="60"/>
      <c r="E1059" s="60"/>
      <c r="F1059" s="60"/>
      <c r="G1059" s="60"/>
      <c r="H1059" s="61"/>
      <c r="I1059" s="61"/>
      <c r="J1059" s="61"/>
      <c r="K1059" s="61"/>
      <c r="M1059" s="10">
        <v>3</v>
      </c>
      <c r="N1059" s="30" t="s">
        <v>99</v>
      </c>
      <c r="O1059" s="31">
        <f t="shared" ref="O1059:O1061" si="315">O1058+1</f>
        <v>11096</v>
      </c>
      <c r="P1059" s="32">
        <f>650*216+229*9</f>
        <v>142461</v>
      </c>
      <c r="Q1059" s="32">
        <f>-216*6</f>
        <v>-1296</v>
      </c>
      <c r="R1059" s="32"/>
      <c r="S1059" s="32">
        <f t="shared" si="311"/>
        <v>141165</v>
      </c>
      <c r="T1059" s="12"/>
      <c r="U1059" s="12">
        <f>56*111+78*7</f>
        <v>6762</v>
      </c>
      <c r="V1059" s="12">
        <f>-84*14+-42*6</f>
        <v>-1428</v>
      </c>
      <c r="W1059" s="12">
        <f t="shared" si="312"/>
        <v>146499</v>
      </c>
      <c r="Y1059" s="10">
        <v>3</v>
      </c>
      <c r="Z1059" s="30" t="s">
        <v>99</v>
      </c>
      <c r="AA1059" s="31">
        <f t="shared" ref="AA1059" si="316">AA1058+1</f>
        <v>11133</v>
      </c>
      <c r="AB1059" s="33">
        <f>650*5+622*2</f>
        <v>4494</v>
      </c>
      <c r="AC1059" s="33"/>
      <c r="AD1059" s="32"/>
      <c r="AE1059" s="32">
        <f t="shared" si="313"/>
        <v>4494</v>
      </c>
      <c r="AF1059" s="12"/>
      <c r="AG1059" s="12"/>
      <c r="AH1059" s="12">
        <v>-1332</v>
      </c>
      <c r="AI1059" s="12">
        <f t="shared" si="314"/>
        <v>3162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5"/>
      <c r="D1060" s="60"/>
      <c r="E1060" s="60"/>
      <c r="F1060" s="60"/>
      <c r="G1060" s="60"/>
      <c r="H1060" s="61"/>
      <c r="I1060" s="61"/>
      <c r="J1060" s="61"/>
      <c r="K1060" s="61"/>
      <c r="M1060" s="10">
        <v>4</v>
      </c>
      <c r="N1060" s="30" t="s">
        <v>99</v>
      </c>
      <c r="O1060" s="31">
        <f t="shared" si="315"/>
        <v>11097</v>
      </c>
      <c r="P1060" s="32">
        <f>650+622</f>
        <v>1272</v>
      </c>
      <c r="Q1060" s="32"/>
      <c r="R1060" s="32"/>
      <c r="S1060" s="32">
        <f t="shared" si="311"/>
        <v>1272</v>
      </c>
      <c r="T1060" s="12"/>
      <c r="U1060" s="12"/>
      <c r="V1060" s="12"/>
      <c r="W1060" s="12">
        <f t="shared" si="312"/>
        <v>1272</v>
      </c>
      <c r="Y1060" s="10">
        <v>4</v>
      </c>
      <c r="Z1060" s="30"/>
      <c r="AA1060" s="11" t="s">
        <v>27</v>
      </c>
      <c r="AB1060" s="32"/>
      <c r="AC1060" s="32"/>
      <c r="AD1060" s="32"/>
      <c r="AE1060" s="32">
        <f t="shared" si="313"/>
        <v>0</v>
      </c>
      <c r="AF1060" s="12"/>
      <c r="AH1060" s="12"/>
      <c r="AI1060" s="12">
        <f t="shared" si="314"/>
        <v>0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5"/>
      <c r="D1061" s="60"/>
      <c r="E1061" s="60"/>
      <c r="F1061" s="60"/>
      <c r="G1061" s="60"/>
      <c r="H1061" s="61"/>
      <c r="I1061" s="61"/>
      <c r="J1061" s="61"/>
      <c r="K1061" s="61"/>
      <c r="M1061" s="10">
        <v>5</v>
      </c>
      <c r="N1061" s="30" t="s">
        <v>99</v>
      </c>
      <c r="O1061" s="31">
        <f t="shared" si="315"/>
        <v>11098</v>
      </c>
      <c r="P1061" s="32">
        <f>650*30+622*5</f>
        <v>22610</v>
      </c>
      <c r="Q1061" s="32"/>
      <c r="R1061" s="32"/>
      <c r="S1061" s="32">
        <f t="shared" si="311"/>
        <v>22610</v>
      </c>
      <c r="T1061" s="12"/>
      <c r="U1061" s="12">
        <f>4.5*2</f>
        <v>9</v>
      </c>
      <c r="V1061" s="12"/>
      <c r="W1061" s="12">
        <f t="shared" si="312"/>
        <v>22619</v>
      </c>
      <c r="Y1061" s="10">
        <v>5</v>
      </c>
      <c r="Z1061" s="30"/>
      <c r="AA1061" s="31"/>
      <c r="AB1061" s="32"/>
      <c r="AC1061" s="32"/>
      <c r="AD1061" s="32"/>
      <c r="AE1061" s="32">
        <f t="shared" ref="AE1061:AE1089" si="317">SUM(AB1061:AC1061)</f>
        <v>0</v>
      </c>
      <c r="AF1061" s="12"/>
      <c r="AG1061" s="12"/>
      <c r="AH1061" s="12"/>
      <c r="AI1061" s="12">
        <f t="shared" si="314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5"/>
      <c r="D1062" s="60"/>
      <c r="E1062" s="60"/>
      <c r="F1062" s="60"/>
      <c r="G1062" s="60"/>
      <c r="H1062" s="61"/>
      <c r="I1062" s="61"/>
      <c r="J1062" s="61"/>
      <c r="K1062" s="61"/>
      <c r="M1062" s="10">
        <v>6</v>
      </c>
      <c r="N1062" s="30"/>
      <c r="O1062" s="11" t="s">
        <v>27</v>
      </c>
      <c r="P1062" s="32"/>
      <c r="Q1062" s="32"/>
      <c r="R1062" s="32"/>
      <c r="S1062" s="32">
        <f t="shared" si="311"/>
        <v>0</v>
      </c>
      <c r="T1062" s="12"/>
      <c r="U1062" s="12"/>
      <c r="V1062" s="10"/>
      <c r="W1062" s="12">
        <f t="shared" si="312"/>
        <v>0</v>
      </c>
      <c r="Y1062" s="10">
        <v>6</v>
      </c>
      <c r="Z1062" s="30"/>
      <c r="AA1062" s="31"/>
      <c r="AB1062" s="32"/>
      <c r="AC1062" s="32"/>
      <c r="AD1062" s="32"/>
      <c r="AE1062" s="32">
        <f t="shared" si="317"/>
        <v>0</v>
      </c>
      <c r="AF1062" s="12"/>
      <c r="AG1062" s="12"/>
      <c r="AH1062" s="10"/>
      <c r="AI1062" s="12">
        <f t="shared" si="314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5"/>
      <c r="D1063" s="60"/>
      <c r="E1063" s="60"/>
      <c r="F1063" s="60"/>
      <c r="G1063" s="60"/>
      <c r="H1063" s="61"/>
      <c r="I1063" s="61"/>
      <c r="J1063" s="61"/>
      <c r="K1063" s="61"/>
      <c r="M1063" s="10">
        <v>7</v>
      </c>
      <c r="N1063" s="30"/>
      <c r="O1063" s="31"/>
      <c r="P1063" s="32"/>
      <c r="Q1063" s="32"/>
      <c r="R1063" s="32"/>
      <c r="S1063" s="32">
        <f t="shared" si="311"/>
        <v>0</v>
      </c>
      <c r="T1063" s="12"/>
      <c r="U1063" s="12"/>
      <c r="V1063" s="12"/>
      <c r="W1063" s="12">
        <f t="shared" si="312"/>
        <v>0</v>
      </c>
      <c r="Y1063" s="10">
        <v>7</v>
      </c>
      <c r="Z1063" s="30"/>
      <c r="AA1063" s="31"/>
      <c r="AB1063" s="32"/>
      <c r="AC1063" s="32"/>
      <c r="AD1063" s="32"/>
      <c r="AE1063" s="32">
        <f t="shared" si="317"/>
        <v>0</v>
      </c>
      <c r="AF1063" s="12"/>
      <c r="AG1063" s="58"/>
      <c r="AH1063" s="12"/>
      <c r="AI1063" s="12">
        <f t="shared" si="314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5"/>
      <c r="D1064" s="60"/>
      <c r="E1064" s="60"/>
      <c r="F1064" s="60"/>
      <c r="G1064" s="60"/>
      <c r="H1064" s="61"/>
      <c r="I1064" s="61"/>
      <c r="J1064" s="61"/>
      <c r="K1064" s="61"/>
      <c r="M1064" s="10">
        <v>8</v>
      </c>
      <c r="N1064" s="30"/>
      <c r="O1064" s="31"/>
      <c r="P1064" s="32"/>
      <c r="Q1064" s="32"/>
      <c r="R1064" s="32"/>
      <c r="S1064" s="32">
        <f t="shared" si="311"/>
        <v>0</v>
      </c>
      <c r="T1064" s="12"/>
      <c r="U1064" s="12"/>
      <c r="V1064" s="12"/>
      <c r="W1064" s="12">
        <f t="shared" si="312"/>
        <v>0</v>
      </c>
      <c r="Y1064" s="10">
        <v>8</v>
      </c>
      <c r="Z1064" s="30"/>
      <c r="AA1064" s="31"/>
      <c r="AB1064" s="32"/>
      <c r="AC1064" s="32"/>
      <c r="AE1064" s="32">
        <f t="shared" si="317"/>
        <v>0</v>
      </c>
      <c r="AF1064" s="12"/>
      <c r="AG1064" s="12"/>
      <c r="AH1064" s="12"/>
      <c r="AI1064" s="12">
        <f t="shared" si="314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5"/>
      <c r="D1065" s="60"/>
      <c r="E1065" s="60"/>
      <c r="F1065" s="60"/>
      <c r="G1065" s="60"/>
      <c r="H1065" s="61"/>
      <c r="I1065" s="61"/>
      <c r="J1065" s="62"/>
      <c r="K1065" s="61"/>
      <c r="M1065" s="10">
        <v>9</v>
      </c>
      <c r="N1065" s="30"/>
      <c r="P1065" s="32"/>
      <c r="Q1065" s="32"/>
      <c r="R1065" s="32"/>
      <c r="S1065" s="32">
        <f t="shared" si="311"/>
        <v>0</v>
      </c>
      <c r="T1065" s="12"/>
      <c r="U1065" s="12"/>
      <c r="V1065" s="12"/>
      <c r="W1065" s="12">
        <f t="shared" si="312"/>
        <v>0</v>
      </c>
      <c r="Y1065" s="10">
        <v>9</v>
      </c>
      <c r="Z1065" s="30"/>
      <c r="AB1065" s="32"/>
      <c r="AC1065" s="32"/>
      <c r="AD1065" s="32"/>
      <c r="AE1065" s="32">
        <f t="shared" si="317"/>
        <v>0</v>
      </c>
      <c r="AF1065" s="12"/>
      <c r="AH1065" s="12"/>
      <c r="AI1065" s="12">
        <f t="shared" si="314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5"/>
      <c r="D1066" s="60"/>
      <c r="E1066" s="60"/>
      <c r="F1066" s="60"/>
      <c r="G1066" s="60"/>
      <c r="H1066" s="61"/>
      <c r="I1066" s="61"/>
      <c r="J1066" s="61"/>
      <c r="K1066" s="61"/>
      <c r="M1066" s="10">
        <v>10</v>
      </c>
      <c r="N1066" s="30"/>
      <c r="O1066" s="31"/>
      <c r="P1066" s="32"/>
      <c r="Q1066" s="32"/>
      <c r="R1066" s="32"/>
      <c r="S1066" s="32">
        <f t="shared" si="311"/>
        <v>0</v>
      </c>
      <c r="T1066" s="12"/>
      <c r="U1066" s="12"/>
      <c r="V1066" s="12"/>
      <c r="W1066" s="12">
        <f t="shared" si="312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317"/>
        <v>0</v>
      </c>
      <c r="AF1066" s="12"/>
      <c r="AG1066" s="12"/>
      <c r="AH1066" s="12"/>
      <c r="AI1066" s="12">
        <f t="shared" si="314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65"/>
      <c r="D1067" s="60"/>
      <c r="E1067" s="60"/>
      <c r="F1067" s="60"/>
      <c r="G1067" s="60"/>
      <c r="H1067" s="61"/>
      <c r="I1067" s="61"/>
      <c r="J1067" s="61"/>
      <c r="K1067" s="61"/>
      <c r="M1067" s="10">
        <v>11</v>
      </c>
      <c r="N1067" s="30"/>
      <c r="O1067" s="31"/>
      <c r="P1067" s="32"/>
      <c r="Q1067" s="32"/>
      <c r="R1067" s="32"/>
      <c r="S1067" s="32">
        <f t="shared" si="311"/>
        <v>0</v>
      </c>
      <c r="T1067" s="12"/>
      <c r="U1067" s="12"/>
      <c r="V1067" s="12"/>
      <c r="W1067" s="12">
        <f t="shared" si="312"/>
        <v>0</v>
      </c>
      <c r="Y1067" s="10">
        <v>11</v>
      </c>
      <c r="Z1067" s="30"/>
      <c r="AA1067" s="31"/>
      <c r="AB1067" s="32"/>
      <c r="AC1067" s="32"/>
      <c r="AD1067" s="32"/>
      <c r="AE1067" s="32">
        <f t="shared" si="317"/>
        <v>0</v>
      </c>
      <c r="AF1067" s="12"/>
      <c r="AG1067" s="12"/>
      <c r="AH1067" s="12"/>
      <c r="AI1067" s="12">
        <f t="shared" si="314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5"/>
      <c r="D1068" s="60"/>
      <c r="E1068" s="60"/>
      <c r="F1068" s="60"/>
      <c r="G1068" s="60"/>
      <c r="H1068" s="61"/>
      <c r="I1068" s="61"/>
      <c r="J1068" s="61"/>
      <c r="K1068" s="61"/>
      <c r="M1068" s="10">
        <v>12</v>
      </c>
      <c r="N1068" s="30"/>
      <c r="O1068" s="31"/>
      <c r="P1068" s="32"/>
      <c r="Q1068" s="32"/>
      <c r="R1068" s="32"/>
      <c r="S1068" s="32">
        <f t="shared" si="311"/>
        <v>0</v>
      </c>
      <c r="T1068" s="12"/>
      <c r="U1068" s="12"/>
      <c r="V1068" s="12"/>
      <c r="W1068" s="12">
        <f t="shared" si="312"/>
        <v>0</v>
      </c>
      <c r="Y1068" s="10">
        <v>12</v>
      </c>
      <c r="Z1068" s="30"/>
      <c r="AB1068" s="32"/>
      <c r="AC1068" s="32"/>
      <c r="AD1068" s="32"/>
      <c r="AE1068" s="32">
        <f t="shared" si="317"/>
        <v>0</v>
      </c>
      <c r="AF1068" s="12"/>
      <c r="AG1068" s="12"/>
      <c r="AH1068" s="12"/>
      <c r="AI1068" s="12">
        <f t="shared" si="314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5"/>
      <c r="D1069" s="60"/>
      <c r="E1069" s="60"/>
      <c r="F1069" s="60"/>
      <c r="G1069" s="60"/>
      <c r="H1069" s="61"/>
      <c r="I1069" s="61"/>
      <c r="J1069" s="61"/>
      <c r="K1069" s="61"/>
      <c r="M1069" s="10">
        <v>13</v>
      </c>
      <c r="N1069" s="30"/>
      <c r="O1069" s="31"/>
      <c r="P1069" s="32"/>
      <c r="Q1069" s="32"/>
      <c r="R1069" s="32"/>
      <c r="S1069" s="32">
        <f t="shared" si="311"/>
        <v>0</v>
      </c>
      <c r="T1069" s="12"/>
      <c r="U1069" s="12"/>
      <c r="V1069" s="12"/>
      <c r="W1069" s="12">
        <f t="shared" si="312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7"/>
        <v>0</v>
      </c>
      <c r="AF1069" s="12"/>
      <c r="AG1069" s="12"/>
      <c r="AH1069" s="12"/>
      <c r="AI1069" s="12">
        <f t="shared" si="314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5"/>
      <c r="D1070" s="60"/>
      <c r="E1070" s="60"/>
      <c r="F1070" s="60"/>
      <c r="G1070" s="60"/>
      <c r="H1070" s="61"/>
      <c r="I1070" s="61"/>
      <c r="J1070" s="61"/>
      <c r="K1070" s="61"/>
      <c r="M1070" s="10">
        <v>14</v>
      </c>
      <c r="N1070" s="30"/>
      <c r="O1070" s="31"/>
      <c r="P1070" s="32"/>
      <c r="Q1070" s="32"/>
      <c r="R1070" s="32"/>
      <c r="S1070" s="32">
        <f t="shared" si="311"/>
        <v>0</v>
      </c>
      <c r="T1070" s="12"/>
      <c r="U1070" s="12"/>
      <c r="V1070" s="12"/>
      <c r="W1070" s="12">
        <f t="shared" si="312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7"/>
        <v>0</v>
      </c>
      <c r="AF1070" s="12"/>
      <c r="AG1070" s="12"/>
      <c r="AH1070" s="12"/>
      <c r="AI1070" s="12">
        <f t="shared" si="314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5"/>
      <c r="D1071" s="60"/>
      <c r="E1071" s="60"/>
      <c r="F1071" s="60"/>
      <c r="G1071" s="60"/>
      <c r="H1071" s="61"/>
      <c r="I1071" s="61"/>
      <c r="J1071" s="61"/>
      <c r="K1071" s="61"/>
      <c r="M1071" s="10">
        <v>15</v>
      </c>
      <c r="N1071" s="30"/>
      <c r="O1071" s="31"/>
      <c r="P1071" s="32"/>
      <c r="Q1071" s="32"/>
      <c r="R1071" s="32"/>
      <c r="S1071" s="32">
        <f t="shared" si="311"/>
        <v>0</v>
      </c>
      <c r="T1071" s="12"/>
      <c r="U1071" s="12"/>
      <c r="V1071" s="12"/>
      <c r="W1071" s="12">
        <f t="shared" si="312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7"/>
        <v>0</v>
      </c>
      <c r="AF1071" s="12"/>
      <c r="AG1071" s="12"/>
      <c r="AH1071" s="12"/>
      <c r="AI1071" s="12">
        <f t="shared" si="314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5"/>
      <c r="D1072" s="60"/>
      <c r="E1072" s="60"/>
      <c r="F1072" s="60"/>
      <c r="G1072" s="60"/>
      <c r="H1072" s="61"/>
      <c r="I1072" s="61"/>
      <c r="J1072" s="61"/>
      <c r="K1072" s="61"/>
      <c r="M1072" s="10">
        <v>16</v>
      </c>
      <c r="N1072" s="30"/>
      <c r="P1072" s="32"/>
      <c r="Q1072" s="32"/>
      <c r="R1072" s="32"/>
      <c r="S1072" s="32">
        <f t="shared" si="311"/>
        <v>0</v>
      </c>
      <c r="T1072" s="12"/>
      <c r="U1072" s="12"/>
      <c r="V1072" s="12"/>
      <c r="W1072" s="12">
        <f t="shared" si="312"/>
        <v>0</v>
      </c>
      <c r="Y1072" s="10">
        <v>16</v>
      </c>
      <c r="Z1072" s="30"/>
      <c r="AA1072" s="11"/>
      <c r="AB1072" s="32"/>
      <c r="AC1072" s="32"/>
      <c r="AD1072" s="32"/>
      <c r="AE1072" s="32">
        <f t="shared" si="317"/>
        <v>0</v>
      </c>
      <c r="AF1072" s="12"/>
      <c r="AG1072" s="12"/>
      <c r="AH1072" s="12"/>
      <c r="AI1072" s="12">
        <f t="shared" si="314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5"/>
      <c r="D1073" s="60"/>
      <c r="E1073" s="60"/>
      <c r="F1073" s="60"/>
      <c r="G1073" s="60"/>
      <c r="H1073" s="61"/>
      <c r="I1073" s="61"/>
      <c r="J1073" s="61"/>
      <c r="K1073" s="61"/>
      <c r="M1073" s="10">
        <v>17</v>
      </c>
      <c r="N1073" s="30"/>
      <c r="O1073" s="31"/>
      <c r="P1073" s="35"/>
      <c r="Q1073" s="32"/>
      <c r="R1073" s="32"/>
      <c r="S1073" s="32">
        <f t="shared" si="311"/>
        <v>0</v>
      </c>
      <c r="T1073" s="12"/>
      <c r="U1073" s="12"/>
      <c r="V1073" s="12"/>
      <c r="W1073" s="12">
        <f t="shared" si="312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7"/>
        <v>0</v>
      </c>
      <c r="AF1073" s="12"/>
      <c r="AG1073" s="12"/>
      <c r="AH1073" s="12"/>
      <c r="AI1073" s="12">
        <f t="shared" si="314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5"/>
      <c r="D1074" s="60"/>
      <c r="E1074" s="60"/>
      <c r="F1074" s="60"/>
      <c r="G1074" s="60"/>
      <c r="H1074" s="62"/>
      <c r="I1074" s="62"/>
      <c r="J1074" s="62"/>
      <c r="K1074" s="61"/>
      <c r="M1074" s="10">
        <v>18</v>
      </c>
      <c r="N1074" s="30"/>
      <c r="O1074" s="31"/>
      <c r="P1074" s="32"/>
      <c r="Q1074" s="32"/>
      <c r="R1074" s="32"/>
      <c r="S1074" s="32">
        <f t="shared" si="311"/>
        <v>0</v>
      </c>
      <c r="T1074" s="12"/>
      <c r="U1074" s="12"/>
      <c r="V1074" s="12"/>
      <c r="W1074" s="12">
        <f t="shared" si="312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7"/>
        <v>0</v>
      </c>
      <c r="AF1074" s="12"/>
      <c r="AG1074" s="12"/>
      <c r="AH1074" s="12"/>
      <c r="AI1074" s="12">
        <f t="shared" si="314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5"/>
      <c r="D1075" s="60"/>
      <c r="E1075" s="60"/>
      <c r="F1075" s="60"/>
      <c r="G1075" s="60"/>
      <c r="H1075" s="62"/>
      <c r="I1075" s="62"/>
      <c r="J1075" s="62"/>
      <c r="K1075" s="61"/>
      <c r="M1075" s="10">
        <v>19</v>
      </c>
      <c r="N1075" s="30"/>
      <c r="O1075" s="31"/>
      <c r="P1075" s="32"/>
      <c r="Q1075" s="32"/>
      <c r="R1075" s="32"/>
      <c r="S1075" s="32">
        <f t="shared" si="311"/>
        <v>0</v>
      </c>
      <c r="T1075" s="12"/>
      <c r="U1075" s="12"/>
      <c r="V1075" s="12"/>
      <c r="W1075" s="12">
        <f t="shared" si="312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7"/>
        <v>0</v>
      </c>
      <c r="AF1075" s="12"/>
      <c r="AG1075" s="12"/>
      <c r="AH1075" s="12"/>
      <c r="AI1075" s="12">
        <f t="shared" si="314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5"/>
      <c r="D1076" s="60"/>
      <c r="E1076" s="60"/>
      <c r="F1076" s="60"/>
      <c r="G1076" s="60"/>
      <c r="H1076" s="62"/>
      <c r="I1076" s="62"/>
      <c r="J1076" s="61"/>
      <c r="K1076" s="61"/>
      <c r="M1076" s="10">
        <v>20</v>
      </c>
      <c r="N1076" s="30"/>
      <c r="O1076" s="31"/>
      <c r="P1076" s="32"/>
      <c r="Q1076" s="32"/>
      <c r="R1076" s="32"/>
      <c r="S1076" s="32">
        <f t="shared" si="311"/>
        <v>0</v>
      </c>
      <c r="T1076" s="12"/>
      <c r="U1076" s="12"/>
      <c r="V1076" s="12"/>
      <c r="W1076" s="12">
        <f t="shared" si="312"/>
        <v>0</v>
      </c>
      <c r="Y1076" s="10">
        <v>20</v>
      </c>
      <c r="Z1076" s="30"/>
      <c r="AB1076" s="32"/>
      <c r="AC1076" s="32"/>
      <c r="AD1076" s="32"/>
      <c r="AE1076" s="32">
        <f t="shared" si="317"/>
        <v>0</v>
      </c>
      <c r="AF1076" s="12"/>
      <c r="AG1076" s="12"/>
      <c r="AH1076" s="12"/>
      <c r="AI1076" s="12">
        <f t="shared" si="314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5"/>
      <c r="D1077" s="60"/>
      <c r="E1077" s="60"/>
      <c r="F1077" s="60"/>
      <c r="G1077" s="60"/>
      <c r="H1077" s="62"/>
      <c r="I1077" s="62"/>
      <c r="J1077" s="62"/>
      <c r="K1077" s="61"/>
      <c r="M1077" s="10">
        <v>21</v>
      </c>
      <c r="N1077" s="30"/>
      <c r="O1077" s="31"/>
      <c r="P1077" s="46"/>
      <c r="Q1077" s="31"/>
      <c r="R1077" s="31"/>
      <c r="S1077" s="32">
        <f t="shared" si="311"/>
        <v>0</v>
      </c>
      <c r="T1077" s="10"/>
      <c r="U1077" s="10"/>
      <c r="V1077" s="10"/>
      <c r="W1077" s="12">
        <f t="shared" si="312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7"/>
        <v>0</v>
      </c>
      <c r="AF1077" s="10"/>
      <c r="AG1077" s="10"/>
      <c r="AH1077" s="10"/>
      <c r="AI1077" s="12">
        <f t="shared" si="314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5"/>
      <c r="D1078" s="60"/>
      <c r="E1078" s="60"/>
      <c r="F1078" s="60"/>
      <c r="G1078" s="60"/>
      <c r="H1078" s="62"/>
      <c r="I1078" s="62"/>
      <c r="J1078" s="62"/>
      <c r="K1078" s="61"/>
      <c r="M1078" s="10">
        <v>22</v>
      </c>
      <c r="N1078" s="30"/>
      <c r="O1078" s="31"/>
      <c r="P1078" s="45"/>
      <c r="Q1078" s="31"/>
      <c r="R1078" s="31"/>
      <c r="S1078" s="32">
        <f t="shared" si="311"/>
        <v>0</v>
      </c>
      <c r="T1078" s="10"/>
      <c r="U1078" s="10"/>
      <c r="V1078" s="10"/>
      <c r="W1078" s="12">
        <f t="shared" si="312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7"/>
        <v>0</v>
      </c>
      <c r="AF1078" s="10"/>
      <c r="AG1078" s="10"/>
      <c r="AH1078" s="10"/>
      <c r="AI1078" s="12">
        <f t="shared" si="314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5"/>
      <c r="D1079" s="60"/>
      <c r="E1079" s="60"/>
      <c r="F1079" s="60"/>
      <c r="G1079" s="60"/>
      <c r="H1079" s="62"/>
      <c r="I1079" s="62"/>
      <c r="J1079" s="62"/>
      <c r="K1079" s="61"/>
      <c r="M1079" s="10">
        <v>23</v>
      </c>
      <c r="N1079" s="30"/>
      <c r="O1079" s="31"/>
      <c r="P1079" s="47"/>
      <c r="Q1079" s="31"/>
      <c r="S1079" s="32">
        <f t="shared" si="311"/>
        <v>0</v>
      </c>
      <c r="T1079" s="10"/>
      <c r="U1079" s="10"/>
      <c r="V1079" s="10"/>
      <c r="W1079" s="12">
        <f t="shared" si="312"/>
        <v>0</v>
      </c>
      <c r="Y1079" s="10">
        <v>23</v>
      </c>
      <c r="Z1079" s="30"/>
      <c r="AA1079" s="31"/>
      <c r="AB1079" s="47"/>
      <c r="AE1079" s="32">
        <f t="shared" si="317"/>
        <v>0</v>
      </c>
      <c r="AF1079" s="10"/>
      <c r="AG1079" s="10"/>
      <c r="AH1079" s="10"/>
      <c r="AI1079" s="12">
        <f t="shared" si="314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5"/>
      <c r="D1080" s="60"/>
      <c r="E1080" s="60"/>
      <c r="F1080" s="60"/>
      <c r="G1080" s="60"/>
      <c r="H1080" s="62"/>
      <c r="I1080" s="62"/>
      <c r="J1080" s="62"/>
      <c r="K1080" s="61"/>
      <c r="M1080" s="10">
        <v>24</v>
      </c>
      <c r="N1080" s="30"/>
      <c r="O1080" s="31"/>
      <c r="P1080" s="47"/>
      <c r="Q1080" s="31"/>
      <c r="R1080" s="31"/>
      <c r="S1080" s="32">
        <f t="shared" si="311"/>
        <v>0</v>
      </c>
      <c r="T1080" s="10"/>
      <c r="U1080" s="10"/>
      <c r="V1080" s="10"/>
      <c r="W1080" s="12">
        <f t="shared" si="312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7"/>
        <v>0</v>
      </c>
      <c r="AF1080" s="10"/>
      <c r="AG1080" s="10"/>
      <c r="AH1080" s="10"/>
      <c r="AI1080" s="12">
        <f t="shared" si="314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5"/>
      <c r="D1081" s="60"/>
      <c r="E1081" s="60"/>
      <c r="F1081" s="60"/>
      <c r="G1081" s="60"/>
      <c r="H1081" s="62"/>
      <c r="I1081" s="62"/>
      <c r="J1081" s="62"/>
      <c r="K1081" s="61"/>
      <c r="M1081" s="10">
        <v>25</v>
      </c>
      <c r="N1081" s="30"/>
      <c r="O1081" s="31"/>
      <c r="P1081" s="47"/>
      <c r="Q1081" s="31"/>
      <c r="R1081" s="31"/>
      <c r="S1081" s="32">
        <f t="shared" si="311"/>
        <v>0</v>
      </c>
      <c r="T1081" s="10"/>
      <c r="U1081" s="10"/>
      <c r="V1081" s="10"/>
      <c r="W1081" s="12">
        <f t="shared" si="312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17"/>
        <v>0</v>
      </c>
      <c r="AF1081" s="10"/>
      <c r="AG1081" s="10"/>
      <c r="AH1081" s="10"/>
      <c r="AI1081" s="12">
        <f t="shared" si="314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5"/>
      <c r="D1082" s="60"/>
      <c r="E1082" s="60"/>
      <c r="F1082" s="60"/>
      <c r="G1082" s="60"/>
      <c r="H1082" s="62"/>
      <c r="I1082" s="62"/>
      <c r="J1082" s="62"/>
      <c r="K1082" s="61"/>
      <c r="M1082" s="10">
        <v>26</v>
      </c>
      <c r="N1082" s="30"/>
      <c r="O1082" s="31"/>
      <c r="P1082" s="47"/>
      <c r="Q1082" s="31"/>
      <c r="R1082" s="31"/>
      <c r="S1082" s="32">
        <f t="shared" si="311"/>
        <v>0</v>
      </c>
      <c r="T1082" s="10"/>
      <c r="U1082" s="10"/>
      <c r="V1082" s="10"/>
      <c r="W1082" s="12">
        <f t="shared" si="312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17"/>
        <v>0</v>
      </c>
      <c r="AF1082" s="10"/>
      <c r="AG1082" s="10"/>
      <c r="AH1082" s="10"/>
      <c r="AI1082" s="12">
        <f t="shared" si="314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5"/>
      <c r="D1083" s="60"/>
      <c r="E1083" s="60"/>
      <c r="F1083" s="60"/>
      <c r="G1083" s="60"/>
      <c r="H1083" s="62"/>
      <c r="I1083" s="62"/>
      <c r="J1083" s="62"/>
      <c r="K1083" s="61"/>
      <c r="M1083" s="10">
        <v>27</v>
      </c>
      <c r="N1083" s="30"/>
      <c r="O1083" s="31"/>
      <c r="P1083" s="47"/>
      <c r="Q1083" s="31"/>
      <c r="R1083" s="31"/>
      <c r="S1083" s="32">
        <f t="shared" si="311"/>
        <v>0</v>
      </c>
      <c r="T1083" s="10"/>
      <c r="U1083" s="10"/>
      <c r="V1083" s="10"/>
      <c r="W1083" s="12">
        <f t="shared" si="312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7"/>
        <v>0</v>
      </c>
      <c r="AF1083" s="10"/>
      <c r="AG1083" s="10"/>
      <c r="AH1083" s="10"/>
      <c r="AI1083" s="12">
        <f t="shared" si="314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3"/>
      <c r="D1084" s="60"/>
      <c r="E1084" s="60"/>
      <c r="F1084" s="60"/>
      <c r="G1084" s="60"/>
      <c r="H1084" s="62"/>
      <c r="I1084" s="62"/>
      <c r="J1084" s="62"/>
      <c r="K1084" s="61"/>
      <c r="M1084" s="10">
        <v>28</v>
      </c>
      <c r="N1084" s="30"/>
      <c r="O1084" s="31"/>
      <c r="P1084" s="47"/>
      <c r="Q1084" s="31"/>
      <c r="R1084" s="31"/>
      <c r="S1084" s="32">
        <f t="shared" si="311"/>
        <v>0</v>
      </c>
      <c r="T1084" s="10"/>
      <c r="U1084" s="10"/>
      <c r="V1084" s="10"/>
      <c r="W1084" s="12">
        <f t="shared" si="312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7"/>
        <v>0</v>
      </c>
      <c r="AF1084" s="10"/>
      <c r="AG1084" s="10"/>
      <c r="AH1084" s="10"/>
      <c r="AI1084" s="12">
        <f t="shared" si="314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5"/>
      <c r="D1085" s="60"/>
      <c r="E1085" s="60"/>
      <c r="F1085" s="60"/>
      <c r="G1085" s="60"/>
      <c r="H1085" s="62"/>
      <c r="I1085" s="62"/>
      <c r="J1085" s="62"/>
      <c r="K1085" s="61"/>
      <c r="M1085" s="10">
        <v>29</v>
      </c>
      <c r="N1085" s="30"/>
      <c r="O1085" s="31"/>
      <c r="P1085" s="47"/>
      <c r="Q1085" s="31"/>
      <c r="R1085" s="31"/>
      <c r="S1085" s="32">
        <f t="shared" si="311"/>
        <v>0</v>
      </c>
      <c r="T1085" s="10"/>
      <c r="U1085" s="10"/>
      <c r="V1085" s="10"/>
      <c r="W1085" s="12">
        <f t="shared" si="312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7"/>
        <v>0</v>
      </c>
      <c r="AF1085" s="10"/>
      <c r="AG1085" s="10"/>
      <c r="AH1085" s="10"/>
      <c r="AI1085" s="12">
        <f t="shared" si="314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3"/>
      <c r="D1086" s="60"/>
      <c r="E1086" s="60"/>
      <c r="F1086" s="60"/>
      <c r="G1086" s="60"/>
      <c r="H1086" s="62"/>
      <c r="I1086" s="62"/>
      <c r="J1086" s="62"/>
      <c r="K1086" s="61"/>
      <c r="M1086" s="10">
        <v>30</v>
      </c>
      <c r="N1086" s="30"/>
      <c r="O1086" s="31"/>
      <c r="P1086" s="47"/>
      <c r="Q1086" s="31"/>
      <c r="R1086" s="31"/>
      <c r="S1086" s="32">
        <f t="shared" si="311"/>
        <v>0</v>
      </c>
      <c r="T1086" s="10"/>
      <c r="U1086" s="10"/>
      <c r="V1086" s="10"/>
      <c r="W1086" s="12">
        <f t="shared" si="312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17"/>
        <v>0</v>
      </c>
      <c r="AF1086" s="10"/>
      <c r="AG1086" s="10"/>
      <c r="AH1086" s="10"/>
      <c r="AI1086" s="12">
        <f t="shared" si="314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3"/>
      <c r="D1087" s="60"/>
      <c r="E1087" s="60"/>
      <c r="F1087" s="60"/>
      <c r="G1087" s="60"/>
      <c r="H1087" s="62"/>
      <c r="I1087" s="62"/>
      <c r="J1087" s="62"/>
      <c r="K1087" s="61"/>
      <c r="M1087" s="10">
        <v>31</v>
      </c>
      <c r="N1087" s="30"/>
      <c r="O1087" s="31"/>
      <c r="P1087" s="47"/>
      <c r="Q1087" s="31"/>
      <c r="R1087" s="31"/>
      <c r="S1087" s="32">
        <f t="shared" si="311"/>
        <v>0</v>
      </c>
      <c r="T1087" s="10"/>
      <c r="U1087" s="10"/>
      <c r="V1087" s="10"/>
      <c r="W1087" s="12">
        <f t="shared" si="312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17"/>
        <v>0</v>
      </c>
      <c r="AF1087" s="10"/>
      <c r="AG1087" s="10"/>
      <c r="AH1087" s="10"/>
      <c r="AI1087" s="12">
        <f t="shared" si="314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3"/>
      <c r="D1088" s="60"/>
      <c r="E1088" s="60"/>
      <c r="F1088" s="60"/>
      <c r="G1088" s="60"/>
      <c r="H1088" s="62"/>
      <c r="I1088" s="62"/>
      <c r="J1088" s="62"/>
      <c r="K1088" s="61"/>
      <c r="M1088" s="10">
        <v>32</v>
      </c>
      <c r="N1088" s="30"/>
      <c r="O1088" s="31"/>
      <c r="P1088" s="47"/>
      <c r="Q1088" s="31"/>
      <c r="R1088" s="31"/>
      <c r="S1088" s="32">
        <f t="shared" si="311"/>
        <v>0</v>
      </c>
      <c r="T1088" s="10"/>
      <c r="U1088" s="10"/>
      <c r="V1088" s="10"/>
      <c r="W1088" s="12">
        <f t="shared" si="312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7"/>
        <v>0</v>
      </c>
      <c r="AF1088" s="10"/>
      <c r="AG1088" s="10"/>
      <c r="AH1088" s="10"/>
      <c r="AI1088" s="12">
        <f t="shared" si="314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3"/>
      <c r="D1089" s="60"/>
      <c r="E1089" s="60"/>
      <c r="F1089" s="60"/>
      <c r="G1089" s="60"/>
      <c r="H1089" s="62"/>
      <c r="I1089" s="62"/>
      <c r="J1089" s="62"/>
      <c r="K1089" s="61"/>
      <c r="M1089" s="10">
        <v>33</v>
      </c>
      <c r="N1089" s="30"/>
      <c r="O1089" s="31"/>
      <c r="P1089" s="47"/>
      <c r="Q1089" s="31"/>
      <c r="R1089" s="31"/>
      <c r="S1089" s="32">
        <f t="shared" si="311"/>
        <v>0</v>
      </c>
      <c r="T1089" s="10"/>
      <c r="U1089" s="10"/>
      <c r="V1089" s="10"/>
      <c r="W1089" s="12">
        <f t="shared" si="312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7"/>
        <v>0</v>
      </c>
      <c r="AF1089" s="10"/>
      <c r="AG1089" s="10"/>
      <c r="AH1089" s="10"/>
      <c r="AI1089" s="12">
        <f t="shared" si="314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5"/>
      <c r="D1090" s="60"/>
      <c r="E1090" s="60"/>
      <c r="F1090" s="60"/>
      <c r="G1090" s="60"/>
      <c r="H1090" s="62"/>
      <c r="I1090" s="62"/>
      <c r="J1090" s="62"/>
      <c r="K1090" s="61"/>
      <c r="M1090" s="10">
        <v>34</v>
      </c>
      <c r="N1090" s="30"/>
      <c r="O1090" s="31"/>
      <c r="P1090" s="47"/>
      <c r="Q1090" s="31"/>
      <c r="R1090" s="31"/>
      <c r="S1090" s="32">
        <f t="shared" si="311"/>
        <v>0</v>
      </c>
      <c r="T1090" s="10"/>
      <c r="U1090" s="10"/>
      <c r="V1090" s="10"/>
      <c r="W1090" s="12">
        <f t="shared" si="312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8">SUM(AB1090:AC1090)</f>
        <v>0</v>
      </c>
      <c r="AF1090" s="10"/>
      <c r="AG1090" s="10"/>
      <c r="AH1090" s="10"/>
      <c r="AI1090" s="12">
        <f t="shared" si="314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5"/>
      <c r="D1091" s="60"/>
      <c r="E1091" s="60"/>
      <c r="F1091" s="60"/>
      <c r="G1091" s="60"/>
      <c r="H1091" s="62"/>
      <c r="I1091" s="62"/>
      <c r="J1091" s="62"/>
      <c r="K1091" s="61"/>
      <c r="M1091" s="10">
        <v>35</v>
      </c>
      <c r="N1091" s="30"/>
      <c r="O1091" s="31"/>
      <c r="P1091" s="47"/>
      <c r="Q1091" s="31"/>
      <c r="R1091" s="31"/>
      <c r="S1091" s="32">
        <f t="shared" si="311"/>
        <v>0</v>
      </c>
      <c r="T1091" s="10"/>
      <c r="U1091" s="10"/>
      <c r="V1091" s="10"/>
      <c r="W1091" s="12">
        <f t="shared" si="312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8"/>
        <v>0</v>
      </c>
      <c r="AF1091" s="10"/>
      <c r="AG1091" s="10"/>
      <c r="AH1091" s="10"/>
      <c r="AI1091" s="12">
        <f t="shared" si="314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5"/>
      <c r="D1092" s="60"/>
      <c r="E1092" s="60"/>
      <c r="F1092" s="60"/>
      <c r="G1092" s="60"/>
      <c r="H1092" s="62"/>
      <c r="I1092" s="62"/>
      <c r="J1092" s="62"/>
      <c r="K1092" s="61"/>
      <c r="M1092" s="10">
        <v>36</v>
      </c>
      <c r="N1092" s="30"/>
      <c r="O1092" s="31"/>
      <c r="P1092" s="47"/>
      <c r="Q1092" s="31"/>
      <c r="R1092" s="31"/>
      <c r="S1092" s="32">
        <f t="shared" si="311"/>
        <v>0</v>
      </c>
      <c r="T1092" s="10"/>
      <c r="U1092" s="10"/>
      <c r="V1092" s="10"/>
      <c r="W1092" s="12">
        <f t="shared" si="312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8"/>
        <v>0</v>
      </c>
      <c r="AF1092" s="10"/>
      <c r="AG1092" s="10"/>
      <c r="AH1092" s="10"/>
      <c r="AI1092" s="12">
        <f t="shared" si="314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5"/>
      <c r="D1093" s="60"/>
      <c r="E1093" s="60"/>
      <c r="F1093" s="60"/>
      <c r="G1093" s="60"/>
      <c r="H1093" s="62"/>
      <c r="I1093" s="62"/>
      <c r="J1093" s="62"/>
      <c r="K1093" s="61"/>
      <c r="M1093" s="10">
        <v>37</v>
      </c>
      <c r="N1093" s="30"/>
      <c r="P1093" s="47"/>
      <c r="Q1093" s="31"/>
      <c r="R1093" s="31"/>
      <c r="S1093" s="32">
        <f t="shared" si="311"/>
        <v>0</v>
      </c>
      <c r="T1093" s="10"/>
      <c r="U1093" s="10"/>
      <c r="V1093" s="10"/>
      <c r="W1093" s="12">
        <f t="shared" si="312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8"/>
        <v>0</v>
      </c>
      <c r="AF1093" s="10"/>
      <c r="AG1093" s="10"/>
      <c r="AH1093" s="10"/>
      <c r="AI1093" s="12">
        <f t="shared" si="314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5"/>
      <c r="D1094" s="60"/>
      <c r="E1094" s="60"/>
      <c r="F1094" s="60"/>
      <c r="G1094" s="60"/>
      <c r="H1094" s="62"/>
      <c r="I1094" s="62"/>
      <c r="J1094" s="62"/>
      <c r="K1094" s="61"/>
      <c r="M1094" s="10">
        <v>38</v>
      </c>
      <c r="N1094" s="30"/>
      <c r="O1094" s="31"/>
      <c r="P1094" s="47"/>
      <c r="Q1094" s="31"/>
      <c r="R1094" s="31"/>
      <c r="S1094" s="32">
        <f t="shared" si="311"/>
        <v>0</v>
      </c>
      <c r="T1094" s="10"/>
      <c r="U1094" s="10"/>
      <c r="V1094" s="10"/>
      <c r="W1094" s="12">
        <f t="shared" si="312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8"/>
        <v>0</v>
      </c>
      <c r="AF1094" s="10"/>
      <c r="AG1094" s="10"/>
      <c r="AH1094" s="10"/>
      <c r="AI1094" s="12">
        <f t="shared" si="314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66"/>
      <c r="D1095" s="60"/>
      <c r="E1095" s="60"/>
      <c r="F1095" s="60"/>
      <c r="G1095" s="60"/>
      <c r="H1095" s="62"/>
      <c r="I1095" s="62"/>
      <c r="J1095" s="62"/>
      <c r="K1095" s="61"/>
      <c r="M1095" s="10">
        <v>39</v>
      </c>
      <c r="N1095" s="30"/>
      <c r="O1095" s="31"/>
      <c r="P1095" s="47"/>
      <c r="Q1095" s="31"/>
      <c r="R1095" s="31"/>
      <c r="S1095" s="32">
        <f t="shared" si="311"/>
        <v>0</v>
      </c>
      <c r="T1095" s="10"/>
      <c r="U1095" s="10"/>
      <c r="V1095" s="10"/>
      <c r="W1095" s="12">
        <f t="shared" si="312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8"/>
        <v>0</v>
      </c>
      <c r="AF1095" s="10"/>
      <c r="AG1095" s="10"/>
      <c r="AH1095" s="10"/>
      <c r="AI1095" s="12">
        <f t="shared" si="314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85"/>
      <c r="C1096" s="85"/>
      <c r="D1096" s="85"/>
      <c r="E1096" s="85"/>
      <c r="F1096" s="85"/>
      <c r="G1096" s="85"/>
      <c r="H1096" s="62"/>
      <c r="I1096" s="62"/>
      <c r="J1096" s="62"/>
      <c r="K1096" s="6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2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4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5"/>
      <c r="C1097" s="85"/>
      <c r="D1097" s="70"/>
      <c r="E1097" s="70"/>
      <c r="F1097" s="70"/>
      <c r="G1097" s="70"/>
      <c r="H1097" s="63"/>
      <c r="I1097" s="70"/>
      <c r="J1097" s="70"/>
      <c r="K1097" s="70"/>
      <c r="M1097" s="10"/>
      <c r="N1097" s="30"/>
      <c r="O1097" s="31"/>
      <c r="P1097" s="47"/>
      <c r="Q1097" s="31"/>
      <c r="R1097" s="31"/>
      <c r="S1097" s="32">
        <f t="shared" ref="S1097" si="319">SUM(P1097:Q1097)</f>
        <v>0</v>
      </c>
      <c r="T1097" s="10"/>
      <c r="U1097" s="10"/>
      <c r="V1097" s="10"/>
      <c r="W1097" s="12">
        <f t="shared" si="312"/>
        <v>0</v>
      </c>
      <c r="Y1097" s="10"/>
      <c r="Z1097" s="30"/>
      <c r="AA1097" s="31"/>
      <c r="AB1097" s="47"/>
      <c r="AC1097" s="31"/>
      <c r="AD1097" s="31"/>
      <c r="AE1097" s="32">
        <f t="shared" ref="AE1097" si="320">SUM(AB1097:AC1097)</f>
        <v>0</v>
      </c>
      <c r="AF1097" s="10"/>
      <c r="AG1097" s="10"/>
      <c r="AH1097" s="10"/>
      <c r="AI1097" s="12">
        <f t="shared" si="314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2"/>
      <c r="C1098" s="62"/>
      <c r="D1098" s="62"/>
      <c r="E1098" s="62"/>
      <c r="F1098" s="62"/>
      <c r="G1098" s="62"/>
      <c r="H1098" s="62"/>
      <c r="I1098" s="62"/>
      <c r="J1098" s="62"/>
      <c r="K1098" s="6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2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4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5"/>
      <c r="C1099" s="85"/>
      <c r="D1099" s="85"/>
      <c r="E1099" s="85"/>
      <c r="F1099" s="85"/>
      <c r="G1099" s="85"/>
      <c r="H1099" s="62"/>
      <c r="I1099" s="62"/>
      <c r="J1099" s="62"/>
      <c r="K1099" s="62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5"/>
      <c r="C1100" s="85"/>
      <c r="D1100" s="85"/>
      <c r="E1100" s="85"/>
      <c r="F1100" s="85"/>
      <c r="G1100" s="85"/>
      <c r="H1100" s="62"/>
      <c r="I1100" s="62"/>
      <c r="J1100" s="62"/>
      <c r="K1100" s="62"/>
      <c r="N1100" s="57"/>
      <c r="O1100" s="57"/>
      <c r="P1100" s="38">
        <f>SUM(P1057:P1099)</f>
        <v>329247</v>
      </c>
      <c r="Q1100" s="38">
        <f t="shared" ref="Q1100:R1100" si="321">SUM(Q1057:Q1097)</f>
        <v>-2244</v>
      </c>
      <c r="R1100" s="38">
        <f t="shared" si="321"/>
        <v>0</v>
      </c>
      <c r="S1100" s="38">
        <f t="shared" ref="S1100" si="322">SUM(S1057:S1099)</f>
        <v>327003</v>
      </c>
      <c r="T1100" s="4"/>
      <c r="U1100" s="39">
        <f t="shared" ref="U1100:W1100" si="323">SUM(U1057:U1099)</f>
        <v>13575</v>
      </c>
      <c r="V1100" s="39">
        <f t="shared" si="323"/>
        <v>-3681</v>
      </c>
      <c r="W1100" s="40">
        <f t="shared" si="323"/>
        <v>336897</v>
      </c>
      <c r="Z1100" s="57"/>
      <c r="AA1100" s="57"/>
      <c r="AB1100" s="38">
        <f t="shared" ref="AB1100" si="324">SUM(AB1057:AB1099)</f>
        <v>256046</v>
      </c>
      <c r="AC1100" s="38">
        <f t="shared" ref="AC1100:AD1100" si="325">SUM(AC1057:AC1097)</f>
        <v>0</v>
      </c>
      <c r="AD1100" s="38">
        <f t="shared" si="325"/>
        <v>0</v>
      </c>
      <c r="AE1100" s="38">
        <f t="shared" ref="AE1100" si="326">SUM(AE1057:AE1099)</f>
        <v>256046</v>
      </c>
      <c r="AF1100" s="4"/>
      <c r="AG1100" s="39">
        <f t="shared" ref="AG1100:AI1100" si="327">SUM(AG1057:AG1099)</f>
        <v>38880</v>
      </c>
      <c r="AH1100" s="39">
        <f t="shared" si="327"/>
        <v>-28041</v>
      </c>
      <c r="AI1100" s="40">
        <f t="shared" si="327"/>
        <v>266885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64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64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64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102</v>
      </c>
      <c r="B1108" s="20"/>
      <c r="C1108" s="57"/>
      <c r="D1108" s="57"/>
      <c r="E1108" s="57"/>
      <c r="G1108" s="57"/>
      <c r="I1108" s="22" t="s">
        <v>16</v>
      </c>
      <c r="J1108" s="23" t="s">
        <v>42</v>
      </c>
      <c r="K1108" s="24"/>
      <c r="M1108" s="21" t="s">
        <v>102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32</v>
      </c>
      <c r="W1108" s="24"/>
      <c r="Y1108" s="21" t="s">
        <v>102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33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3" t="s">
        <v>17</v>
      </c>
      <c r="E1110" s="123"/>
      <c r="F1110" s="113"/>
      <c r="G1110" s="27"/>
      <c r="I1110" s="121" t="s">
        <v>18</v>
      </c>
      <c r="J1110" s="122"/>
      <c r="K1110" s="119" t="s">
        <v>19</v>
      </c>
      <c r="N1110" s="25"/>
      <c r="O1110" s="26"/>
      <c r="P1110" s="123" t="s">
        <v>17</v>
      </c>
      <c r="Q1110" s="123"/>
      <c r="R1110" s="113"/>
      <c r="S1110" s="27"/>
      <c r="U1110" s="121" t="s">
        <v>18</v>
      </c>
      <c r="V1110" s="122"/>
      <c r="W1110" s="119" t="s">
        <v>19</v>
      </c>
      <c r="Z1110" s="25"/>
      <c r="AA1110" s="26"/>
      <c r="AB1110" s="123" t="s">
        <v>17</v>
      </c>
      <c r="AC1110" s="123"/>
      <c r="AD1110" s="113"/>
      <c r="AE1110" s="27"/>
      <c r="AG1110" s="121" t="s">
        <v>18</v>
      </c>
      <c r="AH1110" s="122"/>
      <c r="AI1110" s="119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31</v>
      </c>
      <c r="G1111" s="78" t="s">
        <v>24</v>
      </c>
      <c r="I1111" s="29" t="s">
        <v>25</v>
      </c>
      <c r="J1111" s="29" t="s">
        <v>26</v>
      </c>
      <c r="K1111" s="120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31</v>
      </c>
      <c r="S1111" s="78" t="s">
        <v>24</v>
      </c>
      <c r="U1111" s="29" t="s">
        <v>25</v>
      </c>
      <c r="V1111" s="29" t="s">
        <v>26</v>
      </c>
      <c r="W1111" s="120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31</v>
      </c>
      <c r="AE1111" s="78" t="s">
        <v>24</v>
      </c>
      <c r="AG1111" s="29" t="s">
        <v>25</v>
      </c>
      <c r="AH1111" s="29" t="s">
        <v>26</v>
      </c>
      <c r="AI1111" s="120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101</v>
      </c>
      <c r="C1112" s="82">
        <v>11177</v>
      </c>
      <c r="D1112" s="32">
        <f>650*50+670*3+622*3</f>
        <v>36376</v>
      </c>
      <c r="E1112" s="32"/>
      <c r="F1112" s="32"/>
      <c r="G1112" s="32">
        <f t="shared" ref="G1112:G1145" si="328">SUM(D1112:E1112)</f>
        <v>36376</v>
      </c>
      <c r="H1112" s="12"/>
      <c r="I1112" s="12">
        <f>4.5*26</f>
        <v>117</v>
      </c>
      <c r="J1112" s="12"/>
      <c r="K1112" s="12">
        <f t="shared" ref="K1112:K1145" si="329">SUM(G1112:J1112)</f>
        <v>36493</v>
      </c>
      <c r="M1112" s="10">
        <v>1</v>
      </c>
      <c r="N1112" s="30" t="s">
        <v>101</v>
      </c>
      <c r="O1112" s="31">
        <v>11099</v>
      </c>
      <c r="P1112" s="32">
        <f>650*19</f>
        <v>12350</v>
      </c>
      <c r="Q1112" s="32"/>
      <c r="R1112" s="32"/>
      <c r="S1112" s="32">
        <f>SUM(P1112:Q1112)</f>
        <v>12350</v>
      </c>
      <c r="T1112" s="12"/>
      <c r="U1112" s="12"/>
      <c r="V1112" s="12"/>
      <c r="W1112" s="12">
        <f>SUM(S1112:V1112)</f>
        <v>12350</v>
      </c>
      <c r="Y1112" s="10">
        <v>1</v>
      </c>
      <c r="Z1112" s="30" t="s">
        <v>101</v>
      </c>
      <c r="AA1112" s="31">
        <v>11134</v>
      </c>
      <c r="AB1112" s="32">
        <f>650*324+670*10+622*30+229*10+650*5</f>
        <v>241500</v>
      </c>
      <c r="AC1112" s="32">
        <f>-364*6</f>
        <v>-2184</v>
      </c>
      <c r="AD1112" s="32"/>
      <c r="AE1112" s="32">
        <f>SUM(AB1112:AC1112)</f>
        <v>239316</v>
      </c>
      <c r="AF1112" s="12"/>
      <c r="AG1112" s="12">
        <f>78*7</f>
        <v>546</v>
      </c>
      <c r="AH1112" s="12"/>
      <c r="AI1112" s="12">
        <f>SUM(AE1112:AH1112)</f>
        <v>239862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101</v>
      </c>
      <c r="C1113" s="82">
        <f>C1112+1</f>
        <v>11178</v>
      </c>
      <c r="D1113" s="32">
        <f>650*540+622*18+229*22</f>
        <v>367234</v>
      </c>
      <c r="E1113" s="32">
        <f>-558*6</f>
        <v>-3348</v>
      </c>
      <c r="F1113" s="32"/>
      <c r="G1113" s="32">
        <f t="shared" si="328"/>
        <v>363886</v>
      </c>
      <c r="H1113" s="12"/>
      <c r="I1113" s="12">
        <f>111*112+1.5*282</f>
        <v>12855</v>
      </c>
      <c r="J1113" s="12"/>
      <c r="K1113" s="12">
        <f t="shared" si="329"/>
        <v>376741</v>
      </c>
      <c r="M1113" s="10">
        <v>2</v>
      </c>
      <c r="N1113" s="30" t="s">
        <v>101</v>
      </c>
      <c r="O1113" s="31">
        <f>O1112+1</f>
        <v>11100</v>
      </c>
      <c r="P1113" s="32">
        <f>650*50+670*5+622*10+872+229*2</f>
        <v>43400</v>
      </c>
      <c r="Q1113" s="32"/>
      <c r="R1113" s="32"/>
      <c r="S1113" s="32">
        <f t="shared" ref="S1113:S1150" si="330">SUM(P1113:Q1113)</f>
        <v>43400</v>
      </c>
      <c r="T1113" s="12"/>
      <c r="U1113" s="12"/>
      <c r="V1113" s="12">
        <f>-111*5+-84</f>
        <v>-639</v>
      </c>
      <c r="W1113" s="12">
        <f t="shared" ref="W1113:W1153" si="331">SUM(S1113:V1113)</f>
        <v>42761</v>
      </c>
      <c r="Y1113" s="10">
        <v>2</v>
      </c>
      <c r="Z1113" s="30" t="s">
        <v>101</v>
      </c>
      <c r="AA1113" s="31">
        <f>AA1112+1</f>
        <v>11135</v>
      </c>
      <c r="AB1113" s="32">
        <f>650*80+622*28+229*4</f>
        <v>70332</v>
      </c>
      <c r="AC1113" s="32">
        <f>-108*6</f>
        <v>-648</v>
      </c>
      <c r="AD1113" s="32"/>
      <c r="AE1113" s="32">
        <f t="shared" ref="AE1113:AE1115" si="332">SUM(AB1113:AC1113)</f>
        <v>69684</v>
      </c>
      <c r="AF1113" s="12"/>
      <c r="AG1113" s="12"/>
      <c r="AH1113" s="12"/>
      <c r="AI1113" s="12">
        <f t="shared" ref="AI1113:AI1153" si="333">SUM(AE1113:AH1113)</f>
        <v>69684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101</v>
      </c>
      <c r="C1114" s="82">
        <f t="shared" ref="C1114" si="334">C1113+1</f>
        <v>11179</v>
      </c>
      <c r="D1114" s="33">
        <f>650*2</f>
        <v>1300</v>
      </c>
      <c r="E1114" s="33"/>
      <c r="F1114" s="33"/>
      <c r="G1114" s="33">
        <f t="shared" si="328"/>
        <v>1300</v>
      </c>
      <c r="H1114" s="34"/>
      <c r="I1114" s="34"/>
      <c r="J1114" s="34"/>
      <c r="K1114" s="34">
        <f t="shared" si="329"/>
        <v>1300</v>
      </c>
      <c r="M1114" s="10">
        <v>3</v>
      </c>
      <c r="N1114" s="30" t="s">
        <v>101</v>
      </c>
      <c r="O1114" s="31">
        <f t="shared" ref="O1114:O1120" si="335">O1113+1</f>
        <v>11101</v>
      </c>
      <c r="P1114" s="32">
        <f>650*20+1175+622*5+1102+9.5*10</f>
        <v>18482</v>
      </c>
      <c r="Q1114" s="32"/>
      <c r="R1114" s="32"/>
      <c r="S1114" s="32">
        <f t="shared" si="330"/>
        <v>18482</v>
      </c>
      <c r="T1114" s="12"/>
      <c r="U1114" s="12">
        <f>1.5*18</f>
        <v>27</v>
      </c>
      <c r="V1114" s="12"/>
      <c r="W1114" s="12">
        <f t="shared" si="331"/>
        <v>18509</v>
      </c>
      <c r="Y1114" s="10">
        <v>3</v>
      </c>
      <c r="Z1114" s="30" t="s">
        <v>101</v>
      </c>
      <c r="AA1114" s="31">
        <f t="shared" ref="AA1114" si="336">AA1113+1</f>
        <v>11136</v>
      </c>
      <c r="AB1114" s="33">
        <f>650*70+229</f>
        <v>45729</v>
      </c>
      <c r="AC1114" s="33"/>
      <c r="AD1114" s="32"/>
      <c r="AE1114" s="32">
        <f t="shared" si="332"/>
        <v>45729</v>
      </c>
      <c r="AF1114" s="12"/>
      <c r="AG1114" s="12"/>
      <c r="AH1114" s="12">
        <f>-111*28</f>
        <v>-3108</v>
      </c>
      <c r="AI1114" s="12">
        <f t="shared" si="333"/>
        <v>42621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/>
      <c r="C1115" s="11" t="s">
        <v>27</v>
      </c>
      <c r="D1115" s="32"/>
      <c r="E1115" s="32"/>
      <c r="F1115" s="32"/>
      <c r="G1115" s="32">
        <f t="shared" si="328"/>
        <v>0</v>
      </c>
      <c r="H1115" s="12"/>
      <c r="I1115" s="12"/>
      <c r="J1115" s="12"/>
      <c r="K1115" s="12">
        <f t="shared" si="329"/>
        <v>0</v>
      </c>
      <c r="M1115" s="10">
        <v>4</v>
      </c>
      <c r="N1115" s="30" t="s">
        <v>101</v>
      </c>
      <c r="O1115" s="31">
        <f t="shared" si="335"/>
        <v>11102</v>
      </c>
      <c r="P1115" s="32">
        <f>650*119+670+622*15+229*2</f>
        <v>87808</v>
      </c>
      <c r="Q1115" s="32">
        <f>-135*6</f>
        <v>-810</v>
      </c>
      <c r="R1115" s="32"/>
      <c r="S1115" s="32">
        <f t="shared" si="330"/>
        <v>86998</v>
      </c>
      <c r="T1115" s="12"/>
      <c r="U1115" s="12"/>
      <c r="V1115" s="12"/>
      <c r="W1115" s="12">
        <f t="shared" si="331"/>
        <v>86998</v>
      </c>
      <c r="Y1115" s="10">
        <v>4</v>
      </c>
      <c r="Z1115" s="30"/>
      <c r="AA1115" s="11" t="s">
        <v>27</v>
      </c>
      <c r="AB1115" s="32"/>
      <c r="AC1115" s="32"/>
      <c r="AD1115" s="32"/>
      <c r="AE1115" s="32">
        <f t="shared" si="332"/>
        <v>0</v>
      </c>
      <c r="AF1115" s="12"/>
      <c r="AH1115" s="12"/>
      <c r="AI1115" s="12">
        <f t="shared" si="333"/>
        <v>0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/>
      <c r="C1116" s="82"/>
      <c r="D1116" s="32"/>
      <c r="E1116" s="32"/>
      <c r="F1116" s="32"/>
      <c r="G1116" s="32">
        <f t="shared" si="328"/>
        <v>0</v>
      </c>
      <c r="H1116" s="12"/>
      <c r="I1116" s="12"/>
      <c r="J1116" s="12"/>
      <c r="K1116" s="12">
        <f t="shared" si="329"/>
        <v>0</v>
      </c>
      <c r="M1116" s="10">
        <v>5</v>
      </c>
      <c r="N1116" s="30" t="s">
        <v>101</v>
      </c>
      <c r="O1116" s="31">
        <f t="shared" si="335"/>
        <v>11103</v>
      </c>
      <c r="P1116" s="32">
        <f>650*20</f>
        <v>13000</v>
      </c>
      <c r="Q1116" s="32"/>
      <c r="R1116" s="32"/>
      <c r="S1116" s="32">
        <f t="shared" si="330"/>
        <v>13000</v>
      </c>
      <c r="T1116" s="12"/>
      <c r="U1116" s="12"/>
      <c r="V1116" s="12"/>
      <c r="W1116" s="12">
        <f t="shared" si="331"/>
        <v>13000</v>
      </c>
      <c r="Y1116" s="10">
        <v>5</v>
      </c>
      <c r="Z1116" s="30"/>
      <c r="AA1116" s="31"/>
      <c r="AB1116" s="32"/>
      <c r="AC1116" s="32"/>
      <c r="AD1116" s="32"/>
      <c r="AE1116" s="32">
        <f t="shared" ref="AE1116:AE1150" si="337">SUM(AB1116:AC1116)</f>
        <v>0</v>
      </c>
      <c r="AF1116" s="12"/>
      <c r="AG1116" s="12"/>
      <c r="AH1116" s="12"/>
      <c r="AI1116" s="12">
        <f t="shared" si="333"/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82"/>
      <c r="D1117" s="32"/>
      <c r="E1117" s="32"/>
      <c r="F1117" s="32"/>
      <c r="G1117" s="32">
        <f t="shared" si="328"/>
        <v>0</v>
      </c>
      <c r="H1117" s="12"/>
      <c r="I1117" s="12"/>
      <c r="J1117" s="12"/>
      <c r="K1117" s="12">
        <f t="shared" si="329"/>
        <v>0</v>
      </c>
      <c r="M1117" s="10">
        <v>6</v>
      </c>
      <c r="N1117" s="30" t="s">
        <v>101</v>
      </c>
      <c r="O1117" s="31">
        <f t="shared" si="335"/>
        <v>11104</v>
      </c>
      <c r="P1117" s="32">
        <f>650*4+9.5*4</f>
        <v>2638</v>
      </c>
      <c r="Q1117" s="32"/>
      <c r="R1117" s="32"/>
      <c r="S1117" s="32">
        <f t="shared" si="330"/>
        <v>2638</v>
      </c>
      <c r="T1117" s="12"/>
      <c r="U1117" s="12"/>
      <c r="V1117" s="10"/>
      <c r="W1117" s="12">
        <f t="shared" si="331"/>
        <v>2638</v>
      </c>
      <c r="Y1117" s="10">
        <v>6</v>
      </c>
      <c r="Z1117" s="30"/>
      <c r="AA1117" s="31"/>
      <c r="AB1117" s="32"/>
      <c r="AC1117" s="32"/>
      <c r="AD1117" s="32"/>
      <c r="AE1117" s="32">
        <f t="shared" si="337"/>
        <v>0</v>
      </c>
      <c r="AF1117" s="12"/>
      <c r="AG1117" s="12"/>
      <c r="AH1117" s="10"/>
      <c r="AI1117" s="12">
        <f t="shared" si="333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82"/>
      <c r="D1118" s="32"/>
      <c r="E1118" s="32"/>
      <c r="F1118" s="32"/>
      <c r="G1118" s="32">
        <f t="shared" si="328"/>
        <v>0</v>
      </c>
      <c r="H1118" s="12"/>
      <c r="I1118" s="12"/>
      <c r="J1118" s="12"/>
      <c r="K1118" s="12">
        <f t="shared" si="329"/>
        <v>0</v>
      </c>
      <c r="M1118" s="10">
        <v>7</v>
      </c>
      <c r="N1118" s="30" t="s">
        <v>101</v>
      </c>
      <c r="O1118" s="31">
        <f t="shared" si="335"/>
        <v>11105</v>
      </c>
      <c r="P1118" s="32">
        <f>650*22</f>
        <v>14300</v>
      </c>
      <c r="Q1118" s="32"/>
      <c r="R1118" s="32"/>
      <c r="S1118" s="32">
        <f t="shared" si="330"/>
        <v>14300</v>
      </c>
      <c r="T1118" s="12"/>
      <c r="U1118" s="12"/>
      <c r="V1118" s="12"/>
      <c r="W1118" s="12">
        <f t="shared" si="331"/>
        <v>14300</v>
      </c>
      <c r="Y1118" s="10">
        <v>7</v>
      </c>
      <c r="Z1118" s="30"/>
      <c r="AA1118" s="31"/>
      <c r="AB1118" s="32"/>
      <c r="AC1118" s="32"/>
      <c r="AD1118" s="32"/>
      <c r="AE1118" s="32">
        <f t="shared" si="337"/>
        <v>0</v>
      </c>
      <c r="AF1118" s="12"/>
      <c r="AG1118" s="58"/>
      <c r="AH1118" s="12"/>
      <c r="AI1118" s="12">
        <f t="shared" si="333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82"/>
      <c r="D1119" s="32"/>
      <c r="E1119" s="32"/>
      <c r="F1119" s="32"/>
      <c r="G1119" s="32">
        <f t="shared" si="328"/>
        <v>0</v>
      </c>
      <c r="H1119" s="12"/>
      <c r="I1119" s="12"/>
      <c r="J1119" s="12"/>
      <c r="K1119" s="12">
        <f t="shared" si="329"/>
        <v>0</v>
      </c>
      <c r="M1119" s="10">
        <v>8</v>
      </c>
      <c r="N1119" s="30" t="s">
        <v>101</v>
      </c>
      <c r="O1119" s="31">
        <f t="shared" si="335"/>
        <v>11106</v>
      </c>
      <c r="P1119" s="32">
        <f>650+973</f>
        <v>1623</v>
      </c>
      <c r="Q1119" s="32"/>
      <c r="R1119" s="32"/>
      <c r="S1119" s="32">
        <f t="shared" si="330"/>
        <v>1623</v>
      </c>
      <c r="T1119" s="12"/>
      <c r="U1119" s="12"/>
      <c r="V1119" s="12"/>
      <c r="W1119" s="12">
        <f t="shared" si="331"/>
        <v>1623</v>
      </c>
      <c r="Y1119" s="10">
        <v>8</v>
      </c>
      <c r="Z1119" s="30"/>
      <c r="AA1119" s="31"/>
      <c r="AB1119" s="32"/>
      <c r="AC1119" s="32"/>
      <c r="AE1119" s="32">
        <f t="shared" si="337"/>
        <v>0</v>
      </c>
      <c r="AF1119" s="12"/>
      <c r="AG1119" s="12"/>
      <c r="AH1119" s="12"/>
      <c r="AI1119" s="12">
        <f t="shared" si="333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D1120" s="32"/>
      <c r="E1120" s="32"/>
      <c r="F1120" s="32"/>
      <c r="G1120" s="32">
        <f t="shared" si="328"/>
        <v>0</v>
      </c>
      <c r="H1120" s="12"/>
      <c r="I1120" s="12"/>
      <c r="J1120" s="12"/>
      <c r="K1120" s="12">
        <f t="shared" si="329"/>
        <v>0</v>
      </c>
      <c r="M1120" s="10">
        <v>9</v>
      </c>
      <c r="N1120" s="30" t="s">
        <v>101</v>
      </c>
      <c r="O1120" s="31">
        <f t="shared" si="335"/>
        <v>11107</v>
      </c>
      <c r="P1120" s="32">
        <f>650*6</f>
        <v>3900</v>
      </c>
      <c r="Q1120" s="32"/>
      <c r="R1120" s="32"/>
      <c r="S1120" s="32">
        <f t="shared" si="330"/>
        <v>3900</v>
      </c>
      <c r="T1120" s="12"/>
      <c r="U1120" s="12"/>
      <c r="V1120" s="12"/>
      <c r="W1120" s="12">
        <f t="shared" si="331"/>
        <v>3900</v>
      </c>
      <c r="Y1120" s="10">
        <v>9</v>
      </c>
      <c r="Z1120" s="30"/>
      <c r="AB1120" s="32"/>
      <c r="AC1120" s="32"/>
      <c r="AD1120" s="32"/>
      <c r="AE1120" s="32">
        <f t="shared" si="337"/>
        <v>0</v>
      </c>
      <c r="AF1120" s="12"/>
      <c r="AH1120" s="12"/>
      <c r="AI1120" s="12">
        <f t="shared" si="333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82"/>
      <c r="D1121" s="32"/>
      <c r="E1121" s="32"/>
      <c r="F1121" s="32"/>
      <c r="G1121" s="32">
        <f t="shared" si="328"/>
        <v>0</v>
      </c>
      <c r="H1121" s="12"/>
      <c r="I1121" s="12"/>
      <c r="J1121" s="12"/>
      <c r="K1121" s="12">
        <f t="shared" si="329"/>
        <v>0</v>
      </c>
      <c r="M1121" s="10">
        <v>10</v>
      </c>
      <c r="N1121" s="30"/>
      <c r="O1121" s="11" t="s">
        <v>27</v>
      </c>
      <c r="P1121" s="32"/>
      <c r="Q1121" s="32"/>
      <c r="R1121" s="32"/>
      <c r="S1121" s="32">
        <f t="shared" si="330"/>
        <v>0</v>
      </c>
      <c r="T1121" s="12"/>
      <c r="U1121" s="12"/>
      <c r="V1121" s="12"/>
      <c r="W1121" s="12">
        <f t="shared" si="331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37"/>
        <v>0</v>
      </c>
      <c r="AF1121" s="12"/>
      <c r="AG1121" s="12"/>
      <c r="AH1121" s="12"/>
      <c r="AI1121" s="12">
        <f t="shared" si="333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57"/>
      <c r="D1122" s="32"/>
      <c r="E1122" s="32"/>
      <c r="F1122" s="32"/>
      <c r="G1122" s="32">
        <f t="shared" si="328"/>
        <v>0</v>
      </c>
      <c r="H1122" s="12"/>
      <c r="I1122" s="12"/>
      <c r="J1122" s="12"/>
      <c r="K1122" s="12">
        <f t="shared" si="329"/>
        <v>0</v>
      </c>
      <c r="M1122" s="10">
        <v>11</v>
      </c>
      <c r="N1122" s="30"/>
      <c r="O1122" s="31"/>
      <c r="P1122" s="32"/>
      <c r="Q1122" s="32"/>
      <c r="R1122" s="32"/>
      <c r="S1122" s="32">
        <f t="shared" si="330"/>
        <v>0</v>
      </c>
      <c r="T1122" s="12"/>
      <c r="U1122" s="12"/>
      <c r="V1122" s="12"/>
      <c r="W1122" s="12">
        <f t="shared" si="331"/>
        <v>0</v>
      </c>
      <c r="Y1122" s="10">
        <v>11</v>
      </c>
      <c r="Z1122" s="30"/>
      <c r="AA1122" s="31"/>
      <c r="AB1122" s="32"/>
      <c r="AC1122" s="32"/>
      <c r="AD1122" s="32"/>
      <c r="AE1122" s="32">
        <f t="shared" si="337"/>
        <v>0</v>
      </c>
      <c r="AF1122" s="12"/>
      <c r="AG1122" s="12"/>
      <c r="AH1122" s="12"/>
      <c r="AI1122" s="12">
        <f t="shared" si="333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57"/>
      <c r="D1123" s="32"/>
      <c r="E1123" s="32"/>
      <c r="F1123" s="32"/>
      <c r="G1123" s="32">
        <f t="shared" si="328"/>
        <v>0</v>
      </c>
      <c r="H1123" s="12"/>
      <c r="I1123" s="12"/>
      <c r="J1123" s="10"/>
      <c r="K1123" s="12">
        <f t="shared" si="329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30"/>
        <v>0</v>
      </c>
      <c r="T1123" s="12"/>
      <c r="U1123" s="12"/>
      <c r="V1123" s="12"/>
      <c r="W1123" s="12">
        <f t="shared" si="331"/>
        <v>0</v>
      </c>
      <c r="Y1123" s="10">
        <v>12</v>
      </c>
      <c r="Z1123" s="30"/>
      <c r="AB1123" s="32"/>
      <c r="AC1123" s="32"/>
      <c r="AD1123" s="32"/>
      <c r="AE1123" s="32">
        <f t="shared" si="337"/>
        <v>0</v>
      </c>
      <c r="AF1123" s="12"/>
      <c r="AG1123" s="12"/>
      <c r="AH1123" s="12"/>
      <c r="AI1123" s="12">
        <f t="shared" si="333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2"/>
      <c r="D1124" s="32"/>
      <c r="E1124" s="32"/>
      <c r="F1124" s="32"/>
      <c r="G1124" s="32">
        <f t="shared" si="328"/>
        <v>0</v>
      </c>
      <c r="H1124" s="12"/>
      <c r="I1124" s="12"/>
      <c r="J1124" s="12"/>
      <c r="K1124" s="12">
        <f t="shared" si="329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30"/>
        <v>0</v>
      </c>
      <c r="T1124" s="12"/>
      <c r="U1124" s="12"/>
      <c r="V1124" s="12"/>
      <c r="W1124" s="12">
        <f t="shared" si="331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37"/>
        <v>0</v>
      </c>
      <c r="AF1124" s="12"/>
      <c r="AG1124" s="12"/>
      <c r="AH1124" s="12"/>
      <c r="AI1124" s="12">
        <f t="shared" si="333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2"/>
      <c r="D1125" s="32"/>
      <c r="E1125" s="32"/>
      <c r="F1125" s="32"/>
      <c r="G1125" s="32">
        <f t="shared" si="328"/>
        <v>0</v>
      </c>
      <c r="H1125" s="12"/>
      <c r="I1125" s="12"/>
      <c r="J1125" s="12"/>
      <c r="K1125" s="12">
        <f t="shared" si="329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30"/>
        <v>0</v>
      </c>
      <c r="T1125" s="12"/>
      <c r="U1125" s="12"/>
      <c r="V1125" s="12"/>
      <c r="W1125" s="12">
        <f t="shared" si="331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37"/>
        <v>0</v>
      </c>
      <c r="AF1125" s="12"/>
      <c r="AG1125" s="12"/>
      <c r="AH1125" s="12"/>
      <c r="AI1125" s="12">
        <f t="shared" si="333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2"/>
      <c r="D1126" s="32"/>
      <c r="E1126" s="32"/>
      <c r="F1126" s="32"/>
      <c r="G1126" s="32">
        <f t="shared" si="328"/>
        <v>0</v>
      </c>
      <c r="H1126" s="12"/>
      <c r="I1126" s="12"/>
      <c r="J1126" s="12"/>
      <c r="K1126" s="12">
        <f t="shared" si="329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30"/>
        <v>0</v>
      </c>
      <c r="T1126" s="12"/>
      <c r="U1126" s="12"/>
      <c r="V1126" s="12"/>
      <c r="W1126" s="12">
        <f t="shared" si="331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37"/>
        <v>0</v>
      </c>
      <c r="AF1126" s="12"/>
      <c r="AG1126" s="12"/>
      <c r="AH1126" s="12"/>
      <c r="AI1126" s="12">
        <f t="shared" si="333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11"/>
      <c r="D1127" s="32"/>
      <c r="E1127" s="32"/>
      <c r="F1127" s="32"/>
      <c r="G1127" s="32">
        <f t="shared" si="328"/>
        <v>0</v>
      </c>
      <c r="H1127" s="12"/>
      <c r="I1127" s="12"/>
      <c r="J1127" s="12"/>
      <c r="K1127" s="12">
        <f t="shared" si="329"/>
        <v>0</v>
      </c>
      <c r="M1127" s="10">
        <v>16</v>
      </c>
      <c r="N1127" s="30"/>
      <c r="P1127" s="32"/>
      <c r="Q1127" s="32"/>
      <c r="R1127" s="32"/>
      <c r="S1127" s="32">
        <f t="shared" si="330"/>
        <v>0</v>
      </c>
      <c r="T1127" s="12"/>
      <c r="U1127" s="12"/>
      <c r="V1127" s="12"/>
      <c r="W1127" s="12">
        <f t="shared" si="331"/>
        <v>0</v>
      </c>
      <c r="Y1127" s="10">
        <v>16</v>
      </c>
      <c r="Z1127" s="30"/>
      <c r="AA1127" s="11"/>
      <c r="AB1127" s="32"/>
      <c r="AC1127" s="32"/>
      <c r="AD1127" s="32"/>
      <c r="AE1127" s="32">
        <f t="shared" si="337"/>
        <v>0</v>
      </c>
      <c r="AF1127" s="12"/>
      <c r="AG1127" s="12"/>
      <c r="AH1127" s="12"/>
      <c r="AI1127" s="12">
        <f t="shared" si="333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2"/>
      <c r="D1128" s="32"/>
      <c r="E1128" s="32"/>
      <c r="F1128" s="32"/>
      <c r="G1128" s="32">
        <f t="shared" si="328"/>
        <v>0</v>
      </c>
      <c r="H1128" s="12"/>
      <c r="I1128" s="12"/>
      <c r="J1128" s="12"/>
      <c r="K1128" s="12">
        <f t="shared" si="329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30"/>
        <v>0</v>
      </c>
      <c r="T1128" s="12"/>
      <c r="U1128" s="12"/>
      <c r="V1128" s="12"/>
      <c r="W1128" s="12">
        <f t="shared" si="331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37"/>
        <v>0</v>
      </c>
      <c r="AF1128" s="12"/>
      <c r="AG1128" s="12"/>
      <c r="AH1128" s="12"/>
      <c r="AI1128" s="12">
        <f t="shared" si="333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2"/>
      <c r="D1129" s="32"/>
      <c r="E1129" s="32"/>
      <c r="F1129" s="32"/>
      <c r="G1129" s="32">
        <f t="shared" si="328"/>
        <v>0</v>
      </c>
      <c r="H1129" s="12"/>
      <c r="I1129" s="12"/>
      <c r="J1129" s="12"/>
      <c r="K1129" s="12">
        <f t="shared" si="329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30"/>
        <v>0</v>
      </c>
      <c r="T1129" s="12"/>
      <c r="U1129" s="12"/>
      <c r="V1129" s="12"/>
      <c r="W1129" s="12">
        <f t="shared" si="331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37"/>
        <v>0</v>
      </c>
      <c r="AF1129" s="12"/>
      <c r="AG1129" s="12"/>
      <c r="AH1129" s="12"/>
      <c r="AI1129" s="12">
        <f t="shared" si="333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2"/>
      <c r="D1130" s="32"/>
      <c r="E1130" s="32"/>
      <c r="F1130" s="32"/>
      <c r="G1130" s="32">
        <f t="shared" si="328"/>
        <v>0</v>
      </c>
      <c r="H1130" s="12"/>
      <c r="I1130" s="12"/>
      <c r="J1130" s="12"/>
      <c r="K1130" s="12">
        <f t="shared" si="329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30"/>
        <v>0</v>
      </c>
      <c r="T1130" s="12"/>
      <c r="U1130" s="12"/>
      <c r="V1130" s="12"/>
      <c r="W1130" s="12">
        <f t="shared" si="331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37"/>
        <v>0</v>
      </c>
      <c r="AF1130" s="12"/>
      <c r="AG1130" s="12"/>
      <c r="AH1130" s="12"/>
      <c r="AI1130" s="12">
        <f t="shared" si="333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2"/>
      <c r="D1131" s="32"/>
      <c r="E1131" s="32"/>
      <c r="F1131" s="32"/>
      <c r="G1131" s="32">
        <f t="shared" si="328"/>
        <v>0</v>
      </c>
      <c r="H1131" s="12"/>
      <c r="I1131" s="12"/>
      <c r="J1131" s="12"/>
      <c r="K1131" s="12">
        <f t="shared" si="329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30"/>
        <v>0</v>
      </c>
      <c r="T1131" s="12"/>
      <c r="U1131" s="12"/>
      <c r="V1131" s="12"/>
      <c r="W1131" s="12">
        <f t="shared" si="331"/>
        <v>0</v>
      </c>
      <c r="Y1131" s="10">
        <v>20</v>
      </c>
      <c r="Z1131" s="30"/>
      <c r="AB1131" s="32"/>
      <c r="AC1131" s="32"/>
      <c r="AD1131" s="32"/>
      <c r="AE1131" s="32">
        <f t="shared" si="337"/>
        <v>0</v>
      </c>
      <c r="AF1131" s="12"/>
      <c r="AG1131" s="12"/>
      <c r="AH1131" s="12"/>
      <c r="AI1131" s="12">
        <f t="shared" si="333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82"/>
      <c r="D1132" s="32"/>
      <c r="E1132" s="32"/>
      <c r="F1132" s="32"/>
      <c r="G1132" s="32">
        <f t="shared" si="328"/>
        <v>0</v>
      </c>
      <c r="H1132" s="10"/>
      <c r="I1132" s="10"/>
      <c r="J1132" s="10"/>
      <c r="K1132" s="12">
        <f t="shared" si="329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30"/>
        <v>0</v>
      </c>
      <c r="T1132" s="10"/>
      <c r="U1132" s="10"/>
      <c r="V1132" s="10"/>
      <c r="W1132" s="12">
        <f t="shared" si="331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337"/>
        <v>0</v>
      </c>
      <c r="AF1132" s="10"/>
      <c r="AG1132" s="10"/>
      <c r="AH1132" s="10"/>
      <c r="AI1132" s="12">
        <f t="shared" si="333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2"/>
      <c r="D1133" s="32"/>
      <c r="E1133" s="32"/>
      <c r="F1133" s="32"/>
      <c r="G1133" s="32">
        <f t="shared" si="328"/>
        <v>0</v>
      </c>
      <c r="H1133" s="10"/>
      <c r="I1133" s="10"/>
      <c r="J1133" s="10"/>
      <c r="K1133" s="12">
        <f t="shared" si="329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30"/>
        <v>0</v>
      </c>
      <c r="T1133" s="10"/>
      <c r="U1133" s="10"/>
      <c r="V1133" s="10"/>
      <c r="W1133" s="12">
        <f t="shared" si="331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37"/>
        <v>0</v>
      </c>
      <c r="AF1133" s="10"/>
      <c r="AG1133" s="10"/>
      <c r="AH1133" s="10"/>
      <c r="AI1133" s="12">
        <f t="shared" si="333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2"/>
      <c r="D1134" s="32"/>
      <c r="E1134" s="32"/>
      <c r="F1134" s="32"/>
      <c r="G1134" s="32">
        <f t="shared" si="328"/>
        <v>0</v>
      </c>
      <c r="H1134" s="10"/>
      <c r="I1134" s="10"/>
      <c r="J1134" s="12"/>
      <c r="K1134" s="12">
        <f t="shared" si="329"/>
        <v>0</v>
      </c>
      <c r="M1134" s="10">
        <v>23</v>
      </c>
      <c r="N1134" s="30"/>
      <c r="O1134" s="31"/>
      <c r="P1134" s="47"/>
      <c r="Q1134" s="31"/>
      <c r="S1134" s="32">
        <f t="shared" si="330"/>
        <v>0</v>
      </c>
      <c r="T1134" s="10"/>
      <c r="U1134" s="10"/>
      <c r="V1134" s="10"/>
      <c r="W1134" s="12">
        <f t="shared" si="331"/>
        <v>0</v>
      </c>
      <c r="Y1134" s="10">
        <v>23</v>
      </c>
      <c r="Z1134" s="30"/>
      <c r="AA1134" s="31"/>
      <c r="AB1134" s="47"/>
      <c r="AE1134" s="32">
        <f t="shared" si="337"/>
        <v>0</v>
      </c>
      <c r="AF1134" s="10"/>
      <c r="AG1134" s="10"/>
      <c r="AH1134" s="10"/>
      <c r="AI1134" s="12">
        <f t="shared" si="333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2"/>
      <c r="D1135" s="32"/>
      <c r="E1135" s="32"/>
      <c r="F1135" s="32"/>
      <c r="G1135" s="32">
        <f t="shared" si="328"/>
        <v>0</v>
      </c>
      <c r="H1135" s="10"/>
      <c r="I1135" s="10"/>
      <c r="J1135" s="10"/>
      <c r="K1135" s="12">
        <f t="shared" si="329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30"/>
        <v>0</v>
      </c>
      <c r="T1135" s="10"/>
      <c r="U1135" s="10"/>
      <c r="V1135" s="10"/>
      <c r="W1135" s="12">
        <f t="shared" si="331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37"/>
        <v>0</v>
      </c>
      <c r="AF1135" s="10"/>
      <c r="AG1135" s="10"/>
      <c r="AH1135" s="10"/>
      <c r="AI1135" s="12">
        <f t="shared" si="333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2"/>
      <c r="D1136" s="32"/>
      <c r="E1136" s="32"/>
      <c r="F1136" s="32"/>
      <c r="G1136" s="32">
        <f t="shared" si="328"/>
        <v>0</v>
      </c>
      <c r="H1136" s="10"/>
      <c r="I1136" s="10"/>
      <c r="J1136" s="10"/>
      <c r="K1136" s="12">
        <f t="shared" si="329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30"/>
        <v>0</v>
      </c>
      <c r="T1136" s="10"/>
      <c r="U1136" s="10"/>
      <c r="V1136" s="10"/>
      <c r="W1136" s="12">
        <f t="shared" si="331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37"/>
        <v>0</v>
      </c>
      <c r="AF1136" s="10"/>
      <c r="AG1136" s="10"/>
      <c r="AH1136" s="10"/>
      <c r="AI1136" s="12">
        <f t="shared" si="333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82"/>
      <c r="D1137" s="32"/>
      <c r="E1137" s="32"/>
      <c r="F1137" s="32"/>
      <c r="G1137" s="32">
        <f t="shared" si="328"/>
        <v>0</v>
      </c>
      <c r="H1137" s="10"/>
      <c r="I1137" s="10"/>
      <c r="J1137" s="10"/>
      <c r="K1137" s="12">
        <f t="shared" si="329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30"/>
        <v>0</v>
      </c>
      <c r="T1137" s="10"/>
      <c r="U1137" s="10"/>
      <c r="V1137" s="10"/>
      <c r="W1137" s="12">
        <f t="shared" si="331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37"/>
        <v>0</v>
      </c>
      <c r="AF1137" s="10"/>
      <c r="AG1137" s="10"/>
      <c r="AH1137" s="10"/>
      <c r="AI1137" s="12">
        <f t="shared" si="333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2"/>
      <c r="D1138" s="32"/>
      <c r="E1138" s="32"/>
      <c r="F1138" s="32"/>
      <c r="G1138" s="32">
        <f t="shared" si="328"/>
        <v>0</v>
      </c>
      <c r="H1138" s="10"/>
      <c r="I1138" s="10"/>
      <c r="J1138" s="10"/>
      <c r="K1138" s="12">
        <f t="shared" si="329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30"/>
        <v>0</v>
      </c>
      <c r="T1138" s="10"/>
      <c r="U1138" s="10"/>
      <c r="V1138" s="10"/>
      <c r="W1138" s="12">
        <f t="shared" si="331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37"/>
        <v>0</v>
      </c>
      <c r="AF1138" s="10"/>
      <c r="AG1138" s="10"/>
      <c r="AH1138" s="10"/>
      <c r="AI1138" s="12">
        <f t="shared" si="333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2"/>
      <c r="D1139" s="32"/>
      <c r="E1139" s="32"/>
      <c r="F1139" s="32"/>
      <c r="G1139" s="32">
        <f t="shared" si="328"/>
        <v>0</v>
      </c>
      <c r="H1139" s="10"/>
      <c r="I1139" s="10"/>
      <c r="J1139" s="10"/>
      <c r="K1139" s="12">
        <f t="shared" si="329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30"/>
        <v>0</v>
      </c>
      <c r="T1139" s="10"/>
      <c r="U1139" s="10"/>
      <c r="V1139" s="10"/>
      <c r="W1139" s="12">
        <f t="shared" si="331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37"/>
        <v>0</v>
      </c>
      <c r="AF1139" s="10"/>
      <c r="AG1139" s="10"/>
      <c r="AH1139" s="10"/>
      <c r="AI1139" s="12">
        <f t="shared" si="333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2"/>
      <c r="D1140" s="32"/>
      <c r="E1140" s="32"/>
      <c r="F1140" s="32"/>
      <c r="G1140" s="32">
        <f t="shared" si="328"/>
        <v>0</v>
      </c>
      <c r="H1140" s="10"/>
      <c r="I1140" s="10"/>
      <c r="J1140" s="10"/>
      <c r="K1140" s="12">
        <f t="shared" si="329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30"/>
        <v>0</v>
      </c>
      <c r="T1140" s="10"/>
      <c r="U1140" s="10"/>
      <c r="V1140" s="10"/>
      <c r="W1140" s="12">
        <f t="shared" si="331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37"/>
        <v>0</v>
      </c>
      <c r="AF1140" s="10"/>
      <c r="AG1140" s="10"/>
      <c r="AH1140" s="10"/>
      <c r="AI1140" s="12">
        <f t="shared" si="333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82"/>
      <c r="D1141" s="32"/>
      <c r="E1141" s="32"/>
      <c r="F1141" s="32"/>
      <c r="G1141" s="32">
        <f t="shared" si="328"/>
        <v>0</v>
      </c>
      <c r="H1141" s="10"/>
      <c r="I1141" s="10"/>
      <c r="J1141" s="10"/>
      <c r="K1141" s="12">
        <f t="shared" si="329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330"/>
        <v>0</v>
      </c>
      <c r="T1141" s="10"/>
      <c r="U1141" s="10"/>
      <c r="V1141" s="10"/>
      <c r="W1141" s="12">
        <f t="shared" si="331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37"/>
        <v>0</v>
      </c>
      <c r="AF1141" s="10"/>
      <c r="AG1141" s="10"/>
      <c r="AH1141" s="10"/>
      <c r="AI1141" s="12">
        <f t="shared" si="333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2"/>
      <c r="D1142" s="32"/>
      <c r="E1142" s="32"/>
      <c r="F1142" s="32"/>
      <c r="G1142" s="32">
        <f t="shared" si="328"/>
        <v>0</v>
      </c>
      <c r="H1142" s="10"/>
      <c r="I1142" s="10"/>
      <c r="J1142" s="10"/>
      <c r="K1142" s="12">
        <f t="shared" si="329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30"/>
        <v>0</v>
      </c>
      <c r="T1142" s="10"/>
      <c r="U1142" s="10"/>
      <c r="V1142" s="10"/>
      <c r="W1142" s="12">
        <f t="shared" si="331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37"/>
        <v>0</v>
      </c>
      <c r="AF1142" s="10"/>
      <c r="AG1142" s="10"/>
      <c r="AH1142" s="10"/>
      <c r="AI1142" s="12">
        <f t="shared" si="333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328"/>
        <v>0</v>
      </c>
      <c r="H1143" s="10"/>
      <c r="I1143" s="10"/>
      <c r="J1143" s="10"/>
      <c r="K1143" s="12">
        <f t="shared" si="329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30"/>
        <v>0</v>
      </c>
      <c r="T1143" s="10"/>
      <c r="U1143" s="10"/>
      <c r="V1143" s="10"/>
      <c r="W1143" s="12">
        <f t="shared" si="331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37"/>
        <v>0</v>
      </c>
      <c r="AF1143" s="10"/>
      <c r="AG1143" s="10"/>
      <c r="AH1143" s="10"/>
      <c r="AI1143" s="12">
        <f t="shared" si="333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328"/>
        <v>0</v>
      </c>
      <c r="H1144" s="10"/>
      <c r="I1144" s="10"/>
      <c r="J1144" s="10"/>
      <c r="K1144" s="12">
        <f t="shared" si="329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30"/>
        <v>0</v>
      </c>
      <c r="T1144" s="10"/>
      <c r="U1144" s="10"/>
      <c r="V1144" s="10"/>
      <c r="W1144" s="12">
        <f t="shared" si="331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37"/>
        <v>0</v>
      </c>
      <c r="AF1144" s="10"/>
      <c r="AG1144" s="10"/>
      <c r="AH1144" s="10"/>
      <c r="AI1144" s="12">
        <f t="shared" si="333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328"/>
        <v>0</v>
      </c>
      <c r="H1145" s="10"/>
      <c r="I1145" s="10"/>
      <c r="J1145" s="10"/>
      <c r="K1145" s="12">
        <f t="shared" si="329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30"/>
        <v>0</v>
      </c>
      <c r="T1145" s="10"/>
      <c r="U1145" s="10"/>
      <c r="V1145" s="10"/>
      <c r="W1145" s="12">
        <f t="shared" si="331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37"/>
        <v>0</v>
      </c>
      <c r="AF1145" s="10"/>
      <c r="AG1145" s="10"/>
      <c r="AH1145" s="10"/>
      <c r="AI1145" s="12">
        <f t="shared" si="333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30"/>
        <v>0</v>
      </c>
      <c r="T1146" s="10"/>
      <c r="U1146" s="10"/>
      <c r="V1146" s="10"/>
      <c r="W1146" s="12">
        <f t="shared" si="331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37"/>
        <v>0</v>
      </c>
      <c r="AF1146" s="10"/>
      <c r="AG1146" s="10"/>
      <c r="AH1146" s="10"/>
      <c r="AI1146" s="12">
        <f t="shared" si="333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30"/>
        <v>0</v>
      </c>
      <c r="T1147" s="10"/>
      <c r="U1147" s="10"/>
      <c r="V1147" s="10"/>
      <c r="W1147" s="12">
        <f t="shared" si="331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37"/>
        <v>0</v>
      </c>
      <c r="AF1147" s="10"/>
      <c r="AG1147" s="10"/>
      <c r="AH1147" s="10"/>
      <c r="AI1147" s="12">
        <f t="shared" si="333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30"/>
        <v>0</v>
      </c>
      <c r="T1148" s="10"/>
      <c r="U1148" s="10"/>
      <c r="V1148" s="10"/>
      <c r="W1148" s="12">
        <f t="shared" si="331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37"/>
        <v>0</v>
      </c>
      <c r="AF1148" s="10"/>
      <c r="AG1148" s="10"/>
      <c r="AH1148" s="10"/>
      <c r="AI1148" s="12">
        <f t="shared" si="333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30"/>
        <v>0</v>
      </c>
      <c r="T1149" s="10"/>
      <c r="U1149" s="10"/>
      <c r="V1149" s="10"/>
      <c r="W1149" s="12">
        <f t="shared" si="331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37"/>
        <v>0</v>
      </c>
      <c r="AF1149" s="10"/>
      <c r="AG1149" s="10"/>
      <c r="AH1149" s="10"/>
      <c r="AI1149" s="12">
        <f t="shared" si="333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30"/>
        <v>0</v>
      </c>
      <c r="T1150" s="10"/>
      <c r="U1150" s="10"/>
      <c r="V1150" s="10"/>
      <c r="W1150" s="12">
        <f t="shared" si="331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37"/>
        <v>0</v>
      </c>
      <c r="AF1150" s="10"/>
      <c r="AG1150" s="10"/>
      <c r="AH1150" s="10"/>
      <c r="AI1150" s="12">
        <f t="shared" si="333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31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33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38">SUM(D1152:E1152)</f>
        <v>0</v>
      </c>
      <c r="H1152" s="10"/>
      <c r="I1152" s="10"/>
      <c r="J1152" s="10"/>
      <c r="K1152" s="12">
        <f t="shared" ref="K1152" si="339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40">SUM(P1152:Q1152)</f>
        <v>0</v>
      </c>
      <c r="T1152" s="10"/>
      <c r="U1152" s="10"/>
      <c r="V1152" s="10"/>
      <c r="W1152" s="12">
        <f t="shared" si="331"/>
        <v>0</v>
      </c>
      <c r="Y1152" s="10"/>
      <c r="Z1152" s="30"/>
      <c r="AA1152" s="31"/>
      <c r="AB1152" s="47"/>
      <c r="AC1152" s="31"/>
      <c r="AD1152" s="31"/>
      <c r="AE1152" s="32">
        <f t="shared" ref="AE1152" si="341">SUM(AB1152:AC1152)</f>
        <v>0</v>
      </c>
      <c r="AF1152" s="10"/>
      <c r="AG1152" s="10"/>
      <c r="AH1152" s="10"/>
      <c r="AI1152" s="12">
        <f t="shared" si="333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31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33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404910</v>
      </c>
      <c r="E1155" s="38">
        <f t="shared" ref="E1155:F1155" si="342">SUM(E1112:E1152)</f>
        <v>-3348</v>
      </c>
      <c r="F1155" s="38">
        <f t="shared" si="342"/>
        <v>0</v>
      </c>
      <c r="G1155" s="38">
        <f>SUM(G1112:G1154)</f>
        <v>401562</v>
      </c>
      <c r="H1155" s="4"/>
      <c r="I1155" s="39">
        <f>SUM(I1112:I1154)</f>
        <v>12972</v>
      </c>
      <c r="J1155" s="39">
        <f>SUM(J1112:J1154)</f>
        <v>0</v>
      </c>
      <c r="K1155" s="40">
        <f>SUM(K1112:K1154)</f>
        <v>414534</v>
      </c>
      <c r="N1155" s="57"/>
      <c r="O1155" s="57"/>
      <c r="P1155" s="38">
        <f>SUM(P1112:P1154)</f>
        <v>197501</v>
      </c>
      <c r="Q1155" s="38">
        <f t="shared" ref="Q1155:R1155" si="343">SUM(Q1112:Q1152)</f>
        <v>-810</v>
      </c>
      <c r="R1155" s="38">
        <f t="shared" si="343"/>
        <v>0</v>
      </c>
      <c r="S1155" s="38">
        <f t="shared" ref="S1155" si="344">SUM(S1112:S1154)</f>
        <v>196691</v>
      </c>
      <c r="T1155" s="4"/>
      <c r="U1155" s="39">
        <f t="shared" ref="U1155:W1155" si="345">SUM(U1112:U1154)</f>
        <v>27</v>
      </c>
      <c r="V1155" s="39">
        <f t="shared" si="345"/>
        <v>-639</v>
      </c>
      <c r="W1155" s="40">
        <f t="shared" si="345"/>
        <v>196079</v>
      </c>
      <c r="Z1155" s="57"/>
      <c r="AA1155" s="57"/>
      <c r="AB1155" s="38">
        <f t="shared" ref="AB1155" si="346">SUM(AB1112:AB1154)</f>
        <v>357561</v>
      </c>
      <c r="AC1155" s="38">
        <f t="shared" ref="AC1155:AD1155" si="347">SUM(AC1112:AC1152)</f>
        <v>-2832</v>
      </c>
      <c r="AD1155" s="38">
        <f t="shared" si="347"/>
        <v>0</v>
      </c>
      <c r="AE1155" s="38">
        <f t="shared" ref="AE1155" si="348">SUM(AE1112:AE1154)</f>
        <v>354729</v>
      </c>
      <c r="AF1155" s="4"/>
      <c r="AG1155" s="39">
        <f t="shared" ref="AG1155:AI1155" si="349">SUM(AG1112:AG1154)</f>
        <v>546</v>
      </c>
      <c r="AH1155" s="39">
        <f t="shared" si="349"/>
        <v>-3108</v>
      </c>
      <c r="AI1155" s="40">
        <f t="shared" si="349"/>
        <v>352167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40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40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40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104</v>
      </c>
      <c r="B1163" s="20"/>
      <c r="C1163" s="57"/>
      <c r="D1163" s="57"/>
      <c r="E1163" s="57"/>
      <c r="G1163" s="57"/>
      <c r="I1163" s="22" t="s">
        <v>16</v>
      </c>
      <c r="J1163" s="23" t="s">
        <v>42</v>
      </c>
      <c r="K1163" s="24"/>
      <c r="M1163" s="21" t="s">
        <v>104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32</v>
      </c>
      <c r="W1163" s="24"/>
      <c r="Y1163" s="21" t="s">
        <v>104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33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3" t="s">
        <v>17</v>
      </c>
      <c r="E1165" s="123"/>
      <c r="F1165" s="114"/>
      <c r="G1165" s="27"/>
      <c r="I1165" s="121" t="s">
        <v>18</v>
      </c>
      <c r="J1165" s="122"/>
      <c r="K1165" s="119" t="s">
        <v>19</v>
      </c>
      <c r="N1165" s="25"/>
      <c r="O1165" s="26"/>
      <c r="P1165" s="123" t="s">
        <v>17</v>
      </c>
      <c r="Q1165" s="123"/>
      <c r="R1165" s="114"/>
      <c r="S1165" s="27"/>
      <c r="U1165" s="121" t="s">
        <v>18</v>
      </c>
      <c r="V1165" s="122"/>
      <c r="W1165" s="119" t="s">
        <v>19</v>
      </c>
      <c r="Z1165" s="25"/>
      <c r="AA1165" s="26"/>
      <c r="AB1165" s="123" t="s">
        <v>17</v>
      </c>
      <c r="AC1165" s="123"/>
      <c r="AD1165" s="114"/>
      <c r="AE1165" s="27"/>
      <c r="AG1165" s="121" t="s">
        <v>18</v>
      </c>
      <c r="AH1165" s="122"/>
      <c r="AI1165" s="119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31</v>
      </c>
      <c r="G1166" s="78" t="s">
        <v>24</v>
      </c>
      <c r="I1166" s="29" t="s">
        <v>25</v>
      </c>
      <c r="J1166" s="29" t="s">
        <v>26</v>
      </c>
      <c r="K1166" s="120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31</v>
      </c>
      <c r="S1166" s="78" t="s">
        <v>24</v>
      </c>
      <c r="U1166" s="29" t="s">
        <v>25</v>
      </c>
      <c r="V1166" s="29" t="s">
        <v>26</v>
      </c>
      <c r="W1166" s="120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31</v>
      </c>
      <c r="AE1166" s="78" t="s">
        <v>24</v>
      </c>
      <c r="AG1166" s="29" t="s">
        <v>25</v>
      </c>
      <c r="AH1166" s="29" t="s">
        <v>26</v>
      </c>
      <c r="AI1166" s="120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105</v>
      </c>
      <c r="C1167" s="82">
        <v>11180</v>
      </c>
      <c r="D1167" s="32">
        <f>650*109+670*5+700*3+912*2+872*2+229*17+500</f>
        <v>84261</v>
      </c>
      <c r="E1167" s="32"/>
      <c r="F1167" s="32"/>
      <c r="G1167" s="32">
        <f t="shared" ref="G1167:G1200" si="350">SUM(D1167:E1167)</f>
        <v>84261</v>
      </c>
      <c r="H1167" s="12"/>
      <c r="I1167" s="12"/>
      <c r="J1167" s="12"/>
      <c r="K1167" s="12">
        <f t="shared" ref="K1167:K1200" si="351">SUM(G1167:J1167)</f>
        <v>84261</v>
      </c>
      <c r="M1167" s="10">
        <v>1</v>
      </c>
      <c r="N1167" s="30" t="s">
        <v>105</v>
      </c>
      <c r="O1167" s="31">
        <v>11208</v>
      </c>
      <c r="P1167" s="32">
        <f>650*2+670+9.5*2</f>
        <v>1989</v>
      </c>
      <c r="Q1167" s="32"/>
      <c r="R1167" s="32"/>
      <c r="S1167" s="32">
        <f>SUM(P1167:Q1167)</f>
        <v>1989</v>
      </c>
      <c r="T1167" s="12"/>
      <c r="U1167" s="12"/>
      <c r="V1167" s="12"/>
      <c r="W1167" s="12">
        <f>SUM(S1167:V1167)</f>
        <v>1989</v>
      </c>
      <c r="Y1167" s="10">
        <v>1</v>
      </c>
      <c r="Z1167" s="30" t="s">
        <v>105</v>
      </c>
      <c r="AA1167" s="31">
        <v>11137</v>
      </c>
      <c r="AB1167" s="32">
        <f>650*50+229*2</f>
        <v>32958</v>
      </c>
      <c r="AC1167" s="32">
        <f>-50*6</f>
        <v>-300</v>
      </c>
      <c r="AD1167" s="32"/>
      <c r="AE1167" s="32">
        <f>SUM(AB1167:AC1167)</f>
        <v>32658</v>
      </c>
      <c r="AF1167" s="12"/>
      <c r="AG1167" s="12"/>
      <c r="AH1167" s="12"/>
      <c r="AI1167" s="12">
        <f>SUM(AE1167:AH1167)</f>
        <v>32658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105</v>
      </c>
      <c r="C1168" s="82">
        <f>C1167+1</f>
        <v>11181</v>
      </c>
      <c r="D1168" s="32">
        <f>650*7+670*5</f>
        <v>7900</v>
      </c>
      <c r="E1168" s="32"/>
      <c r="F1168" s="32"/>
      <c r="G1168" s="32">
        <f t="shared" si="350"/>
        <v>7900</v>
      </c>
      <c r="H1168" s="12"/>
      <c r="I1168" s="12"/>
      <c r="J1168" s="12"/>
      <c r="K1168" s="12">
        <f t="shared" si="351"/>
        <v>7900</v>
      </c>
      <c r="M1168" s="10">
        <v>2</v>
      </c>
      <c r="N1168" s="30" t="s">
        <v>105</v>
      </c>
      <c r="O1168" s="31">
        <f>O1167+1</f>
        <v>11209</v>
      </c>
      <c r="P1168" s="32">
        <f>650*14+9.5*14</f>
        <v>9233</v>
      </c>
      <c r="Q1168" s="32"/>
      <c r="R1168" s="32"/>
      <c r="S1168" s="32">
        <f t="shared" ref="S1168:S1205" si="352">SUM(P1168:Q1168)</f>
        <v>9233</v>
      </c>
      <c r="T1168" s="12"/>
      <c r="U1168" s="12"/>
      <c r="V1168" s="12">
        <f>-111*11</f>
        <v>-1221</v>
      </c>
      <c r="W1168" s="12">
        <f t="shared" ref="W1168:W1208" si="353">SUM(S1168:V1168)</f>
        <v>8012</v>
      </c>
      <c r="Y1168" s="10">
        <v>2</v>
      </c>
      <c r="Z1168" s="30" t="s">
        <v>105</v>
      </c>
      <c r="AA1168" s="31">
        <f>AA1167+1</f>
        <v>11138</v>
      </c>
      <c r="AB1168" s="32">
        <f>650*28+622*5+229</f>
        <v>21539</v>
      </c>
      <c r="AC1168" s="32"/>
      <c r="AD1168" s="32"/>
      <c r="AE1168" s="32">
        <f t="shared" ref="AE1168:AE1170" si="354">SUM(AB1168:AC1168)</f>
        <v>21539</v>
      </c>
      <c r="AF1168" s="12"/>
      <c r="AG1168" s="12"/>
      <c r="AH1168" s="12"/>
      <c r="AI1168" s="12">
        <f t="shared" ref="AI1168:AI1208" si="355">SUM(AE1168:AH1168)</f>
        <v>21539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105</v>
      </c>
      <c r="C1169" s="82">
        <f t="shared" ref="C1169:C1170" si="356">C1168+1</f>
        <v>11182</v>
      </c>
      <c r="D1169" s="33">
        <f>650*50</f>
        <v>32500</v>
      </c>
      <c r="E1169" s="33"/>
      <c r="F1169" s="33"/>
      <c r="G1169" s="33">
        <f t="shared" si="350"/>
        <v>32500</v>
      </c>
      <c r="H1169" s="34"/>
      <c r="I1169" s="34"/>
      <c r="J1169" s="34"/>
      <c r="K1169" s="34">
        <f t="shared" si="351"/>
        <v>32500</v>
      </c>
      <c r="M1169" s="10">
        <v>3</v>
      </c>
      <c r="N1169" s="30" t="s">
        <v>105</v>
      </c>
      <c r="O1169" s="31">
        <f t="shared" ref="O1169:O1174" si="357">O1168+1</f>
        <v>11210</v>
      </c>
      <c r="P1169" s="32">
        <f>650*4+622*5+9.5*9</f>
        <v>5795.5</v>
      </c>
      <c r="Q1169" s="32"/>
      <c r="R1169" s="32"/>
      <c r="S1169" s="32">
        <f t="shared" si="352"/>
        <v>5795.5</v>
      </c>
      <c r="T1169" s="12"/>
      <c r="U1169" s="12">
        <f>4.5*2+1.5*9</f>
        <v>22.5</v>
      </c>
      <c r="V1169" s="12"/>
      <c r="W1169" s="12">
        <f t="shared" si="353"/>
        <v>5818</v>
      </c>
      <c r="Y1169" s="10">
        <v>3</v>
      </c>
      <c r="Z1169" s="30" t="s">
        <v>105</v>
      </c>
      <c r="AA1169" s="31">
        <f t="shared" ref="AA1169:AA1177" si="358">AA1168+1</f>
        <v>11139</v>
      </c>
      <c r="AB1169" s="33">
        <f>650*14+670*2+622*5</f>
        <v>13550</v>
      </c>
      <c r="AC1169" s="33"/>
      <c r="AD1169" s="32"/>
      <c r="AE1169" s="32">
        <f t="shared" si="354"/>
        <v>13550</v>
      </c>
      <c r="AF1169" s="12"/>
      <c r="AG1169" s="12"/>
      <c r="AH1169" s="12">
        <f>-4.5*4</f>
        <v>-18</v>
      </c>
      <c r="AI1169" s="12">
        <f t="shared" si="355"/>
        <v>13532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105</v>
      </c>
      <c r="C1170" s="82">
        <f t="shared" si="356"/>
        <v>11183</v>
      </c>
      <c r="D1170" s="32">
        <f>650*216+622*108+229*12</f>
        <v>210324</v>
      </c>
      <c r="E1170" s="32">
        <f>-324*6</f>
        <v>-1944</v>
      </c>
      <c r="F1170" s="32"/>
      <c r="G1170" s="32">
        <f t="shared" si="350"/>
        <v>208380</v>
      </c>
      <c r="H1170" s="12"/>
      <c r="I1170" s="12">
        <f>111*27+78*5</f>
        <v>3387</v>
      </c>
      <c r="J1170" s="12">
        <f>-120*2+-84*2+-42*5+-1.5*21</f>
        <v>-649.5</v>
      </c>
      <c r="K1170" s="12">
        <f t="shared" si="351"/>
        <v>211117.5</v>
      </c>
      <c r="M1170" s="10">
        <v>4</v>
      </c>
      <c r="N1170" s="30" t="s">
        <v>105</v>
      </c>
      <c r="O1170" s="31">
        <f t="shared" si="357"/>
        <v>11211</v>
      </c>
      <c r="P1170" s="32">
        <f>650*2+670+622+9.5*3</f>
        <v>2620.5</v>
      </c>
      <c r="Q1170" s="32"/>
      <c r="R1170" s="32"/>
      <c r="S1170" s="32">
        <f t="shared" si="352"/>
        <v>2620.5</v>
      </c>
      <c r="T1170" s="12"/>
      <c r="U1170" s="12"/>
      <c r="V1170" s="12">
        <f>-84*2</f>
        <v>-168</v>
      </c>
      <c r="W1170" s="12">
        <f t="shared" si="353"/>
        <v>2452.5</v>
      </c>
      <c r="Y1170" s="10">
        <v>4</v>
      </c>
      <c r="Z1170" s="30" t="s">
        <v>105</v>
      </c>
      <c r="AA1170" s="31">
        <f t="shared" si="358"/>
        <v>11140</v>
      </c>
      <c r="AB1170" s="32">
        <f>650*14+622*20</f>
        <v>21540</v>
      </c>
      <c r="AC1170" s="32"/>
      <c r="AD1170" s="32"/>
      <c r="AE1170" s="32">
        <f t="shared" si="354"/>
        <v>21540</v>
      </c>
      <c r="AF1170" s="12"/>
      <c r="AH1170" s="12"/>
      <c r="AI1170" s="12">
        <f t="shared" si="355"/>
        <v>21540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/>
      <c r="C1171" s="11" t="s">
        <v>27</v>
      </c>
      <c r="D1171" s="32"/>
      <c r="E1171" s="32"/>
      <c r="F1171" s="32"/>
      <c r="G1171" s="32">
        <f t="shared" si="350"/>
        <v>0</v>
      </c>
      <c r="H1171" s="12"/>
      <c r="I1171" s="12"/>
      <c r="J1171" s="12"/>
      <c r="K1171" s="12">
        <f t="shared" si="351"/>
        <v>0</v>
      </c>
      <c r="M1171" s="10">
        <v>5</v>
      </c>
      <c r="N1171" s="30" t="s">
        <v>105</v>
      </c>
      <c r="O1171" s="31">
        <f t="shared" si="357"/>
        <v>11212</v>
      </c>
      <c r="P1171" s="32">
        <f>650*170+670*5+622*10+229*6+650*3</f>
        <v>123394</v>
      </c>
      <c r="Q1171" s="32">
        <f>-185*6</f>
        <v>-1110</v>
      </c>
      <c r="R1171" s="32"/>
      <c r="S1171" s="32">
        <f t="shared" si="352"/>
        <v>122284</v>
      </c>
      <c r="T1171" s="12"/>
      <c r="U1171" s="12">
        <f>78*3</f>
        <v>234</v>
      </c>
      <c r="V1171" s="12">
        <f>-120*2+-42*4</f>
        <v>-408</v>
      </c>
      <c r="W1171" s="12">
        <f t="shared" si="353"/>
        <v>122110</v>
      </c>
      <c r="Y1171" s="10">
        <v>5</v>
      </c>
      <c r="Z1171" s="30" t="s">
        <v>105</v>
      </c>
      <c r="AA1171" s="31">
        <f t="shared" si="358"/>
        <v>11141</v>
      </c>
      <c r="AB1171" s="32">
        <f>650*164+670*17+622*30+872*2+229*4+650*2</f>
        <v>140610</v>
      </c>
      <c r="AC1171" s="32">
        <f>-213*6</f>
        <v>-1278</v>
      </c>
      <c r="AD1171" s="32"/>
      <c r="AE1171" s="32">
        <f t="shared" ref="AE1171:AE1205" si="359">SUM(AB1171:AC1171)</f>
        <v>139332</v>
      </c>
      <c r="AF1171" s="12"/>
      <c r="AG1171" s="12">
        <f>1.5*72+4.5*7</f>
        <v>139.5</v>
      </c>
      <c r="AH1171" s="12"/>
      <c r="AI1171" s="12">
        <f t="shared" si="355"/>
        <v>139471.5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/>
      <c r="C1172" s="82"/>
      <c r="D1172" s="32"/>
      <c r="E1172" s="32"/>
      <c r="F1172" s="32"/>
      <c r="G1172" s="32">
        <f t="shared" si="350"/>
        <v>0</v>
      </c>
      <c r="H1172" s="12"/>
      <c r="I1172" s="12"/>
      <c r="J1172" s="12"/>
      <c r="K1172" s="12">
        <f t="shared" si="351"/>
        <v>0</v>
      </c>
      <c r="M1172" s="10">
        <v>6</v>
      </c>
      <c r="N1172" s="30" t="s">
        <v>105</v>
      </c>
      <c r="O1172" s="31">
        <f t="shared" si="357"/>
        <v>11213</v>
      </c>
      <c r="P1172" s="32">
        <f>650*18+670+973+872*2</f>
        <v>15087</v>
      </c>
      <c r="Q1172" s="32"/>
      <c r="R1172" s="32"/>
      <c r="S1172" s="32">
        <f t="shared" si="352"/>
        <v>15087</v>
      </c>
      <c r="T1172" s="12"/>
      <c r="U1172" s="12">
        <f>120*2+2.25*10</f>
        <v>262.5</v>
      </c>
      <c r="V1172" s="10"/>
      <c r="W1172" s="12">
        <f t="shared" si="353"/>
        <v>15349.5</v>
      </c>
      <c r="Y1172" s="10">
        <v>6</v>
      </c>
      <c r="Z1172" s="30" t="s">
        <v>105</v>
      </c>
      <c r="AA1172" s="31">
        <f t="shared" si="358"/>
        <v>11142</v>
      </c>
      <c r="AB1172" s="32">
        <f>650*2</f>
        <v>1300</v>
      </c>
      <c r="AC1172" s="32"/>
      <c r="AD1172" s="32"/>
      <c r="AE1172" s="32">
        <f t="shared" si="359"/>
        <v>1300</v>
      </c>
      <c r="AF1172" s="12"/>
      <c r="AG1172" s="12"/>
      <c r="AH1172" s="10"/>
      <c r="AI1172" s="12">
        <f t="shared" si="355"/>
        <v>1300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82"/>
      <c r="D1173" s="32"/>
      <c r="E1173" s="32"/>
      <c r="F1173" s="32"/>
      <c r="G1173" s="32">
        <f t="shared" si="350"/>
        <v>0</v>
      </c>
      <c r="H1173" s="12"/>
      <c r="I1173" s="12"/>
      <c r="J1173" s="12"/>
      <c r="K1173" s="12">
        <f t="shared" si="351"/>
        <v>0</v>
      </c>
      <c r="M1173" s="10">
        <v>7</v>
      </c>
      <c r="N1173" s="30" t="s">
        <v>105</v>
      </c>
      <c r="O1173" s="31">
        <f t="shared" si="357"/>
        <v>11214</v>
      </c>
      <c r="P1173" s="32">
        <f>650*13+622*2+9.5*5</f>
        <v>9741.5</v>
      </c>
      <c r="Q1173" s="32"/>
      <c r="R1173" s="32"/>
      <c r="S1173" s="32">
        <f t="shared" si="352"/>
        <v>9741.5</v>
      </c>
      <c r="T1173" s="12"/>
      <c r="U1173" s="12">
        <f>4.5*7</f>
        <v>31.5</v>
      </c>
      <c r="V1173" s="12"/>
      <c r="W1173" s="12">
        <f t="shared" si="353"/>
        <v>9773</v>
      </c>
      <c r="Y1173" s="10">
        <v>7</v>
      </c>
      <c r="Z1173" s="30" t="s">
        <v>105</v>
      </c>
      <c r="AA1173" s="31">
        <f t="shared" si="358"/>
        <v>11143</v>
      </c>
      <c r="AB1173" s="32">
        <f>650*8</f>
        <v>5200</v>
      </c>
      <c r="AC1173" s="32"/>
      <c r="AD1173" s="32"/>
      <c r="AE1173" s="32">
        <f t="shared" si="359"/>
        <v>5200</v>
      </c>
      <c r="AF1173" s="12"/>
      <c r="AG1173" s="58"/>
      <c r="AH1173" s="12"/>
      <c r="AI1173" s="12">
        <f t="shared" si="355"/>
        <v>5200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D1174" s="32"/>
      <c r="E1174" s="32"/>
      <c r="F1174" s="32"/>
      <c r="G1174" s="32">
        <f t="shared" si="350"/>
        <v>0</v>
      </c>
      <c r="H1174" s="12"/>
      <c r="I1174" s="12"/>
      <c r="J1174" s="12"/>
      <c r="K1174" s="12">
        <f t="shared" si="351"/>
        <v>0</v>
      </c>
      <c r="M1174" s="10">
        <v>8</v>
      </c>
      <c r="N1174" s="30" t="s">
        <v>105</v>
      </c>
      <c r="O1174" s="31">
        <f t="shared" si="357"/>
        <v>11215</v>
      </c>
      <c r="P1174" s="32">
        <f>650*36+622*10+9.5*10</f>
        <v>29715</v>
      </c>
      <c r="Q1174" s="32"/>
      <c r="R1174" s="32"/>
      <c r="S1174" s="32">
        <f t="shared" si="352"/>
        <v>29715</v>
      </c>
      <c r="T1174" s="12"/>
      <c r="U1174" s="12">
        <f>4.5*38</f>
        <v>171</v>
      </c>
      <c r="V1174" s="12"/>
      <c r="W1174" s="12">
        <f t="shared" si="353"/>
        <v>29886</v>
      </c>
      <c r="Y1174" s="10">
        <v>8</v>
      </c>
      <c r="Z1174" s="30" t="s">
        <v>105</v>
      </c>
      <c r="AA1174" s="31">
        <f t="shared" si="358"/>
        <v>11144</v>
      </c>
      <c r="AB1174" s="32">
        <f>650*8</f>
        <v>5200</v>
      </c>
      <c r="AC1174" s="32"/>
      <c r="AE1174" s="32">
        <f t="shared" si="359"/>
        <v>5200</v>
      </c>
      <c r="AF1174" s="12"/>
      <c r="AG1174" s="12"/>
      <c r="AH1174" s="12"/>
      <c r="AI1174" s="12">
        <f t="shared" si="355"/>
        <v>5200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57"/>
      <c r="D1175" s="32"/>
      <c r="E1175" s="32"/>
      <c r="F1175" s="32"/>
      <c r="G1175" s="32">
        <f t="shared" si="350"/>
        <v>0</v>
      </c>
      <c r="H1175" s="12"/>
      <c r="I1175" s="12"/>
      <c r="J1175" s="12"/>
      <c r="K1175" s="12">
        <f t="shared" si="351"/>
        <v>0</v>
      </c>
      <c r="M1175" s="10">
        <v>9</v>
      </c>
      <c r="N1175" s="30"/>
      <c r="O1175" s="11" t="s">
        <v>27</v>
      </c>
      <c r="P1175" s="32"/>
      <c r="Q1175" s="32"/>
      <c r="R1175" s="32"/>
      <c r="S1175" s="32">
        <f t="shared" si="352"/>
        <v>0</v>
      </c>
      <c r="T1175" s="12"/>
      <c r="U1175" s="12"/>
      <c r="V1175" s="12"/>
      <c r="W1175" s="12">
        <f t="shared" si="353"/>
        <v>0</v>
      </c>
      <c r="Y1175" s="10">
        <v>9</v>
      </c>
      <c r="Z1175" s="30" t="s">
        <v>105</v>
      </c>
      <c r="AA1175" s="31">
        <f t="shared" si="358"/>
        <v>11145</v>
      </c>
      <c r="AB1175" s="32">
        <f>650*2+229</f>
        <v>1529</v>
      </c>
      <c r="AC1175" s="32"/>
      <c r="AD1175" s="32"/>
      <c r="AE1175" s="32">
        <f t="shared" si="359"/>
        <v>1529</v>
      </c>
      <c r="AF1175" s="12"/>
      <c r="AH1175" s="12"/>
      <c r="AI1175" s="12">
        <f t="shared" si="355"/>
        <v>1529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82"/>
      <c r="D1176" s="32"/>
      <c r="E1176" s="32"/>
      <c r="F1176" s="32"/>
      <c r="G1176" s="32">
        <f t="shared" si="350"/>
        <v>0</v>
      </c>
      <c r="H1176" s="12"/>
      <c r="I1176" s="12"/>
      <c r="J1176" s="12"/>
      <c r="K1176" s="12">
        <f t="shared" si="351"/>
        <v>0</v>
      </c>
      <c r="M1176" s="10">
        <v>10</v>
      </c>
      <c r="N1176" s="30"/>
      <c r="P1176" s="32"/>
      <c r="Q1176" s="32"/>
      <c r="R1176" s="32"/>
      <c r="S1176" s="32">
        <f t="shared" si="352"/>
        <v>0</v>
      </c>
      <c r="T1176" s="12"/>
      <c r="U1176" s="12"/>
      <c r="V1176" s="12"/>
      <c r="W1176" s="12">
        <f t="shared" si="353"/>
        <v>0</v>
      </c>
      <c r="Y1176" s="10">
        <v>10</v>
      </c>
      <c r="Z1176" s="30" t="s">
        <v>105</v>
      </c>
      <c r="AA1176" s="31">
        <f t="shared" si="358"/>
        <v>11146</v>
      </c>
      <c r="AB1176" s="32">
        <f>650*12</f>
        <v>7800</v>
      </c>
      <c r="AC1176" s="32"/>
      <c r="AD1176" s="32"/>
      <c r="AE1176" s="32">
        <f t="shared" si="359"/>
        <v>7800</v>
      </c>
      <c r="AF1176" s="12"/>
      <c r="AG1176" s="12"/>
      <c r="AH1176" s="12"/>
      <c r="AI1176" s="12">
        <f t="shared" si="355"/>
        <v>7800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57"/>
      <c r="D1177" s="32"/>
      <c r="E1177" s="32"/>
      <c r="F1177" s="32"/>
      <c r="G1177" s="32">
        <f t="shared" si="350"/>
        <v>0</v>
      </c>
      <c r="H1177" s="12"/>
      <c r="I1177" s="12"/>
      <c r="J1177" s="12"/>
      <c r="K1177" s="12">
        <f t="shared" si="351"/>
        <v>0</v>
      </c>
      <c r="M1177" s="10">
        <v>11</v>
      </c>
      <c r="N1177" s="30"/>
      <c r="O1177" s="31"/>
      <c r="P1177" s="32"/>
      <c r="Q1177" s="32"/>
      <c r="R1177" s="32"/>
      <c r="S1177" s="32">
        <f t="shared" si="352"/>
        <v>0</v>
      </c>
      <c r="T1177" s="12"/>
      <c r="U1177" s="12"/>
      <c r="V1177" s="12"/>
      <c r="W1177" s="12">
        <f t="shared" si="353"/>
        <v>0</v>
      </c>
      <c r="Y1177" s="10">
        <v>11</v>
      </c>
      <c r="Z1177" s="30" t="s">
        <v>105</v>
      </c>
      <c r="AA1177" s="31">
        <f t="shared" si="358"/>
        <v>11147</v>
      </c>
      <c r="AB1177" s="32">
        <f>650*15</f>
        <v>9750</v>
      </c>
      <c r="AC1177" s="32"/>
      <c r="AD1177" s="32"/>
      <c r="AE1177" s="32">
        <f t="shared" si="359"/>
        <v>9750</v>
      </c>
      <c r="AF1177" s="12"/>
      <c r="AG1177" s="12"/>
      <c r="AH1177" s="12">
        <f>-111*16</f>
        <v>-1776</v>
      </c>
      <c r="AI1177" s="12">
        <f t="shared" si="355"/>
        <v>7974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57"/>
      <c r="D1178" s="32"/>
      <c r="E1178" s="32"/>
      <c r="F1178" s="32"/>
      <c r="G1178" s="32">
        <f t="shared" si="350"/>
        <v>0</v>
      </c>
      <c r="H1178" s="12"/>
      <c r="I1178" s="12"/>
      <c r="J1178" s="10"/>
      <c r="K1178" s="12">
        <f t="shared" si="351"/>
        <v>0</v>
      </c>
      <c r="M1178" s="10">
        <v>12</v>
      </c>
      <c r="N1178" s="30"/>
      <c r="O1178" s="31"/>
      <c r="P1178" s="32"/>
      <c r="Q1178" s="32"/>
      <c r="R1178" s="32"/>
      <c r="S1178" s="32">
        <f t="shared" si="352"/>
        <v>0</v>
      </c>
      <c r="T1178" s="12"/>
      <c r="U1178" s="12"/>
      <c r="V1178" s="12"/>
      <c r="W1178" s="12">
        <f t="shared" si="353"/>
        <v>0</v>
      </c>
      <c r="Y1178" s="10">
        <v>12</v>
      </c>
      <c r="Z1178" s="30"/>
      <c r="AA1178" s="11" t="s">
        <v>27</v>
      </c>
      <c r="AB1178" s="32"/>
      <c r="AC1178" s="32"/>
      <c r="AD1178" s="32"/>
      <c r="AE1178" s="32">
        <f t="shared" si="359"/>
        <v>0</v>
      </c>
      <c r="AF1178" s="12"/>
      <c r="AG1178" s="12"/>
      <c r="AH1178" s="12"/>
      <c r="AI1178" s="12">
        <f t="shared" si="355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2"/>
      <c r="D1179" s="32"/>
      <c r="E1179" s="32"/>
      <c r="F1179" s="32"/>
      <c r="G1179" s="32">
        <f t="shared" si="350"/>
        <v>0</v>
      </c>
      <c r="H1179" s="12"/>
      <c r="I1179" s="12"/>
      <c r="J1179" s="12"/>
      <c r="K1179" s="12">
        <f t="shared" si="351"/>
        <v>0</v>
      </c>
      <c r="M1179" s="10">
        <v>13</v>
      </c>
      <c r="N1179" s="30"/>
      <c r="O1179" s="31"/>
      <c r="P1179" s="32"/>
      <c r="Q1179" s="32"/>
      <c r="R1179" s="32"/>
      <c r="S1179" s="32">
        <f t="shared" si="352"/>
        <v>0</v>
      </c>
      <c r="T1179" s="12"/>
      <c r="U1179" s="12"/>
      <c r="V1179" s="12"/>
      <c r="W1179" s="12">
        <f t="shared" si="353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59"/>
        <v>0</v>
      </c>
      <c r="AF1179" s="12"/>
      <c r="AG1179" s="12"/>
      <c r="AH1179" s="12"/>
      <c r="AI1179" s="12">
        <f t="shared" si="355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2"/>
      <c r="D1180" s="32"/>
      <c r="E1180" s="32"/>
      <c r="F1180" s="32"/>
      <c r="G1180" s="32">
        <f t="shared" si="350"/>
        <v>0</v>
      </c>
      <c r="H1180" s="12"/>
      <c r="I1180" s="12"/>
      <c r="J1180" s="12"/>
      <c r="K1180" s="12">
        <f t="shared" si="351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352"/>
        <v>0</v>
      </c>
      <c r="T1180" s="12"/>
      <c r="U1180" s="12"/>
      <c r="V1180" s="12"/>
      <c r="W1180" s="12">
        <f t="shared" si="353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59"/>
        <v>0</v>
      </c>
      <c r="AF1180" s="12"/>
      <c r="AG1180" s="12"/>
      <c r="AH1180" s="12"/>
      <c r="AI1180" s="12">
        <f t="shared" si="355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2"/>
      <c r="D1181" s="32"/>
      <c r="E1181" s="32"/>
      <c r="F1181" s="32"/>
      <c r="G1181" s="32">
        <f t="shared" si="350"/>
        <v>0</v>
      </c>
      <c r="H1181" s="12"/>
      <c r="I1181" s="12"/>
      <c r="J1181" s="12"/>
      <c r="K1181" s="12">
        <f t="shared" si="351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352"/>
        <v>0</v>
      </c>
      <c r="T1181" s="12"/>
      <c r="U1181" s="12"/>
      <c r="V1181" s="12"/>
      <c r="W1181" s="12">
        <f t="shared" si="353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59"/>
        <v>0</v>
      </c>
      <c r="AF1181" s="12"/>
      <c r="AG1181" s="12"/>
      <c r="AH1181" s="12"/>
      <c r="AI1181" s="12">
        <f t="shared" si="355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11"/>
      <c r="D1182" s="32"/>
      <c r="E1182" s="32"/>
      <c r="F1182" s="32"/>
      <c r="G1182" s="32">
        <f t="shared" si="350"/>
        <v>0</v>
      </c>
      <c r="H1182" s="12"/>
      <c r="I1182" s="12"/>
      <c r="J1182" s="12"/>
      <c r="K1182" s="12">
        <f t="shared" si="351"/>
        <v>0</v>
      </c>
      <c r="M1182" s="10">
        <v>16</v>
      </c>
      <c r="N1182" s="30"/>
      <c r="P1182" s="32"/>
      <c r="Q1182" s="32"/>
      <c r="R1182" s="32"/>
      <c r="S1182" s="32">
        <f t="shared" si="352"/>
        <v>0</v>
      </c>
      <c r="T1182" s="12"/>
      <c r="U1182" s="12"/>
      <c r="V1182" s="12"/>
      <c r="W1182" s="12">
        <f t="shared" si="353"/>
        <v>0</v>
      </c>
      <c r="Y1182" s="10">
        <v>16</v>
      </c>
      <c r="Z1182" s="30"/>
      <c r="AA1182" s="11"/>
      <c r="AB1182" s="32"/>
      <c r="AC1182" s="32"/>
      <c r="AD1182" s="32"/>
      <c r="AE1182" s="32">
        <f t="shared" si="359"/>
        <v>0</v>
      </c>
      <c r="AF1182" s="12"/>
      <c r="AG1182" s="12"/>
      <c r="AH1182" s="12"/>
      <c r="AI1182" s="12">
        <f t="shared" si="355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2"/>
      <c r="D1183" s="32"/>
      <c r="E1183" s="32"/>
      <c r="F1183" s="32"/>
      <c r="G1183" s="32">
        <f t="shared" si="350"/>
        <v>0</v>
      </c>
      <c r="H1183" s="12"/>
      <c r="I1183" s="12"/>
      <c r="J1183" s="12"/>
      <c r="K1183" s="12">
        <f t="shared" si="351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52"/>
        <v>0</v>
      </c>
      <c r="T1183" s="12"/>
      <c r="U1183" s="12"/>
      <c r="V1183" s="12"/>
      <c r="W1183" s="12">
        <f t="shared" si="353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59"/>
        <v>0</v>
      </c>
      <c r="AF1183" s="12"/>
      <c r="AG1183" s="12"/>
      <c r="AH1183" s="12"/>
      <c r="AI1183" s="12">
        <f t="shared" si="355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82"/>
      <c r="D1184" s="32"/>
      <c r="E1184" s="32"/>
      <c r="F1184" s="32"/>
      <c r="G1184" s="32">
        <f t="shared" si="350"/>
        <v>0</v>
      </c>
      <c r="H1184" s="12"/>
      <c r="I1184" s="12"/>
      <c r="J1184" s="12"/>
      <c r="K1184" s="12">
        <f t="shared" si="351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52"/>
        <v>0</v>
      </c>
      <c r="T1184" s="12"/>
      <c r="U1184" s="12"/>
      <c r="V1184" s="12"/>
      <c r="W1184" s="12">
        <f t="shared" si="353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59"/>
        <v>0</v>
      </c>
      <c r="AF1184" s="12"/>
      <c r="AG1184" s="12"/>
      <c r="AH1184" s="12"/>
      <c r="AI1184" s="12">
        <f t="shared" si="355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2"/>
      <c r="D1185" s="32"/>
      <c r="E1185" s="32"/>
      <c r="F1185" s="32"/>
      <c r="G1185" s="32">
        <f t="shared" si="350"/>
        <v>0</v>
      </c>
      <c r="H1185" s="12"/>
      <c r="I1185" s="12"/>
      <c r="J1185" s="12"/>
      <c r="K1185" s="12">
        <f t="shared" si="351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52"/>
        <v>0</v>
      </c>
      <c r="T1185" s="12"/>
      <c r="U1185" s="12"/>
      <c r="V1185" s="12"/>
      <c r="W1185" s="12">
        <f t="shared" si="353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59"/>
        <v>0</v>
      </c>
      <c r="AF1185" s="12"/>
      <c r="AG1185" s="12"/>
      <c r="AH1185" s="12"/>
      <c r="AI1185" s="12">
        <f t="shared" si="355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2"/>
      <c r="D1186" s="32"/>
      <c r="E1186" s="32"/>
      <c r="F1186" s="32"/>
      <c r="G1186" s="32">
        <f t="shared" si="350"/>
        <v>0</v>
      </c>
      <c r="H1186" s="12"/>
      <c r="I1186" s="12"/>
      <c r="J1186" s="12"/>
      <c r="K1186" s="12">
        <f t="shared" si="351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52"/>
        <v>0</v>
      </c>
      <c r="T1186" s="12"/>
      <c r="U1186" s="12"/>
      <c r="V1186" s="12"/>
      <c r="W1186" s="12">
        <f t="shared" si="353"/>
        <v>0</v>
      </c>
      <c r="Y1186" s="10">
        <v>20</v>
      </c>
      <c r="Z1186" s="30"/>
      <c r="AB1186" s="32"/>
      <c r="AC1186" s="32"/>
      <c r="AD1186" s="32"/>
      <c r="AE1186" s="32">
        <f t="shared" si="359"/>
        <v>0</v>
      </c>
      <c r="AF1186" s="12"/>
      <c r="AG1186" s="12"/>
      <c r="AH1186" s="12"/>
      <c r="AI1186" s="12">
        <f t="shared" si="355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82"/>
      <c r="D1187" s="32"/>
      <c r="E1187" s="32"/>
      <c r="F1187" s="32"/>
      <c r="G1187" s="32">
        <f t="shared" si="350"/>
        <v>0</v>
      </c>
      <c r="H1187" s="10"/>
      <c r="I1187" s="10"/>
      <c r="J1187" s="10"/>
      <c r="K1187" s="12">
        <f t="shared" si="351"/>
        <v>0</v>
      </c>
      <c r="M1187" s="10">
        <v>21</v>
      </c>
      <c r="N1187" s="30"/>
      <c r="O1187" s="31"/>
      <c r="P1187" s="46"/>
      <c r="Q1187" s="31"/>
      <c r="R1187" s="31"/>
      <c r="S1187" s="32">
        <f t="shared" si="352"/>
        <v>0</v>
      </c>
      <c r="T1187" s="10"/>
      <c r="U1187" s="10"/>
      <c r="V1187" s="10"/>
      <c r="W1187" s="12">
        <f t="shared" si="353"/>
        <v>0</v>
      </c>
      <c r="Y1187" s="10">
        <v>21</v>
      </c>
      <c r="Z1187" s="30"/>
      <c r="AA1187" s="31"/>
      <c r="AB1187" s="46"/>
      <c r="AC1187" s="31"/>
      <c r="AD1187" s="31"/>
      <c r="AE1187" s="32">
        <f t="shared" si="359"/>
        <v>0</v>
      </c>
      <c r="AF1187" s="10"/>
      <c r="AG1187" s="10"/>
      <c r="AH1187" s="10"/>
      <c r="AI1187" s="12">
        <f t="shared" si="355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2"/>
      <c r="D1188" s="32"/>
      <c r="E1188" s="32"/>
      <c r="F1188" s="32"/>
      <c r="G1188" s="32">
        <f t="shared" si="350"/>
        <v>0</v>
      </c>
      <c r="H1188" s="10"/>
      <c r="I1188" s="10"/>
      <c r="J1188" s="10"/>
      <c r="K1188" s="12">
        <f t="shared" si="351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52"/>
        <v>0</v>
      </c>
      <c r="T1188" s="10"/>
      <c r="U1188" s="10"/>
      <c r="V1188" s="10"/>
      <c r="W1188" s="12">
        <f t="shared" si="353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59"/>
        <v>0</v>
      </c>
      <c r="AF1188" s="10"/>
      <c r="AG1188" s="10"/>
      <c r="AH1188" s="10"/>
      <c r="AI1188" s="12">
        <f t="shared" si="355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2"/>
      <c r="D1189" s="32"/>
      <c r="E1189" s="32"/>
      <c r="F1189" s="32"/>
      <c r="G1189" s="32">
        <f t="shared" si="350"/>
        <v>0</v>
      </c>
      <c r="H1189" s="10"/>
      <c r="I1189" s="10"/>
      <c r="J1189" s="12"/>
      <c r="K1189" s="12">
        <f t="shared" si="351"/>
        <v>0</v>
      </c>
      <c r="M1189" s="10">
        <v>23</v>
      </c>
      <c r="N1189" s="30"/>
      <c r="O1189" s="31"/>
      <c r="P1189" s="47"/>
      <c r="Q1189" s="31"/>
      <c r="S1189" s="32">
        <f t="shared" si="352"/>
        <v>0</v>
      </c>
      <c r="T1189" s="10"/>
      <c r="U1189" s="10"/>
      <c r="V1189" s="10"/>
      <c r="W1189" s="12">
        <f t="shared" si="353"/>
        <v>0</v>
      </c>
      <c r="Y1189" s="10">
        <v>23</v>
      </c>
      <c r="Z1189" s="30"/>
      <c r="AA1189" s="31"/>
      <c r="AB1189" s="47"/>
      <c r="AE1189" s="32">
        <f t="shared" si="359"/>
        <v>0</v>
      </c>
      <c r="AF1189" s="10"/>
      <c r="AG1189" s="10"/>
      <c r="AH1189" s="10"/>
      <c r="AI1189" s="12">
        <f t="shared" si="355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82"/>
      <c r="D1190" s="32"/>
      <c r="E1190" s="32"/>
      <c r="F1190" s="32"/>
      <c r="G1190" s="32">
        <f t="shared" si="350"/>
        <v>0</v>
      </c>
      <c r="H1190" s="10"/>
      <c r="I1190" s="10"/>
      <c r="J1190" s="10"/>
      <c r="K1190" s="12">
        <f t="shared" si="351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52"/>
        <v>0</v>
      </c>
      <c r="T1190" s="10"/>
      <c r="U1190" s="10"/>
      <c r="V1190" s="10"/>
      <c r="W1190" s="12">
        <f t="shared" si="353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59"/>
        <v>0</v>
      </c>
      <c r="AF1190" s="10"/>
      <c r="AG1190" s="10"/>
      <c r="AH1190" s="10"/>
      <c r="AI1190" s="12">
        <f t="shared" si="355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82"/>
      <c r="D1191" s="32"/>
      <c r="E1191" s="32"/>
      <c r="F1191" s="32"/>
      <c r="G1191" s="32">
        <f t="shared" si="350"/>
        <v>0</v>
      </c>
      <c r="H1191" s="10"/>
      <c r="I1191" s="10"/>
      <c r="J1191" s="10"/>
      <c r="K1191" s="12">
        <f t="shared" si="351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52"/>
        <v>0</v>
      </c>
      <c r="T1191" s="10"/>
      <c r="U1191" s="10"/>
      <c r="V1191" s="10"/>
      <c r="W1191" s="12">
        <f t="shared" si="353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59"/>
        <v>0</v>
      </c>
      <c r="AF1191" s="10"/>
      <c r="AG1191" s="10"/>
      <c r="AH1191" s="10"/>
      <c r="AI1191" s="12">
        <f t="shared" si="355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82"/>
      <c r="D1192" s="32"/>
      <c r="E1192" s="32"/>
      <c r="F1192" s="32"/>
      <c r="G1192" s="32">
        <f t="shared" si="350"/>
        <v>0</v>
      </c>
      <c r="H1192" s="10"/>
      <c r="I1192" s="10"/>
      <c r="J1192" s="10"/>
      <c r="K1192" s="12">
        <f t="shared" si="351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52"/>
        <v>0</v>
      </c>
      <c r="T1192" s="10"/>
      <c r="U1192" s="10"/>
      <c r="V1192" s="10"/>
      <c r="W1192" s="12">
        <f t="shared" si="353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59"/>
        <v>0</v>
      </c>
      <c r="AF1192" s="10"/>
      <c r="AG1192" s="10"/>
      <c r="AH1192" s="10"/>
      <c r="AI1192" s="12">
        <f t="shared" si="355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82"/>
      <c r="D1193" s="32"/>
      <c r="E1193" s="32"/>
      <c r="F1193" s="32"/>
      <c r="G1193" s="32">
        <f t="shared" si="350"/>
        <v>0</v>
      </c>
      <c r="H1193" s="10"/>
      <c r="I1193" s="10"/>
      <c r="J1193" s="10"/>
      <c r="K1193" s="12">
        <f t="shared" si="351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52"/>
        <v>0</v>
      </c>
      <c r="T1193" s="10"/>
      <c r="U1193" s="10"/>
      <c r="V1193" s="10"/>
      <c r="W1193" s="12">
        <f t="shared" si="353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59"/>
        <v>0</v>
      </c>
      <c r="AF1193" s="10"/>
      <c r="AG1193" s="10"/>
      <c r="AH1193" s="10"/>
      <c r="AI1193" s="12">
        <f t="shared" si="355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82"/>
      <c r="D1194" s="32"/>
      <c r="E1194" s="32"/>
      <c r="F1194" s="32"/>
      <c r="G1194" s="32">
        <f t="shared" si="350"/>
        <v>0</v>
      </c>
      <c r="H1194" s="10"/>
      <c r="I1194" s="10"/>
      <c r="J1194" s="10"/>
      <c r="K1194" s="12">
        <f t="shared" si="351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52"/>
        <v>0</v>
      </c>
      <c r="T1194" s="10"/>
      <c r="U1194" s="10"/>
      <c r="V1194" s="10"/>
      <c r="W1194" s="12">
        <f t="shared" si="353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59"/>
        <v>0</v>
      </c>
      <c r="AF1194" s="10"/>
      <c r="AG1194" s="10"/>
      <c r="AH1194" s="10"/>
      <c r="AI1194" s="12">
        <f t="shared" si="355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82"/>
      <c r="D1195" s="32"/>
      <c r="E1195" s="32"/>
      <c r="F1195" s="32"/>
      <c r="G1195" s="32">
        <f t="shared" si="350"/>
        <v>0</v>
      </c>
      <c r="H1195" s="10"/>
      <c r="I1195" s="10"/>
      <c r="J1195" s="10"/>
      <c r="K1195" s="12">
        <f t="shared" si="351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352"/>
        <v>0</v>
      </c>
      <c r="T1195" s="10"/>
      <c r="U1195" s="10"/>
      <c r="V1195" s="10"/>
      <c r="W1195" s="12">
        <f t="shared" si="353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59"/>
        <v>0</v>
      </c>
      <c r="AF1195" s="10"/>
      <c r="AG1195" s="10"/>
      <c r="AH1195" s="10"/>
      <c r="AI1195" s="12">
        <f t="shared" si="355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82"/>
      <c r="D1196" s="32"/>
      <c r="E1196" s="32"/>
      <c r="F1196" s="32"/>
      <c r="G1196" s="32">
        <f t="shared" si="350"/>
        <v>0</v>
      </c>
      <c r="H1196" s="10"/>
      <c r="I1196" s="10"/>
      <c r="J1196" s="10"/>
      <c r="K1196" s="12">
        <f t="shared" si="351"/>
        <v>0</v>
      </c>
      <c r="M1196" s="10">
        <v>30</v>
      </c>
      <c r="N1196" s="30"/>
      <c r="O1196" s="31"/>
      <c r="P1196" s="47"/>
      <c r="Q1196" s="31"/>
      <c r="R1196" s="31"/>
      <c r="S1196" s="32">
        <f t="shared" si="352"/>
        <v>0</v>
      </c>
      <c r="T1196" s="10"/>
      <c r="U1196" s="10"/>
      <c r="V1196" s="10"/>
      <c r="W1196" s="12">
        <f t="shared" si="353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59"/>
        <v>0</v>
      </c>
      <c r="AF1196" s="10"/>
      <c r="AG1196" s="10"/>
      <c r="AH1196" s="10"/>
      <c r="AI1196" s="12">
        <f t="shared" si="355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2"/>
      <c r="D1197" s="32"/>
      <c r="E1197" s="32"/>
      <c r="F1197" s="32"/>
      <c r="G1197" s="32">
        <f t="shared" si="350"/>
        <v>0</v>
      </c>
      <c r="H1197" s="10"/>
      <c r="I1197" s="10"/>
      <c r="J1197" s="10"/>
      <c r="K1197" s="12">
        <f t="shared" si="351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352"/>
        <v>0</v>
      </c>
      <c r="T1197" s="10"/>
      <c r="U1197" s="10"/>
      <c r="V1197" s="10"/>
      <c r="W1197" s="12">
        <f t="shared" si="353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59"/>
        <v>0</v>
      </c>
      <c r="AF1197" s="10"/>
      <c r="AG1197" s="10"/>
      <c r="AH1197" s="10"/>
      <c r="AI1197" s="12">
        <f t="shared" si="355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50"/>
        <v>0</v>
      </c>
      <c r="H1198" s="10"/>
      <c r="I1198" s="10"/>
      <c r="J1198" s="10"/>
      <c r="K1198" s="12">
        <f t="shared" si="351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52"/>
        <v>0</v>
      </c>
      <c r="T1198" s="10"/>
      <c r="U1198" s="10"/>
      <c r="V1198" s="10"/>
      <c r="W1198" s="12">
        <f t="shared" si="353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59"/>
        <v>0</v>
      </c>
      <c r="AF1198" s="10"/>
      <c r="AG1198" s="10"/>
      <c r="AH1198" s="10"/>
      <c r="AI1198" s="12">
        <f t="shared" si="355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50"/>
        <v>0</v>
      </c>
      <c r="H1199" s="10"/>
      <c r="I1199" s="10"/>
      <c r="J1199" s="10"/>
      <c r="K1199" s="12">
        <f t="shared" si="351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52"/>
        <v>0</v>
      </c>
      <c r="T1199" s="10"/>
      <c r="U1199" s="10"/>
      <c r="V1199" s="10"/>
      <c r="W1199" s="12">
        <f t="shared" si="353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59"/>
        <v>0</v>
      </c>
      <c r="AF1199" s="10"/>
      <c r="AG1199" s="10"/>
      <c r="AH1199" s="10"/>
      <c r="AI1199" s="12">
        <f t="shared" si="355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50"/>
        <v>0</v>
      </c>
      <c r="H1200" s="10"/>
      <c r="I1200" s="10"/>
      <c r="J1200" s="10"/>
      <c r="K1200" s="12">
        <f t="shared" si="351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52"/>
        <v>0</v>
      </c>
      <c r="T1200" s="10"/>
      <c r="U1200" s="10"/>
      <c r="V1200" s="10"/>
      <c r="W1200" s="12">
        <f t="shared" si="353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359"/>
        <v>0</v>
      </c>
      <c r="AF1200" s="10"/>
      <c r="AG1200" s="10"/>
      <c r="AH1200" s="10"/>
      <c r="AI1200" s="12">
        <f t="shared" si="355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52"/>
        <v>0</v>
      </c>
      <c r="T1201" s="10"/>
      <c r="U1201" s="10"/>
      <c r="V1201" s="10"/>
      <c r="W1201" s="12">
        <f t="shared" si="353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59"/>
        <v>0</v>
      </c>
      <c r="AF1201" s="10"/>
      <c r="AG1201" s="10"/>
      <c r="AH1201" s="10"/>
      <c r="AI1201" s="12">
        <f t="shared" si="355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52"/>
        <v>0</v>
      </c>
      <c r="T1202" s="10"/>
      <c r="U1202" s="10"/>
      <c r="V1202" s="10"/>
      <c r="W1202" s="12">
        <f t="shared" si="353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59"/>
        <v>0</v>
      </c>
      <c r="AF1202" s="10"/>
      <c r="AG1202" s="10"/>
      <c r="AH1202" s="10"/>
      <c r="AI1202" s="12">
        <f t="shared" si="355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52"/>
        <v>0</v>
      </c>
      <c r="T1203" s="10"/>
      <c r="U1203" s="10"/>
      <c r="V1203" s="10"/>
      <c r="W1203" s="12">
        <f t="shared" si="353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59"/>
        <v>0</v>
      </c>
      <c r="AF1203" s="10"/>
      <c r="AG1203" s="10"/>
      <c r="AH1203" s="10"/>
      <c r="AI1203" s="12">
        <f t="shared" si="355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52"/>
        <v>0</v>
      </c>
      <c r="T1204" s="10"/>
      <c r="U1204" s="10"/>
      <c r="V1204" s="10"/>
      <c r="W1204" s="12">
        <f t="shared" si="353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59"/>
        <v>0</v>
      </c>
      <c r="AF1204" s="10"/>
      <c r="AG1204" s="10"/>
      <c r="AH1204" s="10"/>
      <c r="AI1204" s="12">
        <f t="shared" si="355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52"/>
        <v>0</v>
      </c>
      <c r="T1205" s="10"/>
      <c r="U1205" s="10"/>
      <c r="V1205" s="10"/>
      <c r="W1205" s="12">
        <f t="shared" si="353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59"/>
        <v>0</v>
      </c>
      <c r="AF1205" s="10"/>
      <c r="AG1205" s="10"/>
      <c r="AH1205" s="10"/>
      <c r="AI1205" s="12">
        <f t="shared" si="355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53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55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60">SUM(D1207:E1207)</f>
        <v>0</v>
      </c>
      <c r="H1207" s="10"/>
      <c r="I1207" s="10"/>
      <c r="J1207" s="10"/>
      <c r="K1207" s="12">
        <f t="shared" ref="K1207" si="361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62">SUM(P1207:Q1207)</f>
        <v>0</v>
      </c>
      <c r="T1207" s="10"/>
      <c r="U1207" s="10"/>
      <c r="V1207" s="10"/>
      <c r="W1207" s="12">
        <f t="shared" si="353"/>
        <v>0</v>
      </c>
      <c r="Y1207" s="10"/>
      <c r="Z1207" s="30"/>
      <c r="AA1207" s="31"/>
      <c r="AB1207" s="47"/>
      <c r="AC1207" s="31"/>
      <c r="AD1207" s="31"/>
      <c r="AE1207" s="32">
        <f t="shared" ref="AE1207" si="363">SUM(AB1207:AC1207)</f>
        <v>0</v>
      </c>
      <c r="AF1207" s="10"/>
      <c r="AG1207" s="10"/>
      <c r="AH1207" s="10"/>
      <c r="AI1207" s="12">
        <f t="shared" si="355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53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55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334985</v>
      </c>
      <c r="E1210" s="38">
        <f t="shared" ref="E1210:F1210" si="364">SUM(E1167:E1207)</f>
        <v>-1944</v>
      </c>
      <c r="F1210" s="38">
        <f t="shared" si="364"/>
        <v>0</v>
      </c>
      <c r="G1210" s="38">
        <f>SUM(G1167:G1209)</f>
        <v>333041</v>
      </c>
      <c r="H1210" s="4"/>
      <c r="I1210" s="39">
        <f>SUM(I1167:I1209)</f>
        <v>3387</v>
      </c>
      <c r="J1210" s="39">
        <f>SUM(J1167:J1209)</f>
        <v>-649.5</v>
      </c>
      <c r="K1210" s="40">
        <f>SUM(K1167:K1209)</f>
        <v>335778.5</v>
      </c>
      <c r="N1210" s="57"/>
      <c r="O1210" s="57"/>
      <c r="P1210" s="38">
        <f>SUM(P1167:P1209)</f>
        <v>197575.5</v>
      </c>
      <c r="Q1210" s="38">
        <f t="shared" ref="Q1210:R1210" si="365">SUM(Q1167:Q1207)</f>
        <v>-1110</v>
      </c>
      <c r="R1210" s="38">
        <f t="shared" si="365"/>
        <v>0</v>
      </c>
      <c r="S1210" s="38">
        <f t="shared" ref="S1210" si="366">SUM(S1167:S1209)</f>
        <v>196465.5</v>
      </c>
      <c r="T1210" s="4"/>
      <c r="U1210" s="39">
        <f t="shared" ref="U1210:W1210" si="367">SUM(U1167:U1209)</f>
        <v>721.5</v>
      </c>
      <c r="V1210" s="39">
        <f t="shared" si="367"/>
        <v>-1797</v>
      </c>
      <c r="W1210" s="40">
        <f t="shared" si="367"/>
        <v>195390</v>
      </c>
      <c r="Z1210" s="57"/>
      <c r="AA1210" s="57"/>
      <c r="AB1210" s="38">
        <f t="shared" ref="AB1210" si="368">SUM(AB1167:AB1209)</f>
        <v>260976</v>
      </c>
      <c r="AC1210" s="38">
        <f t="shared" ref="AC1210:AD1210" si="369">SUM(AC1167:AC1207)</f>
        <v>-1578</v>
      </c>
      <c r="AD1210" s="38">
        <f t="shared" si="369"/>
        <v>0</v>
      </c>
      <c r="AE1210" s="38">
        <f t="shared" ref="AE1210" si="370">SUM(AE1167:AE1209)</f>
        <v>259398</v>
      </c>
      <c r="AF1210" s="4"/>
      <c r="AG1210" s="39">
        <f t="shared" ref="AG1210:AI1210" si="371">SUM(AG1167:AG1209)</f>
        <v>139.5</v>
      </c>
      <c r="AH1210" s="39">
        <f t="shared" si="371"/>
        <v>-1794</v>
      </c>
      <c r="AI1210" s="40">
        <f t="shared" si="371"/>
        <v>257743.5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5"/>
      <c r="C1212" s="85"/>
      <c r="D1212" s="85"/>
      <c r="E1212" s="85"/>
      <c r="F1212" s="85"/>
      <c r="G1212" s="85"/>
      <c r="H1212" s="62"/>
      <c r="I1212" s="62"/>
      <c r="J1212" s="62"/>
      <c r="K1212" s="62"/>
      <c r="L1212" s="62"/>
      <c r="M1212" s="62"/>
      <c r="N1212" s="85"/>
      <c r="O1212" s="85"/>
      <c r="P1212" s="85"/>
      <c r="Q1212" s="85"/>
      <c r="R1212" s="85"/>
      <c r="S1212" s="85"/>
      <c r="T1212" s="62"/>
      <c r="U1212" s="62"/>
      <c r="V1212" s="62"/>
      <c r="W1212" s="62"/>
      <c r="X1212" s="62"/>
      <c r="Y1212" s="62"/>
      <c r="Z1212" s="85"/>
      <c r="AA1212" s="85"/>
      <c r="AB1212" s="85"/>
      <c r="AC1212" s="85"/>
      <c r="AD1212" s="85"/>
      <c r="AE1212" s="85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3"/>
      <c r="B1213" s="85"/>
      <c r="C1213" s="85"/>
      <c r="D1213" s="85"/>
      <c r="E1213" s="85"/>
      <c r="F1213" s="85"/>
      <c r="G1213" s="85"/>
      <c r="H1213" s="62"/>
      <c r="I1213" s="62"/>
      <c r="J1213" s="62"/>
      <c r="K1213" s="62"/>
      <c r="L1213" s="62"/>
      <c r="M1213" s="63"/>
      <c r="N1213" s="85"/>
      <c r="O1213" s="85"/>
      <c r="P1213" s="85"/>
      <c r="Q1213" s="85"/>
      <c r="R1213" s="85"/>
      <c r="S1213" s="85"/>
      <c r="T1213" s="62"/>
      <c r="U1213" s="62"/>
      <c r="V1213" s="62"/>
      <c r="W1213" s="62"/>
      <c r="X1213" s="62"/>
      <c r="Y1213" s="63"/>
      <c r="Z1213" s="85"/>
      <c r="AA1213" s="85"/>
      <c r="AB1213" s="85"/>
      <c r="AC1213" s="85"/>
      <c r="AD1213" s="85"/>
      <c r="AE1213" s="85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5"/>
      <c r="C1214" s="85"/>
      <c r="D1214" s="85"/>
      <c r="E1214" s="85"/>
      <c r="F1214" s="85"/>
      <c r="G1214" s="85"/>
      <c r="H1214" s="62"/>
      <c r="I1214" s="62"/>
      <c r="J1214" s="62"/>
      <c r="K1214" s="62"/>
      <c r="L1214" s="62"/>
      <c r="M1214" s="62"/>
      <c r="N1214" s="85"/>
      <c r="O1214" s="85"/>
      <c r="P1214" s="85"/>
      <c r="Q1214" s="85"/>
      <c r="R1214" s="85"/>
      <c r="S1214" s="85"/>
      <c r="T1214" s="62"/>
      <c r="U1214" s="62"/>
      <c r="V1214" s="62"/>
      <c r="W1214" s="62"/>
      <c r="X1214" s="62"/>
      <c r="Y1214" s="62"/>
      <c r="Z1214" s="85"/>
      <c r="AA1214" s="85"/>
      <c r="AB1214" s="85"/>
      <c r="AC1214" s="85"/>
      <c r="AD1214" s="85"/>
      <c r="AE1214" s="85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ht="15.75" x14ac:dyDescent="0.25">
      <c r="A1215" s="62"/>
      <c r="B1215" s="85"/>
      <c r="C1215" s="85"/>
      <c r="D1215" s="85"/>
      <c r="E1215" s="85"/>
      <c r="F1215" s="85"/>
      <c r="G1215" s="85"/>
      <c r="H1215" s="62"/>
      <c r="I1215" s="85"/>
      <c r="J1215" s="73"/>
      <c r="K1215" s="62"/>
      <c r="L1215" s="62"/>
      <c r="M1215" s="62"/>
      <c r="N1215" s="85"/>
      <c r="O1215" s="85"/>
      <c r="P1215" s="85"/>
      <c r="Q1215" s="85"/>
      <c r="R1215" s="85"/>
      <c r="S1215" s="85"/>
      <c r="T1215" s="62"/>
      <c r="U1215" s="85"/>
      <c r="V1215" s="73"/>
      <c r="W1215" s="62"/>
      <c r="X1215" s="62"/>
      <c r="Y1215" s="62"/>
      <c r="Z1215" s="85"/>
      <c r="AA1215" s="85"/>
      <c r="AB1215" s="85"/>
      <c r="AC1215" s="85"/>
      <c r="AD1215" s="85"/>
      <c r="AE1215" s="85"/>
      <c r="AF1215" s="62"/>
      <c r="AG1215" s="85"/>
      <c r="AH1215" s="85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4"/>
      <c r="B1216" s="85"/>
      <c r="C1216" s="85"/>
      <c r="D1216" s="85"/>
      <c r="E1216" s="85"/>
      <c r="F1216" s="85"/>
      <c r="G1216" s="85"/>
      <c r="H1216" s="62"/>
      <c r="I1216" s="65"/>
      <c r="J1216" s="65"/>
      <c r="K1216" s="62"/>
      <c r="L1216" s="62"/>
      <c r="M1216" s="64"/>
      <c r="N1216" s="85"/>
      <c r="O1216" s="85"/>
      <c r="P1216" s="85"/>
      <c r="Q1216" s="85"/>
      <c r="R1216" s="85"/>
      <c r="S1216" s="85"/>
      <c r="T1216" s="62"/>
      <c r="U1216" s="65"/>
      <c r="V1216" s="65"/>
      <c r="W1216" s="62"/>
      <c r="X1216" s="62"/>
      <c r="Y1216" s="64"/>
      <c r="Z1216" s="85"/>
      <c r="AA1216" s="85"/>
      <c r="AB1216" s="85"/>
      <c r="AC1216" s="85"/>
      <c r="AD1216" s="85"/>
      <c r="AE1216" s="85"/>
      <c r="AF1216" s="62"/>
      <c r="AG1216" s="65"/>
      <c r="AH1216" s="65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5"/>
      <c r="C1217" s="85"/>
      <c r="D1217" s="85"/>
      <c r="E1217" s="85"/>
      <c r="F1217" s="85"/>
      <c r="G1217" s="85"/>
      <c r="H1217" s="62"/>
      <c r="I1217" s="62"/>
      <c r="J1217" s="62"/>
      <c r="K1217" s="62"/>
      <c r="L1217" s="62"/>
      <c r="M1217" s="62"/>
      <c r="N1217" s="85"/>
      <c r="O1217" s="85"/>
      <c r="P1217" s="85"/>
      <c r="Q1217" s="85"/>
      <c r="R1217" s="85"/>
      <c r="S1217" s="85"/>
      <c r="T1217" s="62"/>
      <c r="U1217" s="62"/>
      <c r="V1217" s="62"/>
      <c r="W1217" s="62"/>
      <c r="X1217" s="62"/>
      <c r="Y1217" s="62"/>
      <c r="Z1217" s="85"/>
      <c r="AA1217" s="85"/>
      <c r="AB1217" s="85"/>
      <c r="AC1217" s="85"/>
      <c r="AD1217" s="85"/>
      <c r="AE1217" s="85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65"/>
      <c r="C1218" s="85"/>
      <c r="D1218" s="125"/>
      <c r="E1218" s="125"/>
      <c r="F1218" s="85"/>
      <c r="G1218" s="85"/>
      <c r="H1218" s="62"/>
      <c r="I1218" s="125"/>
      <c r="J1218" s="125"/>
      <c r="K1218" s="124"/>
      <c r="L1218" s="62"/>
      <c r="M1218" s="62"/>
      <c r="N1218" s="65"/>
      <c r="O1218" s="85"/>
      <c r="P1218" s="125"/>
      <c r="Q1218" s="125"/>
      <c r="R1218" s="85"/>
      <c r="S1218" s="85"/>
      <c r="T1218" s="62"/>
      <c r="U1218" s="125"/>
      <c r="V1218" s="125"/>
      <c r="W1218" s="124"/>
      <c r="X1218" s="62"/>
      <c r="Y1218" s="62"/>
      <c r="Z1218" s="65"/>
      <c r="AA1218" s="85"/>
      <c r="AB1218" s="125"/>
      <c r="AC1218" s="125"/>
      <c r="AD1218" s="85"/>
      <c r="AE1218" s="85"/>
      <c r="AF1218" s="62"/>
      <c r="AG1218" s="125"/>
      <c r="AH1218" s="125"/>
      <c r="AI1218" s="124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5"/>
      <c r="C1219" s="85"/>
      <c r="D1219" s="79"/>
      <c r="E1219" s="80"/>
      <c r="F1219" s="81"/>
      <c r="G1219" s="81"/>
      <c r="H1219" s="62"/>
      <c r="I1219" s="84"/>
      <c r="J1219" s="84"/>
      <c r="K1219" s="124"/>
      <c r="L1219" s="62"/>
      <c r="M1219" s="62"/>
      <c r="N1219" s="85"/>
      <c r="O1219" s="85"/>
      <c r="P1219" s="79"/>
      <c r="Q1219" s="81"/>
      <c r="R1219" s="81"/>
      <c r="S1219" s="81"/>
      <c r="T1219" s="62"/>
      <c r="U1219" s="84"/>
      <c r="V1219" s="84"/>
      <c r="W1219" s="124"/>
      <c r="X1219" s="62"/>
      <c r="Y1219" s="62"/>
      <c r="Z1219" s="85"/>
      <c r="AA1219" s="85"/>
      <c r="AB1219" s="79"/>
      <c r="AC1219" s="80"/>
      <c r="AD1219" s="81"/>
      <c r="AE1219" s="81"/>
      <c r="AF1219" s="62"/>
      <c r="AG1219" s="84"/>
      <c r="AH1219" s="84"/>
      <c r="AI1219" s="124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6"/>
      <c r="C1220" s="85"/>
      <c r="D1220" s="60"/>
      <c r="E1220" s="60"/>
      <c r="F1220" s="60"/>
      <c r="G1220" s="60"/>
      <c r="H1220" s="61"/>
      <c r="I1220" s="61"/>
      <c r="J1220" s="61"/>
      <c r="K1220" s="61"/>
      <c r="L1220" s="62"/>
      <c r="M1220" s="62"/>
      <c r="N1220" s="66"/>
      <c r="O1220" s="85"/>
      <c r="P1220" s="60"/>
      <c r="Q1220" s="60"/>
      <c r="R1220" s="60"/>
      <c r="S1220" s="60"/>
      <c r="T1220" s="61"/>
      <c r="U1220" s="61"/>
      <c r="V1220" s="61"/>
      <c r="W1220" s="61"/>
      <c r="X1220" s="62"/>
      <c r="Y1220" s="62"/>
      <c r="Z1220" s="66"/>
      <c r="AA1220" s="85"/>
      <c r="AB1220" s="60"/>
      <c r="AC1220" s="60"/>
      <c r="AD1220" s="60"/>
      <c r="AE1220" s="60"/>
      <c r="AF1220" s="61"/>
      <c r="AG1220" s="61"/>
      <c r="AH1220" s="61"/>
      <c r="AI1220" s="61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5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5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5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5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65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5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5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2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5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5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5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5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5"/>
      <c r="P1225" s="60"/>
      <c r="Q1225" s="60"/>
      <c r="R1225" s="60"/>
      <c r="S1225" s="60"/>
      <c r="T1225" s="61"/>
      <c r="U1225" s="61"/>
      <c r="V1225" s="62"/>
      <c r="W1225" s="61"/>
      <c r="X1225" s="62"/>
      <c r="Y1225" s="62"/>
      <c r="Z1225" s="66"/>
      <c r="AA1225" s="85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5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5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5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5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5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5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5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5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5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5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5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5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5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5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65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5"/>
      <c r="D1231" s="60"/>
      <c r="E1231" s="60"/>
      <c r="F1231" s="60"/>
      <c r="G1231" s="60"/>
      <c r="H1231" s="61"/>
      <c r="I1231" s="61"/>
      <c r="J1231" s="62"/>
      <c r="K1231" s="61"/>
      <c r="L1231" s="62"/>
      <c r="M1231" s="62"/>
      <c r="N1231" s="66"/>
      <c r="O1231" s="85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5"/>
      <c r="AB1231" s="60"/>
      <c r="AC1231" s="60"/>
      <c r="AD1231" s="60"/>
      <c r="AE1231" s="60"/>
      <c r="AF1231" s="61"/>
      <c r="AG1231" s="61"/>
      <c r="AH1231" s="62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5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5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5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5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5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5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5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5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5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5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5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5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5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5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5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5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5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5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5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5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5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5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5"/>
      <c r="D1240" s="60"/>
      <c r="E1240" s="60"/>
      <c r="F1240" s="60"/>
      <c r="G1240" s="60"/>
      <c r="H1240" s="62"/>
      <c r="I1240" s="62"/>
      <c r="J1240" s="62"/>
      <c r="K1240" s="61"/>
      <c r="L1240" s="62"/>
      <c r="M1240" s="62"/>
      <c r="N1240" s="66"/>
      <c r="O1240" s="85"/>
      <c r="P1240" s="67"/>
      <c r="Q1240" s="85"/>
      <c r="R1240" s="85"/>
      <c r="S1240" s="60"/>
      <c r="T1240" s="62"/>
      <c r="U1240" s="62"/>
      <c r="V1240" s="62"/>
      <c r="W1240" s="61"/>
      <c r="X1240" s="62"/>
      <c r="Y1240" s="62"/>
      <c r="Z1240" s="66"/>
      <c r="AA1240" s="62"/>
      <c r="AB1240" s="60"/>
      <c r="AC1240" s="60"/>
      <c r="AD1240" s="60"/>
      <c r="AE1240" s="60"/>
      <c r="AF1240" s="62"/>
      <c r="AG1240" s="62"/>
      <c r="AH1240" s="62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65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5"/>
      <c r="P1241" s="68"/>
      <c r="Q1241" s="85"/>
      <c r="R1241" s="85"/>
      <c r="S1241" s="60"/>
      <c r="T1241" s="62"/>
      <c r="U1241" s="62"/>
      <c r="V1241" s="62"/>
      <c r="W1241" s="61"/>
      <c r="X1241" s="62"/>
      <c r="Y1241" s="62"/>
      <c r="Z1241" s="66"/>
      <c r="AA1241" s="85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5"/>
      <c r="D1242" s="60"/>
      <c r="E1242" s="60"/>
      <c r="F1242" s="60"/>
      <c r="G1242" s="60"/>
      <c r="H1242" s="62"/>
      <c r="I1242" s="62"/>
      <c r="J1242" s="61"/>
      <c r="K1242" s="61"/>
      <c r="L1242" s="62"/>
      <c r="M1242" s="62"/>
      <c r="N1242" s="66"/>
      <c r="O1242" s="62"/>
      <c r="P1242" s="69"/>
      <c r="Q1242" s="62"/>
      <c r="R1242" s="62"/>
      <c r="S1242" s="60"/>
      <c r="T1242" s="62"/>
      <c r="U1242" s="62"/>
      <c r="V1242" s="62"/>
      <c r="W1242" s="61"/>
      <c r="X1242" s="62"/>
      <c r="Y1242" s="62"/>
      <c r="Z1242" s="66"/>
      <c r="AA1242" s="85"/>
      <c r="AB1242" s="60"/>
      <c r="AC1242" s="60"/>
      <c r="AD1242" s="60"/>
      <c r="AE1242" s="60"/>
      <c r="AF1242" s="62"/>
      <c r="AG1242" s="62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5"/>
      <c r="P1243" s="69"/>
      <c r="Q1243" s="85"/>
      <c r="R1243" s="85"/>
      <c r="S1243" s="60"/>
      <c r="T1243" s="62"/>
      <c r="U1243" s="62"/>
      <c r="V1243" s="62"/>
      <c r="W1243" s="61"/>
      <c r="X1243" s="62"/>
      <c r="Y1243" s="62"/>
      <c r="Z1243" s="66"/>
      <c r="AA1243" s="85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5"/>
      <c r="P1244" s="69"/>
      <c r="Q1244" s="85"/>
      <c r="R1244" s="85"/>
      <c r="S1244" s="60"/>
      <c r="T1244" s="62"/>
      <c r="U1244" s="62"/>
      <c r="V1244" s="62"/>
      <c r="W1244" s="61"/>
      <c r="X1244" s="62"/>
      <c r="Y1244" s="62"/>
      <c r="Z1244" s="66"/>
      <c r="AA1244" s="85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5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5"/>
      <c r="P1245" s="69"/>
      <c r="Q1245" s="85"/>
      <c r="R1245" s="85"/>
      <c r="S1245" s="60"/>
      <c r="T1245" s="62"/>
      <c r="U1245" s="62"/>
      <c r="V1245" s="62"/>
      <c r="W1245" s="61"/>
      <c r="X1245" s="62"/>
      <c r="Y1245" s="62"/>
      <c r="Z1245" s="66"/>
      <c r="AA1245" s="85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5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5"/>
      <c r="P1246" s="69"/>
      <c r="Q1246" s="85"/>
      <c r="R1246" s="85"/>
      <c r="S1246" s="60"/>
      <c r="T1246" s="62"/>
      <c r="U1246" s="62"/>
      <c r="V1246" s="62"/>
      <c r="W1246" s="61"/>
      <c r="X1246" s="62"/>
      <c r="Y1246" s="62"/>
      <c r="Z1246" s="66"/>
      <c r="AA1246" s="85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5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5"/>
      <c r="P1247" s="69"/>
      <c r="Q1247" s="85"/>
      <c r="R1247" s="85"/>
      <c r="S1247" s="60"/>
      <c r="T1247" s="62"/>
      <c r="U1247" s="62"/>
      <c r="V1247" s="62"/>
      <c r="W1247" s="61"/>
      <c r="X1247" s="62"/>
      <c r="Y1247" s="62"/>
      <c r="Z1247" s="66"/>
      <c r="AA1247" s="85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5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5"/>
      <c r="P1248" s="69"/>
      <c r="Q1248" s="85"/>
      <c r="R1248" s="85"/>
      <c r="S1248" s="60"/>
      <c r="T1248" s="62"/>
      <c r="U1248" s="62"/>
      <c r="V1248" s="62"/>
      <c r="W1248" s="61"/>
      <c r="X1248" s="62"/>
      <c r="Y1248" s="62"/>
      <c r="Z1248" s="66"/>
      <c r="AA1248" s="85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5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5"/>
      <c r="P1249" s="69"/>
      <c r="Q1249" s="85"/>
      <c r="R1249" s="85"/>
      <c r="S1249" s="60"/>
      <c r="T1249" s="62"/>
      <c r="U1249" s="62"/>
      <c r="V1249" s="62"/>
      <c r="W1249" s="61"/>
      <c r="X1249" s="62"/>
      <c r="Y1249" s="62"/>
      <c r="Z1249" s="66"/>
      <c r="AA1249" s="85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5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62"/>
      <c r="P1250" s="69"/>
      <c r="Q1250" s="85"/>
      <c r="R1250" s="85"/>
      <c r="S1250" s="60"/>
      <c r="T1250" s="62"/>
      <c r="U1250" s="62"/>
      <c r="V1250" s="62"/>
      <c r="W1250" s="61"/>
      <c r="X1250" s="62"/>
      <c r="Y1250" s="62"/>
      <c r="Z1250" s="66"/>
      <c r="AA1250" s="62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5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5"/>
      <c r="P1251" s="69"/>
      <c r="Q1251" s="85"/>
      <c r="R1251" s="85"/>
      <c r="S1251" s="60"/>
      <c r="T1251" s="62"/>
      <c r="U1251" s="62"/>
      <c r="V1251" s="62"/>
      <c r="W1251" s="61"/>
      <c r="X1251" s="62"/>
      <c r="Y1251" s="62"/>
      <c r="Z1251" s="66"/>
      <c r="AA1251" s="85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5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5"/>
      <c r="P1252" s="69"/>
      <c r="Q1252" s="85"/>
      <c r="R1252" s="85"/>
      <c r="S1252" s="60"/>
      <c r="T1252" s="62"/>
      <c r="U1252" s="62"/>
      <c r="V1252" s="62"/>
      <c r="W1252" s="61"/>
      <c r="X1252" s="62"/>
      <c r="Y1252" s="62"/>
      <c r="Z1252" s="66"/>
      <c r="AA1252" s="85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65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5"/>
      <c r="P1253" s="69"/>
      <c r="Q1253" s="85"/>
      <c r="R1253" s="85"/>
      <c r="S1253" s="60"/>
      <c r="T1253" s="62"/>
      <c r="U1253" s="62"/>
      <c r="V1253" s="62"/>
      <c r="W1253" s="61"/>
      <c r="X1253" s="62"/>
      <c r="Y1253" s="62"/>
      <c r="Z1253" s="66"/>
      <c r="AA1253" s="85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5"/>
      <c r="P1254" s="69"/>
      <c r="Q1254" s="85"/>
      <c r="R1254" s="85"/>
      <c r="S1254" s="60"/>
      <c r="T1254" s="62"/>
      <c r="U1254" s="62"/>
      <c r="V1254" s="62"/>
      <c r="W1254" s="61"/>
      <c r="X1254" s="62"/>
      <c r="Y1254" s="62"/>
      <c r="Z1254" s="66"/>
      <c r="AA1254" s="85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5"/>
      <c r="P1255" s="69"/>
      <c r="Q1255" s="85"/>
      <c r="R1255" s="85"/>
      <c r="S1255" s="60"/>
      <c r="T1255" s="62"/>
      <c r="U1255" s="62"/>
      <c r="V1255" s="62"/>
      <c r="W1255" s="61"/>
      <c r="X1255" s="62"/>
      <c r="Y1255" s="62"/>
      <c r="Z1255" s="66"/>
      <c r="AA1255" s="85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5"/>
      <c r="P1256" s="69"/>
      <c r="Q1256" s="85"/>
      <c r="R1256" s="85"/>
      <c r="S1256" s="60"/>
      <c r="T1256" s="62"/>
      <c r="U1256" s="62"/>
      <c r="V1256" s="62"/>
      <c r="W1256" s="61"/>
      <c r="X1256" s="62"/>
      <c r="Y1256" s="62"/>
      <c r="Z1256" s="66"/>
      <c r="AA1256" s="85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5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5"/>
      <c r="P1257" s="69"/>
      <c r="Q1257" s="85"/>
      <c r="R1257" s="85"/>
      <c r="S1257" s="60"/>
      <c r="T1257" s="62"/>
      <c r="U1257" s="62"/>
      <c r="V1257" s="62"/>
      <c r="W1257" s="61"/>
      <c r="X1257" s="62"/>
      <c r="Y1257" s="62"/>
      <c r="Z1257" s="66"/>
      <c r="AA1257" s="85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5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5"/>
      <c r="P1258" s="69"/>
      <c r="Q1258" s="85"/>
      <c r="R1258" s="85"/>
      <c r="S1258" s="60"/>
      <c r="T1258" s="62"/>
      <c r="U1258" s="62"/>
      <c r="V1258" s="62"/>
      <c r="W1258" s="61"/>
      <c r="X1258" s="62"/>
      <c r="Y1258" s="62"/>
      <c r="Z1258" s="66"/>
      <c r="AA1258" s="85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5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5"/>
      <c r="P1259" s="69"/>
      <c r="Q1259" s="85"/>
      <c r="R1259" s="85"/>
      <c r="S1259" s="60"/>
      <c r="T1259" s="62"/>
      <c r="U1259" s="62"/>
      <c r="V1259" s="62"/>
      <c r="W1259" s="61"/>
      <c r="X1259" s="62"/>
      <c r="Y1259" s="62"/>
      <c r="Z1259" s="66"/>
      <c r="AA1259" s="85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5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5"/>
      <c r="P1260" s="69"/>
      <c r="Q1260" s="85"/>
      <c r="R1260" s="85"/>
      <c r="S1260" s="60"/>
      <c r="T1260" s="62"/>
      <c r="U1260" s="62"/>
      <c r="V1260" s="62"/>
      <c r="W1260" s="61"/>
      <c r="X1260" s="62"/>
      <c r="Y1260" s="62"/>
      <c r="Z1260" s="66"/>
      <c r="AA1260" s="85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5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5"/>
      <c r="P1261" s="69"/>
      <c r="Q1261" s="85"/>
      <c r="R1261" s="85"/>
      <c r="S1261" s="60"/>
      <c r="T1261" s="62"/>
      <c r="U1261" s="62"/>
      <c r="V1261" s="62"/>
      <c r="W1261" s="61"/>
      <c r="X1261" s="62"/>
      <c r="Y1261" s="62"/>
      <c r="Z1261" s="66"/>
      <c r="AA1261" s="85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5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5"/>
      <c r="P1262" s="69"/>
      <c r="Q1262" s="85"/>
      <c r="R1262" s="85"/>
      <c r="S1262" s="60"/>
      <c r="T1262" s="62"/>
      <c r="U1262" s="62"/>
      <c r="V1262" s="62"/>
      <c r="W1262" s="61"/>
      <c r="X1262" s="62"/>
      <c r="Y1262" s="62"/>
      <c r="Z1262" s="66"/>
      <c r="AA1262" s="85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5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5"/>
      <c r="P1263" s="69"/>
      <c r="Q1263" s="85"/>
      <c r="R1263" s="85"/>
      <c r="S1263" s="60"/>
      <c r="T1263" s="62"/>
      <c r="U1263" s="62"/>
      <c r="V1263" s="62"/>
      <c r="W1263" s="61"/>
      <c r="X1263" s="62"/>
      <c r="Y1263" s="62"/>
      <c r="Z1263" s="66"/>
      <c r="AA1263" s="85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5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5"/>
      <c r="P1264" s="69"/>
      <c r="Q1264" s="85"/>
      <c r="R1264" s="85"/>
      <c r="S1264" s="60"/>
      <c r="T1264" s="62"/>
      <c r="U1264" s="62"/>
      <c r="V1264" s="62"/>
      <c r="W1264" s="61"/>
      <c r="X1264" s="62"/>
      <c r="Y1264" s="62"/>
      <c r="Z1264" s="66"/>
      <c r="AA1264" s="85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5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5"/>
      <c r="P1265" s="69"/>
      <c r="Q1265" s="85"/>
      <c r="R1265" s="85"/>
      <c r="S1265" s="60"/>
      <c r="T1265" s="62"/>
      <c r="U1265" s="62"/>
      <c r="V1265" s="62"/>
      <c r="W1265" s="61"/>
      <c r="X1265" s="62"/>
      <c r="Y1265" s="62"/>
      <c r="Z1265" s="66"/>
      <c r="AA1265" s="85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5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5"/>
      <c r="P1266" s="69"/>
      <c r="Q1266" s="85"/>
      <c r="R1266" s="85"/>
      <c r="S1266" s="60"/>
      <c r="T1266" s="62"/>
      <c r="U1266" s="62"/>
      <c r="V1266" s="62"/>
      <c r="W1266" s="61"/>
      <c r="X1266" s="62"/>
      <c r="Y1266" s="62"/>
      <c r="Z1266" s="66"/>
      <c r="AA1266" s="85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5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62"/>
      <c r="P1267" s="69"/>
      <c r="Q1267" s="85"/>
      <c r="R1267" s="85"/>
      <c r="S1267" s="60"/>
      <c r="T1267" s="62"/>
      <c r="U1267" s="62"/>
      <c r="V1267" s="62"/>
      <c r="W1267" s="61"/>
      <c r="X1267" s="62"/>
      <c r="Y1267" s="62"/>
      <c r="Z1267" s="66"/>
      <c r="AA1267" s="85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5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6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85"/>
      <c r="O1269" s="85"/>
      <c r="P1269" s="85"/>
      <c r="Q1269" s="85"/>
      <c r="R1269" s="85"/>
      <c r="S1269" s="85"/>
      <c r="T1269" s="62"/>
      <c r="U1269" s="62"/>
      <c r="V1269" s="62"/>
      <c r="W1269" s="61"/>
      <c r="X1269" s="62"/>
      <c r="Y1269" s="62"/>
      <c r="Z1269" s="66"/>
      <c r="AA1269" s="6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85"/>
      <c r="C1270" s="85"/>
      <c r="D1270" s="85"/>
      <c r="E1270" s="85"/>
      <c r="F1270" s="85"/>
      <c r="G1270" s="85"/>
      <c r="H1270" s="62"/>
      <c r="I1270" s="62"/>
      <c r="J1270" s="62"/>
      <c r="K1270" s="62"/>
      <c r="L1270" s="62"/>
      <c r="M1270" s="62"/>
      <c r="N1270" s="85"/>
      <c r="O1270" s="85"/>
      <c r="P1270" s="85"/>
      <c r="Q1270" s="85"/>
      <c r="R1270" s="85"/>
      <c r="S1270" s="85"/>
      <c r="T1270" s="62"/>
      <c r="U1270" s="62"/>
      <c r="V1270" s="62"/>
      <c r="W1270" s="62"/>
      <c r="X1270" s="62"/>
      <c r="Y1270" s="62"/>
      <c r="Z1270" s="85"/>
      <c r="AA1270" s="85"/>
      <c r="AB1270" s="85"/>
      <c r="AC1270" s="85"/>
      <c r="AD1270" s="85"/>
      <c r="AE1270" s="85"/>
      <c r="AF1270" s="62"/>
      <c r="AG1270" s="62"/>
      <c r="AH1270" s="62"/>
      <c r="AI1270" s="62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5"/>
      <c r="C1271" s="85"/>
      <c r="D1271" s="70"/>
      <c r="E1271" s="70"/>
      <c r="F1271" s="70"/>
      <c r="G1271" s="70"/>
      <c r="H1271" s="63"/>
      <c r="I1271" s="70"/>
      <c r="J1271" s="70"/>
      <c r="K1271" s="70"/>
      <c r="L1271" s="62"/>
      <c r="M1271" s="62"/>
      <c r="N1271" s="85"/>
      <c r="O1271" s="85"/>
      <c r="P1271" s="70"/>
      <c r="Q1271" s="70"/>
      <c r="R1271" s="70"/>
      <c r="S1271" s="70"/>
      <c r="T1271" s="63"/>
      <c r="U1271" s="71"/>
      <c r="V1271" s="71"/>
      <c r="W1271" s="71"/>
      <c r="X1271" s="62"/>
      <c r="Y1271" s="62"/>
      <c r="Z1271" s="85"/>
      <c r="AA1271" s="85"/>
      <c r="AB1271" s="70"/>
      <c r="AC1271" s="70"/>
      <c r="AD1271" s="70"/>
      <c r="AE1271" s="70"/>
      <c r="AF1271" s="63"/>
      <c r="AG1271" s="70"/>
      <c r="AH1271" s="70"/>
      <c r="AI1271" s="70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2"/>
      <c r="C1272" s="62"/>
      <c r="D1272" s="62"/>
      <c r="E1272" s="62"/>
      <c r="F1272" s="62"/>
      <c r="G1272" s="62"/>
      <c r="H1272" s="62"/>
      <c r="I1272" s="62"/>
      <c r="J1272" s="62"/>
      <c r="K1272" s="62"/>
      <c r="L1272" s="62"/>
      <c r="M1272" s="62"/>
      <c r="N1272" s="62"/>
      <c r="O1272" s="62"/>
      <c r="P1272" s="62"/>
      <c r="Q1272" s="62"/>
      <c r="R1272" s="62"/>
      <c r="S1272" s="62"/>
      <c r="T1272" s="62"/>
      <c r="U1272" s="62"/>
      <c r="V1272" s="62"/>
      <c r="W1272" s="62"/>
      <c r="X1272" s="62"/>
      <c r="Y1272" s="62"/>
      <c r="Z1272" s="62"/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5"/>
      <c r="C1273" s="85"/>
      <c r="D1273" s="85"/>
      <c r="E1273" s="85"/>
      <c r="F1273" s="85"/>
      <c r="G1273" s="85"/>
      <c r="H1273" s="62"/>
      <c r="I1273" s="62"/>
      <c r="J1273" s="62"/>
      <c r="K1273" s="62"/>
      <c r="L1273" s="62"/>
      <c r="M1273" s="62"/>
      <c r="N1273" s="85"/>
      <c r="O1273" s="85"/>
      <c r="P1273" s="85"/>
      <c r="Q1273" s="85"/>
      <c r="R1273" s="85"/>
      <c r="S1273" s="85"/>
      <c r="T1273" s="62"/>
      <c r="U1273" s="62"/>
      <c r="V1273" s="62"/>
      <c r="W1273" s="62"/>
      <c r="X1273" s="62"/>
      <c r="Y1273" s="62"/>
      <c r="Z1273" s="85"/>
      <c r="AA1273" s="85"/>
      <c r="AB1273" s="85"/>
      <c r="AC1273" s="85"/>
      <c r="AD1273" s="85"/>
      <c r="AE1273" s="85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85"/>
      <c r="E1274" s="85"/>
      <c r="F1274" s="85"/>
      <c r="G1274" s="85"/>
      <c r="H1274" s="62"/>
      <c r="I1274" s="62"/>
      <c r="J1274" s="62"/>
      <c r="K1274" s="62"/>
      <c r="L1274" s="62"/>
      <c r="M1274" s="62"/>
      <c r="N1274" s="85"/>
      <c r="O1274" s="85"/>
      <c r="P1274" s="85"/>
      <c r="Q1274" s="85"/>
      <c r="R1274" s="85"/>
      <c r="S1274" s="85"/>
      <c r="T1274" s="62"/>
      <c r="U1274" s="62"/>
      <c r="V1274" s="62"/>
      <c r="W1274" s="62"/>
      <c r="X1274" s="62"/>
      <c r="Y1274" s="62"/>
      <c r="Z1274" s="85"/>
      <c r="AA1274" s="85"/>
      <c r="AB1274" s="85"/>
      <c r="AC1274" s="85"/>
      <c r="AD1274" s="85"/>
      <c r="AE1274" s="85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3"/>
      <c r="B1275" s="85"/>
      <c r="C1275" s="85"/>
      <c r="D1275" s="85"/>
      <c r="E1275" s="85"/>
      <c r="F1275" s="85"/>
      <c r="G1275" s="85"/>
      <c r="H1275" s="62"/>
      <c r="I1275" s="62"/>
      <c r="J1275" s="62"/>
      <c r="K1275" s="62"/>
      <c r="L1275" s="62"/>
      <c r="M1275" s="63"/>
      <c r="N1275" s="85"/>
      <c r="O1275" s="85"/>
      <c r="P1275" s="85"/>
      <c r="Q1275" s="85"/>
      <c r="R1275" s="85"/>
      <c r="S1275" s="85"/>
      <c r="T1275" s="62"/>
      <c r="U1275" s="62"/>
      <c r="V1275" s="62"/>
      <c r="W1275" s="62"/>
      <c r="X1275" s="62"/>
      <c r="Y1275" s="63"/>
      <c r="Z1275" s="85"/>
      <c r="AA1275" s="85"/>
      <c r="AB1275" s="85"/>
      <c r="AC1275" s="85"/>
      <c r="AD1275" s="85"/>
      <c r="AE1275" s="85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2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2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ht="15.75" x14ac:dyDescent="0.25">
      <c r="A1277" s="62"/>
      <c r="B1277" s="85"/>
      <c r="C1277" s="85"/>
      <c r="D1277" s="85"/>
      <c r="E1277" s="85"/>
      <c r="F1277" s="85"/>
      <c r="G1277" s="85"/>
      <c r="H1277" s="62"/>
      <c r="I1277" s="85"/>
      <c r="J1277" s="73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85"/>
      <c r="V1277" s="73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85"/>
      <c r="AH1277" s="85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4"/>
      <c r="B1278" s="85"/>
      <c r="C1278" s="85"/>
      <c r="D1278" s="85"/>
      <c r="E1278" s="85"/>
      <c r="F1278" s="85"/>
      <c r="G1278" s="85"/>
      <c r="H1278" s="62"/>
      <c r="I1278" s="65"/>
      <c r="J1278" s="65"/>
      <c r="K1278" s="62"/>
      <c r="L1278" s="62"/>
      <c r="M1278" s="64"/>
      <c r="N1278" s="85"/>
      <c r="O1278" s="85"/>
      <c r="P1278" s="85"/>
      <c r="Q1278" s="85"/>
      <c r="R1278" s="85"/>
      <c r="S1278" s="85"/>
      <c r="T1278" s="62"/>
      <c r="U1278" s="65"/>
      <c r="V1278" s="65"/>
      <c r="W1278" s="62"/>
      <c r="X1278" s="62"/>
      <c r="Y1278" s="64"/>
      <c r="Z1278" s="85"/>
      <c r="AA1278" s="85"/>
      <c r="AB1278" s="85"/>
      <c r="AC1278" s="85"/>
      <c r="AD1278" s="85"/>
      <c r="AE1278" s="85"/>
      <c r="AF1278" s="62"/>
      <c r="AG1278" s="65"/>
      <c r="AH1278" s="65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5"/>
      <c r="C1279" s="85"/>
      <c r="D1279" s="85"/>
      <c r="E1279" s="85"/>
      <c r="F1279" s="85"/>
      <c r="G1279" s="85"/>
      <c r="H1279" s="62"/>
      <c r="I1279" s="62"/>
      <c r="J1279" s="62"/>
      <c r="K1279" s="62"/>
      <c r="L1279" s="62"/>
      <c r="M1279" s="62"/>
      <c r="N1279" s="85"/>
      <c r="O1279" s="85"/>
      <c r="P1279" s="85"/>
      <c r="Q1279" s="85"/>
      <c r="R1279" s="85"/>
      <c r="S1279" s="85"/>
      <c r="T1279" s="62"/>
      <c r="U1279" s="62"/>
      <c r="V1279" s="62"/>
      <c r="W1279" s="62"/>
      <c r="X1279" s="62"/>
      <c r="Y1279" s="62"/>
      <c r="Z1279" s="85"/>
      <c r="AA1279" s="85"/>
      <c r="AB1279" s="85"/>
      <c r="AC1279" s="85"/>
      <c r="AD1279" s="85"/>
      <c r="AE1279" s="85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65"/>
      <c r="C1280" s="85"/>
      <c r="D1280" s="125"/>
      <c r="E1280" s="125"/>
      <c r="F1280" s="85"/>
      <c r="G1280" s="85"/>
      <c r="H1280" s="62"/>
      <c r="I1280" s="125"/>
      <c r="J1280" s="125"/>
      <c r="K1280" s="124"/>
      <c r="L1280" s="62"/>
      <c r="M1280" s="62"/>
      <c r="N1280" s="65"/>
      <c r="O1280" s="85"/>
      <c r="P1280" s="125"/>
      <c r="Q1280" s="125"/>
      <c r="R1280" s="85"/>
      <c r="S1280" s="85"/>
      <c r="T1280" s="62"/>
      <c r="U1280" s="125"/>
      <c r="V1280" s="125"/>
      <c r="W1280" s="124"/>
      <c r="X1280" s="62"/>
      <c r="Y1280" s="62"/>
      <c r="Z1280" s="65"/>
      <c r="AA1280" s="85"/>
      <c r="AB1280" s="125"/>
      <c r="AC1280" s="125"/>
      <c r="AD1280" s="85"/>
      <c r="AE1280" s="85"/>
      <c r="AF1280" s="62"/>
      <c r="AG1280" s="125"/>
      <c r="AH1280" s="125"/>
      <c r="AI1280" s="124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5"/>
      <c r="C1281" s="85"/>
      <c r="D1281" s="85"/>
      <c r="E1281" s="84"/>
      <c r="F1281" s="84"/>
      <c r="G1281" s="84"/>
      <c r="H1281" s="62"/>
      <c r="I1281" s="84"/>
      <c r="J1281" s="84"/>
      <c r="K1281" s="124"/>
      <c r="L1281" s="62"/>
      <c r="M1281" s="62"/>
      <c r="N1281" s="85"/>
      <c r="O1281" s="85"/>
      <c r="P1281" s="85"/>
      <c r="Q1281" s="84"/>
      <c r="R1281" s="84"/>
      <c r="S1281" s="84"/>
      <c r="T1281" s="62"/>
      <c r="U1281" s="84"/>
      <c r="V1281" s="84"/>
      <c r="W1281" s="124"/>
      <c r="X1281" s="62"/>
      <c r="Y1281" s="62"/>
      <c r="Z1281" s="85"/>
      <c r="AA1281" s="85"/>
      <c r="AB1281" s="85"/>
      <c r="AC1281" s="84"/>
      <c r="AD1281" s="84"/>
      <c r="AE1281" s="84"/>
      <c r="AF1281" s="62"/>
      <c r="AG1281" s="84"/>
      <c r="AH1281" s="84"/>
      <c r="AI1281" s="124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6"/>
      <c r="C1282" s="85"/>
      <c r="D1282" s="60"/>
      <c r="E1282" s="60"/>
      <c r="F1282" s="60"/>
      <c r="G1282" s="60"/>
      <c r="H1282" s="61"/>
      <c r="I1282" s="61"/>
      <c r="J1282" s="61"/>
      <c r="K1282" s="61"/>
      <c r="L1282" s="62"/>
      <c r="M1282" s="62"/>
      <c r="N1282" s="66"/>
      <c r="O1282" s="85"/>
      <c r="P1282" s="60"/>
      <c r="Q1282" s="60"/>
      <c r="R1282" s="60"/>
      <c r="S1282" s="60"/>
      <c r="T1282" s="61"/>
      <c r="U1282" s="61"/>
      <c r="V1282" s="61"/>
      <c r="W1282" s="61"/>
      <c r="X1282" s="62"/>
      <c r="Y1282" s="62"/>
      <c r="Z1282" s="66"/>
      <c r="AA1282" s="85"/>
      <c r="AB1282" s="60"/>
      <c r="AC1282" s="60"/>
      <c r="AD1282" s="60"/>
      <c r="AE1282" s="60"/>
      <c r="AF1282" s="61"/>
      <c r="AG1282" s="61"/>
      <c r="AH1282" s="61"/>
      <c r="AI1282" s="61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5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5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5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5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5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5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2"/>
      <c r="AC1285" s="60"/>
      <c r="AD1285" s="60"/>
      <c r="AE1285" s="60"/>
      <c r="AF1285" s="61"/>
      <c r="AG1285" s="62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2"/>
      <c r="Q1287" s="60"/>
      <c r="R1287" s="60"/>
      <c r="S1287" s="60"/>
      <c r="T1287" s="61"/>
      <c r="U1287" s="61"/>
      <c r="V1287" s="62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2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5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2"/>
      <c r="AD1289" s="62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5"/>
      <c r="AB1290" s="60"/>
      <c r="AC1290" s="60"/>
      <c r="AD1290" s="60"/>
      <c r="AE1290" s="60"/>
      <c r="AF1290" s="61"/>
      <c r="AG1290" s="62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2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85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2"/>
      <c r="J1294" s="61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6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60"/>
      <c r="E1295" s="85"/>
      <c r="F1295" s="85"/>
      <c r="G1295" s="60"/>
      <c r="H1295" s="61"/>
      <c r="I1295" s="61"/>
      <c r="J1295" s="62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60"/>
      <c r="F1296" s="60"/>
      <c r="G1296" s="60"/>
      <c r="H1296" s="61"/>
      <c r="I1296" s="61"/>
      <c r="J1296" s="61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65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5"/>
      <c r="D1301" s="85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60"/>
      <c r="E1302" s="60"/>
      <c r="F1302" s="60"/>
      <c r="G1302" s="60"/>
      <c r="H1302" s="62"/>
      <c r="I1302" s="62"/>
      <c r="J1302" s="62"/>
      <c r="K1302" s="61"/>
      <c r="L1302" s="62"/>
      <c r="M1302" s="62"/>
      <c r="N1302" s="66"/>
      <c r="O1302" s="85"/>
      <c r="P1302" s="67"/>
      <c r="Q1302" s="85"/>
      <c r="R1302" s="85"/>
      <c r="S1302" s="60"/>
      <c r="T1302" s="62"/>
      <c r="U1302" s="62"/>
      <c r="V1302" s="62"/>
      <c r="W1302" s="61"/>
      <c r="X1302" s="62"/>
      <c r="Y1302" s="62"/>
      <c r="Z1302" s="66"/>
      <c r="AA1302" s="62"/>
      <c r="AB1302" s="67"/>
      <c r="AC1302" s="85"/>
      <c r="AD1302" s="85"/>
      <c r="AE1302" s="60"/>
      <c r="AF1302" s="62"/>
      <c r="AG1302" s="62"/>
      <c r="AH1302" s="62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5"/>
      <c r="P1303" s="68"/>
      <c r="Q1303" s="85"/>
      <c r="R1303" s="85"/>
      <c r="S1303" s="60"/>
      <c r="T1303" s="62"/>
      <c r="U1303" s="62"/>
      <c r="V1303" s="62"/>
      <c r="W1303" s="61"/>
      <c r="X1303" s="62"/>
      <c r="Y1303" s="62"/>
      <c r="Z1303" s="66"/>
      <c r="AA1303" s="85"/>
      <c r="AB1303" s="68"/>
      <c r="AC1303" s="85"/>
      <c r="AD1303" s="85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60"/>
      <c r="E1304" s="60"/>
      <c r="F1304" s="60"/>
      <c r="G1304" s="60"/>
      <c r="H1304" s="62"/>
      <c r="I1304" s="62"/>
      <c r="J1304" s="61"/>
      <c r="K1304" s="61"/>
      <c r="L1304" s="62"/>
      <c r="M1304" s="62"/>
      <c r="N1304" s="66"/>
      <c r="O1304" s="65"/>
      <c r="P1304" s="69"/>
      <c r="Q1304" s="62"/>
      <c r="R1304" s="62"/>
      <c r="S1304" s="60"/>
      <c r="T1304" s="62"/>
      <c r="U1304" s="62"/>
      <c r="V1304" s="62"/>
      <c r="W1304" s="61"/>
      <c r="X1304" s="62"/>
      <c r="Y1304" s="62"/>
      <c r="Z1304" s="66"/>
      <c r="AA1304" s="85"/>
      <c r="AB1304" s="69"/>
      <c r="AC1304" s="62"/>
      <c r="AD1304" s="62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5"/>
      <c r="P1305" s="69"/>
      <c r="Q1305" s="85"/>
      <c r="R1305" s="85"/>
      <c r="S1305" s="60"/>
      <c r="T1305" s="62"/>
      <c r="U1305" s="62"/>
      <c r="V1305" s="62"/>
      <c r="W1305" s="61"/>
      <c r="X1305" s="62"/>
      <c r="Y1305" s="62"/>
      <c r="Z1305" s="66"/>
      <c r="AA1305" s="85"/>
      <c r="AB1305" s="69"/>
      <c r="AC1305" s="85"/>
      <c r="AD1305" s="85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9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9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5"/>
      <c r="P1307" s="69"/>
      <c r="Q1307" s="85"/>
      <c r="R1307" s="85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85"/>
      <c r="AD1307" s="85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62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85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85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62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5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62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5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85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6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85"/>
      <c r="O1323" s="85"/>
      <c r="P1323" s="85"/>
      <c r="Q1323" s="85"/>
      <c r="R1323" s="85"/>
      <c r="S1323" s="85"/>
      <c r="T1323" s="62"/>
      <c r="U1323" s="62"/>
      <c r="V1323" s="62"/>
      <c r="W1323" s="61"/>
      <c r="X1323" s="62"/>
      <c r="Y1323" s="62"/>
      <c r="Z1323" s="85"/>
      <c r="AA1323" s="85"/>
      <c r="AB1323" s="85"/>
      <c r="AC1323" s="85"/>
      <c r="AD1323" s="85"/>
      <c r="AE1323" s="85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85"/>
      <c r="C1324" s="85"/>
      <c r="D1324" s="85"/>
      <c r="E1324" s="85"/>
      <c r="F1324" s="85"/>
      <c r="G1324" s="85"/>
      <c r="H1324" s="62"/>
      <c r="I1324" s="62"/>
      <c r="J1324" s="62"/>
      <c r="K1324" s="62"/>
      <c r="L1324" s="62"/>
      <c r="M1324" s="62"/>
      <c r="N1324" s="85"/>
      <c r="O1324" s="85"/>
      <c r="P1324" s="85"/>
      <c r="Q1324" s="85"/>
      <c r="R1324" s="85"/>
      <c r="S1324" s="85"/>
      <c r="T1324" s="62"/>
      <c r="U1324" s="62"/>
      <c r="V1324" s="62"/>
      <c r="W1324" s="62"/>
      <c r="X1324" s="62"/>
      <c r="Y1324" s="62"/>
      <c r="Z1324" s="85"/>
      <c r="AA1324" s="85"/>
      <c r="AB1324" s="85"/>
      <c r="AC1324" s="85"/>
      <c r="AD1324" s="85"/>
      <c r="AE1324" s="85"/>
      <c r="AF1324" s="62"/>
      <c r="AG1324" s="62"/>
      <c r="AH1324" s="62"/>
      <c r="AI1324" s="62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5"/>
      <c r="C1325" s="85"/>
      <c r="D1325" s="70"/>
      <c r="E1325" s="70"/>
      <c r="F1325" s="70"/>
      <c r="G1325" s="70"/>
      <c r="H1325" s="63"/>
      <c r="I1325" s="70"/>
      <c r="J1325" s="70"/>
      <c r="K1325" s="70"/>
      <c r="L1325" s="62"/>
      <c r="M1325" s="62"/>
      <c r="N1325" s="85"/>
      <c r="O1325" s="85"/>
      <c r="P1325" s="70"/>
      <c r="Q1325" s="70"/>
      <c r="R1325" s="70"/>
      <c r="S1325" s="70"/>
      <c r="T1325" s="63"/>
      <c r="U1325" s="71"/>
      <c r="V1325" s="71"/>
      <c r="W1325" s="71"/>
      <c r="X1325" s="62"/>
      <c r="Y1325" s="62"/>
      <c r="Z1325" s="85"/>
      <c r="AA1325" s="85"/>
      <c r="AB1325" s="70"/>
      <c r="AC1325" s="70"/>
      <c r="AD1325" s="70"/>
      <c r="AE1325" s="74"/>
      <c r="AF1325" s="63"/>
      <c r="AG1325" s="71"/>
      <c r="AH1325" s="71"/>
      <c r="AI1325" s="7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2"/>
      <c r="C1326" s="62"/>
      <c r="D1326" s="62"/>
      <c r="E1326" s="62"/>
      <c r="F1326" s="62"/>
      <c r="G1326" s="62"/>
      <c r="H1326" s="62"/>
      <c r="I1326" s="62"/>
      <c r="J1326" s="62"/>
      <c r="K1326" s="62"/>
      <c r="L1326" s="62"/>
      <c r="M1326" s="62"/>
      <c r="N1326" s="62"/>
      <c r="O1326" s="62"/>
      <c r="P1326" s="62"/>
      <c r="Q1326" s="62"/>
      <c r="R1326" s="62"/>
      <c r="S1326" s="62"/>
      <c r="T1326" s="62"/>
      <c r="U1326" s="62"/>
      <c r="V1326" s="62"/>
      <c r="W1326" s="62"/>
      <c r="X1326" s="62"/>
      <c r="Y1326" s="62"/>
      <c r="Z1326" s="62"/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5"/>
      <c r="C1327" s="85"/>
      <c r="D1327" s="85"/>
      <c r="E1327" s="85"/>
      <c r="F1327" s="85"/>
      <c r="G1327" s="85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85"/>
      <c r="E1328" s="85"/>
      <c r="F1328" s="85"/>
      <c r="G1328" s="85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5"/>
      <c r="C1329" s="85"/>
      <c r="D1329" s="85"/>
      <c r="E1329" s="85"/>
      <c r="F1329" s="85"/>
      <c r="G1329" s="85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</sheetData>
  <mergeCells count="225">
    <mergeCell ref="D1110:E1110"/>
    <mergeCell ref="I1110:J1110"/>
    <mergeCell ref="K1110:K1111"/>
    <mergeCell ref="P1110:Q1110"/>
    <mergeCell ref="U1110:V1110"/>
    <mergeCell ref="W1110:W1111"/>
    <mergeCell ref="AB1110:AC1110"/>
    <mergeCell ref="AG1110:AH1110"/>
    <mergeCell ref="AI1110:AI1111"/>
    <mergeCell ref="D1000:E1000"/>
    <mergeCell ref="I1000:J1000"/>
    <mergeCell ref="K1000:K1001"/>
    <mergeCell ref="P1000:Q1000"/>
    <mergeCell ref="U1000:V1000"/>
    <mergeCell ref="W1000:W1001"/>
    <mergeCell ref="AB1000:AC1000"/>
    <mergeCell ref="AG1000:AH1000"/>
    <mergeCell ref="AI1000:AI1001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P1055:Q1055"/>
    <mergeCell ref="U1055:V1055"/>
    <mergeCell ref="W1055:W1056"/>
    <mergeCell ref="AB1055:AC1055"/>
    <mergeCell ref="AG1055:AH1055"/>
    <mergeCell ref="AI1055:AI1056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D505:E505"/>
    <mergeCell ref="I505:J505"/>
    <mergeCell ref="K505:K506"/>
    <mergeCell ref="W505:W506"/>
    <mergeCell ref="P560:Q560"/>
    <mergeCell ref="AI1165:AI1166"/>
    <mergeCell ref="AI1280:AI1281"/>
    <mergeCell ref="AG1280:AH1280"/>
    <mergeCell ref="AB1280:AC1280"/>
    <mergeCell ref="W1218:W1219"/>
    <mergeCell ref="U1218:V1218"/>
    <mergeCell ref="P1218:Q1218"/>
    <mergeCell ref="AI1218:AI1219"/>
    <mergeCell ref="AG1218:AH1218"/>
    <mergeCell ref="AB1218:AC1218"/>
    <mergeCell ref="K1280:K1281"/>
    <mergeCell ref="I1280:J1280"/>
    <mergeCell ref="D1280:E1280"/>
    <mergeCell ref="W1280:W1281"/>
    <mergeCell ref="U1280:V1280"/>
    <mergeCell ref="P1280:Q1280"/>
    <mergeCell ref="W1165:W1166"/>
    <mergeCell ref="AB1165:AC1165"/>
    <mergeCell ref="AG1165:AH1165"/>
    <mergeCell ref="U340:V340"/>
    <mergeCell ref="K1218:K1219"/>
    <mergeCell ref="I1218:J1218"/>
    <mergeCell ref="D1218:E1218"/>
    <mergeCell ref="K1052:K1053"/>
    <mergeCell ref="I1052:J1052"/>
    <mergeCell ref="D1052:E1052"/>
    <mergeCell ref="K615:K616"/>
    <mergeCell ref="U615:V615"/>
    <mergeCell ref="P615:Q615"/>
    <mergeCell ref="K725:K726"/>
    <mergeCell ref="I725:J725"/>
    <mergeCell ref="D725:E725"/>
    <mergeCell ref="D1165:E1165"/>
    <mergeCell ref="I1165:J1165"/>
    <mergeCell ref="K1165:K1166"/>
    <mergeCell ref="P1165:Q1165"/>
    <mergeCell ref="U1165:V1165"/>
    <mergeCell ref="I450:J450"/>
    <mergeCell ref="D395:E395"/>
    <mergeCell ref="U560:V560"/>
    <mergeCell ref="P505:Q505"/>
    <mergeCell ref="U505:V505"/>
    <mergeCell ref="D945:E94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U120:V12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D670:E670"/>
    <mergeCell ref="U670:V670"/>
    <mergeCell ref="P670:Q670"/>
    <mergeCell ref="W670:W671"/>
    <mergeCell ref="AI670:AI671"/>
    <mergeCell ref="AG670:AH670"/>
    <mergeCell ref="AB670:AC670"/>
    <mergeCell ref="W560:W561"/>
    <mergeCell ref="AI450:AI451"/>
    <mergeCell ref="W615:W616"/>
    <mergeCell ref="AU943:AU944"/>
    <mergeCell ref="AS943:AT943"/>
    <mergeCell ref="AN943:AO943"/>
    <mergeCell ref="D835:E835"/>
    <mergeCell ref="I835:J835"/>
    <mergeCell ref="K835:K836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W725:W726"/>
    <mergeCell ref="U725:V725"/>
    <mergeCell ref="P725:Q725"/>
    <mergeCell ref="AI725:AI726"/>
    <mergeCell ref="AG725:AH725"/>
    <mergeCell ref="AB725:AC725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2026-07-07T08:56:03Z</dcterms:modified>
</cp:coreProperties>
</file>