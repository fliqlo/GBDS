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5769FF2-B238-4F52-93A6-A77509F679E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57" i="2" l="1"/>
  <c r="AE957" i="2" s="1"/>
  <c r="AI957" i="2" s="1"/>
  <c r="AB956" i="2"/>
  <c r="AE956" i="2" s="1"/>
  <c r="AI956" i="2" s="1"/>
  <c r="AG955" i="2"/>
  <c r="AB955" i="2"/>
  <c r="AE955" i="2" s="1"/>
  <c r="AI955" i="2" s="1"/>
  <c r="AG954" i="2"/>
  <c r="AB954" i="2"/>
  <c r="AE954" i="2" s="1"/>
  <c r="AB953" i="2"/>
  <c r="AE953" i="2" s="1"/>
  <c r="AI953" i="2" s="1"/>
  <c r="AG952" i="2"/>
  <c r="AC952" i="2"/>
  <c r="AB952" i="2"/>
  <c r="AE952" i="2" s="1"/>
  <c r="AI952" i="2" s="1"/>
  <c r="AH951" i="2"/>
  <c r="AB951" i="2"/>
  <c r="AG950" i="2"/>
  <c r="AB950" i="2"/>
  <c r="AE950" i="2" s="1"/>
  <c r="AI950" i="2" s="1"/>
  <c r="AG949" i="2"/>
  <c r="AB949" i="2"/>
  <c r="AG948" i="2"/>
  <c r="AC948" i="2"/>
  <c r="AB948" i="2"/>
  <c r="AG947" i="2"/>
  <c r="AH947" i="2"/>
  <c r="AB947" i="2"/>
  <c r="AA956" i="2"/>
  <c r="AA957" i="2" s="1"/>
  <c r="AA953" i="2"/>
  <c r="AA954" i="2" s="1"/>
  <c r="AA955" i="2" s="1"/>
  <c r="AD990" i="2"/>
  <c r="AI988" i="2"/>
  <c r="AE987" i="2"/>
  <c r="AI987" i="2" s="1"/>
  <c r="AI986" i="2"/>
  <c r="AE985" i="2"/>
  <c r="AI985" i="2" s="1"/>
  <c r="AE984" i="2"/>
  <c r="AI984" i="2" s="1"/>
  <c r="AI983" i="2"/>
  <c r="AE983" i="2"/>
  <c r="AE982" i="2"/>
  <c r="AI982" i="2" s="1"/>
  <c r="AE981" i="2"/>
  <c r="AI981" i="2" s="1"/>
  <c r="AE980" i="2"/>
  <c r="AI980" i="2" s="1"/>
  <c r="AE979" i="2"/>
  <c r="AI979" i="2" s="1"/>
  <c r="AI978" i="2"/>
  <c r="AE978" i="2"/>
  <c r="AE977" i="2"/>
  <c r="AI977" i="2" s="1"/>
  <c r="AE976" i="2"/>
  <c r="AI976" i="2" s="1"/>
  <c r="AI975" i="2"/>
  <c r="AE975" i="2"/>
  <c r="AE974" i="2"/>
  <c r="AI974" i="2" s="1"/>
  <c r="AE973" i="2"/>
  <c r="AI973" i="2" s="1"/>
  <c r="AE972" i="2"/>
  <c r="AI972" i="2" s="1"/>
  <c r="AE971" i="2"/>
  <c r="AI971" i="2" s="1"/>
  <c r="AI970" i="2"/>
  <c r="AE970" i="2"/>
  <c r="AE969" i="2"/>
  <c r="AI969" i="2" s="1"/>
  <c r="AE968" i="2"/>
  <c r="AI968" i="2" s="1"/>
  <c r="AE967" i="2"/>
  <c r="AI967" i="2" s="1"/>
  <c r="AE966" i="2"/>
  <c r="AI966" i="2" s="1"/>
  <c r="AE965" i="2"/>
  <c r="AI965" i="2" s="1"/>
  <c r="AE964" i="2"/>
  <c r="AI964" i="2" s="1"/>
  <c r="AE963" i="2"/>
  <c r="AI963" i="2" s="1"/>
  <c r="AI962" i="2"/>
  <c r="AE962" i="2"/>
  <c r="AE961" i="2"/>
  <c r="AI961" i="2" s="1"/>
  <c r="AE960" i="2"/>
  <c r="AI960" i="2" s="1"/>
  <c r="AE959" i="2"/>
  <c r="AI959" i="2" s="1"/>
  <c r="AE958" i="2"/>
  <c r="AI958" i="2" s="1"/>
  <c r="AE949" i="2"/>
  <c r="AI949" i="2" s="1"/>
  <c r="AA948" i="2"/>
  <c r="AA949" i="2" s="1"/>
  <c r="AA950" i="2" s="1"/>
  <c r="AA951" i="2" s="1"/>
  <c r="AA952" i="2" s="1"/>
  <c r="P950" i="2"/>
  <c r="S950" i="2" s="1"/>
  <c r="W950" i="2" s="1"/>
  <c r="P949" i="2"/>
  <c r="V948" i="2"/>
  <c r="Q948" i="2"/>
  <c r="P948" i="2"/>
  <c r="V947" i="2"/>
  <c r="U947" i="2"/>
  <c r="Q947" i="2"/>
  <c r="P947" i="2"/>
  <c r="V990" i="2"/>
  <c r="R990" i="2"/>
  <c r="W988" i="2"/>
  <c r="S987" i="2"/>
  <c r="W987" i="2" s="1"/>
  <c r="W986" i="2"/>
  <c r="S985" i="2"/>
  <c r="W985" i="2" s="1"/>
  <c r="S984" i="2"/>
  <c r="W984" i="2" s="1"/>
  <c r="W983" i="2"/>
  <c r="S983" i="2"/>
  <c r="S982" i="2"/>
  <c r="W982" i="2" s="1"/>
  <c r="S981" i="2"/>
  <c r="W981" i="2" s="1"/>
  <c r="S980" i="2"/>
  <c r="W980" i="2" s="1"/>
  <c r="S979" i="2"/>
  <c r="W979" i="2" s="1"/>
  <c r="S978" i="2"/>
  <c r="W978" i="2" s="1"/>
  <c r="S977" i="2"/>
  <c r="W977" i="2" s="1"/>
  <c r="S976" i="2"/>
  <c r="W976" i="2" s="1"/>
  <c r="W975" i="2"/>
  <c r="S975" i="2"/>
  <c r="S974" i="2"/>
  <c r="W974" i="2" s="1"/>
  <c r="W973" i="2"/>
  <c r="S973" i="2"/>
  <c r="S972" i="2"/>
  <c r="W972" i="2" s="1"/>
  <c r="S971" i="2"/>
  <c r="W971" i="2" s="1"/>
  <c r="S970" i="2"/>
  <c r="W970" i="2" s="1"/>
  <c r="S969" i="2"/>
  <c r="W969" i="2" s="1"/>
  <c r="S968" i="2"/>
  <c r="W968" i="2" s="1"/>
  <c r="W967" i="2"/>
  <c r="S967" i="2"/>
  <c r="S966" i="2"/>
  <c r="W966" i="2" s="1"/>
  <c r="W965" i="2"/>
  <c r="S965" i="2"/>
  <c r="S964" i="2"/>
  <c r="W964" i="2" s="1"/>
  <c r="S963" i="2"/>
  <c r="W963" i="2" s="1"/>
  <c r="S962" i="2"/>
  <c r="W962" i="2" s="1"/>
  <c r="S961" i="2"/>
  <c r="W961" i="2" s="1"/>
  <c r="S960" i="2"/>
  <c r="W960" i="2" s="1"/>
  <c r="W959" i="2"/>
  <c r="S959" i="2"/>
  <c r="S958" i="2"/>
  <c r="W958" i="2" s="1"/>
  <c r="S957" i="2"/>
  <c r="W957" i="2" s="1"/>
  <c r="S956" i="2"/>
  <c r="W956" i="2" s="1"/>
  <c r="S955" i="2"/>
  <c r="W955" i="2" s="1"/>
  <c r="S954" i="2"/>
  <c r="W954" i="2" s="1"/>
  <c r="S953" i="2"/>
  <c r="W953" i="2" s="1"/>
  <c r="S952" i="2"/>
  <c r="W952" i="2" s="1"/>
  <c r="S951" i="2"/>
  <c r="W951" i="2" s="1"/>
  <c r="S949" i="2"/>
  <c r="W949" i="2" s="1"/>
  <c r="U990" i="2"/>
  <c r="Q990" i="2"/>
  <c r="S948" i="2"/>
  <c r="W948" i="2" s="1"/>
  <c r="O948" i="2"/>
  <c r="O949" i="2" s="1"/>
  <c r="O950" i="2" s="1"/>
  <c r="J956" i="2"/>
  <c r="D956" i="2"/>
  <c r="G956" i="2" s="1"/>
  <c r="K956" i="2" s="1"/>
  <c r="D955" i="2"/>
  <c r="G955" i="2" s="1"/>
  <c r="K955" i="2" s="1"/>
  <c r="C955" i="2"/>
  <c r="C956" i="2"/>
  <c r="I954" i="2"/>
  <c r="J954" i="2"/>
  <c r="D954" i="2"/>
  <c r="G954" i="2" s="1"/>
  <c r="K954" i="2" s="1"/>
  <c r="D953" i="2"/>
  <c r="G953" i="2" s="1"/>
  <c r="K953" i="2" s="1"/>
  <c r="D952" i="2"/>
  <c r="G952" i="2" s="1"/>
  <c r="K952" i="2" s="1"/>
  <c r="C952" i="2"/>
  <c r="C953" i="2" s="1"/>
  <c r="C954" i="2" s="1"/>
  <c r="D951" i="2"/>
  <c r="D950" i="2"/>
  <c r="G950" i="2" s="1"/>
  <c r="K950" i="2" s="1"/>
  <c r="I949" i="2"/>
  <c r="D949" i="2"/>
  <c r="D948" i="2"/>
  <c r="G948" i="2"/>
  <c r="K948" i="2" s="1"/>
  <c r="D947" i="2"/>
  <c r="I990" i="2"/>
  <c r="F990" i="2"/>
  <c r="G987" i="2"/>
  <c r="K987" i="2" s="1"/>
  <c r="G980" i="2"/>
  <c r="K980" i="2" s="1"/>
  <c r="G979" i="2"/>
  <c r="K979" i="2" s="1"/>
  <c r="G978" i="2"/>
  <c r="K978" i="2" s="1"/>
  <c r="G977" i="2"/>
  <c r="K977" i="2" s="1"/>
  <c r="G976" i="2"/>
  <c r="K976" i="2" s="1"/>
  <c r="G975" i="2"/>
  <c r="K975" i="2" s="1"/>
  <c r="K974" i="2"/>
  <c r="G974" i="2"/>
  <c r="G973" i="2"/>
  <c r="K973" i="2" s="1"/>
  <c r="G972" i="2"/>
  <c r="K972" i="2" s="1"/>
  <c r="G971" i="2"/>
  <c r="K971" i="2" s="1"/>
  <c r="G970" i="2"/>
  <c r="K970" i="2" s="1"/>
  <c r="G969" i="2"/>
  <c r="K969" i="2" s="1"/>
  <c r="G968" i="2"/>
  <c r="K968" i="2" s="1"/>
  <c r="G967" i="2"/>
  <c r="K967" i="2" s="1"/>
  <c r="K966" i="2"/>
  <c r="G966" i="2"/>
  <c r="G965" i="2"/>
  <c r="K965" i="2" s="1"/>
  <c r="G964" i="2"/>
  <c r="K964" i="2" s="1"/>
  <c r="G963" i="2"/>
  <c r="K963" i="2" s="1"/>
  <c r="G962" i="2"/>
  <c r="K962" i="2" s="1"/>
  <c r="G961" i="2"/>
  <c r="K961" i="2" s="1"/>
  <c r="G960" i="2"/>
  <c r="K960" i="2" s="1"/>
  <c r="G959" i="2"/>
  <c r="K959" i="2" s="1"/>
  <c r="K958" i="2"/>
  <c r="G958" i="2"/>
  <c r="G957" i="2"/>
  <c r="K957" i="2" s="1"/>
  <c r="G951" i="2"/>
  <c r="K951" i="2" s="1"/>
  <c r="G949" i="2"/>
  <c r="K949" i="2" s="1"/>
  <c r="C948" i="2"/>
  <c r="C949" i="2" s="1"/>
  <c r="C950" i="2" s="1"/>
  <c r="C951" i="2" s="1"/>
  <c r="E990" i="2"/>
  <c r="AI954" i="2" l="1"/>
  <c r="AE951" i="2"/>
  <c r="AI951" i="2" s="1"/>
  <c r="AC990" i="2"/>
  <c r="AH990" i="2"/>
  <c r="AG990" i="2"/>
  <c r="AB990" i="2"/>
  <c r="AE948" i="2"/>
  <c r="AI948" i="2" s="1"/>
  <c r="AE947" i="2"/>
  <c r="P990" i="2"/>
  <c r="S947" i="2"/>
  <c r="J990" i="2"/>
  <c r="D990" i="2"/>
  <c r="G947" i="2"/>
  <c r="AH897" i="2"/>
  <c r="AH935" i="2" s="1"/>
  <c r="AB897" i="2"/>
  <c r="AE897" i="2" s="1"/>
  <c r="AI897" i="2" s="1"/>
  <c r="AB896" i="2"/>
  <c r="AE896" i="2" s="1"/>
  <c r="AI896" i="2" s="1"/>
  <c r="AG895" i="2"/>
  <c r="AB895" i="2"/>
  <c r="AG894" i="2"/>
  <c r="AC894" i="2"/>
  <c r="AB894" i="2"/>
  <c r="AG893" i="2"/>
  <c r="AC893" i="2"/>
  <c r="AE893" i="2" s="1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I928" i="2"/>
  <c r="AE928" i="2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I920" i="2"/>
  <c r="AE920" i="2"/>
  <c r="AE919" i="2"/>
  <c r="AI919" i="2" s="1"/>
  <c r="AI918" i="2"/>
  <c r="AE918" i="2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I910" i="2"/>
  <c r="AE910" i="2"/>
  <c r="AE909" i="2"/>
  <c r="AI909" i="2" s="1"/>
  <c r="AE908" i="2"/>
  <c r="AI908" i="2" s="1"/>
  <c r="AE907" i="2"/>
  <c r="AI907" i="2" s="1"/>
  <c r="AI906" i="2"/>
  <c r="AE906" i="2"/>
  <c r="AE905" i="2"/>
  <c r="AI905" i="2" s="1"/>
  <c r="AI904" i="2"/>
  <c r="AE904" i="2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S897" i="2"/>
  <c r="W897" i="2" s="1"/>
  <c r="O893" i="2"/>
  <c r="O894" i="2" s="1"/>
  <c r="O895" i="2" s="1"/>
  <c r="O896" i="2" s="1"/>
  <c r="O897" i="2" s="1"/>
  <c r="O898" i="2" s="1"/>
  <c r="S892" i="2"/>
  <c r="J896" i="2"/>
  <c r="J935" i="2" s="1"/>
  <c r="D896" i="2"/>
  <c r="G896" i="2" s="1"/>
  <c r="K896" i="2" s="1"/>
  <c r="C896" i="2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K904" i="2"/>
  <c r="G904" i="2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AI947" i="2" l="1"/>
  <c r="AI990" i="2" s="1"/>
  <c r="AE990" i="2"/>
  <c r="S990" i="2"/>
  <c r="W947" i="2"/>
  <c r="W990" i="2" s="1"/>
  <c r="G990" i="2"/>
  <c r="K947" i="2"/>
  <c r="K990" i="2" s="1"/>
  <c r="AG935" i="2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W935" i="2" s="1"/>
  <c r="P935" i="2"/>
  <c r="I935" i="2"/>
  <c r="K893" i="2"/>
  <c r="G892" i="2"/>
  <c r="G935" i="2"/>
  <c r="K892" i="2"/>
  <c r="D935" i="2"/>
  <c r="AH825" i="2"/>
  <c r="AD825" i="2"/>
  <c r="V825" i="2"/>
  <c r="R825" i="2"/>
  <c r="K935" i="2" l="1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E841" i="2"/>
  <c r="AI841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K348" i="2" l="1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  <comment ref="C947" authorId="0" shapeId="0" xr:uid="{B585CF46-400F-414E-BB1C-35096E21D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INUMAN</t>
        </r>
      </text>
    </comment>
    <comment ref="O947" authorId="0" shapeId="0" xr:uid="{64B4CA38-4398-42FE-9D12-1BB21F782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947" authorId="0" shapeId="0" xr:uid="{0DA7CD23-A9C3-456B-B468-24CE0A890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HENSON
BACONG, SALUG</t>
        </r>
      </text>
    </comment>
    <comment ref="C948" authorId="0" shapeId="0" xr:uid="{F0603417-2DB5-4D21-9085-DB1FD627CC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O948" authorId="0" shapeId="0" xr:uid="{2B88BD27-53CA-4A85-ADC5-C04BC55FC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948" authorId="0" shapeId="0" xr:uid="{A7B4BB15-A79C-4566-9640-B5BD05595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949" authorId="0" shapeId="0" xr:uid="{5353882A-FA88-44BB-AB6A-1CFE9BB40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
LABAKID</t>
        </r>
      </text>
    </comment>
    <comment ref="O949" authorId="0" shapeId="0" xr:uid="{9D2276F8-CD5B-47AC-8605-E7F645DF1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RESTO/CHERRY TIJADA
BACUNGAN</t>
        </r>
      </text>
    </comment>
    <comment ref="AA949" authorId="0" shapeId="0" xr:uid="{C319E383-1E0E-47C2-B53E-1C51B3BC9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 SALUG</t>
        </r>
      </text>
    </comment>
    <comment ref="C950" authorId="0" shapeId="0" xr:uid="{F031A376-7A7A-4746-87EC-A3266CC9E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</t>
        </r>
      </text>
    </comment>
    <comment ref="O950" authorId="0" shapeId="0" xr:uid="{A01398D4-77C8-449E-91F2-E00EA16FC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BEBOY'S EATERY
UPPER INUMAN</t>
        </r>
      </text>
    </comment>
    <comment ref="AA950" authorId="0" shapeId="0" xr:uid="{B66F50D5-713D-4568-AA91-739D73F5B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
</t>
        </r>
      </text>
    </comment>
    <comment ref="C951" authorId="0" shapeId="0" xr:uid="{C08FEA34-4473-4696-8A0D-4068802BD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</t>
        </r>
      </text>
    </comment>
    <comment ref="AA951" authorId="0" shapeId="0" xr:uid="{76923A1C-F20F-4418-8B54-A87D15624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POBLACION EAST</t>
        </r>
      </text>
    </comment>
    <comment ref="C952" authorId="0" shapeId="0" xr:uid="{0B52E4E3-2A51-4F83-B81E-25271057F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</t>
        </r>
      </text>
    </comment>
    <comment ref="AA952" authorId="0" shapeId="0" xr:uid="{F17D5D31-976D-4FAF-84D5-EE0E8F3DE6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953" authorId="0" shapeId="0" xr:uid="{7B874656-DC0E-4C10-BDF7-F8014E67B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DENUYAN SIAYAN</t>
        </r>
      </text>
    </comment>
    <comment ref="AA953" authorId="0" shapeId="0" xr:uid="{FCCF0597-7AAF-411D-9076-D75DA7DBBC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BAYBAY LILOY</t>
        </r>
      </text>
    </comment>
    <comment ref="C954" authorId="0" shapeId="0" xr:uid="{DEF239EF-6E28-4B65-AE45-64C2CAB63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A954" authorId="0" shapeId="0" xr:uid="{CCF7577C-824E-4BBF-BE81-F2E693BC9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JANMAEDEYS STORE
CAYOK, LILOY</t>
        </r>
      </text>
    </comment>
    <comment ref="C955" authorId="0" shapeId="0" xr:uid="{8864C25F-658E-4F77-A26C-2F8AA8B5E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 SIAYAN</t>
        </r>
      </text>
    </comment>
    <comment ref="AA955" authorId="0" shapeId="0" xr:uid="{A68CBB60-59D2-452E-868C-87671B94EE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</t>
        </r>
      </text>
    </comment>
    <comment ref="C956" authorId="0" shapeId="0" xr:uid="{6F51A798-6D46-4D79-9F4E-0847024DA8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956" authorId="0" shapeId="0" xr:uid="{E18DFC33-770E-45BA-8AE2-DD96613403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NEZMIN STORE
KAYOK, LILOY</t>
        </r>
      </text>
    </comment>
    <comment ref="AA957" authorId="0" shapeId="0" xr:uid="{880E3B78-C7F1-4CE2-8E4E-86B99F99D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</commentList>
</comments>
</file>

<file path=xl/sharedStrings.xml><?xml version="1.0" encoding="utf-8"?>
<sst xmlns="http://schemas.openxmlformats.org/spreadsheetml/2006/main" count="1141" uniqueCount="95">
  <si>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</si>
  <si>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</si>
  <si>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</si>
  <si>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</si>
  <si>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</si>
  <si>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</si>
  <si>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</si>
  <si>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</si>
  <si>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</si>
  <si>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</si>
  <si>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</si>
  <si>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</si>
  <si>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</si>
  <si>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</si>
  <si>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</si>
  <si>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</si>
  <si>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</si>
  <si>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</si>
  <si>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</si>
  <si>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</si>
  <si>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</si>
  <si>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</si>
  <si>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</si>
  <si>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</si>
  <si>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</si>
  <si>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</si>
  <si>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</si>
  <si>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</si>
  <si>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</si>
  <si>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</si>
  <si>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</si>
  <si>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</si>
  <si>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</si>
  <si>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</si>
  <si>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</si>
  <si>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</si>
  <si>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</si>
  <si>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</si>
  <si>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</si>
  <si>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</si>
  <si>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</si>
  <si>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</si>
  <si>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</si>
  <si>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</si>
  <si>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</si>
  <si>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</si>
  <si>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</si>
  <si>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</si>
  <si>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</si>
  <si>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</si>
  <si>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</si>
  <si>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</si>
  <si>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</si>
  <si>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</si>
  <si>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</si>
  <si>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</si>
  <si>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</si>
  <si>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</si>
  <si>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</si>
  <si>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</si>
  <si>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</si>
  <si>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</si>
  <si>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</si>
  <si>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</si>
  <si>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</si>
  <si>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</si>
  <si>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</si>
  <si>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</si>
  <si>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</si>
  <si>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</si>
  <si>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</si>
  <si>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</si>
  <si>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</si>
  <si>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</si>
  <si>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</si>
  <si>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</si>
  <si>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</si>
  <si>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</si>
  <si>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</si>
  <si>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</si>
  <si>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</si>
  <si>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</si>
  <si>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</si>
  <si>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</si>
  <si>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</si>
  <si>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</si>
  <si>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</si>
  <si>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</si>
  <si>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</si>
  <si>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</si>
  <si>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</si>
  <si>
    <t>JUNE 08, 2026</t>
  </si>
  <si>
    <t>JUNE 24, 2026</t>
  </si>
  <si>
    <t>06/24/2026</t>
  </si>
  <si>
    <t>11160-11169/11082-11085/11111-11121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</si>
</sst>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N25" sqref="N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36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39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46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53</v>
      </c>
      <c r="D15" s="55" t="s">
        <v>53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62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53</v>
      </c>
      <c r="D22" s="55" t="s">
        <v>53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53</v>
      </c>
      <c r="D29" s="55" t="s">
        <v>53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86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89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 t="s">
        <v>94</v>
      </c>
      <c r="D33" s="16">
        <f t="shared" si="4"/>
        <v>868821</v>
      </c>
      <c r="E33" s="15"/>
      <c r="F33" s="15">
        <v>246790</v>
      </c>
      <c r="G33" s="14">
        <v>219115</v>
      </c>
      <c r="H33" s="14">
        <v>402916</v>
      </c>
      <c r="I33" s="14"/>
      <c r="J33" s="17">
        <f t="shared" si="1"/>
        <v>868821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13625431.940000001</v>
      </c>
      <c r="J42" s="49">
        <f>SUM(J10:J41)</f>
        <v>13625431.940000001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970" zoomScaleNormal="100" workbookViewId="0">
      <selection activeCell="C1000" sqref="C100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64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64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64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38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5"/>
      <c r="G10" s="27"/>
      <c r="I10" s="118" t="s">
        <v>18</v>
      </c>
      <c r="J10" s="119"/>
      <c r="K10" s="116" t="s">
        <v>19</v>
      </c>
      <c r="N10" s="25"/>
      <c r="O10" s="26"/>
      <c r="P10" s="120" t="s">
        <v>17</v>
      </c>
      <c r="Q10" s="120"/>
      <c r="R10" s="75"/>
      <c r="S10" s="27"/>
      <c r="U10" s="118" t="s">
        <v>18</v>
      </c>
      <c r="V10" s="119"/>
      <c r="W10" s="116" t="s">
        <v>19</v>
      </c>
      <c r="Z10" s="25"/>
      <c r="AA10" s="26"/>
      <c r="AB10" s="120" t="s">
        <v>17</v>
      </c>
      <c r="AC10" s="120"/>
      <c r="AD10" s="75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0" t="s">
        <v>17</v>
      </c>
      <c r="E65" s="120"/>
      <c r="F65" s="89"/>
      <c r="G65" s="27"/>
      <c r="I65" s="118" t="s">
        <v>18</v>
      </c>
      <c r="J65" s="119"/>
      <c r="K65" s="116" t="s">
        <v>19</v>
      </c>
      <c r="N65" s="25"/>
      <c r="O65" s="26"/>
      <c r="P65" s="120" t="s">
        <v>17</v>
      </c>
      <c r="Q65" s="120"/>
      <c r="R65" s="89"/>
      <c r="S65" s="27"/>
      <c r="U65" s="118" t="s">
        <v>18</v>
      </c>
      <c r="V65" s="119"/>
      <c r="W65" s="116" t="s">
        <v>19</v>
      </c>
      <c r="Z65" s="25"/>
      <c r="AA65" s="26"/>
      <c r="AB65" s="120" t="s">
        <v>17</v>
      </c>
      <c r="AC65" s="120"/>
      <c r="AD65" s="89"/>
      <c r="AE65" s="27"/>
      <c r="AG65" s="118" t="s">
        <v>18</v>
      </c>
      <c r="AH65" s="119"/>
      <c r="AI65" s="11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2"/>
      <c r="AO67" s="122"/>
      <c r="AP67" s="86"/>
      <c r="AQ67" s="62"/>
      <c r="AR67" s="122"/>
      <c r="AS67" s="122"/>
      <c r="AT67" s="12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7"/>
      <c r="O112" s="87"/>
      <c r="P112" s="87"/>
      <c r="Q112" s="87"/>
      <c r="R112" s="87"/>
      <c r="S112" s="87"/>
      <c r="T112" s="62"/>
      <c r="U112" s="62"/>
      <c r="V112" s="62"/>
      <c r="W112" s="62"/>
      <c r="X112" s="62"/>
      <c r="Y112" s="62"/>
      <c r="Z112" s="87"/>
      <c r="AA112" s="87"/>
      <c r="AB112" s="87"/>
      <c r="AC112" s="87"/>
      <c r="AD112" s="87"/>
      <c r="AE112" s="87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87"/>
      <c r="O113" s="87"/>
      <c r="P113" s="87"/>
      <c r="Q113" s="87"/>
      <c r="R113" s="87"/>
      <c r="S113" s="87"/>
      <c r="T113" s="62"/>
      <c r="U113" s="62"/>
      <c r="V113" s="62"/>
      <c r="W113" s="62"/>
      <c r="X113" s="62"/>
      <c r="Y113" s="62"/>
      <c r="Z113" s="87"/>
      <c r="AA113" s="87"/>
      <c r="AB113" s="87"/>
      <c r="AC113" s="87"/>
      <c r="AD113" s="87"/>
      <c r="AE113" s="87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7"/>
      <c r="O114" s="87"/>
      <c r="P114" s="87"/>
      <c r="Q114" s="87"/>
      <c r="R114" s="87"/>
      <c r="S114" s="87"/>
      <c r="T114" s="62"/>
      <c r="U114" s="62"/>
      <c r="V114" s="62"/>
      <c r="W114" s="62"/>
      <c r="X114" s="62"/>
      <c r="Y114" s="62"/>
      <c r="Z114" s="87"/>
      <c r="AA114" s="87"/>
      <c r="AB114" s="87"/>
      <c r="AC114" s="87"/>
      <c r="AD114" s="87"/>
      <c r="AE114" s="87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87"/>
      <c r="O115" s="87"/>
      <c r="P115" s="87"/>
      <c r="Q115" s="87"/>
      <c r="R115" s="87"/>
      <c r="S115" s="87"/>
      <c r="T115" s="62"/>
      <c r="U115" s="62"/>
      <c r="V115" s="62"/>
      <c r="W115" s="62"/>
      <c r="X115" s="62"/>
      <c r="Y115" s="63"/>
      <c r="Z115" s="87"/>
      <c r="AA115" s="87"/>
      <c r="AB115" s="87"/>
      <c r="AC115" s="87"/>
      <c r="AD115" s="87"/>
      <c r="AE115" s="87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7"/>
      <c r="O116" s="87"/>
      <c r="P116" s="87"/>
      <c r="Q116" s="87"/>
      <c r="R116" s="87"/>
      <c r="S116" s="87"/>
      <c r="T116" s="62"/>
      <c r="U116" s="62"/>
      <c r="V116" s="62"/>
      <c r="W116" s="62"/>
      <c r="X116" s="62"/>
      <c r="Y116" s="62"/>
      <c r="Z116" s="87"/>
      <c r="AA116" s="87"/>
      <c r="AB116" s="87"/>
      <c r="AC116" s="87"/>
      <c r="AD116" s="87"/>
      <c r="AE116" s="87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87"/>
      <c r="O117" s="87"/>
      <c r="P117" s="87"/>
      <c r="Q117" s="87"/>
      <c r="R117" s="87"/>
      <c r="S117" s="87"/>
      <c r="T117" s="62"/>
      <c r="U117" s="87"/>
      <c r="V117" s="73"/>
      <c r="W117" s="62"/>
      <c r="X117" s="62"/>
      <c r="Y117" s="62"/>
      <c r="Z117" s="87"/>
      <c r="AA117" s="87"/>
      <c r="AB117" s="87"/>
      <c r="AC117" s="87"/>
      <c r="AD117" s="87"/>
      <c r="AE117" s="87"/>
      <c r="AF117" s="62"/>
      <c r="AG117" s="87"/>
      <c r="AH117" s="87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42</v>
      </c>
      <c r="K118" s="24"/>
      <c r="M118" s="64"/>
      <c r="N118" s="87"/>
      <c r="O118" s="87"/>
      <c r="P118" s="87"/>
      <c r="Q118" s="87"/>
      <c r="R118" s="87"/>
      <c r="S118" s="87"/>
      <c r="T118" s="62"/>
      <c r="U118" s="65"/>
      <c r="V118" s="65"/>
      <c r="W118" s="62"/>
      <c r="X118" s="62"/>
      <c r="Y118" s="64"/>
      <c r="Z118" s="87"/>
      <c r="AA118" s="87"/>
      <c r="AB118" s="87"/>
      <c r="AC118" s="87"/>
      <c r="AD118" s="87"/>
      <c r="AE118" s="87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7"/>
      <c r="O119" s="87"/>
      <c r="P119" s="87"/>
      <c r="Q119" s="87"/>
      <c r="R119" s="87"/>
      <c r="S119" s="87"/>
      <c r="T119" s="62"/>
      <c r="U119" s="62"/>
      <c r="V119" s="62"/>
      <c r="W119" s="62"/>
      <c r="X119" s="62"/>
      <c r="Y119" s="62"/>
      <c r="Z119" s="87"/>
      <c r="AA119" s="87"/>
      <c r="AB119" s="87"/>
      <c r="AC119" s="87"/>
      <c r="AD119" s="87"/>
      <c r="AE119" s="87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0"/>
      <c r="G120" s="27"/>
      <c r="I120" s="118" t="s">
        <v>18</v>
      </c>
      <c r="J120" s="119"/>
      <c r="K120" s="116" t="s">
        <v>19</v>
      </c>
      <c r="M120" s="62"/>
      <c r="N120" s="65"/>
      <c r="O120" s="87"/>
      <c r="P120" s="122"/>
      <c r="Q120" s="122"/>
      <c r="R120" s="87"/>
      <c r="S120" s="87"/>
      <c r="T120" s="62"/>
      <c r="U120" s="122"/>
      <c r="V120" s="122"/>
      <c r="W120" s="121"/>
      <c r="X120" s="62"/>
      <c r="Y120" s="62"/>
      <c r="Z120" s="65"/>
      <c r="AA120" s="87"/>
      <c r="AB120" s="122"/>
      <c r="AC120" s="122"/>
      <c r="AD120" s="87"/>
      <c r="AE120" s="87"/>
      <c r="AF120" s="62"/>
      <c r="AG120" s="122"/>
      <c r="AH120" s="122"/>
      <c r="AI120" s="121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7"/>
      <c r="M121" s="62"/>
      <c r="N121" s="87"/>
      <c r="O121" s="87"/>
      <c r="P121" s="79"/>
      <c r="Q121" s="81"/>
      <c r="R121" s="81"/>
      <c r="S121" s="81"/>
      <c r="T121" s="62"/>
      <c r="U121" s="88"/>
      <c r="V121" s="88"/>
      <c r="W121" s="121"/>
      <c r="X121" s="62"/>
      <c r="Y121" s="62"/>
      <c r="Z121" s="87"/>
      <c r="AA121" s="87"/>
      <c r="AB121" s="79"/>
      <c r="AC121" s="81"/>
      <c r="AD121" s="81"/>
      <c r="AE121" s="81"/>
      <c r="AF121" s="62"/>
      <c r="AG121" s="88"/>
      <c r="AH121" s="88"/>
      <c r="AI121" s="121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87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7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87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7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87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7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87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7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87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7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87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7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87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7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87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7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7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87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7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87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87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7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87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7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87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7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87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7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87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7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87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7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87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7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87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87"/>
      <c r="P142" s="67"/>
      <c r="Q142" s="87"/>
      <c r="R142" s="87"/>
      <c r="S142" s="60"/>
      <c r="T142" s="62"/>
      <c r="U142" s="62"/>
      <c r="V142" s="62"/>
      <c r="W142" s="61"/>
      <c r="X142" s="62"/>
      <c r="Y142" s="62"/>
      <c r="Z142" s="66"/>
      <c r="AA142" s="87"/>
      <c r="AB142" s="67"/>
      <c r="AC142" s="87"/>
      <c r="AD142" s="87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87"/>
      <c r="P143" s="68"/>
      <c r="Q143" s="87"/>
      <c r="R143" s="87"/>
      <c r="S143" s="60"/>
      <c r="T143" s="62"/>
      <c r="U143" s="62"/>
      <c r="V143" s="62"/>
      <c r="W143" s="61"/>
      <c r="X143" s="62"/>
      <c r="Y143" s="62"/>
      <c r="Z143" s="66"/>
      <c r="AA143" s="87"/>
      <c r="AB143" s="68"/>
      <c r="AC143" s="87"/>
      <c r="AD143" s="87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87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7"/>
      <c r="AB144" s="69"/>
      <c r="AC144" s="87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87"/>
      <c r="P145" s="69"/>
      <c r="Q145" s="87"/>
      <c r="R145" s="87"/>
      <c r="S145" s="60"/>
      <c r="T145" s="62"/>
      <c r="U145" s="62"/>
      <c r="V145" s="62"/>
      <c r="W145" s="61"/>
      <c r="X145" s="62"/>
      <c r="Y145" s="62"/>
      <c r="Z145" s="66"/>
      <c r="AA145" s="87"/>
      <c r="AB145" s="69"/>
      <c r="AC145" s="87"/>
      <c r="AD145" s="87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87"/>
      <c r="P146" s="69"/>
      <c r="Q146" s="87"/>
      <c r="R146" s="87"/>
      <c r="S146" s="60"/>
      <c r="T146" s="62"/>
      <c r="U146" s="62"/>
      <c r="V146" s="62"/>
      <c r="W146" s="61"/>
      <c r="X146" s="62"/>
      <c r="Y146" s="62"/>
      <c r="Z146" s="66"/>
      <c r="AA146" s="87"/>
      <c r="AB146" s="69"/>
      <c r="AC146" s="87"/>
      <c r="AD146" s="87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87"/>
      <c r="P147" s="69"/>
      <c r="Q147" s="87"/>
      <c r="R147" s="87"/>
      <c r="S147" s="60"/>
      <c r="T147" s="62"/>
      <c r="U147" s="62"/>
      <c r="V147" s="62"/>
      <c r="W147" s="61"/>
      <c r="X147" s="62"/>
      <c r="Y147" s="62"/>
      <c r="Z147" s="66"/>
      <c r="AA147" s="87"/>
      <c r="AB147" s="69"/>
      <c r="AC147" s="87"/>
      <c r="AD147" s="87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87"/>
      <c r="P148" s="69"/>
      <c r="Q148" s="87"/>
      <c r="R148" s="87"/>
      <c r="S148" s="60"/>
      <c r="T148" s="62"/>
      <c r="U148" s="62"/>
      <c r="V148" s="62"/>
      <c r="W148" s="61"/>
      <c r="X148" s="62"/>
      <c r="Y148" s="62"/>
      <c r="Z148" s="66"/>
      <c r="AA148" s="87"/>
      <c r="AB148" s="69"/>
      <c r="AC148" s="87"/>
      <c r="AD148" s="87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87"/>
      <c r="P149" s="69"/>
      <c r="Q149" s="87"/>
      <c r="R149" s="87"/>
      <c r="S149" s="60"/>
      <c r="T149" s="62"/>
      <c r="U149" s="62"/>
      <c r="V149" s="62"/>
      <c r="W149" s="61"/>
      <c r="X149" s="62"/>
      <c r="Y149" s="62"/>
      <c r="Z149" s="66"/>
      <c r="AA149" s="87"/>
      <c r="AB149" s="69"/>
      <c r="AC149" s="87"/>
      <c r="AD149" s="87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87"/>
      <c r="P150" s="69"/>
      <c r="Q150" s="87"/>
      <c r="R150" s="87"/>
      <c r="S150" s="60"/>
      <c r="T150" s="62"/>
      <c r="U150" s="62"/>
      <c r="V150" s="62"/>
      <c r="W150" s="61"/>
      <c r="X150" s="62"/>
      <c r="Y150" s="62"/>
      <c r="Z150" s="66"/>
      <c r="AA150" s="87"/>
      <c r="AB150" s="69"/>
      <c r="AC150" s="87"/>
      <c r="AD150" s="87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87"/>
      <c r="P151" s="69"/>
      <c r="Q151" s="87"/>
      <c r="R151" s="87"/>
      <c r="S151" s="60"/>
      <c r="T151" s="62"/>
      <c r="U151" s="62"/>
      <c r="V151" s="62"/>
      <c r="W151" s="61"/>
      <c r="X151" s="62"/>
      <c r="Y151" s="62"/>
      <c r="Z151" s="66"/>
      <c r="AA151" s="87"/>
      <c r="AB151" s="69"/>
      <c r="AC151" s="87"/>
      <c r="AD151" s="87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87"/>
      <c r="P152" s="69"/>
      <c r="Q152" s="87"/>
      <c r="R152" s="87"/>
      <c r="S152" s="60"/>
      <c r="T152" s="62"/>
      <c r="U152" s="62"/>
      <c r="V152" s="62"/>
      <c r="W152" s="61"/>
      <c r="X152" s="62"/>
      <c r="Y152" s="62"/>
      <c r="Z152" s="66"/>
      <c r="AA152" s="87"/>
      <c r="AB152" s="69"/>
      <c r="AC152" s="87"/>
      <c r="AD152" s="87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87"/>
      <c r="P153" s="69"/>
      <c r="Q153" s="87"/>
      <c r="R153" s="87"/>
      <c r="S153" s="60"/>
      <c r="T153" s="62"/>
      <c r="U153" s="62"/>
      <c r="V153" s="62"/>
      <c r="W153" s="61"/>
      <c r="X153" s="62"/>
      <c r="Y153" s="62"/>
      <c r="Z153" s="66"/>
      <c r="AA153" s="87"/>
      <c r="AB153" s="69"/>
      <c r="AC153" s="87"/>
      <c r="AD153" s="87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87"/>
      <c r="P154" s="69"/>
      <c r="Q154" s="87"/>
      <c r="R154" s="87"/>
      <c r="S154" s="60"/>
      <c r="T154" s="62"/>
      <c r="U154" s="62"/>
      <c r="V154" s="62"/>
      <c r="W154" s="61"/>
      <c r="X154" s="62"/>
      <c r="Y154" s="62"/>
      <c r="Z154" s="66"/>
      <c r="AA154" s="87"/>
      <c r="AB154" s="69"/>
      <c r="AC154" s="87"/>
      <c r="AD154" s="87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87"/>
      <c r="P155" s="69"/>
      <c r="Q155" s="87"/>
      <c r="R155" s="87"/>
      <c r="S155" s="60"/>
      <c r="T155" s="62"/>
      <c r="U155" s="62"/>
      <c r="V155" s="62"/>
      <c r="W155" s="61"/>
      <c r="X155" s="62"/>
      <c r="Y155" s="62"/>
      <c r="Z155" s="66"/>
      <c r="AA155" s="87"/>
      <c r="AB155" s="69"/>
      <c r="AC155" s="87"/>
      <c r="AD155" s="87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7"/>
      <c r="P156" s="69"/>
      <c r="Q156" s="87"/>
      <c r="R156" s="87"/>
      <c r="S156" s="60"/>
      <c r="T156" s="62"/>
      <c r="U156" s="62"/>
      <c r="V156" s="62"/>
      <c r="W156" s="61"/>
      <c r="X156" s="62"/>
      <c r="Y156" s="62"/>
      <c r="Z156" s="66"/>
      <c r="AA156" s="87"/>
      <c r="AB156" s="69"/>
      <c r="AC156" s="87"/>
      <c r="AD156" s="87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7"/>
      <c r="P157" s="69"/>
      <c r="Q157" s="87"/>
      <c r="R157" s="87"/>
      <c r="S157" s="60"/>
      <c r="T157" s="62"/>
      <c r="U157" s="62"/>
      <c r="V157" s="62"/>
      <c r="W157" s="61"/>
      <c r="X157" s="62"/>
      <c r="Y157" s="62"/>
      <c r="Z157" s="66"/>
      <c r="AA157" s="87"/>
      <c r="AB157" s="69"/>
      <c r="AC157" s="87"/>
      <c r="AD157" s="87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7"/>
      <c r="R158" s="87"/>
      <c r="S158" s="60"/>
      <c r="T158" s="62"/>
      <c r="U158" s="62"/>
      <c r="V158" s="62"/>
      <c r="W158" s="61"/>
      <c r="X158" s="62"/>
      <c r="Y158" s="62"/>
      <c r="Z158" s="66"/>
      <c r="AA158" s="87"/>
      <c r="AB158" s="69"/>
      <c r="AC158" s="87"/>
      <c r="AD158" s="87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7"/>
      <c r="P159" s="69"/>
      <c r="Q159" s="87"/>
      <c r="R159" s="87"/>
      <c r="S159" s="60"/>
      <c r="T159" s="62"/>
      <c r="U159" s="62"/>
      <c r="V159" s="62"/>
      <c r="W159" s="61"/>
      <c r="X159" s="62"/>
      <c r="Y159" s="62"/>
      <c r="Z159" s="66"/>
      <c r="AA159" s="87"/>
      <c r="AB159" s="69"/>
      <c r="AC159" s="87"/>
      <c r="AD159" s="87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7"/>
      <c r="P160" s="69"/>
      <c r="Q160" s="87"/>
      <c r="R160" s="87"/>
      <c r="S160" s="60"/>
      <c r="T160" s="62"/>
      <c r="U160" s="62"/>
      <c r="V160" s="62"/>
      <c r="W160" s="61"/>
      <c r="X160" s="62"/>
      <c r="Y160" s="62"/>
      <c r="Z160" s="66"/>
      <c r="AA160" s="87"/>
      <c r="AB160" s="69"/>
      <c r="AC160" s="87"/>
      <c r="AD160" s="87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7"/>
      <c r="R161" s="87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7"/>
      <c r="AD161" s="87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87"/>
      <c r="P162" s="69"/>
      <c r="Q162" s="87"/>
      <c r="R162" s="87"/>
      <c r="S162" s="60"/>
      <c r="T162" s="62"/>
      <c r="U162" s="62"/>
      <c r="V162" s="62"/>
      <c r="W162" s="61"/>
      <c r="X162" s="62"/>
      <c r="Y162" s="62"/>
      <c r="Z162" s="66"/>
      <c r="AA162" s="87"/>
      <c r="AB162" s="69"/>
      <c r="AC162" s="87"/>
      <c r="AD162" s="87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7"/>
      <c r="O163" s="87"/>
      <c r="P163" s="87"/>
      <c r="Q163" s="87"/>
      <c r="R163" s="87"/>
      <c r="S163" s="87"/>
      <c r="T163" s="62"/>
      <c r="U163" s="62"/>
      <c r="V163" s="62"/>
      <c r="W163" s="61"/>
      <c r="X163" s="62"/>
      <c r="Y163" s="62"/>
      <c r="Z163" s="87"/>
      <c r="AA163" s="87"/>
      <c r="AB163" s="87"/>
      <c r="AC163" s="87"/>
      <c r="AD163" s="87"/>
      <c r="AE163" s="87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7"/>
      <c r="O164" s="87"/>
      <c r="P164" s="87"/>
      <c r="Q164" s="87"/>
      <c r="R164" s="87"/>
      <c r="S164" s="87"/>
      <c r="T164" s="62"/>
      <c r="U164" s="62"/>
      <c r="V164" s="62"/>
      <c r="W164" s="62"/>
      <c r="X164" s="62"/>
      <c r="Y164" s="62"/>
      <c r="Z164" s="87"/>
      <c r="AA164" s="87"/>
      <c r="AB164" s="87"/>
      <c r="AC164" s="87"/>
      <c r="AD164" s="87"/>
      <c r="AE164" s="87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87"/>
      <c r="O165" s="87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7"/>
      <c r="AA165" s="87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42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91"/>
      <c r="G175" s="27"/>
      <c r="I175" s="118" t="s">
        <v>18</v>
      </c>
      <c r="J175" s="119"/>
      <c r="K175" s="116" t="s">
        <v>19</v>
      </c>
      <c r="N175" s="25"/>
      <c r="O175" s="26"/>
      <c r="P175" s="120" t="s">
        <v>17</v>
      </c>
      <c r="Q175" s="120"/>
      <c r="R175" s="91"/>
      <c r="S175" s="27"/>
      <c r="U175" s="118" t="s">
        <v>18</v>
      </c>
      <c r="V175" s="119"/>
      <c r="W175" s="116" t="s">
        <v>19</v>
      </c>
      <c r="Z175" s="25"/>
      <c r="AA175" s="26"/>
      <c r="AB175" s="120" t="s">
        <v>17</v>
      </c>
      <c r="AC175" s="120"/>
      <c r="AD175" s="91"/>
      <c r="AE175" s="27"/>
      <c r="AG175" s="118" t="s">
        <v>18</v>
      </c>
      <c r="AH175" s="119"/>
      <c r="AI175" s="11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2"/>
      <c r="AO181" s="122"/>
      <c r="AP181" s="86"/>
      <c r="AQ181" s="62"/>
      <c r="AR181" s="122"/>
      <c r="AS181" s="122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3"/>
      <c r="K227" s="62"/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122"/>
      <c r="E230" s="122"/>
      <c r="F230" s="93"/>
      <c r="G230" s="93"/>
      <c r="H230" s="62"/>
      <c r="I230" s="122"/>
      <c r="J230" s="122"/>
      <c r="K230" s="121"/>
      <c r="N230" s="25"/>
      <c r="O230" s="26"/>
      <c r="P230" s="120" t="s">
        <v>17</v>
      </c>
      <c r="Q230" s="120"/>
      <c r="R230" s="94"/>
      <c r="S230" s="27"/>
      <c r="U230" s="118" t="s">
        <v>18</v>
      </c>
      <c r="V230" s="119"/>
      <c r="W230" s="116" t="s">
        <v>19</v>
      </c>
      <c r="Z230" s="25"/>
      <c r="AA230" s="26"/>
      <c r="AB230" s="120" t="s">
        <v>17</v>
      </c>
      <c r="AC230" s="120"/>
      <c r="AD230" s="94"/>
      <c r="AE230" s="27"/>
      <c r="AG230" s="118" t="s">
        <v>18</v>
      </c>
      <c r="AH230" s="119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3"/>
      <c r="C231" s="93"/>
      <c r="D231" s="79"/>
      <c r="E231" s="80"/>
      <c r="F231" s="81"/>
      <c r="G231" s="81"/>
      <c r="H231" s="62"/>
      <c r="I231" s="92"/>
      <c r="J231" s="92"/>
      <c r="K231" s="121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3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M282" t="s">
        <v>64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64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M283" s="21" t="s">
        <v>91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91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122"/>
      <c r="E285" s="122"/>
      <c r="F285" s="87"/>
      <c r="G285" s="87"/>
      <c r="H285" s="62"/>
      <c r="I285" s="122"/>
      <c r="J285" s="122"/>
      <c r="K285" s="121"/>
      <c r="N285" s="25"/>
      <c r="O285" s="26"/>
      <c r="P285" s="120" t="s">
        <v>17</v>
      </c>
      <c r="Q285" s="120"/>
      <c r="R285" s="95"/>
      <c r="S285" s="27"/>
      <c r="U285" s="118" t="s">
        <v>18</v>
      </c>
      <c r="V285" s="119"/>
      <c r="W285" s="116" t="s">
        <v>19</v>
      </c>
      <c r="Z285" s="25"/>
      <c r="AA285" s="26"/>
      <c r="AB285" s="120" t="s">
        <v>17</v>
      </c>
      <c r="AC285" s="120"/>
      <c r="AD285" s="95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121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42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96"/>
      <c r="G340" s="27"/>
      <c r="I340" s="118" t="s">
        <v>18</v>
      </c>
      <c r="J340" s="119"/>
      <c r="K340" s="116" t="s">
        <v>19</v>
      </c>
      <c r="N340" s="25"/>
      <c r="O340" s="26"/>
      <c r="P340" s="120" t="s">
        <v>17</v>
      </c>
      <c r="Q340" s="120"/>
      <c r="R340" s="96"/>
      <c r="S340" s="27"/>
      <c r="U340" s="118" t="s">
        <v>18</v>
      </c>
      <c r="V340" s="119"/>
      <c r="W340" s="116" t="s">
        <v>19</v>
      </c>
      <c r="Z340" s="25"/>
      <c r="AA340" s="26"/>
      <c r="AB340" s="120" t="s">
        <v>17</v>
      </c>
      <c r="AC340" s="120"/>
      <c r="AD340" s="96"/>
      <c r="AE340" s="27"/>
      <c r="AG340" s="118" t="s">
        <v>18</v>
      </c>
      <c r="AH340" s="119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44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42</v>
      </c>
      <c r="K393" s="24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58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97"/>
      <c r="G395" s="27"/>
      <c r="I395" s="118" t="s">
        <v>18</v>
      </c>
      <c r="J395" s="119"/>
      <c r="K395" s="116" t="s">
        <v>19</v>
      </c>
      <c r="M395" s="62"/>
      <c r="N395" s="65"/>
      <c r="O395" s="87"/>
      <c r="P395" s="122"/>
      <c r="Q395" s="122"/>
      <c r="R395" s="87"/>
      <c r="S395" s="87"/>
      <c r="T395" s="62"/>
      <c r="U395" s="122"/>
      <c r="V395" s="122"/>
      <c r="W395" s="121"/>
      <c r="Z395" s="25"/>
      <c r="AA395" s="26"/>
      <c r="AB395" s="120" t="s">
        <v>17</v>
      </c>
      <c r="AC395" s="120"/>
      <c r="AD395" s="97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7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1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42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22"/>
      <c r="E450" s="122"/>
      <c r="F450" s="87"/>
      <c r="G450" s="87"/>
      <c r="H450" s="62"/>
      <c r="I450" s="122"/>
      <c r="J450" s="122"/>
      <c r="K450" s="121"/>
      <c r="N450" s="25"/>
      <c r="O450" s="26"/>
      <c r="P450" s="120" t="s">
        <v>17</v>
      </c>
      <c r="Q450" s="120"/>
      <c r="R450" s="98"/>
      <c r="S450" s="27"/>
      <c r="U450" s="118" t="s">
        <v>18</v>
      </c>
      <c r="V450" s="119"/>
      <c r="W450" s="116" t="s">
        <v>19</v>
      </c>
      <c r="Z450" s="25"/>
      <c r="AA450" s="26"/>
      <c r="AB450" s="120" t="s">
        <v>17</v>
      </c>
      <c r="AC450" s="120"/>
      <c r="AD450" s="98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21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0"/>
      <c r="AA497" s="100"/>
      <c r="AB497" s="100"/>
      <c r="AC497" s="100"/>
      <c r="AD497" s="100"/>
      <c r="AE497" s="10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0"/>
      <c r="AA498" s="100"/>
      <c r="AB498" s="100"/>
      <c r="AC498" s="100"/>
      <c r="AD498" s="100"/>
      <c r="AE498" s="10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0"/>
      <c r="AA499" s="100"/>
      <c r="AB499" s="100"/>
      <c r="AC499" s="100"/>
      <c r="AD499" s="100"/>
      <c r="AE499" s="10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0"/>
      <c r="AA500" s="100"/>
      <c r="AB500" s="100"/>
      <c r="AC500" s="100"/>
      <c r="AD500" s="100"/>
      <c r="AE500" s="10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0"/>
      <c r="AA501" s="100"/>
      <c r="AB501" s="100"/>
      <c r="AC501" s="100"/>
      <c r="AD501" s="100"/>
      <c r="AE501" s="100"/>
      <c r="AF501" s="62"/>
      <c r="AG501" s="100"/>
      <c r="AH501" s="100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50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0"/>
      <c r="AA502" s="100"/>
      <c r="AB502" s="100"/>
      <c r="AC502" s="100"/>
      <c r="AD502" s="100"/>
      <c r="AE502" s="100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90</v>
      </c>
      <c r="B503" s="20"/>
      <c r="C503" s="57"/>
      <c r="D503" s="57"/>
      <c r="E503" s="57"/>
      <c r="G503" s="57"/>
      <c r="I503" s="22" t="s">
        <v>16</v>
      </c>
      <c r="J503" s="23" t="s">
        <v>42</v>
      </c>
      <c r="K503" s="24"/>
      <c r="M503" s="21" t="s">
        <v>90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0"/>
      <c r="AA503" s="100"/>
      <c r="AB503" s="100"/>
      <c r="AC503" s="100"/>
      <c r="AD503" s="100"/>
      <c r="AE503" s="100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0"/>
      <c r="AB504" s="122"/>
      <c r="AC504" s="122"/>
      <c r="AD504" s="100"/>
      <c r="AE504" s="100"/>
      <c r="AF504" s="62"/>
      <c r="AG504" s="122"/>
      <c r="AH504" s="122"/>
      <c r="AI504" s="121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0" t="s">
        <v>17</v>
      </c>
      <c r="E505" s="120"/>
      <c r="F505" s="101"/>
      <c r="G505" s="27"/>
      <c r="I505" s="118" t="s">
        <v>18</v>
      </c>
      <c r="J505" s="119"/>
      <c r="K505" s="116" t="s">
        <v>19</v>
      </c>
      <c r="N505" s="25"/>
      <c r="O505" s="26"/>
      <c r="P505" s="120" t="s">
        <v>17</v>
      </c>
      <c r="Q505" s="120"/>
      <c r="R505" s="101"/>
      <c r="S505" s="27"/>
      <c r="U505" s="118" t="s">
        <v>18</v>
      </c>
      <c r="V505" s="119"/>
      <c r="W505" s="116" t="s">
        <v>19</v>
      </c>
      <c r="Y505" s="62"/>
      <c r="Z505" s="100"/>
      <c r="AA505" s="100"/>
      <c r="AB505" s="79"/>
      <c r="AC505" s="81"/>
      <c r="AD505" s="81"/>
      <c r="AE505" s="81"/>
      <c r="AF505" s="62"/>
      <c r="AG505" s="99"/>
      <c r="AH505" s="99"/>
      <c r="AI505" s="12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7"/>
      <c r="Y506" s="62"/>
      <c r="Z506" s="66"/>
      <c r="AA506" s="100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0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0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0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0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0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0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0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0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0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0"/>
      <c r="AB526" s="67"/>
      <c r="AC526" s="100"/>
      <c r="AD526" s="100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0"/>
      <c r="AB527" s="68"/>
      <c r="AC527" s="100"/>
      <c r="AD527" s="10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0"/>
      <c r="AB528" s="69"/>
      <c r="AC528" s="100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0"/>
      <c r="AB529" s="69"/>
      <c r="AC529" s="100"/>
      <c r="AD529" s="100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0"/>
      <c r="AB530" s="69"/>
      <c r="AC530" s="100"/>
      <c r="AD530" s="10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0"/>
      <c r="AB531" s="69"/>
      <c r="AC531" s="100"/>
      <c r="AD531" s="10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0"/>
      <c r="AB532" s="69"/>
      <c r="AC532" s="100"/>
      <c r="AD532" s="10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0"/>
      <c r="AB533" s="69"/>
      <c r="AC533" s="100"/>
      <c r="AD533" s="10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0"/>
      <c r="AB534" s="69"/>
      <c r="AC534" s="100"/>
      <c r="AD534" s="10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0"/>
      <c r="AB535" s="69"/>
      <c r="AC535" s="100"/>
      <c r="AD535" s="10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0"/>
      <c r="AB536" s="69"/>
      <c r="AC536" s="100"/>
      <c r="AD536" s="10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0"/>
      <c r="AB537" s="69"/>
      <c r="AC537" s="100"/>
      <c r="AD537" s="10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0"/>
      <c r="AB538" s="69"/>
      <c r="AC538" s="100"/>
      <c r="AD538" s="10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0"/>
      <c r="AB539" s="69"/>
      <c r="AC539" s="100"/>
      <c r="AD539" s="10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0"/>
      <c r="AB540" s="69"/>
      <c r="AC540" s="100"/>
      <c r="AD540" s="10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0"/>
      <c r="AB541" s="69"/>
      <c r="AC541" s="100"/>
      <c r="AD541" s="10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0"/>
      <c r="AB542" s="69"/>
      <c r="AC542" s="100"/>
      <c r="AD542" s="10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0"/>
      <c r="AB543" s="69"/>
      <c r="AC543" s="100"/>
      <c r="AD543" s="10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0"/>
      <c r="AB544" s="69"/>
      <c r="AC544" s="100"/>
      <c r="AD544" s="10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0"/>
      <c r="AD545" s="10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0"/>
      <c r="AB546" s="69"/>
      <c r="AC546" s="100"/>
      <c r="AD546" s="10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0"/>
      <c r="AA547" s="100"/>
      <c r="AB547" s="100"/>
      <c r="AC547" s="100"/>
      <c r="AD547" s="100"/>
      <c r="AE547" s="10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0"/>
      <c r="AA548" s="100"/>
      <c r="AB548" s="100"/>
      <c r="AC548" s="100"/>
      <c r="AD548" s="100"/>
      <c r="AE548" s="100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0"/>
      <c r="AA549" s="100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64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42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0" t="s">
        <v>17</v>
      </c>
      <c r="E560" s="120"/>
      <c r="F560" s="102"/>
      <c r="G560" s="27"/>
      <c r="I560" s="118" t="s">
        <v>18</v>
      </c>
      <c r="J560" s="119"/>
      <c r="K560" s="116" t="s">
        <v>19</v>
      </c>
      <c r="N560" s="25"/>
      <c r="O560" s="26"/>
      <c r="P560" s="120" t="s">
        <v>17</v>
      </c>
      <c r="Q560" s="120"/>
      <c r="R560" s="102"/>
      <c r="S560" s="27"/>
      <c r="U560" s="118" t="s">
        <v>18</v>
      </c>
      <c r="V560" s="119"/>
      <c r="W560" s="116" t="s">
        <v>19</v>
      </c>
      <c r="Z560" s="25"/>
      <c r="AA560" s="26"/>
      <c r="AB560" s="120" t="s">
        <v>17</v>
      </c>
      <c r="AC560" s="120"/>
      <c r="AD560" s="102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66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66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66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66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67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67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68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69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70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71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40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40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40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72</v>
      </c>
      <c r="B613" s="20"/>
      <c r="C613" s="57"/>
      <c r="D613" s="57"/>
      <c r="E613" s="57"/>
      <c r="G613" s="57"/>
      <c r="I613" s="22" t="s">
        <v>16</v>
      </c>
      <c r="J613" s="23" t="s">
        <v>42</v>
      </c>
      <c r="K613" s="24"/>
      <c r="M613" s="21" t="s">
        <v>72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72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0" t="s">
        <v>17</v>
      </c>
      <c r="E615" s="120"/>
      <c r="F615" s="103"/>
      <c r="G615" s="27"/>
      <c r="I615" s="118" t="s">
        <v>18</v>
      </c>
      <c r="J615" s="119"/>
      <c r="K615" s="116" t="s">
        <v>19</v>
      </c>
      <c r="N615" s="25"/>
      <c r="O615" s="26"/>
      <c r="P615" s="120" t="s">
        <v>17</v>
      </c>
      <c r="Q615" s="120"/>
      <c r="R615" s="103"/>
      <c r="S615" s="27"/>
      <c r="U615" s="118" t="s">
        <v>18</v>
      </c>
      <c r="V615" s="119"/>
      <c r="W615" s="116" t="s">
        <v>19</v>
      </c>
      <c r="Z615" s="25"/>
      <c r="AA615" s="26"/>
      <c r="AB615" s="120" t="s">
        <v>17</v>
      </c>
      <c r="AC615" s="120"/>
      <c r="AD615" s="103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73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73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73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73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73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73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73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73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73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73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73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73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73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73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73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73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75</v>
      </c>
      <c r="B668" s="20"/>
      <c r="C668" s="57"/>
      <c r="D668" s="57"/>
      <c r="E668" s="57"/>
      <c r="G668" s="57"/>
      <c r="I668" s="22" t="s">
        <v>16</v>
      </c>
      <c r="J668" s="23" t="s">
        <v>42</v>
      </c>
      <c r="K668" s="24"/>
      <c r="M668" s="21" t="s">
        <v>75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75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0" t="s">
        <v>17</v>
      </c>
      <c r="E670" s="120"/>
      <c r="F670" s="104"/>
      <c r="G670" s="27"/>
      <c r="I670" s="118" t="s">
        <v>18</v>
      </c>
      <c r="J670" s="119"/>
      <c r="K670" s="116" t="s">
        <v>19</v>
      </c>
      <c r="N670" s="25"/>
      <c r="O670" s="26"/>
      <c r="P670" s="120" t="s">
        <v>17</v>
      </c>
      <c r="Q670" s="120"/>
      <c r="R670" s="104"/>
      <c r="S670" s="27"/>
      <c r="U670" s="118" t="s">
        <v>18</v>
      </c>
      <c r="V670" s="119"/>
      <c r="W670" s="116" t="s">
        <v>19</v>
      </c>
      <c r="Z670" s="25"/>
      <c r="AA670" s="26"/>
      <c r="AB670" s="120" t="s">
        <v>17</v>
      </c>
      <c r="AC670" s="120"/>
      <c r="AD670" s="104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76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76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76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76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76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76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76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76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76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76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76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76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76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76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76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76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76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76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76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76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76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78</v>
      </c>
      <c r="B723" s="20"/>
      <c r="C723" s="57"/>
      <c r="D723" s="57"/>
      <c r="E723" s="57"/>
      <c r="G723" s="57"/>
      <c r="I723" s="22" t="s">
        <v>16</v>
      </c>
      <c r="J723" s="23" t="s">
        <v>42</v>
      </c>
      <c r="K723" s="24"/>
      <c r="M723" s="21" t="s">
        <v>78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78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5"/>
      <c r="G725" s="27"/>
      <c r="I725" s="118" t="s">
        <v>18</v>
      </c>
      <c r="J725" s="119"/>
      <c r="K725" s="116" t="s">
        <v>19</v>
      </c>
      <c r="N725" s="25"/>
      <c r="O725" s="26"/>
      <c r="P725" s="120" t="s">
        <v>17</v>
      </c>
      <c r="Q725" s="120"/>
      <c r="R725" s="105"/>
      <c r="S725" s="27"/>
      <c r="U725" s="118" t="s">
        <v>18</v>
      </c>
      <c r="V725" s="119"/>
      <c r="W725" s="116" t="s">
        <v>19</v>
      </c>
      <c r="Z725" s="25"/>
      <c r="AA725" s="26"/>
      <c r="AB725" s="120" t="s">
        <v>17</v>
      </c>
      <c r="AC725" s="120"/>
      <c r="AD725" s="105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79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79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79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79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79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79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79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79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79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79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79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79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79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79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79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8"/>
      <c r="C772" s="108"/>
      <c r="D772" s="108"/>
      <c r="E772" s="108"/>
      <c r="F772" s="108"/>
      <c r="G772" s="108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8"/>
      <c r="C773" s="108"/>
      <c r="D773" s="108"/>
      <c r="E773" s="108"/>
      <c r="F773" s="108"/>
      <c r="G773" s="108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8"/>
      <c r="C774" s="108"/>
      <c r="D774" s="108"/>
      <c r="E774" s="108"/>
      <c r="F774" s="108"/>
      <c r="G774" s="108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8"/>
      <c r="C775" s="108"/>
      <c r="D775" s="108"/>
      <c r="E775" s="108"/>
      <c r="F775" s="108"/>
      <c r="G775" s="108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8"/>
      <c r="C776" s="108"/>
      <c r="D776" s="108"/>
      <c r="E776" s="108"/>
      <c r="F776" s="108"/>
      <c r="G776" s="108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8"/>
      <c r="C777" s="108"/>
      <c r="D777" s="108"/>
      <c r="E777" s="108"/>
      <c r="F777" s="108"/>
      <c r="G777" s="108"/>
      <c r="H777" s="62"/>
      <c r="I777" s="108"/>
      <c r="J777" s="73"/>
      <c r="K777" s="62"/>
      <c r="M777" t="s">
        <v>50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50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8"/>
      <c r="C778" s="108"/>
      <c r="D778" s="108"/>
      <c r="E778" s="108"/>
      <c r="F778" s="108"/>
      <c r="G778" s="108"/>
      <c r="H778" s="62"/>
      <c r="I778" s="65"/>
      <c r="J778" s="65"/>
      <c r="K778" s="62"/>
      <c r="M778" s="21" t="s">
        <v>81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81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8"/>
      <c r="C779" s="108"/>
      <c r="D779" s="108"/>
      <c r="E779" s="108"/>
      <c r="F779" s="108"/>
      <c r="G779" s="108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8"/>
      <c r="D780" s="122"/>
      <c r="E780" s="122"/>
      <c r="F780" s="108"/>
      <c r="G780" s="108"/>
      <c r="H780" s="62"/>
      <c r="I780" s="122"/>
      <c r="J780" s="122"/>
      <c r="K780" s="121"/>
      <c r="N780" s="25"/>
      <c r="O780" s="26"/>
      <c r="P780" s="120" t="s">
        <v>17</v>
      </c>
      <c r="Q780" s="120"/>
      <c r="R780" s="106"/>
      <c r="S780" s="27"/>
      <c r="U780" s="118" t="s">
        <v>18</v>
      </c>
      <c r="V780" s="119"/>
      <c r="W780" s="116" t="s">
        <v>19</v>
      </c>
      <c r="Z780" s="25"/>
      <c r="AA780" s="26"/>
      <c r="AB780" s="120" t="s">
        <v>17</v>
      </c>
      <c r="AC780" s="120"/>
      <c r="AD780" s="106"/>
      <c r="AE780" s="27"/>
      <c r="AG780" s="118" t="s">
        <v>18</v>
      </c>
      <c r="AH780" s="119"/>
      <c r="AI780" s="116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8"/>
      <c r="C781" s="108"/>
      <c r="D781" s="79"/>
      <c r="E781" s="80"/>
      <c r="F781" s="81"/>
      <c r="G781" s="81"/>
      <c r="H781" s="62"/>
      <c r="I781" s="107"/>
      <c r="J781" s="107"/>
      <c r="K781" s="121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7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7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82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82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82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82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82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82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8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82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82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82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82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82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82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8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82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82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82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8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82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8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82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82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82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82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82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8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8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8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8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8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8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8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64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64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64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38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0" t="s">
        <v>17</v>
      </c>
      <c r="E835" s="120"/>
      <c r="F835" s="109"/>
      <c r="G835" s="27"/>
      <c r="I835" s="118" t="s">
        <v>18</v>
      </c>
      <c r="J835" s="119"/>
      <c r="K835" s="116" t="s">
        <v>19</v>
      </c>
      <c r="N835" s="25"/>
      <c r="O835" s="26"/>
      <c r="P835" s="120" t="s">
        <v>17</v>
      </c>
      <c r="Q835" s="120"/>
      <c r="R835" s="109"/>
      <c r="S835" s="27"/>
      <c r="U835" s="118" t="s">
        <v>18</v>
      </c>
      <c r="V835" s="119"/>
      <c r="W835" s="116" t="s">
        <v>19</v>
      </c>
      <c r="Z835" s="25"/>
      <c r="AA835" s="26"/>
      <c r="AB835" s="120" t="s">
        <v>17</v>
      </c>
      <c r="AC835" s="120"/>
      <c r="AD835" s="109"/>
      <c r="AE835" s="27"/>
      <c r="AG835" s="118" t="s">
        <v>18</v>
      </c>
      <c r="AH835" s="119"/>
      <c r="AI835" s="116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7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7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7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85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85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85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85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85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85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85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85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85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85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85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85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85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85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85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88</v>
      </c>
      <c r="B888" s="20"/>
      <c r="C888" s="57"/>
      <c r="D888" s="57"/>
      <c r="E888" s="57"/>
      <c r="G888" s="57"/>
      <c r="I888" s="22" t="s">
        <v>16</v>
      </c>
      <c r="J888" s="23" t="s">
        <v>38</v>
      </c>
      <c r="K888" s="24"/>
      <c r="M888" s="21" t="s">
        <v>88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88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0" t="s">
        <v>17</v>
      </c>
      <c r="E890" s="120"/>
      <c r="F890" s="110"/>
      <c r="G890" s="27"/>
      <c r="I890" s="118" t="s">
        <v>18</v>
      </c>
      <c r="J890" s="119"/>
      <c r="K890" s="116" t="s">
        <v>19</v>
      </c>
      <c r="N890" s="25"/>
      <c r="O890" s="26"/>
      <c r="P890" s="120" t="s">
        <v>17</v>
      </c>
      <c r="Q890" s="120"/>
      <c r="R890" s="110"/>
      <c r="S890" s="27"/>
      <c r="U890" s="118" t="s">
        <v>18</v>
      </c>
      <c r="V890" s="119"/>
      <c r="W890" s="116" t="s">
        <v>19</v>
      </c>
      <c r="Z890" s="25"/>
      <c r="AA890" s="26"/>
      <c r="AB890" s="120" t="s">
        <v>17</v>
      </c>
      <c r="AC890" s="120"/>
      <c r="AD890" s="110"/>
      <c r="AE890" s="27"/>
      <c r="AG890" s="118" t="s">
        <v>18</v>
      </c>
      <c r="AH890" s="119"/>
      <c r="AI890" s="116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17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17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17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83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87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87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83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87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87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83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87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87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83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87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87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83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87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87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87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87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87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3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3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3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3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40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42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88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33</v>
      </c>
      <c r="AI943" s="24"/>
      <c r="AK943" s="62"/>
      <c r="AL943" s="65"/>
      <c r="AM943" s="86"/>
      <c r="AN943" s="122"/>
      <c r="AO943" s="122"/>
      <c r="AP943" s="86"/>
      <c r="AQ943" s="86"/>
      <c r="AR943" s="62"/>
      <c r="AS943" s="122"/>
      <c r="AT943" s="122"/>
      <c r="AU943" s="121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1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20" t="s">
        <v>17</v>
      </c>
      <c r="E945" s="120"/>
      <c r="F945" s="111"/>
      <c r="G945" s="27"/>
      <c r="I945" s="118" t="s">
        <v>18</v>
      </c>
      <c r="J945" s="119"/>
      <c r="K945" s="116" t="s">
        <v>19</v>
      </c>
      <c r="N945" s="25"/>
      <c r="O945" s="26"/>
      <c r="P945" s="120" t="s">
        <v>17</v>
      </c>
      <c r="Q945" s="120"/>
      <c r="R945" s="111"/>
      <c r="S945" s="27"/>
      <c r="U945" s="118" t="s">
        <v>18</v>
      </c>
      <c r="V945" s="119"/>
      <c r="W945" s="116" t="s">
        <v>19</v>
      </c>
      <c r="Z945" s="25"/>
      <c r="AA945" s="26"/>
      <c r="AB945" s="120" t="s">
        <v>17</v>
      </c>
      <c r="AC945" s="120"/>
      <c r="AD945" s="111"/>
      <c r="AE945" s="27"/>
      <c r="AG945" s="118" t="s">
        <v>18</v>
      </c>
      <c r="AH945" s="119"/>
      <c r="AI945" s="116" t="s">
        <v>19</v>
      </c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17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17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17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3">
        <v>11160</v>
      </c>
      <c r="D947" s="32">
        <f>650*5</f>
        <v>3250</v>
      </c>
      <c r="E947" s="32"/>
      <c r="F947" s="32"/>
      <c r="G947" s="32">
        <f t="shared" ref="G947:G980" si="263">SUM(D947:E947)</f>
        <v>3250</v>
      </c>
      <c r="H947" s="12"/>
      <c r="I947" s="12"/>
      <c r="J947" s="12"/>
      <c r="K947" s="12">
        <f t="shared" ref="K947:K980" si="264">SUM(G947:J947)</f>
        <v>3250</v>
      </c>
      <c r="M947" s="10">
        <v>1</v>
      </c>
      <c r="N947" s="30" t="s">
        <v>93</v>
      </c>
      <c r="O947" s="31">
        <v>11082</v>
      </c>
      <c r="P947" s="32">
        <f>650*216+229*9+650</f>
        <v>143111</v>
      </c>
      <c r="Q947" s="32">
        <f>-216*6</f>
        <v>-1296</v>
      </c>
      <c r="R947" s="32"/>
      <c r="S947" s="32">
        <f>SUM(P947:Q947)</f>
        <v>141815</v>
      </c>
      <c r="T947" s="12"/>
      <c r="U947" s="12">
        <f>78*8</f>
        <v>624</v>
      </c>
      <c r="V947" s="12">
        <f>-42*6</f>
        <v>-252</v>
      </c>
      <c r="W947" s="12">
        <f>SUM(S947:V947)</f>
        <v>142187</v>
      </c>
      <c r="Y947" s="10">
        <v>1</v>
      </c>
      <c r="Z947" s="30" t="s">
        <v>93</v>
      </c>
      <c r="AA947" s="31">
        <v>11111</v>
      </c>
      <c r="AB947" s="32">
        <f>650*108+872*2+229*5</f>
        <v>73089</v>
      </c>
      <c r="AC947" s="32"/>
      <c r="AD947" s="32"/>
      <c r="AE947" s="32">
        <f>SUM(AB947:AC947)</f>
        <v>73089</v>
      </c>
      <c r="AF947" s="12"/>
      <c r="AG947" s="12">
        <f>120*2</f>
        <v>240</v>
      </c>
      <c r="AH947" s="12">
        <f>-111*120+-78*6</f>
        <v>-13788</v>
      </c>
      <c r="AI947" s="12">
        <f>SUM(AE947:AH947)</f>
        <v>59541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83">
        <f>C947+1</f>
        <v>11161</v>
      </c>
      <c r="D948" s="32">
        <f>650*28+670+622*6+650</f>
        <v>23252</v>
      </c>
      <c r="E948" s="32"/>
      <c r="F948" s="32"/>
      <c r="G948" s="32">
        <f t="shared" si="263"/>
        <v>23252</v>
      </c>
      <c r="H948" s="12"/>
      <c r="I948" s="12"/>
      <c r="J948" s="12"/>
      <c r="K948" s="12">
        <f t="shared" si="264"/>
        <v>23252</v>
      </c>
      <c r="M948" s="10">
        <v>2</v>
      </c>
      <c r="N948" s="30" t="s">
        <v>93</v>
      </c>
      <c r="O948" s="31">
        <f>O947+1</f>
        <v>11083</v>
      </c>
      <c r="P948" s="32">
        <f>650*100+622*5+229*2</f>
        <v>68568</v>
      </c>
      <c r="Q948" s="32">
        <f>-105*6</f>
        <v>-630</v>
      </c>
      <c r="R948" s="32"/>
      <c r="S948" s="32">
        <f t="shared" ref="S948:S985" si="265">SUM(P948:Q948)</f>
        <v>67938</v>
      </c>
      <c r="T948" s="12"/>
      <c r="U948" s="12"/>
      <c r="V948" s="12">
        <f>-111*6</f>
        <v>-666</v>
      </c>
      <c r="W948" s="12">
        <f t="shared" ref="W948:W988" si="266">SUM(S948:V948)</f>
        <v>67272</v>
      </c>
      <c r="Y948" s="10">
        <v>2</v>
      </c>
      <c r="Z948" s="30" t="s">
        <v>93</v>
      </c>
      <c r="AA948" s="31">
        <f>AA947+1</f>
        <v>11112</v>
      </c>
      <c r="AB948" s="32">
        <f>650*195+229*4</f>
        <v>127666</v>
      </c>
      <c r="AC948" s="32">
        <f>-195*6</f>
        <v>-1170</v>
      </c>
      <c r="AD948" s="32"/>
      <c r="AE948" s="32">
        <f t="shared" ref="AE948:AE950" si="267">SUM(AB948:AC948)</f>
        <v>126496</v>
      </c>
      <c r="AF948" s="12"/>
      <c r="AG948" s="12">
        <f>1.5*60</f>
        <v>90</v>
      </c>
      <c r="AH948" s="12"/>
      <c r="AI948" s="12">
        <f t="shared" ref="AI948:AI988" si="268">SUM(AE948:AH948)</f>
        <v>126586</v>
      </c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83">
        <f t="shared" ref="C949" si="269">C948+1</f>
        <v>11162</v>
      </c>
      <c r="D949" s="33">
        <f>650*20+1175+1102+622*5+1175+1050+872*2+1175+650*4</f>
        <v>26131</v>
      </c>
      <c r="E949" s="33"/>
      <c r="F949" s="33"/>
      <c r="G949" s="33">
        <f t="shared" si="263"/>
        <v>26131</v>
      </c>
      <c r="H949" s="34"/>
      <c r="I949" s="34">
        <f>111*4+4.5*30</f>
        <v>579</v>
      </c>
      <c r="J949" s="34"/>
      <c r="K949" s="34">
        <f t="shared" si="264"/>
        <v>26710</v>
      </c>
      <c r="M949" s="10">
        <v>3</v>
      </c>
      <c r="N949" s="30" t="s">
        <v>93</v>
      </c>
      <c r="O949" s="31">
        <f t="shared" ref="O949:O953" si="270">O948+1</f>
        <v>11084</v>
      </c>
      <c r="P949" s="32">
        <f>650*10+670</f>
        <v>7170</v>
      </c>
      <c r="Q949" s="32"/>
      <c r="R949" s="32"/>
      <c r="S949" s="32">
        <f t="shared" si="265"/>
        <v>7170</v>
      </c>
      <c r="T949" s="12"/>
      <c r="U949" s="12">
        <v>111</v>
      </c>
      <c r="V949" s="12"/>
      <c r="W949" s="12">
        <f t="shared" si="266"/>
        <v>7281</v>
      </c>
      <c r="Y949" s="10">
        <v>3</v>
      </c>
      <c r="Z949" s="30" t="s">
        <v>93</v>
      </c>
      <c r="AA949" s="31">
        <f t="shared" ref="AA949:AA957" si="271">AA948+1</f>
        <v>11113</v>
      </c>
      <c r="AB949" s="33">
        <f>670*10</f>
        <v>6700</v>
      </c>
      <c r="AC949" s="33"/>
      <c r="AD949" s="32"/>
      <c r="AE949" s="32">
        <f t="shared" si="267"/>
        <v>6700</v>
      </c>
      <c r="AF949" s="12"/>
      <c r="AG949" s="12">
        <f>2.25+4.5*6</f>
        <v>29.25</v>
      </c>
      <c r="AH949" s="12"/>
      <c r="AI949" s="12">
        <f t="shared" si="268"/>
        <v>6729.25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93</v>
      </c>
      <c r="C950" s="83">
        <f>C949+1</f>
        <v>11163</v>
      </c>
      <c r="D950" s="32">
        <f>650*6+9.5*6</f>
        <v>3957</v>
      </c>
      <c r="E950" s="32"/>
      <c r="F950" s="32"/>
      <c r="G950" s="32">
        <f t="shared" si="263"/>
        <v>3957</v>
      </c>
      <c r="H950" s="12"/>
      <c r="I950" s="12"/>
      <c r="J950" s="12"/>
      <c r="K950" s="12">
        <f t="shared" si="264"/>
        <v>3957</v>
      </c>
      <c r="M950" s="10">
        <v>4</v>
      </c>
      <c r="N950" s="30" t="s">
        <v>93</v>
      </c>
      <c r="O950" s="31">
        <f t="shared" si="270"/>
        <v>11085</v>
      </c>
      <c r="P950" s="32">
        <f>650+670+872</f>
        <v>2192</v>
      </c>
      <c r="Q950" s="32"/>
      <c r="R950" s="32"/>
      <c r="S950" s="32">
        <f t="shared" si="265"/>
        <v>2192</v>
      </c>
      <c r="T950" s="12"/>
      <c r="U950" s="12">
        <v>120</v>
      </c>
      <c r="V950" s="12"/>
      <c r="W950" s="12">
        <f t="shared" si="266"/>
        <v>2312</v>
      </c>
      <c r="Y950" s="10">
        <v>4</v>
      </c>
      <c r="Z950" s="30" t="s">
        <v>93</v>
      </c>
      <c r="AA950" s="31">
        <f t="shared" si="271"/>
        <v>11114</v>
      </c>
      <c r="AB950" s="32">
        <f>670*10</f>
        <v>6700</v>
      </c>
      <c r="AC950" s="32"/>
      <c r="AD950" s="32"/>
      <c r="AE950" s="32">
        <f t="shared" si="267"/>
        <v>6700</v>
      </c>
      <c r="AF950" s="12"/>
      <c r="AG950">
        <f>4.5*12</f>
        <v>54</v>
      </c>
      <c r="AH950" s="12"/>
      <c r="AI950" s="12">
        <f t="shared" si="268"/>
        <v>6754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93</v>
      </c>
      <c r="C951" s="83">
        <f>C950+1</f>
        <v>11164</v>
      </c>
      <c r="D951" s="32">
        <f>650*9+670*2+622*5+912+9.5*14</f>
        <v>11345</v>
      </c>
      <c r="E951" s="32"/>
      <c r="F951" s="32"/>
      <c r="G951" s="32">
        <f t="shared" si="263"/>
        <v>11345</v>
      </c>
      <c r="H951" s="12"/>
      <c r="I951" s="12"/>
      <c r="J951" s="12"/>
      <c r="K951" s="12">
        <f t="shared" si="264"/>
        <v>11345</v>
      </c>
      <c r="M951" s="10">
        <v>5</v>
      </c>
      <c r="N951" s="30"/>
      <c r="O951" s="11" t="s">
        <v>27</v>
      </c>
      <c r="P951" s="32"/>
      <c r="Q951" s="32"/>
      <c r="R951" s="32"/>
      <c r="S951" s="32">
        <f t="shared" si="265"/>
        <v>0</v>
      </c>
      <c r="T951" s="12"/>
      <c r="U951" s="12"/>
      <c r="V951" s="12"/>
      <c r="W951" s="12">
        <f t="shared" si="266"/>
        <v>0</v>
      </c>
      <c r="Y951" s="10">
        <v>5</v>
      </c>
      <c r="Z951" s="30" t="s">
        <v>93</v>
      </c>
      <c r="AA951" s="31">
        <f t="shared" si="271"/>
        <v>11115</v>
      </c>
      <c r="AB951" s="32">
        <f>650*45+622*9+229</f>
        <v>35077</v>
      </c>
      <c r="AC951" s="32"/>
      <c r="AD951" s="32"/>
      <c r="AE951" s="32">
        <f t="shared" ref="AE951:AE979" si="272">SUM(AB951:AC951)</f>
        <v>35077</v>
      </c>
      <c r="AF951" s="12"/>
      <c r="AG951" s="12"/>
      <c r="AH951" s="12">
        <f>-111*8</f>
        <v>-888</v>
      </c>
      <c r="AI951" s="12">
        <f t="shared" si="268"/>
        <v>34189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93</v>
      </c>
      <c r="C952" s="83">
        <f t="shared" ref="C952:C956" si="273">C951+1</f>
        <v>11165</v>
      </c>
      <c r="D952" s="32">
        <f>650*18+670*2+9.5*18</f>
        <v>13211</v>
      </c>
      <c r="E952" s="32"/>
      <c r="F952" s="32"/>
      <c r="G952" s="32">
        <f t="shared" si="263"/>
        <v>13211</v>
      </c>
      <c r="H952" s="12"/>
      <c r="I952" s="12"/>
      <c r="J952" s="12"/>
      <c r="K952" s="12">
        <f t="shared" si="264"/>
        <v>13211</v>
      </c>
      <c r="M952" s="10">
        <v>6</v>
      </c>
      <c r="N952" s="30"/>
      <c r="O952" s="31"/>
      <c r="P952" s="32"/>
      <c r="Q952" s="32"/>
      <c r="R952" s="32"/>
      <c r="S952" s="32">
        <f t="shared" si="265"/>
        <v>0</v>
      </c>
      <c r="T952" s="12"/>
      <c r="U952" s="12"/>
      <c r="V952" s="10"/>
      <c r="W952" s="12">
        <f t="shared" si="266"/>
        <v>0</v>
      </c>
      <c r="Y952" s="10">
        <v>6</v>
      </c>
      <c r="Z952" s="30" t="s">
        <v>93</v>
      </c>
      <c r="AA952" s="31">
        <f t="shared" si="271"/>
        <v>11116</v>
      </c>
      <c r="AB952" s="32">
        <f>650*162+229*5</f>
        <v>106445</v>
      </c>
      <c r="AC952" s="32">
        <f>-162*6</f>
        <v>-972</v>
      </c>
      <c r="AD952" s="32"/>
      <c r="AE952" s="32">
        <f t="shared" si="272"/>
        <v>105473</v>
      </c>
      <c r="AF952" s="12"/>
      <c r="AG952" s="12">
        <f>111*56</f>
        <v>6216</v>
      </c>
      <c r="AH952" s="10"/>
      <c r="AI952" s="12">
        <f t="shared" si="268"/>
        <v>111689</v>
      </c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93</v>
      </c>
      <c r="C953" s="83">
        <f t="shared" si="273"/>
        <v>11166</v>
      </c>
      <c r="D953" s="32">
        <f>650*55</f>
        <v>35750</v>
      </c>
      <c r="E953" s="32"/>
      <c r="F953" s="32"/>
      <c r="G953" s="32">
        <f t="shared" si="263"/>
        <v>35750</v>
      </c>
      <c r="H953" s="12"/>
      <c r="I953" s="12"/>
      <c r="J953" s="12"/>
      <c r="K953" s="12">
        <f t="shared" si="264"/>
        <v>35750</v>
      </c>
      <c r="M953" s="10">
        <v>7</v>
      </c>
      <c r="N953" s="30"/>
      <c r="O953" s="31"/>
      <c r="P953" s="32"/>
      <c r="Q953" s="32"/>
      <c r="R953" s="32"/>
      <c r="S953" s="32">
        <f t="shared" si="265"/>
        <v>0</v>
      </c>
      <c r="T953" s="12"/>
      <c r="U953" s="12"/>
      <c r="V953" s="12"/>
      <c r="W953" s="12">
        <f t="shared" si="266"/>
        <v>0</v>
      </c>
      <c r="Y953" s="10">
        <v>7</v>
      </c>
      <c r="Z953" s="30" t="s">
        <v>93</v>
      </c>
      <c r="AA953" s="31">
        <f t="shared" si="271"/>
        <v>11117</v>
      </c>
      <c r="AB953" s="32">
        <f>650*10</f>
        <v>6500</v>
      </c>
      <c r="AC953" s="32"/>
      <c r="AD953" s="32"/>
      <c r="AE953" s="32">
        <f t="shared" si="272"/>
        <v>6500</v>
      </c>
      <c r="AF953" s="12"/>
      <c r="AG953" s="58"/>
      <c r="AH953" s="12"/>
      <c r="AI953" s="12">
        <f t="shared" si="268"/>
        <v>6500</v>
      </c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93</v>
      </c>
      <c r="C954" s="83">
        <f t="shared" si="273"/>
        <v>11167</v>
      </c>
      <c r="D954" s="32">
        <f>650*120+622*20</f>
        <v>90440</v>
      </c>
      <c r="E954" s="32"/>
      <c r="F954" s="32"/>
      <c r="G954" s="32">
        <f t="shared" si="263"/>
        <v>90440</v>
      </c>
      <c r="H954" s="12"/>
      <c r="I954" s="12">
        <f>4.5*4</f>
        <v>18</v>
      </c>
      <c r="J954" s="12">
        <f>-111*21</f>
        <v>-2331</v>
      </c>
      <c r="K954" s="12">
        <f t="shared" si="264"/>
        <v>88127</v>
      </c>
      <c r="M954" s="10">
        <v>8</v>
      </c>
      <c r="N954" s="30"/>
      <c r="P954" s="32"/>
      <c r="Q954" s="32"/>
      <c r="R954" s="32"/>
      <c r="S954" s="32">
        <f t="shared" si="265"/>
        <v>0</v>
      </c>
      <c r="T954" s="12"/>
      <c r="U954" s="12"/>
      <c r="V954" s="12"/>
      <c r="W954" s="12">
        <f t="shared" si="266"/>
        <v>0</v>
      </c>
      <c r="Y954" s="10">
        <v>8</v>
      </c>
      <c r="Z954" s="30" t="s">
        <v>93</v>
      </c>
      <c r="AA954" s="31">
        <f t="shared" si="271"/>
        <v>11118</v>
      </c>
      <c r="AB954" s="32">
        <f>650*5+670*2+622*4</f>
        <v>7078</v>
      </c>
      <c r="AC954" s="32"/>
      <c r="AE954" s="32">
        <f t="shared" si="272"/>
        <v>7078</v>
      </c>
      <c r="AF954" s="12"/>
      <c r="AG954" s="12">
        <f>4.5*33</f>
        <v>148.5</v>
      </c>
      <c r="AH954" s="12"/>
      <c r="AI954" s="12">
        <f t="shared" si="268"/>
        <v>7226.5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93</v>
      </c>
      <c r="C955" s="83">
        <f t="shared" si="273"/>
        <v>11168</v>
      </c>
      <c r="D955" s="32">
        <f>650*35+622*5</f>
        <v>25860</v>
      </c>
      <c r="E955" s="32"/>
      <c r="F955" s="32"/>
      <c r="G955" s="32">
        <f t="shared" si="263"/>
        <v>25860</v>
      </c>
      <c r="H955" s="12"/>
      <c r="I955" s="12"/>
      <c r="J955" s="12"/>
      <c r="K955" s="12">
        <f t="shared" si="264"/>
        <v>25860</v>
      </c>
      <c r="M955" s="10">
        <v>9</v>
      </c>
      <c r="N955" s="30"/>
      <c r="O955" s="31"/>
      <c r="P955" s="32"/>
      <c r="Q955" s="32"/>
      <c r="R955" s="32"/>
      <c r="S955" s="32">
        <f t="shared" si="265"/>
        <v>0</v>
      </c>
      <c r="T955" s="12"/>
      <c r="U955" s="12"/>
      <c r="V955" s="12"/>
      <c r="W955" s="12">
        <f t="shared" si="266"/>
        <v>0</v>
      </c>
      <c r="Y955" s="10">
        <v>9</v>
      </c>
      <c r="Z955" s="30" t="s">
        <v>93</v>
      </c>
      <c r="AA955" s="31">
        <f t="shared" si="271"/>
        <v>11119</v>
      </c>
      <c r="AB955" s="32">
        <f>650*35+622*5+229</f>
        <v>26089</v>
      </c>
      <c r="AC955" s="32"/>
      <c r="AD955" s="32"/>
      <c r="AE955" s="32">
        <f t="shared" si="272"/>
        <v>26089</v>
      </c>
      <c r="AF955" s="12"/>
      <c r="AG955">
        <f>1.5*4+4.5*7</f>
        <v>37.5</v>
      </c>
      <c r="AH955" s="12"/>
      <c r="AI955" s="12">
        <f t="shared" si="268"/>
        <v>26126.5</v>
      </c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93</v>
      </c>
      <c r="C956" s="83">
        <f t="shared" si="273"/>
        <v>11169</v>
      </c>
      <c r="D956" s="32">
        <f>650*19+622*2</f>
        <v>13594</v>
      </c>
      <c r="E956" s="32"/>
      <c r="F956" s="32"/>
      <c r="G956" s="32">
        <f t="shared" si="263"/>
        <v>13594</v>
      </c>
      <c r="H956" s="12"/>
      <c r="I956" s="12"/>
      <c r="J956" s="12">
        <f>-111*3</f>
        <v>-333</v>
      </c>
      <c r="K956" s="12">
        <f t="shared" si="264"/>
        <v>13261</v>
      </c>
      <c r="M956" s="10">
        <v>10</v>
      </c>
      <c r="N956" s="30"/>
      <c r="O956" s="31"/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 t="s">
        <v>93</v>
      </c>
      <c r="AA956" s="31">
        <f t="shared" si="271"/>
        <v>11120</v>
      </c>
      <c r="AB956" s="32">
        <f>650*7+670+622*2</f>
        <v>6464</v>
      </c>
      <c r="AC956" s="32"/>
      <c r="AD956" s="32"/>
      <c r="AE956" s="32">
        <f t="shared" si="272"/>
        <v>6464</v>
      </c>
      <c r="AF956" s="12"/>
      <c r="AG956" s="12"/>
      <c r="AH956" s="12"/>
      <c r="AI956" s="12">
        <f t="shared" si="268"/>
        <v>6464</v>
      </c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11" t="s">
        <v>27</v>
      </c>
      <c r="D957" s="32"/>
      <c r="E957" s="32"/>
      <c r="F957" s="32"/>
      <c r="G957" s="32">
        <f t="shared" si="263"/>
        <v>0</v>
      </c>
      <c r="H957" s="12"/>
      <c r="I957" s="12"/>
      <c r="J957" s="12"/>
      <c r="K957" s="12">
        <f t="shared" si="264"/>
        <v>0</v>
      </c>
      <c r="M957" s="10">
        <v>11</v>
      </c>
      <c r="N957" s="30"/>
      <c r="O957" s="31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 t="s">
        <v>93</v>
      </c>
      <c r="AA957" s="31">
        <f t="shared" si="271"/>
        <v>11121</v>
      </c>
      <c r="AB957" s="32">
        <f>650*5</f>
        <v>3250</v>
      </c>
      <c r="AC957" s="32"/>
      <c r="AD957" s="32"/>
      <c r="AE957" s="32">
        <f t="shared" si="272"/>
        <v>3250</v>
      </c>
      <c r="AF957" s="12"/>
      <c r="AG957" s="12"/>
      <c r="AH957" s="12"/>
      <c r="AI957" s="12">
        <f t="shared" si="268"/>
        <v>3250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63"/>
        <v>0</v>
      </c>
      <c r="H958" s="12"/>
      <c r="I958" s="12"/>
      <c r="J958" s="10"/>
      <c r="K958" s="12">
        <f t="shared" si="264"/>
        <v>0</v>
      </c>
      <c r="M958" s="10">
        <v>12</v>
      </c>
      <c r="N958" s="30"/>
      <c r="O958" s="31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11" t="s">
        <v>27</v>
      </c>
      <c r="AB958" s="32"/>
      <c r="AC958" s="32"/>
      <c r="AD958" s="32"/>
      <c r="AE958" s="32">
        <f t="shared" si="272"/>
        <v>0</v>
      </c>
      <c r="AF958" s="12"/>
      <c r="AG958" s="12"/>
      <c r="AH958" s="12"/>
      <c r="AI958" s="12">
        <f t="shared" si="268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63"/>
        <v>0</v>
      </c>
      <c r="H959" s="12"/>
      <c r="I959" s="12"/>
      <c r="J959" s="12"/>
      <c r="K959" s="12">
        <f t="shared" si="264"/>
        <v>0</v>
      </c>
      <c r="M959" s="10">
        <v>13</v>
      </c>
      <c r="N959" s="30"/>
      <c r="O959" s="31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2"/>
        <v>0</v>
      </c>
      <c r="AF959" s="12"/>
      <c r="AG959" s="12"/>
      <c r="AH959" s="12"/>
      <c r="AI959" s="12">
        <f t="shared" si="268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63"/>
        <v>0</v>
      </c>
      <c r="H960" s="12"/>
      <c r="I960" s="12"/>
      <c r="J960" s="12"/>
      <c r="K960" s="12">
        <f t="shared" si="264"/>
        <v>0</v>
      </c>
      <c r="M960" s="10">
        <v>14</v>
      </c>
      <c r="N960" s="30"/>
      <c r="O960" s="31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2"/>
        <v>0</v>
      </c>
      <c r="AF960" s="12"/>
      <c r="AG960" s="12"/>
      <c r="AH960" s="12"/>
      <c r="AI960" s="12">
        <f t="shared" si="268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63"/>
        <v>0</v>
      </c>
      <c r="H961" s="12"/>
      <c r="I961" s="12"/>
      <c r="J961" s="12"/>
      <c r="K961" s="12">
        <f t="shared" si="264"/>
        <v>0</v>
      </c>
      <c r="M961" s="10">
        <v>15</v>
      </c>
      <c r="N961" s="30"/>
      <c r="O961" s="31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2"/>
        <v>0</v>
      </c>
      <c r="AF961" s="12"/>
      <c r="AG961" s="12"/>
      <c r="AH961" s="12"/>
      <c r="AI961" s="12">
        <f t="shared" si="268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63"/>
        <v>0</v>
      </c>
      <c r="H962" s="12"/>
      <c r="I962" s="12"/>
      <c r="J962" s="12"/>
      <c r="K962" s="12">
        <f t="shared" si="264"/>
        <v>0</v>
      </c>
      <c r="M962" s="10">
        <v>16</v>
      </c>
      <c r="N962" s="30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72"/>
        <v>0</v>
      </c>
      <c r="AF962" s="12"/>
      <c r="AG962" s="12"/>
      <c r="AH962" s="12"/>
      <c r="AI962" s="12">
        <f t="shared" si="268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63"/>
        <v>0</v>
      </c>
      <c r="H963" s="12"/>
      <c r="I963" s="12"/>
      <c r="J963" s="12"/>
      <c r="K963" s="12">
        <f t="shared" si="264"/>
        <v>0</v>
      </c>
      <c r="M963" s="10">
        <v>17</v>
      </c>
      <c r="N963" s="30"/>
      <c r="O963" s="31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2"/>
        <v>0</v>
      </c>
      <c r="AF963" s="12"/>
      <c r="AG963" s="12"/>
      <c r="AH963" s="12"/>
      <c r="AI963" s="12">
        <f t="shared" si="268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63"/>
        <v>0</v>
      </c>
      <c r="H964" s="12"/>
      <c r="I964" s="12"/>
      <c r="J964" s="12"/>
      <c r="K964" s="12">
        <f t="shared" si="264"/>
        <v>0</v>
      </c>
      <c r="M964" s="10">
        <v>18</v>
      </c>
      <c r="N964" s="30"/>
      <c r="O964" s="31"/>
      <c r="P964" s="32"/>
      <c r="Q964" s="32"/>
      <c r="R964" s="32"/>
      <c r="S964" s="32">
        <f t="shared" si="265"/>
        <v>0</v>
      </c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2"/>
        <v>0</v>
      </c>
      <c r="AF964" s="12"/>
      <c r="AG964" s="12"/>
      <c r="AH964" s="12"/>
      <c r="AI964" s="12">
        <f t="shared" si="268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63"/>
        <v>0</v>
      </c>
      <c r="H965" s="12"/>
      <c r="I965" s="12"/>
      <c r="J965" s="12"/>
      <c r="K965" s="12">
        <f t="shared" si="264"/>
        <v>0</v>
      </c>
      <c r="M965" s="10">
        <v>19</v>
      </c>
      <c r="N965" s="30"/>
      <c r="O965" s="31"/>
      <c r="P965" s="32"/>
      <c r="Q965" s="32"/>
      <c r="R965" s="32"/>
      <c r="S965" s="32">
        <f t="shared" si="265"/>
        <v>0</v>
      </c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2"/>
        <v>0</v>
      </c>
      <c r="AF965" s="12"/>
      <c r="AG965" s="12"/>
      <c r="AH965" s="12"/>
      <c r="AI965" s="12">
        <f t="shared" si="268"/>
        <v>0</v>
      </c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63"/>
        <v>0</v>
      </c>
      <c r="H966" s="12"/>
      <c r="I966" s="12"/>
      <c r="J966" s="12"/>
      <c r="K966" s="12">
        <f t="shared" si="264"/>
        <v>0</v>
      </c>
      <c r="M966" s="10">
        <v>20</v>
      </c>
      <c r="N966" s="30"/>
      <c r="O966" s="31"/>
      <c r="P966" s="32"/>
      <c r="Q966" s="32"/>
      <c r="R966" s="32"/>
      <c r="S966" s="32">
        <f t="shared" si="265"/>
        <v>0</v>
      </c>
      <c r="T966" s="12"/>
      <c r="U966" s="12"/>
      <c r="V966" s="12"/>
      <c r="W966" s="12">
        <f t="shared" si="266"/>
        <v>0</v>
      </c>
      <c r="Y966" s="10">
        <v>20</v>
      </c>
      <c r="Z966" s="30"/>
      <c r="AB966" s="32"/>
      <c r="AC966" s="32"/>
      <c r="AD966" s="32"/>
      <c r="AE966" s="32">
        <f t="shared" si="272"/>
        <v>0</v>
      </c>
      <c r="AF966" s="12"/>
      <c r="AG966" s="12"/>
      <c r="AH966" s="12"/>
      <c r="AI966" s="12">
        <f t="shared" si="268"/>
        <v>0</v>
      </c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63"/>
        <v>0</v>
      </c>
      <c r="H967" s="10"/>
      <c r="I967" s="10"/>
      <c r="J967" s="10"/>
      <c r="K967" s="12">
        <f t="shared" si="264"/>
        <v>0</v>
      </c>
      <c r="M967" s="10">
        <v>21</v>
      </c>
      <c r="N967" s="30"/>
      <c r="O967" s="31"/>
      <c r="P967" s="46"/>
      <c r="Q967" s="31"/>
      <c r="R967" s="31"/>
      <c r="S967" s="32">
        <f t="shared" si="265"/>
        <v>0</v>
      </c>
      <c r="T967" s="10"/>
      <c r="U967" s="10"/>
      <c r="V967" s="10"/>
      <c r="W967" s="12">
        <f t="shared" si="266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72"/>
        <v>0</v>
      </c>
      <c r="AF967" s="10"/>
      <c r="AG967" s="10"/>
      <c r="AH967" s="10"/>
      <c r="AI967" s="12">
        <f t="shared" si="268"/>
        <v>0</v>
      </c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63"/>
        <v>0</v>
      </c>
      <c r="H968" s="10"/>
      <c r="I968" s="10"/>
      <c r="J968" s="10"/>
      <c r="K968" s="12">
        <f t="shared" si="264"/>
        <v>0</v>
      </c>
      <c r="M968" s="10">
        <v>22</v>
      </c>
      <c r="N968" s="30"/>
      <c r="O968" s="31"/>
      <c r="P968" s="45"/>
      <c r="Q968" s="31"/>
      <c r="R968" s="31"/>
      <c r="S968" s="32">
        <f t="shared" si="265"/>
        <v>0</v>
      </c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2"/>
        <v>0</v>
      </c>
      <c r="AF968" s="10"/>
      <c r="AG968" s="10"/>
      <c r="AH968" s="10"/>
      <c r="AI968" s="12">
        <f t="shared" si="268"/>
        <v>0</v>
      </c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63"/>
        <v>0</v>
      </c>
      <c r="H969" s="10"/>
      <c r="I969" s="10"/>
      <c r="J969" s="12"/>
      <c r="K969" s="12">
        <f t="shared" si="264"/>
        <v>0</v>
      </c>
      <c r="M969" s="10">
        <v>23</v>
      </c>
      <c r="N969" s="30"/>
      <c r="O969" s="31"/>
      <c r="P969" s="47"/>
      <c r="Q969" s="31"/>
      <c r="S969" s="32">
        <f t="shared" si="265"/>
        <v>0</v>
      </c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2"/>
        <v>0</v>
      </c>
      <c r="AF969" s="10"/>
      <c r="AG969" s="10"/>
      <c r="AH969" s="10"/>
      <c r="AI969" s="12">
        <f t="shared" si="268"/>
        <v>0</v>
      </c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63"/>
        <v>0</v>
      </c>
      <c r="H970" s="10"/>
      <c r="I970" s="10"/>
      <c r="J970" s="10"/>
      <c r="K970" s="12">
        <f t="shared" si="264"/>
        <v>0</v>
      </c>
      <c r="M970" s="10">
        <v>24</v>
      </c>
      <c r="N970" s="30"/>
      <c r="O970" s="31"/>
      <c r="P970" s="47"/>
      <c r="Q970" s="31"/>
      <c r="R970" s="31"/>
      <c r="S970" s="32">
        <f t="shared" si="265"/>
        <v>0</v>
      </c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2"/>
        <v>0</v>
      </c>
      <c r="AF970" s="10"/>
      <c r="AG970" s="10"/>
      <c r="AH970" s="10"/>
      <c r="AI970" s="12">
        <f t="shared" si="268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63"/>
        <v>0</v>
      </c>
      <c r="H971" s="10"/>
      <c r="I971" s="10"/>
      <c r="J971" s="10"/>
      <c r="K971" s="12">
        <f t="shared" si="264"/>
        <v>0</v>
      </c>
      <c r="M971" s="10">
        <v>25</v>
      </c>
      <c r="N971" s="30"/>
      <c r="O971" s="31"/>
      <c r="P971" s="47"/>
      <c r="Q971" s="31"/>
      <c r="R971" s="31"/>
      <c r="S971" s="32">
        <f t="shared" si="265"/>
        <v>0</v>
      </c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2"/>
        <v>0</v>
      </c>
      <c r="AF971" s="10"/>
      <c r="AG971" s="10"/>
      <c r="AH971" s="10"/>
      <c r="AI971" s="12">
        <f t="shared" si="268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63"/>
        <v>0</v>
      </c>
      <c r="H972" s="10"/>
      <c r="I972" s="10"/>
      <c r="J972" s="10"/>
      <c r="K972" s="12">
        <f t="shared" si="264"/>
        <v>0</v>
      </c>
      <c r="M972" s="10">
        <v>26</v>
      </c>
      <c r="N972" s="30"/>
      <c r="O972" s="31"/>
      <c r="P972" s="47"/>
      <c r="Q972" s="31"/>
      <c r="R972" s="31"/>
      <c r="S972" s="32">
        <f t="shared" si="265"/>
        <v>0</v>
      </c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2"/>
        <v>0</v>
      </c>
      <c r="AF972" s="10"/>
      <c r="AG972" s="10"/>
      <c r="AH972" s="10"/>
      <c r="AI972" s="12">
        <f t="shared" si="268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63"/>
        <v>0</v>
      </c>
      <c r="H973" s="10"/>
      <c r="I973" s="10"/>
      <c r="J973" s="10"/>
      <c r="K973" s="12">
        <f t="shared" si="264"/>
        <v>0</v>
      </c>
      <c r="M973" s="10">
        <v>27</v>
      </c>
      <c r="N973" s="30"/>
      <c r="O973" s="31"/>
      <c r="P973" s="47"/>
      <c r="Q973" s="31"/>
      <c r="R973" s="31"/>
      <c r="S973" s="32">
        <f t="shared" si="265"/>
        <v>0</v>
      </c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2"/>
        <v>0</v>
      </c>
      <c r="AF973" s="10"/>
      <c r="AG973" s="10"/>
      <c r="AH973" s="10"/>
      <c r="AI973" s="12">
        <f t="shared" si="268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63"/>
        <v>0</v>
      </c>
      <c r="H974" s="10"/>
      <c r="I974" s="10"/>
      <c r="J974" s="10"/>
      <c r="K974" s="12">
        <f t="shared" si="264"/>
        <v>0</v>
      </c>
      <c r="M974" s="10">
        <v>28</v>
      </c>
      <c r="N974" s="30"/>
      <c r="O974" s="31"/>
      <c r="P974" s="47"/>
      <c r="Q974" s="31"/>
      <c r="R974" s="31"/>
      <c r="S974" s="32">
        <f t="shared" si="265"/>
        <v>0</v>
      </c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2"/>
        <v>0</v>
      </c>
      <c r="AF974" s="10"/>
      <c r="AG974" s="10"/>
      <c r="AH974" s="10"/>
      <c r="AI974" s="12">
        <f t="shared" si="268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63"/>
        <v>0</v>
      </c>
      <c r="H975" s="10"/>
      <c r="I975" s="10"/>
      <c r="J975" s="10"/>
      <c r="K975" s="12">
        <f t="shared" si="264"/>
        <v>0</v>
      </c>
      <c r="M975" s="10">
        <v>29</v>
      </c>
      <c r="N975" s="30"/>
      <c r="O975" s="31"/>
      <c r="P975" s="47"/>
      <c r="Q975" s="31"/>
      <c r="R975" s="31"/>
      <c r="S975" s="32">
        <f t="shared" si="265"/>
        <v>0</v>
      </c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2"/>
        <v>0</v>
      </c>
      <c r="AF975" s="10"/>
      <c r="AG975" s="10"/>
      <c r="AH975" s="10"/>
      <c r="AI975" s="12">
        <f t="shared" si="268"/>
        <v>0</v>
      </c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63"/>
        <v>0</v>
      </c>
      <c r="H976" s="10"/>
      <c r="I976" s="10"/>
      <c r="J976" s="10"/>
      <c r="K976" s="12">
        <f t="shared" si="264"/>
        <v>0</v>
      </c>
      <c r="M976" s="10">
        <v>30</v>
      </c>
      <c r="N976" s="30"/>
      <c r="O976" s="31"/>
      <c r="P976" s="47"/>
      <c r="Q976" s="31"/>
      <c r="R976" s="31"/>
      <c r="S976" s="32">
        <f t="shared" si="265"/>
        <v>0</v>
      </c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2"/>
        <v>0</v>
      </c>
      <c r="AF976" s="10"/>
      <c r="AG976" s="10"/>
      <c r="AH976" s="10"/>
      <c r="AI976" s="12">
        <f t="shared" si="268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63"/>
        <v>0</v>
      </c>
      <c r="H977" s="10"/>
      <c r="I977" s="10"/>
      <c r="J977" s="10"/>
      <c r="K977" s="12">
        <f t="shared" si="264"/>
        <v>0</v>
      </c>
      <c r="M977" s="10">
        <v>31</v>
      </c>
      <c r="N977" s="30"/>
      <c r="O977" s="31"/>
      <c r="P977" s="47"/>
      <c r="Q977" s="31"/>
      <c r="R977" s="31"/>
      <c r="S977" s="32">
        <f t="shared" si="265"/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2"/>
        <v>0</v>
      </c>
      <c r="AF977" s="10"/>
      <c r="AG977" s="10"/>
      <c r="AH977" s="10"/>
      <c r="AI977" s="12">
        <f t="shared" si="268"/>
        <v>0</v>
      </c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63"/>
        <v>0</v>
      </c>
      <c r="H978" s="10"/>
      <c r="I978" s="10"/>
      <c r="J978" s="10"/>
      <c r="K978" s="12">
        <f t="shared" si="264"/>
        <v>0</v>
      </c>
      <c r="M978" s="10">
        <v>32</v>
      </c>
      <c r="N978" s="30"/>
      <c r="O978" s="31"/>
      <c r="P978" s="47"/>
      <c r="Q978" s="31"/>
      <c r="R978" s="31"/>
      <c r="S978" s="32">
        <f t="shared" si="265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2"/>
        <v>0</v>
      </c>
      <c r="AF978" s="10"/>
      <c r="AG978" s="10"/>
      <c r="AH978" s="10"/>
      <c r="AI978" s="12">
        <f t="shared" si="268"/>
        <v>0</v>
      </c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63"/>
        <v>0</v>
      </c>
      <c r="H979" s="10"/>
      <c r="I979" s="10"/>
      <c r="J979" s="10"/>
      <c r="K979" s="12">
        <f t="shared" si="264"/>
        <v>0</v>
      </c>
      <c r="M979" s="10">
        <v>33</v>
      </c>
      <c r="N979" s="30"/>
      <c r="O979" s="31"/>
      <c r="P979" s="47"/>
      <c r="Q979" s="31"/>
      <c r="R979" s="31"/>
      <c r="S979" s="32">
        <f t="shared" si="265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2"/>
        <v>0</v>
      </c>
      <c r="AF979" s="10"/>
      <c r="AG979" s="10"/>
      <c r="AH979" s="10"/>
      <c r="AI979" s="12">
        <f t="shared" si="268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63"/>
        <v>0</v>
      </c>
      <c r="H980" s="10"/>
      <c r="I980" s="10"/>
      <c r="J980" s="10"/>
      <c r="K980" s="12">
        <f t="shared" si="264"/>
        <v>0</v>
      </c>
      <c r="M980" s="10">
        <v>34</v>
      </c>
      <c r="N980" s="30"/>
      <c r="O980" s="31"/>
      <c r="P980" s="47"/>
      <c r="Q980" s="31"/>
      <c r="R980" s="31"/>
      <c r="S980" s="32">
        <f t="shared" si="265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74">SUM(AB980:AC980)</f>
        <v>0</v>
      </c>
      <c r="AF980" s="10"/>
      <c r="AG980" s="10"/>
      <c r="AH980" s="10"/>
      <c r="AI980" s="12">
        <f t="shared" si="268"/>
        <v>0</v>
      </c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5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4"/>
        <v>0</v>
      </c>
      <c r="AF981" s="10"/>
      <c r="AG981" s="10"/>
      <c r="AH981" s="10"/>
      <c r="AI981" s="12">
        <f t="shared" si="268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5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4"/>
        <v>0</v>
      </c>
      <c r="AF982" s="10"/>
      <c r="AG982" s="10"/>
      <c r="AH982" s="10"/>
      <c r="AI982" s="12">
        <f t="shared" si="268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5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4"/>
        <v>0</v>
      </c>
      <c r="AF983" s="10"/>
      <c r="AG983" s="10"/>
      <c r="AH983" s="10"/>
      <c r="AI983" s="12">
        <f t="shared" si="268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5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4"/>
        <v>0</v>
      </c>
      <c r="AF984" s="10"/>
      <c r="AG984" s="10"/>
      <c r="AH984" s="10"/>
      <c r="AI984" s="12">
        <f t="shared" si="268"/>
        <v>0</v>
      </c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5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4"/>
        <v>0</v>
      </c>
      <c r="AF985" s="10"/>
      <c r="AG985" s="10"/>
      <c r="AH985" s="10"/>
      <c r="AI985" s="12">
        <f t="shared" si="268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8"/>
        <v>0</v>
      </c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5">SUM(D987:E987)</f>
        <v>0</v>
      </c>
      <c r="H987" s="10"/>
      <c r="I987" s="10"/>
      <c r="J987" s="10"/>
      <c r="K987" s="12">
        <f t="shared" ref="K987" si="276">SUM(G987:J987)</f>
        <v>0</v>
      </c>
      <c r="M987" s="10"/>
      <c r="N987" s="30"/>
      <c r="O987" s="31"/>
      <c r="P987" s="47"/>
      <c r="Q987" s="31"/>
      <c r="R987" s="31"/>
      <c r="S987" s="32">
        <f t="shared" ref="S987" si="277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8">SUM(AB987:AC987)</f>
        <v>0</v>
      </c>
      <c r="AF987" s="10"/>
      <c r="AG987" s="10"/>
      <c r="AH987" s="10"/>
      <c r="AI987" s="12">
        <f t="shared" si="268"/>
        <v>0</v>
      </c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8"/>
        <v>0</v>
      </c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246790</v>
      </c>
      <c r="E990" s="38">
        <f t="shared" ref="E990:F990" si="279">SUM(E947:E987)</f>
        <v>0</v>
      </c>
      <c r="F990" s="38">
        <f t="shared" si="279"/>
        <v>0</v>
      </c>
      <c r="G990" s="38">
        <f>SUM(G947:G989)</f>
        <v>246790</v>
      </c>
      <c r="H990" s="4"/>
      <c r="I990" s="39">
        <f>SUM(I947:I989)</f>
        <v>597</v>
      </c>
      <c r="J990" s="39">
        <f>SUM(J947:J989)</f>
        <v>-2664</v>
      </c>
      <c r="K990" s="40">
        <f>SUM(K947:K989)</f>
        <v>244723</v>
      </c>
      <c r="N990" s="57"/>
      <c r="O990" s="57"/>
      <c r="P990" s="38">
        <f>SUM(P947:P989)</f>
        <v>221041</v>
      </c>
      <c r="Q990" s="38">
        <f t="shared" ref="Q990:R990" si="280">SUM(Q947:Q987)</f>
        <v>-1926</v>
      </c>
      <c r="R990" s="38">
        <f t="shared" si="280"/>
        <v>0</v>
      </c>
      <c r="S990" s="38">
        <f t="shared" ref="S990" si="281">SUM(S947:S989)</f>
        <v>219115</v>
      </c>
      <c r="T990" s="4"/>
      <c r="U990" s="39">
        <f t="shared" ref="U990:W990" si="282">SUM(U947:U989)</f>
        <v>855</v>
      </c>
      <c r="V990" s="39">
        <f t="shared" si="282"/>
        <v>-918</v>
      </c>
      <c r="W990" s="40">
        <f t="shared" si="282"/>
        <v>219052</v>
      </c>
      <c r="Z990" s="57"/>
      <c r="AA990" s="57"/>
      <c r="AB990" s="38">
        <f t="shared" ref="AB990" si="283">SUM(AB947:AB989)</f>
        <v>405058</v>
      </c>
      <c r="AC990" s="38">
        <f t="shared" ref="AC990:AD990" si="284">SUM(AC947:AC987)</f>
        <v>-2142</v>
      </c>
      <c r="AD990" s="38">
        <f t="shared" si="284"/>
        <v>0</v>
      </c>
      <c r="AE990" s="38">
        <f t="shared" ref="AE990" si="285">SUM(AE947:AE989)</f>
        <v>402916</v>
      </c>
      <c r="AF990" s="4"/>
      <c r="AG990" s="39">
        <f t="shared" ref="AG990:AI990" si="286">SUM(AG947:AG989)</f>
        <v>6815.25</v>
      </c>
      <c r="AH990" s="39">
        <f t="shared" si="286"/>
        <v>-14676</v>
      </c>
      <c r="AI990" s="40">
        <f t="shared" si="286"/>
        <v>395055.25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2"/>
      <c r="E998" s="122"/>
      <c r="F998" s="86"/>
      <c r="G998" s="86"/>
      <c r="H998" s="62"/>
      <c r="I998" s="122"/>
      <c r="J998" s="122"/>
      <c r="K998" s="121"/>
      <c r="L998" s="62"/>
      <c r="M998" s="62"/>
      <c r="N998" s="65"/>
      <c r="O998" s="86"/>
      <c r="P998" s="122"/>
      <c r="Q998" s="122"/>
      <c r="R998" s="86"/>
      <c r="S998" s="86"/>
      <c r="T998" s="62"/>
      <c r="U998" s="122"/>
      <c r="V998" s="122"/>
      <c r="W998" s="121"/>
      <c r="X998" s="62"/>
      <c r="Y998" s="62"/>
      <c r="Z998" s="65"/>
      <c r="AA998" s="86"/>
      <c r="AB998" s="122"/>
      <c r="AC998" s="122"/>
      <c r="AD998" s="86"/>
      <c r="AE998" s="86"/>
      <c r="AF998" s="62"/>
      <c r="AG998" s="122"/>
      <c r="AH998" s="122"/>
      <c r="AI998" s="121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1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1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1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2"/>
      <c r="E1053" s="122"/>
      <c r="F1053" s="86"/>
      <c r="G1053" s="86"/>
      <c r="H1053" s="62"/>
      <c r="I1053" s="122"/>
      <c r="J1053" s="122"/>
      <c r="K1053" s="121"/>
      <c r="L1053" s="62"/>
      <c r="M1053" s="62"/>
      <c r="N1053" s="65"/>
      <c r="O1053" s="86"/>
      <c r="P1053" s="122"/>
      <c r="Q1053" s="122"/>
      <c r="R1053" s="86"/>
      <c r="S1053" s="86"/>
      <c r="T1053" s="62"/>
      <c r="U1053" s="122"/>
      <c r="V1053" s="122"/>
      <c r="W1053" s="121"/>
      <c r="X1053" s="62"/>
      <c r="Y1053" s="62"/>
      <c r="Z1053" s="65"/>
      <c r="AA1053" s="86"/>
      <c r="AB1053" s="122"/>
      <c r="AC1053" s="122"/>
      <c r="AD1053" s="86"/>
      <c r="AE1053" s="86"/>
      <c r="AF1053" s="62"/>
      <c r="AG1053" s="122"/>
      <c r="AH1053" s="122"/>
      <c r="AI1053" s="121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1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1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1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2"/>
      <c r="E1108" s="122"/>
      <c r="F1108" s="86"/>
      <c r="G1108" s="86"/>
      <c r="H1108" s="62"/>
      <c r="I1108" s="122"/>
      <c r="J1108" s="122"/>
      <c r="K1108" s="121"/>
      <c r="L1108" s="62"/>
      <c r="M1108" s="62"/>
      <c r="N1108" s="65"/>
      <c r="O1108" s="86"/>
      <c r="P1108" s="122"/>
      <c r="Q1108" s="122"/>
      <c r="R1108" s="86"/>
      <c r="S1108" s="86"/>
      <c r="T1108" s="62"/>
      <c r="U1108" s="122"/>
      <c r="V1108" s="122"/>
      <c r="W1108" s="121"/>
      <c r="X1108" s="62"/>
      <c r="Y1108" s="62"/>
      <c r="Z1108" s="65"/>
      <c r="AA1108" s="86"/>
      <c r="AB1108" s="122"/>
      <c r="AC1108" s="122"/>
      <c r="AD1108" s="86"/>
      <c r="AE1108" s="86"/>
      <c r="AF1108" s="62"/>
      <c r="AG1108" s="122"/>
      <c r="AH1108" s="122"/>
      <c r="AI1108" s="121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1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1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1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2"/>
      <c r="E1163" s="122"/>
      <c r="F1163" s="86"/>
      <c r="G1163" s="86"/>
      <c r="H1163" s="62"/>
      <c r="I1163" s="122"/>
      <c r="J1163" s="122"/>
      <c r="K1163" s="121"/>
      <c r="L1163" s="62"/>
      <c r="M1163" s="62"/>
      <c r="N1163" s="65"/>
      <c r="O1163" s="86"/>
      <c r="P1163" s="122"/>
      <c r="Q1163" s="122"/>
      <c r="R1163" s="86"/>
      <c r="S1163" s="86"/>
      <c r="T1163" s="62"/>
      <c r="U1163" s="122"/>
      <c r="V1163" s="122"/>
      <c r="W1163" s="121"/>
      <c r="X1163" s="62"/>
      <c r="Y1163" s="62"/>
      <c r="Z1163" s="65"/>
      <c r="AA1163" s="86"/>
      <c r="AB1163" s="122"/>
      <c r="AC1163" s="122"/>
      <c r="AD1163" s="86"/>
      <c r="AE1163" s="86"/>
      <c r="AF1163" s="62"/>
      <c r="AG1163" s="122"/>
      <c r="AH1163" s="122"/>
      <c r="AI1163" s="121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1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1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1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2"/>
      <c r="E1219" s="122"/>
      <c r="F1219" s="86"/>
      <c r="G1219" s="86"/>
      <c r="H1219" s="62"/>
      <c r="I1219" s="122"/>
      <c r="J1219" s="122"/>
      <c r="K1219" s="121"/>
      <c r="L1219" s="62"/>
      <c r="M1219" s="62"/>
      <c r="N1219" s="65"/>
      <c r="O1219" s="86"/>
      <c r="P1219" s="122"/>
      <c r="Q1219" s="122"/>
      <c r="R1219" s="86"/>
      <c r="S1219" s="86"/>
      <c r="T1219" s="62"/>
      <c r="U1219" s="122"/>
      <c r="V1219" s="122"/>
      <c r="W1219" s="121"/>
      <c r="X1219" s="62"/>
      <c r="Y1219" s="62"/>
      <c r="Z1219" s="65"/>
      <c r="AA1219" s="86"/>
      <c r="AB1219" s="122"/>
      <c r="AC1219" s="122"/>
      <c r="AD1219" s="86"/>
      <c r="AE1219" s="86"/>
      <c r="AF1219" s="62"/>
      <c r="AG1219" s="122"/>
      <c r="AH1219" s="122"/>
      <c r="AI1219" s="121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1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1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1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2"/>
      <c r="E1281" s="122"/>
      <c r="F1281" s="86"/>
      <c r="G1281" s="86"/>
      <c r="H1281" s="62"/>
      <c r="I1281" s="122"/>
      <c r="J1281" s="122"/>
      <c r="K1281" s="121"/>
      <c r="L1281" s="62"/>
      <c r="M1281" s="62"/>
      <c r="N1281" s="65"/>
      <c r="O1281" s="86"/>
      <c r="P1281" s="122"/>
      <c r="Q1281" s="122"/>
      <c r="R1281" s="86"/>
      <c r="S1281" s="86"/>
      <c r="T1281" s="62"/>
      <c r="U1281" s="122"/>
      <c r="V1281" s="122"/>
      <c r="W1281" s="121"/>
      <c r="X1281" s="62"/>
      <c r="Y1281" s="62"/>
      <c r="Z1281" s="65"/>
      <c r="AA1281" s="86"/>
      <c r="AB1281" s="122"/>
      <c r="AC1281" s="122"/>
      <c r="AD1281" s="86"/>
      <c r="AE1281" s="86"/>
      <c r="AF1281" s="62"/>
      <c r="AG1281" s="122"/>
      <c r="AH1281" s="122"/>
      <c r="AI1281" s="121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1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1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1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D670:E670"/>
    <mergeCell ref="U670:V670"/>
    <mergeCell ref="P670:Q670"/>
    <mergeCell ref="W670:W671"/>
    <mergeCell ref="K725:K726"/>
    <mergeCell ref="I725:J725"/>
    <mergeCell ref="D725:E725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2026-06-25T01:15:01Z</dcterms:modified>
</cp:coreProperties>
</file>