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C10E8FC3-D6F0-4BCD-BA97-C60C1027F154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NE" sheetId="6" r:id="rId2"/>
  </sheets>
  <definedNames>
    <definedName name="_xlnm.Print_Area" localSheetId="1">'PE, JUNE'!#REF!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09" i="6" l="1"/>
  <c r="I109" i="6"/>
  <c r="N107" i="6"/>
  <c r="L107" i="6" s="1"/>
  <c r="M107" i="6" s="1"/>
  <c r="N106" i="6"/>
  <c r="L106" i="6" s="1"/>
  <c r="M106" i="6" s="1"/>
  <c r="N105" i="6"/>
  <c r="L105" i="6"/>
  <c r="M105" i="6" s="1"/>
  <c r="N104" i="6"/>
  <c r="L104" i="6" s="1"/>
  <c r="M104" i="6" s="1"/>
  <c r="N103" i="6"/>
  <c r="L103" i="6" s="1"/>
  <c r="M103" i="6" s="1"/>
  <c r="N102" i="6"/>
  <c r="L102" i="6"/>
  <c r="M102" i="6" s="1"/>
  <c r="N101" i="6"/>
  <c r="L101" i="6" s="1"/>
  <c r="M101" i="6" s="1"/>
  <c r="N100" i="6"/>
  <c r="L100" i="6" s="1"/>
  <c r="M100" i="6" s="1"/>
  <c r="N99" i="6"/>
  <c r="L99" i="6" s="1"/>
  <c r="M99" i="6" s="1"/>
  <c r="N98" i="6"/>
  <c r="L98" i="6" s="1"/>
  <c r="M98" i="6" s="1"/>
  <c r="N97" i="6"/>
  <c r="L97" i="6" s="1"/>
  <c r="M97" i="6" s="1"/>
  <c r="N96" i="6"/>
  <c r="L96" i="6" s="1"/>
  <c r="M96" i="6" s="1"/>
  <c r="N95" i="6"/>
  <c r="L95" i="6" s="1"/>
  <c r="M95" i="6" s="1"/>
  <c r="N94" i="6"/>
  <c r="L94" i="6"/>
  <c r="M94" i="6" s="1"/>
  <c r="N93" i="6"/>
  <c r="L93" i="6" s="1"/>
  <c r="M93" i="6" s="1"/>
  <c r="N92" i="6"/>
  <c r="L92" i="6" s="1"/>
  <c r="M92" i="6" s="1"/>
  <c r="N91" i="6"/>
  <c r="L91" i="6" s="1"/>
  <c r="M91" i="6" s="1"/>
  <c r="N90" i="6"/>
  <c r="L90" i="6" s="1"/>
  <c r="M90" i="6" s="1"/>
  <c r="N89" i="6"/>
  <c r="L89" i="6" s="1"/>
  <c r="M89" i="6" s="1"/>
  <c r="N88" i="6"/>
  <c r="I55" i="6"/>
  <c r="I82" i="6"/>
  <c r="M80" i="6"/>
  <c r="K80" i="6"/>
  <c r="L80" i="6" s="1"/>
  <c r="M79" i="6"/>
  <c r="K79" i="6" s="1"/>
  <c r="L79" i="6" s="1"/>
  <c r="M78" i="6"/>
  <c r="K78" i="6"/>
  <c r="L78" i="6" s="1"/>
  <c r="M77" i="6"/>
  <c r="K77" i="6" s="1"/>
  <c r="L77" i="6" s="1"/>
  <c r="M76" i="6"/>
  <c r="K76" i="6" s="1"/>
  <c r="L76" i="6" s="1"/>
  <c r="M75" i="6"/>
  <c r="K75" i="6"/>
  <c r="L75" i="6" s="1"/>
  <c r="M74" i="6"/>
  <c r="K74" i="6" s="1"/>
  <c r="L74" i="6" s="1"/>
  <c r="M73" i="6"/>
  <c r="K73" i="6"/>
  <c r="L73" i="6" s="1"/>
  <c r="M72" i="6"/>
  <c r="K72" i="6"/>
  <c r="L72" i="6" s="1"/>
  <c r="M71" i="6"/>
  <c r="K71" i="6" s="1"/>
  <c r="L71" i="6" s="1"/>
  <c r="M70" i="6"/>
  <c r="K70" i="6"/>
  <c r="L70" i="6" s="1"/>
  <c r="M69" i="6"/>
  <c r="K69" i="6" s="1"/>
  <c r="L69" i="6" s="1"/>
  <c r="M68" i="6"/>
  <c r="K68" i="6" s="1"/>
  <c r="L68" i="6" s="1"/>
  <c r="M67" i="6"/>
  <c r="K67" i="6" s="1"/>
  <c r="L67" i="6" s="1"/>
  <c r="M66" i="6"/>
  <c r="K66" i="6" s="1"/>
  <c r="L66" i="6" s="1"/>
  <c r="M65" i="6"/>
  <c r="K65" i="6"/>
  <c r="L65" i="6" s="1"/>
  <c r="M64" i="6"/>
  <c r="K64" i="6" s="1"/>
  <c r="L64" i="6" s="1"/>
  <c r="M63" i="6"/>
  <c r="K63" i="6" s="1"/>
  <c r="L63" i="6" s="1"/>
  <c r="M62" i="6"/>
  <c r="K62" i="6"/>
  <c r="L62" i="6" s="1"/>
  <c r="M61" i="6"/>
  <c r="K61" i="6"/>
  <c r="M53" i="6"/>
  <c r="K53" i="6" s="1"/>
  <c r="L53" i="6" s="1"/>
  <c r="M52" i="6"/>
  <c r="K52" i="6"/>
  <c r="L52" i="6" s="1"/>
  <c r="M51" i="6"/>
  <c r="K51" i="6"/>
  <c r="L51" i="6" s="1"/>
  <c r="M50" i="6"/>
  <c r="K50" i="6"/>
  <c r="L50" i="6" s="1"/>
  <c r="M49" i="6"/>
  <c r="K49" i="6" s="1"/>
  <c r="L49" i="6" s="1"/>
  <c r="M48" i="6"/>
  <c r="K48" i="6" s="1"/>
  <c r="L48" i="6" s="1"/>
  <c r="M47" i="6"/>
  <c r="K47" i="6"/>
  <c r="L47" i="6" s="1"/>
  <c r="M46" i="6"/>
  <c r="K46" i="6" s="1"/>
  <c r="L46" i="6" s="1"/>
  <c r="M45" i="6"/>
  <c r="K45" i="6" s="1"/>
  <c r="L45" i="6" s="1"/>
  <c r="M44" i="6"/>
  <c r="K44" i="6" s="1"/>
  <c r="L44" i="6" s="1"/>
  <c r="M43" i="6"/>
  <c r="K43" i="6" s="1"/>
  <c r="L43" i="6" s="1"/>
  <c r="M42" i="6"/>
  <c r="K42" i="6" s="1"/>
  <c r="L42" i="6" s="1"/>
  <c r="M41" i="6"/>
  <c r="K41" i="6" s="1"/>
  <c r="L41" i="6" s="1"/>
  <c r="M40" i="6"/>
  <c r="K40" i="6" s="1"/>
  <c r="L40" i="6" s="1"/>
  <c r="M39" i="6"/>
  <c r="K39" i="6"/>
  <c r="L39" i="6" s="1"/>
  <c r="M38" i="6"/>
  <c r="K38" i="6"/>
  <c r="L38" i="6" s="1"/>
  <c r="M37" i="6"/>
  <c r="K37" i="6" s="1"/>
  <c r="L37" i="6" s="1"/>
  <c r="M36" i="6"/>
  <c r="K36" i="6" s="1"/>
  <c r="L36" i="6" s="1"/>
  <c r="M35" i="6"/>
  <c r="K35" i="6"/>
  <c r="L35" i="6" s="1"/>
  <c r="M34" i="6"/>
  <c r="K34" i="6"/>
  <c r="M109" i="6" l="1"/>
  <c r="L109" i="6"/>
  <c r="N109" i="6"/>
  <c r="K82" i="6"/>
  <c r="M82" i="6"/>
  <c r="K55" i="6"/>
  <c r="M55" i="6"/>
  <c r="L88" i="6"/>
  <c r="M88" i="6" s="1"/>
  <c r="L61" i="6"/>
  <c r="L82" i="6" s="1"/>
  <c r="L34" i="6"/>
  <c r="L55" i="6" s="1"/>
  <c r="I12" i="6"/>
  <c r="I11" i="6"/>
  <c r="I10" i="6" l="1"/>
  <c r="I9" i="6" l="1"/>
  <c r="I8" i="6" l="1"/>
  <c r="I7" i="6" l="1"/>
  <c r="I28" i="6" s="1"/>
  <c r="M27" i="6" l="1"/>
  <c r="K27" i="6" s="1"/>
  <c r="L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l="1"/>
  <c r="L7" i="6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28" i="6" l="1"/>
  <c r="L28" i="6"/>
  <c r="K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J55" i="6"/>
  <c r="J109" i="6"/>
  <c r="J28" i="6"/>
  <c r="J82" i="6"/>
</calcChain>
</file>

<file path=xl/sharedStrings.xml><?xml version="1.0" encoding="utf-8"?>
<sst xmlns="http://schemas.openxmlformats.org/spreadsheetml/2006/main" count="516" uniqueCount="105">
  <si>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</si>
  <si>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</si>
  <si>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</si>
  <si>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</si>
  <si>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</si>
  <si>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</si>
  <si>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</si>
  <si>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</si>
  <si>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</si>
  <si>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</si>
  <si>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</si>
  <si>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</si>
  <si>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</si>
  <si>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</si>
  <si>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</si>
  <si>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</si>
  <si>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</si>
  <si>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</si>
  <si>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</si>
  <si>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</si>
  <si>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</si>
  <si>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</si>
  <si>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</si>
  <si>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</si>
  <si>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</si>
  <si>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</si>
  <si>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</si>
  <si>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</si>
  <si>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</si>
  <si>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</si>
  <si>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</si>
  <si>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</si>
  <si>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</si>
  <si>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</si>
  <si>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</si>
  <si>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</si>
  <si>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</si>
  <si>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</si>
  <si>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</si>
  <si>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</si>
  <si>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</si>
  <si>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</si>
  <si>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</si>
  <si>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</si>
  <si>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</si>
  <si>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</si>
  <si>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</si>
  <si>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</si>
  <si>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</si>
  <si>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</si>
  <si>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</si>
  <si>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</si>
  <si>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</si>
  <si>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</si>
  <si>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</si>
  <si>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</si>
  <si>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</si>
  <si>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</si>
  <si>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</si>
  <si>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</si>
  <si>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</si>
  <si>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</si>
  <si>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</si>
  <si>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</si>
  <si>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</si>
  <si>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</si>
  <si>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</si>
  <si>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</si>
  <si>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</si>
  <si>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</si>
  <si>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</si>
  <si>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</si>
  <si>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</si>
  <si>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</si>
  <si>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</si>
  <si>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JUNE 2026</t>
  </si>
  <si>
    <t>06/16/2026</t>
  </si>
  <si>
    <t>06/18/2026</t>
  </si>
  <si>
    <t>06/19/2026</t>
  </si>
  <si>
    <t>06/23/2026</t>
  </si>
  <si>
    <t>06/24/2026</t>
  </si>
  <si>
    <t>MONTHLY PURCHASES</t>
  </si>
  <si>
    <t>MONTHLY PURCHASES BEER EMPTIES</t>
  </si>
  <si>
    <t>MONTHLY PURCHASES NAB EMPTIES</t>
  </si>
  <si>
    <t>R01</t>
  </si>
  <si>
    <t>R02</t>
  </si>
  <si>
    <t>R03</t>
  </si>
  <si>
    <t>R04</t>
  </si>
  <si>
    <t>R05</t>
  </si>
  <si>
    <t>R06</t>
  </si>
  <si>
    <t>R07</t>
  </si>
  <si>
    <t>06/13/2026</t>
  </si>
  <si>
    <t>R08</t>
  </si>
  <si>
    <t>06/15/2026</t>
  </si>
  <si>
    <t>R09</t>
  </si>
  <si>
    <t>R10</t>
  </si>
  <si>
    <t>R11</t>
  </si>
  <si>
    <t>R12</t>
  </si>
  <si>
    <t>06/20/2026</t>
  </si>
  <si>
    <t>R13</t>
  </si>
  <si>
    <t>R14</t>
  </si>
  <si>
    <t>R15</t>
  </si>
  <si>
    <t>MONTHLY PURCHASES SMB LILOY WW</t>
  </si>
  <si>
    <t>01</t>
  </si>
  <si>
    <t>TOTAL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</si>
</sst>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109"/>
  <sheetViews>
    <sheetView tabSelected="1" topLeftCell="A79" zoomScaleNormal="100" workbookViewId="0">
      <selection activeCell="F113" sqref="F113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9" width="17.42578125" customWidth="1"/>
    <col min="10" max="10" width="0" hidden="1" customWidth="1"/>
    <col min="11" max="12" width="14" customWidth="1"/>
    <col min="13" max="13" width="14" style="35" customWidth="1"/>
    <col min="14" max="14" width="13.140625" bestFit="1" customWidth="1"/>
    <col min="15" max="15" width="11.28515625" bestFit="1" customWidth="1"/>
  </cols>
  <sheetData>
    <row r="1" spans="1:15" x14ac:dyDescent="0.25">
      <c r="C1" s="39" t="s">
        <v>67</v>
      </c>
      <c r="D1" s="40"/>
      <c r="E1" s="40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1" t="s">
        <v>81</v>
      </c>
      <c r="D3" s="42"/>
      <c r="E3" s="42"/>
      <c r="F3" s="43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518733994</v>
      </c>
      <c r="H7" s="20" t="s">
        <v>74</v>
      </c>
      <c r="I7" s="21">
        <f>1315032-273031.68</f>
        <v>1042000.3200000001</v>
      </c>
      <c r="K7" s="21">
        <f>M7*12</f>
        <v>111642.89142857144</v>
      </c>
      <c r="L7" s="27">
        <f>I7-K7</f>
        <v>930357.42857142864</v>
      </c>
      <c r="M7" s="33">
        <f>I7/112</f>
        <v>9303.5742857142868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518741040</v>
      </c>
      <c r="H8" s="20" t="s">
        <v>74</v>
      </c>
      <c r="I8" s="21">
        <f>1412471-61256.62</f>
        <v>1351214.38</v>
      </c>
      <c r="K8" s="21">
        <f>M8*12</f>
        <v>144772.96928571427</v>
      </c>
      <c r="L8" s="27">
        <f>I8-K8</f>
        <v>1206441.4107142857</v>
      </c>
      <c r="M8" s="33">
        <f t="shared" ref="M8:M26" si="0">I8/112</f>
        <v>12064.414107142857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78</v>
      </c>
      <c r="D9" s="20" t="s">
        <v>68</v>
      </c>
      <c r="E9" s="20"/>
      <c r="F9" s="20" t="s">
        <v>70</v>
      </c>
      <c r="G9" s="20">
        <v>518745098</v>
      </c>
      <c r="H9" s="20" t="s">
        <v>74</v>
      </c>
      <c r="I9" s="21">
        <f>1397196-60845.04</f>
        <v>1336350.96</v>
      </c>
      <c r="K9" s="21">
        <f t="shared" ref="K9:K26" si="2">M9*12</f>
        <v>143180.46</v>
      </c>
      <c r="L9" s="27">
        <f t="shared" ref="L9:L26" si="3">I9-K9</f>
        <v>1193170.5</v>
      </c>
      <c r="M9" s="33">
        <f t="shared" si="0"/>
        <v>11931.705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79</v>
      </c>
      <c r="D10" s="20" t="s">
        <v>68</v>
      </c>
      <c r="E10" s="20"/>
      <c r="F10" s="20" t="s">
        <v>70</v>
      </c>
      <c r="G10" s="20">
        <v>518756120</v>
      </c>
      <c r="H10" s="20" t="s">
        <v>74</v>
      </c>
      <c r="I10" s="21">
        <f>1346606-57095.42</f>
        <v>1289510.58</v>
      </c>
      <c r="K10" s="21">
        <f t="shared" si="2"/>
        <v>138161.84785714286</v>
      </c>
      <c r="L10" s="27">
        <f t="shared" si="3"/>
        <v>1151348.7321428573</v>
      </c>
      <c r="M10" s="33">
        <f t="shared" si="0"/>
        <v>11513.487321428573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80</v>
      </c>
      <c r="D11" s="20" t="s">
        <v>68</v>
      </c>
      <c r="E11" s="20"/>
      <c r="F11" s="20" t="s">
        <v>70</v>
      </c>
      <c r="G11" s="20">
        <v>518760128</v>
      </c>
      <c r="H11" s="20" t="s">
        <v>74</v>
      </c>
      <c r="I11" s="21">
        <f>1397196-60845.04</f>
        <v>1336350.96</v>
      </c>
      <c r="K11" s="21">
        <f t="shared" si="2"/>
        <v>143180.46</v>
      </c>
      <c r="L11" s="27">
        <f t="shared" si="3"/>
        <v>1193170.5</v>
      </c>
      <c r="M11" s="33">
        <f t="shared" si="0"/>
        <v>11931.705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80</v>
      </c>
      <c r="D12" s="20" t="s">
        <v>68</v>
      </c>
      <c r="E12" s="20"/>
      <c r="F12" s="20" t="s">
        <v>70</v>
      </c>
      <c r="G12" s="20">
        <v>518759920</v>
      </c>
      <c r="H12" s="20" t="s">
        <v>74</v>
      </c>
      <c r="I12" s="21">
        <f>1397196-60845.04</f>
        <v>1336350.96</v>
      </c>
      <c r="K12" s="21">
        <f t="shared" si="2"/>
        <v>143180.46</v>
      </c>
      <c r="L12" s="27">
        <f t="shared" si="3"/>
        <v>1193170.5</v>
      </c>
      <c r="M12" s="33">
        <f t="shared" si="0"/>
        <v>11931.705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6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I28" s="44">
        <f>SUM(I7:I27)</f>
        <v>7691778.1600000001</v>
      </c>
      <c r="J28" s="44">
        <f ca="1">SUM(J7:J31)</f>
        <v>0</v>
      </c>
      <c r="K28" s="44">
        <f>SUM(K7:K27)</f>
        <v>824119.08857142855</v>
      </c>
      <c r="L28" s="44">
        <f>SUM(L7:L27)</f>
        <v>6867659.0714285718</v>
      </c>
      <c r="M28" s="44">
        <f>SUM(M7:M27)</f>
        <v>68676.590714285718</v>
      </c>
    </row>
    <row r="29" spans="1:13" x14ac:dyDescent="0.25">
      <c r="G29"/>
      <c r="M29" s="34"/>
    </row>
    <row r="30" spans="1:13" ht="15.75" x14ac:dyDescent="0.25">
      <c r="C30" s="41" t="s">
        <v>82</v>
      </c>
      <c r="D30" s="42"/>
      <c r="E30" s="42"/>
      <c r="F30" s="43" t="s">
        <v>75</v>
      </c>
      <c r="G30" s="1"/>
      <c r="H30" s="1"/>
      <c r="I30" s="1"/>
      <c r="K30" s="1"/>
      <c r="L30" s="1"/>
      <c r="M30" s="28"/>
    </row>
    <row r="31" spans="1:13" x14ac:dyDescent="0.25">
      <c r="C31" s="8"/>
      <c r="D31" s="8"/>
      <c r="E31" s="8"/>
      <c r="F31" s="8"/>
      <c r="G31" s="8"/>
      <c r="H31" s="8"/>
      <c r="I31" s="8"/>
      <c r="K31" s="8"/>
      <c r="L31" s="8"/>
      <c r="M31" s="30"/>
    </row>
    <row r="32" spans="1:13" x14ac:dyDescent="0.25">
      <c r="C32" s="9"/>
      <c r="D32" s="9"/>
      <c r="E32" s="9"/>
      <c r="F32" s="1"/>
      <c r="G32" s="9" t="s">
        <v>2</v>
      </c>
      <c r="H32" s="9"/>
      <c r="I32" s="10" t="s">
        <v>3</v>
      </c>
      <c r="K32" s="10"/>
      <c r="L32" s="10" t="s">
        <v>4</v>
      </c>
      <c r="M32" s="31"/>
    </row>
    <row r="33" spans="1:13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10" t="s">
        <v>11</v>
      </c>
      <c r="K33" s="10" t="s">
        <v>12</v>
      </c>
      <c r="L33" s="10" t="s">
        <v>13</v>
      </c>
      <c r="M33" s="32">
        <v>2307</v>
      </c>
    </row>
    <row r="34" spans="1:13" x14ac:dyDescent="0.25">
      <c r="A34">
        <v>2</v>
      </c>
      <c r="C34" s="19">
        <v>46028</v>
      </c>
      <c r="D34" s="20" t="s">
        <v>68</v>
      </c>
      <c r="E34" s="12"/>
      <c r="F34" s="20" t="s">
        <v>70</v>
      </c>
      <c r="G34" s="37" t="s">
        <v>84</v>
      </c>
      <c r="H34" s="20" t="s">
        <v>74</v>
      </c>
      <c r="I34" s="21">
        <v>105480</v>
      </c>
      <c r="K34" s="21">
        <f t="shared" ref="K34:K53" si="7">M34*12</f>
        <v>11301.428571428572</v>
      </c>
      <c r="L34" s="27">
        <f>I34-K34</f>
        <v>94178.57142857142</v>
      </c>
      <c r="M34" s="33">
        <f t="shared" ref="M34:M53" si="8">I34/112</f>
        <v>941.78571428571433</v>
      </c>
    </row>
    <row r="35" spans="1:13" x14ac:dyDescent="0.25">
      <c r="A35">
        <v>3</v>
      </c>
      <c r="C35" s="19">
        <v>46240</v>
      </c>
      <c r="D35" s="20" t="s">
        <v>68</v>
      </c>
      <c r="E35" s="20"/>
      <c r="F35" s="20" t="s">
        <v>70</v>
      </c>
      <c r="G35" s="37" t="s">
        <v>85</v>
      </c>
      <c r="H35" s="20" t="s">
        <v>74</v>
      </c>
      <c r="I35" s="21">
        <v>199368</v>
      </c>
      <c r="K35" s="21">
        <f t="shared" si="7"/>
        <v>21360.857142857145</v>
      </c>
      <c r="L35" s="27">
        <f t="shared" ref="L35:L53" si="9">I35-K35</f>
        <v>178007.14285714284</v>
      </c>
      <c r="M35" s="33">
        <f t="shared" si="8"/>
        <v>1780.0714285714287</v>
      </c>
    </row>
    <row r="36" spans="1:13" x14ac:dyDescent="0.25">
      <c r="A36">
        <v>4</v>
      </c>
      <c r="C36" s="19">
        <v>46271</v>
      </c>
      <c r="D36" s="20" t="s">
        <v>68</v>
      </c>
      <c r="E36" s="20"/>
      <c r="F36" s="20" t="s">
        <v>70</v>
      </c>
      <c r="G36" s="37" t="s">
        <v>86</v>
      </c>
      <c r="H36" s="20" t="s">
        <v>74</v>
      </c>
      <c r="I36" s="21">
        <v>177156</v>
      </c>
      <c r="K36" s="21">
        <f t="shared" si="7"/>
        <v>18981</v>
      </c>
      <c r="L36" s="27">
        <f t="shared" si="9"/>
        <v>158175</v>
      </c>
      <c r="M36" s="33">
        <f t="shared" si="8"/>
        <v>1581.75</v>
      </c>
    </row>
    <row r="37" spans="1:13" x14ac:dyDescent="0.25">
      <c r="A37">
        <v>5</v>
      </c>
      <c r="C37" s="19">
        <v>46301</v>
      </c>
      <c r="D37" s="20" t="s">
        <v>68</v>
      </c>
      <c r="E37" s="20"/>
      <c r="F37" s="20" t="s">
        <v>70</v>
      </c>
      <c r="G37" s="37" t="s">
        <v>87</v>
      </c>
      <c r="H37" s="20" t="s">
        <v>74</v>
      </c>
      <c r="I37" s="21">
        <v>203796</v>
      </c>
      <c r="K37" s="21">
        <f t="shared" si="7"/>
        <v>21835.285714285714</v>
      </c>
      <c r="L37" s="27">
        <f t="shared" si="9"/>
        <v>181960.71428571429</v>
      </c>
      <c r="M37" s="33">
        <f t="shared" si="8"/>
        <v>1819.6071428571429</v>
      </c>
    </row>
    <row r="38" spans="1:13" x14ac:dyDescent="0.25">
      <c r="A38">
        <v>6</v>
      </c>
      <c r="C38" s="19">
        <v>46332</v>
      </c>
      <c r="D38" s="20" t="s">
        <v>68</v>
      </c>
      <c r="E38" s="20"/>
      <c r="F38" s="20" t="s">
        <v>70</v>
      </c>
      <c r="G38" s="37" t="s">
        <v>88</v>
      </c>
      <c r="H38" s="20" t="s">
        <v>74</v>
      </c>
      <c r="I38" s="21">
        <v>187884</v>
      </c>
      <c r="K38" s="21">
        <f t="shared" si="7"/>
        <v>20130.428571428572</v>
      </c>
      <c r="L38" s="27">
        <f t="shared" si="9"/>
        <v>167753.57142857142</v>
      </c>
      <c r="M38" s="33">
        <f t="shared" si="8"/>
        <v>1677.5357142857142</v>
      </c>
    </row>
    <row r="39" spans="1:13" x14ac:dyDescent="0.25">
      <c r="A39">
        <v>7</v>
      </c>
      <c r="C39" s="19">
        <v>46332</v>
      </c>
      <c r="D39" s="20" t="s">
        <v>68</v>
      </c>
      <c r="E39" s="20"/>
      <c r="F39" s="20" t="s">
        <v>70</v>
      </c>
      <c r="G39" s="37" t="s">
        <v>89</v>
      </c>
      <c r="H39" s="20" t="s">
        <v>74</v>
      </c>
      <c r="I39" s="21">
        <v>191808</v>
      </c>
      <c r="K39" s="21">
        <f t="shared" si="7"/>
        <v>20550.857142857145</v>
      </c>
      <c r="L39" s="27">
        <f t="shared" si="9"/>
        <v>171257.14285714284</v>
      </c>
      <c r="M39" s="33">
        <f t="shared" si="8"/>
        <v>1712.5714285714287</v>
      </c>
    </row>
    <row r="40" spans="1:13" x14ac:dyDescent="0.25">
      <c r="A40">
        <v>8</v>
      </c>
      <c r="C40" s="19">
        <v>46362</v>
      </c>
      <c r="D40" s="20" t="s">
        <v>68</v>
      </c>
      <c r="E40" s="20"/>
      <c r="F40" s="20" t="s">
        <v>70</v>
      </c>
      <c r="G40" s="37" t="s">
        <v>90</v>
      </c>
      <c r="H40" s="20" t="s">
        <v>74</v>
      </c>
      <c r="I40" s="21">
        <v>203796</v>
      </c>
      <c r="K40" s="21">
        <f t="shared" si="7"/>
        <v>21835.285714285714</v>
      </c>
      <c r="L40" s="27">
        <f t="shared" si="9"/>
        <v>181960.71428571429</v>
      </c>
      <c r="M40" s="33">
        <f t="shared" si="8"/>
        <v>1819.6071428571429</v>
      </c>
    </row>
    <row r="41" spans="1:13" x14ac:dyDescent="0.25">
      <c r="A41">
        <v>9</v>
      </c>
      <c r="C41" s="19" t="s">
        <v>91</v>
      </c>
      <c r="D41" s="20" t="s">
        <v>68</v>
      </c>
      <c r="E41" s="20"/>
      <c r="F41" s="20" t="s">
        <v>70</v>
      </c>
      <c r="G41" s="37" t="s">
        <v>92</v>
      </c>
      <c r="H41" s="20" t="s">
        <v>74</v>
      </c>
      <c r="I41" s="21">
        <v>190800</v>
      </c>
      <c r="K41" s="21">
        <f t="shared" si="7"/>
        <v>20442.857142857145</v>
      </c>
      <c r="L41" s="27">
        <f t="shared" si="9"/>
        <v>170357.14285714284</v>
      </c>
      <c r="M41" s="33">
        <f t="shared" si="8"/>
        <v>1703.5714285714287</v>
      </c>
    </row>
    <row r="42" spans="1:13" x14ac:dyDescent="0.25">
      <c r="A42">
        <v>10</v>
      </c>
      <c r="C42" s="19" t="s">
        <v>93</v>
      </c>
      <c r="D42" s="20" t="s">
        <v>68</v>
      </c>
      <c r="E42" s="20"/>
      <c r="F42" s="20" t="s">
        <v>70</v>
      </c>
      <c r="G42" s="37" t="s">
        <v>94</v>
      </c>
      <c r="H42" s="20" t="s">
        <v>74</v>
      </c>
      <c r="I42" s="21">
        <v>149328</v>
      </c>
      <c r="K42" s="21">
        <f t="shared" si="7"/>
        <v>15999.428571428571</v>
      </c>
      <c r="L42" s="27">
        <f t="shared" si="9"/>
        <v>133328.57142857142</v>
      </c>
      <c r="M42" s="33">
        <f t="shared" si="8"/>
        <v>1333.2857142857142</v>
      </c>
    </row>
    <row r="43" spans="1:13" x14ac:dyDescent="0.25">
      <c r="A43">
        <v>11</v>
      </c>
      <c r="C43" s="19" t="s">
        <v>76</v>
      </c>
      <c r="D43" s="20" t="s">
        <v>68</v>
      </c>
      <c r="E43" s="20"/>
      <c r="F43" s="20" t="s">
        <v>70</v>
      </c>
      <c r="G43" s="37" t="s">
        <v>95</v>
      </c>
      <c r="H43" s="20" t="s">
        <v>74</v>
      </c>
      <c r="I43" s="21">
        <v>163404</v>
      </c>
      <c r="K43" s="21">
        <f t="shared" si="7"/>
        <v>17507.571428571428</v>
      </c>
      <c r="L43" s="27">
        <f t="shared" si="9"/>
        <v>145896.42857142858</v>
      </c>
      <c r="M43" s="33">
        <f t="shared" si="8"/>
        <v>1458.9642857142858</v>
      </c>
    </row>
    <row r="44" spans="1:13" x14ac:dyDescent="0.25">
      <c r="A44">
        <v>12</v>
      </c>
      <c r="C44" s="19" t="s">
        <v>77</v>
      </c>
      <c r="D44" s="20" t="s">
        <v>68</v>
      </c>
      <c r="E44" s="20"/>
      <c r="F44" s="20" t="s">
        <v>70</v>
      </c>
      <c r="G44" s="37" t="s">
        <v>96</v>
      </c>
      <c r="H44" s="20" t="s">
        <v>74</v>
      </c>
      <c r="I44" s="21">
        <v>191808</v>
      </c>
      <c r="K44" s="21">
        <f t="shared" si="7"/>
        <v>20550.857142857145</v>
      </c>
      <c r="L44" s="27">
        <f t="shared" si="9"/>
        <v>171257.14285714284</v>
      </c>
      <c r="M44" s="33">
        <f t="shared" si="8"/>
        <v>1712.5714285714287</v>
      </c>
    </row>
    <row r="45" spans="1:13" x14ac:dyDescent="0.25">
      <c r="A45">
        <v>13</v>
      </c>
      <c r="C45" s="19" t="s">
        <v>78</v>
      </c>
      <c r="D45" s="20" t="s">
        <v>68</v>
      </c>
      <c r="E45" s="20"/>
      <c r="F45" s="20" t="s">
        <v>70</v>
      </c>
      <c r="G45" s="37" t="s">
        <v>97</v>
      </c>
      <c r="H45" s="20" t="s">
        <v>74</v>
      </c>
      <c r="I45" s="21">
        <v>204888</v>
      </c>
      <c r="K45" s="21">
        <f t="shared" si="7"/>
        <v>21952.285714285714</v>
      </c>
      <c r="L45" s="27">
        <f t="shared" si="9"/>
        <v>182935.71428571429</v>
      </c>
      <c r="M45" s="33">
        <f t="shared" si="8"/>
        <v>1829.3571428571429</v>
      </c>
    </row>
    <row r="46" spans="1:13" x14ac:dyDescent="0.25">
      <c r="A46">
        <v>14</v>
      </c>
      <c r="C46" s="19" t="s">
        <v>98</v>
      </c>
      <c r="D46" s="20" t="s">
        <v>68</v>
      </c>
      <c r="E46" s="20"/>
      <c r="F46" s="20" t="s">
        <v>70</v>
      </c>
      <c r="G46" s="37" t="s">
        <v>99</v>
      </c>
      <c r="H46" s="20" t="s">
        <v>74</v>
      </c>
      <c r="I46" s="21">
        <v>91656</v>
      </c>
      <c r="K46" s="21">
        <f t="shared" si="7"/>
        <v>9820.2857142857138</v>
      </c>
      <c r="L46" s="27">
        <f t="shared" si="9"/>
        <v>81835.71428571429</v>
      </c>
      <c r="M46" s="33">
        <f t="shared" si="8"/>
        <v>818.35714285714289</v>
      </c>
    </row>
    <row r="47" spans="1:13" x14ac:dyDescent="0.25">
      <c r="A47">
        <v>15</v>
      </c>
      <c r="C47" s="19" t="s">
        <v>79</v>
      </c>
      <c r="D47" s="20" t="s">
        <v>68</v>
      </c>
      <c r="E47" s="20"/>
      <c r="F47" s="20" t="s">
        <v>70</v>
      </c>
      <c r="G47" s="37" t="s">
        <v>100</v>
      </c>
      <c r="H47" s="20" t="s">
        <v>74</v>
      </c>
      <c r="I47" s="21">
        <v>203796</v>
      </c>
      <c r="K47" s="21">
        <f t="shared" si="7"/>
        <v>21835.285714285714</v>
      </c>
      <c r="L47" s="27">
        <f t="shared" si="9"/>
        <v>181960.71428571429</v>
      </c>
      <c r="M47" s="33">
        <f t="shared" si="8"/>
        <v>1819.6071428571429</v>
      </c>
    </row>
    <row r="48" spans="1:13" x14ac:dyDescent="0.25">
      <c r="A48">
        <v>16</v>
      </c>
      <c r="C48" s="19" t="s">
        <v>80</v>
      </c>
      <c r="D48" s="20" t="s">
        <v>68</v>
      </c>
      <c r="E48" s="20"/>
      <c r="F48" s="20" t="s">
        <v>70</v>
      </c>
      <c r="G48" s="37" t="s">
        <v>101</v>
      </c>
      <c r="H48" s="20" t="s">
        <v>74</v>
      </c>
      <c r="I48" s="21">
        <v>143856</v>
      </c>
      <c r="K48" s="21">
        <f t="shared" si="7"/>
        <v>15413.142857142855</v>
      </c>
      <c r="L48" s="27">
        <f t="shared" si="9"/>
        <v>128442.85714285714</v>
      </c>
      <c r="M48" s="33">
        <f t="shared" si="8"/>
        <v>1284.4285714285713</v>
      </c>
    </row>
    <row r="49" spans="1:13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74</v>
      </c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74</v>
      </c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74</v>
      </c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74</v>
      </c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74</v>
      </c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74</v>
      </c>
      <c r="I54" s="21"/>
      <c r="K54" s="21"/>
      <c r="L54" s="21"/>
      <c r="M54" s="33"/>
    </row>
    <row r="55" spans="1:13" x14ac:dyDescent="0.25">
      <c r="I55" s="44">
        <f>SUM(I34:I54)</f>
        <v>2608824</v>
      </c>
      <c r="J55" s="44">
        <f ca="1">SUM(J34:J58)</f>
        <v>0</v>
      </c>
      <c r="K55" s="44">
        <f>SUM(K34:K54)</f>
        <v>279516.85714285716</v>
      </c>
      <c r="L55" s="44">
        <f>SUM(L34:L54)</f>
        <v>2329307.1428571427</v>
      </c>
      <c r="M55" s="45">
        <f>SUM(M34:M54)</f>
        <v>23293.071428571428</v>
      </c>
    </row>
    <row r="56" spans="1:13" x14ac:dyDescent="0.25">
      <c r="M56" s="34"/>
    </row>
    <row r="57" spans="1:13" ht="15.75" x14ac:dyDescent="0.25">
      <c r="C57" s="41" t="s">
        <v>83</v>
      </c>
      <c r="D57" s="42"/>
      <c r="E57" s="42"/>
      <c r="F57" s="43" t="s">
        <v>75</v>
      </c>
      <c r="G57" s="1"/>
      <c r="H57" s="1"/>
      <c r="I57" s="1"/>
      <c r="K57" s="1"/>
      <c r="L57" s="1"/>
      <c r="M57" s="28"/>
    </row>
    <row r="58" spans="1:13" x14ac:dyDescent="0.25">
      <c r="C58" s="8"/>
      <c r="D58" s="8"/>
      <c r="E58" s="8"/>
      <c r="F58" s="8"/>
      <c r="G58" s="8"/>
      <c r="H58" s="8"/>
      <c r="I58" s="8"/>
      <c r="K58" s="8"/>
      <c r="L58" s="8"/>
      <c r="M58" s="30"/>
    </row>
    <row r="59" spans="1:13" x14ac:dyDescent="0.25">
      <c r="C59" s="9"/>
      <c r="D59" s="9"/>
      <c r="E59" s="9"/>
      <c r="F59" s="1"/>
      <c r="G59" s="9" t="s">
        <v>2</v>
      </c>
      <c r="H59" s="9"/>
      <c r="I59" s="10" t="s">
        <v>3</v>
      </c>
      <c r="K59" s="10"/>
      <c r="L59" s="10" t="s">
        <v>4</v>
      </c>
      <c r="M59" s="31"/>
    </row>
    <row r="60" spans="1:13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10" t="s">
        <v>11</v>
      </c>
      <c r="K60" s="10" t="s">
        <v>12</v>
      </c>
      <c r="L60" s="10" t="s">
        <v>13</v>
      </c>
      <c r="M60" s="32">
        <v>2307</v>
      </c>
    </row>
    <row r="61" spans="1:13" x14ac:dyDescent="0.25">
      <c r="A61">
        <v>2</v>
      </c>
      <c r="C61" s="19">
        <v>46028</v>
      </c>
      <c r="D61" s="20" t="s">
        <v>68</v>
      </c>
      <c r="E61" s="12"/>
      <c r="F61" s="20" t="s">
        <v>70</v>
      </c>
      <c r="G61" s="37" t="s">
        <v>84</v>
      </c>
      <c r="H61" s="20" t="s">
        <v>74</v>
      </c>
      <c r="I61" s="21">
        <v>33804</v>
      </c>
      <c r="K61" s="21">
        <f t="shared" ref="K61:K80" si="10">M61*12</f>
        <v>3621.8571428571427</v>
      </c>
      <c r="L61" s="27">
        <f>I61-K61</f>
        <v>30182.142857142859</v>
      </c>
      <c r="M61" s="33">
        <f t="shared" ref="M61:M80" si="11">I61/112</f>
        <v>301.82142857142856</v>
      </c>
    </row>
    <row r="62" spans="1:13" x14ac:dyDescent="0.25">
      <c r="A62">
        <v>3</v>
      </c>
      <c r="C62" s="19">
        <v>46271</v>
      </c>
      <c r="D62" s="20" t="s">
        <v>68</v>
      </c>
      <c r="E62" s="20"/>
      <c r="F62" s="20" t="s">
        <v>70</v>
      </c>
      <c r="G62" s="37" t="s">
        <v>86</v>
      </c>
      <c r="H62" s="20" t="s">
        <v>74</v>
      </c>
      <c r="I62" s="21">
        <v>11340</v>
      </c>
      <c r="K62" s="21">
        <f t="shared" si="10"/>
        <v>1215</v>
      </c>
      <c r="L62" s="27">
        <f t="shared" ref="L62:L80" si="12">I62-K62</f>
        <v>10125</v>
      </c>
      <c r="M62" s="33">
        <f t="shared" si="11"/>
        <v>101.25</v>
      </c>
    </row>
    <row r="63" spans="1:13" x14ac:dyDescent="0.25">
      <c r="A63">
        <v>4</v>
      </c>
      <c r="C63" s="19">
        <v>46332</v>
      </c>
      <c r="D63" s="20" t="s">
        <v>68</v>
      </c>
      <c r="E63" s="20"/>
      <c r="F63" s="20" t="s">
        <v>70</v>
      </c>
      <c r="G63" s="37" t="s">
        <v>88</v>
      </c>
      <c r="H63" s="20" t="s">
        <v>74</v>
      </c>
      <c r="I63" s="21">
        <v>5670</v>
      </c>
      <c r="K63" s="21">
        <f t="shared" si="10"/>
        <v>607.5</v>
      </c>
      <c r="L63" s="27">
        <f t="shared" si="12"/>
        <v>5062.5</v>
      </c>
      <c r="M63" s="33">
        <f t="shared" si="11"/>
        <v>50.625</v>
      </c>
    </row>
    <row r="64" spans="1:13" x14ac:dyDescent="0.25">
      <c r="A64">
        <v>5</v>
      </c>
      <c r="C64" s="19">
        <v>46332</v>
      </c>
      <c r="D64" s="20" t="s">
        <v>68</v>
      </c>
      <c r="E64" s="20"/>
      <c r="F64" s="20" t="s">
        <v>70</v>
      </c>
      <c r="G64" s="37" t="s">
        <v>89</v>
      </c>
      <c r="H64" s="20" t="s">
        <v>74</v>
      </c>
      <c r="I64" s="21">
        <v>5616</v>
      </c>
      <c r="K64" s="21">
        <f t="shared" si="10"/>
        <v>601.71428571428578</v>
      </c>
      <c r="L64" s="27">
        <f t="shared" si="12"/>
        <v>5014.2857142857138</v>
      </c>
      <c r="M64" s="33">
        <f t="shared" si="11"/>
        <v>50.142857142857146</v>
      </c>
    </row>
    <row r="65" spans="1:13" x14ac:dyDescent="0.25">
      <c r="A65">
        <v>6</v>
      </c>
      <c r="C65" s="19" t="s">
        <v>93</v>
      </c>
      <c r="D65" s="20" t="s">
        <v>68</v>
      </c>
      <c r="E65" s="20"/>
      <c r="F65" s="20" t="s">
        <v>70</v>
      </c>
      <c r="G65" s="37" t="s">
        <v>94</v>
      </c>
      <c r="H65" s="20" t="s">
        <v>74</v>
      </c>
      <c r="I65" s="21">
        <v>11286</v>
      </c>
      <c r="K65" s="21">
        <f t="shared" si="10"/>
        <v>1209.2142857142858</v>
      </c>
      <c r="L65" s="27">
        <f t="shared" si="12"/>
        <v>10076.785714285714</v>
      </c>
      <c r="M65" s="33">
        <f t="shared" si="11"/>
        <v>100.76785714285714</v>
      </c>
    </row>
    <row r="66" spans="1:13" x14ac:dyDescent="0.25">
      <c r="A66">
        <v>7</v>
      </c>
      <c r="C66" s="19" t="s">
        <v>77</v>
      </c>
      <c r="D66" s="20" t="s">
        <v>68</v>
      </c>
      <c r="E66" s="20"/>
      <c r="F66" s="20" t="s">
        <v>70</v>
      </c>
      <c r="G66" s="37" t="s">
        <v>96</v>
      </c>
      <c r="H66" s="20" t="s">
        <v>74</v>
      </c>
      <c r="I66" s="21">
        <v>5616</v>
      </c>
      <c r="K66" s="21">
        <f t="shared" si="10"/>
        <v>601.71428571428578</v>
      </c>
      <c r="L66" s="27">
        <f t="shared" si="12"/>
        <v>5014.2857142857138</v>
      </c>
      <c r="M66" s="33">
        <f t="shared" si="11"/>
        <v>50.142857142857146</v>
      </c>
    </row>
    <row r="67" spans="1:13" x14ac:dyDescent="0.25">
      <c r="A67">
        <v>8</v>
      </c>
      <c r="C67" s="19" t="s">
        <v>98</v>
      </c>
      <c r="D67" s="20" t="s">
        <v>68</v>
      </c>
      <c r="E67" s="20"/>
      <c r="F67" s="20" t="s">
        <v>70</v>
      </c>
      <c r="G67" s="37" t="s">
        <v>99</v>
      </c>
      <c r="H67" s="20" t="s">
        <v>74</v>
      </c>
      <c r="I67" s="21">
        <v>5616</v>
      </c>
      <c r="K67" s="21">
        <f t="shared" si="10"/>
        <v>601.71428571428578</v>
      </c>
      <c r="L67" s="27">
        <f t="shared" si="12"/>
        <v>5014.2857142857138</v>
      </c>
      <c r="M67" s="33">
        <f t="shared" si="11"/>
        <v>50.142857142857146</v>
      </c>
    </row>
    <row r="68" spans="1:13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74</v>
      </c>
      <c r="I68" s="21"/>
      <c r="K68" s="21">
        <f t="shared" si="10"/>
        <v>0</v>
      </c>
      <c r="L68" s="27">
        <f t="shared" si="12"/>
        <v>0</v>
      </c>
      <c r="M68" s="33">
        <f t="shared" si="11"/>
        <v>0</v>
      </c>
    </row>
    <row r="69" spans="1:13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74</v>
      </c>
      <c r="I69" s="21"/>
      <c r="K69" s="21">
        <f t="shared" si="10"/>
        <v>0</v>
      </c>
      <c r="L69" s="27">
        <f t="shared" si="12"/>
        <v>0</v>
      </c>
      <c r="M69" s="33">
        <f t="shared" si="11"/>
        <v>0</v>
      </c>
    </row>
    <row r="70" spans="1:13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74</v>
      </c>
      <c r="I70" s="21"/>
      <c r="K70" s="21">
        <f t="shared" si="10"/>
        <v>0</v>
      </c>
      <c r="L70" s="27">
        <f t="shared" si="12"/>
        <v>0</v>
      </c>
      <c r="M70" s="33">
        <f t="shared" si="11"/>
        <v>0</v>
      </c>
    </row>
    <row r="71" spans="1:13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74</v>
      </c>
      <c r="I71" s="21"/>
      <c r="K71" s="21">
        <f t="shared" si="10"/>
        <v>0</v>
      </c>
      <c r="L71" s="27">
        <f t="shared" si="12"/>
        <v>0</v>
      </c>
      <c r="M71" s="33">
        <f t="shared" si="11"/>
        <v>0</v>
      </c>
    </row>
    <row r="72" spans="1:13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74</v>
      </c>
      <c r="I72" s="21"/>
      <c r="K72" s="21">
        <f t="shared" si="10"/>
        <v>0</v>
      </c>
      <c r="L72" s="27">
        <f t="shared" si="12"/>
        <v>0</v>
      </c>
      <c r="M72" s="33">
        <f t="shared" si="11"/>
        <v>0</v>
      </c>
    </row>
    <row r="73" spans="1:13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74</v>
      </c>
      <c r="I73" s="21"/>
      <c r="K73" s="21">
        <f t="shared" si="10"/>
        <v>0</v>
      </c>
      <c r="L73" s="27">
        <f t="shared" si="12"/>
        <v>0</v>
      </c>
      <c r="M73" s="33">
        <f t="shared" si="11"/>
        <v>0</v>
      </c>
    </row>
    <row r="74" spans="1:13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74</v>
      </c>
      <c r="I74" s="21"/>
      <c r="K74" s="21">
        <f t="shared" si="10"/>
        <v>0</v>
      </c>
      <c r="L74" s="27">
        <f t="shared" si="12"/>
        <v>0</v>
      </c>
      <c r="M74" s="33">
        <f t="shared" si="11"/>
        <v>0</v>
      </c>
    </row>
    <row r="75" spans="1:13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74</v>
      </c>
      <c r="I75" s="21"/>
      <c r="K75" s="21">
        <f t="shared" si="10"/>
        <v>0</v>
      </c>
      <c r="L75" s="27">
        <f t="shared" si="12"/>
        <v>0</v>
      </c>
      <c r="M75" s="33">
        <f t="shared" si="11"/>
        <v>0</v>
      </c>
    </row>
    <row r="76" spans="1:13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74</v>
      </c>
      <c r="I76" s="21"/>
      <c r="K76" s="21">
        <f t="shared" si="10"/>
        <v>0</v>
      </c>
      <c r="L76" s="27">
        <f t="shared" si="12"/>
        <v>0</v>
      </c>
      <c r="M76" s="33">
        <f t="shared" si="11"/>
        <v>0</v>
      </c>
    </row>
    <row r="77" spans="1:13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74</v>
      </c>
      <c r="I77" s="21"/>
      <c r="K77" s="21">
        <f t="shared" si="10"/>
        <v>0</v>
      </c>
      <c r="L77" s="27">
        <f t="shared" si="12"/>
        <v>0</v>
      </c>
      <c r="M77" s="33">
        <f t="shared" si="11"/>
        <v>0</v>
      </c>
    </row>
    <row r="78" spans="1:13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74</v>
      </c>
      <c r="I78" s="21"/>
      <c r="K78" s="21">
        <f t="shared" si="10"/>
        <v>0</v>
      </c>
      <c r="L78" s="27">
        <f t="shared" si="12"/>
        <v>0</v>
      </c>
      <c r="M78" s="33">
        <f t="shared" si="11"/>
        <v>0</v>
      </c>
    </row>
    <row r="79" spans="1:13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74</v>
      </c>
      <c r="I79" s="21"/>
      <c r="K79" s="21">
        <f t="shared" si="10"/>
        <v>0</v>
      </c>
      <c r="L79" s="27">
        <f t="shared" si="12"/>
        <v>0</v>
      </c>
      <c r="M79" s="33">
        <f t="shared" si="11"/>
        <v>0</v>
      </c>
    </row>
    <row r="80" spans="1:13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74</v>
      </c>
      <c r="I80" s="21"/>
      <c r="K80" s="21">
        <f t="shared" si="10"/>
        <v>0</v>
      </c>
      <c r="L80" s="27">
        <f t="shared" si="12"/>
        <v>0</v>
      </c>
      <c r="M80" s="33">
        <f t="shared" si="11"/>
        <v>0</v>
      </c>
    </row>
    <row r="81" spans="1:14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74</v>
      </c>
      <c r="I81" s="21"/>
      <c r="K81" s="21"/>
      <c r="L81" s="21"/>
      <c r="M81" s="33"/>
    </row>
    <row r="82" spans="1:14" x14ac:dyDescent="0.25">
      <c r="I82" s="44">
        <f>SUM(I61:I81)</f>
        <v>78948</v>
      </c>
      <c r="J82" s="44">
        <f ca="1">SUM(J61:J85)</f>
        <v>0</v>
      </c>
      <c r="K82" s="44">
        <f>SUM(K61:K81)</f>
        <v>8458.7142857142881</v>
      </c>
      <c r="L82" s="44">
        <f>SUM(L61:L81)</f>
        <v>70489.285714285696</v>
      </c>
      <c r="M82" s="45">
        <f>SUM(M61:M81)</f>
        <v>704.89285714285711</v>
      </c>
    </row>
    <row r="84" spans="1:14" ht="15.75" x14ac:dyDescent="0.25">
      <c r="C84" s="41" t="s">
        <v>102</v>
      </c>
      <c r="D84" s="42"/>
      <c r="E84" s="42"/>
      <c r="F84" s="43" t="s">
        <v>75</v>
      </c>
      <c r="G84" s="1"/>
      <c r="H84" s="1"/>
      <c r="I84" s="1"/>
      <c r="K84" s="1"/>
      <c r="L84" s="1"/>
      <c r="M84" s="28"/>
    </row>
    <row r="85" spans="1:14" x14ac:dyDescent="0.25">
      <c r="C85" s="8"/>
      <c r="D85" s="8"/>
      <c r="E85" s="8"/>
      <c r="F85" s="8"/>
      <c r="G85" s="8"/>
      <c r="H85" s="8"/>
      <c r="I85" s="8"/>
      <c r="K85" s="8"/>
      <c r="L85" s="8"/>
      <c r="M85" s="30"/>
    </row>
    <row r="86" spans="1:14" x14ac:dyDescent="0.25">
      <c r="C86" s="9"/>
      <c r="D86" s="9"/>
      <c r="E86" s="9"/>
      <c r="F86" s="1"/>
      <c r="G86" s="9" t="s">
        <v>2</v>
      </c>
      <c r="H86" s="9"/>
      <c r="K86" s="10" t="s">
        <v>3</v>
      </c>
      <c r="L86" s="10"/>
      <c r="M86" s="10" t="s">
        <v>4</v>
      </c>
      <c r="N86" s="31"/>
    </row>
    <row r="87" spans="1:14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46" t="s">
        <v>104</v>
      </c>
      <c r="K87" s="10" t="s">
        <v>11</v>
      </c>
      <c r="L87" s="10" t="s">
        <v>12</v>
      </c>
      <c r="M87" s="10" t="s">
        <v>13</v>
      </c>
      <c r="N87" s="32">
        <v>2307</v>
      </c>
    </row>
    <row r="88" spans="1:14" x14ac:dyDescent="0.25">
      <c r="A88">
        <v>2</v>
      </c>
      <c r="C88" s="19" t="s">
        <v>76</v>
      </c>
      <c r="D88" s="20" t="s">
        <v>68</v>
      </c>
      <c r="E88" s="12"/>
      <c r="F88" s="20" t="s">
        <v>70</v>
      </c>
      <c r="G88" s="37" t="s">
        <v>103</v>
      </c>
      <c r="H88" s="20" t="s">
        <v>74</v>
      </c>
      <c r="I88" s="21">
        <v>1608</v>
      </c>
      <c r="J88" s="21"/>
      <c r="K88" s="21">
        <v>16488</v>
      </c>
      <c r="L88" s="21">
        <f t="shared" ref="L88:L107" si="13">N88*12</f>
        <v>1766.5714285714287</v>
      </c>
      <c r="M88" s="27">
        <f>K88-L88</f>
        <v>14721.428571428571</v>
      </c>
      <c r="N88" s="33">
        <f>K88/112</f>
        <v>147.21428571428572</v>
      </c>
    </row>
    <row r="89" spans="1:14" x14ac:dyDescent="0.25">
      <c r="A89">
        <v>3</v>
      </c>
      <c r="C89" s="19" t="s">
        <v>77</v>
      </c>
      <c r="D89" s="20" t="s">
        <v>68</v>
      </c>
      <c r="E89" s="20"/>
      <c r="F89" s="20" t="s">
        <v>70</v>
      </c>
      <c r="G89" s="37"/>
      <c r="H89" s="20" t="s">
        <v>74</v>
      </c>
      <c r="I89" s="21">
        <v>1849</v>
      </c>
      <c r="J89" s="21"/>
      <c r="K89" s="21">
        <v>11328</v>
      </c>
      <c r="L89" s="21">
        <f t="shared" si="13"/>
        <v>1213.7142857142858</v>
      </c>
      <c r="M89" s="27">
        <f>K89-L89</f>
        <v>10114.285714285714</v>
      </c>
      <c r="N89" s="33">
        <f>K89/112</f>
        <v>101.14285714285714</v>
      </c>
    </row>
    <row r="90" spans="1:14" x14ac:dyDescent="0.25">
      <c r="A90">
        <v>4</v>
      </c>
      <c r="C90" s="19" t="s">
        <v>78</v>
      </c>
      <c r="D90" s="20" t="s">
        <v>68</v>
      </c>
      <c r="E90" s="20"/>
      <c r="F90" s="20" t="s">
        <v>70</v>
      </c>
      <c r="G90" s="37"/>
      <c r="H90" s="20" t="s">
        <v>74</v>
      </c>
      <c r="I90" s="21">
        <v>1836</v>
      </c>
      <c r="J90" s="21"/>
      <c r="K90" s="21">
        <v>11016</v>
      </c>
      <c r="L90" s="21">
        <f t="shared" si="13"/>
        <v>1180.2857142857142</v>
      </c>
      <c r="M90" s="27">
        <f>K90-L90</f>
        <v>9835.7142857142862</v>
      </c>
      <c r="N90" s="33">
        <f>K90/112</f>
        <v>98.357142857142861</v>
      </c>
    </row>
    <row r="91" spans="1:14" x14ac:dyDescent="0.25">
      <c r="A91">
        <v>5</v>
      </c>
      <c r="C91" s="19" t="s">
        <v>79</v>
      </c>
      <c r="D91" s="20" t="s">
        <v>68</v>
      </c>
      <c r="E91" s="20"/>
      <c r="F91" s="20" t="s">
        <v>70</v>
      </c>
      <c r="G91" s="37"/>
      <c r="H91" s="20" t="s">
        <v>74</v>
      </c>
      <c r="I91" s="21">
        <v>1709</v>
      </c>
      <c r="J91" s="21"/>
      <c r="K91" s="21">
        <v>13800</v>
      </c>
      <c r="L91" s="21">
        <f t="shared" si="13"/>
        <v>1478.5714285714284</v>
      </c>
      <c r="M91" s="27">
        <f>K91-L91</f>
        <v>12321.428571428572</v>
      </c>
      <c r="N91" s="33">
        <f>K91/112</f>
        <v>123.21428571428571</v>
      </c>
    </row>
    <row r="92" spans="1:14" x14ac:dyDescent="0.25">
      <c r="A92">
        <v>6</v>
      </c>
      <c r="C92" s="19" t="s">
        <v>80</v>
      </c>
      <c r="D92" s="20" t="s">
        <v>68</v>
      </c>
      <c r="E92" s="20"/>
      <c r="F92" s="20" t="s">
        <v>70</v>
      </c>
      <c r="G92" s="37"/>
      <c r="H92" s="20" t="s">
        <v>74</v>
      </c>
      <c r="I92" s="21">
        <v>1836</v>
      </c>
      <c r="J92" s="21"/>
      <c r="K92" s="21">
        <v>11016</v>
      </c>
      <c r="L92" s="21">
        <f t="shared" si="13"/>
        <v>1180.2857142857142</v>
      </c>
      <c r="M92" s="27">
        <f>K92-L92</f>
        <v>9835.7142857142862</v>
      </c>
      <c r="N92" s="33">
        <f>K92/112</f>
        <v>98.357142857142861</v>
      </c>
    </row>
    <row r="93" spans="1:14" x14ac:dyDescent="0.25">
      <c r="A93">
        <v>7</v>
      </c>
      <c r="C93" s="19" t="s">
        <v>80</v>
      </c>
      <c r="D93" s="20" t="s">
        <v>68</v>
      </c>
      <c r="E93" s="20"/>
      <c r="F93" s="20" t="s">
        <v>70</v>
      </c>
      <c r="G93" s="37"/>
      <c r="H93" s="20" t="s">
        <v>74</v>
      </c>
      <c r="I93" s="21">
        <v>1836</v>
      </c>
      <c r="J93" s="21"/>
      <c r="K93" s="21">
        <v>11016</v>
      </c>
      <c r="L93" s="21">
        <f t="shared" si="13"/>
        <v>1180.2857142857142</v>
      </c>
      <c r="M93" s="27">
        <f>K93-L93</f>
        <v>9835.7142857142862</v>
      </c>
      <c r="N93" s="33">
        <f>K93/112</f>
        <v>98.357142857142861</v>
      </c>
    </row>
    <row r="94" spans="1:14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74</v>
      </c>
      <c r="I94" s="21"/>
      <c r="J94" s="21"/>
      <c r="K94" s="21"/>
      <c r="L94" s="21">
        <f t="shared" si="13"/>
        <v>0</v>
      </c>
      <c r="M94" s="27">
        <f>K94-L94</f>
        <v>0</v>
      </c>
      <c r="N94" s="33">
        <f>K94/112</f>
        <v>0</v>
      </c>
    </row>
    <row r="95" spans="1:14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74</v>
      </c>
      <c r="I95" s="21"/>
      <c r="J95" s="21"/>
      <c r="K95" s="21"/>
      <c r="L95" s="21">
        <f t="shared" si="13"/>
        <v>0</v>
      </c>
      <c r="M95" s="27">
        <f>K95-L95</f>
        <v>0</v>
      </c>
      <c r="N95" s="33">
        <f>K95/112</f>
        <v>0</v>
      </c>
    </row>
    <row r="96" spans="1:14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74</v>
      </c>
      <c r="I96" s="21"/>
      <c r="J96" s="21"/>
      <c r="K96" s="21"/>
      <c r="L96" s="21">
        <f t="shared" si="13"/>
        <v>0</v>
      </c>
      <c r="M96" s="27">
        <f>K96-L96</f>
        <v>0</v>
      </c>
      <c r="N96" s="33">
        <f>K96/112</f>
        <v>0</v>
      </c>
    </row>
    <row r="97" spans="1:14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74</v>
      </c>
      <c r="I97" s="21"/>
      <c r="J97" s="21"/>
      <c r="K97" s="21"/>
      <c r="L97" s="21">
        <f t="shared" si="13"/>
        <v>0</v>
      </c>
      <c r="M97" s="27">
        <f>K97-L97</f>
        <v>0</v>
      </c>
      <c r="N97" s="33">
        <f>K97/112</f>
        <v>0</v>
      </c>
    </row>
    <row r="98" spans="1:14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74</v>
      </c>
      <c r="I98" s="21"/>
      <c r="J98" s="21"/>
      <c r="K98" s="21"/>
      <c r="L98" s="21">
        <f t="shared" si="13"/>
        <v>0</v>
      </c>
      <c r="M98" s="27">
        <f>K98-L98</f>
        <v>0</v>
      </c>
      <c r="N98" s="33">
        <f>K98/112</f>
        <v>0</v>
      </c>
    </row>
    <row r="99" spans="1:14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74</v>
      </c>
      <c r="I99" s="21"/>
      <c r="J99" s="21"/>
      <c r="K99" s="21"/>
      <c r="L99" s="21">
        <f t="shared" si="13"/>
        <v>0</v>
      </c>
      <c r="M99" s="27">
        <f>K99-L99</f>
        <v>0</v>
      </c>
      <c r="N99" s="33">
        <f>K99/112</f>
        <v>0</v>
      </c>
    </row>
    <row r="100" spans="1:14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74</v>
      </c>
      <c r="I100" s="21"/>
      <c r="J100" s="21"/>
      <c r="K100" s="21"/>
      <c r="L100" s="21">
        <f t="shared" si="13"/>
        <v>0</v>
      </c>
      <c r="M100" s="27">
        <f>K100-L100</f>
        <v>0</v>
      </c>
      <c r="N100" s="33">
        <f>K100/112</f>
        <v>0</v>
      </c>
    </row>
    <row r="101" spans="1:14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74</v>
      </c>
      <c r="I101" s="21"/>
      <c r="J101" s="21"/>
      <c r="K101" s="21"/>
      <c r="L101" s="21">
        <f t="shared" si="13"/>
        <v>0</v>
      </c>
      <c r="M101" s="27">
        <f>K101-L101</f>
        <v>0</v>
      </c>
      <c r="N101" s="33">
        <f>K101/112</f>
        <v>0</v>
      </c>
    </row>
    <row r="102" spans="1:14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74</v>
      </c>
      <c r="I102" s="21"/>
      <c r="J102" s="21"/>
      <c r="K102" s="21"/>
      <c r="L102" s="21">
        <f t="shared" si="13"/>
        <v>0</v>
      </c>
      <c r="M102" s="27">
        <f>K102-L102</f>
        <v>0</v>
      </c>
      <c r="N102" s="33">
        <f>K102/112</f>
        <v>0</v>
      </c>
    </row>
    <row r="103" spans="1:14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74</v>
      </c>
      <c r="I103" s="21"/>
      <c r="J103" s="21"/>
      <c r="K103" s="21"/>
      <c r="L103" s="21">
        <f t="shared" si="13"/>
        <v>0</v>
      </c>
      <c r="M103" s="27">
        <f>K103-L103</f>
        <v>0</v>
      </c>
      <c r="N103" s="33">
        <f>K103/112</f>
        <v>0</v>
      </c>
    </row>
    <row r="104" spans="1:14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74</v>
      </c>
      <c r="I104" s="21"/>
      <c r="J104" s="21"/>
      <c r="K104" s="21"/>
      <c r="L104" s="21">
        <f t="shared" si="13"/>
        <v>0</v>
      </c>
      <c r="M104" s="27">
        <f>K104-L104</f>
        <v>0</v>
      </c>
      <c r="N104" s="33">
        <f>K104/112</f>
        <v>0</v>
      </c>
    </row>
    <row r="105" spans="1:14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74</v>
      </c>
      <c r="I105" s="21"/>
      <c r="J105" s="21"/>
      <c r="K105" s="21"/>
      <c r="L105" s="21">
        <f t="shared" si="13"/>
        <v>0</v>
      </c>
      <c r="M105" s="27">
        <f>K105-L105</f>
        <v>0</v>
      </c>
      <c r="N105" s="33">
        <f>K105/112</f>
        <v>0</v>
      </c>
    </row>
    <row r="106" spans="1:14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74</v>
      </c>
      <c r="I106" s="21"/>
      <c r="J106" s="21"/>
      <c r="K106" s="21"/>
      <c r="L106" s="21">
        <f t="shared" si="13"/>
        <v>0</v>
      </c>
      <c r="M106" s="27">
        <f>K106-L106</f>
        <v>0</v>
      </c>
      <c r="N106" s="33">
        <f>K106/112</f>
        <v>0</v>
      </c>
    </row>
    <row r="107" spans="1:14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74</v>
      </c>
      <c r="I107" s="21"/>
      <c r="J107" s="21"/>
      <c r="K107" s="21"/>
      <c r="L107" s="21">
        <f t="shared" si="13"/>
        <v>0</v>
      </c>
      <c r="M107" s="27">
        <f>K107-L107</f>
        <v>0</v>
      </c>
      <c r="N107" s="33">
        <f>K107/112</f>
        <v>0</v>
      </c>
    </row>
    <row r="108" spans="1:14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74</v>
      </c>
      <c r="I108" s="21"/>
      <c r="J108" s="21"/>
      <c r="K108" s="21"/>
      <c r="L108" s="21"/>
      <c r="M108" s="21"/>
      <c r="N108" s="33"/>
    </row>
    <row r="109" spans="1:14" x14ac:dyDescent="0.25">
      <c r="I109" s="44">
        <f>SUM(I88:I108)</f>
        <v>10674</v>
      </c>
      <c r="J109" s="44">
        <f ca="1">SUM(J88:J112)</f>
        <v>0</v>
      </c>
      <c r="K109" s="44">
        <f>SUM(K88:K108)</f>
        <v>74664</v>
      </c>
      <c r="L109" s="44">
        <f>SUM(L88:L108)</f>
        <v>7999.7142857142862</v>
      </c>
      <c r="M109" s="45">
        <f>SUM(M88:M108)</f>
        <v>66664.28571428571</v>
      </c>
      <c r="N109" s="45">
        <f>SUM(N88:N108)</f>
        <v>666.64285714285722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2026-06-25T06:33:14Z</dcterms:modified>
</cp:coreProperties>
</file>