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FC19795F-C147-4995-8FC7-89DB58BEEFC5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JUNE" sheetId="6" r:id="rId2"/>
  </sheets>
  <definedNames>
    <definedName name="_xlnm.Print_Area" localSheetId="1">'PE, JUNE'!#REF!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8" i="6" l="1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<sst xmlns="http://schemas.openxmlformats.org/spreadsheetml/2006/main" count="253" uniqueCount="78">
  <si>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</si>
  <si>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</si>
  <si>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</si>
  <si>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</si>
  <si>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</si>
  <si>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</si>
  <si>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</si>
  <si>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</si>
  <si>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</si>
  <si>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</si>
  <si>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</si>
  <si>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</si>
  <si>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</si>
  <si>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</si>
  <si>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</si>
  <si>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</si>
  <si>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</si>
  <si>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</si>
  <si>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</si>
  <si>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</si>
  <si>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</si>
  <si>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</si>
  <si>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</si>
  <si>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</si>
  <si>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</si>
  <si>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</si>
  <si>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</si>
  <si>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</si>
  <si>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</si>
  <si>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</si>
  <si>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</si>
  <si>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</si>
  <si>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</si>
  <si>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</si>
  <si>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</si>
  <si>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</si>
  <si>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</si>
  <si>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</si>
  <si>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</si>
  <si>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</si>
  <si>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</si>
  <si>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</si>
  <si>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</si>
  <si>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</si>
  <si>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</si>
  <si>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</si>
  <si>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</si>
  <si>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</si>
  <si>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</si>
  <si>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</si>
  <si>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</si>
  <si>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</si>
  <si>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</si>
  <si>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</si>
  <si>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</si>
  <si>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</si>
  <si>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</si>
  <si>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</si>
  <si>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</si>
  <si>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</si>
  <si>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</si>
  <si>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</si>
  <si>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</si>
  <si>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</si>
  <si>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</si>
  <si>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</si>
  <si>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</si>
  <si>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</si>
  <si>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</si>
  <si>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</si>
  <si>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</si>
  <si>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</si>
  <si>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</si>
  <si>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</si>
  <si>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</si>
  <si>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JUNE 2026</t>
  </si>
  <si>
    <t>06/16/2026</t>
  </si>
  <si>
    <t>06/18/2026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</si>
</sst>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9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  <xf numFmtId="0" fontId="5" fillId="4" borderId="0" xfId="1" applyFont="1" applyFill="1"/>
    <xf numFmtId="0" fontId="6" fillId="4" borderId="0" xfId="1" applyFont="1" applyFill="1"/>
    <xf numFmtId="0" fontId="12" fillId="0" borderId="0" xfId="1" applyFont="1"/>
    <xf numFmtId="0" fontId="13" fillId="0" borderId="0" xfId="1" applyFont="1"/>
    <xf numFmtId="49" fontId="12" fillId="0" borderId="0" xfId="1" applyNumberFormat="1" applyFont="1"/>
    <xf numFmtId="164" fontId="9" fillId="5" borderId="0" xfId="0" applyNumberFormat="1" applyFont="1" applyFill="1"/>
    <xf numFmtId="0" fontId="0" fillId="5" borderId="0" xfId="0" applyFill="1"/>
    <xf numFmtId="164" fontId="9" fillId="5" borderId="0" xfId="0" applyNumberFormat="1" applyFont="1" applyFill="1" applyProtection="1"/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C9" sqref="C9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39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6" customWidth="1"/>
    <col min="14" max="14" width="13.140625" bestFit="1" customWidth="1"/>
    <col min="15" max="15" width="11.28515625" bestFit="1" customWidth="1"/>
  </cols>
  <sheetData>
    <row r="1" spans="1:15" x14ac:dyDescent="0.25">
      <c r="C1" s="41" t="s">
        <v>67</v>
      </c>
      <c r="D1" s="42"/>
      <c r="E1" s="42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43" t="s">
        <v>1</v>
      </c>
      <c r="D3" s="44"/>
      <c r="E3" s="44"/>
      <c r="F3" s="45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 t="s">
        <v>76</v>
      </c>
      <c r="D7" s="20" t="s">
        <v>68</v>
      </c>
      <c r="E7" s="12"/>
      <c r="F7" s="20" t="s">
        <v>70</v>
      </c>
      <c r="G7" s="20">
        <v>518733994</v>
      </c>
      <c r="H7" s="20" t="s">
        <v>74</v>
      </c>
      <c r="I7" s="21">
        <f>1315032-273031.68</f>
        <v>1042000.3200000001</v>
      </c>
      <c r="K7" s="21">
        <f>M7*12</f>
        <v>111642.89142857144</v>
      </c>
      <c r="L7" s="27">
        <f>I7-K7</f>
        <v>930357.42857142864</v>
      </c>
      <c r="M7" s="33">
        <f>I7/112</f>
        <v>9303.5742857142868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 t="s">
        <v>77</v>
      </c>
      <c r="D8" s="20" t="s">
        <v>68</v>
      </c>
      <c r="E8" s="20"/>
      <c r="F8" s="20" t="s">
        <v>70</v>
      </c>
      <c r="G8" s="20">
        <v>518741040</v>
      </c>
      <c r="H8" s="20" t="s">
        <v>74</v>
      </c>
      <c r="I8" s="21">
        <f>1412471-61256.62</f>
        <v>1351214.38</v>
      </c>
      <c r="K8" s="21">
        <f>M8*12</f>
        <v>144772.96928571427</v>
      </c>
      <c r="L8" s="27">
        <f>I8-K8</f>
        <v>1206441.4107142857</v>
      </c>
      <c r="M8" s="33">
        <f t="shared" ref="M8:M26" si="0">I8/112</f>
        <v>12064.414107142857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/>
      <c r="D9" s="20" t="s">
        <v>68</v>
      </c>
      <c r="E9" s="20"/>
      <c r="F9" s="20" t="s">
        <v>70</v>
      </c>
      <c r="G9" s="20"/>
      <c r="H9" s="20" t="s">
        <v>74</v>
      </c>
      <c r="I9" s="21"/>
      <c r="K9" s="21">
        <f t="shared" ref="K9:K26" si="2">M9*12</f>
        <v>0</v>
      </c>
      <c r="L9" s="27">
        <f t="shared" ref="L9:L26" si="3">I9-K9</f>
        <v>0</v>
      </c>
      <c r="M9" s="33">
        <f t="shared" si="0"/>
        <v>0</v>
      </c>
    </row>
    <row r="10" spans="1:15" x14ac:dyDescent="0.25">
      <c r="A10">
        <f t="shared" si="1"/>
        <v>4</v>
      </c>
      <c r="B10" s="23">
        <f t="shared" si="1"/>
        <v>4</v>
      </c>
      <c r="C10" s="19"/>
      <c r="D10" s="20" t="s">
        <v>68</v>
      </c>
      <c r="E10" s="20"/>
      <c r="F10" s="20" t="s">
        <v>70</v>
      </c>
      <c r="G10" s="20"/>
      <c r="H10" s="20" t="s">
        <v>74</v>
      </c>
      <c r="I10" s="21"/>
      <c r="K10" s="21">
        <f t="shared" si="2"/>
        <v>0</v>
      </c>
      <c r="L10" s="27">
        <f t="shared" si="3"/>
        <v>0</v>
      </c>
      <c r="M10" s="33">
        <f t="shared" si="0"/>
        <v>0</v>
      </c>
    </row>
    <row r="11" spans="1:15" x14ac:dyDescent="0.25">
      <c r="A11">
        <f t="shared" si="1"/>
        <v>5</v>
      </c>
      <c r="B11" s="23">
        <f t="shared" si="1"/>
        <v>5</v>
      </c>
      <c r="C11" s="19"/>
      <c r="D11" s="20" t="s">
        <v>68</v>
      </c>
      <c r="E11" s="20"/>
      <c r="F11" s="20" t="s">
        <v>70</v>
      </c>
      <c r="G11" s="20"/>
      <c r="H11" s="20" t="s">
        <v>74</v>
      </c>
      <c r="I11" s="21"/>
      <c r="K11" s="21">
        <f t="shared" si="2"/>
        <v>0</v>
      </c>
      <c r="L11" s="27">
        <f t="shared" si="3"/>
        <v>0</v>
      </c>
      <c r="M11" s="33">
        <f t="shared" si="0"/>
        <v>0</v>
      </c>
    </row>
    <row r="12" spans="1:15" x14ac:dyDescent="0.25">
      <c r="A12">
        <f t="shared" si="1"/>
        <v>6</v>
      </c>
      <c r="B12" s="23">
        <f t="shared" si="1"/>
        <v>6</v>
      </c>
      <c r="C12" s="19"/>
      <c r="D12" s="20" t="s">
        <v>68</v>
      </c>
      <c r="E12" s="20"/>
      <c r="F12" s="20" t="s">
        <v>70</v>
      </c>
      <c r="G12" s="20"/>
      <c r="H12" s="20" t="s">
        <v>74</v>
      </c>
      <c r="I12" s="21"/>
      <c r="K12" s="21">
        <f t="shared" si="2"/>
        <v>0</v>
      </c>
      <c r="L12" s="27">
        <f t="shared" si="3"/>
        <v>0</v>
      </c>
      <c r="M12" s="33">
        <f t="shared" si="0"/>
        <v>0</v>
      </c>
    </row>
    <row r="13" spans="1:15" x14ac:dyDescent="0.25">
      <c r="A13">
        <f t="shared" si="1"/>
        <v>7</v>
      </c>
      <c r="B13" s="23">
        <f t="shared" si="1"/>
        <v>7</v>
      </c>
      <c r="C13" s="19"/>
      <c r="D13" s="20" t="s">
        <v>68</v>
      </c>
      <c r="E13" s="20"/>
      <c r="F13" s="20" t="s">
        <v>70</v>
      </c>
      <c r="G13" s="20"/>
      <c r="H13" s="20" t="s">
        <v>74</v>
      </c>
      <c r="I13" s="21"/>
      <c r="K13" s="21">
        <f t="shared" si="2"/>
        <v>0</v>
      </c>
      <c r="L13" s="27">
        <f>I13-K13</f>
        <v>0</v>
      </c>
      <c r="M13" s="33">
        <f>I13/112</f>
        <v>0</v>
      </c>
    </row>
    <row r="14" spans="1:15" x14ac:dyDescent="0.25">
      <c r="A14">
        <f t="shared" si="1"/>
        <v>8</v>
      </c>
      <c r="B14" s="23">
        <f t="shared" si="1"/>
        <v>8</v>
      </c>
      <c r="C14" s="19"/>
      <c r="D14" s="20" t="s">
        <v>68</v>
      </c>
      <c r="E14" s="20"/>
      <c r="F14" s="20" t="s">
        <v>70</v>
      </c>
      <c r="G14" s="20"/>
      <c r="H14" s="20" t="s">
        <v>74</v>
      </c>
      <c r="I14" s="37"/>
      <c r="K14" s="21">
        <f t="shared" si="2"/>
        <v>0</v>
      </c>
      <c r="L14" s="27">
        <f t="shared" si="3"/>
        <v>0</v>
      </c>
      <c r="M14" s="33">
        <f t="shared" si="0"/>
        <v>0</v>
      </c>
    </row>
    <row r="15" spans="1:15" x14ac:dyDescent="0.25">
      <c r="A15">
        <f t="shared" si="1"/>
        <v>9</v>
      </c>
      <c r="B15" s="23">
        <f t="shared" si="1"/>
        <v>9</v>
      </c>
      <c r="C15" s="19"/>
      <c r="D15" s="20" t="s">
        <v>68</v>
      </c>
      <c r="E15" s="20"/>
      <c r="F15" s="20" t="s">
        <v>70</v>
      </c>
      <c r="G15" s="20"/>
      <c r="H15" s="20" t="s">
        <v>74</v>
      </c>
      <c r="I15" s="21"/>
      <c r="K15" s="21">
        <f t="shared" si="2"/>
        <v>0</v>
      </c>
      <c r="L15" s="27">
        <f>I15-K15</f>
        <v>0</v>
      </c>
      <c r="M15" s="33">
        <f>I15/112</f>
        <v>0</v>
      </c>
    </row>
    <row r="16" spans="1:15" x14ac:dyDescent="0.25">
      <c r="A16">
        <f t="shared" si="1"/>
        <v>10</v>
      </c>
      <c r="B16" s="23">
        <f t="shared" si="1"/>
        <v>10</v>
      </c>
      <c r="C16" s="19"/>
      <c r="D16" s="20" t="s">
        <v>68</v>
      </c>
      <c r="E16" s="20"/>
      <c r="F16" s="20" t="s">
        <v>70</v>
      </c>
      <c r="G16" s="20"/>
      <c r="H16" s="20" t="s">
        <v>74</v>
      </c>
      <c r="I16" s="21"/>
      <c r="K16" s="21">
        <f t="shared" si="2"/>
        <v>0</v>
      </c>
      <c r="L16" s="27">
        <f t="shared" si="3"/>
        <v>0</v>
      </c>
      <c r="M16" s="33">
        <f t="shared" si="0"/>
        <v>0</v>
      </c>
    </row>
    <row r="17" spans="1:13" x14ac:dyDescent="0.25">
      <c r="A17">
        <f t="shared" si="1"/>
        <v>11</v>
      </c>
      <c r="B17" s="23">
        <f t="shared" si="1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K17" s="21">
        <f t="shared" si="2"/>
        <v>0</v>
      </c>
      <c r="L17" s="27">
        <f t="shared" si="3"/>
        <v>0</v>
      </c>
      <c r="M17" s="33">
        <f t="shared" si="0"/>
        <v>0</v>
      </c>
    </row>
    <row r="18" spans="1:13" x14ac:dyDescent="0.25">
      <c r="A18">
        <f t="shared" si="1"/>
        <v>12</v>
      </c>
      <c r="B18" s="23">
        <f t="shared" si="1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2"/>
        <v>0</v>
      </c>
      <c r="L18" s="27">
        <f t="shared" si="3"/>
        <v>0</v>
      </c>
      <c r="M18" s="33">
        <f t="shared" si="0"/>
        <v>0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46">
        <f>SUM(I7:I31)</f>
        <v>2393214.7000000002</v>
      </c>
      <c r="J32" s="47"/>
      <c r="K32" s="46">
        <f>SUM(K7:K31)</f>
        <v>256415.86071428569</v>
      </c>
      <c r="L32" s="46">
        <f>SUM(L7:L31)</f>
        <v>2136798.8392857146</v>
      </c>
      <c r="M32" s="48">
        <f>SUM(M7:M31)</f>
        <v>21367.988392857143</v>
      </c>
    </row>
    <row r="33" spans="1:13" x14ac:dyDescent="0.25">
      <c r="G33"/>
    </row>
    <row r="34" spans="1:13" x14ac:dyDescent="0.25">
      <c r="C34" s="41" t="s">
        <v>67</v>
      </c>
      <c r="D34" s="42"/>
      <c r="E34" s="42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43" t="s">
        <v>1</v>
      </c>
      <c r="D36" s="44"/>
      <c r="E36" s="44"/>
      <c r="F36" s="45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8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8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8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8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8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8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8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8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8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8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8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8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8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8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8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8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8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8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8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8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8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0"/>
      <c r="H64" s="23"/>
      <c r="I64" s="24"/>
      <c r="K64" s="23"/>
      <c r="L64" s="23"/>
      <c r="M64" s="35"/>
    </row>
    <row r="65" spans="9:13" x14ac:dyDescent="0.25">
      <c r="I65" s="46">
        <f>SUM(I40:I64)</f>
        <v>0</v>
      </c>
      <c r="J65" s="47"/>
      <c r="K65" s="46">
        <f>SUM(K40:K64)</f>
        <v>0</v>
      </c>
      <c r="L65" s="46">
        <f>SUM(L40:L64)</f>
        <v>0</v>
      </c>
      <c r="M65" s="48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JUNE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2026-06-18T05:42:44Z</dcterms:modified>
</cp:coreProperties>
</file>