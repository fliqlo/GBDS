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JUNE FILES 2026\"/>
    </mc:Choice>
  </mc:AlternateContent>
  <xr:revisionPtr revIDLastSave="0" documentId="13_ncr:1_{F561BFFE-9E53-4965-8FCE-F520F90F7F55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MPLE" sheetId="4" r:id="rId1"/>
    <sheet name="PE, JUNE" sheetId="6" r:id="rId2"/>
  </sheets>
  <definedNames>
    <definedName name="_xlnm.Print_Area" localSheetId="1">'PE, JUNE'!#REF!</definedName>
    <definedName name="_xlnm.Print_Area" localSheetId="0">SAMPLE!#REF!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3" i="6" l="1"/>
  <c r="A90" i="6" l="1"/>
  <c r="A91" i="6"/>
  <c r="A92" i="6"/>
  <c r="A93" i="6"/>
  <c r="A94" i="6"/>
  <c r="A95" i="6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89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 s="1"/>
  <c r="A80" i="6" s="1"/>
  <c r="A81" i="6" s="1"/>
  <c r="A62" i="6"/>
  <c r="A36" i="6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35" i="6"/>
  <c r="K109" i="6" l="1"/>
  <c r="I109" i="6"/>
  <c r="N107" i="6"/>
  <c r="L107" i="6" s="1"/>
  <c r="M107" i="6" s="1"/>
  <c r="N106" i="6"/>
  <c r="L106" i="6" s="1"/>
  <c r="M106" i="6" s="1"/>
  <c r="N105" i="6"/>
  <c r="L105" i="6"/>
  <c r="M105" i="6" s="1"/>
  <c r="N104" i="6"/>
  <c r="L104" i="6" s="1"/>
  <c r="M104" i="6" s="1"/>
  <c r="N103" i="6"/>
  <c r="L103" i="6" s="1"/>
  <c r="M103" i="6" s="1"/>
  <c r="N102" i="6"/>
  <c r="L102" i="6"/>
  <c r="M102" i="6" s="1"/>
  <c r="N101" i="6"/>
  <c r="L101" i="6" s="1"/>
  <c r="M101" i="6" s="1"/>
  <c r="N100" i="6"/>
  <c r="L100" i="6" s="1"/>
  <c r="M100" i="6" s="1"/>
  <c r="N99" i="6"/>
  <c r="L99" i="6" s="1"/>
  <c r="M99" i="6" s="1"/>
  <c r="N98" i="6"/>
  <c r="L98" i="6" s="1"/>
  <c r="M98" i="6" s="1"/>
  <c r="N97" i="6"/>
  <c r="L97" i="6" s="1"/>
  <c r="M97" i="6" s="1"/>
  <c r="N96" i="6"/>
  <c r="L96" i="6" s="1"/>
  <c r="M96" i="6" s="1"/>
  <c r="N95" i="6"/>
  <c r="L95" i="6" s="1"/>
  <c r="M95" i="6" s="1"/>
  <c r="N94" i="6"/>
  <c r="L94" i="6"/>
  <c r="M94" i="6" s="1"/>
  <c r="N93" i="6"/>
  <c r="L93" i="6" s="1"/>
  <c r="M93" i="6" s="1"/>
  <c r="N92" i="6"/>
  <c r="L92" i="6" s="1"/>
  <c r="M92" i="6" s="1"/>
  <c r="N91" i="6"/>
  <c r="L91" i="6" s="1"/>
  <c r="M91" i="6" s="1"/>
  <c r="N90" i="6"/>
  <c r="L90" i="6" s="1"/>
  <c r="M90" i="6" s="1"/>
  <c r="N89" i="6"/>
  <c r="L89" i="6" s="1"/>
  <c r="M89" i="6" s="1"/>
  <c r="N88" i="6"/>
  <c r="I55" i="6"/>
  <c r="I82" i="6"/>
  <c r="M80" i="6"/>
  <c r="K80" i="6"/>
  <c r="L80" i="6" s="1"/>
  <c r="M79" i="6"/>
  <c r="K79" i="6" s="1"/>
  <c r="L79" i="6" s="1"/>
  <c r="M78" i="6"/>
  <c r="K78" i="6"/>
  <c r="L78" i="6" s="1"/>
  <c r="M77" i="6"/>
  <c r="K77" i="6" s="1"/>
  <c r="L77" i="6" s="1"/>
  <c r="M76" i="6"/>
  <c r="K76" i="6" s="1"/>
  <c r="L76" i="6" s="1"/>
  <c r="M75" i="6"/>
  <c r="K75" i="6"/>
  <c r="L75" i="6" s="1"/>
  <c r="M74" i="6"/>
  <c r="K74" i="6" s="1"/>
  <c r="L74" i="6" s="1"/>
  <c r="M73" i="6"/>
  <c r="K73" i="6"/>
  <c r="L73" i="6" s="1"/>
  <c r="M72" i="6"/>
  <c r="K72" i="6"/>
  <c r="L72" i="6" s="1"/>
  <c r="M71" i="6"/>
  <c r="K71" i="6" s="1"/>
  <c r="L71" i="6" s="1"/>
  <c r="M70" i="6"/>
  <c r="K70" i="6"/>
  <c r="L70" i="6" s="1"/>
  <c r="M69" i="6"/>
  <c r="K69" i="6" s="1"/>
  <c r="L69" i="6" s="1"/>
  <c r="M68" i="6"/>
  <c r="K68" i="6" s="1"/>
  <c r="L68" i="6" s="1"/>
  <c r="M67" i="6"/>
  <c r="K67" i="6" s="1"/>
  <c r="L67" i="6" s="1"/>
  <c r="M66" i="6"/>
  <c r="K66" i="6" s="1"/>
  <c r="L66" i="6" s="1"/>
  <c r="M65" i="6"/>
  <c r="K65" i="6"/>
  <c r="L65" i="6" s="1"/>
  <c r="M64" i="6"/>
  <c r="K64" i="6" s="1"/>
  <c r="L64" i="6" s="1"/>
  <c r="M63" i="6"/>
  <c r="K63" i="6" s="1"/>
  <c r="L63" i="6" s="1"/>
  <c r="M62" i="6"/>
  <c r="K62" i="6"/>
  <c r="L62" i="6" s="1"/>
  <c r="M61" i="6"/>
  <c r="K61" i="6"/>
  <c r="M53" i="6"/>
  <c r="K53" i="6" s="1"/>
  <c r="L53" i="6" s="1"/>
  <c r="M52" i="6"/>
  <c r="K52" i="6"/>
  <c r="L52" i="6" s="1"/>
  <c r="M51" i="6"/>
  <c r="K51" i="6"/>
  <c r="L51" i="6" s="1"/>
  <c r="M50" i="6"/>
  <c r="K50" i="6"/>
  <c r="L50" i="6" s="1"/>
  <c r="M49" i="6"/>
  <c r="K49" i="6" s="1"/>
  <c r="L49" i="6" s="1"/>
  <c r="M48" i="6"/>
  <c r="K48" i="6" s="1"/>
  <c r="L48" i="6" s="1"/>
  <c r="M47" i="6"/>
  <c r="K47" i="6"/>
  <c r="L47" i="6" s="1"/>
  <c r="M46" i="6"/>
  <c r="K46" i="6" s="1"/>
  <c r="L46" i="6" s="1"/>
  <c r="M45" i="6"/>
  <c r="K45" i="6" s="1"/>
  <c r="L45" i="6" s="1"/>
  <c r="M44" i="6"/>
  <c r="K44" i="6" s="1"/>
  <c r="L44" i="6" s="1"/>
  <c r="M43" i="6"/>
  <c r="K43" i="6" s="1"/>
  <c r="L43" i="6" s="1"/>
  <c r="M42" i="6"/>
  <c r="K42" i="6" s="1"/>
  <c r="L42" i="6" s="1"/>
  <c r="M41" i="6"/>
  <c r="K41" i="6" s="1"/>
  <c r="L41" i="6" s="1"/>
  <c r="M40" i="6"/>
  <c r="K40" i="6" s="1"/>
  <c r="L40" i="6" s="1"/>
  <c r="M39" i="6"/>
  <c r="K39" i="6"/>
  <c r="L39" i="6" s="1"/>
  <c r="M38" i="6"/>
  <c r="K38" i="6"/>
  <c r="L38" i="6" s="1"/>
  <c r="M37" i="6"/>
  <c r="K37" i="6" s="1"/>
  <c r="L37" i="6" s="1"/>
  <c r="M36" i="6"/>
  <c r="K36" i="6" s="1"/>
  <c r="L36" i="6" s="1"/>
  <c r="M35" i="6"/>
  <c r="K35" i="6"/>
  <c r="L35" i="6" s="1"/>
  <c r="M34" i="6"/>
  <c r="K34" i="6"/>
  <c r="M109" i="6" l="1"/>
  <c r="L109" i="6"/>
  <c r="N109" i="6"/>
  <c r="K82" i="6"/>
  <c r="M82" i="6"/>
  <c r="K55" i="6"/>
  <c r="M55" i="6"/>
  <c r="L88" i="6"/>
  <c r="M88" i="6" s="1"/>
  <c r="L61" i="6"/>
  <c r="L82" i="6" s="1"/>
  <c r="L34" i="6"/>
  <c r="L55" i="6" s="1"/>
  <c r="I12" i="6"/>
  <c r="I11" i="6"/>
  <c r="I10" i="6" l="1"/>
  <c r="I9" i="6" l="1"/>
  <c r="I8" i="6" l="1"/>
  <c r="I7" i="6" l="1"/>
  <c r="I28" i="6" s="1"/>
  <c r="M27" i="6" l="1"/>
  <c r="K27" i="6" s="1"/>
  <c r="L27" i="6" s="1"/>
  <c r="B8" i="6" l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M7" i="6" l="1"/>
  <c r="K7" i="6" l="1"/>
  <c r="L7" i="6"/>
  <c r="M8" i="6"/>
  <c r="K8" i="6" s="1"/>
  <c r="L8" i="6" s="1"/>
  <c r="M9" i="6"/>
  <c r="K9" i="6" s="1"/>
  <c r="L9" i="6" s="1"/>
  <c r="M10" i="6"/>
  <c r="K10" i="6" s="1"/>
  <c r="L10" i="6" s="1"/>
  <c r="M11" i="6"/>
  <c r="K11" i="6" s="1"/>
  <c r="L11" i="6" s="1"/>
  <c r="M12" i="6"/>
  <c r="K12" i="6" s="1"/>
  <c r="L12" i="6" s="1"/>
  <c r="M13" i="6"/>
  <c r="K13" i="6" s="1"/>
  <c r="L13" i="6" s="1"/>
  <c r="M14" i="6"/>
  <c r="K14" i="6" s="1"/>
  <c r="L14" i="6" s="1"/>
  <c r="M15" i="6"/>
  <c r="K15" i="6" s="1"/>
  <c r="L15" i="6" s="1"/>
  <c r="M16" i="6"/>
  <c r="K16" i="6" s="1"/>
  <c r="L16" i="6" s="1"/>
  <c r="M17" i="6"/>
  <c r="K17" i="6" s="1"/>
  <c r="L17" i="6" s="1"/>
  <c r="M18" i="6"/>
  <c r="K18" i="6" s="1"/>
  <c r="L18" i="6" s="1"/>
  <c r="M19" i="6"/>
  <c r="K19" i="6" s="1"/>
  <c r="L19" i="6" s="1"/>
  <c r="M20" i="6"/>
  <c r="K20" i="6" s="1"/>
  <c r="L20" i="6" s="1"/>
  <c r="M21" i="6"/>
  <c r="K21" i="6" s="1"/>
  <c r="L21" i="6" s="1"/>
  <c r="M22" i="6"/>
  <c r="K22" i="6" s="1"/>
  <c r="L22" i="6" s="1"/>
  <c r="M23" i="6"/>
  <c r="K23" i="6" s="1"/>
  <c r="L23" i="6" s="1"/>
  <c r="M24" i="6"/>
  <c r="K24" i="6" s="1"/>
  <c r="L24" i="6" s="1"/>
  <c r="M25" i="6"/>
  <c r="K25" i="6" s="1"/>
  <c r="L25" i="6" s="1"/>
  <c r="M26" i="6"/>
  <c r="K26" i="6" s="1"/>
  <c r="L26" i="6" s="1"/>
  <c r="M28" i="6" l="1"/>
  <c r="L28" i="6"/>
  <c r="K28" i="6"/>
  <c r="H59" i="4"/>
  <c r="J57" i="4"/>
  <c r="I57" i="4" s="1"/>
  <c r="J56" i="4"/>
  <c r="I56" i="4" s="1"/>
  <c r="J55" i="4"/>
  <c r="I55" i="4"/>
  <c r="J54" i="4"/>
  <c r="I54" i="4" s="1"/>
  <c r="J53" i="4"/>
  <c r="I53" i="4" s="1"/>
  <c r="J52" i="4"/>
  <c r="I52" i="4" s="1"/>
  <c r="J51" i="4"/>
  <c r="I51" i="4"/>
  <c r="J50" i="4"/>
  <c r="I50" i="4" s="1"/>
  <c r="J49" i="4"/>
  <c r="I49" i="4" s="1"/>
  <c r="J48" i="4"/>
  <c r="I48" i="4" s="1"/>
  <c r="J47" i="4"/>
  <c r="I47" i="4" s="1"/>
  <c r="J46" i="4"/>
  <c r="I46" i="4"/>
  <c r="J45" i="4"/>
  <c r="I45" i="4"/>
  <c r="J44" i="4"/>
  <c r="I44" i="4" s="1"/>
  <c r="J43" i="4"/>
  <c r="I43" i="4"/>
  <c r="J42" i="4"/>
  <c r="I42" i="4" s="1"/>
  <c r="J32" i="4"/>
  <c r="I32" i="4"/>
  <c r="H32" i="4"/>
  <c r="J59" i="4" l="1"/>
  <c r="I59" i="4"/>
  <c r="J82" i="6"/>
  <c r="J28" i="6"/>
  <c r="J55" i="6"/>
  <c r="J109" i="6"/>
</calcChain>
</file>

<file path=xl/sharedStrings.xml><?xml version="1.0" encoding="utf-8"?>
<sst xmlns="http://schemas.openxmlformats.org/spreadsheetml/2006/main" count="524" uniqueCount="112">
  <si>
    <t>HOME MART ENTERPRISES</t>
  </si>
  <si>
    <t xml:space="preserve">MONTHLY PURCHASES </t>
  </si>
  <si>
    <t>O.R. NO./</t>
  </si>
  <si>
    <t>GROSS</t>
  </si>
  <si>
    <t xml:space="preserve">NET </t>
  </si>
  <si>
    <t>DATE</t>
  </si>
  <si>
    <t>NAME OF SUPPLIER</t>
  </si>
  <si>
    <t>PROPRIETOR</t>
  </si>
  <si>
    <t>OFFICE ADDRESS</t>
  </si>
  <si>
    <t>INVOICE NO.</t>
  </si>
  <si>
    <t>T.I.N.</t>
  </si>
  <si>
    <t>PURCHASES</t>
  </si>
  <si>
    <t>INPUT TAX</t>
  </si>
  <si>
    <t xml:space="preserve"> PURCHASES</t>
  </si>
  <si>
    <t>MONTHLY EXPENSES</t>
  </si>
  <si>
    <t>MAY 2024</t>
  </si>
  <si>
    <t>EXPENSES</t>
  </si>
  <si>
    <t xml:space="preserve">Traders Superstore </t>
  </si>
  <si>
    <t xml:space="preserve">General Luna Street, Dipolog City </t>
  </si>
  <si>
    <t>OR 80329</t>
  </si>
  <si>
    <t>680-150-232-803</t>
  </si>
  <si>
    <t>Pryce Gases, Inc.</t>
  </si>
  <si>
    <t>Goleo, Sindangan, Zamboanga Del Norte</t>
  </si>
  <si>
    <t>SI 1265</t>
  </si>
  <si>
    <t>000-292-468-00580</t>
  </si>
  <si>
    <t xml:space="preserve">Sebio Educatonal Supply </t>
  </si>
  <si>
    <t>Echavez St. Center Dipolog City</t>
  </si>
  <si>
    <t>OR 5696018</t>
  </si>
  <si>
    <t>136-287-721-000</t>
  </si>
  <si>
    <t xml:space="preserve">Friendly Mart </t>
  </si>
  <si>
    <t>Miputak Dipolog City</t>
  </si>
  <si>
    <t>SI 117620</t>
  </si>
  <si>
    <t>207-961-175-00224</t>
  </si>
  <si>
    <t>Mid-South Merchandising Corp</t>
  </si>
  <si>
    <t xml:space="preserve">Rizal Ave., Pob. Sindangan Z .N </t>
  </si>
  <si>
    <t>SI 37347</t>
  </si>
  <si>
    <t>612-182-619-000</t>
  </si>
  <si>
    <t>LKS-RX Convenience Store</t>
  </si>
  <si>
    <t>Poblacion Sindangan Zamboanga Del Norte</t>
  </si>
  <si>
    <t>SI 508195</t>
  </si>
  <si>
    <t>920-808-765-009</t>
  </si>
  <si>
    <t>Ramona Bakeshop</t>
  </si>
  <si>
    <t>Public Market Poblacion,Sindangan, Z.N</t>
  </si>
  <si>
    <t>SI 0692</t>
  </si>
  <si>
    <t>933-800-290-005</t>
  </si>
  <si>
    <t xml:space="preserve">Jerum Meat Shop </t>
  </si>
  <si>
    <t>SI 0409</t>
  </si>
  <si>
    <t>604-768-120-00000</t>
  </si>
  <si>
    <t>Philippine Ports Authority</t>
  </si>
  <si>
    <t>Calatunan Sindangan, Zamboanga Del Norte</t>
  </si>
  <si>
    <t>SI 022287</t>
  </si>
  <si>
    <t>000-352-232-00196</t>
  </si>
  <si>
    <t>SI 020706</t>
  </si>
  <si>
    <t>Zaneco</t>
  </si>
  <si>
    <t>Disud Sindangan, Zamboanga Del Norte</t>
  </si>
  <si>
    <t>SI 15613920</t>
  </si>
  <si>
    <t>000-566-594-00002</t>
  </si>
  <si>
    <t>SI 63914</t>
  </si>
  <si>
    <t>MR D.I,Y</t>
  </si>
  <si>
    <t>Santa Falomena Dipolog City</t>
  </si>
  <si>
    <t>SI 123872</t>
  </si>
  <si>
    <t>010-057-617-00163</t>
  </si>
  <si>
    <t>JRS Express</t>
  </si>
  <si>
    <t>SI 21756</t>
  </si>
  <si>
    <t>000-056-694-00148</t>
  </si>
  <si>
    <t>SI 056287</t>
  </si>
  <si>
    <t>Salaries &amp;Wages</t>
  </si>
  <si>
    <t>GUILLERMO BEVERAGE DISTRIBUTION SERVIVES</t>
  </si>
  <si>
    <t>SAN MIGUEL BREWERY INC.</t>
  </si>
  <si>
    <t>006-807-251-091</t>
  </si>
  <si>
    <t>LILOY SALES OFFICE, BAYBAY, LILOY, ZAMBOANGA DEL NORTE</t>
  </si>
  <si>
    <t>AUGUST 2024</t>
  </si>
  <si>
    <t>8/192024</t>
  </si>
  <si>
    <t>NO</t>
  </si>
  <si>
    <t>166-562-025-0000</t>
  </si>
  <si>
    <t>JUNE 2026</t>
  </si>
  <si>
    <t>06/16/2026</t>
  </si>
  <si>
    <t>06/18/2026</t>
  </si>
  <si>
    <t>06/19/2026</t>
  </si>
  <si>
    <t>06/23/2026</t>
  </si>
  <si>
    <t>06/24/2026</t>
  </si>
  <si>
    <t>MONTHLY PURCHASES</t>
  </si>
  <si>
    <t>MONTHLY PURCHASES BEER EMPTIES</t>
  </si>
  <si>
    <t>MONTHLY PURCHASES NAB EMPTIES</t>
  </si>
  <si>
    <t>R01</t>
  </si>
  <si>
    <t>R02</t>
  </si>
  <si>
    <t>R03</t>
  </si>
  <si>
    <t>R04</t>
  </si>
  <si>
    <t>R05</t>
  </si>
  <si>
    <t>R06</t>
  </si>
  <si>
    <t>R07</t>
  </si>
  <si>
    <t>06/13/2026</t>
  </si>
  <si>
    <t>R08</t>
  </si>
  <si>
    <t>06/15/2026</t>
  </si>
  <si>
    <t>R09</t>
  </si>
  <si>
    <t>R10</t>
  </si>
  <si>
    <t>R11</t>
  </si>
  <si>
    <t>R12</t>
  </si>
  <si>
    <t>06/20/2026</t>
  </si>
  <si>
    <t>R13</t>
  </si>
  <si>
    <t>R14</t>
  </si>
  <si>
    <t>R15</t>
  </si>
  <si>
    <t>MONTHLY PURCHASES SMB LILOY WW</t>
  </si>
  <si>
    <t>01</t>
  </si>
  <si>
    <t>TOTAL AMOUNT</t>
  </si>
  <si>
    <t>02</t>
  </si>
  <si>
    <t>03</t>
  </si>
  <si>
    <t>04</t>
  </si>
  <si>
    <t>05</t>
  </si>
  <si>
    <t>06</t>
  </si>
  <si>
    <t>06/25/2026</t>
  </si>
  <si>
    <t>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</si>
</sst>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7">
    <xf numFmtId="0" fontId="0" fillId="0" borderId="0" xfId="0"/>
    <xf numFmtId="0" fontId="4" fillId="0" borderId="0" xfId="1" applyFont="1"/>
    <xf numFmtId="0" fontId="3" fillId="0" borderId="0" xfId="0" applyFont="1"/>
    <xf numFmtId="0" fontId="5" fillId="3" borderId="0" xfId="1" applyFont="1" applyFill="1"/>
    <xf numFmtId="0" fontId="6" fillId="3" borderId="0" xfId="1" applyFont="1" applyFill="1"/>
    <xf numFmtId="0" fontId="7" fillId="0" borderId="0" xfId="1" applyFont="1"/>
    <xf numFmtId="0" fontId="8" fillId="0" borderId="0" xfId="1" applyFont="1"/>
    <xf numFmtId="49" fontId="7" fillId="0" borderId="0" xfId="1" applyNumberFormat="1" applyFont="1"/>
    <xf numFmtId="0" fontId="9" fillId="0" borderId="0" xfId="0" applyFont="1"/>
    <xf numFmtId="0" fontId="10" fillId="0" borderId="0" xfId="1" applyFont="1" applyAlignment="1">
      <alignment horizontal="center"/>
    </xf>
    <xf numFmtId="4" fontId="10" fillId="0" borderId="0" xfId="1" applyNumberFormat="1" applyFont="1" applyAlignment="1">
      <alignment horizontal="center"/>
    </xf>
    <xf numFmtId="14" fontId="9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164" fontId="9" fillId="2" borderId="0" xfId="0" applyNumberFormat="1" applyFont="1" applyFill="1"/>
    <xf numFmtId="14" fontId="9" fillId="0" borderId="2" xfId="0" applyNumberFormat="1" applyFont="1" applyBorder="1"/>
    <xf numFmtId="14" fontId="9" fillId="0" borderId="0" xfId="0" applyNumberFormat="1" applyFont="1"/>
    <xf numFmtId="164" fontId="9" fillId="0" borderId="0" xfId="0" applyNumberFormat="1" applyFont="1"/>
    <xf numFmtId="164" fontId="9" fillId="0" borderId="3" xfId="0" applyNumberFormat="1" applyFont="1" applyBorder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9" fillId="0" borderId="4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4" fillId="0" borderId="0" xfId="1" applyFont="1" applyProtection="1"/>
    <xf numFmtId="0" fontId="3" fillId="0" borderId="0" xfId="0" applyFont="1" applyProtection="1"/>
    <xf numFmtId="0" fontId="9" fillId="0" borderId="0" xfId="0" applyFont="1" applyProtection="1"/>
    <xf numFmtId="4" fontId="10" fillId="0" borderId="0" xfId="1" applyNumberFormat="1" applyFont="1" applyAlignment="1" applyProtection="1">
      <alignment horizontal="center"/>
    </xf>
    <xf numFmtId="0" fontId="10" fillId="0" borderId="0" xfId="1" applyNumberFormat="1" applyFont="1" applyAlignment="1" applyProtection="1">
      <alignment horizontal="center"/>
    </xf>
    <xf numFmtId="4" fontId="9" fillId="0" borderId="1" xfId="0" applyNumberFormat="1" applyFont="1" applyBorder="1" applyAlignment="1" applyProtection="1">
      <alignment horizontal="center"/>
    </xf>
    <xf numFmtId="4" fontId="0" fillId="0" borderId="0" xfId="0" applyNumberFormat="1" applyProtection="1"/>
    <xf numFmtId="0" fontId="0" fillId="0" borderId="0" xfId="0" applyProtection="1"/>
    <xf numFmtId="4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0" fillId="0" borderId="0" xfId="0" applyNumberFormat="1"/>
    <xf numFmtId="0" fontId="5" fillId="4" borderId="0" xfId="1" applyFont="1" applyFill="1"/>
    <xf numFmtId="0" fontId="6" fillId="4" borderId="0" xfId="1" applyFont="1" applyFill="1"/>
    <xf numFmtId="0" fontId="12" fillId="0" borderId="0" xfId="1" applyFont="1"/>
    <xf numFmtId="0" fontId="13" fillId="0" borderId="0" xfId="1" applyFont="1"/>
    <xf numFmtId="49" fontId="12" fillId="0" borderId="0" xfId="1" applyNumberFormat="1" applyFont="1"/>
    <xf numFmtId="164" fontId="9" fillId="5" borderId="0" xfId="0" applyNumberFormat="1" applyFont="1" applyFill="1"/>
    <xf numFmtId="164" fontId="9" fillId="5" borderId="0" xfId="0" applyNumberFormat="1" applyFont="1" applyFill="1" applyProtection="1"/>
    <xf numFmtId="0" fontId="10" fillId="0" borderId="0" xfId="1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9464-55C8-496E-9E4C-BFC8F697DF68}">
  <dimension ref="A1:M59"/>
  <sheetViews>
    <sheetView zoomScale="85" zoomScaleNormal="85" workbookViewId="0">
      <selection activeCell="B28" sqref="B28:B35"/>
    </sheetView>
  </sheetViews>
  <sheetFormatPr defaultRowHeight="15" x14ac:dyDescent="0.25"/>
  <cols>
    <col min="2" max="2" width="13" customWidth="1"/>
    <col min="3" max="3" width="30.28515625" customWidth="1"/>
    <col min="4" max="4" width="15.85546875" customWidth="1"/>
    <col min="5" max="5" width="68.5703125" customWidth="1"/>
    <col min="6" max="6" width="13.42578125" customWidth="1"/>
    <col min="7" max="7" width="16.85546875" customWidth="1"/>
    <col min="8" max="10" width="14" customWidth="1"/>
    <col min="12" max="12" width="13.140625" bestFit="1" customWidth="1"/>
    <col min="13" max="13" width="11.28515625" bestFit="1" customWidth="1"/>
  </cols>
  <sheetData>
    <row r="1" spans="1:13" x14ac:dyDescent="0.25">
      <c r="B1" s="3" t="s">
        <v>67</v>
      </c>
      <c r="C1" s="4"/>
      <c r="D1" s="4"/>
      <c r="E1" s="1"/>
      <c r="F1" s="1"/>
      <c r="G1" s="1"/>
      <c r="H1" s="1"/>
      <c r="I1" s="1"/>
      <c r="J1" s="1"/>
    </row>
    <row r="2" spans="1:13" x14ac:dyDescent="0.25">
      <c r="B2" s="2"/>
      <c r="C2" s="2"/>
      <c r="D2" s="2"/>
      <c r="E2" s="2"/>
      <c r="F2" s="2"/>
      <c r="G2" s="2"/>
      <c r="H2" s="2"/>
      <c r="I2" s="2"/>
      <c r="J2" s="2"/>
    </row>
    <row r="3" spans="1:13" ht="15.75" x14ac:dyDescent="0.25">
      <c r="B3" s="5" t="s">
        <v>1</v>
      </c>
      <c r="C3" s="6"/>
      <c r="D3" s="6"/>
      <c r="E3" s="7" t="s">
        <v>71</v>
      </c>
      <c r="F3" s="1"/>
      <c r="G3" s="1"/>
      <c r="H3" s="1"/>
      <c r="I3" s="1"/>
      <c r="J3" s="1"/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</row>
    <row r="5" spans="1:13" x14ac:dyDescent="0.25">
      <c r="B5" s="9"/>
      <c r="C5" s="9"/>
      <c r="D5" s="9"/>
      <c r="E5" s="1"/>
      <c r="F5" s="9" t="s">
        <v>2</v>
      </c>
      <c r="G5" s="9"/>
      <c r="H5" s="10" t="s">
        <v>3</v>
      </c>
      <c r="I5" s="10"/>
      <c r="J5" s="10" t="s">
        <v>4</v>
      </c>
    </row>
    <row r="6" spans="1:13" x14ac:dyDescent="0.25">
      <c r="A6" t="s">
        <v>73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10" t="s">
        <v>12</v>
      </c>
      <c r="J6" s="10" t="s">
        <v>13</v>
      </c>
    </row>
    <row r="7" spans="1:13" x14ac:dyDescent="0.25">
      <c r="A7">
        <v>2</v>
      </c>
      <c r="B7" s="19">
        <v>45509</v>
      </c>
      <c r="C7" s="20" t="s">
        <v>68</v>
      </c>
      <c r="D7" s="12"/>
      <c r="E7" s="20" t="s">
        <v>70</v>
      </c>
      <c r="F7" s="20">
        <v>516575379</v>
      </c>
      <c r="G7" s="20" t="s">
        <v>69</v>
      </c>
      <c r="H7" s="21">
        <v>1000944</v>
      </c>
      <c r="I7" s="21">
        <v>107244</v>
      </c>
      <c r="J7" s="21">
        <v>893700</v>
      </c>
      <c r="L7" s="25">
        <v>1000944</v>
      </c>
      <c r="M7" s="25">
        <v>107244</v>
      </c>
    </row>
    <row r="8" spans="1:13" x14ac:dyDescent="0.25">
      <c r="A8">
        <v>3</v>
      </c>
      <c r="B8" s="19">
        <v>45511</v>
      </c>
      <c r="C8" s="20" t="s">
        <v>68</v>
      </c>
      <c r="D8" s="20"/>
      <c r="E8" s="20" t="s">
        <v>70</v>
      </c>
      <c r="F8" s="20">
        <v>51658275</v>
      </c>
      <c r="G8" s="20" t="s">
        <v>69</v>
      </c>
      <c r="H8" s="21">
        <v>1000944</v>
      </c>
      <c r="I8" s="21">
        <v>107244</v>
      </c>
      <c r="J8" s="21">
        <v>893700</v>
      </c>
    </row>
    <row r="9" spans="1:13" x14ac:dyDescent="0.25">
      <c r="A9">
        <v>4</v>
      </c>
      <c r="B9" s="19">
        <v>45513</v>
      </c>
      <c r="C9" s="20" t="s">
        <v>68</v>
      </c>
      <c r="D9" s="20"/>
      <c r="E9" s="20" t="s">
        <v>70</v>
      </c>
      <c r="F9" s="20">
        <v>516590411</v>
      </c>
      <c r="G9" s="20" t="s">
        <v>69</v>
      </c>
      <c r="H9" s="21">
        <v>807694</v>
      </c>
      <c r="I9" s="21">
        <v>86538.64</v>
      </c>
      <c r="J9" s="21">
        <v>721155.36</v>
      </c>
      <c r="K9" s="22"/>
    </row>
    <row r="10" spans="1:13" x14ac:dyDescent="0.25">
      <c r="A10">
        <v>5</v>
      </c>
      <c r="B10" s="19">
        <v>45517</v>
      </c>
      <c r="C10" s="20" t="s">
        <v>68</v>
      </c>
      <c r="D10" s="20"/>
      <c r="E10" s="20" t="s">
        <v>70</v>
      </c>
      <c r="F10" s="20">
        <v>516601389</v>
      </c>
      <c r="G10" s="20" t="s">
        <v>69</v>
      </c>
      <c r="H10" s="21">
        <v>951327</v>
      </c>
      <c r="I10" s="21">
        <v>101927.89</v>
      </c>
      <c r="J10" s="21">
        <v>849399.11</v>
      </c>
    </row>
    <row r="11" spans="1:13" x14ac:dyDescent="0.25">
      <c r="A11">
        <v>6</v>
      </c>
      <c r="B11" s="19">
        <v>45518</v>
      </c>
      <c r="C11" s="20" t="s">
        <v>68</v>
      </c>
      <c r="D11" s="20"/>
      <c r="E11" s="20" t="s">
        <v>70</v>
      </c>
      <c r="F11" s="20">
        <v>516605494</v>
      </c>
      <c r="G11" s="20" t="s">
        <v>69</v>
      </c>
      <c r="H11" s="21">
        <v>1000944</v>
      </c>
      <c r="I11" s="21">
        <v>107244</v>
      </c>
      <c r="J11" s="21">
        <v>893700</v>
      </c>
    </row>
    <row r="12" spans="1:13" x14ac:dyDescent="0.25">
      <c r="A12">
        <v>7</v>
      </c>
      <c r="B12" s="19">
        <v>45519</v>
      </c>
      <c r="C12" s="20" t="s">
        <v>68</v>
      </c>
      <c r="D12" s="20"/>
      <c r="E12" s="20" t="s">
        <v>70</v>
      </c>
      <c r="F12" s="20">
        <v>516609925</v>
      </c>
      <c r="G12" s="20" t="s">
        <v>69</v>
      </c>
      <c r="H12" s="21">
        <v>1000944</v>
      </c>
      <c r="I12" s="21">
        <v>107244</v>
      </c>
      <c r="J12" s="21">
        <v>893700</v>
      </c>
    </row>
    <row r="13" spans="1:13" x14ac:dyDescent="0.25">
      <c r="A13">
        <v>8</v>
      </c>
      <c r="B13" s="19">
        <v>45519</v>
      </c>
      <c r="C13" s="20" t="s">
        <v>68</v>
      </c>
      <c r="D13" s="20"/>
      <c r="E13" s="20" t="s">
        <v>70</v>
      </c>
      <c r="F13" s="20">
        <v>516609931</v>
      </c>
      <c r="G13" s="20" t="s">
        <v>69</v>
      </c>
      <c r="H13" s="21">
        <v>1000944</v>
      </c>
      <c r="I13" s="21">
        <v>107244</v>
      </c>
      <c r="J13" s="21">
        <v>893700</v>
      </c>
    </row>
    <row r="14" spans="1:13" x14ac:dyDescent="0.25">
      <c r="A14">
        <v>9</v>
      </c>
      <c r="B14" s="19">
        <v>45523</v>
      </c>
      <c r="C14" s="20" t="s">
        <v>68</v>
      </c>
      <c r="D14" s="20"/>
      <c r="E14" s="20" t="s">
        <v>70</v>
      </c>
      <c r="F14" s="20">
        <v>516621637</v>
      </c>
      <c r="G14" s="20" t="s">
        <v>69</v>
      </c>
      <c r="H14" s="21">
        <v>954072</v>
      </c>
      <c r="I14" s="21">
        <v>102222</v>
      </c>
      <c r="J14" s="21">
        <v>851850</v>
      </c>
    </row>
    <row r="15" spans="1:13" x14ac:dyDescent="0.25">
      <c r="A15">
        <v>10</v>
      </c>
      <c r="B15" s="19" t="s">
        <v>72</v>
      </c>
      <c r="C15" s="20" t="s">
        <v>68</v>
      </c>
      <c r="D15" s="20"/>
      <c r="E15" s="20" t="s">
        <v>70</v>
      </c>
      <c r="F15" s="20">
        <v>516621670</v>
      </c>
      <c r="G15" s="20" t="s">
        <v>69</v>
      </c>
      <c r="H15" s="21">
        <v>937272</v>
      </c>
      <c r="I15" s="21">
        <v>100422</v>
      </c>
      <c r="J15" s="21">
        <v>836850</v>
      </c>
    </row>
    <row r="16" spans="1:13" x14ac:dyDescent="0.25">
      <c r="A16">
        <v>11</v>
      </c>
      <c r="B16" s="19">
        <v>45524</v>
      </c>
      <c r="C16" s="20" t="s">
        <v>68</v>
      </c>
      <c r="D16" s="20"/>
      <c r="E16" s="20" t="s">
        <v>70</v>
      </c>
      <c r="F16" s="20">
        <v>516626723</v>
      </c>
      <c r="G16" s="20" t="s">
        <v>69</v>
      </c>
      <c r="H16" s="21">
        <v>954072</v>
      </c>
      <c r="I16" s="21">
        <v>102222</v>
      </c>
      <c r="J16" s="21">
        <v>851850</v>
      </c>
    </row>
    <row r="17" spans="1:10" x14ac:dyDescent="0.25">
      <c r="A17">
        <v>12</v>
      </c>
      <c r="B17" s="19">
        <v>45524</v>
      </c>
      <c r="C17" s="20" t="s">
        <v>68</v>
      </c>
      <c r="D17" s="20"/>
      <c r="E17" s="20" t="s">
        <v>70</v>
      </c>
      <c r="F17" s="20">
        <v>516627080</v>
      </c>
      <c r="G17" s="20" t="s">
        <v>69</v>
      </c>
      <c r="H17" s="21">
        <v>749628</v>
      </c>
      <c r="I17" s="21">
        <v>80317.289999999994</v>
      </c>
      <c r="J17" s="21">
        <v>669310.71</v>
      </c>
    </row>
    <row r="18" spans="1:10" x14ac:dyDescent="0.25">
      <c r="A18">
        <v>13</v>
      </c>
      <c r="B18" s="19">
        <v>45525</v>
      </c>
      <c r="C18" s="20" t="s">
        <v>68</v>
      </c>
      <c r="D18" s="20"/>
      <c r="E18" s="20" t="s">
        <v>70</v>
      </c>
      <c r="F18" s="20">
        <v>516631542</v>
      </c>
      <c r="G18" s="20" t="s">
        <v>69</v>
      </c>
      <c r="H18" s="21">
        <v>954072</v>
      </c>
      <c r="I18" s="21">
        <v>102222</v>
      </c>
      <c r="J18" s="21">
        <v>851850</v>
      </c>
    </row>
    <row r="19" spans="1:10" x14ac:dyDescent="0.25">
      <c r="A19">
        <v>14</v>
      </c>
      <c r="B19" s="19">
        <v>45526</v>
      </c>
      <c r="C19" s="20" t="s">
        <v>68</v>
      </c>
      <c r="D19" s="20"/>
      <c r="E19" s="20" t="s">
        <v>70</v>
      </c>
      <c r="F19" s="20">
        <v>516635844</v>
      </c>
      <c r="G19" s="20" t="s">
        <v>69</v>
      </c>
      <c r="H19" s="21">
        <v>1038460</v>
      </c>
      <c r="I19" s="21">
        <v>111263.57</v>
      </c>
      <c r="J19" s="21">
        <v>927196.43</v>
      </c>
    </row>
    <row r="20" spans="1:10" x14ac:dyDescent="0.25">
      <c r="A20">
        <v>15</v>
      </c>
      <c r="B20" s="19">
        <v>45526</v>
      </c>
      <c r="C20" s="20" t="s">
        <v>68</v>
      </c>
      <c r="D20" s="20"/>
      <c r="E20" s="20" t="s">
        <v>70</v>
      </c>
      <c r="F20" s="20">
        <v>516635832</v>
      </c>
      <c r="G20" s="20" t="s">
        <v>69</v>
      </c>
      <c r="H20" s="21">
        <v>1128816</v>
      </c>
      <c r="I20" s="21">
        <v>120944.57</v>
      </c>
      <c r="J20" s="21">
        <v>1007871.43</v>
      </c>
    </row>
    <row r="21" spans="1:10" x14ac:dyDescent="0.25">
      <c r="A21">
        <v>16</v>
      </c>
      <c r="B21" s="19">
        <v>45527</v>
      </c>
      <c r="C21" s="20" t="s">
        <v>68</v>
      </c>
      <c r="D21" s="20"/>
      <c r="E21" s="20" t="s">
        <v>70</v>
      </c>
      <c r="F21" s="20">
        <v>516641038</v>
      </c>
      <c r="G21" s="20" t="s">
        <v>69</v>
      </c>
      <c r="H21" s="21">
        <v>1138227</v>
      </c>
      <c r="I21" s="21">
        <v>121952.89</v>
      </c>
      <c r="J21" s="21">
        <v>1016247.11</v>
      </c>
    </row>
    <row r="22" spans="1:10" x14ac:dyDescent="0.25">
      <c r="A22">
        <v>17</v>
      </c>
      <c r="B22" s="19">
        <v>45527</v>
      </c>
      <c r="C22" s="20" t="s">
        <v>68</v>
      </c>
      <c r="D22" s="20"/>
      <c r="E22" s="20" t="s">
        <v>70</v>
      </c>
      <c r="F22" s="20">
        <v>516640949</v>
      </c>
      <c r="G22" s="20" t="s">
        <v>69</v>
      </c>
      <c r="H22" s="21">
        <v>1139022</v>
      </c>
      <c r="I22" s="21">
        <v>122038.07</v>
      </c>
      <c r="J22" s="21">
        <v>1016983.93</v>
      </c>
    </row>
    <row r="23" spans="1:10" x14ac:dyDescent="0.25">
      <c r="A23">
        <v>18</v>
      </c>
      <c r="B23" s="19">
        <v>45528</v>
      </c>
      <c r="C23" s="20" t="s">
        <v>68</v>
      </c>
      <c r="D23" s="20"/>
      <c r="E23" s="20" t="s">
        <v>70</v>
      </c>
      <c r="F23" s="20">
        <v>516645608</v>
      </c>
      <c r="G23" s="20" t="s">
        <v>69</v>
      </c>
      <c r="H23" s="21">
        <v>1143936</v>
      </c>
      <c r="I23" s="21">
        <v>122564.57</v>
      </c>
      <c r="J23" s="21">
        <v>122564.57</v>
      </c>
    </row>
    <row r="24" spans="1:10" x14ac:dyDescent="0.25">
      <c r="A24">
        <v>19</v>
      </c>
      <c r="B24" s="19">
        <v>45528</v>
      </c>
      <c r="C24" s="20" t="s">
        <v>68</v>
      </c>
      <c r="D24" s="20"/>
      <c r="E24" s="20" t="s">
        <v>70</v>
      </c>
      <c r="F24" s="20">
        <v>516645633</v>
      </c>
      <c r="G24" s="20" t="s">
        <v>69</v>
      </c>
      <c r="H24" s="21">
        <v>1110456</v>
      </c>
      <c r="I24" s="21">
        <v>118977.43</v>
      </c>
      <c r="J24" s="21">
        <v>991478.57</v>
      </c>
    </row>
    <row r="25" spans="1:10" x14ac:dyDescent="0.25">
      <c r="A25">
        <v>20</v>
      </c>
      <c r="B25" s="19">
        <v>45530</v>
      </c>
      <c r="C25" s="20" t="s">
        <v>68</v>
      </c>
      <c r="D25" s="20"/>
      <c r="E25" s="20" t="s">
        <v>70</v>
      </c>
      <c r="F25" s="20">
        <v>516649074</v>
      </c>
      <c r="G25" s="20" t="s">
        <v>69</v>
      </c>
      <c r="H25" s="21">
        <v>1127187</v>
      </c>
      <c r="I25" s="21">
        <v>120770</v>
      </c>
      <c r="J25" s="21">
        <v>1006416.96</v>
      </c>
    </row>
    <row r="26" spans="1:10" x14ac:dyDescent="0.25">
      <c r="A26">
        <v>21</v>
      </c>
      <c r="B26" s="19">
        <v>45531</v>
      </c>
      <c r="C26" s="20" t="s">
        <v>68</v>
      </c>
      <c r="D26" s="20"/>
      <c r="E26" s="20" t="s">
        <v>70</v>
      </c>
      <c r="F26" s="20">
        <v>516653430</v>
      </c>
      <c r="G26" s="20" t="s">
        <v>69</v>
      </c>
      <c r="H26" s="21">
        <v>1143936</v>
      </c>
      <c r="I26" s="21">
        <v>122564.57</v>
      </c>
      <c r="J26" s="21">
        <v>1021371.43</v>
      </c>
    </row>
    <row r="27" spans="1:10" x14ac:dyDescent="0.25">
      <c r="A27">
        <v>22</v>
      </c>
      <c r="B27" s="19">
        <v>45534</v>
      </c>
      <c r="C27" s="20" t="s">
        <v>68</v>
      </c>
      <c r="D27" s="20"/>
      <c r="E27" s="20" t="s">
        <v>70</v>
      </c>
      <c r="F27" s="20">
        <v>516666054</v>
      </c>
      <c r="G27" s="20" t="s">
        <v>69</v>
      </c>
      <c r="H27" s="21">
        <v>1033296.62</v>
      </c>
      <c r="I27" s="21">
        <v>110710.35</v>
      </c>
      <c r="J27" s="21">
        <v>922586.27</v>
      </c>
    </row>
    <row r="31" spans="1:10" x14ac:dyDescent="0.25">
      <c r="B31" s="23"/>
      <c r="C31" s="23"/>
      <c r="D31" s="23"/>
      <c r="E31" s="23"/>
      <c r="F31" s="23"/>
      <c r="G31" s="23"/>
      <c r="H31" s="24"/>
      <c r="I31" s="23"/>
      <c r="J31" s="23"/>
    </row>
    <row r="32" spans="1:10" x14ac:dyDescent="0.25">
      <c r="H32" s="14">
        <f>SUM(H7:H31)</f>
        <v>21316193.620000001</v>
      </c>
      <c r="I32" s="14">
        <f>SUM(I7:I31)</f>
        <v>2283877.8400000003</v>
      </c>
      <c r="J32" s="14">
        <f>SUM(J7:J31)</f>
        <v>18133481.879999999</v>
      </c>
    </row>
    <row r="36" spans="2:10" x14ac:dyDescent="0.25">
      <c r="B36" s="3" t="s">
        <v>0</v>
      </c>
      <c r="C36" s="4"/>
      <c r="D36" s="4"/>
      <c r="E36" s="1"/>
      <c r="F36" s="1"/>
      <c r="G36" s="1"/>
      <c r="H36" s="1"/>
      <c r="I36" s="1"/>
      <c r="J36" s="1"/>
    </row>
    <row r="37" spans="2:10" x14ac:dyDescent="0.25">
      <c r="B37" s="2"/>
      <c r="C37" s="2"/>
      <c r="D37" s="2"/>
      <c r="E37" s="2"/>
      <c r="F37" s="2"/>
      <c r="G37" s="2"/>
      <c r="H37" s="2"/>
      <c r="I37" s="2"/>
      <c r="J37" s="2"/>
    </row>
    <row r="38" spans="2:10" ht="15.75" x14ac:dyDescent="0.25">
      <c r="B38" s="5" t="s">
        <v>14</v>
      </c>
      <c r="C38" s="6"/>
      <c r="D38" s="6"/>
      <c r="E38" s="7" t="s">
        <v>15</v>
      </c>
      <c r="F38" s="1"/>
      <c r="G38" s="1"/>
      <c r="H38" s="1"/>
      <c r="I38" s="1"/>
      <c r="J38" s="1"/>
    </row>
    <row r="39" spans="2:10" x14ac:dyDescent="0.25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25">
      <c r="B40" s="9"/>
      <c r="C40" s="9"/>
      <c r="D40" s="9"/>
      <c r="E40" s="1"/>
      <c r="F40" s="9" t="s">
        <v>2</v>
      </c>
      <c r="G40" s="9"/>
      <c r="H40" s="10" t="s">
        <v>3</v>
      </c>
      <c r="I40" s="10"/>
      <c r="J40" s="10" t="s">
        <v>4</v>
      </c>
    </row>
    <row r="41" spans="2:10" x14ac:dyDescent="0.25">
      <c r="B41" s="9" t="s">
        <v>5</v>
      </c>
      <c r="C41" s="9" t="s">
        <v>6</v>
      </c>
      <c r="D41" s="9" t="s">
        <v>7</v>
      </c>
      <c r="E41" s="9" t="s">
        <v>8</v>
      </c>
      <c r="F41" s="9" t="s">
        <v>9</v>
      </c>
      <c r="G41" s="9" t="s">
        <v>10</v>
      </c>
      <c r="H41" s="10" t="s">
        <v>16</v>
      </c>
      <c r="I41" s="10" t="s">
        <v>12</v>
      </c>
      <c r="J41" s="10" t="s">
        <v>16</v>
      </c>
    </row>
    <row r="42" spans="2:10" x14ac:dyDescent="0.25">
      <c r="B42" s="11">
        <v>45413</v>
      </c>
      <c r="C42" s="12" t="s">
        <v>17</v>
      </c>
      <c r="D42" s="12"/>
      <c r="E42" s="12" t="s">
        <v>18</v>
      </c>
      <c r="F42" s="12" t="s">
        <v>19</v>
      </c>
      <c r="G42" s="12" t="s">
        <v>20</v>
      </c>
      <c r="H42" s="13">
        <v>9800</v>
      </c>
      <c r="I42" s="13">
        <f>SUM(J42*0.12)</f>
        <v>1050</v>
      </c>
      <c r="J42" s="13">
        <f>SUM(H42/1.12)</f>
        <v>8750</v>
      </c>
    </row>
    <row r="43" spans="2:10" x14ac:dyDescent="0.25">
      <c r="B43" s="11">
        <v>45413</v>
      </c>
      <c r="C43" s="12" t="s">
        <v>21</v>
      </c>
      <c r="D43" s="12"/>
      <c r="E43" s="12" t="s">
        <v>22</v>
      </c>
      <c r="F43" s="12" t="s">
        <v>23</v>
      </c>
      <c r="G43" s="12" t="s">
        <v>24</v>
      </c>
      <c r="H43" s="13">
        <v>3500</v>
      </c>
      <c r="I43" s="13">
        <f t="shared" ref="I43:I57" si="0">SUM(J43*0.12)</f>
        <v>374.99999999999994</v>
      </c>
      <c r="J43" s="13">
        <f t="shared" ref="J43:J57" si="1">SUM(H43/1.12)</f>
        <v>3124.9999999999995</v>
      </c>
    </row>
    <row r="44" spans="2:10" x14ac:dyDescent="0.25">
      <c r="B44" s="11">
        <v>45413</v>
      </c>
      <c r="C44" s="12" t="s">
        <v>25</v>
      </c>
      <c r="D44" s="12"/>
      <c r="E44" s="12" t="s">
        <v>26</v>
      </c>
      <c r="F44" s="12" t="s">
        <v>27</v>
      </c>
      <c r="G44" s="12" t="s">
        <v>28</v>
      </c>
      <c r="H44" s="13">
        <v>124</v>
      </c>
      <c r="I44" s="13">
        <f t="shared" si="0"/>
        <v>13.285714285714285</v>
      </c>
      <c r="J44" s="13">
        <f t="shared" si="1"/>
        <v>110.71428571428571</v>
      </c>
    </row>
    <row r="45" spans="2:10" x14ac:dyDescent="0.25">
      <c r="B45" s="11">
        <v>45414</v>
      </c>
      <c r="C45" s="12" t="s">
        <v>29</v>
      </c>
      <c r="D45" s="12"/>
      <c r="E45" s="12" t="s">
        <v>30</v>
      </c>
      <c r="F45" s="12" t="s">
        <v>31</v>
      </c>
      <c r="G45" s="12" t="s">
        <v>32</v>
      </c>
      <c r="H45" s="13">
        <v>10225.459999999999</v>
      </c>
      <c r="I45" s="13">
        <f t="shared" si="0"/>
        <v>1095.5849999999998</v>
      </c>
      <c r="J45" s="13">
        <f t="shared" si="1"/>
        <v>9129.8749999999982</v>
      </c>
    </row>
    <row r="46" spans="2:10" x14ac:dyDescent="0.25">
      <c r="B46" s="11">
        <v>45419</v>
      </c>
      <c r="C46" s="12" t="s">
        <v>33</v>
      </c>
      <c r="D46" s="12"/>
      <c r="E46" s="12" t="s">
        <v>34</v>
      </c>
      <c r="F46" s="12" t="s">
        <v>35</v>
      </c>
      <c r="G46" s="12" t="s">
        <v>36</v>
      </c>
      <c r="H46" s="13">
        <v>185.25</v>
      </c>
      <c r="I46" s="13">
        <f t="shared" si="0"/>
        <v>19.848214285714281</v>
      </c>
      <c r="J46" s="13">
        <f t="shared" si="1"/>
        <v>165.40178571428569</v>
      </c>
    </row>
    <row r="47" spans="2:10" x14ac:dyDescent="0.25">
      <c r="B47" s="11">
        <v>45420</v>
      </c>
      <c r="C47" s="12" t="s">
        <v>37</v>
      </c>
      <c r="D47" s="12"/>
      <c r="E47" s="12" t="s">
        <v>38</v>
      </c>
      <c r="F47" s="12" t="s">
        <v>39</v>
      </c>
      <c r="G47" s="12" t="s">
        <v>40</v>
      </c>
      <c r="H47" s="13">
        <v>210.5</v>
      </c>
      <c r="I47" s="13">
        <f t="shared" si="0"/>
        <v>22.553571428571427</v>
      </c>
      <c r="J47" s="13">
        <f t="shared" si="1"/>
        <v>187.94642857142856</v>
      </c>
    </row>
    <row r="48" spans="2:10" x14ac:dyDescent="0.25">
      <c r="B48" s="11">
        <v>45422</v>
      </c>
      <c r="C48" s="12" t="s">
        <v>41</v>
      </c>
      <c r="D48" s="12"/>
      <c r="E48" s="12" t="s">
        <v>42</v>
      </c>
      <c r="F48" s="12" t="s">
        <v>43</v>
      </c>
      <c r="G48" s="12" t="s">
        <v>44</v>
      </c>
      <c r="H48" s="13">
        <v>900</v>
      </c>
      <c r="I48" s="13">
        <f t="shared" si="0"/>
        <v>96.428571428571416</v>
      </c>
      <c r="J48" s="13">
        <f t="shared" si="1"/>
        <v>803.57142857142844</v>
      </c>
    </row>
    <row r="49" spans="2:10" x14ac:dyDescent="0.25">
      <c r="B49" s="11">
        <v>45424</v>
      </c>
      <c r="C49" s="12" t="s">
        <v>45</v>
      </c>
      <c r="D49" s="12"/>
      <c r="E49" s="12" t="s">
        <v>38</v>
      </c>
      <c r="F49" s="12" t="s">
        <v>46</v>
      </c>
      <c r="G49" s="12" t="s">
        <v>47</v>
      </c>
      <c r="H49" s="13">
        <v>7170</v>
      </c>
      <c r="I49" s="13">
        <f t="shared" si="0"/>
        <v>768.21428571428567</v>
      </c>
      <c r="J49" s="13">
        <f t="shared" si="1"/>
        <v>6401.7857142857138</v>
      </c>
    </row>
    <row r="50" spans="2:10" x14ac:dyDescent="0.25">
      <c r="B50" s="11">
        <v>45430</v>
      </c>
      <c r="C50" s="12" t="s">
        <v>48</v>
      </c>
      <c r="D50" s="12"/>
      <c r="E50" s="12" t="s">
        <v>49</v>
      </c>
      <c r="F50" s="12" t="s">
        <v>50</v>
      </c>
      <c r="G50" s="12" t="s">
        <v>51</v>
      </c>
      <c r="H50" s="13">
        <v>41563.74</v>
      </c>
      <c r="I50" s="13">
        <f t="shared" si="0"/>
        <v>4453.2578571428567</v>
      </c>
      <c r="J50" s="13">
        <f t="shared" si="1"/>
        <v>37110.482142857138</v>
      </c>
    </row>
    <row r="51" spans="2:10" x14ac:dyDescent="0.25">
      <c r="B51" s="11">
        <v>45430</v>
      </c>
      <c r="C51" s="12" t="s">
        <v>48</v>
      </c>
      <c r="D51" s="12"/>
      <c r="E51" s="12" t="s">
        <v>49</v>
      </c>
      <c r="F51" s="12" t="s">
        <v>52</v>
      </c>
      <c r="G51" s="12" t="s">
        <v>51</v>
      </c>
      <c r="H51" s="13">
        <v>10000.530000000001</v>
      </c>
      <c r="I51" s="13">
        <f t="shared" si="0"/>
        <v>1071.4853571428571</v>
      </c>
      <c r="J51" s="13">
        <f t="shared" si="1"/>
        <v>8929.0446428571431</v>
      </c>
    </row>
    <row r="52" spans="2:10" x14ac:dyDescent="0.25">
      <c r="B52" s="11">
        <v>45433</v>
      </c>
      <c r="C52" s="12" t="s">
        <v>53</v>
      </c>
      <c r="D52" s="12"/>
      <c r="E52" s="12" t="s">
        <v>54</v>
      </c>
      <c r="F52" s="12" t="s">
        <v>55</v>
      </c>
      <c r="G52" s="12" t="s">
        <v>56</v>
      </c>
      <c r="H52" s="13">
        <v>31516.89</v>
      </c>
      <c r="I52" s="13">
        <f t="shared" si="0"/>
        <v>3376.8096428571425</v>
      </c>
      <c r="J52" s="13">
        <f t="shared" si="1"/>
        <v>28140.080357142855</v>
      </c>
    </row>
    <row r="53" spans="2:10" x14ac:dyDescent="0.25">
      <c r="B53" s="11">
        <v>45435</v>
      </c>
      <c r="C53" s="12" t="s">
        <v>29</v>
      </c>
      <c r="D53" s="12"/>
      <c r="E53" s="12" t="s">
        <v>30</v>
      </c>
      <c r="F53" s="12" t="s">
        <v>57</v>
      </c>
      <c r="G53" s="12" t="s">
        <v>32</v>
      </c>
      <c r="H53" s="13">
        <v>395.35</v>
      </c>
      <c r="I53" s="13">
        <f t="shared" si="0"/>
        <v>42.358928571428564</v>
      </c>
      <c r="J53" s="13">
        <f t="shared" si="1"/>
        <v>352.99107142857139</v>
      </c>
    </row>
    <row r="54" spans="2:10" x14ac:dyDescent="0.25">
      <c r="B54" s="11">
        <v>45435</v>
      </c>
      <c r="C54" s="12" t="s">
        <v>58</v>
      </c>
      <c r="D54" s="12"/>
      <c r="E54" s="12" t="s">
        <v>59</v>
      </c>
      <c r="F54" s="12" t="s">
        <v>60</v>
      </c>
      <c r="G54" s="12" t="s">
        <v>61</v>
      </c>
      <c r="H54" s="13">
        <v>129</v>
      </c>
      <c r="I54" s="13">
        <f t="shared" si="0"/>
        <v>13.821428571428569</v>
      </c>
      <c r="J54" s="13">
        <f t="shared" si="1"/>
        <v>115.17857142857142</v>
      </c>
    </row>
    <row r="55" spans="2:10" x14ac:dyDescent="0.25">
      <c r="B55" s="11">
        <v>45439</v>
      </c>
      <c r="C55" s="12" t="s">
        <v>62</v>
      </c>
      <c r="D55" s="12"/>
      <c r="E55" s="12" t="s">
        <v>54</v>
      </c>
      <c r="F55" s="12" t="s">
        <v>63</v>
      </c>
      <c r="G55" s="12" t="s">
        <v>64</v>
      </c>
      <c r="H55" s="13">
        <v>120</v>
      </c>
      <c r="I55" s="13">
        <f t="shared" si="0"/>
        <v>12.857142857142856</v>
      </c>
      <c r="J55" s="13">
        <f t="shared" si="1"/>
        <v>107.14285714285714</v>
      </c>
    </row>
    <row r="56" spans="2:10" x14ac:dyDescent="0.25">
      <c r="B56" s="15">
        <v>45442</v>
      </c>
      <c r="C56" s="12" t="s">
        <v>62</v>
      </c>
      <c r="D56" s="12"/>
      <c r="E56" s="12" t="s">
        <v>54</v>
      </c>
      <c r="F56" s="12" t="s">
        <v>65</v>
      </c>
      <c r="G56" s="12" t="s">
        <v>64</v>
      </c>
      <c r="H56" s="13">
        <v>120</v>
      </c>
      <c r="I56" s="13">
        <f t="shared" si="0"/>
        <v>12.857142857142856</v>
      </c>
      <c r="J56" s="13">
        <f t="shared" si="1"/>
        <v>107.14285714285714</v>
      </c>
    </row>
    <row r="57" spans="2:10" x14ac:dyDescent="0.25">
      <c r="B57" s="16"/>
      <c r="C57" s="12" t="s">
        <v>66</v>
      </c>
      <c r="D57" s="12"/>
      <c r="E57" s="8"/>
      <c r="F57" s="12"/>
      <c r="G57" s="12"/>
      <c r="H57" s="13">
        <v>157692.5</v>
      </c>
      <c r="I57" s="13">
        <f t="shared" si="0"/>
        <v>16895.625</v>
      </c>
      <c r="J57" s="13">
        <f t="shared" si="1"/>
        <v>140796.875</v>
      </c>
    </row>
    <row r="58" spans="2:10" x14ac:dyDescent="0.25">
      <c r="C58" s="8"/>
      <c r="D58" s="8"/>
      <c r="E58" s="8"/>
      <c r="F58" s="8"/>
      <c r="G58" s="8"/>
      <c r="H58" s="17"/>
      <c r="I58" s="18"/>
      <c r="J58" s="18"/>
    </row>
    <row r="59" spans="2:10" x14ac:dyDescent="0.25">
      <c r="C59" s="8"/>
      <c r="D59" s="8"/>
      <c r="E59" s="8"/>
      <c r="F59" s="8"/>
      <c r="G59" s="8"/>
      <c r="H59" s="14">
        <f>SUM(H42:H58)</f>
        <v>273653.21999999997</v>
      </c>
      <c r="I59" s="14">
        <f>SUM(I42:I58)</f>
        <v>29319.987857142856</v>
      </c>
      <c r="J59" s="14">
        <f>SUM(J42:J58)</f>
        <v>244333.2321428571</v>
      </c>
    </row>
  </sheetData>
  <pageMargins left="0" right="0" top="0.25" bottom="0" header="0" footer="0"/>
  <pageSetup paperSize="14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5057-7111-4BE4-94EA-57775A7107A8}">
  <dimension ref="A1:O109"/>
  <sheetViews>
    <sheetView tabSelected="1" topLeftCell="A43" zoomScaleNormal="100" workbookViewId="0">
      <selection activeCell="I69" sqref="I69"/>
    </sheetView>
  </sheetViews>
  <sheetFormatPr defaultRowHeight="15" x14ac:dyDescent="0.25"/>
  <cols>
    <col min="1" max="1" width="4.28515625" customWidth="1"/>
    <col min="2" max="2" width="4.5703125" hidden="1" customWidth="1"/>
    <col min="3" max="3" width="13" customWidth="1"/>
    <col min="4" max="4" width="30.28515625" customWidth="1"/>
    <col min="5" max="5" width="21.7109375" bestFit="1" customWidth="1"/>
    <col min="6" max="6" width="68.5703125" customWidth="1"/>
    <col min="7" max="7" width="15.42578125" style="38" bestFit="1" customWidth="1"/>
    <col min="8" max="8" width="22" bestFit="1" customWidth="1"/>
    <col min="9" max="9" width="17.42578125" customWidth="1"/>
    <col min="10" max="10" width="0" hidden="1" customWidth="1"/>
    <col min="11" max="12" width="14" customWidth="1"/>
    <col min="13" max="13" width="14" style="35" customWidth="1"/>
    <col min="14" max="14" width="13.140625" bestFit="1" customWidth="1"/>
    <col min="15" max="15" width="11.28515625" bestFit="1" customWidth="1"/>
  </cols>
  <sheetData>
    <row r="1" spans="1:15" x14ac:dyDescent="0.25">
      <c r="C1" s="39" t="s">
        <v>67</v>
      </c>
      <c r="D1" s="40"/>
      <c r="E1" s="40"/>
      <c r="F1" s="1"/>
      <c r="G1" s="1"/>
      <c r="H1" s="1"/>
      <c r="I1" s="1"/>
      <c r="K1" s="1"/>
      <c r="L1" s="1"/>
      <c r="M1" s="28"/>
    </row>
    <row r="2" spans="1:15" x14ac:dyDescent="0.25">
      <c r="C2" s="2"/>
      <c r="D2" s="2"/>
      <c r="E2" s="2"/>
      <c r="F2" s="2"/>
      <c r="G2" s="2"/>
      <c r="H2" s="2"/>
      <c r="I2" s="2"/>
      <c r="K2" s="2"/>
      <c r="L2" s="2"/>
      <c r="M2" s="29"/>
    </row>
    <row r="3" spans="1:15" ht="15.75" x14ac:dyDescent="0.25">
      <c r="C3" s="41" t="s">
        <v>81</v>
      </c>
      <c r="D3" s="42"/>
      <c r="E3" s="42"/>
      <c r="F3" s="43" t="s">
        <v>75</v>
      </c>
      <c r="G3" s="1"/>
      <c r="H3" s="1"/>
      <c r="I3" s="1"/>
      <c r="K3" s="1"/>
      <c r="L3" s="1"/>
      <c r="M3" s="28"/>
    </row>
    <row r="4" spans="1:15" x14ac:dyDescent="0.25">
      <c r="C4" s="8"/>
      <c r="D4" s="8"/>
      <c r="E4" s="8"/>
      <c r="F4" s="8"/>
      <c r="G4" s="8"/>
      <c r="H4" s="8"/>
      <c r="I4" s="8"/>
      <c r="K4" s="8"/>
      <c r="L4" s="8"/>
      <c r="M4" s="30"/>
    </row>
    <row r="5" spans="1:15" x14ac:dyDescent="0.25">
      <c r="C5" s="9"/>
      <c r="D5" s="9"/>
      <c r="E5" s="9"/>
      <c r="F5" s="1"/>
      <c r="G5" s="9" t="s">
        <v>2</v>
      </c>
      <c r="H5" s="9"/>
      <c r="I5" s="10" t="s">
        <v>3</v>
      </c>
      <c r="K5" s="10"/>
      <c r="L5" s="10" t="s">
        <v>4</v>
      </c>
      <c r="M5" s="31"/>
    </row>
    <row r="6" spans="1:15" x14ac:dyDescent="0.25">
      <c r="A6" t="s">
        <v>73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10" t="s">
        <v>11</v>
      </c>
      <c r="K6" s="10" t="s">
        <v>12</v>
      </c>
      <c r="L6" s="10" t="s">
        <v>13</v>
      </c>
      <c r="M6" s="32">
        <v>2307</v>
      </c>
    </row>
    <row r="7" spans="1:15" x14ac:dyDescent="0.25">
      <c r="A7">
        <v>1</v>
      </c>
      <c r="B7" s="23">
        <v>1</v>
      </c>
      <c r="C7" s="19" t="s">
        <v>76</v>
      </c>
      <c r="D7" s="20" t="s">
        <v>68</v>
      </c>
      <c r="E7" s="12"/>
      <c r="F7" s="20" t="s">
        <v>70</v>
      </c>
      <c r="G7" s="20">
        <v>518733994</v>
      </c>
      <c r="H7" s="20" t="s">
        <v>74</v>
      </c>
      <c r="I7" s="21">
        <f>1315032-273031.68</f>
        <v>1042000.3200000001</v>
      </c>
      <c r="K7" s="21">
        <f>M7*12</f>
        <v>111642.89142857144</v>
      </c>
      <c r="L7" s="27">
        <f>I7-K7</f>
        <v>930357.42857142864</v>
      </c>
      <c r="M7" s="33">
        <f>I7/112</f>
        <v>9303.5742857142868</v>
      </c>
      <c r="N7" s="26"/>
      <c r="O7" s="26"/>
    </row>
    <row r="8" spans="1:15" x14ac:dyDescent="0.25">
      <c r="A8">
        <f>A7+1</f>
        <v>2</v>
      </c>
      <c r="B8" s="23">
        <f>B7+1</f>
        <v>2</v>
      </c>
      <c r="C8" s="19" t="s">
        <v>77</v>
      </c>
      <c r="D8" s="20" t="s">
        <v>68</v>
      </c>
      <c r="E8" s="20"/>
      <c r="F8" s="20" t="s">
        <v>70</v>
      </c>
      <c r="G8" s="20">
        <v>518741040</v>
      </c>
      <c r="H8" s="20" t="s">
        <v>74</v>
      </c>
      <c r="I8" s="21">
        <f>1412471-61256.62</f>
        <v>1351214.38</v>
      </c>
      <c r="K8" s="21">
        <f>M8*12</f>
        <v>144772.96928571427</v>
      </c>
      <c r="L8" s="27">
        <f>I8-K8</f>
        <v>1206441.4107142857</v>
      </c>
      <c r="M8" s="33">
        <f t="shared" ref="M8:M26" si="0">I8/112</f>
        <v>12064.414107142857</v>
      </c>
    </row>
    <row r="9" spans="1:15" x14ac:dyDescent="0.25">
      <c r="A9">
        <f t="shared" ref="A9:B27" si="1">A8+1</f>
        <v>3</v>
      </c>
      <c r="B9" s="23">
        <f t="shared" si="1"/>
        <v>3</v>
      </c>
      <c r="C9" s="19" t="s">
        <v>78</v>
      </c>
      <c r="D9" s="20" t="s">
        <v>68</v>
      </c>
      <c r="E9" s="20"/>
      <c r="F9" s="20" t="s">
        <v>70</v>
      </c>
      <c r="G9" s="20">
        <v>518745098</v>
      </c>
      <c r="H9" s="20" t="s">
        <v>74</v>
      </c>
      <c r="I9" s="21">
        <f>1397196-60845.04</f>
        <v>1336350.96</v>
      </c>
      <c r="K9" s="21">
        <f t="shared" ref="K9:K26" si="2">M9*12</f>
        <v>143180.46</v>
      </c>
      <c r="L9" s="27">
        <f t="shared" ref="L9:L26" si="3">I9-K9</f>
        <v>1193170.5</v>
      </c>
      <c r="M9" s="33">
        <f t="shared" si="0"/>
        <v>11931.705</v>
      </c>
    </row>
    <row r="10" spans="1:15" x14ac:dyDescent="0.25">
      <c r="A10">
        <f t="shared" si="1"/>
        <v>4</v>
      </c>
      <c r="B10" s="23">
        <f t="shared" si="1"/>
        <v>4</v>
      </c>
      <c r="C10" s="19" t="s">
        <v>79</v>
      </c>
      <c r="D10" s="20" t="s">
        <v>68</v>
      </c>
      <c r="E10" s="20"/>
      <c r="F10" s="20" t="s">
        <v>70</v>
      </c>
      <c r="G10" s="20">
        <v>518756120</v>
      </c>
      <c r="H10" s="20" t="s">
        <v>74</v>
      </c>
      <c r="I10" s="21">
        <f>1346606-57095.42</f>
        <v>1289510.58</v>
      </c>
      <c r="K10" s="21">
        <f t="shared" si="2"/>
        <v>138161.84785714286</v>
      </c>
      <c r="L10" s="27">
        <f t="shared" si="3"/>
        <v>1151348.7321428573</v>
      </c>
      <c r="M10" s="33">
        <f t="shared" si="0"/>
        <v>11513.487321428573</v>
      </c>
    </row>
    <row r="11" spans="1:15" x14ac:dyDescent="0.25">
      <c r="A11">
        <f t="shared" si="1"/>
        <v>5</v>
      </c>
      <c r="B11" s="23">
        <f t="shared" si="1"/>
        <v>5</v>
      </c>
      <c r="C11" s="19" t="s">
        <v>80</v>
      </c>
      <c r="D11" s="20" t="s">
        <v>68</v>
      </c>
      <c r="E11" s="20"/>
      <c r="F11" s="20" t="s">
        <v>70</v>
      </c>
      <c r="G11" s="20">
        <v>518760128</v>
      </c>
      <c r="H11" s="20" t="s">
        <v>74</v>
      </c>
      <c r="I11" s="21">
        <f>1397196-60845.04</f>
        <v>1336350.96</v>
      </c>
      <c r="K11" s="21">
        <f t="shared" si="2"/>
        <v>143180.46</v>
      </c>
      <c r="L11" s="27">
        <f t="shared" si="3"/>
        <v>1193170.5</v>
      </c>
      <c r="M11" s="33">
        <f t="shared" si="0"/>
        <v>11931.705</v>
      </c>
    </row>
    <row r="12" spans="1:15" x14ac:dyDescent="0.25">
      <c r="A12">
        <f t="shared" si="1"/>
        <v>6</v>
      </c>
      <c r="B12" s="23">
        <f t="shared" si="1"/>
        <v>6</v>
      </c>
      <c r="C12" s="19" t="s">
        <v>80</v>
      </c>
      <c r="D12" s="20" t="s">
        <v>68</v>
      </c>
      <c r="E12" s="20"/>
      <c r="F12" s="20" t="s">
        <v>70</v>
      </c>
      <c r="G12" s="20">
        <v>518759920</v>
      </c>
      <c r="H12" s="20" t="s">
        <v>74</v>
      </c>
      <c r="I12" s="21">
        <f>1397196-60845.04</f>
        <v>1336350.96</v>
      </c>
      <c r="K12" s="21">
        <f t="shared" si="2"/>
        <v>143180.46</v>
      </c>
      <c r="L12" s="27">
        <f t="shared" si="3"/>
        <v>1193170.5</v>
      </c>
      <c r="M12" s="33">
        <f t="shared" si="0"/>
        <v>11931.705</v>
      </c>
    </row>
    <row r="13" spans="1:15" x14ac:dyDescent="0.25">
      <c r="A13">
        <f t="shared" si="1"/>
        <v>7</v>
      </c>
      <c r="B13" s="23">
        <f t="shared" si="1"/>
        <v>7</v>
      </c>
      <c r="C13" s="19" t="s">
        <v>110</v>
      </c>
      <c r="D13" s="20" t="s">
        <v>68</v>
      </c>
      <c r="E13" s="20"/>
      <c r="F13" s="20" t="s">
        <v>70</v>
      </c>
      <c r="G13" s="20">
        <v>518764026</v>
      </c>
      <c r="H13" s="20" t="s">
        <v>74</v>
      </c>
      <c r="I13" s="21">
        <f>1397196-60845.04</f>
        <v>1336350.96</v>
      </c>
      <c r="K13" s="21">
        <f t="shared" si="2"/>
        <v>143180.46</v>
      </c>
      <c r="L13" s="27">
        <f>I13-K13</f>
        <v>1193170.5</v>
      </c>
      <c r="M13" s="33">
        <f>I13/112</f>
        <v>11931.705</v>
      </c>
    </row>
    <row r="14" spans="1:15" x14ac:dyDescent="0.25">
      <c r="A14">
        <f t="shared" si="1"/>
        <v>8</v>
      </c>
      <c r="B14" s="23">
        <f t="shared" si="1"/>
        <v>8</v>
      </c>
      <c r="C14" s="19"/>
      <c r="D14" s="20" t="s">
        <v>68</v>
      </c>
      <c r="E14" s="20"/>
      <c r="F14" s="20" t="s">
        <v>70</v>
      </c>
      <c r="G14" s="20"/>
      <c r="H14" s="20" t="s">
        <v>74</v>
      </c>
      <c r="I14" s="36"/>
      <c r="K14" s="21">
        <f t="shared" si="2"/>
        <v>0</v>
      </c>
      <c r="L14" s="27">
        <f t="shared" si="3"/>
        <v>0</v>
      </c>
      <c r="M14" s="33">
        <f t="shared" si="0"/>
        <v>0</v>
      </c>
    </row>
    <row r="15" spans="1:15" x14ac:dyDescent="0.25">
      <c r="A15">
        <f t="shared" si="1"/>
        <v>9</v>
      </c>
      <c r="B15" s="23">
        <f t="shared" si="1"/>
        <v>9</v>
      </c>
      <c r="C15" s="19"/>
      <c r="D15" s="20" t="s">
        <v>68</v>
      </c>
      <c r="E15" s="20"/>
      <c r="F15" s="20" t="s">
        <v>70</v>
      </c>
      <c r="G15" s="20"/>
      <c r="H15" s="20" t="s">
        <v>74</v>
      </c>
      <c r="I15" s="21"/>
      <c r="K15" s="21">
        <f t="shared" si="2"/>
        <v>0</v>
      </c>
      <c r="L15" s="27">
        <f>I15-K15</f>
        <v>0</v>
      </c>
      <c r="M15" s="33">
        <f>I15/112</f>
        <v>0</v>
      </c>
    </row>
    <row r="16" spans="1:15" x14ac:dyDescent="0.25">
      <c r="A16">
        <f t="shared" si="1"/>
        <v>10</v>
      </c>
      <c r="B16" s="23">
        <f t="shared" si="1"/>
        <v>10</v>
      </c>
      <c r="C16" s="19"/>
      <c r="D16" s="20" t="s">
        <v>68</v>
      </c>
      <c r="E16" s="20"/>
      <c r="F16" s="20" t="s">
        <v>70</v>
      </c>
      <c r="G16" s="20"/>
      <c r="H16" s="20" t="s">
        <v>74</v>
      </c>
      <c r="I16" s="21"/>
      <c r="K16" s="21">
        <f t="shared" si="2"/>
        <v>0</v>
      </c>
      <c r="L16" s="27">
        <f t="shared" si="3"/>
        <v>0</v>
      </c>
      <c r="M16" s="33">
        <f t="shared" si="0"/>
        <v>0</v>
      </c>
    </row>
    <row r="17" spans="1:13" x14ac:dyDescent="0.25">
      <c r="A17">
        <f t="shared" si="1"/>
        <v>11</v>
      </c>
      <c r="B17" s="23">
        <f t="shared" si="1"/>
        <v>11</v>
      </c>
      <c r="C17" s="19"/>
      <c r="D17" s="20" t="s">
        <v>68</v>
      </c>
      <c r="E17" s="20"/>
      <c r="F17" s="20" t="s">
        <v>70</v>
      </c>
      <c r="G17" s="20"/>
      <c r="H17" s="20" t="s">
        <v>74</v>
      </c>
      <c r="I17" s="21"/>
      <c r="K17" s="21">
        <f t="shared" si="2"/>
        <v>0</v>
      </c>
      <c r="L17" s="27">
        <f t="shared" si="3"/>
        <v>0</v>
      </c>
      <c r="M17" s="33">
        <f t="shared" si="0"/>
        <v>0</v>
      </c>
    </row>
    <row r="18" spans="1:13" x14ac:dyDescent="0.25">
      <c r="A18">
        <f t="shared" si="1"/>
        <v>12</v>
      </c>
      <c r="B18" s="23">
        <f t="shared" si="1"/>
        <v>12</v>
      </c>
      <c r="C18" s="19"/>
      <c r="D18" s="20" t="s">
        <v>68</v>
      </c>
      <c r="E18" s="20"/>
      <c r="F18" s="20" t="s">
        <v>70</v>
      </c>
      <c r="G18" s="20"/>
      <c r="H18" s="20" t="s">
        <v>74</v>
      </c>
      <c r="I18" s="21"/>
      <c r="K18" s="21">
        <f t="shared" si="2"/>
        <v>0</v>
      </c>
      <c r="L18" s="27">
        <f t="shared" si="3"/>
        <v>0</v>
      </c>
      <c r="M18" s="33">
        <f t="shared" si="0"/>
        <v>0</v>
      </c>
    </row>
    <row r="19" spans="1:13" x14ac:dyDescent="0.25">
      <c r="A19">
        <f t="shared" si="1"/>
        <v>13</v>
      </c>
      <c r="B19" s="23">
        <f t="shared" si="1"/>
        <v>13</v>
      </c>
      <c r="C19" s="19"/>
      <c r="D19" s="20" t="s">
        <v>68</v>
      </c>
      <c r="E19" s="20"/>
      <c r="F19" s="20" t="s">
        <v>70</v>
      </c>
      <c r="G19" s="20"/>
      <c r="H19" s="20" t="s">
        <v>74</v>
      </c>
      <c r="I19" s="21"/>
      <c r="K19" s="21">
        <f t="shared" si="2"/>
        <v>0</v>
      </c>
      <c r="L19" s="27">
        <f t="shared" si="3"/>
        <v>0</v>
      </c>
      <c r="M19" s="33">
        <f t="shared" si="0"/>
        <v>0</v>
      </c>
    </row>
    <row r="20" spans="1:13" x14ac:dyDescent="0.25">
      <c r="A20">
        <f t="shared" si="1"/>
        <v>14</v>
      </c>
      <c r="B20" s="23">
        <f t="shared" si="1"/>
        <v>14</v>
      </c>
      <c r="C20" s="19"/>
      <c r="D20" s="20" t="s">
        <v>68</v>
      </c>
      <c r="E20" s="20"/>
      <c r="F20" s="20" t="s">
        <v>70</v>
      </c>
      <c r="G20" s="20"/>
      <c r="H20" s="20" t="s">
        <v>74</v>
      </c>
      <c r="I20" s="21"/>
      <c r="K20" s="21">
        <f t="shared" si="2"/>
        <v>0</v>
      </c>
      <c r="L20" s="27">
        <f t="shared" si="3"/>
        <v>0</v>
      </c>
      <c r="M20" s="33">
        <f t="shared" si="0"/>
        <v>0</v>
      </c>
    </row>
    <row r="21" spans="1:13" x14ac:dyDescent="0.25">
      <c r="A21">
        <f t="shared" si="1"/>
        <v>15</v>
      </c>
      <c r="B21" s="23">
        <f t="shared" si="1"/>
        <v>15</v>
      </c>
      <c r="C21" s="19"/>
      <c r="D21" s="20" t="s">
        <v>68</v>
      </c>
      <c r="E21" s="20"/>
      <c r="F21" s="20" t="s">
        <v>70</v>
      </c>
      <c r="G21" s="20"/>
      <c r="H21" s="20" t="s">
        <v>74</v>
      </c>
      <c r="I21" s="21"/>
      <c r="K21" s="21">
        <f t="shared" si="2"/>
        <v>0</v>
      </c>
      <c r="L21" s="27">
        <f t="shared" si="3"/>
        <v>0</v>
      </c>
      <c r="M21" s="33">
        <f t="shared" si="0"/>
        <v>0</v>
      </c>
    </row>
    <row r="22" spans="1:13" x14ac:dyDescent="0.25">
      <c r="A22">
        <f t="shared" si="1"/>
        <v>16</v>
      </c>
      <c r="B22" s="23">
        <f t="shared" si="1"/>
        <v>16</v>
      </c>
      <c r="C22" s="19"/>
      <c r="D22" s="20" t="s">
        <v>68</v>
      </c>
      <c r="E22" s="20"/>
      <c r="F22" s="20" t="s">
        <v>70</v>
      </c>
      <c r="G22" s="20"/>
      <c r="H22" s="20" t="s">
        <v>74</v>
      </c>
      <c r="I22" s="21"/>
      <c r="K22" s="21">
        <f t="shared" si="2"/>
        <v>0</v>
      </c>
      <c r="L22" s="27">
        <f t="shared" si="3"/>
        <v>0</v>
      </c>
      <c r="M22" s="33">
        <f t="shared" si="0"/>
        <v>0</v>
      </c>
    </row>
    <row r="23" spans="1:13" x14ac:dyDescent="0.25">
      <c r="A23">
        <f t="shared" si="1"/>
        <v>17</v>
      </c>
      <c r="B23" s="23">
        <f t="shared" si="1"/>
        <v>17</v>
      </c>
      <c r="C23" s="19"/>
      <c r="D23" s="20" t="s">
        <v>68</v>
      </c>
      <c r="E23" s="20"/>
      <c r="F23" s="20" t="s">
        <v>70</v>
      </c>
      <c r="G23" s="20"/>
      <c r="H23" s="20" t="s">
        <v>74</v>
      </c>
      <c r="I23" s="21"/>
      <c r="K23" s="21">
        <f t="shared" si="2"/>
        <v>0</v>
      </c>
      <c r="L23" s="27">
        <f t="shared" si="3"/>
        <v>0</v>
      </c>
      <c r="M23" s="33">
        <f t="shared" si="0"/>
        <v>0</v>
      </c>
    </row>
    <row r="24" spans="1:13" x14ac:dyDescent="0.25">
      <c r="A24">
        <f t="shared" si="1"/>
        <v>18</v>
      </c>
      <c r="B24" s="23">
        <f t="shared" si="1"/>
        <v>18</v>
      </c>
      <c r="C24" s="19"/>
      <c r="D24" s="20" t="s">
        <v>68</v>
      </c>
      <c r="E24" s="20"/>
      <c r="F24" s="20" t="s">
        <v>70</v>
      </c>
      <c r="G24" s="20"/>
      <c r="H24" s="20" t="s">
        <v>74</v>
      </c>
      <c r="I24" s="21"/>
      <c r="K24" s="21">
        <f t="shared" si="2"/>
        <v>0</v>
      </c>
      <c r="L24" s="27">
        <f t="shared" si="3"/>
        <v>0</v>
      </c>
      <c r="M24" s="33">
        <f t="shared" si="0"/>
        <v>0</v>
      </c>
    </row>
    <row r="25" spans="1:13" x14ac:dyDescent="0.25">
      <c r="A25">
        <f t="shared" si="1"/>
        <v>19</v>
      </c>
      <c r="B25" s="23">
        <f t="shared" si="1"/>
        <v>19</v>
      </c>
      <c r="C25" s="19"/>
      <c r="D25" s="20" t="s">
        <v>68</v>
      </c>
      <c r="E25" s="20"/>
      <c r="F25" s="20" t="s">
        <v>70</v>
      </c>
      <c r="G25" s="20"/>
      <c r="H25" s="20" t="s">
        <v>74</v>
      </c>
      <c r="I25" s="21"/>
      <c r="K25" s="21">
        <f t="shared" si="2"/>
        <v>0</v>
      </c>
      <c r="L25" s="27">
        <f t="shared" si="3"/>
        <v>0</v>
      </c>
      <c r="M25" s="33">
        <f t="shared" si="0"/>
        <v>0</v>
      </c>
    </row>
    <row r="26" spans="1:13" x14ac:dyDescent="0.25">
      <c r="A26">
        <f t="shared" si="1"/>
        <v>20</v>
      </c>
      <c r="B26" s="23">
        <f t="shared" si="1"/>
        <v>20</v>
      </c>
      <c r="C26" s="19"/>
      <c r="D26" s="20" t="s">
        <v>68</v>
      </c>
      <c r="E26" s="20"/>
      <c r="F26" s="20" t="s">
        <v>70</v>
      </c>
      <c r="G26" s="20"/>
      <c r="H26" s="20" t="s">
        <v>74</v>
      </c>
      <c r="I26" s="21"/>
      <c r="K26" s="21">
        <f t="shared" si="2"/>
        <v>0</v>
      </c>
      <c r="L26" s="27">
        <f t="shared" si="3"/>
        <v>0</v>
      </c>
      <c r="M26" s="33">
        <f t="shared" si="0"/>
        <v>0</v>
      </c>
    </row>
    <row r="27" spans="1:13" x14ac:dyDescent="0.25">
      <c r="A27">
        <f t="shared" si="1"/>
        <v>21</v>
      </c>
      <c r="B27" s="23">
        <f>B26+1</f>
        <v>21</v>
      </c>
      <c r="C27" s="19"/>
      <c r="D27" s="20" t="s">
        <v>68</v>
      </c>
      <c r="E27" s="20"/>
      <c r="F27" s="20" t="s">
        <v>70</v>
      </c>
      <c r="G27" s="20"/>
      <c r="H27" s="20" t="s">
        <v>74</v>
      </c>
      <c r="I27" s="21"/>
      <c r="K27" s="21">
        <f t="shared" ref="K27" si="4">M27*12</f>
        <v>0</v>
      </c>
      <c r="L27" s="27">
        <f t="shared" ref="L27" si="5">I27-K27</f>
        <v>0</v>
      </c>
      <c r="M27" s="33">
        <f t="shared" ref="M27" si="6">I27/112</f>
        <v>0</v>
      </c>
    </row>
    <row r="28" spans="1:13" x14ac:dyDescent="0.25">
      <c r="G28"/>
      <c r="I28" s="44">
        <f>SUM(I7:I27)</f>
        <v>9028129.120000001</v>
      </c>
      <c r="J28" s="44">
        <f ca="1">SUM(J7:J31)</f>
        <v>0</v>
      </c>
      <c r="K28" s="44">
        <f>SUM(K7:K27)</f>
        <v>967299.54857142852</v>
      </c>
      <c r="L28" s="44">
        <f>SUM(L7:L27)</f>
        <v>8060829.5714285718</v>
      </c>
      <c r="M28" s="44">
        <f>SUM(M7:M27)</f>
        <v>80608.295714285719</v>
      </c>
    </row>
    <row r="29" spans="1:13" x14ac:dyDescent="0.25">
      <c r="G29"/>
      <c r="M29" s="34"/>
    </row>
    <row r="30" spans="1:13" ht="15.75" x14ac:dyDescent="0.25">
      <c r="C30" s="41" t="s">
        <v>82</v>
      </c>
      <c r="D30" s="42"/>
      <c r="E30" s="42"/>
      <c r="F30" s="43" t="s">
        <v>75</v>
      </c>
      <c r="G30" s="1"/>
      <c r="H30" s="1"/>
      <c r="I30" s="1"/>
      <c r="K30" s="1"/>
      <c r="L30" s="1"/>
      <c r="M30" s="28"/>
    </row>
    <row r="31" spans="1:13" x14ac:dyDescent="0.25">
      <c r="C31" s="8"/>
      <c r="D31" s="8"/>
      <c r="E31" s="8"/>
      <c r="F31" s="8"/>
      <c r="G31" s="8"/>
      <c r="H31" s="8"/>
      <c r="I31" s="8"/>
      <c r="K31" s="8"/>
      <c r="L31" s="8"/>
      <c r="M31" s="30"/>
    </row>
    <row r="32" spans="1:13" x14ac:dyDescent="0.25">
      <c r="C32" s="9"/>
      <c r="D32" s="9"/>
      <c r="E32" s="9"/>
      <c r="F32" s="1"/>
      <c r="G32" s="9" t="s">
        <v>2</v>
      </c>
      <c r="H32" s="9"/>
      <c r="I32" s="10" t="s">
        <v>3</v>
      </c>
      <c r="K32" s="10"/>
      <c r="L32" s="10" t="s">
        <v>4</v>
      </c>
      <c r="M32" s="31"/>
    </row>
    <row r="33" spans="1:13" x14ac:dyDescent="0.25">
      <c r="A33" t="s">
        <v>73</v>
      </c>
      <c r="C33" s="9" t="s">
        <v>5</v>
      </c>
      <c r="D33" s="9" t="s">
        <v>6</v>
      </c>
      <c r="E33" s="9" t="s">
        <v>7</v>
      </c>
      <c r="F33" s="9" t="s">
        <v>8</v>
      </c>
      <c r="G33" s="9" t="s">
        <v>9</v>
      </c>
      <c r="H33" s="9" t="s">
        <v>10</v>
      </c>
      <c r="I33" s="10" t="s">
        <v>11</v>
      </c>
      <c r="K33" s="10" t="s">
        <v>12</v>
      </c>
      <c r="L33" s="10" t="s">
        <v>13</v>
      </c>
      <c r="M33" s="32">
        <v>2307</v>
      </c>
    </row>
    <row r="34" spans="1:13" x14ac:dyDescent="0.25">
      <c r="A34">
        <v>1</v>
      </c>
      <c r="C34" s="19">
        <v>46028</v>
      </c>
      <c r="D34" s="20" t="s">
        <v>68</v>
      </c>
      <c r="E34" s="12"/>
      <c r="F34" s="20" t="s">
        <v>70</v>
      </c>
      <c r="G34" s="37" t="s">
        <v>84</v>
      </c>
      <c r="H34" s="20" t="s">
        <v>74</v>
      </c>
      <c r="I34" s="21">
        <v>105480</v>
      </c>
      <c r="K34" s="21">
        <f t="shared" ref="K34:K53" si="7">M34*12</f>
        <v>11301.428571428572</v>
      </c>
      <c r="L34" s="27">
        <f>I34-K34</f>
        <v>94178.57142857142</v>
      </c>
      <c r="M34" s="33">
        <f t="shared" ref="M34:M53" si="8">I34/112</f>
        <v>941.78571428571433</v>
      </c>
    </row>
    <row r="35" spans="1:13" x14ac:dyDescent="0.25">
      <c r="A35">
        <f>A34+1</f>
        <v>2</v>
      </c>
      <c r="C35" s="19">
        <v>46240</v>
      </c>
      <c r="D35" s="20" t="s">
        <v>68</v>
      </c>
      <c r="E35" s="20"/>
      <c r="F35" s="20" t="s">
        <v>70</v>
      </c>
      <c r="G35" s="37" t="s">
        <v>85</v>
      </c>
      <c r="H35" s="20" t="s">
        <v>74</v>
      </c>
      <c r="I35" s="21">
        <v>199368</v>
      </c>
      <c r="K35" s="21">
        <f t="shared" si="7"/>
        <v>21360.857142857145</v>
      </c>
      <c r="L35" s="27">
        <f t="shared" ref="L35:L53" si="9">I35-K35</f>
        <v>178007.14285714284</v>
      </c>
      <c r="M35" s="33">
        <f t="shared" si="8"/>
        <v>1780.0714285714287</v>
      </c>
    </row>
    <row r="36" spans="1:13" x14ac:dyDescent="0.25">
      <c r="A36">
        <f t="shared" ref="A36:A54" si="10">A35+1</f>
        <v>3</v>
      </c>
      <c r="C36" s="19">
        <v>46271</v>
      </c>
      <c r="D36" s="20" t="s">
        <v>68</v>
      </c>
      <c r="E36" s="20"/>
      <c r="F36" s="20" t="s">
        <v>70</v>
      </c>
      <c r="G36" s="37" t="s">
        <v>86</v>
      </c>
      <c r="H36" s="20" t="s">
        <v>74</v>
      </c>
      <c r="I36" s="21">
        <v>177156</v>
      </c>
      <c r="K36" s="21">
        <f t="shared" si="7"/>
        <v>18981</v>
      </c>
      <c r="L36" s="27">
        <f t="shared" si="9"/>
        <v>158175</v>
      </c>
      <c r="M36" s="33">
        <f t="shared" si="8"/>
        <v>1581.75</v>
      </c>
    </row>
    <row r="37" spans="1:13" x14ac:dyDescent="0.25">
      <c r="A37">
        <f t="shared" si="10"/>
        <v>4</v>
      </c>
      <c r="C37" s="19">
        <v>46301</v>
      </c>
      <c r="D37" s="20" t="s">
        <v>68</v>
      </c>
      <c r="E37" s="20"/>
      <c r="F37" s="20" t="s">
        <v>70</v>
      </c>
      <c r="G37" s="37" t="s">
        <v>87</v>
      </c>
      <c r="H37" s="20" t="s">
        <v>74</v>
      </c>
      <c r="I37" s="21">
        <v>203796</v>
      </c>
      <c r="K37" s="21">
        <f t="shared" si="7"/>
        <v>21835.285714285714</v>
      </c>
      <c r="L37" s="27">
        <f t="shared" si="9"/>
        <v>181960.71428571429</v>
      </c>
      <c r="M37" s="33">
        <f t="shared" si="8"/>
        <v>1819.6071428571429</v>
      </c>
    </row>
    <row r="38" spans="1:13" x14ac:dyDescent="0.25">
      <c r="A38">
        <f t="shared" si="10"/>
        <v>5</v>
      </c>
      <c r="C38" s="19">
        <v>46332</v>
      </c>
      <c r="D38" s="20" t="s">
        <v>68</v>
      </c>
      <c r="E38" s="20"/>
      <c r="F38" s="20" t="s">
        <v>70</v>
      </c>
      <c r="G38" s="37" t="s">
        <v>88</v>
      </c>
      <c r="H38" s="20" t="s">
        <v>74</v>
      </c>
      <c r="I38" s="21">
        <v>187884</v>
      </c>
      <c r="K38" s="21">
        <f t="shared" si="7"/>
        <v>20130.428571428572</v>
      </c>
      <c r="L38" s="27">
        <f t="shared" si="9"/>
        <v>167753.57142857142</v>
      </c>
      <c r="M38" s="33">
        <f t="shared" si="8"/>
        <v>1677.5357142857142</v>
      </c>
    </row>
    <row r="39" spans="1:13" x14ac:dyDescent="0.25">
      <c r="A39">
        <f t="shared" si="10"/>
        <v>6</v>
      </c>
      <c r="C39" s="19">
        <v>46332</v>
      </c>
      <c r="D39" s="20" t="s">
        <v>68</v>
      </c>
      <c r="E39" s="20"/>
      <c r="F39" s="20" t="s">
        <v>70</v>
      </c>
      <c r="G39" s="37" t="s">
        <v>89</v>
      </c>
      <c r="H39" s="20" t="s">
        <v>74</v>
      </c>
      <c r="I39" s="21">
        <v>191808</v>
      </c>
      <c r="K39" s="21">
        <f t="shared" si="7"/>
        <v>20550.857142857145</v>
      </c>
      <c r="L39" s="27">
        <f t="shared" si="9"/>
        <v>171257.14285714284</v>
      </c>
      <c r="M39" s="33">
        <f t="shared" si="8"/>
        <v>1712.5714285714287</v>
      </c>
    </row>
    <row r="40" spans="1:13" x14ac:dyDescent="0.25">
      <c r="A40">
        <f t="shared" si="10"/>
        <v>7</v>
      </c>
      <c r="C40" s="19">
        <v>46362</v>
      </c>
      <c r="D40" s="20" t="s">
        <v>68</v>
      </c>
      <c r="E40" s="20"/>
      <c r="F40" s="20" t="s">
        <v>70</v>
      </c>
      <c r="G40" s="37" t="s">
        <v>90</v>
      </c>
      <c r="H40" s="20" t="s">
        <v>74</v>
      </c>
      <c r="I40" s="21">
        <v>203796</v>
      </c>
      <c r="K40" s="21">
        <f t="shared" si="7"/>
        <v>21835.285714285714</v>
      </c>
      <c r="L40" s="27">
        <f t="shared" si="9"/>
        <v>181960.71428571429</v>
      </c>
      <c r="M40" s="33">
        <f t="shared" si="8"/>
        <v>1819.6071428571429</v>
      </c>
    </row>
    <row r="41" spans="1:13" x14ac:dyDescent="0.25">
      <c r="A41">
        <f t="shared" si="10"/>
        <v>8</v>
      </c>
      <c r="C41" s="19" t="s">
        <v>91</v>
      </c>
      <c r="D41" s="20" t="s">
        <v>68</v>
      </c>
      <c r="E41" s="20"/>
      <c r="F41" s="20" t="s">
        <v>70</v>
      </c>
      <c r="G41" s="37" t="s">
        <v>92</v>
      </c>
      <c r="H41" s="20" t="s">
        <v>74</v>
      </c>
      <c r="I41" s="21">
        <v>190800</v>
      </c>
      <c r="K41" s="21">
        <f t="shared" si="7"/>
        <v>20442.857142857145</v>
      </c>
      <c r="L41" s="27">
        <f t="shared" si="9"/>
        <v>170357.14285714284</v>
      </c>
      <c r="M41" s="33">
        <f t="shared" si="8"/>
        <v>1703.5714285714287</v>
      </c>
    </row>
    <row r="42" spans="1:13" x14ac:dyDescent="0.25">
      <c r="A42">
        <f t="shared" si="10"/>
        <v>9</v>
      </c>
      <c r="C42" s="19" t="s">
        <v>93</v>
      </c>
      <c r="D42" s="20" t="s">
        <v>68</v>
      </c>
      <c r="E42" s="20"/>
      <c r="F42" s="20" t="s">
        <v>70</v>
      </c>
      <c r="G42" s="37" t="s">
        <v>94</v>
      </c>
      <c r="H42" s="20" t="s">
        <v>74</v>
      </c>
      <c r="I42" s="21">
        <v>149328</v>
      </c>
      <c r="K42" s="21">
        <f t="shared" si="7"/>
        <v>15999.428571428571</v>
      </c>
      <c r="L42" s="27">
        <f t="shared" si="9"/>
        <v>133328.57142857142</v>
      </c>
      <c r="M42" s="33">
        <f t="shared" si="8"/>
        <v>1333.2857142857142</v>
      </c>
    </row>
    <row r="43" spans="1:13" x14ac:dyDescent="0.25">
      <c r="A43">
        <f t="shared" si="10"/>
        <v>10</v>
      </c>
      <c r="C43" s="19" t="s">
        <v>76</v>
      </c>
      <c r="D43" s="20" t="s">
        <v>68</v>
      </c>
      <c r="E43" s="20"/>
      <c r="F43" s="20" t="s">
        <v>70</v>
      </c>
      <c r="G43" s="37" t="s">
        <v>95</v>
      </c>
      <c r="H43" s="20" t="s">
        <v>74</v>
      </c>
      <c r="I43" s="21">
        <v>163404</v>
      </c>
      <c r="K43" s="21">
        <f t="shared" si="7"/>
        <v>17507.571428571428</v>
      </c>
      <c r="L43" s="27">
        <f t="shared" si="9"/>
        <v>145896.42857142858</v>
      </c>
      <c r="M43" s="33">
        <f t="shared" si="8"/>
        <v>1458.9642857142858</v>
      </c>
    </row>
    <row r="44" spans="1:13" x14ac:dyDescent="0.25">
      <c r="A44">
        <f t="shared" si="10"/>
        <v>11</v>
      </c>
      <c r="C44" s="19" t="s">
        <v>77</v>
      </c>
      <c r="D44" s="20" t="s">
        <v>68</v>
      </c>
      <c r="E44" s="20"/>
      <c r="F44" s="20" t="s">
        <v>70</v>
      </c>
      <c r="G44" s="37" t="s">
        <v>96</v>
      </c>
      <c r="H44" s="20" t="s">
        <v>74</v>
      </c>
      <c r="I44" s="21">
        <v>191808</v>
      </c>
      <c r="K44" s="21">
        <f t="shared" si="7"/>
        <v>20550.857142857145</v>
      </c>
      <c r="L44" s="27">
        <f t="shared" si="9"/>
        <v>171257.14285714284</v>
      </c>
      <c r="M44" s="33">
        <f t="shared" si="8"/>
        <v>1712.5714285714287</v>
      </c>
    </row>
    <row r="45" spans="1:13" x14ac:dyDescent="0.25">
      <c r="A45">
        <f t="shared" si="10"/>
        <v>12</v>
      </c>
      <c r="C45" s="19" t="s">
        <v>78</v>
      </c>
      <c r="D45" s="20" t="s">
        <v>68</v>
      </c>
      <c r="E45" s="20"/>
      <c r="F45" s="20" t="s">
        <v>70</v>
      </c>
      <c r="G45" s="37" t="s">
        <v>97</v>
      </c>
      <c r="H45" s="20" t="s">
        <v>74</v>
      </c>
      <c r="I45" s="21">
        <v>204888</v>
      </c>
      <c r="K45" s="21">
        <f t="shared" si="7"/>
        <v>21952.285714285714</v>
      </c>
      <c r="L45" s="27">
        <f t="shared" si="9"/>
        <v>182935.71428571429</v>
      </c>
      <c r="M45" s="33">
        <f t="shared" si="8"/>
        <v>1829.3571428571429</v>
      </c>
    </row>
    <row r="46" spans="1:13" x14ac:dyDescent="0.25">
      <c r="A46">
        <f t="shared" si="10"/>
        <v>13</v>
      </c>
      <c r="C46" s="19" t="s">
        <v>98</v>
      </c>
      <c r="D46" s="20" t="s">
        <v>68</v>
      </c>
      <c r="E46" s="20"/>
      <c r="F46" s="20" t="s">
        <v>70</v>
      </c>
      <c r="G46" s="37" t="s">
        <v>99</v>
      </c>
      <c r="H46" s="20" t="s">
        <v>74</v>
      </c>
      <c r="I46" s="21">
        <v>91656</v>
      </c>
      <c r="K46" s="21">
        <f t="shared" si="7"/>
        <v>9820.2857142857138</v>
      </c>
      <c r="L46" s="27">
        <f t="shared" si="9"/>
        <v>81835.71428571429</v>
      </c>
      <c r="M46" s="33">
        <f t="shared" si="8"/>
        <v>818.35714285714289</v>
      </c>
    </row>
    <row r="47" spans="1:13" x14ac:dyDescent="0.25">
      <c r="A47">
        <f t="shared" si="10"/>
        <v>14</v>
      </c>
      <c r="C47" s="19" t="s">
        <v>79</v>
      </c>
      <c r="D47" s="20" t="s">
        <v>68</v>
      </c>
      <c r="E47" s="20"/>
      <c r="F47" s="20" t="s">
        <v>70</v>
      </c>
      <c r="G47" s="37" t="s">
        <v>100</v>
      </c>
      <c r="H47" s="20" t="s">
        <v>74</v>
      </c>
      <c r="I47" s="21">
        <v>203796</v>
      </c>
      <c r="K47" s="21">
        <f t="shared" si="7"/>
        <v>21835.285714285714</v>
      </c>
      <c r="L47" s="27">
        <f t="shared" si="9"/>
        <v>181960.71428571429</v>
      </c>
      <c r="M47" s="33">
        <f t="shared" si="8"/>
        <v>1819.6071428571429</v>
      </c>
    </row>
    <row r="48" spans="1:13" x14ac:dyDescent="0.25">
      <c r="A48">
        <f t="shared" si="10"/>
        <v>15</v>
      </c>
      <c r="C48" s="19" t="s">
        <v>80</v>
      </c>
      <c r="D48" s="20" t="s">
        <v>68</v>
      </c>
      <c r="E48" s="20"/>
      <c r="F48" s="20" t="s">
        <v>70</v>
      </c>
      <c r="G48" s="37" t="s">
        <v>101</v>
      </c>
      <c r="H48" s="20" t="s">
        <v>74</v>
      </c>
      <c r="I48" s="21">
        <v>143856</v>
      </c>
      <c r="K48" s="21">
        <f t="shared" si="7"/>
        <v>15413.142857142855</v>
      </c>
      <c r="L48" s="27">
        <f t="shared" si="9"/>
        <v>128442.85714285714</v>
      </c>
      <c r="M48" s="33">
        <f t="shared" si="8"/>
        <v>1284.4285714285713</v>
      </c>
    </row>
    <row r="49" spans="1:13" x14ac:dyDescent="0.25">
      <c r="A49">
        <f t="shared" si="10"/>
        <v>16</v>
      </c>
      <c r="C49" s="19"/>
      <c r="D49" s="20" t="s">
        <v>68</v>
      </c>
      <c r="E49" s="20"/>
      <c r="F49" s="20" t="s">
        <v>70</v>
      </c>
      <c r="G49" s="37"/>
      <c r="H49" s="20" t="s">
        <v>74</v>
      </c>
      <c r="I49" s="21"/>
      <c r="K49" s="21">
        <f t="shared" si="7"/>
        <v>0</v>
      </c>
      <c r="L49" s="27">
        <f t="shared" si="9"/>
        <v>0</v>
      </c>
      <c r="M49" s="33">
        <f t="shared" si="8"/>
        <v>0</v>
      </c>
    </row>
    <row r="50" spans="1:13" x14ac:dyDescent="0.25">
      <c r="A50">
        <f t="shared" si="10"/>
        <v>17</v>
      </c>
      <c r="C50" s="19"/>
      <c r="D50" s="20" t="s">
        <v>68</v>
      </c>
      <c r="E50" s="20"/>
      <c r="F50" s="20" t="s">
        <v>70</v>
      </c>
      <c r="G50" s="37"/>
      <c r="H50" s="20" t="s">
        <v>74</v>
      </c>
      <c r="I50" s="21"/>
      <c r="K50" s="21">
        <f t="shared" si="7"/>
        <v>0</v>
      </c>
      <c r="L50" s="27">
        <f t="shared" si="9"/>
        <v>0</v>
      </c>
      <c r="M50" s="33">
        <f t="shared" si="8"/>
        <v>0</v>
      </c>
    </row>
    <row r="51" spans="1:13" x14ac:dyDescent="0.25">
      <c r="A51">
        <f t="shared" si="10"/>
        <v>18</v>
      </c>
      <c r="C51" s="19"/>
      <c r="D51" s="20" t="s">
        <v>68</v>
      </c>
      <c r="E51" s="20"/>
      <c r="F51" s="20" t="s">
        <v>70</v>
      </c>
      <c r="G51" s="37"/>
      <c r="H51" s="20" t="s">
        <v>74</v>
      </c>
      <c r="I51" s="21"/>
      <c r="K51" s="21">
        <f t="shared" si="7"/>
        <v>0</v>
      </c>
      <c r="L51" s="27">
        <f t="shared" si="9"/>
        <v>0</v>
      </c>
      <c r="M51" s="33">
        <f t="shared" si="8"/>
        <v>0</v>
      </c>
    </row>
    <row r="52" spans="1:13" x14ac:dyDescent="0.25">
      <c r="A52">
        <f t="shared" si="10"/>
        <v>19</v>
      </c>
      <c r="C52" s="19"/>
      <c r="D52" s="20" t="s">
        <v>68</v>
      </c>
      <c r="E52" s="20"/>
      <c r="F52" s="20" t="s">
        <v>70</v>
      </c>
      <c r="G52" s="37"/>
      <c r="H52" s="20" t="s">
        <v>74</v>
      </c>
      <c r="I52" s="21"/>
      <c r="K52" s="21">
        <f t="shared" si="7"/>
        <v>0</v>
      </c>
      <c r="L52" s="27">
        <f t="shared" si="9"/>
        <v>0</v>
      </c>
      <c r="M52" s="33">
        <f t="shared" si="8"/>
        <v>0</v>
      </c>
    </row>
    <row r="53" spans="1:13" x14ac:dyDescent="0.25">
      <c r="A53">
        <f t="shared" si="10"/>
        <v>20</v>
      </c>
      <c r="C53" s="19"/>
      <c r="D53" s="20" t="s">
        <v>68</v>
      </c>
      <c r="E53" s="20"/>
      <c r="F53" s="20" t="s">
        <v>70</v>
      </c>
      <c r="G53" s="37"/>
      <c r="H53" s="20" t="s">
        <v>74</v>
      </c>
      <c r="I53" s="21"/>
      <c r="K53" s="21">
        <f t="shared" si="7"/>
        <v>0</v>
      </c>
      <c r="L53" s="27">
        <f t="shared" si="9"/>
        <v>0</v>
      </c>
      <c r="M53" s="33">
        <f t="shared" si="8"/>
        <v>0</v>
      </c>
    </row>
    <row r="54" spans="1:13" x14ac:dyDescent="0.25">
      <c r="A54">
        <f t="shared" si="10"/>
        <v>21</v>
      </c>
      <c r="C54" s="19"/>
      <c r="D54" s="20" t="s">
        <v>68</v>
      </c>
      <c r="E54" s="20"/>
      <c r="F54" s="20" t="s">
        <v>70</v>
      </c>
      <c r="G54" s="37"/>
      <c r="H54" s="20" t="s">
        <v>74</v>
      </c>
      <c r="I54" s="21"/>
      <c r="K54" s="21"/>
      <c r="L54" s="21"/>
      <c r="M54" s="33"/>
    </row>
    <row r="55" spans="1:13" x14ac:dyDescent="0.25">
      <c r="I55" s="44">
        <f>SUM(I34:I54)</f>
        <v>2608824</v>
      </c>
      <c r="J55" s="44">
        <f ca="1">SUM(J34:J58)</f>
        <v>0</v>
      </c>
      <c r="K55" s="44">
        <f>SUM(K34:K54)</f>
        <v>279516.85714285716</v>
      </c>
      <c r="L55" s="44">
        <f>SUM(L34:L54)</f>
        <v>2329307.1428571427</v>
      </c>
      <c r="M55" s="45">
        <f>SUM(M34:M54)</f>
        <v>23293.071428571428</v>
      </c>
    </row>
    <row r="56" spans="1:13" x14ac:dyDescent="0.25">
      <c r="M56" s="34"/>
    </row>
    <row r="57" spans="1:13" ht="15.75" x14ac:dyDescent="0.25">
      <c r="C57" s="41" t="s">
        <v>83</v>
      </c>
      <c r="D57" s="42"/>
      <c r="E57" s="42"/>
      <c r="F57" s="43" t="s">
        <v>75</v>
      </c>
      <c r="G57" s="1"/>
      <c r="H57" s="1"/>
      <c r="I57" s="1"/>
      <c r="K57" s="1"/>
      <c r="L57" s="1"/>
      <c r="M57" s="28"/>
    </row>
    <row r="58" spans="1:13" x14ac:dyDescent="0.25">
      <c r="C58" s="8"/>
      <c r="D58" s="8"/>
      <c r="E58" s="8"/>
      <c r="F58" s="8"/>
      <c r="G58" s="8"/>
      <c r="H58" s="8"/>
      <c r="I58" s="8"/>
      <c r="K58" s="8"/>
      <c r="L58" s="8"/>
      <c r="M58" s="30"/>
    </row>
    <row r="59" spans="1:13" x14ac:dyDescent="0.25">
      <c r="C59" s="9"/>
      <c r="D59" s="9"/>
      <c r="E59" s="9"/>
      <c r="F59" s="1"/>
      <c r="G59" s="9" t="s">
        <v>2</v>
      </c>
      <c r="H59" s="9"/>
      <c r="I59" s="10" t="s">
        <v>3</v>
      </c>
      <c r="K59" s="10"/>
      <c r="L59" s="10" t="s">
        <v>4</v>
      </c>
      <c r="M59" s="31"/>
    </row>
    <row r="60" spans="1:13" x14ac:dyDescent="0.25">
      <c r="A60" t="s">
        <v>73</v>
      </c>
      <c r="C60" s="9" t="s">
        <v>5</v>
      </c>
      <c r="D60" s="9" t="s">
        <v>6</v>
      </c>
      <c r="E60" s="9" t="s">
        <v>7</v>
      </c>
      <c r="F60" s="9" t="s">
        <v>8</v>
      </c>
      <c r="G60" s="9" t="s">
        <v>9</v>
      </c>
      <c r="H60" s="9" t="s">
        <v>10</v>
      </c>
      <c r="I60" s="10" t="s">
        <v>11</v>
      </c>
      <c r="K60" s="10" t="s">
        <v>12</v>
      </c>
      <c r="L60" s="10" t="s">
        <v>13</v>
      </c>
      <c r="M60" s="32">
        <v>2307</v>
      </c>
    </row>
    <row r="61" spans="1:13" x14ac:dyDescent="0.25">
      <c r="A61">
        <v>1</v>
      </c>
      <c r="C61" s="19">
        <v>46028</v>
      </c>
      <c r="D61" s="20" t="s">
        <v>68</v>
      </c>
      <c r="E61" s="12"/>
      <c r="F61" s="20" t="s">
        <v>70</v>
      </c>
      <c r="G61" s="37" t="s">
        <v>84</v>
      </c>
      <c r="H61" s="20" t="s">
        <v>74</v>
      </c>
      <c r="I61" s="21">
        <v>33804</v>
      </c>
      <c r="K61" s="21">
        <f t="shared" ref="K61:K80" si="11">M61*12</f>
        <v>3621.8571428571427</v>
      </c>
      <c r="L61" s="27">
        <f>I61-K61</f>
        <v>30182.142857142859</v>
      </c>
      <c r="M61" s="33">
        <f t="shared" ref="M61:M80" si="12">I61/112</f>
        <v>301.82142857142856</v>
      </c>
    </row>
    <row r="62" spans="1:13" x14ac:dyDescent="0.25">
      <c r="A62">
        <f>A61+1</f>
        <v>2</v>
      </c>
      <c r="C62" s="19">
        <v>46271</v>
      </c>
      <c r="D62" s="20" t="s">
        <v>68</v>
      </c>
      <c r="E62" s="20"/>
      <c r="F62" s="20" t="s">
        <v>70</v>
      </c>
      <c r="G62" s="37" t="s">
        <v>86</v>
      </c>
      <c r="H62" s="20" t="s">
        <v>74</v>
      </c>
      <c r="I62" s="21">
        <v>11340</v>
      </c>
      <c r="K62" s="21">
        <f t="shared" si="11"/>
        <v>1215</v>
      </c>
      <c r="L62" s="27">
        <f t="shared" ref="L62:L80" si="13">I62-K62</f>
        <v>10125</v>
      </c>
      <c r="M62" s="33">
        <f t="shared" si="12"/>
        <v>101.25</v>
      </c>
    </row>
    <row r="63" spans="1:13" x14ac:dyDescent="0.25">
      <c r="A63">
        <f t="shared" ref="A63:A81" si="14">A62+1</f>
        <v>3</v>
      </c>
      <c r="C63" s="19">
        <v>46332</v>
      </c>
      <c r="D63" s="20" t="s">
        <v>68</v>
      </c>
      <c r="E63" s="20"/>
      <c r="F63" s="20" t="s">
        <v>70</v>
      </c>
      <c r="G63" s="37" t="s">
        <v>88</v>
      </c>
      <c r="H63" s="20" t="s">
        <v>74</v>
      </c>
      <c r="I63" s="21">
        <v>5670</v>
      </c>
      <c r="K63" s="21">
        <f t="shared" si="11"/>
        <v>607.5</v>
      </c>
      <c r="L63" s="27">
        <f t="shared" si="13"/>
        <v>5062.5</v>
      </c>
      <c r="M63" s="33">
        <f t="shared" si="12"/>
        <v>50.625</v>
      </c>
    </row>
    <row r="64" spans="1:13" x14ac:dyDescent="0.25">
      <c r="A64">
        <f t="shared" si="14"/>
        <v>4</v>
      </c>
      <c r="C64" s="19">
        <v>46332</v>
      </c>
      <c r="D64" s="20" t="s">
        <v>68</v>
      </c>
      <c r="E64" s="20"/>
      <c r="F64" s="20" t="s">
        <v>70</v>
      </c>
      <c r="G64" s="37" t="s">
        <v>89</v>
      </c>
      <c r="H64" s="20" t="s">
        <v>74</v>
      </c>
      <c r="I64" s="21">
        <v>5616</v>
      </c>
      <c r="K64" s="21">
        <f t="shared" si="11"/>
        <v>601.71428571428578</v>
      </c>
      <c r="L64" s="27">
        <f t="shared" si="13"/>
        <v>5014.2857142857138</v>
      </c>
      <c r="M64" s="33">
        <f t="shared" si="12"/>
        <v>50.142857142857146</v>
      </c>
    </row>
    <row r="65" spans="1:13" x14ac:dyDescent="0.25">
      <c r="A65">
        <f t="shared" si="14"/>
        <v>5</v>
      </c>
      <c r="C65" s="19" t="s">
        <v>93</v>
      </c>
      <c r="D65" s="20" t="s">
        <v>68</v>
      </c>
      <c r="E65" s="20"/>
      <c r="F65" s="20" t="s">
        <v>70</v>
      </c>
      <c r="G65" s="37" t="s">
        <v>94</v>
      </c>
      <c r="H65" s="20" t="s">
        <v>74</v>
      </c>
      <c r="I65" s="21">
        <v>11286</v>
      </c>
      <c r="K65" s="21">
        <f t="shared" si="11"/>
        <v>1209.2142857142858</v>
      </c>
      <c r="L65" s="27">
        <f t="shared" si="13"/>
        <v>10076.785714285714</v>
      </c>
      <c r="M65" s="33">
        <f t="shared" si="12"/>
        <v>100.76785714285714</v>
      </c>
    </row>
    <row r="66" spans="1:13" x14ac:dyDescent="0.25">
      <c r="A66">
        <f t="shared" si="14"/>
        <v>6</v>
      </c>
      <c r="C66" s="19" t="s">
        <v>77</v>
      </c>
      <c r="D66" s="20" t="s">
        <v>68</v>
      </c>
      <c r="E66" s="20"/>
      <c r="F66" s="20" t="s">
        <v>70</v>
      </c>
      <c r="G66" s="37" t="s">
        <v>96</v>
      </c>
      <c r="H66" s="20" t="s">
        <v>74</v>
      </c>
      <c r="I66" s="21">
        <v>5616</v>
      </c>
      <c r="K66" s="21">
        <f t="shared" si="11"/>
        <v>601.71428571428578</v>
      </c>
      <c r="L66" s="27">
        <f t="shared" si="13"/>
        <v>5014.2857142857138</v>
      </c>
      <c r="M66" s="33">
        <f t="shared" si="12"/>
        <v>50.142857142857146</v>
      </c>
    </row>
    <row r="67" spans="1:13" x14ac:dyDescent="0.25">
      <c r="A67">
        <f t="shared" si="14"/>
        <v>7</v>
      </c>
      <c r="C67" s="19" t="s">
        <v>98</v>
      </c>
      <c r="D67" s="20" t="s">
        <v>68</v>
      </c>
      <c r="E67" s="20"/>
      <c r="F67" s="20" t="s">
        <v>70</v>
      </c>
      <c r="G67" s="37" t="s">
        <v>99</v>
      </c>
      <c r="H67" s="20" t="s">
        <v>74</v>
      </c>
      <c r="I67" s="21">
        <v>5616</v>
      </c>
      <c r="K67" s="21">
        <f t="shared" si="11"/>
        <v>601.71428571428578</v>
      </c>
      <c r="L67" s="27">
        <f t="shared" si="13"/>
        <v>5014.2857142857138</v>
      </c>
      <c r="M67" s="33">
        <f t="shared" si="12"/>
        <v>50.142857142857146</v>
      </c>
    </row>
    <row r="68" spans="1:13" x14ac:dyDescent="0.25">
      <c r="A68">
        <f t="shared" si="14"/>
        <v>8</v>
      </c>
      <c r="C68" s="19" t="s">
        <v>110</v>
      </c>
      <c r="D68" s="20" t="s">
        <v>68</v>
      </c>
      <c r="E68" s="20"/>
      <c r="F68" s="20" t="s">
        <v>70</v>
      </c>
      <c r="G68" s="37" t="s">
        <v>111</v>
      </c>
      <c r="H68" s="20" t="s">
        <v>74</v>
      </c>
      <c r="I68" s="21">
        <v>5670</v>
      </c>
      <c r="K68" s="21">
        <f t="shared" si="11"/>
        <v>607.5</v>
      </c>
      <c r="L68" s="27">
        <f t="shared" si="13"/>
        <v>5062.5</v>
      </c>
      <c r="M68" s="33">
        <f t="shared" si="12"/>
        <v>50.625</v>
      </c>
    </row>
    <row r="69" spans="1:13" x14ac:dyDescent="0.25">
      <c r="A69">
        <f t="shared" si="14"/>
        <v>9</v>
      </c>
      <c r="C69" s="19"/>
      <c r="D69" s="20" t="s">
        <v>68</v>
      </c>
      <c r="E69" s="20"/>
      <c r="F69" s="20" t="s">
        <v>70</v>
      </c>
      <c r="G69" s="37"/>
      <c r="H69" s="20" t="s">
        <v>74</v>
      </c>
      <c r="I69" s="21"/>
      <c r="K69" s="21">
        <f t="shared" si="11"/>
        <v>0</v>
      </c>
      <c r="L69" s="27">
        <f t="shared" si="13"/>
        <v>0</v>
      </c>
      <c r="M69" s="33">
        <f t="shared" si="12"/>
        <v>0</v>
      </c>
    </row>
    <row r="70" spans="1:13" x14ac:dyDescent="0.25">
      <c r="A70">
        <f t="shared" si="14"/>
        <v>10</v>
      </c>
      <c r="C70" s="19"/>
      <c r="D70" s="20" t="s">
        <v>68</v>
      </c>
      <c r="E70" s="20"/>
      <c r="F70" s="20" t="s">
        <v>70</v>
      </c>
      <c r="G70" s="37"/>
      <c r="H70" s="20" t="s">
        <v>74</v>
      </c>
      <c r="I70" s="21"/>
      <c r="K70" s="21">
        <f t="shared" si="11"/>
        <v>0</v>
      </c>
      <c r="L70" s="27">
        <f t="shared" si="13"/>
        <v>0</v>
      </c>
      <c r="M70" s="33">
        <f t="shared" si="12"/>
        <v>0</v>
      </c>
    </row>
    <row r="71" spans="1:13" x14ac:dyDescent="0.25">
      <c r="A71">
        <f t="shared" si="14"/>
        <v>11</v>
      </c>
      <c r="C71" s="19"/>
      <c r="D71" s="20" t="s">
        <v>68</v>
      </c>
      <c r="E71" s="20"/>
      <c r="F71" s="20" t="s">
        <v>70</v>
      </c>
      <c r="G71" s="37"/>
      <c r="H71" s="20" t="s">
        <v>74</v>
      </c>
      <c r="I71" s="21"/>
      <c r="K71" s="21">
        <f t="shared" si="11"/>
        <v>0</v>
      </c>
      <c r="L71" s="27">
        <f t="shared" si="13"/>
        <v>0</v>
      </c>
      <c r="M71" s="33">
        <f t="shared" si="12"/>
        <v>0</v>
      </c>
    </row>
    <row r="72" spans="1:13" x14ac:dyDescent="0.25">
      <c r="A72">
        <f t="shared" si="14"/>
        <v>12</v>
      </c>
      <c r="C72" s="19"/>
      <c r="D72" s="20" t="s">
        <v>68</v>
      </c>
      <c r="E72" s="20"/>
      <c r="F72" s="20" t="s">
        <v>70</v>
      </c>
      <c r="G72" s="37"/>
      <c r="H72" s="20" t="s">
        <v>74</v>
      </c>
      <c r="I72" s="21"/>
      <c r="K72" s="21">
        <f t="shared" si="11"/>
        <v>0</v>
      </c>
      <c r="L72" s="27">
        <f t="shared" si="13"/>
        <v>0</v>
      </c>
      <c r="M72" s="33">
        <f t="shared" si="12"/>
        <v>0</v>
      </c>
    </row>
    <row r="73" spans="1:13" x14ac:dyDescent="0.25">
      <c r="A73">
        <f t="shared" si="14"/>
        <v>13</v>
      </c>
      <c r="C73" s="19"/>
      <c r="D73" s="20" t="s">
        <v>68</v>
      </c>
      <c r="E73" s="20"/>
      <c r="F73" s="20" t="s">
        <v>70</v>
      </c>
      <c r="G73" s="37"/>
      <c r="H73" s="20" t="s">
        <v>74</v>
      </c>
      <c r="I73" s="21"/>
      <c r="K73" s="21">
        <f t="shared" si="11"/>
        <v>0</v>
      </c>
      <c r="L73" s="27">
        <f t="shared" si="13"/>
        <v>0</v>
      </c>
      <c r="M73" s="33">
        <f t="shared" si="12"/>
        <v>0</v>
      </c>
    </row>
    <row r="74" spans="1:13" x14ac:dyDescent="0.25">
      <c r="A74">
        <f t="shared" si="14"/>
        <v>14</v>
      </c>
      <c r="C74" s="19"/>
      <c r="D74" s="20" t="s">
        <v>68</v>
      </c>
      <c r="E74" s="20"/>
      <c r="F74" s="20" t="s">
        <v>70</v>
      </c>
      <c r="G74" s="37"/>
      <c r="H74" s="20" t="s">
        <v>74</v>
      </c>
      <c r="I74" s="21"/>
      <c r="K74" s="21">
        <f t="shared" si="11"/>
        <v>0</v>
      </c>
      <c r="L74" s="27">
        <f t="shared" si="13"/>
        <v>0</v>
      </c>
      <c r="M74" s="33">
        <f t="shared" si="12"/>
        <v>0</v>
      </c>
    </row>
    <row r="75" spans="1:13" x14ac:dyDescent="0.25">
      <c r="A75">
        <f t="shared" si="14"/>
        <v>15</v>
      </c>
      <c r="C75" s="19"/>
      <c r="D75" s="20" t="s">
        <v>68</v>
      </c>
      <c r="E75" s="20"/>
      <c r="F75" s="20" t="s">
        <v>70</v>
      </c>
      <c r="G75" s="37"/>
      <c r="H75" s="20" t="s">
        <v>74</v>
      </c>
      <c r="I75" s="21"/>
      <c r="K75" s="21">
        <f t="shared" si="11"/>
        <v>0</v>
      </c>
      <c r="L75" s="27">
        <f t="shared" si="13"/>
        <v>0</v>
      </c>
      <c r="M75" s="33">
        <f t="shared" si="12"/>
        <v>0</v>
      </c>
    </row>
    <row r="76" spans="1:13" x14ac:dyDescent="0.25">
      <c r="A76">
        <f t="shared" si="14"/>
        <v>16</v>
      </c>
      <c r="C76" s="19"/>
      <c r="D76" s="20" t="s">
        <v>68</v>
      </c>
      <c r="E76" s="20"/>
      <c r="F76" s="20" t="s">
        <v>70</v>
      </c>
      <c r="G76" s="37"/>
      <c r="H76" s="20" t="s">
        <v>74</v>
      </c>
      <c r="I76" s="21"/>
      <c r="K76" s="21">
        <f t="shared" si="11"/>
        <v>0</v>
      </c>
      <c r="L76" s="27">
        <f t="shared" si="13"/>
        <v>0</v>
      </c>
      <c r="M76" s="33">
        <f t="shared" si="12"/>
        <v>0</v>
      </c>
    </row>
    <row r="77" spans="1:13" x14ac:dyDescent="0.25">
      <c r="A77">
        <f t="shared" si="14"/>
        <v>17</v>
      </c>
      <c r="C77" s="19"/>
      <c r="D77" s="20" t="s">
        <v>68</v>
      </c>
      <c r="E77" s="20"/>
      <c r="F77" s="20" t="s">
        <v>70</v>
      </c>
      <c r="G77" s="37"/>
      <c r="H77" s="20" t="s">
        <v>74</v>
      </c>
      <c r="I77" s="21"/>
      <c r="K77" s="21">
        <f t="shared" si="11"/>
        <v>0</v>
      </c>
      <c r="L77" s="27">
        <f t="shared" si="13"/>
        <v>0</v>
      </c>
      <c r="M77" s="33">
        <f t="shared" si="12"/>
        <v>0</v>
      </c>
    </row>
    <row r="78" spans="1:13" x14ac:dyDescent="0.25">
      <c r="A78">
        <f t="shared" si="14"/>
        <v>18</v>
      </c>
      <c r="C78" s="19"/>
      <c r="D78" s="20" t="s">
        <v>68</v>
      </c>
      <c r="E78" s="20"/>
      <c r="F78" s="20" t="s">
        <v>70</v>
      </c>
      <c r="G78" s="37"/>
      <c r="H78" s="20" t="s">
        <v>74</v>
      </c>
      <c r="I78" s="21"/>
      <c r="K78" s="21">
        <f t="shared" si="11"/>
        <v>0</v>
      </c>
      <c r="L78" s="27">
        <f t="shared" si="13"/>
        <v>0</v>
      </c>
      <c r="M78" s="33">
        <f t="shared" si="12"/>
        <v>0</v>
      </c>
    </row>
    <row r="79" spans="1:13" x14ac:dyDescent="0.25">
      <c r="A79">
        <f t="shared" si="14"/>
        <v>19</v>
      </c>
      <c r="C79" s="19"/>
      <c r="D79" s="20" t="s">
        <v>68</v>
      </c>
      <c r="E79" s="20"/>
      <c r="F79" s="20" t="s">
        <v>70</v>
      </c>
      <c r="G79" s="37"/>
      <c r="H79" s="20" t="s">
        <v>74</v>
      </c>
      <c r="I79" s="21"/>
      <c r="K79" s="21">
        <f t="shared" si="11"/>
        <v>0</v>
      </c>
      <c r="L79" s="27">
        <f t="shared" si="13"/>
        <v>0</v>
      </c>
      <c r="M79" s="33">
        <f t="shared" si="12"/>
        <v>0</v>
      </c>
    </row>
    <row r="80" spans="1:13" x14ac:dyDescent="0.25">
      <c r="A80">
        <f t="shared" si="14"/>
        <v>20</v>
      </c>
      <c r="C80" s="19"/>
      <c r="D80" s="20" t="s">
        <v>68</v>
      </c>
      <c r="E80" s="20"/>
      <c r="F80" s="20" t="s">
        <v>70</v>
      </c>
      <c r="G80" s="37"/>
      <c r="H80" s="20" t="s">
        <v>74</v>
      </c>
      <c r="I80" s="21"/>
      <c r="K80" s="21">
        <f t="shared" si="11"/>
        <v>0</v>
      </c>
      <c r="L80" s="27">
        <f t="shared" si="13"/>
        <v>0</v>
      </c>
      <c r="M80" s="33">
        <f t="shared" si="12"/>
        <v>0</v>
      </c>
    </row>
    <row r="81" spans="1:14" x14ac:dyDescent="0.25">
      <c r="A81">
        <f t="shared" si="14"/>
        <v>21</v>
      </c>
      <c r="C81" s="19"/>
      <c r="D81" s="20" t="s">
        <v>68</v>
      </c>
      <c r="E81" s="20"/>
      <c r="F81" s="20" t="s">
        <v>70</v>
      </c>
      <c r="G81" s="37"/>
      <c r="H81" s="20" t="s">
        <v>74</v>
      </c>
      <c r="I81" s="21"/>
      <c r="K81" s="21"/>
      <c r="L81" s="21"/>
      <c r="M81" s="33"/>
    </row>
    <row r="82" spans="1:14" x14ac:dyDescent="0.25">
      <c r="I82" s="44">
        <f>SUM(I61:I81)</f>
        <v>84618</v>
      </c>
      <c r="J82" s="44">
        <f ca="1">SUM(J61:J85)</f>
        <v>0</v>
      </c>
      <c r="K82" s="44">
        <f>SUM(K61:K81)</f>
        <v>9066.2142857142881</v>
      </c>
      <c r="L82" s="44">
        <f>SUM(L61:L81)</f>
        <v>75551.785714285696</v>
      </c>
      <c r="M82" s="45">
        <f>SUM(M61:M81)</f>
        <v>755.51785714285711</v>
      </c>
    </row>
    <row r="84" spans="1:14" ht="15.75" x14ac:dyDescent="0.25">
      <c r="C84" s="41" t="s">
        <v>102</v>
      </c>
      <c r="D84" s="42"/>
      <c r="E84" s="42"/>
      <c r="F84" s="43" t="s">
        <v>75</v>
      </c>
      <c r="G84" s="1"/>
      <c r="H84" s="1"/>
      <c r="I84" s="1"/>
      <c r="K84" s="1"/>
      <c r="L84" s="1"/>
      <c r="M84" s="28"/>
    </row>
    <row r="85" spans="1:14" x14ac:dyDescent="0.25">
      <c r="C85" s="8"/>
      <c r="D85" s="8"/>
      <c r="E85" s="8"/>
      <c r="F85" s="8"/>
      <c r="G85" s="8"/>
      <c r="H85" s="8"/>
      <c r="I85" s="8"/>
      <c r="K85" s="8"/>
      <c r="L85" s="8"/>
      <c r="M85" s="30"/>
    </row>
    <row r="86" spans="1:14" x14ac:dyDescent="0.25">
      <c r="C86" s="9"/>
      <c r="D86" s="9"/>
      <c r="E86" s="9"/>
      <c r="F86" s="1"/>
      <c r="G86" s="9" t="s">
        <v>2</v>
      </c>
      <c r="H86" s="9"/>
      <c r="K86" s="10" t="s">
        <v>3</v>
      </c>
      <c r="L86" s="10"/>
      <c r="M86" s="10" t="s">
        <v>4</v>
      </c>
      <c r="N86" s="31"/>
    </row>
    <row r="87" spans="1:14" x14ac:dyDescent="0.25">
      <c r="A87" t="s">
        <v>73</v>
      </c>
      <c r="C87" s="9" t="s">
        <v>5</v>
      </c>
      <c r="D87" s="9" t="s">
        <v>6</v>
      </c>
      <c r="E87" s="9" t="s">
        <v>7</v>
      </c>
      <c r="F87" s="9" t="s">
        <v>8</v>
      </c>
      <c r="G87" s="9" t="s">
        <v>9</v>
      </c>
      <c r="H87" s="9" t="s">
        <v>10</v>
      </c>
      <c r="I87" s="46" t="s">
        <v>104</v>
      </c>
      <c r="K87" s="10" t="s">
        <v>11</v>
      </c>
      <c r="L87" s="10" t="s">
        <v>12</v>
      </c>
      <c r="M87" s="10" t="s">
        <v>13</v>
      </c>
      <c r="N87" s="32">
        <v>2307</v>
      </c>
    </row>
    <row r="88" spans="1:14" x14ac:dyDescent="0.25">
      <c r="A88">
        <v>1</v>
      </c>
      <c r="C88" s="19" t="s">
        <v>76</v>
      </c>
      <c r="D88" s="20" t="s">
        <v>68</v>
      </c>
      <c r="E88" s="12"/>
      <c r="F88" s="20" t="s">
        <v>70</v>
      </c>
      <c r="G88" s="37" t="s">
        <v>103</v>
      </c>
      <c r="H88" s="20" t="s">
        <v>74</v>
      </c>
      <c r="I88" s="21">
        <v>1608</v>
      </c>
      <c r="J88" s="21"/>
      <c r="K88" s="21">
        <v>16488</v>
      </c>
      <c r="L88" s="21">
        <f t="shared" ref="L88:L107" si="15">N88*12</f>
        <v>1766.5714285714287</v>
      </c>
      <c r="M88" s="27">
        <f t="shared" ref="M88:M107" si="16">K88-L88</f>
        <v>14721.428571428571</v>
      </c>
      <c r="N88" s="33">
        <f t="shared" ref="N88:N107" si="17">K88/112</f>
        <v>147.21428571428572</v>
      </c>
    </row>
    <row r="89" spans="1:14" x14ac:dyDescent="0.25">
      <c r="A89">
        <f>A88+1</f>
        <v>2</v>
      </c>
      <c r="C89" s="19" t="s">
        <v>77</v>
      </c>
      <c r="D89" s="20" t="s">
        <v>68</v>
      </c>
      <c r="E89" s="20"/>
      <c r="F89" s="20" t="s">
        <v>70</v>
      </c>
      <c r="G89" s="37" t="s">
        <v>105</v>
      </c>
      <c r="H89" s="20" t="s">
        <v>74</v>
      </c>
      <c r="I89" s="21">
        <v>1849</v>
      </c>
      <c r="J89" s="21"/>
      <c r="K89" s="21">
        <v>11328</v>
      </c>
      <c r="L89" s="21">
        <f t="shared" si="15"/>
        <v>1213.7142857142858</v>
      </c>
      <c r="M89" s="27">
        <f t="shared" si="16"/>
        <v>10114.285714285714</v>
      </c>
      <c r="N89" s="33">
        <f t="shared" si="17"/>
        <v>101.14285714285714</v>
      </c>
    </row>
    <row r="90" spans="1:14" x14ac:dyDescent="0.25">
      <c r="A90">
        <f t="shared" ref="A90:A108" si="18">A89+1</f>
        <v>3</v>
      </c>
      <c r="C90" s="19" t="s">
        <v>78</v>
      </c>
      <c r="D90" s="20" t="s">
        <v>68</v>
      </c>
      <c r="E90" s="20"/>
      <c r="F90" s="20" t="s">
        <v>70</v>
      </c>
      <c r="G90" s="37" t="s">
        <v>106</v>
      </c>
      <c r="H90" s="20" t="s">
        <v>74</v>
      </c>
      <c r="I90" s="21">
        <v>1836</v>
      </c>
      <c r="J90" s="21"/>
      <c r="K90" s="21">
        <v>11016</v>
      </c>
      <c r="L90" s="21">
        <f t="shared" si="15"/>
        <v>1180.2857142857142</v>
      </c>
      <c r="M90" s="27">
        <f t="shared" si="16"/>
        <v>9835.7142857142862</v>
      </c>
      <c r="N90" s="33">
        <f t="shared" si="17"/>
        <v>98.357142857142861</v>
      </c>
    </row>
    <row r="91" spans="1:14" x14ac:dyDescent="0.25">
      <c r="A91">
        <f t="shared" si="18"/>
        <v>4</v>
      </c>
      <c r="C91" s="19" t="s">
        <v>79</v>
      </c>
      <c r="D91" s="20" t="s">
        <v>68</v>
      </c>
      <c r="E91" s="20"/>
      <c r="F91" s="20" t="s">
        <v>70</v>
      </c>
      <c r="G91" s="37" t="s">
        <v>107</v>
      </c>
      <c r="H91" s="20" t="s">
        <v>74</v>
      </c>
      <c r="I91" s="21">
        <v>1709</v>
      </c>
      <c r="J91" s="21"/>
      <c r="K91" s="21">
        <v>13800</v>
      </c>
      <c r="L91" s="21">
        <f t="shared" si="15"/>
        <v>1478.5714285714284</v>
      </c>
      <c r="M91" s="27">
        <f t="shared" si="16"/>
        <v>12321.428571428572</v>
      </c>
      <c r="N91" s="33">
        <f t="shared" si="17"/>
        <v>123.21428571428571</v>
      </c>
    </row>
    <row r="92" spans="1:14" x14ac:dyDescent="0.25">
      <c r="A92">
        <f t="shared" si="18"/>
        <v>5</v>
      </c>
      <c r="C92" s="19" t="s">
        <v>80</v>
      </c>
      <c r="D92" s="20" t="s">
        <v>68</v>
      </c>
      <c r="E92" s="20"/>
      <c r="F92" s="20" t="s">
        <v>70</v>
      </c>
      <c r="G92" s="37" t="s">
        <v>108</v>
      </c>
      <c r="H92" s="20" t="s">
        <v>74</v>
      </c>
      <c r="I92" s="21">
        <v>1836</v>
      </c>
      <c r="J92" s="21"/>
      <c r="K92" s="21">
        <v>11016</v>
      </c>
      <c r="L92" s="21">
        <f t="shared" si="15"/>
        <v>1180.2857142857142</v>
      </c>
      <c r="M92" s="27">
        <f t="shared" si="16"/>
        <v>9835.7142857142862</v>
      </c>
      <c r="N92" s="33">
        <f t="shared" si="17"/>
        <v>98.357142857142861</v>
      </c>
    </row>
    <row r="93" spans="1:14" x14ac:dyDescent="0.25">
      <c r="A93">
        <f t="shared" si="18"/>
        <v>6</v>
      </c>
      <c r="C93" s="19" t="s">
        <v>80</v>
      </c>
      <c r="D93" s="20" t="s">
        <v>68</v>
      </c>
      <c r="E93" s="20"/>
      <c r="F93" s="20" t="s">
        <v>70</v>
      </c>
      <c r="G93" s="37" t="s">
        <v>109</v>
      </c>
      <c r="H93" s="20" t="s">
        <v>74</v>
      </c>
      <c r="I93" s="21">
        <v>1836</v>
      </c>
      <c r="J93" s="21"/>
      <c r="K93" s="21">
        <v>11016</v>
      </c>
      <c r="L93" s="21">
        <f t="shared" si="15"/>
        <v>1180.2857142857142</v>
      </c>
      <c r="M93" s="27">
        <f t="shared" si="16"/>
        <v>9835.7142857142862</v>
      </c>
      <c r="N93" s="33">
        <f t="shared" si="17"/>
        <v>98.357142857142861</v>
      </c>
    </row>
    <row r="94" spans="1:14" x14ac:dyDescent="0.25">
      <c r="A94">
        <f t="shared" si="18"/>
        <v>7</v>
      </c>
      <c r="C94" s="19"/>
      <c r="D94" s="20" t="s">
        <v>68</v>
      </c>
      <c r="E94" s="20"/>
      <c r="F94" s="20" t="s">
        <v>70</v>
      </c>
      <c r="G94" s="37"/>
      <c r="H94" s="20" t="s">
        <v>74</v>
      </c>
      <c r="I94" s="21"/>
      <c r="J94" s="21"/>
      <c r="K94" s="21"/>
      <c r="L94" s="21">
        <f t="shared" si="15"/>
        <v>0</v>
      </c>
      <c r="M94" s="27">
        <f t="shared" si="16"/>
        <v>0</v>
      </c>
      <c r="N94" s="33">
        <f t="shared" si="17"/>
        <v>0</v>
      </c>
    </row>
    <row r="95" spans="1:14" x14ac:dyDescent="0.25">
      <c r="A95">
        <f t="shared" si="18"/>
        <v>8</v>
      </c>
      <c r="C95" s="19"/>
      <c r="D95" s="20" t="s">
        <v>68</v>
      </c>
      <c r="E95" s="20"/>
      <c r="F95" s="20" t="s">
        <v>70</v>
      </c>
      <c r="G95" s="37"/>
      <c r="H95" s="20" t="s">
        <v>74</v>
      </c>
      <c r="I95" s="21"/>
      <c r="J95" s="21"/>
      <c r="K95" s="21"/>
      <c r="L95" s="21">
        <f t="shared" si="15"/>
        <v>0</v>
      </c>
      <c r="M95" s="27">
        <f t="shared" si="16"/>
        <v>0</v>
      </c>
      <c r="N95" s="33">
        <f t="shared" si="17"/>
        <v>0</v>
      </c>
    </row>
    <row r="96" spans="1:14" x14ac:dyDescent="0.25">
      <c r="A96">
        <f t="shared" si="18"/>
        <v>9</v>
      </c>
      <c r="C96" s="19"/>
      <c r="D96" s="20" t="s">
        <v>68</v>
      </c>
      <c r="E96" s="20"/>
      <c r="F96" s="20" t="s">
        <v>70</v>
      </c>
      <c r="G96" s="37"/>
      <c r="H96" s="20" t="s">
        <v>74</v>
      </c>
      <c r="I96" s="21"/>
      <c r="J96" s="21"/>
      <c r="K96" s="21"/>
      <c r="L96" s="21">
        <f t="shared" si="15"/>
        <v>0</v>
      </c>
      <c r="M96" s="27">
        <f t="shared" si="16"/>
        <v>0</v>
      </c>
      <c r="N96" s="33">
        <f t="shared" si="17"/>
        <v>0</v>
      </c>
    </row>
    <row r="97" spans="1:14" x14ac:dyDescent="0.25">
      <c r="A97">
        <f t="shared" si="18"/>
        <v>10</v>
      </c>
      <c r="C97" s="19"/>
      <c r="D97" s="20" t="s">
        <v>68</v>
      </c>
      <c r="E97" s="20"/>
      <c r="F97" s="20" t="s">
        <v>70</v>
      </c>
      <c r="G97" s="37"/>
      <c r="H97" s="20" t="s">
        <v>74</v>
      </c>
      <c r="I97" s="21"/>
      <c r="J97" s="21"/>
      <c r="K97" s="21"/>
      <c r="L97" s="21">
        <f t="shared" si="15"/>
        <v>0</v>
      </c>
      <c r="M97" s="27">
        <f t="shared" si="16"/>
        <v>0</v>
      </c>
      <c r="N97" s="33">
        <f t="shared" si="17"/>
        <v>0</v>
      </c>
    </row>
    <row r="98" spans="1:14" x14ac:dyDescent="0.25">
      <c r="A98">
        <f t="shared" si="18"/>
        <v>11</v>
      </c>
      <c r="C98" s="19"/>
      <c r="D98" s="20" t="s">
        <v>68</v>
      </c>
      <c r="E98" s="20"/>
      <c r="F98" s="20" t="s">
        <v>70</v>
      </c>
      <c r="G98" s="37"/>
      <c r="H98" s="20" t="s">
        <v>74</v>
      </c>
      <c r="I98" s="21"/>
      <c r="J98" s="21"/>
      <c r="K98" s="21"/>
      <c r="L98" s="21">
        <f t="shared" si="15"/>
        <v>0</v>
      </c>
      <c r="M98" s="27">
        <f t="shared" si="16"/>
        <v>0</v>
      </c>
      <c r="N98" s="33">
        <f t="shared" si="17"/>
        <v>0</v>
      </c>
    </row>
    <row r="99" spans="1:14" x14ac:dyDescent="0.25">
      <c r="A99">
        <f t="shared" si="18"/>
        <v>12</v>
      </c>
      <c r="C99" s="19"/>
      <c r="D99" s="20" t="s">
        <v>68</v>
      </c>
      <c r="E99" s="20"/>
      <c r="F99" s="20" t="s">
        <v>70</v>
      </c>
      <c r="G99" s="37"/>
      <c r="H99" s="20" t="s">
        <v>74</v>
      </c>
      <c r="I99" s="21"/>
      <c r="J99" s="21"/>
      <c r="K99" s="21"/>
      <c r="L99" s="21">
        <f t="shared" si="15"/>
        <v>0</v>
      </c>
      <c r="M99" s="27">
        <f t="shared" si="16"/>
        <v>0</v>
      </c>
      <c r="N99" s="33">
        <f t="shared" si="17"/>
        <v>0</v>
      </c>
    </row>
    <row r="100" spans="1:14" x14ac:dyDescent="0.25">
      <c r="A100">
        <f t="shared" si="18"/>
        <v>13</v>
      </c>
      <c r="C100" s="19"/>
      <c r="D100" s="20" t="s">
        <v>68</v>
      </c>
      <c r="E100" s="20"/>
      <c r="F100" s="20" t="s">
        <v>70</v>
      </c>
      <c r="G100" s="37"/>
      <c r="H100" s="20" t="s">
        <v>74</v>
      </c>
      <c r="I100" s="21"/>
      <c r="J100" s="21"/>
      <c r="K100" s="21"/>
      <c r="L100" s="21">
        <f t="shared" si="15"/>
        <v>0</v>
      </c>
      <c r="M100" s="27">
        <f t="shared" si="16"/>
        <v>0</v>
      </c>
      <c r="N100" s="33">
        <f t="shared" si="17"/>
        <v>0</v>
      </c>
    </row>
    <row r="101" spans="1:14" x14ac:dyDescent="0.25">
      <c r="A101">
        <f t="shared" si="18"/>
        <v>14</v>
      </c>
      <c r="C101" s="19"/>
      <c r="D101" s="20" t="s">
        <v>68</v>
      </c>
      <c r="E101" s="20"/>
      <c r="F101" s="20" t="s">
        <v>70</v>
      </c>
      <c r="G101" s="37"/>
      <c r="H101" s="20" t="s">
        <v>74</v>
      </c>
      <c r="I101" s="21"/>
      <c r="J101" s="21"/>
      <c r="K101" s="21"/>
      <c r="L101" s="21">
        <f t="shared" si="15"/>
        <v>0</v>
      </c>
      <c r="M101" s="27">
        <f t="shared" si="16"/>
        <v>0</v>
      </c>
      <c r="N101" s="33">
        <f t="shared" si="17"/>
        <v>0</v>
      </c>
    </row>
    <row r="102" spans="1:14" x14ac:dyDescent="0.25">
      <c r="A102">
        <f t="shared" si="18"/>
        <v>15</v>
      </c>
      <c r="C102" s="19"/>
      <c r="D102" s="20" t="s">
        <v>68</v>
      </c>
      <c r="E102" s="20"/>
      <c r="F102" s="20" t="s">
        <v>70</v>
      </c>
      <c r="G102" s="37"/>
      <c r="H102" s="20" t="s">
        <v>74</v>
      </c>
      <c r="I102" s="21"/>
      <c r="J102" s="21"/>
      <c r="K102" s="21"/>
      <c r="L102" s="21">
        <f t="shared" si="15"/>
        <v>0</v>
      </c>
      <c r="M102" s="27">
        <f t="shared" si="16"/>
        <v>0</v>
      </c>
      <c r="N102" s="33">
        <f t="shared" si="17"/>
        <v>0</v>
      </c>
    </row>
    <row r="103" spans="1:14" x14ac:dyDescent="0.25">
      <c r="A103">
        <f t="shared" si="18"/>
        <v>16</v>
      </c>
      <c r="C103" s="19"/>
      <c r="D103" s="20" t="s">
        <v>68</v>
      </c>
      <c r="E103" s="20"/>
      <c r="F103" s="20" t="s">
        <v>70</v>
      </c>
      <c r="G103" s="37"/>
      <c r="H103" s="20" t="s">
        <v>74</v>
      </c>
      <c r="I103" s="21"/>
      <c r="J103" s="21"/>
      <c r="K103" s="21"/>
      <c r="L103" s="21">
        <f t="shared" si="15"/>
        <v>0</v>
      </c>
      <c r="M103" s="27">
        <f t="shared" si="16"/>
        <v>0</v>
      </c>
      <c r="N103" s="33">
        <f t="shared" si="17"/>
        <v>0</v>
      </c>
    </row>
    <row r="104" spans="1:14" x14ac:dyDescent="0.25">
      <c r="A104">
        <f t="shared" si="18"/>
        <v>17</v>
      </c>
      <c r="C104" s="19"/>
      <c r="D104" s="20" t="s">
        <v>68</v>
      </c>
      <c r="E104" s="20"/>
      <c r="F104" s="20" t="s">
        <v>70</v>
      </c>
      <c r="G104" s="37"/>
      <c r="H104" s="20" t="s">
        <v>74</v>
      </c>
      <c r="I104" s="21"/>
      <c r="J104" s="21"/>
      <c r="K104" s="21"/>
      <c r="L104" s="21">
        <f t="shared" si="15"/>
        <v>0</v>
      </c>
      <c r="M104" s="27">
        <f t="shared" si="16"/>
        <v>0</v>
      </c>
      <c r="N104" s="33">
        <f t="shared" si="17"/>
        <v>0</v>
      </c>
    </row>
    <row r="105" spans="1:14" x14ac:dyDescent="0.25">
      <c r="A105">
        <f t="shared" si="18"/>
        <v>18</v>
      </c>
      <c r="C105" s="19"/>
      <c r="D105" s="20" t="s">
        <v>68</v>
      </c>
      <c r="E105" s="20"/>
      <c r="F105" s="20" t="s">
        <v>70</v>
      </c>
      <c r="G105" s="37"/>
      <c r="H105" s="20" t="s">
        <v>74</v>
      </c>
      <c r="I105" s="21"/>
      <c r="J105" s="21"/>
      <c r="K105" s="21"/>
      <c r="L105" s="21">
        <f t="shared" si="15"/>
        <v>0</v>
      </c>
      <c r="M105" s="27">
        <f t="shared" si="16"/>
        <v>0</v>
      </c>
      <c r="N105" s="33">
        <f t="shared" si="17"/>
        <v>0</v>
      </c>
    </row>
    <row r="106" spans="1:14" x14ac:dyDescent="0.25">
      <c r="A106">
        <f t="shared" si="18"/>
        <v>19</v>
      </c>
      <c r="C106" s="19"/>
      <c r="D106" s="20" t="s">
        <v>68</v>
      </c>
      <c r="E106" s="20"/>
      <c r="F106" s="20" t="s">
        <v>70</v>
      </c>
      <c r="G106" s="37"/>
      <c r="H106" s="20" t="s">
        <v>74</v>
      </c>
      <c r="I106" s="21"/>
      <c r="J106" s="21"/>
      <c r="K106" s="21"/>
      <c r="L106" s="21">
        <f t="shared" si="15"/>
        <v>0</v>
      </c>
      <c r="M106" s="27">
        <f t="shared" si="16"/>
        <v>0</v>
      </c>
      <c r="N106" s="33">
        <f t="shared" si="17"/>
        <v>0</v>
      </c>
    </row>
    <row r="107" spans="1:14" x14ac:dyDescent="0.25">
      <c r="A107">
        <f t="shared" si="18"/>
        <v>20</v>
      </c>
      <c r="C107" s="19"/>
      <c r="D107" s="20" t="s">
        <v>68</v>
      </c>
      <c r="E107" s="20"/>
      <c r="F107" s="20" t="s">
        <v>70</v>
      </c>
      <c r="G107" s="37"/>
      <c r="H107" s="20" t="s">
        <v>74</v>
      </c>
      <c r="I107" s="21"/>
      <c r="J107" s="21"/>
      <c r="K107" s="21"/>
      <c r="L107" s="21">
        <f t="shared" si="15"/>
        <v>0</v>
      </c>
      <c r="M107" s="27">
        <f t="shared" si="16"/>
        <v>0</v>
      </c>
      <c r="N107" s="33">
        <f t="shared" si="17"/>
        <v>0</v>
      </c>
    </row>
    <row r="108" spans="1:14" x14ac:dyDescent="0.25">
      <c r="A108">
        <f t="shared" si="18"/>
        <v>21</v>
      </c>
      <c r="C108" s="19"/>
      <c r="D108" s="20" t="s">
        <v>68</v>
      </c>
      <c r="E108" s="20"/>
      <c r="F108" s="20" t="s">
        <v>70</v>
      </c>
      <c r="G108" s="37"/>
      <c r="H108" s="20" t="s">
        <v>74</v>
      </c>
      <c r="I108" s="21"/>
      <c r="J108" s="21"/>
      <c r="K108" s="21"/>
      <c r="L108" s="21"/>
      <c r="M108" s="21"/>
      <c r="N108" s="33"/>
    </row>
    <row r="109" spans="1:14" x14ac:dyDescent="0.25">
      <c r="I109" s="44">
        <f>SUM(I88:I108)</f>
        <v>10674</v>
      </c>
      <c r="J109" s="44">
        <f ca="1">SUM(J88:J112)</f>
        <v>0</v>
      </c>
      <c r="K109" s="44">
        <f>SUM(K88:K108)</f>
        <v>74664</v>
      </c>
      <c r="L109" s="44">
        <f>SUM(L88:L108)</f>
        <v>7999.7142857142862</v>
      </c>
      <c r="M109" s="45">
        <f>SUM(M88:M108)</f>
        <v>66664.28571428571</v>
      </c>
      <c r="N109" s="45">
        <f>SUM(N88:N108)</f>
        <v>666.64285714285722</v>
      </c>
    </row>
  </sheetData>
  <phoneticPr fontId="11" type="noConversion"/>
  <pageMargins left="0" right="0" top="0.25" bottom="0" header="0" footer="0"/>
  <pageSetup paperSize="14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PE, 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2024-01-30T06:24:53Z</cp:lastPrinted>
  <dcterms:created xsi:type="dcterms:W3CDTF">2021-10-14T06:21:28Z</dcterms:created>
  <dcterms:modified xsi:type="dcterms:W3CDTF">2026-06-26T03:46:19Z</dcterms:modified>
</cp:coreProperties>
</file>