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D4BB822-D589-4B0B-9CAD-E2A6DF7E407A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NE" sheetId="6" r:id="rId2"/>
  </sheets>
  <definedNames>
    <definedName name="_xlnm.Print_Area" localSheetId="1">'PE, JUNE'!#REF!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7" i="6" l="1"/>
  <c r="K18" i="6"/>
  <c r="K19" i="6"/>
  <c r="K20" i="6"/>
  <c r="K21" i="6"/>
  <c r="K22" i="6"/>
  <c r="K23" i="6"/>
  <c r="K24" i="6"/>
  <c r="K25" i="6"/>
  <c r="K26" i="6"/>
  <c r="K27" i="6"/>
  <c r="K16" i="6"/>
  <c r="I28" i="6"/>
  <c r="J28" i="6"/>
  <c r="K14" i="6"/>
  <c r="J15" i="6"/>
  <c r="I15" i="6"/>
  <c r="J14" i="6"/>
  <c r="I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K49" i="6" l="1"/>
  <c r="K15" i="6"/>
  <c r="K13" i="6" l="1"/>
  <c r="A90" i="6" l="1"/>
  <c r="A91" i="6"/>
  <c r="A92" i="6"/>
  <c r="A93" i="6"/>
  <c r="A94" i="6"/>
  <c r="A95" i="6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89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 s="1"/>
  <c r="A80" i="6" s="1"/>
  <c r="A81" i="6" s="1"/>
  <c r="A62" i="6"/>
  <c r="A36" i="6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35" i="6"/>
  <c r="M109" i="6" l="1"/>
  <c r="K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K55" i="6"/>
  <c r="K82" i="6"/>
  <c r="O80" i="6"/>
  <c r="M80" i="6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/>
  <c r="N75" i="6" s="1"/>
  <c r="O74" i="6"/>
  <c r="M74" i="6" s="1"/>
  <c r="N74" i="6" s="1"/>
  <c r="O73" i="6"/>
  <c r="M73" i="6"/>
  <c r="N73" i="6" s="1"/>
  <c r="O72" i="6"/>
  <c r="M72" i="6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/>
  <c r="N65" i="6" s="1"/>
  <c r="O64" i="6"/>
  <c r="M64" i="6" s="1"/>
  <c r="N64" i="6" s="1"/>
  <c r="O63" i="6"/>
  <c r="M63" i="6" s="1"/>
  <c r="N63" i="6" s="1"/>
  <c r="O62" i="6"/>
  <c r="M62" i="6"/>
  <c r="N62" i="6" s="1"/>
  <c r="O61" i="6"/>
  <c r="M61" i="6"/>
  <c r="O53" i="6"/>
  <c r="M53" i="6" s="1"/>
  <c r="N53" i="6" s="1"/>
  <c r="O52" i="6"/>
  <c r="M52" i="6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/>
  <c r="N39" i="6" s="1"/>
  <c r="O38" i="6"/>
  <c r="M38" i="6"/>
  <c r="N38" i="6" s="1"/>
  <c r="O37" i="6"/>
  <c r="M37" i="6" s="1"/>
  <c r="N37" i="6" s="1"/>
  <c r="O36" i="6"/>
  <c r="M36" i="6" s="1"/>
  <c r="N36" i="6" s="1"/>
  <c r="O35" i="6"/>
  <c r="M35" i="6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K12" i="6"/>
  <c r="K11" i="6"/>
  <c r="K10" i="6" l="1"/>
  <c r="K9" i="6" l="1"/>
  <c r="K8" i="6" l="1"/>
  <c r="K7" i="6" l="1"/>
  <c r="K28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28" i="6"/>
  <c r="L109" i="6"/>
  <c r="L82" i="6"/>
  <c r="L55" i="6"/>
</calcChain>
</file>

<file path=xl/sharedStrings.xml><?xml version="1.0" encoding="utf-8"?>
<sst xmlns="http://schemas.openxmlformats.org/spreadsheetml/2006/main" count="548" uniqueCount="119">
  <si>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</si>
  <si>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</si>
  <si>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</si>
  <si>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</si>
  <si>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</si>
  <si>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</si>
  <si>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</si>
  <si>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</si>
  <si>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</si>
  <si>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</si>
  <si>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</si>
  <si>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</si>
  <si>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</si>
  <si>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</si>
  <si>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</si>
  <si>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</si>
  <si>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</si>
  <si>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</si>
  <si>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</si>
  <si>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</si>
  <si>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</si>
  <si>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</si>
  <si>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</si>
  <si>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</si>
  <si>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</si>
  <si>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</si>
  <si>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</si>
  <si>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</si>
  <si>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</si>
  <si>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</si>
  <si>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</si>
  <si>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</si>
  <si>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</si>
  <si>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</si>
  <si>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</si>
  <si>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</si>
  <si>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</si>
  <si>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</si>
  <si>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</si>
  <si>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</si>
  <si>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</si>
  <si>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</si>
  <si>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</si>
  <si>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</si>
  <si>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</si>
  <si>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</si>
  <si>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</si>
  <si>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</si>
  <si>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</si>
  <si>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</si>
  <si>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</si>
  <si>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</si>
  <si>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</si>
  <si>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</si>
  <si>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</si>
  <si>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</si>
  <si>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</si>
  <si>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</si>
  <si>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</si>
  <si>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</si>
  <si>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</si>
  <si>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</si>
  <si>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</si>
  <si>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</si>
  <si>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</si>
  <si>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</si>
  <si>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</si>
  <si>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</si>
  <si>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</si>
  <si>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</si>
  <si>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</si>
  <si>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</si>
  <si>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</si>
  <si>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</si>
  <si>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</si>
  <si>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JUNE 2026</t>
  </si>
  <si>
    <t>06/16/2026</t>
  </si>
  <si>
    <t>06/18/2026</t>
  </si>
  <si>
    <t>06/19/2026</t>
  </si>
  <si>
    <t>06/23/2026</t>
  </si>
  <si>
    <t>06/24/2026</t>
  </si>
  <si>
    <t>MONTHLY PURCHASES</t>
  </si>
  <si>
    <t>MONTHLY PURCHASES BEER EMPTIES</t>
  </si>
  <si>
    <t>MONTHLY PURCHASES NAB EMPTIES</t>
  </si>
  <si>
    <t>R01</t>
  </si>
  <si>
    <t>R02</t>
  </si>
  <si>
    <t>R03</t>
  </si>
  <si>
    <t>R04</t>
  </si>
  <si>
    <t>R05</t>
  </si>
  <si>
    <t>R06</t>
  </si>
  <si>
    <t>R07</t>
  </si>
  <si>
    <t>06/13/2026</t>
  </si>
  <si>
    <t>R08</t>
  </si>
  <si>
    <t>06/15/2026</t>
  </si>
  <si>
    <t>R09</t>
  </si>
  <si>
    <t>R10</t>
  </si>
  <si>
    <t>R11</t>
  </si>
  <si>
    <t>R12</t>
  </si>
  <si>
    <t>06/20/2026</t>
  </si>
  <si>
    <t>R13</t>
  </si>
  <si>
    <t>R14</t>
  </si>
  <si>
    <t>R15</t>
  </si>
  <si>
    <t>MONTHLY PURCHASES SMB LILOY WW</t>
  </si>
  <si>
    <t>01</t>
  </si>
  <si>
    <t>TOTAL AMOUNT</t>
  </si>
  <si>
    <t>02</t>
  </si>
  <si>
    <t>03</t>
  </si>
  <si>
    <t>04</t>
  </si>
  <si>
    <t>05</t>
  </si>
  <si>
    <t>06</t>
  </si>
  <si>
    <t>06/25/2026</t>
  </si>
  <si>
    <t>R16</t>
  </si>
  <si>
    <t>06/26/2026</t>
  </si>
  <si>
    <t>R17</t>
  </si>
  <si>
    <t>AMOUNT</t>
  </si>
  <si>
    <t>OF PRODUCTS</t>
  </si>
  <si>
    <t>TOTAL</t>
  </si>
  <si>
    <t>DISCOUNT</t>
  </si>
  <si>
    <t>06/27/2026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</si>
</sst>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zoomScaleNormal="100" workbookViewId="0">
      <selection activeCell="E28" sqref="E2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15.28515625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81</v>
      </c>
      <c r="D3" s="42"/>
      <c r="E3" s="42"/>
      <c r="F3" s="43" t="s">
        <v>75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114</v>
      </c>
      <c r="J5" s="9" t="s">
        <v>116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115</v>
      </c>
      <c r="J6" s="9" t="s">
        <v>117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518733994</v>
      </c>
      <c r="H7" s="20" t="s">
        <v>74</v>
      </c>
      <c r="I7" s="21">
        <f>1315032</f>
        <v>1315032</v>
      </c>
      <c r="J7" s="21">
        <f>273031.68</f>
        <v>273031.67999999999</v>
      </c>
      <c r="K7" s="21">
        <f>1315032-273031.68</f>
        <v>1042000.3200000001</v>
      </c>
      <c r="M7" s="21">
        <f>O7*12</f>
        <v>111642.89142857144</v>
      </c>
      <c r="N7" s="27">
        <f>K7-M7</f>
        <v>930357.42857142864</v>
      </c>
      <c r="O7" s="33">
        <f>K7/112</f>
        <v>9303.5742857142868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518741040</v>
      </c>
      <c r="H8" s="20" t="s">
        <v>74</v>
      </c>
      <c r="I8" s="21">
        <f>1412471</f>
        <v>1412471</v>
      </c>
      <c r="J8" s="21">
        <f>61256.62</f>
        <v>61256.62</v>
      </c>
      <c r="K8" s="21">
        <f>1412471-61256.62</f>
        <v>1351214.38</v>
      </c>
      <c r="M8" s="21">
        <f>O8*12</f>
        <v>144772.96928571427</v>
      </c>
      <c r="N8" s="27">
        <f>K8-M8</f>
        <v>1206441.4107142857</v>
      </c>
      <c r="O8" s="33">
        <f t="shared" ref="O8:O26" si="0">K8/112</f>
        <v>12064.414107142857</v>
      </c>
    </row>
    <row r="9" spans="1:17" x14ac:dyDescent="0.25">
      <c r="A9">
        <f t="shared" ref="A9:B27" si="1">A8+1</f>
        <v>3</v>
      </c>
      <c r="B9" s="23">
        <f t="shared" si="1"/>
        <v>3</v>
      </c>
      <c r="C9" s="19" t="s">
        <v>78</v>
      </c>
      <c r="D9" s="20" t="s">
        <v>68</v>
      </c>
      <c r="E9" s="20"/>
      <c r="F9" s="20" t="s">
        <v>70</v>
      </c>
      <c r="G9" s="20">
        <v>518745098</v>
      </c>
      <c r="H9" s="20" t="s">
        <v>74</v>
      </c>
      <c r="I9" s="21">
        <f>1397196</f>
        <v>1397196</v>
      </c>
      <c r="J9" s="21">
        <f>60845.04</f>
        <v>60845.04</v>
      </c>
      <c r="K9" s="21">
        <f>1397196-60845.04</f>
        <v>1336350.96</v>
      </c>
      <c r="M9" s="21">
        <f t="shared" ref="M9:M26" si="2">O9*12</f>
        <v>143180.46</v>
      </c>
      <c r="N9" s="27">
        <f t="shared" ref="N9:N26" si="3">K9-M9</f>
        <v>1193170.5</v>
      </c>
      <c r="O9" s="33">
        <f t="shared" si="0"/>
        <v>11931.705</v>
      </c>
    </row>
    <row r="10" spans="1:17" x14ac:dyDescent="0.25">
      <c r="A10">
        <f t="shared" si="1"/>
        <v>4</v>
      </c>
      <c r="B10" s="23">
        <f t="shared" si="1"/>
        <v>4</v>
      </c>
      <c r="C10" s="19" t="s">
        <v>79</v>
      </c>
      <c r="D10" s="20" t="s">
        <v>68</v>
      </c>
      <c r="E10" s="20"/>
      <c r="F10" s="20" t="s">
        <v>70</v>
      </c>
      <c r="G10" s="20">
        <v>518756120</v>
      </c>
      <c r="H10" s="20" t="s">
        <v>74</v>
      </c>
      <c r="I10" s="21">
        <f>1346606</f>
        <v>1346606</v>
      </c>
      <c r="J10" s="21">
        <f>57095.42</f>
        <v>57095.42</v>
      </c>
      <c r="K10" s="21">
        <f>1346606-57095.42</f>
        <v>1289510.58</v>
      </c>
      <c r="M10" s="21">
        <f t="shared" si="2"/>
        <v>138161.84785714286</v>
      </c>
      <c r="N10" s="27">
        <f t="shared" si="3"/>
        <v>1151348.7321428573</v>
      </c>
      <c r="O10" s="33">
        <f t="shared" si="0"/>
        <v>11513.487321428573</v>
      </c>
    </row>
    <row r="11" spans="1:17" x14ac:dyDescent="0.25">
      <c r="A11">
        <f t="shared" si="1"/>
        <v>5</v>
      </c>
      <c r="B11" s="23">
        <f t="shared" si="1"/>
        <v>5</v>
      </c>
      <c r="C11" s="19" t="s">
        <v>80</v>
      </c>
      <c r="D11" s="20" t="s">
        <v>68</v>
      </c>
      <c r="E11" s="20"/>
      <c r="F11" s="20" t="s">
        <v>70</v>
      </c>
      <c r="G11" s="20">
        <v>518760128</v>
      </c>
      <c r="H11" s="20" t="s">
        <v>74</v>
      </c>
      <c r="I11" s="21">
        <f>1397196</f>
        <v>1397196</v>
      </c>
      <c r="J11" s="21">
        <f>60845.04</f>
        <v>60845.04</v>
      </c>
      <c r="K11" s="21">
        <f>1397196-60845.04</f>
        <v>1336350.96</v>
      </c>
      <c r="M11" s="21">
        <f t="shared" si="2"/>
        <v>143180.46</v>
      </c>
      <c r="N11" s="27">
        <f t="shared" si="3"/>
        <v>1193170.5</v>
      </c>
      <c r="O11" s="33">
        <f t="shared" si="0"/>
        <v>11931.705</v>
      </c>
    </row>
    <row r="12" spans="1:17" x14ac:dyDescent="0.25">
      <c r="A12">
        <f t="shared" si="1"/>
        <v>6</v>
      </c>
      <c r="B12" s="23">
        <f t="shared" si="1"/>
        <v>6</v>
      </c>
      <c r="C12" s="19" t="s">
        <v>80</v>
      </c>
      <c r="D12" s="20" t="s">
        <v>68</v>
      </c>
      <c r="E12" s="20"/>
      <c r="F12" s="20" t="s">
        <v>70</v>
      </c>
      <c r="G12" s="20">
        <v>518759920</v>
      </c>
      <c r="H12" s="20" t="s">
        <v>74</v>
      </c>
      <c r="I12" s="21">
        <f>1397196</f>
        <v>1397196</v>
      </c>
      <c r="J12" s="21">
        <f>60845.04</f>
        <v>60845.04</v>
      </c>
      <c r="K12" s="21">
        <f>1397196-60845.04</f>
        <v>1336350.96</v>
      </c>
      <c r="M12" s="21">
        <f t="shared" si="2"/>
        <v>143180.46</v>
      </c>
      <c r="N12" s="27">
        <f t="shared" si="3"/>
        <v>1193170.5</v>
      </c>
      <c r="O12" s="33">
        <f t="shared" si="0"/>
        <v>11931.705</v>
      </c>
    </row>
    <row r="13" spans="1:17" x14ac:dyDescent="0.25">
      <c r="A13">
        <f t="shared" si="1"/>
        <v>7</v>
      </c>
      <c r="B13" s="23">
        <f t="shared" si="1"/>
        <v>7</v>
      </c>
      <c r="C13" s="19" t="s">
        <v>110</v>
      </c>
      <c r="D13" s="20" t="s">
        <v>68</v>
      </c>
      <c r="E13" s="20"/>
      <c r="F13" s="20" t="s">
        <v>70</v>
      </c>
      <c r="G13" s="20">
        <v>518764026</v>
      </c>
      <c r="H13" s="20" t="s">
        <v>74</v>
      </c>
      <c r="I13" s="21">
        <f>1397196</f>
        <v>1397196</v>
      </c>
      <c r="J13" s="21">
        <f>60845.04</f>
        <v>60845.04</v>
      </c>
      <c r="K13" s="21">
        <f>1397196-60845.04</f>
        <v>1336350.96</v>
      </c>
      <c r="M13" s="21">
        <f t="shared" si="2"/>
        <v>143180.46</v>
      </c>
      <c r="N13" s="27">
        <f>K13-M13</f>
        <v>1193170.5</v>
      </c>
      <c r="O13" s="33">
        <f>K13/112</f>
        <v>11931.705</v>
      </c>
    </row>
    <row r="14" spans="1:17" x14ac:dyDescent="0.25">
      <c r="A14">
        <f t="shared" si="1"/>
        <v>8</v>
      </c>
      <c r="B14" s="23">
        <f t="shared" si="1"/>
        <v>8</v>
      </c>
      <c r="C14" s="19" t="s">
        <v>112</v>
      </c>
      <c r="D14" s="20" t="s">
        <v>68</v>
      </c>
      <c r="E14" s="20"/>
      <c r="F14" s="20" t="s">
        <v>70</v>
      </c>
      <c r="G14" s="20">
        <v>518768055</v>
      </c>
      <c r="H14" s="20" t="s">
        <v>74</v>
      </c>
      <c r="I14" s="36">
        <f>1397196</f>
        <v>1397196</v>
      </c>
      <c r="J14" s="36">
        <f>81234.18</f>
        <v>81234.179999999993</v>
      </c>
      <c r="K14" s="36">
        <f>1397196-81234.18</f>
        <v>1315961.82</v>
      </c>
      <c r="M14" s="21">
        <f t="shared" si="2"/>
        <v>140995.9092857143</v>
      </c>
      <c r="N14" s="27">
        <f t="shared" si="3"/>
        <v>1174965.9107142857</v>
      </c>
      <c r="O14" s="33">
        <f t="shared" si="0"/>
        <v>11749.659107142857</v>
      </c>
    </row>
    <row r="15" spans="1:17" x14ac:dyDescent="0.25">
      <c r="A15">
        <f t="shared" si="1"/>
        <v>9</v>
      </c>
      <c r="B15" s="23">
        <f t="shared" si="1"/>
        <v>9</v>
      </c>
      <c r="C15" s="19" t="s">
        <v>112</v>
      </c>
      <c r="D15" s="20" t="s">
        <v>68</v>
      </c>
      <c r="E15" s="20"/>
      <c r="F15" s="20" t="s">
        <v>70</v>
      </c>
      <c r="G15" s="20">
        <v>518768254</v>
      </c>
      <c r="H15" s="20" t="s">
        <v>74</v>
      </c>
      <c r="I15" s="21">
        <f>1397196</f>
        <v>1397196</v>
      </c>
      <c r="J15" s="21">
        <f>60845.04</f>
        <v>60845.04</v>
      </c>
      <c r="K15" s="21">
        <f>1397196-60845.04</f>
        <v>1336350.96</v>
      </c>
      <c r="M15" s="21">
        <f t="shared" si="2"/>
        <v>143180.46</v>
      </c>
      <c r="N15" s="27">
        <f>K15-M15</f>
        <v>1193170.5</v>
      </c>
      <c r="O15" s="33">
        <f>K15/112</f>
        <v>11931.705</v>
      </c>
    </row>
    <row r="16" spans="1:17" x14ac:dyDescent="0.25">
      <c r="A16">
        <f t="shared" si="1"/>
        <v>10</v>
      </c>
      <c r="B16" s="23">
        <f t="shared" si="1"/>
        <v>10</v>
      </c>
      <c r="C16" s="19" t="s">
        <v>118</v>
      </c>
      <c r="D16" s="20" t="s">
        <v>68</v>
      </c>
      <c r="E16" s="20"/>
      <c r="F16" s="20" t="s">
        <v>70</v>
      </c>
      <c r="G16" s="20">
        <v>518772648</v>
      </c>
      <c r="H16" s="20" t="s">
        <v>74</v>
      </c>
      <c r="I16" s="21">
        <v>1155198</v>
      </c>
      <c r="J16" s="21">
        <v>50306.52</v>
      </c>
      <c r="K16" s="21">
        <f>I16-J16</f>
        <v>1104891.48</v>
      </c>
      <c r="M16" s="21">
        <f t="shared" si="2"/>
        <v>118381.22999999998</v>
      </c>
      <c r="N16" s="27">
        <f t="shared" si="3"/>
        <v>986510.25</v>
      </c>
      <c r="O16" s="33">
        <f t="shared" si="0"/>
        <v>9865.1024999999991</v>
      </c>
    </row>
    <row r="17" spans="1:15" x14ac:dyDescent="0.25">
      <c r="A17">
        <f t="shared" si="1"/>
        <v>11</v>
      </c>
      <c r="B17" s="23">
        <f t="shared" si="1"/>
        <v>11</v>
      </c>
      <c r="C17" s="19" t="s">
        <v>118</v>
      </c>
      <c r="D17" s="20" t="s">
        <v>68</v>
      </c>
      <c r="E17" s="20"/>
      <c r="F17" s="20" t="s">
        <v>70</v>
      </c>
      <c r="G17" s="20">
        <v>518772163</v>
      </c>
      <c r="H17" s="20" t="s">
        <v>74</v>
      </c>
      <c r="I17" s="21">
        <v>1397196</v>
      </c>
      <c r="J17" s="21">
        <v>60845.04</v>
      </c>
      <c r="K17" s="21">
        <f t="shared" ref="K17:K27" si="4">I17-J17</f>
        <v>1336350.96</v>
      </c>
      <c r="M17" s="21">
        <f t="shared" si="2"/>
        <v>143180.46</v>
      </c>
      <c r="N17" s="27">
        <f t="shared" si="3"/>
        <v>1193170.5</v>
      </c>
      <c r="O17" s="33">
        <f t="shared" si="0"/>
        <v>11931.705</v>
      </c>
    </row>
    <row r="18" spans="1:15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J18" s="21"/>
      <c r="K18" s="21">
        <f t="shared" si="4"/>
        <v>0</v>
      </c>
      <c r="M18" s="21">
        <f t="shared" si="2"/>
        <v>0</v>
      </c>
      <c r="N18" s="27">
        <f t="shared" si="3"/>
        <v>0</v>
      </c>
      <c r="O18" s="33">
        <f t="shared" si="0"/>
        <v>0</v>
      </c>
    </row>
    <row r="19" spans="1:15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J19" s="21"/>
      <c r="K19" s="21">
        <f t="shared" si="4"/>
        <v>0</v>
      </c>
      <c r="M19" s="21">
        <f t="shared" si="2"/>
        <v>0</v>
      </c>
      <c r="N19" s="27">
        <f t="shared" si="3"/>
        <v>0</v>
      </c>
      <c r="O19" s="33">
        <f t="shared" si="0"/>
        <v>0</v>
      </c>
    </row>
    <row r="20" spans="1:15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J20" s="21"/>
      <c r="K20" s="21">
        <f t="shared" si="4"/>
        <v>0</v>
      </c>
      <c r="M20" s="21">
        <f t="shared" si="2"/>
        <v>0</v>
      </c>
      <c r="N20" s="27">
        <f t="shared" si="3"/>
        <v>0</v>
      </c>
      <c r="O20" s="33">
        <f t="shared" si="0"/>
        <v>0</v>
      </c>
    </row>
    <row r="21" spans="1:15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J21" s="21"/>
      <c r="K21" s="21">
        <f t="shared" si="4"/>
        <v>0</v>
      </c>
      <c r="M21" s="21">
        <f t="shared" si="2"/>
        <v>0</v>
      </c>
      <c r="N21" s="27">
        <f t="shared" si="3"/>
        <v>0</v>
      </c>
      <c r="O21" s="33">
        <f t="shared" si="0"/>
        <v>0</v>
      </c>
    </row>
    <row r="22" spans="1:15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J22" s="21"/>
      <c r="K22" s="21">
        <f t="shared" si="4"/>
        <v>0</v>
      </c>
      <c r="M22" s="21">
        <f t="shared" si="2"/>
        <v>0</v>
      </c>
      <c r="N22" s="27">
        <f t="shared" si="3"/>
        <v>0</v>
      </c>
      <c r="O22" s="33">
        <f t="shared" si="0"/>
        <v>0</v>
      </c>
    </row>
    <row r="23" spans="1:15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J23" s="21"/>
      <c r="K23" s="21">
        <f t="shared" si="4"/>
        <v>0</v>
      </c>
      <c r="M23" s="21">
        <f t="shared" si="2"/>
        <v>0</v>
      </c>
      <c r="N23" s="27">
        <f t="shared" si="3"/>
        <v>0</v>
      </c>
      <c r="O23" s="33">
        <f t="shared" si="0"/>
        <v>0</v>
      </c>
    </row>
    <row r="24" spans="1:15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J24" s="21"/>
      <c r="K24" s="21">
        <f t="shared" si="4"/>
        <v>0</v>
      </c>
      <c r="M24" s="21">
        <f t="shared" si="2"/>
        <v>0</v>
      </c>
      <c r="N24" s="27">
        <f t="shared" si="3"/>
        <v>0</v>
      </c>
      <c r="O24" s="33">
        <f t="shared" si="0"/>
        <v>0</v>
      </c>
    </row>
    <row r="25" spans="1:15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J25" s="21"/>
      <c r="K25" s="21">
        <f t="shared" si="4"/>
        <v>0</v>
      </c>
      <c r="M25" s="21">
        <f t="shared" si="2"/>
        <v>0</v>
      </c>
      <c r="N25" s="27">
        <f t="shared" si="3"/>
        <v>0</v>
      </c>
      <c r="O25" s="33">
        <f t="shared" si="0"/>
        <v>0</v>
      </c>
    </row>
    <row r="26" spans="1:15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J26" s="21"/>
      <c r="K26" s="21">
        <f t="shared" si="4"/>
        <v>0</v>
      </c>
      <c r="M26" s="21">
        <f t="shared" si="2"/>
        <v>0</v>
      </c>
      <c r="N26" s="27">
        <f t="shared" si="3"/>
        <v>0</v>
      </c>
      <c r="O26" s="33">
        <f t="shared" si="0"/>
        <v>0</v>
      </c>
    </row>
    <row r="27" spans="1:15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J27" s="21"/>
      <c r="K27" s="21">
        <f t="shared" si="4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>
        <f t="shared" ref="I28:J28" si="8">SUM(I7:I27)</f>
        <v>15009679</v>
      </c>
      <c r="J28" s="44">
        <f t="shared" si="8"/>
        <v>887994.66000000015</v>
      </c>
      <c r="K28" s="44">
        <f>SUM(K7:K27)</f>
        <v>14121684.340000004</v>
      </c>
      <c r="L28" s="44">
        <f ca="1">SUM(L7:L31)</f>
        <v>0</v>
      </c>
      <c r="M28" s="44">
        <f>SUM(M7:M27)</f>
        <v>1513037.6078571428</v>
      </c>
      <c r="N28" s="44">
        <f>SUM(N7:N27)</f>
        <v>12608646.732142858</v>
      </c>
      <c r="O28" s="44">
        <f>SUM(O7:O27)</f>
        <v>126086.46732142857</v>
      </c>
    </row>
    <row r="29" spans="1:15" x14ac:dyDescent="0.25">
      <c r="G29"/>
      <c r="O29" s="34"/>
    </row>
    <row r="30" spans="1:15" ht="15.75" x14ac:dyDescent="0.25">
      <c r="C30" s="41" t="s">
        <v>82</v>
      </c>
      <c r="D30" s="42"/>
      <c r="E30" s="42"/>
      <c r="F30" s="43" t="s">
        <v>75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114</v>
      </c>
      <c r="J32" s="9" t="s">
        <v>116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115</v>
      </c>
      <c r="J33" s="9" t="s">
        <v>117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1</v>
      </c>
      <c r="C34" s="19">
        <v>46028</v>
      </c>
      <c r="D34" s="20" t="s">
        <v>68</v>
      </c>
      <c r="E34" s="12"/>
      <c r="F34" s="20" t="s">
        <v>70</v>
      </c>
      <c r="G34" s="37" t="s">
        <v>84</v>
      </c>
      <c r="H34" s="20" t="s">
        <v>74</v>
      </c>
      <c r="I34" s="20"/>
      <c r="J34" s="20"/>
      <c r="K34" s="21">
        <v>105480</v>
      </c>
      <c r="M34" s="21">
        <f t="shared" ref="M34:M53" si="9">O34*12</f>
        <v>11301.428571428572</v>
      </c>
      <c r="N34" s="27">
        <f>K34-M34</f>
        <v>94178.57142857142</v>
      </c>
      <c r="O34" s="33">
        <f t="shared" ref="O34:O53" si="10">K34/112</f>
        <v>941.78571428571433</v>
      </c>
    </row>
    <row r="35" spans="1:15" x14ac:dyDescent="0.25">
      <c r="A35">
        <f>A34+1</f>
        <v>2</v>
      </c>
      <c r="C35" s="19">
        <v>46240</v>
      </c>
      <c r="D35" s="20" t="s">
        <v>68</v>
      </c>
      <c r="E35" s="20"/>
      <c r="F35" s="20" t="s">
        <v>70</v>
      </c>
      <c r="G35" s="37" t="s">
        <v>85</v>
      </c>
      <c r="H35" s="20" t="s">
        <v>74</v>
      </c>
      <c r="I35" s="20"/>
      <c r="J35" s="20"/>
      <c r="K35" s="21">
        <v>199368</v>
      </c>
      <c r="M35" s="21">
        <f t="shared" si="9"/>
        <v>21360.857142857145</v>
      </c>
      <c r="N35" s="27">
        <f t="shared" ref="N35:N53" si="11">K35-M35</f>
        <v>178007.14285714284</v>
      </c>
      <c r="O35" s="33">
        <f t="shared" si="10"/>
        <v>1780.0714285714287</v>
      </c>
    </row>
    <row r="36" spans="1:15" x14ac:dyDescent="0.25">
      <c r="A36">
        <f t="shared" ref="A36:A54" si="12">A35+1</f>
        <v>3</v>
      </c>
      <c r="C36" s="19">
        <v>46271</v>
      </c>
      <c r="D36" s="20" t="s">
        <v>68</v>
      </c>
      <c r="E36" s="20"/>
      <c r="F36" s="20" t="s">
        <v>70</v>
      </c>
      <c r="G36" s="37" t="s">
        <v>86</v>
      </c>
      <c r="H36" s="20" t="s">
        <v>74</v>
      </c>
      <c r="I36" s="20"/>
      <c r="J36" s="20"/>
      <c r="K36" s="21">
        <v>177156</v>
      </c>
      <c r="M36" s="21">
        <f t="shared" si="9"/>
        <v>18981</v>
      </c>
      <c r="N36" s="27">
        <f t="shared" si="11"/>
        <v>158175</v>
      </c>
      <c r="O36" s="33">
        <f t="shared" si="10"/>
        <v>1581.75</v>
      </c>
    </row>
    <row r="37" spans="1:15" x14ac:dyDescent="0.25">
      <c r="A37">
        <f t="shared" si="12"/>
        <v>4</v>
      </c>
      <c r="C37" s="19">
        <v>46301</v>
      </c>
      <c r="D37" s="20" t="s">
        <v>68</v>
      </c>
      <c r="E37" s="20"/>
      <c r="F37" s="20" t="s">
        <v>70</v>
      </c>
      <c r="G37" s="37" t="s">
        <v>87</v>
      </c>
      <c r="H37" s="20" t="s">
        <v>74</v>
      </c>
      <c r="I37" s="20"/>
      <c r="J37" s="20"/>
      <c r="K37" s="21">
        <v>203796</v>
      </c>
      <c r="M37" s="21">
        <f t="shared" si="9"/>
        <v>21835.285714285714</v>
      </c>
      <c r="N37" s="27">
        <f t="shared" si="11"/>
        <v>181960.71428571429</v>
      </c>
      <c r="O37" s="33">
        <f t="shared" si="10"/>
        <v>1819.6071428571429</v>
      </c>
    </row>
    <row r="38" spans="1:15" x14ac:dyDescent="0.25">
      <c r="A38">
        <f t="shared" si="12"/>
        <v>5</v>
      </c>
      <c r="C38" s="19">
        <v>46332</v>
      </c>
      <c r="D38" s="20" t="s">
        <v>68</v>
      </c>
      <c r="E38" s="20"/>
      <c r="F38" s="20" t="s">
        <v>70</v>
      </c>
      <c r="G38" s="37" t="s">
        <v>88</v>
      </c>
      <c r="H38" s="20" t="s">
        <v>74</v>
      </c>
      <c r="I38" s="20"/>
      <c r="J38" s="20"/>
      <c r="K38" s="21">
        <v>187884</v>
      </c>
      <c r="M38" s="21">
        <f t="shared" si="9"/>
        <v>20130.428571428572</v>
      </c>
      <c r="N38" s="27">
        <f t="shared" si="11"/>
        <v>167753.57142857142</v>
      </c>
      <c r="O38" s="33">
        <f t="shared" si="10"/>
        <v>1677.5357142857142</v>
      </c>
    </row>
    <row r="39" spans="1:15" x14ac:dyDescent="0.25">
      <c r="A39">
        <f t="shared" si="12"/>
        <v>6</v>
      </c>
      <c r="C39" s="19">
        <v>46332</v>
      </c>
      <c r="D39" s="20" t="s">
        <v>68</v>
      </c>
      <c r="E39" s="20"/>
      <c r="F39" s="20" t="s">
        <v>70</v>
      </c>
      <c r="G39" s="37" t="s">
        <v>89</v>
      </c>
      <c r="H39" s="20" t="s">
        <v>74</v>
      </c>
      <c r="I39" s="20"/>
      <c r="J39" s="20"/>
      <c r="K39" s="21">
        <v>191808</v>
      </c>
      <c r="M39" s="21">
        <f t="shared" si="9"/>
        <v>20550.857142857145</v>
      </c>
      <c r="N39" s="27">
        <f t="shared" si="11"/>
        <v>171257.14285714284</v>
      </c>
      <c r="O39" s="33">
        <f t="shared" si="10"/>
        <v>1712.5714285714287</v>
      </c>
    </row>
    <row r="40" spans="1:15" x14ac:dyDescent="0.25">
      <c r="A40">
        <f t="shared" si="12"/>
        <v>7</v>
      </c>
      <c r="C40" s="19">
        <v>46362</v>
      </c>
      <c r="D40" s="20" t="s">
        <v>68</v>
      </c>
      <c r="E40" s="20"/>
      <c r="F40" s="20" t="s">
        <v>70</v>
      </c>
      <c r="G40" s="37" t="s">
        <v>90</v>
      </c>
      <c r="H40" s="20" t="s">
        <v>74</v>
      </c>
      <c r="I40" s="20"/>
      <c r="J40" s="20"/>
      <c r="K40" s="21">
        <v>203796</v>
      </c>
      <c r="M40" s="21">
        <f t="shared" si="9"/>
        <v>21835.285714285714</v>
      </c>
      <c r="N40" s="27">
        <f t="shared" si="11"/>
        <v>181960.71428571429</v>
      </c>
      <c r="O40" s="33">
        <f t="shared" si="10"/>
        <v>1819.6071428571429</v>
      </c>
    </row>
    <row r="41" spans="1:15" x14ac:dyDescent="0.25">
      <c r="A41">
        <f t="shared" si="12"/>
        <v>8</v>
      </c>
      <c r="C41" s="19" t="s">
        <v>91</v>
      </c>
      <c r="D41" s="20" t="s">
        <v>68</v>
      </c>
      <c r="E41" s="20"/>
      <c r="F41" s="20" t="s">
        <v>70</v>
      </c>
      <c r="G41" s="37" t="s">
        <v>92</v>
      </c>
      <c r="H41" s="20" t="s">
        <v>74</v>
      </c>
      <c r="I41" s="20"/>
      <c r="J41" s="20"/>
      <c r="K41" s="21">
        <v>190800</v>
      </c>
      <c r="M41" s="21">
        <f t="shared" si="9"/>
        <v>20442.857142857145</v>
      </c>
      <c r="N41" s="27">
        <f t="shared" si="11"/>
        <v>170357.14285714284</v>
      </c>
      <c r="O41" s="33">
        <f t="shared" si="10"/>
        <v>1703.5714285714287</v>
      </c>
    </row>
    <row r="42" spans="1:15" x14ac:dyDescent="0.25">
      <c r="A42">
        <f t="shared" si="12"/>
        <v>9</v>
      </c>
      <c r="C42" s="19" t="s">
        <v>93</v>
      </c>
      <c r="D42" s="20" t="s">
        <v>68</v>
      </c>
      <c r="E42" s="20"/>
      <c r="F42" s="20" t="s">
        <v>70</v>
      </c>
      <c r="G42" s="37" t="s">
        <v>94</v>
      </c>
      <c r="H42" s="20" t="s">
        <v>74</v>
      </c>
      <c r="I42" s="20"/>
      <c r="J42" s="20"/>
      <c r="K42" s="21">
        <v>149328</v>
      </c>
      <c r="M42" s="21">
        <f t="shared" si="9"/>
        <v>15999.428571428571</v>
      </c>
      <c r="N42" s="27">
        <f t="shared" si="11"/>
        <v>133328.57142857142</v>
      </c>
      <c r="O42" s="33">
        <f t="shared" si="10"/>
        <v>1333.2857142857142</v>
      </c>
    </row>
    <row r="43" spans="1:15" x14ac:dyDescent="0.25">
      <c r="A43">
        <f t="shared" si="12"/>
        <v>10</v>
      </c>
      <c r="C43" s="19" t="s">
        <v>76</v>
      </c>
      <c r="D43" s="20" t="s">
        <v>68</v>
      </c>
      <c r="E43" s="20"/>
      <c r="F43" s="20" t="s">
        <v>70</v>
      </c>
      <c r="G43" s="37" t="s">
        <v>95</v>
      </c>
      <c r="H43" s="20" t="s">
        <v>74</v>
      </c>
      <c r="I43" s="20"/>
      <c r="J43" s="20"/>
      <c r="K43" s="21">
        <v>163404</v>
      </c>
      <c r="M43" s="21">
        <f t="shared" si="9"/>
        <v>17507.571428571428</v>
      </c>
      <c r="N43" s="27">
        <f t="shared" si="11"/>
        <v>145896.42857142858</v>
      </c>
      <c r="O43" s="33">
        <f t="shared" si="10"/>
        <v>1458.9642857142858</v>
      </c>
    </row>
    <row r="44" spans="1:15" x14ac:dyDescent="0.25">
      <c r="A44">
        <f t="shared" si="12"/>
        <v>11</v>
      </c>
      <c r="C44" s="19" t="s">
        <v>77</v>
      </c>
      <c r="D44" s="20" t="s">
        <v>68</v>
      </c>
      <c r="E44" s="20"/>
      <c r="F44" s="20" t="s">
        <v>70</v>
      </c>
      <c r="G44" s="37" t="s">
        <v>96</v>
      </c>
      <c r="H44" s="20" t="s">
        <v>74</v>
      </c>
      <c r="I44" s="20"/>
      <c r="J44" s="20"/>
      <c r="K44" s="21">
        <v>191808</v>
      </c>
      <c r="M44" s="21">
        <f t="shared" si="9"/>
        <v>20550.857142857145</v>
      </c>
      <c r="N44" s="27">
        <f t="shared" si="11"/>
        <v>171257.14285714284</v>
      </c>
      <c r="O44" s="33">
        <f t="shared" si="10"/>
        <v>1712.5714285714287</v>
      </c>
    </row>
    <row r="45" spans="1:15" x14ac:dyDescent="0.25">
      <c r="A45">
        <f t="shared" si="12"/>
        <v>12</v>
      </c>
      <c r="C45" s="19" t="s">
        <v>78</v>
      </c>
      <c r="D45" s="20" t="s">
        <v>68</v>
      </c>
      <c r="E45" s="20"/>
      <c r="F45" s="20" t="s">
        <v>70</v>
      </c>
      <c r="G45" s="37" t="s">
        <v>97</v>
      </c>
      <c r="H45" s="20" t="s">
        <v>74</v>
      </c>
      <c r="I45" s="20"/>
      <c r="J45" s="20"/>
      <c r="K45" s="21">
        <v>204888</v>
      </c>
      <c r="M45" s="21">
        <f t="shared" si="9"/>
        <v>21952.285714285714</v>
      </c>
      <c r="N45" s="27">
        <f t="shared" si="11"/>
        <v>182935.71428571429</v>
      </c>
      <c r="O45" s="33">
        <f t="shared" si="10"/>
        <v>1829.3571428571429</v>
      </c>
    </row>
    <row r="46" spans="1:15" x14ac:dyDescent="0.25">
      <c r="A46">
        <f t="shared" si="12"/>
        <v>13</v>
      </c>
      <c r="C46" s="19" t="s">
        <v>98</v>
      </c>
      <c r="D46" s="20" t="s">
        <v>68</v>
      </c>
      <c r="E46" s="20"/>
      <c r="F46" s="20" t="s">
        <v>70</v>
      </c>
      <c r="G46" s="37" t="s">
        <v>99</v>
      </c>
      <c r="H46" s="20" t="s">
        <v>74</v>
      </c>
      <c r="I46" s="20"/>
      <c r="J46" s="20"/>
      <c r="K46" s="21">
        <v>91656</v>
      </c>
      <c r="M46" s="21">
        <f t="shared" si="9"/>
        <v>9820.2857142857138</v>
      </c>
      <c r="N46" s="27">
        <f t="shared" si="11"/>
        <v>81835.71428571429</v>
      </c>
      <c r="O46" s="33">
        <f t="shared" si="10"/>
        <v>818.35714285714289</v>
      </c>
    </row>
    <row r="47" spans="1:15" x14ac:dyDescent="0.25">
      <c r="A47">
        <f t="shared" si="12"/>
        <v>14</v>
      </c>
      <c r="C47" s="19" t="s">
        <v>79</v>
      </c>
      <c r="D47" s="20" t="s">
        <v>68</v>
      </c>
      <c r="E47" s="20"/>
      <c r="F47" s="20" t="s">
        <v>70</v>
      </c>
      <c r="G47" s="37" t="s">
        <v>100</v>
      </c>
      <c r="H47" s="20" t="s">
        <v>74</v>
      </c>
      <c r="I47" s="20"/>
      <c r="J47" s="20"/>
      <c r="K47" s="21">
        <v>203796</v>
      </c>
      <c r="M47" s="21">
        <f t="shared" si="9"/>
        <v>21835.285714285714</v>
      </c>
      <c r="N47" s="27">
        <f t="shared" si="11"/>
        <v>181960.71428571429</v>
      </c>
      <c r="O47" s="33">
        <f t="shared" si="10"/>
        <v>1819.6071428571429</v>
      </c>
    </row>
    <row r="48" spans="1:15" x14ac:dyDescent="0.25">
      <c r="A48">
        <f t="shared" si="12"/>
        <v>15</v>
      </c>
      <c r="C48" s="19" t="s">
        <v>80</v>
      </c>
      <c r="D48" s="20" t="s">
        <v>68</v>
      </c>
      <c r="E48" s="20"/>
      <c r="F48" s="20" t="s">
        <v>70</v>
      </c>
      <c r="G48" s="37" t="s">
        <v>101</v>
      </c>
      <c r="H48" s="20" t="s">
        <v>74</v>
      </c>
      <c r="I48" s="20"/>
      <c r="J48" s="20"/>
      <c r="K48" s="21">
        <v>143856</v>
      </c>
      <c r="M48" s="21">
        <f t="shared" si="9"/>
        <v>15413.142857142855</v>
      </c>
      <c r="N48" s="27">
        <f t="shared" si="11"/>
        <v>128442.85714285714</v>
      </c>
      <c r="O48" s="33">
        <f t="shared" si="10"/>
        <v>1284.4285714285713</v>
      </c>
    </row>
    <row r="49" spans="1:15" x14ac:dyDescent="0.25">
      <c r="A49">
        <f t="shared" si="12"/>
        <v>16</v>
      </c>
      <c r="C49" s="19" t="s">
        <v>112</v>
      </c>
      <c r="D49" s="20" t="s">
        <v>68</v>
      </c>
      <c r="E49" s="20"/>
      <c r="F49" s="20" t="s">
        <v>70</v>
      </c>
      <c r="G49" s="37" t="s">
        <v>113</v>
      </c>
      <c r="H49" s="20" t="s">
        <v>74</v>
      </c>
      <c r="I49" s="20"/>
      <c r="J49" s="20"/>
      <c r="K49" s="21">
        <f>11988+10656+95904</f>
        <v>118548</v>
      </c>
      <c r="M49" s="21">
        <f t="shared" si="9"/>
        <v>12701.571428571429</v>
      </c>
      <c r="N49" s="27">
        <f t="shared" si="11"/>
        <v>105846.42857142857</v>
      </c>
      <c r="O49" s="33">
        <f t="shared" si="10"/>
        <v>1058.4642857142858</v>
      </c>
    </row>
    <row r="50" spans="1:15" x14ac:dyDescent="0.25">
      <c r="A50">
        <f t="shared" si="12"/>
        <v>17</v>
      </c>
      <c r="C50" s="19"/>
      <c r="D50" s="20" t="s">
        <v>68</v>
      </c>
      <c r="E50" s="20"/>
      <c r="F50" s="20" t="s">
        <v>70</v>
      </c>
      <c r="G50" s="37"/>
      <c r="H50" s="20" t="s">
        <v>74</v>
      </c>
      <c r="I50" s="20"/>
      <c r="J50" s="20"/>
      <c r="K50" s="21"/>
      <c r="M50" s="21">
        <f t="shared" si="9"/>
        <v>0</v>
      </c>
      <c r="N50" s="27">
        <f t="shared" si="11"/>
        <v>0</v>
      </c>
      <c r="O50" s="33">
        <f t="shared" si="10"/>
        <v>0</v>
      </c>
    </row>
    <row r="51" spans="1:15" x14ac:dyDescent="0.25">
      <c r="A51">
        <f t="shared" si="12"/>
        <v>18</v>
      </c>
      <c r="C51" s="19"/>
      <c r="D51" s="20" t="s">
        <v>68</v>
      </c>
      <c r="E51" s="20"/>
      <c r="F51" s="20" t="s">
        <v>70</v>
      </c>
      <c r="G51" s="37"/>
      <c r="H51" s="20" t="s">
        <v>74</v>
      </c>
      <c r="I51" s="20"/>
      <c r="J51" s="20"/>
      <c r="K51" s="21"/>
      <c r="M51" s="21">
        <f t="shared" si="9"/>
        <v>0</v>
      </c>
      <c r="N51" s="27">
        <f t="shared" si="11"/>
        <v>0</v>
      </c>
      <c r="O51" s="33">
        <f t="shared" si="10"/>
        <v>0</v>
      </c>
    </row>
    <row r="52" spans="1:15" x14ac:dyDescent="0.25">
      <c r="A52">
        <f t="shared" si="12"/>
        <v>19</v>
      </c>
      <c r="C52" s="19"/>
      <c r="D52" s="20" t="s">
        <v>68</v>
      </c>
      <c r="E52" s="20"/>
      <c r="F52" s="20" t="s">
        <v>70</v>
      </c>
      <c r="G52" s="37"/>
      <c r="H52" s="20" t="s">
        <v>74</v>
      </c>
      <c r="I52" s="20"/>
      <c r="J52" s="20"/>
      <c r="K52" s="21"/>
      <c r="M52" s="21">
        <f t="shared" si="9"/>
        <v>0</v>
      </c>
      <c r="N52" s="27">
        <f t="shared" si="11"/>
        <v>0</v>
      </c>
      <c r="O52" s="33">
        <f t="shared" si="10"/>
        <v>0</v>
      </c>
    </row>
    <row r="53" spans="1:15" x14ac:dyDescent="0.25">
      <c r="A53">
        <f t="shared" si="12"/>
        <v>20</v>
      </c>
      <c r="C53" s="19"/>
      <c r="D53" s="20" t="s">
        <v>68</v>
      </c>
      <c r="E53" s="20"/>
      <c r="F53" s="20" t="s">
        <v>70</v>
      </c>
      <c r="G53" s="37"/>
      <c r="H53" s="20" t="s">
        <v>74</v>
      </c>
      <c r="I53" s="20"/>
      <c r="J53" s="20"/>
      <c r="K53" s="21"/>
      <c r="M53" s="21">
        <f t="shared" si="9"/>
        <v>0</v>
      </c>
      <c r="N53" s="27">
        <f t="shared" si="11"/>
        <v>0</v>
      </c>
      <c r="O53" s="33">
        <f t="shared" si="10"/>
        <v>0</v>
      </c>
    </row>
    <row r="54" spans="1:15" x14ac:dyDescent="0.25">
      <c r="A54">
        <f t="shared" si="12"/>
        <v>21</v>
      </c>
      <c r="C54" s="19"/>
      <c r="D54" s="20" t="s">
        <v>68</v>
      </c>
      <c r="E54" s="20"/>
      <c r="F54" s="20" t="s">
        <v>70</v>
      </c>
      <c r="G54" s="37"/>
      <c r="H54" s="20" t="s">
        <v>74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2727372</v>
      </c>
      <c r="L55" s="44">
        <f ca="1">SUM(L34:L58)</f>
        <v>0</v>
      </c>
      <c r="M55" s="44">
        <f>SUM(M34:M54)</f>
        <v>292218.42857142858</v>
      </c>
      <c r="N55" s="44">
        <f>SUM(N34:N54)</f>
        <v>2435153.5714285714</v>
      </c>
      <c r="O55" s="45">
        <f>SUM(O34:O54)</f>
        <v>24351.535714285714</v>
      </c>
    </row>
    <row r="56" spans="1:15" x14ac:dyDescent="0.25">
      <c r="O56" s="34"/>
    </row>
    <row r="57" spans="1:15" ht="15.75" x14ac:dyDescent="0.25">
      <c r="C57" s="41" t="s">
        <v>83</v>
      </c>
      <c r="D57" s="42"/>
      <c r="E57" s="42"/>
      <c r="F57" s="43" t="s">
        <v>75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114</v>
      </c>
      <c r="J59" s="9" t="s">
        <v>116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115</v>
      </c>
      <c r="J60" s="9" t="s">
        <v>117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1</v>
      </c>
      <c r="C61" s="19">
        <v>46028</v>
      </c>
      <c r="D61" s="20" t="s">
        <v>68</v>
      </c>
      <c r="E61" s="12"/>
      <c r="F61" s="20" t="s">
        <v>70</v>
      </c>
      <c r="G61" s="37" t="s">
        <v>84</v>
      </c>
      <c r="H61" s="20" t="s">
        <v>74</v>
      </c>
      <c r="I61" s="20"/>
      <c r="J61" s="20"/>
      <c r="K61" s="21">
        <v>33804</v>
      </c>
      <c r="M61" s="21">
        <f t="shared" ref="M61:M80" si="13">O61*12</f>
        <v>3621.8571428571427</v>
      </c>
      <c r="N61" s="27">
        <f>K61-M61</f>
        <v>30182.142857142859</v>
      </c>
      <c r="O61" s="33">
        <f t="shared" ref="O61:O80" si="14">K61/112</f>
        <v>301.82142857142856</v>
      </c>
    </row>
    <row r="62" spans="1:15" x14ac:dyDescent="0.25">
      <c r="A62">
        <f>A61+1</f>
        <v>2</v>
      </c>
      <c r="C62" s="19">
        <v>46271</v>
      </c>
      <c r="D62" s="20" t="s">
        <v>68</v>
      </c>
      <c r="E62" s="20"/>
      <c r="F62" s="20" t="s">
        <v>70</v>
      </c>
      <c r="G62" s="37" t="s">
        <v>86</v>
      </c>
      <c r="H62" s="20" t="s">
        <v>74</v>
      </c>
      <c r="I62" s="20"/>
      <c r="J62" s="20"/>
      <c r="K62" s="21">
        <v>11340</v>
      </c>
      <c r="M62" s="21">
        <f t="shared" si="13"/>
        <v>1215</v>
      </c>
      <c r="N62" s="27">
        <f t="shared" ref="N62:N80" si="15">K62-M62</f>
        <v>10125</v>
      </c>
      <c r="O62" s="33">
        <f t="shared" si="14"/>
        <v>101.25</v>
      </c>
    </row>
    <row r="63" spans="1:15" x14ac:dyDescent="0.25">
      <c r="A63">
        <f t="shared" ref="A63:A81" si="16">A62+1</f>
        <v>3</v>
      </c>
      <c r="C63" s="19">
        <v>46332</v>
      </c>
      <c r="D63" s="20" t="s">
        <v>68</v>
      </c>
      <c r="E63" s="20"/>
      <c r="F63" s="20" t="s">
        <v>70</v>
      </c>
      <c r="G63" s="37" t="s">
        <v>88</v>
      </c>
      <c r="H63" s="20" t="s">
        <v>74</v>
      </c>
      <c r="I63" s="20"/>
      <c r="J63" s="20"/>
      <c r="K63" s="21">
        <v>5670</v>
      </c>
      <c r="M63" s="21">
        <f t="shared" si="13"/>
        <v>607.5</v>
      </c>
      <c r="N63" s="27">
        <f t="shared" si="15"/>
        <v>5062.5</v>
      </c>
      <c r="O63" s="33">
        <f t="shared" si="14"/>
        <v>50.625</v>
      </c>
    </row>
    <row r="64" spans="1:15" x14ac:dyDescent="0.25">
      <c r="A64">
        <f t="shared" si="16"/>
        <v>4</v>
      </c>
      <c r="C64" s="19">
        <v>46332</v>
      </c>
      <c r="D64" s="20" t="s">
        <v>68</v>
      </c>
      <c r="E64" s="20"/>
      <c r="F64" s="20" t="s">
        <v>70</v>
      </c>
      <c r="G64" s="37" t="s">
        <v>89</v>
      </c>
      <c r="H64" s="20" t="s">
        <v>74</v>
      </c>
      <c r="I64" s="20"/>
      <c r="J64" s="20"/>
      <c r="K64" s="21">
        <v>5616</v>
      </c>
      <c r="M64" s="21">
        <f t="shared" si="13"/>
        <v>601.71428571428578</v>
      </c>
      <c r="N64" s="27">
        <f t="shared" si="15"/>
        <v>5014.2857142857138</v>
      </c>
      <c r="O64" s="33">
        <f t="shared" si="14"/>
        <v>50.142857142857146</v>
      </c>
    </row>
    <row r="65" spans="1:15" x14ac:dyDescent="0.25">
      <c r="A65">
        <f t="shared" si="16"/>
        <v>5</v>
      </c>
      <c r="C65" s="19" t="s">
        <v>93</v>
      </c>
      <c r="D65" s="20" t="s">
        <v>68</v>
      </c>
      <c r="E65" s="20"/>
      <c r="F65" s="20" t="s">
        <v>70</v>
      </c>
      <c r="G65" s="37" t="s">
        <v>94</v>
      </c>
      <c r="H65" s="20" t="s">
        <v>74</v>
      </c>
      <c r="I65" s="20"/>
      <c r="J65" s="20"/>
      <c r="K65" s="21">
        <v>11286</v>
      </c>
      <c r="M65" s="21">
        <f t="shared" si="13"/>
        <v>1209.2142857142858</v>
      </c>
      <c r="N65" s="27">
        <f t="shared" si="15"/>
        <v>10076.785714285714</v>
      </c>
      <c r="O65" s="33">
        <f t="shared" si="14"/>
        <v>100.76785714285714</v>
      </c>
    </row>
    <row r="66" spans="1:15" x14ac:dyDescent="0.25">
      <c r="A66">
        <f t="shared" si="16"/>
        <v>6</v>
      </c>
      <c r="C66" s="19" t="s">
        <v>77</v>
      </c>
      <c r="D66" s="20" t="s">
        <v>68</v>
      </c>
      <c r="E66" s="20"/>
      <c r="F66" s="20" t="s">
        <v>70</v>
      </c>
      <c r="G66" s="37" t="s">
        <v>96</v>
      </c>
      <c r="H66" s="20" t="s">
        <v>74</v>
      </c>
      <c r="I66" s="20"/>
      <c r="J66" s="20"/>
      <c r="K66" s="21">
        <v>5616</v>
      </c>
      <c r="M66" s="21">
        <f t="shared" si="13"/>
        <v>601.71428571428578</v>
      </c>
      <c r="N66" s="27">
        <f t="shared" si="15"/>
        <v>5014.2857142857138</v>
      </c>
      <c r="O66" s="33">
        <f t="shared" si="14"/>
        <v>50.142857142857146</v>
      </c>
    </row>
    <row r="67" spans="1:15" x14ac:dyDescent="0.25">
      <c r="A67">
        <f t="shared" si="16"/>
        <v>7</v>
      </c>
      <c r="C67" s="19" t="s">
        <v>98</v>
      </c>
      <c r="D67" s="20" t="s">
        <v>68</v>
      </c>
      <c r="E67" s="20"/>
      <c r="F67" s="20" t="s">
        <v>70</v>
      </c>
      <c r="G67" s="37" t="s">
        <v>99</v>
      </c>
      <c r="H67" s="20" t="s">
        <v>74</v>
      </c>
      <c r="I67" s="20"/>
      <c r="J67" s="20"/>
      <c r="K67" s="21">
        <v>5616</v>
      </c>
      <c r="M67" s="21">
        <f t="shared" si="13"/>
        <v>601.71428571428578</v>
      </c>
      <c r="N67" s="27">
        <f t="shared" si="15"/>
        <v>5014.2857142857138</v>
      </c>
      <c r="O67" s="33">
        <f t="shared" si="14"/>
        <v>50.142857142857146</v>
      </c>
    </row>
    <row r="68" spans="1:15" x14ac:dyDescent="0.25">
      <c r="A68">
        <f t="shared" si="16"/>
        <v>8</v>
      </c>
      <c r="C68" s="19" t="s">
        <v>110</v>
      </c>
      <c r="D68" s="20" t="s">
        <v>68</v>
      </c>
      <c r="E68" s="20"/>
      <c r="F68" s="20" t="s">
        <v>70</v>
      </c>
      <c r="G68" s="37" t="s">
        <v>111</v>
      </c>
      <c r="H68" s="20" t="s">
        <v>74</v>
      </c>
      <c r="I68" s="20"/>
      <c r="J68" s="20"/>
      <c r="K68" s="21">
        <v>5670</v>
      </c>
      <c r="M68" s="21">
        <f t="shared" si="13"/>
        <v>607.5</v>
      </c>
      <c r="N68" s="27">
        <f t="shared" si="15"/>
        <v>5062.5</v>
      </c>
      <c r="O68" s="33">
        <f t="shared" si="14"/>
        <v>50.625</v>
      </c>
    </row>
    <row r="69" spans="1:15" x14ac:dyDescent="0.25">
      <c r="A69">
        <f t="shared" si="16"/>
        <v>9</v>
      </c>
      <c r="C69" s="19" t="s">
        <v>112</v>
      </c>
      <c r="D69" s="20" t="s">
        <v>68</v>
      </c>
      <c r="E69" s="20"/>
      <c r="F69" s="20" t="s">
        <v>70</v>
      </c>
      <c r="G69" s="37" t="s">
        <v>113</v>
      </c>
      <c r="H69" s="20" t="s">
        <v>74</v>
      </c>
      <c r="I69" s="20"/>
      <c r="J69" s="20"/>
      <c r="K69" s="21">
        <v>5616</v>
      </c>
      <c r="M69" s="21">
        <f t="shared" si="13"/>
        <v>601.71428571428578</v>
      </c>
      <c r="N69" s="27">
        <f t="shared" si="15"/>
        <v>5014.2857142857138</v>
      </c>
      <c r="O69" s="33">
        <f t="shared" si="14"/>
        <v>50.142857142857146</v>
      </c>
    </row>
    <row r="70" spans="1:15" x14ac:dyDescent="0.25">
      <c r="A70">
        <f t="shared" si="16"/>
        <v>10</v>
      </c>
      <c r="C70" s="19"/>
      <c r="D70" s="20" t="s">
        <v>68</v>
      </c>
      <c r="E70" s="20"/>
      <c r="F70" s="20" t="s">
        <v>70</v>
      </c>
      <c r="G70" s="37"/>
      <c r="H70" s="20" t="s">
        <v>74</v>
      </c>
      <c r="I70" s="20"/>
      <c r="J70" s="20"/>
      <c r="K70" s="21"/>
      <c r="M70" s="21">
        <f t="shared" si="13"/>
        <v>0</v>
      </c>
      <c r="N70" s="27">
        <f t="shared" si="15"/>
        <v>0</v>
      </c>
      <c r="O70" s="33">
        <f t="shared" si="14"/>
        <v>0</v>
      </c>
    </row>
    <row r="71" spans="1:15" x14ac:dyDescent="0.25">
      <c r="A71">
        <f t="shared" si="16"/>
        <v>11</v>
      </c>
      <c r="C71" s="19"/>
      <c r="D71" s="20" t="s">
        <v>68</v>
      </c>
      <c r="E71" s="20"/>
      <c r="F71" s="20" t="s">
        <v>70</v>
      </c>
      <c r="G71" s="37"/>
      <c r="H71" s="20" t="s">
        <v>74</v>
      </c>
      <c r="I71" s="20"/>
      <c r="J71" s="20"/>
      <c r="K71" s="21"/>
      <c r="M71" s="21">
        <f t="shared" si="13"/>
        <v>0</v>
      </c>
      <c r="N71" s="27">
        <f t="shared" si="15"/>
        <v>0</v>
      </c>
      <c r="O71" s="33">
        <f t="shared" si="14"/>
        <v>0</v>
      </c>
    </row>
    <row r="72" spans="1:15" x14ac:dyDescent="0.25">
      <c r="A72">
        <f t="shared" si="16"/>
        <v>12</v>
      </c>
      <c r="C72" s="19"/>
      <c r="D72" s="20" t="s">
        <v>68</v>
      </c>
      <c r="E72" s="20"/>
      <c r="F72" s="20" t="s">
        <v>70</v>
      </c>
      <c r="G72" s="37"/>
      <c r="H72" s="20" t="s">
        <v>74</v>
      </c>
      <c r="I72" s="20"/>
      <c r="J72" s="20"/>
      <c r="K72" s="21"/>
      <c r="M72" s="21">
        <f t="shared" si="13"/>
        <v>0</v>
      </c>
      <c r="N72" s="27">
        <f t="shared" si="15"/>
        <v>0</v>
      </c>
      <c r="O72" s="33">
        <f t="shared" si="14"/>
        <v>0</v>
      </c>
    </row>
    <row r="73" spans="1:15" x14ac:dyDescent="0.25">
      <c r="A73">
        <f t="shared" si="16"/>
        <v>13</v>
      </c>
      <c r="C73" s="19"/>
      <c r="D73" s="20" t="s">
        <v>68</v>
      </c>
      <c r="E73" s="20"/>
      <c r="F73" s="20" t="s">
        <v>70</v>
      </c>
      <c r="G73" s="37"/>
      <c r="H73" s="20" t="s">
        <v>74</v>
      </c>
      <c r="I73" s="20"/>
      <c r="J73" s="20"/>
      <c r="K73" s="21"/>
      <c r="M73" s="21">
        <f t="shared" si="13"/>
        <v>0</v>
      </c>
      <c r="N73" s="27">
        <f t="shared" si="15"/>
        <v>0</v>
      </c>
      <c r="O73" s="33">
        <f t="shared" si="14"/>
        <v>0</v>
      </c>
    </row>
    <row r="74" spans="1:15" x14ac:dyDescent="0.25">
      <c r="A74">
        <f t="shared" si="16"/>
        <v>14</v>
      </c>
      <c r="C74" s="19"/>
      <c r="D74" s="20" t="s">
        <v>68</v>
      </c>
      <c r="E74" s="20"/>
      <c r="F74" s="20" t="s">
        <v>70</v>
      </c>
      <c r="G74" s="37"/>
      <c r="H74" s="20" t="s">
        <v>74</v>
      </c>
      <c r="I74" s="20"/>
      <c r="J74" s="20"/>
      <c r="K74" s="21"/>
      <c r="M74" s="21">
        <f t="shared" si="13"/>
        <v>0</v>
      </c>
      <c r="N74" s="27">
        <f t="shared" si="15"/>
        <v>0</v>
      </c>
      <c r="O74" s="33">
        <f t="shared" si="14"/>
        <v>0</v>
      </c>
    </row>
    <row r="75" spans="1:15" x14ac:dyDescent="0.25">
      <c r="A75">
        <f t="shared" si="16"/>
        <v>15</v>
      </c>
      <c r="C75" s="19"/>
      <c r="D75" s="20" t="s">
        <v>68</v>
      </c>
      <c r="E75" s="20"/>
      <c r="F75" s="20" t="s">
        <v>70</v>
      </c>
      <c r="G75" s="37"/>
      <c r="H75" s="20" t="s">
        <v>74</v>
      </c>
      <c r="I75" s="20"/>
      <c r="J75" s="20"/>
      <c r="K75" s="21"/>
      <c r="M75" s="21">
        <f t="shared" si="13"/>
        <v>0</v>
      </c>
      <c r="N75" s="27">
        <f t="shared" si="15"/>
        <v>0</v>
      </c>
      <c r="O75" s="33">
        <f t="shared" si="14"/>
        <v>0</v>
      </c>
    </row>
    <row r="76" spans="1:15" x14ac:dyDescent="0.25">
      <c r="A76">
        <f t="shared" si="16"/>
        <v>16</v>
      </c>
      <c r="C76" s="19"/>
      <c r="D76" s="20" t="s">
        <v>68</v>
      </c>
      <c r="E76" s="20"/>
      <c r="F76" s="20" t="s">
        <v>70</v>
      </c>
      <c r="G76" s="37"/>
      <c r="H76" s="20" t="s">
        <v>74</v>
      </c>
      <c r="I76" s="20"/>
      <c r="J76" s="20"/>
      <c r="K76" s="21"/>
      <c r="M76" s="21">
        <f t="shared" si="13"/>
        <v>0</v>
      </c>
      <c r="N76" s="27">
        <f t="shared" si="15"/>
        <v>0</v>
      </c>
      <c r="O76" s="33">
        <f t="shared" si="14"/>
        <v>0</v>
      </c>
    </row>
    <row r="77" spans="1:15" x14ac:dyDescent="0.25">
      <c r="A77">
        <f t="shared" si="16"/>
        <v>17</v>
      </c>
      <c r="C77" s="19"/>
      <c r="D77" s="20" t="s">
        <v>68</v>
      </c>
      <c r="E77" s="20"/>
      <c r="F77" s="20" t="s">
        <v>70</v>
      </c>
      <c r="G77" s="37"/>
      <c r="H77" s="20" t="s">
        <v>74</v>
      </c>
      <c r="I77" s="20"/>
      <c r="J77" s="20"/>
      <c r="K77" s="21"/>
      <c r="M77" s="21">
        <f t="shared" si="13"/>
        <v>0</v>
      </c>
      <c r="N77" s="27">
        <f t="shared" si="15"/>
        <v>0</v>
      </c>
      <c r="O77" s="33">
        <f t="shared" si="14"/>
        <v>0</v>
      </c>
    </row>
    <row r="78" spans="1:15" x14ac:dyDescent="0.25">
      <c r="A78">
        <f t="shared" si="16"/>
        <v>18</v>
      </c>
      <c r="C78" s="19"/>
      <c r="D78" s="20" t="s">
        <v>68</v>
      </c>
      <c r="E78" s="20"/>
      <c r="F78" s="20" t="s">
        <v>70</v>
      </c>
      <c r="G78" s="37"/>
      <c r="H78" s="20" t="s">
        <v>74</v>
      </c>
      <c r="I78" s="20"/>
      <c r="J78" s="20"/>
      <c r="K78" s="21"/>
      <c r="M78" s="21">
        <f t="shared" si="13"/>
        <v>0</v>
      </c>
      <c r="N78" s="27">
        <f t="shared" si="15"/>
        <v>0</v>
      </c>
      <c r="O78" s="33">
        <f t="shared" si="14"/>
        <v>0</v>
      </c>
    </row>
    <row r="79" spans="1:15" x14ac:dyDescent="0.25">
      <c r="A79">
        <f t="shared" si="16"/>
        <v>19</v>
      </c>
      <c r="C79" s="19"/>
      <c r="D79" s="20" t="s">
        <v>68</v>
      </c>
      <c r="E79" s="20"/>
      <c r="F79" s="20" t="s">
        <v>70</v>
      </c>
      <c r="G79" s="37"/>
      <c r="H79" s="20" t="s">
        <v>74</v>
      </c>
      <c r="I79" s="20"/>
      <c r="J79" s="20"/>
      <c r="K79" s="21"/>
      <c r="M79" s="21">
        <f t="shared" si="13"/>
        <v>0</v>
      </c>
      <c r="N79" s="27">
        <f t="shared" si="15"/>
        <v>0</v>
      </c>
      <c r="O79" s="33">
        <f t="shared" si="14"/>
        <v>0</v>
      </c>
    </row>
    <row r="80" spans="1:15" x14ac:dyDescent="0.25">
      <c r="A80">
        <f t="shared" si="16"/>
        <v>20</v>
      </c>
      <c r="C80" s="19"/>
      <c r="D80" s="20" t="s">
        <v>68</v>
      </c>
      <c r="E80" s="20"/>
      <c r="F80" s="20" t="s">
        <v>70</v>
      </c>
      <c r="G80" s="37"/>
      <c r="H80" s="20" t="s">
        <v>74</v>
      </c>
      <c r="I80" s="20"/>
      <c r="J80" s="20"/>
      <c r="K80" s="21"/>
      <c r="M80" s="21">
        <f t="shared" si="13"/>
        <v>0</v>
      </c>
      <c r="N80" s="27">
        <f t="shared" si="15"/>
        <v>0</v>
      </c>
      <c r="O80" s="33">
        <f t="shared" si="14"/>
        <v>0</v>
      </c>
    </row>
    <row r="81" spans="1:16" x14ac:dyDescent="0.25">
      <c r="A81">
        <f t="shared" si="16"/>
        <v>21</v>
      </c>
      <c r="C81" s="19"/>
      <c r="D81" s="20" t="s">
        <v>68</v>
      </c>
      <c r="E81" s="20"/>
      <c r="F81" s="20" t="s">
        <v>70</v>
      </c>
      <c r="G81" s="37"/>
      <c r="H81" s="20" t="s">
        <v>74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90234</v>
      </c>
      <c r="L82" s="44">
        <f ca="1">SUM(L61:L85)</f>
        <v>0</v>
      </c>
      <c r="M82" s="44">
        <f>SUM(M61:M81)</f>
        <v>9667.9285714285743</v>
      </c>
      <c r="N82" s="44">
        <f>SUM(N61:N81)</f>
        <v>80566.071428571406</v>
      </c>
      <c r="O82" s="45">
        <f>SUM(O61:O81)</f>
        <v>805.66071428571422</v>
      </c>
    </row>
    <row r="84" spans="1:16" ht="15.75" x14ac:dyDescent="0.25">
      <c r="C84" s="41" t="s">
        <v>102</v>
      </c>
      <c r="D84" s="42"/>
      <c r="E84" s="42"/>
      <c r="F84" s="43" t="s">
        <v>75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114</v>
      </c>
      <c r="J86" s="9" t="s">
        <v>116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115</v>
      </c>
      <c r="J87" s="9" t="s">
        <v>117</v>
      </c>
      <c r="K87" s="46" t="s">
        <v>104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1</v>
      </c>
      <c r="C88" s="19" t="s">
        <v>76</v>
      </c>
      <c r="D88" s="20" t="s">
        <v>68</v>
      </c>
      <c r="E88" s="12"/>
      <c r="F88" s="20" t="s">
        <v>70</v>
      </c>
      <c r="G88" s="37" t="s">
        <v>103</v>
      </c>
      <c r="H88" s="20" t="s">
        <v>74</v>
      </c>
      <c r="I88" s="20"/>
      <c r="J88" s="20"/>
      <c r="K88" s="21">
        <v>1608</v>
      </c>
      <c r="L88" s="21"/>
      <c r="M88" s="21">
        <v>16488</v>
      </c>
      <c r="N88" s="21">
        <f t="shared" ref="N88:N107" si="17">P88*12</f>
        <v>1766.5714285714287</v>
      </c>
      <c r="O88" s="27">
        <f t="shared" ref="O88:O107" si="18">M88-N88</f>
        <v>14721.428571428571</v>
      </c>
      <c r="P88" s="33">
        <f t="shared" ref="P88:P107" si="19">M88/112</f>
        <v>147.21428571428572</v>
      </c>
    </row>
    <row r="89" spans="1:16" x14ac:dyDescent="0.25">
      <c r="A89">
        <f>A88+1</f>
        <v>2</v>
      </c>
      <c r="C89" s="19" t="s">
        <v>77</v>
      </c>
      <c r="D89" s="20" t="s">
        <v>68</v>
      </c>
      <c r="E89" s="20"/>
      <c r="F89" s="20" t="s">
        <v>70</v>
      </c>
      <c r="G89" s="37" t="s">
        <v>105</v>
      </c>
      <c r="H89" s="20" t="s">
        <v>74</v>
      </c>
      <c r="I89" s="20"/>
      <c r="J89" s="20"/>
      <c r="K89" s="21">
        <v>1849</v>
      </c>
      <c r="L89" s="21"/>
      <c r="M89" s="21">
        <v>11328</v>
      </c>
      <c r="N89" s="21">
        <f t="shared" si="17"/>
        <v>1213.7142857142858</v>
      </c>
      <c r="O89" s="27">
        <f t="shared" si="18"/>
        <v>10114.285714285714</v>
      </c>
      <c r="P89" s="33">
        <f t="shared" si="19"/>
        <v>101.14285714285714</v>
      </c>
    </row>
    <row r="90" spans="1:16" x14ac:dyDescent="0.25">
      <c r="A90">
        <f t="shared" ref="A90:A108" si="20">A89+1</f>
        <v>3</v>
      </c>
      <c r="C90" s="19" t="s">
        <v>78</v>
      </c>
      <c r="D90" s="20" t="s">
        <v>68</v>
      </c>
      <c r="E90" s="20"/>
      <c r="F90" s="20" t="s">
        <v>70</v>
      </c>
      <c r="G90" s="37" t="s">
        <v>106</v>
      </c>
      <c r="H90" s="20" t="s">
        <v>74</v>
      </c>
      <c r="I90" s="20"/>
      <c r="J90" s="20"/>
      <c r="K90" s="21">
        <v>1836</v>
      </c>
      <c r="L90" s="21"/>
      <c r="M90" s="21">
        <v>11016</v>
      </c>
      <c r="N90" s="21">
        <f t="shared" si="17"/>
        <v>1180.2857142857142</v>
      </c>
      <c r="O90" s="27">
        <f t="shared" si="18"/>
        <v>9835.7142857142862</v>
      </c>
      <c r="P90" s="33">
        <f t="shared" si="19"/>
        <v>98.357142857142861</v>
      </c>
    </row>
    <row r="91" spans="1:16" x14ac:dyDescent="0.25">
      <c r="A91">
        <f t="shared" si="20"/>
        <v>4</v>
      </c>
      <c r="C91" s="19" t="s">
        <v>79</v>
      </c>
      <c r="D91" s="20" t="s">
        <v>68</v>
      </c>
      <c r="E91" s="20"/>
      <c r="F91" s="20" t="s">
        <v>70</v>
      </c>
      <c r="G91" s="37" t="s">
        <v>107</v>
      </c>
      <c r="H91" s="20" t="s">
        <v>74</v>
      </c>
      <c r="I91" s="20"/>
      <c r="J91" s="20"/>
      <c r="K91" s="21">
        <v>1709</v>
      </c>
      <c r="L91" s="21"/>
      <c r="M91" s="21">
        <v>13800</v>
      </c>
      <c r="N91" s="21">
        <f t="shared" si="17"/>
        <v>1478.5714285714284</v>
      </c>
      <c r="O91" s="27">
        <f t="shared" si="18"/>
        <v>12321.428571428572</v>
      </c>
      <c r="P91" s="33">
        <f t="shared" si="19"/>
        <v>123.21428571428571</v>
      </c>
    </row>
    <row r="92" spans="1:16" x14ac:dyDescent="0.25">
      <c r="A92">
        <f t="shared" si="20"/>
        <v>5</v>
      </c>
      <c r="C92" s="19" t="s">
        <v>80</v>
      </c>
      <c r="D92" s="20" t="s">
        <v>68</v>
      </c>
      <c r="E92" s="20"/>
      <c r="F92" s="20" t="s">
        <v>70</v>
      </c>
      <c r="G92" s="37" t="s">
        <v>108</v>
      </c>
      <c r="H92" s="20" t="s">
        <v>74</v>
      </c>
      <c r="I92" s="20"/>
      <c r="J92" s="20"/>
      <c r="K92" s="21">
        <v>1836</v>
      </c>
      <c r="L92" s="21"/>
      <c r="M92" s="21">
        <v>11016</v>
      </c>
      <c r="N92" s="21">
        <f t="shared" si="17"/>
        <v>1180.2857142857142</v>
      </c>
      <c r="O92" s="27">
        <f t="shared" si="18"/>
        <v>9835.7142857142862</v>
      </c>
      <c r="P92" s="33">
        <f t="shared" si="19"/>
        <v>98.357142857142861</v>
      </c>
    </row>
    <row r="93" spans="1:16" x14ac:dyDescent="0.25">
      <c r="A93">
        <f t="shared" si="20"/>
        <v>6</v>
      </c>
      <c r="C93" s="19" t="s">
        <v>80</v>
      </c>
      <c r="D93" s="20" t="s">
        <v>68</v>
      </c>
      <c r="E93" s="20"/>
      <c r="F93" s="20" t="s">
        <v>70</v>
      </c>
      <c r="G93" s="37" t="s">
        <v>109</v>
      </c>
      <c r="H93" s="20" t="s">
        <v>74</v>
      </c>
      <c r="I93" s="20"/>
      <c r="J93" s="20"/>
      <c r="K93" s="21">
        <v>1836</v>
      </c>
      <c r="L93" s="21"/>
      <c r="M93" s="21">
        <v>11016</v>
      </c>
      <c r="N93" s="21">
        <f t="shared" si="17"/>
        <v>1180.2857142857142</v>
      </c>
      <c r="O93" s="27">
        <f t="shared" si="18"/>
        <v>9835.7142857142862</v>
      </c>
      <c r="P93" s="33">
        <f t="shared" si="19"/>
        <v>98.357142857142861</v>
      </c>
    </row>
    <row r="94" spans="1:16" x14ac:dyDescent="0.25">
      <c r="A94">
        <f t="shared" si="20"/>
        <v>7</v>
      </c>
      <c r="C94" s="19"/>
      <c r="D94" s="20" t="s">
        <v>68</v>
      </c>
      <c r="E94" s="20"/>
      <c r="F94" s="20" t="s">
        <v>70</v>
      </c>
      <c r="G94" s="37"/>
      <c r="H94" s="20" t="s">
        <v>74</v>
      </c>
      <c r="I94" s="20"/>
      <c r="J94" s="20"/>
      <c r="K94" s="21"/>
      <c r="L94" s="21"/>
      <c r="M94" s="21"/>
      <c r="N94" s="21">
        <f t="shared" si="17"/>
        <v>0</v>
      </c>
      <c r="O94" s="27">
        <f t="shared" si="18"/>
        <v>0</v>
      </c>
      <c r="P94" s="33">
        <f t="shared" si="19"/>
        <v>0</v>
      </c>
    </row>
    <row r="95" spans="1:16" x14ac:dyDescent="0.25">
      <c r="A95">
        <f t="shared" si="20"/>
        <v>8</v>
      </c>
      <c r="C95" s="19"/>
      <c r="D95" s="20" t="s">
        <v>68</v>
      </c>
      <c r="E95" s="20"/>
      <c r="F95" s="20" t="s">
        <v>70</v>
      </c>
      <c r="G95" s="37"/>
      <c r="H95" s="20" t="s">
        <v>74</v>
      </c>
      <c r="I95" s="20"/>
      <c r="J95" s="20"/>
      <c r="K95" s="21"/>
      <c r="L95" s="21"/>
      <c r="M95" s="21"/>
      <c r="N95" s="21">
        <f t="shared" si="17"/>
        <v>0</v>
      </c>
      <c r="O95" s="27">
        <f t="shared" si="18"/>
        <v>0</v>
      </c>
      <c r="P95" s="33">
        <f t="shared" si="19"/>
        <v>0</v>
      </c>
    </row>
    <row r="96" spans="1:16" x14ac:dyDescent="0.25">
      <c r="A96">
        <f t="shared" si="20"/>
        <v>9</v>
      </c>
      <c r="C96" s="19"/>
      <c r="D96" s="20" t="s">
        <v>68</v>
      </c>
      <c r="E96" s="20"/>
      <c r="F96" s="20" t="s">
        <v>70</v>
      </c>
      <c r="G96" s="37"/>
      <c r="H96" s="20" t="s">
        <v>74</v>
      </c>
      <c r="I96" s="20"/>
      <c r="J96" s="20"/>
      <c r="K96" s="21"/>
      <c r="L96" s="21"/>
      <c r="M96" s="21"/>
      <c r="N96" s="21">
        <f t="shared" si="17"/>
        <v>0</v>
      </c>
      <c r="O96" s="27">
        <f t="shared" si="18"/>
        <v>0</v>
      </c>
      <c r="P96" s="33">
        <f t="shared" si="19"/>
        <v>0</v>
      </c>
    </row>
    <row r="97" spans="1:16" x14ac:dyDescent="0.25">
      <c r="A97">
        <f t="shared" si="20"/>
        <v>10</v>
      </c>
      <c r="C97" s="19"/>
      <c r="D97" s="20" t="s">
        <v>68</v>
      </c>
      <c r="E97" s="20"/>
      <c r="F97" s="20" t="s">
        <v>70</v>
      </c>
      <c r="G97" s="37"/>
      <c r="H97" s="20" t="s">
        <v>74</v>
      </c>
      <c r="I97" s="20"/>
      <c r="J97" s="20"/>
      <c r="K97" s="21"/>
      <c r="L97" s="21"/>
      <c r="M97" s="21"/>
      <c r="N97" s="21">
        <f t="shared" si="17"/>
        <v>0</v>
      </c>
      <c r="O97" s="27">
        <f t="shared" si="18"/>
        <v>0</v>
      </c>
      <c r="P97" s="33">
        <f t="shared" si="19"/>
        <v>0</v>
      </c>
    </row>
    <row r="98" spans="1:16" x14ac:dyDescent="0.25">
      <c r="A98">
        <f t="shared" si="20"/>
        <v>11</v>
      </c>
      <c r="C98" s="19"/>
      <c r="D98" s="20" t="s">
        <v>68</v>
      </c>
      <c r="E98" s="20"/>
      <c r="F98" s="20" t="s">
        <v>70</v>
      </c>
      <c r="G98" s="37"/>
      <c r="H98" s="20" t="s">
        <v>74</v>
      </c>
      <c r="I98" s="20"/>
      <c r="J98" s="20"/>
      <c r="K98" s="21"/>
      <c r="L98" s="21"/>
      <c r="M98" s="21"/>
      <c r="N98" s="21">
        <f t="shared" si="17"/>
        <v>0</v>
      </c>
      <c r="O98" s="27">
        <f t="shared" si="18"/>
        <v>0</v>
      </c>
      <c r="P98" s="33">
        <f t="shared" si="19"/>
        <v>0</v>
      </c>
    </row>
    <row r="99" spans="1:16" x14ac:dyDescent="0.25">
      <c r="A99">
        <f t="shared" si="20"/>
        <v>12</v>
      </c>
      <c r="C99" s="19"/>
      <c r="D99" s="20" t="s">
        <v>68</v>
      </c>
      <c r="E99" s="20"/>
      <c r="F99" s="20" t="s">
        <v>70</v>
      </c>
      <c r="G99" s="37"/>
      <c r="H99" s="20" t="s">
        <v>74</v>
      </c>
      <c r="I99" s="20"/>
      <c r="J99" s="20"/>
      <c r="K99" s="21"/>
      <c r="L99" s="21"/>
      <c r="M99" s="21"/>
      <c r="N99" s="21">
        <f t="shared" si="17"/>
        <v>0</v>
      </c>
      <c r="O99" s="27">
        <f t="shared" si="18"/>
        <v>0</v>
      </c>
      <c r="P99" s="33">
        <f t="shared" si="19"/>
        <v>0</v>
      </c>
    </row>
    <row r="100" spans="1:16" x14ac:dyDescent="0.25">
      <c r="A100">
        <f t="shared" si="20"/>
        <v>13</v>
      </c>
      <c r="C100" s="19"/>
      <c r="D100" s="20" t="s">
        <v>68</v>
      </c>
      <c r="E100" s="20"/>
      <c r="F100" s="20" t="s">
        <v>70</v>
      </c>
      <c r="G100" s="37"/>
      <c r="H100" s="20" t="s">
        <v>74</v>
      </c>
      <c r="I100" s="20"/>
      <c r="J100" s="20"/>
      <c r="K100" s="21"/>
      <c r="L100" s="21"/>
      <c r="M100" s="21"/>
      <c r="N100" s="21">
        <f t="shared" si="17"/>
        <v>0</v>
      </c>
      <c r="O100" s="27">
        <f t="shared" si="18"/>
        <v>0</v>
      </c>
      <c r="P100" s="33">
        <f t="shared" si="19"/>
        <v>0</v>
      </c>
    </row>
    <row r="101" spans="1:16" x14ac:dyDescent="0.25">
      <c r="A101">
        <f t="shared" si="20"/>
        <v>14</v>
      </c>
      <c r="C101" s="19"/>
      <c r="D101" s="20" t="s">
        <v>68</v>
      </c>
      <c r="E101" s="20"/>
      <c r="F101" s="20" t="s">
        <v>70</v>
      </c>
      <c r="G101" s="37"/>
      <c r="H101" s="20" t="s">
        <v>74</v>
      </c>
      <c r="I101" s="20"/>
      <c r="J101" s="20"/>
      <c r="K101" s="21"/>
      <c r="L101" s="21"/>
      <c r="M101" s="21"/>
      <c r="N101" s="21">
        <f t="shared" si="17"/>
        <v>0</v>
      </c>
      <c r="O101" s="27">
        <f t="shared" si="18"/>
        <v>0</v>
      </c>
      <c r="P101" s="33">
        <f t="shared" si="19"/>
        <v>0</v>
      </c>
    </row>
    <row r="102" spans="1:16" x14ac:dyDescent="0.25">
      <c r="A102">
        <f t="shared" si="20"/>
        <v>15</v>
      </c>
      <c r="C102" s="19"/>
      <c r="D102" s="20" t="s">
        <v>68</v>
      </c>
      <c r="E102" s="20"/>
      <c r="F102" s="20" t="s">
        <v>70</v>
      </c>
      <c r="G102" s="37"/>
      <c r="H102" s="20" t="s">
        <v>74</v>
      </c>
      <c r="I102" s="20"/>
      <c r="J102" s="20"/>
      <c r="K102" s="21"/>
      <c r="L102" s="21"/>
      <c r="M102" s="21"/>
      <c r="N102" s="21">
        <f t="shared" si="17"/>
        <v>0</v>
      </c>
      <c r="O102" s="27">
        <f t="shared" si="18"/>
        <v>0</v>
      </c>
      <c r="P102" s="33">
        <f t="shared" si="19"/>
        <v>0</v>
      </c>
    </row>
    <row r="103" spans="1:16" x14ac:dyDescent="0.25">
      <c r="A103">
        <f t="shared" si="20"/>
        <v>16</v>
      </c>
      <c r="C103" s="19"/>
      <c r="D103" s="20" t="s">
        <v>68</v>
      </c>
      <c r="E103" s="20"/>
      <c r="F103" s="20" t="s">
        <v>70</v>
      </c>
      <c r="G103" s="37"/>
      <c r="H103" s="20" t="s">
        <v>74</v>
      </c>
      <c r="I103" s="20"/>
      <c r="J103" s="20"/>
      <c r="K103" s="21"/>
      <c r="L103" s="21"/>
      <c r="M103" s="21"/>
      <c r="N103" s="21">
        <f t="shared" si="17"/>
        <v>0</v>
      </c>
      <c r="O103" s="27">
        <f t="shared" si="18"/>
        <v>0</v>
      </c>
      <c r="P103" s="33">
        <f t="shared" si="19"/>
        <v>0</v>
      </c>
    </row>
    <row r="104" spans="1:16" x14ac:dyDescent="0.25">
      <c r="A104">
        <f t="shared" si="20"/>
        <v>17</v>
      </c>
      <c r="C104" s="19"/>
      <c r="D104" s="20" t="s">
        <v>68</v>
      </c>
      <c r="E104" s="20"/>
      <c r="F104" s="20" t="s">
        <v>70</v>
      </c>
      <c r="G104" s="37"/>
      <c r="H104" s="20" t="s">
        <v>74</v>
      </c>
      <c r="I104" s="20"/>
      <c r="J104" s="20"/>
      <c r="K104" s="21"/>
      <c r="L104" s="21"/>
      <c r="M104" s="21"/>
      <c r="N104" s="21">
        <f t="shared" si="17"/>
        <v>0</v>
      </c>
      <c r="O104" s="27">
        <f t="shared" si="18"/>
        <v>0</v>
      </c>
      <c r="P104" s="33">
        <f t="shared" si="19"/>
        <v>0</v>
      </c>
    </row>
    <row r="105" spans="1:16" x14ac:dyDescent="0.25">
      <c r="A105">
        <f t="shared" si="20"/>
        <v>18</v>
      </c>
      <c r="C105" s="19"/>
      <c r="D105" s="20" t="s">
        <v>68</v>
      </c>
      <c r="E105" s="20"/>
      <c r="F105" s="20" t="s">
        <v>70</v>
      </c>
      <c r="G105" s="37"/>
      <c r="H105" s="20" t="s">
        <v>74</v>
      </c>
      <c r="I105" s="20"/>
      <c r="J105" s="20"/>
      <c r="K105" s="21"/>
      <c r="L105" s="21"/>
      <c r="M105" s="21"/>
      <c r="N105" s="21">
        <f t="shared" si="17"/>
        <v>0</v>
      </c>
      <c r="O105" s="27">
        <f t="shared" si="18"/>
        <v>0</v>
      </c>
      <c r="P105" s="33">
        <f t="shared" si="19"/>
        <v>0</v>
      </c>
    </row>
    <row r="106" spans="1:16" x14ac:dyDescent="0.25">
      <c r="A106">
        <f t="shared" si="20"/>
        <v>19</v>
      </c>
      <c r="C106" s="19"/>
      <c r="D106" s="20" t="s">
        <v>68</v>
      </c>
      <c r="E106" s="20"/>
      <c r="F106" s="20" t="s">
        <v>70</v>
      </c>
      <c r="G106" s="37"/>
      <c r="H106" s="20" t="s">
        <v>74</v>
      </c>
      <c r="I106" s="20"/>
      <c r="J106" s="20"/>
      <c r="K106" s="21"/>
      <c r="L106" s="21"/>
      <c r="M106" s="21"/>
      <c r="N106" s="21">
        <f t="shared" si="17"/>
        <v>0</v>
      </c>
      <c r="O106" s="27">
        <f t="shared" si="18"/>
        <v>0</v>
      </c>
      <c r="P106" s="33">
        <f t="shared" si="19"/>
        <v>0</v>
      </c>
    </row>
    <row r="107" spans="1:16" x14ac:dyDescent="0.25">
      <c r="A107">
        <f t="shared" si="20"/>
        <v>20</v>
      </c>
      <c r="C107" s="19"/>
      <c r="D107" s="20" t="s">
        <v>68</v>
      </c>
      <c r="E107" s="20"/>
      <c r="F107" s="20" t="s">
        <v>70</v>
      </c>
      <c r="G107" s="37"/>
      <c r="H107" s="20" t="s">
        <v>74</v>
      </c>
      <c r="I107" s="20"/>
      <c r="J107" s="20"/>
      <c r="K107" s="21"/>
      <c r="L107" s="21"/>
      <c r="M107" s="21"/>
      <c r="N107" s="21">
        <f t="shared" si="17"/>
        <v>0</v>
      </c>
      <c r="O107" s="27">
        <f t="shared" si="18"/>
        <v>0</v>
      </c>
      <c r="P107" s="33">
        <f t="shared" si="19"/>
        <v>0</v>
      </c>
    </row>
    <row r="108" spans="1:16" x14ac:dyDescent="0.25">
      <c r="A108">
        <f t="shared" si="20"/>
        <v>21</v>
      </c>
      <c r="C108" s="19"/>
      <c r="D108" s="20" t="s">
        <v>68</v>
      </c>
      <c r="E108" s="20"/>
      <c r="F108" s="20" t="s">
        <v>70</v>
      </c>
      <c r="G108" s="37"/>
      <c r="H108" s="20" t="s">
        <v>74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10674</v>
      </c>
      <c r="L109" s="44">
        <f ca="1">SUM(L88:L112)</f>
        <v>0</v>
      </c>
      <c r="M109" s="44">
        <f>SUM(M88:M108)</f>
        <v>74664</v>
      </c>
      <c r="N109" s="44">
        <f>SUM(N88:N108)</f>
        <v>7999.7142857142862</v>
      </c>
      <c r="O109" s="45">
        <f>SUM(O88:O108)</f>
        <v>66664.28571428571</v>
      </c>
      <c r="P109" s="45">
        <f>SUM(P88:P108)</f>
        <v>666.64285714285722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2026-06-27T07:41:34Z</dcterms:modified>
</cp:coreProperties>
</file>