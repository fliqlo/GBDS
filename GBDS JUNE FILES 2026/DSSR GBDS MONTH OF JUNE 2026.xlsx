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E4FE46A1-7978-4566-A4D5-035A0590702E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EXAMPLE" sheetId="89" r:id="rId1"/>
    <sheet name="05,01" sheetId="117" r:id="rId2"/>
    <sheet name="05,02" sheetId="118" r:id="rId3"/>
    <sheet name="05,03" sheetId="119" r:id="rId4"/>
    <sheet name="05,05" sheetId="120" r:id="rId5"/>
    <sheet name="05,06" sheetId="121" r:id="rId6"/>
    <sheet name="05,07" sheetId="122" r:id="rId7"/>
    <sheet name="05,08" sheetId="123" r:id="rId8"/>
  </sheets>
  <definedNames>
    <definedName name="_xlnm.Print_Area" localSheetId="1">'05,01'!$A$1:$Y$61</definedName>
    <definedName name="_xlnm.Print_Area" localSheetId="2">'05,02'!$A$1:$Y$61</definedName>
    <definedName name="_xlnm.Print_Area" localSheetId="3">'05,03'!$A$1:$Y$61</definedName>
    <definedName name="_xlnm.Print_Area" localSheetId="4">'05,05'!$A$1:$Y$61</definedName>
    <definedName name="_xlnm.Print_Area" localSheetId="5">'05,06'!$A$1:$Y$61</definedName>
    <definedName name="_xlnm.Print_Area" localSheetId="6">'05,07'!$A$1:$Y$61</definedName>
    <definedName name="_xlnm.Print_Area" localSheetId="7">'05,08'!$A$1:$Y$61</definedName>
    <definedName name="_xlnm.Print_Area" localSheetId="0">EXAMPLE!$A$1:$Y$91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0" i="123" l="1"/>
  <c r="P60" i="123"/>
  <c r="O60" i="123"/>
  <c r="N60" i="123"/>
  <c r="M60" i="123"/>
  <c r="L60" i="123"/>
  <c r="H60" i="123"/>
  <c r="G60" i="123"/>
  <c r="E60" i="123"/>
  <c r="D60" i="123"/>
  <c r="C60" i="123"/>
  <c r="S59" i="123"/>
  <c r="R59" i="123"/>
  <c r="J59" i="123"/>
  <c r="I59" i="123"/>
  <c r="S58" i="123"/>
  <c r="R58" i="123"/>
  <c r="J58" i="123"/>
  <c r="I58" i="123"/>
  <c r="S57" i="123"/>
  <c r="R57" i="123"/>
  <c r="J57" i="123"/>
  <c r="I57" i="123"/>
  <c r="S56" i="123"/>
  <c r="R56" i="123"/>
  <c r="J56" i="123"/>
  <c r="I56" i="123"/>
  <c r="S55" i="123"/>
  <c r="R55" i="123"/>
  <c r="J55" i="123"/>
  <c r="I55" i="123"/>
  <c r="V54" i="123"/>
  <c r="U54" i="123"/>
  <c r="S54" i="123"/>
  <c r="R54" i="123"/>
  <c r="J54" i="123"/>
  <c r="W54" i="123" s="1"/>
  <c r="I54" i="123"/>
  <c r="W53" i="123"/>
  <c r="U53" i="123"/>
  <c r="V53" i="123" s="1"/>
  <c r="S53" i="123"/>
  <c r="R53" i="123"/>
  <c r="J53" i="123"/>
  <c r="I53" i="123"/>
  <c r="V52" i="123"/>
  <c r="U52" i="123"/>
  <c r="S52" i="123"/>
  <c r="R52" i="123"/>
  <c r="J52" i="123"/>
  <c r="W52" i="123" s="1"/>
  <c r="I52" i="123"/>
  <c r="W51" i="123"/>
  <c r="U51" i="123"/>
  <c r="V51" i="123" s="1"/>
  <c r="S51" i="123"/>
  <c r="R51" i="123"/>
  <c r="J51" i="123"/>
  <c r="I51" i="123"/>
  <c r="V50" i="123"/>
  <c r="U50" i="123"/>
  <c r="S50" i="123"/>
  <c r="R50" i="123"/>
  <c r="J50" i="123"/>
  <c r="W50" i="123" s="1"/>
  <c r="I50" i="123"/>
  <c r="W49" i="123"/>
  <c r="U49" i="123"/>
  <c r="V49" i="123" s="1"/>
  <c r="S49" i="123"/>
  <c r="R49" i="123"/>
  <c r="J49" i="123"/>
  <c r="I49" i="123"/>
  <c r="V48" i="123"/>
  <c r="U48" i="123"/>
  <c r="S48" i="123"/>
  <c r="R48" i="123"/>
  <c r="J48" i="123"/>
  <c r="W48" i="123" s="1"/>
  <c r="I48" i="123"/>
  <c r="W47" i="123"/>
  <c r="U47" i="123"/>
  <c r="V47" i="123" s="1"/>
  <c r="S47" i="123"/>
  <c r="R47" i="123"/>
  <c r="J47" i="123"/>
  <c r="I47" i="123"/>
  <c r="V46" i="123"/>
  <c r="U46" i="123"/>
  <c r="S46" i="123"/>
  <c r="R46" i="123"/>
  <c r="J46" i="123"/>
  <c r="W46" i="123" s="1"/>
  <c r="I46" i="123"/>
  <c r="S45" i="123"/>
  <c r="R45" i="123"/>
  <c r="J45" i="123"/>
  <c r="I45" i="123"/>
  <c r="U44" i="123"/>
  <c r="V44" i="123" s="1"/>
  <c r="S44" i="123"/>
  <c r="R44" i="123"/>
  <c r="J44" i="123"/>
  <c r="I44" i="123"/>
  <c r="W44" i="123" s="1"/>
  <c r="S43" i="123"/>
  <c r="R43" i="123"/>
  <c r="J43" i="123"/>
  <c r="I43" i="123"/>
  <c r="W42" i="123"/>
  <c r="U42" i="123"/>
  <c r="V42" i="123" s="1"/>
  <c r="S42" i="123"/>
  <c r="R42" i="123"/>
  <c r="J42" i="123"/>
  <c r="I42" i="123"/>
  <c r="U41" i="123"/>
  <c r="V41" i="123" s="1"/>
  <c r="S41" i="123"/>
  <c r="R41" i="123"/>
  <c r="J41" i="123"/>
  <c r="I41" i="123"/>
  <c r="W41" i="123" s="1"/>
  <c r="W40" i="123"/>
  <c r="U40" i="123"/>
  <c r="V40" i="123" s="1"/>
  <c r="S40" i="123"/>
  <c r="R40" i="123"/>
  <c r="J40" i="123"/>
  <c r="I40" i="123"/>
  <c r="U39" i="123"/>
  <c r="V39" i="123" s="1"/>
  <c r="S39" i="123"/>
  <c r="R39" i="123"/>
  <c r="J39" i="123"/>
  <c r="I39" i="123"/>
  <c r="W39" i="123" s="1"/>
  <c r="W38" i="123"/>
  <c r="U38" i="123"/>
  <c r="V38" i="123" s="1"/>
  <c r="S38" i="123"/>
  <c r="R38" i="123"/>
  <c r="J38" i="123"/>
  <c r="I38" i="123"/>
  <c r="U37" i="123"/>
  <c r="V37" i="123" s="1"/>
  <c r="S37" i="123"/>
  <c r="R37" i="123"/>
  <c r="J37" i="123"/>
  <c r="I37" i="123"/>
  <c r="W37" i="123" s="1"/>
  <c r="W36" i="123"/>
  <c r="U36" i="123"/>
  <c r="V36" i="123" s="1"/>
  <c r="S36" i="123"/>
  <c r="R36" i="123"/>
  <c r="J36" i="123"/>
  <c r="I36" i="123"/>
  <c r="U35" i="123"/>
  <c r="V35" i="123" s="1"/>
  <c r="S35" i="123"/>
  <c r="R35" i="123"/>
  <c r="J35" i="123"/>
  <c r="I35" i="123"/>
  <c r="W35" i="123" s="1"/>
  <c r="W34" i="123"/>
  <c r="U34" i="123"/>
  <c r="V34" i="123" s="1"/>
  <c r="S34" i="123"/>
  <c r="R34" i="123"/>
  <c r="J34" i="123"/>
  <c r="I34" i="123"/>
  <c r="U33" i="123"/>
  <c r="V33" i="123" s="1"/>
  <c r="S33" i="123"/>
  <c r="R33" i="123"/>
  <c r="J33" i="123"/>
  <c r="I33" i="123"/>
  <c r="W33" i="123" s="1"/>
  <c r="W32" i="123"/>
  <c r="U32" i="123"/>
  <c r="V32" i="123" s="1"/>
  <c r="S32" i="123"/>
  <c r="R32" i="123"/>
  <c r="J32" i="123"/>
  <c r="I32" i="123"/>
  <c r="U31" i="123"/>
  <c r="V31" i="123" s="1"/>
  <c r="S31" i="123"/>
  <c r="R31" i="123"/>
  <c r="J31" i="123"/>
  <c r="I31" i="123"/>
  <c r="W31" i="123" s="1"/>
  <c r="W30" i="123"/>
  <c r="U30" i="123"/>
  <c r="V30" i="123" s="1"/>
  <c r="S30" i="123"/>
  <c r="R30" i="123"/>
  <c r="J30" i="123"/>
  <c r="I30" i="123"/>
  <c r="U29" i="123"/>
  <c r="V29" i="123" s="1"/>
  <c r="S29" i="123"/>
  <c r="R29" i="123"/>
  <c r="J29" i="123"/>
  <c r="I29" i="123"/>
  <c r="W29" i="123" s="1"/>
  <c r="W28" i="123"/>
  <c r="U28" i="123"/>
  <c r="V28" i="123" s="1"/>
  <c r="S28" i="123"/>
  <c r="R28" i="123"/>
  <c r="J28" i="123"/>
  <c r="I28" i="123"/>
  <c r="U27" i="123"/>
  <c r="V27" i="123" s="1"/>
  <c r="S27" i="123"/>
  <c r="S60" i="123" s="1"/>
  <c r="R27" i="123"/>
  <c r="J27" i="123"/>
  <c r="I27" i="123"/>
  <c r="W27" i="123" s="1"/>
  <c r="BE26" i="123"/>
  <c r="V26" i="123"/>
  <c r="U26" i="123"/>
  <c r="S26" i="123"/>
  <c r="R26" i="123"/>
  <c r="J26" i="123"/>
  <c r="I26" i="123"/>
  <c r="W26" i="123" s="1"/>
  <c r="V25" i="123"/>
  <c r="U25" i="123"/>
  <c r="S25" i="123"/>
  <c r="R25" i="123"/>
  <c r="J25" i="123"/>
  <c r="I25" i="123"/>
  <c r="W25" i="123" s="1"/>
  <c r="V24" i="123"/>
  <c r="U24" i="123"/>
  <c r="S24" i="123"/>
  <c r="R24" i="123"/>
  <c r="J24" i="123"/>
  <c r="I24" i="123"/>
  <c r="W24" i="123" s="1"/>
  <c r="V23" i="123"/>
  <c r="U23" i="123"/>
  <c r="S23" i="123"/>
  <c r="R23" i="123"/>
  <c r="J23" i="123"/>
  <c r="I23" i="123"/>
  <c r="W23" i="123" s="1"/>
  <c r="V22" i="123"/>
  <c r="U22" i="123"/>
  <c r="S22" i="123"/>
  <c r="R22" i="123"/>
  <c r="J22" i="123"/>
  <c r="I22" i="123"/>
  <c r="W22" i="123" s="1"/>
  <c r="V21" i="123"/>
  <c r="U21" i="123"/>
  <c r="S21" i="123"/>
  <c r="R21" i="123"/>
  <c r="J21" i="123"/>
  <c r="I21" i="123"/>
  <c r="W21" i="123" s="1"/>
  <c r="V20" i="123"/>
  <c r="U20" i="123"/>
  <c r="S20" i="123"/>
  <c r="R20" i="123"/>
  <c r="J20" i="123"/>
  <c r="I20" i="123"/>
  <c r="W20" i="123" s="1"/>
  <c r="V19" i="123"/>
  <c r="U19" i="123"/>
  <c r="S19" i="123"/>
  <c r="R19" i="123"/>
  <c r="J19" i="123"/>
  <c r="I19" i="123"/>
  <c r="W19" i="123" s="1"/>
  <c r="V18" i="123"/>
  <c r="U18" i="123"/>
  <c r="S18" i="123"/>
  <c r="R18" i="123"/>
  <c r="J18" i="123"/>
  <c r="I18" i="123"/>
  <c r="W18" i="123" s="1"/>
  <c r="V17" i="123"/>
  <c r="U17" i="123"/>
  <c r="S17" i="123"/>
  <c r="R17" i="123"/>
  <c r="J17" i="123"/>
  <c r="I17" i="123"/>
  <c r="W17" i="123" s="1"/>
  <c r="V16" i="123"/>
  <c r="U16" i="123"/>
  <c r="S16" i="123"/>
  <c r="R16" i="123"/>
  <c r="J16" i="123"/>
  <c r="I16" i="123"/>
  <c r="W16" i="123" s="1"/>
  <c r="V15" i="123"/>
  <c r="U15" i="123"/>
  <c r="S15" i="123"/>
  <c r="R15" i="123"/>
  <c r="J15" i="123"/>
  <c r="I15" i="123"/>
  <c r="W15" i="123" s="1"/>
  <c r="V14" i="123"/>
  <c r="U14" i="123"/>
  <c r="S14" i="123"/>
  <c r="R14" i="123"/>
  <c r="J14" i="123"/>
  <c r="I14" i="123"/>
  <c r="W14" i="123" s="1"/>
  <c r="V13" i="123"/>
  <c r="U13" i="123"/>
  <c r="S13" i="123"/>
  <c r="R13" i="123"/>
  <c r="J13" i="123"/>
  <c r="I13" i="123"/>
  <c r="W13" i="123" s="1"/>
  <c r="V12" i="123"/>
  <c r="U12" i="123"/>
  <c r="S12" i="123"/>
  <c r="R12" i="123"/>
  <c r="J12" i="123"/>
  <c r="I12" i="123"/>
  <c r="W12" i="123" s="1"/>
  <c r="V11" i="123"/>
  <c r="U11" i="123"/>
  <c r="S11" i="123"/>
  <c r="R11" i="123"/>
  <c r="J11" i="123"/>
  <c r="I11" i="123"/>
  <c r="W11" i="123" s="1"/>
  <c r="V10" i="123"/>
  <c r="U10" i="123"/>
  <c r="S10" i="123"/>
  <c r="R10" i="123"/>
  <c r="J10" i="123"/>
  <c r="I10" i="123"/>
  <c r="W10" i="123" s="1"/>
  <c r="U9" i="123"/>
  <c r="U60" i="123" s="1"/>
  <c r="S9" i="123"/>
  <c r="R9" i="123"/>
  <c r="J9" i="123"/>
  <c r="I9" i="123"/>
  <c r="W9" i="123" s="1"/>
  <c r="A9" i="123"/>
  <c r="A10" i="123" s="1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A37" i="123" s="1"/>
  <c r="A38" i="123" s="1"/>
  <c r="A39" i="123" s="1"/>
  <c r="A40" i="123" s="1"/>
  <c r="A41" i="123" s="1"/>
  <c r="A42" i="123" s="1"/>
  <c r="A43" i="123" s="1"/>
  <c r="A44" i="123" s="1"/>
  <c r="A45" i="123" s="1"/>
  <c r="A46" i="123" s="1"/>
  <c r="A47" i="123" s="1"/>
  <c r="A48" i="123" s="1"/>
  <c r="A49" i="123" s="1"/>
  <c r="A50" i="123" s="1"/>
  <c r="A51" i="123" s="1"/>
  <c r="A52" i="123" s="1"/>
  <c r="A53" i="123" s="1"/>
  <c r="A54" i="123" s="1"/>
  <c r="A55" i="123" s="1"/>
  <c r="A56" i="123" s="1"/>
  <c r="A57" i="123" s="1"/>
  <c r="A58" i="123" s="1"/>
  <c r="A59" i="123" s="1"/>
  <c r="V8" i="123"/>
  <c r="U8" i="123"/>
  <c r="S8" i="123"/>
  <c r="R8" i="123"/>
  <c r="R60" i="123" s="1"/>
  <c r="J8" i="123"/>
  <c r="J60" i="123" s="1"/>
  <c r="I8" i="123"/>
  <c r="W8" i="123" s="1"/>
  <c r="Q60" i="122"/>
  <c r="P60" i="122"/>
  <c r="O60" i="122"/>
  <c r="N60" i="122"/>
  <c r="M60" i="122"/>
  <c r="L60" i="122"/>
  <c r="H60" i="122"/>
  <c r="G60" i="122"/>
  <c r="E60" i="122"/>
  <c r="D60" i="122"/>
  <c r="C60" i="122"/>
  <c r="S59" i="122"/>
  <c r="R59" i="122"/>
  <c r="J59" i="122"/>
  <c r="I59" i="122"/>
  <c r="S58" i="122"/>
  <c r="R58" i="122"/>
  <c r="J58" i="122"/>
  <c r="I58" i="122"/>
  <c r="S57" i="122"/>
  <c r="R57" i="122"/>
  <c r="J57" i="122"/>
  <c r="I57" i="122"/>
  <c r="S56" i="122"/>
  <c r="R56" i="122"/>
  <c r="J56" i="122"/>
  <c r="I56" i="122"/>
  <c r="S55" i="122"/>
  <c r="R55" i="122"/>
  <c r="J55" i="122"/>
  <c r="I55" i="122"/>
  <c r="V54" i="122"/>
  <c r="U54" i="122"/>
  <c r="S54" i="122"/>
  <c r="R54" i="122"/>
  <c r="J54" i="122"/>
  <c r="W54" i="122" s="1"/>
  <c r="I54" i="122"/>
  <c r="U53" i="122"/>
  <c r="V53" i="122" s="1"/>
  <c r="S53" i="122"/>
  <c r="R53" i="122"/>
  <c r="J53" i="122"/>
  <c r="W53" i="122" s="1"/>
  <c r="I53" i="122"/>
  <c r="V52" i="122"/>
  <c r="U52" i="122"/>
  <c r="S52" i="122"/>
  <c r="R52" i="122"/>
  <c r="J52" i="122"/>
  <c r="W52" i="122" s="1"/>
  <c r="I52" i="122"/>
  <c r="U51" i="122"/>
  <c r="V51" i="122" s="1"/>
  <c r="S51" i="122"/>
  <c r="R51" i="122"/>
  <c r="J51" i="122"/>
  <c r="W51" i="122" s="1"/>
  <c r="I51" i="122"/>
  <c r="V50" i="122"/>
  <c r="U50" i="122"/>
  <c r="S50" i="122"/>
  <c r="R50" i="122"/>
  <c r="J50" i="122"/>
  <c r="W50" i="122" s="1"/>
  <c r="I50" i="122"/>
  <c r="U49" i="122"/>
  <c r="V49" i="122" s="1"/>
  <c r="S49" i="122"/>
  <c r="R49" i="122"/>
  <c r="J49" i="122"/>
  <c r="W49" i="122" s="1"/>
  <c r="I49" i="122"/>
  <c r="V48" i="122"/>
  <c r="U48" i="122"/>
  <c r="S48" i="122"/>
  <c r="R48" i="122"/>
  <c r="J48" i="122"/>
  <c r="W48" i="122" s="1"/>
  <c r="I48" i="122"/>
  <c r="U47" i="122"/>
  <c r="V47" i="122" s="1"/>
  <c r="S47" i="122"/>
  <c r="R47" i="122"/>
  <c r="J47" i="122"/>
  <c r="W47" i="122" s="1"/>
  <c r="I47" i="122"/>
  <c r="V46" i="122"/>
  <c r="U46" i="122"/>
  <c r="S46" i="122"/>
  <c r="R46" i="122"/>
  <c r="J46" i="122"/>
  <c r="W46" i="122" s="1"/>
  <c r="I46" i="122"/>
  <c r="S45" i="122"/>
  <c r="R45" i="122"/>
  <c r="R60" i="122" s="1"/>
  <c r="J45" i="122"/>
  <c r="I45" i="122"/>
  <c r="W44" i="122"/>
  <c r="U44" i="122"/>
  <c r="V44" i="122" s="1"/>
  <c r="S44" i="122"/>
  <c r="R44" i="122"/>
  <c r="J44" i="122"/>
  <c r="I44" i="122"/>
  <c r="S43" i="122"/>
  <c r="R43" i="122"/>
  <c r="J43" i="122"/>
  <c r="I43" i="122"/>
  <c r="W42" i="122"/>
  <c r="U42" i="122"/>
  <c r="V42" i="122" s="1"/>
  <c r="S42" i="122"/>
  <c r="R42" i="122"/>
  <c r="J42" i="122"/>
  <c r="I42" i="122"/>
  <c r="U41" i="122"/>
  <c r="V41" i="122" s="1"/>
  <c r="S41" i="122"/>
  <c r="R41" i="122"/>
  <c r="J41" i="122"/>
  <c r="I41" i="122"/>
  <c r="W41" i="122" s="1"/>
  <c r="W40" i="122"/>
  <c r="U40" i="122"/>
  <c r="V40" i="122" s="1"/>
  <c r="S40" i="122"/>
  <c r="R40" i="122"/>
  <c r="J40" i="122"/>
  <c r="I40" i="122"/>
  <c r="U39" i="122"/>
  <c r="V39" i="122" s="1"/>
  <c r="S39" i="122"/>
  <c r="R39" i="122"/>
  <c r="J39" i="122"/>
  <c r="I39" i="122"/>
  <c r="W39" i="122" s="1"/>
  <c r="W38" i="122"/>
  <c r="U38" i="122"/>
  <c r="V38" i="122" s="1"/>
  <c r="S38" i="122"/>
  <c r="R38" i="122"/>
  <c r="J38" i="122"/>
  <c r="I38" i="122"/>
  <c r="U37" i="122"/>
  <c r="V37" i="122" s="1"/>
  <c r="S37" i="122"/>
  <c r="R37" i="122"/>
  <c r="J37" i="122"/>
  <c r="I37" i="122"/>
  <c r="W37" i="122" s="1"/>
  <c r="W36" i="122"/>
  <c r="U36" i="122"/>
  <c r="V36" i="122" s="1"/>
  <c r="S36" i="122"/>
  <c r="R36" i="122"/>
  <c r="J36" i="122"/>
  <c r="I36" i="122"/>
  <c r="U35" i="122"/>
  <c r="V35" i="122" s="1"/>
  <c r="S35" i="122"/>
  <c r="R35" i="122"/>
  <c r="J35" i="122"/>
  <c r="I35" i="122"/>
  <c r="W35" i="122" s="1"/>
  <c r="W34" i="122"/>
  <c r="U34" i="122"/>
  <c r="V34" i="122" s="1"/>
  <c r="S34" i="122"/>
  <c r="R34" i="122"/>
  <c r="J34" i="122"/>
  <c r="I34" i="122"/>
  <c r="U33" i="122"/>
  <c r="V33" i="122" s="1"/>
  <c r="S33" i="122"/>
  <c r="R33" i="122"/>
  <c r="J33" i="122"/>
  <c r="I33" i="122"/>
  <c r="W33" i="122" s="1"/>
  <c r="W32" i="122"/>
  <c r="U32" i="122"/>
  <c r="V32" i="122" s="1"/>
  <c r="S32" i="122"/>
  <c r="R32" i="122"/>
  <c r="J32" i="122"/>
  <c r="I32" i="122"/>
  <c r="U31" i="122"/>
  <c r="V31" i="122" s="1"/>
  <c r="S31" i="122"/>
  <c r="R31" i="122"/>
  <c r="J31" i="122"/>
  <c r="I31" i="122"/>
  <c r="W31" i="122" s="1"/>
  <c r="W30" i="122"/>
  <c r="U30" i="122"/>
  <c r="V30" i="122" s="1"/>
  <c r="S30" i="122"/>
  <c r="R30" i="122"/>
  <c r="J30" i="122"/>
  <c r="I30" i="122"/>
  <c r="U29" i="122"/>
  <c r="V29" i="122" s="1"/>
  <c r="S29" i="122"/>
  <c r="R29" i="122"/>
  <c r="J29" i="122"/>
  <c r="I29" i="122"/>
  <c r="W29" i="122" s="1"/>
  <c r="W28" i="122"/>
  <c r="U28" i="122"/>
  <c r="V28" i="122" s="1"/>
  <c r="S28" i="122"/>
  <c r="R28" i="122"/>
  <c r="J28" i="122"/>
  <c r="I28" i="122"/>
  <c r="U27" i="122"/>
  <c r="V27" i="122" s="1"/>
  <c r="S27" i="122"/>
  <c r="S60" i="122" s="1"/>
  <c r="R27" i="122"/>
  <c r="J27" i="122"/>
  <c r="I27" i="122"/>
  <c r="W27" i="122" s="1"/>
  <c r="BE26" i="122"/>
  <c r="U26" i="122"/>
  <c r="V26" i="122" s="1"/>
  <c r="S26" i="122"/>
  <c r="R26" i="122"/>
  <c r="J26" i="122"/>
  <c r="I26" i="122"/>
  <c r="W26" i="122" s="1"/>
  <c r="U25" i="122"/>
  <c r="V25" i="122" s="1"/>
  <c r="S25" i="122"/>
  <c r="R25" i="122"/>
  <c r="J25" i="122"/>
  <c r="I25" i="122"/>
  <c r="W25" i="122" s="1"/>
  <c r="U24" i="122"/>
  <c r="V24" i="122" s="1"/>
  <c r="S24" i="122"/>
  <c r="R24" i="122"/>
  <c r="J24" i="122"/>
  <c r="I24" i="122"/>
  <c r="W24" i="122" s="1"/>
  <c r="U23" i="122"/>
  <c r="V23" i="122" s="1"/>
  <c r="S23" i="122"/>
  <c r="R23" i="122"/>
  <c r="J23" i="122"/>
  <c r="I23" i="122"/>
  <c r="W23" i="122" s="1"/>
  <c r="U22" i="122"/>
  <c r="V22" i="122" s="1"/>
  <c r="S22" i="122"/>
  <c r="R22" i="122"/>
  <c r="J22" i="122"/>
  <c r="I22" i="122"/>
  <c r="W22" i="122" s="1"/>
  <c r="U21" i="122"/>
  <c r="V21" i="122" s="1"/>
  <c r="S21" i="122"/>
  <c r="R21" i="122"/>
  <c r="J21" i="122"/>
  <c r="I21" i="122"/>
  <c r="W21" i="122" s="1"/>
  <c r="U20" i="122"/>
  <c r="V20" i="122" s="1"/>
  <c r="S20" i="122"/>
  <c r="R20" i="122"/>
  <c r="J20" i="122"/>
  <c r="I20" i="122"/>
  <c r="W20" i="122" s="1"/>
  <c r="U19" i="122"/>
  <c r="V19" i="122" s="1"/>
  <c r="S19" i="122"/>
  <c r="R19" i="122"/>
  <c r="J19" i="122"/>
  <c r="I19" i="122"/>
  <c r="W19" i="122" s="1"/>
  <c r="U18" i="122"/>
  <c r="V18" i="122" s="1"/>
  <c r="S18" i="122"/>
  <c r="R18" i="122"/>
  <c r="J18" i="122"/>
  <c r="I18" i="122"/>
  <c r="W18" i="122" s="1"/>
  <c r="U17" i="122"/>
  <c r="V17" i="122" s="1"/>
  <c r="S17" i="122"/>
  <c r="R17" i="122"/>
  <c r="J17" i="122"/>
  <c r="I17" i="122"/>
  <c r="W17" i="122" s="1"/>
  <c r="U16" i="122"/>
  <c r="V16" i="122" s="1"/>
  <c r="S16" i="122"/>
  <c r="R16" i="122"/>
  <c r="J16" i="122"/>
  <c r="I16" i="122"/>
  <c r="W16" i="122" s="1"/>
  <c r="U15" i="122"/>
  <c r="V15" i="122" s="1"/>
  <c r="S15" i="122"/>
  <c r="R15" i="122"/>
  <c r="J15" i="122"/>
  <c r="I15" i="122"/>
  <c r="W15" i="122" s="1"/>
  <c r="U14" i="122"/>
  <c r="V14" i="122" s="1"/>
  <c r="S14" i="122"/>
  <c r="R14" i="122"/>
  <c r="J14" i="122"/>
  <c r="I14" i="122"/>
  <c r="W14" i="122" s="1"/>
  <c r="U13" i="122"/>
  <c r="V13" i="122" s="1"/>
  <c r="S13" i="122"/>
  <c r="R13" i="122"/>
  <c r="J13" i="122"/>
  <c r="I13" i="122"/>
  <c r="W13" i="122" s="1"/>
  <c r="U12" i="122"/>
  <c r="V12" i="122" s="1"/>
  <c r="S12" i="122"/>
  <c r="R12" i="122"/>
  <c r="J12" i="122"/>
  <c r="I12" i="122"/>
  <c r="W12" i="122" s="1"/>
  <c r="U11" i="122"/>
  <c r="V11" i="122" s="1"/>
  <c r="S11" i="122"/>
  <c r="R11" i="122"/>
  <c r="J11" i="122"/>
  <c r="I11" i="122"/>
  <c r="W11" i="122" s="1"/>
  <c r="U10" i="122"/>
  <c r="V10" i="122" s="1"/>
  <c r="S10" i="122"/>
  <c r="R10" i="122"/>
  <c r="J10" i="122"/>
  <c r="I10" i="122"/>
  <c r="W10" i="122" s="1"/>
  <c r="U9" i="122"/>
  <c r="V9" i="122" s="1"/>
  <c r="S9" i="122"/>
  <c r="R9" i="122"/>
  <c r="J9" i="122"/>
  <c r="I9" i="122"/>
  <c r="W9" i="122" s="1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A24" i="122" s="1"/>
  <c r="A25" i="122" s="1"/>
  <c r="A26" i="122" s="1"/>
  <c r="A27" i="122" s="1"/>
  <c r="A28" i="122" s="1"/>
  <c r="A29" i="122" s="1"/>
  <c r="A30" i="122" s="1"/>
  <c r="A31" i="122" s="1"/>
  <c r="A32" i="122" s="1"/>
  <c r="A33" i="122" s="1"/>
  <c r="A34" i="122" s="1"/>
  <c r="A35" i="122" s="1"/>
  <c r="A36" i="122" s="1"/>
  <c r="A37" i="122" s="1"/>
  <c r="A38" i="122" s="1"/>
  <c r="A39" i="122" s="1"/>
  <c r="A40" i="122" s="1"/>
  <c r="A41" i="122" s="1"/>
  <c r="A42" i="122" s="1"/>
  <c r="A43" i="122" s="1"/>
  <c r="A44" i="122" s="1"/>
  <c r="A45" i="122" s="1"/>
  <c r="A46" i="122" s="1"/>
  <c r="A47" i="122" s="1"/>
  <c r="A48" i="122" s="1"/>
  <c r="A49" i="122" s="1"/>
  <c r="A50" i="122" s="1"/>
  <c r="A51" i="122" s="1"/>
  <c r="A52" i="122" s="1"/>
  <c r="A53" i="122" s="1"/>
  <c r="A54" i="122" s="1"/>
  <c r="A55" i="122" s="1"/>
  <c r="A56" i="122" s="1"/>
  <c r="A57" i="122" s="1"/>
  <c r="A58" i="122" s="1"/>
  <c r="A59" i="122" s="1"/>
  <c r="U8" i="122"/>
  <c r="U60" i="122" s="1"/>
  <c r="S8" i="122"/>
  <c r="R8" i="122"/>
  <c r="J8" i="122"/>
  <c r="J60" i="122" s="1"/>
  <c r="I8" i="122"/>
  <c r="W8" i="122" s="1"/>
  <c r="Q60" i="121"/>
  <c r="P60" i="121"/>
  <c r="O60" i="121"/>
  <c r="N60" i="121"/>
  <c r="M60" i="121"/>
  <c r="L60" i="121"/>
  <c r="H60" i="121"/>
  <c r="G60" i="121"/>
  <c r="E60" i="121"/>
  <c r="D60" i="121"/>
  <c r="C60" i="121"/>
  <c r="S59" i="121"/>
  <c r="R59" i="121"/>
  <c r="J59" i="121"/>
  <c r="I59" i="121"/>
  <c r="S58" i="121"/>
  <c r="R58" i="121"/>
  <c r="J58" i="121"/>
  <c r="I58" i="121"/>
  <c r="S57" i="121"/>
  <c r="R57" i="121"/>
  <c r="J57" i="121"/>
  <c r="I57" i="121"/>
  <c r="S56" i="121"/>
  <c r="R56" i="121"/>
  <c r="J56" i="121"/>
  <c r="I56" i="121"/>
  <c r="S55" i="121"/>
  <c r="R55" i="121"/>
  <c r="J55" i="121"/>
  <c r="I55" i="121"/>
  <c r="U54" i="121"/>
  <c r="V54" i="121" s="1"/>
  <c r="S54" i="121"/>
  <c r="R54" i="121"/>
  <c r="J54" i="121"/>
  <c r="I54" i="121"/>
  <c r="W54" i="121" s="1"/>
  <c r="W53" i="121"/>
  <c r="U53" i="121"/>
  <c r="V53" i="121" s="1"/>
  <c r="S53" i="121"/>
  <c r="R53" i="121"/>
  <c r="J53" i="121"/>
  <c r="I53" i="121"/>
  <c r="U52" i="121"/>
  <c r="V52" i="121" s="1"/>
  <c r="S52" i="121"/>
  <c r="R52" i="121"/>
  <c r="J52" i="121"/>
  <c r="I52" i="121"/>
  <c r="W52" i="121" s="1"/>
  <c r="W51" i="121"/>
  <c r="U51" i="121"/>
  <c r="V51" i="121" s="1"/>
  <c r="S51" i="121"/>
  <c r="R51" i="121"/>
  <c r="J51" i="121"/>
  <c r="I51" i="121"/>
  <c r="U50" i="121"/>
  <c r="V50" i="121" s="1"/>
  <c r="S50" i="121"/>
  <c r="R50" i="121"/>
  <c r="J50" i="121"/>
  <c r="I50" i="121"/>
  <c r="W50" i="121" s="1"/>
  <c r="W49" i="121"/>
  <c r="U49" i="121"/>
  <c r="V49" i="121" s="1"/>
  <c r="S49" i="121"/>
  <c r="R49" i="121"/>
  <c r="J49" i="121"/>
  <c r="I49" i="121"/>
  <c r="U48" i="121"/>
  <c r="V48" i="121" s="1"/>
  <c r="S48" i="121"/>
  <c r="R48" i="121"/>
  <c r="J48" i="121"/>
  <c r="I48" i="121"/>
  <c r="W48" i="121" s="1"/>
  <c r="W47" i="121"/>
  <c r="U47" i="121"/>
  <c r="V47" i="121" s="1"/>
  <c r="S47" i="121"/>
  <c r="R47" i="121"/>
  <c r="J47" i="121"/>
  <c r="I47" i="121"/>
  <c r="U46" i="121"/>
  <c r="V46" i="121" s="1"/>
  <c r="S46" i="121"/>
  <c r="R46" i="121"/>
  <c r="J46" i="121"/>
  <c r="I46" i="121"/>
  <c r="W46" i="121" s="1"/>
  <c r="S45" i="121"/>
  <c r="R45" i="121"/>
  <c r="J45" i="121"/>
  <c r="I45" i="121"/>
  <c r="U44" i="121"/>
  <c r="V44" i="121" s="1"/>
  <c r="S44" i="121"/>
  <c r="R44" i="121"/>
  <c r="J44" i="121"/>
  <c r="W44" i="121" s="1"/>
  <c r="I44" i="121"/>
  <c r="S43" i="121"/>
  <c r="R43" i="121"/>
  <c r="J43" i="121"/>
  <c r="I43" i="121"/>
  <c r="V42" i="121"/>
  <c r="U42" i="121"/>
  <c r="S42" i="121"/>
  <c r="R42" i="121"/>
  <c r="J42" i="121"/>
  <c r="I42" i="121"/>
  <c r="W42" i="121" s="1"/>
  <c r="U41" i="121"/>
  <c r="V41" i="121" s="1"/>
  <c r="S41" i="121"/>
  <c r="R41" i="121"/>
  <c r="J41" i="121"/>
  <c r="I41" i="121"/>
  <c r="W41" i="121" s="1"/>
  <c r="V40" i="121"/>
  <c r="U40" i="121"/>
  <c r="S40" i="121"/>
  <c r="R40" i="121"/>
  <c r="J40" i="121"/>
  <c r="I40" i="121"/>
  <c r="W40" i="121" s="1"/>
  <c r="U39" i="121"/>
  <c r="V39" i="121" s="1"/>
  <c r="S39" i="121"/>
  <c r="R39" i="121"/>
  <c r="J39" i="121"/>
  <c r="I39" i="121"/>
  <c r="W39" i="121" s="1"/>
  <c r="V38" i="121"/>
  <c r="U38" i="121"/>
  <c r="S38" i="121"/>
  <c r="R38" i="121"/>
  <c r="J38" i="121"/>
  <c r="I38" i="121"/>
  <c r="W38" i="121" s="1"/>
  <c r="U37" i="121"/>
  <c r="V37" i="121" s="1"/>
  <c r="S37" i="121"/>
  <c r="R37" i="121"/>
  <c r="J37" i="121"/>
  <c r="I37" i="121"/>
  <c r="W37" i="121" s="1"/>
  <c r="V36" i="121"/>
  <c r="U36" i="121"/>
  <c r="S36" i="121"/>
  <c r="R36" i="121"/>
  <c r="J36" i="121"/>
  <c r="I36" i="121"/>
  <c r="W36" i="121" s="1"/>
  <c r="U35" i="121"/>
  <c r="V35" i="121" s="1"/>
  <c r="S35" i="121"/>
  <c r="R35" i="121"/>
  <c r="J35" i="121"/>
  <c r="I35" i="121"/>
  <c r="W35" i="121" s="1"/>
  <c r="V34" i="121"/>
  <c r="U34" i="121"/>
  <c r="S34" i="121"/>
  <c r="R34" i="121"/>
  <c r="J34" i="121"/>
  <c r="I34" i="121"/>
  <c r="W34" i="121" s="1"/>
  <c r="U33" i="121"/>
  <c r="V33" i="121" s="1"/>
  <c r="S33" i="121"/>
  <c r="R33" i="121"/>
  <c r="J33" i="121"/>
  <c r="I33" i="121"/>
  <c r="W33" i="121" s="1"/>
  <c r="V32" i="121"/>
  <c r="U32" i="121"/>
  <c r="S32" i="121"/>
  <c r="R32" i="121"/>
  <c r="J32" i="121"/>
  <c r="I32" i="121"/>
  <c r="W32" i="121" s="1"/>
  <c r="U31" i="121"/>
  <c r="V31" i="121" s="1"/>
  <c r="S31" i="121"/>
  <c r="R31" i="121"/>
  <c r="J31" i="121"/>
  <c r="I31" i="121"/>
  <c r="W31" i="121" s="1"/>
  <c r="V30" i="121"/>
  <c r="U30" i="121"/>
  <c r="S30" i="121"/>
  <c r="R30" i="121"/>
  <c r="J30" i="121"/>
  <c r="I30" i="121"/>
  <c r="W30" i="121" s="1"/>
  <c r="U29" i="121"/>
  <c r="V29" i="121" s="1"/>
  <c r="S29" i="121"/>
  <c r="R29" i="121"/>
  <c r="J29" i="121"/>
  <c r="I29" i="121"/>
  <c r="W29" i="121" s="1"/>
  <c r="V28" i="121"/>
  <c r="U28" i="121"/>
  <c r="S28" i="121"/>
  <c r="R28" i="121"/>
  <c r="J28" i="121"/>
  <c r="I28" i="121"/>
  <c r="W28" i="121" s="1"/>
  <c r="U27" i="121"/>
  <c r="V27" i="121" s="1"/>
  <c r="S27" i="121"/>
  <c r="R27" i="121"/>
  <c r="J27" i="121"/>
  <c r="I27" i="121"/>
  <c r="W27" i="121" s="1"/>
  <c r="BE26" i="121"/>
  <c r="W26" i="121"/>
  <c r="U26" i="121"/>
  <c r="V26" i="121" s="1"/>
  <c r="S26" i="121"/>
  <c r="R26" i="121"/>
  <c r="J26" i="121"/>
  <c r="I26" i="121"/>
  <c r="U25" i="121"/>
  <c r="V25" i="121" s="1"/>
  <c r="S25" i="121"/>
  <c r="R25" i="121"/>
  <c r="J25" i="121"/>
  <c r="W25" i="121" s="1"/>
  <c r="I25" i="121"/>
  <c r="W24" i="121"/>
  <c r="U24" i="121"/>
  <c r="V24" i="121" s="1"/>
  <c r="S24" i="121"/>
  <c r="R24" i="121"/>
  <c r="J24" i="121"/>
  <c r="I24" i="121"/>
  <c r="U23" i="121"/>
  <c r="V23" i="121" s="1"/>
  <c r="S23" i="121"/>
  <c r="R23" i="121"/>
  <c r="J23" i="121"/>
  <c r="W23" i="121" s="1"/>
  <c r="I23" i="121"/>
  <c r="W22" i="121"/>
  <c r="U22" i="121"/>
  <c r="V22" i="121" s="1"/>
  <c r="S22" i="121"/>
  <c r="R22" i="121"/>
  <c r="J22" i="121"/>
  <c r="I22" i="121"/>
  <c r="U21" i="121"/>
  <c r="V21" i="121" s="1"/>
  <c r="S21" i="121"/>
  <c r="R21" i="121"/>
  <c r="J21" i="121"/>
  <c r="W21" i="121" s="1"/>
  <c r="I21" i="121"/>
  <c r="W20" i="121"/>
  <c r="U20" i="121"/>
  <c r="V20" i="121" s="1"/>
  <c r="S20" i="121"/>
  <c r="R20" i="121"/>
  <c r="J20" i="121"/>
  <c r="I20" i="121"/>
  <c r="U19" i="121"/>
  <c r="V19" i="121" s="1"/>
  <c r="S19" i="121"/>
  <c r="R19" i="121"/>
  <c r="J19" i="121"/>
  <c r="W19" i="121" s="1"/>
  <c r="I19" i="121"/>
  <c r="W18" i="121"/>
  <c r="U18" i="121"/>
  <c r="V18" i="121" s="1"/>
  <c r="S18" i="121"/>
  <c r="R18" i="121"/>
  <c r="J18" i="121"/>
  <c r="I18" i="121"/>
  <c r="U17" i="121"/>
  <c r="V17" i="121" s="1"/>
  <c r="S17" i="121"/>
  <c r="R17" i="121"/>
  <c r="J17" i="121"/>
  <c r="W17" i="121" s="1"/>
  <c r="I17" i="121"/>
  <c r="W16" i="121"/>
  <c r="U16" i="121"/>
  <c r="V16" i="121" s="1"/>
  <c r="S16" i="121"/>
  <c r="R16" i="121"/>
  <c r="J16" i="121"/>
  <c r="I16" i="121"/>
  <c r="U15" i="121"/>
  <c r="V15" i="121" s="1"/>
  <c r="S15" i="121"/>
  <c r="R15" i="121"/>
  <c r="J15" i="121"/>
  <c r="W15" i="121" s="1"/>
  <c r="I15" i="121"/>
  <c r="W14" i="121"/>
  <c r="U14" i="121"/>
  <c r="V14" i="121" s="1"/>
  <c r="S14" i="121"/>
  <c r="R14" i="121"/>
  <c r="J14" i="121"/>
  <c r="I14" i="121"/>
  <c r="U13" i="121"/>
  <c r="V13" i="121" s="1"/>
  <c r="S13" i="121"/>
  <c r="R13" i="121"/>
  <c r="J13" i="121"/>
  <c r="W13" i="121" s="1"/>
  <c r="I13" i="121"/>
  <c r="W12" i="121"/>
  <c r="U12" i="121"/>
  <c r="V12" i="121" s="1"/>
  <c r="S12" i="121"/>
  <c r="R12" i="121"/>
  <c r="J12" i="121"/>
  <c r="I12" i="121"/>
  <c r="U11" i="121"/>
  <c r="V11" i="121" s="1"/>
  <c r="S11" i="121"/>
  <c r="R11" i="121"/>
  <c r="J11" i="121"/>
  <c r="W11" i="121" s="1"/>
  <c r="I11" i="121"/>
  <c r="W10" i="121"/>
  <c r="U10" i="121"/>
  <c r="V10" i="121" s="1"/>
  <c r="S10" i="121"/>
  <c r="R10" i="121"/>
  <c r="J10" i="121"/>
  <c r="I10" i="121"/>
  <c r="A10" i="12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A38" i="121" s="1"/>
  <c r="A39" i="121" s="1"/>
  <c r="A40" i="121" s="1"/>
  <c r="A41" i="121" s="1"/>
  <c r="A42" i="121" s="1"/>
  <c r="A43" i="121" s="1"/>
  <c r="A44" i="121" s="1"/>
  <c r="A45" i="121" s="1"/>
  <c r="A46" i="121" s="1"/>
  <c r="A47" i="121" s="1"/>
  <c r="A48" i="121" s="1"/>
  <c r="A49" i="121" s="1"/>
  <c r="A50" i="121" s="1"/>
  <c r="A51" i="121" s="1"/>
  <c r="A52" i="121" s="1"/>
  <c r="A53" i="121" s="1"/>
  <c r="A54" i="121" s="1"/>
  <c r="A55" i="121" s="1"/>
  <c r="A56" i="121" s="1"/>
  <c r="A57" i="121" s="1"/>
  <c r="A58" i="121" s="1"/>
  <c r="A59" i="121" s="1"/>
  <c r="U9" i="121"/>
  <c r="V9" i="121" s="1"/>
  <c r="S9" i="121"/>
  <c r="S60" i="121" s="1"/>
  <c r="R9" i="121"/>
  <c r="J9" i="121"/>
  <c r="W9" i="121" s="1"/>
  <c r="I9" i="121"/>
  <c r="A9" i="121"/>
  <c r="W8" i="121"/>
  <c r="U8" i="121"/>
  <c r="U60" i="121" s="1"/>
  <c r="S8" i="121"/>
  <c r="R8" i="121"/>
  <c r="R60" i="121" s="1"/>
  <c r="J8" i="121"/>
  <c r="J60" i="121" s="1"/>
  <c r="I8" i="121"/>
  <c r="I60" i="121" s="1"/>
  <c r="Q60" i="120"/>
  <c r="P60" i="120"/>
  <c r="O60" i="120"/>
  <c r="N60" i="120"/>
  <c r="M60" i="120"/>
  <c r="L60" i="120"/>
  <c r="H60" i="120"/>
  <c r="G60" i="120"/>
  <c r="E60" i="120"/>
  <c r="D60" i="120"/>
  <c r="C60" i="120"/>
  <c r="S59" i="120"/>
  <c r="R59" i="120"/>
  <c r="J59" i="120"/>
  <c r="I59" i="120"/>
  <c r="S58" i="120"/>
  <c r="R58" i="120"/>
  <c r="J58" i="120"/>
  <c r="I58" i="120"/>
  <c r="S57" i="120"/>
  <c r="R57" i="120"/>
  <c r="J57" i="120"/>
  <c r="I57" i="120"/>
  <c r="S56" i="120"/>
  <c r="R56" i="120"/>
  <c r="J56" i="120"/>
  <c r="I56" i="120"/>
  <c r="S55" i="120"/>
  <c r="R55" i="120"/>
  <c r="J55" i="120"/>
  <c r="I55" i="120"/>
  <c r="W54" i="120"/>
  <c r="V54" i="120"/>
  <c r="U54" i="120"/>
  <c r="S54" i="120"/>
  <c r="R54" i="120"/>
  <c r="J54" i="120"/>
  <c r="I54" i="120"/>
  <c r="W53" i="120"/>
  <c r="U53" i="120"/>
  <c r="V53" i="120" s="1"/>
  <c r="S53" i="120"/>
  <c r="R53" i="120"/>
  <c r="J53" i="120"/>
  <c r="I53" i="120"/>
  <c r="W52" i="120"/>
  <c r="V52" i="120"/>
  <c r="U52" i="120"/>
  <c r="S52" i="120"/>
  <c r="R52" i="120"/>
  <c r="J52" i="120"/>
  <c r="I52" i="120"/>
  <c r="W51" i="120"/>
  <c r="U51" i="120"/>
  <c r="V51" i="120" s="1"/>
  <c r="S51" i="120"/>
  <c r="R51" i="120"/>
  <c r="J51" i="120"/>
  <c r="I51" i="120"/>
  <c r="W50" i="120"/>
  <c r="V50" i="120"/>
  <c r="U50" i="120"/>
  <c r="S50" i="120"/>
  <c r="R50" i="120"/>
  <c r="J50" i="120"/>
  <c r="I50" i="120"/>
  <c r="W49" i="120"/>
  <c r="U49" i="120"/>
  <c r="V49" i="120" s="1"/>
  <c r="S49" i="120"/>
  <c r="R49" i="120"/>
  <c r="J49" i="120"/>
  <c r="I49" i="120"/>
  <c r="W48" i="120"/>
  <c r="V48" i="120"/>
  <c r="U48" i="120"/>
  <c r="S48" i="120"/>
  <c r="R48" i="120"/>
  <c r="J48" i="120"/>
  <c r="I48" i="120"/>
  <c r="W47" i="120"/>
  <c r="U47" i="120"/>
  <c r="V47" i="120" s="1"/>
  <c r="S47" i="120"/>
  <c r="R47" i="120"/>
  <c r="J47" i="120"/>
  <c r="I47" i="120"/>
  <c r="W46" i="120"/>
  <c r="V46" i="120"/>
  <c r="U46" i="120"/>
  <c r="S46" i="120"/>
  <c r="R46" i="120"/>
  <c r="J46" i="120"/>
  <c r="I46" i="120"/>
  <c r="S45" i="120"/>
  <c r="R45" i="120"/>
  <c r="J45" i="120"/>
  <c r="I45" i="120"/>
  <c r="U44" i="120"/>
  <c r="U60" i="120" s="1"/>
  <c r="S44" i="120"/>
  <c r="R44" i="120"/>
  <c r="J44" i="120"/>
  <c r="I44" i="120"/>
  <c r="W44" i="120" s="1"/>
  <c r="S43" i="120"/>
  <c r="R43" i="120"/>
  <c r="J43" i="120"/>
  <c r="I43" i="120"/>
  <c r="V42" i="120"/>
  <c r="U42" i="120"/>
  <c r="S42" i="120"/>
  <c r="R42" i="120"/>
  <c r="J42" i="120"/>
  <c r="I42" i="120"/>
  <c r="W42" i="120" s="1"/>
  <c r="U41" i="120"/>
  <c r="V41" i="120" s="1"/>
  <c r="S41" i="120"/>
  <c r="R41" i="120"/>
  <c r="J41" i="120"/>
  <c r="I41" i="120"/>
  <c r="W41" i="120" s="1"/>
  <c r="V40" i="120"/>
  <c r="U40" i="120"/>
  <c r="S40" i="120"/>
  <c r="R40" i="120"/>
  <c r="J40" i="120"/>
  <c r="I40" i="120"/>
  <c r="W40" i="120" s="1"/>
  <c r="U39" i="120"/>
  <c r="V39" i="120" s="1"/>
  <c r="S39" i="120"/>
  <c r="R39" i="120"/>
  <c r="J39" i="120"/>
  <c r="I39" i="120"/>
  <c r="W39" i="120" s="1"/>
  <c r="V38" i="120"/>
  <c r="U38" i="120"/>
  <c r="S38" i="120"/>
  <c r="R38" i="120"/>
  <c r="J38" i="120"/>
  <c r="I38" i="120"/>
  <c r="W38" i="120" s="1"/>
  <c r="U37" i="120"/>
  <c r="V37" i="120" s="1"/>
  <c r="S37" i="120"/>
  <c r="R37" i="120"/>
  <c r="J37" i="120"/>
  <c r="I37" i="120"/>
  <c r="W37" i="120" s="1"/>
  <c r="V36" i="120"/>
  <c r="U36" i="120"/>
  <c r="S36" i="120"/>
  <c r="R36" i="120"/>
  <c r="J36" i="120"/>
  <c r="I36" i="120"/>
  <c r="W36" i="120" s="1"/>
  <c r="U35" i="120"/>
  <c r="V35" i="120" s="1"/>
  <c r="S35" i="120"/>
  <c r="R35" i="120"/>
  <c r="J35" i="120"/>
  <c r="I35" i="120"/>
  <c r="W35" i="120" s="1"/>
  <c r="V34" i="120"/>
  <c r="U34" i="120"/>
  <c r="S34" i="120"/>
  <c r="R34" i="120"/>
  <c r="J34" i="120"/>
  <c r="I34" i="120"/>
  <c r="W34" i="120" s="1"/>
  <c r="U33" i="120"/>
  <c r="V33" i="120" s="1"/>
  <c r="S33" i="120"/>
  <c r="R33" i="120"/>
  <c r="J33" i="120"/>
  <c r="I33" i="120"/>
  <c r="W33" i="120" s="1"/>
  <c r="V32" i="120"/>
  <c r="U32" i="120"/>
  <c r="S32" i="120"/>
  <c r="R32" i="120"/>
  <c r="J32" i="120"/>
  <c r="I32" i="120"/>
  <c r="W32" i="120" s="1"/>
  <c r="U31" i="120"/>
  <c r="V31" i="120" s="1"/>
  <c r="S31" i="120"/>
  <c r="R31" i="120"/>
  <c r="J31" i="120"/>
  <c r="I31" i="120"/>
  <c r="W31" i="120" s="1"/>
  <c r="V30" i="120"/>
  <c r="U30" i="120"/>
  <c r="S30" i="120"/>
  <c r="R30" i="120"/>
  <c r="J30" i="120"/>
  <c r="I30" i="120"/>
  <c r="W30" i="120" s="1"/>
  <c r="U29" i="120"/>
  <c r="V29" i="120" s="1"/>
  <c r="S29" i="120"/>
  <c r="R29" i="120"/>
  <c r="J29" i="120"/>
  <c r="I29" i="120"/>
  <c r="W29" i="120" s="1"/>
  <c r="V28" i="120"/>
  <c r="U28" i="120"/>
  <c r="S28" i="120"/>
  <c r="R28" i="120"/>
  <c r="J28" i="120"/>
  <c r="I28" i="120"/>
  <c r="W28" i="120" s="1"/>
  <c r="U27" i="120"/>
  <c r="V27" i="120" s="1"/>
  <c r="S27" i="120"/>
  <c r="R27" i="120"/>
  <c r="J27" i="120"/>
  <c r="I27" i="120"/>
  <c r="W27" i="120" s="1"/>
  <c r="BE26" i="120"/>
  <c r="V26" i="120"/>
  <c r="U26" i="120"/>
  <c r="S26" i="120"/>
  <c r="R26" i="120"/>
  <c r="J26" i="120"/>
  <c r="I26" i="120"/>
  <c r="W26" i="120" s="1"/>
  <c r="V25" i="120"/>
  <c r="U25" i="120"/>
  <c r="S25" i="120"/>
  <c r="R25" i="120"/>
  <c r="J25" i="120"/>
  <c r="W25" i="120" s="1"/>
  <c r="I25" i="120"/>
  <c r="V24" i="120"/>
  <c r="U24" i="120"/>
  <c r="S24" i="120"/>
  <c r="R24" i="120"/>
  <c r="J24" i="120"/>
  <c r="I24" i="120"/>
  <c r="W24" i="120" s="1"/>
  <c r="V23" i="120"/>
  <c r="U23" i="120"/>
  <c r="S23" i="120"/>
  <c r="R23" i="120"/>
  <c r="J23" i="120"/>
  <c r="W23" i="120" s="1"/>
  <c r="I23" i="120"/>
  <c r="V22" i="120"/>
  <c r="U22" i="120"/>
  <c r="S22" i="120"/>
  <c r="R22" i="120"/>
  <c r="J22" i="120"/>
  <c r="I22" i="120"/>
  <c r="W22" i="120" s="1"/>
  <c r="V21" i="120"/>
  <c r="U21" i="120"/>
  <c r="S21" i="120"/>
  <c r="R21" i="120"/>
  <c r="J21" i="120"/>
  <c r="W21" i="120" s="1"/>
  <c r="I21" i="120"/>
  <c r="V20" i="120"/>
  <c r="U20" i="120"/>
  <c r="S20" i="120"/>
  <c r="R20" i="120"/>
  <c r="J20" i="120"/>
  <c r="I20" i="120"/>
  <c r="W20" i="120" s="1"/>
  <c r="V19" i="120"/>
  <c r="U19" i="120"/>
  <c r="S19" i="120"/>
  <c r="R19" i="120"/>
  <c r="J19" i="120"/>
  <c r="W19" i="120" s="1"/>
  <c r="I19" i="120"/>
  <c r="V18" i="120"/>
  <c r="U18" i="120"/>
  <c r="S18" i="120"/>
  <c r="R18" i="120"/>
  <c r="J18" i="120"/>
  <c r="I18" i="120"/>
  <c r="W18" i="120" s="1"/>
  <c r="V17" i="120"/>
  <c r="U17" i="120"/>
  <c r="S17" i="120"/>
  <c r="R17" i="120"/>
  <c r="J17" i="120"/>
  <c r="W17" i="120" s="1"/>
  <c r="I17" i="120"/>
  <c r="V16" i="120"/>
  <c r="U16" i="120"/>
  <c r="S16" i="120"/>
  <c r="R16" i="120"/>
  <c r="J16" i="120"/>
  <c r="I16" i="120"/>
  <c r="W16" i="120" s="1"/>
  <c r="V15" i="120"/>
  <c r="U15" i="120"/>
  <c r="S15" i="120"/>
  <c r="R15" i="120"/>
  <c r="J15" i="120"/>
  <c r="W15" i="120" s="1"/>
  <c r="I15" i="120"/>
  <c r="U14" i="120"/>
  <c r="V14" i="120" s="1"/>
  <c r="S14" i="120"/>
  <c r="R14" i="120"/>
  <c r="J14" i="120"/>
  <c r="I14" i="120"/>
  <c r="W14" i="120" s="1"/>
  <c r="V13" i="120"/>
  <c r="U13" i="120"/>
  <c r="S13" i="120"/>
  <c r="R13" i="120"/>
  <c r="J13" i="120"/>
  <c r="W13" i="120" s="1"/>
  <c r="I13" i="120"/>
  <c r="U12" i="120"/>
  <c r="V12" i="120" s="1"/>
  <c r="S12" i="120"/>
  <c r="R12" i="120"/>
  <c r="J12" i="120"/>
  <c r="I12" i="120"/>
  <c r="W12" i="120" s="1"/>
  <c r="V11" i="120"/>
  <c r="U11" i="120"/>
  <c r="S11" i="120"/>
  <c r="R11" i="120"/>
  <c r="J11" i="120"/>
  <c r="W11" i="120" s="1"/>
  <c r="I11" i="120"/>
  <c r="U10" i="120"/>
  <c r="V10" i="120" s="1"/>
  <c r="S10" i="120"/>
  <c r="R10" i="120"/>
  <c r="J10" i="120"/>
  <c r="I10" i="120"/>
  <c r="W10" i="120" s="1"/>
  <c r="V9" i="120"/>
  <c r="U9" i="120"/>
  <c r="S9" i="120"/>
  <c r="S60" i="120" s="1"/>
  <c r="R9" i="120"/>
  <c r="J9" i="120"/>
  <c r="W9" i="120" s="1"/>
  <c r="I9" i="120"/>
  <c r="A9" i="120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U8" i="120"/>
  <c r="V8" i="120" s="1"/>
  <c r="S8" i="120"/>
  <c r="R8" i="120"/>
  <c r="R60" i="120" s="1"/>
  <c r="J8" i="120"/>
  <c r="J60" i="120" s="1"/>
  <c r="I8" i="120"/>
  <c r="W8" i="120" s="1"/>
  <c r="Q60" i="119"/>
  <c r="P60" i="119"/>
  <c r="O60" i="119"/>
  <c r="N60" i="119"/>
  <c r="M60" i="119"/>
  <c r="L60" i="119"/>
  <c r="H60" i="119"/>
  <c r="G60" i="119"/>
  <c r="E60" i="119"/>
  <c r="D60" i="119"/>
  <c r="C60" i="119"/>
  <c r="S59" i="119"/>
  <c r="R59" i="119"/>
  <c r="J59" i="119"/>
  <c r="I59" i="119"/>
  <c r="S58" i="119"/>
  <c r="R58" i="119"/>
  <c r="J58" i="119"/>
  <c r="I58" i="119"/>
  <c r="S57" i="119"/>
  <c r="R57" i="119"/>
  <c r="J57" i="119"/>
  <c r="I57" i="119"/>
  <c r="S56" i="119"/>
  <c r="R56" i="119"/>
  <c r="J56" i="119"/>
  <c r="I56" i="119"/>
  <c r="S55" i="119"/>
  <c r="R55" i="119"/>
  <c r="J55" i="119"/>
  <c r="I55" i="119"/>
  <c r="U54" i="119"/>
  <c r="V54" i="119" s="1"/>
  <c r="S54" i="119"/>
  <c r="R54" i="119"/>
  <c r="J54" i="119"/>
  <c r="I54" i="119"/>
  <c r="W54" i="119" s="1"/>
  <c r="U53" i="119"/>
  <c r="V53" i="119" s="1"/>
  <c r="S53" i="119"/>
  <c r="R53" i="119"/>
  <c r="J53" i="119"/>
  <c r="I53" i="119"/>
  <c r="W53" i="119" s="1"/>
  <c r="U52" i="119"/>
  <c r="V52" i="119" s="1"/>
  <c r="S52" i="119"/>
  <c r="R52" i="119"/>
  <c r="J52" i="119"/>
  <c r="I52" i="119"/>
  <c r="W52" i="119" s="1"/>
  <c r="U51" i="119"/>
  <c r="V51" i="119" s="1"/>
  <c r="S51" i="119"/>
  <c r="R51" i="119"/>
  <c r="J51" i="119"/>
  <c r="I51" i="119"/>
  <c r="W51" i="119" s="1"/>
  <c r="U50" i="119"/>
  <c r="V50" i="119" s="1"/>
  <c r="S50" i="119"/>
  <c r="R50" i="119"/>
  <c r="J50" i="119"/>
  <c r="I50" i="119"/>
  <c r="W50" i="119" s="1"/>
  <c r="U49" i="119"/>
  <c r="V49" i="119" s="1"/>
  <c r="S49" i="119"/>
  <c r="R49" i="119"/>
  <c r="J49" i="119"/>
  <c r="I49" i="119"/>
  <c r="W49" i="119" s="1"/>
  <c r="U48" i="119"/>
  <c r="V48" i="119" s="1"/>
  <c r="S48" i="119"/>
  <c r="R48" i="119"/>
  <c r="J48" i="119"/>
  <c r="I48" i="119"/>
  <c r="U47" i="119"/>
  <c r="V47" i="119" s="1"/>
  <c r="S47" i="119"/>
  <c r="R47" i="119"/>
  <c r="J47" i="119"/>
  <c r="I47" i="119"/>
  <c r="W47" i="119" s="1"/>
  <c r="U46" i="119"/>
  <c r="V46" i="119" s="1"/>
  <c r="S46" i="119"/>
  <c r="R46" i="119"/>
  <c r="J46" i="119"/>
  <c r="I46" i="119"/>
  <c r="W46" i="119" s="1"/>
  <c r="S45" i="119"/>
  <c r="R45" i="119"/>
  <c r="J45" i="119"/>
  <c r="I45" i="119"/>
  <c r="U44" i="119"/>
  <c r="V44" i="119" s="1"/>
  <c r="S44" i="119"/>
  <c r="R44" i="119"/>
  <c r="J44" i="119"/>
  <c r="I44" i="119"/>
  <c r="W44" i="119" s="1"/>
  <c r="S43" i="119"/>
  <c r="R43" i="119"/>
  <c r="J43" i="119"/>
  <c r="I43" i="119"/>
  <c r="U42" i="119"/>
  <c r="V42" i="119" s="1"/>
  <c r="S42" i="119"/>
  <c r="R42" i="119"/>
  <c r="J42" i="119"/>
  <c r="I42" i="119"/>
  <c r="W42" i="119" s="1"/>
  <c r="U41" i="119"/>
  <c r="V41" i="119" s="1"/>
  <c r="S41" i="119"/>
  <c r="R41" i="119"/>
  <c r="J41" i="119"/>
  <c r="I41" i="119"/>
  <c r="U40" i="119"/>
  <c r="V40" i="119" s="1"/>
  <c r="S40" i="119"/>
  <c r="R40" i="119"/>
  <c r="J40" i="119"/>
  <c r="I40" i="119"/>
  <c r="W40" i="119" s="1"/>
  <c r="U39" i="119"/>
  <c r="V39" i="119" s="1"/>
  <c r="S39" i="119"/>
  <c r="R39" i="119"/>
  <c r="J39" i="119"/>
  <c r="W39" i="119" s="1"/>
  <c r="I39" i="119"/>
  <c r="U38" i="119"/>
  <c r="V38" i="119" s="1"/>
  <c r="S38" i="119"/>
  <c r="R38" i="119"/>
  <c r="J38" i="119"/>
  <c r="I38" i="119"/>
  <c r="U37" i="119"/>
  <c r="V37" i="119" s="1"/>
  <c r="S37" i="119"/>
  <c r="R37" i="119"/>
  <c r="J37" i="119"/>
  <c r="W37" i="119" s="1"/>
  <c r="I37" i="119"/>
  <c r="U36" i="119"/>
  <c r="V36" i="119" s="1"/>
  <c r="S36" i="119"/>
  <c r="R36" i="119"/>
  <c r="J36" i="119"/>
  <c r="I36" i="119"/>
  <c r="W36" i="119" s="1"/>
  <c r="U35" i="119"/>
  <c r="V35" i="119" s="1"/>
  <c r="S35" i="119"/>
  <c r="R35" i="119"/>
  <c r="J35" i="119"/>
  <c r="I35" i="119"/>
  <c r="U34" i="119"/>
  <c r="V34" i="119" s="1"/>
  <c r="S34" i="119"/>
  <c r="R34" i="119"/>
  <c r="J34" i="119"/>
  <c r="I34" i="119"/>
  <c r="W34" i="119" s="1"/>
  <c r="U33" i="119"/>
  <c r="V33" i="119" s="1"/>
  <c r="S33" i="119"/>
  <c r="R33" i="119"/>
  <c r="J33" i="119"/>
  <c r="I33" i="119"/>
  <c r="U32" i="119"/>
  <c r="V32" i="119" s="1"/>
  <c r="S32" i="119"/>
  <c r="R32" i="119"/>
  <c r="J32" i="119"/>
  <c r="I32" i="119"/>
  <c r="W32" i="119" s="1"/>
  <c r="U31" i="119"/>
  <c r="V31" i="119" s="1"/>
  <c r="S31" i="119"/>
  <c r="R31" i="119"/>
  <c r="J31" i="119"/>
  <c r="I31" i="119"/>
  <c r="U30" i="119"/>
  <c r="V30" i="119" s="1"/>
  <c r="S30" i="119"/>
  <c r="R30" i="119"/>
  <c r="J30" i="119"/>
  <c r="I30" i="119"/>
  <c r="U29" i="119"/>
  <c r="V29" i="119" s="1"/>
  <c r="S29" i="119"/>
  <c r="R29" i="119"/>
  <c r="J29" i="119"/>
  <c r="I29" i="119"/>
  <c r="U28" i="119"/>
  <c r="V28" i="119" s="1"/>
  <c r="S28" i="119"/>
  <c r="R28" i="119"/>
  <c r="J28" i="119"/>
  <c r="I28" i="119"/>
  <c r="W28" i="119" s="1"/>
  <c r="U27" i="119"/>
  <c r="V27" i="119" s="1"/>
  <c r="S27" i="119"/>
  <c r="R27" i="119"/>
  <c r="J27" i="119"/>
  <c r="W27" i="119" s="1"/>
  <c r="I27" i="119"/>
  <c r="BE26" i="119"/>
  <c r="V26" i="119"/>
  <c r="U26" i="119"/>
  <c r="S26" i="119"/>
  <c r="R26" i="119"/>
  <c r="J26" i="119"/>
  <c r="I26" i="119"/>
  <c r="W25" i="119"/>
  <c r="U25" i="119"/>
  <c r="V25" i="119" s="1"/>
  <c r="S25" i="119"/>
  <c r="R25" i="119"/>
  <c r="J25" i="119"/>
  <c r="I25" i="119"/>
  <c r="V24" i="119"/>
  <c r="U24" i="119"/>
  <c r="S24" i="119"/>
  <c r="R24" i="119"/>
  <c r="J24" i="119"/>
  <c r="I24" i="119"/>
  <c r="W24" i="119" s="1"/>
  <c r="U23" i="119"/>
  <c r="V23" i="119" s="1"/>
  <c r="S23" i="119"/>
  <c r="R23" i="119"/>
  <c r="J23" i="119"/>
  <c r="W23" i="119" s="1"/>
  <c r="I23" i="119"/>
  <c r="V22" i="119"/>
  <c r="U22" i="119"/>
  <c r="S22" i="119"/>
  <c r="R22" i="119"/>
  <c r="J22" i="119"/>
  <c r="I22" i="119"/>
  <c r="W22" i="119" s="1"/>
  <c r="U21" i="119"/>
  <c r="V21" i="119" s="1"/>
  <c r="S21" i="119"/>
  <c r="R21" i="119"/>
  <c r="J21" i="119"/>
  <c r="I21" i="119"/>
  <c r="W21" i="119" s="1"/>
  <c r="V20" i="119"/>
  <c r="U20" i="119"/>
  <c r="S20" i="119"/>
  <c r="R20" i="119"/>
  <c r="J20" i="119"/>
  <c r="I20" i="119"/>
  <c r="W19" i="119"/>
  <c r="U19" i="119"/>
  <c r="V19" i="119" s="1"/>
  <c r="S19" i="119"/>
  <c r="R19" i="119"/>
  <c r="J19" i="119"/>
  <c r="I19" i="119"/>
  <c r="V18" i="119"/>
  <c r="U18" i="119"/>
  <c r="S18" i="119"/>
  <c r="R18" i="119"/>
  <c r="J18" i="119"/>
  <c r="I18" i="119"/>
  <c r="W18" i="119" s="1"/>
  <c r="W17" i="119"/>
  <c r="U17" i="119"/>
  <c r="V17" i="119" s="1"/>
  <c r="S17" i="119"/>
  <c r="R17" i="119"/>
  <c r="J17" i="119"/>
  <c r="I17" i="119"/>
  <c r="V16" i="119"/>
  <c r="U16" i="119"/>
  <c r="S16" i="119"/>
  <c r="R16" i="119"/>
  <c r="J16" i="119"/>
  <c r="I16" i="119"/>
  <c r="W16" i="119" s="1"/>
  <c r="U15" i="119"/>
  <c r="V15" i="119" s="1"/>
  <c r="S15" i="119"/>
  <c r="R15" i="119"/>
  <c r="J15" i="119"/>
  <c r="I15" i="119"/>
  <c r="W15" i="119" s="1"/>
  <c r="V14" i="119"/>
  <c r="U14" i="119"/>
  <c r="S14" i="119"/>
  <c r="R14" i="119"/>
  <c r="J14" i="119"/>
  <c r="I14" i="119"/>
  <c r="W14" i="119" s="1"/>
  <c r="U13" i="119"/>
  <c r="V13" i="119" s="1"/>
  <c r="S13" i="119"/>
  <c r="R13" i="119"/>
  <c r="J13" i="119"/>
  <c r="I13" i="119"/>
  <c r="V12" i="119"/>
  <c r="U12" i="119"/>
  <c r="S12" i="119"/>
  <c r="R12" i="119"/>
  <c r="J12" i="119"/>
  <c r="I12" i="119"/>
  <c r="U11" i="119"/>
  <c r="V11" i="119" s="1"/>
  <c r="S11" i="119"/>
  <c r="R11" i="119"/>
  <c r="J11" i="119"/>
  <c r="I11" i="119"/>
  <c r="W11" i="119" s="1"/>
  <c r="U10" i="119"/>
  <c r="V10" i="119" s="1"/>
  <c r="S10" i="119"/>
  <c r="R10" i="119"/>
  <c r="J10" i="119"/>
  <c r="I10" i="119"/>
  <c r="W10" i="119" s="1"/>
  <c r="A10" i="119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A38" i="119" s="1"/>
  <c r="A39" i="119" s="1"/>
  <c r="A40" i="119" s="1"/>
  <c r="A41" i="119" s="1"/>
  <c r="A42" i="119" s="1"/>
  <c r="A43" i="119" s="1"/>
  <c r="A44" i="119" s="1"/>
  <c r="A45" i="119" s="1"/>
  <c r="A46" i="119" s="1"/>
  <c r="A47" i="119" s="1"/>
  <c r="A48" i="119" s="1"/>
  <c r="A49" i="119" s="1"/>
  <c r="A50" i="119" s="1"/>
  <c r="A51" i="119" s="1"/>
  <c r="A52" i="119" s="1"/>
  <c r="A53" i="119" s="1"/>
  <c r="A54" i="119" s="1"/>
  <c r="A55" i="119" s="1"/>
  <c r="A56" i="119" s="1"/>
  <c r="A57" i="119" s="1"/>
  <c r="A58" i="119" s="1"/>
  <c r="A59" i="119" s="1"/>
  <c r="W9" i="119"/>
  <c r="U9" i="119"/>
  <c r="S9" i="119"/>
  <c r="R9" i="119"/>
  <c r="J9" i="119"/>
  <c r="I9" i="119"/>
  <c r="A9" i="119"/>
  <c r="V8" i="119"/>
  <c r="U8" i="119"/>
  <c r="S8" i="119"/>
  <c r="R8" i="119"/>
  <c r="J8" i="119"/>
  <c r="I8" i="119"/>
  <c r="Q60" i="118"/>
  <c r="P60" i="118"/>
  <c r="O60" i="118"/>
  <c r="N60" i="118"/>
  <c r="M60" i="118"/>
  <c r="L60" i="118"/>
  <c r="H60" i="118"/>
  <c r="G60" i="118"/>
  <c r="E60" i="118"/>
  <c r="D60" i="118"/>
  <c r="C60" i="118"/>
  <c r="S59" i="118"/>
  <c r="R59" i="118"/>
  <c r="J59" i="118"/>
  <c r="I59" i="118"/>
  <c r="S58" i="118"/>
  <c r="R58" i="118"/>
  <c r="J58" i="118"/>
  <c r="I58" i="118"/>
  <c r="S57" i="118"/>
  <c r="R57" i="118"/>
  <c r="J57" i="118"/>
  <c r="I57" i="118"/>
  <c r="S56" i="118"/>
  <c r="R56" i="118"/>
  <c r="J56" i="118"/>
  <c r="I56" i="118"/>
  <c r="S55" i="118"/>
  <c r="R55" i="118"/>
  <c r="J55" i="118"/>
  <c r="I55" i="118"/>
  <c r="U54" i="118"/>
  <c r="V54" i="118" s="1"/>
  <c r="S54" i="118"/>
  <c r="R54" i="118"/>
  <c r="J54" i="118"/>
  <c r="I54" i="118"/>
  <c r="W54" i="118" s="1"/>
  <c r="U53" i="118"/>
  <c r="V53" i="118" s="1"/>
  <c r="S53" i="118"/>
  <c r="R53" i="118"/>
  <c r="J53" i="118"/>
  <c r="I53" i="118"/>
  <c r="W53" i="118" s="1"/>
  <c r="U52" i="118"/>
  <c r="V52" i="118" s="1"/>
  <c r="S52" i="118"/>
  <c r="R52" i="118"/>
  <c r="J52" i="118"/>
  <c r="I52" i="118"/>
  <c r="W52" i="118" s="1"/>
  <c r="V51" i="118"/>
  <c r="U51" i="118"/>
  <c r="S51" i="118"/>
  <c r="R51" i="118"/>
  <c r="J51" i="118"/>
  <c r="I51" i="118"/>
  <c r="W51" i="118" s="1"/>
  <c r="U50" i="118"/>
  <c r="V50" i="118" s="1"/>
  <c r="S50" i="118"/>
  <c r="R50" i="118"/>
  <c r="J50" i="118"/>
  <c r="I50" i="118"/>
  <c r="W50" i="118" s="1"/>
  <c r="V49" i="118"/>
  <c r="U49" i="118"/>
  <c r="S49" i="118"/>
  <c r="R49" i="118"/>
  <c r="J49" i="118"/>
  <c r="I49" i="118"/>
  <c r="W49" i="118" s="1"/>
  <c r="U48" i="118"/>
  <c r="V48" i="118" s="1"/>
  <c r="S48" i="118"/>
  <c r="R48" i="118"/>
  <c r="J48" i="118"/>
  <c r="I48" i="118"/>
  <c r="U47" i="118"/>
  <c r="V47" i="118" s="1"/>
  <c r="S47" i="118"/>
  <c r="R47" i="118"/>
  <c r="J47" i="118"/>
  <c r="I47" i="118"/>
  <c r="W47" i="118" s="1"/>
  <c r="U46" i="118"/>
  <c r="V46" i="118" s="1"/>
  <c r="S46" i="118"/>
  <c r="R46" i="118"/>
  <c r="J46" i="118"/>
  <c r="I46" i="118"/>
  <c r="W46" i="118" s="1"/>
  <c r="S45" i="118"/>
  <c r="R45" i="118"/>
  <c r="J45" i="118"/>
  <c r="I45" i="118"/>
  <c r="U44" i="118"/>
  <c r="V44" i="118" s="1"/>
  <c r="S44" i="118"/>
  <c r="R44" i="118"/>
  <c r="J44" i="118"/>
  <c r="I44" i="118"/>
  <c r="S43" i="118"/>
  <c r="R43" i="118"/>
  <c r="J43" i="118"/>
  <c r="I43" i="118"/>
  <c r="U42" i="118"/>
  <c r="V42" i="118" s="1"/>
  <c r="S42" i="118"/>
  <c r="R42" i="118"/>
  <c r="J42" i="118"/>
  <c r="I42" i="118"/>
  <c r="W42" i="118" s="1"/>
  <c r="U41" i="118"/>
  <c r="V41" i="118" s="1"/>
  <c r="S41" i="118"/>
  <c r="R41" i="118"/>
  <c r="J41" i="118"/>
  <c r="I41" i="118"/>
  <c r="V40" i="118"/>
  <c r="U40" i="118"/>
  <c r="S40" i="118"/>
  <c r="R40" i="118"/>
  <c r="J40" i="118"/>
  <c r="I40" i="118"/>
  <c r="W40" i="118" s="1"/>
  <c r="U39" i="118"/>
  <c r="V39" i="118" s="1"/>
  <c r="S39" i="118"/>
  <c r="R39" i="118"/>
  <c r="J39" i="118"/>
  <c r="W39" i="118" s="1"/>
  <c r="I39" i="118"/>
  <c r="V38" i="118"/>
  <c r="U38" i="118"/>
  <c r="S38" i="118"/>
  <c r="R38" i="118"/>
  <c r="J38" i="118"/>
  <c r="I38" i="118"/>
  <c r="U37" i="118"/>
  <c r="V37" i="118" s="1"/>
  <c r="S37" i="118"/>
  <c r="R37" i="118"/>
  <c r="J37" i="118"/>
  <c r="I37" i="118"/>
  <c r="V36" i="118"/>
  <c r="U36" i="118"/>
  <c r="S36" i="118"/>
  <c r="R36" i="118"/>
  <c r="J36" i="118"/>
  <c r="I36" i="118"/>
  <c r="W36" i="118" s="1"/>
  <c r="U35" i="118"/>
  <c r="V35" i="118" s="1"/>
  <c r="S35" i="118"/>
  <c r="R35" i="118"/>
  <c r="J35" i="118"/>
  <c r="I35" i="118"/>
  <c r="U34" i="118"/>
  <c r="V34" i="118" s="1"/>
  <c r="S34" i="118"/>
  <c r="R34" i="118"/>
  <c r="J34" i="118"/>
  <c r="I34" i="118"/>
  <c r="W34" i="118" s="1"/>
  <c r="U33" i="118"/>
  <c r="V33" i="118" s="1"/>
  <c r="S33" i="118"/>
  <c r="R33" i="118"/>
  <c r="J33" i="118"/>
  <c r="I33" i="118"/>
  <c r="V32" i="118"/>
  <c r="U32" i="118"/>
  <c r="S32" i="118"/>
  <c r="R32" i="118"/>
  <c r="J32" i="118"/>
  <c r="I32" i="118"/>
  <c r="W32" i="118" s="1"/>
  <c r="U31" i="118"/>
  <c r="V31" i="118" s="1"/>
  <c r="S31" i="118"/>
  <c r="R31" i="118"/>
  <c r="J31" i="118"/>
  <c r="I31" i="118"/>
  <c r="U30" i="118"/>
  <c r="V30" i="118" s="1"/>
  <c r="S30" i="118"/>
  <c r="R30" i="118"/>
  <c r="J30" i="118"/>
  <c r="I30" i="118"/>
  <c r="U29" i="118"/>
  <c r="V29" i="118" s="1"/>
  <c r="S29" i="118"/>
  <c r="R29" i="118"/>
  <c r="J29" i="118"/>
  <c r="I29" i="118"/>
  <c r="V28" i="118"/>
  <c r="U28" i="118"/>
  <c r="S28" i="118"/>
  <c r="R28" i="118"/>
  <c r="J28" i="118"/>
  <c r="I28" i="118"/>
  <c r="W28" i="118" s="1"/>
  <c r="U27" i="118"/>
  <c r="V27" i="118" s="1"/>
  <c r="S27" i="118"/>
  <c r="R27" i="118"/>
  <c r="J27" i="118"/>
  <c r="W27" i="118" s="1"/>
  <c r="I27" i="118"/>
  <c r="BE26" i="118"/>
  <c r="U26" i="118"/>
  <c r="V26" i="118" s="1"/>
  <c r="S26" i="118"/>
  <c r="R26" i="118"/>
  <c r="J26" i="118"/>
  <c r="I26" i="118"/>
  <c r="W25" i="118"/>
  <c r="U25" i="118"/>
  <c r="V25" i="118" s="1"/>
  <c r="S25" i="118"/>
  <c r="R25" i="118"/>
  <c r="J25" i="118"/>
  <c r="I25" i="118"/>
  <c r="U24" i="118"/>
  <c r="V24" i="118" s="1"/>
  <c r="S24" i="118"/>
  <c r="R24" i="118"/>
  <c r="J24" i="118"/>
  <c r="I24" i="118"/>
  <c r="W24" i="118" s="1"/>
  <c r="U23" i="118"/>
  <c r="V23" i="118" s="1"/>
  <c r="S23" i="118"/>
  <c r="R23" i="118"/>
  <c r="J23" i="118"/>
  <c r="I23" i="118"/>
  <c r="U22" i="118"/>
  <c r="V22" i="118" s="1"/>
  <c r="S22" i="118"/>
  <c r="R22" i="118"/>
  <c r="J22" i="118"/>
  <c r="I22" i="118"/>
  <c r="W22" i="118" s="1"/>
  <c r="U21" i="118"/>
  <c r="V21" i="118" s="1"/>
  <c r="S21" i="118"/>
  <c r="R21" i="118"/>
  <c r="J21" i="118"/>
  <c r="I21" i="118"/>
  <c r="W21" i="118" s="1"/>
  <c r="U20" i="118"/>
  <c r="V20" i="118" s="1"/>
  <c r="S20" i="118"/>
  <c r="R20" i="118"/>
  <c r="J20" i="118"/>
  <c r="I20" i="118"/>
  <c r="W19" i="118"/>
  <c r="U19" i="118"/>
  <c r="V19" i="118" s="1"/>
  <c r="S19" i="118"/>
  <c r="R19" i="118"/>
  <c r="J19" i="118"/>
  <c r="I19" i="118"/>
  <c r="U18" i="118"/>
  <c r="V18" i="118" s="1"/>
  <c r="S18" i="118"/>
  <c r="R18" i="118"/>
  <c r="J18" i="118"/>
  <c r="I18" i="118"/>
  <c r="W18" i="118" s="1"/>
  <c r="W17" i="118"/>
  <c r="U17" i="118"/>
  <c r="V17" i="118" s="1"/>
  <c r="S17" i="118"/>
  <c r="R17" i="118"/>
  <c r="J17" i="118"/>
  <c r="I17" i="118"/>
  <c r="U16" i="118"/>
  <c r="V16" i="118" s="1"/>
  <c r="S16" i="118"/>
  <c r="R16" i="118"/>
  <c r="J16" i="118"/>
  <c r="I16" i="118"/>
  <c r="W16" i="118" s="1"/>
  <c r="U15" i="118"/>
  <c r="V15" i="118" s="1"/>
  <c r="S15" i="118"/>
  <c r="R15" i="118"/>
  <c r="J15" i="118"/>
  <c r="I15" i="118"/>
  <c r="W15" i="118" s="1"/>
  <c r="U14" i="118"/>
  <c r="V14" i="118" s="1"/>
  <c r="S14" i="118"/>
  <c r="R14" i="118"/>
  <c r="J14" i="118"/>
  <c r="I14" i="118"/>
  <c r="U13" i="118"/>
  <c r="V13" i="118" s="1"/>
  <c r="S13" i="118"/>
  <c r="R13" i="118"/>
  <c r="J13" i="118"/>
  <c r="I13" i="118"/>
  <c r="W13" i="118" s="1"/>
  <c r="U12" i="118"/>
  <c r="V12" i="118" s="1"/>
  <c r="S12" i="118"/>
  <c r="R12" i="118"/>
  <c r="J12" i="118"/>
  <c r="I12" i="118"/>
  <c r="W12" i="118" s="1"/>
  <c r="U11" i="118"/>
  <c r="V11" i="118" s="1"/>
  <c r="S11" i="118"/>
  <c r="R11" i="118"/>
  <c r="J11" i="118"/>
  <c r="I11" i="118"/>
  <c r="W11" i="118" s="1"/>
  <c r="U10" i="118"/>
  <c r="V10" i="118" s="1"/>
  <c r="S10" i="118"/>
  <c r="R10" i="118"/>
  <c r="J10" i="118"/>
  <c r="I10" i="118"/>
  <c r="W10" i="118" s="1"/>
  <c r="A10" i="118"/>
  <c r="A11" i="118" s="1"/>
  <c r="A12" i="118" s="1"/>
  <c r="A13" i="118" s="1"/>
  <c r="A14" i="118" s="1"/>
  <c r="A15" i="118" s="1"/>
  <c r="A16" i="118" s="1"/>
  <c r="A17" i="118" s="1"/>
  <c r="A18" i="118" s="1"/>
  <c r="A19" i="118" s="1"/>
  <c r="A20" i="118" s="1"/>
  <c r="A21" i="118" s="1"/>
  <c r="A22" i="118" s="1"/>
  <c r="A23" i="118" s="1"/>
  <c r="A24" i="118" s="1"/>
  <c r="A25" i="118" s="1"/>
  <c r="A26" i="118" s="1"/>
  <c r="A27" i="118" s="1"/>
  <c r="A28" i="118" s="1"/>
  <c r="A29" i="118" s="1"/>
  <c r="A30" i="118" s="1"/>
  <c r="A31" i="118" s="1"/>
  <c r="A32" i="118" s="1"/>
  <c r="A33" i="118" s="1"/>
  <c r="A34" i="118" s="1"/>
  <c r="A35" i="118" s="1"/>
  <c r="A36" i="118" s="1"/>
  <c r="A37" i="118" s="1"/>
  <c r="A38" i="118" s="1"/>
  <c r="A39" i="118" s="1"/>
  <c r="A40" i="118" s="1"/>
  <c r="A41" i="118" s="1"/>
  <c r="A42" i="118" s="1"/>
  <c r="A43" i="118" s="1"/>
  <c r="A44" i="118" s="1"/>
  <c r="A45" i="118" s="1"/>
  <c r="A46" i="118" s="1"/>
  <c r="A47" i="118" s="1"/>
  <c r="A48" i="118" s="1"/>
  <c r="A49" i="118" s="1"/>
  <c r="A50" i="118" s="1"/>
  <c r="A51" i="118" s="1"/>
  <c r="A52" i="118" s="1"/>
  <c r="A53" i="118" s="1"/>
  <c r="A54" i="118" s="1"/>
  <c r="A55" i="118" s="1"/>
  <c r="A56" i="118" s="1"/>
  <c r="A57" i="118" s="1"/>
  <c r="A58" i="118" s="1"/>
  <c r="A59" i="118" s="1"/>
  <c r="U9" i="118"/>
  <c r="S9" i="118"/>
  <c r="R9" i="118"/>
  <c r="J9" i="118"/>
  <c r="I9" i="118"/>
  <c r="W9" i="118" s="1"/>
  <c r="A9" i="118"/>
  <c r="U8" i="118"/>
  <c r="V8" i="118" s="1"/>
  <c r="S8" i="118"/>
  <c r="R8" i="118"/>
  <c r="J8" i="118"/>
  <c r="I8" i="118"/>
  <c r="W48" i="119" l="1"/>
  <c r="W41" i="119"/>
  <c r="W38" i="119"/>
  <c r="W35" i="119"/>
  <c r="W33" i="119"/>
  <c r="W31" i="119"/>
  <c r="W30" i="119"/>
  <c r="W29" i="119"/>
  <c r="W26" i="119"/>
  <c r="W20" i="119"/>
  <c r="W13" i="119"/>
  <c r="J60" i="119"/>
  <c r="W12" i="119"/>
  <c r="S60" i="119"/>
  <c r="U60" i="119"/>
  <c r="R60" i="119"/>
  <c r="W8" i="119"/>
  <c r="W48" i="118"/>
  <c r="W44" i="118"/>
  <c r="W41" i="118"/>
  <c r="W38" i="118"/>
  <c r="W37" i="118"/>
  <c r="W35" i="118"/>
  <c r="W33" i="118"/>
  <c r="W31" i="118"/>
  <c r="W30" i="118"/>
  <c r="W29" i="118"/>
  <c r="W26" i="118"/>
  <c r="W23" i="118"/>
  <c r="W20" i="118"/>
  <c r="W14" i="118"/>
  <c r="S60" i="118"/>
  <c r="R60" i="118"/>
  <c r="U60" i="118"/>
  <c r="I60" i="118"/>
  <c r="W8" i="118"/>
  <c r="J60" i="118"/>
  <c r="W60" i="123"/>
  <c r="V9" i="123"/>
  <c r="V60" i="123" s="1"/>
  <c r="I60" i="123"/>
  <c r="W60" i="122"/>
  <c r="I60" i="122"/>
  <c r="V8" i="122"/>
  <c r="V60" i="122" s="1"/>
  <c r="W60" i="121"/>
  <c r="V8" i="121"/>
  <c r="V60" i="121" s="1"/>
  <c r="W60" i="120"/>
  <c r="V60" i="120"/>
  <c r="I60" i="120"/>
  <c r="V44" i="120"/>
  <c r="I60" i="119"/>
  <c r="V9" i="119"/>
  <c r="V60" i="119" s="1"/>
  <c r="V60" i="118"/>
  <c r="V9" i="118"/>
  <c r="Q60" i="117"/>
  <c r="P60" i="117"/>
  <c r="O60" i="117"/>
  <c r="N60" i="117"/>
  <c r="M60" i="117"/>
  <c r="L60" i="117"/>
  <c r="H60" i="117"/>
  <c r="G60" i="117"/>
  <c r="E60" i="117"/>
  <c r="D60" i="117"/>
  <c r="C60" i="117"/>
  <c r="S59" i="117"/>
  <c r="R59" i="117"/>
  <c r="J59" i="117"/>
  <c r="I59" i="117"/>
  <c r="S58" i="117"/>
  <c r="R58" i="117"/>
  <c r="J58" i="117"/>
  <c r="I58" i="117"/>
  <c r="S57" i="117"/>
  <c r="R57" i="117"/>
  <c r="J57" i="117"/>
  <c r="I57" i="117"/>
  <c r="S56" i="117"/>
  <c r="R56" i="117"/>
  <c r="J56" i="117"/>
  <c r="I56" i="117"/>
  <c r="S55" i="117"/>
  <c r="R55" i="117"/>
  <c r="J55" i="117"/>
  <c r="I55" i="117"/>
  <c r="V54" i="117"/>
  <c r="U54" i="117"/>
  <c r="S54" i="117"/>
  <c r="R54" i="117"/>
  <c r="J54" i="117"/>
  <c r="I54" i="117"/>
  <c r="U53" i="117"/>
  <c r="V53" i="117" s="1"/>
  <c r="S53" i="117"/>
  <c r="R53" i="117"/>
  <c r="J53" i="117"/>
  <c r="I53" i="117"/>
  <c r="W53" i="117" s="1"/>
  <c r="V52" i="117"/>
  <c r="U52" i="117"/>
  <c r="S52" i="117"/>
  <c r="R52" i="117"/>
  <c r="J52" i="117"/>
  <c r="I52" i="117"/>
  <c r="W51" i="117"/>
  <c r="U51" i="117"/>
  <c r="V51" i="117" s="1"/>
  <c r="S51" i="117"/>
  <c r="R51" i="117"/>
  <c r="J51" i="117"/>
  <c r="I51" i="117"/>
  <c r="V50" i="117"/>
  <c r="U50" i="117"/>
  <c r="S50" i="117"/>
  <c r="R50" i="117"/>
  <c r="J50" i="117"/>
  <c r="I50" i="117"/>
  <c r="U49" i="117"/>
  <c r="V49" i="117" s="1"/>
  <c r="S49" i="117"/>
  <c r="R49" i="117"/>
  <c r="J49" i="117"/>
  <c r="W49" i="117" s="1"/>
  <c r="I49" i="117"/>
  <c r="V48" i="117"/>
  <c r="U48" i="117"/>
  <c r="S48" i="117"/>
  <c r="R48" i="117"/>
  <c r="J48" i="117"/>
  <c r="I48" i="117"/>
  <c r="W47" i="117"/>
  <c r="U47" i="117"/>
  <c r="V47" i="117" s="1"/>
  <c r="S47" i="117"/>
  <c r="R47" i="117"/>
  <c r="J47" i="117"/>
  <c r="I47" i="117"/>
  <c r="V46" i="117"/>
  <c r="U46" i="117"/>
  <c r="S46" i="117"/>
  <c r="R46" i="117"/>
  <c r="J46" i="117"/>
  <c r="I46" i="117"/>
  <c r="S45" i="117"/>
  <c r="R45" i="117"/>
  <c r="J45" i="117"/>
  <c r="I45" i="117"/>
  <c r="U44" i="117"/>
  <c r="V44" i="117" s="1"/>
  <c r="S44" i="117"/>
  <c r="R44" i="117"/>
  <c r="J44" i="117"/>
  <c r="I44" i="117"/>
  <c r="S43" i="117"/>
  <c r="R43" i="117"/>
  <c r="J43" i="117"/>
  <c r="I43" i="117"/>
  <c r="U42" i="117"/>
  <c r="V42" i="117" s="1"/>
  <c r="S42" i="117"/>
  <c r="R42" i="117"/>
  <c r="J42" i="117"/>
  <c r="I42" i="117"/>
  <c r="W42" i="117" s="1"/>
  <c r="U41" i="117"/>
  <c r="V41" i="117" s="1"/>
  <c r="S41" i="117"/>
  <c r="R41" i="117"/>
  <c r="J41" i="117"/>
  <c r="I41" i="117"/>
  <c r="V40" i="117"/>
  <c r="U40" i="117"/>
  <c r="S40" i="117"/>
  <c r="R40" i="117"/>
  <c r="J40" i="117"/>
  <c r="I40" i="117"/>
  <c r="W40" i="117" s="1"/>
  <c r="U39" i="117"/>
  <c r="V39" i="117" s="1"/>
  <c r="S39" i="117"/>
  <c r="R39" i="117"/>
  <c r="J39" i="117"/>
  <c r="I39" i="117"/>
  <c r="W39" i="117" s="1"/>
  <c r="U38" i="117"/>
  <c r="V38" i="117" s="1"/>
  <c r="S38" i="117"/>
  <c r="R38" i="117"/>
  <c r="J38" i="117"/>
  <c r="I38" i="117"/>
  <c r="U37" i="117"/>
  <c r="V37" i="117" s="1"/>
  <c r="S37" i="117"/>
  <c r="R37" i="117"/>
  <c r="J37" i="117"/>
  <c r="I37" i="117"/>
  <c r="W37" i="117" s="1"/>
  <c r="U36" i="117"/>
  <c r="V36" i="117" s="1"/>
  <c r="S36" i="117"/>
  <c r="R36" i="117"/>
  <c r="J36" i="117"/>
  <c r="I36" i="117"/>
  <c r="W36" i="117" s="1"/>
  <c r="U35" i="117"/>
  <c r="V35" i="117" s="1"/>
  <c r="S35" i="117"/>
  <c r="R35" i="117"/>
  <c r="J35" i="117"/>
  <c r="I35" i="117"/>
  <c r="U34" i="117"/>
  <c r="V34" i="117" s="1"/>
  <c r="S34" i="117"/>
  <c r="R34" i="117"/>
  <c r="J34" i="117"/>
  <c r="I34" i="117"/>
  <c r="W34" i="117" s="1"/>
  <c r="U33" i="117"/>
  <c r="V33" i="117" s="1"/>
  <c r="S33" i="117"/>
  <c r="R33" i="117"/>
  <c r="J33" i="117"/>
  <c r="I33" i="117"/>
  <c r="W33" i="117" s="1"/>
  <c r="U32" i="117"/>
  <c r="V32" i="117" s="1"/>
  <c r="S32" i="117"/>
  <c r="R32" i="117"/>
  <c r="J32" i="117"/>
  <c r="I32" i="117"/>
  <c r="W32" i="117" s="1"/>
  <c r="U31" i="117"/>
  <c r="V31" i="117" s="1"/>
  <c r="S31" i="117"/>
  <c r="R31" i="117"/>
  <c r="J31" i="117"/>
  <c r="I31" i="117"/>
  <c r="W31" i="117" s="1"/>
  <c r="U30" i="117"/>
  <c r="V30" i="117" s="1"/>
  <c r="S30" i="117"/>
  <c r="R30" i="117"/>
  <c r="J30" i="117"/>
  <c r="I30" i="117"/>
  <c r="U29" i="117"/>
  <c r="V29" i="117" s="1"/>
  <c r="S29" i="117"/>
  <c r="R29" i="117"/>
  <c r="J29" i="117"/>
  <c r="I29" i="117"/>
  <c r="W29" i="117" s="1"/>
  <c r="U28" i="117"/>
  <c r="V28" i="117" s="1"/>
  <c r="S28" i="117"/>
  <c r="R28" i="117"/>
  <c r="J28" i="117"/>
  <c r="I28" i="117"/>
  <c r="W28" i="117" s="1"/>
  <c r="U27" i="117"/>
  <c r="V27" i="117" s="1"/>
  <c r="S27" i="117"/>
  <c r="R27" i="117"/>
  <c r="J27" i="117"/>
  <c r="I27" i="117"/>
  <c r="W27" i="117" s="1"/>
  <c r="BE26" i="117"/>
  <c r="U26" i="117"/>
  <c r="V26" i="117" s="1"/>
  <c r="S26" i="117"/>
  <c r="R26" i="117"/>
  <c r="J26" i="117"/>
  <c r="I26" i="117"/>
  <c r="V25" i="117"/>
  <c r="U25" i="117"/>
  <c r="S25" i="117"/>
  <c r="R25" i="117"/>
  <c r="J25" i="117"/>
  <c r="W25" i="117" s="1"/>
  <c r="I25" i="117"/>
  <c r="U24" i="117"/>
  <c r="V24" i="117" s="1"/>
  <c r="S24" i="117"/>
  <c r="R24" i="117"/>
  <c r="J24" i="117"/>
  <c r="I24" i="117"/>
  <c r="V23" i="117"/>
  <c r="U23" i="117"/>
  <c r="S23" i="117"/>
  <c r="R23" i="117"/>
  <c r="J23" i="117"/>
  <c r="I23" i="117"/>
  <c r="U22" i="117"/>
  <c r="V22" i="117" s="1"/>
  <c r="S22" i="117"/>
  <c r="R22" i="117"/>
  <c r="J22" i="117"/>
  <c r="I22" i="117"/>
  <c r="W22" i="117" s="1"/>
  <c r="V21" i="117"/>
  <c r="U21" i="117"/>
  <c r="S21" i="117"/>
  <c r="R21" i="117"/>
  <c r="J21" i="117"/>
  <c r="I21" i="117"/>
  <c r="U20" i="117"/>
  <c r="V20" i="117" s="1"/>
  <c r="S20" i="117"/>
  <c r="R20" i="117"/>
  <c r="J20" i="117"/>
  <c r="I20" i="117"/>
  <c r="V19" i="117"/>
  <c r="U19" i="117"/>
  <c r="S19" i="117"/>
  <c r="R19" i="117"/>
  <c r="J19" i="117"/>
  <c r="W19" i="117" s="1"/>
  <c r="I19" i="117"/>
  <c r="U18" i="117"/>
  <c r="V18" i="117" s="1"/>
  <c r="S18" i="117"/>
  <c r="R18" i="117"/>
  <c r="J18" i="117"/>
  <c r="I18" i="117"/>
  <c r="W18" i="117" s="1"/>
  <c r="V17" i="117"/>
  <c r="U17" i="117"/>
  <c r="S17" i="117"/>
  <c r="R17" i="117"/>
  <c r="J17" i="117"/>
  <c r="W17" i="117" s="1"/>
  <c r="I17" i="117"/>
  <c r="U16" i="117"/>
  <c r="V16" i="117" s="1"/>
  <c r="S16" i="117"/>
  <c r="R16" i="117"/>
  <c r="J16" i="117"/>
  <c r="I16" i="117"/>
  <c r="W16" i="117" s="1"/>
  <c r="V15" i="117"/>
  <c r="U15" i="117"/>
  <c r="S15" i="117"/>
  <c r="R15" i="117"/>
  <c r="J15" i="117"/>
  <c r="I15" i="117"/>
  <c r="U14" i="117"/>
  <c r="V14" i="117" s="1"/>
  <c r="S14" i="117"/>
  <c r="R14" i="117"/>
  <c r="J14" i="117"/>
  <c r="I14" i="117"/>
  <c r="U13" i="117"/>
  <c r="V13" i="117" s="1"/>
  <c r="S13" i="117"/>
  <c r="R13" i="117"/>
  <c r="J13" i="117"/>
  <c r="I13" i="117"/>
  <c r="U12" i="117"/>
  <c r="V12" i="117" s="1"/>
  <c r="S12" i="117"/>
  <c r="R12" i="117"/>
  <c r="J12" i="117"/>
  <c r="I12" i="117"/>
  <c r="V11" i="117"/>
  <c r="U11" i="117"/>
  <c r="S11" i="117"/>
  <c r="R11" i="117"/>
  <c r="J11" i="117"/>
  <c r="W11" i="117" s="1"/>
  <c r="I11" i="117"/>
  <c r="U10" i="117"/>
  <c r="V10" i="117" s="1"/>
  <c r="S10" i="117"/>
  <c r="R10" i="117"/>
  <c r="J10" i="117"/>
  <c r="I10" i="117"/>
  <c r="W10" i="117" s="1"/>
  <c r="A10" i="117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A38" i="117" s="1"/>
  <c r="A39" i="117" s="1"/>
  <c r="A40" i="117" s="1"/>
  <c r="A41" i="117" s="1"/>
  <c r="A42" i="117" s="1"/>
  <c r="A43" i="117" s="1"/>
  <c r="A44" i="117" s="1"/>
  <c r="A45" i="117" s="1"/>
  <c r="A46" i="117" s="1"/>
  <c r="A47" i="117" s="1"/>
  <c r="A48" i="117" s="1"/>
  <c r="A49" i="117" s="1"/>
  <c r="A50" i="117" s="1"/>
  <c r="A51" i="117" s="1"/>
  <c r="A52" i="117" s="1"/>
  <c r="A53" i="117" s="1"/>
  <c r="A54" i="117" s="1"/>
  <c r="A55" i="117" s="1"/>
  <c r="A56" i="117" s="1"/>
  <c r="A57" i="117" s="1"/>
  <c r="A58" i="117" s="1"/>
  <c r="A59" i="117" s="1"/>
  <c r="V9" i="117"/>
  <c r="U9" i="117"/>
  <c r="S9" i="117"/>
  <c r="R9" i="117"/>
  <c r="J9" i="117"/>
  <c r="I9" i="117"/>
  <c r="A9" i="117"/>
  <c r="U8" i="117"/>
  <c r="V8" i="117" s="1"/>
  <c r="S8" i="117"/>
  <c r="R8" i="117"/>
  <c r="J8" i="117"/>
  <c r="I8" i="117"/>
  <c r="W8" i="117" s="1"/>
  <c r="W60" i="119" l="1"/>
  <c r="W60" i="118"/>
  <c r="W54" i="117"/>
  <c r="W52" i="117"/>
  <c r="W50" i="117"/>
  <c r="W48" i="117"/>
  <c r="W46" i="117"/>
  <c r="W44" i="117"/>
  <c r="W41" i="117"/>
  <c r="W38" i="117"/>
  <c r="W35" i="117"/>
  <c r="W30" i="117"/>
  <c r="W26" i="117"/>
  <c r="W24" i="117"/>
  <c r="W23" i="117"/>
  <c r="W21" i="117"/>
  <c r="W20" i="117"/>
  <c r="W15" i="117"/>
  <c r="W14" i="117"/>
  <c r="J60" i="117"/>
  <c r="W13" i="117"/>
  <c r="W12" i="117"/>
  <c r="R60" i="117"/>
  <c r="U60" i="117"/>
  <c r="W9" i="117"/>
  <c r="S60" i="117"/>
  <c r="V60" i="117"/>
  <c r="I60" i="117"/>
  <c r="W60" i="117" l="1"/>
  <c r="BE26" i="89"/>
  <c r="A9" i="89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7D93DD96-0685-4540-AFE6-99F1CDD7C2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4EEC3EC-BDBC-4338-97E6-BE0B8FA243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16ACC37-6F2E-471E-B5FB-7CB8AA4254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96D3AB6-E6BE-402B-B700-D745A1EE07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588038D2-D640-4ECE-B375-0DC95E63C0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4E0DEACE-48BB-4BF6-868E-E4B3785A44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B3E01330-A09E-4D24-A7AB-A63FFB146A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5A771FF-49FF-4A42-A0F3-47455036664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AC6E11D0-66EE-4705-937F-6B58BC7A80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4293AF32-F60A-488D-A6C0-E0153D789E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7ABE2C9E-A0D5-41A5-ACB0-CC73974E0A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B2C7EC5-A39B-4A04-9B98-23B17CEE6F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CA1D3DE4-1D32-48F4-B0B1-4E20C5D0BD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426D640F-9C9A-4049-92EB-B93B85BAB3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E6600902-7D3B-419D-ADEB-F984A4E3C6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D630CD2E-7524-4744-B4F6-C760DCC376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6DCCD8A-BFF6-4C49-9F7F-1F6447ED533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A6510CD-03BD-47E3-813A-D8285D1B74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8075FA3-BE24-4F4B-81CE-01CE36E1C6E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FE74051E-2C0D-4632-AE6D-BCB6DE0818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C43CE2EF-2F8B-4C4E-8996-CA31CB0252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78BB2F2-7AE2-4DF4-9255-866BCB109A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D89A17FD-C1DB-4976-8FEE-F5BABD2F7A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D4D84510-0BDC-4DA7-A52E-2E015A654D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sharedStrings.xml><?xml version="1.0" encoding="utf-8"?>
<sst xmlns="http://schemas.openxmlformats.org/spreadsheetml/2006/main" count="848" uniqueCount="82">
  <si>
    <t>GUILLERMO BEVERAGE DISTRIBUTION SERVICES</t>
  </si>
  <si>
    <t>DATE</t>
  </si>
  <si>
    <t>DAILY SALES/ STOCK ISSUANCE AND RECEIPTS</t>
  </si>
  <si>
    <t>BEG INVTY</t>
  </si>
  <si>
    <t>WITHDRAWAL (+)</t>
  </si>
  <si>
    <t>TOTAL
SALES (-)</t>
  </si>
  <si>
    <t>ENDING INVTY</t>
  </si>
  <si>
    <t>SALES TO TRADE</t>
  </si>
  <si>
    <t>WW</t>
  </si>
  <si>
    <t>PROMO</t>
  </si>
  <si>
    <t>ROUTE 1</t>
  </si>
  <si>
    <t>ROUTE 2</t>
  </si>
  <si>
    <t>ROUTE 3</t>
  </si>
  <si>
    <t>TOTAL</t>
  </si>
  <si>
    <t>MONTH TO DATE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</si>
  <si>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</si>
  <si>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</si>
  <si>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</si>
  <si>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</si>
  <si>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</si>
  <si>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</si>
  <si>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</si>
  <si>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</si>
  <si>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</si>
  <si>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</si>
  <si>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</si>
  <si>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</si>
  <si>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</si>
  <si>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</si>
  <si>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</si>
  <si>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</si>
  <si>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</si>
  <si>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</si>
  <si>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</si>
  <si>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</si>
  <si>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</si>
  <si>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</si>
  <si>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</si>
  <si>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</si>
  <si>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</si>
  <si>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</si>
  <si>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</si>
  <si>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</si>
  <si>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</si>
  <si>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</si>
  <si>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</si>
  <si>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</si>
  <si>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</si>
  <si>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</si>
  <si>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</si>
  <si>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</si>
  <si>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PREV STT</t>
  </si>
  <si>
    <t>MTD STT</t>
  </si>
  <si>
    <t>EMPTIES</t>
  </si>
  <si>
    <t>EMPTIES
RETURN</t>
  </si>
  <si>
    <t>TOTAL
EMPTIES RECEIVED</t>
  </si>
  <si>
    <t>EMPTIES
ON HAND</t>
  </si>
  <si>
    <t>SHL</t>
  </si>
  <si>
    <t>BOT</t>
  </si>
  <si>
    <t>PL/RHL</t>
  </si>
  <si>
    <t>RH5</t>
  </si>
  <si>
    <t>FB/SML/RHS</t>
  </si>
  <si>
    <t>HT</t>
  </si>
  <si>
    <t>PALLETS</t>
  </si>
  <si>
    <t>NAB</t>
  </si>
  <si>
    <t>BEER
CONV</t>
  </si>
  <si>
    <t>TODAY STT</t>
  </si>
  <si>
    <t>CBB</t>
  </si>
  <si>
    <t>CNB</t>
  </si>
  <si>
    <t>CLC</t>
  </si>
  <si>
    <t>SMZB</t>
  </si>
  <si>
    <t>RH500C</t>
  </si>
  <si>
    <t>SMFB</t>
  </si>
  <si>
    <t>GE320</t>
  </si>
  <si>
    <t>FULL SKU</t>
  </si>
  <si>
    <t>BOTT.</t>
  </si>
  <si>
    <t>PP500C</t>
  </si>
  <si>
    <t>SML500C</t>
  </si>
  <si>
    <t>MGYZ</t>
  </si>
  <si>
    <t>TI PER CASE</t>
  </si>
  <si>
    <t>BOTT. PER CASE</t>
  </si>
  <si>
    <t>TOTAL BOTT 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</si>
</sst>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/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/>
      <bottom style="medium">
        <color rgb="FFCC3399"/>
      </bottom>
      <diagonal/>
    </border>
    <border>
      <left style="thin">
        <color auto="1"/>
      </left>
      <right style="medium">
        <color auto="1"/>
      </right>
      <top/>
      <bottom style="medium">
        <color rgb="FFCC3399"/>
      </bottom>
      <diagonal/>
    </border>
    <border>
      <left/>
      <right/>
      <top/>
      <bottom style="medium">
        <color rgb="FFCC3399"/>
      </bottom>
      <diagonal/>
    </border>
    <border>
      <left style="thin">
        <color auto="1"/>
      </left>
      <right style="thin">
        <color auto="1"/>
      </right>
      <top/>
      <bottom style="medium">
        <color rgb="FFCC33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C3399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CC3399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/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/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/>
      <right/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thin">
        <color theme="1"/>
      </right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00B0F0"/>
      </top>
      <bottom style="medium">
        <color rgb="FFFF000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2" fillId="0" borderId="14" xfId="1" applyFont="1" applyBorder="1" applyAlignment="1">
      <alignment vertical="center"/>
    </xf>
    <xf numFmtId="166" fontId="3" fillId="0" borderId="15" xfId="2" applyNumberFormat="1" applyFont="1" applyFill="1" applyBorder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17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0" fontId="2" fillId="0" borderId="7" xfId="1" applyFont="1" applyBorder="1" applyAlignment="1">
      <alignment vertical="center" wrapText="1"/>
    </xf>
    <xf numFmtId="0" fontId="3" fillId="0" borderId="1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1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166" fontId="3" fillId="0" borderId="18" xfId="2" applyNumberFormat="1" applyFont="1" applyFill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67" fontId="3" fillId="0" borderId="15" xfId="3" applyNumberFormat="1" applyFont="1" applyFill="1" applyBorder="1" applyAlignment="1">
      <alignment vertical="center"/>
    </xf>
    <xf numFmtId="167" fontId="3" fillId="0" borderId="16" xfId="3" applyNumberFormat="1" applyFont="1" applyFill="1" applyBorder="1" applyAlignment="1">
      <alignment vertical="center"/>
    </xf>
    <xf numFmtId="167" fontId="2" fillId="0" borderId="11" xfId="3" applyNumberFormat="1" applyFont="1" applyFill="1" applyBorder="1" applyAlignment="1">
      <alignment vertical="center"/>
    </xf>
    <xf numFmtId="167" fontId="2" fillId="0" borderId="9" xfId="3" applyNumberFormat="1" applyFont="1" applyBorder="1" applyAlignment="1">
      <alignment vertical="center"/>
    </xf>
    <xf numFmtId="167" fontId="2" fillId="0" borderId="4" xfId="3" applyNumberFormat="1" applyFont="1" applyBorder="1" applyAlignment="1">
      <alignment vertical="center"/>
    </xf>
    <xf numFmtId="167" fontId="2" fillId="0" borderId="5" xfId="3" applyNumberFormat="1" applyFont="1" applyBorder="1" applyAlignment="1">
      <alignment vertical="center"/>
    </xf>
    <xf numFmtId="167" fontId="2" fillId="0" borderId="6" xfId="3" applyNumberFormat="1" applyFont="1" applyBorder="1" applyAlignment="1">
      <alignment vertical="center"/>
    </xf>
    <xf numFmtId="167" fontId="2" fillId="2" borderId="17" xfId="3" applyNumberFormat="1" applyFont="1" applyFill="1" applyBorder="1" applyAlignment="1">
      <alignment vertical="center"/>
    </xf>
    <xf numFmtId="167" fontId="2" fillId="2" borderId="18" xfId="3" applyNumberFormat="1" applyFont="1" applyFill="1" applyBorder="1" applyAlignment="1">
      <alignment vertical="center"/>
    </xf>
    <xf numFmtId="167" fontId="2" fillId="2" borderId="25" xfId="3" applyNumberFormat="1" applyFont="1" applyFill="1" applyBorder="1" applyAlignment="1">
      <alignment vertical="center"/>
    </xf>
    <xf numFmtId="167" fontId="2" fillId="0" borderId="17" xfId="3" applyNumberFormat="1" applyFont="1" applyBorder="1" applyAlignment="1">
      <alignment vertical="center"/>
    </xf>
    <xf numFmtId="167" fontId="2" fillId="0" borderId="18" xfId="3" applyNumberFormat="1" applyFont="1" applyBorder="1" applyAlignment="1">
      <alignment vertical="center"/>
    </xf>
    <xf numFmtId="167" fontId="2" fillId="0" borderId="25" xfId="3" applyNumberFormat="1" applyFont="1" applyBorder="1" applyAlignment="1">
      <alignment vertical="center"/>
    </xf>
    <xf numFmtId="167" fontId="2" fillId="0" borderId="7" xfId="3" applyNumberFormat="1" applyFont="1" applyBorder="1" applyAlignment="1">
      <alignment vertical="center"/>
    </xf>
    <xf numFmtId="167" fontId="2" fillId="0" borderId="8" xfId="3" applyNumberFormat="1" applyFont="1" applyBorder="1" applyAlignment="1">
      <alignment vertical="center"/>
    </xf>
    <xf numFmtId="167" fontId="3" fillId="0" borderId="0" xfId="3" applyNumberFormat="1" applyFont="1" applyAlignment="1">
      <alignment vertical="center"/>
    </xf>
    <xf numFmtId="167" fontId="2" fillId="0" borderId="0" xfId="3" applyNumberFormat="1" applyFont="1" applyAlignment="1">
      <alignment vertical="center"/>
    </xf>
    <xf numFmtId="167" fontId="2" fillId="0" borderId="7" xfId="3" applyNumberFormat="1" applyFont="1" applyFill="1" applyBorder="1" applyAlignment="1">
      <alignment vertical="center"/>
    </xf>
    <xf numFmtId="167" fontId="2" fillId="0" borderId="8" xfId="3" applyNumberFormat="1" applyFont="1" applyFill="1" applyBorder="1" applyAlignment="1">
      <alignment vertical="center"/>
    </xf>
    <xf numFmtId="167" fontId="2" fillId="0" borderId="9" xfId="3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2" fontId="3" fillId="0" borderId="0" xfId="1" applyNumberFormat="1" applyFont="1" applyAlignment="1">
      <alignment vertical="center"/>
    </xf>
    <xf numFmtId="0" fontId="2" fillId="0" borderId="2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28" xfId="1" applyFont="1" applyBorder="1" applyAlignment="1">
      <alignment vertical="center"/>
    </xf>
    <xf numFmtId="167" fontId="3" fillId="0" borderId="31" xfId="3" applyNumberFormat="1" applyFont="1" applyBorder="1" applyAlignment="1">
      <alignment vertical="center"/>
    </xf>
    <xf numFmtId="167" fontId="3" fillId="0" borderId="30" xfId="3" applyNumberFormat="1" applyFont="1" applyFill="1" applyBorder="1" applyAlignment="1">
      <alignment vertical="center"/>
    </xf>
    <xf numFmtId="167" fontId="2" fillId="0" borderId="31" xfId="3" applyNumberFormat="1" applyFont="1" applyBorder="1" applyAlignment="1">
      <alignment vertical="center"/>
    </xf>
    <xf numFmtId="167" fontId="2" fillId="0" borderId="27" xfId="3" applyNumberFormat="1" applyFont="1" applyFill="1" applyBorder="1" applyAlignment="1">
      <alignment vertical="center"/>
    </xf>
    <xf numFmtId="167" fontId="3" fillId="0" borderId="39" xfId="3" applyNumberFormat="1" applyFont="1" applyFill="1" applyBorder="1" applyAlignment="1">
      <alignment vertical="center"/>
    </xf>
    <xf numFmtId="167" fontId="2" fillId="0" borderId="41" xfId="3" applyNumberFormat="1" applyFont="1" applyFill="1" applyBorder="1" applyAlignment="1">
      <alignment vertical="center"/>
    </xf>
    <xf numFmtId="0" fontId="3" fillId="0" borderId="35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 wrapText="1"/>
    </xf>
    <xf numFmtId="0" fontId="3" fillId="0" borderId="43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167" fontId="2" fillId="0" borderId="26" xfId="3" applyNumberFormat="1" applyFont="1" applyBorder="1" applyAlignment="1">
      <alignment vertical="center"/>
    </xf>
    <xf numFmtId="167" fontId="2" fillId="2" borderId="46" xfId="3" applyNumberFormat="1" applyFont="1" applyFill="1" applyBorder="1" applyAlignment="1">
      <alignment vertical="center"/>
    </xf>
    <xf numFmtId="167" fontId="2" fillId="0" borderId="46" xfId="3" applyNumberFormat="1" applyFont="1" applyBorder="1" applyAlignment="1">
      <alignment vertical="center"/>
    </xf>
    <xf numFmtId="167" fontId="2" fillId="0" borderId="27" xfId="3" applyNumberFormat="1" applyFont="1" applyBorder="1" applyAlignment="1">
      <alignment vertical="center"/>
    </xf>
    <xf numFmtId="0" fontId="2" fillId="0" borderId="47" xfId="1" applyFont="1" applyBorder="1" applyAlignment="1">
      <alignment horizontal="center" vertical="center"/>
    </xf>
    <xf numFmtId="167" fontId="2" fillId="0" borderId="37" xfId="3" applyNumberFormat="1" applyFont="1" applyBorder="1" applyAlignment="1">
      <alignment vertical="center"/>
    </xf>
    <xf numFmtId="167" fontId="2" fillId="2" borderId="49" xfId="3" applyNumberFormat="1" applyFont="1" applyFill="1" applyBorder="1" applyAlignment="1">
      <alignment vertical="center"/>
    </xf>
    <xf numFmtId="167" fontId="2" fillId="0" borderId="49" xfId="3" applyNumberFormat="1" applyFont="1" applyBorder="1" applyAlignment="1">
      <alignment vertical="center"/>
    </xf>
    <xf numFmtId="167" fontId="2" fillId="0" borderId="38" xfId="3" applyNumberFormat="1" applyFont="1" applyBorder="1" applyAlignment="1">
      <alignment vertical="center"/>
    </xf>
    <xf numFmtId="0" fontId="2" fillId="0" borderId="50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3" fontId="3" fillId="0" borderId="39" xfId="3" applyNumberFormat="1" applyFont="1" applyFill="1" applyBorder="1" applyAlignment="1">
      <alignment vertical="center"/>
    </xf>
    <xf numFmtId="3" fontId="2" fillId="0" borderId="8" xfId="3" applyNumberFormat="1" applyFont="1" applyFill="1" applyBorder="1" applyAlignment="1">
      <alignment vertical="center"/>
    </xf>
    <xf numFmtId="3" fontId="2" fillId="0" borderId="38" xfId="3" applyNumberFormat="1" applyFont="1" applyFill="1" applyBorder="1" applyAlignment="1">
      <alignment vertical="center"/>
    </xf>
    <xf numFmtId="3" fontId="3" fillId="0" borderId="15" xfId="3" applyNumberFormat="1" applyFont="1" applyFill="1" applyBorder="1" applyAlignment="1">
      <alignment vertical="center"/>
    </xf>
    <xf numFmtId="3" fontId="3" fillId="0" borderId="16" xfId="3" applyNumberFormat="1" applyFont="1" applyFill="1" applyBorder="1" applyAlignment="1">
      <alignment vertical="center"/>
    </xf>
    <xf numFmtId="3" fontId="3" fillId="0" borderId="29" xfId="3" applyNumberFormat="1" applyFont="1" applyFill="1" applyBorder="1" applyAlignment="1">
      <alignment vertical="center"/>
    </xf>
    <xf numFmtId="3" fontId="3" fillId="0" borderId="40" xfId="3" applyNumberFormat="1" applyFont="1" applyFill="1" applyBorder="1" applyAlignment="1">
      <alignment vertical="center"/>
    </xf>
    <xf numFmtId="3" fontId="3" fillId="0" borderId="51" xfId="3" applyNumberFormat="1" applyFont="1" applyFill="1" applyBorder="1" applyAlignment="1">
      <alignment vertical="center"/>
    </xf>
    <xf numFmtId="0" fontId="2" fillId="0" borderId="24" xfId="1" applyFont="1" applyBorder="1" applyAlignment="1">
      <alignment vertical="center"/>
    </xf>
    <xf numFmtId="3" fontId="3" fillId="0" borderId="54" xfId="3" applyNumberFormat="1" applyFont="1" applyFill="1" applyBorder="1" applyAlignment="1">
      <alignment vertical="center"/>
    </xf>
    <xf numFmtId="0" fontId="5" fillId="0" borderId="53" xfId="1" applyFont="1" applyBorder="1" applyAlignment="1">
      <alignment horizontal="center" vertical="center"/>
    </xf>
    <xf numFmtId="3" fontId="2" fillId="0" borderId="12" xfId="3" applyNumberFormat="1" applyFont="1" applyFill="1" applyBorder="1" applyAlignment="1">
      <alignment vertical="center"/>
    </xf>
    <xf numFmtId="3" fontId="2" fillId="0" borderId="41" xfId="3" applyNumberFormat="1" applyFont="1" applyFill="1" applyBorder="1" applyAlignment="1">
      <alignment vertical="center"/>
    </xf>
    <xf numFmtId="3" fontId="3" fillId="0" borderId="55" xfId="3" applyNumberFormat="1" applyFont="1" applyFill="1" applyBorder="1" applyAlignment="1">
      <alignment vertical="center"/>
    </xf>
    <xf numFmtId="0" fontId="2" fillId="0" borderId="52" xfId="1" applyFont="1" applyBorder="1" applyAlignment="1">
      <alignment horizontal="center" vertical="center" wrapText="1"/>
    </xf>
    <xf numFmtId="167" fontId="3" fillId="0" borderId="55" xfId="3" applyNumberFormat="1" applyFont="1" applyFill="1" applyBorder="1" applyAlignment="1">
      <alignment vertical="center"/>
    </xf>
    <xf numFmtId="0" fontId="2" fillId="0" borderId="13" xfId="1" applyFont="1" applyBorder="1" applyAlignment="1">
      <alignment horizontal="center" vertical="center" wrapText="1"/>
    </xf>
    <xf numFmtId="167" fontId="2" fillId="0" borderId="44" xfId="3" applyNumberFormat="1" applyFont="1" applyFill="1" applyBorder="1" applyAlignment="1">
      <alignment vertical="center"/>
    </xf>
    <xf numFmtId="0" fontId="2" fillId="0" borderId="22" xfId="1" applyFont="1" applyBorder="1" applyAlignment="1">
      <alignment horizontal="center" vertical="center" wrapText="1"/>
    </xf>
    <xf numFmtId="167" fontId="3" fillId="0" borderId="25" xfId="3" applyNumberFormat="1" applyFont="1" applyFill="1" applyBorder="1" applyAlignment="1">
      <alignment vertical="center"/>
    </xf>
    <xf numFmtId="3" fontId="3" fillId="0" borderId="56" xfId="3" applyNumberFormat="1" applyFont="1" applyFill="1" applyBorder="1" applyAlignment="1">
      <alignment vertical="center"/>
    </xf>
    <xf numFmtId="3" fontId="3" fillId="0" borderId="52" xfId="3" applyNumberFormat="1" applyFont="1" applyFill="1" applyBorder="1" applyAlignment="1">
      <alignment vertical="center"/>
    </xf>
    <xf numFmtId="3" fontId="3" fillId="0" borderId="57" xfId="3" applyNumberFormat="1" applyFont="1" applyFill="1" applyBorder="1" applyAlignment="1">
      <alignment vertical="center"/>
    </xf>
    <xf numFmtId="3" fontId="3" fillId="0" borderId="59" xfId="3" applyNumberFormat="1" applyFont="1" applyFill="1" applyBorder="1" applyAlignment="1">
      <alignment vertical="center"/>
    </xf>
    <xf numFmtId="3" fontId="3" fillId="0" borderId="58" xfId="3" applyNumberFormat="1" applyFont="1" applyFill="1" applyBorder="1" applyAlignment="1">
      <alignment vertical="center"/>
    </xf>
    <xf numFmtId="3" fontId="3" fillId="0" borderId="64" xfId="3" applyNumberFormat="1" applyFont="1" applyFill="1" applyBorder="1" applyAlignment="1">
      <alignment vertical="center"/>
    </xf>
    <xf numFmtId="3" fontId="3" fillId="0" borderId="63" xfId="3" applyNumberFormat="1" applyFont="1" applyFill="1" applyBorder="1" applyAlignment="1">
      <alignment vertical="center"/>
    </xf>
    <xf numFmtId="0" fontId="5" fillId="0" borderId="2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167" fontId="2" fillId="0" borderId="62" xfId="3" applyNumberFormat="1" applyFont="1" applyFill="1" applyBorder="1" applyAlignment="1">
      <alignment vertical="center"/>
    </xf>
    <xf numFmtId="0" fontId="3" fillId="0" borderId="67" xfId="1" applyFont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67" fontId="3" fillId="3" borderId="14" xfId="3" applyNumberFormat="1" applyFont="1" applyFill="1" applyBorder="1" applyAlignment="1">
      <alignment vertical="center"/>
    </xf>
    <xf numFmtId="167" fontId="3" fillId="3" borderId="36" xfId="3" applyNumberFormat="1" applyFont="1" applyFill="1" applyBorder="1" applyAlignment="1">
      <alignment vertical="center"/>
    </xf>
    <xf numFmtId="167" fontId="3" fillId="3" borderId="15" xfId="3" applyNumberFormat="1" applyFont="1" applyFill="1" applyBorder="1" applyAlignment="1">
      <alignment vertical="center"/>
    </xf>
    <xf numFmtId="3" fontId="3" fillId="3" borderId="14" xfId="3" applyNumberFormat="1" applyFont="1" applyFill="1" applyBorder="1" applyAlignment="1">
      <alignment vertical="center"/>
    </xf>
    <xf numFmtId="3" fontId="3" fillId="3" borderId="36" xfId="3" applyNumberFormat="1" applyFont="1" applyFill="1" applyBorder="1" applyAlignment="1">
      <alignment vertical="center"/>
    </xf>
    <xf numFmtId="3" fontId="3" fillId="3" borderId="15" xfId="3" applyNumberFormat="1" applyFont="1" applyFill="1" applyBorder="1" applyAlignment="1">
      <alignment vertical="center"/>
    </xf>
    <xf numFmtId="3" fontId="3" fillId="3" borderId="28" xfId="3" applyNumberFormat="1" applyFont="1" applyFill="1" applyBorder="1" applyAlignment="1">
      <alignment vertical="center"/>
    </xf>
    <xf numFmtId="3" fontId="3" fillId="3" borderId="34" xfId="3" applyNumberFormat="1" applyFont="1" applyFill="1" applyBorder="1" applyAlignment="1">
      <alignment vertical="center"/>
    </xf>
    <xf numFmtId="3" fontId="3" fillId="3" borderId="29" xfId="3" applyNumberFormat="1" applyFont="1" applyFill="1" applyBorder="1" applyAlignment="1">
      <alignment vertical="center"/>
    </xf>
    <xf numFmtId="3" fontId="3" fillId="3" borderId="24" xfId="3" applyNumberFormat="1" applyFont="1" applyFill="1" applyBorder="1" applyAlignment="1">
      <alignment vertical="center"/>
    </xf>
    <xf numFmtId="3" fontId="3" fillId="3" borderId="53" xfId="3" applyNumberFormat="1" applyFont="1" applyFill="1" applyBorder="1" applyAlignment="1">
      <alignment vertical="center"/>
    </xf>
    <xf numFmtId="3" fontId="3" fillId="3" borderId="54" xfId="3" applyNumberFormat="1" applyFont="1" applyFill="1" applyBorder="1" applyAlignment="1">
      <alignment vertical="center"/>
    </xf>
    <xf numFmtId="167" fontId="3" fillId="3" borderId="39" xfId="3" applyNumberFormat="1" applyFont="1" applyFill="1" applyBorder="1" applyAlignment="1">
      <alignment vertical="center"/>
    </xf>
    <xf numFmtId="3" fontId="3" fillId="3" borderId="39" xfId="3" applyNumberFormat="1" applyFont="1" applyFill="1" applyBorder="1" applyAlignment="1">
      <alignment vertical="center"/>
    </xf>
    <xf numFmtId="3" fontId="3" fillId="3" borderId="32" xfId="3" applyNumberFormat="1" applyFont="1" applyFill="1" applyBorder="1" applyAlignment="1">
      <alignment vertical="center"/>
    </xf>
    <xf numFmtId="3" fontId="3" fillId="3" borderId="48" xfId="3" applyNumberFormat="1" applyFont="1" applyFill="1" applyBorder="1" applyAlignment="1">
      <alignment vertical="center"/>
    </xf>
    <xf numFmtId="167" fontId="3" fillId="4" borderId="3" xfId="3" applyNumberFormat="1" applyFont="1" applyFill="1" applyBorder="1" applyAlignment="1">
      <alignment vertical="center"/>
    </xf>
    <xf numFmtId="3" fontId="3" fillId="4" borderId="3" xfId="3" applyNumberFormat="1" applyFont="1" applyFill="1" applyBorder="1" applyAlignment="1">
      <alignment vertical="center"/>
    </xf>
    <xf numFmtId="3" fontId="3" fillId="4" borderId="60" xfId="3" applyNumberFormat="1" applyFont="1" applyFill="1" applyBorder="1" applyAlignment="1">
      <alignment vertical="center"/>
    </xf>
    <xf numFmtId="3" fontId="3" fillId="4" borderId="61" xfId="3" applyNumberFormat="1" applyFont="1" applyFill="1" applyBorder="1" applyAlignment="1">
      <alignment vertical="center"/>
    </xf>
    <xf numFmtId="3" fontId="3" fillId="4" borderId="66" xfId="3" applyNumberFormat="1" applyFont="1" applyFill="1" applyBorder="1" applyAlignment="1">
      <alignment vertical="center"/>
    </xf>
    <xf numFmtId="3" fontId="3" fillId="4" borderId="65" xfId="3" applyNumberFormat="1" applyFont="1" applyFill="1" applyBorder="1" applyAlignment="1">
      <alignment vertical="center"/>
    </xf>
    <xf numFmtId="167" fontId="3" fillId="3" borderId="42" xfId="3" applyNumberFormat="1" applyFont="1" applyFill="1" applyBorder="1" applyAlignment="1">
      <alignment vertical="center"/>
    </xf>
    <xf numFmtId="167" fontId="3" fillId="3" borderId="18" xfId="3" applyNumberFormat="1" applyFont="1" applyFill="1" applyBorder="1" applyAlignment="1">
      <alignment vertical="center"/>
    </xf>
    <xf numFmtId="167" fontId="3" fillId="3" borderId="33" xfId="3" applyNumberFormat="1" applyFont="1" applyFill="1" applyBorder="1" applyAlignment="1">
      <alignment vertical="center"/>
    </xf>
    <xf numFmtId="167" fontId="3" fillId="3" borderId="62" xfId="3" applyNumberFormat="1" applyFont="1" applyFill="1" applyBorder="1" applyAlignment="1">
      <alignment vertical="center"/>
    </xf>
    <xf numFmtId="167" fontId="3" fillId="3" borderId="31" xfId="3" applyNumberFormat="1" applyFont="1" applyFill="1" applyBorder="1" applyAlignment="1">
      <alignment vertical="center"/>
    </xf>
    <xf numFmtId="167" fontId="3" fillId="3" borderId="56" xfId="3" applyNumberFormat="1" applyFont="1" applyFill="1" applyBorder="1" applyAlignment="1">
      <alignment vertical="center"/>
    </xf>
    <xf numFmtId="167" fontId="3" fillId="3" borderId="29" xfId="3" applyNumberFormat="1" applyFont="1" applyFill="1" applyBorder="1" applyAlignment="1">
      <alignment vertical="center"/>
    </xf>
    <xf numFmtId="167" fontId="3" fillId="3" borderId="24" xfId="3" applyNumberFormat="1" applyFont="1" applyFill="1" applyBorder="1" applyAlignment="1">
      <alignment vertical="center"/>
    </xf>
    <xf numFmtId="167" fontId="3" fillId="3" borderId="0" xfId="3" applyNumberFormat="1" applyFont="1" applyFill="1" applyBorder="1" applyAlignment="1">
      <alignment vertical="center"/>
    </xf>
    <xf numFmtId="0" fontId="2" fillId="0" borderId="68" xfId="1" applyFont="1" applyBorder="1" applyAlignment="1">
      <alignment vertical="center"/>
    </xf>
    <xf numFmtId="3" fontId="3" fillId="0" borderId="48" xfId="3" applyNumberFormat="1" applyFont="1" applyFill="1" applyBorder="1" applyAlignment="1">
      <alignment vertical="center"/>
    </xf>
    <xf numFmtId="3" fontId="3" fillId="0" borderId="30" xfId="3" applyNumberFormat="1" applyFont="1" applyFill="1" applyBorder="1" applyAlignment="1">
      <alignment vertical="center"/>
    </xf>
    <xf numFmtId="3" fontId="3" fillId="3" borderId="33" xfId="3" applyNumberFormat="1" applyFont="1" applyFill="1" applyBorder="1" applyAlignment="1">
      <alignment vertical="center"/>
    </xf>
    <xf numFmtId="3" fontId="3" fillId="3" borderId="69" xfId="3" applyNumberFormat="1" applyFont="1" applyFill="1" applyBorder="1" applyAlignment="1">
      <alignment vertical="center"/>
    </xf>
    <xf numFmtId="3" fontId="3" fillId="0" borderId="32" xfId="3" applyNumberFormat="1" applyFont="1" applyFill="1" applyBorder="1" applyAlignment="1">
      <alignment vertical="center"/>
    </xf>
    <xf numFmtId="3" fontId="3" fillId="4" borderId="70" xfId="3" applyNumberFormat="1" applyFont="1" applyFill="1" applyBorder="1" applyAlignment="1">
      <alignment vertical="center"/>
    </xf>
    <xf numFmtId="0" fontId="2" fillId="0" borderId="71" xfId="1" applyFont="1" applyBorder="1" applyAlignment="1">
      <alignment vertical="center"/>
    </xf>
    <xf numFmtId="3" fontId="3" fillId="3" borderId="71" xfId="3" applyNumberFormat="1" applyFont="1" applyFill="1" applyBorder="1" applyAlignment="1">
      <alignment vertical="center"/>
    </xf>
    <xf numFmtId="3" fontId="3" fillId="3" borderId="72" xfId="3" applyNumberFormat="1" applyFont="1" applyFill="1" applyBorder="1" applyAlignment="1">
      <alignment vertical="center"/>
    </xf>
    <xf numFmtId="3" fontId="3" fillId="3" borderId="73" xfId="3" applyNumberFormat="1" applyFont="1" applyFill="1" applyBorder="1" applyAlignment="1">
      <alignment vertical="center"/>
    </xf>
    <xf numFmtId="3" fontId="3" fillId="0" borderId="73" xfId="3" applyNumberFormat="1" applyFont="1" applyFill="1" applyBorder="1" applyAlignment="1">
      <alignment vertical="center"/>
    </xf>
    <xf numFmtId="3" fontId="3" fillId="0" borderId="74" xfId="3" applyNumberFormat="1" applyFont="1" applyFill="1" applyBorder="1" applyAlignment="1">
      <alignment vertical="center"/>
    </xf>
    <xf numFmtId="3" fontId="3" fillId="0" borderId="75" xfId="3" applyNumberFormat="1" applyFont="1" applyFill="1" applyBorder="1" applyAlignment="1">
      <alignment vertical="center"/>
    </xf>
    <xf numFmtId="3" fontId="3" fillId="0" borderId="76" xfId="3" applyNumberFormat="1" applyFont="1" applyFill="1" applyBorder="1" applyAlignment="1">
      <alignment vertical="center"/>
    </xf>
    <xf numFmtId="167" fontId="3" fillId="0" borderId="77" xfId="3" applyNumberFormat="1" applyFont="1" applyBorder="1" applyAlignment="1">
      <alignment vertical="center"/>
    </xf>
    <xf numFmtId="3" fontId="3" fillId="3" borderId="78" xfId="3" applyNumberFormat="1" applyFont="1" applyFill="1" applyBorder="1" applyAlignment="1">
      <alignment vertical="center"/>
    </xf>
    <xf numFmtId="3" fontId="3" fillId="3" borderId="75" xfId="3" applyNumberFormat="1" applyFont="1" applyFill="1" applyBorder="1" applyAlignment="1">
      <alignment vertical="center"/>
    </xf>
    <xf numFmtId="3" fontId="3" fillId="0" borderId="79" xfId="3" applyNumberFormat="1" applyFont="1" applyFill="1" applyBorder="1" applyAlignment="1">
      <alignment vertical="center"/>
    </xf>
    <xf numFmtId="3" fontId="3" fillId="4" borderId="80" xfId="3" applyNumberFormat="1" applyFont="1" applyFill="1" applyBorder="1" applyAlignment="1">
      <alignment vertical="center"/>
    </xf>
    <xf numFmtId="167" fontId="3" fillId="3" borderId="71" xfId="3" applyNumberFormat="1" applyFont="1" applyFill="1" applyBorder="1" applyAlignment="1">
      <alignment vertical="center"/>
    </xf>
    <xf numFmtId="167" fontId="3" fillId="3" borderId="73" xfId="3" applyNumberFormat="1" applyFont="1" applyFill="1" applyBorder="1" applyAlignment="1">
      <alignment vertical="center"/>
    </xf>
    <xf numFmtId="167" fontId="3" fillId="0" borderId="76" xfId="3" applyNumberFormat="1" applyFont="1" applyFill="1" applyBorder="1" applyAlignment="1">
      <alignment vertical="center"/>
    </xf>
    <xf numFmtId="3" fontId="3" fillId="0" borderId="81" xfId="3" applyNumberFormat="1" applyFont="1" applyFill="1" applyBorder="1" applyAlignment="1">
      <alignment vertical="center"/>
    </xf>
    <xf numFmtId="0" fontId="2" fillId="0" borderId="82" xfId="1" applyFont="1" applyBorder="1" applyAlignment="1">
      <alignment vertical="center"/>
    </xf>
    <xf numFmtId="3" fontId="3" fillId="3" borderId="82" xfId="3" applyNumberFormat="1" applyFont="1" applyFill="1" applyBorder="1" applyAlignment="1">
      <alignment vertical="center"/>
    </xf>
    <xf numFmtId="3" fontId="3" fillId="3" borderId="83" xfId="3" applyNumberFormat="1" applyFont="1" applyFill="1" applyBorder="1" applyAlignment="1">
      <alignment vertical="center"/>
    </xf>
    <xf numFmtId="3" fontId="3" fillId="3" borderId="84" xfId="3" applyNumberFormat="1" applyFont="1" applyFill="1" applyBorder="1" applyAlignment="1">
      <alignment vertical="center"/>
    </xf>
    <xf numFmtId="3" fontId="3" fillId="0" borderId="84" xfId="3" applyNumberFormat="1" applyFont="1" applyFill="1" applyBorder="1" applyAlignment="1">
      <alignment vertical="center"/>
    </xf>
    <xf numFmtId="3" fontId="3" fillId="0" borderId="85" xfId="3" applyNumberFormat="1" applyFont="1" applyFill="1" applyBorder="1" applyAlignment="1">
      <alignment vertical="center"/>
    </xf>
    <xf numFmtId="3" fontId="3" fillId="0" borderId="86" xfId="3" applyNumberFormat="1" applyFont="1" applyFill="1" applyBorder="1" applyAlignment="1">
      <alignment vertical="center"/>
    </xf>
    <xf numFmtId="167" fontId="3" fillId="0" borderId="87" xfId="3" applyNumberFormat="1" applyFont="1" applyBorder="1" applyAlignment="1">
      <alignment vertical="center"/>
    </xf>
    <xf numFmtId="3" fontId="3" fillId="3" borderId="85" xfId="3" applyNumberFormat="1" applyFont="1" applyFill="1" applyBorder="1" applyAlignment="1">
      <alignment vertical="center"/>
    </xf>
    <xf numFmtId="3" fontId="3" fillId="0" borderId="88" xfId="3" applyNumberFormat="1" applyFont="1" applyFill="1" applyBorder="1" applyAlignment="1">
      <alignment vertical="center"/>
    </xf>
    <xf numFmtId="3" fontId="3" fillId="4" borderId="89" xfId="3" applyNumberFormat="1" applyFont="1" applyFill="1" applyBorder="1" applyAlignment="1">
      <alignment vertical="center"/>
    </xf>
    <xf numFmtId="167" fontId="3" fillId="3" borderId="82" xfId="3" applyNumberFormat="1" applyFont="1" applyFill="1" applyBorder="1" applyAlignment="1">
      <alignment vertical="center"/>
    </xf>
    <xf numFmtId="167" fontId="3" fillId="3" borderId="84" xfId="3" applyNumberFormat="1" applyFont="1" applyFill="1" applyBorder="1" applyAlignment="1">
      <alignment vertical="center"/>
    </xf>
    <xf numFmtId="167" fontId="3" fillId="3" borderId="87" xfId="3" applyNumberFormat="1" applyFont="1" applyFill="1" applyBorder="1" applyAlignment="1">
      <alignment vertical="center"/>
    </xf>
    <xf numFmtId="167" fontId="3" fillId="0" borderId="86" xfId="3" applyNumberFormat="1" applyFont="1" applyFill="1" applyBorder="1" applyAlignment="1">
      <alignment vertical="center"/>
    </xf>
    <xf numFmtId="3" fontId="3" fillId="0" borderId="90" xfId="3" applyNumberFormat="1" applyFont="1" applyFill="1" applyBorder="1" applyAlignment="1">
      <alignment vertical="center"/>
    </xf>
    <xf numFmtId="3" fontId="3" fillId="0" borderId="91" xfId="3" applyNumberFormat="1" applyFont="1" applyFill="1" applyBorder="1" applyAlignment="1">
      <alignment vertical="center"/>
    </xf>
    <xf numFmtId="3" fontId="3" fillId="4" borderId="92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67" fontId="9" fillId="5" borderId="44" xfId="3" applyNumberFormat="1" applyFont="1" applyFill="1" applyBorder="1" applyAlignment="1">
      <alignment vertical="center"/>
    </xf>
    <xf numFmtId="167" fontId="2" fillId="5" borderId="44" xfId="3" applyNumberFormat="1" applyFont="1" applyFill="1" applyBorder="1" applyAlignment="1">
      <alignment vertical="center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4">
    <cellStyle name="Comma" xfId="3" builtinId="3"/>
    <cellStyle name="Comma 3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F750-3D1C-4077-BE1E-4E3AB73F0352}">
  <sheetPr>
    <pageSetUpPr fitToPage="1"/>
  </sheetPr>
  <dimension ref="A1:BH90"/>
  <sheetViews>
    <sheetView view="pageBreakPreview" zoomScale="55" zoomScaleNormal="85" zoomScaleSheetLayoutView="5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193"/>
      <c r="Q1" s="194"/>
      <c r="R1" s="194"/>
      <c r="S1" s="194"/>
      <c r="T1" s="194"/>
      <c r="U1" s="194"/>
      <c r="V1" s="194"/>
      <c r="W1" s="194"/>
      <c r="X1" s="19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196" t="s">
        <v>74</v>
      </c>
      <c r="C4" s="197" t="s">
        <v>3</v>
      </c>
      <c r="D4" s="198" t="s">
        <v>75</v>
      </c>
      <c r="E4" s="199" t="s">
        <v>4</v>
      </c>
      <c r="F4" s="200"/>
      <c r="G4" s="201" t="s">
        <v>5</v>
      </c>
      <c r="H4" s="203" t="s">
        <v>75</v>
      </c>
      <c r="I4" s="205" t="s">
        <v>6</v>
      </c>
      <c r="J4" s="203" t="s">
        <v>75</v>
      </c>
      <c r="L4" s="207" t="s">
        <v>7</v>
      </c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8"/>
      <c r="X4" s="210"/>
    </row>
    <row r="5" spans="1:60" s="3" customFormat="1" ht="57" thickBot="1" x14ac:dyDescent="0.3">
      <c r="A5" s="49"/>
      <c r="B5" s="196"/>
      <c r="C5" s="197"/>
      <c r="D5" s="198"/>
      <c r="E5" s="48" t="s">
        <v>8</v>
      </c>
      <c r="F5" s="106" t="s">
        <v>9</v>
      </c>
      <c r="G5" s="202"/>
      <c r="H5" s="204"/>
      <c r="I5" s="206"/>
      <c r="J5" s="204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/>
      <c r="J8" s="77"/>
      <c r="K8" s="41"/>
      <c r="L8" s="112"/>
      <c r="M8" s="112"/>
      <c r="N8" s="112"/>
      <c r="O8" s="112"/>
      <c r="P8" s="112"/>
      <c r="Q8" s="120"/>
      <c r="R8" s="86"/>
      <c r="S8" s="124"/>
      <c r="T8" s="41"/>
      <c r="U8" s="107"/>
      <c r="V8" s="130"/>
      <c r="W8" s="129"/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0">A8+1</f>
        <v>2</v>
      </c>
      <c r="B9" s="50" t="s">
        <v>49</v>
      </c>
      <c r="C9" s="113"/>
      <c r="D9" s="114"/>
      <c r="E9" s="115"/>
      <c r="F9" s="115"/>
      <c r="G9" s="78"/>
      <c r="H9" s="79"/>
      <c r="I9" s="78"/>
      <c r="J9" s="94"/>
      <c r="K9" s="51"/>
      <c r="L9" s="121"/>
      <c r="M9" s="121"/>
      <c r="N9" s="121"/>
      <c r="O9" s="121"/>
      <c r="P9" s="121"/>
      <c r="Q9" s="122"/>
      <c r="R9" s="98"/>
      <c r="S9" s="125"/>
      <c r="T9" s="51"/>
      <c r="U9" s="131"/>
      <c r="V9" s="132"/>
      <c r="W9" s="133"/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0"/>
        <v>3</v>
      </c>
      <c r="B10" s="10" t="s">
        <v>47</v>
      </c>
      <c r="C10" s="110"/>
      <c r="D10" s="111"/>
      <c r="E10" s="112"/>
      <c r="F10" s="112"/>
      <c r="G10" s="76"/>
      <c r="H10" s="73"/>
      <c r="I10" s="73"/>
      <c r="J10" s="95"/>
      <c r="K10" s="41"/>
      <c r="L10" s="112"/>
      <c r="M10" s="112"/>
      <c r="N10" s="112"/>
      <c r="O10" s="112"/>
      <c r="P10" s="112"/>
      <c r="Q10" s="120"/>
      <c r="R10" s="99"/>
      <c r="S10" s="126"/>
      <c r="T10" s="41"/>
      <c r="U10" s="107"/>
      <c r="V10" s="134"/>
      <c r="W10" s="129"/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0"/>
        <v>4</v>
      </c>
      <c r="B11" s="13" t="s">
        <v>50</v>
      </c>
      <c r="C11" s="110"/>
      <c r="D11" s="111"/>
      <c r="E11" s="112"/>
      <c r="F11" s="112"/>
      <c r="G11" s="76"/>
      <c r="H11" s="73"/>
      <c r="I11" s="73"/>
      <c r="J11" s="77"/>
      <c r="K11" s="41"/>
      <c r="L11" s="112"/>
      <c r="M11" s="112"/>
      <c r="N11" s="112"/>
      <c r="O11" s="112"/>
      <c r="P11" s="112"/>
      <c r="Q11" s="120"/>
      <c r="R11" s="86"/>
      <c r="S11" s="124"/>
      <c r="T11" s="41"/>
      <c r="U11" s="107"/>
      <c r="V11" s="130"/>
      <c r="W11" s="129"/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0"/>
        <v>5</v>
      </c>
      <c r="B12" s="13" t="s">
        <v>48</v>
      </c>
      <c r="C12" s="110"/>
      <c r="D12" s="111"/>
      <c r="E12" s="112"/>
      <c r="F12" s="112"/>
      <c r="G12" s="76"/>
      <c r="H12" s="73"/>
      <c r="I12" s="73"/>
      <c r="J12" s="77"/>
      <c r="K12" s="41"/>
      <c r="L12" s="112"/>
      <c r="M12" s="112"/>
      <c r="N12" s="112"/>
      <c r="O12" s="112"/>
      <c r="P12" s="112"/>
      <c r="Q12" s="120"/>
      <c r="R12" s="86"/>
      <c r="S12" s="124"/>
      <c r="T12" s="41"/>
      <c r="U12" s="107"/>
      <c r="V12" s="130"/>
      <c r="W12" s="129"/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0"/>
        <v>6</v>
      </c>
      <c r="B13" s="50" t="s">
        <v>44</v>
      </c>
      <c r="C13" s="113"/>
      <c r="D13" s="114"/>
      <c r="E13" s="115"/>
      <c r="F13" s="115"/>
      <c r="G13" s="78"/>
      <c r="H13" s="79"/>
      <c r="I13" s="80"/>
      <c r="J13" s="94"/>
      <c r="K13" s="53"/>
      <c r="L13" s="121"/>
      <c r="M13" s="121"/>
      <c r="N13" s="121"/>
      <c r="O13" s="121"/>
      <c r="P13" s="121"/>
      <c r="Q13" s="122"/>
      <c r="R13" s="97"/>
      <c r="S13" s="125"/>
      <c r="T13" s="53"/>
      <c r="U13" s="131"/>
      <c r="V13" s="135"/>
      <c r="W13" s="133"/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0"/>
        <v>7</v>
      </c>
      <c r="B14" s="10" t="s">
        <v>15</v>
      </c>
      <c r="C14" s="110"/>
      <c r="D14" s="111"/>
      <c r="E14" s="112"/>
      <c r="F14" s="112"/>
      <c r="G14" s="76"/>
      <c r="H14" s="73"/>
      <c r="I14" s="93"/>
      <c r="J14" s="95"/>
      <c r="K14" s="41"/>
      <c r="L14" s="112"/>
      <c r="M14" s="112"/>
      <c r="N14" s="112"/>
      <c r="O14" s="112"/>
      <c r="P14" s="112"/>
      <c r="Q14" s="120"/>
      <c r="R14" s="96"/>
      <c r="S14" s="126"/>
      <c r="T14" s="41"/>
      <c r="U14" s="107"/>
      <c r="V14" s="109"/>
      <c r="W14" s="129"/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0"/>
        <v>8</v>
      </c>
      <c r="B15" s="13" t="s">
        <v>16</v>
      </c>
      <c r="C15" s="110"/>
      <c r="D15" s="111"/>
      <c r="E15" s="112"/>
      <c r="F15" s="112"/>
      <c r="G15" s="76"/>
      <c r="H15" s="73"/>
      <c r="I15" s="73"/>
      <c r="J15" s="77"/>
      <c r="K15" s="41"/>
      <c r="L15" s="112"/>
      <c r="M15" s="112"/>
      <c r="N15" s="112"/>
      <c r="O15" s="112"/>
      <c r="P15" s="112"/>
      <c r="Q15" s="120"/>
      <c r="R15" s="86"/>
      <c r="S15" s="124"/>
      <c r="T15" s="41"/>
      <c r="U15" s="107"/>
      <c r="V15" s="130"/>
      <c r="W15" s="129"/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0"/>
        <v>9</v>
      </c>
      <c r="B16" s="13" t="s">
        <v>17</v>
      </c>
      <c r="C16" s="110"/>
      <c r="D16" s="111"/>
      <c r="E16" s="112"/>
      <c r="F16" s="112"/>
      <c r="G16" s="76"/>
      <c r="H16" s="73"/>
      <c r="I16" s="73"/>
      <c r="J16" s="77"/>
      <c r="K16" s="41"/>
      <c r="L16" s="112"/>
      <c r="M16" s="112"/>
      <c r="N16" s="112"/>
      <c r="O16" s="112"/>
      <c r="P16" s="112"/>
      <c r="Q16" s="120"/>
      <c r="R16" s="86"/>
      <c r="S16" s="124"/>
      <c r="T16" s="41"/>
      <c r="U16" s="107"/>
      <c r="V16" s="130"/>
      <c r="W16" s="129"/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0"/>
        <v>10</v>
      </c>
      <c r="B17" s="13" t="s">
        <v>18</v>
      </c>
      <c r="C17" s="110"/>
      <c r="D17" s="111"/>
      <c r="E17" s="112"/>
      <c r="F17" s="112"/>
      <c r="G17" s="76"/>
      <c r="H17" s="73"/>
      <c r="I17" s="73"/>
      <c r="J17" s="77"/>
      <c r="K17" s="41"/>
      <c r="L17" s="112"/>
      <c r="M17" s="112"/>
      <c r="N17" s="112"/>
      <c r="O17" s="112"/>
      <c r="P17" s="112"/>
      <c r="Q17" s="120"/>
      <c r="R17" s="86"/>
      <c r="S17" s="124"/>
      <c r="T17" s="41"/>
      <c r="U17" s="107"/>
      <c r="V17" s="130"/>
      <c r="W17" s="129"/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0"/>
        <v>11</v>
      </c>
      <c r="B18" s="13" t="s">
        <v>19</v>
      </c>
      <c r="C18" s="110"/>
      <c r="D18" s="111"/>
      <c r="E18" s="112"/>
      <c r="F18" s="112"/>
      <c r="G18" s="76"/>
      <c r="H18" s="73"/>
      <c r="I18" s="73"/>
      <c r="J18" s="77"/>
      <c r="K18" s="41"/>
      <c r="L18" s="112"/>
      <c r="M18" s="112"/>
      <c r="N18" s="112"/>
      <c r="O18" s="112"/>
      <c r="P18" s="112"/>
      <c r="Q18" s="120"/>
      <c r="R18" s="86"/>
      <c r="S18" s="124"/>
      <c r="T18" s="41"/>
      <c r="U18" s="107"/>
      <c r="V18" s="130"/>
      <c r="W18" s="129"/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0"/>
        <v>12</v>
      </c>
      <c r="B19" s="13" t="s">
        <v>23</v>
      </c>
      <c r="C19" s="110"/>
      <c r="D19" s="111"/>
      <c r="E19" s="112"/>
      <c r="F19" s="112"/>
      <c r="G19" s="76"/>
      <c r="H19" s="73"/>
      <c r="I19" s="73"/>
      <c r="J19" s="77"/>
      <c r="K19" s="41"/>
      <c r="L19" s="112"/>
      <c r="M19" s="112"/>
      <c r="N19" s="112"/>
      <c r="O19" s="112"/>
      <c r="P19" s="112"/>
      <c r="Q19" s="120"/>
      <c r="R19" s="86"/>
      <c r="S19" s="124"/>
      <c r="T19" s="41"/>
      <c r="U19" s="107"/>
      <c r="V19" s="130"/>
      <c r="W19" s="129"/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0"/>
        <v>13</v>
      </c>
      <c r="B20" s="13" t="s">
        <v>67</v>
      </c>
      <c r="C20" s="110"/>
      <c r="D20" s="111"/>
      <c r="E20" s="112"/>
      <c r="F20" s="112"/>
      <c r="G20" s="76"/>
      <c r="H20" s="73"/>
      <c r="I20" s="73"/>
      <c r="J20" s="77"/>
      <c r="K20" s="41"/>
      <c r="L20" s="112"/>
      <c r="M20" s="112"/>
      <c r="N20" s="112"/>
      <c r="O20" s="112"/>
      <c r="P20" s="112"/>
      <c r="Q20" s="120"/>
      <c r="R20" s="86"/>
      <c r="S20" s="124"/>
      <c r="T20" s="41"/>
      <c r="U20" s="107"/>
      <c r="V20" s="130"/>
      <c r="W20" s="129"/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0"/>
        <v>14</v>
      </c>
      <c r="B21" s="13" t="s">
        <v>20</v>
      </c>
      <c r="C21" s="110"/>
      <c r="D21" s="111"/>
      <c r="E21" s="112"/>
      <c r="F21" s="112"/>
      <c r="G21" s="76"/>
      <c r="H21" s="73"/>
      <c r="I21" s="73"/>
      <c r="J21" s="77"/>
      <c r="K21" s="41"/>
      <c r="L21" s="112"/>
      <c r="M21" s="112"/>
      <c r="N21" s="112"/>
      <c r="O21" s="112"/>
      <c r="P21" s="112"/>
      <c r="Q21" s="120"/>
      <c r="R21" s="86"/>
      <c r="S21" s="124"/>
      <c r="T21" s="41"/>
      <c r="U21" s="107"/>
      <c r="V21" s="130"/>
      <c r="W21" s="129"/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0"/>
        <v>15</v>
      </c>
      <c r="B22" s="13" t="s">
        <v>21</v>
      </c>
      <c r="C22" s="110"/>
      <c r="D22" s="111"/>
      <c r="E22" s="112"/>
      <c r="F22" s="112"/>
      <c r="G22" s="76"/>
      <c r="H22" s="73"/>
      <c r="I22" s="73"/>
      <c r="J22" s="77"/>
      <c r="K22" s="41"/>
      <c r="L22" s="112"/>
      <c r="M22" s="112"/>
      <c r="N22" s="112"/>
      <c r="O22" s="112"/>
      <c r="P22" s="112"/>
      <c r="Q22" s="120"/>
      <c r="R22" s="86"/>
      <c r="S22" s="124"/>
      <c r="T22" s="41"/>
      <c r="U22" s="107"/>
      <c r="V22" s="130"/>
      <c r="W22" s="129"/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0"/>
        <v>16</v>
      </c>
      <c r="B23" s="13" t="s">
        <v>68</v>
      </c>
      <c r="C23" s="110"/>
      <c r="D23" s="111"/>
      <c r="E23" s="112"/>
      <c r="F23" s="112"/>
      <c r="G23" s="76"/>
      <c r="H23" s="73"/>
      <c r="I23" s="73"/>
      <c r="J23" s="77"/>
      <c r="K23" s="42"/>
      <c r="L23" s="112"/>
      <c r="M23" s="112"/>
      <c r="N23" s="112"/>
      <c r="O23" s="112"/>
      <c r="P23" s="112"/>
      <c r="Q23" s="120"/>
      <c r="R23" s="86"/>
      <c r="S23" s="124"/>
      <c r="T23" s="42"/>
      <c r="U23" s="107"/>
      <c r="V23" s="130"/>
      <c r="W23" s="129"/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0"/>
        <v>17</v>
      </c>
      <c r="B24" s="13" t="s">
        <v>69</v>
      </c>
      <c r="C24" s="110"/>
      <c r="D24" s="111"/>
      <c r="E24" s="112"/>
      <c r="F24" s="112"/>
      <c r="G24" s="76"/>
      <c r="H24" s="73"/>
      <c r="I24" s="73"/>
      <c r="J24" s="77"/>
      <c r="K24" s="42"/>
      <c r="L24" s="112"/>
      <c r="M24" s="112"/>
      <c r="N24" s="112"/>
      <c r="O24" s="112"/>
      <c r="P24" s="112"/>
      <c r="Q24" s="120"/>
      <c r="R24" s="86"/>
      <c r="S24" s="124"/>
      <c r="T24" s="42"/>
      <c r="U24" s="107"/>
      <c r="V24" s="130"/>
      <c r="W24" s="129"/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0"/>
        <v>18</v>
      </c>
      <c r="B25" s="13" t="s">
        <v>70</v>
      </c>
      <c r="C25" s="110"/>
      <c r="D25" s="111"/>
      <c r="E25" s="112"/>
      <c r="F25" s="112"/>
      <c r="G25" s="76"/>
      <c r="H25" s="73"/>
      <c r="I25" s="73"/>
      <c r="J25" s="77"/>
      <c r="K25" s="41"/>
      <c r="L25" s="112"/>
      <c r="M25" s="112"/>
      <c r="N25" s="112"/>
      <c r="O25" s="112"/>
      <c r="P25" s="112"/>
      <c r="Q25" s="120"/>
      <c r="R25" s="86"/>
      <c r="S25" s="124"/>
      <c r="T25" s="41"/>
      <c r="U25" s="107"/>
      <c r="V25" s="130"/>
      <c r="W25" s="129"/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0"/>
        <v>19</v>
      </c>
      <c r="B26" s="13" t="s">
        <v>22</v>
      </c>
      <c r="C26" s="110"/>
      <c r="D26" s="111"/>
      <c r="E26" s="112"/>
      <c r="F26" s="112"/>
      <c r="G26" s="76"/>
      <c r="H26" s="73"/>
      <c r="I26" s="73"/>
      <c r="J26" s="77"/>
      <c r="K26" s="41"/>
      <c r="L26" s="112"/>
      <c r="M26" s="112"/>
      <c r="N26" s="112"/>
      <c r="O26" s="112"/>
      <c r="P26" s="112"/>
      <c r="Q26" s="120"/>
      <c r="R26" s="86"/>
      <c r="S26" s="124"/>
      <c r="T26" s="41"/>
      <c r="U26" s="107"/>
      <c r="V26" s="130"/>
      <c r="W26" s="129"/>
      <c r="X26" s="27"/>
      <c r="BE26" s="14" t="e">
        <f>#REF!-BE25</f>
        <v>#REF!</v>
      </c>
    </row>
    <row r="27" spans="1:60" s="1" customFormat="1" ht="19.5" thickBot="1" x14ac:dyDescent="0.3">
      <c r="A27" s="3">
        <f t="shared" si="0"/>
        <v>20</v>
      </c>
      <c r="B27" s="13" t="s">
        <v>24</v>
      </c>
      <c r="C27" s="110"/>
      <c r="D27" s="111"/>
      <c r="E27" s="112"/>
      <c r="F27" s="112"/>
      <c r="G27" s="76"/>
      <c r="H27" s="73"/>
      <c r="I27" s="73"/>
      <c r="J27" s="77"/>
      <c r="K27" s="42"/>
      <c r="L27" s="112"/>
      <c r="M27" s="112"/>
      <c r="N27" s="112"/>
      <c r="O27" s="112"/>
      <c r="P27" s="112"/>
      <c r="Q27" s="120"/>
      <c r="R27" s="86"/>
      <c r="S27" s="124"/>
      <c r="T27" s="42"/>
      <c r="U27" s="107"/>
      <c r="V27" s="130"/>
      <c r="W27" s="129"/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0"/>
        <v>21</v>
      </c>
      <c r="B28" s="13" t="s">
        <v>77</v>
      </c>
      <c r="C28" s="110"/>
      <c r="D28" s="111"/>
      <c r="E28" s="112"/>
      <c r="F28" s="112"/>
      <c r="G28" s="76"/>
      <c r="H28" s="73"/>
      <c r="I28" s="73"/>
      <c r="J28" s="77"/>
      <c r="K28" s="42"/>
      <c r="L28" s="112"/>
      <c r="M28" s="112"/>
      <c r="N28" s="112"/>
      <c r="O28" s="112"/>
      <c r="P28" s="112"/>
      <c r="Q28" s="120"/>
      <c r="R28" s="86"/>
      <c r="S28" s="124"/>
      <c r="T28" s="42"/>
      <c r="U28" s="107"/>
      <c r="V28" s="130"/>
      <c r="W28" s="129"/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0"/>
        <v>22</v>
      </c>
      <c r="B29" s="13" t="s">
        <v>25</v>
      </c>
      <c r="C29" s="110"/>
      <c r="D29" s="111"/>
      <c r="E29" s="112"/>
      <c r="F29" s="112"/>
      <c r="G29" s="76"/>
      <c r="H29" s="73"/>
      <c r="I29" s="73"/>
      <c r="J29" s="77"/>
      <c r="K29" s="42"/>
      <c r="L29" s="112"/>
      <c r="M29" s="112"/>
      <c r="N29" s="112"/>
      <c r="O29" s="112"/>
      <c r="P29" s="112"/>
      <c r="Q29" s="120"/>
      <c r="R29" s="86"/>
      <c r="S29" s="124"/>
      <c r="T29" s="42"/>
      <c r="U29" s="107"/>
      <c r="V29" s="130"/>
      <c r="W29" s="129"/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0"/>
        <v>23</v>
      </c>
      <c r="B30" s="13" t="s">
        <v>27</v>
      </c>
      <c r="C30" s="110"/>
      <c r="D30" s="111"/>
      <c r="E30" s="112"/>
      <c r="F30" s="112"/>
      <c r="G30" s="76"/>
      <c r="H30" s="73"/>
      <c r="I30" s="73"/>
      <c r="J30" s="77"/>
      <c r="K30" s="41"/>
      <c r="L30" s="112"/>
      <c r="M30" s="112"/>
      <c r="N30" s="112"/>
      <c r="O30" s="112"/>
      <c r="P30" s="112"/>
      <c r="Q30" s="120"/>
      <c r="R30" s="86"/>
      <c r="S30" s="124"/>
      <c r="T30" s="41"/>
      <c r="U30" s="107"/>
      <c r="V30" s="130"/>
      <c r="W30" s="129"/>
      <c r="X30" s="27"/>
    </row>
    <row r="31" spans="1:60" ht="19.5" thickBot="1" x14ac:dyDescent="0.3">
      <c r="A31" s="3">
        <f t="shared" si="0"/>
        <v>24</v>
      </c>
      <c r="B31" s="13" t="s">
        <v>29</v>
      </c>
      <c r="C31" s="110"/>
      <c r="D31" s="111"/>
      <c r="E31" s="112"/>
      <c r="F31" s="112"/>
      <c r="G31" s="76"/>
      <c r="H31" s="73"/>
      <c r="I31" s="73"/>
      <c r="J31" s="77"/>
      <c r="K31" s="41"/>
      <c r="L31" s="112"/>
      <c r="M31" s="112"/>
      <c r="N31" s="112"/>
      <c r="O31" s="112"/>
      <c r="P31" s="112"/>
      <c r="Q31" s="120"/>
      <c r="R31" s="86"/>
      <c r="S31" s="124"/>
      <c r="T31" s="41"/>
      <c r="U31" s="107"/>
      <c r="V31" s="130"/>
      <c r="W31" s="129"/>
      <c r="X31" s="27"/>
    </row>
    <row r="32" spans="1:60" ht="19.5" thickBot="1" x14ac:dyDescent="0.3">
      <c r="A32" s="3">
        <f t="shared" si="0"/>
        <v>25</v>
      </c>
      <c r="B32" s="13" t="s">
        <v>26</v>
      </c>
      <c r="C32" s="110"/>
      <c r="D32" s="111"/>
      <c r="E32" s="112"/>
      <c r="F32" s="112"/>
      <c r="G32" s="76"/>
      <c r="H32" s="73"/>
      <c r="I32" s="73"/>
      <c r="J32" s="77"/>
      <c r="K32" s="41"/>
      <c r="L32" s="112"/>
      <c r="M32" s="112"/>
      <c r="N32" s="112"/>
      <c r="O32" s="112"/>
      <c r="P32" s="112"/>
      <c r="Q32" s="120"/>
      <c r="R32" s="86"/>
      <c r="S32" s="124"/>
      <c r="T32" s="41"/>
      <c r="U32" s="107"/>
      <c r="V32" s="130"/>
      <c r="W32" s="129"/>
      <c r="X32" s="27"/>
    </row>
    <row r="33" spans="1:26" ht="19.5" thickBot="1" x14ac:dyDescent="0.3">
      <c r="A33" s="3">
        <f t="shared" si="0"/>
        <v>26</v>
      </c>
      <c r="B33" s="13" t="s">
        <v>28</v>
      </c>
      <c r="C33" s="110"/>
      <c r="D33" s="111"/>
      <c r="E33" s="112"/>
      <c r="F33" s="112"/>
      <c r="G33" s="76"/>
      <c r="H33" s="73"/>
      <c r="I33" s="73"/>
      <c r="J33" s="77"/>
      <c r="K33" s="41"/>
      <c r="L33" s="112"/>
      <c r="M33" s="112"/>
      <c r="N33" s="112"/>
      <c r="O33" s="112"/>
      <c r="P33" s="112"/>
      <c r="Q33" s="120"/>
      <c r="R33" s="86"/>
      <c r="S33" s="124"/>
      <c r="T33" s="41"/>
      <c r="U33" s="107"/>
      <c r="V33" s="130"/>
      <c r="W33" s="129"/>
      <c r="X33" s="27"/>
    </row>
    <row r="34" spans="1:26" ht="19.5" thickBot="1" x14ac:dyDescent="0.3">
      <c r="A34" s="3">
        <f t="shared" si="0"/>
        <v>27</v>
      </c>
      <c r="B34" s="13" t="s">
        <v>30</v>
      </c>
      <c r="C34" s="110"/>
      <c r="D34" s="111"/>
      <c r="E34" s="112"/>
      <c r="F34" s="112"/>
      <c r="G34" s="76"/>
      <c r="H34" s="73"/>
      <c r="I34" s="73"/>
      <c r="J34" s="77"/>
      <c r="K34" s="41"/>
      <c r="L34" s="112"/>
      <c r="M34" s="112"/>
      <c r="N34" s="112"/>
      <c r="O34" s="112"/>
      <c r="P34" s="112"/>
      <c r="Q34" s="120"/>
      <c r="R34" s="86"/>
      <c r="S34" s="124"/>
      <c r="T34" s="41"/>
      <c r="U34" s="107"/>
      <c r="V34" s="130"/>
      <c r="W34" s="129"/>
      <c r="X34" s="27"/>
    </row>
    <row r="35" spans="1:26" ht="19.5" thickBot="1" x14ac:dyDescent="0.3">
      <c r="A35" s="3">
        <f t="shared" si="0"/>
        <v>28</v>
      </c>
      <c r="B35" s="13" t="s">
        <v>31</v>
      </c>
      <c r="C35" s="110"/>
      <c r="D35" s="111"/>
      <c r="E35" s="112"/>
      <c r="F35" s="112"/>
      <c r="G35" s="76"/>
      <c r="H35" s="73"/>
      <c r="I35" s="73"/>
      <c r="J35" s="77"/>
      <c r="K35" s="41"/>
      <c r="L35" s="112"/>
      <c r="M35" s="112"/>
      <c r="N35" s="112"/>
      <c r="O35" s="112"/>
      <c r="P35" s="112"/>
      <c r="Q35" s="120"/>
      <c r="R35" s="86"/>
      <c r="S35" s="124"/>
      <c r="T35" s="41"/>
      <c r="U35" s="107"/>
      <c r="V35" s="130"/>
      <c r="W35" s="129"/>
      <c r="X35" s="27"/>
    </row>
    <row r="36" spans="1:26" ht="18.75" hidden="1" customHeight="1" x14ac:dyDescent="0.3">
      <c r="A36" s="3">
        <f t="shared" si="0"/>
        <v>29</v>
      </c>
      <c r="B36" s="13" t="s">
        <v>39</v>
      </c>
      <c r="C36" s="110"/>
      <c r="D36" s="111"/>
      <c r="E36" s="112"/>
      <c r="F36" s="112"/>
      <c r="G36" s="76"/>
      <c r="H36" s="73"/>
      <c r="I36" s="73"/>
      <c r="J36" s="77"/>
      <c r="K36" s="41"/>
      <c r="L36" s="112"/>
      <c r="M36" s="112"/>
      <c r="N36" s="112"/>
      <c r="O36" s="112"/>
      <c r="P36" s="112"/>
      <c r="Q36" s="120"/>
      <c r="R36" s="86"/>
      <c r="S36" s="124"/>
      <c r="T36" s="41"/>
      <c r="U36" s="107"/>
      <c r="V36" s="130"/>
      <c r="W36" s="129"/>
      <c r="X36" s="27"/>
    </row>
    <row r="37" spans="1:26" ht="18.75" customHeight="1" thickBot="1" x14ac:dyDescent="0.3">
      <c r="A37" s="3">
        <f t="shared" si="0"/>
        <v>30</v>
      </c>
      <c r="B37" s="13" t="s">
        <v>32</v>
      </c>
      <c r="C37" s="110"/>
      <c r="D37" s="111"/>
      <c r="E37" s="112"/>
      <c r="F37" s="112"/>
      <c r="G37" s="76"/>
      <c r="H37" s="73"/>
      <c r="I37" s="73"/>
      <c r="J37" s="77"/>
      <c r="K37" s="41"/>
      <c r="L37" s="112"/>
      <c r="M37" s="112"/>
      <c r="N37" s="112"/>
      <c r="O37" s="112"/>
      <c r="P37" s="112"/>
      <c r="Q37" s="120"/>
      <c r="R37" s="86"/>
      <c r="S37" s="124"/>
      <c r="T37" s="41"/>
      <c r="U37" s="107"/>
      <c r="V37" s="130"/>
      <c r="W37" s="129"/>
      <c r="X37" s="27"/>
    </row>
    <row r="38" spans="1:26" ht="19.5" thickBot="1" x14ac:dyDescent="0.3">
      <c r="A38" s="3">
        <f t="shared" si="0"/>
        <v>31</v>
      </c>
      <c r="B38" s="138" t="s">
        <v>33</v>
      </c>
      <c r="C38" s="113"/>
      <c r="D38" s="114"/>
      <c r="E38" s="115"/>
      <c r="F38" s="115"/>
      <c r="G38" s="78"/>
      <c r="H38" s="79"/>
      <c r="I38" s="139"/>
      <c r="J38" s="140"/>
      <c r="K38" s="51"/>
      <c r="L38" s="121"/>
      <c r="M38" s="121"/>
      <c r="N38" s="121"/>
      <c r="O38" s="121"/>
      <c r="P38" s="121"/>
      <c r="Q38" s="122"/>
      <c r="R38" s="97"/>
      <c r="S38" s="125"/>
      <c r="T38" s="51"/>
      <c r="U38" s="131"/>
      <c r="V38" s="135"/>
      <c r="W38" s="133"/>
      <c r="X38" s="52"/>
    </row>
    <row r="39" spans="1:26" ht="19.5" thickBot="1" x14ac:dyDescent="0.3">
      <c r="A39" s="3">
        <f t="shared" si="0"/>
        <v>32</v>
      </c>
      <c r="B39" s="10" t="s">
        <v>34</v>
      </c>
      <c r="C39" s="110"/>
      <c r="D39" s="111"/>
      <c r="E39" s="112"/>
      <c r="F39" s="112"/>
      <c r="G39" s="76"/>
      <c r="H39" s="73"/>
      <c r="I39" s="76"/>
      <c r="J39" s="77"/>
      <c r="K39" s="41"/>
      <c r="L39" s="112"/>
      <c r="M39" s="112"/>
      <c r="N39" s="112"/>
      <c r="O39" s="112"/>
      <c r="P39" s="112"/>
      <c r="Q39" s="120"/>
      <c r="R39" s="96"/>
      <c r="S39" s="126"/>
      <c r="T39" s="41"/>
      <c r="U39" s="107"/>
      <c r="V39" s="109"/>
      <c r="W39" s="129"/>
      <c r="X39" s="27"/>
    </row>
    <row r="40" spans="1:26" ht="19.5" thickBot="1" x14ac:dyDescent="0.3">
      <c r="A40" s="3">
        <f t="shared" si="0"/>
        <v>33</v>
      </c>
      <c r="B40" s="81" t="s">
        <v>76</v>
      </c>
      <c r="C40" s="116"/>
      <c r="D40" s="117"/>
      <c r="E40" s="118"/>
      <c r="F40" s="118"/>
      <c r="G40" s="82"/>
      <c r="H40" s="80"/>
      <c r="I40" s="73"/>
      <c r="J40" s="77"/>
      <c r="K40" s="41"/>
      <c r="L40" s="112"/>
      <c r="M40" s="112"/>
      <c r="N40" s="112"/>
      <c r="O40" s="112"/>
      <c r="P40" s="112"/>
      <c r="Q40" s="120"/>
      <c r="R40" s="86"/>
      <c r="S40" s="124"/>
      <c r="T40" s="41"/>
      <c r="U40" s="136"/>
      <c r="V40" s="130"/>
      <c r="W40" s="137"/>
      <c r="X40" s="92"/>
    </row>
    <row r="41" spans="1:26" ht="19.5" thickBot="1" x14ac:dyDescent="0.3">
      <c r="A41" s="3">
        <f t="shared" si="0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/>
      <c r="J41" s="152"/>
      <c r="K41" s="153"/>
      <c r="L41" s="154"/>
      <c r="M41" s="154"/>
      <c r="N41" s="154"/>
      <c r="O41" s="154"/>
      <c r="P41" s="154"/>
      <c r="Q41" s="155"/>
      <c r="R41" s="156"/>
      <c r="S41" s="157"/>
      <c r="T41" s="153"/>
      <c r="U41" s="158"/>
      <c r="V41" s="159"/>
      <c r="W41" s="159"/>
      <c r="X41" s="160"/>
    </row>
    <row r="42" spans="1:26" ht="19.5" thickBot="1" x14ac:dyDescent="0.3">
      <c r="A42" s="3">
        <f t="shared" si="0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/>
      <c r="J42" s="168"/>
      <c r="K42" s="169"/>
      <c r="L42" s="165"/>
      <c r="M42" s="165"/>
      <c r="N42" s="165"/>
      <c r="O42" s="165"/>
      <c r="P42" s="165"/>
      <c r="Q42" s="170"/>
      <c r="R42" s="171"/>
      <c r="S42" s="172"/>
      <c r="T42" s="169"/>
      <c r="U42" s="173"/>
      <c r="V42" s="174"/>
      <c r="W42" s="175"/>
      <c r="X42" s="176"/>
    </row>
    <row r="43" spans="1:26" ht="18.75" hidden="1" customHeight="1" x14ac:dyDescent="0.3">
      <c r="A43" s="3">
        <f t="shared" si="0"/>
        <v>36</v>
      </c>
      <c r="B43" s="10" t="s">
        <v>43</v>
      </c>
      <c r="C43" s="110"/>
      <c r="D43" s="111"/>
      <c r="E43" s="112"/>
      <c r="F43" s="112"/>
      <c r="G43" s="76"/>
      <c r="H43" s="73"/>
      <c r="I43" s="73"/>
      <c r="J43" s="94"/>
      <c r="K43" s="41"/>
      <c r="L43" s="112"/>
      <c r="M43" s="112"/>
      <c r="N43" s="112"/>
      <c r="O43" s="112"/>
      <c r="P43" s="112"/>
      <c r="Q43" s="120"/>
      <c r="R43" s="161"/>
      <c r="S43" s="127"/>
      <c r="T43" s="41"/>
      <c r="U43" s="107"/>
      <c r="V43" s="109"/>
      <c r="W43" s="129"/>
      <c r="X43" s="27"/>
    </row>
    <row r="44" spans="1:26" ht="19.5" thickBot="1" x14ac:dyDescent="0.3">
      <c r="A44" s="3">
        <f t="shared" si="0"/>
        <v>37</v>
      </c>
      <c r="B44" s="50" t="s">
        <v>37</v>
      </c>
      <c r="C44" s="113"/>
      <c r="D44" s="114"/>
      <c r="E44" s="115"/>
      <c r="F44" s="115"/>
      <c r="G44" s="78"/>
      <c r="H44" s="79"/>
      <c r="I44" s="73"/>
      <c r="J44" s="177"/>
      <c r="K44" s="51"/>
      <c r="L44" s="121"/>
      <c r="M44" s="121"/>
      <c r="N44" s="121"/>
      <c r="O44" s="121"/>
      <c r="P44" s="121"/>
      <c r="Q44" s="122"/>
      <c r="R44" s="178"/>
      <c r="S44" s="179"/>
      <c r="T44" s="51"/>
      <c r="U44" s="131"/>
      <c r="V44" s="130"/>
      <c r="W44" s="133"/>
      <c r="X44" s="52"/>
      <c r="Z44" s="47"/>
    </row>
    <row r="45" spans="1:26" ht="18.75" hidden="1" customHeight="1" x14ac:dyDescent="0.3">
      <c r="A45" s="3">
        <f t="shared" si="0"/>
        <v>38</v>
      </c>
      <c r="B45" s="10" t="s">
        <v>45</v>
      </c>
      <c r="C45" s="110"/>
      <c r="D45" s="111"/>
      <c r="E45" s="112"/>
      <c r="F45" s="112"/>
      <c r="G45" s="76"/>
      <c r="H45" s="73"/>
      <c r="I45" s="80"/>
      <c r="J45" s="77"/>
      <c r="K45" s="41"/>
      <c r="L45" s="112"/>
      <c r="M45" s="112"/>
      <c r="N45" s="112"/>
      <c r="O45" s="112"/>
      <c r="P45" s="112"/>
      <c r="Q45" s="120"/>
      <c r="R45" s="96"/>
      <c r="S45" s="127"/>
      <c r="T45" s="41"/>
      <c r="U45" s="107"/>
      <c r="V45" s="132"/>
      <c r="W45" s="129"/>
      <c r="X45" s="27"/>
    </row>
    <row r="46" spans="1:26" ht="19.5" thickBot="1" x14ac:dyDescent="0.3">
      <c r="A46" s="3">
        <f t="shared" si="0"/>
        <v>39</v>
      </c>
      <c r="B46" s="13" t="s">
        <v>38</v>
      </c>
      <c r="C46" s="110"/>
      <c r="D46" s="111"/>
      <c r="E46" s="112"/>
      <c r="F46" s="112"/>
      <c r="G46" s="76"/>
      <c r="H46" s="73"/>
      <c r="I46" s="93"/>
      <c r="J46" s="77"/>
      <c r="K46" s="41"/>
      <c r="L46" s="112"/>
      <c r="M46" s="112"/>
      <c r="N46" s="112"/>
      <c r="O46" s="112"/>
      <c r="P46" s="112"/>
      <c r="Q46" s="120"/>
      <c r="R46" s="86"/>
      <c r="S46" s="128"/>
      <c r="T46" s="41"/>
      <c r="U46" s="107"/>
      <c r="V46" s="134"/>
      <c r="W46" s="129"/>
      <c r="X46" s="27"/>
    </row>
    <row r="47" spans="1:26" ht="19.5" thickBot="1" x14ac:dyDescent="0.3">
      <c r="A47" s="3">
        <f t="shared" si="0"/>
        <v>40</v>
      </c>
      <c r="B47" s="13" t="s">
        <v>71</v>
      </c>
      <c r="C47" s="110"/>
      <c r="D47" s="111"/>
      <c r="E47" s="112"/>
      <c r="F47" s="112"/>
      <c r="G47" s="76"/>
      <c r="H47" s="73"/>
      <c r="I47" s="73"/>
      <c r="J47" s="77"/>
      <c r="K47" s="41"/>
      <c r="L47" s="112"/>
      <c r="M47" s="112"/>
      <c r="N47" s="112"/>
      <c r="O47" s="112"/>
      <c r="P47" s="112"/>
      <c r="Q47" s="120"/>
      <c r="R47" s="86"/>
      <c r="S47" s="124"/>
      <c r="T47" s="41"/>
      <c r="U47" s="107"/>
      <c r="V47" s="130"/>
      <c r="W47" s="129"/>
      <c r="X47" s="27"/>
    </row>
    <row r="48" spans="1:26" ht="19.5" thickBot="1" x14ac:dyDescent="0.3">
      <c r="A48" s="3">
        <f t="shared" si="0"/>
        <v>41</v>
      </c>
      <c r="B48" s="50" t="s">
        <v>39</v>
      </c>
      <c r="C48" s="141"/>
      <c r="D48" s="142"/>
      <c r="E48" s="121"/>
      <c r="F48" s="121"/>
      <c r="G48" s="143"/>
      <c r="H48" s="139"/>
      <c r="I48" s="139"/>
      <c r="J48" s="140"/>
      <c r="K48" s="51"/>
      <c r="L48" s="121"/>
      <c r="M48" s="121"/>
      <c r="N48" s="121"/>
      <c r="O48" s="121"/>
      <c r="P48" s="121"/>
      <c r="Q48" s="122"/>
      <c r="R48" s="97"/>
      <c r="S48" s="144"/>
      <c r="T48" s="51"/>
      <c r="U48" s="131"/>
      <c r="V48" s="135"/>
      <c r="W48" s="133"/>
      <c r="X48" s="52"/>
    </row>
    <row r="49" spans="1:24" ht="19.5" thickBot="1" x14ac:dyDescent="0.3">
      <c r="A49" s="3">
        <f t="shared" si="0"/>
        <v>42</v>
      </c>
      <c r="B49" s="10" t="s">
        <v>72</v>
      </c>
      <c r="C49" s="110"/>
      <c r="D49" s="111"/>
      <c r="E49" s="112"/>
      <c r="F49" s="112"/>
      <c r="G49" s="76"/>
      <c r="H49" s="73"/>
      <c r="I49" s="73"/>
      <c r="J49" s="77"/>
      <c r="K49" s="41"/>
      <c r="L49" s="112"/>
      <c r="M49" s="112"/>
      <c r="N49" s="112"/>
      <c r="O49" s="112"/>
      <c r="P49" s="112"/>
      <c r="Q49" s="120"/>
      <c r="R49" s="96"/>
      <c r="S49" s="126"/>
      <c r="T49" s="41"/>
      <c r="U49" s="107"/>
      <c r="V49" s="109"/>
      <c r="W49" s="129"/>
      <c r="X49" s="27"/>
    </row>
    <row r="50" spans="1:24" ht="19.5" thickBot="1" x14ac:dyDescent="0.3">
      <c r="A50" s="3">
        <f t="shared" si="0"/>
        <v>43</v>
      </c>
      <c r="B50" s="13" t="s">
        <v>40</v>
      </c>
      <c r="C50" s="110"/>
      <c r="D50" s="111"/>
      <c r="E50" s="112"/>
      <c r="F50" s="112"/>
      <c r="G50" s="76"/>
      <c r="H50" s="73"/>
      <c r="I50" s="73"/>
      <c r="J50" s="77"/>
      <c r="K50" s="41"/>
      <c r="L50" s="112"/>
      <c r="M50" s="112"/>
      <c r="N50" s="112"/>
      <c r="O50" s="112"/>
      <c r="P50" s="112"/>
      <c r="Q50" s="120"/>
      <c r="R50" s="86"/>
      <c r="S50" s="124"/>
      <c r="T50" s="41"/>
      <c r="U50" s="107"/>
      <c r="V50" s="130"/>
      <c r="W50" s="129"/>
      <c r="X50" s="27"/>
    </row>
    <row r="51" spans="1:24" ht="19.5" thickBot="1" x14ac:dyDescent="0.3">
      <c r="A51" s="3">
        <f t="shared" si="0"/>
        <v>44</v>
      </c>
      <c r="B51" s="13" t="s">
        <v>73</v>
      </c>
      <c r="C51" s="110"/>
      <c r="D51" s="111"/>
      <c r="E51" s="112"/>
      <c r="F51" s="112"/>
      <c r="G51" s="76"/>
      <c r="H51" s="73"/>
      <c r="I51" s="73"/>
      <c r="J51" s="77"/>
      <c r="K51" s="41"/>
      <c r="L51" s="112"/>
      <c r="M51" s="112"/>
      <c r="N51" s="112"/>
      <c r="O51" s="112"/>
      <c r="P51" s="112"/>
      <c r="Q51" s="120"/>
      <c r="R51" s="86"/>
      <c r="S51" s="124"/>
      <c r="T51" s="41"/>
      <c r="U51" s="107"/>
      <c r="V51" s="130"/>
      <c r="W51" s="129"/>
      <c r="X51" s="27"/>
    </row>
    <row r="52" spans="1:24" ht="19.5" thickBot="1" x14ac:dyDescent="0.3">
      <c r="A52" s="3">
        <f t="shared" si="0"/>
        <v>45</v>
      </c>
      <c r="B52" s="50" t="s">
        <v>41</v>
      </c>
      <c r="C52" s="141"/>
      <c r="D52" s="142"/>
      <c r="E52" s="121"/>
      <c r="F52" s="121"/>
      <c r="G52" s="143"/>
      <c r="H52" s="139"/>
      <c r="I52" s="139"/>
      <c r="J52" s="140"/>
      <c r="K52" s="51"/>
      <c r="L52" s="121"/>
      <c r="M52" s="121"/>
      <c r="N52" s="121"/>
      <c r="O52" s="121"/>
      <c r="P52" s="121"/>
      <c r="Q52" s="122"/>
      <c r="R52" s="97"/>
      <c r="S52" s="144"/>
      <c r="T52" s="51"/>
      <c r="U52" s="131"/>
      <c r="V52" s="135"/>
      <c r="W52" s="133"/>
      <c r="X52" s="52"/>
    </row>
    <row r="53" spans="1:24" ht="19.5" thickBot="1" x14ac:dyDescent="0.3">
      <c r="A53" s="3">
        <f t="shared" si="0"/>
        <v>46</v>
      </c>
      <c r="B53" s="10" t="s">
        <v>42</v>
      </c>
      <c r="C53" s="110"/>
      <c r="D53" s="111"/>
      <c r="E53" s="112"/>
      <c r="F53" s="112"/>
      <c r="G53" s="76"/>
      <c r="H53" s="73"/>
      <c r="I53" s="73"/>
      <c r="J53" s="77"/>
      <c r="K53" s="41"/>
      <c r="L53" s="112"/>
      <c r="M53" s="112"/>
      <c r="N53" s="112"/>
      <c r="O53" s="112"/>
      <c r="P53" s="112"/>
      <c r="Q53" s="120"/>
      <c r="R53" s="96"/>
      <c r="S53" s="126"/>
      <c r="T53" s="41"/>
      <c r="U53" s="107"/>
      <c r="V53" s="109"/>
      <c r="W53" s="129"/>
      <c r="X53" s="27"/>
    </row>
    <row r="54" spans="1:24" ht="19.5" thickBot="1" x14ac:dyDescent="0.3">
      <c r="A54" s="3">
        <f t="shared" si="0"/>
        <v>47</v>
      </c>
      <c r="B54" s="13" t="s">
        <v>78</v>
      </c>
      <c r="C54" s="110"/>
      <c r="D54" s="111"/>
      <c r="E54" s="112"/>
      <c r="F54" s="112"/>
      <c r="G54" s="76"/>
      <c r="H54" s="73"/>
      <c r="I54" s="73"/>
      <c r="J54" s="77"/>
      <c r="K54" s="41"/>
      <c r="L54" s="112"/>
      <c r="M54" s="112"/>
      <c r="N54" s="112"/>
      <c r="O54" s="112"/>
      <c r="P54" s="112"/>
      <c r="Q54" s="120"/>
      <c r="R54" s="86"/>
      <c r="S54" s="124"/>
      <c r="T54" s="41"/>
      <c r="U54" s="107"/>
      <c r="V54" s="130"/>
      <c r="W54" s="129"/>
      <c r="X54" s="27"/>
    </row>
    <row r="55" spans="1:24" ht="19.5" thickBot="1" x14ac:dyDescent="0.3">
      <c r="A55" s="3">
        <f t="shared" si="0"/>
        <v>48</v>
      </c>
      <c r="B55" s="13"/>
      <c r="C55" s="110"/>
      <c r="D55" s="111"/>
      <c r="E55" s="112"/>
      <c r="F55" s="112"/>
      <c r="G55" s="76"/>
      <c r="H55" s="73"/>
      <c r="I55" s="73"/>
      <c r="J55" s="77"/>
      <c r="K55" s="41"/>
      <c r="L55" s="112"/>
      <c r="M55" s="112"/>
      <c r="N55" s="112"/>
      <c r="O55" s="112"/>
      <c r="P55" s="112"/>
      <c r="Q55" s="120"/>
      <c r="R55" s="86"/>
      <c r="S55" s="124"/>
      <c r="T55" s="41"/>
      <c r="U55" s="107"/>
      <c r="V55" s="130"/>
      <c r="W55" s="129"/>
      <c r="X55" s="27"/>
    </row>
    <row r="56" spans="1:24" ht="19.5" thickBot="1" x14ac:dyDescent="0.3">
      <c r="A56" s="3">
        <f t="shared" si="0"/>
        <v>49</v>
      </c>
      <c r="B56" s="13"/>
      <c r="C56" s="110"/>
      <c r="D56" s="111"/>
      <c r="E56" s="112"/>
      <c r="F56" s="112"/>
      <c r="G56" s="76"/>
      <c r="H56" s="73"/>
      <c r="I56" s="73"/>
      <c r="J56" s="77"/>
      <c r="K56" s="41"/>
      <c r="L56" s="112"/>
      <c r="M56" s="112"/>
      <c r="N56" s="112"/>
      <c r="O56" s="112"/>
      <c r="P56" s="112"/>
      <c r="Q56" s="120"/>
      <c r="R56" s="86"/>
      <c r="S56" s="124"/>
      <c r="T56" s="41"/>
      <c r="U56" s="107"/>
      <c r="V56" s="130"/>
      <c r="W56" s="129"/>
      <c r="X56" s="27"/>
    </row>
    <row r="57" spans="1:24" ht="19.5" thickBot="1" x14ac:dyDescent="0.3">
      <c r="A57" s="3">
        <f t="shared" si="0"/>
        <v>50</v>
      </c>
      <c r="B57" s="13"/>
      <c r="C57" s="110"/>
      <c r="D57" s="111"/>
      <c r="E57" s="112"/>
      <c r="F57" s="112"/>
      <c r="G57" s="76"/>
      <c r="H57" s="73"/>
      <c r="I57" s="73"/>
      <c r="J57" s="77"/>
      <c r="K57" s="41"/>
      <c r="L57" s="112"/>
      <c r="M57" s="112"/>
      <c r="N57" s="112"/>
      <c r="O57" s="112"/>
      <c r="P57" s="112"/>
      <c r="Q57" s="120"/>
      <c r="R57" s="86"/>
      <c r="S57" s="124"/>
      <c r="T57" s="41"/>
      <c r="U57" s="107"/>
      <c r="V57" s="130"/>
      <c r="W57" s="129"/>
      <c r="X57" s="27"/>
    </row>
    <row r="58" spans="1:24" ht="19.5" thickBot="1" x14ac:dyDescent="0.3">
      <c r="A58" s="3">
        <f t="shared" si="0"/>
        <v>51</v>
      </c>
      <c r="B58" s="13"/>
      <c r="C58" s="110"/>
      <c r="D58" s="111"/>
      <c r="E58" s="112"/>
      <c r="F58" s="112"/>
      <c r="G58" s="76"/>
      <c r="H58" s="73"/>
      <c r="I58" s="73"/>
      <c r="J58" s="77"/>
      <c r="K58" s="41"/>
      <c r="L58" s="112"/>
      <c r="M58" s="112"/>
      <c r="N58" s="112"/>
      <c r="O58" s="112"/>
      <c r="P58" s="112"/>
      <c r="Q58" s="120"/>
      <c r="R58" s="86"/>
      <c r="S58" s="124"/>
      <c r="T58" s="41"/>
      <c r="U58" s="107"/>
      <c r="V58" s="130"/>
      <c r="W58" s="129"/>
      <c r="X58" s="27"/>
    </row>
    <row r="59" spans="1:24" ht="19.5" thickBot="1" x14ac:dyDescent="0.3">
      <c r="A59" s="3">
        <f t="shared" si="0"/>
        <v>52</v>
      </c>
      <c r="B59" s="13"/>
      <c r="C59" s="110"/>
      <c r="D59" s="111"/>
      <c r="E59" s="112"/>
      <c r="F59" s="112"/>
      <c r="G59" s="76"/>
      <c r="H59" s="73"/>
      <c r="I59" s="73"/>
      <c r="J59" s="77"/>
      <c r="K59" s="41"/>
      <c r="L59" s="112"/>
      <c r="M59" s="112"/>
      <c r="N59" s="112"/>
      <c r="O59" s="112"/>
      <c r="P59" s="112"/>
      <c r="Q59" s="120"/>
      <c r="R59" s="86"/>
      <c r="S59" s="124"/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/>
      <c r="D60" s="54"/>
      <c r="E60" s="44"/>
      <c r="F60" s="44"/>
      <c r="G60" s="28"/>
      <c r="H60" s="56"/>
      <c r="I60" s="56"/>
      <c r="J60" s="45"/>
      <c r="K60" s="46"/>
      <c r="L60" s="74"/>
      <c r="M60" s="74"/>
      <c r="N60" s="74"/>
      <c r="O60" s="74"/>
      <c r="P60" s="74"/>
      <c r="Q60" s="75"/>
      <c r="R60" s="85"/>
      <c r="S60" s="84"/>
      <c r="T60" s="46"/>
      <c r="U60" s="43"/>
      <c r="V60" s="102"/>
      <c r="W60" s="90"/>
      <c r="X60" s="45"/>
    </row>
    <row r="61" spans="1:24" ht="19.5" thickBot="1" x14ac:dyDescent="0.3">
      <c r="V61" s="103"/>
    </row>
    <row r="62" spans="1:24" ht="18.75" customHeight="1" x14ac:dyDescent="0.25">
      <c r="G62" s="188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89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0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1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1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192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04" t="s">
        <v>3</v>
      </c>
      <c r="D69" s="10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" footer="0"/>
  <pageSetup paperSize="9" scale="4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EC48-1A76-4813-979A-E0EAF64F6E01}">
  <sheetPr>
    <pageSetUpPr fitToPage="1"/>
  </sheetPr>
  <dimension ref="A1:BH90"/>
  <sheetViews>
    <sheetView topLeftCell="A32" zoomScale="85" zoomScaleNormal="85" zoomScaleSheetLayoutView="85" zoomScalePageLayoutView="80" workbookViewId="0">
      <selection activeCell="AD48" sqref="AD48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193">
        <v>46174</v>
      </c>
      <c r="Q1" s="194"/>
      <c r="R1" s="194"/>
      <c r="S1" s="194"/>
      <c r="T1" s="194"/>
      <c r="U1" s="194"/>
      <c r="V1" s="194"/>
      <c r="W1" s="194"/>
      <c r="X1" s="19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196" t="s">
        <v>74</v>
      </c>
      <c r="C4" s="197" t="s">
        <v>3</v>
      </c>
      <c r="D4" s="198" t="s">
        <v>75</v>
      </c>
      <c r="E4" s="199" t="s">
        <v>4</v>
      </c>
      <c r="F4" s="200"/>
      <c r="G4" s="201" t="s">
        <v>5</v>
      </c>
      <c r="H4" s="203" t="s">
        <v>75</v>
      </c>
      <c r="I4" s="205" t="s">
        <v>6</v>
      </c>
      <c r="J4" s="203" t="s">
        <v>75</v>
      </c>
      <c r="L4" s="207" t="s">
        <v>7</v>
      </c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8"/>
      <c r="X4" s="210"/>
    </row>
    <row r="5" spans="1:60" s="3" customFormat="1" ht="57" thickBot="1" x14ac:dyDescent="0.3">
      <c r="A5" s="49"/>
      <c r="B5" s="196"/>
      <c r="C5" s="197"/>
      <c r="D5" s="198"/>
      <c r="E5" s="48" t="s">
        <v>8</v>
      </c>
      <c r="F5" s="182" t="s">
        <v>9</v>
      </c>
      <c r="G5" s="202"/>
      <c r="H5" s="204"/>
      <c r="I5" s="206"/>
      <c r="J5" s="204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35</v>
      </c>
      <c r="D8" s="111">
        <v>7</v>
      </c>
      <c r="E8" s="112"/>
      <c r="F8" s="112"/>
      <c r="G8" s="76"/>
      <c r="H8" s="73">
        <v>22</v>
      </c>
      <c r="I8" s="73">
        <f>C8-G8</f>
        <v>35</v>
      </c>
      <c r="J8" s="77">
        <f t="shared" ref="J8:J12" si="0">D8-H8</f>
        <v>-15</v>
      </c>
      <c r="K8" s="41"/>
      <c r="L8" s="112"/>
      <c r="M8" s="112">
        <v>22</v>
      </c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22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825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98</v>
      </c>
      <c r="D9" s="114"/>
      <c r="E9" s="115"/>
      <c r="F9" s="115"/>
      <c r="G9" s="78"/>
      <c r="H9" s="79"/>
      <c r="I9" s="78">
        <f t="shared" ref="I9:J59" si="4">C9-G9</f>
        <v>98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2352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152</v>
      </c>
      <c r="D10" s="111"/>
      <c r="E10" s="112"/>
      <c r="F10" s="112"/>
      <c r="G10" s="76">
        <v>3</v>
      </c>
      <c r="H10" s="73"/>
      <c r="I10" s="73">
        <f t="shared" si="4"/>
        <v>149</v>
      </c>
      <c r="J10" s="95">
        <f t="shared" si="0"/>
        <v>0</v>
      </c>
      <c r="K10" s="41"/>
      <c r="L10" s="112">
        <v>2</v>
      </c>
      <c r="M10" s="112"/>
      <c r="N10" s="112">
        <v>1</v>
      </c>
      <c r="O10" s="112"/>
      <c r="P10" s="112"/>
      <c r="Q10" s="120"/>
      <c r="R10" s="99">
        <f t="shared" si="1"/>
        <v>3</v>
      </c>
      <c r="S10" s="126">
        <f t="shared" si="1"/>
        <v>0</v>
      </c>
      <c r="T10" s="41"/>
      <c r="U10" s="107">
        <f>L10*24+N10*24+P10*24</f>
        <v>72</v>
      </c>
      <c r="V10" s="134">
        <f>U10/24</f>
        <v>3</v>
      </c>
      <c r="W10" s="129">
        <f t="shared" si="2"/>
        <v>3576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35</v>
      </c>
      <c r="D11" s="111"/>
      <c r="E11" s="112"/>
      <c r="F11" s="112"/>
      <c r="G11" s="76"/>
      <c r="H11" s="73"/>
      <c r="I11" s="73">
        <f t="shared" si="4"/>
        <v>35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840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3180</v>
      </c>
      <c r="D13" s="114"/>
      <c r="E13" s="115"/>
      <c r="F13" s="115"/>
      <c r="G13" s="78">
        <v>19</v>
      </c>
      <c r="H13" s="79">
        <v>24</v>
      </c>
      <c r="I13" s="80">
        <f t="shared" si="4"/>
        <v>3161</v>
      </c>
      <c r="J13" s="94">
        <f>D13-H13</f>
        <v>-24</v>
      </c>
      <c r="K13" s="53"/>
      <c r="L13" s="121">
        <v>6</v>
      </c>
      <c r="M13" s="121">
        <v>12</v>
      </c>
      <c r="N13" s="121">
        <v>3</v>
      </c>
      <c r="O13" s="121">
        <v>12</v>
      </c>
      <c r="P13" s="121">
        <v>10</v>
      </c>
      <c r="Q13" s="122"/>
      <c r="R13" s="97">
        <f>L13+N13+P13</f>
        <v>19</v>
      </c>
      <c r="S13" s="125">
        <f>M13+O13+Q13</f>
        <v>24</v>
      </c>
      <c r="T13" s="53"/>
      <c r="U13" s="131">
        <f>L13*24+N13*24+P13*24</f>
        <v>456</v>
      </c>
      <c r="V13" s="135">
        <f t="shared" si="6"/>
        <v>19</v>
      </c>
      <c r="W13" s="133">
        <f>I13*24+J13</f>
        <v>75840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3</v>
      </c>
      <c r="D14" s="111">
        <v>16</v>
      </c>
      <c r="E14" s="112"/>
      <c r="F14" s="112"/>
      <c r="G14" s="76"/>
      <c r="H14" s="73"/>
      <c r="I14" s="93">
        <f t="shared" si="4"/>
        <v>3</v>
      </c>
      <c r="J14" s="95">
        <f t="shared" si="4"/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88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>
        <v>1</v>
      </c>
      <c r="D16" s="111"/>
      <c r="E16" s="112"/>
      <c r="F16" s="112"/>
      <c r="G16" s="76"/>
      <c r="H16" s="73"/>
      <c r="I16" s="73">
        <f t="shared" si="4"/>
        <v>1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24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4</v>
      </c>
      <c r="D20" s="111">
        <v>20</v>
      </c>
      <c r="E20" s="112"/>
      <c r="F20" s="112"/>
      <c r="G20" s="76"/>
      <c r="H20" s="73"/>
      <c r="I20" s="73">
        <f t="shared" si="4"/>
        <v>4</v>
      </c>
      <c r="J20" s="77">
        <f t="shared" si="4"/>
        <v>20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116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6</v>
      </c>
      <c r="D21" s="111"/>
      <c r="E21" s="112"/>
      <c r="F21" s="112"/>
      <c r="G21" s="76"/>
      <c r="H21" s="73"/>
      <c r="I21" s="73">
        <f t="shared" si="4"/>
        <v>6</v>
      </c>
      <c r="J21" s="77">
        <f t="shared" si="4"/>
        <v>0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144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3</v>
      </c>
      <c r="D22" s="111"/>
      <c r="E22" s="112"/>
      <c r="F22" s="112"/>
      <c r="G22" s="76"/>
      <c r="H22" s="73"/>
      <c r="I22" s="73">
        <f t="shared" si="4"/>
        <v>3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72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1</v>
      </c>
      <c r="D23" s="111">
        <v>20</v>
      </c>
      <c r="E23" s="112"/>
      <c r="F23" s="112"/>
      <c r="G23" s="76"/>
      <c r="H23" s="73"/>
      <c r="I23" s="73">
        <f t="shared" si="4"/>
        <v>1</v>
      </c>
      <c r="J23" s="77">
        <f t="shared" si="4"/>
        <v>20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44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9</v>
      </c>
      <c r="D25" s="111"/>
      <c r="E25" s="112"/>
      <c r="F25" s="112"/>
      <c r="G25" s="76"/>
      <c r="H25" s="73"/>
      <c r="I25" s="73">
        <f t="shared" si="4"/>
        <v>9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216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152</v>
      </c>
      <c r="D26" s="111">
        <v>1</v>
      </c>
      <c r="E26" s="112"/>
      <c r="F26" s="112"/>
      <c r="G26" s="76">
        <v>3</v>
      </c>
      <c r="H26" s="73"/>
      <c r="I26" s="73">
        <f t="shared" si="4"/>
        <v>149</v>
      </c>
      <c r="J26" s="77">
        <f t="shared" si="4"/>
        <v>1</v>
      </c>
      <c r="K26" s="41"/>
      <c r="L26" s="112"/>
      <c r="M26" s="112"/>
      <c r="N26" s="112">
        <v>1</v>
      </c>
      <c r="O26" s="112"/>
      <c r="P26" s="112">
        <v>2</v>
      </c>
      <c r="Q26" s="120"/>
      <c r="R26" s="86">
        <f t="shared" si="7"/>
        <v>3</v>
      </c>
      <c r="S26" s="124">
        <f t="shared" si="7"/>
        <v>0</v>
      </c>
      <c r="T26" s="41"/>
      <c r="U26" s="107">
        <f t="shared" si="5"/>
        <v>72</v>
      </c>
      <c r="V26" s="130">
        <f t="shared" si="6"/>
        <v>3</v>
      </c>
      <c r="W26" s="129">
        <f t="shared" si="8"/>
        <v>3577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124</v>
      </c>
      <c r="D29" s="111"/>
      <c r="E29" s="112"/>
      <c r="F29" s="112"/>
      <c r="G29" s="76">
        <v>14</v>
      </c>
      <c r="H29" s="73"/>
      <c r="I29" s="73">
        <f t="shared" si="4"/>
        <v>110</v>
      </c>
      <c r="J29" s="77">
        <f t="shared" si="4"/>
        <v>0</v>
      </c>
      <c r="K29" s="42"/>
      <c r="L29" s="112">
        <v>10</v>
      </c>
      <c r="M29" s="112"/>
      <c r="N29" s="112">
        <v>1</v>
      </c>
      <c r="O29" s="112"/>
      <c r="P29" s="112">
        <v>3</v>
      </c>
      <c r="Q29" s="120"/>
      <c r="R29" s="86">
        <f t="shared" si="7"/>
        <v>14</v>
      </c>
      <c r="S29" s="124">
        <f t="shared" si="7"/>
        <v>0</v>
      </c>
      <c r="T29" s="42"/>
      <c r="U29" s="107">
        <f t="shared" si="5"/>
        <v>336</v>
      </c>
      <c r="V29" s="130">
        <f t="shared" si="6"/>
        <v>14</v>
      </c>
      <c r="W29" s="129">
        <f t="shared" si="8"/>
        <v>2640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63</v>
      </c>
      <c r="D30" s="111">
        <v>5</v>
      </c>
      <c r="E30" s="112"/>
      <c r="F30" s="112"/>
      <c r="G30" s="76"/>
      <c r="H30" s="73"/>
      <c r="I30" s="73">
        <f t="shared" si="4"/>
        <v>63</v>
      </c>
      <c r="J30" s="77">
        <f t="shared" si="4"/>
        <v>5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1517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/>
      <c r="H31" s="73"/>
      <c r="I31" s="73">
        <f t="shared" si="4"/>
        <v>15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360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6</v>
      </c>
      <c r="D33" s="111"/>
      <c r="E33" s="112"/>
      <c r="F33" s="112"/>
      <c r="G33" s="76"/>
      <c r="H33" s="73"/>
      <c r="I33" s="73">
        <f t="shared" si="4"/>
        <v>6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144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90</v>
      </c>
      <c r="D35" s="111">
        <v>14</v>
      </c>
      <c r="E35" s="112"/>
      <c r="F35" s="112"/>
      <c r="G35" s="76">
        <v>11</v>
      </c>
      <c r="H35" s="73"/>
      <c r="I35" s="73">
        <f t="shared" si="4"/>
        <v>79</v>
      </c>
      <c r="J35" s="77">
        <f t="shared" si="4"/>
        <v>14</v>
      </c>
      <c r="K35" s="41"/>
      <c r="L35" s="112">
        <v>10</v>
      </c>
      <c r="M35" s="112"/>
      <c r="N35" s="112"/>
      <c r="O35" s="112"/>
      <c r="P35" s="112">
        <v>1</v>
      </c>
      <c r="Q35" s="120"/>
      <c r="R35" s="86">
        <f t="shared" si="7"/>
        <v>11</v>
      </c>
      <c r="S35" s="124">
        <f t="shared" si="7"/>
        <v>0</v>
      </c>
      <c r="T35" s="41"/>
      <c r="U35" s="107">
        <f t="shared" si="5"/>
        <v>264</v>
      </c>
      <c r="V35" s="130">
        <f t="shared" si="6"/>
        <v>11</v>
      </c>
      <c r="W35" s="129">
        <f t="shared" si="8"/>
        <v>1910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>
        <v>1</v>
      </c>
      <c r="D37" s="111"/>
      <c r="E37" s="112"/>
      <c r="F37" s="112"/>
      <c r="G37" s="76"/>
      <c r="H37" s="73"/>
      <c r="I37" s="73">
        <f t="shared" si="4"/>
        <v>1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24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4609</v>
      </c>
      <c r="D38" s="114">
        <v>2</v>
      </c>
      <c r="E38" s="115"/>
      <c r="F38" s="115"/>
      <c r="G38" s="78">
        <v>78</v>
      </c>
      <c r="H38" s="79">
        <v>1</v>
      </c>
      <c r="I38" s="139">
        <f t="shared" si="4"/>
        <v>4531</v>
      </c>
      <c r="J38" s="140">
        <f t="shared" si="4"/>
        <v>1</v>
      </c>
      <c r="K38" s="51"/>
      <c r="L38" s="121">
        <v>13</v>
      </c>
      <c r="M38" s="121">
        <v>1</v>
      </c>
      <c r="N38" s="121">
        <v>40</v>
      </c>
      <c r="O38" s="121"/>
      <c r="P38" s="121">
        <v>25</v>
      </c>
      <c r="Q38" s="122"/>
      <c r="R38" s="97">
        <f t="shared" si="7"/>
        <v>78</v>
      </c>
      <c r="S38" s="125">
        <f t="shared" si="7"/>
        <v>1</v>
      </c>
      <c r="T38" s="51"/>
      <c r="U38" s="131">
        <f>L38*6+N38*6+P38*6</f>
        <v>468</v>
      </c>
      <c r="V38" s="135">
        <f>U38/6</f>
        <v>78</v>
      </c>
      <c r="W38" s="133">
        <f>I38*6+J38</f>
        <v>27187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76">
        <f t="shared" si="4"/>
        <v>0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95</v>
      </c>
      <c r="D41" s="147">
        <v>8</v>
      </c>
      <c r="E41" s="148"/>
      <c r="F41" s="148"/>
      <c r="G41" s="149"/>
      <c r="H41" s="150"/>
      <c r="I41" s="151">
        <f t="shared" si="4"/>
        <v>95</v>
      </c>
      <c r="J41" s="152">
        <f t="shared" si="4"/>
        <v>8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2288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289</v>
      </c>
      <c r="D42" s="164"/>
      <c r="E42" s="165"/>
      <c r="F42" s="165"/>
      <c r="G42" s="166">
        <v>22</v>
      </c>
      <c r="H42" s="167"/>
      <c r="I42" s="166">
        <f t="shared" si="4"/>
        <v>267</v>
      </c>
      <c r="J42" s="168">
        <f t="shared" si="4"/>
        <v>0</v>
      </c>
      <c r="K42" s="169"/>
      <c r="L42" s="165">
        <v>10</v>
      </c>
      <c r="M42" s="165"/>
      <c r="N42" s="165">
        <v>6</v>
      </c>
      <c r="O42" s="165"/>
      <c r="P42" s="165">
        <v>6</v>
      </c>
      <c r="Q42" s="170"/>
      <c r="R42" s="171">
        <f t="shared" si="7"/>
        <v>22</v>
      </c>
      <c r="S42" s="172">
        <f t="shared" si="7"/>
        <v>0</v>
      </c>
      <c r="T42" s="169"/>
      <c r="U42" s="173">
        <f>L42*12+N42*12+P42*12</f>
        <v>264</v>
      </c>
      <c r="V42" s="174">
        <f>U42/12</f>
        <v>22</v>
      </c>
      <c r="W42" s="175">
        <f>I42*12+J42</f>
        <v>3204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40125</v>
      </c>
      <c r="D44" s="114">
        <v>3</v>
      </c>
      <c r="E44" s="115"/>
      <c r="F44" s="115"/>
      <c r="G44" s="78">
        <v>1152</v>
      </c>
      <c r="H44" s="79"/>
      <c r="I44" s="73">
        <f>C44+E44-G44</f>
        <v>38973</v>
      </c>
      <c r="J44" s="177">
        <f t="shared" si="4"/>
        <v>3</v>
      </c>
      <c r="K44" s="51"/>
      <c r="L44" s="121">
        <v>570</v>
      </c>
      <c r="M44" s="121"/>
      <c r="N44" s="121">
        <v>275</v>
      </c>
      <c r="O44" s="121"/>
      <c r="P44" s="121">
        <v>307</v>
      </c>
      <c r="Q44" s="122"/>
      <c r="R44" s="178">
        <f t="shared" si="7"/>
        <v>1152</v>
      </c>
      <c r="S44" s="179">
        <f t="shared" si="7"/>
        <v>0</v>
      </c>
      <c r="T44" s="51"/>
      <c r="U44" s="131">
        <f>L44*6+N44*6+P44*6</f>
        <v>6912</v>
      </c>
      <c r="V44" s="130">
        <f>U44/6</f>
        <v>1152</v>
      </c>
      <c r="W44" s="133">
        <f>I44*6+J44</f>
        <v>233841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1</v>
      </c>
      <c r="D46" s="111"/>
      <c r="E46" s="112"/>
      <c r="F46" s="112"/>
      <c r="G46" s="76"/>
      <c r="H46" s="73"/>
      <c r="I46" s="93">
        <f t="shared" si="4"/>
        <v>1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24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2810</v>
      </c>
      <c r="D48" s="142">
        <v>1</v>
      </c>
      <c r="E48" s="121"/>
      <c r="F48" s="121"/>
      <c r="G48" s="143"/>
      <c r="H48" s="139"/>
      <c r="I48" s="139">
        <f t="shared" si="4"/>
        <v>2810</v>
      </c>
      <c r="J48" s="140">
        <f t="shared" si="4"/>
        <v>1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16861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2</v>
      </c>
      <c r="D50" s="111"/>
      <c r="E50" s="112"/>
      <c r="F50" s="112"/>
      <c r="G50" s="76"/>
      <c r="H50" s="73"/>
      <c r="I50" s="73">
        <f t="shared" si="4"/>
        <v>2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48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>
        <v>1</v>
      </c>
      <c r="D53" s="111"/>
      <c r="E53" s="112"/>
      <c r="F53" s="112"/>
      <c r="G53" s="76"/>
      <c r="H53" s="73"/>
      <c r="I53" s="73">
        <f t="shared" si="4"/>
        <v>1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24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10</v>
      </c>
      <c r="D54" s="111"/>
      <c r="E54" s="112"/>
      <c r="F54" s="112"/>
      <c r="G54" s="76"/>
      <c r="H54" s="73"/>
      <c r="I54" s="73">
        <f t="shared" si="4"/>
        <v>10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240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52013</v>
      </c>
      <c r="D60" s="54">
        <f>SUM(D8:D59)</f>
        <v>118</v>
      </c>
      <c r="E60" s="44">
        <f>SUM(E8:E59)</f>
        <v>0</v>
      </c>
      <c r="F60" s="44"/>
      <c r="G60" s="28">
        <f>SUM(G8:G59)</f>
        <v>1302</v>
      </c>
      <c r="H60" s="56">
        <f>SUM(H8:H59)</f>
        <v>47</v>
      </c>
      <c r="I60" s="56">
        <f>SUM(I8:I59)</f>
        <v>50711</v>
      </c>
      <c r="J60" s="45">
        <f>SUM(J8:J59)</f>
        <v>71</v>
      </c>
      <c r="K60" s="46"/>
      <c r="L60" s="74">
        <f t="shared" ref="L60:S60" si="20">SUM(L8:L59)</f>
        <v>621</v>
      </c>
      <c r="M60" s="74">
        <f t="shared" si="20"/>
        <v>35</v>
      </c>
      <c r="N60" s="74">
        <f t="shared" si="20"/>
        <v>327</v>
      </c>
      <c r="O60" s="74">
        <f t="shared" si="20"/>
        <v>12</v>
      </c>
      <c r="P60" s="74">
        <f t="shared" si="20"/>
        <v>354</v>
      </c>
      <c r="Q60" s="75">
        <f t="shared" si="20"/>
        <v>0</v>
      </c>
      <c r="R60" s="85">
        <f t="shared" si="20"/>
        <v>1302</v>
      </c>
      <c r="S60" s="84">
        <f t="shared" si="20"/>
        <v>47</v>
      </c>
      <c r="T60" s="46"/>
      <c r="U60" s="43">
        <f>SUM(U8:U59)</f>
        <v>8844</v>
      </c>
      <c r="V60" s="102">
        <f>SUM(V8:V59)</f>
        <v>1302</v>
      </c>
      <c r="W60" s="186">
        <f>SUM(W8:W59)</f>
        <v>379667</v>
      </c>
      <c r="X60" s="45"/>
    </row>
    <row r="61" spans="1:24" ht="19.5" thickBot="1" x14ac:dyDescent="0.3">
      <c r="V61" s="103"/>
    </row>
    <row r="62" spans="1:24" ht="18.75" customHeight="1" x14ac:dyDescent="0.25">
      <c r="G62" s="188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89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0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1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1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192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0" t="s">
        <v>3</v>
      </c>
      <c r="D69" s="181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52E6-A638-4076-943D-E58E1CCFB30D}">
  <sheetPr>
    <pageSetUpPr fitToPage="1"/>
  </sheetPr>
  <dimension ref="A1:BH90"/>
  <sheetViews>
    <sheetView topLeftCell="A29" zoomScale="85" zoomScaleNormal="85" zoomScaleSheetLayoutView="85" zoomScalePageLayoutView="80" workbookViewId="0">
      <selection activeCell="AD44" sqref="AD44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193">
        <v>46175</v>
      </c>
      <c r="Q1" s="194"/>
      <c r="R1" s="194"/>
      <c r="S1" s="194"/>
      <c r="T1" s="194"/>
      <c r="U1" s="194"/>
      <c r="V1" s="194"/>
      <c r="W1" s="194"/>
      <c r="X1" s="19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196" t="s">
        <v>74</v>
      </c>
      <c r="C4" s="197" t="s">
        <v>3</v>
      </c>
      <c r="D4" s="198" t="s">
        <v>75</v>
      </c>
      <c r="E4" s="199" t="s">
        <v>4</v>
      </c>
      <c r="F4" s="200"/>
      <c r="G4" s="201" t="s">
        <v>5</v>
      </c>
      <c r="H4" s="203" t="s">
        <v>75</v>
      </c>
      <c r="I4" s="205" t="s">
        <v>6</v>
      </c>
      <c r="J4" s="203" t="s">
        <v>75</v>
      </c>
      <c r="L4" s="207" t="s">
        <v>7</v>
      </c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8"/>
      <c r="X4" s="210"/>
    </row>
    <row r="5" spans="1:60" s="3" customFormat="1" ht="57" thickBot="1" x14ac:dyDescent="0.3">
      <c r="A5" s="49"/>
      <c r="B5" s="196"/>
      <c r="C5" s="197"/>
      <c r="D5" s="198"/>
      <c r="E5" s="48" t="s">
        <v>8</v>
      </c>
      <c r="F5" s="185" t="s">
        <v>9</v>
      </c>
      <c r="G5" s="202"/>
      <c r="H5" s="204"/>
      <c r="I5" s="206"/>
      <c r="J5" s="204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34</v>
      </c>
      <c r="D8" s="111">
        <v>9</v>
      </c>
      <c r="E8" s="112"/>
      <c r="F8" s="112"/>
      <c r="G8" s="76">
        <v>11</v>
      </c>
      <c r="H8" s="73"/>
      <c r="I8" s="73">
        <f>C8-G8</f>
        <v>23</v>
      </c>
      <c r="J8" s="77">
        <f t="shared" ref="J8:J12" si="0">D8-H8</f>
        <v>9</v>
      </c>
      <c r="K8" s="41"/>
      <c r="L8" s="112">
        <v>1</v>
      </c>
      <c r="M8" s="112"/>
      <c r="N8" s="112"/>
      <c r="O8" s="112"/>
      <c r="P8" s="112">
        <v>10</v>
      </c>
      <c r="Q8" s="120"/>
      <c r="R8" s="86">
        <f t="shared" ref="R8:S12" si="1">L8+N8+P8</f>
        <v>11</v>
      </c>
      <c r="S8" s="124">
        <f t="shared" si="1"/>
        <v>0</v>
      </c>
      <c r="T8" s="41"/>
      <c r="U8" s="107">
        <f>L8*24+N8*24+P8*24</f>
        <v>264</v>
      </c>
      <c r="V8" s="130">
        <f>U8/24</f>
        <v>11</v>
      </c>
      <c r="W8" s="129">
        <f t="shared" ref="W8:W12" si="2">I8*24+J8</f>
        <v>561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98</v>
      </c>
      <c r="D9" s="114"/>
      <c r="E9" s="115"/>
      <c r="F9" s="115"/>
      <c r="G9" s="78"/>
      <c r="H9" s="79"/>
      <c r="I9" s="78">
        <f t="shared" ref="I9:J59" si="4">C9-G9</f>
        <v>98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2352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149</v>
      </c>
      <c r="D10" s="111"/>
      <c r="E10" s="112"/>
      <c r="F10" s="112"/>
      <c r="G10" s="76">
        <v>5</v>
      </c>
      <c r="H10" s="73"/>
      <c r="I10" s="73">
        <f t="shared" si="4"/>
        <v>144</v>
      </c>
      <c r="J10" s="95">
        <f t="shared" si="0"/>
        <v>0</v>
      </c>
      <c r="K10" s="41"/>
      <c r="L10" s="112"/>
      <c r="M10" s="112"/>
      <c r="N10" s="112"/>
      <c r="O10" s="112"/>
      <c r="P10" s="112">
        <v>5</v>
      </c>
      <c r="Q10" s="120"/>
      <c r="R10" s="99">
        <f t="shared" si="1"/>
        <v>5</v>
      </c>
      <c r="S10" s="126">
        <f t="shared" si="1"/>
        <v>0</v>
      </c>
      <c r="T10" s="41"/>
      <c r="U10" s="107">
        <f>L10*24+N10*24+P10*24</f>
        <v>120</v>
      </c>
      <c r="V10" s="134">
        <f>U10/24</f>
        <v>5</v>
      </c>
      <c r="W10" s="129">
        <f t="shared" si="2"/>
        <v>3456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35</v>
      </c>
      <c r="D11" s="111"/>
      <c r="E11" s="112"/>
      <c r="F11" s="112"/>
      <c r="G11" s="76">
        <v>2</v>
      </c>
      <c r="H11" s="73"/>
      <c r="I11" s="73">
        <f t="shared" si="4"/>
        <v>33</v>
      </c>
      <c r="J11" s="77">
        <f t="shared" si="0"/>
        <v>0</v>
      </c>
      <c r="K11" s="41"/>
      <c r="L11" s="112"/>
      <c r="M11" s="112"/>
      <c r="N11" s="112"/>
      <c r="O11" s="112"/>
      <c r="P11" s="112">
        <v>2</v>
      </c>
      <c r="Q11" s="120"/>
      <c r="R11" s="86">
        <f t="shared" si="1"/>
        <v>2</v>
      </c>
      <c r="S11" s="124">
        <f t="shared" si="1"/>
        <v>0</v>
      </c>
      <c r="T11" s="41"/>
      <c r="U11" s="107">
        <f>L11*24+N11*24+P11*24</f>
        <v>48</v>
      </c>
      <c r="V11" s="130">
        <f>U11/24</f>
        <v>2</v>
      </c>
      <c r="W11" s="129">
        <f t="shared" si="2"/>
        <v>792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>
        <v>5</v>
      </c>
      <c r="H12" s="73"/>
      <c r="I12" s="73">
        <f t="shared" si="4"/>
        <v>5</v>
      </c>
      <c r="J12" s="77">
        <f t="shared" si="0"/>
        <v>2</v>
      </c>
      <c r="K12" s="41"/>
      <c r="L12" s="112"/>
      <c r="M12" s="112"/>
      <c r="N12" s="112"/>
      <c r="O12" s="112"/>
      <c r="P12" s="112">
        <v>5</v>
      </c>
      <c r="Q12" s="120"/>
      <c r="R12" s="86">
        <f t="shared" si="1"/>
        <v>5</v>
      </c>
      <c r="S12" s="124">
        <f t="shared" si="1"/>
        <v>0</v>
      </c>
      <c r="T12" s="41"/>
      <c r="U12" s="107">
        <f t="shared" ref="U12:U37" si="5">L12*24+N12*24+P12*24</f>
        <v>120</v>
      </c>
      <c r="V12" s="130">
        <f t="shared" ref="V12:V41" si="6">U12/24</f>
        <v>5</v>
      </c>
      <c r="W12" s="129">
        <f t="shared" si="2"/>
        <v>122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3160</v>
      </c>
      <c r="D13" s="114"/>
      <c r="E13" s="115"/>
      <c r="F13" s="115"/>
      <c r="G13" s="78">
        <v>14</v>
      </c>
      <c r="H13" s="79">
        <v>12</v>
      </c>
      <c r="I13" s="80">
        <f t="shared" si="4"/>
        <v>3146</v>
      </c>
      <c r="J13" s="94">
        <f>D13-H13</f>
        <v>-12</v>
      </c>
      <c r="K13" s="53"/>
      <c r="L13" s="121"/>
      <c r="M13" s="121">
        <v>12</v>
      </c>
      <c r="N13" s="121">
        <v>13</v>
      </c>
      <c r="O13" s="121"/>
      <c r="P13" s="121">
        <v>1</v>
      </c>
      <c r="Q13" s="122"/>
      <c r="R13" s="97">
        <f>L13+N13+P13</f>
        <v>14</v>
      </c>
      <c r="S13" s="125">
        <f>M13+O13+Q13</f>
        <v>12</v>
      </c>
      <c r="T13" s="53"/>
      <c r="U13" s="131">
        <f>L13*24+N13*24+P13*24</f>
        <v>336</v>
      </c>
      <c r="V13" s="135">
        <f t="shared" si="6"/>
        <v>14</v>
      </c>
      <c r="W13" s="133">
        <f>I13*24+J13</f>
        <v>75492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3</v>
      </c>
      <c r="D14" s="111">
        <v>16</v>
      </c>
      <c r="E14" s="112"/>
      <c r="F14" s="112"/>
      <c r="G14" s="76">
        <v>1</v>
      </c>
      <c r="H14" s="73"/>
      <c r="I14" s="93">
        <f t="shared" si="4"/>
        <v>2</v>
      </c>
      <c r="J14" s="95">
        <f t="shared" si="4"/>
        <v>16</v>
      </c>
      <c r="K14" s="41"/>
      <c r="L14" s="112"/>
      <c r="M14" s="112"/>
      <c r="N14" s="112"/>
      <c r="O14" s="112"/>
      <c r="P14" s="112">
        <v>1</v>
      </c>
      <c r="Q14" s="120"/>
      <c r="R14" s="96">
        <f t="shared" ref="R14:S59" si="7">L14+N14+P14</f>
        <v>1</v>
      </c>
      <c r="S14" s="126">
        <f t="shared" si="7"/>
        <v>0</v>
      </c>
      <c r="T14" s="41"/>
      <c r="U14" s="107">
        <f t="shared" si="5"/>
        <v>24</v>
      </c>
      <c r="V14" s="109">
        <f t="shared" si="6"/>
        <v>1</v>
      </c>
      <c r="W14" s="129">
        <f t="shared" ref="W14:W37" si="8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>
        <v>1</v>
      </c>
      <c r="D16" s="111"/>
      <c r="E16" s="112"/>
      <c r="F16" s="112"/>
      <c r="G16" s="76">
        <v>1</v>
      </c>
      <c r="H16" s="73"/>
      <c r="I16" s="73">
        <f t="shared" si="4"/>
        <v>0</v>
      </c>
      <c r="J16" s="77">
        <f t="shared" si="4"/>
        <v>0</v>
      </c>
      <c r="K16" s="41"/>
      <c r="L16" s="112"/>
      <c r="M16" s="112"/>
      <c r="N16" s="112"/>
      <c r="O16" s="112"/>
      <c r="P16" s="112">
        <v>1</v>
      </c>
      <c r="Q16" s="120"/>
      <c r="R16" s="86">
        <f t="shared" si="7"/>
        <v>1</v>
      </c>
      <c r="S16" s="124">
        <f t="shared" si="7"/>
        <v>0</v>
      </c>
      <c r="T16" s="41"/>
      <c r="U16" s="107">
        <f t="shared" si="5"/>
        <v>24</v>
      </c>
      <c r="V16" s="130">
        <f t="shared" si="6"/>
        <v>1</v>
      </c>
      <c r="W16" s="129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4</v>
      </c>
      <c r="D20" s="111">
        <v>20</v>
      </c>
      <c r="E20" s="112"/>
      <c r="F20" s="112"/>
      <c r="G20" s="76">
        <v>1</v>
      </c>
      <c r="H20" s="73"/>
      <c r="I20" s="73">
        <f t="shared" si="4"/>
        <v>3</v>
      </c>
      <c r="J20" s="77">
        <f t="shared" si="4"/>
        <v>20</v>
      </c>
      <c r="K20" s="41"/>
      <c r="L20" s="112"/>
      <c r="M20" s="112"/>
      <c r="N20" s="112"/>
      <c r="O20" s="112"/>
      <c r="P20" s="112">
        <v>1</v>
      </c>
      <c r="Q20" s="120"/>
      <c r="R20" s="86">
        <f t="shared" si="7"/>
        <v>1</v>
      </c>
      <c r="S20" s="124">
        <f t="shared" si="7"/>
        <v>0</v>
      </c>
      <c r="T20" s="41"/>
      <c r="U20" s="107">
        <f t="shared" si="5"/>
        <v>24</v>
      </c>
      <c r="V20" s="130">
        <f t="shared" si="6"/>
        <v>1</v>
      </c>
      <c r="W20" s="129">
        <f t="shared" si="8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6</v>
      </c>
      <c r="D21" s="111"/>
      <c r="E21" s="112"/>
      <c r="F21" s="112"/>
      <c r="G21" s="76">
        <v>1</v>
      </c>
      <c r="H21" s="73"/>
      <c r="I21" s="73">
        <f t="shared" si="4"/>
        <v>5</v>
      </c>
      <c r="J21" s="77">
        <f t="shared" si="4"/>
        <v>0</v>
      </c>
      <c r="K21" s="41"/>
      <c r="L21" s="112"/>
      <c r="M21" s="112"/>
      <c r="N21" s="112"/>
      <c r="O21" s="112"/>
      <c r="P21" s="112">
        <v>1</v>
      </c>
      <c r="Q21" s="120"/>
      <c r="R21" s="86">
        <f t="shared" si="7"/>
        <v>1</v>
      </c>
      <c r="S21" s="124">
        <f t="shared" si="7"/>
        <v>0</v>
      </c>
      <c r="T21" s="41"/>
      <c r="U21" s="107">
        <f t="shared" si="5"/>
        <v>24</v>
      </c>
      <c r="V21" s="130">
        <f t="shared" si="6"/>
        <v>1</v>
      </c>
      <c r="W21" s="129">
        <f t="shared" si="8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3</v>
      </c>
      <c r="D22" s="111"/>
      <c r="E22" s="112"/>
      <c r="F22" s="112"/>
      <c r="G22" s="76">
        <v>1</v>
      </c>
      <c r="H22" s="73"/>
      <c r="I22" s="73">
        <f t="shared" si="4"/>
        <v>2</v>
      </c>
      <c r="J22" s="77">
        <f t="shared" si="4"/>
        <v>0</v>
      </c>
      <c r="K22" s="41"/>
      <c r="L22" s="112"/>
      <c r="M22" s="112"/>
      <c r="N22" s="112"/>
      <c r="O22" s="112"/>
      <c r="P22" s="112">
        <v>1</v>
      </c>
      <c r="Q22" s="120"/>
      <c r="R22" s="86">
        <f t="shared" si="7"/>
        <v>1</v>
      </c>
      <c r="S22" s="124">
        <f t="shared" si="7"/>
        <v>0</v>
      </c>
      <c r="T22" s="41"/>
      <c r="U22" s="107">
        <f t="shared" si="5"/>
        <v>24</v>
      </c>
      <c r="V22" s="130">
        <f t="shared" si="6"/>
        <v>1</v>
      </c>
      <c r="W22" s="129">
        <f t="shared" si="8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1</v>
      </c>
      <c r="D23" s="111">
        <v>20</v>
      </c>
      <c r="E23" s="112"/>
      <c r="F23" s="112"/>
      <c r="G23" s="76">
        <v>1</v>
      </c>
      <c r="H23" s="73"/>
      <c r="I23" s="73">
        <f t="shared" si="4"/>
        <v>0</v>
      </c>
      <c r="J23" s="77">
        <f t="shared" si="4"/>
        <v>20</v>
      </c>
      <c r="K23" s="42"/>
      <c r="L23" s="112"/>
      <c r="M23" s="112"/>
      <c r="N23" s="112"/>
      <c r="O23" s="112"/>
      <c r="P23" s="112">
        <v>1</v>
      </c>
      <c r="Q23" s="120"/>
      <c r="R23" s="86">
        <f t="shared" si="7"/>
        <v>1</v>
      </c>
      <c r="S23" s="124">
        <f t="shared" si="7"/>
        <v>0</v>
      </c>
      <c r="T23" s="42"/>
      <c r="U23" s="107">
        <f t="shared" si="5"/>
        <v>24</v>
      </c>
      <c r="V23" s="130">
        <f t="shared" si="6"/>
        <v>1</v>
      </c>
      <c r="W23" s="129">
        <f t="shared" si="8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9</v>
      </c>
      <c r="D25" s="111"/>
      <c r="E25" s="112"/>
      <c r="F25" s="112"/>
      <c r="G25" s="76">
        <v>1</v>
      </c>
      <c r="H25" s="73"/>
      <c r="I25" s="73">
        <f t="shared" si="4"/>
        <v>8</v>
      </c>
      <c r="J25" s="77">
        <f t="shared" si="4"/>
        <v>0</v>
      </c>
      <c r="K25" s="41"/>
      <c r="L25" s="112"/>
      <c r="M25" s="112"/>
      <c r="N25" s="112"/>
      <c r="O25" s="112"/>
      <c r="P25" s="112">
        <v>1</v>
      </c>
      <c r="Q25" s="120"/>
      <c r="R25" s="86">
        <f t="shared" si="7"/>
        <v>1</v>
      </c>
      <c r="S25" s="124">
        <f t="shared" si="7"/>
        <v>0</v>
      </c>
      <c r="T25" s="41"/>
      <c r="U25" s="107">
        <f t="shared" si="5"/>
        <v>24</v>
      </c>
      <c r="V25" s="130">
        <f t="shared" si="6"/>
        <v>1</v>
      </c>
      <c r="W25" s="129">
        <f t="shared" si="8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149</v>
      </c>
      <c r="D26" s="111">
        <v>1</v>
      </c>
      <c r="E26" s="112"/>
      <c r="F26" s="112"/>
      <c r="G26" s="76"/>
      <c r="H26" s="73"/>
      <c r="I26" s="73">
        <f t="shared" si="4"/>
        <v>149</v>
      </c>
      <c r="J26" s="77">
        <f t="shared" si="4"/>
        <v>1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3577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>
        <v>2</v>
      </c>
      <c r="H28" s="73"/>
      <c r="I28" s="73">
        <f t="shared" si="4"/>
        <v>0</v>
      </c>
      <c r="J28" s="77">
        <f t="shared" si="4"/>
        <v>0</v>
      </c>
      <c r="K28" s="42"/>
      <c r="L28" s="112"/>
      <c r="M28" s="112"/>
      <c r="N28" s="112"/>
      <c r="O28" s="112"/>
      <c r="P28" s="112">
        <v>2</v>
      </c>
      <c r="Q28" s="120"/>
      <c r="R28" s="86">
        <f t="shared" si="7"/>
        <v>2</v>
      </c>
      <c r="S28" s="124">
        <f t="shared" si="7"/>
        <v>0</v>
      </c>
      <c r="T28" s="42"/>
      <c r="U28" s="107">
        <f t="shared" si="5"/>
        <v>48</v>
      </c>
      <c r="V28" s="130">
        <f t="shared" si="6"/>
        <v>2</v>
      </c>
      <c r="W28" s="129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110</v>
      </c>
      <c r="D29" s="111"/>
      <c r="E29" s="112"/>
      <c r="F29" s="112"/>
      <c r="G29" s="76">
        <v>10</v>
      </c>
      <c r="H29" s="73"/>
      <c r="I29" s="73">
        <f t="shared" si="4"/>
        <v>100</v>
      </c>
      <c r="J29" s="77">
        <f t="shared" si="4"/>
        <v>0</v>
      </c>
      <c r="K29" s="42"/>
      <c r="L29" s="112"/>
      <c r="M29" s="112"/>
      <c r="N29" s="112"/>
      <c r="O29" s="112"/>
      <c r="P29" s="112">
        <v>10</v>
      </c>
      <c r="Q29" s="120"/>
      <c r="R29" s="86">
        <f t="shared" si="7"/>
        <v>10</v>
      </c>
      <c r="S29" s="124">
        <f t="shared" si="7"/>
        <v>0</v>
      </c>
      <c r="T29" s="42"/>
      <c r="U29" s="107">
        <f t="shared" si="5"/>
        <v>240</v>
      </c>
      <c r="V29" s="130">
        <f t="shared" si="6"/>
        <v>10</v>
      </c>
      <c r="W29" s="129">
        <f t="shared" si="8"/>
        <v>2400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63</v>
      </c>
      <c r="D30" s="111">
        <v>5</v>
      </c>
      <c r="E30" s="112"/>
      <c r="F30" s="112"/>
      <c r="G30" s="76">
        <v>10</v>
      </c>
      <c r="H30" s="73"/>
      <c r="I30" s="73">
        <f t="shared" si="4"/>
        <v>53</v>
      </c>
      <c r="J30" s="77">
        <f t="shared" si="4"/>
        <v>5</v>
      </c>
      <c r="K30" s="41"/>
      <c r="L30" s="112"/>
      <c r="M30" s="112"/>
      <c r="N30" s="112"/>
      <c r="O30" s="112"/>
      <c r="P30" s="112">
        <v>10</v>
      </c>
      <c r="Q30" s="120"/>
      <c r="R30" s="86">
        <f t="shared" si="7"/>
        <v>10</v>
      </c>
      <c r="S30" s="124">
        <f t="shared" si="7"/>
        <v>0</v>
      </c>
      <c r="T30" s="41"/>
      <c r="U30" s="107">
        <f t="shared" si="5"/>
        <v>240</v>
      </c>
      <c r="V30" s="130">
        <f t="shared" si="6"/>
        <v>10</v>
      </c>
      <c r="W30" s="129">
        <f t="shared" si="8"/>
        <v>1277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>
        <v>2</v>
      </c>
      <c r="H31" s="73"/>
      <c r="I31" s="73">
        <f t="shared" si="4"/>
        <v>13</v>
      </c>
      <c r="J31" s="77">
        <f t="shared" si="4"/>
        <v>0</v>
      </c>
      <c r="K31" s="41"/>
      <c r="L31" s="112"/>
      <c r="M31" s="112"/>
      <c r="N31" s="112"/>
      <c r="O31" s="112"/>
      <c r="P31" s="112">
        <v>2</v>
      </c>
      <c r="Q31" s="120"/>
      <c r="R31" s="86">
        <f t="shared" si="7"/>
        <v>2</v>
      </c>
      <c r="S31" s="124">
        <f t="shared" si="7"/>
        <v>0</v>
      </c>
      <c r="T31" s="41"/>
      <c r="U31" s="107">
        <f t="shared" si="5"/>
        <v>48</v>
      </c>
      <c r="V31" s="130">
        <f t="shared" si="6"/>
        <v>2</v>
      </c>
      <c r="W31" s="129">
        <f t="shared" si="8"/>
        <v>312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6</v>
      </c>
      <c r="D33" s="111"/>
      <c r="E33" s="112"/>
      <c r="F33" s="112"/>
      <c r="G33" s="76">
        <v>2</v>
      </c>
      <c r="H33" s="73"/>
      <c r="I33" s="73">
        <f t="shared" si="4"/>
        <v>4</v>
      </c>
      <c r="J33" s="77">
        <f t="shared" si="4"/>
        <v>0</v>
      </c>
      <c r="K33" s="41"/>
      <c r="L33" s="112"/>
      <c r="M33" s="112"/>
      <c r="N33" s="112"/>
      <c r="O33" s="112"/>
      <c r="P33" s="112">
        <v>2</v>
      </c>
      <c r="Q33" s="120"/>
      <c r="R33" s="86">
        <f t="shared" si="7"/>
        <v>2</v>
      </c>
      <c r="S33" s="124">
        <f t="shared" si="7"/>
        <v>0</v>
      </c>
      <c r="T33" s="41"/>
      <c r="U33" s="107">
        <f t="shared" si="5"/>
        <v>48</v>
      </c>
      <c r="V33" s="130">
        <f t="shared" si="6"/>
        <v>2</v>
      </c>
      <c r="W33" s="129">
        <f t="shared" si="8"/>
        <v>96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>
        <v>2</v>
      </c>
      <c r="H34" s="73"/>
      <c r="I34" s="73">
        <f t="shared" si="4"/>
        <v>0</v>
      </c>
      <c r="J34" s="77">
        <f t="shared" si="4"/>
        <v>0</v>
      </c>
      <c r="K34" s="41"/>
      <c r="L34" s="112"/>
      <c r="M34" s="112"/>
      <c r="N34" s="112"/>
      <c r="O34" s="112"/>
      <c r="P34" s="112">
        <v>2</v>
      </c>
      <c r="Q34" s="120"/>
      <c r="R34" s="86">
        <f t="shared" si="7"/>
        <v>2</v>
      </c>
      <c r="S34" s="124">
        <f t="shared" si="7"/>
        <v>0</v>
      </c>
      <c r="T34" s="41"/>
      <c r="U34" s="107">
        <f t="shared" si="5"/>
        <v>48</v>
      </c>
      <c r="V34" s="130">
        <f t="shared" si="6"/>
        <v>2</v>
      </c>
      <c r="W34" s="129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79</v>
      </c>
      <c r="D35" s="111">
        <v>14</v>
      </c>
      <c r="E35" s="112"/>
      <c r="F35" s="112"/>
      <c r="G35" s="76">
        <v>2</v>
      </c>
      <c r="H35" s="73"/>
      <c r="I35" s="73">
        <f t="shared" si="4"/>
        <v>77</v>
      </c>
      <c r="J35" s="77">
        <f t="shared" si="4"/>
        <v>14</v>
      </c>
      <c r="K35" s="41"/>
      <c r="L35" s="112">
        <v>1</v>
      </c>
      <c r="M35" s="112"/>
      <c r="N35" s="112">
        <v>1</v>
      </c>
      <c r="O35" s="112"/>
      <c r="P35" s="112">
        <v>74</v>
      </c>
      <c r="Q35" s="120"/>
      <c r="R35" s="86">
        <f t="shared" si="7"/>
        <v>76</v>
      </c>
      <c r="S35" s="124">
        <f t="shared" si="7"/>
        <v>0</v>
      </c>
      <c r="T35" s="41"/>
      <c r="U35" s="107">
        <f t="shared" si="5"/>
        <v>1824</v>
      </c>
      <c r="V35" s="130">
        <f t="shared" si="6"/>
        <v>76</v>
      </c>
      <c r="W35" s="129">
        <f t="shared" si="8"/>
        <v>1862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>
        <v>1</v>
      </c>
      <c r="D37" s="111"/>
      <c r="E37" s="112"/>
      <c r="F37" s="112"/>
      <c r="G37" s="76">
        <v>1</v>
      </c>
      <c r="H37" s="73"/>
      <c r="I37" s="73">
        <f t="shared" si="4"/>
        <v>0</v>
      </c>
      <c r="J37" s="77">
        <f t="shared" si="4"/>
        <v>0</v>
      </c>
      <c r="K37" s="41"/>
      <c r="L37" s="112"/>
      <c r="M37" s="112"/>
      <c r="N37" s="112"/>
      <c r="O37" s="112"/>
      <c r="P37" s="112">
        <v>1</v>
      </c>
      <c r="Q37" s="120"/>
      <c r="R37" s="86">
        <f t="shared" si="7"/>
        <v>1</v>
      </c>
      <c r="S37" s="124">
        <f t="shared" si="7"/>
        <v>0</v>
      </c>
      <c r="T37" s="41"/>
      <c r="U37" s="107">
        <f t="shared" si="5"/>
        <v>24</v>
      </c>
      <c r="V37" s="130">
        <f t="shared" si="6"/>
        <v>1</v>
      </c>
      <c r="W37" s="129">
        <f t="shared" si="8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4531</v>
      </c>
      <c r="D38" s="114">
        <v>1</v>
      </c>
      <c r="E38" s="115"/>
      <c r="F38" s="115"/>
      <c r="G38" s="78">
        <v>86</v>
      </c>
      <c r="H38" s="79"/>
      <c r="I38" s="139">
        <f t="shared" si="4"/>
        <v>4445</v>
      </c>
      <c r="J38" s="140">
        <f t="shared" si="4"/>
        <v>1</v>
      </c>
      <c r="K38" s="51"/>
      <c r="L38" s="121">
        <v>11</v>
      </c>
      <c r="M38" s="121"/>
      <c r="N38" s="121">
        <v>1</v>
      </c>
      <c r="O38" s="121"/>
      <c r="P38" s="121">
        <v>74</v>
      </c>
      <c r="Q38" s="122"/>
      <c r="R38" s="97">
        <f t="shared" si="7"/>
        <v>86</v>
      </c>
      <c r="S38" s="125">
        <f t="shared" si="7"/>
        <v>0</v>
      </c>
      <c r="T38" s="51"/>
      <c r="U38" s="131">
        <f>L38*6+N38*6+P38*6</f>
        <v>516</v>
      </c>
      <c r="V38" s="135">
        <f>U38/6</f>
        <v>86</v>
      </c>
      <c r="W38" s="133">
        <f>I38*6+J38</f>
        <v>26671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76">
        <f t="shared" si="4"/>
        <v>0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95</v>
      </c>
      <c r="D41" s="147">
        <v>8</v>
      </c>
      <c r="E41" s="148"/>
      <c r="F41" s="148"/>
      <c r="G41" s="149">
        <v>1</v>
      </c>
      <c r="H41" s="150"/>
      <c r="I41" s="151">
        <f t="shared" si="4"/>
        <v>94</v>
      </c>
      <c r="J41" s="152">
        <f t="shared" si="4"/>
        <v>8</v>
      </c>
      <c r="K41" s="153"/>
      <c r="L41" s="154"/>
      <c r="M41" s="154"/>
      <c r="N41" s="154"/>
      <c r="O41" s="154"/>
      <c r="P41" s="154">
        <v>1</v>
      </c>
      <c r="Q41" s="155"/>
      <c r="R41" s="156">
        <f t="shared" si="7"/>
        <v>1</v>
      </c>
      <c r="S41" s="157">
        <f t="shared" si="7"/>
        <v>0</v>
      </c>
      <c r="T41" s="153"/>
      <c r="U41" s="158">
        <f t="shared" si="9"/>
        <v>24</v>
      </c>
      <c r="V41" s="159">
        <f t="shared" si="6"/>
        <v>1</v>
      </c>
      <c r="W41" s="159">
        <f t="shared" si="10"/>
        <v>2264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267</v>
      </c>
      <c r="D42" s="164"/>
      <c r="E42" s="165"/>
      <c r="F42" s="165"/>
      <c r="G42" s="166">
        <v>22</v>
      </c>
      <c r="H42" s="167"/>
      <c r="I42" s="166">
        <f t="shared" si="4"/>
        <v>245</v>
      </c>
      <c r="J42" s="168">
        <f t="shared" si="4"/>
        <v>0</v>
      </c>
      <c r="K42" s="169"/>
      <c r="L42" s="165">
        <v>2</v>
      </c>
      <c r="M42" s="165"/>
      <c r="N42" s="165"/>
      <c r="O42" s="165"/>
      <c r="P42" s="165">
        <v>20</v>
      </c>
      <c r="Q42" s="170"/>
      <c r="R42" s="171">
        <f t="shared" si="7"/>
        <v>22</v>
      </c>
      <c r="S42" s="172">
        <f t="shared" si="7"/>
        <v>0</v>
      </c>
      <c r="T42" s="169"/>
      <c r="U42" s="173">
        <f>L42*12+N42*12+P42*12</f>
        <v>264</v>
      </c>
      <c r="V42" s="174">
        <f>U42/12</f>
        <v>22</v>
      </c>
      <c r="W42" s="175">
        <f>I42*12+J42</f>
        <v>2940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38973</v>
      </c>
      <c r="D44" s="114">
        <v>3</v>
      </c>
      <c r="E44" s="115"/>
      <c r="F44" s="115"/>
      <c r="G44" s="78">
        <v>980</v>
      </c>
      <c r="H44" s="79"/>
      <c r="I44" s="73">
        <f>C44+E44-G44</f>
        <v>37993</v>
      </c>
      <c r="J44" s="177">
        <f t="shared" si="4"/>
        <v>3</v>
      </c>
      <c r="K44" s="51"/>
      <c r="L44" s="121">
        <v>304</v>
      </c>
      <c r="M44" s="121"/>
      <c r="N44" s="121">
        <v>330</v>
      </c>
      <c r="O44" s="121"/>
      <c r="P44" s="121">
        <v>346</v>
      </c>
      <c r="Q44" s="122"/>
      <c r="R44" s="178">
        <f t="shared" si="7"/>
        <v>980</v>
      </c>
      <c r="S44" s="179">
        <f t="shared" si="7"/>
        <v>0</v>
      </c>
      <c r="T44" s="51"/>
      <c r="U44" s="131">
        <f>L44*6+N44*6+P44*6</f>
        <v>5880</v>
      </c>
      <c r="V44" s="130">
        <f>U44/6</f>
        <v>980</v>
      </c>
      <c r="W44" s="133">
        <f>I44*6+J44</f>
        <v>227961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1</v>
      </c>
      <c r="D46" s="111"/>
      <c r="E46" s="112"/>
      <c r="F46" s="112"/>
      <c r="G46" s="76">
        <v>1</v>
      </c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>
        <v>1</v>
      </c>
      <c r="Q46" s="120"/>
      <c r="R46" s="86">
        <f t="shared" si="7"/>
        <v>1</v>
      </c>
      <c r="S46" s="128">
        <f t="shared" si="7"/>
        <v>0</v>
      </c>
      <c r="T46" s="41"/>
      <c r="U46" s="107">
        <f t="shared" ref="U46:U47" si="11">L46*24+N46*24+P46*24</f>
        <v>24</v>
      </c>
      <c r="V46" s="134">
        <f t="shared" ref="V46:V47" si="12">U46/24</f>
        <v>1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2810</v>
      </c>
      <c r="D48" s="142">
        <v>1</v>
      </c>
      <c r="E48" s="121"/>
      <c r="F48" s="121"/>
      <c r="G48" s="143">
        <v>10</v>
      </c>
      <c r="H48" s="139"/>
      <c r="I48" s="139">
        <f t="shared" si="4"/>
        <v>2800</v>
      </c>
      <c r="J48" s="140">
        <f t="shared" si="4"/>
        <v>1</v>
      </c>
      <c r="K48" s="51"/>
      <c r="L48" s="121"/>
      <c r="M48" s="121"/>
      <c r="N48" s="121"/>
      <c r="O48" s="121"/>
      <c r="P48" s="121">
        <v>10</v>
      </c>
      <c r="Q48" s="122"/>
      <c r="R48" s="97">
        <f t="shared" si="7"/>
        <v>10</v>
      </c>
      <c r="S48" s="144">
        <f t="shared" si="7"/>
        <v>0</v>
      </c>
      <c r="T48" s="51"/>
      <c r="U48" s="131">
        <f>L48*6+N48*6+P48*6</f>
        <v>60</v>
      </c>
      <c r="V48" s="135">
        <f>U48/6</f>
        <v>10</v>
      </c>
      <c r="W48" s="133">
        <f>I48*6+J48</f>
        <v>16801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2</v>
      </c>
      <c r="D50" s="111"/>
      <c r="E50" s="112"/>
      <c r="F50" s="112"/>
      <c r="G50" s="76">
        <v>1</v>
      </c>
      <c r="H50" s="73"/>
      <c r="I50" s="73">
        <f t="shared" si="4"/>
        <v>1</v>
      </c>
      <c r="J50" s="77">
        <f t="shared" si="4"/>
        <v>0</v>
      </c>
      <c r="K50" s="41"/>
      <c r="L50" s="112"/>
      <c r="M50" s="112"/>
      <c r="N50" s="112"/>
      <c r="O50" s="112"/>
      <c r="P50" s="112">
        <v>1</v>
      </c>
      <c r="Q50" s="120"/>
      <c r="R50" s="86">
        <f t="shared" si="7"/>
        <v>1</v>
      </c>
      <c r="S50" s="124">
        <f t="shared" si="7"/>
        <v>0</v>
      </c>
      <c r="T50" s="41"/>
      <c r="U50" s="107">
        <f t="shared" si="14"/>
        <v>24</v>
      </c>
      <c r="V50" s="130">
        <f t="shared" si="15"/>
        <v>1</v>
      </c>
      <c r="W50" s="129">
        <f t="shared" si="16"/>
        <v>24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>
        <v>1</v>
      </c>
      <c r="D53" s="111"/>
      <c r="E53" s="112"/>
      <c r="F53" s="112"/>
      <c r="G53" s="76">
        <v>1</v>
      </c>
      <c r="H53" s="73"/>
      <c r="I53" s="73">
        <f t="shared" si="4"/>
        <v>0</v>
      </c>
      <c r="J53" s="77">
        <f t="shared" si="4"/>
        <v>0</v>
      </c>
      <c r="K53" s="41"/>
      <c r="L53" s="112"/>
      <c r="M53" s="112"/>
      <c r="N53" s="112"/>
      <c r="O53" s="112"/>
      <c r="P53" s="112">
        <v>1</v>
      </c>
      <c r="Q53" s="120"/>
      <c r="R53" s="96">
        <f t="shared" si="7"/>
        <v>1</v>
      </c>
      <c r="S53" s="126">
        <f t="shared" si="7"/>
        <v>0</v>
      </c>
      <c r="T53" s="41"/>
      <c r="U53" s="107">
        <f t="shared" ref="U53:U54" si="17">L53*24+N53*24+P53*24</f>
        <v>24</v>
      </c>
      <c r="V53" s="109">
        <f t="shared" ref="V53:V54" si="18">U53/24</f>
        <v>1</v>
      </c>
      <c r="W53" s="129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10</v>
      </c>
      <c r="D54" s="111"/>
      <c r="E54" s="112"/>
      <c r="F54" s="112"/>
      <c r="G54" s="76">
        <v>1</v>
      </c>
      <c r="H54" s="73"/>
      <c r="I54" s="73">
        <f t="shared" si="4"/>
        <v>9</v>
      </c>
      <c r="J54" s="77">
        <f t="shared" si="4"/>
        <v>0</v>
      </c>
      <c r="K54" s="41"/>
      <c r="L54" s="112"/>
      <c r="M54" s="112"/>
      <c r="N54" s="112"/>
      <c r="O54" s="112"/>
      <c r="P54" s="112">
        <v>1</v>
      </c>
      <c r="Q54" s="120"/>
      <c r="R54" s="86">
        <f t="shared" si="7"/>
        <v>1</v>
      </c>
      <c r="S54" s="124">
        <f t="shared" si="7"/>
        <v>0</v>
      </c>
      <c r="T54" s="41"/>
      <c r="U54" s="107">
        <f t="shared" si="17"/>
        <v>24</v>
      </c>
      <c r="V54" s="130">
        <f t="shared" si="18"/>
        <v>1</v>
      </c>
      <c r="W54" s="129">
        <f t="shared" si="19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50709</v>
      </c>
      <c r="D60" s="54">
        <f>SUM(D8:D59)</f>
        <v>119</v>
      </c>
      <c r="E60" s="44">
        <f>SUM(E8:E59)</f>
        <v>0</v>
      </c>
      <c r="F60" s="44"/>
      <c r="G60" s="28">
        <f>SUM(G8:G59)</f>
        <v>1178</v>
      </c>
      <c r="H60" s="56">
        <f>SUM(H8:H59)</f>
        <v>12</v>
      </c>
      <c r="I60" s="56">
        <f>SUM(I8:I59)</f>
        <v>49531</v>
      </c>
      <c r="J60" s="45">
        <f>SUM(J8:J59)</f>
        <v>107</v>
      </c>
      <c r="K60" s="46"/>
      <c r="L60" s="74">
        <f t="shared" ref="L60:S60" si="20">SUM(L8:L59)</f>
        <v>319</v>
      </c>
      <c r="M60" s="74">
        <f t="shared" si="20"/>
        <v>12</v>
      </c>
      <c r="N60" s="74">
        <f t="shared" si="20"/>
        <v>345</v>
      </c>
      <c r="O60" s="74">
        <f t="shared" si="20"/>
        <v>0</v>
      </c>
      <c r="P60" s="74">
        <f t="shared" si="20"/>
        <v>588</v>
      </c>
      <c r="Q60" s="75">
        <f t="shared" si="20"/>
        <v>0</v>
      </c>
      <c r="R60" s="85">
        <f t="shared" si="20"/>
        <v>1252</v>
      </c>
      <c r="S60" s="84">
        <f t="shared" si="20"/>
        <v>12</v>
      </c>
      <c r="T60" s="46"/>
      <c r="U60" s="43">
        <f>SUM(U8:U59)</f>
        <v>10416</v>
      </c>
      <c r="V60" s="102">
        <f>SUM(V8:V59)</f>
        <v>1252</v>
      </c>
      <c r="W60" s="187">
        <f>SUM(W8:W59)</f>
        <v>371015</v>
      </c>
      <c r="X60" s="45"/>
    </row>
    <row r="61" spans="1:24" ht="19.5" thickBot="1" x14ac:dyDescent="0.3">
      <c r="V61" s="103"/>
    </row>
    <row r="62" spans="1:24" ht="18.75" customHeight="1" x14ac:dyDescent="0.25">
      <c r="G62" s="188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89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0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1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1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192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3" t="s">
        <v>3</v>
      </c>
      <c r="D69" s="18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42B2-8920-47D7-B2DD-0A88F0876B89}">
  <sheetPr>
    <pageSetUpPr fitToPage="1"/>
  </sheetPr>
  <dimension ref="A1:BH90"/>
  <sheetViews>
    <sheetView tabSelected="1" topLeftCell="A35" zoomScale="85" zoomScaleNormal="85" zoomScaleSheetLayoutView="85" zoomScalePageLayoutView="80" workbookViewId="0">
      <selection activeCell="AF48" sqref="AF48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193">
        <v>46176</v>
      </c>
      <c r="Q1" s="194"/>
      <c r="R1" s="194"/>
      <c r="S1" s="194"/>
      <c r="T1" s="194"/>
      <c r="U1" s="194"/>
      <c r="V1" s="194"/>
      <c r="W1" s="194"/>
      <c r="X1" s="19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196" t="s">
        <v>74</v>
      </c>
      <c r="C4" s="197" t="s">
        <v>3</v>
      </c>
      <c r="D4" s="198" t="s">
        <v>75</v>
      </c>
      <c r="E4" s="199" t="s">
        <v>4</v>
      </c>
      <c r="F4" s="200"/>
      <c r="G4" s="201" t="s">
        <v>5</v>
      </c>
      <c r="H4" s="203" t="s">
        <v>75</v>
      </c>
      <c r="I4" s="205" t="s">
        <v>6</v>
      </c>
      <c r="J4" s="203" t="s">
        <v>75</v>
      </c>
      <c r="L4" s="207" t="s">
        <v>7</v>
      </c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8"/>
      <c r="X4" s="210"/>
    </row>
    <row r="5" spans="1:60" s="3" customFormat="1" ht="57" thickBot="1" x14ac:dyDescent="0.3">
      <c r="A5" s="49"/>
      <c r="B5" s="196"/>
      <c r="C5" s="197"/>
      <c r="D5" s="198"/>
      <c r="E5" s="48" t="s">
        <v>8</v>
      </c>
      <c r="F5" s="185" t="s">
        <v>9</v>
      </c>
      <c r="G5" s="202"/>
      <c r="H5" s="204"/>
      <c r="I5" s="206"/>
      <c r="J5" s="204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23</v>
      </c>
      <c r="D8" s="111">
        <v>9</v>
      </c>
      <c r="E8" s="112"/>
      <c r="F8" s="112"/>
      <c r="G8" s="76"/>
      <c r="H8" s="73"/>
      <c r="I8" s="73">
        <f>C8-G8</f>
        <v>23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561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98</v>
      </c>
      <c r="D9" s="114"/>
      <c r="E9" s="115"/>
      <c r="F9" s="115"/>
      <c r="G9" s="78">
        <v>2</v>
      </c>
      <c r="H9" s="79"/>
      <c r="I9" s="78">
        <f t="shared" ref="I9:J59" si="4">C9-G9</f>
        <v>96</v>
      </c>
      <c r="J9" s="94">
        <f t="shared" si="0"/>
        <v>0</v>
      </c>
      <c r="K9" s="51"/>
      <c r="L9" s="121">
        <v>2</v>
      </c>
      <c r="M9" s="121"/>
      <c r="N9" s="121"/>
      <c r="O9" s="121"/>
      <c r="P9" s="121"/>
      <c r="Q9" s="122">
        <v>2</v>
      </c>
      <c r="R9" s="98">
        <f t="shared" si="1"/>
        <v>2</v>
      </c>
      <c r="S9" s="125">
        <f t="shared" si="1"/>
        <v>2</v>
      </c>
      <c r="T9" s="51"/>
      <c r="U9" s="131">
        <f>L9*24+N9*24+P9*24</f>
        <v>48</v>
      </c>
      <c r="V9" s="132">
        <f>U9/24</f>
        <v>2</v>
      </c>
      <c r="W9" s="133">
        <f t="shared" si="2"/>
        <v>2304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144</v>
      </c>
      <c r="D10" s="111"/>
      <c r="E10" s="112"/>
      <c r="F10" s="112"/>
      <c r="G10" s="76">
        <v>1</v>
      </c>
      <c r="H10" s="73"/>
      <c r="I10" s="73">
        <f t="shared" si="4"/>
        <v>143</v>
      </c>
      <c r="J10" s="95">
        <f t="shared" si="0"/>
        <v>0</v>
      </c>
      <c r="K10" s="41"/>
      <c r="L10" s="112">
        <v>1</v>
      </c>
      <c r="M10" s="112"/>
      <c r="N10" s="112"/>
      <c r="O10" s="112"/>
      <c r="P10" s="112"/>
      <c r="Q10" s="120">
        <v>1</v>
      </c>
      <c r="R10" s="99">
        <f t="shared" si="1"/>
        <v>1</v>
      </c>
      <c r="S10" s="126">
        <f t="shared" si="1"/>
        <v>1</v>
      </c>
      <c r="T10" s="41"/>
      <c r="U10" s="107">
        <f>L10*24+N10*24+P10*24</f>
        <v>24</v>
      </c>
      <c r="V10" s="134">
        <f>U10/24</f>
        <v>1</v>
      </c>
      <c r="W10" s="129">
        <f t="shared" si="2"/>
        <v>3432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33</v>
      </c>
      <c r="D11" s="111"/>
      <c r="E11" s="112"/>
      <c r="F11" s="112"/>
      <c r="G11" s="76">
        <v>1</v>
      </c>
      <c r="H11" s="73"/>
      <c r="I11" s="73">
        <f t="shared" si="4"/>
        <v>32</v>
      </c>
      <c r="J11" s="77">
        <f t="shared" si="0"/>
        <v>0</v>
      </c>
      <c r="K11" s="41"/>
      <c r="L11" s="112">
        <v>1</v>
      </c>
      <c r="M11" s="112"/>
      <c r="N11" s="112"/>
      <c r="O11" s="112"/>
      <c r="P11" s="112"/>
      <c r="Q11" s="120">
        <v>1</v>
      </c>
      <c r="R11" s="86">
        <f t="shared" si="1"/>
        <v>1</v>
      </c>
      <c r="S11" s="124">
        <f t="shared" si="1"/>
        <v>1</v>
      </c>
      <c r="T11" s="41"/>
      <c r="U11" s="107">
        <f>L11*24+N11*24+P11*24</f>
        <v>24</v>
      </c>
      <c r="V11" s="130">
        <f>U11/24</f>
        <v>1</v>
      </c>
      <c r="W11" s="129">
        <f t="shared" si="2"/>
        <v>768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5</v>
      </c>
      <c r="D12" s="111">
        <v>2</v>
      </c>
      <c r="E12" s="112"/>
      <c r="F12" s="112"/>
      <c r="G12" s="76"/>
      <c r="H12" s="73"/>
      <c r="I12" s="73">
        <f t="shared" si="4"/>
        <v>5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122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3145</v>
      </c>
      <c r="D13" s="114">
        <v>12</v>
      </c>
      <c r="E13" s="115"/>
      <c r="F13" s="115"/>
      <c r="G13" s="78">
        <v>13</v>
      </c>
      <c r="H13" s="79">
        <v>12</v>
      </c>
      <c r="I13" s="80">
        <f t="shared" si="4"/>
        <v>3132</v>
      </c>
      <c r="J13" s="94">
        <f>D13-H13</f>
        <v>0</v>
      </c>
      <c r="K13" s="53"/>
      <c r="L13" s="121">
        <v>13</v>
      </c>
      <c r="M13" s="121">
        <v>12</v>
      </c>
      <c r="N13" s="121"/>
      <c r="O13" s="121"/>
      <c r="P13" s="121"/>
      <c r="Q13" s="122"/>
      <c r="R13" s="97">
        <f>L13+N13+P13</f>
        <v>13</v>
      </c>
      <c r="S13" s="125">
        <f>M13+O13+Q13</f>
        <v>12</v>
      </c>
      <c r="T13" s="53"/>
      <c r="U13" s="131">
        <f>L13*24+N13*24+P13*24</f>
        <v>312</v>
      </c>
      <c r="V13" s="135">
        <f t="shared" si="6"/>
        <v>13</v>
      </c>
      <c r="W13" s="133">
        <f>I13*24+J13</f>
        <v>75168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si="4"/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4"/>
        <v>20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4"/>
        <v>0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4"/>
        <v>20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149</v>
      </c>
      <c r="D26" s="111">
        <v>1</v>
      </c>
      <c r="E26" s="112"/>
      <c r="F26" s="112"/>
      <c r="G26" s="76">
        <v>2</v>
      </c>
      <c r="H26" s="73"/>
      <c r="I26" s="73">
        <f t="shared" si="4"/>
        <v>147</v>
      </c>
      <c r="J26" s="77">
        <f t="shared" si="4"/>
        <v>1</v>
      </c>
      <c r="K26" s="41"/>
      <c r="L26" s="112">
        <v>2</v>
      </c>
      <c r="M26" s="112"/>
      <c r="N26" s="112"/>
      <c r="O26" s="112"/>
      <c r="P26" s="112"/>
      <c r="Q26" s="120"/>
      <c r="R26" s="86">
        <f t="shared" si="7"/>
        <v>2</v>
      </c>
      <c r="S26" s="124">
        <f t="shared" si="7"/>
        <v>0</v>
      </c>
      <c r="T26" s="41"/>
      <c r="U26" s="107">
        <f t="shared" si="5"/>
        <v>48</v>
      </c>
      <c r="V26" s="130">
        <f t="shared" si="6"/>
        <v>2</v>
      </c>
      <c r="W26" s="129">
        <f t="shared" si="8"/>
        <v>3529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100</v>
      </c>
      <c r="D29" s="111"/>
      <c r="E29" s="112"/>
      <c r="F29" s="112"/>
      <c r="G29" s="76">
        <v>2</v>
      </c>
      <c r="H29" s="73"/>
      <c r="I29" s="73">
        <f t="shared" si="4"/>
        <v>98</v>
      </c>
      <c r="J29" s="77">
        <f t="shared" si="4"/>
        <v>0</v>
      </c>
      <c r="K29" s="42"/>
      <c r="L29" s="112"/>
      <c r="M29" s="112"/>
      <c r="N29" s="112"/>
      <c r="O29" s="112"/>
      <c r="P29" s="112"/>
      <c r="Q29" s="120"/>
      <c r="R29" s="86">
        <f t="shared" si="7"/>
        <v>0</v>
      </c>
      <c r="S29" s="124">
        <f t="shared" si="7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8"/>
        <v>2352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53</v>
      </c>
      <c r="D30" s="111">
        <v>5</v>
      </c>
      <c r="E30" s="112"/>
      <c r="F30" s="112"/>
      <c r="G30" s="76"/>
      <c r="H30" s="73"/>
      <c r="I30" s="73">
        <f t="shared" si="4"/>
        <v>53</v>
      </c>
      <c r="J30" s="77">
        <f t="shared" si="4"/>
        <v>5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1277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13</v>
      </c>
      <c r="D31" s="111"/>
      <c r="E31" s="112"/>
      <c r="F31" s="112"/>
      <c r="G31" s="76"/>
      <c r="H31" s="73"/>
      <c r="I31" s="73">
        <f t="shared" si="4"/>
        <v>13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312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4</v>
      </c>
      <c r="D33" s="111"/>
      <c r="E33" s="112"/>
      <c r="F33" s="112"/>
      <c r="G33" s="76"/>
      <c r="H33" s="73"/>
      <c r="I33" s="73">
        <f t="shared" si="4"/>
        <v>4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96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77</v>
      </c>
      <c r="D35" s="111">
        <v>14</v>
      </c>
      <c r="E35" s="112"/>
      <c r="F35" s="112"/>
      <c r="G35" s="76">
        <v>1</v>
      </c>
      <c r="H35" s="73"/>
      <c r="I35" s="73">
        <f t="shared" si="4"/>
        <v>76</v>
      </c>
      <c r="J35" s="77">
        <f t="shared" si="4"/>
        <v>14</v>
      </c>
      <c r="K35" s="41"/>
      <c r="L35" s="112">
        <v>1</v>
      </c>
      <c r="M35" s="112"/>
      <c r="N35" s="112"/>
      <c r="O35" s="112"/>
      <c r="P35" s="112"/>
      <c r="Q35" s="120"/>
      <c r="R35" s="86">
        <f t="shared" si="7"/>
        <v>1</v>
      </c>
      <c r="S35" s="124">
        <f t="shared" si="7"/>
        <v>0</v>
      </c>
      <c r="T35" s="41"/>
      <c r="U35" s="107">
        <f t="shared" si="5"/>
        <v>24</v>
      </c>
      <c r="V35" s="130">
        <f t="shared" si="6"/>
        <v>1</v>
      </c>
      <c r="W35" s="129">
        <f t="shared" si="8"/>
        <v>1838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4445</v>
      </c>
      <c r="D38" s="114">
        <v>1</v>
      </c>
      <c r="E38" s="115"/>
      <c r="F38" s="115"/>
      <c r="G38" s="78">
        <v>10</v>
      </c>
      <c r="H38" s="79"/>
      <c r="I38" s="139">
        <f t="shared" si="4"/>
        <v>4435</v>
      </c>
      <c r="J38" s="140">
        <f t="shared" si="4"/>
        <v>1</v>
      </c>
      <c r="K38" s="51"/>
      <c r="L38" s="121">
        <v>10</v>
      </c>
      <c r="M38" s="121"/>
      <c r="N38" s="121"/>
      <c r="O38" s="121"/>
      <c r="P38" s="121"/>
      <c r="Q38" s="122"/>
      <c r="R38" s="97">
        <f t="shared" si="7"/>
        <v>10</v>
      </c>
      <c r="S38" s="125">
        <f t="shared" si="7"/>
        <v>0</v>
      </c>
      <c r="T38" s="51"/>
      <c r="U38" s="131">
        <f>L38*6+N38*6+P38*6</f>
        <v>60</v>
      </c>
      <c r="V38" s="135">
        <f>U38/6</f>
        <v>10</v>
      </c>
      <c r="W38" s="133">
        <f>I38*6+J38</f>
        <v>26611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76">
        <f t="shared" si="4"/>
        <v>0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94</v>
      </c>
      <c r="D41" s="147">
        <v>8</v>
      </c>
      <c r="E41" s="148"/>
      <c r="F41" s="148"/>
      <c r="G41" s="149">
        <v>1</v>
      </c>
      <c r="H41" s="150"/>
      <c r="I41" s="151">
        <f t="shared" si="4"/>
        <v>93</v>
      </c>
      <c r="J41" s="152">
        <f t="shared" si="4"/>
        <v>8</v>
      </c>
      <c r="K41" s="153"/>
      <c r="L41" s="154">
        <v>1</v>
      </c>
      <c r="M41" s="154"/>
      <c r="N41" s="154"/>
      <c r="O41" s="154"/>
      <c r="P41" s="154"/>
      <c r="Q41" s="155"/>
      <c r="R41" s="156">
        <f t="shared" si="7"/>
        <v>1</v>
      </c>
      <c r="S41" s="157">
        <f t="shared" si="7"/>
        <v>0</v>
      </c>
      <c r="T41" s="153"/>
      <c r="U41" s="158">
        <f t="shared" si="9"/>
        <v>24</v>
      </c>
      <c r="V41" s="159">
        <f t="shared" si="6"/>
        <v>1</v>
      </c>
      <c r="W41" s="159">
        <f t="shared" si="10"/>
        <v>2240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245</v>
      </c>
      <c r="D42" s="164"/>
      <c r="E42" s="165"/>
      <c r="F42" s="165"/>
      <c r="G42" s="166">
        <v>5</v>
      </c>
      <c r="H42" s="167"/>
      <c r="I42" s="166">
        <f t="shared" si="4"/>
        <v>240</v>
      </c>
      <c r="J42" s="168">
        <f t="shared" si="4"/>
        <v>0</v>
      </c>
      <c r="K42" s="169"/>
      <c r="L42" s="165">
        <v>5</v>
      </c>
      <c r="M42" s="165"/>
      <c r="N42" s="165"/>
      <c r="O42" s="165"/>
      <c r="P42" s="165"/>
      <c r="Q42" s="170"/>
      <c r="R42" s="171">
        <f t="shared" si="7"/>
        <v>5</v>
      </c>
      <c r="S42" s="172">
        <f t="shared" si="7"/>
        <v>0</v>
      </c>
      <c r="T42" s="169"/>
      <c r="U42" s="173">
        <f>L42*12+N42*12+P42*12</f>
        <v>60</v>
      </c>
      <c r="V42" s="174">
        <f>U42/12</f>
        <v>5</v>
      </c>
      <c r="W42" s="175">
        <f>I42*12+J42</f>
        <v>2880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37993</v>
      </c>
      <c r="D44" s="114">
        <v>3</v>
      </c>
      <c r="E44" s="115"/>
      <c r="F44" s="115"/>
      <c r="G44" s="78">
        <v>441</v>
      </c>
      <c r="H44" s="79"/>
      <c r="I44" s="73">
        <f>C44+E44-G44</f>
        <v>37552</v>
      </c>
      <c r="J44" s="177">
        <f t="shared" si="4"/>
        <v>3</v>
      </c>
      <c r="K44" s="51"/>
      <c r="L44" s="121">
        <v>441</v>
      </c>
      <c r="M44" s="121"/>
      <c r="N44" s="121"/>
      <c r="O44" s="121"/>
      <c r="P44" s="121"/>
      <c r="Q44" s="122"/>
      <c r="R44" s="178">
        <f t="shared" si="7"/>
        <v>441</v>
      </c>
      <c r="S44" s="179">
        <f t="shared" si="7"/>
        <v>0</v>
      </c>
      <c r="T44" s="51"/>
      <c r="U44" s="131">
        <f>L44*6+N44*6+P44*6</f>
        <v>2646</v>
      </c>
      <c r="V44" s="130">
        <f>U44/6</f>
        <v>441</v>
      </c>
      <c r="W44" s="133">
        <f>I44*6+J44</f>
        <v>225315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2800</v>
      </c>
      <c r="D48" s="142">
        <v>1</v>
      </c>
      <c r="E48" s="121"/>
      <c r="F48" s="121"/>
      <c r="G48" s="143">
        <v>2</v>
      </c>
      <c r="H48" s="139"/>
      <c r="I48" s="139">
        <f t="shared" si="4"/>
        <v>2798</v>
      </c>
      <c r="J48" s="140">
        <f t="shared" si="4"/>
        <v>1</v>
      </c>
      <c r="K48" s="51"/>
      <c r="L48" s="121">
        <v>2</v>
      </c>
      <c r="M48" s="121"/>
      <c r="N48" s="121"/>
      <c r="O48" s="121"/>
      <c r="P48" s="121"/>
      <c r="Q48" s="122"/>
      <c r="R48" s="97">
        <f t="shared" si="7"/>
        <v>2</v>
      </c>
      <c r="S48" s="144">
        <f t="shared" si="7"/>
        <v>0</v>
      </c>
      <c r="T48" s="51"/>
      <c r="U48" s="131">
        <f>L48*6+N48*6+P48*6</f>
        <v>12</v>
      </c>
      <c r="V48" s="135">
        <f>U48/6</f>
        <v>2</v>
      </c>
      <c r="W48" s="133">
        <f>I48*6+J48</f>
        <v>16789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</v>
      </c>
      <c r="D50" s="111"/>
      <c r="E50" s="112"/>
      <c r="F50" s="112"/>
      <c r="G50" s="76"/>
      <c r="H50" s="73"/>
      <c r="I50" s="73">
        <f t="shared" si="4"/>
        <v>1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24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49530</v>
      </c>
      <c r="D60" s="54">
        <f>SUM(D8:D59)</f>
        <v>131</v>
      </c>
      <c r="E60" s="44">
        <f>SUM(E8:E59)</f>
        <v>0</v>
      </c>
      <c r="F60" s="44"/>
      <c r="G60" s="28">
        <f>SUM(G8:G59)</f>
        <v>481</v>
      </c>
      <c r="H60" s="56">
        <f>SUM(H8:H59)</f>
        <v>12</v>
      </c>
      <c r="I60" s="56">
        <f>SUM(I8:I59)</f>
        <v>49049</v>
      </c>
      <c r="J60" s="45">
        <f>SUM(J8:J59)</f>
        <v>119</v>
      </c>
      <c r="K60" s="46"/>
      <c r="L60" s="74">
        <f t="shared" ref="L60:S60" si="20">SUM(L8:L59)</f>
        <v>479</v>
      </c>
      <c r="M60" s="74">
        <f t="shared" si="20"/>
        <v>12</v>
      </c>
      <c r="N60" s="74">
        <f t="shared" si="20"/>
        <v>0</v>
      </c>
      <c r="O60" s="74">
        <f t="shared" si="20"/>
        <v>0</v>
      </c>
      <c r="P60" s="74">
        <f t="shared" si="20"/>
        <v>0</v>
      </c>
      <c r="Q60" s="75">
        <f t="shared" si="20"/>
        <v>4</v>
      </c>
      <c r="R60" s="85">
        <f t="shared" si="20"/>
        <v>479</v>
      </c>
      <c r="S60" s="84">
        <f t="shared" si="20"/>
        <v>16</v>
      </c>
      <c r="T60" s="46"/>
      <c r="U60" s="43">
        <f>SUM(U8:U59)</f>
        <v>3282</v>
      </c>
      <c r="V60" s="102">
        <f>SUM(V8:V59)</f>
        <v>479</v>
      </c>
      <c r="W60" s="187">
        <f>SUM(W8:W59)</f>
        <v>367673</v>
      </c>
      <c r="X60" s="45"/>
    </row>
    <row r="61" spans="1:24" ht="19.5" thickBot="1" x14ac:dyDescent="0.3">
      <c r="V61" s="103"/>
    </row>
    <row r="62" spans="1:24" ht="18.75" customHeight="1" x14ac:dyDescent="0.25">
      <c r="G62" s="188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89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0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1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1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192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3" t="s">
        <v>3</v>
      </c>
      <c r="D69" s="18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71E3-6918-4402-B00B-D917007CF6C0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193">
        <v>46178</v>
      </c>
      <c r="Q1" s="194"/>
      <c r="R1" s="194"/>
      <c r="S1" s="194"/>
      <c r="T1" s="194"/>
      <c r="U1" s="194"/>
      <c r="V1" s="194"/>
      <c r="W1" s="194"/>
      <c r="X1" s="19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196" t="s">
        <v>74</v>
      </c>
      <c r="C4" s="197" t="s">
        <v>3</v>
      </c>
      <c r="D4" s="198" t="s">
        <v>75</v>
      </c>
      <c r="E4" s="199" t="s">
        <v>4</v>
      </c>
      <c r="F4" s="200"/>
      <c r="G4" s="201" t="s">
        <v>5</v>
      </c>
      <c r="H4" s="203" t="s">
        <v>75</v>
      </c>
      <c r="I4" s="205" t="s">
        <v>6</v>
      </c>
      <c r="J4" s="203" t="s">
        <v>75</v>
      </c>
      <c r="L4" s="207" t="s">
        <v>7</v>
      </c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8"/>
      <c r="X4" s="210"/>
    </row>
    <row r="5" spans="1:60" s="3" customFormat="1" ht="57" thickBot="1" x14ac:dyDescent="0.3">
      <c r="A5" s="49"/>
      <c r="B5" s="196"/>
      <c r="C5" s="197"/>
      <c r="D5" s="198"/>
      <c r="E5" s="48" t="s">
        <v>8</v>
      </c>
      <c r="F5" s="185" t="s">
        <v>9</v>
      </c>
      <c r="G5" s="202"/>
      <c r="H5" s="204"/>
      <c r="I5" s="206"/>
      <c r="J5" s="204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>
        <f>C8-G8</f>
        <v>0</v>
      </c>
      <c r="J8" s="77">
        <f t="shared" ref="J8:J12" si="0">D8-H8</f>
        <v>0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/>
      <c r="D9" s="114"/>
      <c r="E9" s="115"/>
      <c r="F9" s="115"/>
      <c r="G9" s="78"/>
      <c r="H9" s="79"/>
      <c r="I9" s="78">
        <f t="shared" ref="I9:J59" si="4">C9-G9</f>
        <v>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/>
      <c r="D10" s="111"/>
      <c r="E10" s="112"/>
      <c r="F10" s="112"/>
      <c r="G10" s="76"/>
      <c r="H10" s="73"/>
      <c r="I10" s="73">
        <f t="shared" si="4"/>
        <v>0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/>
      <c r="E12" s="112"/>
      <c r="F12" s="112"/>
      <c r="G12" s="76"/>
      <c r="H12" s="73"/>
      <c r="I12" s="73">
        <f t="shared" si="4"/>
        <v>0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/>
      <c r="D13" s="114"/>
      <c r="E13" s="115"/>
      <c r="F13" s="115"/>
      <c r="G13" s="78"/>
      <c r="H13" s="79"/>
      <c r="I13" s="80">
        <f t="shared" si="4"/>
        <v>0</v>
      </c>
      <c r="J13" s="94">
        <f>D13-H13</f>
        <v>0</v>
      </c>
      <c r="K13" s="53"/>
      <c r="L13" s="121"/>
      <c r="M13" s="121"/>
      <c r="N13" s="121"/>
      <c r="O13" s="121"/>
      <c r="P13" s="121"/>
      <c r="Q13" s="122"/>
      <c r="R13" s="97">
        <f>L13+N13+P13</f>
        <v>0</v>
      </c>
      <c r="S13" s="125">
        <f>M13+O13+Q13</f>
        <v>0</v>
      </c>
      <c r="T13" s="53"/>
      <c r="U13" s="131">
        <f>L13*24+N13*24+P13*24</f>
        <v>0</v>
      </c>
      <c r="V13" s="135">
        <f t="shared" si="6"/>
        <v>0</v>
      </c>
      <c r="W13" s="133">
        <f>I13*24+J13</f>
        <v>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/>
      <c r="D14" s="111"/>
      <c r="E14" s="112"/>
      <c r="F14" s="112"/>
      <c r="G14" s="76"/>
      <c r="H14" s="73"/>
      <c r="I14" s="93">
        <f t="shared" si="4"/>
        <v>0</v>
      </c>
      <c r="J14" s="95">
        <f t="shared" si="4"/>
        <v>0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/>
      <c r="D15" s="111"/>
      <c r="E15" s="112"/>
      <c r="F15" s="112"/>
      <c r="G15" s="76"/>
      <c r="H15" s="73"/>
      <c r="I15" s="73">
        <f t="shared" si="4"/>
        <v>0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/>
      <c r="D18" s="111"/>
      <c r="E18" s="112"/>
      <c r="F18" s="112"/>
      <c r="G18" s="76"/>
      <c r="H18" s="73"/>
      <c r="I18" s="73">
        <f t="shared" si="4"/>
        <v>0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/>
      <c r="D20" s="111"/>
      <c r="E20" s="112"/>
      <c r="F20" s="112"/>
      <c r="G20" s="76"/>
      <c r="H20" s="73"/>
      <c r="I20" s="73">
        <f t="shared" si="4"/>
        <v>0</v>
      </c>
      <c r="J20" s="77">
        <f t="shared" si="4"/>
        <v>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/>
      <c r="D21" s="111"/>
      <c r="E21" s="112"/>
      <c r="F21" s="112"/>
      <c r="G21" s="76"/>
      <c r="H21" s="73"/>
      <c r="I21" s="73">
        <f t="shared" si="4"/>
        <v>0</v>
      </c>
      <c r="J21" s="77">
        <f t="shared" si="4"/>
        <v>0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/>
      <c r="D22" s="111"/>
      <c r="E22" s="112"/>
      <c r="F22" s="112"/>
      <c r="G22" s="76"/>
      <c r="H22" s="73"/>
      <c r="I22" s="73">
        <f t="shared" si="4"/>
        <v>0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/>
      <c r="E23" s="112"/>
      <c r="F23" s="112"/>
      <c r="G23" s="76"/>
      <c r="H23" s="73"/>
      <c r="I23" s="73">
        <f t="shared" si="4"/>
        <v>0</v>
      </c>
      <c r="J23" s="77">
        <f t="shared" si="4"/>
        <v>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/>
      <c r="D24" s="111"/>
      <c r="E24" s="112"/>
      <c r="F24" s="112"/>
      <c r="G24" s="76"/>
      <c r="H24" s="73"/>
      <c r="I24" s="73">
        <f t="shared" si="4"/>
        <v>0</v>
      </c>
      <c r="J24" s="77">
        <f t="shared" si="4"/>
        <v>0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/>
      <c r="D25" s="111"/>
      <c r="E25" s="112"/>
      <c r="F25" s="112"/>
      <c r="G25" s="76"/>
      <c r="H25" s="73"/>
      <c r="I25" s="73">
        <f t="shared" si="4"/>
        <v>0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/>
      <c r="D26" s="111"/>
      <c r="E26" s="112"/>
      <c r="F26" s="112"/>
      <c r="G26" s="76"/>
      <c r="H26" s="73"/>
      <c r="I26" s="73">
        <f t="shared" si="4"/>
        <v>0</v>
      </c>
      <c r="J26" s="77">
        <f t="shared" si="4"/>
        <v>0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4"/>
        <v>0</v>
      </c>
      <c r="K29" s="42"/>
      <c r="L29" s="112"/>
      <c r="M29" s="112"/>
      <c r="N29" s="112"/>
      <c r="O29" s="112"/>
      <c r="P29" s="112"/>
      <c r="Q29" s="120"/>
      <c r="R29" s="86">
        <f t="shared" si="7"/>
        <v>0</v>
      </c>
      <c r="S29" s="124">
        <f t="shared" si="7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/>
      <c r="E30" s="112"/>
      <c r="F30" s="112"/>
      <c r="G30" s="76"/>
      <c r="H30" s="73"/>
      <c r="I30" s="73">
        <f t="shared" si="4"/>
        <v>0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/>
      <c r="D35" s="111"/>
      <c r="E35" s="112"/>
      <c r="F35" s="112"/>
      <c r="G35" s="76"/>
      <c r="H35" s="73"/>
      <c r="I35" s="73">
        <f t="shared" si="4"/>
        <v>0</v>
      </c>
      <c r="J35" s="77">
        <f t="shared" si="4"/>
        <v>0</v>
      </c>
      <c r="K35" s="41"/>
      <c r="L35" s="112"/>
      <c r="M35" s="112"/>
      <c r="N35" s="112"/>
      <c r="O35" s="112"/>
      <c r="P35" s="112"/>
      <c r="Q35" s="120"/>
      <c r="R35" s="86">
        <f t="shared" si="7"/>
        <v>0</v>
      </c>
      <c r="S35" s="124">
        <f t="shared" si="7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/>
      <c r="D38" s="114"/>
      <c r="E38" s="115"/>
      <c r="F38" s="115"/>
      <c r="G38" s="78"/>
      <c r="H38" s="79"/>
      <c r="I38" s="139">
        <f t="shared" si="4"/>
        <v>0</v>
      </c>
      <c r="J38" s="140">
        <f t="shared" si="4"/>
        <v>0</v>
      </c>
      <c r="K38" s="51"/>
      <c r="L38" s="121"/>
      <c r="M38" s="121"/>
      <c r="N38" s="121"/>
      <c r="O38" s="121"/>
      <c r="P38" s="121"/>
      <c r="Q38" s="122"/>
      <c r="R38" s="97">
        <f t="shared" si="7"/>
        <v>0</v>
      </c>
      <c r="S38" s="125">
        <f t="shared" si="7"/>
        <v>0</v>
      </c>
      <c r="T38" s="51"/>
      <c r="U38" s="131">
        <f>L38*6+N38*6+P38*6</f>
        <v>0</v>
      </c>
      <c r="V38" s="135">
        <f>U38/6</f>
        <v>0</v>
      </c>
      <c r="W38" s="133">
        <f>I38*6+J38</f>
        <v>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76">
        <f t="shared" si="4"/>
        <v>0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>
        <f t="shared" si="4"/>
        <v>0</v>
      </c>
      <c r="J41" s="152">
        <f t="shared" si="4"/>
        <v>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>
        <f t="shared" si="4"/>
        <v>0</v>
      </c>
      <c r="J42" s="168">
        <f t="shared" si="4"/>
        <v>0</v>
      </c>
      <c r="K42" s="169"/>
      <c r="L42" s="165"/>
      <c r="M42" s="165"/>
      <c r="N42" s="165"/>
      <c r="O42" s="165"/>
      <c r="P42" s="165"/>
      <c r="Q42" s="170"/>
      <c r="R42" s="171">
        <f t="shared" si="7"/>
        <v>0</v>
      </c>
      <c r="S42" s="172">
        <f t="shared" si="7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/>
      <c r="D44" s="114"/>
      <c r="E44" s="115"/>
      <c r="F44" s="115"/>
      <c r="G44" s="78"/>
      <c r="H44" s="79"/>
      <c r="I44" s="73">
        <f>C44+E44-G44</f>
        <v>0</v>
      </c>
      <c r="J44" s="177">
        <f t="shared" si="4"/>
        <v>0</v>
      </c>
      <c r="K44" s="51"/>
      <c r="L44" s="121"/>
      <c r="M44" s="121"/>
      <c r="N44" s="121"/>
      <c r="O44" s="121"/>
      <c r="P44" s="121"/>
      <c r="Q44" s="122"/>
      <c r="R44" s="178">
        <f t="shared" si="7"/>
        <v>0</v>
      </c>
      <c r="S44" s="179">
        <f t="shared" si="7"/>
        <v>0</v>
      </c>
      <c r="T44" s="51"/>
      <c r="U44" s="131">
        <f>L44*6+N44*6+P44*6</f>
        <v>0</v>
      </c>
      <c r="V44" s="130">
        <f>U44/6</f>
        <v>0</v>
      </c>
      <c r="W44" s="133">
        <f>I44*6+J44</f>
        <v>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/>
      <c r="D48" s="142"/>
      <c r="E48" s="121"/>
      <c r="F48" s="121"/>
      <c r="G48" s="143"/>
      <c r="H48" s="139"/>
      <c r="I48" s="139">
        <f t="shared" si="4"/>
        <v>0</v>
      </c>
      <c r="J48" s="140">
        <f t="shared" si="4"/>
        <v>0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/>
      <c r="H49" s="73"/>
      <c r="I49" s="73">
        <f t="shared" si="4"/>
        <v>0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/>
      <c r="D52" s="142"/>
      <c r="E52" s="121"/>
      <c r="F52" s="121"/>
      <c r="G52" s="143"/>
      <c r="H52" s="139"/>
      <c r="I52" s="139">
        <f t="shared" si="4"/>
        <v>0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0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/>
      <c r="D54" s="111"/>
      <c r="E54" s="112"/>
      <c r="F54" s="112"/>
      <c r="G54" s="76"/>
      <c r="H54" s="73"/>
      <c r="I54" s="73">
        <f t="shared" si="4"/>
        <v>0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4">
        <f>SUM(D8:D59)</f>
        <v>0</v>
      </c>
      <c r="E60" s="44">
        <f>SUM(E8:E59)</f>
        <v>0</v>
      </c>
      <c r="F60" s="44"/>
      <c r="G60" s="28">
        <f>SUM(G8:G59)</f>
        <v>0</v>
      </c>
      <c r="H60" s="56">
        <f>SUM(H8:H59)</f>
        <v>0</v>
      </c>
      <c r="I60" s="56">
        <f>SUM(I8:I59)</f>
        <v>0</v>
      </c>
      <c r="J60" s="45">
        <f>SUM(J8:J59)</f>
        <v>0</v>
      </c>
      <c r="K60" s="46"/>
      <c r="L60" s="74">
        <f t="shared" ref="L60:S60" si="20">SUM(L8:L59)</f>
        <v>0</v>
      </c>
      <c r="M60" s="74">
        <f t="shared" si="20"/>
        <v>0</v>
      </c>
      <c r="N60" s="74">
        <f t="shared" si="20"/>
        <v>0</v>
      </c>
      <c r="O60" s="74">
        <f t="shared" si="20"/>
        <v>0</v>
      </c>
      <c r="P60" s="74">
        <f t="shared" si="20"/>
        <v>0</v>
      </c>
      <c r="Q60" s="75">
        <f t="shared" si="20"/>
        <v>0</v>
      </c>
      <c r="R60" s="85">
        <f t="shared" si="20"/>
        <v>0</v>
      </c>
      <c r="S60" s="84">
        <f t="shared" si="20"/>
        <v>0</v>
      </c>
      <c r="T60" s="46"/>
      <c r="U60" s="43">
        <f>SUM(U8:U59)</f>
        <v>0</v>
      </c>
      <c r="V60" s="102">
        <f>SUM(V8:V59)</f>
        <v>0</v>
      </c>
      <c r="W60" s="90">
        <f>SUM(W8:W59)</f>
        <v>0</v>
      </c>
      <c r="X60" s="45"/>
    </row>
    <row r="61" spans="1:24" ht="19.5" thickBot="1" x14ac:dyDescent="0.3">
      <c r="V61" s="103"/>
    </row>
    <row r="62" spans="1:24" ht="18.75" customHeight="1" x14ac:dyDescent="0.25">
      <c r="G62" s="188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89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0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1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1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192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3" t="s">
        <v>3</v>
      </c>
      <c r="D69" s="18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A637-3DDF-441C-9F10-A8168FD3DD9B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193">
        <v>46179</v>
      </c>
      <c r="Q1" s="194"/>
      <c r="R1" s="194"/>
      <c r="S1" s="194"/>
      <c r="T1" s="194"/>
      <c r="U1" s="194"/>
      <c r="V1" s="194"/>
      <c r="W1" s="194"/>
      <c r="X1" s="19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196" t="s">
        <v>74</v>
      </c>
      <c r="C4" s="197" t="s">
        <v>3</v>
      </c>
      <c r="D4" s="198" t="s">
        <v>75</v>
      </c>
      <c r="E4" s="199" t="s">
        <v>4</v>
      </c>
      <c r="F4" s="200"/>
      <c r="G4" s="201" t="s">
        <v>5</v>
      </c>
      <c r="H4" s="203" t="s">
        <v>75</v>
      </c>
      <c r="I4" s="205" t="s">
        <v>6</v>
      </c>
      <c r="J4" s="203" t="s">
        <v>75</v>
      </c>
      <c r="L4" s="207" t="s">
        <v>7</v>
      </c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8"/>
      <c r="X4" s="210"/>
    </row>
    <row r="5" spans="1:60" s="3" customFormat="1" ht="57" thickBot="1" x14ac:dyDescent="0.3">
      <c r="A5" s="49"/>
      <c r="B5" s="196"/>
      <c r="C5" s="197"/>
      <c r="D5" s="198"/>
      <c r="E5" s="48" t="s">
        <v>8</v>
      </c>
      <c r="F5" s="185" t="s">
        <v>9</v>
      </c>
      <c r="G5" s="202"/>
      <c r="H5" s="204"/>
      <c r="I5" s="206"/>
      <c r="J5" s="204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>
        <f>C8-G8</f>
        <v>0</v>
      </c>
      <c r="J8" s="77">
        <f t="shared" ref="J8:J12" si="0">D8-H8</f>
        <v>0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/>
      <c r="D9" s="114"/>
      <c r="E9" s="115"/>
      <c r="F9" s="115"/>
      <c r="G9" s="78"/>
      <c r="H9" s="79"/>
      <c r="I9" s="78">
        <f t="shared" ref="I9:J59" si="4">C9-G9</f>
        <v>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/>
      <c r="D10" s="111"/>
      <c r="E10" s="112"/>
      <c r="F10" s="112"/>
      <c r="G10" s="76"/>
      <c r="H10" s="73"/>
      <c r="I10" s="73">
        <f t="shared" si="4"/>
        <v>0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/>
      <c r="E12" s="112"/>
      <c r="F12" s="112"/>
      <c r="G12" s="76"/>
      <c r="H12" s="73"/>
      <c r="I12" s="73">
        <f t="shared" si="4"/>
        <v>0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/>
      <c r="D13" s="114"/>
      <c r="E13" s="115"/>
      <c r="F13" s="115"/>
      <c r="G13" s="78"/>
      <c r="H13" s="79"/>
      <c r="I13" s="80">
        <f t="shared" si="4"/>
        <v>0</v>
      </c>
      <c r="J13" s="94">
        <f>D13-H13</f>
        <v>0</v>
      </c>
      <c r="K13" s="53"/>
      <c r="L13" s="121"/>
      <c r="M13" s="121"/>
      <c r="N13" s="121"/>
      <c r="O13" s="121"/>
      <c r="P13" s="121"/>
      <c r="Q13" s="122"/>
      <c r="R13" s="97">
        <f>L13+N13+P13</f>
        <v>0</v>
      </c>
      <c r="S13" s="125">
        <f>M13+O13+Q13</f>
        <v>0</v>
      </c>
      <c r="T13" s="53"/>
      <c r="U13" s="131">
        <f>L13*24+N13*24+P13*24</f>
        <v>0</v>
      </c>
      <c r="V13" s="135">
        <f t="shared" si="6"/>
        <v>0</v>
      </c>
      <c r="W13" s="133">
        <f>I13*24+J13</f>
        <v>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/>
      <c r="D14" s="111"/>
      <c r="E14" s="112"/>
      <c r="F14" s="112"/>
      <c r="G14" s="76"/>
      <c r="H14" s="73"/>
      <c r="I14" s="93">
        <f t="shared" si="4"/>
        <v>0</v>
      </c>
      <c r="J14" s="95">
        <f t="shared" si="4"/>
        <v>0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/>
      <c r="D15" s="111"/>
      <c r="E15" s="112"/>
      <c r="F15" s="112"/>
      <c r="G15" s="76"/>
      <c r="H15" s="73"/>
      <c r="I15" s="73">
        <f t="shared" si="4"/>
        <v>0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/>
      <c r="D18" s="111"/>
      <c r="E18" s="112"/>
      <c r="F18" s="112"/>
      <c r="G18" s="76"/>
      <c r="H18" s="73"/>
      <c r="I18" s="73">
        <f t="shared" si="4"/>
        <v>0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/>
      <c r="D20" s="111"/>
      <c r="E20" s="112"/>
      <c r="F20" s="112"/>
      <c r="G20" s="76"/>
      <c r="H20" s="73"/>
      <c r="I20" s="73">
        <f t="shared" si="4"/>
        <v>0</v>
      </c>
      <c r="J20" s="77">
        <f t="shared" si="4"/>
        <v>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/>
      <c r="D21" s="111"/>
      <c r="E21" s="112"/>
      <c r="F21" s="112"/>
      <c r="G21" s="76"/>
      <c r="H21" s="73"/>
      <c r="I21" s="73">
        <f t="shared" si="4"/>
        <v>0</v>
      </c>
      <c r="J21" s="77">
        <f t="shared" si="4"/>
        <v>0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/>
      <c r="D22" s="111"/>
      <c r="E22" s="112"/>
      <c r="F22" s="112"/>
      <c r="G22" s="76"/>
      <c r="H22" s="73"/>
      <c r="I22" s="73">
        <f t="shared" si="4"/>
        <v>0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/>
      <c r="E23" s="112"/>
      <c r="F23" s="112"/>
      <c r="G23" s="76"/>
      <c r="H23" s="73"/>
      <c r="I23" s="73">
        <f t="shared" si="4"/>
        <v>0</v>
      </c>
      <c r="J23" s="77">
        <f t="shared" si="4"/>
        <v>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/>
      <c r="D24" s="111"/>
      <c r="E24" s="112"/>
      <c r="F24" s="112"/>
      <c r="G24" s="76"/>
      <c r="H24" s="73"/>
      <c r="I24" s="73">
        <f t="shared" si="4"/>
        <v>0</v>
      </c>
      <c r="J24" s="77">
        <f t="shared" si="4"/>
        <v>0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/>
      <c r="D25" s="111"/>
      <c r="E25" s="112"/>
      <c r="F25" s="112"/>
      <c r="G25" s="76"/>
      <c r="H25" s="73"/>
      <c r="I25" s="73">
        <f t="shared" si="4"/>
        <v>0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/>
      <c r="D26" s="111"/>
      <c r="E26" s="112"/>
      <c r="F26" s="112"/>
      <c r="G26" s="76"/>
      <c r="H26" s="73"/>
      <c r="I26" s="73">
        <f t="shared" si="4"/>
        <v>0</v>
      </c>
      <c r="J26" s="77">
        <f t="shared" si="4"/>
        <v>0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4"/>
        <v>0</v>
      </c>
      <c r="K29" s="42"/>
      <c r="L29" s="112"/>
      <c r="M29" s="112"/>
      <c r="N29" s="112"/>
      <c r="O29" s="112"/>
      <c r="P29" s="112"/>
      <c r="Q29" s="120"/>
      <c r="R29" s="86">
        <f t="shared" si="7"/>
        <v>0</v>
      </c>
      <c r="S29" s="124">
        <f t="shared" si="7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/>
      <c r="E30" s="112"/>
      <c r="F30" s="112"/>
      <c r="G30" s="76"/>
      <c r="H30" s="73"/>
      <c r="I30" s="73">
        <f t="shared" si="4"/>
        <v>0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/>
      <c r="D35" s="111"/>
      <c r="E35" s="112"/>
      <c r="F35" s="112"/>
      <c r="G35" s="76"/>
      <c r="H35" s="73"/>
      <c r="I35" s="73">
        <f t="shared" si="4"/>
        <v>0</v>
      </c>
      <c r="J35" s="77">
        <f t="shared" si="4"/>
        <v>0</v>
      </c>
      <c r="K35" s="41"/>
      <c r="L35" s="112"/>
      <c r="M35" s="112"/>
      <c r="N35" s="112"/>
      <c r="O35" s="112"/>
      <c r="P35" s="112"/>
      <c r="Q35" s="120"/>
      <c r="R35" s="86">
        <f t="shared" si="7"/>
        <v>0</v>
      </c>
      <c r="S35" s="124">
        <f t="shared" si="7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/>
      <c r="D38" s="114"/>
      <c r="E38" s="115"/>
      <c r="F38" s="115"/>
      <c r="G38" s="78"/>
      <c r="H38" s="79"/>
      <c r="I38" s="139">
        <f t="shared" si="4"/>
        <v>0</v>
      </c>
      <c r="J38" s="140">
        <f t="shared" si="4"/>
        <v>0</v>
      </c>
      <c r="K38" s="51"/>
      <c r="L38" s="121"/>
      <c r="M38" s="121"/>
      <c r="N38" s="121"/>
      <c r="O38" s="121"/>
      <c r="P38" s="121"/>
      <c r="Q38" s="122"/>
      <c r="R38" s="97">
        <f t="shared" si="7"/>
        <v>0</v>
      </c>
      <c r="S38" s="125">
        <f t="shared" si="7"/>
        <v>0</v>
      </c>
      <c r="T38" s="51"/>
      <c r="U38" s="131">
        <f>L38*6+N38*6+P38*6</f>
        <v>0</v>
      </c>
      <c r="V38" s="135">
        <f>U38/6</f>
        <v>0</v>
      </c>
      <c r="W38" s="133">
        <f>I38*6+J38</f>
        <v>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76">
        <f t="shared" si="4"/>
        <v>0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>
        <f t="shared" si="4"/>
        <v>0</v>
      </c>
      <c r="J41" s="152">
        <f t="shared" si="4"/>
        <v>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>
        <f t="shared" si="4"/>
        <v>0</v>
      </c>
      <c r="J42" s="168">
        <f t="shared" si="4"/>
        <v>0</v>
      </c>
      <c r="K42" s="169"/>
      <c r="L42" s="165"/>
      <c r="M42" s="165"/>
      <c r="N42" s="165"/>
      <c r="O42" s="165"/>
      <c r="P42" s="165"/>
      <c r="Q42" s="170"/>
      <c r="R42" s="171">
        <f t="shared" si="7"/>
        <v>0</v>
      </c>
      <c r="S42" s="172">
        <f t="shared" si="7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/>
      <c r="D44" s="114"/>
      <c r="E44" s="115"/>
      <c r="F44" s="115"/>
      <c r="G44" s="78"/>
      <c r="H44" s="79"/>
      <c r="I44" s="73">
        <f>C44+E44-G44</f>
        <v>0</v>
      </c>
      <c r="J44" s="177">
        <f t="shared" si="4"/>
        <v>0</v>
      </c>
      <c r="K44" s="51"/>
      <c r="L44" s="121"/>
      <c r="M44" s="121"/>
      <c r="N44" s="121"/>
      <c r="O44" s="121"/>
      <c r="P44" s="121"/>
      <c r="Q44" s="122"/>
      <c r="R44" s="178">
        <f t="shared" si="7"/>
        <v>0</v>
      </c>
      <c r="S44" s="179">
        <f t="shared" si="7"/>
        <v>0</v>
      </c>
      <c r="T44" s="51"/>
      <c r="U44" s="131">
        <f>L44*6+N44*6+P44*6</f>
        <v>0</v>
      </c>
      <c r="V44" s="130">
        <f>U44/6</f>
        <v>0</v>
      </c>
      <c r="W44" s="133">
        <f>I44*6+J44</f>
        <v>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/>
      <c r="D48" s="142"/>
      <c r="E48" s="121"/>
      <c r="F48" s="121"/>
      <c r="G48" s="143"/>
      <c r="H48" s="139"/>
      <c r="I48" s="139">
        <f t="shared" si="4"/>
        <v>0</v>
      </c>
      <c r="J48" s="140">
        <f t="shared" si="4"/>
        <v>0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/>
      <c r="H49" s="73"/>
      <c r="I49" s="73">
        <f t="shared" si="4"/>
        <v>0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/>
      <c r="D52" s="142"/>
      <c r="E52" s="121"/>
      <c r="F52" s="121"/>
      <c r="G52" s="143"/>
      <c r="H52" s="139"/>
      <c r="I52" s="139">
        <f t="shared" si="4"/>
        <v>0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0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/>
      <c r="D54" s="111"/>
      <c r="E54" s="112"/>
      <c r="F54" s="112"/>
      <c r="G54" s="76"/>
      <c r="H54" s="73"/>
      <c r="I54" s="73">
        <f t="shared" si="4"/>
        <v>0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4">
        <f>SUM(D8:D59)</f>
        <v>0</v>
      </c>
      <c r="E60" s="44">
        <f>SUM(E8:E59)</f>
        <v>0</v>
      </c>
      <c r="F60" s="44"/>
      <c r="G60" s="28">
        <f>SUM(G8:G59)</f>
        <v>0</v>
      </c>
      <c r="H60" s="56">
        <f>SUM(H8:H59)</f>
        <v>0</v>
      </c>
      <c r="I60" s="56">
        <f>SUM(I8:I59)</f>
        <v>0</v>
      </c>
      <c r="J60" s="45">
        <f>SUM(J8:J59)</f>
        <v>0</v>
      </c>
      <c r="K60" s="46"/>
      <c r="L60" s="74">
        <f t="shared" ref="L60:S60" si="20">SUM(L8:L59)</f>
        <v>0</v>
      </c>
      <c r="M60" s="74">
        <f t="shared" si="20"/>
        <v>0</v>
      </c>
      <c r="N60" s="74">
        <f t="shared" si="20"/>
        <v>0</v>
      </c>
      <c r="O60" s="74">
        <f t="shared" si="20"/>
        <v>0</v>
      </c>
      <c r="P60" s="74">
        <f t="shared" si="20"/>
        <v>0</v>
      </c>
      <c r="Q60" s="75">
        <f t="shared" si="20"/>
        <v>0</v>
      </c>
      <c r="R60" s="85">
        <f t="shared" si="20"/>
        <v>0</v>
      </c>
      <c r="S60" s="84">
        <f t="shared" si="20"/>
        <v>0</v>
      </c>
      <c r="T60" s="46"/>
      <c r="U60" s="43">
        <f>SUM(U8:U59)</f>
        <v>0</v>
      </c>
      <c r="V60" s="102">
        <f>SUM(V8:V59)</f>
        <v>0</v>
      </c>
      <c r="W60" s="90">
        <f>SUM(W8:W59)</f>
        <v>0</v>
      </c>
      <c r="X60" s="45"/>
    </row>
    <row r="61" spans="1:24" ht="19.5" thickBot="1" x14ac:dyDescent="0.3">
      <c r="V61" s="103"/>
    </row>
    <row r="62" spans="1:24" ht="18.75" customHeight="1" x14ac:dyDescent="0.25">
      <c r="G62" s="188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89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0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1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1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192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3" t="s">
        <v>3</v>
      </c>
      <c r="D69" s="18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4E04-B047-4EF0-8B6B-8B0A50F08BA6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193">
        <v>46180</v>
      </c>
      <c r="Q1" s="194"/>
      <c r="R1" s="194"/>
      <c r="S1" s="194"/>
      <c r="T1" s="194"/>
      <c r="U1" s="194"/>
      <c r="V1" s="194"/>
      <c r="W1" s="194"/>
      <c r="X1" s="19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196" t="s">
        <v>74</v>
      </c>
      <c r="C4" s="197" t="s">
        <v>3</v>
      </c>
      <c r="D4" s="198" t="s">
        <v>75</v>
      </c>
      <c r="E4" s="199" t="s">
        <v>4</v>
      </c>
      <c r="F4" s="200"/>
      <c r="G4" s="201" t="s">
        <v>5</v>
      </c>
      <c r="H4" s="203" t="s">
        <v>75</v>
      </c>
      <c r="I4" s="205" t="s">
        <v>6</v>
      </c>
      <c r="J4" s="203" t="s">
        <v>75</v>
      </c>
      <c r="L4" s="207" t="s">
        <v>7</v>
      </c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8"/>
      <c r="X4" s="210"/>
    </row>
    <row r="5" spans="1:60" s="3" customFormat="1" ht="57" thickBot="1" x14ac:dyDescent="0.3">
      <c r="A5" s="49"/>
      <c r="B5" s="196"/>
      <c r="C5" s="197"/>
      <c r="D5" s="198"/>
      <c r="E5" s="48" t="s">
        <v>8</v>
      </c>
      <c r="F5" s="185" t="s">
        <v>9</v>
      </c>
      <c r="G5" s="202"/>
      <c r="H5" s="204"/>
      <c r="I5" s="206"/>
      <c r="J5" s="204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>
        <f>C8-G8</f>
        <v>0</v>
      </c>
      <c r="J8" s="77">
        <f t="shared" ref="J8:J12" si="0">D8-H8</f>
        <v>0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/>
      <c r="D9" s="114"/>
      <c r="E9" s="115"/>
      <c r="F9" s="115"/>
      <c r="G9" s="78"/>
      <c r="H9" s="79"/>
      <c r="I9" s="78">
        <f t="shared" ref="I9:J59" si="4">C9-G9</f>
        <v>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/>
      <c r="D10" s="111"/>
      <c r="E10" s="112"/>
      <c r="F10" s="112"/>
      <c r="G10" s="76"/>
      <c r="H10" s="73"/>
      <c r="I10" s="73">
        <f t="shared" si="4"/>
        <v>0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/>
      <c r="E12" s="112"/>
      <c r="F12" s="112"/>
      <c r="G12" s="76"/>
      <c r="H12" s="73"/>
      <c r="I12" s="73">
        <f t="shared" si="4"/>
        <v>0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/>
      <c r="D13" s="114"/>
      <c r="E13" s="115"/>
      <c r="F13" s="115"/>
      <c r="G13" s="78"/>
      <c r="H13" s="79"/>
      <c r="I13" s="80">
        <f t="shared" si="4"/>
        <v>0</v>
      </c>
      <c r="J13" s="94">
        <f>D13-H13</f>
        <v>0</v>
      </c>
      <c r="K13" s="53"/>
      <c r="L13" s="121"/>
      <c r="M13" s="121"/>
      <c r="N13" s="121"/>
      <c r="O13" s="121"/>
      <c r="P13" s="121"/>
      <c r="Q13" s="122"/>
      <c r="R13" s="97">
        <f>L13+N13+P13</f>
        <v>0</v>
      </c>
      <c r="S13" s="125">
        <f>M13+O13+Q13</f>
        <v>0</v>
      </c>
      <c r="T13" s="53"/>
      <c r="U13" s="131">
        <f>L13*24+N13*24+P13*24</f>
        <v>0</v>
      </c>
      <c r="V13" s="135">
        <f t="shared" si="6"/>
        <v>0</v>
      </c>
      <c r="W13" s="133">
        <f>I13*24+J13</f>
        <v>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/>
      <c r="D14" s="111"/>
      <c r="E14" s="112"/>
      <c r="F14" s="112"/>
      <c r="G14" s="76"/>
      <c r="H14" s="73"/>
      <c r="I14" s="93">
        <f t="shared" si="4"/>
        <v>0</v>
      </c>
      <c r="J14" s="95">
        <f t="shared" si="4"/>
        <v>0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/>
      <c r="D15" s="111"/>
      <c r="E15" s="112"/>
      <c r="F15" s="112"/>
      <c r="G15" s="76"/>
      <c r="H15" s="73"/>
      <c r="I15" s="73">
        <f t="shared" si="4"/>
        <v>0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/>
      <c r="D18" s="111"/>
      <c r="E18" s="112"/>
      <c r="F18" s="112"/>
      <c r="G18" s="76"/>
      <c r="H18" s="73"/>
      <c r="I18" s="73">
        <f t="shared" si="4"/>
        <v>0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/>
      <c r="D20" s="111"/>
      <c r="E20" s="112"/>
      <c r="F20" s="112"/>
      <c r="G20" s="76"/>
      <c r="H20" s="73"/>
      <c r="I20" s="73">
        <f t="shared" si="4"/>
        <v>0</v>
      </c>
      <c r="J20" s="77">
        <f t="shared" si="4"/>
        <v>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/>
      <c r="D21" s="111"/>
      <c r="E21" s="112"/>
      <c r="F21" s="112"/>
      <c r="G21" s="76"/>
      <c r="H21" s="73"/>
      <c r="I21" s="73">
        <f t="shared" si="4"/>
        <v>0</v>
      </c>
      <c r="J21" s="77">
        <f t="shared" si="4"/>
        <v>0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/>
      <c r="D22" s="111"/>
      <c r="E22" s="112"/>
      <c r="F22" s="112"/>
      <c r="G22" s="76"/>
      <c r="H22" s="73"/>
      <c r="I22" s="73">
        <f t="shared" si="4"/>
        <v>0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/>
      <c r="E23" s="112"/>
      <c r="F23" s="112"/>
      <c r="G23" s="76"/>
      <c r="H23" s="73"/>
      <c r="I23" s="73">
        <f t="shared" si="4"/>
        <v>0</v>
      </c>
      <c r="J23" s="77">
        <f t="shared" si="4"/>
        <v>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/>
      <c r="D24" s="111"/>
      <c r="E24" s="112"/>
      <c r="F24" s="112"/>
      <c r="G24" s="76"/>
      <c r="H24" s="73"/>
      <c r="I24" s="73">
        <f t="shared" si="4"/>
        <v>0</v>
      </c>
      <c r="J24" s="77">
        <f t="shared" si="4"/>
        <v>0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/>
      <c r="D25" s="111"/>
      <c r="E25" s="112"/>
      <c r="F25" s="112"/>
      <c r="G25" s="76"/>
      <c r="H25" s="73"/>
      <c r="I25" s="73">
        <f t="shared" si="4"/>
        <v>0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/>
      <c r="D26" s="111"/>
      <c r="E26" s="112"/>
      <c r="F26" s="112"/>
      <c r="G26" s="76"/>
      <c r="H26" s="73"/>
      <c r="I26" s="73">
        <f t="shared" si="4"/>
        <v>0</v>
      </c>
      <c r="J26" s="77">
        <f t="shared" si="4"/>
        <v>0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4"/>
        <v>0</v>
      </c>
      <c r="K29" s="42"/>
      <c r="L29" s="112"/>
      <c r="M29" s="112"/>
      <c r="N29" s="112"/>
      <c r="O29" s="112"/>
      <c r="P29" s="112"/>
      <c r="Q29" s="120"/>
      <c r="R29" s="86">
        <f t="shared" si="7"/>
        <v>0</v>
      </c>
      <c r="S29" s="124">
        <f t="shared" si="7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/>
      <c r="E30" s="112"/>
      <c r="F30" s="112"/>
      <c r="G30" s="76"/>
      <c r="H30" s="73"/>
      <c r="I30" s="73">
        <f t="shared" si="4"/>
        <v>0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/>
      <c r="D35" s="111"/>
      <c r="E35" s="112"/>
      <c r="F35" s="112"/>
      <c r="G35" s="76"/>
      <c r="H35" s="73"/>
      <c r="I35" s="73">
        <f t="shared" si="4"/>
        <v>0</v>
      </c>
      <c r="J35" s="77">
        <f t="shared" si="4"/>
        <v>0</v>
      </c>
      <c r="K35" s="41"/>
      <c r="L35" s="112"/>
      <c r="M35" s="112"/>
      <c r="N35" s="112"/>
      <c r="O35" s="112"/>
      <c r="P35" s="112"/>
      <c r="Q35" s="120"/>
      <c r="R35" s="86">
        <f t="shared" si="7"/>
        <v>0</v>
      </c>
      <c r="S35" s="124">
        <f t="shared" si="7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/>
      <c r="D38" s="114"/>
      <c r="E38" s="115"/>
      <c r="F38" s="115"/>
      <c r="G38" s="78"/>
      <c r="H38" s="79"/>
      <c r="I38" s="139">
        <f t="shared" si="4"/>
        <v>0</v>
      </c>
      <c r="J38" s="140">
        <f t="shared" si="4"/>
        <v>0</v>
      </c>
      <c r="K38" s="51"/>
      <c r="L38" s="121"/>
      <c r="M38" s="121"/>
      <c r="N38" s="121"/>
      <c r="O38" s="121"/>
      <c r="P38" s="121"/>
      <c r="Q38" s="122"/>
      <c r="R38" s="97">
        <f t="shared" si="7"/>
        <v>0</v>
      </c>
      <c r="S38" s="125">
        <f t="shared" si="7"/>
        <v>0</v>
      </c>
      <c r="T38" s="51"/>
      <c r="U38" s="131">
        <f>L38*6+N38*6+P38*6</f>
        <v>0</v>
      </c>
      <c r="V38" s="135">
        <f>U38/6</f>
        <v>0</v>
      </c>
      <c r="W38" s="133">
        <f>I38*6+J38</f>
        <v>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76">
        <f t="shared" si="4"/>
        <v>0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>
        <f t="shared" si="4"/>
        <v>0</v>
      </c>
      <c r="J41" s="152">
        <f t="shared" si="4"/>
        <v>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>
        <f t="shared" si="4"/>
        <v>0</v>
      </c>
      <c r="J42" s="168">
        <f t="shared" si="4"/>
        <v>0</v>
      </c>
      <c r="K42" s="169"/>
      <c r="L42" s="165"/>
      <c r="M42" s="165"/>
      <c r="N42" s="165"/>
      <c r="O42" s="165"/>
      <c r="P42" s="165"/>
      <c r="Q42" s="170"/>
      <c r="R42" s="171">
        <f t="shared" si="7"/>
        <v>0</v>
      </c>
      <c r="S42" s="172">
        <f t="shared" si="7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/>
      <c r="D44" s="114"/>
      <c r="E44" s="115"/>
      <c r="F44" s="115"/>
      <c r="G44" s="78"/>
      <c r="H44" s="79"/>
      <c r="I44" s="73">
        <f>C44+E44-G44</f>
        <v>0</v>
      </c>
      <c r="J44" s="177">
        <f t="shared" si="4"/>
        <v>0</v>
      </c>
      <c r="K44" s="51"/>
      <c r="L44" s="121"/>
      <c r="M44" s="121"/>
      <c r="N44" s="121"/>
      <c r="O44" s="121"/>
      <c r="P44" s="121"/>
      <c r="Q44" s="122"/>
      <c r="R44" s="178">
        <f t="shared" si="7"/>
        <v>0</v>
      </c>
      <c r="S44" s="179">
        <f t="shared" si="7"/>
        <v>0</v>
      </c>
      <c r="T44" s="51"/>
      <c r="U44" s="131">
        <f>L44*6+N44*6+P44*6</f>
        <v>0</v>
      </c>
      <c r="V44" s="130">
        <f>U44/6</f>
        <v>0</v>
      </c>
      <c r="W44" s="133">
        <f>I44*6+J44</f>
        <v>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/>
      <c r="D48" s="142"/>
      <c r="E48" s="121"/>
      <c r="F48" s="121"/>
      <c r="G48" s="143"/>
      <c r="H48" s="139"/>
      <c r="I48" s="139">
        <f t="shared" si="4"/>
        <v>0</v>
      </c>
      <c r="J48" s="140">
        <f t="shared" si="4"/>
        <v>0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/>
      <c r="H49" s="73"/>
      <c r="I49" s="73">
        <f t="shared" si="4"/>
        <v>0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/>
      <c r="D52" s="142"/>
      <c r="E52" s="121"/>
      <c r="F52" s="121"/>
      <c r="G52" s="143"/>
      <c r="H52" s="139"/>
      <c r="I52" s="139">
        <f t="shared" si="4"/>
        <v>0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0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/>
      <c r="D54" s="111"/>
      <c r="E54" s="112"/>
      <c r="F54" s="112"/>
      <c r="G54" s="76"/>
      <c r="H54" s="73"/>
      <c r="I54" s="73">
        <f t="shared" si="4"/>
        <v>0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4">
        <f>SUM(D8:D59)</f>
        <v>0</v>
      </c>
      <c r="E60" s="44">
        <f>SUM(E8:E59)</f>
        <v>0</v>
      </c>
      <c r="F60" s="44"/>
      <c r="G60" s="28">
        <f>SUM(G8:G59)</f>
        <v>0</v>
      </c>
      <c r="H60" s="56">
        <f>SUM(H8:H59)</f>
        <v>0</v>
      </c>
      <c r="I60" s="56">
        <f>SUM(I8:I59)</f>
        <v>0</v>
      </c>
      <c r="J60" s="45">
        <f>SUM(J8:J59)</f>
        <v>0</v>
      </c>
      <c r="K60" s="46"/>
      <c r="L60" s="74">
        <f t="shared" ref="L60:S60" si="20">SUM(L8:L59)</f>
        <v>0</v>
      </c>
      <c r="M60" s="74">
        <f t="shared" si="20"/>
        <v>0</v>
      </c>
      <c r="N60" s="74">
        <f t="shared" si="20"/>
        <v>0</v>
      </c>
      <c r="O60" s="74">
        <f t="shared" si="20"/>
        <v>0</v>
      </c>
      <c r="P60" s="74">
        <f t="shared" si="20"/>
        <v>0</v>
      </c>
      <c r="Q60" s="75">
        <f t="shared" si="20"/>
        <v>0</v>
      </c>
      <c r="R60" s="85">
        <f t="shared" si="20"/>
        <v>0</v>
      </c>
      <c r="S60" s="84">
        <f t="shared" si="20"/>
        <v>0</v>
      </c>
      <c r="T60" s="46"/>
      <c r="U60" s="43">
        <f>SUM(U8:U59)</f>
        <v>0</v>
      </c>
      <c r="V60" s="102">
        <f>SUM(V8:V59)</f>
        <v>0</v>
      </c>
      <c r="W60" s="90">
        <f>SUM(W8:W59)</f>
        <v>0</v>
      </c>
      <c r="X60" s="45"/>
    </row>
    <row r="61" spans="1:24" ht="19.5" thickBot="1" x14ac:dyDescent="0.3">
      <c r="V61" s="103"/>
    </row>
    <row r="62" spans="1:24" ht="18.75" customHeight="1" x14ac:dyDescent="0.25">
      <c r="G62" s="188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89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0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1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1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192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3" t="s">
        <v>3</v>
      </c>
      <c r="D69" s="18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5E88-8B9C-421D-9E16-DE6F175C77AB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193">
        <v>46181</v>
      </c>
      <c r="Q1" s="194"/>
      <c r="R1" s="194"/>
      <c r="S1" s="194"/>
      <c r="T1" s="194"/>
      <c r="U1" s="194"/>
      <c r="V1" s="194"/>
      <c r="W1" s="194"/>
      <c r="X1" s="195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196" t="s">
        <v>74</v>
      </c>
      <c r="C4" s="197" t="s">
        <v>3</v>
      </c>
      <c r="D4" s="198" t="s">
        <v>75</v>
      </c>
      <c r="E4" s="199" t="s">
        <v>4</v>
      </c>
      <c r="F4" s="200"/>
      <c r="G4" s="201" t="s">
        <v>5</v>
      </c>
      <c r="H4" s="203" t="s">
        <v>75</v>
      </c>
      <c r="I4" s="205" t="s">
        <v>6</v>
      </c>
      <c r="J4" s="203" t="s">
        <v>75</v>
      </c>
      <c r="L4" s="207" t="s">
        <v>7</v>
      </c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8"/>
      <c r="X4" s="210"/>
    </row>
    <row r="5" spans="1:60" s="3" customFormat="1" ht="57" thickBot="1" x14ac:dyDescent="0.3">
      <c r="A5" s="49"/>
      <c r="B5" s="196"/>
      <c r="C5" s="197"/>
      <c r="D5" s="198"/>
      <c r="E5" s="48" t="s">
        <v>8</v>
      </c>
      <c r="F5" s="185" t="s">
        <v>9</v>
      </c>
      <c r="G5" s="202"/>
      <c r="H5" s="204"/>
      <c r="I5" s="206"/>
      <c r="J5" s="204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>
        <f>C8-G8</f>
        <v>0</v>
      </c>
      <c r="J8" s="77">
        <f t="shared" ref="J8:J12" si="0">D8-H8</f>
        <v>0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/>
      <c r="D9" s="114"/>
      <c r="E9" s="115"/>
      <c r="F9" s="115"/>
      <c r="G9" s="78"/>
      <c r="H9" s="79"/>
      <c r="I9" s="78">
        <f t="shared" ref="I9:J59" si="4">C9-G9</f>
        <v>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/>
      <c r="D10" s="111"/>
      <c r="E10" s="112"/>
      <c r="F10" s="112"/>
      <c r="G10" s="76"/>
      <c r="H10" s="73"/>
      <c r="I10" s="73">
        <f t="shared" si="4"/>
        <v>0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/>
      <c r="E12" s="112"/>
      <c r="F12" s="112"/>
      <c r="G12" s="76"/>
      <c r="H12" s="73"/>
      <c r="I12" s="73">
        <f t="shared" si="4"/>
        <v>0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/>
      <c r="D13" s="114"/>
      <c r="E13" s="115"/>
      <c r="F13" s="115"/>
      <c r="G13" s="78"/>
      <c r="H13" s="79"/>
      <c r="I13" s="80">
        <f t="shared" si="4"/>
        <v>0</v>
      </c>
      <c r="J13" s="94">
        <f>D13-H13</f>
        <v>0</v>
      </c>
      <c r="K13" s="53"/>
      <c r="L13" s="121"/>
      <c r="M13" s="121"/>
      <c r="N13" s="121"/>
      <c r="O13" s="121"/>
      <c r="P13" s="121"/>
      <c r="Q13" s="122"/>
      <c r="R13" s="97">
        <f>L13+N13+P13</f>
        <v>0</v>
      </c>
      <c r="S13" s="125">
        <f>M13+O13+Q13</f>
        <v>0</v>
      </c>
      <c r="T13" s="53"/>
      <c r="U13" s="131">
        <f>L13*24+N13*24+P13*24</f>
        <v>0</v>
      </c>
      <c r="V13" s="135">
        <f t="shared" si="6"/>
        <v>0</v>
      </c>
      <c r="W13" s="133">
        <f>I13*24+J13</f>
        <v>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/>
      <c r="D14" s="111"/>
      <c r="E14" s="112"/>
      <c r="F14" s="112"/>
      <c r="G14" s="76"/>
      <c r="H14" s="73"/>
      <c r="I14" s="93">
        <f t="shared" si="4"/>
        <v>0</v>
      </c>
      <c r="J14" s="95">
        <f t="shared" si="4"/>
        <v>0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/>
      <c r="D15" s="111"/>
      <c r="E15" s="112"/>
      <c r="F15" s="112"/>
      <c r="G15" s="76"/>
      <c r="H15" s="73"/>
      <c r="I15" s="73">
        <f t="shared" si="4"/>
        <v>0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/>
      <c r="D18" s="111"/>
      <c r="E18" s="112"/>
      <c r="F18" s="112"/>
      <c r="G18" s="76"/>
      <c r="H18" s="73"/>
      <c r="I18" s="73">
        <f t="shared" si="4"/>
        <v>0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/>
      <c r="D20" s="111"/>
      <c r="E20" s="112"/>
      <c r="F20" s="112"/>
      <c r="G20" s="76"/>
      <c r="H20" s="73"/>
      <c r="I20" s="73">
        <f t="shared" si="4"/>
        <v>0</v>
      </c>
      <c r="J20" s="77">
        <f t="shared" si="4"/>
        <v>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/>
      <c r="D21" s="111"/>
      <c r="E21" s="112"/>
      <c r="F21" s="112"/>
      <c r="G21" s="76"/>
      <c r="H21" s="73"/>
      <c r="I21" s="73">
        <f t="shared" si="4"/>
        <v>0</v>
      </c>
      <c r="J21" s="77">
        <f t="shared" si="4"/>
        <v>0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/>
      <c r="D22" s="111"/>
      <c r="E22" s="112"/>
      <c r="F22" s="112"/>
      <c r="G22" s="76"/>
      <c r="H22" s="73"/>
      <c r="I22" s="73">
        <f t="shared" si="4"/>
        <v>0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/>
      <c r="E23" s="112"/>
      <c r="F23" s="112"/>
      <c r="G23" s="76"/>
      <c r="H23" s="73"/>
      <c r="I23" s="73">
        <f t="shared" si="4"/>
        <v>0</v>
      </c>
      <c r="J23" s="77">
        <f t="shared" si="4"/>
        <v>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/>
      <c r="D24" s="111"/>
      <c r="E24" s="112"/>
      <c r="F24" s="112"/>
      <c r="G24" s="76"/>
      <c r="H24" s="73"/>
      <c r="I24" s="73">
        <f t="shared" si="4"/>
        <v>0</v>
      </c>
      <c r="J24" s="77">
        <f t="shared" si="4"/>
        <v>0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/>
      <c r="D25" s="111"/>
      <c r="E25" s="112"/>
      <c r="F25" s="112"/>
      <c r="G25" s="76"/>
      <c r="H25" s="73"/>
      <c r="I25" s="73">
        <f t="shared" si="4"/>
        <v>0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/>
      <c r="D26" s="111"/>
      <c r="E26" s="112"/>
      <c r="F26" s="112"/>
      <c r="G26" s="76"/>
      <c r="H26" s="73"/>
      <c r="I26" s="73">
        <f t="shared" si="4"/>
        <v>0</v>
      </c>
      <c r="J26" s="77">
        <f t="shared" si="4"/>
        <v>0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4"/>
        <v>0</v>
      </c>
      <c r="K29" s="42"/>
      <c r="L29" s="112"/>
      <c r="M29" s="112"/>
      <c r="N29" s="112"/>
      <c r="O29" s="112"/>
      <c r="P29" s="112"/>
      <c r="Q29" s="120"/>
      <c r="R29" s="86">
        <f t="shared" si="7"/>
        <v>0</v>
      </c>
      <c r="S29" s="124">
        <f t="shared" si="7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/>
      <c r="E30" s="112"/>
      <c r="F30" s="112"/>
      <c r="G30" s="76"/>
      <c r="H30" s="73"/>
      <c r="I30" s="73">
        <f t="shared" si="4"/>
        <v>0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/>
      <c r="D35" s="111"/>
      <c r="E35" s="112"/>
      <c r="F35" s="112"/>
      <c r="G35" s="76"/>
      <c r="H35" s="73"/>
      <c r="I35" s="73">
        <f t="shared" si="4"/>
        <v>0</v>
      </c>
      <c r="J35" s="77">
        <f t="shared" si="4"/>
        <v>0</v>
      </c>
      <c r="K35" s="41"/>
      <c r="L35" s="112"/>
      <c r="M35" s="112"/>
      <c r="N35" s="112"/>
      <c r="O35" s="112"/>
      <c r="P35" s="112"/>
      <c r="Q35" s="120"/>
      <c r="R35" s="86">
        <f t="shared" si="7"/>
        <v>0</v>
      </c>
      <c r="S35" s="124">
        <f t="shared" si="7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/>
      <c r="D38" s="114"/>
      <c r="E38" s="115"/>
      <c r="F38" s="115"/>
      <c r="G38" s="78"/>
      <c r="H38" s="79"/>
      <c r="I38" s="139">
        <f t="shared" si="4"/>
        <v>0</v>
      </c>
      <c r="J38" s="140">
        <f t="shared" si="4"/>
        <v>0</v>
      </c>
      <c r="K38" s="51"/>
      <c r="L38" s="121"/>
      <c r="M38" s="121"/>
      <c r="N38" s="121"/>
      <c r="O38" s="121"/>
      <c r="P38" s="121"/>
      <c r="Q38" s="122"/>
      <c r="R38" s="97">
        <f t="shared" si="7"/>
        <v>0</v>
      </c>
      <c r="S38" s="125">
        <f t="shared" si="7"/>
        <v>0</v>
      </c>
      <c r="T38" s="51"/>
      <c r="U38" s="131">
        <f>L38*6+N38*6+P38*6</f>
        <v>0</v>
      </c>
      <c r="V38" s="135">
        <f>U38/6</f>
        <v>0</v>
      </c>
      <c r="W38" s="133">
        <f>I38*6+J38</f>
        <v>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76">
        <f t="shared" si="4"/>
        <v>0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>
        <f t="shared" si="4"/>
        <v>0</v>
      </c>
      <c r="J41" s="152">
        <f t="shared" si="4"/>
        <v>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>
        <f t="shared" si="4"/>
        <v>0</v>
      </c>
      <c r="J42" s="168">
        <f t="shared" si="4"/>
        <v>0</v>
      </c>
      <c r="K42" s="169"/>
      <c r="L42" s="165"/>
      <c r="M42" s="165"/>
      <c r="N42" s="165"/>
      <c r="O42" s="165"/>
      <c r="P42" s="165"/>
      <c r="Q42" s="170"/>
      <c r="R42" s="171">
        <f t="shared" si="7"/>
        <v>0</v>
      </c>
      <c r="S42" s="172">
        <f t="shared" si="7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/>
      <c r="D44" s="114"/>
      <c r="E44" s="115"/>
      <c r="F44" s="115"/>
      <c r="G44" s="78"/>
      <c r="H44" s="79"/>
      <c r="I44" s="73">
        <f>C44+E44-G44</f>
        <v>0</v>
      </c>
      <c r="J44" s="177">
        <f t="shared" si="4"/>
        <v>0</v>
      </c>
      <c r="K44" s="51"/>
      <c r="L44" s="121"/>
      <c r="M44" s="121"/>
      <c r="N44" s="121"/>
      <c r="O44" s="121"/>
      <c r="P44" s="121"/>
      <c r="Q44" s="122"/>
      <c r="R44" s="178">
        <f t="shared" si="7"/>
        <v>0</v>
      </c>
      <c r="S44" s="179">
        <f t="shared" si="7"/>
        <v>0</v>
      </c>
      <c r="T44" s="51"/>
      <c r="U44" s="131">
        <f>L44*6+N44*6+P44*6</f>
        <v>0</v>
      </c>
      <c r="V44" s="130">
        <f>U44/6</f>
        <v>0</v>
      </c>
      <c r="W44" s="133">
        <f>I44*6+J44</f>
        <v>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/>
      <c r="D48" s="142"/>
      <c r="E48" s="121"/>
      <c r="F48" s="121"/>
      <c r="G48" s="143"/>
      <c r="H48" s="139"/>
      <c r="I48" s="139">
        <f t="shared" si="4"/>
        <v>0</v>
      </c>
      <c r="J48" s="140">
        <f t="shared" si="4"/>
        <v>0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/>
      <c r="H49" s="73"/>
      <c r="I49" s="73">
        <f t="shared" si="4"/>
        <v>0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/>
      <c r="D52" s="142"/>
      <c r="E52" s="121"/>
      <c r="F52" s="121"/>
      <c r="G52" s="143"/>
      <c r="H52" s="139"/>
      <c r="I52" s="139">
        <f t="shared" si="4"/>
        <v>0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0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/>
      <c r="D54" s="111"/>
      <c r="E54" s="112"/>
      <c r="F54" s="112"/>
      <c r="G54" s="76"/>
      <c r="H54" s="73"/>
      <c r="I54" s="73">
        <f t="shared" si="4"/>
        <v>0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4">
        <f>SUM(D8:D59)</f>
        <v>0</v>
      </c>
      <c r="E60" s="44">
        <f>SUM(E8:E59)</f>
        <v>0</v>
      </c>
      <c r="F60" s="44"/>
      <c r="G60" s="28">
        <f>SUM(G8:G59)</f>
        <v>0</v>
      </c>
      <c r="H60" s="56">
        <f>SUM(H8:H59)</f>
        <v>0</v>
      </c>
      <c r="I60" s="56">
        <f>SUM(I8:I59)</f>
        <v>0</v>
      </c>
      <c r="J60" s="45">
        <f>SUM(J8:J59)</f>
        <v>0</v>
      </c>
      <c r="K60" s="46"/>
      <c r="L60" s="74">
        <f t="shared" ref="L60:S60" si="20">SUM(L8:L59)</f>
        <v>0</v>
      </c>
      <c r="M60" s="74">
        <f t="shared" si="20"/>
        <v>0</v>
      </c>
      <c r="N60" s="74">
        <f t="shared" si="20"/>
        <v>0</v>
      </c>
      <c r="O60" s="74">
        <f t="shared" si="20"/>
        <v>0</v>
      </c>
      <c r="P60" s="74">
        <f t="shared" si="20"/>
        <v>0</v>
      </c>
      <c r="Q60" s="75">
        <f t="shared" si="20"/>
        <v>0</v>
      </c>
      <c r="R60" s="85">
        <f t="shared" si="20"/>
        <v>0</v>
      </c>
      <c r="S60" s="84">
        <f t="shared" si="20"/>
        <v>0</v>
      </c>
      <c r="T60" s="46"/>
      <c r="U60" s="43">
        <f>SUM(U8:U59)</f>
        <v>0</v>
      </c>
      <c r="V60" s="102">
        <f>SUM(V8:V59)</f>
        <v>0</v>
      </c>
      <c r="W60" s="90">
        <f>SUM(W8:W59)</f>
        <v>0</v>
      </c>
      <c r="X60" s="45"/>
    </row>
    <row r="61" spans="1:24" ht="19.5" thickBot="1" x14ac:dyDescent="0.3">
      <c r="V61" s="103"/>
    </row>
    <row r="62" spans="1:24" ht="18.75" customHeight="1" x14ac:dyDescent="0.25">
      <c r="G62" s="188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89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0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1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1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192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3" t="s">
        <v>3</v>
      </c>
      <c r="D69" s="18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EXAMPLE</vt:lpstr>
      <vt:lpstr>05,01</vt:lpstr>
      <vt:lpstr>05,02</vt:lpstr>
      <vt:lpstr>05,03</vt:lpstr>
      <vt:lpstr>05,05</vt:lpstr>
      <vt:lpstr>05,06</vt:lpstr>
      <vt:lpstr>05,07</vt:lpstr>
      <vt:lpstr>05,08</vt:lpstr>
      <vt:lpstr>'05,01'!Print_Area</vt:lpstr>
      <vt:lpstr>'05,02'!Print_Area</vt:lpstr>
      <vt:lpstr>'05,03'!Print_Area</vt:lpstr>
      <vt:lpstr>'05,05'!Print_Area</vt:lpstr>
      <vt:lpstr>'05,06'!Print_Area</vt:lpstr>
      <vt:lpstr>'05,07'!Print_Area</vt:lpstr>
      <vt:lpstr>'05,08'!Print_Area</vt:lpstr>
      <vt:lpstr>EXAMPLE!Print_Area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2026-02-19T01:52:56Z</cp:lastPrinted>
  <dcterms:created xsi:type="dcterms:W3CDTF">2024-09-01T23:32:49Z</dcterms:created>
  <dcterms:modified xsi:type="dcterms:W3CDTF">2026-06-04T05:44:57Z</dcterms:modified>
</cp:coreProperties>
</file>