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7C73A21-3EB0-4B91-9325-58BC3AB31161}" xr6:coauthVersionLast="45" xr6:coauthVersionMax="45" xr10:uidLastSave="{00000000-0000-0000-0000-000000000000}"/>
  <bookViews>
    <workbookView xWindow="-120" yWindow="-120" windowWidth="29040" windowHeight="15840" firstSheet="5" activeTab="20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  <sheet name="05,25" sheetId="136" r:id="rId20"/>
    <sheet name="05,26" sheetId="137" r:id="rId21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6" i="137" l="1"/>
  <c r="I44" i="137"/>
  <c r="W44" i="137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W48" i="137" s="1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S45" i="137"/>
  <c r="R45" i="137"/>
  <c r="J45" i="137"/>
  <c r="I45" i="137"/>
  <c r="U44" i="137"/>
  <c r="V44" i="137" s="1"/>
  <c r="S44" i="137"/>
  <c r="R44" i="137"/>
  <c r="J44" i="137"/>
  <c r="S43" i="137"/>
  <c r="R43" i="137"/>
  <c r="J43" i="137"/>
  <c r="I43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V37" i="137"/>
  <c r="U37" i="137"/>
  <c r="S37" i="137"/>
  <c r="R37" i="137"/>
  <c r="J37" i="137"/>
  <c r="I37" i="137"/>
  <c r="U36" i="137"/>
  <c r="V36" i="137" s="1"/>
  <c r="S36" i="137"/>
  <c r="R36" i="137"/>
  <c r="J36" i="137"/>
  <c r="W36" i="137" s="1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W33" i="137" s="1"/>
  <c r="I33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19" i="137"/>
  <c r="U19" i="137"/>
  <c r="V19" i="137" s="1"/>
  <c r="S19" i="137"/>
  <c r="R19" i="137"/>
  <c r="J19" i="137"/>
  <c r="I19" i="137"/>
  <c r="U18" i="137"/>
  <c r="V18" i="137" s="1"/>
  <c r="S18" i="137"/>
  <c r="R18" i="137"/>
  <c r="J18" i="137"/>
  <c r="I18" i="137"/>
  <c r="W18" i="137" s="1"/>
  <c r="W17" i="137"/>
  <c r="U17" i="137"/>
  <c r="V17" i="137" s="1"/>
  <c r="S17" i="137"/>
  <c r="R17" i="137"/>
  <c r="J17" i="137"/>
  <c r="I17" i="137"/>
  <c r="V16" i="137"/>
  <c r="U16" i="137"/>
  <c r="S16" i="137"/>
  <c r="R16" i="137"/>
  <c r="J16" i="137"/>
  <c r="I16" i="137"/>
  <c r="W16" i="137" s="1"/>
  <c r="U15" i="137"/>
  <c r="V15" i="137" s="1"/>
  <c r="S15" i="137"/>
  <c r="R15" i="137"/>
  <c r="J15" i="137"/>
  <c r="I15" i="137"/>
  <c r="U14" i="137"/>
  <c r="V14" i="137" s="1"/>
  <c r="S14" i="137"/>
  <c r="R14" i="137"/>
  <c r="J14" i="137"/>
  <c r="W14" i="137" s="1"/>
  <c r="I14" i="137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W12" i="137" s="1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V8" i="137" s="1"/>
  <c r="S8" i="137"/>
  <c r="R8" i="137"/>
  <c r="J8" i="137"/>
  <c r="I8" i="137"/>
  <c r="W46" i="137" l="1"/>
  <c r="W30" i="137"/>
  <c r="W29" i="137"/>
  <c r="W20" i="137"/>
  <c r="W15" i="137"/>
  <c r="J60" i="137"/>
  <c r="R60" i="137"/>
  <c r="W8" i="137"/>
  <c r="U60" i="137"/>
  <c r="S60" i="137"/>
  <c r="W27" i="137"/>
  <c r="W31" i="137"/>
  <c r="W37" i="137"/>
  <c r="I60" i="137"/>
  <c r="W34" i="137"/>
  <c r="W32" i="137"/>
  <c r="W35" i="137"/>
  <c r="W42" i="137"/>
  <c r="W28" i="137"/>
  <c r="W38" i="137"/>
  <c r="W39" i="137"/>
  <c r="W40" i="137"/>
  <c r="W9" i="137"/>
  <c r="W41" i="137"/>
  <c r="V60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W48" i="136" s="1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W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W42" i="136"/>
  <c r="U42" i="136"/>
  <c r="V42" i="136" s="1"/>
  <c r="S42" i="136"/>
  <c r="R42" i="136"/>
  <c r="J42" i="136"/>
  <c r="I42" i="136"/>
  <c r="U41" i="136"/>
  <c r="V41" i="136" s="1"/>
  <c r="S41" i="136"/>
  <c r="R41" i="136"/>
  <c r="J41" i="136"/>
  <c r="I41" i="136"/>
  <c r="W41" i="136" s="1"/>
  <c r="V40" i="136"/>
  <c r="U40" i="136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4" i="136"/>
  <c r="U34" i="136"/>
  <c r="V34" i="136" s="1"/>
  <c r="S34" i="136"/>
  <c r="R34" i="136"/>
  <c r="J34" i="136"/>
  <c r="I34" i="136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W24" i="136" s="1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W20" i="136" s="1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W60" i="137" l="1"/>
  <c r="W38" i="136"/>
  <c r="W35" i="136"/>
  <c r="W26" i="136"/>
  <c r="W23" i="136"/>
  <c r="W12" i="136"/>
  <c r="R60" i="136"/>
  <c r="S60" i="136"/>
  <c r="U60" i="136"/>
  <c r="W44" i="136"/>
  <c r="I60" i="136"/>
  <c r="J60" i="136"/>
  <c r="W8" i="136"/>
  <c r="W9" i="136"/>
  <c r="W29" i="136"/>
  <c r="W37" i="136"/>
  <c r="V8" i="136"/>
  <c r="V60" i="136" s="1"/>
  <c r="Q60" i="135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60" i="136" l="1"/>
  <c r="W41" i="135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8DA659-6422-402B-BB26-DACC6D9E2E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A0247B1-CB98-4B7D-826F-FA5375747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83DE3EB-73F9-4DE8-B24F-8F23D1CAA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F36F39C-E229-439F-8E2E-FFC25BA240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5A6510-E466-4D6D-9326-DF714B5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7FD4038-8F1B-4101-967D-E4687A0A48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<sst xmlns="http://schemas.openxmlformats.org/spreadsheetml/2006/main" count="2226" uniqueCount="82">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</sst>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/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06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46174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2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46175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46176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46178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46179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8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90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93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96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199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2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5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42" sqref="AB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08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zoomScale="85" zoomScaleNormal="85" zoomScaleSheetLayoutView="85" zoomScalePageLayoutView="80" workbookViewId="0">
      <selection activeCell="AC39" sqref="AC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11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F58" sqref="AF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14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1793-3972-406A-BEEA-FEB21A53C824}">
  <sheetPr>
    <pageSetUpPr fitToPage="1"/>
  </sheetPr>
  <dimension ref="A1:BH90"/>
  <sheetViews>
    <sheetView topLeftCell="A38" zoomScale="85" zoomScaleNormal="85" zoomScaleSheetLayoutView="85" zoomScalePageLayoutView="80" workbookViewId="0">
      <selection activeCell="AC57" sqref="AC5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17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>
        <v>1</v>
      </c>
      <c r="H8" s="73"/>
      <c r="I8" s="73">
        <f>C8-G8</f>
        <v>16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393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>
        <v>3</v>
      </c>
      <c r="H9" s="79"/>
      <c r="I9" s="78">
        <f t="shared" ref="I9:J59" si="4">C9-G9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2</v>
      </c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78</v>
      </c>
      <c r="D10" s="111"/>
      <c r="E10" s="112"/>
      <c r="F10" s="112"/>
      <c r="G10" s="76">
        <v>9</v>
      </c>
      <c r="H10" s="73"/>
      <c r="I10" s="73">
        <f t="shared" si="4"/>
        <v>69</v>
      </c>
      <c r="J10" s="95">
        <f t="shared" si="0"/>
        <v>0</v>
      </c>
      <c r="K10" s="41"/>
      <c r="L10" s="112">
        <v>5</v>
      </c>
      <c r="M10" s="112"/>
      <c r="N10" s="112">
        <v>4</v>
      </c>
      <c r="O10" s="112"/>
      <c r="P10" s="112"/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1656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>
        <v>5</v>
      </c>
      <c r="H12" s="73"/>
      <c r="I12" s="73">
        <f t="shared" si="4"/>
        <v>0</v>
      </c>
      <c r="J12" s="77">
        <f t="shared" si="0"/>
        <v>2</v>
      </c>
      <c r="K12" s="41"/>
      <c r="L12" s="112">
        <v>5</v>
      </c>
      <c r="M12" s="112"/>
      <c r="N12" s="112"/>
      <c r="O12" s="112"/>
      <c r="P12" s="112"/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2705</v>
      </c>
      <c r="D13" s="114"/>
      <c r="E13" s="115"/>
      <c r="F13" s="115"/>
      <c r="G13" s="78">
        <v>27</v>
      </c>
      <c r="H13" s="79"/>
      <c r="I13" s="80">
        <f t="shared" si="4"/>
        <v>2678</v>
      </c>
      <c r="J13" s="94">
        <f>D13-H13</f>
        <v>0</v>
      </c>
      <c r="K13" s="53"/>
      <c r="L13" s="121">
        <v>1</v>
      </c>
      <c r="M13" s="121"/>
      <c r="N13" s="121">
        <v>9</v>
      </c>
      <c r="O13" s="121"/>
      <c r="P13" s="121">
        <v>17</v>
      </c>
      <c r="Q13" s="122"/>
      <c r="R13" s="97">
        <f>L13+N13+P13</f>
        <v>27</v>
      </c>
      <c r="S13" s="125">
        <f>M13+O13+Q13</f>
        <v>0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64272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70</v>
      </c>
      <c r="D26" s="111">
        <v>1</v>
      </c>
      <c r="E26" s="112"/>
      <c r="F26" s="112"/>
      <c r="G26" s="76">
        <v>8</v>
      </c>
      <c r="H26" s="73"/>
      <c r="I26" s="73">
        <f t="shared" si="4"/>
        <v>62</v>
      </c>
      <c r="J26" s="77">
        <f t="shared" si="4"/>
        <v>1</v>
      </c>
      <c r="K26" s="41"/>
      <c r="L26" s="112">
        <v>4</v>
      </c>
      <c r="M26" s="112"/>
      <c r="N26" s="112">
        <v>2</v>
      </c>
      <c r="O26" s="112"/>
      <c r="P26" s="112">
        <v>2</v>
      </c>
      <c r="Q26" s="120"/>
      <c r="R26" s="86">
        <f t="shared" si="7"/>
        <v>8</v>
      </c>
      <c r="S26" s="124">
        <f t="shared" si="7"/>
        <v>0</v>
      </c>
      <c r="T26" s="41"/>
      <c r="U26" s="107">
        <f t="shared" si="5"/>
        <v>192</v>
      </c>
      <c r="V26" s="130">
        <f t="shared" si="6"/>
        <v>8</v>
      </c>
      <c r="W26" s="129">
        <f t="shared" si="8"/>
        <v>1489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>
        <v>17</v>
      </c>
      <c r="H29" s="73"/>
      <c r="I29" s="73">
        <f t="shared" si="4"/>
        <v>175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15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4200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33</v>
      </c>
      <c r="D30" s="111">
        <v>5</v>
      </c>
      <c r="E30" s="112"/>
      <c r="F30" s="112"/>
      <c r="G30" s="76">
        <v>2</v>
      </c>
      <c r="H30" s="73"/>
      <c r="I30" s="73">
        <f t="shared" si="4"/>
        <v>31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1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749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6</v>
      </c>
      <c r="D31" s="111"/>
      <c r="E31" s="112"/>
      <c r="F31" s="112"/>
      <c r="G31" s="76">
        <v>2</v>
      </c>
      <c r="H31" s="73"/>
      <c r="I31" s="73">
        <f t="shared" si="4"/>
        <v>4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3</v>
      </c>
      <c r="H32" s="73"/>
      <c r="I32" s="73">
        <f t="shared" si="4"/>
        <v>2</v>
      </c>
      <c r="J32" s="77">
        <f t="shared" si="4"/>
        <v>0</v>
      </c>
      <c r="K32" s="41"/>
      <c r="L32" s="112">
        <v>2</v>
      </c>
      <c r="M32" s="112"/>
      <c r="N32" s="112">
        <v>1</v>
      </c>
      <c r="O32" s="112"/>
      <c r="P32" s="112"/>
      <c r="Q32" s="120"/>
      <c r="R32" s="86">
        <f t="shared" si="7"/>
        <v>3</v>
      </c>
      <c r="S32" s="124">
        <f t="shared" si="7"/>
        <v>0</v>
      </c>
      <c r="T32" s="41"/>
      <c r="U32" s="107">
        <f t="shared" si="5"/>
        <v>72</v>
      </c>
      <c r="V32" s="130">
        <f t="shared" si="6"/>
        <v>3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35</v>
      </c>
      <c r="D35" s="111">
        <v>14</v>
      </c>
      <c r="E35" s="112"/>
      <c r="F35" s="112"/>
      <c r="G35" s="76">
        <v>7</v>
      </c>
      <c r="H35" s="73"/>
      <c r="I35" s="73">
        <f t="shared" si="4"/>
        <v>28</v>
      </c>
      <c r="J35" s="77">
        <f t="shared" si="4"/>
        <v>14</v>
      </c>
      <c r="K35" s="41"/>
      <c r="L35" s="112">
        <v>3</v>
      </c>
      <c r="M35" s="112"/>
      <c r="N35" s="112">
        <v>2</v>
      </c>
      <c r="O35" s="112"/>
      <c r="P35" s="112">
        <v>2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686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2576</v>
      </c>
      <c r="D38" s="114">
        <v>1</v>
      </c>
      <c r="E38" s="115"/>
      <c r="F38" s="115"/>
      <c r="G38" s="78">
        <v>50</v>
      </c>
      <c r="H38" s="79"/>
      <c r="I38" s="139">
        <f t="shared" si="4"/>
        <v>2526</v>
      </c>
      <c r="J38" s="140">
        <f t="shared" si="4"/>
        <v>1</v>
      </c>
      <c r="K38" s="51"/>
      <c r="L38" s="121">
        <v>10</v>
      </c>
      <c r="M38" s="121"/>
      <c r="N38" s="121">
        <v>20</v>
      </c>
      <c r="O38" s="121"/>
      <c r="P38" s="121">
        <v>20</v>
      </c>
      <c r="Q38" s="122"/>
      <c r="R38" s="97">
        <f t="shared" si="7"/>
        <v>50</v>
      </c>
      <c r="S38" s="125">
        <f t="shared" si="7"/>
        <v>0</v>
      </c>
      <c r="T38" s="51"/>
      <c r="U38" s="131">
        <f>L38*6+N38*6+P38*6</f>
        <v>300</v>
      </c>
      <c r="V38" s="135">
        <f>U38/6</f>
        <v>50</v>
      </c>
      <c r="W38" s="133">
        <f>I38*6+J38</f>
        <v>15157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76">
        <f t="shared" si="4"/>
        <v>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52</v>
      </c>
      <c r="H41" s="150"/>
      <c r="I41" s="151">
        <f t="shared" si="4"/>
        <v>112</v>
      </c>
      <c r="J41" s="152">
        <f t="shared" si="4"/>
        <v>20</v>
      </c>
      <c r="K41" s="153"/>
      <c r="L41" s="154">
        <v>50</v>
      </c>
      <c r="M41" s="154"/>
      <c r="N41" s="154"/>
      <c r="O41" s="154"/>
      <c r="P41" s="154">
        <v>2</v>
      </c>
      <c r="Q41" s="155"/>
      <c r="R41" s="156">
        <f t="shared" si="7"/>
        <v>52</v>
      </c>
      <c r="S41" s="157">
        <f t="shared" si="7"/>
        <v>0</v>
      </c>
      <c r="T41" s="153"/>
      <c r="U41" s="158">
        <f t="shared" si="9"/>
        <v>1248</v>
      </c>
      <c r="V41" s="159">
        <f t="shared" si="6"/>
        <v>52</v>
      </c>
      <c r="W41" s="159">
        <f t="shared" si="10"/>
        <v>2708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202</v>
      </c>
      <c r="D42" s="164"/>
      <c r="E42" s="165"/>
      <c r="F42" s="165"/>
      <c r="G42" s="166">
        <v>48</v>
      </c>
      <c r="H42" s="167"/>
      <c r="I42" s="166">
        <f t="shared" si="4"/>
        <v>154</v>
      </c>
      <c r="J42" s="168">
        <f t="shared" si="4"/>
        <v>0</v>
      </c>
      <c r="K42" s="169"/>
      <c r="L42" s="165">
        <v>25</v>
      </c>
      <c r="M42" s="165"/>
      <c r="N42" s="165">
        <v>6</v>
      </c>
      <c r="O42" s="165"/>
      <c r="P42" s="165">
        <v>17</v>
      </c>
      <c r="Q42" s="170"/>
      <c r="R42" s="171">
        <f t="shared" si="7"/>
        <v>48</v>
      </c>
      <c r="S42" s="172">
        <f t="shared" si="7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1848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1</v>
      </c>
      <c r="E44" s="115">
        <v>1836</v>
      </c>
      <c r="F44" s="115"/>
      <c r="G44" s="78">
        <v>1168</v>
      </c>
      <c r="H44" s="79"/>
      <c r="I44" s="73">
        <f>C44+E44-G44</f>
        <v>33032</v>
      </c>
      <c r="J44" s="177">
        <f t="shared" si="4"/>
        <v>1</v>
      </c>
      <c r="K44" s="51"/>
      <c r="L44" s="121">
        <v>456</v>
      </c>
      <c r="M44" s="121"/>
      <c r="N44" s="121"/>
      <c r="O44" s="121">
        <v>265</v>
      </c>
      <c r="P44" s="121">
        <v>447</v>
      </c>
      <c r="Q44" s="122"/>
      <c r="R44" s="178">
        <f t="shared" si="7"/>
        <v>903</v>
      </c>
      <c r="S44" s="179">
        <f t="shared" si="7"/>
        <v>265</v>
      </c>
      <c r="T44" s="51"/>
      <c r="U44" s="131">
        <f>L44*6+N44*6+P44*6</f>
        <v>5418</v>
      </c>
      <c r="V44" s="130">
        <f>U44/6</f>
        <v>903</v>
      </c>
      <c r="W44" s="133">
        <f>I44*6+J44</f>
        <v>198193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7</v>
      </c>
      <c r="D46" s="111"/>
      <c r="E46" s="112"/>
      <c r="F46" s="112"/>
      <c r="G46" s="76">
        <v>2</v>
      </c>
      <c r="H46" s="73"/>
      <c r="I46" s="93">
        <v>5</v>
      </c>
      <c r="J46" s="77">
        <f t="shared" si="4"/>
        <v>0</v>
      </c>
      <c r="K46" s="41"/>
      <c r="L46" s="112">
        <v>1</v>
      </c>
      <c r="M46" s="112"/>
      <c r="N46" s="112">
        <v>1</v>
      </c>
      <c r="O46" s="112"/>
      <c r="P46" s="112"/>
      <c r="Q46" s="120"/>
      <c r="R46" s="86">
        <f t="shared" si="7"/>
        <v>2</v>
      </c>
      <c r="S46" s="128">
        <f t="shared" si="7"/>
        <v>0</v>
      </c>
      <c r="T46" s="41"/>
      <c r="U46" s="107">
        <f t="shared" ref="U46:U47" si="11">L46*24+N46*24+P46*24</f>
        <v>48</v>
      </c>
      <c r="V46" s="134">
        <f t="shared" ref="V46:V47" si="12">U46/24</f>
        <v>2</v>
      </c>
      <c r="W46" s="129">
        <f t="shared" ref="W46:W47" si="13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>
        <v>3</v>
      </c>
      <c r="H48" s="139"/>
      <c r="I48" s="139">
        <f t="shared" si="4"/>
        <v>2779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16675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41444</v>
      </c>
      <c r="D60" s="54">
        <f>SUM(D8:D59)</f>
        <v>129</v>
      </c>
      <c r="E60" s="44">
        <f>SUM(E8:E59)</f>
        <v>1836</v>
      </c>
      <c r="F60" s="44"/>
      <c r="G60" s="28">
        <f>SUM(G8:G59)</f>
        <v>1407</v>
      </c>
      <c r="H60" s="56">
        <f>SUM(H8:H59)</f>
        <v>0</v>
      </c>
      <c r="I60" s="56">
        <f>SUM(I8:I59)</f>
        <v>41873</v>
      </c>
      <c r="J60" s="45">
        <f>SUM(J8:J59)</f>
        <v>129</v>
      </c>
      <c r="K60" s="46"/>
      <c r="L60" s="74">
        <f t="shared" ref="L60:S60" si="20">SUM(L8:L59)</f>
        <v>569</v>
      </c>
      <c r="M60" s="74">
        <f t="shared" si="20"/>
        <v>0</v>
      </c>
      <c r="N60" s="74">
        <f t="shared" si="20"/>
        <v>46</v>
      </c>
      <c r="O60" s="74">
        <f t="shared" si="20"/>
        <v>265</v>
      </c>
      <c r="P60" s="74">
        <f t="shared" si="20"/>
        <v>527</v>
      </c>
      <c r="Q60" s="75">
        <f t="shared" si="20"/>
        <v>0</v>
      </c>
      <c r="R60" s="85">
        <f t="shared" si="20"/>
        <v>1142</v>
      </c>
      <c r="S60" s="84">
        <f t="shared" si="20"/>
        <v>265</v>
      </c>
      <c r="T60" s="46"/>
      <c r="U60" s="43">
        <f>SUM(U8:U59)</f>
        <v>9624</v>
      </c>
      <c r="V60" s="102">
        <f>SUM(V8:V59)</f>
        <v>1142</v>
      </c>
      <c r="W60" s="187">
        <f>SUM(W8:W59)</f>
        <v>312555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5" t="s">
        <v>3</v>
      </c>
      <c r="D69" s="21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43EEB-5D57-48E9-98CE-667B02861CA9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AA49" sqref="AA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6">
        <v>46181</v>
      </c>
      <c r="Q1" s="227"/>
      <c r="R1" s="227"/>
      <c r="S1" s="227"/>
      <c r="T1" s="227"/>
      <c r="U1" s="227"/>
      <c r="V1" s="227"/>
      <c r="W1" s="227"/>
      <c r="X1" s="22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9" t="s">
        <v>74</v>
      </c>
      <c r="C4" s="230" t="s">
        <v>3</v>
      </c>
      <c r="D4" s="231" t="s">
        <v>75</v>
      </c>
      <c r="E4" s="232" t="s">
        <v>4</v>
      </c>
      <c r="F4" s="233"/>
      <c r="G4" s="234" t="s">
        <v>5</v>
      </c>
      <c r="H4" s="236" t="s">
        <v>75</v>
      </c>
      <c r="I4" s="238" t="s">
        <v>6</v>
      </c>
      <c r="J4" s="236" t="s">
        <v>75</v>
      </c>
      <c r="L4" s="240" t="s">
        <v>7</v>
      </c>
      <c r="M4" s="241"/>
      <c r="N4" s="241"/>
      <c r="O4" s="241"/>
      <c r="P4" s="241"/>
      <c r="Q4" s="241"/>
      <c r="R4" s="241"/>
      <c r="S4" s="241"/>
      <c r="T4" s="241"/>
      <c r="U4" s="241"/>
      <c r="V4" s="242"/>
      <c r="W4" s="241"/>
      <c r="X4" s="243"/>
    </row>
    <row r="5" spans="1:60" s="3" customFormat="1" ht="57" thickBot="1" x14ac:dyDescent="0.3">
      <c r="A5" s="49"/>
      <c r="B5" s="229"/>
      <c r="C5" s="230"/>
      <c r="D5" s="231"/>
      <c r="E5" s="48" t="s">
        <v>8</v>
      </c>
      <c r="F5" s="220" t="s">
        <v>9</v>
      </c>
      <c r="G5" s="235"/>
      <c r="H5" s="237"/>
      <c r="I5" s="239"/>
      <c r="J5" s="23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16</v>
      </c>
      <c r="D8" s="111">
        <v>9</v>
      </c>
      <c r="E8" s="112"/>
      <c r="F8" s="112"/>
      <c r="G8" s="76">
        <v>5</v>
      </c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5</v>
      </c>
      <c r="Q8" s="120"/>
      <c r="R8" s="86">
        <f t="shared" ref="R8:S12" si="1">L8+N8+P8</f>
        <v>5</v>
      </c>
      <c r="S8" s="124">
        <f t="shared" si="1"/>
        <v>0</v>
      </c>
      <c r="T8" s="41"/>
      <c r="U8" s="107">
        <f>L8*24+N8*24+P8*24</f>
        <v>120</v>
      </c>
      <c r="V8" s="130">
        <f>U8/24</f>
        <v>5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>
        <v>10</v>
      </c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>
        <v>10</v>
      </c>
      <c r="Q9" s="122"/>
      <c r="R9" s="98">
        <f t="shared" si="1"/>
        <v>10</v>
      </c>
      <c r="S9" s="125">
        <f t="shared" si="1"/>
        <v>0</v>
      </c>
      <c r="T9" s="51"/>
      <c r="U9" s="131">
        <f>L9*24+N9*24+P9*24</f>
        <v>240</v>
      </c>
      <c r="V9" s="132">
        <f>U9/24</f>
        <v>10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69</v>
      </c>
      <c r="D10" s="111"/>
      <c r="E10" s="112"/>
      <c r="F10" s="112"/>
      <c r="G10" s="76">
        <v>5</v>
      </c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2678</v>
      </c>
      <c r="D13" s="114"/>
      <c r="E13" s="115"/>
      <c r="F13" s="115"/>
      <c r="G13" s="78">
        <v>15</v>
      </c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>
        <v>15</v>
      </c>
      <c r="O13" s="121"/>
      <c r="P13" s="121"/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62</v>
      </c>
      <c r="D26" s="111">
        <v>1</v>
      </c>
      <c r="E26" s="112"/>
      <c r="F26" s="112"/>
      <c r="G26" s="76">
        <v>10</v>
      </c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7"/>
        <v>10</v>
      </c>
      <c r="S26" s="124">
        <f t="shared" si="7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175</v>
      </c>
      <c r="D29" s="111"/>
      <c r="E29" s="112"/>
      <c r="F29" s="112"/>
      <c r="G29" s="76">
        <v>20</v>
      </c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>
        <v>20</v>
      </c>
      <c r="Q29" s="120"/>
      <c r="R29" s="86">
        <f t="shared" si="7"/>
        <v>20</v>
      </c>
      <c r="S29" s="124">
        <f t="shared" si="7"/>
        <v>0</v>
      </c>
      <c r="T29" s="42"/>
      <c r="U29" s="107">
        <f t="shared" si="5"/>
        <v>480</v>
      </c>
      <c r="V29" s="130">
        <f t="shared" si="6"/>
        <v>20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31</v>
      </c>
      <c r="D30" s="111">
        <v>5</v>
      </c>
      <c r="E30" s="112"/>
      <c r="F30" s="112"/>
      <c r="G30" s="76">
        <v>5</v>
      </c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>
        <v>5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</v>
      </c>
      <c r="D35" s="111">
        <v>14</v>
      </c>
      <c r="E35" s="112"/>
      <c r="F35" s="112"/>
      <c r="G35" s="76">
        <v>10</v>
      </c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>
        <v>10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446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2526</v>
      </c>
      <c r="D38" s="114">
        <v>1</v>
      </c>
      <c r="E38" s="115"/>
      <c r="F38" s="115"/>
      <c r="G38" s="78">
        <v>118</v>
      </c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>
        <v>66</v>
      </c>
      <c r="O38" s="121"/>
      <c r="P38" s="121">
        <v>52</v>
      </c>
      <c r="Q38" s="122"/>
      <c r="R38" s="97">
        <f t="shared" si="7"/>
        <v>118</v>
      </c>
      <c r="S38" s="125">
        <f t="shared" si="7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112</v>
      </c>
      <c r="D41" s="147">
        <v>20</v>
      </c>
      <c r="E41" s="148"/>
      <c r="F41" s="148"/>
      <c r="G41" s="149">
        <v>10</v>
      </c>
      <c r="H41" s="150"/>
      <c r="I41" s="151">
        <f t="shared" si="4"/>
        <v>102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154</v>
      </c>
      <c r="D42" s="164"/>
      <c r="E42" s="165"/>
      <c r="F42" s="165"/>
      <c r="G42" s="166">
        <v>23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3</v>
      </c>
      <c r="O42" s="165"/>
      <c r="P42" s="165">
        <v>20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33030</v>
      </c>
      <c r="D44" s="114">
        <v>5</v>
      </c>
      <c r="E44" s="115">
        <v>3672</v>
      </c>
      <c r="F44" s="115"/>
      <c r="G44" s="78">
        <v>638</v>
      </c>
      <c r="H44" s="79"/>
      <c r="I44" s="73">
        <f>C44+E44-G44</f>
        <v>36064</v>
      </c>
      <c r="J44" s="177">
        <f t="shared" si="4"/>
        <v>5</v>
      </c>
      <c r="K44" s="51"/>
      <c r="L44" s="121"/>
      <c r="M44" s="121"/>
      <c r="N44" s="121">
        <v>433</v>
      </c>
      <c r="O44" s="121"/>
      <c r="P44" s="121">
        <v>205</v>
      </c>
      <c r="Q44" s="122"/>
      <c r="R44" s="178">
        <f t="shared" si="7"/>
        <v>638</v>
      </c>
      <c r="S44" s="179">
        <f t="shared" si="7"/>
        <v>0</v>
      </c>
      <c r="T44" s="51"/>
      <c r="U44" s="131">
        <f>L44*6+N44*6+P44*6</f>
        <v>3828</v>
      </c>
      <c r="V44" s="130">
        <f>U44/6</f>
        <v>638</v>
      </c>
      <c r="W44" s="133">
        <f>I44*6+J44</f>
        <v>216389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>
        <v>4</v>
      </c>
      <c r="Q46" s="120"/>
      <c r="R46" s="86">
        <f t="shared" si="7"/>
        <v>4</v>
      </c>
      <c r="S46" s="128">
        <f t="shared" si="7"/>
        <v>0</v>
      </c>
      <c r="T46" s="41"/>
      <c r="U46" s="107">
        <f t="shared" ref="U46:U47" si="11">L46*24+N46*24+P46*24</f>
        <v>96</v>
      </c>
      <c r="V46" s="134">
        <f t="shared" ref="V46:V47" si="12">U46/24</f>
        <v>4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2779</v>
      </c>
      <c r="D48" s="142">
        <v>1</v>
      </c>
      <c r="E48" s="121"/>
      <c r="F48" s="121"/>
      <c r="G48" s="143">
        <v>10</v>
      </c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41871</v>
      </c>
      <c r="D60" s="54">
        <f>SUM(D8:D59)</f>
        <v>133</v>
      </c>
      <c r="E60" s="44">
        <f>SUM(E8:E59)</f>
        <v>3672</v>
      </c>
      <c r="F60" s="44"/>
      <c r="G60" s="28">
        <f>SUM(G8:G59)</f>
        <v>886</v>
      </c>
      <c r="H60" s="56">
        <f>SUM(H8:H59)</f>
        <v>0</v>
      </c>
      <c r="I60" s="56">
        <f>SUM(I8:I59)</f>
        <v>44657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517</v>
      </c>
      <c r="O60" s="74">
        <f t="shared" si="20"/>
        <v>0</v>
      </c>
      <c r="P60" s="74">
        <f t="shared" si="20"/>
        <v>369</v>
      </c>
      <c r="Q60" s="75">
        <f t="shared" si="20"/>
        <v>0</v>
      </c>
      <c r="R60" s="85">
        <f t="shared" si="20"/>
        <v>886</v>
      </c>
      <c r="S60" s="84">
        <f t="shared" si="20"/>
        <v>0</v>
      </c>
      <c r="T60" s="46"/>
      <c r="U60" s="43">
        <f>SUM(U8:U59)</f>
        <v>7200</v>
      </c>
      <c r="V60" s="102">
        <f>SUM(V8:V59)</f>
        <v>886</v>
      </c>
      <c r="W60" s="187">
        <f>SUM(W8:W59)</f>
        <v>327379</v>
      </c>
      <c r="X60" s="45"/>
    </row>
    <row r="61" spans="1:24" ht="19.5" thickBot="1" x14ac:dyDescent="0.3">
      <c r="V61" s="103"/>
    </row>
    <row r="62" spans="1:24" ht="18.75" customHeight="1" x14ac:dyDescent="0.25">
      <c r="G62" s="22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8" t="s">
        <v>3</v>
      </c>
      <c r="D69" s="21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05,25</vt:lpstr>
      <vt:lpstr>05,26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'05,25'!Print_Area</vt:lpstr>
      <vt:lpstr>'05,26'!Print_Area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2026-06-29T02:23:35Z</dcterms:modified>
</cp:coreProperties>
</file>