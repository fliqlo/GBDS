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9746BDD-3F05-481B-9159-B912C401D039}" xr6:coauthVersionLast="45" xr6:coauthVersionMax="45" xr10:uidLastSave="{00000000-0000-0000-0000-000000000000}"/>
  <bookViews>
    <workbookView xWindow="-120" yWindow="-120" windowWidth="29040" windowHeight="15840" firstSheet="6" activeTab="22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  <sheet name="05,24" sheetId="135" r:id="rId19"/>
    <sheet name="05,25" sheetId="136" r:id="rId20"/>
    <sheet name="05,26" sheetId="137" r:id="rId21"/>
    <sheet name="05,27" sheetId="138" r:id="rId22"/>
    <sheet name="05,29" sheetId="140" r:id="rId23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21">'05,27'!$A$1:$Y$61</definedName>
    <definedName name="_xlnm.Print_Area" localSheetId="22">'05,29'!$A$1:$Y$61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0" l="1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V54" i="140"/>
  <c r="U54" i="140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U51" i="140"/>
  <c r="V51" i="140" s="1"/>
  <c r="S51" i="140"/>
  <c r="R51" i="140"/>
  <c r="J51" i="140"/>
  <c r="I51" i="140"/>
  <c r="V50" i="140"/>
  <c r="U50" i="140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U40" i="140"/>
  <c r="V40" i="140" s="1"/>
  <c r="S40" i="140"/>
  <c r="R40" i="140"/>
  <c r="J40" i="140"/>
  <c r="I40" i="140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8" i="140" s="1"/>
  <c r="U37" i="140"/>
  <c r="V37" i="140" s="1"/>
  <c r="S37" i="140"/>
  <c r="R37" i="140"/>
  <c r="J37" i="140"/>
  <c r="I37" i="140"/>
  <c r="V36" i="140"/>
  <c r="U36" i="140"/>
  <c r="S36" i="140"/>
  <c r="R36" i="140"/>
  <c r="J36" i="140"/>
  <c r="I36" i="140"/>
  <c r="W36" i="140" s="1"/>
  <c r="U35" i="140"/>
  <c r="V35" i="140" s="1"/>
  <c r="S35" i="140"/>
  <c r="R35" i="140"/>
  <c r="J35" i="140"/>
  <c r="I35" i="140"/>
  <c r="W35" i="140" s="1"/>
  <c r="U34" i="140"/>
  <c r="V34" i="140" s="1"/>
  <c r="S34" i="140"/>
  <c r="R34" i="140"/>
  <c r="J34" i="140"/>
  <c r="I34" i="140"/>
  <c r="W34" i="140" s="1"/>
  <c r="U33" i="140"/>
  <c r="V33" i="140" s="1"/>
  <c r="S33" i="140"/>
  <c r="R33" i="140"/>
  <c r="J33" i="140"/>
  <c r="I33" i="140"/>
  <c r="W33" i="140" s="1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W30" i="140" s="1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U25" i="140"/>
  <c r="V25" i="140" s="1"/>
  <c r="S25" i="140"/>
  <c r="R25" i="140"/>
  <c r="J25" i="140"/>
  <c r="I25" i="140"/>
  <c r="U24" i="140"/>
  <c r="V24" i="140" s="1"/>
  <c r="S24" i="140"/>
  <c r="R24" i="140"/>
  <c r="J24" i="140"/>
  <c r="I24" i="140"/>
  <c r="W24" i="140" s="1"/>
  <c r="U23" i="140"/>
  <c r="V23" i="140" s="1"/>
  <c r="S23" i="140"/>
  <c r="R23" i="140"/>
  <c r="J23" i="140"/>
  <c r="I23" i="140"/>
  <c r="U22" i="140"/>
  <c r="V22" i="140" s="1"/>
  <c r="S22" i="140"/>
  <c r="R22" i="140"/>
  <c r="J22" i="140"/>
  <c r="I22" i="140"/>
  <c r="W22" i="140" s="1"/>
  <c r="U21" i="140"/>
  <c r="V21" i="140" s="1"/>
  <c r="S21" i="140"/>
  <c r="R21" i="140"/>
  <c r="J21" i="140"/>
  <c r="I21" i="140"/>
  <c r="W21" i="140" s="1"/>
  <c r="U20" i="140"/>
  <c r="V20" i="140" s="1"/>
  <c r="S20" i="140"/>
  <c r="R20" i="140"/>
  <c r="J20" i="140"/>
  <c r="I20" i="140"/>
  <c r="U19" i="140"/>
  <c r="V19" i="140" s="1"/>
  <c r="S19" i="140"/>
  <c r="R19" i="140"/>
  <c r="J19" i="140"/>
  <c r="I19" i="140"/>
  <c r="U18" i="140"/>
  <c r="V18" i="140" s="1"/>
  <c r="S18" i="140"/>
  <c r="R18" i="140"/>
  <c r="J18" i="140"/>
  <c r="I18" i="140"/>
  <c r="W18" i="140" s="1"/>
  <c r="U17" i="140"/>
  <c r="V17" i="140" s="1"/>
  <c r="S17" i="140"/>
  <c r="R17" i="140"/>
  <c r="J17" i="140"/>
  <c r="I17" i="140"/>
  <c r="W17" i="140" s="1"/>
  <c r="U16" i="140"/>
  <c r="V16" i="140" s="1"/>
  <c r="S16" i="140"/>
  <c r="R16" i="140"/>
  <c r="J16" i="140"/>
  <c r="I16" i="140"/>
  <c r="W16" i="140" s="1"/>
  <c r="U15" i="140"/>
  <c r="V15" i="140" s="1"/>
  <c r="S15" i="140"/>
  <c r="R15" i="140"/>
  <c r="J15" i="140"/>
  <c r="I15" i="140"/>
  <c r="U14" i="140"/>
  <c r="V14" i="140" s="1"/>
  <c r="S14" i="140"/>
  <c r="R14" i="140"/>
  <c r="J14" i="140"/>
  <c r="I14" i="140"/>
  <c r="W14" i="140" s="1"/>
  <c r="U13" i="140"/>
  <c r="V13" i="140" s="1"/>
  <c r="S13" i="140"/>
  <c r="R13" i="140"/>
  <c r="J13" i="140"/>
  <c r="I13" i="140"/>
  <c r="W13" i="140" s="1"/>
  <c r="U12" i="140"/>
  <c r="V12" i="140" s="1"/>
  <c r="S12" i="140"/>
  <c r="R12" i="140"/>
  <c r="J12" i="140"/>
  <c r="I12" i="140"/>
  <c r="U11" i="140"/>
  <c r="V11" i="140" s="1"/>
  <c r="S11" i="140"/>
  <c r="R11" i="140"/>
  <c r="J11" i="140"/>
  <c r="I11" i="140"/>
  <c r="U10" i="140"/>
  <c r="V10" i="140" s="1"/>
  <c r="S10" i="140"/>
  <c r="R10" i="140"/>
  <c r="J10" i="140"/>
  <c r="I10" i="140"/>
  <c r="U9" i="140"/>
  <c r="V9" i="140" s="1"/>
  <c r="S9" i="140"/>
  <c r="R9" i="140"/>
  <c r="J9" i="140"/>
  <c r="I9" i="140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U8" i="140"/>
  <c r="S8" i="140"/>
  <c r="R8" i="140"/>
  <c r="J8" i="140"/>
  <c r="I8" i="140"/>
  <c r="W52" i="140" l="1"/>
  <c r="W44" i="140"/>
  <c r="W41" i="140"/>
  <c r="W23" i="140"/>
  <c r="W20" i="140"/>
  <c r="R60" i="140"/>
  <c r="S60" i="140"/>
  <c r="U60" i="140"/>
  <c r="W8" i="140"/>
  <c r="W11" i="140"/>
  <c r="W15" i="140"/>
  <c r="J60" i="140"/>
  <c r="W12" i="140"/>
  <c r="W9" i="140"/>
  <c r="W25" i="140"/>
  <c r="W28" i="140"/>
  <c r="W51" i="140"/>
  <c r="W19" i="140"/>
  <c r="W37" i="140"/>
  <c r="W40" i="140"/>
  <c r="W10" i="140"/>
  <c r="W26" i="140"/>
  <c r="I60" i="140"/>
  <c r="V8" i="140"/>
  <c r="V60" i="140" s="1"/>
  <c r="I44" i="138"/>
  <c r="I42" i="138"/>
  <c r="I41" i="138"/>
  <c r="I44" i="134"/>
  <c r="I44" i="133"/>
  <c r="I40" i="138"/>
  <c r="W60" i="140" l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U54" i="138"/>
  <c r="V54" i="138" s="1"/>
  <c r="S54" i="138"/>
  <c r="R54" i="138"/>
  <c r="J54" i="138"/>
  <c r="I54" i="138"/>
  <c r="U53" i="138"/>
  <c r="V53" i="138" s="1"/>
  <c r="S53" i="138"/>
  <c r="R53" i="138"/>
  <c r="J53" i="138"/>
  <c r="I53" i="138"/>
  <c r="W53" i="138" s="1"/>
  <c r="U52" i="138"/>
  <c r="V52" i="138" s="1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U50" i="138"/>
  <c r="V50" i="138" s="1"/>
  <c r="S50" i="138"/>
  <c r="R50" i="138"/>
  <c r="J50" i="138"/>
  <c r="I50" i="138"/>
  <c r="W50" i="138" s="1"/>
  <c r="U49" i="138"/>
  <c r="V49" i="138" s="1"/>
  <c r="S49" i="138"/>
  <c r="R49" i="138"/>
  <c r="J49" i="138"/>
  <c r="I49" i="138"/>
  <c r="W49" i="138" s="1"/>
  <c r="U48" i="138"/>
  <c r="V48" i="138" s="1"/>
  <c r="S48" i="138"/>
  <c r="R48" i="138"/>
  <c r="J48" i="138"/>
  <c r="I48" i="138"/>
  <c r="U47" i="138"/>
  <c r="V47" i="138" s="1"/>
  <c r="S47" i="138"/>
  <c r="R47" i="138"/>
  <c r="J47" i="138"/>
  <c r="I47" i="138"/>
  <c r="W47" i="138" s="1"/>
  <c r="U46" i="138"/>
  <c r="V46" i="138" s="1"/>
  <c r="S46" i="138"/>
  <c r="R46" i="138"/>
  <c r="J46" i="138"/>
  <c r="I46" i="138"/>
  <c r="W46" i="138" s="1"/>
  <c r="S45" i="138"/>
  <c r="R45" i="138"/>
  <c r="J45" i="138"/>
  <c r="I45" i="138"/>
  <c r="V44" i="138"/>
  <c r="U44" i="138"/>
  <c r="S44" i="138"/>
  <c r="R44" i="138"/>
  <c r="J44" i="138"/>
  <c r="S43" i="138"/>
  <c r="R43" i="138"/>
  <c r="J43" i="138"/>
  <c r="I43" i="138"/>
  <c r="U42" i="138"/>
  <c r="V42" i="138" s="1"/>
  <c r="S42" i="138"/>
  <c r="R42" i="138"/>
  <c r="J42" i="138"/>
  <c r="W42" i="138"/>
  <c r="U41" i="138"/>
  <c r="V41" i="138" s="1"/>
  <c r="S41" i="138"/>
  <c r="R41" i="138"/>
  <c r="J41" i="138"/>
  <c r="U40" i="138"/>
  <c r="V40" i="138" s="1"/>
  <c r="S40" i="138"/>
  <c r="R40" i="138"/>
  <c r="J40" i="138"/>
  <c r="W40" i="138" s="1"/>
  <c r="U39" i="138"/>
  <c r="V39" i="138" s="1"/>
  <c r="S39" i="138"/>
  <c r="R39" i="138"/>
  <c r="J39" i="138"/>
  <c r="I39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6" i="138"/>
  <c r="V36" i="138"/>
  <c r="U36" i="138"/>
  <c r="S36" i="138"/>
  <c r="R36" i="138"/>
  <c r="J36" i="138"/>
  <c r="I36" i="138"/>
  <c r="U35" i="138"/>
  <c r="V35" i="138" s="1"/>
  <c r="S35" i="138"/>
  <c r="R35" i="138"/>
  <c r="J35" i="138"/>
  <c r="I35" i="138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U24" i="138"/>
  <c r="V24" i="138" s="1"/>
  <c r="S24" i="138"/>
  <c r="R24" i="138"/>
  <c r="J24" i="138"/>
  <c r="W24" i="138" s="1"/>
  <c r="I24" i="138"/>
  <c r="U23" i="138"/>
  <c r="V23" i="138" s="1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U20" i="138"/>
  <c r="V20" i="138" s="1"/>
  <c r="S20" i="138"/>
  <c r="R20" i="138"/>
  <c r="J20" i="138"/>
  <c r="I20" i="138"/>
  <c r="U19" i="138"/>
  <c r="V19" i="138" s="1"/>
  <c r="S19" i="138"/>
  <c r="R19" i="138"/>
  <c r="J19" i="138"/>
  <c r="I19" i="138"/>
  <c r="W19" i="138" s="1"/>
  <c r="U18" i="138"/>
  <c r="V18" i="138" s="1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W16" i="138"/>
  <c r="U16" i="138"/>
  <c r="V16" i="138" s="1"/>
  <c r="S16" i="138"/>
  <c r="R16" i="138"/>
  <c r="J16" i="138"/>
  <c r="I16" i="138"/>
  <c r="U15" i="138"/>
  <c r="V15" i="138" s="1"/>
  <c r="S15" i="138"/>
  <c r="R15" i="138"/>
  <c r="J15" i="138"/>
  <c r="I15" i="138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W13" i="138" s="1"/>
  <c r="U12" i="138"/>
  <c r="V12" i="138" s="1"/>
  <c r="S12" i="138"/>
  <c r="R12" i="138"/>
  <c r="J12" i="138"/>
  <c r="I12" i="138"/>
  <c r="W12" i="138" s="1"/>
  <c r="U11" i="138"/>
  <c r="V11" i="138" s="1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S60" i="138" s="1"/>
  <c r="R8" i="138"/>
  <c r="J8" i="138"/>
  <c r="I8" i="138"/>
  <c r="W44" i="138" l="1"/>
  <c r="W37" i="138"/>
  <c r="W38" i="138"/>
  <c r="W48" i="138"/>
  <c r="W41" i="138"/>
  <c r="W39" i="138"/>
  <c r="W35" i="138"/>
  <c r="W32" i="138"/>
  <c r="W31" i="138"/>
  <c r="W30" i="138"/>
  <c r="W26" i="138"/>
  <c r="W20" i="138"/>
  <c r="W8" i="138"/>
  <c r="W15" i="138"/>
  <c r="W54" i="138"/>
  <c r="I60" i="138"/>
  <c r="J60" i="138"/>
  <c r="R60" i="138"/>
  <c r="U60" i="138"/>
  <c r="V60" i="138"/>
  <c r="I46" i="137"/>
  <c r="I44" i="137"/>
  <c r="W44" i="137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W48" i="137" s="1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S45" i="137"/>
  <c r="R45" i="137"/>
  <c r="J45" i="137"/>
  <c r="I45" i="137"/>
  <c r="U44" i="137"/>
  <c r="V44" i="137" s="1"/>
  <c r="S44" i="137"/>
  <c r="R44" i="137"/>
  <c r="J44" i="137"/>
  <c r="S43" i="137"/>
  <c r="R43" i="137"/>
  <c r="J43" i="137"/>
  <c r="I43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V37" i="137"/>
  <c r="U37" i="137"/>
  <c r="S37" i="137"/>
  <c r="R37" i="137"/>
  <c r="J37" i="137"/>
  <c r="I37" i="137"/>
  <c r="U36" i="137"/>
  <c r="V36" i="137" s="1"/>
  <c r="S36" i="137"/>
  <c r="R36" i="137"/>
  <c r="J36" i="137"/>
  <c r="W36" i="137" s="1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W33" i="137" s="1"/>
  <c r="I33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W26" i="137" s="1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W24" i="137" s="1"/>
  <c r="U23" i="137"/>
  <c r="V23" i="137" s="1"/>
  <c r="S23" i="137"/>
  <c r="R23" i="137"/>
  <c r="J23" i="137"/>
  <c r="I23" i="137"/>
  <c r="W23" i="137" s="1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W19" i="137"/>
  <c r="U19" i="137"/>
  <c r="V19" i="137" s="1"/>
  <c r="S19" i="137"/>
  <c r="R19" i="137"/>
  <c r="J19" i="137"/>
  <c r="I19" i="137"/>
  <c r="U18" i="137"/>
  <c r="V18" i="137" s="1"/>
  <c r="S18" i="137"/>
  <c r="R18" i="137"/>
  <c r="J18" i="137"/>
  <c r="I18" i="137"/>
  <c r="W18" i="137" s="1"/>
  <c r="W17" i="137"/>
  <c r="U17" i="137"/>
  <c r="V17" i="137" s="1"/>
  <c r="S17" i="137"/>
  <c r="R17" i="137"/>
  <c r="J17" i="137"/>
  <c r="I17" i="137"/>
  <c r="V16" i="137"/>
  <c r="U16" i="137"/>
  <c r="S16" i="137"/>
  <c r="R16" i="137"/>
  <c r="J16" i="137"/>
  <c r="I16" i="137"/>
  <c r="W16" i="137" s="1"/>
  <c r="U15" i="137"/>
  <c r="V15" i="137" s="1"/>
  <c r="S15" i="137"/>
  <c r="R15" i="137"/>
  <c r="J15" i="137"/>
  <c r="I15" i="137"/>
  <c r="U14" i="137"/>
  <c r="V14" i="137" s="1"/>
  <c r="S14" i="137"/>
  <c r="R14" i="137"/>
  <c r="J14" i="137"/>
  <c r="W14" i="137" s="1"/>
  <c r="I14" i="137"/>
  <c r="U13" i="137"/>
  <c r="V13" i="137" s="1"/>
  <c r="S13" i="137"/>
  <c r="R13" i="137"/>
  <c r="J13" i="137"/>
  <c r="I13" i="137"/>
  <c r="W13" i="137" s="1"/>
  <c r="U12" i="137"/>
  <c r="V12" i="137" s="1"/>
  <c r="S12" i="137"/>
  <c r="R12" i="137"/>
  <c r="J12" i="137"/>
  <c r="W12" i="137" s="1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V8" i="137" s="1"/>
  <c r="S8" i="137"/>
  <c r="R8" i="137"/>
  <c r="J8" i="137"/>
  <c r="I8" i="137"/>
  <c r="W60" i="138" l="1"/>
  <c r="W46" i="137"/>
  <c r="W30" i="137"/>
  <c r="W29" i="137"/>
  <c r="W20" i="137"/>
  <c r="W15" i="137"/>
  <c r="J60" i="137"/>
  <c r="R60" i="137"/>
  <c r="W8" i="137"/>
  <c r="U60" i="137"/>
  <c r="S60" i="137"/>
  <c r="W27" i="137"/>
  <c r="W31" i="137"/>
  <c r="W37" i="137"/>
  <c r="I60" i="137"/>
  <c r="W34" i="137"/>
  <c r="W32" i="137"/>
  <c r="W35" i="137"/>
  <c r="W42" i="137"/>
  <c r="W28" i="137"/>
  <c r="W38" i="137"/>
  <c r="W39" i="137"/>
  <c r="W40" i="137"/>
  <c r="W9" i="137"/>
  <c r="W41" i="137"/>
  <c r="V60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W48" i="136" s="1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W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W42" i="136"/>
  <c r="U42" i="136"/>
  <c r="V42" i="136" s="1"/>
  <c r="S42" i="136"/>
  <c r="R42" i="136"/>
  <c r="J42" i="136"/>
  <c r="I42" i="136"/>
  <c r="U41" i="136"/>
  <c r="V41" i="136" s="1"/>
  <c r="S41" i="136"/>
  <c r="R41" i="136"/>
  <c r="J41" i="136"/>
  <c r="I41" i="136"/>
  <c r="W41" i="136" s="1"/>
  <c r="V40" i="136"/>
  <c r="U40" i="136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4" i="136"/>
  <c r="U34" i="136"/>
  <c r="V34" i="136" s="1"/>
  <c r="S34" i="136"/>
  <c r="R34" i="136"/>
  <c r="J34" i="136"/>
  <c r="I34" i="136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W24" i="136" s="1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W20" i="136" s="1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W60" i="137" l="1"/>
  <c r="W38" i="136"/>
  <c r="W35" i="136"/>
  <c r="W26" i="136"/>
  <c r="W23" i="136"/>
  <c r="W12" i="136"/>
  <c r="R60" i="136"/>
  <c r="S60" i="136"/>
  <c r="U60" i="136"/>
  <c r="W44" i="136"/>
  <c r="I60" i="136"/>
  <c r="J60" i="136"/>
  <c r="W8" i="136"/>
  <c r="W9" i="136"/>
  <c r="W29" i="136"/>
  <c r="W37" i="136"/>
  <c r="V8" i="136"/>
  <c r="V60" i="136" s="1"/>
  <c r="Q60" i="135"/>
  <c r="P60" i="135"/>
  <c r="O60" i="135"/>
  <c r="N60" i="135"/>
  <c r="M60" i="135"/>
  <c r="L60" i="135"/>
  <c r="H60" i="135"/>
  <c r="G60" i="135"/>
  <c r="E60" i="135"/>
  <c r="D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W52" i="135"/>
  <c r="U52" i="135"/>
  <c r="V52" i="135" s="1"/>
  <c r="S52" i="135"/>
  <c r="R52" i="135"/>
  <c r="J52" i="135"/>
  <c r="I52" i="135"/>
  <c r="W51" i="135"/>
  <c r="U51" i="135"/>
  <c r="V51" i="135" s="1"/>
  <c r="S51" i="135"/>
  <c r="R51" i="135"/>
  <c r="J51" i="135"/>
  <c r="I51" i="135"/>
  <c r="V50" i="135"/>
  <c r="U50" i="135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W47" i="135"/>
  <c r="U47" i="135"/>
  <c r="V47" i="135" s="1"/>
  <c r="S47" i="135"/>
  <c r="R47" i="135"/>
  <c r="J47" i="135"/>
  <c r="I47" i="135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C60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U33" i="135"/>
  <c r="V33" i="135" s="1"/>
  <c r="S33" i="135"/>
  <c r="R33" i="135"/>
  <c r="J33" i="135"/>
  <c r="I33" i="135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U25" i="135"/>
  <c r="V25" i="135" s="1"/>
  <c r="S25" i="135"/>
  <c r="R25" i="135"/>
  <c r="J25" i="135"/>
  <c r="I25" i="135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U12" i="135"/>
  <c r="V12" i="135" s="1"/>
  <c r="S12" i="135"/>
  <c r="R12" i="135"/>
  <c r="J12" i="135"/>
  <c r="I12" i="135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V8" i="135"/>
  <c r="U8" i="135"/>
  <c r="S8" i="135"/>
  <c r="R8" i="135"/>
  <c r="J8" i="135"/>
  <c r="I8" i="135"/>
  <c r="W8" i="135" s="1"/>
  <c r="W60" i="136" l="1"/>
  <c r="W41" i="135"/>
  <c r="W35" i="135"/>
  <c r="W26" i="135"/>
  <c r="W24" i="135"/>
  <c r="R60" i="135"/>
  <c r="U60" i="135"/>
  <c r="S60" i="135"/>
  <c r="J60" i="135"/>
  <c r="W33" i="135"/>
  <c r="W17" i="135"/>
  <c r="W25" i="135"/>
  <c r="W34" i="135"/>
  <c r="W12" i="135"/>
  <c r="W20" i="135"/>
  <c r="W28" i="135"/>
  <c r="W15" i="135"/>
  <c r="W23" i="135"/>
  <c r="W13" i="135"/>
  <c r="W21" i="135"/>
  <c r="V60" i="135"/>
  <c r="W9" i="135"/>
  <c r="I38" i="135"/>
  <c r="W38" i="135" s="1"/>
  <c r="C38" i="134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60" i="135" l="1"/>
  <c r="I60" i="135"/>
  <c r="W32" i="134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W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FC904E-36F4-4A2B-841A-B02DC9F8CB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B648FE-AC1D-44D5-A8F1-4B77E2D334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08F2B4-FE2A-4B52-AFE0-3DB81525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A8DA659-6422-402B-BB26-DACC6D9E2E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A0247B1-CB98-4B7D-826F-FA5375747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83DE3EB-73F9-4DE8-B24F-8F23D1CAA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F36F39C-E229-439F-8E2E-FFC25BA240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5A6510-E466-4D6D-9326-DF714B5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7FD4038-8F1B-4101-967D-E4687A0A48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68285A6-8FBB-46CC-86E1-1FD7A753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9E073B2-5DBA-4812-A190-52C1F410DF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7DB609-A777-441B-A34D-4DC7572935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FE1C1C3-CAEB-4494-B136-52A243801A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284064-A9BF-446D-B4AA-3FBED9CBE7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B256A84-39F2-4EA8-9637-B7D6FB8CA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<sst xmlns="http://schemas.openxmlformats.org/spreadsheetml/2006/main" count="2438" uniqueCount="82">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</sst>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/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06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46174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2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46175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46176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46177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46178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46181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zoomScale="85" zoomScaleNormal="85" zoomScaleSheetLayoutView="85" zoomScalePageLayoutView="80" workbookViewId="0">
      <selection activeCell="AB14" sqref="AB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46182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0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46183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3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46184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6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46185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9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46188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2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46189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46190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46191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46192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46195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8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46196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11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7E18-409A-43A4-B588-AB5C63C0050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46197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14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/>
      <c r="H8" s="73"/>
      <c r="I8" s="73">
        <f>C8-G8</f>
        <v>17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>
        <v>6</v>
      </c>
      <c r="H10" s="73"/>
      <c r="I10" s="73">
        <f t="shared" si="4"/>
        <v>78</v>
      </c>
      <c r="J10" s="95">
        <f t="shared" si="0"/>
        <v>0</v>
      </c>
      <c r="K10" s="41"/>
      <c r="L10" s="112">
        <v>5</v>
      </c>
      <c r="M10" s="112"/>
      <c r="N10" s="112">
        <v>1</v>
      </c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2734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2705</v>
      </c>
      <c r="J13" s="94">
        <f>D13-H13</f>
        <v>0</v>
      </c>
      <c r="K13" s="53"/>
      <c r="L13" s="121">
        <v>2</v>
      </c>
      <c r="M13" s="121"/>
      <c r="N13" s="121">
        <v>11</v>
      </c>
      <c r="O13" s="121"/>
      <c r="P13" s="121">
        <v>16</v>
      </c>
      <c r="Q13" s="122">
        <v>12</v>
      </c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64920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71</v>
      </c>
      <c r="D26" s="111">
        <v>1</v>
      </c>
      <c r="E26" s="112"/>
      <c r="F26" s="112"/>
      <c r="G26" s="76">
        <v>1</v>
      </c>
      <c r="H26" s="73"/>
      <c r="I26" s="73">
        <f t="shared" si="4"/>
        <v>70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1681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36</v>
      </c>
      <c r="D30" s="111">
        <v>5</v>
      </c>
      <c r="E30" s="112"/>
      <c r="F30" s="112"/>
      <c r="G30" s="76">
        <v>3</v>
      </c>
      <c r="H30" s="73"/>
      <c r="I30" s="73">
        <f t="shared" si="4"/>
        <v>33</v>
      </c>
      <c r="J30" s="77">
        <f t="shared" si="4"/>
        <v>5</v>
      </c>
      <c r="K30" s="41"/>
      <c r="L30" s="112">
        <v>1</v>
      </c>
      <c r="M30" s="112"/>
      <c r="N30" s="112">
        <v>1</v>
      </c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797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2</v>
      </c>
      <c r="H31" s="73"/>
      <c r="I31" s="73">
        <f t="shared" si="4"/>
        <v>6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144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>
        <v>1</v>
      </c>
      <c r="H33" s="73"/>
      <c r="I33" s="73">
        <f t="shared" si="4"/>
        <v>0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36</v>
      </c>
      <c r="D35" s="111">
        <v>14</v>
      </c>
      <c r="E35" s="112"/>
      <c r="F35" s="112"/>
      <c r="G35" s="76">
        <v>1</v>
      </c>
      <c r="H35" s="73"/>
      <c r="I35" s="73">
        <f t="shared" si="4"/>
        <v>35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2644</v>
      </c>
      <c r="D38" s="114">
        <v>1</v>
      </c>
      <c r="E38" s="115"/>
      <c r="F38" s="115"/>
      <c r="G38" s="78">
        <v>68</v>
      </c>
      <c r="H38" s="79"/>
      <c r="I38" s="139">
        <f t="shared" si="4"/>
        <v>2576</v>
      </c>
      <c r="J38" s="140">
        <f t="shared" si="4"/>
        <v>1</v>
      </c>
      <c r="K38" s="51"/>
      <c r="L38" s="121">
        <v>43</v>
      </c>
      <c r="M38" s="121"/>
      <c r="N38" s="121">
        <v>5</v>
      </c>
      <c r="O38" s="121"/>
      <c r="P38" s="121">
        <v>20</v>
      </c>
      <c r="Q38" s="122"/>
      <c r="R38" s="97">
        <f t="shared" si="7"/>
        <v>68</v>
      </c>
      <c r="S38" s="125">
        <f t="shared" si="7"/>
        <v>0</v>
      </c>
      <c r="T38" s="51"/>
      <c r="U38" s="131">
        <f>L38*6+N38*6+P38*6</f>
        <v>408</v>
      </c>
      <c r="V38" s="135">
        <f>U38/6</f>
        <v>68</v>
      </c>
      <c r="W38" s="133">
        <f>I38*6+J38</f>
        <v>15457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76">
        <f t="shared" si="4"/>
        <v>1</v>
      </c>
      <c r="J39" s="77">
        <f t="shared" si="4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232</v>
      </c>
      <c r="D42" s="164"/>
      <c r="E42" s="165"/>
      <c r="F42" s="165"/>
      <c r="G42" s="166">
        <v>30</v>
      </c>
      <c r="H42" s="167"/>
      <c r="I42" s="166">
        <f t="shared" si="4"/>
        <v>202</v>
      </c>
      <c r="J42" s="168">
        <f t="shared" si="4"/>
        <v>0</v>
      </c>
      <c r="K42" s="169"/>
      <c r="L42" s="165">
        <v>5</v>
      </c>
      <c r="M42" s="165"/>
      <c r="N42" s="165">
        <v>2</v>
      </c>
      <c r="O42" s="165"/>
      <c r="P42" s="165">
        <v>23</v>
      </c>
      <c r="Q42" s="170"/>
      <c r="R42" s="171">
        <f t="shared" si="7"/>
        <v>30</v>
      </c>
      <c r="S42" s="172">
        <f t="shared" si="7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2424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29907</v>
      </c>
      <c r="D44" s="114">
        <v>1</v>
      </c>
      <c r="E44" s="115">
        <v>3672</v>
      </c>
      <c r="F44" s="115"/>
      <c r="G44" s="78">
        <v>1215</v>
      </c>
      <c r="H44" s="79"/>
      <c r="I44" s="73">
        <f>C44+E44-G44</f>
        <v>32364</v>
      </c>
      <c r="J44" s="177">
        <f t="shared" si="4"/>
        <v>1</v>
      </c>
      <c r="K44" s="51"/>
      <c r="L44" s="121">
        <v>315</v>
      </c>
      <c r="M44" s="121"/>
      <c r="N44" s="121">
        <v>327</v>
      </c>
      <c r="O44" s="121"/>
      <c r="P44" s="121">
        <v>513</v>
      </c>
      <c r="Q44" s="122"/>
      <c r="R44" s="178">
        <f t="shared" si="7"/>
        <v>1155</v>
      </c>
      <c r="S44" s="179">
        <f t="shared" si="7"/>
        <v>0</v>
      </c>
      <c r="T44" s="51"/>
      <c r="U44" s="131">
        <f>L44*6+N44*6+P44*6</f>
        <v>6930</v>
      </c>
      <c r="V44" s="130">
        <f>U44/6</f>
        <v>1155</v>
      </c>
      <c r="W44" s="133">
        <f>I44*6+J44</f>
        <v>194185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>
        <v>1</v>
      </c>
      <c r="H46" s="73"/>
      <c r="I46" s="93">
        <f t="shared" si="4"/>
        <v>7</v>
      </c>
      <c r="J46" s="77">
        <f t="shared" si="4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168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/>
      <c r="H48" s="139"/>
      <c r="I48" s="139">
        <f t="shared" si="4"/>
        <v>2782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39131</v>
      </c>
      <c r="D60" s="54">
        <f>SUM(D8:D59)</f>
        <v>141</v>
      </c>
      <c r="E60" s="44">
        <f>SUM(E8:E59)</f>
        <v>3672</v>
      </c>
      <c r="F60" s="44"/>
      <c r="G60" s="28">
        <f>SUM(G8:G59)</f>
        <v>1359</v>
      </c>
      <c r="H60" s="56">
        <f>SUM(H8:H59)</f>
        <v>12</v>
      </c>
      <c r="I60" s="56">
        <f>SUM(I8:I59)</f>
        <v>41444</v>
      </c>
      <c r="J60" s="45">
        <f>SUM(J8:J59)</f>
        <v>129</v>
      </c>
      <c r="K60" s="46"/>
      <c r="L60" s="74">
        <f t="shared" ref="L60:S60" si="20">SUM(L8:L59)</f>
        <v>378</v>
      </c>
      <c r="M60" s="74">
        <f t="shared" si="20"/>
        <v>0</v>
      </c>
      <c r="N60" s="74">
        <f t="shared" si="20"/>
        <v>347</v>
      </c>
      <c r="O60" s="74">
        <f t="shared" si="20"/>
        <v>0</v>
      </c>
      <c r="P60" s="74">
        <f t="shared" si="20"/>
        <v>574</v>
      </c>
      <c r="Q60" s="75">
        <f t="shared" si="20"/>
        <v>12</v>
      </c>
      <c r="R60" s="85">
        <f t="shared" si="20"/>
        <v>1299</v>
      </c>
      <c r="S60" s="84">
        <f t="shared" si="20"/>
        <v>12</v>
      </c>
      <c r="T60" s="46"/>
      <c r="U60" s="43">
        <f>SUM(U8:U59)</f>
        <v>8802</v>
      </c>
      <c r="V60" s="102">
        <f>SUM(V8:V59)</f>
        <v>1299</v>
      </c>
      <c r="W60" s="187">
        <f>SUM(W8:W59)</f>
        <v>312753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2" t="s">
        <v>3</v>
      </c>
      <c r="D69" s="21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1793-3972-406A-BEEA-FEB21A53C824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46198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17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>
        <v>1</v>
      </c>
      <c r="H8" s="73"/>
      <c r="I8" s="73">
        <f>C8-G8</f>
        <v>16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393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>
        <v>3</v>
      </c>
      <c r="H9" s="79"/>
      <c r="I9" s="78">
        <f t="shared" ref="I9:J59" si="4">C9-G9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2</v>
      </c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78</v>
      </c>
      <c r="D10" s="111"/>
      <c r="E10" s="112"/>
      <c r="F10" s="112"/>
      <c r="G10" s="76">
        <v>9</v>
      </c>
      <c r="H10" s="73"/>
      <c r="I10" s="73">
        <f t="shared" si="4"/>
        <v>69</v>
      </c>
      <c r="J10" s="95">
        <f t="shared" si="0"/>
        <v>0</v>
      </c>
      <c r="K10" s="41"/>
      <c r="L10" s="112">
        <v>5</v>
      </c>
      <c r="M10" s="112"/>
      <c r="N10" s="112">
        <v>4</v>
      </c>
      <c r="O10" s="112"/>
      <c r="P10" s="112"/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1656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>
        <v>5</v>
      </c>
      <c r="H12" s="73"/>
      <c r="I12" s="73">
        <f t="shared" si="4"/>
        <v>0</v>
      </c>
      <c r="J12" s="77">
        <f t="shared" si="0"/>
        <v>2</v>
      </c>
      <c r="K12" s="41"/>
      <c r="L12" s="112">
        <v>5</v>
      </c>
      <c r="M12" s="112"/>
      <c r="N12" s="112"/>
      <c r="O12" s="112"/>
      <c r="P12" s="112"/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2705</v>
      </c>
      <c r="D13" s="114"/>
      <c r="E13" s="115"/>
      <c r="F13" s="115"/>
      <c r="G13" s="78">
        <v>27</v>
      </c>
      <c r="H13" s="79"/>
      <c r="I13" s="80">
        <f t="shared" si="4"/>
        <v>2678</v>
      </c>
      <c r="J13" s="94">
        <f>D13-H13</f>
        <v>0</v>
      </c>
      <c r="K13" s="53"/>
      <c r="L13" s="121">
        <v>1</v>
      </c>
      <c r="M13" s="121"/>
      <c r="N13" s="121">
        <v>9</v>
      </c>
      <c r="O13" s="121"/>
      <c r="P13" s="121">
        <v>17</v>
      </c>
      <c r="Q13" s="122"/>
      <c r="R13" s="97">
        <f>L13+N13+P13</f>
        <v>27</v>
      </c>
      <c r="S13" s="125">
        <f>M13+O13+Q13</f>
        <v>0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64272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70</v>
      </c>
      <c r="D26" s="111">
        <v>1</v>
      </c>
      <c r="E26" s="112"/>
      <c r="F26" s="112"/>
      <c r="G26" s="76">
        <v>8</v>
      </c>
      <c r="H26" s="73"/>
      <c r="I26" s="73">
        <f t="shared" si="4"/>
        <v>62</v>
      </c>
      <c r="J26" s="77">
        <f t="shared" si="4"/>
        <v>1</v>
      </c>
      <c r="K26" s="41"/>
      <c r="L26" s="112">
        <v>4</v>
      </c>
      <c r="M26" s="112"/>
      <c r="N26" s="112">
        <v>2</v>
      </c>
      <c r="O26" s="112"/>
      <c r="P26" s="112">
        <v>2</v>
      </c>
      <c r="Q26" s="120"/>
      <c r="R26" s="86">
        <f t="shared" si="7"/>
        <v>8</v>
      </c>
      <c r="S26" s="124">
        <f t="shared" si="7"/>
        <v>0</v>
      </c>
      <c r="T26" s="41"/>
      <c r="U26" s="107">
        <f t="shared" si="5"/>
        <v>192</v>
      </c>
      <c r="V26" s="130">
        <f t="shared" si="6"/>
        <v>8</v>
      </c>
      <c r="W26" s="129">
        <f t="shared" si="8"/>
        <v>1489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>
        <v>17</v>
      </c>
      <c r="H29" s="73"/>
      <c r="I29" s="73">
        <f t="shared" si="4"/>
        <v>175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15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4200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33</v>
      </c>
      <c r="D30" s="111">
        <v>5</v>
      </c>
      <c r="E30" s="112"/>
      <c r="F30" s="112"/>
      <c r="G30" s="76">
        <v>2</v>
      </c>
      <c r="H30" s="73"/>
      <c r="I30" s="73">
        <f t="shared" si="4"/>
        <v>31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1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749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6</v>
      </c>
      <c r="D31" s="111"/>
      <c r="E31" s="112"/>
      <c r="F31" s="112"/>
      <c r="G31" s="76">
        <v>2</v>
      </c>
      <c r="H31" s="73"/>
      <c r="I31" s="73">
        <f t="shared" si="4"/>
        <v>4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3</v>
      </c>
      <c r="H32" s="73"/>
      <c r="I32" s="73">
        <f t="shared" si="4"/>
        <v>2</v>
      </c>
      <c r="J32" s="77">
        <f t="shared" si="4"/>
        <v>0</v>
      </c>
      <c r="K32" s="41"/>
      <c r="L32" s="112">
        <v>2</v>
      </c>
      <c r="M32" s="112"/>
      <c r="N32" s="112">
        <v>1</v>
      </c>
      <c r="O32" s="112"/>
      <c r="P32" s="112"/>
      <c r="Q32" s="120"/>
      <c r="R32" s="86">
        <f t="shared" si="7"/>
        <v>3</v>
      </c>
      <c r="S32" s="124">
        <f t="shared" si="7"/>
        <v>0</v>
      </c>
      <c r="T32" s="41"/>
      <c r="U32" s="107">
        <f t="shared" si="5"/>
        <v>72</v>
      </c>
      <c r="V32" s="130">
        <f t="shared" si="6"/>
        <v>3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35</v>
      </c>
      <c r="D35" s="111">
        <v>14</v>
      </c>
      <c r="E35" s="112"/>
      <c r="F35" s="112"/>
      <c r="G35" s="76">
        <v>7</v>
      </c>
      <c r="H35" s="73"/>
      <c r="I35" s="73">
        <f t="shared" si="4"/>
        <v>28</v>
      </c>
      <c r="J35" s="77">
        <f t="shared" si="4"/>
        <v>14</v>
      </c>
      <c r="K35" s="41"/>
      <c r="L35" s="112">
        <v>3</v>
      </c>
      <c r="M35" s="112"/>
      <c r="N35" s="112">
        <v>2</v>
      </c>
      <c r="O35" s="112"/>
      <c r="P35" s="112">
        <v>2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686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2576</v>
      </c>
      <c r="D38" s="114">
        <v>1</v>
      </c>
      <c r="E38" s="115"/>
      <c r="F38" s="115"/>
      <c r="G38" s="78">
        <v>50</v>
      </c>
      <c r="H38" s="79"/>
      <c r="I38" s="139">
        <f t="shared" si="4"/>
        <v>2526</v>
      </c>
      <c r="J38" s="140">
        <f t="shared" si="4"/>
        <v>1</v>
      </c>
      <c r="K38" s="51"/>
      <c r="L38" s="121">
        <v>10</v>
      </c>
      <c r="M38" s="121"/>
      <c r="N38" s="121">
        <v>20</v>
      </c>
      <c r="O38" s="121"/>
      <c r="P38" s="121">
        <v>20</v>
      </c>
      <c r="Q38" s="122"/>
      <c r="R38" s="97">
        <f t="shared" si="7"/>
        <v>50</v>
      </c>
      <c r="S38" s="125">
        <f t="shared" si="7"/>
        <v>0</v>
      </c>
      <c r="T38" s="51"/>
      <c r="U38" s="131">
        <f>L38*6+N38*6+P38*6</f>
        <v>300</v>
      </c>
      <c r="V38" s="135">
        <f>U38/6</f>
        <v>50</v>
      </c>
      <c r="W38" s="133">
        <f>I38*6+J38</f>
        <v>15157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76">
        <f t="shared" si="4"/>
        <v>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52</v>
      </c>
      <c r="H41" s="150"/>
      <c r="I41" s="151">
        <f t="shared" si="4"/>
        <v>112</v>
      </c>
      <c r="J41" s="152">
        <f t="shared" si="4"/>
        <v>20</v>
      </c>
      <c r="K41" s="153"/>
      <c r="L41" s="154">
        <v>50</v>
      </c>
      <c r="M41" s="154"/>
      <c r="N41" s="154"/>
      <c r="O41" s="154"/>
      <c r="P41" s="154">
        <v>2</v>
      </c>
      <c r="Q41" s="155"/>
      <c r="R41" s="156">
        <f t="shared" si="7"/>
        <v>52</v>
      </c>
      <c r="S41" s="157">
        <f t="shared" si="7"/>
        <v>0</v>
      </c>
      <c r="T41" s="153"/>
      <c r="U41" s="158">
        <f t="shared" si="9"/>
        <v>1248</v>
      </c>
      <c r="V41" s="159">
        <f t="shared" si="6"/>
        <v>52</v>
      </c>
      <c r="W41" s="159">
        <f t="shared" si="10"/>
        <v>2708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202</v>
      </c>
      <c r="D42" s="164"/>
      <c r="E42" s="165"/>
      <c r="F42" s="165"/>
      <c r="G42" s="166">
        <v>48</v>
      </c>
      <c r="H42" s="167"/>
      <c r="I42" s="166">
        <f t="shared" si="4"/>
        <v>154</v>
      </c>
      <c r="J42" s="168">
        <f t="shared" si="4"/>
        <v>0</v>
      </c>
      <c r="K42" s="169"/>
      <c r="L42" s="165">
        <v>25</v>
      </c>
      <c r="M42" s="165"/>
      <c r="N42" s="165">
        <v>6</v>
      </c>
      <c r="O42" s="165"/>
      <c r="P42" s="165">
        <v>17</v>
      </c>
      <c r="Q42" s="170"/>
      <c r="R42" s="171">
        <f t="shared" si="7"/>
        <v>48</v>
      </c>
      <c r="S42" s="172">
        <f t="shared" si="7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1848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1</v>
      </c>
      <c r="E44" s="115">
        <v>1836</v>
      </c>
      <c r="F44" s="115"/>
      <c r="G44" s="78">
        <v>1168</v>
      </c>
      <c r="H44" s="79"/>
      <c r="I44" s="73">
        <f>C44+E44-G44</f>
        <v>33032</v>
      </c>
      <c r="J44" s="177">
        <f t="shared" si="4"/>
        <v>1</v>
      </c>
      <c r="K44" s="51"/>
      <c r="L44" s="121">
        <v>456</v>
      </c>
      <c r="M44" s="121"/>
      <c r="N44" s="121"/>
      <c r="O44" s="121">
        <v>265</v>
      </c>
      <c r="P44" s="121">
        <v>447</v>
      </c>
      <c r="Q44" s="122"/>
      <c r="R44" s="178">
        <f t="shared" si="7"/>
        <v>903</v>
      </c>
      <c r="S44" s="179">
        <f t="shared" si="7"/>
        <v>265</v>
      </c>
      <c r="T44" s="51"/>
      <c r="U44" s="131">
        <f>L44*6+N44*6+P44*6</f>
        <v>5418</v>
      </c>
      <c r="V44" s="130">
        <f>U44/6</f>
        <v>903</v>
      </c>
      <c r="W44" s="133">
        <f>I44*6+J44</f>
        <v>198193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7</v>
      </c>
      <c r="D46" s="111"/>
      <c r="E46" s="112"/>
      <c r="F46" s="112"/>
      <c r="G46" s="76">
        <v>2</v>
      </c>
      <c r="H46" s="73"/>
      <c r="I46" s="93">
        <v>5</v>
      </c>
      <c r="J46" s="77">
        <f t="shared" si="4"/>
        <v>0</v>
      </c>
      <c r="K46" s="41"/>
      <c r="L46" s="112">
        <v>1</v>
      </c>
      <c r="M46" s="112"/>
      <c r="N46" s="112">
        <v>1</v>
      </c>
      <c r="O46" s="112"/>
      <c r="P46" s="112"/>
      <c r="Q46" s="120"/>
      <c r="R46" s="86">
        <f t="shared" si="7"/>
        <v>2</v>
      </c>
      <c r="S46" s="128">
        <f t="shared" si="7"/>
        <v>0</v>
      </c>
      <c r="T46" s="41"/>
      <c r="U46" s="107">
        <f t="shared" ref="U46:U47" si="11">L46*24+N46*24+P46*24</f>
        <v>48</v>
      </c>
      <c r="V46" s="134">
        <f t="shared" ref="V46:V47" si="12">U46/24</f>
        <v>2</v>
      </c>
      <c r="W46" s="129">
        <f t="shared" ref="W46:W47" si="13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>
        <v>3</v>
      </c>
      <c r="H48" s="139"/>
      <c r="I48" s="139">
        <f t="shared" si="4"/>
        <v>2779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16675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41444</v>
      </c>
      <c r="D60" s="54">
        <f>SUM(D8:D59)</f>
        <v>129</v>
      </c>
      <c r="E60" s="44">
        <f>SUM(E8:E59)</f>
        <v>1836</v>
      </c>
      <c r="F60" s="44"/>
      <c r="G60" s="28">
        <f>SUM(G8:G59)</f>
        <v>1407</v>
      </c>
      <c r="H60" s="56">
        <f>SUM(H8:H59)</f>
        <v>0</v>
      </c>
      <c r="I60" s="56">
        <f>SUM(I8:I59)</f>
        <v>41873</v>
      </c>
      <c r="J60" s="45">
        <f>SUM(J8:J59)</f>
        <v>129</v>
      </c>
      <c r="K60" s="46"/>
      <c r="L60" s="74">
        <f t="shared" ref="L60:S60" si="20">SUM(L8:L59)</f>
        <v>569</v>
      </c>
      <c r="M60" s="74">
        <f t="shared" si="20"/>
        <v>0</v>
      </c>
      <c r="N60" s="74">
        <f t="shared" si="20"/>
        <v>46</v>
      </c>
      <c r="O60" s="74">
        <f t="shared" si="20"/>
        <v>265</v>
      </c>
      <c r="P60" s="74">
        <f t="shared" si="20"/>
        <v>527</v>
      </c>
      <c r="Q60" s="75">
        <f t="shared" si="20"/>
        <v>0</v>
      </c>
      <c r="R60" s="85">
        <f t="shared" si="20"/>
        <v>1142</v>
      </c>
      <c r="S60" s="84">
        <f t="shared" si="20"/>
        <v>265</v>
      </c>
      <c r="T60" s="46"/>
      <c r="U60" s="43">
        <f>SUM(U8:U59)</f>
        <v>9624</v>
      </c>
      <c r="V60" s="102">
        <f>SUM(V8:V59)</f>
        <v>1142</v>
      </c>
      <c r="W60" s="187">
        <f>SUM(W8:W59)</f>
        <v>312555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5" t="s">
        <v>3</v>
      </c>
      <c r="D69" s="21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43EEB-5D57-48E9-98CE-667B02861CA9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46199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20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16</v>
      </c>
      <c r="D8" s="111">
        <v>9</v>
      </c>
      <c r="E8" s="112"/>
      <c r="F8" s="112"/>
      <c r="G8" s="76">
        <v>5</v>
      </c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5</v>
      </c>
      <c r="Q8" s="120"/>
      <c r="R8" s="86">
        <f t="shared" ref="R8:S12" si="1">L8+N8+P8</f>
        <v>5</v>
      </c>
      <c r="S8" s="124">
        <f t="shared" si="1"/>
        <v>0</v>
      </c>
      <c r="T8" s="41"/>
      <c r="U8" s="107">
        <f>L8*24+N8*24+P8*24</f>
        <v>120</v>
      </c>
      <c r="V8" s="130">
        <f>U8/24</f>
        <v>5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>
        <v>10</v>
      </c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>
        <v>10</v>
      </c>
      <c r="Q9" s="122"/>
      <c r="R9" s="98">
        <f t="shared" si="1"/>
        <v>10</v>
      </c>
      <c r="S9" s="125">
        <f t="shared" si="1"/>
        <v>0</v>
      </c>
      <c r="T9" s="51"/>
      <c r="U9" s="131">
        <f>L9*24+N9*24+P9*24</f>
        <v>240</v>
      </c>
      <c r="V9" s="132">
        <f>U9/24</f>
        <v>10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69</v>
      </c>
      <c r="D10" s="111"/>
      <c r="E10" s="112"/>
      <c r="F10" s="112"/>
      <c r="G10" s="76">
        <v>5</v>
      </c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2678</v>
      </c>
      <c r="D13" s="114"/>
      <c r="E13" s="115"/>
      <c r="F13" s="115"/>
      <c r="G13" s="78">
        <v>15</v>
      </c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>
        <v>15</v>
      </c>
      <c r="O13" s="121"/>
      <c r="P13" s="121"/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62</v>
      </c>
      <c r="D26" s="111">
        <v>1</v>
      </c>
      <c r="E26" s="112"/>
      <c r="F26" s="112"/>
      <c r="G26" s="76">
        <v>10</v>
      </c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7"/>
        <v>10</v>
      </c>
      <c r="S26" s="124">
        <f t="shared" si="7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175</v>
      </c>
      <c r="D29" s="111"/>
      <c r="E29" s="112"/>
      <c r="F29" s="112"/>
      <c r="G29" s="76">
        <v>20</v>
      </c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>
        <v>20</v>
      </c>
      <c r="Q29" s="120"/>
      <c r="R29" s="86">
        <f t="shared" si="7"/>
        <v>20</v>
      </c>
      <c r="S29" s="124">
        <f t="shared" si="7"/>
        <v>0</v>
      </c>
      <c r="T29" s="42"/>
      <c r="U29" s="107">
        <f t="shared" si="5"/>
        <v>480</v>
      </c>
      <c r="V29" s="130">
        <f t="shared" si="6"/>
        <v>20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31</v>
      </c>
      <c r="D30" s="111">
        <v>5</v>
      </c>
      <c r="E30" s="112"/>
      <c r="F30" s="112"/>
      <c r="G30" s="76">
        <v>5</v>
      </c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>
        <v>5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</v>
      </c>
      <c r="D35" s="111">
        <v>14</v>
      </c>
      <c r="E35" s="112"/>
      <c r="F35" s="112"/>
      <c r="G35" s="76">
        <v>10</v>
      </c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>
        <v>10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446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2526</v>
      </c>
      <c r="D38" s="114">
        <v>1</v>
      </c>
      <c r="E38" s="115"/>
      <c r="F38" s="115"/>
      <c r="G38" s="78">
        <v>118</v>
      </c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>
        <v>66</v>
      </c>
      <c r="O38" s="121"/>
      <c r="P38" s="121">
        <v>52</v>
      </c>
      <c r="Q38" s="122"/>
      <c r="R38" s="97">
        <f t="shared" si="7"/>
        <v>118</v>
      </c>
      <c r="S38" s="125">
        <f t="shared" si="7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112</v>
      </c>
      <c r="D41" s="147">
        <v>20</v>
      </c>
      <c r="E41" s="148"/>
      <c r="F41" s="148"/>
      <c r="G41" s="149">
        <v>10</v>
      </c>
      <c r="H41" s="150"/>
      <c r="I41" s="151">
        <f t="shared" si="4"/>
        <v>102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154</v>
      </c>
      <c r="D42" s="164"/>
      <c r="E42" s="165"/>
      <c r="F42" s="165"/>
      <c r="G42" s="166">
        <v>23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3</v>
      </c>
      <c r="O42" s="165"/>
      <c r="P42" s="165">
        <v>20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33030</v>
      </c>
      <c r="D44" s="114">
        <v>5</v>
      </c>
      <c r="E44" s="115">
        <v>3672</v>
      </c>
      <c r="F44" s="115"/>
      <c r="G44" s="78">
        <v>638</v>
      </c>
      <c r="H44" s="79"/>
      <c r="I44" s="73">
        <f>C44+E44-G44</f>
        <v>36064</v>
      </c>
      <c r="J44" s="177">
        <f t="shared" si="4"/>
        <v>5</v>
      </c>
      <c r="K44" s="51"/>
      <c r="L44" s="121"/>
      <c r="M44" s="121"/>
      <c r="N44" s="121">
        <v>433</v>
      </c>
      <c r="O44" s="121"/>
      <c r="P44" s="121">
        <v>205</v>
      </c>
      <c r="Q44" s="122"/>
      <c r="R44" s="178">
        <f t="shared" si="7"/>
        <v>638</v>
      </c>
      <c r="S44" s="179">
        <f t="shared" si="7"/>
        <v>0</v>
      </c>
      <c r="T44" s="51"/>
      <c r="U44" s="131">
        <f>L44*6+N44*6+P44*6</f>
        <v>3828</v>
      </c>
      <c r="V44" s="130">
        <f>U44/6</f>
        <v>638</v>
      </c>
      <c r="W44" s="133">
        <f>I44*6+J44</f>
        <v>216389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>
        <v>4</v>
      </c>
      <c r="Q46" s="120"/>
      <c r="R46" s="86">
        <f t="shared" si="7"/>
        <v>4</v>
      </c>
      <c r="S46" s="128">
        <f t="shared" si="7"/>
        <v>0</v>
      </c>
      <c r="T46" s="41"/>
      <c r="U46" s="107">
        <f t="shared" ref="U46:U47" si="11">L46*24+N46*24+P46*24</f>
        <v>96</v>
      </c>
      <c r="V46" s="134">
        <f t="shared" ref="V46:V47" si="12">U46/24</f>
        <v>4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2779</v>
      </c>
      <c r="D48" s="142">
        <v>1</v>
      </c>
      <c r="E48" s="121"/>
      <c r="F48" s="121"/>
      <c r="G48" s="143">
        <v>10</v>
      </c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41871</v>
      </c>
      <c r="D60" s="54">
        <f>SUM(D8:D59)</f>
        <v>133</v>
      </c>
      <c r="E60" s="44">
        <f>SUM(E8:E59)</f>
        <v>3672</v>
      </c>
      <c r="F60" s="44"/>
      <c r="G60" s="28">
        <f>SUM(G8:G59)</f>
        <v>886</v>
      </c>
      <c r="H60" s="56">
        <f>SUM(H8:H59)</f>
        <v>0</v>
      </c>
      <c r="I60" s="56">
        <f>SUM(I8:I59)</f>
        <v>44657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517</v>
      </c>
      <c r="O60" s="74">
        <f t="shared" si="20"/>
        <v>0</v>
      </c>
      <c r="P60" s="74">
        <f t="shared" si="20"/>
        <v>369</v>
      </c>
      <c r="Q60" s="75">
        <f t="shared" si="20"/>
        <v>0</v>
      </c>
      <c r="R60" s="85">
        <f t="shared" si="20"/>
        <v>886</v>
      </c>
      <c r="S60" s="84">
        <f t="shared" si="20"/>
        <v>0</v>
      </c>
      <c r="T60" s="46"/>
      <c r="U60" s="43">
        <f>SUM(U8:U59)</f>
        <v>7200</v>
      </c>
      <c r="V60" s="102">
        <f>SUM(V8:V59)</f>
        <v>886</v>
      </c>
      <c r="W60" s="187">
        <f>SUM(W8:W59)</f>
        <v>327379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8" t="s">
        <v>3</v>
      </c>
      <c r="D69" s="21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188B3-BDA5-4E58-950B-CDD51BBEF850}">
  <sheetPr>
    <pageSetUpPr fitToPage="1"/>
  </sheetPr>
  <dimension ref="A1:BH90"/>
  <sheetViews>
    <sheetView zoomScale="85" zoomScaleNormal="85" zoomScaleSheetLayoutView="85" zoomScalePageLayoutView="80" workbookViewId="0">
      <selection activeCell="AI27" sqref="AI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46200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23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11</v>
      </c>
      <c r="D8" s="111">
        <v>9</v>
      </c>
      <c r="E8" s="112"/>
      <c r="F8" s="112"/>
      <c r="G8" s="76"/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/>
      <c r="E9" s="115"/>
      <c r="F9" s="115"/>
      <c r="G9" s="78"/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64</v>
      </c>
      <c r="D10" s="111"/>
      <c r="E10" s="112"/>
      <c r="F10" s="112"/>
      <c r="G10" s="76"/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2663</v>
      </c>
      <c r="D13" s="114"/>
      <c r="E13" s="115"/>
      <c r="F13" s="115"/>
      <c r="G13" s="78"/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52</v>
      </c>
      <c r="D26" s="111">
        <v>1</v>
      </c>
      <c r="E26" s="112"/>
      <c r="F26" s="112"/>
      <c r="G26" s="76"/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155</v>
      </c>
      <c r="D29" s="111"/>
      <c r="E29" s="112"/>
      <c r="F29" s="112"/>
      <c r="G29" s="76"/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</v>
      </c>
      <c r="D35" s="111">
        <v>14</v>
      </c>
      <c r="E35" s="112"/>
      <c r="F35" s="112"/>
      <c r="G35" s="76"/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446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2408</v>
      </c>
      <c r="D38" s="114">
        <v>1</v>
      </c>
      <c r="E38" s="115"/>
      <c r="F38" s="115"/>
      <c r="G38" s="78"/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>C40-G40</f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102</v>
      </c>
      <c r="D41" s="147">
        <v>20</v>
      </c>
      <c r="E41" s="148"/>
      <c r="F41" s="148"/>
      <c r="G41" s="149"/>
      <c r="H41" s="150"/>
      <c r="I41" s="151">
        <f>C41+E41-G41</f>
        <v>102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131</v>
      </c>
      <c r="D42" s="164"/>
      <c r="E42" s="165"/>
      <c r="F42" s="165"/>
      <c r="G42" s="166"/>
      <c r="H42" s="167"/>
      <c r="I42" s="166">
        <f>C42+F42-G42</f>
        <v>131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36064</v>
      </c>
      <c r="D44" s="114">
        <v>5</v>
      </c>
      <c r="E44" s="115">
        <v>3354</v>
      </c>
      <c r="F44" s="115">
        <v>318</v>
      </c>
      <c r="G44" s="78"/>
      <c r="H44" s="79"/>
      <c r="I44" s="73">
        <f>C44+E44+F44</f>
        <v>39736</v>
      </c>
      <c r="J44" s="177">
        <f t="shared" si="4"/>
        <v>5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238421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2769</v>
      </c>
      <c r="D48" s="142">
        <v>1</v>
      </c>
      <c r="E48" s="121"/>
      <c r="F48" s="121"/>
      <c r="G48" s="143"/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44657</v>
      </c>
      <c r="D60" s="54">
        <f>SUM(D8:D59)</f>
        <v>133</v>
      </c>
      <c r="E60" s="44">
        <f>SUM(E8:E59)</f>
        <v>3354</v>
      </c>
      <c r="F60" s="44"/>
      <c r="G60" s="28">
        <f>SUM(G8:G59)</f>
        <v>0</v>
      </c>
      <c r="H60" s="56">
        <f>SUM(H8:H59)</f>
        <v>0</v>
      </c>
      <c r="I60" s="56">
        <f>SUM(I8:I59)</f>
        <v>48329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187">
        <f>SUM(W8:W59)</f>
        <v>349411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1" t="s">
        <v>3</v>
      </c>
      <c r="D69" s="22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1298-25C6-47EC-830C-47D0DABD54EB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Z52" sqref="Z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46202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26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11</v>
      </c>
      <c r="D8" s="111">
        <v>9</v>
      </c>
      <c r="E8" s="112"/>
      <c r="F8" s="112"/>
      <c r="G8" s="76"/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/>
      <c r="E9" s="115"/>
      <c r="F9" s="115"/>
      <c r="G9" s="78"/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64</v>
      </c>
      <c r="D10" s="111"/>
      <c r="E10" s="112"/>
      <c r="F10" s="112"/>
      <c r="G10" s="76">
        <v>5</v>
      </c>
      <c r="H10" s="73"/>
      <c r="I10" s="73">
        <f t="shared" si="4"/>
        <v>59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1416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2663</v>
      </c>
      <c r="D13" s="114"/>
      <c r="E13" s="115"/>
      <c r="F13" s="115"/>
      <c r="G13" s="78">
        <v>41</v>
      </c>
      <c r="H13" s="79">
        <v>12</v>
      </c>
      <c r="I13" s="80">
        <f t="shared" si="4"/>
        <v>2622</v>
      </c>
      <c r="J13" s="94">
        <f>D13-H13</f>
        <v>-12</v>
      </c>
      <c r="K13" s="53"/>
      <c r="L13" s="121">
        <v>22</v>
      </c>
      <c r="M13" s="121"/>
      <c r="N13" s="121">
        <v>4</v>
      </c>
      <c r="O13" s="121">
        <v>12</v>
      </c>
      <c r="P13" s="121">
        <v>15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62916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52</v>
      </c>
      <c r="D26" s="111">
        <v>1</v>
      </c>
      <c r="E26" s="112"/>
      <c r="F26" s="112"/>
      <c r="G26" s="76"/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155</v>
      </c>
      <c r="D29" s="111"/>
      <c r="E29" s="112"/>
      <c r="F29" s="112"/>
      <c r="G29" s="76">
        <v>1</v>
      </c>
      <c r="H29" s="73"/>
      <c r="I29" s="73">
        <f t="shared" si="4"/>
        <v>154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3696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</v>
      </c>
      <c r="D35" s="111">
        <v>14</v>
      </c>
      <c r="E35" s="112"/>
      <c r="F35" s="112"/>
      <c r="G35" s="76"/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446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2408</v>
      </c>
      <c r="D38" s="114">
        <v>1</v>
      </c>
      <c r="E38" s="115"/>
      <c r="F38" s="115"/>
      <c r="G38" s="78">
        <v>110</v>
      </c>
      <c r="H38" s="79"/>
      <c r="I38" s="139">
        <f t="shared" si="4"/>
        <v>2298</v>
      </c>
      <c r="J38" s="140">
        <f t="shared" si="4"/>
        <v>1</v>
      </c>
      <c r="K38" s="51"/>
      <c r="L38" s="121">
        <v>21</v>
      </c>
      <c r="M38" s="121"/>
      <c r="N38" s="121">
        <v>30</v>
      </c>
      <c r="O38" s="121"/>
      <c r="P38" s="121">
        <v>59</v>
      </c>
      <c r="Q38" s="122"/>
      <c r="R38" s="97">
        <f t="shared" si="7"/>
        <v>110</v>
      </c>
      <c r="S38" s="125">
        <f t="shared" si="7"/>
        <v>0</v>
      </c>
      <c r="T38" s="51"/>
      <c r="U38" s="131">
        <f>L38*6+N38*6+P38*6</f>
        <v>660</v>
      </c>
      <c r="V38" s="135">
        <f>U38/6</f>
        <v>110</v>
      </c>
      <c r="W38" s="133">
        <f>I38*6+J38</f>
        <v>13789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102</v>
      </c>
      <c r="D41" s="147">
        <v>20</v>
      </c>
      <c r="E41" s="148"/>
      <c r="F41" s="148"/>
      <c r="G41" s="149">
        <v>1</v>
      </c>
      <c r="H41" s="150"/>
      <c r="I41" s="151">
        <f t="shared" si="4"/>
        <v>101</v>
      </c>
      <c r="J41" s="152">
        <f t="shared" si="4"/>
        <v>20</v>
      </c>
      <c r="K41" s="153"/>
      <c r="L41" s="154"/>
      <c r="M41" s="154"/>
      <c r="N41" s="154">
        <v>1</v>
      </c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2444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131</v>
      </c>
      <c r="D42" s="164"/>
      <c r="E42" s="165"/>
      <c r="F42" s="165"/>
      <c r="G42" s="166">
        <v>19</v>
      </c>
      <c r="H42" s="167"/>
      <c r="I42" s="166">
        <f t="shared" si="4"/>
        <v>112</v>
      </c>
      <c r="J42" s="168">
        <f t="shared" si="4"/>
        <v>0</v>
      </c>
      <c r="K42" s="169"/>
      <c r="L42" s="165">
        <v>3</v>
      </c>
      <c r="M42" s="165"/>
      <c r="N42" s="165">
        <v>6</v>
      </c>
      <c r="O42" s="165"/>
      <c r="P42" s="165">
        <v>10</v>
      </c>
      <c r="Q42" s="170"/>
      <c r="R42" s="171">
        <f t="shared" si="7"/>
        <v>19</v>
      </c>
      <c r="S42" s="172">
        <f t="shared" si="7"/>
        <v>0</v>
      </c>
      <c r="T42" s="169"/>
      <c r="U42" s="173">
        <f>L42*12+N42*12+P42*12</f>
        <v>228</v>
      </c>
      <c r="V42" s="174">
        <f>U42/12</f>
        <v>19</v>
      </c>
      <c r="W42" s="175">
        <f>I42*12+J42</f>
        <v>1344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39735</v>
      </c>
      <c r="D44" s="114">
        <v>5</v>
      </c>
      <c r="E44" s="115">
        <v>7344</v>
      </c>
      <c r="F44" s="115"/>
      <c r="G44" s="78">
        <v>1329</v>
      </c>
      <c r="H44" s="79"/>
      <c r="I44" s="73">
        <f>C44+E44-G44</f>
        <v>45750</v>
      </c>
      <c r="J44" s="177">
        <f t="shared" si="4"/>
        <v>5</v>
      </c>
      <c r="K44" s="51"/>
      <c r="L44" s="121">
        <v>592</v>
      </c>
      <c r="M44" s="121"/>
      <c r="N44" s="121">
        <v>263</v>
      </c>
      <c r="O44" s="121"/>
      <c r="P44" s="121">
        <v>474</v>
      </c>
      <c r="Q44" s="122"/>
      <c r="R44" s="178">
        <f t="shared" si="7"/>
        <v>1329</v>
      </c>
      <c r="S44" s="179">
        <f t="shared" si="7"/>
        <v>0</v>
      </c>
      <c r="T44" s="51"/>
      <c r="U44" s="131">
        <f>L44*6+N44*6+P44*6</f>
        <v>7974</v>
      </c>
      <c r="V44" s="130">
        <f>U44/6</f>
        <v>1329</v>
      </c>
      <c r="W44" s="133">
        <f>I44*6+J44</f>
        <v>274505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>
        <v>1</v>
      </c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2769</v>
      </c>
      <c r="D48" s="142">
        <v>1</v>
      </c>
      <c r="E48" s="121"/>
      <c r="F48" s="121"/>
      <c r="G48" s="143"/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48328</v>
      </c>
      <c r="D60" s="54">
        <f>SUM(D8:D59)</f>
        <v>133</v>
      </c>
      <c r="E60" s="44">
        <f>SUM(E8:E59)</f>
        <v>7344</v>
      </c>
      <c r="F60" s="44"/>
      <c r="G60" s="28">
        <f>SUM(G8:G59)</f>
        <v>1508</v>
      </c>
      <c r="H60" s="56">
        <f>SUM(H8:H59)</f>
        <v>12</v>
      </c>
      <c r="I60" s="56">
        <f>SUM(I8:I59)</f>
        <v>54164</v>
      </c>
      <c r="J60" s="45">
        <f>SUM(J8:J59)</f>
        <v>121</v>
      </c>
      <c r="K60" s="46"/>
      <c r="L60" s="74">
        <f t="shared" ref="L60:S60" si="20">SUM(L8:L59)</f>
        <v>638</v>
      </c>
      <c r="M60" s="74">
        <f t="shared" si="20"/>
        <v>0</v>
      </c>
      <c r="N60" s="74">
        <f t="shared" si="20"/>
        <v>307</v>
      </c>
      <c r="O60" s="74">
        <f t="shared" si="20"/>
        <v>12</v>
      </c>
      <c r="P60" s="74">
        <f t="shared" si="20"/>
        <v>563</v>
      </c>
      <c r="Q60" s="75">
        <f t="shared" si="20"/>
        <v>0</v>
      </c>
      <c r="R60" s="85">
        <f t="shared" si="20"/>
        <v>1508</v>
      </c>
      <c r="S60" s="84">
        <f t="shared" si="20"/>
        <v>12</v>
      </c>
      <c r="T60" s="46"/>
      <c r="U60" s="43">
        <f>SUM(U8:U59)</f>
        <v>10062</v>
      </c>
      <c r="V60" s="102">
        <f>SUM(V8:V59)</f>
        <v>1508</v>
      </c>
      <c r="W60" s="186">
        <f>SUM(W8:W59)</f>
        <v>383395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4" t="s">
        <v>3</v>
      </c>
      <c r="D69" s="22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05,24</vt:lpstr>
      <vt:lpstr>05,25</vt:lpstr>
      <vt:lpstr>05,26</vt:lpstr>
      <vt:lpstr>05,27</vt:lpstr>
      <vt:lpstr>05,29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'05,29'!Print_Area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2026-07-03T03:26:54Z</dcterms:modified>
</cp:coreProperties>
</file>