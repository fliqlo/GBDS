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B040034A-5416-478C-8629-994D24B498B9}" xr6:coauthVersionLast="45" xr6:coauthVersionMax="45" xr10:uidLastSave="{00000000-0000-0000-0000-000000000000}"/>
  <bookViews>
    <workbookView xWindow="-120" yWindow="-120" windowWidth="29040" windowHeight="15840" activeTab="15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4" sheetId="120" r:id="rId5"/>
    <sheet name="05,05" sheetId="121" r:id="rId6"/>
    <sheet name="05,08" sheetId="123" r:id="rId7"/>
    <sheet name="05,09" sheetId="124" r:id="rId8"/>
    <sheet name="05,10" sheetId="125" r:id="rId9"/>
    <sheet name="05,11 " sheetId="126" r:id="rId10"/>
    <sheet name="05,12  " sheetId="127" r:id="rId11"/>
    <sheet name="05,15" sheetId="128" r:id="rId12"/>
    <sheet name="05,16" sheetId="129" r:id="rId13"/>
    <sheet name="05,17" sheetId="130" r:id="rId14"/>
    <sheet name="05,18" sheetId="131" r:id="rId15"/>
    <sheet name="05,19" sheetId="132" r:id="rId16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'05,04'!$A$1:$Y$61</definedName>
    <definedName name="_xlnm.Print_Area" localSheetId="5">'05,05'!$A$1:$Y$61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 '!$A$1:$Y$61</definedName>
    <definedName name="_xlnm.Print_Area" localSheetId="10">'05,12  '!$A$1:$Y$61</definedName>
    <definedName name="_xlnm.Print_Area" localSheetId="11">'05,15'!$A$1:$Y$61</definedName>
    <definedName name="_xlnm.Print_Area" localSheetId="12">'05,16'!$A$1:$Y$61</definedName>
    <definedName name="_xlnm.Print_Area" localSheetId="13">'05,17'!$A$1:$Y$61</definedName>
    <definedName name="_xlnm.Print_Area" localSheetId="14">'05,18'!$A$1:$Y$61</definedName>
    <definedName name="_xlnm.Print_Area" localSheetId="15">'05,19'!$A$1:$Y$61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32" l="1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W54" i="132"/>
  <c r="U54" i="132"/>
  <c r="V54" i="132" s="1"/>
  <c r="S54" i="132"/>
  <c r="R54" i="132"/>
  <c r="J54" i="132"/>
  <c r="I54" i="132"/>
  <c r="U53" i="132"/>
  <c r="V53" i="132" s="1"/>
  <c r="S53" i="132"/>
  <c r="R53" i="132"/>
  <c r="J53" i="132"/>
  <c r="I53" i="132"/>
  <c r="W53" i="132" s="1"/>
  <c r="U52" i="132"/>
  <c r="V52" i="132" s="1"/>
  <c r="S52" i="132"/>
  <c r="R52" i="132"/>
  <c r="J52" i="132"/>
  <c r="I52" i="132"/>
  <c r="W52" i="132" s="1"/>
  <c r="U51" i="132"/>
  <c r="V51" i="132" s="1"/>
  <c r="S51" i="132"/>
  <c r="R51" i="132"/>
  <c r="J51" i="132"/>
  <c r="I51" i="132"/>
  <c r="W51" i="132" s="1"/>
  <c r="W50" i="132"/>
  <c r="U50" i="132"/>
  <c r="V50" i="132" s="1"/>
  <c r="S50" i="132"/>
  <c r="R50" i="132"/>
  <c r="J50" i="132"/>
  <c r="I50" i="132"/>
  <c r="U49" i="132"/>
  <c r="V49" i="132" s="1"/>
  <c r="S49" i="132"/>
  <c r="R49" i="132"/>
  <c r="J49" i="132"/>
  <c r="I49" i="132"/>
  <c r="W49" i="132" s="1"/>
  <c r="U48" i="132"/>
  <c r="V48" i="132" s="1"/>
  <c r="S48" i="132"/>
  <c r="R48" i="132"/>
  <c r="J48" i="132"/>
  <c r="I48" i="132"/>
  <c r="W48" i="132" s="1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S45" i="132"/>
  <c r="R45" i="132"/>
  <c r="J45" i="132"/>
  <c r="I45" i="132"/>
  <c r="U44" i="132"/>
  <c r="V44" i="132" s="1"/>
  <c r="S44" i="132"/>
  <c r="R44" i="132"/>
  <c r="J44" i="132"/>
  <c r="I44" i="132"/>
  <c r="W44" i="132" s="1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W41" i="132" s="1"/>
  <c r="U40" i="132"/>
  <c r="V40" i="132" s="1"/>
  <c r="S40" i="132"/>
  <c r="R40" i="132"/>
  <c r="J40" i="132"/>
  <c r="I40" i="132"/>
  <c r="W40" i="132" s="1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W37" i="132"/>
  <c r="U37" i="132"/>
  <c r="V37" i="132" s="1"/>
  <c r="S37" i="132"/>
  <c r="R37" i="132"/>
  <c r="J37" i="132"/>
  <c r="I37" i="132"/>
  <c r="U36" i="132"/>
  <c r="V36" i="132" s="1"/>
  <c r="S36" i="132"/>
  <c r="R36" i="132"/>
  <c r="J36" i="132"/>
  <c r="I36" i="132"/>
  <c r="W36" i="132" s="1"/>
  <c r="U35" i="132"/>
  <c r="V35" i="132" s="1"/>
  <c r="S35" i="132"/>
  <c r="R35" i="132"/>
  <c r="J35" i="132"/>
  <c r="I35" i="132"/>
  <c r="W35" i="132" s="1"/>
  <c r="W34" i="132"/>
  <c r="U34" i="132"/>
  <c r="V34" i="132" s="1"/>
  <c r="S34" i="132"/>
  <c r="R34" i="132"/>
  <c r="J34" i="132"/>
  <c r="I34" i="132"/>
  <c r="U33" i="132"/>
  <c r="V33" i="132" s="1"/>
  <c r="S33" i="132"/>
  <c r="R33" i="132"/>
  <c r="J33" i="132"/>
  <c r="I33" i="132"/>
  <c r="W33" i="132" s="1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W30" i="132" s="1"/>
  <c r="W29" i="132"/>
  <c r="U29" i="132"/>
  <c r="V29" i="132" s="1"/>
  <c r="S29" i="132"/>
  <c r="R29" i="132"/>
  <c r="J29" i="132"/>
  <c r="I29" i="132"/>
  <c r="U28" i="132"/>
  <c r="V28" i="132" s="1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U26" i="132"/>
  <c r="V26" i="132" s="1"/>
  <c r="S26" i="132"/>
  <c r="R26" i="132"/>
  <c r="J26" i="132"/>
  <c r="I26" i="132"/>
  <c r="W26" i="132" s="1"/>
  <c r="V25" i="132"/>
  <c r="U25" i="132"/>
  <c r="S25" i="132"/>
  <c r="R25" i="132"/>
  <c r="J25" i="132"/>
  <c r="I25" i="132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U21" i="132"/>
  <c r="V21" i="132" s="1"/>
  <c r="S21" i="132"/>
  <c r="R21" i="132"/>
  <c r="J21" i="132"/>
  <c r="I21" i="132"/>
  <c r="U20" i="132"/>
  <c r="V20" i="132" s="1"/>
  <c r="S20" i="132"/>
  <c r="R20" i="132"/>
  <c r="J20" i="132"/>
  <c r="I20" i="132"/>
  <c r="V19" i="132"/>
  <c r="U19" i="132"/>
  <c r="S19" i="132"/>
  <c r="R19" i="132"/>
  <c r="J19" i="132"/>
  <c r="I19" i="132"/>
  <c r="U18" i="132"/>
  <c r="V18" i="132" s="1"/>
  <c r="S18" i="132"/>
  <c r="R18" i="132"/>
  <c r="J18" i="132"/>
  <c r="I18" i="132"/>
  <c r="W18" i="132" s="1"/>
  <c r="V17" i="132"/>
  <c r="U17" i="132"/>
  <c r="S17" i="132"/>
  <c r="R17" i="132"/>
  <c r="J17" i="132"/>
  <c r="I17" i="132"/>
  <c r="V16" i="132"/>
  <c r="U16" i="132"/>
  <c r="S16" i="132"/>
  <c r="R16" i="132"/>
  <c r="J16" i="132"/>
  <c r="I16" i="132"/>
  <c r="V15" i="132"/>
  <c r="U15" i="132"/>
  <c r="S15" i="132"/>
  <c r="R15" i="132"/>
  <c r="J15" i="132"/>
  <c r="I15" i="132"/>
  <c r="V14" i="132"/>
  <c r="U14" i="132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U11" i="132"/>
  <c r="V11" i="132" s="1"/>
  <c r="S11" i="132"/>
  <c r="R11" i="132"/>
  <c r="J11" i="132"/>
  <c r="I11" i="132"/>
  <c r="U10" i="132"/>
  <c r="V10" i="132" s="1"/>
  <c r="S10" i="132"/>
  <c r="R10" i="132"/>
  <c r="J10" i="132"/>
  <c r="I10" i="132"/>
  <c r="W10" i="132" s="1"/>
  <c r="A10" i="132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9" i="132"/>
  <c r="V9" i="132" s="1"/>
  <c r="S9" i="132"/>
  <c r="R9" i="132"/>
  <c r="J9" i="132"/>
  <c r="I9" i="132"/>
  <c r="W9" i="132" s="1"/>
  <c r="A9" i="132"/>
  <c r="V8" i="132"/>
  <c r="U8" i="132"/>
  <c r="S8" i="132"/>
  <c r="R8" i="132"/>
  <c r="J8" i="132"/>
  <c r="I8" i="132"/>
  <c r="Q60" i="131"/>
  <c r="P60" i="131"/>
  <c r="O60" i="131"/>
  <c r="N60" i="131"/>
  <c r="M60" i="131"/>
  <c r="L60" i="131"/>
  <c r="H60" i="131"/>
  <c r="G60" i="131"/>
  <c r="E60" i="131"/>
  <c r="D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U52" i="131"/>
  <c r="V52" i="131" s="1"/>
  <c r="S52" i="131"/>
  <c r="R52" i="131"/>
  <c r="J52" i="131"/>
  <c r="I52" i="131"/>
  <c r="W52" i="131" s="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W48" i="131" s="1"/>
  <c r="U47" i="131"/>
  <c r="V47" i="131" s="1"/>
  <c r="S47" i="131"/>
  <c r="R47" i="131"/>
  <c r="J47" i="131"/>
  <c r="I47" i="131"/>
  <c r="W47" i="131" s="1"/>
  <c r="U46" i="131"/>
  <c r="V46" i="131" s="1"/>
  <c r="S46" i="131"/>
  <c r="R46" i="131"/>
  <c r="J46" i="131"/>
  <c r="I46" i="131"/>
  <c r="W46" i="131" s="1"/>
  <c r="S45" i="131"/>
  <c r="R45" i="131"/>
  <c r="J45" i="131"/>
  <c r="I45" i="131"/>
  <c r="U44" i="131"/>
  <c r="V44" i="131" s="1"/>
  <c r="S44" i="131"/>
  <c r="R44" i="131"/>
  <c r="J44" i="131"/>
  <c r="I44" i="13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W39" i="131" s="1"/>
  <c r="U38" i="131"/>
  <c r="V38" i="131" s="1"/>
  <c r="S38" i="131"/>
  <c r="R38" i="131"/>
  <c r="J38" i="131"/>
  <c r="I38" i="131"/>
  <c r="U37" i="131"/>
  <c r="V37" i="131" s="1"/>
  <c r="S37" i="131"/>
  <c r="R37" i="131"/>
  <c r="J37" i="131"/>
  <c r="W37" i="131" s="1"/>
  <c r="I37" i="13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U34" i="131"/>
  <c r="V34" i="131" s="1"/>
  <c r="S34" i="131"/>
  <c r="R34" i="131"/>
  <c r="J34" i="131"/>
  <c r="I34" i="131"/>
  <c r="W34" i="131" s="1"/>
  <c r="U33" i="131"/>
  <c r="V33" i="131" s="1"/>
  <c r="S33" i="131"/>
  <c r="R33" i="131"/>
  <c r="J33" i="131"/>
  <c r="I33" i="131"/>
  <c r="W33" i="131" s="1"/>
  <c r="U32" i="131"/>
  <c r="V32" i="131" s="1"/>
  <c r="S32" i="131"/>
  <c r="R32" i="131"/>
  <c r="J32" i="131"/>
  <c r="I32" i="131"/>
  <c r="W32" i="131" s="1"/>
  <c r="U31" i="131"/>
  <c r="V31" i="131" s="1"/>
  <c r="S31" i="131"/>
  <c r="R31" i="131"/>
  <c r="J31" i="131"/>
  <c r="I31" i="131"/>
  <c r="W31" i="131" s="1"/>
  <c r="U30" i="131"/>
  <c r="V30" i="131" s="1"/>
  <c r="S30" i="131"/>
  <c r="R30" i="131"/>
  <c r="J30" i="131"/>
  <c r="I30" i="131"/>
  <c r="U29" i="131"/>
  <c r="V29" i="131" s="1"/>
  <c r="S29" i="131"/>
  <c r="R29" i="131"/>
  <c r="J29" i="131"/>
  <c r="I29" i="131"/>
  <c r="U28" i="131"/>
  <c r="V28" i="131" s="1"/>
  <c r="S28" i="131"/>
  <c r="R28" i="131"/>
  <c r="J28" i="131"/>
  <c r="I28" i="131"/>
  <c r="W28" i="131" s="1"/>
  <c r="U27" i="131"/>
  <c r="S27" i="131"/>
  <c r="R27" i="131"/>
  <c r="J27" i="131"/>
  <c r="I27" i="131"/>
  <c r="W27" i="131" s="1"/>
  <c r="BE26" i="131"/>
  <c r="U26" i="131"/>
  <c r="V26" i="131" s="1"/>
  <c r="S26" i="131"/>
  <c r="R26" i="131"/>
  <c r="J26" i="131"/>
  <c r="I26" i="131"/>
  <c r="W26" i="131" s="1"/>
  <c r="V25" i="131"/>
  <c r="U25" i="131"/>
  <c r="S25" i="131"/>
  <c r="R25" i="131"/>
  <c r="J25" i="131"/>
  <c r="I25" i="131"/>
  <c r="W25" i="131" s="1"/>
  <c r="U24" i="131"/>
  <c r="V24" i="131" s="1"/>
  <c r="S24" i="131"/>
  <c r="R24" i="131"/>
  <c r="J24" i="131"/>
  <c r="I24" i="131"/>
  <c r="U23" i="131"/>
  <c r="V23" i="131" s="1"/>
  <c r="S23" i="131"/>
  <c r="R23" i="131"/>
  <c r="J23" i="131"/>
  <c r="I23" i="131"/>
  <c r="U22" i="131"/>
  <c r="V22" i="131" s="1"/>
  <c r="S22" i="131"/>
  <c r="R22" i="131"/>
  <c r="J22" i="131"/>
  <c r="I22" i="131"/>
  <c r="W22" i="131" s="1"/>
  <c r="V21" i="131"/>
  <c r="U21" i="131"/>
  <c r="S21" i="131"/>
  <c r="R21" i="131"/>
  <c r="J21" i="131"/>
  <c r="I21" i="131"/>
  <c r="W21" i="131" s="1"/>
  <c r="U20" i="131"/>
  <c r="V20" i="131" s="1"/>
  <c r="S20" i="131"/>
  <c r="R20" i="131"/>
  <c r="J20" i="131"/>
  <c r="I20" i="131"/>
  <c r="U19" i="131"/>
  <c r="V19" i="131" s="1"/>
  <c r="S19" i="131"/>
  <c r="R19" i="131"/>
  <c r="J19" i="131"/>
  <c r="I19" i="131"/>
  <c r="U18" i="131"/>
  <c r="V18" i="131" s="1"/>
  <c r="S18" i="131"/>
  <c r="R18" i="131"/>
  <c r="J18" i="131"/>
  <c r="I18" i="131"/>
  <c r="W18" i="131" s="1"/>
  <c r="V17" i="131"/>
  <c r="U17" i="131"/>
  <c r="S17" i="131"/>
  <c r="R17" i="131"/>
  <c r="J17" i="131"/>
  <c r="I17" i="131"/>
  <c r="W17" i="131" s="1"/>
  <c r="V16" i="131"/>
  <c r="U16" i="131"/>
  <c r="S16" i="131"/>
  <c r="R16" i="131"/>
  <c r="J16" i="131"/>
  <c r="I16" i="131"/>
  <c r="W16" i="131" s="1"/>
  <c r="U15" i="131"/>
  <c r="V15" i="131" s="1"/>
  <c r="S15" i="131"/>
  <c r="R15" i="131"/>
  <c r="J15" i="131"/>
  <c r="I15" i="131"/>
  <c r="U14" i="131"/>
  <c r="V14" i="131" s="1"/>
  <c r="S14" i="131"/>
  <c r="R14" i="131"/>
  <c r="J14" i="131"/>
  <c r="C60" i="131"/>
  <c r="U13" i="131"/>
  <c r="V13" i="131" s="1"/>
  <c r="S13" i="131"/>
  <c r="R13" i="131"/>
  <c r="J13" i="131"/>
  <c r="I13" i="131"/>
  <c r="W13" i="131" s="1"/>
  <c r="U12" i="131"/>
  <c r="V12" i="131" s="1"/>
  <c r="S12" i="131"/>
  <c r="R12" i="131"/>
  <c r="J12" i="131"/>
  <c r="I12" i="131"/>
  <c r="U11" i="131"/>
  <c r="V11" i="131" s="1"/>
  <c r="S11" i="131"/>
  <c r="R11" i="131"/>
  <c r="J11" i="131"/>
  <c r="I11" i="131"/>
  <c r="W11" i="131" s="1"/>
  <c r="U10" i="131"/>
  <c r="V10" i="131" s="1"/>
  <c r="S10" i="131"/>
  <c r="R10" i="131"/>
  <c r="J10" i="131"/>
  <c r="I10" i="13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9" i="131"/>
  <c r="V9" i="131" s="1"/>
  <c r="S9" i="131"/>
  <c r="R9" i="131"/>
  <c r="J9" i="131"/>
  <c r="I9" i="131"/>
  <c r="W9" i="131" s="1"/>
  <c r="A9" i="131"/>
  <c r="U8" i="131"/>
  <c r="V8" i="131" s="1"/>
  <c r="S8" i="131"/>
  <c r="R8" i="131"/>
  <c r="J8" i="131"/>
  <c r="I8" i="131"/>
  <c r="W8" i="131" s="1"/>
  <c r="C14" i="130"/>
  <c r="Q60" i="130"/>
  <c r="P60" i="130"/>
  <c r="O60" i="130"/>
  <c r="N60" i="130"/>
  <c r="M60" i="130"/>
  <c r="L60" i="130"/>
  <c r="H60" i="130"/>
  <c r="G60" i="130"/>
  <c r="E60" i="130"/>
  <c r="D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C60" i="130"/>
  <c r="U47" i="130"/>
  <c r="V47" i="130" s="1"/>
  <c r="S47" i="130"/>
  <c r="R47" i="130"/>
  <c r="J47" i="130"/>
  <c r="I47" i="130"/>
  <c r="V46" i="130"/>
  <c r="U46" i="130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V40" i="130"/>
  <c r="U40" i="130"/>
  <c r="S40" i="130"/>
  <c r="R40" i="130"/>
  <c r="J40" i="130"/>
  <c r="I40" i="130"/>
  <c r="W40" i="130" s="1"/>
  <c r="U39" i="130"/>
  <c r="V39" i="130" s="1"/>
  <c r="S39" i="130"/>
  <c r="R39" i="130"/>
  <c r="J39" i="130"/>
  <c r="I39" i="130"/>
  <c r="U38" i="130"/>
  <c r="V38" i="130" s="1"/>
  <c r="S38" i="130"/>
  <c r="R38" i="130"/>
  <c r="J38" i="130"/>
  <c r="I38" i="130"/>
  <c r="W38" i="130" s="1"/>
  <c r="U37" i="130"/>
  <c r="V37" i="130" s="1"/>
  <c r="S37" i="130"/>
  <c r="R37" i="130"/>
  <c r="J37" i="130"/>
  <c r="I37" i="130"/>
  <c r="W37" i="130" s="1"/>
  <c r="V36" i="130"/>
  <c r="U36" i="130"/>
  <c r="S36" i="130"/>
  <c r="R36" i="130"/>
  <c r="J36" i="130"/>
  <c r="I36" i="130"/>
  <c r="W36" i="130" s="1"/>
  <c r="V35" i="130"/>
  <c r="U35" i="130"/>
  <c r="S35" i="130"/>
  <c r="R35" i="130"/>
  <c r="J35" i="130"/>
  <c r="I35" i="130"/>
  <c r="W35" i="130" s="1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V32" i="130"/>
  <c r="U32" i="130"/>
  <c r="S32" i="130"/>
  <c r="R32" i="130"/>
  <c r="J32" i="130"/>
  <c r="I32" i="130"/>
  <c r="W32" i="130" s="1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U29" i="130"/>
  <c r="V29" i="130" s="1"/>
  <c r="S29" i="130"/>
  <c r="R29" i="130"/>
  <c r="J29" i="130"/>
  <c r="I29" i="130"/>
  <c r="W29" i="130" s="1"/>
  <c r="V28" i="130"/>
  <c r="U28" i="130"/>
  <c r="S28" i="130"/>
  <c r="R28" i="130"/>
  <c r="J28" i="130"/>
  <c r="I28" i="130"/>
  <c r="W28" i="130" s="1"/>
  <c r="V27" i="130"/>
  <c r="U27" i="130"/>
  <c r="S27" i="130"/>
  <c r="R27" i="130"/>
  <c r="J27" i="130"/>
  <c r="I27" i="130"/>
  <c r="W27" i="130" s="1"/>
  <c r="BE26" i="130"/>
  <c r="U26" i="130"/>
  <c r="V26" i="130" s="1"/>
  <c r="S26" i="130"/>
  <c r="R26" i="130"/>
  <c r="J26" i="130"/>
  <c r="I26" i="130"/>
  <c r="W26" i="130" s="1"/>
  <c r="U25" i="130"/>
  <c r="V25" i="130" s="1"/>
  <c r="S25" i="130"/>
  <c r="R25" i="130"/>
  <c r="J25" i="130"/>
  <c r="I25" i="130"/>
  <c r="U24" i="130"/>
  <c r="V24" i="130" s="1"/>
  <c r="S24" i="130"/>
  <c r="R24" i="130"/>
  <c r="J24" i="130"/>
  <c r="I24" i="130"/>
  <c r="U23" i="130"/>
  <c r="V23" i="130" s="1"/>
  <c r="S23" i="130"/>
  <c r="R23" i="130"/>
  <c r="J23" i="130"/>
  <c r="I23" i="130"/>
  <c r="U22" i="130"/>
  <c r="V22" i="130" s="1"/>
  <c r="S22" i="130"/>
  <c r="R22" i="130"/>
  <c r="J22" i="130"/>
  <c r="I22" i="130"/>
  <c r="W22" i="130" s="1"/>
  <c r="U21" i="130"/>
  <c r="V21" i="130" s="1"/>
  <c r="S21" i="130"/>
  <c r="R21" i="130"/>
  <c r="J21" i="130"/>
  <c r="I21" i="130"/>
  <c r="U20" i="130"/>
  <c r="V20" i="130" s="1"/>
  <c r="S20" i="130"/>
  <c r="R20" i="130"/>
  <c r="J20" i="130"/>
  <c r="I20" i="130"/>
  <c r="W20" i="130" s="1"/>
  <c r="U19" i="130"/>
  <c r="V19" i="130" s="1"/>
  <c r="S19" i="130"/>
  <c r="R19" i="130"/>
  <c r="J19" i="130"/>
  <c r="I19" i="130"/>
  <c r="W19" i="130" s="1"/>
  <c r="U18" i="130"/>
  <c r="V18" i="130" s="1"/>
  <c r="S18" i="130"/>
  <c r="R18" i="130"/>
  <c r="J18" i="130"/>
  <c r="I18" i="130"/>
  <c r="W18" i="130" s="1"/>
  <c r="U17" i="130"/>
  <c r="V17" i="130" s="1"/>
  <c r="S17" i="130"/>
  <c r="R17" i="130"/>
  <c r="J17" i="130"/>
  <c r="I17" i="130"/>
  <c r="W17" i="130" s="1"/>
  <c r="U16" i="130"/>
  <c r="V16" i="130" s="1"/>
  <c r="S16" i="130"/>
  <c r="R16" i="130"/>
  <c r="J16" i="130"/>
  <c r="I16" i="130"/>
  <c r="W16" i="130" s="1"/>
  <c r="U15" i="130"/>
  <c r="V15" i="130" s="1"/>
  <c r="S15" i="130"/>
  <c r="R15" i="130"/>
  <c r="J15" i="130"/>
  <c r="I15" i="130"/>
  <c r="U14" i="130"/>
  <c r="V14" i="130" s="1"/>
  <c r="S14" i="130"/>
  <c r="R14" i="130"/>
  <c r="J14" i="130"/>
  <c r="I14" i="130"/>
  <c r="W14" i="130" s="1"/>
  <c r="U13" i="130"/>
  <c r="V13" i="130" s="1"/>
  <c r="S13" i="130"/>
  <c r="R13" i="130"/>
  <c r="J13" i="130"/>
  <c r="I13" i="130"/>
  <c r="U12" i="130"/>
  <c r="V12" i="130" s="1"/>
  <c r="S12" i="130"/>
  <c r="R12" i="130"/>
  <c r="J12" i="130"/>
  <c r="I12" i="130"/>
  <c r="U11" i="130"/>
  <c r="V11" i="130" s="1"/>
  <c r="S11" i="130"/>
  <c r="R11" i="130"/>
  <c r="J11" i="130"/>
  <c r="I11" i="130"/>
  <c r="U10" i="130"/>
  <c r="V10" i="130" s="1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U9" i="130"/>
  <c r="V9" i="130" s="1"/>
  <c r="S9" i="130"/>
  <c r="R9" i="130"/>
  <c r="J9" i="130"/>
  <c r="I9" i="130"/>
  <c r="W9" i="130" s="1"/>
  <c r="A9" i="130"/>
  <c r="U8" i="130"/>
  <c r="S8" i="130"/>
  <c r="R8" i="130"/>
  <c r="J8" i="130"/>
  <c r="I8" i="130"/>
  <c r="W8" i="130" s="1"/>
  <c r="I41" i="129"/>
  <c r="I42" i="129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U54" i="129"/>
  <c r="V54" i="129" s="1"/>
  <c r="S54" i="129"/>
  <c r="R54" i="129"/>
  <c r="J54" i="129"/>
  <c r="I54" i="129"/>
  <c r="U53" i="129"/>
  <c r="V53" i="129" s="1"/>
  <c r="S53" i="129"/>
  <c r="R53" i="129"/>
  <c r="J53" i="129"/>
  <c r="I53" i="129"/>
  <c r="U52" i="129"/>
  <c r="V52" i="129" s="1"/>
  <c r="S52" i="129"/>
  <c r="R52" i="129"/>
  <c r="J52" i="129"/>
  <c r="I52" i="129"/>
  <c r="U51" i="129"/>
  <c r="V51" i="129" s="1"/>
  <c r="S51" i="129"/>
  <c r="R51" i="129"/>
  <c r="J51" i="129"/>
  <c r="I51" i="129"/>
  <c r="W51" i="129" s="1"/>
  <c r="U50" i="129"/>
  <c r="V50" i="129" s="1"/>
  <c r="S50" i="129"/>
  <c r="R50" i="129"/>
  <c r="J50" i="129"/>
  <c r="I50" i="129"/>
  <c r="W50" i="129" s="1"/>
  <c r="U49" i="129"/>
  <c r="V49" i="129" s="1"/>
  <c r="S49" i="129"/>
  <c r="R49" i="129"/>
  <c r="J49" i="129"/>
  <c r="I49" i="129"/>
  <c r="W49" i="129" s="1"/>
  <c r="U48" i="129"/>
  <c r="V48" i="129" s="1"/>
  <c r="S48" i="129"/>
  <c r="R48" i="129"/>
  <c r="J48" i="129"/>
  <c r="I48" i="129"/>
  <c r="U47" i="129"/>
  <c r="V47" i="129" s="1"/>
  <c r="S47" i="129"/>
  <c r="R47" i="129"/>
  <c r="J47" i="129"/>
  <c r="I47" i="129"/>
  <c r="W47" i="129" s="1"/>
  <c r="U46" i="129"/>
  <c r="V46" i="129" s="1"/>
  <c r="S46" i="129"/>
  <c r="R46" i="129"/>
  <c r="J46" i="129"/>
  <c r="I46" i="129"/>
  <c r="W46" i="129" s="1"/>
  <c r="S45" i="129"/>
  <c r="R45" i="129"/>
  <c r="J45" i="129"/>
  <c r="I45" i="129"/>
  <c r="U44" i="129"/>
  <c r="V44" i="129" s="1"/>
  <c r="S44" i="129"/>
  <c r="R44" i="129"/>
  <c r="J44" i="129"/>
  <c r="I44" i="129"/>
  <c r="W44" i="129" s="1"/>
  <c r="S43" i="129"/>
  <c r="R43" i="129"/>
  <c r="J43" i="129"/>
  <c r="I43" i="129"/>
  <c r="U42" i="129"/>
  <c r="V42" i="129" s="1"/>
  <c r="S42" i="129"/>
  <c r="R42" i="129"/>
  <c r="J42" i="129"/>
  <c r="U41" i="129"/>
  <c r="V41" i="129" s="1"/>
  <c r="S41" i="129"/>
  <c r="R41" i="129"/>
  <c r="J41" i="129"/>
  <c r="W41" i="129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U37" i="129"/>
  <c r="V37" i="129" s="1"/>
  <c r="S37" i="129"/>
  <c r="R37" i="129"/>
  <c r="J37" i="129"/>
  <c r="I37" i="129"/>
  <c r="W37" i="129" s="1"/>
  <c r="W36" i="129"/>
  <c r="U36" i="129"/>
  <c r="V36" i="129" s="1"/>
  <c r="S36" i="129"/>
  <c r="R36" i="129"/>
  <c r="J36" i="129"/>
  <c r="I36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W34" i="129" s="1"/>
  <c r="I34" i="129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W28" i="129"/>
  <c r="U28" i="129"/>
  <c r="V28" i="129" s="1"/>
  <c r="S28" i="129"/>
  <c r="R28" i="129"/>
  <c r="J28" i="129"/>
  <c r="I28" i="129"/>
  <c r="U27" i="129"/>
  <c r="V27" i="129" s="1"/>
  <c r="S27" i="129"/>
  <c r="R27" i="129"/>
  <c r="J27" i="129"/>
  <c r="I27" i="129"/>
  <c r="W27" i="129" s="1"/>
  <c r="BE26" i="129"/>
  <c r="U26" i="129"/>
  <c r="V26" i="129" s="1"/>
  <c r="S26" i="129"/>
  <c r="R26" i="129"/>
  <c r="J26" i="129"/>
  <c r="I26" i="129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0" i="129"/>
  <c r="V20" i="129"/>
  <c r="U20" i="129"/>
  <c r="S20" i="129"/>
  <c r="R20" i="129"/>
  <c r="J20" i="129"/>
  <c r="I20" i="129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4" i="129"/>
  <c r="U14" i="129"/>
  <c r="V14" i="129" s="1"/>
  <c r="S14" i="129"/>
  <c r="R14" i="129"/>
  <c r="J14" i="129"/>
  <c r="I14" i="129"/>
  <c r="U13" i="129"/>
  <c r="V13" i="129" s="1"/>
  <c r="S13" i="129"/>
  <c r="R13" i="129"/>
  <c r="J13" i="129"/>
  <c r="I13" i="129"/>
  <c r="W13" i="129" s="1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U9" i="129"/>
  <c r="V9" i="129" s="1"/>
  <c r="S9" i="129"/>
  <c r="R9" i="129"/>
  <c r="J9" i="129"/>
  <c r="I9" i="129"/>
  <c r="W9" i="129" s="1"/>
  <c r="A9" i="129"/>
  <c r="A10" i="129" s="1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8" i="129"/>
  <c r="V8" i="129" s="1"/>
  <c r="S8" i="129"/>
  <c r="R8" i="129"/>
  <c r="J8" i="129"/>
  <c r="I8" i="129"/>
  <c r="W46" i="132" l="1"/>
  <c r="W14" i="132"/>
  <c r="U60" i="132"/>
  <c r="V60" i="132"/>
  <c r="R60" i="132"/>
  <c r="S60" i="132"/>
  <c r="W11" i="132"/>
  <c r="W19" i="132"/>
  <c r="W17" i="132"/>
  <c r="W25" i="132"/>
  <c r="W47" i="132"/>
  <c r="W12" i="132"/>
  <c r="W20" i="132"/>
  <c r="W15" i="132"/>
  <c r="W23" i="132"/>
  <c r="W8" i="132"/>
  <c r="W13" i="132"/>
  <c r="W21" i="132"/>
  <c r="J60" i="132"/>
  <c r="W16" i="132"/>
  <c r="W24" i="132"/>
  <c r="I60" i="132"/>
  <c r="W44" i="131"/>
  <c r="W41" i="131"/>
  <c r="W38" i="131"/>
  <c r="W35" i="131"/>
  <c r="W30" i="131"/>
  <c r="W29" i="131"/>
  <c r="W24" i="131"/>
  <c r="W12" i="131"/>
  <c r="R60" i="131"/>
  <c r="U60" i="131"/>
  <c r="S60" i="131"/>
  <c r="W19" i="131"/>
  <c r="J60" i="131"/>
  <c r="W20" i="131"/>
  <c r="W15" i="131"/>
  <c r="W23" i="131"/>
  <c r="W10" i="131"/>
  <c r="V27" i="131"/>
  <c r="V60" i="131" s="1"/>
  <c r="I14" i="131"/>
  <c r="W14" i="131" s="1"/>
  <c r="W44" i="130"/>
  <c r="W41" i="130"/>
  <c r="W30" i="130"/>
  <c r="W24" i="130"/>
  <c r="W12" i="130"/>
  <c r="S60" i="130"/>
  <c r="R60" i="130"/>
  <c r="U60" i="130"/>
  <c r="J60" i="130"/>
  <c r="W11" i="130"/>
  <c r="W52" i="130"/>
  <c r="W21" i="130"/>
  <c r="W15" i="130"/>
  <c r="W25" i="130"/>
  <c r="W47" i="130"/>
  <c r="W50" i="130"/>
  <c r="W39" i="130"/>
  <c r="W13" i="130"/>
  <c r="W54" i="130"/>
  <c r="W23" i="130"/>
  <c r="V8" i="130"/>
  <c r="V60" i="130" s="1"/>
  <c r="I48" i="130"/>
  <c r="W48" i="130" s="1"/>
  <c r="W42" i="129"/>
  <c r="W38" i="129"/>
  <c r="W30" i="129"/>
  <c r="W26" i="129"/>
  <c r="W24" i="129"/>
  <c r="W21" i="129"/>
  <c r="W18" i="129"/>
  <c r="W12" i="129"/>
  <c r="R60" i="129"/>
  <c r="S60" i="129"/>
  <c r="W52" i="129"/>
  <c r="W35" i="129"/>
  <c r="I60" i="129"/>
  <c r="W53" i="129"/>
  <c r="W8" i="129"/>
  <c r="W23" i="129"/>
  <c r="W54" i="129"/>
  <c r="J60" i="129"/>
  <c r="W15" i="129"/>
  <c r="W48" i="129"/>
  <c r="V60" i="129"/>
  <c r="U60" i="129"/>
  <c r="W8" i="128"/>
  <c r="C44" i="128"/>
  <c r="W60" i="132" l="1"/>
  <c r="W60" i="131"/>
  <c r="I60" i="131"/>
  <c r="W60" i="130"/>
  <c r="I60" i="130"/>
  <c r="W60" i="129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U52" i="128"/>
  <c r="V52" i="128" s="1"/>
  <c r="S52" i="128"/>
  <c r="R52" i="128"/>
  <c r="J52" i="128"/>
  <c r="I52" i="128"/>
  <c r="W52" i="128" s="1"/>
  <c r="U51" i="128"/>
  <c r="V51" i="128" s="1"/>
  <c r="S51" i="128"/>
  <c r="R51" i="128"/>
  <c r="J51" i="128"/>
  <c r="I51" i="128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W49" i="128" s="1"/>
  <c r="U48" i="128"/>
  <c r="V48" i="128" s="1"/>
  <c r="S48" i="128"/>
  <c r="R48" i="128"/>
  <c r="J48" i="128"/>
  <c r="I48" i="128"/>
  <c r="U47" i="128"/>
  <c r="V47" i="128" s="1"/>
  <c r="S47" i="128"/>
  <c r="R47" i="128"/>
  <c r="J47" i="128"/>
  <c r="I47" i="128"/>
  <c r="W47" i="128" s="1"/>
  <c r="U46" i="128"/>
  <c r="V46" i="128" s="1"/>
  <c r="S46" i="128"/>
  <c r="R46" i="128"/>
  <c r="J46" i="128"/>
  <c r="W46" i="128" s="1"/>
  <c r="I46" i="128"/>
  <c r="S45" i="128"/>
  <c r="R45" i="128"/>
  <c r="J45" i="128"/>
  <c r="I45" i="128"/>
  <c r="U44" i="128"/>
  <c r="V44" i="128" s="1"/>
  <c r="S44" i="128"/>
  <c r="R44" i="128"/>
  <c r="J44" i="128"/>
  <c r="I44" i="128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W39" i="128"/>
  <c r="U39" i="128"/>
  <c r="V39" i="128" s="1"/>
  <c r="S39" i="128"/>
  <c r="R39" i="128"/>
  <c r="J39" i="128"/>
  <c r="I39" i="128"/>
  <c r="U38" i="128"/>
  <c r="V38" i="128" s="1"/>
  <c r="S38" i="128"/>
  <c r="R38" i="128"/>
  <c r="J38" i="128"/>
  <c r="I38" i="128"/>
  <c r="W38" i="128" s="1"/>
  <c r="W37" i="128"/>
  <c r="V37" i="128"/>
  <c r="U37" i="128"/>
  <c r="S37" i="128"/>
  <c r="R37" i="128"/>
  <c r="J37" i="128"/>
  <c r="I37" i="128"/>
  <c r="U36" i="128"/>
  <c r="V36" i="128" s="1"/>
  <c r="S36" i="128"/>
  <c r="R36" i="128"/>
  <c r="J36" i="128"/>
  <c r="I36" i="128"/>
  <c r="W36" i="128" s="1"/>
  <c r="V35" i="128"/>
  <c r="U35" i="128"/>
  <c r="S35" i="128"/>
  <c r="R35" i="128"/>
  <c r="J35" i="128"/>
  <c r="I35" i="128"/>
  <c r="U34" i="128"/>
  <c r="V34" i="128" s="1"/>
  <c r="S34" i="128"/>
  <c r="R34" i="128"/>
  <c r="J34" i="128"/>
  <c r="I34" i="128"/>
  <c r="W34" i="128" s="1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U31" i="128"/>
  <c r="V31" i="128" s="1"/>
  <c r="S31" i="128"/>
  <c r="R31" i="128"/>
  <c r="J31" i="128"/>
  <c r="I31" i="128"/>
  <c r="W31" i="128" s="1"/>
  <c r="U30" i="128"/>
  <c r="V30" i="128" s="1"/>
  <c r="S30" i="128"/>
  <c r="R30" i="128"/>
  <c r="J30" i="128"/>
  <c r="I30" i="128"/>
  <c r="W29" i="128"/>
  <c r="U29" i="128"/>
  <c r="V29" i="128" s="1"/>
  <c r="S29" i="128"/>
  <c r="R29" i="128"/>
  <c r="J29" i="128"/>
  <c r="I29" i="128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3" i="128"/>
  <c r="U23" i="128"/>
  <c r="V23" i="128" s="1"/>
  <c r="S23" i="128"/>
  <c r="R23" i="128"/>
  <c r="J23" i="128"/>
  <c r="I23" i="128"/>
  <c r="U22" i="128"/>
  <c r="V22" i="128" s="1"/>
  <c r="S22" i="128"/>
  <c r="R22" i="128"/>
  <c r="J22" i="128"/>
  <c r="I22" i="128"/>
  <c r="W22" i="128" s="1"/>
  <c r="U21" i="128"/>
  <c r="V21" i="128" s="1"/>
  <c r="S21" i="128"/>
  <c r="R21" i="128"/>
  <c r="J21" i="128"/>
  <c r="I21" i="128"/>
  <c r="W21" i="128" s="1"/>
  <c r="U20" i="128"/>
  <c r="V20" i="128" s="1"/>
  <c r="S20" i="128"/>
  <c r="R20" i="128"/>
  <c r="J20" i="128"/>
  <c r="I20" i="128"/>
  <c r="U19" i="128"/>
  <c r="V19" i="128" s="1"/>
  <c r="S19" i="128"/>
  <c r="R19" i="128"/>
  <c r="J19" i="128"/>
  <c r="I19" i="128"/>
  <c r="W19" i="128" s="1"/>
  <c r="U18" i="128"/>
  <c r="V18" i="128" s="1"/>
  <c r="S18" i="128"/>
  <c r="R18" i="128"/>
  <c r="J18" i="128"/>
  <c r="I18" i="128"/>
  <c r="W18" i="128" s="1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U14" i="128"/>
  <c r="V14" i="128" s="1"/>
  <c r="S14" i="128"/>
  <c r="R14" i="128"/>
  <c r="J14" i="128"/>
  <c r="I14" i="128"/>
  <c r="U13" i="128"/>
  <c r="V13" i="128" s="1"/>
  <c r="S13" i="128"/>
  <c r="R13" i="128"/>
  <c r="J13" i="128"/>
  <c r="I13" i="128"/>
  <c r="U12" i="128"/>
  <c r="V12" i="128" s="1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V9" i="128" s="1"/>
  <c r="S9" i="128"/>
  <c r="R9" i="128"/>
  <c r="J9" i="128"/>
  <c r="I9" i="128"/>
  <c r="A9" i="128"/>
  <c r="U8" i="128"/>
  <c r="V8" i="128" s="1"/>
  <c r="S8" i="128"/>
  <c r="R8" i="128"/>
  <c r="J8" i="128"/>
  <c r="I8" i="128"/>
  <c r="W44" i="128" l="1"/>
  <c r="W35" i="128"/>
  <c r="W30" i="128"/>
  <c r="W24" i="128"/>
  <c r="W20" i="128"/>
  <c r="W15" i="128"/>
  <c r="W14" i="128"/>
  <c r="W13" i="128"/>
  <c r="W9" i="128"/>
  <c r="J60" i="128"/>
  <c r="S60" i="128"/>
  <c r="R60" i="128"/>
  <c r="U60" i="128"/>
  <c r="W10" i="128"/>
  <c r="W53" i="128"/>
  <c r="W26" i="128"/>
  <c r="W48" i="128"/>
  <c r="W51" i="128"/>
  <c r="W12" i="128"/>
  <c r="V60" i="128"/>
  <c r="I60" i="128"/>
  <c r="C48" i="127"/>
  <c r="I48" i="127" s="1"/>
  <c r="W48" i="127" s="1"/>
  <c r="Q60" i="127"/>
  <c r="P60" i="127"/>
  <c r="O60" i="127"/>
  <c r="N60" i="127"/>
  <c r="M60" i="127"/>
  <c r="L60" i="127"/>
  <c r="H60" i="127"/>
  <c r="G60" i="127"/>
  <c r="E60" i="127"/>
  <c r="D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W54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W53" i="127" s="1"/>
  <c r="U52" i="127"/>
  <c r="V52" i="127" s="1"/>
  <c r="S52" i="127"/>
  <c r="R52" i="127"/>
  <c r="J52" i="127"/>
  <c r="I52" i="127"/>
  <c r="W52" i="127" s="1"/>
  <c r="U51" i="127"/>
  <c r="V51" i="127" s="1"/>
  <c r="S51" i="127"/>
  <c r="R51" i="127"/>
  <c r="J51" i="127"/>
  <c r="I51" i="127"/>
  <c r="W51" i="127" s="1"/>
  <c r="U50" i="127"/>
  <c r="V50" i="127" s="1"/>
  <c r="S50" i="127"/>
  <c r="R50" i="127"/>
  <c r="J50" i="127"/>
  <c r="I50" i="127"/>
  <c r="W50" i="127" s="1"/>
  <c r="U49" i="127"/>
  <c r="V49" i="127" s="1"/>
  <c r="S49" i="127"/>
  <c r="R49" i="127"/>
  <c r="J49" i="127"/>
  <c r="I49" i="127"/>
  <c r="W49" i="127" s="1"/>
  <c r="U48" i="127"/>
  <c r="V48" i="127" s="1"/>
  <c r="S48" i="127"/>
  <c r="R48" i="127"/>
  <c r="J48" i="127"/>
  <c r="U47" i="127"/>
  <c r="V47" i="127" s="1"/>
  <c r="S47" i="127"/>
  <c r="R47" i="127"/>
  <c r="J47" i="127"/>
  <c r="W47" i="127" s="1"/>
  <c r="I47" i="127"/>
  <c r="W46" i="127"/>
  <c r="U46" i="127"/>
  <c r="V46" i="127" s="1"/>
  <c r="S46" i="127"/>
  <c r="R46" i="127"/>
  <c r="J46" i="127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W40" i="127"/>
  <c r="U40" i="127"/>
  <c r="V40" i="127" s="1"/>
  <c r="S40" i="127"/>
  <c r="R40" i="127"/>
  <c r="J40" i="127"/>
  <c r="I40" i="127"/>
  <c r="U39" i="127"/>
  <c r="V39" i="127" s="1"/>
  <c r="S39" i="127"/>
  <c r="R39" i="127"/>
  <c r="J39" i="127"/>
  <c r="I39" i="127"/>
  <c r="W39" i="127" s="1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U34" i="127"/>
  <c r="V34" i="127" s="1"/>
  <c r="S34" i="127"/>
  <c r="R34" i="127"/>
  <c r="J34" i="127"/>
  <c r="I34" i="127"/>
  <c r="W34" i="127" s="1"/>
  <c r="W33" i="127"/>
  <c r="U33" i="127"/>
  <c r="V33" i="127" s="1"/>
  <c r="S33" i="127"/>
  <c r="R33" i="127"/>
  <c r="J33" i="127"/>
  <c r="I33" i="127"/>
  <c r="U32" i="127"/>
  <c r="V32" i="127" s="1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U29" i="127"/>
  <c r="V29" i="127" s="1"/>
  <c r="S29" i="127"/>
  <c r="R29" i="127"/>
  <c r="J29" i="127"/>
  <c r="I29" i="127"/>
  <c r="W29" i="127" s="1"/>
  <c r="W28" i="127"/>
  <c r="V28" i="127"/>
  <c r="U28" i="127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U25" i="127"/>
  <c r="V25" i="127" s="1"/>
  <c r="S25" i="127"/>
  <c r="R25" i="127"/>
  <c r="J25" i="127"/>
  <c r="I25" i="127"/>
  <c r="W25" i="127" s="1"/>
  <c r="U24" i="127"/>
  <c r="V24" i="127" s="1"/>
  <c r="S24" i="127"/>
  <c r="R24" i="127"/>
  <c r="J24" i="127"/>
  <c r="I24" i="127"/>
  <c r="W24" i="127" s="1"/>
  <c r="V23" i="127"/>
  <c r="U23" i="127"/>
  <c r="S23" i="127"/>
  <c r="R23" i="127"/>
  <c r="J23" i="127"/>
  <c r="I23" i="127"/>
  <c r="U22" i="127"/>
  <c r="V22" i="127" s="1"/>
  <c r="S22" i="127"/>
  <c r="R22" i="127"/>
  <c r="J22" i="127"/>
  <c r="I22" i="127"/>
  <c r="U21" i="127"/>
  <c r="V21" i="127" s="1"/>
  <c r="S21" i="127"/>
  <c r="R21" i="127"/>
  <c r="J21" i="127"/>
  <c r="I21" i="127"/>
  <c r="U20" i="127"/>
  <c r="V20" i="127" s="1"/>
  <c r="S20" i="127"/>
  <c r="R20" i="127"/>
  <c r="J20" i="127"/>
  <c r="I20" i="127"/>
  <c r="W19" i="127"/>
  <c r="U19" i="127"/>
  <c r="V19" i="127" s="1"/>
  <c r="S19" i="127"/>
  <c r="R19" i="127"/>
  <c r="J19" i="127"/>
  <c r="I19" i="127"/>
  <c r="U18" i="127"/>
  <c r="V18" i="127" s="1"/>
  <c r="S18" i="127"/>
  <c r="R18" i="127"/>
  <c r="J18" i="127"/>
  <c r="I18" i="127"/>
  <c r="W18" i="127" s="1"/>
  <c r="W17" i="127"/>
  <c r="U17" i="127"/>
  <c r="V17" i="127" s="1"/>
  <c r="S17" i="127"/>
  <c r="R17" i="127"/>
  <c r="J17" i="127"/>
  <c r="I17" i="127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W13" i="127" s="1"/>
  <c r="U12" i="127"/>
  <c r="V12" i="127" s="1"/>
  <c r="S12" i="127"/>
  <c r="R12" i="127"/>
  <c r="J12" i="127"/>
  <c r="I12" i="127"/>
  <c r="U11" i="127"/>
  <c r="V11" i="127" s="1"/>
  <c r="S11" i="127"/>
  <c r="R11" i="127"/>
  <c r="J11" i="127"/>
  <c r="I11" i="127"/>
  <c r="W11" i="127" s="1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W60" i="128" l="1"/>
  <c r="C60" i="127"/>
  <c r="W44" i="127"/>
  <c r="W41" i="127"/>
  <c r="W38" i="127"/>
  <c r="W35" i="127"/>
  <c r="W30" i="127"/>
  <c r="W26" i="127"/>
  <c r="W23" i="127"/>
  <c r="W22" i="127"/>
  <c r="W21" i="127"/>
  <c r="W20" i="127"/>
  <c r="W15" i="127"/>
  <c r="W14" i="127"/>
  <c r="W12" i="127"/>
  <c r="I60" i="127"/>
  <c r="W8" i="127"/>
  <c r="U60" i="127"/>
  <c r="S60" i="127"/>
  <c r="R60" i="127"/>
  <c r="J60" i="127"/>
  <c r="V8" i="127"/>
  <c r="V60" i="127" s="1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U54" i="126"/>
  <c r="V54" i="126" s="1"/>
  <c r="S54" i="126"/>
  <c r="R54" i="126"/>
  <c r="J54" i="126"/>
  <c r="I54" i="126"/>
  <c r="V53" i="126"/>
  <c r="U53" i="126"/>
  <c r="S53" i="126"/>
  <c r="R53" i="126"/>
  <c r="J53" i="126"/>
  <c r="I53" i="126"/>
  <c r="W53" i="126" s="1"/>
  <c r="U52" i="126"/>
  <c r="V52" i="126" s="1"/>
  <c r="S52" i="126"/>
  <c r="R52" i="126"/>
  <c r="J52" i="126"/>
  <c r="I52" i="126"/>
  <c r="V51" i="126"/>
  <c r="U51" i="126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U48" i="126"/>
  <c r="V48" i="126" s="1"/>
  <c r="S48" i="126"/>
  <c r="R48" i="126"/>
  <c r="J48" i="126"/>
  <c r="I48" i="126"/>
  <c r="U47" i="126"/>
  <c r="V47" i="126" s="1"/>
  <c r="S47" i="126"/>
  <c r="R47" i="126"/>
  <c r="J47" i="126"/>
  <c r="W47" i="126" s="1"/>
  <c r="I47" i="126"/>
  <c r="U46" i="126"/>
  <c r="V46" i="126" s="1"/>
  <c r="S46" i="126"/>
  <c r="R46" i="126"/>
  <c r="J46" i="126"/>
  <c r="W46" i="126" s="1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V36" i="126"/>
  <c r="U36" i="126"/>
  <c r="S36" i="126"/>
  <c r="R36" i="126"/>
  <c r="J36" i="126"/>
  <c r="I36" i="126"/>
  <c r="W36" i="126" s="1"/>
  <c r="U35" i="126"/>
  <c r="V35" i="126" s="1"/>
  <c r="S35" i="126"/>
  <c r="R35" i="126"/>
  <c r="J35" i="126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V32" i="126"/>
  <c r="U32" i="126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U27" i="126"/>
  <c r="V27" i="126" s="1"/>
  <c r="S27" i="126"/>
  <c r="R27" i="126"/>
  <c r="J27" i="126"/>
  <c r="W27" i="126" s="1"/>
  <c r="I27" i="126"/>
  <c r="BE26" i="126"/>
  <c r="U26" i="126"/>
  <c r="V26" i="126" s="1"/>
  <c r="S26" i="126"/>
  <c r="R26" i="126"/>
  <c r="J26" i="126"/>
  <c r="I26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W24" i="126" s="1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U17" i="126"/>
  <c r="V17" i="126" s="1"/>
  <c r="S17" i="126"/>
  <c r="R17" i="126"/>
  <c r="J17" i="126"/>
  <c r="I17" i="126"/>
  <c r="W17" i="126" s="1"/>
  <c r="W16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U12" i="126"/>
  <c r="V12" i="126" s="1"/>
  <c r="S12" i="126"/>
  <c r="R12" i="126"/>
  <c r="J12" i="126"/>
  <c r="I12" i="126"/>
  <c r="U11" i="126"/>
  <c r="V11" i="126" s="1"/>
  <c r="S11" i="126"/>
  <c r="R11" i="126"/>
  <c r="J11" i="126"/>
  <c r="I11" i="126"/>
  <c r="W11" i="126" s="1"/>
  <c r="U10" i="126"/>
  <c r="V10" i="126" s="1"/>
  <c r="S10" i="126"/>
  <c r="R10" i="126"/>
  <c r="J10" i="126"/>
  <c r="I10" i="126"/>
  <c r="W10" i="126" s="1"/>
  <c r="U9" i="126"/>
  <c r="V9" i="126" s="1"/>
  <c r="S9" i="126"/>
  <c r="R9" i="126"/>
  <c r="J9" i="126"/>
  <c r="I9" i="126"/>
  <c r="W9" i="126" s="1"/>
  <c r="A9" i="126"/>
  <c r="A10" i="126" s="1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8" i="126"/>
  <c r="V8" i="126" s="1"/>
  <c r="S8" i="126"/>
  <c r="R8" i="126"/>
  <c r="J8" i="126"/>
  <c r="I8" i="126"/>
  <c r="W8" i="126" s="1"/>
  <c r="W60" i="127" l="1"/>
  <c r="W54" i="126"/>
  <c r="W48" i="126"/>
  <c r="R60" i="126"/>
  <c r="W31" i="126"/>
  <c r="W26" i="126"/>
  <c r="W23" i="126"/>
  <c r="W14" i="126"/>
  <c r="W13" i="126"/>
  <c r="W12" i="126"/>
  <c r="S60" i="126"/>
  <c r="U60" i="126"/>
  <c r="W37" i="126"/>
  <c r="W41" i="126"/>
  <c r="W30" i="126"/>
  <c r="W52" i="126"/>
  <c r="W50" i="126"/>
  <c r="W33" i="126"/>
  <c r="W39" i="126"/>
  <c r="W29" i="126"/>
  <c r="W25" i="126"/>
  <c r="I60" i="126"/>
  <c r="W28" i="126"/>
  <c r="W49" i="126"/>
  <c r="W35" i="126"/>
  <c r="J60" i="126"/>
  <c r="W34" i="126"/>
  <c r="V60" i="126"/>
  <c r="Q60" i="125"/>
  <c r="P60" i="125"/>
  <c r="O60" i="125"/>
  <c r="N60" i="125"/>
  <c r="M60" i="125"/>
  <c r="L60" i="125"/>
  <c r="H60" i="125"/>
  <c r="G60" i="125"/>
  <c r="E60" i="125"/>
  <c r="D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I54" i="125"/>
  <c r="U53" i="125"/>
  <c r="V53" i="125" s="1"/>
  <c r="S53" i="125"/>
  <c r="R53" i="125"/>
  <c r="J53" i="125"/>
  <c r="I53" i="125"/>
  <c r="U52" i="125"/>
  <c r="V52" i="125" s="1"/>
  <c r="S52" i="125"/>
  <c r="R52" i="125"/>
  <c r="J52" i="125"/>
  <c r="I52" i="125"/>
  <c r="U51" i="125"/>
  <c r="V51" i="125" s="1"/>
  <c r="S51" i="125"/>
  <c r="R51" i="125"/>
  <c r="J51" i="125"/>
  <c r="I51" i="125"/>
  <c r="W51" i="125" s="1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I49" i="125"/>
  <c r="U48" i="125"/>
  <c r="V48" i="125" s="1"/>
  <c r="S48" i="125"/>
  <c r="R48" i="125"/>
  <c r="J48" i="125"/>
  <c r="I48" i="125"/>
  <c r="U47" i="125"/>
  <c r="V47" i="125" s="1"/>
  <c r="S47" i="125"/>
  <c r="R47" i="125"/>
  <c r="J47" i="125"/>
  <c r="I47" i="125"/>
  <c r="U46" i="125"/>
  <c r="V46" i="125" s="1"/>
  <c r="S46" i="125"/>
  <c r="R46" i="125"/>
  <c r="J46" i="125"/>
  <c r="I46" i="125"/>
  <c r="S45" i="125"/>
  <c r="R45" i="125"/>
  <c r="J45" i="125"/>
  <c r="I45" i="125"/>
  <c r="U44" i="125"/>
  <c r="V44" i="125" s="1"/>
  <c r="S44" i="125"/>
  <c r="R44" i="125"/>
  <c r="J44" i="125"/>
  <c r="I44" i="125"/>
  <c r="S43" i="125"/>
  <c r="R43" i="125"/>
  <c r="J43" i="125"/>
  <c r="I43" i="125"/>
  <c r="U42" i="125"/>
  <c r="V42" i="125" s="1"/>
  <c r="S42" i="125"/>
  <c r="R42" i="125"/>
  <c r="J42" i="125"/>
  <c r="C60" i="125"/>
  <c r="U41" i="125"/>
  <c r="V41" i="125" s="1"/>
  <c r="S41" i="125"/>
  <c r="R41" i="125"/>
  <c r="J41" i="125"/>
  <c r="I41" i="125"/>
  <c r="U40" i="125"/>
  <c r="V40" i="125" s="1"/>
  <c r="S40" i="125"/>
  <c r="R40" i="125"/>
  <c r="J40" i="125"/>
  <c r="I40" i="125"/>
  <c r="W40" i="125" s="1"/>
  <c r="U39" i="125"/>
  <c r="V39" i="125" s="1"/>
  <c r="S39" i="125"/>
  <c r="R39" i="125"/>
  <c r="J39" i="125"/>
  <c r="I39" i="125"/>
  <c r="W39" i="125" s="1"/>
  <c r="U38" i="125"/>
  <c r="V38" i="125" s="1"/>
  <c r="S38" i="125"/>
  <c r="R38" i="125"/>
  <c r="J38" i="125"/>
  <c r="I38" i="125"/>
  <c r="U37" i="125"/>
  <c r="V37" i="125" s="1"/>
  <c r="S37" i="125"/>
  <c r="R37" i="125"/>
  <c r="J37" i="125"/>
  <c r="I37" i="125"/>
  <c r="W37" i="125" s="1"/>
  <c r="U36" i="125"/>
  <c r="V36" i="125" s="1"/>
  <c r="S36" i="125"/>
  <c r="R36" i="125"/>
  <c r="J36" i="125"/>
  <c r="I36" i="125"/>
  <c r="U35" i="125"/>
  <c r="V35" i="125" s="1"/>
  <c r="S35" i="125"/>
  <c r="R35" i="125"/>
  <c r="J35" i="125"/>
  <c r="I35" i="125"/>
  <c r="U34" i="125"/>
  <c r="V34" i="125" s="1"/>
  <c r="S34" i="125"/>
  <c r="R34" i="125"/>
  <c r="J34" i="125"/>
  <c r="I34" i="125"/>
  <c r="W34" i="125" s="1"/>
  <c r="U33" i="125"/>
  <c r="V33" i="125" s="1"/>
  <c r="S33" i="125"/>
  <c r="R33" i="125"/>
  <c r="J33" i="125"/>
  <c r="I33" i="125"/>
  <c r="W33" i="125" s="1"/>
  <c r="U32" i="125"/>
  <c r="V32" i="125" s="1"/>
  <c r="S32" i="125"/>
  <c r="R32" i="125"/>
  <c r="J32" i="125"/>
  <c r="I32" i="125"/>
  <c r="W32" i="125" s="1"/>
  <c r="U31" i="125"/>
  <c r="V31" i="125" s="1"/>
  <c r="S31" i="125"/>
  <c r="R31" i="125"/>
  <c r="J31" i="125"/>
  <c r="I31" i="125"/>
  <c r="W31" i="125" s="1"/>
  <c r="U30" i="125"/>
  <c r="V30" i="125" s="1"/>
  <c r="S30" i="125"/>
  <c r="R30" i="125"/>
  <c r="J30" i="125"/>
  <c r="I30" i="125"/>
  <c r="U29" i="125"/>
  <c r="V29" i="125" s="1"/>
  <c r="S29" i="125"/>
  <c r="R29" i="125"/>
  <c r="J29" i="125"/>
  <c r="I29" i="125"/>
  <c r="U28" i="125"/>
  <c r="V28" i="125" s="1"/>
  <c r="S28" i="125"/>
  <c r="R28" i="125"/>
  <c r="J28" i="125"/>
  <c r="I28" i="125"/>
  <c r="W28" i="125" s="1"/>
  <c r="U27" i="125"/>
  <c r="V27" i="125" s="1"/>
  <c r="S27" i="125"/>
  <c r="R27" i="125"/>
  <c r="J27" i="125"/>
  <c r="I27" i="125"/>
  <c r="W27" i="125" s="1"/>
  <c r="BE26" i="125"/>
  <c r="U26" i="125"/>
  <c r="V26" i="125" s="1"/>
  <c r="S26" i="125"/>
  <c r="R26" i="125"/>
  <c r="J26" i="125"/>
  <c r="I26" i="125"/>
  <c r="W26" i="125" s="1"/>
  <c r="U25" i="125"/>
  <c r="V25" i="125" s="1"/>
  <c r="S25" i="125"/>
  <c r="R25" i="125"/>
  <c r="J25" i="125"/>
  <c r="I25" i="125"/>
  <c r="W25" i="125" s="1"/>
  <c r="U24" i="125"/>
  <c r="V24" i="125" s="1"/>
  <c r="S24" i="125"/>
  <c r="R24" i="125"/>
  <c r="J24" i="125"/>
  <c r="I24" i="125"/>
  <c r="W24" i="125" s="1"/>
  <c r="U23" i="125"/>
  <c r="V23" i="125" s="1"/>
  <c r="S23" i="125"/>
  <c r="R23" i="125"/>
  <c r="J23" i="125"/>
  <c r="I23" i="125"/>
  <c r="U22" i="125"/>
  <c r="V22" i="125" s="1"/>
  <c r="S22" i="125"/>
  <c r="R22" i="125"/>
  <c r="J22" i="125"/>
  <c r="I22" i="125"/>
  <c r="U21" i="125"/>
  <c r="V21" i="125" s="1"/>
  <c r="S21" i="125"/>
  <c r="R21" i="125"/>
  <c r="J21" i="125"/>
  <c r="I21" i="125"/>
  <c r="W21" i="125" s="1"/>
  <c r="U20" i="125"/>
  <c r="V20" i="125" s="1"/>
  <c r="S20" i="125"/>
  <c r="R20" i="125"/>
  <c r="J20" i="125"/>
  <c r="I20" i="125"/>
  <c r="W20" i="125" s="1"/>
  <c r="W19" i="125"/>
  <c r="V19" i="125"/>
  <c r="U19" i="125"/>
  <c r="S19" i="125"/>
  <c r="R19" i="125"/>
  <c r="J19" i="125"/>
  <c r="I19" i="125"/>
  <c r="U18" i="125"/>
  <c r="V18" i="125" s="1"/>
  <c r="S18" i="125"/>
  <c r="R18" i="125"/>
  <c r="J18" i="125"/>
  <c r="I18" i="125"/>
  <c r="W18" i="125" s="1"/>
  <c r="W17" i="125"/>
  <c r="U17" i="125"/>
  <c r="V17" i="125" s="1"/>
  <c r="S17" i="125"/>
  <c r="R17" i="125"/>
  <c r="J17" i="125"/>
  <c r="I17" i="125"/>
  <c r="U16" i="125"/>
  <c r="V16" i="125" s="1"/>
  <c r="S16" i="125"/>
  <c r="R16" i="125"/>
  <c r="J16" i="125"/>
  <c r="I16" i="125"/>
  <c r="W16" i="125" s="1"/>
  <c r="U15" i="125"/>
  <c r="V15" i="125" s="1"/>
  <c r="S15" i="125"/>
  <c r="R15" i="125"/>
  <c r="J15" i="125"/>
  <c r="I15" i="125"/>
  <c r="W15" i="125" s="1"/>
  <c r="V14" i="125"/>
  <c r="U14" i="125"/>
  <c r="S14" i="125"/>
  <c r="R14" i="125"/>
  <c r="J14" i="125"/>
  <c r="I14" i="125"/>
  <c r="W14" i="125" s="1"/>
  <c r="U13" i="125"/>
  <c r="V13" i="125" s="1"/>
  <c r="S13" i="125"/>
  <c r="R13" i="125"/>
  <c r="J13" i="125"/>
  <c r="I13" i="125"/>
  <c r="W13" i="125" s="1"/>
  <c r="U12" i="125"/>
  <c r="V12" i="125" s="1"/>
  <c r="S12" i="125"/>
  <c r="R12" i="125"/>
  <c r="J12" i="125"/>
  <c r="I12" i="125"/>
  <c r="U11" i="125"/>
  <c r="V11" i="125" s="1"/>
  <c r="S11" i="125"/>
  <c r="R11" i="125"/>
  <c r="J11" i="125"/>
  <c r="I11" i="125"/>
  <c r="W11" i="125" s="1"/>
  <c r="U10" i="125"/>
  <c r="V10" i="125" s="1"/>
  <c r="S10" i="125"/>
  <c r="R10" i="125"/>
  <c r="J10" i="125"/>
  <c r="I10" i="125"/>
  <c r="W10" i="125" s="1"/>
  <c r="A10" i="125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U9" i="125"/>
  <c r="V9" i="125" s="1"/>
  <c r="S9" i="125"/>
  <c r="R9" i="125"/>
  <c r="J9" i="125"/>
  <c r="I9" i="125"/>
  <c r="W9" i="125" s="1"/>
  <c r="A9" i="125"/>
  <c r="U8" i="125"/>
  <c r="V8" i="125" s="1"/>
  <c r="S8" i="125"/>
  <c r="R8" i="125"/>
  <c r="J8" i="125"/>
  <c r="I8" i="125"/>
  <c r="W60" i="126" l="1"/>
  <c r="W54" i="125"/>
  <c r="W38" i="125"/>
  <c r="W35" i="125"/>
  <c r="W23" i="125"/>
  <c r="W12" i="125"/>
  <c r="W8" i="125"/>
  <c r="U60" i="125"/>
  <c r="S60" i="125"/>
  <c r="R60" i="125"/>
  <c r="W48" i="125"/>
  <c r="W29" i="125"/>
  <c r="W36" i="125"/>
  <c r="W49" i="125"/>
  <c r="W52" i="125"/>
  <c r="W47" i="125"/>
  <c r="W22" i="125"/>
  <c r="W30" i="125"/>
  <c r="W46" i="125"/>
  <c r="W53" i="125"/>
  <c r="J60" i="125"/>
  <c r="W44" i="125"/>
  <c r="W41" i="125"/>
  <c r="V60" i="125"/>
  <c r="I42" i="125"/>
  <c r="W42" i="125" s="1"/>
  <c r="I60" i="125"/>
  <c r="C42" i="124"/>
  <c r="I42" i="124" s="1"/>
  <c r="W42" i="124" s="1"/>
  <c r="Q60" i="124"/>
  <c r="P60" i="124"/>
  <c r="O60" i="124"/>
  <c r="N60" i="124"/>
  <c r="M60" i="124"/>
  <c r="L60" i="124"/>
  <c r="H60" i="124"/>
  <c r="G60" i="124"/>
  <c r="E60" i="124"/>
  <c r="D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W54" i="124" s="1"/>
  <c r="W53" i="124"/>
  <c r="U53" i="124"/>
  <c r="V53" i="124" s="1"/>
  <c r="S53" i="124"/>
  <c r="R53" i="124"/>
  <c r="J53" i="124"/>
  <c r="I53" i="124"/>
  <c r="U52" i="124"/>
  <c r="V52" i="124" s="1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U49" i="124"/>
  <c r="V49" i="124" s="1"/>
  <c r="S49" i="124"/>
  <c r="R49" i="124"/>
  <c r="J49" i="124"/>
  <c r="I49" i="124"/>
  <c r="W49" i="124" s="1"/>
  <c r="U48" i="124"/>
  <c r="V48" i="124" s="1"/>
  <c r="S48" i="124"/>
  <c r="R48" i="124"/>
  <c r="J48" i="124"/>
  <c r="I48" i="124"/>
  <c r="V47" i="124"/>
  <c r="U47" i="124"/>
  <c r="S47" i="124"/>
  <c r="R47" i="124"/>
  <c r="J47" i="124"/>
  <c r="I47" i="124"/>
  <c r="W47" i="124" s="1"/>
  <c r="W46" i="124"/>
  <c r="U46" i="124"/>
  <c r="V46" i="124" s="1"/>
  <c r="S46" i="124"/>
  <c r="R46" i="124"/>
  <c r="J46" i="124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U35" i="124"/>
  <c r="V35" i="124" s="1"/>
  <c r="S35" i="124"/>
  <c r="R35" i="124"/>
  <c r="J35" i="124"/>
  <c r="I35" i="124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U29" i="124"/>
  <c r="V29" i="124" s="1"/>
  <c r="S29" i="124"/>
  <c r="R29" i="124"/>
  <c r="J29" i="124"/>
  <c r="I29" i="124"/>
  <c r="W29" i="124" s="1"/>
  <c r="U28" i="124"/>
  <c r="V28" i="124" s="1"/>
  <c r="S28" i="124"/>
  <c r="R28" i="124"/>
  <c r="J28" i="124"/>
  <c r="I28" i="124"/>
  <c r="W28" i="124" s="1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U23" i="124"/>
  <c r="V23" i="124" s="1"/>
  <c r="S23" i="124"/>
  <c r="R23" i="124"/>
  <c r="J23" i="124"/>
  <c r="I23" i="124"/>
  <c r="U22" i="124"/>
  <c r="V22" i="124" s="1"/>
  <c r="S22" i="124"/>
  <c r="R22" i="124"/>
  <c r="J22" i="124"/>
  <c r="I22" i="124"/>
  <c r="W22" i="124" s="1"/>
  <c r="U21" i="124"/>
  <c r="V21" i="124" s="1"/>
  <c r="S21" i="124"/>
  <c r="R21" i="124"/>
  <c r="J21" i="124"/>
  <c r="I21" i="124"/>
  <c r="W21" i="124" s="1"/>
  <c r="V20" i="124"/>
  <c r="U20" i="124"/>
  <c r="S20" i="124"/>
  <c r="R20" i="124"/>
  <c r="J20" i="124"/>
  <c r="I20" i="124"/>
  <c r="U19" i="124"/>
  <c r="V19" i="124" s="1"/>
  <c r="S19" i="124"/>
  <c r="R19" i="124"/>
  <c r="J19" i="124"/>
  <c r="I19" i="124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W16" i="124" s="1"/>
  <c r="U15" i="124"/>
  <c r="V15" i="124" s="1"/>
  <c r="S15" i="124"/>
  <c r="R15" i="124"/>
  <c r="J15" i="124"/>
  <c r="I15" i="124"/>
  <c r="W15" i="124" s="1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V12" i="124"/>
  <c r="U12" i="124"/>
  <c r="S12" i="124"/>
  <c r="R12" i="124"/>
  <c r="J12" i="124"/>
  <c r="I12" i="124"/>
  <c r="U11" i="124"/>
  <c r="V11" i="124" s="1"/>
  <c r="S11" i="124"/>
  <c r="R11" i="124"/>
  <c r="J11" i="124"/>
  <c r="I11" i="124"/>
  <c r="U10" i="124"/>
  <c r="V10" i="124" s="1"/>
  <c r="S10" i="124"/>
  <c r="R10" i="124"/>
  <c r="J10" i="124"/>
  <c r="I10" i="124"/>
  <c r="W10" i="124" s="1"/>
  <c r="V9" i="124"/>
  <c r="U9" i="124"/>
  <c r="S9" i="124"/>
  <c r="R9" i="124"/>
  <c r="J9" i="124"/>
  <c r="I9" i="124"/>
  <c r="W9" i="124" s="1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V8" i="124"/>
  <c r="U8" i="124"/>
  <c r="S8" i="124"/>
  <c r="R8" i="124"/>
  <c r="J8" i="124"/>
  <c r="I8" i="124"/>
  <c r="W60" i="125" l="1"/>
  <c r="W48" i="124"/>
  <c r="W44" i="124"/>
  <c r="C60" i="124"/>
  <c r="W41" i="124"/>
  <c r="W38" i="124"/>
  <c r="W35" i="124"/>
  <c r="W30" i="124"/>
  <c r="W24" i="124"/>
  <c r="W14" i="124"/>
  <c r="W12" i="124"/>
  <c r="R60" i="124"/>
  <c r="W8" i="124"/>
  <c r="U60" i="124"/>
  <c r="S60" i="124"/>
  <c r="W20" i="124"/>
  <c r="W23" i="124"/>
  <c r="J60" i="124"/>
  <c r="W11" i="124"/>
  <c r="W19" i="124"/>
  <c r="V27" i="124"/>
  <c r="V60" i="124" s="1"/>
  <c r="I60" i="124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U42" i="123"/>
  <c r="V42" i="123" s="1"/>
  <c r="S42" i="123"/>
  <c r="R42" i="123"/>
  <c r="J42" i="123"/>
  <c r="I42" i="123"/>
  <c r="W42" i="123" s="1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W38" i="123" s="1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U13" i="123"/>
  <c r="V13" i="123" s="1"/>
  <c r="S13" i="123"/>
  <c r="R13" i="123"/>
  <c r="J13" i="123"/>
  <c r="I13" i="123"/>
  <c r="W13" i="123" s="1"/>
  <c r="V12" i="123"/>
  <c r="U12" i="123"/>
  <c r="S12" i="123"/>
  <c r="R12" i="123"/>
  <c r="J12" i="123"/>
  <c r="I12" i="123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J8" i="123"/>
  <c r="I8" i="123"/>
  <c r="W8" i="123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U38" i="121"/>
  <c r="V38" i="121" s="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W26" i="121" s="1"/>
  <c r="U25" i="121"/>
  <c r="V25" i="121" s="1"/>
  <c r="S25" i="121"/>
  <c r="R25" i="121"/>
  <c r="J25" i="121"/>
  <c r="I25" i="12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W23" i="121" s="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W21" i="121" s="1"/>
  <c r="I21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I15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U12" i="121"/>
  <c r="V12" i="121" s="1"/>
  <c r="S12" i="121"/>
  <c r="R12" i="121"/>
  <c r="J12" i="121"/>
  <c r="I12" i="121"/>
  <c r="W12" i="121" s="1"/>
  <c r="U11" i="121"/>
  <c r="V11" i="121" s="1"/>
  <c r="S11" i="121"/>
  <c r="R11" i="121"/>
  <c r="J11" i="121"/>
  <c r="I11" i="12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W49" i="120"/>
  <c r="U49" i="120"/>
  <c r="V49" i="120" s="1"/>
  <c r="S49" i="120"/>
  <c r="R49" i="120"/>
  <c r="J49" i="120"/>
  <c r="I49" i="120"/>
  <c r="U48" i="120"/>
  <c r="V48" i="120" s="1"/>
  <c r="S48" i="120"/>
  <c r="R48" i="120"/>
  <c r="J48" i="120"/>
  <c r="I48" i="120"/>
  <c r="W48" i="120" s="1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V25" i="120"/>
  <c r="U25" i="120"/>
  <c r="S25" i="120"/>
  <c r="R25" i="120"/>
  <c r="J25" i="120"/>
  <c r="I25" i="120"/>
  <c r="V24" i="120"/>
  <c r="U24" i="120"/>
  <c r="S24" i="120"/>
  <c r="R24" i="120"/>
  <c r="J24" i="120"/>
  <c r="I24" i="120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I21" i="120"/>
  <c r="V20" i="120"/>
  <c r="U20" i="120"/>
  <c r="S20" i="120"/>
  <c r="R20" i="120"/>
  <c r="J20" i="120"/>
  <c r="I20" i="120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V9" i="120"/>
  <c r="U9" i="120"/>
  <c r="S9" i="120"/>
  <c r="R9" i="120"/>
  <c r="J9" i="120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U23" i="119"/>
  <c r="V23" i="119" s="1"/>
  <c r="S23" i="119"/>
  <c r="R23" i="119"/>
  <c r="J23" i="119"/>
  <c r="W23" i="119" s="1"/>
  <c r="I23" i="119"/>
  <c r="V22" i="119"/>
  <c r="U22" i="119"/>
  <c r="S22" i="119"/>
  <c r="R22" i="119"/>
  <c r="J22" i="119"/>
  <c r="I22" i="119"/>
  <c r="W22" i="119" s="1"/>
  <c r="U21" i="119"/>
  <c r="V21" i="119" s="1"/>
  <c r="S21" i="119"/>
  <c r="R21" i="119"/>
  <c r="J21" i="119"/>
  <c r="I21" i="119"/>
  <c r="W21" i="119" s="1"/>
  <c r="V20" i="119"/>
  <c r="U20" i="119"/>
  <c r="S20" i="119"/>
  <c r="R20" i="119"/>
  <c r="J20" i="119"/>
  <c r="I20" i="119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S9" i="119"/>
  <c r="R9" i="119"/>
  <c r="J9" i="119"/>
  <c r="I9" i="119"/>
  <c r="A9" i="119"/>
  <c r="V8" i="119"/>
  <c r="U8" i="119"/>
  <c r="S8" i="119"/>
  <c r="R8" i="119"/>
  <c r="J8" i="119"/>
  <c r="I8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60" i="124" l="1"/>
  <c r="W54" i="123"/>
  <c r="W48" i="123"/>
  <c r="W35" i="123"/>
  <c r="R60" i="123"/>
  <c r="W23" i="123"/>
  <c r="W20" i="123"/>
  <c r="W14" i="123"/>
  <c r="S60" i="123"/>
  <c r="U60" i="123"/>
  <c r="J60" i="123"/>
  <c r="W12" i="123"/>
  <c r="W44" i="121"/>
  <c r="W25" i="121"/>
  <c r="W20" i="121"/>
  <c r="W15" i="121"/>
  <c r="W14" i="121"/>
  <c r="S60" i="121"/>
  <c r="R60" i="121"/>
  <c r="U60" i="121"/>
  <c r="J60" i="121"/>
  <c r="W13" i="121"/>
  <c r="W11" i="121"/>
  <c r="I60" i="121"/>
  <c r="W9" i="121"/>
  <c r="W8" i="121"/>
  <c r="W41" i="120"/>
  <c r="W38" i="120"/>
  <c r="W35" i="120"/>
  <c r="W26" i="120"/>
  <c r="W25" i="120"/>
  <c r="W24" i="120"/>
  <c r="W21" i="120"/>
  <c r="W20" i="120"/>
  <c r="W15" i="120"/>
  <c r="S60" i="120"/>
  <c r="U60" i="120"/>
  <c r="R60" i="120"/>
  <c r="J60" i="120"/>
  <c r="W11" i="120"/>
  <c r="W9" i="120"/>
  <c r="W8" i="120"/>
  <c r="W48" i="119"/>
  <c r="W41" i="119"/>
  <c r="W38" i="119"/>
  <c r="W35" i="119"/>
  <c r="W33" i="119"/>
  <c r="W31" i="119"/>
  <c r="W30" i="119"/>
  <c r="W29" i="119"/>
  <c r="W26" i="119"/>
  <c r="W20" i="119"/>
  <c r="W13" i="119"/>
  <c r="J60" i="119"/>
  <c r="W12" i="119"/>
  <c r="S60" i="119"/>
  <c r="U60" i="119"/>
  <c r="R60" i="119"/>
  <c r="W8" i="119"/>
  <c r="W48" i="118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V9" i="123"/>
  <c r="V60" i="123" s="1"/>
  <c r="I60" i="123"/>
  <c r="V8" i="121"/>
  <c r="V60" i="121" s="1"/>
  <c r="V60" i="120"/>
  <c r="I60" i="120"/>
  <c r="V44" i="120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23" l="1"/>
  <c r="W60" i="121"/>
  <c r="W60" i="120"/>
  <c r="W60" i="119"/>
  <c r="W60" i="118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C2C7961-6969-47BE-B936-671866D79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2C1E8F-DE36-41B8-87BA-2B0DA636F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C7DE1DD-274D-468A-A3FD-1ED86CCA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2DE4616-5F24-4E23-A55F-82F8B11E71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EB914F2-90F1-4F66-9AC1-1165E89C5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87298E6-2A02-4F3F-8428-034E08560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5ACC47B-B854-47BF-9170-B0AE0203A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175664B-AD15-4695-B7FC-2EE3B583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07D93F-91B2-4222-BAB6-B47783799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34565B5-7BF8-49C9-B443-C293BE338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DA8D116-2057-4DEE-B394-5FEA2DAF73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A985F77-06F2-49F8-B9DE-8D53F2944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E4DBCEA-B6D5-41D9-94AF-D34824C6C6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D8E6288-B673-44C1-9D80-5F4B4CB82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26A17E-DB3C-47C8-9A77-1D115D916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7E5A2CE-B933-4449-9E31-DE778DA4E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513011F-5A92-4D3C-A5B8-454809E737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316A89D-8827-404F-A3BB-AF1CF8524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DDB140C-0E72-4A44-A1D6-A156AAE74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04A4A7-2A3A-47D7-9AB4-6076D98E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9034850-D688-4069-8B23-84A0DB724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3D025F8-84EB-47DA-B5AE-E18F057148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C764E53-CFF7-414D-98A7-035855DC2A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A78DA7-1E2B-497D-9E78-BB6B0B653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93A33AF-189F-426D-967C-6E71725D0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48A60B6-88FE-4EBB-BE55-0F0694AF8E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0C1B344-966E-42E5-9349-2BBE7A991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<sst xmlns="http://schemas.openxmlformats.org/spreadsheetml/2006/main" count="1696" uniqueCount="82">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</sst>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topLeftCell="A29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/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06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46174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82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186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46175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85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187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AF48" sqref="AF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46176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85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>
        <v>2</v>
      </c>
      <c r="H9" s="79"/>
      <c r="I9" s="78">
        <f t="shared" ref="I9:J59" si="4">C9-G9</f>
        <v>96</v>
      </c>
      <c r="J9" s="94">
        <f t="shared" si="0"/>
        <v>0</v>
      </c>
      <c r="K9" s="51"/>
      <c r="L9" s="121">
        <v>2</v>
      </c>
      <c r="M9" s="121"/>
      <c r="N9" s="121"/>
      <c r="O9" s="121"/>
      <c r="P9" s="121"/>
      <c r="Q9" s="122">
        <v>2</v>
      </c>
      <c r="R9" s="98">
        <f t="shared" si="1"/>
        <v>2</v>
      </c>
      <c r="S9" s="125">
        <f t="shared" si="1"/>
        <v>2</v>
      </c>
      <c r="T9" s="51"/>
      <c r="U9" s="131">
        <f>L9*24+N9*24+P9*24</f>
        <v>48</v>
      </c>
      <c r="V9" s="132">
        <f>U9/24</f>
        <v>2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144</v>
      </c>
      <c r="D10" s="111"/>
      <c r="E10" s="112"/>
      <c r="F10" s="112"/>
      <c r="G10" s="76">
        <v>1</v>
      </c>
      <c r="H10" s="73"/>
      <c r="I10" s="73">
        <f t="shared" si="4"/>
        <v>143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>
        <v>1</v>
      </c>
      <c r="R10" s="99">
        <f t="shared" si="1"/>
        <v>1</v>
      </c>
      <c r="S10" s="126">
        <f t="shared" si="1"/>
        <v>1</v>
      </c>
      <c r="T10" s="41"/>
      <c r="U10" s="107">
        <f>L10*24+N10*24+P10*24</f>
        <v>24</v>
      </c>
      <c r="V10" s="134">
        <f>U10/24</f>
        <v>1</v>
      </c>
      <c r="W10" s="129">
        <f t="shared" si="2"/>
        <v>3432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33</v>
      </c>
      <c r="D11" s="111"/>
      <c r="E11" s="112"/>
      <c r="F11" s="112"/>
      <c r="G11" s="76">
        <v>1</v>
      </c>
      <c r="H11" s="73"/>
      <c r="I11" s="73">
        <f t="shared" si="4"/>
        <v>32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>
        <v>1</v>
      </c>
      <c r="R11" s="86">
        <f t="shared" si="1"/>
        <v>1</v>
      </c>
      <c r="S11" s="124">
        <f t="shared" si="1"/>
        <v>1</v>
      </c>
      <c r="T11" s="41"/>
      <c r="U11" s="107">
        <f>L11*24+N11*24+P11*24</f>
        <v>24</v>
      </c>
      <c r="V11" s="130">
        <f>U11/24</f>
        <v>1</v>
      </c>
      <c r="W11" s="129">
        <f t="shared" si="2"/>
        <v>768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3145</v>
      </c>
      <c r="D13" s="114">
        <v>12</v>
      </c>
      <c r="E13" s="115"/>
      <c r="F13" s="115"/>
      <c r="G13" s="78">
        <v>13</v>
      </c>
      <c r="H13" s="79">
        <v>12</v>
      </c>
      <c r="I13" s="80">
        <f t="shared" si="4"/>
        <v>3132</v>
      </c>
      <c r="J13" s="94">
        <f>D13-H13</f>
        <v>0</v>
      </c>
      <c r="K13" s="53"/>
      <c r="L13" s="121">
        <v>13</v>
      </c>
      <c r="M13" s="121">
        <v>12</v>
      </c>
      <c r="N13" s="121"/>
      <c r="O13" s="121"/>
      <c r="P13" s="121"/>
      <c r="Q13" s="122"/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75168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>
        <v>2</v>
      </c>
      <c r="H26" s="73"/>
      <c r="I26" s="73">
        <f t="shared" si="4"/>
        <v>147</v>
      </c>
      <c r="J26" s="77">
        <f t="shared" si="4"/>
        <v>1</v>
      </c>
      <c r="K26" s="41"/>
      <c r="L26" s="112">
        <v>2</v>
      </c>
      <c r="M26" s="112"/>
      <c r="N26" s="112"/>
      <c r="O26" s="112"/>
      <c r="P26" s="112"/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3529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100</v>
      </c>
      <c r="D29" s="111"/>
      <c r="E29" s="112"/>
      <c r="F29" s="112"/>
      <c r="G29" s="76">
        <v>2</v>
      </c>
      <c r="H29" s="73"/>
      <c r="I29" s="73">
        <f t="shared" si="4"/>
        <v>98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2352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77</v>
      </c>
      <c r="D35" s="111">
        <v>14</v>
      </c>
      <c r="E35" s="112"/>
      <c r="F35" s="112"/>
      <c r="G35" s="76">
        <v>1</v>
      </c>
      <c r="H35" s="73"/>
      <c r="I35" s="73">
        <f t="shared" si="4"/>
        <v>76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4445</v>
      </c>
      <c r="D38" s="114">
        <v>1</v>
      </c>
      <c r="E38" s="115"/>
      <c r="F38" s="115"/>
      <c r="G38" s="78">
        <v>10</v>
      </c>
      <c r="H38" s="79"/>
      <c r="I38" s="139">
        <f t="shared" si="4"/>
        <v>4435</v>
      </c>
      <c r="J38" s="140">
        <f t="shared" si="4"/>
        <v>1</v>
      </c>
      <c r="K38" s="51"/>
      <c r="L38" s="121">
        <v>10</v>
      </c>
      <c r="M38" s="121"/>
      <c r="N38" s="121"/>
      <c r="O38" s="121"/>
      <c r="P38" s="121"/>
      <c r="Q38" s="122"/>
      <c r="R38" s="97">
        <f t="shared" si="7"/>
        <v>10</v>
      </c>
      <c r="S38" s="125">
        <f t="shared" si="7"/>
        <v>0</v>
      </c>
      <c r="T38" s="51"/>
      <c r="U38" s="131">
        <f>L38*6+N38*6+P38*6</f>
        <v>60</v>
      </c>
      <c r="V38" s="135">
        <f>U38/6</f>
        <v>10</v>
      </c>
      <c r="W38" s="133">
        <f>I38*6+J38</f>
        <v>26611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94</v>
      </c>
      <c r="D41" s="147">
        <v>8</v>
      </c>
      <c r="E41" s="148"/>
      <c r="F41" s="148"/>
      <c r="G41" s="149">
        <v>1</v>
      </c>
      <c r="H41" s="150"/>
      <c r="I41" s="151">
        <f t="shared" si="4"/>
        <v>93</v>
      </c>
      <c r="J41" s="152">
        <f t="shared" si="4"/>
        <v>8</v>
      </c>
      <c r="K41" s="153"/>
      <c r="L41" s="154">
        <v>1</v>
      </c>
      <c r="M41" s="154"/>
      <c r="N41" s="154"/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5</v>
      </c>
      <c r="H42" s="167"/>
      <c r="I42" s="166">
        <f t="shared" si="4"/>
        <v>240</v>
      </c>
      <c r="J42" s="168">
        <f t="shared" si="4"/>
        <v>0</v>
      </c>
      <c r="K42" s="169"/>
      <c r="L42" s="165">
        <v>5</v>
      </c>
      <c r="M42" s="165"/>
      <c r="N42" s="165"/>
      <c r="O42" s="165"/>
      <c r="P42" s="165"/>
      <c r="Q42" s="170"/>
      <c r="R42" s="171">
        <f t="shared" si="7"/>
        <v>5</v>
      </c>
      <c r="S42" s="172">
        <f t="shared" si="7"/>
        <v>0</v>
      </c>
      <c r="T42" s="169"/>
      <c r="U42" s="173">
        <f>L42*12+N42*12+P42*12</f>
        <v>60</v>
      </c>
      <c r="V42" s="174">
        <f>U42/12</f>
        <v>5</v>
      </c>
      <c r="W42" s="175">
        <f>I42*12+J42</f>
        <v>2880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37993</v>
      </c>
      <c r="D44" s="114">
        <v>3</v>
      </c>
      <c r="E44" s="115"/>
      <c r="F44" s="115"/>
      <c r="G44" s="78">
        <v>441</v>
      </c>
      <c r="H44" s="79"/>
      <c r="I44" s="73">
        <f>C44+E44-G44</f>
        <v>37552</v>
      </c>
      <c r="J44" s="177">
        <f t="shared" si="4"/>
        <v>3</v>
      </c>
      <c r="K44" s="51"/>
      <c r="L44" s="121">
        <v>441</v>
      </c>
      <c r="M44" s="121"/>
      <c r="N44" s="121"/>
      <c r="O44" s="121"/>
      <c r="P44" s="121"/>
      <c r="Q44" s="122"/>
      <c r="R44" s="178">
        <f t="shared" si="7"/>
        <v>441</v>
      </c>
      <c r="S44" s="179">
        <f t="shared" si="7"/>
        <v>0</v>
      </c>
      <c r="T44" s="51"/>
      <c r="U44" s="131">
        <f>L44*6+N44*6+P44*6</f>
        <v>2646</v>
      </c>
      <c r="V44" s="130">
        <f>U44/6</f>
        <v>441</v>
      </c>
      <c r="W44" s="133">
        <f>I44*6+J44</f>
        <v>225315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2800</v>
      </c>
      <c r="D48" s="142">
        <v>1</v>
      </c>
      <c r="E48" s="121"/>
      <c r="F48" s="121"/>
      <c r="G48" s="143">
        <v>2</v>
      </c>
      <c r="H48" s="139"/>
      <c r="I48" s="139">
        <f t="shared" si="4"/>
        <v>2798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16789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/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49530</v>
      </c>
      <c r="D60" s="54">
        <f>SUM(D8:D59)</f>
        <v>131</v>
      </c>
      <c r="E60" s="44">
        <f>SUM(E8:E59)</f>
        <v>0</v>
      </c>
      <c r="F60" s="44"/>
      <c r="G60" s="28">
        <f>SUM(G8:G59)</f>
        <v>481</v>
      </c>
      <c r="H60" s="56">
        <f>SUM(H8:H59)</f>
        <v>12</v>
      </c>
      <c r="I60" s="56">
        <f>SUM(I8:I59)</f>
        <v>49049</v>
      </c>
      <c r="J60" s="45">
        <f>SUM(J8:J59)</f>
        <v>119</v>
      </c>
      <c r="K60" s="46"/>
      <c r="L60" s="74">
        <f t="shared" ref="L60:S60" si="20">SUM(L8:L59)</f>
        <v>479</v>
      </c>
      <c r="M60" s="74">
        <f t="shared" si="20"/>
        <v>12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4</v>
      </c>
      <c r="R60" s="85">
        <f t="shared" si="20"/>
        <v>479</v>
      </c>
      <c r="S60" s="84">
        <f t="shared" si="20"/>
        <v>16</v>
      </c>
      <c r="T60" s="46"/>
      <c r="U60" s="43">
        <f>SUM(U8:U59)</f>
        <v>3282</v>
      </c>
      <c r="V60" s="102">
        <f>SUM(V8:V59)</f>
        <v>479</v>
      </c>
      <c r="W60" s="187">
        <f>SUM(W8:W59)</f>
        <v>367673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46178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85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143</v>
      </c>
      <c r="D10" s="111"/>
      <c r="E10" s="112"/>
      <c r="F10" s="112"/>
      <c r="G10" s="76">
        <v>4</v>
      </c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32</v>
      </c>
      <c r="D11" s="111"/>
      <c r="E11" s="112"/>
      <c r="F11" s="112"/>
      <c r="G11" s="76">
        <v>9</v>
      </c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>
        <v>7</v>
      </c>
      <c r="Q11" s="120"/>
      <c r="R11" s="86">
        <f t="shared" si="1"/>
        <v>9</v>
      </c>
      <c r="S11" s="124">
        <f t="shared" si="1"/>
        <v>0</v>
      </c>
      <c r="T11" s="41"/>
      <c r="U11" s="107">
        <f>L11*24+N11*24+P11*24</f>
        <v>216</v>
      </c>
      <c r="V11" s="130">
        <f>U11/24</f>
        <v>9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3132</v>
      </c>
      <c r="D13" s="114"/>
      <c r="E13" s="115"/>
      <c r="F13" s="115"/>
      <c r="G13" s="78">
        <v>41</v>
      </c>
      <c r="H13" s="79">
        <v>12</v>
      </c>
      <c r="I13" s="80">
        <f t="shared" si="4"/>
        <v>3091</v>
      </c>
      <c r="J13" s="94">
        <f>D13-H13</f>
        <v>-12</v>
      </c>
      <c r="K13" s="53"/>
      <c r="L13" s="121">
        <v>10</v>
      </c>
      <c r="M13" s="121">
        <v>12</v>
      </c>
      <c r="N13" s="121">
        <v>7</v>
      </c>
      <c r="O13" s="121"/>
      <c r="P13" s="121">
        <v>24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74172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147</v>
      </c>
      <c r="D26" s="111">
        <v>1</v>
      </c>
      <c r="E26" s="112"/>
      <c r="F26" s="112"/>
      <c r="G26" s="76">
        <v>20</v>
      </c>
      <c r="H26" s="73"/>
      <c r="I26" s="73">
        <f t="shared" si="4"/>
        <v>127</v>
      </c>
      <c r="J26" s="77">
        <f t="shared" si="4"/>
        <v>1</v>
      </c>
      <c r="K26" s="41"/>
      <c r="L26" s="112"/>
      <c r="M26" s="112"/>
      <c r="N26" s="112"/>
      <c r="O26" s="112"/>
      <c r="P26" s="112">
        <v>20</v>
      </c>
      <c r="Q26" s="120"/>
      <c r="R26" s="86">
        <f t="shared" si="7"/>
        <v>20</v>
      </c>
      <c r="S26" s="124">
        <f t="shared" si="7"/>
        <v>0</v>
      </c>
      <c r="T26" s="41"/>
      <c r="U26" s="107">
        <f t="shared" si="5"/>
        <v>480</v>
      </c>
      <c r="V26" s="130">
        <f t="shared" si="6"/>
        <v>20</v>
      </c>
      <c r="W26" s="129">
        <f t="shared" si="8"/>
        <v>3049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46</v>
      </c>
      <c r="H29" s="73"/>
      <c r="I29" s="73">
        <f t="shared" si="4"/>
        <v>52</v>
      </c>
      <c r="J29" s="77">
        <f t="shared" si="4"/>
        <v>0</v>
      </c>
      <c r="K29" s="42"/>
      <c r="L29" s="112">
        <v>26</v>
      </c>
      <c r="M29" s="112"/>
      <c r="N29" s="112"/>
      <c r="O29" s="112"/>
      <c r="P29" s="112">
        <v>20</v>
      </c>
      <c r="Q29" s="120"/>
      <c r="R29" s="86">
        <f t="shared" si="7"/>
        <v>46</v>
      </c>
      <c r="S29" s="124">
        <f t="shared" si="7"/>
        <v>0</v>
      </c>
      <c r="T29" s="42"/>
      <c r="U29" s="107">
        <f t="shared" si="5"/>
        <v>1104</v>
      </c>
      <c r="V29" s="130">
        <f t="shared" si="6"/>
        <v>46</v>
      </c>
      <c r="W29" s="129">
        <f t="shared" si="8"/>
        <v>1248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/>
      <c r="H35" s="73"/>
      <c r="I35" s="73">
        <f t="shared" si="4"/>
        <v>76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4435</v>
      </c>
      <c r="D38" s="114">
        <v>1</v>
      </c>
      <c r="E38" s="115"/>
      <c r="F38" s="115"/>
      <c r="G38" s="78">
        <v>275</v>
      </c>
      <c r="H38" s="79"/>
      <c r="I38" s="139">
        <f t="shared" si="4"/>
        <v>4160</v>
      </c>
      <c r="J38" s="140">
        <f t="shared" si="4"/>
        <v>1</v>
      </c>
      <c r="K38" s="51"/>
      <c r="L38" s="121">
        <v>117</v>
      </c>
      <c r="M38" s="121"/>
      <c r="N38" s="121">
        <v>23</v>
      </c>
      <c r="O38" s="121"/>
      <c r="P38" s="121">
        <v>135</v>
      </c>
      <c r="Q38" s="122"/>
      <c r="R38" s="97">
        <f t="shared" si="7"/>
        <v>275</v>
      </c>
      <c r="S38" s="125">
        <f t="shared" si="7"/>
        <v>0</v>
      </c>
      <c r="T38" s="51"/>
      <c r="U38" s="131">
        <f>L38*6+N38*6+P38*6</f>
        <v>1650</v>
      </c>
      <c r="V38" s="135">
        <f>U38/6</f>
        <v>275</v>
      </c>
      <c r="W38" s="133">
        <f>I38*6+J38</f>
        <v>24961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93</v>
      </c>
      <c r="D41" s="147">
        <v>8</v>
      </c>
      <c r="E41" s="148"/>
      <c r="F41" s="148"/>
      <c r="G41" s="149">
        <v>65</v>
      </c>
      <c r="H41" s="150"/>
      <c r="I41" s="151">
        <f t="shared" si="4"/>
        <v>28</v>
      </c>
      <c r="J41" s="152">
        <f t="shared" si="4"/>
        <v>8</v>
      </c>
      <c r="K41" s="153"/>
      <c r="L41" s="154">
        <v>65</v>
      </c>
      <c r="M41" s="154"/>
      <c r="N41" s="154"/>
      <c r="O41" s="154"/>
      <c r="P41" s="154"/>
      <c r="Q41" s="155"/>
      <c r="R41" s="156">
        <f t="shared" si="7"/>
        <v>65</v>
      </c>
      <c r="S41" s="157">
        <f t="shared" si="7"/>
        <v>0</v>
      </c>
      <c r="T41" s="153"/>
      <c r="U41" s="158">
        <f t="shared" si="9"/>
        <v>1560</v>
      </c>
      <c r="V41" s="159">
        <f t="shared" si="6"/>
        <v>65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240</v>
      </c>
      <c r="D42" s="164"/>
      <c r="E42" s="165"/>
      <c r="F42" s="165"/>
      <c r="G42" s="166">
        <v>71</v>
      </c>
      <c r="H42" s="167"/>
      <c r="I42" s="166">
        <f t="shared" si="4"/>
        <v>169</v>
      </c>
      <c r="J42" s="168">
        <f t="shared" si="4"/>
        <v>0</v>
      </c>
      <c r="K42" s="169"/>
      <c r="L42" s="165">
        <v>50</v>
      </c>
      <c r="M42" s="165"/>
      <c r="N42" s="165">
        <v>1</v>
      </c>
      <c r="O42" s="165"/>
      <c r="P42" s="165">
        <v>20</v>
      </c>
      <c r="Q42" s="170"/>
      <c r="R42" s="171">
        <f t="shared" si="7"/>
        <v>71</v>
      </c>
      <c r="S42" s="172">
        <f t="shared" si="7"/>
        <v>0</v>
      </c>
      <c r="T42" s="169"/>
      <c r="U42" s="173">
        <f>L42*12+N42*12+P42*12</f>
        <v>852</v>
      </c>
      <c r="V42" s="174">
        <f>U42/12</f>
        <v>71</v>
      </c>
      <c r="W42" s="175">
        <f>I42*12+J42</f>
        <v>2028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37552</v>
      </c>
      <c r="D44" s="114">
        <v>3</v>
      </c>
      <c r="E44" s="115"/>
      <c r="F44" s="115"/>
      <c r="G44" s="78">
        <v>1206</v>
      </c>
      <c r="H44" s="79"/>
      <c r="I44" s="73">
        <f>C44+E44-G44</f>
        <v>36346</v>
      </c>
      <c r="J44" s="177">
        <f t="shared" si="4"/>
        <v>3</v>
      </c>
      <c r="K44" s="51"/>
      <c r="L44" s="121">
        <v>370</v>
      </c>
      <c r="M44" s="121"/>
      <c r="N44" s="121">
        <v>297</v>
      </c>
      <c r="O44" s="121"/>
      <c r="P44" s="121">
        <v>539</v>
      </c>
      <c r="Q44" s="122"/>
      <c r="R44" s="178">
        <f t="shared" si="7"/>
        <v>1206</v>
      </c>
      <c r="S44" s="179">
        <f t="shared" si="7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218079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2798</v>
      </c>
      <c r="D48" s="142">
        <v>1</v>
      </c>
      <c r="E48" s="121"/>
      <c r="F48" s="121"/>
      <c r="G48" s="143">
        <v>3</v>
      </c>
      <c r="H48" s="139"/>
      <c r="I48" s="139">
        <f t="shared" si="4"/>
        <v>2795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>
        <v>1</v>
      </c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49049</v>
      </c>
      <c r="D60" s="54">
        <f>SUM(D8:D59)</f>
        <v>119</v>
      </c>
      <c r="E60" s="44">
        <f>SUM(E8:E59)</f>
        <v>0</v>
      </c>
      <c r="F60" s="44"/>
      <c r="G60" s="28">
        <f>SUM(G8:G59)</f>
        <v>1741</v>
      </c>
      <c r="H60" s="56">
        <f>SUM(H8:H59)</f>
        <v>12</v>
      </c>
      <c r="I60" s="56">
        <f>SUM(I8:I59)</f>
        <v>47308</v>
      </c>
      <c r="J60" s="45">
        <f>SUM(J8:J59)</f>
        <v>107</v>
      </c>
      <c r="K60" s="46"/>
      <c r="L60" s="74">
        <f t="shared" ref="L60:S60" si="20">SUM(L8:L59)</f>
        <v>641</v>
      </c>
      <c r="M60" s="74">
        <f t="shared" si="20"/>
        <v>12</v>
      </c>
      <c r="N60" s="74">
        <f t="shared" si="20"/>
        <v>332</v>
      </c>
      <c r="O60" s="74">
        <f t="shared" si="20"/>
        <v>0</v>
      </c>
      <c r="P60" s="74">
        <f t="shared" si="20"/>
        <v>768</v>
      </c>
      <c r="Q60" s="75">
        <f t="shared" si="20"/>
        <v>0</v>
      </c>
      <c r="R60" s="85">
        <f t="shared" si="20"/>
        <v>1741</v>
      </c>
      <c r="S60" s="84">
        <f t="shared" si="20"/>
        <v>12</v>
      </c>
      <c r="T60" s="46"/>
      <c r="U60" s="43">
        <f>SUM(U8:U59)</f>
        <v>14220</v>
      </c>
      <c r="V60" s="102">
        <f>SUM(V8:V59)</f>
        <v>1741</v>
      </c>
      <c r="W60" s="187">
        <f>SUM(W8:W59)</f>
        <v>353441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G40" sqref="AG4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46179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85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3090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3073</v>
      </c>
      <c r="J13" s="94">
        <f>D13-H13</f>
        <v>0</v>
      </c>
      <c r="K13" s="53"/>
      <c r="L13" s="121"/>
      <c r="M13" s="121"/>
      <c r="N13" s="121">
        <v>9</v>
      </c>
      <c r="O13" s="121"/>
      <c r="P13" s="121">
        <v>8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73752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127</v>
      </c>
      <c r="D26" s="111">
        <v>1</v>
      </c>
      <c r="E26" s="112"/>
      <c r="F26" s="112"/>
      <c r="G26" s="76">
        <v>2</v>
      </c>
      <c r="H26" s="73"/>
      <c r="I26" s="73">
        <f t="shared" si="4"/>
        <v>125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3001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52</v>
      </c>
      <c r="D29" s="111"/>
      <c r="E29" s="112"/>
      <c r="F29" s="112"/>
      <c r="G29" s="76">
        <v>4</v>
      </c>
      <c r="H29" s="73"/>
      <c r="I29" s="73">
        <f t="shared" si="4"/>
        <v>48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1152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>
        <v>1</v>
      </c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>
        <v>2</v>
      </c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4160</v>
      </c>
      <c r="D38" s="114">
        <v>1</v>
      </c>
      <c r="E38" s="115"/>
      <c r="F38" s="115"/>
      <c r="G38" s="78">
        <v>52</v>
      </c>
      <c r="H38" s="79"/>
      <c r="I38" s="139">
        <f t="shared" si="4"/>
        <v>4108</v>
      </c>
      <c r="J38" s="140">
        <f t="shared" si="4"/>
        <v>1</v>
      </c>
      <c r="K38" s="51"/>
      <c r="L38" s="121"/>
      <c r="M38" s="121"/>
      <c r="N38" s="121">
        <v>6</v>
      </c>
      <c r="O38" s="121"/>
      <c r="P38" s="121">
        <v>46</v>
      </c>
      <c r="Q38" s="122"/>
      <c r="R38" s="97">
        <f t="shared" si="7"/>
        <v>52</v>
      </c>
      <c r="S38" s="125">
        <f t="shared" si="7"/>
        <v>0</v>
      </c>
      <c r="T38" s="51"/>
      <c r="U38" s="131">
        <f>L38*6+N38*6+P38*6</f>
        <v>312</v>
      </c>
      <c r="V38" s="135">
        <f>U38/6</f>
        <v>52</v>
      </c>
      <c r="W38" s="133">
        <f>I38*6+J38</f>
        <v>24649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169</v>
      </c>
      <c r="D42" s="164"/>
      <c r="E42" s="165"/>
      <c r="F42" s="165"/>
      <c r="G42" s="166">
        <v>24</v>
      </c>
      <c r="H42" s="167"/>
      <c r="I42" s="166">
        <f t="shared" si="4"/>
        <v>145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20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1740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36346</v>
      </c>
      <c r="D44" s="114">
        <v>3</v>
      </c>
      <c r="E44" s="115"/>
      <c r="F44" s="115"/>
      <c r="G44" s="78">
        <v>773</v>
      </c>
      <c r="H44" s="79"/>
      <c r="I44" s="73">
        <f>C44+E44-G44</f>
        <v>35573</v>
      </c>
      <c r="J44" s="177">
        <f t="shared" si="4"/>
        <v>3</v>
      </c>
      <c r="K44" s="51"/>
      <c r="L44" s="121"/>
      <c r="M44" s="121"/>
      <c r="N44" s="121">
        <v>384</v>
      </c>
      <c r="O44" s="121"/>
      <c r="P44" s="121">
        <v>389</v>
      </c>
      <c r="Q44" s="122"/>
      <c r="R44" s="178">
        <f t="shared" si="7"/>
        <v>773</v>
      </c>
      <c r="S44" s="179">
        <f t="shared" si="7"/>
        <v>0</v>
      </c>
      <c r="T44" s="51"/>
      <c r="U44" s="131">
        <f>L44*6+N44*6+P44*6</f>
        <v>4638</v>
      </c>
      <c r="V44" s="130">
        <f>U44/6</f>
        <v>773</v>
      </c>
      <c r="W44" s="133">
        <f>I44*6+J44</f>
        <v>213441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47307</v>
      </c>
      <c r="D60" s="54">
        <f>SUM(D8:D59)</f>
        <v>131</v>
      </c>
      <c r="E60" s="44">
        <f>SUM(E8:E59)</f>
        <v>0</v>
      </c>
      <c r="F60" s="44"/>
      <c r="G60" s="28">
        <f>SUM(G8:G59)</f>
        <v>875</v>
      </c>
      <c r="H60" s="56">
        <f>SUM(H8:H59)</f>
        <v>12</v>
      </c>
      <c r="I60" s="56">
        <f>SUM(I8:I59)</f>
        <v>46432</v>
      </c>
      <c r="J60" s="45">
        <f>SUM(J8:J59)</f>
        <v>119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472</v>
      </c>
      <c r="Q60" s="75">
        <f t="shared" si="20"/>
        <v>12</v>
      </c>
      <c r="R60" s="85">
        <f t="shared" si="20"/>
        <v>875</v>
      </c>
      <c r="S60" s="84">
        <f t="shared" si="20"/>
        <v>12</v>
      </c>
      <c r="T60" s="46"/>
      <c r="U60" s="43">
        <f>SUM(U8:U59)</f>
        <v>5862</v>
      </c>
      <c r="V60" s="102">
        <f>SUM(V8:V59)</f>
        <v>875</v>
      </c>
      <c r="W60" s="187">
        <f>SUM(W8:W59)</f>
        <v>347567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C27" sqref="AC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46181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85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3073</v>
      </c>
      <c r="D13" s="114"/>
      <c r="E13" s="115"/>
      <c r="F13" s="115"/>
      <c r="G13" s="78">
        <v>25</v>
      </c>
      <c r="H13" s="79">
        <v>12</v>
      </c>
      <c r="I13" s="80">
        <f t="shared" si="4"/>
        <v>3048</v>
      </c>
      <c r="J13" s="94">
        <f>D13-H13</f>
        <v>-12</v>
      </c>
      <c r="K13" s="53"/>
      <c r="L13" s="121"/>
      <c r="M13" s="121"/>
      <c r="N13" s="121">
        <v>15</v>
      </c>
      <c r="O13" s="121"/>
      <c r="P13" s="121">
        <v>10</v>
      </c>
      <c r="Q13" s="122">
        <v>12</v>
      </c>
      <c r="R13" s="97">
        <f>L13+N13+P13</f>
        <v>25</v>
      </c>
      <c r="S13" s="125">
        <f>M13+O13+Q13</f>
        <v>12</v>
      </c>
      <c r="T13" s="53"/>
      <c r="U13" s="131">
        <f>L13*24+N13*24+P13*24</f>
        <v>600</v>
      </c>
      <c r="V13" s="135">
        <f t="shared" si="6"/>
        <v>25</v>
      </c>
      <c r="W13" s="133">
        <f>I13*24+J13</f>
        <v>73140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125</v>
      </c>
      <c r="D26" s="111">
        <v>1</v>
      </c>
      <c r="E26" s="112"/>
      <c r="F26" s="112"/>
      <c r="G26" s="76">
        <v>1</v>
      </c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48</v>
      </c>
      <c r="D29" s="111"/>
      <c r="E29" s="112"/>
      <c r="F29" s="112"/>
      <c r="G29" s="76">
        <v>5</v>
      </c>
      <c r="H29" s="73"/>
      <c r="I29" s="73">
        <f t="shared" si="4"/>
        <v>43</v>
      </c>
      <c r="J29" s="77">
        <f t="shared" si="4"/>
        <v>0</v>
      </c>
      <c r="K29" s="42"/>
      <c r="L29" s="112"/>
      <c r="M29" s="112"/>
      <c r="N29" s="112"/>
      <c r="O29" s="112"/>
      <c r="P29" s="112">
        <v>5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1032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/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4108</v>
      </c>
      <c r="D38" s="114">
        <v>1</v>
      </c>
      <c r="E38" s="115"/>
      <c r="F38" s="115"/>
      <c r="G38" s="78">
        <v>109</v>
      </c>
      <c r="H38" s="79"/>
      <c r="I38" s="139">
        <f t="shared" si="4"/>
        <v>3999</v>
      </c>
      <c r="J38" s="140">
        <f t="shared" si="4"/>
        <v>1</v>
      </c>
      <c r="K38" s="51"/>
      <c r="L38" s="121"/>
      <c r="M38" s="121"/>
      <c r="N38" s="121">
        <v>33</v>
      </c>
      <c r="O38" s="121"/>
      <c r="P38" s="121">
        <v>76</v>
      </c>
      <c r="Q38" s="122"/>
      <c r="R38" s="97">
        <f t="shared" si="7"/>
        <v>109</v>
      </c>
      <c r="S38" s="125">
        <f t="shared" si="7"/>
        <v>0</v>
      </c>
      <c r="T38" s="51"/>
      <c r="U38" s="131">
        <f>L38*6+N38*6+P38*6</f>
        <v>654</v>
      </c>
      <c r="V38" s="135">
        <f>U38/6</f>
        <v>109</v>
      </c>
      <c r="W38" s="133">
        <f>I38*6+J38</f>
        <v>23995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145</v>
      </c>
      <c r="D42" s="164"/>
      <c r="E42" s="165"/>
      <c r="F42" s="165"/>
      <c r="G42" s="166">
        <v>14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10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35573</v>
      </c>
      <c r="D44" s="114">
        <v>3</v>
      </c>
      <c r="E44" s="115"/>
      <c r="F44" s="115"/>
      <c r="G44" s="78">
        <v>873</v>
      </c>
      <c r="H44" s="79"/>
      <c r="I44" s="73">
        <f>C44+E44-G44</f>
        <v>34700</v>
      </c>
      <c r="J44" s="177">
        <f t="shared" si="4"/>
        <v>3</v>
      </c>
      <c r="K44" s="51"/>
      <c r="L44" s="121"/>
      <c r="M44" s="121"/>
      <c r="N44" s="121">
        <v>457</v>
      </c>
      <c r="O44" s="121"/>
      <c r="P44" s="121">
        <v>416</v>
      </c>
      <c r="Q44" s="122"/>
      <c r="R44" s="178">
        <f t="shared" si="7"/>
        <v>873</v>
      </c>
      <c r="S44" s="179">
        <f t="shared" si="7"/>
        <v>0</v>
      </c>
      <c r="T44" s="51"/>
      <c r="U44" s="131">
        <f>L44*6+N44*6+P44*6</f>
        <v>5238</v>
      </c>
      <c r="V44" s="130">
        <f>U44/6</f>
        <v>873</v>
      </c>
      <c r="W44" s="133">
        <f>I44*6+J44</f>
        <v>208203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46432</v>
      </c>
      <c r="D60" s="54">
        <f>SUM(D8:D59)</f>
        <v>119</v>
      </c>
      <c r="E60" s="44">
        <f>SUM(E8:E59)</f>
        <v>0</v>
      </c>
      <c r="F60" s="44"/>
      <c r="G60" s="28">
        <f>SUM(G8:G59)</f>
        <v>1027</v>
      </c>
      <c r="H60" s="56">
        <f>SUM(H8:H59)</f>
        <v>12</v>
      </c>
      <c r="I60" s="56">
        <f>SUM(I8:I59)</f>
        <v>45405</v>
      </c>
      <c r="J60" s="45">
        <f>SUM(J8:J59)</f>
        <v>107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509</v>
      </c>
      <c r="O60" s="74">
        <f t="shared" si="20"/>
        <v>0</v>
      </c>
      <c r="P60" s="74">
        <f t="shared" si="20"/>
        <v>518</v>
      </c>
      <c r="Q60" s="75">
        <f t="shared" si="20"/>
        <v>12</v>
      </c>
      <c r="R60" s="85">
        <f t="shared" si="20"/>
        <v>1027</v>
      </c>
      <c r="S60" s="84">
        <f t="shared" si="20"/>
        <v>12</v>
      </c>
      <c r="T60" s="46"/>
      <c r="U60" s="43">
        <f>SUM(U8:U59)</f>
        <v>6804</v>
      </c>
      <c r="V60" s="102">
        <f>SUM(V8:V59)</f>
        <v>1027</v>
      </c>
      <c r="W60" s="187">
        <f>SUM(W8:W59)</f>
        <v>340751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B28BF-6C46-4483-9101-264754BF15F2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9" sqref="AD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46181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90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>
        <v>4</v>
      </c>
      <c r="H10" s="73"/>
      <c r="I10" s="73">
        <f t="shared" si="4"/>
        <v>135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>
        <v>3</v>
      </c>
      <c r="H11" s="73"/>
      <c r="I11" s="73">
        <f t="shared" si="4"/>
        <v>20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3047</v>
      </c>
      <c r="D13" s="114">
        <v>12</v>
      </c>
      <c r="E13" s="115"/>
      <c r="F13" s="115"/>
      <c r="G13" s="78">
        <v>33</v>
      </c>
      <c r="H13" s="79">
        <v>12</v>
      </c>
      <c r="I13" s="80">
        <f t="shared" si="4"/>
        <v>3014</v>
      </c>
      <c r="J13" s="94">
        <f>D13-H13</f>
        <v>0</v>
      </c>
      <c r="K13" s="53"/>
      <c r="L13" s="121">
        <v>2</v>
      </c>
      <c r="M13" s="121">
        <v>12</v>
      </c>
      <c r="N13" s="121">
        <v>12</v>
      </c>
      <c r="O13" s="121"/>
      <c r="P13" s="121">
        <v>19</v>
      </c>
      <c r="Q13" s="122"/>
      <c r="R13" s="97">
        <f>L13+N13+P13</f>
        <v>33</v>
      </c>
      <c r="S13" s="125">
        <f>M13+O13+Q13</f>
        <v>12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72336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43</v>
      </c>
      <c r="D29" s="111"/>
      <c r="E29" s="112"/>
      <c r="F29" s="112"/>
      <c r="G29" s="76">
        <v>9</v>
      </c>
      <c r="H29" s="73"/>
      <c r="I29" s="73">
        <f t="shared" si="4"/>
        <v>34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7</v>
      </c>
      <c r="Q29" s="120"/>
      <c r="R29" s="86">
        <f t="shared" si="7"/>
        <v>9</v>
      </c>
      <c r="S29" s="124">
        <f t="shared" si="7"/>
        <v>0</v>
      </c>
      <c r="T29" s="42"/>
      <c r="U29" s="107">
        <f t="shared" si="5"/>
        <v>216</v>
      </c>
      <c r="V29" s="130">
        <f t="shared" si="6"/>
        <v>9</v>
      </c>
      <c r="W29" s="129">
        <f t="shared" si="8"/>
        <v>816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>
        <v>3</v>
      </c>
      <c r="H30" s="73"/>
      <c r="I30" s="73">
        <f t="shared" si="4"/>
        <v>50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>
        <v>10</v>
      </c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>
        <v>5</v>
      </c>
      <c r="O35" s="112"/>
      <c r="P35" s="112">
        <v>5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3999</v>
      </c>
      <c r="D38" s="114">
        <v>1</v>
      </c>
      <c r="E38" s="115"/>
      <c r="F38" s="115"/>
      <c r="G38" s="78">
        <v>178</v>
      </c>
      <c r="H38" s="79"/>
      <c r="I38" s="139">
        <f t="shared" si="4"/>
        <v>3821</v>
      </c>
      <c r="J38" s="140">
        <f t="shared" si="4"/>
        <v>1</v>
      </c>
      <c r="K38" s="51"/>
      <c r="L38" s="121">
        <v>20</v>
      </c>
      <c r="M38" s="121"/>
      <c r="N38" s="121">
        <v>50</v>
      </c>
      <c r="O38" s="121"/>
      <c r="P38" s="121">
        <v>108</v>
      </c>
      <c r="Q38" s="122"/>
      <c r="R38" s="97">
        <f t="shared" si="7"/>
        <v>178</v>
      </c>
      <c r="S38" s="125">
        <f t="shared" si="7"/>
        <v>0</v>
      </c>
      <c r="T38" s="51"/>
      <c r="U38" s="131">
        <f>L38*6+N38*6+P38*6</f>
        <v>1068</v>
      </c>
      <c r="V38" s="135">
        <f>U38/6</f>
        <v>178</v>
      </c>
      <c r="W38" s="133">
        <f>I38*6+J38</f>
        <v>22927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>
        <v>1</v>
      </c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f>131</f>
        <v>131</v>
      </c>
      <c r="D42" s="164"/>
      <c r="E42" s="165"/>
      <c r="F42" s="165"/>
      <c r="G42" s="166">
        <v>39</v>
      </c>
      <c r="H42" s="167"/>
      <c r="I42" s="166">
        <f t="shared" si="4"/>
        <v>92</v>
      </c>
      <c r="J42" s="168">
        <f t="shared" si="4"/>
        <v>0</v>
      </c>
      <c r="K42" s="169"/>
      <c r="L42" s="165">
        <v>9</v>
      </c>
      <c r="M42" s="165"/>
      <c r="N42" s="165">
        <v>3</v>
      </c>
      <c r="O42" s="165"/>
      <c r="P42" s="165">
        <v>27</v>
      </c>
      <c r="Q42" s="170"/>
      <c r="R42" s="171">
        <f t="shared" si="7"/>
        <v>39</v>
      </c>
      <c r="S42" s="172">
        <f t="shared" si="7"/>
        <v>0</v>
      </c>
      <c r="T42" s="169"/>
      <c r="U42" s="173">
        <f>L42*12+N42*12+P42*12</f>
        <v>468</v>
      </c>
      <c r="V42" s="174">
        <f>U42/12</f>
        <v>39</v>
      </c>
      <c r="W42" s="175">
        <f>I42*12+J42</f>
        <v>1104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34700</v>
      </c>
      <c r="D44" s="114">
        <v>3</v>
      </c>
      <c r="E44" s="115"/>
      <c r="F44" s="115"/>
      <c r="G44" s="78">
        <v>1152</v>
      </c>
      <c r="H44" s="79"/>
      <c r="I44" s="73">
        <f>C44+E44-G44</f>
        <v>33548</v>
      </c>
      <c r="J44" s="177">
        <f t="shared" si="4"/>
        <v>3</v>
      </c>
      <c r="K44" s="51"/>
      <c r="L44" s="121">
        <v>339</v>
      </c>
      <c r="M44" s="121"/>
      <c r="N44" s="121">
        <v>323</v>
      </c>
      <c r="O44" s="121"/>
      <c r="P44" s="121">
        <v>490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201291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45404</v>
      </c>
      <c r="D60" s="54">
        <f>SUM(D8:D59)</f>
        <v>131</v>
      </c>
      <c r="E60" s="44">
        <f>SUM(E8:E59)</f>
        <v>0</v>
      </c>
      <c r="F60" s="44"/>
      <c r="G60" s="28">
        <f>SUM(G8:G59)</f>
        <v>1432</v>
      </c>
      <c r="H60" s="56">
        <f>SUM(H8:H59)</f>
        <v>12</v>
      </c>
      <c r="I60" s="56">
        <f>SUM(I8:I59)</f>
        <v>43972</v>
      </c>
      <c r="J60" s="45">
        <f>SUM(J8:J59)</f>
        <v>119</v>
      </c>
      <c r="K60" s="46"/>
      <c r="L60" s="74">
        <f t="shared" ref="L60:S60" si="20">SUM(L8:L59)</f>
        <v>376</v>
      </c>
      <c r="M60" s="74">
        <f t="shared" si="20"/>
        <v>12</v>
      </c>
      <c r="N60" s="74">
        <f t="shared" si="20"/>
        <v>397</v>
      </c>
      <c r="O60" s="74">
        <f t="shared" si="20"/>
        <v>0</v>
      </c>
      <c r="P60" s="74">
        <f t="shared" si="20"/>
        <v>659</v>
      </c>
      <c r="Q60" s="75">
        <f t="shared" si="20"/>
        <v>0</v>
      </c>
      <c r="R60" s="85">
        <f t="shared" si="20"/>
        <v>1432</v>
      </c>
      <c r="S60" s="84">
        <f t="shared" si="20"/>
        <v>12</v>
      </c>
      <c r="T60" s="46"/>
      <c r="U60" s="43">
        <f>SUM(U8:U59)</f>
        <v>9960</v>
      </c>
      <c r="V60" s="102">
        <f>SUM(V8:V59)</f>
        <v>1432</v>
      </c>
      <c r="W60" s="187">
        <f>SUM(W8:W59)</f>
        <v>330779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9FBA9-D099-42A2-AE80-DC4B3F80ADEE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50" sqref="A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46181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93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>
        <v>2</v>
      </c>
      <c r="H8" s="73"/>
      <c r="I8" s="73">
        <f>C8-G8</f>
        <v>21</v>
      </c>
      <c r="J8" s="77">
        <f t="shared" ref="J8:J12" si="0">D8-H8</f>
        <v>9</v>
      </c>
      <c r="K8" s="41"/>
      <c r="L8" s="112">
        <v>2</v>
      </c>
      <c r="M8" s="112"/>
      <c r="N8" s="112"/>
      <c r="O8" s="112"/>
      <c r="P8" s="112"/>
      <c r="Q8" s="120"/>
      <c r="R8" s="86">
        <f t="shared" ref="R8:S12" si="1">L8+N8+P8</f>
        <v>2</v>
      </c>
      <c r="S8" s="124">
        <f t="shared" si="1"/>
        <v>0</v>
      </c>
      <c r="T8" s="41"/>
      <c r="U8" s="107">
        <f>L8*24+N8*24+P8*24</f>
        <v>48</v>
      </c>
      <c r="V8" s="130">
        <f>U8/24</f>
        <v>2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19</v>
      </c>
      <c r="H10" s="73"/>
      <c r="I10" s="73">
        <f t="shared" si="4"/>
        <v>116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17</v>
      </c>
      <c r="Q10" s="120"/>
      <c r="R10" s="99">
        <f t="shared" si="1"/>
        <v>19</v>
      </c>
      <c r="S10" s="126">
        <f t="shared" si="1"/>
        <v>0</v>
      </c>
      <c r="T10" s="41"/>
      <c r="U10" s="107">
        <f>L10*24+N10*24+P10*24</f>
        <v>456</v>
      </c>
      <c r="V10" s="134">
        <f>U10/24</f>
        <v>19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20</v>
      </c>
      <c r="H11" s="73"/>
      <c r="I11" s="73">
        <f t="shared" si="4"/>
        <v>0</v>
      </c>
      <c r="J11" s="77">
        <f t="shared" si="0"/>
        <v>0</v>
      </c>
      <c r="K11" s="41"/>
      <c r="L11" s="112">
        <v>4</v>
      </c>
      <c r="M11" s="112"/>
      <c r="N11" s="112"/>
      <c r="O11" s="112"/>
      <c r="P11" s="112">
        <v>16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3014</v>
      </c>
      <c r="D13" s="114"/>
      <c r="E13" s="115"/>
      <c r="F13" s="115"/>
      <c r="G13" s="78">
        <v>10</v>
      </c>
      <c r="H13" s="79"/>
      <c r="I13" s="80">
        <f t="shared" si="4"/>
        <v>3004</v>
      </c>
      <c r="J13" s="94">
        <f>D13-H13</f>
        <v>0</v>
      </c>
      <c r="K13" s="53"/>
      <c r="L13" s="121"/>
      <c r="M13" s="121"/>
      <c r="N13" s="121"/>
      <c r="O13" s="121"/>
      <c r="P13" s="121">
        <v>10</v>
      </c>
      <c r="Q13" s="122"/>
      <c r="R13" s="97">
        <f>L13+N13+P13</f>
        <v>10</v>
      </c>
      <c r="S13" s="125">
        <f>M13+O13+Q13</f>
        <v>0</v>
      </c>
      <c r="T13" s="53"/>
      <c r="U13" s="131">
        <f>L13*24+N13*24+P13*24</f>
        <v>240</v>
      </c>
      <c r="V13" s="135">
        <f t="shared" si="6"/>
        <v>10</v>
      </c>
      <c r="W13" s="133">
        <f>I13*24+J13</f>
        <v>72096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34</v>
      </c>
      <c r="D29" s="111"/>
      <c r="E29" s="112"/>
      <c r="F29" s="112"/>
      <c r="G29" s="76">
        <v>6</v>
      </c>
      <c r="H29" s="73"/>
      <c r="I29" s="73">
        <f t="shared" si="4"/>
        <v>28</v>
      </c>
      <c r="J29" s="77">
        <f t="shared" si="4"/>
        <v>0</v>
      </c>
      <c r="K29" s="42"/>
      <c r="L29" s="112">
        <v>1</v>
      </c>
      <c r="M29" s="112"/>
      <c r="N29" s="112"/>
      <c r="O29" s="112"/>
      <c r="P29" s="112">
        <v>5</v>
      </c>
      <c r="Q29" s="120"/>
      <c r="R29" s="86">
        <f t="shared" si="7"/>
        <v>6</v>
      </c>
      <c r="S29" s="124">
        <f t="shared" si="7"/>
        <v>0</v>
      </c>
      <c r="T29" s="42"/>
      <c r="U29" s="107">
        <f t="shared" si="5"/>
        <v>144</v>
      </c>
      <c r="V29" s="130">
        <f t="shared" si="6"/>
        <v>6</v>
      </c>
      <c r="W29" s="129">
        <f t="shared" si="8"/>
        <v>672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3821</v>
      </c>
      <c r="D38" s="114">
        <v>1</v>
      </c>
      <c r="E38" s="115"/>
      <c r="F38" s="115"/>
      <c r="G38" s="78">
        <v>29</v>
      </c>
      <c r="H38" s="79"/>
      <c r="I38" s="139">
        <f t="shared" si="4"/>
        <v>3792</v>
      </c>
      <c r="J38" s="140">
        <f t="shared" si="4"/>
        <v>1</v>
      </c>
      <c r="K38" s="51"/>
      <c r="L38" s="121">
        <v>15</v>
      </c>
      <c r="M38" s="121"/>
      <c r="N38" s="121"/>
      <c r="O38" s="121"/>
      <c r="P38" s="121">
        <v>14</v>
      </c>
      <c r="Q38" s="122"/>
      <c r="R38" s="97">
        <f t="shared" si="7"/>
        <v>29</v>
      </c>
      <c r="S38" s="125">
        <f t="shared" si="7"/>
        <v>0</v>
      </c>
      <c r="T38" s="51"/>
      <c r="U38" s="131">
        <f>L38*6+N38*6+P38*6</f>
        <v>174</v>
      </c>
      <c r="V38" s="135">
        <f>U38/6</f>
        <v>29</v>
      </c>
      <c r="W38" s="133">
        <f>I38*6+J38</f>
        <v>22753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/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92</v>
      </c>
      <c r="D42" s="164"/>
      <c r="E42" s="165"/>
      <c r="F42" s="165"/>
      <c r="G42" s="166">
        <v>9</v>
      </c>
      <c r="H42" s="167"/>
      <c r="I42" s="166">
        <f t="shared" si="4"/>
        <v>83</v>
      </c>
      <c r="J42" s="168">
        <f t="shared" si="4"/>
        <v>0</v>
      </c>
      <c r="K42" s="169"/>
      <c r="L42" s="165">
        <v>8</v>
      </c>
      <c r="M42" s="165"/>
      <c r="N42" s="165"/>
      <c r="O42" s="165"/>
      <c r="P42" s="165">
        <v>1</v>
      </c>
      <c r="Q42" s="170"/>
      <c r="R42" s="171">
        <f t="shared" si="7"/>
        <v>9</v>
      </c>
      <c r="S42" s="172">
        <f t="shared" si="7"/>
        <v>0</v>
      </c>
      <c r="T42" s="169"/>
      <c r="U42" s="173">
        <f>L42*12+N42*12+P42*12</f>
        <v>108</v>
      </c>
      <c r="V42" s="174">
        <f>U42/12</f>
        <v>9</v>
      </c>
      <c r="W42" s="175">
        <f>I42*12+J42</f>
        <v>996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33548</v>
      </c>
      <c r="D44" s="114">
        <v>3</v>
      </c>
      <c r="E44" s="115"/>
      <c r="F44" s="115"/>
      <c r="G44" s="78">
        <v>650</v>
      </c>
      <c r="H44" s="79"/>
      <c r="I44" s="73">
        <f>C44+E44-G44</f>
        <v>32898</v>
      </c>
      <c r="J44" s="177">
        <f t="shared" si="4"/>
        <v>3</v>
      </c>
      <c r="K44" s="51"/>
      <c r="L44" s="121">
        <v>312</v>
      </c>
      <c r="M44" s="121"/>
      <c r="N44" s="121"/>
      <c r="O44" s="121"/>
      <c r="P44" s="121">
        <v>338</v>
      </c>
      <c r="Q44" s="122"/>
      <c r="R44" s="178">
        <f t="shared" si="7"/>
        <v>650</v>
      </c>
      <c r="S44" s="179">
        <f t="shared" si="7"/>
        <v>0</v>
      </c>
      <c r="T44" s="51"/>
      <c r="U44" s="131">
        <f>L44*6+N44*6+P44*6</f>
        <v>3900</v>
      </c>
      <c r="V44" s="130">
        <f>U44/6</f>
        <v>650</v>
      </c>
      <c r="W44" s="133">
        <f>I44*6+J44</f>
        <v>197391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>
        <v>2</v>
      </c>
      <c r="H48" s="139"/>
      <c r="I48" s="139">
        <f t="shared" si="4"/>
        <v>2793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16759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43972</v>
      </c>
      <c r="D60" s="54">
        <f>SUM(D8:D59)</f>
        <v>119</v>
      </c>
      <c r="E60" s="44">
        <f>SUM(E8:E59)</f>
        <v>0</v>
      </c>
      <c r="F60" s="44"/>
      <c r="G60" s="28">
        <f>SUM(G8:G59)</f>
        <v>747</v>
      </c>
      <c r="H60" s="56">
        <f>SUM(H8:H59)</f>
        <v>0</v>
      </c>
      <c r="I60" s="56">
        <f>SUM(I8:I59)</f>
        <v>43225</v>
      </c>
      <c r="J60" s="45">
        <f>SUM(J8:J59)</f>
        <v>119</v>
      </c>
      <c r="K60" s="46"/>
      <c r="L60" s="74">
        <f t="shared" ref="L60:S60" si="20">SUM(L8:L59)</f>
        <v>346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401</v>
      </c>
      <c r="Q60" s="75">
        <f t="shared" si="20"/>
        <v>0</v>
      </c>
      <c r="R60" s="85">
        <f t="shared" si="20"/>
        <v>747</v>
      </c>
      <c r="S60" s="84">
        <f t="shared" si="20"/>
        <v>0</v>
      </c>
      <c r="T60" s="46"/>
      <c r="U60" s="43">
        <f>SUM(U8:U59)</f>
        <v>5562</v>
      </c>
      <c r="V60" s="102">
        <f>SUM(V8:V59)</f>
        <v>747</v>
      </c>
      <c r="W60" s="187">
        <f>SUM(W8:W59)</f>
        <v>325217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1" t="s">
        <v>3</v>
      </c>
      <c r="D69" s="19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4951-6A36-4AD6-9558-72AD2AE159BE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E32" sqref="AE3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46181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96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/>
      <c r="H8" s="73"/>
      <c r="I8" s="73">
        <f>C8-G8</f>
        <v>21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>
        <v>2</v>
      </c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3004</v>
      </c>
      <c r="D13" s="114"/>
      <c r="E13" s="115"/>
      <c r="F13" s="115"/>
      <c r="G13" s="78">
        <v>17</v>
      </c>
      <c r="H13" s="79">
        <v>24</v>
      </c>
      <c r="I13" s="80">
        <f t="shared" si="4"/>
        <v>2987</v>
      </c>
      <c r="J13" s="94">
        <f>D13-H13</f>
        <v>-24</v>
      </c>
      <c r="K13" s="53"/>
      <c r="L13" s="121"/>
      <c r="M13" s="121"/>
      <c r="N13" s="121">
        <v>15</v>
      </c>
      <c r="O13" s="121">
        <v>12</v>
      </c>
      <c r="P13" s="121">
        <v>2</v>
      </c>
      <c r="Q13" s="122">
        <v>12</v>
      </c>
      <c r="R13" s="97">
        <f>L13+N13+P13</f>
        <v>17</v>
      </c>
      <c r="S13" s="125">
        <f>M13+O13+Q13</f>
        <v>24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71664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>
        <v>5</v>
      </c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</v>
      </c>
      <c r="D29" s="111"/>
      <c r="E29" s="112"/>
      <c r="F29" s="112"/>
      <c r="G29" s="76">
        <v>2</v>
      </c>
      <c r="H29" s="73"/>
      <c r="I29" s="73">
        <f t="shared" si="4"/>
        <v>26</v>
      </c>
      <c r="J29" s="77">
        <f t="shared" si="4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624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3792</v>
      </c>
      <c r="D38" s="114">
        <v>1</v>
      </c>
      <c r="E38" s="115"/>
      <c r="F38" s="115"/>
      <c r="G38" s="78">
        <v>161</v>
      </c>
      <c r="H38" s="79"/>
      <c r="I38" s="139">
        <f t="shared" si="4"/>
        <v>3631</v>
      </c>
      <c r="J38" s="140">
        <f t="shared" si="4"/>
        <v>1</v>
      </c>
      <c r="K38" s="51"/>
      <c r="L38" s="121"/>
      <c r="M38" s="121"/>
      <c r="N38" s="121">
        <v>108</v>
      </c>
      <c r="O38" s="121"/>
      <c r="P38" s="121">
        <v>53</v>
      </c>
      <c r="Q38" s="122"/>
      <c r="R38" s="97">
        <f t="shared" si="7"/>
        <v>161</v>
      </c>
      <c r="S38" s="125">
        <f t="shared" si="7"/>
        <v>0</v>
      </c>
      <c r="T38" s="51"/>
      <c r="U38" s="131">
        <f>L38*6+N38*6+P38*6</f>
        <v>966</v>
      </c>
      <c r="V38" s="135">
        <f>U38/6</f>
        <v>161</v>
      </c>
      <c r="W38" s="133">
        <f>I38*6+J38</f>
        <v>21787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>
        <v>26</v>
      </c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>
        <v>26</v>
      </c>
      <c r="Q41" s="155"/>
      <c r="R41" s="156">
        <f t="shared" si="7"/>
        <v>26</v>
      </c>
      <c r="S41" s="157">
        <f t="shared" si="7"/>
        <v>0</v>
      </c>
      <c r="T41" s="153"/>
      <c r="U41" s="158">
        <f t="shared" si="9"/>
        <v>624</v>
      </c>
      <c r="V41" s="159">
        <f t="shared" si="6"/>
        <v>26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83</v>
      </c>
      <c r="D42" s="164"/>
      <c r="E42" s="165"/>
      <c r="F42" s="165"/>
      <c r="G42" s="166">
        <v>11</v>
      </c>
      <c r="H42" s="167"/>
      <c r="I42" s="166">
        <f t="shared" si="4"/>
        <v>72</v>
      </c>
      <c r="J42" s="168">
        <f t="shared" si="4"/>
        <v>0</v>
      </c>
      <c r="K42" s="169"/>
      <c r="L42" s="165"/>
      <c r="M42" s="165"/>
      <c r="N42" s="165"/>
      <c r="O42" s="165"/>
      <c r="P42" s="165">
        <v>11</v>
      </c>
      <c r="Q42" s="170"/>
      <c r="R42" s="171">
        <f t="shared" si="7"/>
        <v>11</v>
      </c>
      <c r="S42" s="172">
        <f t="shared" si="7"/>
        <v>0</v>
      </c>
      <c r="T42" s="169"/>
      <c r="U42" s="173">
        <f>L42*12+N42*12+P42*12</f>
        <v>132</v>
      </c>
      <c r="V42" s="174">
        <f>U42/12</f>
        <v>11</v>
      </c>
      <c r="W42" s="175">
        <f>I42*12+J42</f>
        <v>864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32898</v>
      </c>
      <c r="D44" s="114">
        <v>3</v>
      </c>
      <c r="E44" s="115"/>
      <c r="F44" s="115"/>
      <c r="G44" s="78">
        <v>534</v>
      </c>
      <c r="H44" s="79"/>
      <c r="I44" s="73">
        <f>C44+E44-G44</f>
        <v>32364</v>
      </c>
      <c r="J44" s="177">
        <f t="shared" si="4"/>
        <v>3</v>
      </c>
      <c r="K44" s="51"/>
      <c r="L44" s="121"/>
      <c r="M44" s="121"/>
      <c r="N44" s="121">
        <v>265</v>
      </c>
      <c r="O44" s="121"/>
      <c r="P44" s="121">
        <v>269</v>
      </c>
      <c r="Q44" s="122"/>
      <c r="R44" s="178">
        <f t="shared" si="7"/>
        <v>534</v>
      </c>
      <c r="S44" s="179">
        <f t="shared" si="7"/>
        <v>0</v>
      </c>
      <c r="T44" s="51"/>
      <c r="U44" s="131">
        <f>L44*6+N44*6+P44*6</f>
        <v>3204</v>
      </c>
      <c r="V44" s="130">
        <f>U44/6</f>
        <v>534</v>
      </c>
      <c r="W44" s="133">
        <f>I44*6+J44</f>
        <v>194187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2793</v>
      </c>
      <c r="D48" s="142">
        <v>1</v>
      </c>
      <c r="E48" s="121"/>
      <c r="F48" s="121"/>
      <c r="G48" s="143">
        <v>3</v>
      </c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>
        <v>3</v>
      </c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43225</v>
      </c>
      <c r="D60" s="54">
        <f>SUM(D8:D59)</f>
        <v>119</v>
      </c>
      <c r="E60" s="44">
        <f>SUM(E8:E59)</f>
        <v>0</v>
      </c>
      <c r="F60" s="44"/>
      <c r="G60" s="28">
        <f>SUM(G8:G59)</f>
        <v>761</v>
      </c>
      <c r="H60" s="56">
        <f>SUM(H8:H59)</f>
        <v>24</v>
      </c>
      <c r="I60" s="56">
        <f>SUM(I8:I59)</f>
        <v>42464</v>
      </c>
      <c r="J60" s="45">
        <f>SUM(J8:J59)</f>
        <v>95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393</v>
      </c>
      <c r="O60" s="74">
        <f t="shared" si="20"/>
        <v>12</v>
      </c>
      <c r="P60" s="74">
        <f t="shared" si="20"/>
        <v>368</v>
      </c>
      <c r="Q60" s="75">
        <f t="shared" si="20"/>
        <v>12</v>
      </c>
      <c r="R60" s="85">
        <f t="shared" si="20"/>
        <v>761</v>
      </c>
      <c r="S60" s="84">
        <f t="shared" si="20"/>
        <v>24</v>
      </c>
      <c r="T60" s="46"/>
      <c r="U60" s="43">
        <f>SUM(U8:U59)</f>
        <v>5568</v>
      </c>
      <c r="V60" s="102">
        <f>SUM(V8:V59)</f>
        <v>761</v>
      </c>
      <c r="W60" s="187">
        <f>SUM(W8:W59)</f>
        <v>319625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4" t="s">
        <v>3</v>
      </c>
      <c r="D69" s="19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6624-73D9-418A-92EB-BF18B9B20931}">
  <sheetPr>
    <pageSetUpPr fitToPage="1"/>
  </sheetPr>
  <dimension ref="A1:BH90"/>
  <sheetViews>
    <sheetView topLeftCell="A37" zoomScale="85" zoomScaleNormal="85" zoomScaleSheetLayoutView="85" zoomScalePageLayoutView="80" workbookViewId="0">
      <selection activeCell="Z65" sqref="Z6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46181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99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>
        <v>3</v>
      </c>
      <c r="H8" s="73"/>
      <c r="I8" s="73">
        <f>C8-G8</f>
        <v>18</v>
      </c>
      <c r="J8" s="77">
        <f t="shared" ref="J8:J12" si="0">D8-H8</f>
        <v>9</v>
      </c>
      <c r="K8" s="41"/>
      <c r="L8" s="112">
        <v>3</v>
      </c>
      <c r="M8" s="112"/>
      <c r="N8" s="112"/>
      <c r="O8" s="112"/>
      <c r="P8" s="112"/>
      <c r="Q8" s="120"/>
      <c r="R8" s="86">
        <f t="shared" ref="R8:S12" si="1">L8+N8+P8</f>
        <v>3</v>
      </c>
      <c r="S8" s="124">
        <f t="shared" si="1"/>
        <v>0</v>
      </c>
      <c r="T8" s="41"/>
      <c r="U8" s="107">
        <f>L8*24+N8*24+P8*24</f>
        <v>72</v>
      </c>
      <c r="V8" s="130">
        <f>U8/24</f>
        <v>3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>
        <v>2</v>
      </c>
      <c r="H9" s="79"/>
      <c r="I9" s="78">
        <f t="shared" ref="I9:J59" si="4">C9-G9</f>
        <v>94</v>
      </c>
      <c r="J9" s="94">
        <f t="shared" si="0"/>
        <v>0</v>
      </c>
      <c r="K9" s="51"/>
      <c r="L9" s="121">
        <v>1</v>
      </c>
      <c r="M9" s="121"/>
      <c r="N9" s="121">
        <v>1</v>
      </c>
      <c r="O9" s="121"/>
      <c r="P9" s="121"/>
      <c r="Q9" s="122"/>
      <c r="R9" s="98">
        <f t="shared" si="1"/>
        <v>2</v>
      </c>
      <c r="S9" s="125">
        <f t="shared" si="1"/>
        <v>0</v>
      </c>
      <c r="T9" s="51"/>
      <c r="U9" s="131">
        <f>L9*24+N9*24+P9*24</f>
        <v>48</v>
      </c>
      <c r="V9" s="132">
        <f>U9/24</f>
        <v>2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114</v>
      </c>
      <c r="D10" s="111"/>
      <c r="E10" s="112"/>
      <c r="F10" s="112"/>
      <c r="G10" s="76">
        <v>7</v>
      </c>
      <c r="H10" s="73"/>
      <c r="I10" s="73">
        <f t="shared" si="4"/>
        <v>107</v>
      </c>
      <c r="J10" s="95">
        <f t="shared" si="0"/>
        <v>0</v>
      </c>
      <c r="K10" s="41"/>
      <c r="L10" s="112">
        <v>2</v>
      </c>
      <c r="M10" s="112"/>
      <c r="N10" s="112">
        <v>5</v>
      </c>
      <c r="O10" s="112"/>
      <c r="P10" s="112"/>
      <c r="Q10" s="120"/>
      <c r="R10" s="99">
        <f t="shared" si="1"/>
        <v>7</v>
      </c>
      <c r="S10" s="126">
        <f t="shared" si="1"/>
        <v>0</v>
      </c>
      <c r="T10" s="41"/>
      <c r="U10" s="107">
        <f>L10*24+N10*24+P10*24</f>
        <v>168</v>
      </c>
      <c r="V10" s="134">
        <f>U10/24</f>
        <v>7</v>
      </c>
      <c r="W10" s="129">
        <f t="shared" si="2"/>
        <v>2568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2986</v>
      </c>
      <c r="D13" s="114"/>
      <c r="E13" s="115"/>
      <c r="F13" s="115"/>
      <c r="G13" s="78">
        <v>22</v>
      </c>
      <c r="H13" s="79"/>
      <c r="I13" s="80">
        <f t="shared" si="4"/>
        <v>2964</v>
      </c>
      <c r="J13" s="94">
        <f>D13-H13</f>
        <v>0</v>
      </c>
      <c r="K13" s="53"/>
      <c r="L13" s="121">
        <v>12</v>
      </c>
      <c r="M13" s="121"/>
      <c r="N13" s="121">
        <v>10</v>
      </c>
      <c r="O13" s="121"/>
      <c r="P13" s="121"/>
      <c r="Q13" s="122"/>
      <c r="R13" s="97">
        <f>L13+N13+P13</f>
        <v>22</v>
      </c>
      <c r="S13" s="125">
        <f>M13+O13+Q13</f>
        <v>0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71136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/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26</v>
      </c>
      <c r="D29" s="111"/>
      <c r="E29" s="112"/>
      <c r="F29" s="112"/>
      <c r="G29" s="76">
        <v>1</v>
      </c>
      <c r="H29" s="73"/>
      <c r="I29" s="73">
        <f t="shared" si="4"/>
        <v>25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600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1</v>
      </c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3631</v>
      </c>
      <c r="D38" s="114">
        <v>1</v>
      </c>
      <c r="E38" s="115"/>
      <c r="F38" s="115"/>
      <c r="G38" s="78">
        <v>171</v>
      </c>
      <c r="H38" s="79"/>
      <c r="I38" s="139">
        <f t="shared" si="4"/>
        <v>3460</v>
      </c>
      <c r="J38" s="140">
        <f t="shared" si="4"/>
        <v>1</v>
      </c>
      <c r="K38" s="51"/>
      <c r="L38" s="121">
        <v>103</v>
      </c>
      <c r="M38" s="121"/>
      <c r="N38" s="121">
        <v>68</v>
      </c>
      <c r="O38" s="121"/>
      <c r="P38" s="121"/>
      <c r="Q38" s="122"/>
      <c r="R38" s="97">
        <f t="shared" si="7"/>
        <v>171</v>
      </c>
      <c r="S38" s="125">
        <f t="shared" si="7"/>
        <v>0</v>
      </c>
      <c r="T38" s="51"/>
      <c r="U38" s="131">
        <f>L38*6+N38*6+P38*6</f>
        <v>1026</v>
      </c>
      <c r="V38" s="135">
        <f>U38/6</f>
        <v>171</v>
      </c>
      <c r="W38" s="133">
        <f>I38*6+J38</f>
        <v>20761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72</v>
      </c>
      <c r="D42" s="164"/>
      <c r="E42" s="165"/>
      <c r="F42" s="165"/>
      <c r="G42" s="166">
        <v>13</v>
      </c>
      <c r="H42" s="167"/>
      <c r="I42" s="166">
        <f t="shared" si="4"/>
        <v>59</v>
      </c>
      <c r="J42" s="168">
        <f t="shared" si="4"/>
        <v>0</v>
      </c>
      <c r="K42" s="169"/>
      <c r="L42" s="165">
        <v>8</v>
      </c>
      <c r="M42" s="165"/>
      <c r="N42" s="165">
        <v>5</v>
      </c>
      <c r="O42" s="165"/>
      <c r="P42" s="165"/>
      <c r="Q42" s="170"/>
      <c r="R42" s="171">
        <f t="shared" si="7"/>
        <v>13</v>
      </c>
      <c r="S42" s="172">
        <f t="shared" si="7"/>
        <v>0</v>
      </c>
      <c r="T42" s="169"/>
      <c r="U42" s="173">
        <f>L42*12+N42*12+P42*12</f>
        <v>156</v>
      </c>
      <c r="V42" s="174">
        <f>U42/12</f>
        <v>13</v>
      </c>
      <c r="W42" s="175">
        <f>I42*12+J42</f>
        <v>708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32364</v>
      </c>
      <c r="D44" s="114">
        <v>2</v>
      </c>
      <c r="E44" s="115"/>
      <c r="F44" s="115"/>
      <c r="G44" s="78">
        <v>699</v>
      </c>
      <c r="H44" s="79"/>
      <c r="I44" s="73">
        <f>C44+E44-G44</f>
        <v>31665</v>
      </c>
      <c r="J44" s="177">
        <f t="shared" si="4"/>
        <v>2</v>
      </c>
      <c r="K44" s="51"/>
      <c r="L44" s="121">
        <v>422</v>
      </c>
      <c r="M44" s="121"/>
      <c r="N44" s="121">
        <v>277</v>
      </c>
      <c r="O44" s="121"/>
      <c r="P44" s="121"/>
      <c r="Q44" s="122"/>
      <c r="R44" s="178">
        <f t="shared" si="7"/>
        <v>699</v>
      </c>
      <c r="S44" s="179">
        <f t="shared" si="7"/>
        <v>0</v>
      </c>
      <c r="T44" s="51"/>
      <c r="U44" s="131">
        <f>L44*6+N44*6+P44*6</f>
        <v>4194</v>
      </c>
      <c r="V44" s="130">
        <f>U44/6</f>
        <v>699</v>
      </c>
      <c r="W44" s="133">
        <f>I44*6+J44</f>
        <v>189992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2790</f>
        <v>2790</v>
      </c>
      <c r="D48" s="142">
        <v>1</v>
      </c>
      <c r="E48" s="121"/>
      <c r="F48" s="121"/>
      <c r="G48" s="143"/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42463</v>
      </c>
      <c r="D60" s="54">
        <f>SUM(D8:D59)</f>
        <v>118</v>
      </c>
      <c r="E60" s="44">
        <f>SUM(E8:E59)</f>
        <v>0</v>
      </c>
      <c r="F60" s="44"/>
      <c r="G60" s="28">
        <f>SUM(G8:G59)</f>
        <v>919</v>
      </c>
      <c r="H60" s="56">
        <f>SUM(H8:H59)</f>
        <v>0</v>
      </c>
      <c r="I60" s="56">
        <f>SUM(I8:I59)</f>
        <v>41544</v>
      </c>
      <c r="J60" s="45">
        <f>SUM(J8:J59)</f>
        <v>118</v>
      </c>
      <c r="K60" s="46"/>
      <c r="L60" s="74">
        <f t="shared" ref="L60:S60" si="20">SUM(L8:L59)</f>
        <v>551</v>
      </c>
      <c r="M60" s="74">
        <f t="shared" si="20"/>
        <v>0</v>
      </c>
      <c r="N60" s="74">
        <f t="shared" si="20"/>
        <v>368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919</v>
      </c>
      <c r="S60" s="84">
        <f t="shared" si="20"/>
        <v>0</v>
      </c>
      <c r="T60" s="46"/>
      <c r="U60" s="43">
        <f>SUM(U8:U59)</f>
        <v>6240</v>
      </c>
      <c r="V60" s="102">
        <f>SUM(V8:V59)</f>
        <v>919</v>
      </c>
      <c r="W60" s="187">
        <f>SUM(W8:W59)</f>
        <v>313384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7" t="s">
        <v>3</v>
      </c>
      <c r="D69" s="19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CCB86-9811-4A01-961C-58193094CAFF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B59" sqref="AB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46181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202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107</v>
      </c>
      <c r="D10" s="111"/>
      <c r="E10" s="112"/>
      <c r="F10" s="112"/>
      <c r="G10" s="76">
        <v>12</v>
      </c>
      <c r="H10" s="73"/>
      <c r="I10" s="73">
        <f t="shared" si="3"/>
        <v>95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10</v>
      </c>
      <c r="Q10" s="120"/>
      <c r="R10" s="99">
        <f t="shared" si="1"/>
        <v>12</v>
      </c>
      <c r="S10" s="126">
        <f t="shared" si="1"/>
        <v>0</v>
      </c>
      <c r="T10" s="41"/>
      <c r="U10" s="107">
        <f>L10*24+N10*24+P10*24</f>
        <v>288</v>
      </c>
      <c r="V10" s="134">
        <f>U10/24</f>
        <v>12</v>
      </c>
      <c r="W10" s="129">
        <f t="shared" si="4"/>
        <v>2280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2964</v>
      </c>
      <c r="D13" s="114"/>
      <c r="E13" s="115"/>
      <c r="F13" s="115"/>
      <c r="G13" s="78">
        <v>44</v>
      </c>
      <c r="H13" s="79"/>
      <c r="I13" s="80">
        <f t="shared" si="3"/>
        <v>2920</v>
      </c>
      <c r="J13" s="94">
        <f>D13-H13</f>
        <v>0</v>
      </c>
      <c r="K13" s="53"/>
      <c r="L13" s="121">
        <v>9</v>
      </c>
      <c r="M13" s="121"/>
      <c r="N13" s="121">
        <v>12</v>
      </c>
      <c r="O13" s="121"/>
      <c r="P13" s="121">
        <v>23</v>
      </c>
      <c r="Q13" s="122"/>
      <c r="R13" s="97">
        <f>L13+N13+P13</f>
        <v>44</v>
      </c>
      <c r="S13" s="125">
        <f>M13+O13+Q13</f>
        <v>0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70080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>
        <v>2</v>
      </c>
      <c r="H26" s="73"/>
      <c r="I26" s="73">
        <f t="shared" si="3"/>
        <v>117</v>
      </c>
      <c r="J26" s="77">
        <f t="shared" si="3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2809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25</v>
      </c>
      <c r="D29" s="111"/>
      <c r="E29" s="112"/>
      <c r="F29" s="112"/>
      <c r="G29" s="76">
        <v>5</v>
      </c>
      <c r="H29" s="73"/>
      <c r="I29" s="73">
        <f t="shared" si="3"/>
        <v>20</v>
      </c>
      <c r="J29" s="77">
        <f t="shared" si="3"/>
        <v>0</v>
      </c>
      <c r="K29" s="42"/>
      <c r="L29" s="112">
        <v>2</v>
      </c>
      <c r="M29" s="112"/>
      <c r="N29" s="112"/>
      <c r="O29" s="112"/>
      <c r="P29" s="112">
        <v>3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3"/>
        <v>50</v>
      </c>
      <c r="J30" s="77">
        <f t="shared" si="3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3"/>
        <v>11</v>
      </c>
      <c r="J31" s="77">
        <f t="shared" si="3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264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3"/>
        <v>64</v>
      </c>
      <c r="J35" s="77">
        <f t="shared" si="3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25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3460</v>
      </c>
      <c r="D38" s="114">
        <v>1</v>
      </c>
      <c r="E38" s="115"/>
      <c r="F38" s="115"/>
      <c r="G38" s="78">
        <v>279</v>
      </c>
      <c r="H38" s="79"/>
      <c r="I38" s="139">
        <f t="shared" si="3"/>
        <v>3181</v>
      </c>
      <c r="J38" s="140">
        <f t="shared" si="3"/>
        <v>1</v>
      </c>
      <c r="K38" s="51"/>
      <c r="L38" s="121">
        <v>111</v>
      </c>
      <c r="M38" s="121"/>
      <c r="N38" s="121">
        <v>6</v>
      </c>
      <c r="O38" s="121"/>
      <c r="P38" s="121">
        <v>162</v>
      </c>
      <c r="Q38" s="122"/>
      <c r="R38" s="97">
        <f t="shared" si="7"/>
        <v>279</v>
      </c>
      <c r="S38" s="125">
        <f t="shared" si="7"/>
        <v>0</v>
      </c>
      <c r="T38" s="51"/>
      <c r="U38" s="131">
        <f>L38*6+N38*6+P38*6</f>
        <v>1674</v>
      </c>
      <c r="V38" s="135">
        <f>U38/6</f>
        <v>279</v>
      </c>
      <c r="W38" s="133">
        <f>I38*6+J38</f>
        <v>19087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3"/>
        <v>1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59</v>
      </c>
      <c r="D42" s="164"/>
      <c r="E42" s="165"/>
      <c r="F42" s="165"/>
      <c r="G42" s="166">
        <v>17</v>
      </c>
      <c r="H42" s="167"/>
      <c r="I42" s="166">
        <f t="shared" si="3"/>
        <v>42</v>
      </c>
      <c r="J42" s="168">
        <f t="shared" si="3"/>
        <v>0</v>
      </c>
      <c r="K42" s="169"/>
      <c r="L42" s="165">
        <v>6</v>
      </c>
      <c r="M42" s="165"/>
      <c r="N42" s="165">
        <v>6</v>
      </c>
      <c r="O42" s="165"/>
      <c r="P42" s="165">
        <v>5</v>
      </c>
      <c r="Q42" s="170"/>
      <c r="R42" s="171">
        <f t="shared" si="7"/>
        <v>17</v>
      </c>
      <c r="S42" s="172">
        <f t="shared" si="7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504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f>31665</f>
        <v>31665</v>
      </c>
      <c r="D44" s="114">
        <v>2</v>
      </c>
      <c r="E44" s="115"/>
      <c r="F44" s="115"/>
      <c r="G44" s="78">
        <v>1184</v>
      </c>
      <c r="H44" s="79"/>
      <c r="I44" s="73">
        <f>C44+E44-G44</f>
        <v>30481</v>
      </c>
      <c r="J44" s="177">
        <f t="shared" si="3"/>
        <v>2</v>
      </c>
      <c r="K44" s="51"/>
      <c r="L44" s="121">
        <v>322</v>
      </c>
      <c r="M44" s="121"/>
      <c r="N44" s="121">
        <v>379</v>
      </c>
      <c r="O44" s="121"/>
      <c r="P44" s="121">
        <v>483</v>
      </c>
      <c r="Q44" s="122"/>
      <c r="R44" s="178">
        <f t="shared" si="7"/>
        <v>1184</v>
      </c>
      <c r="S44" s="179">
        <f t="shared" si="7"/>
        <v>0</v>
      </c>
      <c r="T44" s="51"/>
      <c r="U44" s="131">
        <f>L44*6+N44*6+P44*6</f>
        <v>7104</v>
      </c>
      <c r="V44" s="130">
        <f>U44/6</f>
        <v>1184</v>
      </c>
      <c r="W44" s="133">
        <f>I44*6+J44</f>
        <v>182888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/>
      <c r="H48" s="139"/>
      <c r="I48" s="139">
        <f t="shared" si="3"/>
        <v>2790</v>
      </c>
      <c r="J48" s="140">
        <f t="shared" si="3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41544</v>
      </c>
      <c r="D60" s="54">
        <f>SUM(D8:D59)</f>
        <v>118</v>
      </c>
      <c r="E60" s="44">
        <f>SUM(E8:E59)</f>
        <v>0</v>
      </c>
      <c r="F60" s="44"/>
      <c r="G60" s="28">
        <f>SUM(G8:G59)</f>
        <v>1544</v>
      </c>
      <c r="H60" s="56">
        <f>SUM(H8:H59)</f>
        <v>0</v>
      </c>
      <c r="I60" s="56">
        <f>SUM(I8:I59)</f>
        <v>40000</v>
      </c>
      <c r="J60" s="45">
        <f>SUM(J8:J59)</f>
        <v>118</v>
      </c>
      <c r="K60" s="46"/>
      <c r="L60" s="74">
        <f t="shared" ref="L60:S60" si="20">SUM(L8:L59)</f>
        <v>452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689</v>
      </c>
      <c r="Q60" s="75">
        <f t="shared" si="20"/>
        <v>0</v>
      </c>
      <c r="R60" s="85">
        <f t="shared" si="20"/>
        <v>1544</v>
      </c>
      <c r="S60" s="84">
        <f t="shared" si="20"/>
        <v>0</v>
      </c>
      <c r="T60" s="46"/>
      <c r="U60" s="43">
        <f>SUM(U8:U59)</f>
        <v>10518</v>
      </c>
      <c r="V60" s="102">
        <f>SUM(V8:V59)</f>
        <v>1544</v>
      </c>
      <c r="W60" s="187">
        <f>SUM(W8:W59)</f>
        <v>302866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0" t="s">
        <v>3</v>
      </c>
      <c r="D69" s="20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1633C-CAD5-4723-BEC5-004346DDCA0D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Z65" sqref="Z6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46181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205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95</v>
      </c>
      <c r="D10" s="111"/>
      <c r="E10" s="112"/>
      <c r="F10" s="112"/>
      <c r="G10" s="76">
        <v>2</v>
      </c>
      <c r="H10" s="73"/>
      <c r="I10" s="73">
        <f t="shared" si="3"/>
        <v>93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4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2920</v>
      </c>
      <c r="D13" s="114"/>
      <c r="E13" s="115"/>
      <c r="F13" s="115"/>
      <c r="G13" s="78">
        <v>39</v>
      </c>
      <c r="H13" s="79">
        <v>12</v>
      </c>
      <c r="I13" s="80">
        <f t="shared" si="3"/>
        <v>2881</v>
      </c>
      <c r="J13" s="94">
        <f>D13-H13</f>
        <v>-12</v>
      </c>
      <c r="K13" s="53"/>
      <c r="L13" s="121">
        <v>10</v>
      </c>
      <c r="M13" s="121"/>
      <c r="N13" s="121">
        <v>7</v>
      </c>
      <c r="O13" s="121"/>
      <c r="P13" s="121">
        <v>22</v>
      </c>
      <c r="Q13" s="122">
        <v>12</v>
      </c>
      <c r="R13" s="97">
        <f>L13+N13+P13</f>
        <v>39</v>
      </c>
      <c r="S13" s="125">
        <f>M13+O13+Q13</f>
        <v>12</v>
      </c>
      <c r="T13" s="53"/>
      <c r="U13" s="131">
        <f>L13*24+N13*24+P13*24</f>
        <v>936</v>
      </c>
      <c r="V13" s="135">
        <f t="shared" si="6"/>
        <v>39</v>
      </c>
      <c r="W13" s="133">
        <f>I13*24+J13</f>
        <v>69132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117</v>
      </c>
      <c r="D26" s="111">
        <v>1</v>
      </c>
      <c r="E26" s="112"/>
      <c r="F26" s="112"/>
      <c r="G26" s="76">
        <v>17</v>
      </c>
      <c r="H26" s="73"/>
      <c r="I26" s="73">
        <f t="shared" si="3"/>
        <v>100</v>
      </c>
      <c r="J26" s="77">
        <f t="shared" si="3"/>
        <v>1</v>
      </c>
      <c r="K26" s="41"/>
      <c r="L26" s="112">
        <v>2</v>
      </c>
      <c r="M26" s="112"/>
      <c r="N26" s="112"/>
      <c r="O26" s="112"/>
      <c r="P26" s="112">
        <v>15</v>
      </c>
      <c r="Q26" s="120"/>
      <c r="R26" s="86">
        <f t="shared" si="7"/>
        <v>17</v>
      </c>
      <c r="S26" s="124">
        <f t="shared" si="7"/>
        <v>0</v>
      </c>
      <c r="T26" s="41"/>
      <c r="U26" s="107">
        <f t="shared" si="5"/>
        <v>408</v>
      </c>
      <c r="V26" s="130">
        <f t="shared" si="6"/>
        <v>17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20</v>
      </c>
      <c r="D29" s="111"/>
      <c r="E29" s="112"/>
      <c r="F29" s="112"/>
      <c r="G29" s="76">
        <v>17</v>
      </c>
      <c r="H29" s="73"/>
      <c r="I29" s="73">
        <f t="shared" si="3"/>
        <v>3</v>
      </c>
      <c r="J29" s="77">
        <f t="shared" si="3"/>
        <v>0</v>
      </c>
      <c r="K29" s="42"/>
      <c r="L29" s="112"/>
      <c r="M29" s="112"/>
      <c r="N29" s="112"/>
      <c r="O29" s="112"/>
      <c r="P29" s="112">
        <v>17</v>
      </c>
      <c r="Q29" s="120"/>
      <c r="R29" s="86">
        <f t="shared" si="7"/>
        <v>17</v>
      </c>
      <c r="S29" s="124">
        <f t="shared" si="7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8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>
        <v>6</v>
      </c>
      <c r="H30" s="73"/>
      <c r="I30" s="73">
        <f t="shared" si="3"/>
        <v>44</v>
      </c>
      <c r="J30" s="77">
        <f t="shared" si="3"/>
        <v>5</v>
      </c>
      <c r="K30" s="41"/>
      <c r="L30" s="112">
        <v>1</v>
      </c>
      <c r="M30" s="112"/>
      <c r="N30" s="112"/>
      <c r="O30" s="112"/>
      <c r="P30" s="112">
        <v>5</v>
      </c>
      <c r="Q30" s="120"/>
      <c r="R30" s="86">
        <f t="shared" si="7"/>
        <v>6</v>
      </c>
      <c r="S30" s="124">
        <f t="shared" si="7"/>
        <v>0</v>
      </c>
      <c r="T30" s="41"/>
      <c r="U30" s="107">
        <f t="shared" si="5"/>
        <v>144</v>
      </c>
      <c r="V30" s="130">
        <f t="shared" si="6"/>
        <v>6</v>
      </c>
      <c r="W30" s="129">
        <f t="shared" si="8"/>
        <v>1061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3"/>
        <v>10</v>
      </c>
      <c r="J31" s="77">
        <f t="shared" si="3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240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>
        <v>4</v>
      </c>
      <c r="H35" s="73"/>
      <c r="I35" s="73">
        <f t="shared" si="3"/>
        <v>60</v>
      </c>
      <c r="J35" s="77">
        <f t="shared" si="3"/>
        <v>14</v>
      </c>
      <c r="K35" s="41"/>
      <c r="L35" s="112">
        <v>2</v>
      </c>
      <c r="M35" s="112"/>
      <c r="N35" s="112"/>
      <c r="O35" s="112"/>
      <c r="P35" s="112">
        <v>2</v>
      </c>
      <c r="Q35" s="120"/>
      <c r="R35" s="86">
        <f t="shared" si="7"/>
        <v>4</v>
      </c>
      <c r="S35" s="124">
        <f t="shared" si="7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8"/>
        <v>1454</v>
      </c>
      <c r="X35" s="27"/>
    </row>
    <row r="36" spans="1:26" ht="18.75" hidden="1" customHeight="1" x14ac:dyDescent="0.3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3181</v>
      </c>
      <c r="D38" s="114">
        <v>1</v>
      </c>
      <c r="E38" s="115"/>
      <c r="F38" s="115"/>
      <c r="G38" s="78">
        <v>165</v>
      </c>
      <c r="H38" s="79"/>
      <c r="I38" s="139">
        <f t="shared" si="3"/>
        <v>3016</v>
      </c>
      <c r="J38" s="140">
        <f t="shared" si="3"/>
        <v>1</v>
      </c>
      <c r="K38" s="51"/>
      <c r="L38" s="121">
        <v>121</v>
      </c>
      <c r="M38" s="121"/>
      <c r="N38" s="121">
        <v>4</v>
      </c>
      <c r="O38" s="121"/>
      <c r="P38" s="121">
        <v>40</v>
      </c>
      <c r="Q38" s="122"/>
      <c r="R38" s="97">
        <f t="shared" si="7"/>
        <v>165</v>
      </c>
      <c r="S38" s="125">
        <f t="shared" si="7"/>
        <v>0</v>
      </c>
      <c r="T38" s="51"/>
      <c r="U38" s="131">
        <f>L38*6+N38*6+P38*6</f>
        <v>990</v>
      </c>
      <c r="V38" s="135">
        <f>U38/6</f>
        <v>165</v>
      </c>
      <c r="W38" s="133">
        <f>I38*6+J38</f>
        <v>18097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>
        <v>252</v>
      </c>
      <c r="F41" s="148"/>
      <c r="G41" s="149"/>
      <c r="H41" s="150"/>
      <c r="I41" s="151">
        <f>C41+E41-G41</f>
        <v>253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6080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42</v>
      </c>
      <c r="D42" s="164"/>
      <c r="E42" s="165">
        <v>384</v>
      </c>
      <c r="F42" s="165"/>
      <c r="G42" s="166">
        <v>33</v>
      </c>
      <c r="H42" s="167"/>
      <c r="I42" s="166">
        <f>C42+E42-G42</f>
        <v>393</v>
      </c>
      <c r="J42" s="168">
        <f t="shared" si="3"/>
        <v>0</v>
      </c>
      <c r="K42" s="169"/>
      <c r="L42" s="165">
        <v>8</v>
      </c>
      <c r="M42" s="165"/>
      <c r="N42" s="165">
        <v>7</v>
      </c>
      <c r="O42" s="165"/>
      <c r="P42" s="165">
        <v>18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4716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v>30481</v>
      </c>
      <c r="D44" s="114">
        <v>2</v>
      </c>
      <c r="E44" s="115">
        <v>972</v>
      </c>
      <c r="F44" s="115"/>
      <c r="G44" s="78">
        <v>1549</v>
      </c>
      <c r="H44" s="79"/>
      <c r="I44" s="73">
        <f>C44+E44-G44</f>
        <v>29904</v>
      </c>
      <c r="J44" s="177">
        <f t="shared" si="3"/>
        <v>2</v>
      </c>
      <c r="K44" s="51"/>
      <c r="L44" s="121">
        <v>583</v>
      </c>
      <c r="M44" s="121"/>
      <c r="N44" s="121">
        <v>318</v>
      </c>
      <c r="O44" s="121"/>
      <c r="P44" s="121">
        <v>648</v>
      </c>
      <c r="Q44" s="122"/>
      <c r="R44" s="178">
        <f t="shared" si="7"/>
        <v>1549</v>
      </c>
      <c r="S44" s="179">
        <f t="shared" si="7"/>
        <v>0</v>
      </c>
      <c r="T44" s="51"/>
      <c r="U44" s="131">
        <f>L44*6+N44*6+P44*6</f>
        <v>9294</v>
      </c>
      <c r="V44" s="130">
        <f>U44/6</f>
        <v>1549</v>
      </c>
      <c r="W44" s="133">
        <f>I44*6+J44</f>
        <v>179426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>
        <v>3</v>
      </c>
      <c r="H48" s="139"/>
      <c r="I48" s="139">
        <f t="shared" si="3"/>
        <v>2787</v>
      </c>
      <c r="J48" s="140">
        <f t="shared" si="3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16723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40000</v>
      </c>
      <c r="D60" s="54">
        <f>SUM(D8:D59)</f>
        <v>118</v>
      </c>
      <c r="E60" s="44">
        <f>SUM(E8:E59)</f>
        <v>1608</v>
      </c>
      <c r="F60" s="44"/>
      <c r="G60" s="28">
        <f>SUM(G8:G59)</f>
        <v>1836</v>
      </c>
      <c r="H60" s="56">
        <f>SUM(H8:H59)</f>
        <v>12</v>
      </c>
      <c r="I60" s="56">
        <f>SUM(I8:I59)</f>
        <v>39772</v>
      </c>
      <c r="J60" s="45">
        <f>SUM(J8:J59)</f>
        <v>106</v>
      </c>
      <c r="K60" s="46"/>
      <c r="L60" s="74">
        <f t="shared" ref="L60:S60" si="20">SUM(L8:L59)</f>
        <v>731</v>
      </c>
      <c r="M60" s="74">
        <f t="shared" si="20"/>
        <v>0</v>
      </c>
      <c r="N60" s="74">
        <f t="shared" si="20"/>
        <v>336</v>
      </c>
      <c r="O60" s="74">
        <f t="shared" si="20"/>
        <v>0</v>
      </c>
      <c r="P60" s="74">
        <f t="shared" si="20"/>
        <v>769</v>
      </c>
      <c r="Q60" s="75">
        <f t="shared" si="20"/>
        <v>12</v>
      </c>
      <c r="R60" s="85">
        <f t="shared" si="20"/>
        <v>1836</v>
      </c>
      <c r="S60" s="84">
        <f t="shared" si="20"/>
        <v>12</v>
      </c>
      <c r="T60" s="46"/>
      <c r="U60" s="43">
        <f>SUM(U8:U59)</f>
        <v>12762</v>
      </c>
      <c r="V60" s="102">
        <f>SUM(V8:V59)</f>
        <v>1836</v>
      </c>
      <c r="W60" s="187">
        <f>SUM(W8:W59)</f>
        <v>306580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DEDCA-C715-46F2-8DD5-744858204953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1" sqref="AD5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46181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205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4</v>
      </c>
      <c r="H10" s="73"/>
      <c r="I10" s="73">
        <f t="shared" si="4"/>
        <v>89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2136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2880</v>
      </c>
      <c r="D13" s="114">
        <v>12</v>
      </c>
      <c r="E13" s="115"/>
      <c r="F13" s="115"/>
      <c r="G13" s="78">
        <v>29</v>
      </c>
      <c r="H13" s="79">
        <v>36</v>
      </c>
      <c r="I13" s="80">
        <f t="shared" si="4"/>
        <v>2851</v>
      </c>
      <c r="J13" s="94">
        <f>D13-H13</f>
        <v>-24</v>
      </c>
      <c r="K13" s="53"/>
      <c r="L13" s="121">
        <v>5</v>
      </c>
      <c r="M13" s="121">
        <v>12</v>
      </c>
      <c r="N13" s="121">
        <v>9</v>
      </c>
      <c r="O13" s="121">
        <v>12</v>
      </c>
      <c r="P13" s="121">
        <v>15</v>
      </c>
      <c r="Q13" s="122">
        <v>12</v>
      </c>
      <c r="R13" s="97">
        <f>L13+N13+P13</f>
        <v>29</v>
      </c>
      <c r="S13" s="125">
        <f>M13+O13+Q13</f>
        <v>36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68400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f>2</f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1</v>
      </c>
      <c r="H29" s="73"/>
      <c r="I29" s="73">
        <f t="shared" si="4"/>
        <v>2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44</v>
      </c>
      <c r="D30" s="111">
        <v>5</v>
      </c>
      <c r="E30" s="112"/>
      <c r="F30" s="112"/>
      <c r="G30" s="76">
        <v>2</v>
      </c>
      <c r="H30" s="73"/>
      <c r="I30" s="73">
        <f t="shared" si="4"/>
        <v>42</v>
      </c>
      <c r="J30" s="77">
        <f t="shared" si="4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1013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60</v>
      </c>
      <c r="D35" s="111">
        <v>14</v>
      </c>
      <c r="E35" s="112"/>
      <c r="F35" s="112"/>
      <c r="G35" s="76">
        <v>3</v>
      </c>
      <c r="H35" s="73"/>
      <c r="I35" s="73">
        <f t="shared" si="4"/>
        <v>57</v>
      </c>
      <c r="J35" s="77">
        <f t="shared" si="4"/>
        <v>14</v>
      </c>
      <c r="K35" s="41"/>
      <c r="L35" s="112"/>
      <c r="M35" s="112"/>
      <c r="N35" s="112"/>
      <c r="O35" s="112"/>
      <c r="P35" s="112">
        <v>3</v>
      </c>
      <c r="Q35" s="120"/>
      <c r="R35" s="86">
        <f t="shared" si="7"/>
        <v>3</v>
      </c>
      <c r="S35" s="124">
        <f t="shared" si="7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8"/>
        <v>1382</v>
      </c>
      <c r="X35" s="27"/>
    </row>
    <row r="36" spans="1:26" ht="18.75" hidden="1" customHeight="1" x14ac:dyDescent="0.25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3016</v>
      </c>
      <c r="D38" s="114">
        <v>1</v>
      </c>
      <c r="E38" s="115"/>
      <c r="F38" s="115"/>
      <c r="G38" s="78">
        <v>85</v>
      </c>
      <c r="H38" s="79"/>
      <c r="I38" s="139">
        <f t="shared" si="4"/>
        <v>2931</v>
      </c>
      <c r="J38" s="140">
        <f t="shared" si="4"/>
        <v>1</v>
      </c>
      <c r="K38" s="51"/>
      <c r="L38" s="121">
        <v>12</v>
      </c>
      <c r="M38" s="121"/>
      <c r="N38" s="121">
        <v>15</v>
      </c>
      <c r="O38" s="121"/>
      <c r="P38" s="121">
        <v>58</v>
      </c>
      <c r="Q38" s="122"/>
      <c r="R38" s="97">
        <f t="shared" si="7"/>
        <v>85</v>
      </c>
      <c r="S38" s="125">
        <f t="shared" si="7"/>
        <v>0</v>
      </c>
      <c r="T38" s="51"/>
      <c r="U38" s="131">
        <f>L38*6+N38*6+P38*6</f>
        <v>510</v>
      </c>
      <c r="V38" s="135">
        <f>U38/6</f>
        <v>85</v>
      </c>
      <c r="W38" s="133">
        <f>I38*6+J38</f>
        <v>17587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253</v>
      </c>
      <c r="D41" s="147">
        <v>8</v>
      </c>
      <c r="E41" s="148"/>
      <c r="F41" s="148"/>
      <c r="G41" s="149">
        <v>1</v>
      </c>
      <c r="H41" s="150">
        <v>12</v>
      </c>
      <c r="I41" s="151">
        <f t="shared" si="4"/>
        <v>252</v>
      </c>
      <c r="J41" s="152">
        <f t="shared" si="4"/>
        <v>-4</v>
      </c>
      <c r="K41" s="153"/>
      <c r="L41" s="154"/>
      <c r="M41" s="154"/>
      <c r="N41" s="154"/>
      <c r="O41" s="154">
        <v>12</v>
      </c>
      <c r="P41" s="154">
        <v>1</v>
      </c>
      <c r="Q41" s="155"/>
      <c r="R41" s="156">
        <f t="shared" si="7"/>
        <v>1</v>
      </c>
      <c r="S41" s="157">
        <f t="shared" si="7"/>
        <v>12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6044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393</v>
      </c>
      <c r="D42" s="164"/>
      <c r="E42" s="165"/>
      <c r="F42" s="165"/>
      <c r="G42" s="166">
        <v>6</v>
      </c>
      <c r="H42" s="167"/>
      <c r="I42" s="166">
        <f t="shared" si="4"/>
        <v>387</v>
      </c>
      <c r="J42" s="168">
        <f t="shared" si="4"/>
        <v>0</v>
      </c>
      <c r="K42" s="169"/>
      <c r="L42" s="165"/>
      <c r="M42" s="165"/>
      <c r="N42" s="165"/>
      <c r="O42" s="165"/>
      <c r="P42" s="165">
        <v>6</v>
      </c>
      <c r="Q42" s="170"/>
      <c r="R42" s="171">
        <f t="shared" si="7"/>
        <v>6</v>
      </c>
      <c r="S42" s="172">
        <f t="shared" si="7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4644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29904</v>
      </c>
      <c r="D44" s="114">
        <v>2</v>
      </c>
      <c r="E44" s="115"/>
      <c r="F44" s="115"/>
      <c r="G44" s="78">
        <v>1079</v>
      </c>
      <c r="H44" s="79"/>
      <c r="I44" s="73">
        <f>C44+E44-G44</f>
        <v>28825</v>
      </c>
      <c r="J44" s="177">
        <f t="shared" si="4"/>
        <v>2</v>
      </c>
      <c r="K44" s="51"/>
      <c r="L44" s="121">
        <v>335</v>
      </c>
      <c r="M44" s="121"/>
      <c r="N44" s="121">
        <v>292</v>
      </c>
      <c r="O44" s="121"/>
      <c r="P44" s="121">
        <v>452</v>
      </c>
      <c r="Q44" s="122"/>
      <c r="R44" s="178">
        <f t="shared" si="7"/>
        <v>1079</v>
      </c>
      <c r="S44" s="179">
        <f t="shared" si="7"/>
        <v>0</v>
      </c>
      <c r="T44" s="51"/>
      <c r="U44" s="131">
        <f>L44*6+N44*6+P44*6</f>
        <v>6474</v>
      </c>
      <c r="V44" s="130">
        <f>U44/6</f>
        <v>1079</v>
      </c>
      <c r="W44" s="133">
        <f>I44*6+J44</f>
        <v>172952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39771</v>
      </c>
      <c r="D60" s="54">
        <f>SUM(D8:D59)</f>
        <v>130</v>
      </c>
      <c r="E60" s="44">
        <f>SUM(E8:E59)</f>
        <v>0</v>
      </c>
      <c r="F60" s="44"/>
      <c r="G60" s="28">
        <f>SUM(G8:G59)</f>
        <v>1210</v>
      </c>
      <c r="H60" s="56">
        <f>SUM(H8:H59)</f>
        <v>48</v>
      </c>
      <c r="I60" s="56">
        <f>SUM(I8:I59)</f>
        <v>38561</v>
      </c>
      <c r="J60" s="45">
        <f>SUM(J8:J59)</f>
        <v>82</v>
      </c>
      <c r="K60" s="46"/>
      <c r="L60" s="74">
        <f t="shared" ref="L60:S60" si="20">SUM(L8:L59)</f>
        <v>352</v>
      </c>
      <c r="M60" s="74">
        <f t="shared" si="20"/>
        <v>12</v>
      </c>
      <c r="N60" s="74">
        <f t="shared" si="20"/>
        <v>319</v>
      </c>
      <c r="O60" s="74">
        <f t="shared" si="20"/>
        <v>24</v>
      </c>
      <c r="P60" s="74">
        <f t="shared" si="20"/>
        <v>539</v>
      </c>
      <c r="Q60" s="75">
        <f t="shared" si="20"/>
        <v>12</v>
      </c>
      <c r="R60" s="85">
        <f t="shared" si="20"/>
        <v>1210</v>
      </c>
      <c r="S60" s="84">
        <f t="shared" si="20"/>
        <v>48</v>
      </c>
      <c r="T60" s="46"/>
      <c r="U60" s="43">
        <f>SUM(U8:U59)</f>
        <v>8016</v>
      </c>
      <c r="V60" s="102">
        <f>SUM(V8:V59)</f>
        <v>1210</v>
      </c>
      <c r="W60" s="187">
        <f>SUM(W8:W59)</f>
        <v>298516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D5CD-D2A1-4E04-8CE8-12FE35E1187D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I51" sqref="AI5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46181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205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89</v>
      </c>
      <c r="D10" s="111"/>
      <c r="E10" s="112"/>
      <c r="F10" s="112"/>
      <c r="G10" s="76">
        <v>1</v>
      </c>
      <c r="H10" s="73"/>
      <c r="I10" s="73">
        <f t="shared" si="4"/>
        <v>88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2850</v>
      </c>
      <c r="D13" s="114"/>
      <c r="E13" s="115"/>
      <c r="F13" s="115"/>
      <c r="G13" s="78">
        <v>32</v>
      </c>
      <c r="H13" s="79">
        <v>12</v>
      </c>
      <c r="I13" s="80">
        <f t="shared" si="4"/>
        <v>2818</v>
      </c>
      <c r="J13" s="94">
        <f>D13-H13</f>
        <v>-12</v>
      </c>
      <c r="K13" s="53"/>
      <c r="L13" s="121">
        <v>9</v>
      </c>
      <c r="M13" s="121"/>
      <c r="N13" s="121">
        <v>10</v>
      </c>
      <c r="O13" s="121"/>
      <c r="P13" s="121">
        <v>13</v>
      </c>
      <c r="Q13" s="122">
        <v>12</v>
      </c>
      <c r="R13" s="97">
        <f>L13+N13+P13</f>
        <v>32</v>
      </c>
      <c r="S13" s="125">
        <f>M13+O13+Q13</f>
        <v>12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67620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</v>
      </c>
      <c r="D29" s="111"/>
      <c r="E29" s="112"/>
      <c r="F29" s="112"/>
      <c r="G29" s="76">
        <v>2</v>
      </c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>
        <v>2</v>
      </c>
      <c r="O29" s="112"/>
      <c r="P29" s="112"/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42</v>
      </c>
      <c r="D30" s="111">
        <v>5</v>
      </c>
      <c r="E30" s="112"/>
      <c r="F30" s="112"/>
      <c r="G30" s="76">
        <v>1</v>
      </c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7"/>
        <v>1</v>
      </c>
      <c r="S30" s="124">
        <f t="shared" si="7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>
        <v>1</v>
      </c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57</v>
      </c>
      <c r="D35" s="111">
        <v>14</v>
      </c>
      <c r="E35" s="112"/>
      <c r="F35" s="112"/>
      <c r="G35" s="76">
        <v>2</v>
      </c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2931</v>
      </c>
      <c r="D38" s="114">
        <v>1</v>
      </c>
      <c r="E38" s="115"/>
      <c r="F38" s="115"/>
      <c r="G38" s="78">
        <v>22</v>
      </c>
      <c r="H38" s="79"/>
      <c r="I38" s="139">
        <f t="shared" si="4"/>
        <v>2909</v>
      </c>
      <c r="J38" s="140">
        <f t="shared" si="4"/>
        <v>1</v>
      </c>
      <c r="K38" s="51"/>
      <c r="L38" s="121"/>
      <c r="M38" s="121"/>
      <c r="N38" s="121">
        <v>20</v>
      </c>
      <c r="O38" s="121"/>
      <c r="P38" s="121">
        <v>2</v>
      </c>
      <c r="Q38" s="122"/>
      <c r="R38" s="97">
        <f t="shared" si="7"/>
        <v>22</v>
      </c>
      <c r="S38" s="125">
        <f t="shared" si="7"/>
        <v>0</v>
      </c>
      <c r="T38" s="51"/>
      <c r="U38" s="131">
        <f>L38*6+N38*6+P38*6</f>
        <v>132</v>
      </c>
      <c r="V38" s="135">
        <f>U38/6</f>
        <v>22</v>
      </c>
      <c r="W38" s="133">
        <f>I38*6+J38</f>
        <v>17455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251</v>
      </c>
      <c r="D41" s="147">
        <v>20</v>
      </c>
      <c r="E41" s="148"/>
      <c r="F41" s="148"/>
      <c r="G41" s="149">
        <v>71</v>
      </c>
      <c r="H41" s="150"/>
      <c r="I41" s="151">
        <f t="shared" si="4"/>
        <v>180</v>
      </c>
      <c r="J41" s="152">
        <f t="shared" si="4"/>
        <v>20</v>
      </c>
      <c r="K41" s="153"/>
      <c r="L41" s="154">
        <v>70</v>
      </c>
      <c r="M41" s="154"/>
      <c r="N41" s="154">
        <v>1</v>
      </c>
      <c r="O41" s="154"/>
      <c r="P41" s="154"/>
      <c r="Q41" s="155"/>
      <c r="R41" s="156">
        <f t="shared" si="7"/>
        <v>71</v>
      </c>
      <c r="S41" s="157">
        <f t="shared" si="7"/>
        <v>0</v>
      </c>
      <c r="T41" s="153"/>
      <c r="U41" s="158">
        <f t="shared" si="9"/>
        <v>1704</v>
      </c>
      <c r="V41" s="159">
        <f t="shared" si="6"/>
        <v>71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387</v>
      </c>
      <c r="D42" s="164"/>
      <c r="E42" s="165"/>
      <c r="F42" s="165"/>
      <c r="G42" s="166">
        <v>10</v>
      </c>
      <c r="H42" s="167"/>
      <c r="I42" s="166">
        <f t="shared" si="4"/>
        <v>377</v>
      </c>
      <c r="J42" s="168">
        <f t="shared" si="4"/>
        <v>0</v>
      </c>
      <c r="K42" s="169"/>
      <c r="L42" s="165"/>
      <c r="M42" s="165"/>
      <c r="N42" s="165">
        <v>10</v>
      </c>
      <c r="O42" s="165"/>
      <c r="P42" s="165"/>
      <c r="Q42" s="170"/>
      <c r="R42" s="171">
        <f t="shared" si="7"/>
        <v>10</v>
      </c>
      <c r="S42" s="172">
        <f t="shared" si="7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4524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28825</v>
      </c>
      <c r="D44" s="114">
        <v>2</v>
      </c>
      <c r="E44" s="115">
        <v>1836</v>
      </c>
      <c r="F44" s="115"/>
      <c r="G44" s="78">
        <v>1213</v>
      </c>
      <c r="H44" s="79"/>
      <c r="I44" s="73">
        <f>C44+E44-G44</f>
        <v>29448</v>
      </c>
      <c r="J44" s="177">
        <f t="shared" si="4"/>
        <v>2</v>
      </c>
      <c r="K44" s="51"/>
      <c r="L44" s="121">
        <v>431</v>
      </c>
      <c r="M44" s="121"/>
      <c r="N44" s="121">
        <v>262</v>
      </c>
      <c r="O44" s="121"/>
      <c r="P44" s="121">
        <v>520</v>
      </c>
      <c r="Q44" s="122"/>
      <c r="R44" s="178">
        <f t="shared" si="7"/>
        <v>1213</v>
      </c>
      <c r="S44" s="179">
        <f t="shared" si="7"/>
        <v>0</v>
      </c>
      <c r="T44" s="51"/>
      <c r="U44" s="131">
        <f>L44*6+N44*6+P44*6</f>
        <v>7278</v>
      </c>
      <c r="V44" s="130">
        <f>U44/6</f>
        <v>1213</v>
      </c>
      <c r="W44" s="133">
        <f>I44*6+J44</f>
        <v>176690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38572</v>
      </c>
      <c r="D60" s="54">
        <f>SUM(D8:D59)</f>
        <v>130</v>
      </c>
      <c r="E60" s="44">
        <f>SUM(E8:E59)</f>
        <v>1836</v>
      </c>
      <c r="F60" s="44"/>
      <c r="G60" s="28">
        <f>SUM(G8:G59)</f>
        <v>1355</v>
      </c>
      <c r="H60" s="56">
        <f>SUM(H8:H59)</f>
        <v>12</v>
      </c>
      <c r="I60" s="56">
        <f>SUM(I8:I59)</f>
        <v>39053</v>
      </c>
      <c r="J60" s="45">
        <f>SUM(J8:J59)</f>
        <v>118</v>
      </c>
      <c r="K60" s="46"/>
      <c r="L60" s="74">
        <f t="shared" ref="L60:S60" si="20">SUM(L8:L59)</f>
        <v>510</v>
      </c>
      <c r="M60" s="74">
        <f t="shared" si="20"/>
        <v>0</v>
      </c>
      <c r="N60" s="74">
        <f t="shared" si="20"/>
        <v>308</v>
      </c>
      <c r="O60" s="74">
        <f t="shared" si="20"/>
        <v>0</v>
      </c>
      <c r="P60" s="74">
        <f t="shared" si="20"/>
        <v>537</v>
      </c>
      <c r="Q60" s="75">
        <f t="shared" si="20"/>
        <v>12</v>
      </c>
      <c r="R60" s="85">
        <f t="shared" si="20"/>
        <v>1355</v>
      </c>
      <c r="S60" s="84">
        <f t="shared" si="20"/>
        <v>12</v>
      </c>
      <c r="T60" s="46"/>
      <c r="U60" s="43">
        <f>SUM(U8:U59)</f>
        <v>10170</v>
      </c>
      <c r="V60" s="102">
        <f>SUM(V8:V59)</f>
        <v>1355</v>
      </c>
      <c r="W60" s="187">
        <f>SUM(W8:W59)</f>
        <v>299662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50800-D9E4-40A5-9BAC-000F8F232B5A}">
  <sheetPr>
    <pageSetUpPr fitToPage="1"/>
  </sheetPr>
  <dimension ref="A1:BH90"/>
  <sheetViews>
    <sheetView tabSelected="1" topLeftCell="A35" zoomScale="85" zoomScaleNormal="85" zoomScaleSheetLayoutView="85" zoomScalePageLayoutView="80" workbookViewId="0">
      <selection activeCell="AI52" sqref="AI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46181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205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2</v>
      </c>
      <c r="H10" s="73"/>
      <c r="I10" s="73">
        <f t="shared" si="4"/>
        <v>86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2817</v>
      </c>
      <c r="D13" s="114">
        <v>12</v>
      </c>
      <c r="E13" s="115"/>
      <c r="F13" s="115"/>
      <c r="G13" s="78">
        <v>21</v>
      </c>
      <c r="H13" s="79">
        <v>12</v>
      </c>
      <c r="I13" s="80">
        <f t="shared" si="4"/>
        <v>2796</v>
      </c>
      <c r="J13" s="94">
        <f>D13-H13</f>
        <v>0</v>
      </c>
      <c r="K13" s="53"/>
      <c r="L13" s="121"/>
      <c r="M13" s="121"/>
      <c r="N13" s="121">
        <v>8</v>
      </c>
      <c r="O13" s="121">
        <v>12</v>
      </c>
      <c r="P13" s="121">
        <v>13</v>
      </c>
      <c r="Q13" s="122"/>
      <c r="R13" s="97">
        <f>L13+N13+P13</f>
        <v>21</v>
      </c>
      <c r="S13" s="125">
        <f>M13+O13+Q13</f>
        <v>12</v>
      </c>
      <c r="T13" s="53"/>
      <c r="U13" s="131">
        <f>L13*24+N13*24+P13*24</f>
        <v>504</v>
      </c>
      <c r="V13" s="135">
        <f t="shared" si="6"/>
        <v>21</v>
      </c>
      <c r="W13" s="133">
        <f>I13*24+J13</f>
        <v>67104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/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2909</v>
      </c>
      <c r="D38" s="114">
        <v>1</v>
      </c>
      <c r="E38" s="115"/>
      <c r="F38" s="115"/>
      <c r="G38" s="78">
        <v>45</v>
      </c>
      <c r="H38" s="79"/>
      <c r="I38" s="139">
        <f t="shared" si="4"/>
        <v>2864</v>
      </c>
      <c r="J38" s="140">
        <f t="shared" si="4"/>
        <v>1</v>
      </c>
      <c r="K38" s="51"/>
      <c r="L38" s="121"/>
      <c r="M38" s="121"/>
      <c r="N38" s="121">
        <v>10</v>
      </c>
      <c r="O38" s="121"/>
      <c r="P38" s="121">
        <v>35</v>
      </c>
      <c r="Q38" s="122"/>
      <c r="R38" s="97">
        <f t="shared" si="7"/>
        <v>45</v>
      </c>
      <c r="S38" s="125">
        <f t="shared" si="7"/>
        <v>0</v>
      </c>
      <c r="T38" s="51"/>
      <c r="U38" s="131">
        <f>L38*6+N38*6+P38*6</f>
        <v>270</v>
      </c>
      <c r="V38" s="135">
        <f>U38/6</f>
        <v>45</v>
      </c>
      <c r="W38" s="133">
        <f>I38*6+J38</f>
        <v>17185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/>
      <c r="H41" s="150"/>
      <c r="I41" s="151">
        <f t="shared" si="4"/>
        <v>180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377</v>
      </c>
      <c r="D42" s="164"/>
      <c r="E42" s="165"/>
      <c r="F42" s="165"/>
      <c r="G42" s="166">
        <v>15</v>
      </c>
      <c r="H42" s="167"/>
      <c r="I42" s="166">
        <f t="shared" si="4"/>
        <v>362</v>
      </c>
      <c r="J42" s="168">
        <f t="shared" si="4"/>
        <v>0</v>
      </c>
      <c r="K42" s="169"/>
      <c r="L42" s="165"/>
      <c r="M42" s="165"/>
      <c r="N42" s="165">
        <v>5</v>
      </c>
      <c r="O42" s="165"/>
      <c r="P42" s="165">
        <v>10</v>
      </c>
      <c r="Q42" s="170"/>
      <c r="R42" s="171">
        <f t="shared" si="7"/>
        <v>15</v>
      </c>
      <c r="S42" s="172">
        <f t="shared" si="7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29448</v>
      </c>
      <c r="D44" s="114">
        <v>2</v>
      </c>
      <c r="E44" s="115">
        <v>1836</v>
      </c>
      <c r="F44" s="115"/>
      <c r="G44" s="78">
        <v>691</v>
      </c>
      <c r="H44" s="79"/>
      <c r="I44" s="73">
        <f>C44+E44-G44</f>
        <v>30593</v>
      </c>
      <c r="J44" s="177">
        <f t="shared" si="4"/>
        <v>2</v>
      </c>
      <c r="K44" s="51"/>
      <c r="L44" s="121"/>
      <c r="M44" s="121"/>
      <c r="N44" s="121">
        <v>312</v>
      </c>
      <c r="O44" s="121"/>
      <c r="P44" s="121">
        <v>379</v>
      </c>
      <c r="Q44" s="122"/>
      <c r="R44" s="178">
        <f t="shared" si="7"/>
        <v>691</v>
      </c>
      <c r="S44" s="179">
        <f t="shared" si="7"/>
        <v>0</v>
      </c>
      <c r="T44" s="51"/>
      <c r="U44" s="131">
        <f>L44*6+N44*6+P44*6</f>
        <v>4146</v>
      </c>
      <c r="V44" s="130">
        <f>U44/6</f>
        <v>691</v>
      </c>
      <c r="W44" s="133">
        <f>I44*6+J44</f>
        <v>183560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39052</v>
      </c>
      <c r="D60" s="54">
        <f>SUM(D8:D59)</f>
        <v>142</v>
      </c>
      <c r="E60" s="44">
        <f>SUM(E8:E59)</f>
        <v>1836</v>
      </c>
      <c r="F60" s="44"/>
      <c r="G60" s="28">
        <f>SUM(G8:G59)</f>
        <v>774</v>
      </c>
      <c r="H60" s="56">
        <f>SUM(H8:H59)</f>
        <v>12</v>
      </c>
      <c r="I60" s="56">
        <f>SUM(I8:I59)</f>
        <v>40114</v>
      </c>
      <c r="J60" s="45">
        <f>SUM(J8:J59)</f>
        <v>130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335</v>
      </c>
      <c r="O60" s="74">
        <f t="shared" si="20"/>
        <v>12</v>
      </c>
      <c r="P60" s="74">
        <f t="shared" si="20"/>
        <v>439</v>
      </c>
      <c r="Q60" s="75">
        <f t="shared" si="20"/>
        <v>0</v>
      </c>
      <c r="R60" s="85">
        <f t="shared" si="20"/>
        <v>774</v>
      </c>
      <c r="S60" s="84">
        <f t="shared" si="20"/>
        <v>12</v>
      </c>
      <c r="T60" s="46"/>
      <c r="U60" s="43">
        <f>SUM(U8:U59)</f>
        <v>5148</v>
      </c>
      <c r="V60" s="102">
        <f>SUM(V8:V59)</f>
        <v>774</v>
      </c>
      <c r="W60" s="187">
        <f>SUM(W8:W59)</f>
        <v>305518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16</vt:i4>
      </vt:variant>
    </vt:vector>
  </HeadingPairs>
  <TitlesOfParts>
    <vt:vector size="32" baseType="lpstr">
      <vt:lpstr>EXAMPLE</vt:lpstr>
      <vt:lpstr>05,01</vt:lpstr>
      <vt:lpstr>05,02</vt:lpstr>
      <vt:lpstr>05,03</vt:lpstr>
      <vt:lpstr>05,04</vt:lpstr>
      <vt:lpstr>05,05</vt:lpstr>
      <vt:lpstr>05,08</vt:lpstr>
      <vt:lpstr>05,09</vt:lpstr>
      <vt:lpstr>05,10</vt:lpstr>
      <vt:lpstr>05,11 </vt:lpstr>
      <vt:lpstr>05,12  </vt:lpstr>
      <vt:lpstr>05,15</vt:lpstr>
      <vt:lpstr>05,16</vt:lpstr>
      <vt:lpstr>05,17</vt:lpstr>
      <vt:lpstr>05,18</vt:lpstr>
      <vt:lpstr>05,19</vt:lpstr>
      <vt:lpstr>'05,01'!Print_Area</vt:lpstr>
      <vt:lpstr>'05,02'!Print_Area</vt:lpstr>
      <vt:lpstr>'05,03'!Print_Area</vt:lpstr>
      <vt:lpstr>'05,04'!Print_Area</vt:lpstr>
      <vt:lpstr>'05,05'!Print_Area</vt:lpstr>
      <vt:lpstr>'05,08'!Print_Area</vt:lpstr>
      <vt:lpstr>'05,09'!Print_Area</vt:lpstr>
      <vt:lpstr>'05,10'!Print_Area</vt:lpstr>
      <vt:lpstr>'05,11 '!Print_Area</vt:lpstr>
      <vt:lpstr>'05,12  '!Print_Area</vt:lpstr>
      <vt:lpstr>'05,15'!Print_Area</vt:lpstr>
      <vt:lpstr>'05,16'!Print_Area</vt:lpstr>
      <vt:lpstr>'05,17'!Print_Area</vt:lpstr>
      <vt:lpstr>'05,18'!Print_Area</vt:lpstr>
      <vt:lpstr>'05,19'!Print_Area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2026-06-22T06:01:42Z</dcterms:modified>
</cp:coreProperties>
</file>