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2AAF0918-3700-4400-9F5F-7ABF6D28A651}" xr6:coauthVersionLast="45" xr6:coauthVersionMax="45" xr10:uidLastSave="{00000000-0000-0000-0000-000000000000}"/>
  <bookViews>
    <workbookView xWindow="-120" yWindow="-120" windowWidth="29040" windowHeight="15840" firstSheet="1" activeTab="16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4" sheetId="120" r:id="rId5"/>
    <sheet name="05,05" sheetId="121" r:id="rId6"/>
    <sheet name="05,08" sheetId="123" r:id="rId7"/>
    <sheet name="05,09" sheetId="124" r:id="rId8"/>
    <sheet name="05,10" sheetId="125" r:id="rId9"/>
    <sheet name="05,11 " sheetId="126" r:id="rId10"/>
    <sheet name="05,12  " sheetId="127" r:id="rId11"/>
    <sheet name="05,15" sheetId="128" r:id="rId12"/>
    <sheet name="05,16" sheetId="129" r:id="rId13"/>
    <sheet name="05,17" sheetId="130" r:id="rId14"/>
    <sheet name="05,18" sheetId="131" r:id="rId15"/>
    <sheet name="05,19" sheetId="132" r:id="rId16"/>
    <sheet name="05,22" sheetId="133" r:id="rId17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'05,04'!$A$1:$Y$61</definedName>
    <definedName name="_xlnm.Print_Area" localSheetId="5">'05,05'!$A$1:$Y$61</definedName>
    <definedName name="_xlnm.Print_Area" localSheetId="6">'05,08'!$A$1:$Y$61</definedName>
    <definedName name="_xlnm.Print_Area" localSheetId="7">'05,09'!$A$1:$Y$61</definedName>
    <definedName name="_xlnm.Print_Area" localSheetId="8">'05,10'!$A$1:$Y$61</definedName>
    <definedName name="_xlnm.Print_Area" localSheetId="9">'05,11 '!$A$1:$Y$61</definedName>
    <definedName name="_xlnm.Print_Area" localSheetId="10">'05,12  '!$A$1:$Y$61</definedName>
    <definedName name="_xlnm.Print_Area" localSheetId="11">'05,15'!$A$1:$Y$61</definedName>
    <definedName name="_xlnm.Print_Area" localSheetId="12">'05,16'!$A$1:$Y$61</definedName>
    <definedName name="_xlnm.Print_Area" localSheetId="13">'05,17'!$A$1:$Y$61</definedName>
    <definedName name="_xlnm.Print_Area" localSheetId="14">'05,18'!$A$1:$Y$61</definedName>
    <definedName name="_xlnm.Print_Area" localSheetId="15">'05,19'!$A$1:$Y$61</definedName>
    <definedName name="_xlnm.Print_Area" localSheetId="16">'05,22'!$A$1:$Y$61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33" l="1"/>
  <c r="P60" i="133"/>
  <c r="O60" i="133"/>
  <c r="N60" i="133"/>
  <c r="M60" i="133"/>
  <c r="L60" i="133"/>
  <c r="H60" i="133"/>
  <c r="G60" i="133"/>
  <c r="E60" i="133"/>
  <c r="D60" i="133"/>
  <c r="C60" i="133"/>
  <c r="S59" i="133"/>
  <c r="R59" i="133"/>
  <c r="J59" i="133"/>
  <c r="I59" i="133"/>
  <c r="S58" i="133"/>
  <c r="R58" i="133"/>
  <c r="J58" i="133"/>
  <c r="I58" i="133"/>
  <c r="S57" i="133"/>
  <c r="R57" i="133"/>
  <c r="J57" i="133"/>
  <c r="I57" i="133"/>
  <c r="S56" i="133"/>
  <c r="R56" i="133"/>
  <c r="J56" i="133"/>
  <c r="I56" i="133"/>
  <c r="S55" i="133"/>
  <c r="R55" i="133"/>
  <c r="J55" i="133"/>
  <c r="I55" i="133"/>
  <c r="U54" i="133"/>
  <c r="V54" i="133" s="1"/>
  <c r="S54" i="133"/>
  <c r="R54" i="133"/>
  <c r="J54" i="133"/>
  <c r="I54" i="133"/>
  <c r="W54" i="133" s="1"/>
  <c r="V53" i="133"/>
  <c r="U53" i="133"/>
  <c r="S53" i="133"/>
  <c r="R53" i="133"/>
  <c r="J53" i="133"/>
  <c r="I53" i="133"/>
  <c r="W53" i="133" s="1"/>
  <c r="U52" i="133"/>
  <c r="V52" i="133" s="1"/>
  <c r="S52" i="133"/>
  <c r="R52" i="133"/>
  <c r="J52" i="133"/>
  <c r="I52" i="133"/>
  <c r="W52" i="133" s="1"/>
  <c r="W51" i="133"/>
  <c r="V51" i="133"/>
  <c r="U51" i="133"/>
  <c r="S51" i="133"/>
  <c r="R51" i="133"/>
  <c r="J51" i="133"/>
  <c r="I51" i="133"/>
  <c r="U50" i="133"/>
  <c r="V50" i="133" s="1"/>
  <c r="S50" i="133"/>
  <c r="R50" i="133"/>
  <c r="J50" i="133"/>
  <c r="I50" i="133"/>
  <c r="U49" i="133"/>
  <c r="V49" i="133" s="1"/>
  <c r="S49" i="133"/>
  <c r="R49" i="133"/>
  <c r="J49" i="133"/>
  <c r="I49" i="133"/>
  <c r="W49" i="133" s="1"/>
  <c r="U48" i="133"/>
  <c r="V48" i="133" s="1"/>
  <c r="S48" i="133"/>
  <c r="R48" i="133"/>
  <c r="J48" i="133"/>
  <c r="I48" i="133"/>
  <c r="W48" i="133" s="1"/>
  <c r="V47" i="133"/>
  <c r="U47" i="133"/>
  <c r="S47" i="133"/>
  <c r="R47" i="133"/>
  <c r="J47" i="133"/>
  <c r="I47" i="133"/>
  <c r="W47" i="133" s="1"/>
  <c r="U46" i="133"/>
  <c r="V46" i="133" s="1"/>
  <c r="S46" i="133"/>
  <c r="R46" i="133"/>
  <c r="J46" i="133"/>
  <c r="I46" i="133"/>
  <c r="W46" i="133" s="1"/>
  <c r="S45" i="133"/>
  <c r="R45" i="133"/>
  <c r="J45" i="133"/>
  <c r="I45" i="133"/>
  <c r="U44" i="133"/>
  <c r="V44" i="133" s="1"/>
  <c r="S44" i="133"/>
  <c r="R44" i="133"/>
  <c r="J44" i="133"/>
  <c r="I44" i="133"/>
  <c r="W44" i="133" s="1"/>
  <c r="S43" i="133"/>
  <c r="R43" i="133"/>
  <c r="J43" i="133"/>
  <c r="I43" i="133"/>
  <c r="U42" i="133"/>
  <c r="V42" i="133" s="1"/>
  <c r="S42" i="133"/>
  <c r="R42" i="133"/>
  <c r="J42" i="133"/>
  <c r="I42" i="133"/>
  <c r="W42" i="133" s="1"/>
  <c r="U41" i="133"/>
  <c r="V41" i="133" s="1"/>
  <c r="S41" i="133"/>
  <c r="R41" i="133"/>
  <c r="J41" i="133"/>
  <c r="I41" i="133"/>
  <c r="W41" i="133" s="1"/>
  <c r="U40" i="133"/>
  <c r="V40" i="133" s="1"/>
  <c r="S40" i="133"/>
  <c r="R40" i="133"/>
  <c r="J40" i="133"/>
  <c r="I40" i="133"/>
  <c r="W40" i="133" s="1"/>
  <c r="U39" i="133"/>
  <c r="V39" i="133" s="1"/>
  <c r="S39" i="133"/>
  <c r="R39" i="133"/>
  <c r="J39" i="133"/>
  <c r="I39" i="133"/>
  <c r="W39" i="133" s="1"/>
  <c r="U38" i="133"/>
  <c r="V38" i="133" s="1"/>
  <c r="S38" i="133"/>
  <c r="R38" i="133"/>
  <c r="J38" i="133"/>
  <c r="I38" i="133"/>
  <c r="W38" i="133" s="1"/>
  <c r="U37" i="133"/>
  <c r="V37" i="133" s="1"/>
  <c r="S37" i="133"/>
  <c r="R37" i="133"/>
  <c r="J37" i="133"/>
  <c r="I37" i="133"/>
  <c r="W37" i="133" s="1"/>
  <c r="V36" i="133"/>
  <c r="U36" i="133"/>
  <c r="S36" i="133"/>
  <c r="R36" i="133"/>
  <c r="J36" i="133"/>
  <c r="I36" i="133"/>
  <c r="W36" i="133" s="1"/>
  <c r="U35" i="133"/>
  <c r="V35" i="133" s="1"/>
  <c r="S35" i="133"/>
  <c r="R35" i="133"/>
  <c r="J35" i="133"/>
  <c r="I35" i="133"/>
  <c r="W35" i="133" s="1"/>
  <c r="U34" i="133"/>
  <c r="V34" i="133" s="1"/>
  <c r="S34" i="133"/>
  <c r="R34" i="133"/>
  <c r="J34" i="133"/>
  <c r="I34" i="133"/>
  <c r="W34" i="133" s="1"/>
  <c r="U33" i="133"/>
  <c r="V33" i="133" s="1"/>
  <c r="S33" i="133"/>
  <c r="R33" i="133"/>
  <c r="J33" i="133"/>
  <c r="I33" i="133"/>
  <c r="W33" i="133" s="1"/>
  <c r="V32" i="133"/>
  <c r="U32" i="133"/>
  <c r="S32" i="133"/>
  <c r="R32" i="133"/>
  <c r="J32" i="133"/>
  <c r="I32" i="133"/>
  <c r="W32" i="133" s="1"/>
  <c r="U31" i="133"/>
  <c r="V31" i="133" s="1"/>
  <c r="S31" i="133"/>
  <c r="R31" i="133"/>
  <c r="J31" i="133"/>
  <c r="I31" i="133"/>
  <c r="W31" i="133" s="1"/>
  <c r="U30" i="133"/>
  <c r="V30" i="133" s="1"/>
  <c r="S30" i="133"/>
  <c r="R30" i="133"/>
  <c r="J30" i="133"/>
  <c r="I30" i="133"/>
  <c r="U29" i="133"/>
  <c r="V29" i="133" s="1"/>
  <c r="S29" i="133"/>
  <c r="R29" i="133"/>
  <c r="J29" i="133"/>
  <c r="I29" i="133"/>
  <c r="W29" i="133" s="1"/>
  <c r="U28" i="133"/>
  <c r="V28" i="133" s="1"/>
  <c r="S28" i="133"/>
  <c r="R28" i="133"/>
  <c r="J28" i="133"/>
  <c r="I28" i="133"/>
  <c r="U27" i="133"/>
  <c r="V27" i="133" s="1"/>
  <c r="S27" i="133"/>
  <c r="R27" i="133"/>
  <c r="J27" i="133"/>
  <c r="I27" i="133"/>
  <c r="BE26" i="133"/>
  <c r="U26" i="133"/>
  <c r="V26" i="133" s="1"/>
  <c r="S26" i="133"/>
  <c r="R26" i="133"/>
  <c r="J26" i="133"/>
  <c r="I26" i="133"/>
  <c r="U25" i="133"/>
  <c r="V25" i="133" s="1"/>
  <c r="S25" i="133"/>
  <c r="R25" i="133"/>
  <c r="J25" i="133"/>
  <c r="I25" i="133"/>
  <c r="W25" i="133" s="1"/>
  <c r="U24" i="133"/>
  <c r="V24" i="133" s="1"/>
  <c r="S24" i="133"/>
  <c r="R24" i="133"/>
  <c r="J24" i="133"/>
  <c r="I24" i="133"/>
  <c r="U23" i="133"/>
  <c r="V23" i="133" s="1"/>
  <c r="S23" i="133"/>
  <c r="R23" i="133"/>
  <c r="J23" i="133"/>
  <c r="I23" i="133"/>
  <c r="U22" i="133"/>
  <c r="V22" i="133" s="1"/>
  <c r="S22" i="133"/>
  <c r="R22" i="133"/>
  <c r="J22" i="133"/>
  <c r="W22" i="133" s="1"/>
  <c r="I22" i="133"/>
  <c r="U21" i="133"/>
  <c r="V21" i="133" s="1"/>
  <c r="S21" i="133"/>
  <c r="R21" i="133"/>
  <c r="J21" i="133"/>
  <c r="I21" i="133"/>
  <c r="V20" i="133"/>
  <c r="U20" i="133"/>
  <c r="S20" i="133"/>
  <c r="R20" i="133"/>
  <c r="J20" i="133"/>
  <c r="I20" i="133"/>
  <c r="U19" i="133"/>
  <c r="V19" i="133" s="1"/>
  <c r="S19" i="133"/>
  <c r="R19" i="133"/>
  <c r="J19" i="133"/>
  <c r="I19" i="133"/>
  <c r="W19" i="133" s="1"/>
  <c r="W18" i="133"/>
  <c r="U18" i="133"/>
  <c r="V18" i="133" s="1"/>
  <c r="S18" i="133"/>
  <c r="R18" i="133"/>
  <c r="J18" i="133"/>
  <c r="I18" i="133"/>
  <c r="V17" i="133"/>
  <c r="U17" i="133"/>
  <c r="S17" i="133"/>
  <c r="R17" i="133"/>
  <c r="J17" i="133"/>
  <c r="I17" i="133"/>
  <c r="V16" i="133"/>
  <c r="U16" i="133"/>
  <c r="S16" i="133"/>
  <c r="R16" i="133"/>
  <c r="J16" i="133"/>
  <c r="I16" i="133"/>
  <c r="W16" i="133" s="1"/>
  <c r="U15" i="133"/>
  <c r="V15" i="133" s="1"/>
  <c r="S15" i="133"/>
  <c r="R15" i="133"/>
  <c r="J15" i="133"/>
  <c r="I15" i="133"/>
  <c r="W15" i="133" s="1"/>
  <c r="U14" i="133"/>
  <c r="V14" i="133" s="1"/>
  <c r="S14" i="133"/>
  <c r="R14" i="133"/>
  <c r="J14" i="133"/>
  <c r="I14" i="133"/>
  <c r="U13" i="133"/>
  <c r="V13" i="133" s="1"/>
  <c r="S13" i="133"/>
  <c r="R13" i="133"/>
  <c r="J13" i="133"/>
  <c r="I13" i="133"/>
  <c r="U12" i="133"/>
  <c r="V12" i="133" s="1"/>
  <c r="S12" i="133"/>
  <c r="R12" i="133"/>
  <c r="J12" i="133"/>
  <c r="I12" i="133"/>
  <c r="W12" i="133" s="1"/>
  <c r="V11" i="133"/>
  <c r="U11" i="133"/>
  <c r="S11" i="133"/>
  <c r="R11" i="133"/>
  <c r="J11" i="133"/>
  <c r="I11" i="133"/>
  <c r="W11" i="133" s="1"/>
  <c r="U10" i="133"/>
  <c r="V10" i="133" s="1"/>
  <c r="S10" i="133"/>
  <c r="R10" i="133"/>
  <c r="J10" i="133"/>
  <c r="I10" i="133"/>
  <c r="A10" i="133"/>
  <c r="A11" i="133" s="1"/>
  <c r="A12" i="133" s="1"/>
  <c r="A13" i="133" s="1"/>
  <c r="A14" i="133" s="1"/>
  <c r="A15" i="133" s="1"/>
  <c r="A16" i="133" s="1"/>
  <c r="A17" i="133" s="1"/>
  <c r="A18" i="133" s="1"/>
  <c r="A19" i="133" s="1"/>
  <c r="A20" i="133" s="1"/>
  <c r="A21" i="133" s="1"/>
  <c r="A22" i="133" s="1"/>
  <c r="A23" i="133" s="1"/>
  <c r="A24" i="133" s="1"/>
  <c r="A25" i="133" s="1"/>
  <c r="A26" i="133" s="1"/>
  <c r="A27" i="133" s="1"/>
  <c r="A28" i="133" s="1"/>
  <c r="A29" i="133" s="1"/>
  <c r="A30" i="133" s="1"/>
  <c r="A31" i="133" s="1"/>
  <c r="A32" i="133" s="1"/>
  <c r="A33" i="133" s="1"/>
  <c r="A34" i="133" s="1"/>
  <c r="A35" i="133" s="1"/>
  <c r="A36" i="133" s="1"/>
  <c r="A37" i="133" s="1"/>
  <c r="A38" i="133" s="1"/>
  <c r="A39" i="133" s="1"/>
  <c r="A40" i="133" s="1"/>
  <c r="A41" i="133" s="1"/>
  <c r="A42" i="133" s="1"/>
  <c r="A43" i="133" s="1"/>
  <c r="A44" i="133" s="1"/>
  <c r="A45" i="133" s="1"/>
  <c r="A46" i="133" s="1"/>
  <c r="A47" i="133" s="1"/>
  <c r="A48" i="133" s="1"/>
  <c r="A49" i="133" s="1"/>
  <c r="A50" i="133" s="1"/>
  <c r="A51" i="133" s="1"/>
  <c r="A52" i="133" s="1"/>
  <c r="A53" i="133" s="1"/>
  <c r="A54" i="133" s="1"/>
  <c r="A55" i="133" s="1"/>
  <c r="A56" i="133" s="1"/>
  <c r="A57" i="133" s="1"/>
  <c r="A58" i="133" s="1"/>
  <c r="A59" i="133" s="1"/>
  <c r="V9" i="133"/>
  <c r="U9" i="133"/>
  <c r="S9" i="133"/>
  <c r="R9" i="133"/>
  <c r="J9" i="133"/>
  <c r="I9" i="133"/>
  <c r="W9" i="133" s="1"/>
  <c r="A9" i="133"/>
  <c r="V8" i="133"/>
  <c r="U8" i="133"/>
  <c r="S8" i="133"/>
  <c r="R8" i="133"/>
  <c r="J8" i="133"/>
  <c r="I8" i="133"/>
  <c r="W26" i="133" l="1"/>
  <c r="W24" i="133"/>
  <c r="W20" i="133"/>
  <c r="W14" i="133"/>
  <c r="W10" i="133"/>
  <c r="S60" i="133"/>
  <c r="U60" i="133"/>
  <c r="R60" i="133"/>
  <c r="W13" i="133"/>
  <c r="W17" i="133"/>
  <c r="W50" i="133"/>
  <c r="W27" i="133"/>
  <c r="W30" i="133"/>
  <c r="J60" i="133"/>
  <c r="W23" i="133"/>
  <c r="W28" i="133"/>
  <c r="I60" i="133"/>
  <c r="W8" i="133"/>
  <c r="W21" i="133"/>
  <c r="V60" i="133"/>
  <c r="Q60" i="132"/>
  <c r="P60" i="132"/>
  <c r="O60" i="132"/>
  <c r="N60" i="132"/>
  <c r="M60" i="132"/>
  <c r="L60" i="132"/>
  <c r="H60" i="132"/>
  <c r="G60" i="132"/>
  <c r="E60" i="132"/>
  <c r="D60" i="132"/>
  <c r="C60" i="132"/>
  <c r="S59" i="132"/>
  <c r="R59" i="132"/>
  <c r="J59" i="132"/>
  <c r="I59" i="132"/>
  <c r="S58" i="132"/>
  <c r="R58" i="132"/>
  <c r="J58" i="132"/>
  <c r="I58" i="132"/>
  <c r="S57" i="132"/>
  <c r="R57" i="132"/>
  <c r="J57" i="132"/>
  <c r="I57" i="132"/>
  <c r="S56" i="132"/>
  <c r="R56" i="132"/>
  <c r="J56" i="132"/>
  <c r="I56" i="132"/>
  <c r="S55" i="132"/>
  <c r="R55" i="132"/>
  <c r="J55" i="132"/>
  <c r="I55" i="132"/>
  <c r="W54" i="132"/>
  <c r="U54" i="132"/>
  <c r="V54" i="132" s="1"/>
  <c r="S54" i="132"/>
  <c r="R54" i="132"/>
  <c r="J54" i="132"/>
  <c r="I54" i="132"/>
  <c r="U53" i="132"/>
  <c r="V53" i="132" s="1"/>
  <c r="S53" i="132"/>
  <c r="R53" i="132"/>
  <c r="J53" i="132"/>
  <c r="I53" i="132"/>
  <c r="W53" i="132" s="1"/>
  <c r="U52" i="132"/>
  <c r="V52" i="132" s="1"/>
  <c r="S52" i="132"/>
  <c r="R52" i="132"/>
  <c r="J52" i="132"/>
  <c r="I52" i="132"/>
  <c r="W52" i="132" s="1"/>
  <c r="U51" i="132"/>
  <c r="V51" i="132" s="1"/>
  <c r="S51" i="132"/>
  <c r="R51" i="132"/>
  <c r="J51" i="132"/>
  <c r="I51" i="132"/>
  <c r="W51" i="132" s="1"/>
  <c r="W50" i="132"/>
  <c r="U50" i="132"/>
  <c r="V50" i="132" s="1"/>
  <c r="S50" i="132"/>
  <c r="R50" i="132"/>
  <c r="J50" i="132"/>
  <c r="I50" i="132"/>
  <c r="U49" i="132"/>
  <c r="V49" i="132" s="1"/>
  <c r="S49" i="132"/>
  <c r="R49" i="132"/>
  <c r="J49" i="132"/>
  <c r="I49" i="132"/>
  <c r="W49" i="132" s="1"/>
  <c r="U48" i="132"/>
  <c r="V48" i="132" s="1"/>
  <c r="S48" i="132"/>
  <c r="R48" i="132"/>
  <c r="J48" i="132"/>
  <c r="I48" i="132"/>
  <c r="W48" i="132" s="1"/>
  <c r="U47" i="132"/>
  <c r="V47" i="132" s="1"/>
  <c r="S47" i="132"/>
  <c r="R47" i="132"/>
  <c r="J47" i="132"/>
  <c r="I47" i="132"/>
  <c r="U46" i="132"/>
  <c r="V46" i="132" s="1"/>
  <c r="S46" i="132"/>
  <c r="R46" i="132"/>
  <c r="J46" i="132"/>
  <c r="I46" i="132"/>
  <c r="S45" i="132"/>
  <c r="R45" i="132"/>
  <c r="J45" i="132"/>
  <c r="I45" i="132"/>
  <c r="U44" i="132"/>
  <c r="V44" i="132" s="1"/>
  <c r="S44" i="132"/>
  <c r="R44" i="132"/>
  <c r="J44" i="132"/>
  <c r="I44" i="132"/>
  <c r="W44" i="132" s="1"/>
  <c r="S43" i="132"/>
  <c r="R43" i="132"/>
  <c r="J43" i="132"/>
  <c r="I43" i="132"/>
  <c r="U42" i="132"/>
  <c r="V42" i="132" s="1"/>
  <c r="S42" i="132"/>
  <c r="R42" i="132"/>
  <c r="J42" i="132"/>
  <c r="I42" i="132"/>
  <c r="W42" i="132" s="1"/>
  <c r="U41" i="132"/>
  <c r="V41" i="132" s="1"/>
  <c r="S41" i="132"/>
  <c r="R41" i="132"/>
  <c r="J41" i="132"/>
  <c r="I41" i="132"/>
  <c r="W41" i="132" s="1"/>
  <c r="U40" i="132"/>
  <c r="V40" i="132" s="1"/>
  <c r="S40" i="132"/>
  <c r="R40" i="132"/>
  <c r="J40" i="132"/>
  <c r="I40" i="132"/>
  <c r="W40" i="132" s="1"/>
  <c r="U39" i="132"/>
  <c r="V39" i="132" s="1"/>
  <c r="S39" i="132"/>
  <c r="R39" i="132"/>
  <c r="J39" i="132"/>
  <c r="I39" i="132"/>
  <c r="W39" i="132" s="1"/>
  <c r="U38" i="132"/>
  <c r="V38" i="132" s="1"/>
  <c r="S38" i="132"/>
  <c r="R38" i="132"/>
  <c r="J38" i="132"/>
  <c r="I38" i="132"/>
  <c r="W38" i="132" s="1"/>
  <c r="W37" i="132"/>
  <c r="U37" i="132"/>
  <c r="V37" i="132" s="1"/>
  <c r="S37" i="132"/>
  <c r="R37" i="132"/>
  <c r="J37" i="132"/>
  <c r="I37" i="132"/>
  <c r="U36" i="132"/>
  <c r="V36" i="132" s="1"/>
  <c r="S36" i="132"/>
  <c r="R36" i="132"/>
  <c r="J36" i="132"/>
  <c r="I36" i="132"/>
  <c r="W36" i="132" s="1"/>
  <c r="U35" i="132"/>
  <c r="V35" i="132" s="1"/>
  <c r="S35" i="132"/>
  <c r="R35" i="132"/>
  <c r="J35" i="132"/>
  <c r="I35" i="132"/>
  <c r="W35" i="132" s="1"/>
  <c r="W34" i="132"/>
  <c r="U34" i="132"/>
  <c r="V34" i="132" s="1"/>
  <c r="S34" i="132"/>
  <c r="R34" i="132"/>
  <c r="J34" i="132"/>
  <c r="I34" i="132"/>
  <c r="U33" i="132"/>
  <c r="V33" i="132" s="1"/>
  <c r="S33" i="132"/>
  <c r="R33" i="132"/>
  <c r="J33" i="132"/>
  <c r="I33" i="132"/>
  <c r="W33" i="132" s="1"/>
  <c r="U32" i="132"/>
  <c r="V32" i="132" s="1"/>
  <c r="S32" i="132"/>
  <c r="R32" i="132"/>
  <c r="J32" i="132"/>
  <c r="I32" i="132"/>
  <c r="W32" i="132" s="1"/>
  <c r="U31" i="132"/>
  <c r="V31" i="132" s="1"/>
  <c r="S31" i="132"/>
  <c r="R31" i="132"/>
  <c r="J31" i="132"/>
  <c r="I31" i="132"/>
  <c r="W31" i="132" s="1"/>
  <c r="U30" i="132"/>
  <c r="V30" i="132" s="1"/>
  <c r="S30" i="132"/>
  <c r="R30" i="132"/>
  <c r="J30" i="132"/>
  <c r="I30" i="132"/>
  <c r="W30" i="132" s="1"/>
  <c r="W29" i="132"/>
  <c r="U29" i="132"/>
  <c r="V29" i="132" s="1"/>
  <c r="S29" i="132"/>
  <c r="R29" i="132"/>
  <c r="J29" i="132"/>
  <c r="I29" i="132"/>
  <c r="U28" i="132"/>
  <c r="V28" i="132" s="1"/>
  <c r="S28" i="132"/>
  <c r="R28" i="132"/>
  <c r="J28" i="132"/>
  <c r="I28" i="132"/>
  <c r="W28" i="132" s="1"/>
  <c r="U27" i="132"/>
  <c r="V27" i="132" s="1"/>
  <c r="S27" i="132"/>
  <c r="R27" i="132"/>
  <c r="J27" i="132"/>
  <c r="I27" i="132"/>
  <c r="W27" i="132" s="1"/>
  <c r="BE26" i="132"/>
  <c r="U26" i="132"/>
  <c r="V26" i="132" s="1"/>
  <c r="S26" i="132"/>
  <c r="R26" i="132"/>
  <c r="J26" i="132"/>
  <c r="I26" i="132"/>
  <c r="W26" i="132" s="1"/>
  <c r="V25" i="132"/>
  <c r="U25" i="132"/>
  <c r="S25" i="132"/>
  <c r="R25" i="132"/>
  <c r="J25" i="132"/>
  <c r="I25" i="132"/>
  <c r="V24" i="132"/>
  <c r="U24" i="132"/>
  <c r="S24" i="132"/>
  <c r="R24" i="132"/>
  <c r="J24" i="132"/>
  <c r="I24" i="132"/>
  <c r="V23" i="132"/>
  <c r="U23" i="132"/>
  <c r="S23" i="132"/>
  <c r="R23" i="132"/>
  <c r="J23" i="132"/>
  <c r="I23" i="132"/>
  <c r="V22" i="132"/>
  <c r="U22" i="132"/>
  <c r="S22" i="132"/>
  <c r="R22" i="132"/>
  <c r="J22" i="132"/>
  <c r="I22" i="132"/>
  <c r="W22" i="132" s="1"/>
  <c r="U21" i="132"/>
  <c r="V21" i="132" s="1"/>
  <c r="S21" i="132"/>
  <c r="R21" i="132"/>
  <c r="J21" i="132"/>
  <c r="I21" i="132"/>
  <c r="U20" i="132"/>
  <c r="V20" i="132" s="1"/>
  <c r="S20" i="132"/>
  <c r="R20" i="132"/>
  <c r="J20" i="132"/>
  <c r="I20" i="132"/>
  <c r="V19" i="132"/>
  <c r="U19" i="132"/>
  <c r="S19" i="132"/>
  <c r="R19" i="132"/>
  <c r="J19" i="132"/>
  <c r="I19" i="132"/>
  <c r="U18" i="132"/>
  <c r="V18" i="132" s="1"/>
  <c r="S18" i="132"/>
  <c r="R18" i="132"/>
  <c r="J18" i="132"/>
  <c r="I18" i="132"/>
  <c r="W18" i="132" s="1"/>
  <c r="V17" i="132"/>
  <c r="U17" i="132"/>
  <c r="S17" i="132"/>
  <c r="R17" i="132"/>
  <c r="J17" i="132"/>
  <c r="I17" i="132"/>
  <c r="V16" i="132"/>
  <c r="U16" i="132"/>
  <c r="S16" i="132"/>
  <c r="R16" i="132"/>
  <c r="J16" i="132"/>
  <c r="I16" i="132"/>
  <c r="V15" i="132"/>
  <c r="U15" i="132"/>
  <c r="S15" i="132"/>
  <c r="R15" i="132"/>
  <c r="J15" i="132"/>
  <c r="I15" i="132"/>
  <c r="V14" i="132"/>
  <c r="U14" i="132"/>
  <c r="S14" i="132"/>
  <c r="R14" i="132"/>
  <c r="J14" i="132"/>
  <c r="I14" i="132"/>
  <c r="U13" i="132"/>
  <c r="V13" i="132" s="1"/>
  <c r="S13" i="132"/>
  <c r="R13" i="132"/>
  <c r="J13" i="132"/>
  <c r="I13" i="132"/>
  <c r="U12" i="132"/>
  <c r="V12" i="132" s="1"/>
  <c r="S12" i="132"/>
  <c r="R12" i="132"/>
  <c r="J12" i="132"/>
  <c r="I12" i="132"/>
  <c r="U11" i="132"/>
  <c r="V11" i="132" s="1"/>
  <c r="S11" i="132"/>
  <c r="R11" i="132"/>
  <c r="J11" i="132"/>
  <c r="I11" i="132"/>
  <c r="U10" i="132"/>
  <c r="V10" i="132" s="1"/>
  <c r="S10" i="132"/>
  <c r="R10" i="132"/>
  <c r="J10" i="132"/>
  <c r="I10" i="132"/>
  <c r="W10" i="132" s="1"/>
  <c r="A10" i="132"/>
  <c r="A11" i="132" s="1"/>
  <c r="A12" i="132" s="1"/>
  <c r="A13" i="132" s="1"/>
  <c r="A14" i="132" s="1"/>
  <c r="A15" i="132" s="1"/>
  <c r="A16" i="132" s="1"/>
  <c r="A17" i="132" s="1"/>
  <c r="A18" i="132" s="1"/>
  <c r="A19" i="132" s="1"/>
  <c r="A20" i="132" s="1"/>
  <c r="A21" i="132" s="1"/>
  <c r="A22" i="132" s="1"/>
  <c r="A23" i="132" s="1"/>
  <c r="A24" i="132" s="1"/>
  <c r="A25" i="132" s="1"/>
  <c r="A26" i="132" s="1"/>
  <c r="A27" i="132" s="1"/>
  <c r="A28" i="132" s="1"/>
  <c r="A29" i="132" s="1"/>
  <c r="A30" i="132" s="1"/>
  <c r="A31" i="132" s="1"/>
  <c r="A32" i="132" s="1"/>
  <c r="A33" i="132" s="1"/>
  <c r="A34" i="132" s="1"/>
  <c r="A35" i="132" s="1"/>
  <c r="A36" i="132" s="1"/>
  <c r="A37" i="132" s="1"/>
  <c r="A38" i="132" s="1"/>
  <c r="A39" i="132" s="1"/>
  <c r="A40" i="132" s="1"/>
  <c r="A41" i="132" s="1"/>
  <c r="A42" i="132" s="1"/>
  <c r="A43" i="132" s="1"/>
  <c r="A44" i="132" s="1"/>
  <c r="A45" i="132" s="1"/>
  <c r="A46" i="132" s="1"/>
  <c r="A47" i="132" s="1"/>
  <c r="A48" i="132" s="1"/>
  <c r="A49" i="132" s="1"/>
  <c r="A50" i="132" s="1"/>
  <c r="A51" i="132" s="1"/>
  <c r="A52" i="132" s="1"/>
  <c r="A53" i="132" s="1"/>
  <c r="A54" i="132" s="1"/>
  <c r="A55" i="132" s="1"/>
  <c r="A56" i="132" s="1"/>
  <c r="A57" i="132" s="1"/>
  <c r="A58" i="132" s="1"/>
  <c r="A59" i="132" s="1"/>
  <c r="U9" i="132"/>
  <c r="V9" i="132" s="1"/>
  <c r="S9" i="132"/>
  <c r="R9" i="132"/>
  <c r="J9" i="132"/>
  <c r="I9" i="132"/>
  <c r="W9" i="132" s="1"/>
  <c r="A9" i="132"/>
  <c r="V8" i="132"/>
  <c r="U8" i="132"/>
  <c r="S8" i="132"/>
  <c r="R8" i="132"/>
  <c r="J8" i="132"/>
  <c r="I8" i="132"/>
  <c r="Q60" i="131"/>
  <c r="P60" i="131"/>
  <c r="O60" i="131"/>
  <c r="N60" i="131"/>
  <c r="M60" i="131"/>
  <c r="L60" i="131"/>
  <c r="H60" i="131"/>
  <c r="G60" i="131"/>
  <c r="E60" i="131"/>
  <c r="D60" i="131"/>
  <c r="S59" i="131"/>
  <c r="R59" i="131"/>
  <c r="J59" i="131"/>
  <c r="I59" i="131"/>
  <c r="S58" i="131"/>
  <c r="R58" i="131"/>
  <c r="J58" i="131"/>
  <c r="I58" i="131"/>
  <c r="S57" i="131"/>
  <c r="R57" i="131"/>
  <c r="J57" i="131"/>
  <c r="I57" i="131"/>
  <c r="S56" i="131"/>
  <c r="R56" i="131"/>
  <c r="J56" i="131"/>
  <c r="I56" i="131"/>
  <c r="S55" i="131"/>
  <c r="R55" i="131"/>
  <c r="J55" i="131"/>
  <c r="I55" i="131"/>
  <c r="U54" i="131"/>
  <c r="V54" i="131" s="1"/>
  <c r="S54" i="131"/>
  <c r="R54" i="131"/>
  <c r="J54" i="131"/>
  <c r="I54" i="131"/>
  <c r="W54" i="131" s="1"/>
  <c r="U53" i="131"/>
  <c r="V53" i="131" s="1"/>
  <c r="S53" i="131"/>
  <c r="R53" i="131"/>
  <c r="J53" i="131"/>
  <c r="I53" i="131"/>
  <c r="W53" i="131" s="1"/>
  <c r="U52" i="131"/>
  <c r="V52" i="131" s="1"/>
  <c r="S52" i="131"/>
  <c r="R52" i="131"/>
  <c r="J52" i="131"/>
  <c r="I52" i="131"/>
  <c r="W52" i="131" s="1"/>
  <c r="U51" i="131"/>
  <c r="V51" i="131" s="1"/>
  <c r="S51" i="131"/>
  <c r="R51" i="131"/>
  <c r="J51" i="131"/>
  <c r="I51" i="131"/>
  <c r="W51" i="131" s="1"/>
  <c r="W50" i="131"/>
  <c r="U50" i="131"/>
  <c r="V50" i="131" s="1"/>
  <c r="S50" i="131"/>
  <c r="R50" i="131"/>
  <c r="J50" i="131"/>
  <c r="I50" i="131"/>
  <c r="U49" i="131"/>
  <c r="V49" i="131" s="1"/>
  <c r="S49" i="131"/>
  <c r="R49" i="131"/>
  <c r="J49" i="131"/>
  <c r="I49" i="131"/>
  <c r="W49" i="131" s="1"/>
  <c r="U48" i="131"/>
  <c r="V48" i="131" s="1"/>
  <c r="S48" i="131"/>
  <c r="R48" i="131"/>
  <c r="J48" i="131"/>
  <c r="I48" i="131"/>
  <c r="W48" i="131" s="1"/>
  <c r="U47" i="131"/>
  <c r="V47" i="131" s="1"/>
  <c r="S47" i="131"/>
  <c r="R47" i="131"/>
  <c r="J47" i="131"/>
  <c r="I47" i="131"/>
  <c r="W47" i="131" s="1"/>
  <c r="U46" i="131"/>
  <c r="V46" i="131" s="1"/>
  <c r="S46" i="131"/>
  <c r="R46" i="131"/>
  <c r="J46" i="131"/>
  <c r="I46" i="131"/>
  <c r="W46" i="131" s="1"/>
  <c r="S45" i="131"/>
  <c r="R45" i="131"/>
  <c r="J45" i="131"/>
  <c r="I45" i="131"/>
  <c r="U44" i="131"/>
  <c r="V44" i="131" s="1"/>
  <c r="S44" i="131"/>
  <c r="R44" i="131"/>
  <c r="J44" i="131"/>
  <c r="I44" i="131"/>
  <c r="S43" i="131"/>
  <c r="R43" i="131"/>
  <c r="J43" i="131"/>
  <c r="I43" i="131"/>
  <c r="U42" i="131"/>
  <c r="V42" i="131" s="1"/>
  <c r="S42" i="131"/>
  <c r="R42" i="131"/>
  <c r="J42" i="131"/>
  <c r="I42" i="131"/>
  <c r="W42" i="131" s="1"/>
  <c r="U41" i="131"/>
  <c r="V41" i="131" s="1"/>
  <c r="S41" i="131"/>
  <c r="R41" i="131"/>
  <c r="J41" i="131"/>
  <c r="I41" i="131"/>
  <c r="U40" i="131"/>
  <c r="V40" i="131" s="1"/>
  <c r="S40" i="131"/>
  <c r="R40" i="131"/>
  <c r="J40" i="131"/>
  <c r="I40" i="131"/>
  <c r="W40" i="131" s="1"/>
  <c r="U39" i="131"/>
  <c r="V39" i="131" s="1"/>
  <c r="S39" i="131"/>
  <c r="R39" i="131"/>
  <c r="J39" i="131"/>
  <c r="I39" i="131"/>
  <c r="W39" i="131" s="1"/>
  <c r="U38" i="131"/>
  <c r="V38" i="131" s="1"/>
  <c r="S38" i="131"/>
  <c r="R38" i="131"/>
  <c r="J38" i="131"/>
  <c r="I38" i="131"/>
  <c r="U37" i="131"/>
  <c r="V37" i="131" s="1"/>
  <c r="S37" i="131"/>
  <c r="R37" i="131"/>
  <c r="J37" i="131"/>
  <c r="W37" i="131" s="1"/>
  <c r="I37" i="131"/>
  <c r="U36" i="131"/>
  <c r="V36" i="131" s="1"/>
  <c r="S36" i="131"/>
  <c r="R36" i="131"/>
  <c r="J36" i="131"/>
  <c r="I36" i="131"/>
  <c r="W36" i="131" s="1"/>
  <c r="U35" i="131"/>
  <c r="V35" i="131" s="1"/>
  <c r="S35" i="131"/>
  <c r="R35" i="131"/>
  <c r="J35" i="131"/>
  <c r="I35" i="131"/>
  <c r="U34" i="131"/>
  <c r="V34" i="131" s="1"/>
  <c r="S34" i="131"/>
  <c r="R34" i="131"/>
  <c r="J34" i="131"/>
  <c r="I34" i="131"/>
  <c r="W34" i="131" s="1"/>
  <c r="U33" i="131"/>
  <c r="V33" i="131" s="1"/>
  <c r="S33" i="131"/>
  <c r="R33" i="131"/>
  <c r="J33" i="131"/>
  <c r="I33" i="131"/>
  <c r="W33" i="131" s="1"/>
  <c r="U32" i="131"/>
  <c r="V32" i="131" s="1"/>
  <c r="S32" i="131"/>
  <c r="R32" i="131"/>
  <c r="J32" i="131"/>
  <c r="I32" i="131"/>
  <c r="W32" i="131" s="1"/>
  <c r="U31" i="131"/>
  <c r="V31" i="131" s="1"/>
  <c r="S31" i="131"/>
  <c r="R31" i="131"/>
  <c r="J31" i="131"/>
  <c r="I31" i="131"/>
  <c r="W31" i="131" s="1"/>
  <c r="U30" i="131"/>
  <c r="V30" i="131" s="1"/>
  <c r="S30" i="131"/>
  <c r="R30" i="131"/>
  <c r="J30" i="131"/>
  <c r="I30" i="131"/>
  <c r="U29" i="131"/>
  <c r="V29" i="131" s="1"/>
  <c r="S29" i="131"/>
  <c r="R29" i="131"/>
  <c r="J29" i="131"/>
  <c r="I29" i="131"/>
  <c r="U28" i="131"/>
  <c r="V28" i="131" s="1"/>
  <c r="S28" i="131"/>
  <c r="R28" i="131"/>
  <c r="J28" i="131"/>
  <c r="I28" i="131"/>
  <c r="W28" i="131" s="1"/>
  <c r="U27" i="131"/>
  <c r="S27" i="131"/>
  <c r="R27" i="131"/>
  <c r="J27" i="131"/>
  <c r="I27" i="131"/>
  <c r="W27" i="131" s="1"/>
  <c r="BE26" i="131"/>
  <c r="U26" i="131"/>
  <c r="V26" i="131" s="1"/>
  <c r="S26" i="131"/>
  <c r="R26" i="131"/>
  <c r="J26" i="131"/>
  <c r="I26" i="131"/>
  <c r="W26" i="131" s="1"/>
  <c r="V25" i="131"/>
  <c r="U25" i="131"/>
  <c r="S25" i="131"/>
  <c r="R25" i="131"/>
  <c r="J25" i="131"/>
  <c r="I25" i="131"/>
  <c r="W25" i="131" s="1"/>
  <c r="U24" i="131"/>
  <c r="V24" i="131" s="1"/>
  <c r="S24" i="131"/>
  <c r="R24" i="131"/>
  <c r="J24" i="131"/>
  <c r="I24" i="131"/>
  <c r="U23" i="131"/>
  <c r="V23" i="131" s="1"/>
  <c r="S23" i="131"/>
  <c r="R23" i="131"/>
  <c r="J23" i="131"/>
  <c r="I23" i="131"/>
  <c r="U22" i="131"/>
  <c r="V22" i="131" s="1"/>
  <c r="S22" i="131"/>
  <c r="R22" i="131"/>
  <c r="J22" i="131"/>
  <c r="I22" i="131"/>
  <c r="W22" i="131" s="1"/>
  <c r="V21" i="131"/>
  <c r="U21" i="131"/>
  <c r="S21" i="131"/>
  <c r="R21" i="131"/>
  <c r="J21" i="131"/>
  <c r="I21" i="131"/>
  <c r="W21" i="131" s="1"/>
  <c r="U20" i="131"/>
  <c r="V20" i="131" s="1"/>
  <c r="S20" i="131"/>
  <c r="R20" i="131"/>
  <c r="J20" i="131"/>
  <c r="I20" i="131"/>
  <c r="U19" i="131"/>
  <c r="V19" i="131" s="1"/>
  <c r="S19" i="131"/>
  <c r="R19" i="131"/>
  <c r="J19" i="131"/>
  <c r="I19" i="131"/>
  <c r="U18" i="131"/>
  <c r="V18" i="131" s="1"/>
  <c r="S18" i="131"/>
  <c r="R18" i="131"/>
  <c r="J18" i="131"/>
  <c r="I18" i="131"/>
  <c r="W18" i="131" s="1"/>
  <c r="V17" i="131"/>
  <c r="U17" i="131"/>
  <c r="S17" i="131"/>
  <c r="R17" i="131"/>
  <c r="J17" i="131"/>
  <c r="I17" i="131"/>
  <c r="W17" i="131" s="1"/>
  <c r="V16" i="131"/>
  <c r="U16" i="131"/>
  <c r="S16" i="131"/>
  <c r="R16" i="131"/>
  <c r="J16" i="131"/>
  <c r="I16" i="131"/>
  <c r="W16" i="131" s="1"/>
  <c r="U15" i="131"/>
  <c r="V15" i="131" s="1"/>
  <c r="S15" i="131"/>
  <c r="R15" i="131"/>
  <c r="J15" i="131"/>
  <c r="I15" i="131"/>
  <c r="U14" i="131"/>
  <c r="V14" i="131" s="1"/>
  <c r="S14" i="131"/>
  <c r="R14" i="131"/>
  <c r="J14" i="131"/>
  <c r="C60" i="131"/>
  <c r="U13" i="131"/>
  <c r="V13" i="131" s="1"/>
  <c r="S13" i="131"/>
  <c r="R13" i="131"/>
  <c r="J13" i="131"/>
  <c r="I13" i="131"/>
  <c r="W13" i="131" s="1"/>
  <c r="U12" i="131"/>
  <c r="V12" i="131" s="1"/>
  <c r="S12" i="131"/>
  <c r="R12" i="131"/>
  <c r="J12" i="131"/>
  <c r="I12" i="131"/>
  <c r="U11" i="131"/>
  <c r="V11" i="131" s="1"/>
  <c r="S11" i="131"/>
  <c r="R11" i="131"/>
  <c r="J11" i="131"/>
  <c r="I11" i="131"/>
  <c r="W11" i="131" s="1"/>
  <c r="U10" i="131"/>
  <c r="V10" i="131" s="1"/>
  <c r="S10" i="131"/>
  <c r="R10" i="131"/>
  <c r="J10" i="131"/>
  <c r="I10" i="131"/>
  <c r="A10" i="131"/>
  <c r="A11" i="131" s="1"/>
  <c r="A12" i="131" s="1"/>
  <c r="A13" i="131" s="1"/>
  <c r="A14" i="131" s="1"/>
  <c r="A15" i="131" s="1"/>
  <c r="A16" i="131" s="1"/>
  <c r="A17" i="131" s="1"/>
  <c r="A18" i="131" s="1"/>
  <c r="A19" i="131" s="1"/>
  <c r="A20" i="131" s="1"/>
  <c r="A21" i="131" s="1"/>
  <c r="A22" i="131" s="1"/>
  <c r="A23" i="131" s="1"/>
  <c r="A24" i="131" s="1"/>
  <c r="A25" i="131" s="1"/>
  <c r="A26" i="131" s="1"/>
  <c r="A27" i="131" s="1"/>
  <c r="A28" i="131" s="1"/>
  <c r="A29" i="131" s="1"/>
  <c r="A30" i="131" s="1"/>
  <c r="A31" i="131" s="1"/>
  <c r="A32" i="131" s="1"/>
  <c r="A33" i="131" s="1"/>
  <c r="A34" i="131" s="1"/>
  <c r="A35" i="131" s="1"/>
  <c r="A36" i="131" s="1"/>
  <c r="A37" i="131" s="1"/>
  <c r="A38" i="131" s="1"/>
  <c r="A39" i="131" s="1"/>
  <c r="A40" i="131" s="1"/>
  <c r="A41" i="131" s="1"/>
  <c r="A42" i="131" s="1"/>
  <c r="A43" i="131" s="1"/>
  <c r="A44" i="131" s="1"/>
  <c r="A45" i="131" s="1"/>
  <c r="A46" i="131" s="1"/>
  <c r="A47" i="131" s="1"/>
  <c r="A48" i="131" s="1"/>
  <c r="A49" i="131" s="1"/>
  <c r="A50" i="131" s="1"/>
  <c r="A51" i="131" s="1"/>
  <c r="A52" i="131" s="1"/>
  <c r="A53" i="131" s="1"/>
  <c r="A54" i="131" s="1"/>
  <c r="A55" i="131" s="1"/>
  <c r="A56" i="131" s="1"/>
  <c r="A57" i="131" s="1"/>
  <c r="A58" i="131" s="1"/>
  <c r="A59" i="131" s="1"/>
  <c r="U9" i="131"/>
  <c r="V9" i="131" s="1"/>
  <c r="S9" i="131"/>
  <c r="R9" i="131"/>
  <c r="J9" i="131"/>
  <c r="I9" i="131"/>
  <c r="W9" i="131" s="1"/>
  <c r="A9" i="131"/>
  <c r="U8" i="131"/>
  <c r="V8" i="131" s="1"/>
  <c r="S8" i="131"/>
  <c r="R8" i="131"/>
  <c r="J8" i="131"/>
  <c r="I8" i="131"/>
  <c r="W8" i="131" s="1"/>
  <c r="C14" i="130"/>
  <c r="Q60" i="130"/>
  <c r="P60" i="130"/>
  <c r="O60" i="130"/>
  <c r="N60" i="130"/>
  <c r="M60" i="130"/>
  <c r="L60" i="130"/>
  <c r="H60" i="130"/>
  <c r="G60" i="130"/>
  <c r="E60" i="130"/>
  <c r="D60" i="130"/>
  <c r="S59" i="130"/>
  <c r="R59" i="130"/>
  <c r="J59" i="130"/>
  <c r="I59" i="130"/>
  <c r="S58" i="130"/>
  <c r="R58" i="130"/>
  <c r="J58" i="130"/>
  <c r="I58" i="130"/>
  <c r="S57" i="130"/>
  <c r="R57" i="130"/>
  <c r="J57" i="130"/>
  <c r="I57" i="130"/>
  <c r="S56" i="130"/>
  <c r="R56" i="130"/>
  <c r="J56" i="130"/>
  <c r="I56" i="130"/>
  <c r="S55" i="130"/>
  <c r="R55" i="130"/>
  <c r="J55" i="130"/>
  <c r="I55" i="130"/>
  <c r="U54" i="130"/>
  <c r="V54" i="130" s="1"/>
  <c r="S54" i="130"/>
  <c r="R54" i="130"/>
  <c r="J54" i="130"/>
  <c r="I54" i="130"/>
  <c r="U53" i="130"/>
  <c r="V53" i="130" s="1"/>
  <c r="S53" i="130"/>
  <c r="R53" i="130"/>
  <c r="J53" i="130"/>
  <c r="I53" i="130"/>
  <c r="W53" i="130" s="1"/>
  <c r="U52" i="130"/>
  <c r="V52" i="130" s="1"/>
  <c r="S52" i="130"/>
  <c r="R52" i="130"/>
  <c r="J52" i="130"/>
  <c r="I52" i="130"/>
  <c r="U51" i="130"/>
  <c r="V51" i="130" s="1"/>
  <c r="S51" i="130"/>
  <c r="R51" i="130"/>
  <c r="J51" i="130"/>
  <c r="I51" i="130"/>
  <c r="W51" i="130" s="1"/>
  <c r="U50" i="130"/>
  <c r="V50" i="130" s="1"/>
  <c r="S50" i="130"/>
  <c r="R50" i="130"/>
  <c r="J50" i="130"/>
  <c r="I50" i="130"/>
  <c r="U49" i="130"/>
  <c r="V49" i="130" s="1"/>
  <c r="S49" i="130"/>
  <c r="R49" i="130"/>
  <c r="J49" i="130"/>
  <c r="I49" i="130"/>
  <c r="W49" i="130" s="1"/>
  <c r="U48" i="130"/>
  <c r="V48" i="130" s="1"/>
  <c r="S48" i="130"/>
  <c r="R48" i="130"/>
  <c r="J48" i="130"/>
  <c r="C60" i="130"/>
  <c r="U47" i="130"/>
  <c r="V47" i="130" s="1"/>
  <c r="S47" i="130"/>
  <c r="R47" i="130"/>
  <c r="J47" i="130"/>
  <c r="I47" i="130"/>
  <c r="V46" i="130"/>
  <c r="U46" i="130"/>
  <c r="S46" i="130"/>
  <c r="R46" i="130"/>
  <c r="J46" i="130"/>
  <c r="I46" i="130"/>
  <c r="W46" i="130" s="1"/>
  <c r="S45" i="130"/>
  <c r="R45" i="130"/>
  <c r="J45" i="130"/>
  <c r="I45" i="130"/>
  <c r="U44" i="130"/>
  <c r="V44" i="130" s="1"/>
  <c r="S44" i="130"/>
  <c r="R44" i="130"/>
  <c r="J44" i="130"/>
  <c r="I44" i="130"/>
  <c r="S43" i="130"/>
  <c r="R43" i="130"/>
  <c r="J43" i="130"/>
  <c r="I43" i="130"/>
  <c r="U42" i="130"/>
  <c r="V42" i="130" s="1"/>
  <c r="S42" i="130"/>
  <c r="R42" i="130"/>
  <c r="J42" i="130"/>
  <c r="I42" i="130"/>
  <c r="W42" i="130" s="1"/>
  <c r="U41" i="130"/>
  <c r="V41" i="130" s="1"/>
  <c r="S41" i="130"/>
  <c r="R41" i="130"/>
  <c r="J41" i="130"/>
  <c r="I41" i="130"/>
  <c r="V40" i="130"/>
  <c r="U40" i="130"/>
  <c r="S40" i="130"/>
  <c r="R40" i="130"/>
  <c r="J40" i="130"/>
  <c r="I40" i="130"/>
  <c r="W40" i="130" s="1"/>
  <c r="U39" i="130"/>
  <c r="V39" i="130" s="1"/>
  <c r="S39" i="130"/>
  <c r="R39" i="130"/>
  <c r="J39" i="130"/>
  <c r="I39" i="130"/>
  <c r="U38" i="130"/>
  <c r="V38" i="130" s="1"/>
  <c r="S38" i="130"/>
  <c r="R38" i="130"/>
  <c r="J38" i="130"/>
  <c r="I38" i="130"/>
  <c r="W38" i="130" s="1"/>
  <c r="U37" i="130"/>
  <c r="V37" i="130" s="1"/>
  <c r="S37" i="130"/>
  <c r="R37" i="130"/>
  <c r="J37" i="130"/>
  <c r="I37" i="130"/>
  <c r="W37" i="130" s="1"/>
  <c r="V36" i="130"/>
  <c r="U36" i="130"/>
  <c r="S36" i="130"/>
  <c r="R36" i="130"/>
  <c r="J36" i="130"/>
  <c r="I36" i="130"/>
  <c r="W36" i="130" s="1"/>
  <c r="V35" i="130"/>
  <c r="U35" i="130"/>
  <c r="S35" i="130"/>
  <c r="R35" i="130"/>
  <c r="J35" i="130"/>
  <c r="I35" i="130"/>
  <c r="W35" i="130" s="1"/>
  <c r="U34" i="130"/>
  <c r="V34" i="130" s="1"/>
  <c r="S34" i="130"/>
  <c r="R34" i="130"/>
  <c r="J34" i="130"/>
  <c r="I34" i="130"/>
  <c r="W34" i="130" s="1"/>
  <c r="U33" i="130"/>
  <c r="V33" i="130" s="1"/>
  <c r="S33" i="130"/>
  <c r="R33" i="130"/>
  <c r="J33" i="130"/>
  <c r="I33" i="130"/>
  <c r="W33" i="130" s="1"/>
  <c r="V32" i="130"/>
  <c r="U32" i="130"/>
  <c r="S32" i="130"/>
  <c r="R32" i="130"/>
  <c r="J32" i="130"/>
  <c r="I32" i="130"/>
  <c r="W32" i="130" s="1"/>
  <c r="U31" i="130"/>
  <c r="V31" i="130" s="1"/>
  <c r="S31" i="130"/>
  <c r="R31" i="130"/>
  <c r="J31" i="130"/>
  <c r="I31" i="130"/>
  <c r="W31" i="130" s="1"/>
  <c r="U30" i="130"/>
  <c r="V30" i="130" s="1"/>
  <c r="S30" i="130"/>
  <c r="R30" i="130"/>
  <c r="J30" i="130"/>
  <c r="I30" i="130"/>
  <c r="U29" i="130"/>
  <c r="V29" i="130" s="1"/>
  <c r="S29" i="130"/>
  <c r="R29" i="130"/>
  <c r="J29" i="130"/>
  <c r="I29" i="130"/>
  <c r="W29" i="130" s="1"/>
  <c r="V28" i="130"/>
  <c r="U28" i="130"/>
  <c r="S28" i="130"/>
  <c r="R28" i="130"/>
  <c r="J28" i="130"/>
  <c r="I28" i="130"/>
  <c r="W28" i="130" s="1"/>
  <c r="V27" i="130"/>
  <c r="U27" i="130"/>
  <c r="S27" i="130"/>
  <c r="R27" i="130"/>
  <c r="J27" i="130"/>
  <c r="I27" i="130"/>
  <c r="W27" i="130" s="1"/>
  <c r="BE26" i="130"/>
  <c r="U26" i="130"/>
  <c r="V26" i="130" s="1"/>
  <c r="S26" i="130"/>
  <c r="R26" i="130"/>
  <c r="J26" i="130"/>
  <c r="I26" i="130"/>
  <c r="W26" i="130" s="1"/>
  <c r="U25" i="130"/>
  <c r="V25" i="130" s="1"/>
  <c r="S25" i="130"/>
  <c r="R25" i="130"/>
  <c r="J25" i="130"/>
  <c r="I25" i="130"/>
  <c r="U24" i="130"/>
  <c r="V24" i="130" s="1"/>
  <c r="S24" i="130"/>
  <c r="R24" i="130"/>
  <c r="J24" i="130"/>
  <c r="I24" i="130"/>
  <c r="U23" i="130"/>
  <c r="V23" i="130" s="1"/>
  <c r="S23" i="130"/>
  <c r="R23" i="130"/>
  <c r="J23" i="130"/>
  <c r="I23" i="130"/>
  <c r="U22" i="130"/>
  <c r="V22" i="130" s="1"/>
  <c r="S22" i="130"/>
  <c r="R22" i="130"/>
  <c r="J22" i="130"/>
  <c r="I22" i="130"/>
  <c r="W22" i="130" s="1"/>
  <c r="U21" i="130"/>
  <c r="V21" i="130" s="1"/>
  <c r="S21" i="130"/>
  <c r="R21" i="130"/>
  <c r="J21" i="130"/>
  <c r="I21" i="130"/>
  <c r="U20" i="130"/>
  <c r="V20" i="130" s="1"/>
  <c r="S20" i="130"/>
  <c r="R20" i="130"/>
  <c r="J20" i="130"/>
  <c r="I20" i="130"/>
  <c r="W20" i="130" s="1"/>
  <c r="U19" i="130"/>
  <c r="V19" i="130" s="1"/>
  <c r="S19" i="130"/>
  <c r="R19" i="130"/>
  <c r="J19" i="130"/>
  <c r="I19" i="130"/>
  <c r="W19" i="130" s="1"/>
  <c r="U18" i="130"/>
  <c r="V18" i="130" s="1"/>
  <c r="S18" i="130"/>
  <c r="R18" i="130"/>
  <c r="J18" i="130"/>
  <c r="I18" i="130"/>
  <c r="W18" i="130" s="1"/>
  <c r="U17" i="130"/>
  <c r="V17" i="130" s="1"/>
  <c r="S17" i="130"/>
  <c r="R17" i="130"/>
  <c r="J17" i="130"/>
  <c r="I17" i="130"/>
  <c r="W17" i="130" s="1"/>
  <c r="U16" i="130"/>
  <c r="V16" i="130" s="1"/>
  <c r="S16" i="130"/>
  <c r="R16" i="130"/>
  <c r="J16" i="130"/>
  <c r="I16" i="130"/>
  <c r="W16" i="130" s="1"/>
  <c r="U15" i="130"/>
  <c r="V15" i="130" s="1"/>
  <c r="S15" i="130"/>
  <c r="R15" i="130"/>
  <c r="J15" i="130"/>
  <c r="I15" i="130"/>
  <c r="U14" i="130"/>
  <c r="V14" i="130" s="1"/>
  <c r="S14" i="130"/>
  <c r="R14" i="130"/>
  <c r="J14" i="130"/>
  <c r="I14" i="130"/>
  <c r="W14" i="130" s="1"/>
  <c r="U13" i="130"/>
  <c r="V13" i="130" s="1"/>
  <c r="S13" i="130"/>
  <c r="R13" i="130"/>
  <c r="J13" i="130"/>
  <c r="I13" i="130"/>
  <c r="U12" i="130"/>
  <c r="V12" i="130" s="1"/>
  <c r="S12" i="130"/>
  <c r="R12" i="130"/>
  <c r="J12" i="130"/>
  <c r="I12" i="130"/>
  <c r="U11" i="130"/>
  <c r="V11" i="130" s="1"/>
  <c r="S11" i="130"/>
  <c r="R11" i="130"/>
  <c r="J11" i="130"/>
  <c r="I11" i="130"/>
  <c r="U10" i="130"/>
  <c r="V10" i="130" s="1"/>
  <c r="S10" i="130"/>
  <c r="R10" i="130"/>
  <c r="J10" i="130"/>
  <c r="I10" i="130"/>
  <c r="W10" i="130" s="1"/>
  <c r="A10" i="130"/>
  <c r="A11" i="130" s="1"/>
  <c r="A12" i="130" s="1"/>
  <c r="A13" i="130" s="1"/>
  <c r="A14" i="130" s="1"/>
  <c r="A15" i="130" s="1"/>
  <c r="A16" i="130" s="1"/>
  <c r="A17" i="130" s="1"/>
  <c r="A18" i="130" s="1"/>
  <c r="A19" i="130" s="1"/>
  <c r="A20" i="130" s="1"/>
  <c r="A21" i="130" s="1"/>
  <c r="A22" i="130" s="1"/>
  <c r="A23" i="130" s="1"/>
  <c r="A24" i="130" s="1"/>
  <c r="A25" i="130" s="1"/>
  <c r="A26" i="130" s="1"/>
  <c r="A27" i="130" s="1"/>
  <c r="A28" i="130" s="1"/>
  <c r="A29" i="130" s="1"/>
  <c r="A30" i="130" s="1"/>
  <c r="A31" i="130" s="1"/>
  <c r="A32" i="130" s="1"/>
  <c r="A33" i="130" s="1"/>
  <c r="A34" i="130" s="1"/>
  <c r="A35" i="130" s="1"/>
  <c r="A36" i="130" s="1"/>
  <c r="A37" i="130" s="1"/>
  <c r="A38" i="130" s="1"/>
  <c r="A39" i="130" s="1"/>
  <c r="A40" i="130" s="1"/>
  <c r="A41" i="130" s="1"/>
  <c r="A42" i="130" s="1"/>
  <c r="A43" i="130" s="1"/>
  <c r="A44" i="130" s="1"/>
  <c r="A45" i="130" s="1"/>
  <c r="A46" i="130" s="1"/>
  <c r="A47" i="130" s="1"/>
  <c r="A48" i="130" s="1"/>
  <c r="A49" i="130" s="1"/>
  <c r="A50" i="130" s="1"/>
  <c r="A51" i="130" s="1"/>
  <c r="A52" i="130" s="1"/>
  <c r="A53" i="130" s="1"/>
  <c r="A54" i="130" s="1"/>
  <c r="A55" i="130" s="1"/>
  <c r="A56" i="130" s="1"/>
  <c r="A57" i="130" s="1"/>
  <c r="A58" i="130" s="1"/>
  <c r="A59" i="130" s="1"/>
  <c r="U9" i="130"/>
  <c r="V9" i="130" s="1"/>
  <c r="S9" i="130"/>
  <c r="R9" i="130"/>
  <c r="J9" i="130"/>
  <c r="I9" i="130"/>
  <c r="W9" i="130" s="1"/>
  <c r="A9" i="130"/>
  <c r="U8" i="130"/>
  <c r="S8" i="130"/>
  <c r="R8" i="130"/>
  <c r="J8" i="130"/>
  <c r="I8" i="130"/>
  <c r="W8" i="130" s="1"/>
  <c r="I41" i="129"/>
  <c r="I42" i="129"/>
  <c r="Q60" i="129"/>
  <c r="P60" i="129"/>
  <c r="O60" i="129"/>
  <c r="N60" i="129"/>
  <c r="M60" i="129"/>
  <c r="L60" i="129"/>
  <c r="H60" i="129"/>
  <c r="G60" i="129"/>
  <c r="E60" i="129"/>
  <c r="D60" i="129"/>
  <c r="C60" i="129"/>
  <c r="S59" i="129"/>
  <c r="R59" i="129"/>
  <c r="J59" i="129"/>
  <c r="I59" i="129"/>
  <c r="S58" i="129"/>
  <c r="R58" i="129"/>
  <c r="J58" i="129"/>
  <c r="I58" i="129"/>
  <c r="S57" i="129"/>
  <c r="R57" i="129"/>
  <c r="J57" i="129"/>
  <c r="I57" i="129"/>
  <c r="S56" i="129"/>
  <c r="R56" i="129"/>
  <c r="J56" i="129"/>
  <c r="I56" i="129"/>
  <c r="S55" i="129"/>
  <c r="R55" i="129"/>
  <c r="J55" i="129"/>
  <c r="I55" i="129"/>
  <c r="U54" i="129"/>
  <c r="V54" i="129" s="1"/>
  <c r="S54" i="129"/>
  <c r="R54" i="129"/>
  <c r="J54" i="129"/>
  <c r="I54" i="129"/>
  <c r="U53" i="129"/>
  <c r="V53" i="129" s="1"/>
  <c r="S53" i="129"/>
  <c r="R53" i="129"/>
  <c r="J53" i="129"/>
  <c r="I53" i="129"/>
  <c r="U52" i="129"/>
  <c r="V52" i="129" s="1"/>
  <c r="S52" i="129"/>
  <c r="R52" i="129"/>
  <c r="J52" i="129"/>
  <c r="I52" i="129"/>
  <c r="U51" i="129"/>
  <c r="V51" i="129" s="1"/>
  <c r="S51" i="129"/>
  <c r="R51" i="129"/>
  <c r="J51" i="129"/>
  <c r="I51" i="129"/>
  <c r="W51" i="129" s="1"/>
  <c r="U50" i="129"/>
  <c r="V50" i="129" s="1"/>
  <c r="S50" i="129"/>
  <c r="R50" i="129"/>
  <c r="J50" i="129"/>
  <c r="I50" i="129"/>
  <c r="W50" i="129" s="1"/>
  <c r="U49" i="129"/>
  <c r="V49" i="129" s="1"/>
  <c r="S49" i="129"/>
  <c r="R49" i="129"/>
  <c r="J49" i="129"/>
  <c r="I49" i="129"/>
  <c r="W49" i="129" s="1"/>
  <c r="U48" i="129"/>
  <c r="V48" i="129" s="1"/>
  <c r="S48" i="129"/>
  <c r="R48" i="129"/>
  <c r="J48" i="129"/>
  <c r="I48" i="129"/>
  <c r="U47" i="129"/>
  <c r="V47" i="129" s="1"/>
  <c r="S47" i="129"/>
  <c r="R47" i="129"/>
  <c r="J47" i="129"/>
  <c r="I47" i="129"/>
  <c r="W47" i="129" s="1"/>
  <c r="U46" i="129"/>
  <c r="V46" i="129" s="1"/>
  <c r="S46" i="129"/>
  <c r="R46" i="129"/>
  <c r="J46" i="129"/>
  <c r="I46" i="129"/>
  <c r="W46" i="129" s="1"/>
  <c r="S45" i="129"/>
  <c r="R45" i="129"/>
  <c r="J45" i="129"/>
  <c r="I45" i="129"/>
  <c r="U44" i="129"/>
  <c r="V44" i="129" s="1"/>
  <c r="S44" i="129"/>
  <c r="R44" i="129"/>
  <c r="J44" i="129"/>
  <c r="I44" i="129"/>
  <c r="W44" i="129" s="1"/>
  <c r="S43" i="129"/>
  <c r="R43" i="129"/>
  <c r="J43" i="129"/>
  <c r="I43" i="129"/>
  <c r="U42" i="129"/>
  <c r="V42" i="129" s="1"/>
  <c r="S42" i="129"/>
  <c r="R42" i="129"/>
  <c r="J42" i="129"/>
  <c r="U41" i="129"/>
  <c r="V41" i="129" s="1"/>
  <c r="S41" i="129"/>
  <c r="R41" i="129"/>
  <c r="J41" i="129"/>
  <c r="W41" i="129"/>
  <c r="U40" i="129"/>
  <c r="V40" i="129" s="1"/>
  <c r="S40" i="129"/>
  <c r="R40" i="129"/>
  <c r="J40" i="129"/>
  <c r="I40" i="129"/>
  <c r="W40" i="129" s="1"/>
  <c r="U39" i="129"/>
  <c r="V39" i="129" s="1"/>
  <c r="S39" i="129"/>
  <c r="R39" i="129"/>
  <c r="J39" i="129"/>
  <c r="I39" i="129"/>
  <c r="W39" i="129" s="1"/>
  <c r="U38" i="129"/>
  <c r="V38" i="129" s="1"/>
  <c r="S38" i="129"/>
  <c r="R38" i="129"/>
  <c r="J38" i="129"/>
  <c r="I38" i="129"/>
  <c r="U37" i="129"/>
  <c r="V37" i="129" s="1"/>
  <c r="S37" i="129"/>
  <c r="R37" i="129"/>
  <c r="J37" i="129"/>
  <c r="I37" i="129"/>
  <c r="W37" i="129" s="1"/>
  <c r="W36" i="129"/>
  <c r="U36" i="129"/>
  <c r="V36" i="129" s="1"/>
  <c r="S36" i="129"/>
  <c r="R36" i="129"/>
  <c r="J36" i="129"/>
  <c r="I36" i="129"/>
  <c r="U35" i="129"/>
  <c r="V35" i="129" s="1"/>
  <c r="S35" i="129"/>
  <c r="R35" i="129"/>
  <c r="J35" i="129"/>
  <c r="I35" i="129"/>
  <c r="U34" i="129"/>
  <c r="V34" i="129" s="1"/>
  <c r="S34" i="129"/>
  <c r="R34" i="129"/>
  <c r="J34" i="129"/>
  <c r="W34" i="129" s="1"/>
  <c r="I34" i="129"/>
  <c r="U33" i="129"/>
  <c r="V33" i="129" s="1"/>
  <c r="S33" i="129"/>
  <c r="R33" i="129"/>
  <c r="J33" i="129"/>
  <c r="I33" i="129"/>
  <c r="W33" i="129" s="1"/>
  <c r="U32" i="129"/>
  <c r="V32" i="129" s="1"/>
  <c r="S32" i="129"/>
  <c r="R32" i="129"/>
  <c r="J32" i="129"/>
  <c r="I32" i="129"/>
  <c r="W32" i="129" s="1"/>
  <c r="U31" i="129"/>
  <c r="V31" i="129" s="1"/>
  <c r="S31" i="129"/>
  <c r="R31" i="129"/>
  <c r="J31" i="129"/>
  <c r="I31" i="129"/>
  <c r="W31" i="129" s="1"/>
  <c r="U30" i="129"/>
  <c r="V30" i="129" s="1"/>
  <c r="S30" i="129"/>
  <c r="R30" i="129"/>
  <c r="J30" i="129"/>
  <c r="I30" i="129"/>
  <c r="U29" i="129"/>
  <c r="V29" i="129" s="1"/>
  <c r="S29" i="129"/>
  <c r="R29" i="129"/>
  <c r="J29" i="129"/>
  <c r="I29" i="129"/>
  <c r="W29" i="129" s="1"/>
  <c r="W28" i="129"/>
  <c r="U28" i="129"/>
  <c r="V28" i="129" s="1"/>
  <c r="S28" i="129"/>
  <c r="R28" i="129"/>
  <c r="J28" i="129"/>
  <c r="I28" i="129"/>
  <c r="U27" i="129"/>
  <c r="V27" i="129" s="1"/>
  <c r="S27" i="129"/>
  <c r="R27" i="129"/>
  <c r="J27" i="129"/>
  <c r="I27" i="129"/>
  <c r="W27" i="129" s="1"/>
  <c r="BE26" i="129"/>
  <c r="U26" i="129"/>
  <c r="V26" i="129" s="1"/>
  <c r="S26" i="129"/>
  <c r="R26" i="129"/>
  <c r="J26" i="129"/>
  <c r="I26" i="129"/>
  <c r="U25" i="129"/>
  <c r="V25" i="129" s="1"/>
  <c r="S25" i="129"/>
  <c r="R25" i="129"/>
  <c r="J25" i="129"/>
  <c r="I25" i="129"/>
  <c r="W25" i="129" s="1"/>
  <c r="U24" i="129"/>
  <c r="V24" i="129" s="1"/>
  <c r="S24" i="129"/>
  <c r="R24" i="129"/>
  <c r="J24" i="129"/>
  <c r="I24" i="129"/>
  <c r="U23" i="129"/>
  <c r="V23" i="129" s="1"/>
  <c r="S23" i="129"/>
  <c r="R23" i="129"/>
  <c r="J23" i="129"/>
  <c r="I23" i="129"/>
  <c r="U22" i="129"/>
  <c r="V22" i="129" s="1"/>
  <c r="S22" i="129"/>
  <c r="R22" i="129"/>
  <c r="J22" i="129"/>
  <c r="I22" i="129"/>
  <c r="W22" i="129" s="1"/>
  <c r="U21" i="129"/>
  <c r="V21" i="129" s="1"/>
  <c r="S21" i="129"/>
  <c r="R21" i="129"/>
  <c r="J21" i="129"/>
  <c r="I21" i="129"/>
  <c r="W20" i="129"/>
  <c r="V20" i="129"/>
  <c r="U20" i="129"/>
  <c r="S20" i="129"/>
  <c r="R20" i="129"/>
  <c r="J20" i="129"/>
  <c r="I20" i="129"/>
  <c r="U19" i="129"/>
  <c r="V19" i="129" s="1"/>
  <c r="S19" i="129"/>
  <c r="R19" i="129"/>
  <c r="J19" i="129"/>
  <c r="I19" i="129"/>
  <c r="W19" i="129" s="1"/>
  <c r="U18" i="129"/>
  <c r="V18" i="129" s="1"/>
  <c r="S18" i="129"/>
  <c r="R18" i="129"/>
  <c r="J18" i="129"/>
  <c r="I18" i="129"/>
  <c r="U17" i="129"/>
  <c r="V17" i="129" s="1"/>
  <c r="S17" i="129"/>
  <c r="R17" i="129"/>
  <c r="J17" i="129"/>
  <c r="I17" i="129"/>
  <c r="W17" i="129" s="1"/>
  <c r="U16" i="129"/>
  <c r="V16" i="129" s="1"/>
  <c r="S16" i="129"/>
  <c r="R16" i="129"/>
  <c r="J16" i="129"/>
  <c r="I16" i="129"/>
  <c r="W16" i="129" s="1"/>
  <c r="U15" i="129"/>
  <c r="V15" i="129" s="1"/>
  <c r="S15" i="129"/>
  <c r="R15" i="129"/>
  <c r="J15" i="129"/>
  <c r="I15" i="129"/>
  <c r="W14" i="129"/>
  <c r="U14" i="129"/>
  <c r="V14" i="129" s="1"/>
  <c r="S14" i="129"/>
  <c r="R14" i="129"/>
  <c r="J14" i="129"/>
  <c r="I14" i="129"/>
  <c r="U13" i="129"/>
  <c r="V13" i="129" s="1"/>
  <c r="S13" i="129"/>
  <c r="R13" i="129"/>
  <c r="J13" i="129"/>
  <c r="I13" i="129"/>
  <c r="W13" i="129" s="1"/>
  <c r="U12" i="129"/>
  <c r="V12" i="129" s="1"/>
  <c r="S12" i="129"/>
  <c r="R12" i="129"/>
  <c r="J12" i="129"/>
  <c r="I12" i="129"/>
  <c r="U11" i="129"/>
  <c r="V11" i="129" s="1"/>
  <c r="S11" i="129"/>
  <c r="R11" i="129"/>
  <c r="J11" i="129"/>
  <c r="I11" i="129"/>
  <c r="W11" i="129" s="1"/>
  <c r="U10" i="129"/>
  <c r="V10" i="129" s="1"/>
  <c r="S10" i="129"/>
  <c r="R10" i="129"/>
  <c r="J10" i="129"/>
  <c r="I10" i="129"/>
  <c r="W10" i="129" s="1"/>
  <c r="U9" i="129"/>
  <c r="V9" i="129" s="1"/>
  <c r="S9" i="129"/>
  <c r="R9" i="129"/>
  <c r="J9" i="129"/>
  <c r="I9" i="129"/>
  <c r="W9" i="129" s="1"/>
  <c r="A9" i="129"/>
  <c r="A10" i="129" s="1"/>
  <c r="A11" i="129" s="1"/>
  <c r="A12" i="129" s="1"/>
  <c r="A13" i="129" s="1"/>
  <c r="A14" i="129" s="1"/>
  <c r="A15" i="129" s="1"/>
  <c r="A16" i="129" s="1"/>
  <c r="A17" i="129" s="1"/>
  <c r="A18" i="129" s="1"/>
  <c r="A19" i="129" s="1"/>
  <c r="A20" i="129" s="1"/>
  <c r="A21" i="129" s="1"/>
  <c r="A22" i="129" s="1"/>
  <c r="A23" i="129" s="1"/>
  <c r="A24" i="129" s="1"/>
  <c r="A25" i="129" s="1"/>
  <c r="A26" i="129" s="1"/>
  <c r="A27" i="129" s="1"/>
  <c r="A28" i="129" s="1"/>
  <c r="A29" i="129" s="1"/>
  <c r="A30" i="129" s="1"/>
  <c r="A31" i="129" s="1"/>
  <c r="A32" i="129" s="1"/>
  <c r="A33" i="129" s="1"/>
  <c r="A34" i="129" s="1"/>
  <c r="A35" i="129" s="1"/>
  <c r="A36" i="129" s="1"/>
  <c r="A37" i="129" s="1"/>
  <c r="A38" i="129" s="1"/>
  <c r="A39" i="129" s="1"/>
  <c r="A40" i="129" s="1"/>
  <c r="A41" i="129" s="1"/>
  <c r="A42" i="129" s="1"/>
  <c r="A43" i="129" s="1"/>
  <c r="A44" i="129" s="1"/>
  <c r="A45" i="129" s="1"/>
  <c r="A46" i="129" s="1"/>
  <c r="A47" i="129" s="1"/>
  <c r="A48" i="129" s="1"/>
  <c r="A49" i="129" s="1"/>
  <c r="A50" i="129" s="1"/>
  <c r="A51" i="129" s="1"/>
  <c r="A52" i="129" s="1"/>
  <c r="A53" i="129" s="1"/>
  <c r="A54" i="129" s="1"/>
  <c r="A55" i="129" s="1"/>
  <c r="A56" i="129" s="1"/>
  <c r="A57" i="129" s="1"/>
  <c r="A58" i="129" s="1"/>
  <c r="A59" i="129" s="1"/>
  <c r="U8" i="129"/>
  <c r="V8" i="129" s="1"/>
  <c r="S8" i="129"/>
  <c r="R8" i="129"/>
  <c r="J8" i="129"/>
  <c r="I8" i="129"/>
  <c r="W60" i="133" l="1"/>
  <c r="W46" i="132"/>
  <c r="W14" i="132"/>
  <c r="U60" i="132"/>
  <c r="V60" i="132"/>
  <c r="R60" i="132"/>
  <c r="S60" i="132"/>
  <c r="W11" i="132"/>
  <c r="W19" i="132"/>
  <c r="W17" i="132"/>
  <c r="W25" i="132"/>
  <c r="W47" i="132"/>
  <c r="W12" i="132"/>
  <c r="W20" i="132"/>
  <c r="W15" i="132"/>
  <c r="W23" i="132"/>
  <c r="W8" i="132"/>
  <c r="W13" i="132"/>
  <c r="W21" i="132"/>
  <c r="J60" i="132"/>
  <c r="W16" i="132"/>
  <c r="W24" i="132"/>
  <c r="I60" i="132"/>
  <c r="W44" i="131"/>
  <c r="W41" i="131"/>
  <c r="W38" i="131"/>
  <c r="W35" i="131"/>
  <c r="W30" i="131"/>
  <c r="W29" i="131"/>
  <c r="W24" i="131"/>
  <c r="W12" i="131"/>
  <c r="R60" i="131"/>
  <c r="U60" i="131"/>
  <c r="S60" i="131"/>
  <c r="W19" i="131"/>
  <c r="J60" i="131"/>
  <c r="W20" i="131"/>
  <c r="W15" i="131"/>
  <c r="W23" i="131"/>
  <c r="W10" i="131"/>
  <c r="V27" i="131"/>
  <c r="V60" i="131" s="1"/>
  <c r="I14" i="131"/>
  <c r="W14" i="131" s="1"/>
  <c r="W44" i="130"/>
  <c r="W41" i="130"/>
  <c r="W30" i="130"/>
  <c r="W24" i="130"/>
  <c r="W12" i="130"/>
  <c r="S60" i="130"/>
  <c r="R60" i="130"/>
  <c r="U60" i="130"/>
  <c r="J60" i="130"/>
  <c r="W11" i="130"/>
  <c r="W52" i="130"/>
  <c r="W21" i="130"/>
  <c r="W15" i="130"/>
  <c r="W25" i="130"/>
  <c r="W47" i="130"/>
  <c r="W50" i="130"/>
  <c r="W39" i="130"/>
  <c r="W13" i="130"/>
  <c r="W54" i="130"/>
  <c r="W23" i="130"/>
  <c r="V8" i="130"/>
  <c r="V60" i="130" s="1"/>
  <c r="I48" i="130"/>
  <c r="W48" i="130" s="1"/>
  <c r="W42" i="129"/>
  <c r="W38" i="129"/>
  <c r="W30" i="129"/>
  <c r="W26" i="129"/>
  <c r="W24" i="129"/>
  <c r="W21" i="129"/>
  <c r="W18" i="129"/>
  <c r="W12" i="129"/>
  <c r="R60" i="129"/>
  <c r="S60" i="129"/>
  <c r="W52" i="129"/>
  <c r="W35" i="129"/>
  <c r="I60" i="129"/>
  <c r="W53" i="129"/>
  <c r="W8" i="129"/>
  <c r="W23" i="129"/>
  <c r="W54" i="129"/>
  <c r="J60" i="129"/>
  <c r="W15" i="129"/>
  <c r="W48" i="129"/>
  <c r="V60" i="129"/>
  <c r="U60" i="129"/>
  <c r="W8" i="128"/>
  <c r="C44" i="128"/>
  <c r="W60" i="132" l="1"/>
  <c r="W60" i="131"/>
  <c r="I60" i="131"/>
  <c r="W60" i="130"/>
  <c r="I60" i="130"/>
  <c r="W60" i="129"/>
  <c r="Q60" i="128"/>
  <c r="P60" i="128"/>
  <c r="O60" i="128"/>
  <c r="N60" i="128"/>
  <c r="M60" i="128"/>
  <c r="L60" i="128"/>
  <c r="H60" i="128"/>
  <c r="G60" i="128"/>
  <c r="E60" i="128"/>
  <c r="D60" i="128"/>
  <c r="C60" i="128"/>
  <c r="S59" i="128"/>
  <c r="R59" i="128"/>
  <c r="J59" i="128"/>
  <c r="I59" i="128"/>
  <c r="S58" i="128"/>
  <c r="R58" i="128"/>
  <c r="J58" i="128"/>
  <c r="I58" i="128"/>
  <c r="S57" i="128"/>
  <c r="R57" i="128"/>
  <c r="J57" i="128"/>
  <c r="I57" i="128"/>
  <c r="S56" i="128"/>
  <c r="R56" i="128"/>
  <c r="J56" i="128"/>
  <c r="I56" i="128"/>
  <c r="S55" i="128"/>
  <c r="R55" i="128"/>
  <c r="J55" i="128"/>
  <c r="I55" i="128"/>
  <c r="W54" i="128"/>
  <c r="U54" i="128"/>
  <c r="V54" i="128" s="1"/>
  <c r="S54" i="128"/>
  <c r="R54" i="128"/>
  <c r="J54" i="128"/>
  <c r="I54" i="128"/>
  <c r="U53" i="128"/>
  <c r="V53" i="128" s="1"/>
  <c r="S53" i="128"/>
  <c r="R53" i="128"/>
  <c r="J53" i="128"/>
  <c r="I53" i="128"/>
  <c r="U52" i="128"/>
  <c r="V52" i="128" s="1"/>
  <c r="S52" i="128"/>
  <c r="R52" i="128"/>
  <c r="J52" i="128"/>
  <c r="I52" i="128"/>
  <c r="W52" i="128" s="1"/>
  <c r="U51" i="128"/>
  <c r="V51" i="128" s="1"/>
  <c r="S51" i="128"/>
  <c r="R51" i="128"/>
  <c r="J51" i="128"/>
  <c r="I51" i="128"/>
  <c r="U50" i="128"/>
  <c r="V50" i="128" s="1"/>
  <c r="S50" i="128"/>
  <c r="R50" i="128"/>
  <c r="J50" i="128"/>
  <c r="I50" i="128"/>
  <c r="W50" i="128" s="1"/>
  <c r="U49" i="128"/>
  <c r="V49" i="128" s="1"/>
  <c r="S49" i="128"/>
  <c r="R49" i="128"/>
  <c r="J49" i="128"/>
  <c r="I49" i="128"/>
  <c r="W49" i="128" s="1"/>
  <c r="U48" i="128"/>
  <c r="V48" i="128" s="1"/>
  <c r="S48" i="128"/>
  <c r="R48" i="128"/>
  <c r="J48" i="128"/>
  <c r="I48" i="128"/>
  <c r="U47" i="128"/>
  <c r="V47" i="128" s="1"/>
  <c r="S47" i="128"/>
  <c r="R47" i="128"/>
  <c r="J47" i="128"/>
  <c r="I47" i="128"/>
  <c r="W47" i="128" s="1"/>
  <c r="U46" i="128"/>
  <c r="V46" i="128" s="1"/>
  <c r="S46" i="128"/>
  <c r="R46" i="128"/>
  <c r="J46" i="128"/>
  <c r="W46" i="128" s="1"/>
  <c r="I46" i="128"/>
  <c r="S45" i="128"/>
  <c r="R45" i="128"/>
  <c r="J45" i="128"/>
  <c r="I45" i="128"/>
  <c r="U44" i="128"/>
  <c r="V44" i="128" s="1"/>
  <c r="S44" i="128"/>
  <c r="R44" i="128"/>
  <c r="J44" i="128"/>
  <c r="I44" i="128"/>
  <c r="S43" i="128"/>
  <c r="R43" i="128"/>
  <c r="J43" i="128"/>
  <c r="I43" i="128"/>
  <c r="U42" i="128"/>
  <c r="V42" i="128" s="1"/>
  <c r="S42" i="128"/>
  <c r="R42" i="128"/>
  <c r="J42" i="128"/>
  <c r="I42" i="128"/>
  <c r="W42" i="128" s="1"/>
  <c r="U41" i="128"/>
  <c r="V41" i="128" s="1"/>
  <c r="S41" i="128"/>
  <c r="R41" i="128"/>
  <c r="J41" i="128"/>
  <c r="I41" i="128"/>
  <c r="W41" i="128" s="1"/>
  <c r="U40" i="128"/>
  <c r="V40" i="128" s="1"/>
  <c r="S40" i="128"/>
  <c r="R40" i="128"/>
  <c r="J40" i="128"/>
  <c r="I40" i="128"/>
  <c r="W40" i="128" s="1"/>
  <c r="W39" i="128"/>
  <c r="U39" i="128"/>
  <c r="V39" i="128" s="1"/>
  <c r="S39" i="128"/>
  <c r="R39" i="128"/>
  <c r="J39" i="128"/>
  <c r="I39" i="128"/>
  <c r="U38" i="128"/>
  <c r="V38" i="128" s="1"/>
  <c r="S38" i="128"/>
  <c r="R38" i="128"/>
  <c r="J38" i="128"/>
  <c r="I38" i="128"/>
  <c r="W38" i="128" s="1"/>
  <c r="W37" i="128"/>
  <c r="V37" i="128"/>
  <c r="U37" i="128"/>
  <c r="S37" i="128"/>
  <c r="R37" i="128"/>
  <c r="J37" i="128"/>
  <c r="I37" i="128"/>
  <c r="U36" i="128"/>
  <c r="V36" i="128" s="1"/>
  <c r="S36" i="128"/>
  <c r="R36" i="128"/>
  <c r="J36" i="128"/>
  <c r="I36" i="128"/>
  <c r="W36" i="128" s="1"/>
  <c r="V35" i="128"/>
  <c r="U35" i="128"/>
  <c r="S35" i="128"/>
  <c r="R35" i="128"/>
  <c r="J35" i="128"/>
  <c r="I35" i="128"/>
  <c r="U34" i="128"/>
  <c r="V34" i="128" s="1"/>
  <c r="S34" i="128"/>
  <c r="R34" i="128"/>
  <c r="J34" i="128"/>
  <c r="I34" i="128"/>
  <c r="W34" i="128" s="1"/>
  <c r="U33" i="128"/>
  <c r="V33" i="128" s="1"/>
  <c r="S33" i="128"/>
  <c r="R33" i="128"/>
  <c r="J33" i="128"/>
  <c r="I33" i="128"/>
  <c r="W33" i="128" s="1"/>
  <c r="U32" i="128"/>
  <c r="V32" i="128" s="1"/>
  <c r="S32" i="128"/>
  <c r="R32" i="128"/>
  <c r="J32" i="128"/>
  <c r="I32" i="128"/>
  <c r="W32" i="128" s="1"/>
  <c r="U31" i="128"/>
  <c r="V31" i="128" s="1"/>
  <c r="S31" i="128"/>
  <c r="R31" i="128"/>
  <c r="J31" i="128"/>
  <c r="I31" i="128"/>
  <c r="W31" i="128" s="1"/>
  <c r="U30" i="128"/>
  <c r="V30" i="128" s="1"/>
  <c r="S30" i="128"/>
  <c r="R30" i="128"/>
  <c r="J30" i="128"/>
  <c r="I30" i="128"/>
  <c r="W29" i="128"/>
  <c r="U29" i="128"/>
  <c r="V29" i="128" s="1"/>
  <c r="S29" i="128"/>
  <c r="R29" i="128"/>
  <c r="J29" i="128"/>
  <c r="I29" i="128"/>
  <c r="U28" i="128"/>
  <c r="V28" i="128" s="1"/>
  <c r="S28" i="128"/>
  <c r="R28" i="128"/>
  <c r="J28" i="128"/>
  <c r="I28" i="128"/>
  <c r="W28" i="128" s="1"/>
  <c r="U27" i="128"/>
  <c r="V27" i="128" s="1"/>
  <c r="S27" i="128"/>
  <c r="R27" i="128"/>
  <c r="J27" i="128"/>
  <c r="I27" i="128"/>
  <c r="W27" i="128" s="1"/>
  <c r="BE26" i="128"/>
  <c r="U26" i="128"/>
  <c r="V26" i="128" s="1"/>
  <c r="S26" i="128"/>
  <c r="R26" i="128"/>
  <c r="J26" i="128"/>
  <c r="I26" i="128"/>
  <c r="U25" i="128"/>
  <c r="V25" i="128" s="1"/>
  <c r="S25" i="128"/>
  <c r="R25" i="128"/>
  <c r="J25" i="128"/>
  <c r="I25" i="128"/>
  <c r="W25" i="128" s="1"/>
  <c r="U24" i="128"/>
  <c r="V24" i="128" s="1"/>
  <c r="S24" i="128"/>
  <c r="R24" i="128"/>
  <c r="J24" i="128"/>
  <c r="I24" i="128"/>
  <c r="W23" i="128"/>
  <c r="U23" i="128"/>
  <c r="V23" i="128" s="1"/>
  <c r="S23" i="128"/>
  <c r="R23" i="128"/>
  <c r="J23" i="128"/>
  <c r="I23" i="128"/>
  <c r="U22" i="128"/>
  <c r="V22" i="128" s="1"/>
  <c r="S22" i="128"/>
  <c r="R22" i="128"/>
  <c r="J22" i="128"/>
  <c r="I22" i="128"/>
  <c r="W22" i="128" s="1"/>
  <c r="U21" i="128"/>
  <c r="V21" i="128" s="1"/>
  <c r="S21" i="128"/>
  <c r="R21" i="128"/>
  <c r="J21" i="128"/>
  <c r="I21" i="128"/>
  <c r="W21" i="128" s="1"/>
  <c r="U20" i="128"/>
  <c r="V20" i="128" s="1"/>
  <c r="S20" i="128"/>
  <c r="R20" i="128"/>
  <c r="J20" i="128"/>
  <c r="I20" i="128"/>
  <c r="U19" i="128"/>
  <c r="V19" i="128" s="1"/>
  <c r="S19" i="128"/>
  <c r="R19" i="128"/>
  <c r="J19" i="128"/>
  <c r="I19" i="128"/>
  <c r="W19" i="128" s="1"/>
  <c r="U18" i="128"/>
  <c r="V18" i="128" s="1"/>
  <c r="S18" i="128"/>
  <c r="R18" i="128"/>
  <c r="J18" i="128"/>
  <c r="I18" i="128"/>
  <c r="W18" i="128" s="1"/>
  <c r="U17" i="128"/>
  <c r="V17" i="128" s="1"/>
  <c r="S17" i="128"/>
  <c r="R17" i="128"/>
  <c r="J17" i="128"/>
  <c r="I17" i="128"/>
  <c r="W17" i="128" s="1"/>
  <c r="U16" i="128"/>
  <c r="V16" i="128" s="1"/>
  <c r="S16" i="128"/>
  <c r="R16" i="128"/>
  <c r="J16" i="128"/>
  <c r="I16" i="128"/>
  <c r="W16" i="128" s="1"/>
  <c r="U15" i="128"/>
  <c r="V15" i="128" s="1"/>
  <c r="S15" i="128"/>
  <c r="R15" i="128"/>
  <c r="J15" i="128"/>
  <c r="I15" i="128"/>
  <c r="U14" i="128"/>
  <c r="V14" i="128" s="1"/>
  <c r="S14" i="128"/>
  <c r="R14" i="128"/>
  <c r="J14" i="128"/>
  <c r="I14" i="128"/>
  <c r="U13" i="128"/>
  <c r="V13" i="128" s="1"/>
  <c r="S13" i="128"/>
  <c r="R13" i="128"/>
  <c r="J13" i="128"/>
  <c r="I13" i="128"/>
  <c r="U12" i="128"/>
  <c r="V12" i="128" s="1"/>
  <c r="S12" i="128"/>
  <c r="R12" i="128"/>
  <c r="J12" i="128"/>
  <c r="I12" i="128"/>
  <c r="U11" i="128"/>
  <c r="V11" i="128" s="1"/>
  <c r="S11" i="128"/>
  <c r="R11" i="128"/>
  <c r="J11" i="128"/>
  <c r="I11" i="128"/>
  <c r="W11" i="128" s="1"/>
  <c r="U10" i="128"/>
  <c r="V10" i="128" s="1"/>
  <c r="S10" i="128"/>
  <c r="R10" i="128"/>
  <c r="J10" i="128"/>
  <c r="I10" i="128"/>
  <c r="A10" i="128"/>
  <c r="A11" i="128" s="1"/>
  <c r="A12" i="128" s="1"/>
  <c r="A13" i="128" s="1"/>
  <c r="A14" i="128" s="1"/>
  <c r="A15" i="128" s="1"/>
  <c r="A16" i="128" s="1"/>
  <c r="A17" i="128" s="1"/>
  <c r="A18" i="128" s="1"/>
  <c r="A19" i="128" s="1"/>
  <c r="A20" i="128" s="1"/>
  <c r="A21" i="128" s="1"/>
  <c r="A22" i="128" s="1"/>
  <c r="A23" i="128" s="1"/>
  <c r="A24" i="128" s="1"/>
  <c r="A25" i="128" s="1"/>
  <c r="A26" i="128" s="1"/>
  <c r="A27" i="128" s="1"/>
  <c r="A28" i="128" s="1"/>
  <c r="A29" i="128" s="1"/>
  <c r="A30" i="128" s="1"/>
  <c r="A31" i="128" s="1"/>
  <c r="A32" i="128" s="1"/>
  <c r="A33" i="128" s="1"/>
  <c r="A34" i="128" s="1"/>
  <c r="A35" i="128" s="1"/>
  <c r="A36" i="128" s="1"/>
  <c r="A37" i="128" s="1"/>
  <c r="A38" i="128" s="1"/>
  <c r="A39" i="128" s="1"/>
  <c r="A40" i="128" s="1"/>
  <c r="A41" i="128" s="1"/>
  <c r="A42" i="128" s="1"/>
  <c r="A43" i="128" s="1"/>
  <c r="A44" i="128" s="1"/>
  <c r="A45" i="128" s="1"/>
  <c r="A46" i="128" s="1"/>
  <c r="A47" i="128" s="1"/>
  <c r="A48" i="128" s="1"/>
  <c r="A49" i="128" s="1"/>
  <c r="A50" i="128" s="1"/>
  <c r="A51" i="128" s="1"/>
  <c r="A52" i="128" s="1"/>
  <c r="A53" i="128" s="1"/>
  <c r="A54" i="128" s="1"/>
  <c r="A55" i="128" s="1"/>
  <c r="A56" i="128" s="1"/>
  <c r="A57" i="128" s="1"/>
  <c r="A58" i="128" s="1"/>
  <c r="A59" i="128" s="1"/>
  <c r="U9" i="128"/>
  <c r="V9" i="128" s="1"/>
  <c r="S9" i="128"/>
  <c r="R9" i="128"/>
  <c r="J9" i="128"/>
  <c r="I9" i="128"/>
  <c r="A9" i="128"/>
  <c r="U8" i="128"/>
  <c r="V8" i="128" s="1"/>
  <c r="S8" i="128"/>
  <c r="R8" i="128"/>
  <c r="J8" i="128"/>
  <c r="I8" i="128"/>
  <c r="W44" i="128" l="1"/>
  <c r="W35" i="128"/>
  <c r="W30" i="128"/>
  <c r="W24" i="128"/>
  <c r="W20" i="128"/>
  <c r="W15" i="128"/>
  <c r="W14" i="128"/>
  <c r="W13" i="128"/>
  <c r="W9" i="128"/>
  <c r="J60" i="128"/>
  <c r="S60" i="128"/>
  <c r="R60" i="128"/>
  <c r="U60" i="128"/>
  <c r="W10" i="128"/>
  <c r="W53" i="128"/>
  <c r="W26" i="128"/>
  <c r="W48" i="128"/>
  <c r="W51" i="128"/>
  <c r="W12" i="128"/>
  <c r="V60" i="128"/>
  <c r="I60" i="128"/>
  <c r="C48" i="127"/>
  <c r="I48" i="127" s="1"/>
  <c r="W48" i="127" s="1"/>
  <c r="Q60" i="127"/>
  <c r="P60" i="127"/>
  <c r="O60" i="127"/>
  <c r="N60" i="127"/>
  <c r="M60" i="127"/>
  <c r="L60" i="127"/>
  <c r="H60" i="127"/>
  <c r="G60" i="127"/>
  <c r="E60" i="127"/>
  <c r="D60" i="127"/>
  <c r="S59" i="127"/>
  <c r="R59" i="127"/>
  <c r="J59" i="127"/>
  <c r="I59" i="127"/>
  <c r="S58" i="127"/>
  <c r="R58" i="127"/>
  <c r="J58" i="127"/>
  <c r="I58" i="127"/>
  <c r="S57" i="127"/>
  <c r="R57" i="127"/>
  <c r="J57" i="127"/>
  <c r="I57" i="127"/>
  <c r="S56" i="127"/>
  <c r="R56" i="127"/>
  <c r="J56" i="127"/>
  <c r="I56" i="127"/>
  <c r="S55" i="127"/>
  <c r="R55" i="127"/>
  <c r="J55" i="127"/>
  <c r="I55" i="127"/>
  <c r="W54" i="127"/>
  <c r="U54" i="127"/>
  <c r="V54" i="127" s="1"/>
  <c r="S54" i="127"/>
  <c r="R54" i="127"/>
  <c r="J54" i="127"/>
  <c r="I54" i="127"/>
  <c r="U53" i="127"/>
  <c r="V53" i="127" s="1"/>
  <c r="S53" i="127"/>
  <c r="R53" i="127"/>
  <c r="J53" i="127"/>
  <c r="I53" i="127"/>
  <c r="W53" i="127" s="1"/>
  <c r="U52" i="127"/>
  <c r="V52" i="127" s="1"/>
  <c r="S52" i="127"/>
  <c r="R52" i="127"/>
  <c r="J52" i="127"/>
  <c r="I52" i="127"/>
  <c r="W52" i="127" s="1"/>
  <c r="U51" i="127"/>
  <c r="V51" i="127" s="1"/>
  <c r="S51" i="127"/>
  <c r="R51" i="127"/>
  <c r="J51" i="127"/>
  <c r="I51" i="127"/>
  <c r="W51" i="127" s="1"/>
  <c r="U50" i="127"/>
  <c r="V50" i="127" s="1"/>
  <c r="S50" i="127"/>
  <c r="R50" i="127"/>
  <c r="J50" i="127"/>
  <c r="I50" i="127"/>
  <c r="W50" i="127" s="1"/>
  <c r="U49" i="127"/>
  <c r="V49" i="127" s="1"/>
  <c r="S49" i="127"/>
  <c r="R49" i="127"/>
  <c r="J49" i="127"/>
  <c r="I49" i="127"/>
  <c r="W49" i="127" s="1"/>
  <c r="U48" i="127"/>
  <c r="V48" i="127" s="1"/>
  <c r="S48" i="127"/>
  <c r="R48" i="127"/>
  <c r="J48" i="127"/>
  <c r="U47" i="127"/>
  <c r="V47" i="127" s="1"/>
  <c r="S47" i="127"/>
  <c r="R47" i="127"/>
  <c r="J47" i="127"/>
  <c r="W47" i="127" s="1"/>
  <c r="I47" i="127"/>
  <c r="W46" i="127"/>
  <c r="U46" i="127"/>
  <c r="V46" i="127" s="1"/>
  <c r="S46" i="127"/>
  <c r="R46" i="127"/>
  <c r="J46" i="127"/>
  <c r="I46" i="127"/>
  <c r="S45" i="127"/>
  <c r="R45" i="127"/>
  <c r="J45" i="127"/>
  <c r="I45" i="127"/>
  <c r="U44" i="127"/>
  <c r="V44" i="127" s="1"/>
  <c r="S44" i="127"/>
  <c r="R44" i="127"/>
  <c r="J44" i="127"/>
  <c r="I44" i="127"/>
  <c r="S43" i="127"/>
  <c r="R43" i="127"/>
  <c r="J43" i="127"/>
  <c r="I43" i="127"/>
  <c r="U42" i="127"/>
  <c r="V42" i="127" s="1"/>
  <c r="S42" i="127"/>
  <c r="R42" i="127"/>
  <c r="J42" i="127"/>
  <c r="I42" i="127"/>
  <c r="W42" i="127" s="1"/>
  <c r="U41" i="127"/>
  <c r="V41" i="127" s="1"/>
  <c r="S41" i="127"/>
  <c r="R41" i="127"/>
  <c r="J41" i="127"/>
  <c r="I41" i="127"/>
  <c r="W40" i="127"/>
  <c r="U40" i="127"/>
  <c r="V40" i="127" s="1"/>
  <c r="S40" i="127"/>
  <c r="R40" i="127"/>
  <c r="J40" i="127"/>
  <c r="I40" i="127"/>
  <c r="U39" i="127"/>
  <c r="V39" i="127" s="1"/>
  <c r="S39" i="127"/>
  <c r="R39" i="127"/>
  <c r="J39" i="127"/>
  <c r="I39" i="127"/>
  <c r="W39" i="127" s="1"/>
  <c r="U38" i="127"/>
  <c r="V38" i="127" s="1"/>
  <c r="S38" i="127"/>
  <c r="R38" i="127"/>
  <c r="J38" i="127"/>
  <c r="I38" i="127"/>
  <c r="U37" i="127"/>
  <c r="V37" i="127" s="1"/>
  <c r="S37" i="127"/>
  <c r="R37" i="127"/>
  <c r="J37" i="127"/>
  <c r="I37" i="127"/>
  <c r="W37" i="127" s="1"/>
  <c r="W36" i="127"/>
  <c r="U36" i="127"/>
  <c r="V36" i="127" s="1"/>
  <c r="S36" i="127"/>
  <c r="R36" i="127"/>
  <c r="J36" i="127"/>
  <c r="I36" i="127"/>
  <c r="U35" i="127"/>
  <c r="V35" i="127" s="1"/>
  <c r="S35" i="127"/>
  <c r="R35" i="127"/>
  <c r="J35" i="127"/>
  <c r="I35" i="127"/>
  <c r="U34" i="127"/>
  <c r="V34" i="127" s="1"/>
  <c r="S34" i="127"/>
  <c r="R34" i="127"/>
  <c r="J34" i="127"/>
  <c r="I34" i="127"/>
  <c r="W34" i="127" s="1"/>
  <c r="W33" i="127"/>
  <c r="U33" i="127"/>
  <c r="V33" i="127" s="1"/>
  <c r="S33" i="127"/>
  <c r="R33" i="127"/>
  <c r="J33" i="127"/>
  <c r="I33" i="127"/>
  <c r="U32" i="127"/>
  <c r="V32" i="127" s="1"/>
  <c r="S32" i="127"/>
  <c r="R32" i="127"/>
  <c r="J32" i="127"/>
  <c r="I32" i="127"/>
  <c r="W32" i="127" s="1"/>
  <c r="U31" i="127"/>
  <c r="V31" i="127" s="1"/>
  <c r="S31" i="127"/>
  <c r="R31" i="127"/>
  <c r="J31" i="127"/>
  <c r="I31" i="127"/>
  <c r="W31" i="127" s="1"/>
  <c r="U30" i="127"/>
  <c r="V30" i="127" s="1"/>
  <c r="S30" i="127"/>
  <c r="R30" i="127"/>
  <c r="J30" i="127"/>
  <c r="I30" i="127"/>
  <c r="U29" i="127"/>
  <c r="V29" i="127" s="1"/>
  <c r="S29" i="127"/>
  <c r="R29" i="127"/>
  <c r="J29" i="127"/>
  <c r="I29" i="127"/>
  <c r="W29" i="127" s="1"/>
  <c r="W28" i="127"/>
  <c r="V28" i="127"/>
  <c r="U28" i="127"/>
  <c r="S28" i="127"/>
  <c r="R28" i="127"/>
  <c r="J28" i="127"/>
  <c r="I28" i="127"/>
  <c r="U27" i="127"/>
  <c r="V27" i="127" s="1"/>
  <c r="S27" i="127"/>
  <c r="R27" i="127"/>
  <c r="J27" i="127"/>
  <c r="I27" i="127"/>
  <c r="W27" i="127" s="1"/>
  <c r="BE26" i="127"/>
  <c r="U26" i="127"/>
  <c r="V26" i="127" s="1"/>
  <c r="S26" i="127"/>
  <c r="R26" i="127"/>
  <c r="J26" i="127"/>
  <c r="I26" i="127"/>
  <c r="U25" i="127"/>
  <c r="V25" i="127" s="1"/>
  <c r="S25" i="127"/>
  <c r="R25" i="127"/>
  <c r="J25" i="127"/>
  <c r="I25" i="127"/>
  <c r="W25" i="127" s="1"/>
  <c r="U24" i="127"/>
  <c r="V24" i="127" s="1"/>
  <c r="S24" i="127"/>
  <c r="R24" i="127"/>
  <c r="J24" i="127"/>
  <c r="I24" i="127"/>
  <c r="W24" i="127" s="1"/>
  <c r="V23" i="127"/>
  <c r="U23" i="127"/>
  <c r="S23" i="127"/>
  <c r="R23" i="127"/>
  <c r="J23" i="127"/>
  <c r="I23" i="127"/>
  <c r="U22" i="127"/>
  <c r="V22" i="127" s="1"/>
  <c r="S22" i="127"/>
  <c r="R22" i="127"/>
  <c r="J22" i="127"/>
  <c r="I22" i="127"/>
  <c r="U21" i="127"/>
  <c r="V21" i="127" s="1"/>
  <c r="S21" i="127"/>
  <c r="R21" i="127"/>
  <c r="J21" i="127"/>
  <c r="I21" i="127"/>
  <c r="U20" i="127"/>
  <c r="V20" i="127" s="1"/>
  <c r="S20" i="127"/>
  <c r="R20" i="127"/>
  <c r="J20" i="127"/>
  <c r="I20" i="127"/>
  <c r="W19" i="127"/>
  <c r="U19" i="127"/>
  <c r="V19" i="127" s="1"/>
  <c r="S19" i="127"/>
  <c r="R19" i="127"/>
  <c r="J19" i="127"/>
  <c r="I19" i="127"/>
  <c r="U18" i="127"/>
  <c r="V18" i="127" s="1"/>
  <c r="S18" i="127"/>
  <c r="R18" i="127"/>
  <c r="J18" i="127"/>
  <c r="I18" i="127"/>
  <c r="W18" i="127" s="1"/>
  <c r="W17" i="127"/>
  <c r="U17" i="127"/>
  <c r="V17" i="127" s="1"/>
  <c r="S17" i="127"/>
  <c r="R17" i="127"/>
  <c r="J17" i="127"/>
  <c r="I17" i="127"/>
  <c r="U16" i="127"/>
  <c r="V16" i="127" s="1"/>
  <c r="S16" i="127"/>
  <c r="R16" i="127"/>
  <c r="J16" i="127"/>
  <c r="I16" i="127"/>
  <c r="W16" i="127" s="1"/>
  <c r="U15" i="127"/>
  <c r="V15" i="127" s="1"/>
  <c r="S15" i="127"/>
  <c r="R15" i="127"/>
  <c r="J15" i="127"/>
  <c r="I15" i="127"/>
  <c r="U14" i="127"/>
  <c r="V14" i="127" s="1"/>
  <c r="S14" i="127"/>
  <c r="R14" i="127"/>
  <c r="J14" i="127"/>
  <c r="I14" i="127"/>
  <c r="U13" i="127"/>
  <c r="V13" i="127" s="1"/>
  <c r="S13" i="127"/>
  <c r="R13" i="127"/>
  <c r="J13" i="127"/>
  <c r="I13" i="127"/>
  <c r="W13" i="127" s="1"/>
  <c r="U12" i="127"/>
  <c r="V12" i="127" s="1"/>
  <c r="S12" i="127"/>
  <c r="R12" i="127"/>
  <c r="J12" i="127"/>
  <c r="I12" i="127"/>
  <c r="U11" i="127"/>
  <c r="V11" i="127" s="1"/>
  <c r="S11" i="127"/>
  <c r="R11" i="127"/>
  <c r="J11" i="127"/>
  <c r="I11" i="127"/>
  <c r="W11" i="127" s="1"/>
  <c r="U10" i="127"/>
  <c r="V10" i="127" s="1"/>
  <c r="S10" i="127"/>
  <c r="R10" i="127"/>
  <c r="J10" i="127"/>
  <c r="I10" i="127"/>
  <c r="W10" i="127" s="1"/>
  <c r="U9" i="127"/>
  <c r="V9" i="127" s="1"/>
  <c r="S9" i="127"/>
  <c r="R9" i="127"/>
  <c r="J9" i="127"/>
  <c r="I9" i="127"/>
  <c r="W9" i="127" s="1"/>
  <c r="A9" i="127"/>
  <c r="A10" i="127" s="1"/>
  <c r="A11" i="127" s="1"/>
  <c r="A12" i="127" s="1"/>
  <c r="A13" i="127" s="1"/>
  <c r="A14" i="127" s="1"/>
  <c r="A15" i="127" s="1"/>
  <c r="A16" i="127" s="1"/>
  <c r="A17" i="127" s="1"/>
  <c r="A18" i="127" s="1"/>
  <c r="A19" i="127" s="1"/>
  <c r="A20" i="127" s="1"/>
  <c r="A21" i="127" s="1"/>
  <c r="A22" i="127" s="1"/>
  <c r="A23" i="127" s="1"/>
  <c r="A24" i="127" s="1"/>
  <c r="A25" i="127" s="1"/>
  <c r="A26" i="127" s="1"/>
  <c r="A27" i="127" s="1"/>
  <c r="A28" i="127" s="1"/>
  <c r="A29" i="127" s="1"/>
  <c r="A30" i="127" s="1"/>
  <c r="A31" i="127" s="1"/>
  <c r="A32" i="127" s="1"/>
  <c r="A33" i="127" s="1"/>
  <c r="A34" i="127" s="1"/>
  <c r="A35" i="127" s="1"/>
  <c r="A36" i="127" s="1"/>
  <c r="A37" i="127" s="1"/>
  <c r="A38" i="127" s="1"/>
  <c r="A39" i="127" s="1"/>
  <c r="A40" i="127" s="1"/>
  <c r="A41" i="127" s="1"/>
  <c r="A42" i="127" s="1"/>
  <c r="A43" i="127" s="1"/>
  <c r="A44" i="127" s="1"/>
  <c r="A45" i="127" s="1"/>
  <c r="A46" i="127" s="1"/>
  <c r="A47" i="127" s="1"/>
  <c r="A48" i="127" s="1"/>
  <c r="A49" i="127" s="1"/>
  <c r="A50" i="127" s="1"/>
  <c r="A51" i="127" s="1"/>
  <c r="A52" i="127" s="1"/>
  <c r="A53" i="127" s="1"/>
  <c r="A54" i="127" s="1"/>
  <c r="A55" i="127" s="1"/>
  <c r="A56" i="127" s="1"/>
  <c r="A57" i="127" s="1"/>
  <c r="A58" i="127" s="1"/>
  <c r="A59" i="127" s="1"/>
  <c r="U8" i="127"/>
  <c r="S8" i="127"/>
  <c r="R8" i="127"/>
  <c r="J8" i="127"/>
  <c r="I8" i="127"/>
  <c r="W60" i="128" l="1"/>
  <c r="C60" i="127"/>
  <c r="W44" i="127"/>
  <c r="W41" i="127"/>
  <c r="W38" i="127"/>
  <c r="W35" i="127"/>
  <c r="W30" i="127"/>
  <c r="W26" i="127"/>
  <c r="W23" i="127"/>
  <c r="W22" i="127"/>
  <c r="W21" i="127"/>
  <c r="W20" i="127"/>
  <c r="W15" i="127"/>
  <c r="W14" i="127"/>
  <c r="W12" i="127"/>
  <c r="I60" i="127"/>
  <c r="W8" i="127"/>
  <c r="U60" i="127"/>
  <c r="S60" i="127"/>
  <c r="R60" i="127"/>
  <c r="J60" i="127"/>
  <c r="V8" i="127"/>
  <c r="V60" i="127" s="1"/>
  <c r="Q60" i="126"/>
  <c r="P60" i="126"/>
  <c r="O60" i="126"/>
  <c r="N60" i="126"/>
  <c r="M60" i="126"/>
  <c r="L60" i="126"/>
  <c r="H60" i="126"/>
  <c r="G60" i="126"/>
  <c r="E60" i="126"/>
  <c r="D60" i="126"/>
  <c r="C60" i="126"/>
  <c r="S59" i="126"/>
  <c r="R59" i="126"/>
  <c r="J59" i="126"/>
  <c r="I59" i="126"/>
  <c r="S58" i="126"/>
  <c r="R58" i="126"/>
  <c r="J58" i="126"/>
  <c r="I58" i="126"/>
  <c r="S57" i="126"/>
  <c r="R57" i="126"/>
  <c r="J57" i="126"/>
  <c r="I57" i="126"/>
  <c r="S56" i="126"/>
  <c r="R56" i="126"/>
  <c r="J56" i="126"/>
  <c r="I56" i="126"/>
  <c r="S55" i="126"/>
  <c r="R55" i="126"/>
  <c r="J55" i="126"/>
  <c r="I55" i="126"/>
  <c r="U54" i="126"/>
  <c r="V54" i="126" s="1"/>
  <c r="S54" i="126"/>
  <c r="R54" i="126"/>
  <c r="J54" i="126"/>
  <c r="I54" i="126"/>
  <c r="V53" i="126"/>
  <c r="U53" i="126"/>
  <c r="S53" i="126"/>
  <c r="R53" i="126"/>
  <c r="J53" i="126"/>
  <c r="I53" i="126"/>
  <c r="W53" i="126" s="1"/>
  <c r="U52" i="126"/>
  <c r="V52" i="126" s="1"/>
  <c r="S52" i="126"/>
  <c r="R52" i="126"/>
  <c r="J52" i="126"/>
  <c r="I52" i="126"/>
  <c r="V51" i="126"/>
  <c r="U51" i="126"/>
  <c r="S51" i="126"/>
  <c r="R51" i="126"/>
  <c r="J51" i="126"/>
  <c r="I51" i="126"/>
  <c r="W51" i="126" s="1"/>
  <c r="U50" i="126"/>
  <c r="V50" i="126" s="1"/>
  <c r="S50" i="126"/>
  <c r="R50" i="126"/>
  <c r="J50" i="126"/>
  <c r="I50" i="126"/>
  <c r="U49" i="126"/>
  <c r="V49" i="126" s="1"/>
  <c r="S49" i="126"/>
  <c r="R49" i="126"/>
  <c r="J49" i="126"/>
  <c r="I49" i="126"/>
  <c r="U48" i="126"/>
  <c r="V48" i="126" s="1"/>
  <c r="S48" i="126"/>
  <c r="R48" i="126"/>
  <c r="J48" i="126"/>
  <c r="I48" i="126"/>
  <c r="U47" i="126"/>
  <c r="V47" i="126" s="1"/>
  <c r="S47" i="126"/>
  <c r="R47" i="126"/>
  <c r="J47" i="126"/>
  <c r="W47" i="126" s="1"/>
  <c r="I47" i="126"/>
  <c r="U46" i="126"/>
  <c r="V46" i="126" s="1"/>
  <c r="S46" i="126"/>
  <c r="R46" i="126"/>
  <c r="J46" i="126"/>
  <c r="W46" i="126" s="1"/>
  <c r="I46" i="126"/>
  <c r="S45" i="126"/>
  <c r="R45" i="126"/>
  <c r="J45" i="126"/>
  <c r="I45" i="126"/>
  <c r="U44" i="126"/>
  <c r="V44" i="126" s="1"/>
  <c r="S44" i="126"/>
  <c r="R44" i="126"/>
  <c r="J44" i="126"/>
  <c r="I44" i="126"/>
  <c r="W44" i="126" s="1"/>
  <c r="S43" i="126"/>
  <c r="R43" i="126"/>
  <c r="J43" i="126"/>
  <c r="I43" i="126"/>
  <c r="U42" i="126"/>
  <c r="V42" i="126" s="1"/>
  <c r="S42" i="126"/>
  <c r="R42" i="126"/>
  <c r="J42" i="126"/>
  <c r="I42" i="126"/>
  <c r="W42" i="126" s="1"/>
  <c r="U41" i="126"/>
  <c r="V41" i="126" s="1"/>
  <c r="S41" i="126"/>
  <c r="R41" i="126"/>
  <c r="J41" i="126"/>
  <c r="I41" i="126"/>
  <c r="U40" i="126"/>
  <c r="V40" i="126" s="1"/>
  <c r="S40" i="126"/>
  <c r="R40" i="126"/>
  <c r="J40" i="126"/>
  <c r="I40" i="126"/>
  <c r="W40" i="126" s="1"/>
  <c r="U39" i="126"/>
  <c r="V39" i="126" s="1"/>
  <c r="S39" i="126"/>
  <c r="R39" i="126"/>
  <c r="J39" i="126"/>
  <c r="I39" i="126"/>
  <c r="U38" i="126"/>
  <c r="V38" i="126" s="1"/>
  <c r="S38" i="126"/>
  <c r="R38" i="126"/>
  <c r="J38" i="126"/>
  <c r="I38" i="126"/>
  <c r="W38" i="126" s="1"/>
  <c r="U37" i="126"/>
  <c r="V37" i="126" s="1"/>
  <c r="S37" i="126"/>
  <c r="R37" i="126"/>
  <c r="J37" i="126"/>
  <c r="I37" i="126"/>
  <c r="V36" i="126"/>
  <c r="U36" i="126"/>
  <c r="S36" i="126"/>
  <c r="R36" i="126"/>
  <c r="J36" i="126"/>
  <c r="I36" i="126"/>
  <c r="W36" i="126" s="1"/>
  <c r="U35" i="126"/>
  <c r="V35" i="126" s="1"/>
  <c r="S35" i="126"/>
  <c r="R35" i="126"/>
  <c r="J35" i="126"/>
  <c r="I35" i="126"/>
  <c r="U34" i="126"/>
  <c r="V34" i="126" s="1"/>
  <c r="S34" i="126"/>
  <c r="R34" i="126"/>
  <c r="J34" i="126"/>
  <c r="I34" i="126"/>
  <c r="U33" i="126"/>
  <c r="V33" i="126" s="1"/>
  <c r="S33" i="126"/>
  <c r="R33" i="126"/>
  <c r="J33" i="126"/>
  <c r="I33" i="126"/>
  <c r="V32" i="126"/>
  <c r="U32" i="126"/>
  <c r="S32" i="126"/>
  <c r="R32" i="126"/>
  <c r="J32" i="126"/>
  <c r="I32" i="126"/>
  <c r="W32" i="126" s="1"/>
  <c r="U31" i="126"/>
  <c r="V31" i="126" s="1"/>
  <c r="S31" i="126"/>
  <c r="R31" i="126"/>
  <c r="J31" i="126"/>
  <c r="I31" i="126"/>
  <c r="U30" i="126"/>
  <c r="V30" i="126" s="1"/>
  <c r="S30" i="126"/>
  <c r="R30" i="126"/>
  <c r="J30" i="126"/>
  <c r="I30" i="126"/>
  <c r="U29" i="126"/>
  <c r="V29" i="126" s="1"/>
  <c r="S29" i="126"/>
  <c r="R29" i="126"/>
  <c r="J29" i="126"/>
  <c r="I29" i="126"/>
  <c r="U28" i="126"/>
  <c r="V28" i="126" s="1"/>
  <c r="S28" i="126"/>
  <c r="R28" i="126"/>
  <c r="J28" i="126"/>
  <c r="I28" i="126"/>
  <c r="U27" i="126"/>
  <c r="V27" i="126" s="1"/>
  <c r="S27" i="126"/>
  <c r="R27" i="126"/>
  <c r="J27" i="126"/>
  <c r="W27" i="126" s="1"/>
  <c r="I27" i="126"/>
  <c r="BE26" i="126"/>
  <c r="U26" i="126"/>
  <c r="V26" i="126" s="1"/>
  <c r="S26" i="126"/>
  <c r="R26" i="126"/>
  <c r="J26" i="126"/>
  <c r="I26" i="126"/>
  <c r="U25" i="126"/>
  <c r="V25" i="126" s="1"/>
  <c r="S25" i="126"/>
  <c r="R25" i="126"/>
  <c r="J25" i="126"/>
  <c r="I25" i="126"/>
  <c r="U24" i="126"/>
  <c r="V24" i="126" s="1"/>
  <c r="S24" i="126"/>
  <c r="R24" i="126"/>
  <c r="J24" i="126"/>
  <c r="I24" i="126"/>
  <c r="W24" i="126" s="1"/>
  <c r="U23" i="126"/>
  <c r="V23" i="126" s="1"/>
  <c r="S23" i="126"/>
  <c r="R23" i="126"/>
  <c r="J23" i="126"/>
  <c r="I23" i="126"/>
  <c r="U22" i="126"/>
  <c r="V22" i="126" s="1"/>
  <c r="S22" i="126"/>
  <c r="R22" i="126"/>
  <c r="J22" i="126"/>
  <c r="I22" i="126"/>
  <c r="W22" i="126" s="1"/>
  <c r="U21" i="126"/>
  <c r="V21" i="126" s="1"/>
  <c r="S21" i="126"/>
  <c r="R21" i="126"/>
  <c r="J21" i="126"/>
  <c r="I21" i="126"/>
  <c r="W21" i="126" s="1"/>
  <c r="U20" i="126"/>
  <c r="V20" i="126" s="1"/>
  <c r="S20" i="126"/>
  <c r="R20" i="126"/>
  <c r="J20" i="126"/>
  <c r="I20" i="126"/>
  <c r="W20" i="126" s="1"/>
  <c r="U19" i="126"/>
  <c r="V19" i="126" s="1"/>
  <c r="S19" i="126"/>
  <c r="R19" i="126"/>
  <c r="J19" i="126"/>
  <c r="I19" i="126"/>
  <c r="W19" i="126" s="1"/>
  <c r="U18" i="126"/>
  <c r="V18" i="126" s="1"/>
  <c r="S18" i="126"/>
  <c r="R18" i="126"/>
  <c r="J18" i="126"/>
  <c r="I18" i="126"/>
  <c r="W18" i="126" s="1"/>
  <c r="U17" i="126"/>
  <c r="V17" i="126" s="1"/>
  <c r="S17" i="126"/>
  <c r="R17" i="126"/>
  <c r="J17" i="126"/>
  <c r="I17" i="126"/>
  <c r="W17" i="126" s="1"/>
  <c r="W16" i="126"/>
  <c r="U16" i="126"/>
  <c r="V16" i="126" s="1"/>
  <c r="S16" i="126"/>
  <c r="R16" i="126"/>
  <c r="J16" i="126"/>
  <c r="I16" i="126"/>
  <c r="U15" i="126"/>
  <c r="V15" i="126" s="1"/>
  <c r="S15" i="126"/>
  <c r="R15" i="126"/>
  <c r="J15" i="126"/>
  <c r="I15" i="126"/>
  <c r="W15" i="126" s="1"/>
  <c r="U14" i="126"/>
  <c r="V14" i="126" s="1"/>
  <c r="S14" i="126"/>
  <c r="R14" i="126"/>
  <c r="J14" i="126"/>
  <c r="I14" i="126"/>
  <c r="U13" i="126"/>
  <c r="V13" i="126" s="1"/>
  <c r="S13" i="126"/>
  <c r="R13" i="126"/>
  <c r="J13" i="126"/>
  <c r="I13" i="126"/>
  <c r="U12" i="126"/>
  <c r="V12" i="126" s="1"/>
  <c r="S12" i="126"/>
  <c r="R12" i="126"/>
  <c r="J12" i="126"/>
  <c r="I12" i="126"/>
  <c r="U11" i="126"/>
  <c r="V11" i="126" s="1"/>
  <c r="S11" i="126"/>
  <c r="R11" i="126"/>
  <c r="J11" i="126"/>
  <c r="I11" i="126"/>
  <c r="W11" i="126" s="1"/>
  <c r="U10" i="126"/>
  <c r="V10" i="126" s="1"/>
  <c r="S10" i="126"/>
  <c r="R10" i="126"/>
  <c r="J10" i="126"/>
  <c r="I10" i="126"/>
  <c r="W10" i="126" s="1"/>
  <c r="U9" i="126"/>
  <c r="V9" i="126" s="1"/>
  <c r="S9" i="126"/>
  <c r="R9" i="126"/>
  <c r="J9" i="126"/>
  <c r="I9" i="126"/>
  <c r="W9" i="126" s="1"/>
  <c r="A9" i="126"/>
  <c r="A10" i="126" s="1"/>
  <c r="A11" i="126" s="1"/>
  <c r="A12" i="126" s="1"/>
  <c r="A13" i="126" s="1"/>
  <c r="A14" i="126" s="1"/>
  <c r="A15" i="126" s="1"/>
  <c r="A16" i="126" s="1"/>
  <c r="A17" i="126" s="1"/>
  <c r="A18" i="126" s="1"/>
  <c r="A19" i="126" s="1"/>
  <c r="A20" i="126" s="1"/>
  <c r="A21" i="126" s="1"/>
  <c r="A22" i="126" s="1"/>
  <c r="A23" i="126" s="1"/>
  <c r="A24" i="126" s="1"/>
  <c r="A25" i="126" s="1"/>
  <c r="A26" i="126" s="1"/>
  <c r="A27" i="126" s="1"/>
  <c r="A28" i="126" s="1"/>
  <c r="A29" i="126" s="1"/>
  <c r="A30" i="126" s="1"/>
  <c r="A31" i="126" s="1"/>
  <c r="A32" i="126" s="1"/>
  <c r="A33" i="126" s="1"/>
  <c r="A34" i="126" s="1"/>
  <c r="A35" i="126" s="1"/>
  <c r="A36" i="126" s="1"/>
  <c r="A37" i="126" s="1"/>
  <c r="A38" i="126" s="1"/>
  <c r="A39" i="126" s="1"/>
  <c r="A40" i="126" s="1"/>
  <c r="A41" i="126" s="1"/>
  <c r="A42" i="126" s="1"/>
  <c r="A43" i="126" s="1"/>
  <c r="A44" i="126" s="1"/>
  <c r="A45" i="126" s="1"/>
  <c r="A46" i="126" s="1"/>
  <c r="A47" i="126" s="1"/>
  <c r="A48" i="126" s="1"/>
  <c r="A49" i="126" s="1"/>
  <c r="A50" i="126" s="1"/>
  <c r="A51" i="126" s="1"/>
  <c r="A52" i="126" s="1"/>
  <c r="A53" i="126" s="1"/>
  <c r="A54" i="126" s="1"/>
  <c r="A55" i="126" s="1"/>
  <c r="A56" i="126" s="1"/>
  <c r="A57" i="126" s="1"/>
  <c r="A58" i="126" s="1"/>
  <c r="A59" i="126" s="1"/>
  <c r="U8" i="126"/>
  <c r="V8" i="126" s="1"/>
  <c r="S8" i="126"/>
  <c r="R8" i="126"/>
  <c r="J8" i="126"/>
  <c r="I8" i="126"/>
  <c r="W8" i="126" s="1"/>
  <c r="W60" i="127" l="1"/>
  <c r="W54" i="126"/>
  <c r="W48" i="126"/>
  <c r="R60" i="126"/>
  <c r="W31" i="126"/>
  <c r="W26" i="126"/>
  <c r="W23" i="126"/>
  <c r="W14" i="126"/>
  <c r="W13" i="126"/>
  <c r="W12" i="126"/>
  <c r="S60" i="126"/>
  <c r="U60" i="126"/>
  <c r="W37" i="126"/>
  <c r="W41" i="126"/>
  <c r="W30" i="126"/>
  <c r="W52" i="126"/>
  <c r="W50" i="126"/>
  <c r="W33" i="126"/>
  <c r="W39" i="126"/>
  <c r="W29" i="126"/>
  <c r="W25" i="126"/>
  <c r="I60" i="126"/>
  <c r="W28" i="126"/>
  <c r="W49" i="126"/>
  <c r="W35" i="126"/>
  <c r="J60" i="126"/>
  <c r="W34" i="126"/>
  <c r="V60" i="126"/>
  <c r="Q60" i="125"/>
  <c r="P60" i="125"/>
  <c r="O60" i="125"/>
  <c r="N60" i="125"/>
  <c r="M60" i="125"/>
  <c r="L60" i="125"/>
  <c r="H60" i="125"/>
  <c r="G60" i="125"/>
  <c r="E60" i="125"/>
  <c r="D60" i="125"/>
  <c r="S59" i="125"/>
  <c r="R59" i="125"/>
  <c r="J59" i="125"/>
  <c r="I59" i="125"/>
  <c r="S58" i="125"/>
  <c r="R58" i="125"/>
  <c r="J58" i="125"/>
  <c r="I58" i="125"/>
  <c r="S57" i="125"/>
  <c r="R57" i="125"/>
  <c r="J57" i="125"/>
  <c r="I57" i="125"/>
  <c r="S56" i="125"/>
  <c r="R56" i="125"/>
  <c r="J56" i="125"/>
  <c r="I56" i="125"/>
  <c r="S55" i="125"/>
  <c r="R55" i="125"/>
  <c r="J55" i="125"/>
  <c r="I55" i="125"/>
  <c r="U54" i="125"/>
  <c r="V54" i="125" s="1"/>
  <c r="S54" i="125"/>
  <c r="R54" i="125"/>
  <c r="J54" i="125"/>
  <c r="I54" i="125"/>
  <c r="U53" i="125"/>
  <c r="V53" i="125" s="1"/>
  <c r="S53" i="125"/>
  <c r="R53" i="125"/>
  <c r="J53" i="125"/>
  <c r="I53" i="125"/>
  <c r="U52" i="125"/>
  <c r="V52" i="125" s="1"/>
  <c r="S52" i="125"/>
  <c r="R52" i="125"/>
  <c r="J52" i="125"/>
  <c r="I52" i="125"/>
  <c r="U51" i="125"/>
  <c r="V51" i="125" s="1"/>
  <c r="S51" i="125"/>
  <c r="R51" i="125"/>
  <c r="J51" i="125"/>
  <c r="I51" i="125"/>
  <c r="W51" i="125" s="1"/>
  <c r="U50" i="125"/>
  <c r="V50" i="125" s="1"/>
  <c r="S50" i="125"/>
  <c r="R50" i="125"/>
  <c r="J50" i="125"/>
  <c r="W50" i="125" s="1"/>
  <c r="I50" i="125"/>
  <c r="U49" i="125"/>
  <c r="V49" i="125" s="1"/>
  <c r="S49" i="125"/>
  <c r="R49" i="125"/>
  <c r="J49" i="125"/>
  <c r="I49" i="125"/>
  <c r="U48" i="125"/>
  <c r="V48" i="125" s="1"/>
  <c r="S48" i="125"/>
  <c r="R48" i="125"/>
  <c r="J48" i="125"/>
  <c r="I48" i="125"/>
  <c r="U47" i="125"/>
  <c r="V47" i="125" s="1"/>
  <c r="S47" i="125"/>
  <c r="R47" i="125"/>
  <c r="J47" i="125"/>
  <c r="I47" i="125"/>
  <c r="U46" i="125"/>
  <c r="V46" i="125" s="1"/>
  <c r="S46" i="125"/>
  <c r="R46" i="125"/>
  <c r="J46" i="125"/>
  <c r="I46" i="125"/>
  <c r="S45" i="125"/>
  <c r="R45" i="125"/>
  <c r="J45" i="125"/>
  <c r="I45" i="125"/>
  <c r="U44" i="125"/>
  <c r="V44" i="125" s="1"/>
  <c r="S44" i="125"/>
  <c r="R44" i="125"/>
  <c r="J44" i="125"/>
  <c r="I44" i="125"/>
  <c r="S43" i="125"/>
  <c r="R43" i="125"/>
  <c r="J43" i="125"/>
  <c r="I43" i="125"/>
  <c r="U42" i="125"/>
  <c r="V42" i="125" s="1"/>
  <c r="S42" i="125"/>
  <c r="R42" i="125"/>
  <c r="J42" i="125"/>
  <c r="C60" i="125"/>
  <c r="U41" i="125"/>
  <c r="V41" i="125" s="1"/>
  <c r="S41" i="125"/>
  <c r="R41" i="125"/>
  <c r="J41" i="125"/>
  <c r="I41" i="125"/>
  <c r="U40" i="125"/>
  <c r="V40" i="125" s="1"/>
  <c r="S40" i="125"/>
  <c r="R40" i="125"/>
  <c r="J40" i="125"/>
  <c r="I40" i="125"/>
  <c r="W40" i="125" s="1"/>
  <c r="U39" i="125"/>
  <c r="V39" i="125" s="1"/>
  <c r="S39" i="125"/>
  <c r="R39" i="125"/>
  <c r="J39" i="125"/>
  <c r="I39" i="125"/>
  <c r="W39" i="125" s="1"/>
  <c r="U38" i="125"/>
  <c r="V38" i="125" s="1"/>
  <c r="S38" i="125"/>
  <c r="R38" i="125"/>
  <c r="J38" i="125"/>
  <c r="I38" i="125"/>
  <c r="U37" i="125"/>
  <c r="V37" i="125" s="1"/>
  <c r="S37" i="125"/>
  <c r="R37" i="125"/>
  <c r="J37" i="125"/>
  <c r="I37" i="125"/>
  <c r="W37" i="125" s="1"/>
  <c r="U36" i="125"/>
  <c r="V36" i="125" s="1"/>
  <c r="S36" i="125"/>
  <c r="R36" i="125"/>
  <c r="J36" i="125"/>
  <c r="I36" i="125"/>
  <c r="U35" i="125"/>
  <c r="V35" i="125" s="1"/>
  <c r="S35" i="125"/>
  <c r="R35" i="125"/>
  <c r="J35" i="125"/>
  <c r="I35" i="125"/>
  <c r="U34" i="125"/>
  <c r="V34" i="125" s="1"/>
  <c r="S34" i="125"/>
  <c r="R34" i="125"/>
  <c r="J34" i="125"/>
  <c r="I34" i="125"/>
  <c r="W34" i="125" s="1"/>
  <c r="U33" i="125"/>
  <c r="V33" i="125" s="1"/>
  <c r="S33" i="125"/>
  <c r="R33" i="125"/>
  <c r="J33" i="125"/>
  <c r="I33" i="125"/>
  <c r="W33" i="125" s="1"/>
  <c r="U32" i="125"/>
  <c r="V32" i="125" s="1"/>
  <c r="S32" i="125"/>
  <c r="R32" i="125"/>
  <c r="J32" i="125"/>
  <c r="I32" i="125"/>
  <c r="W32" i="125" s="1"/>
  <c r="U31" i="125"/>
  <c r="V31" i="125" s="1"/>
  <c r="S31" i="125"/>
  <c r="R31" i="125"/>
  <c r="J31" i="125"/>
  <c r="I31" i="125"/>
  <c r="W31" i="125" s="1"/>
  <c r="U30" i="125"/>
  <c r="V30" i="125" s="1"/>
  <c r="S30" i="125"/>
  <c r="R30" i="125"/>
  <c r="J30" i="125"/>
  <c r="I30" i="125"/>
  <c r="U29" i="125"/>
  <c r="V29" i="125" s="1"/>
  <c r="S29" i="125"/>
  <c r="R29" i="125"/>
  <c r="J29" i="125"/>
  <c r="I29" i="125"/>
  <c r="U28" i="125"/>
  <c r="V28" i="125" s="1"/>
  <c r="S28" i="125"/>
  <c r="R28" i="125"/>
  <c r="J28" i="125"/>
  <c r="I28" i="125"/>
  <c r="W28" i="125" s="1"/>
  <c r="U27" i="125"/>
  <c r="V27" i="125" s="1"/>
  <c r="S27" i="125"/>
  <c r="R27" i="125"/>
  <c r="J27" i="125"/>
  <c r="I27" i="125"/>
  <c r="W27" i="125" s="1"/>
  <c r="BE26" i="125"/>
  <c r="U26" i="125"/>
  <c r="V26" i="125" s="1"/>
  <c r="S26" i="125"/>
  <c r="R26" i="125"/>
  <c r="J26" i="125"/>
  <c r="I26" i="125"/>
  <c r="W26" i="125" s="1"/>
  <c r="U25" i="125"/>
  <c r="V25" i="125" s="1"/>
  <c r="S25" i="125"/>
  <c r="R25" i="125"/>
  <c r="J25" i="125"/>
  <c r="I25" i="125"/>
  <c r="W25" i="125" s="1"/>
  <c r="U24" i="125"/>
  <c r="V24" i="125" s="1"/>
  <c r="S24" i="125"/>
  <c r="R24" i="125"/>
  <c r="J24" i="125"/>
  <c r="I24" i="125"/>
  <c r="W24" i="125" s="1"/>
  <c r="U23" i="125"/>
  <c r="V23" i="125" s="1"/>
  <c r="S23" i="125"/>
  <c r="R23" i="125"/>
  <c r="J23" i="125"/>
  <c r="I23" i="125"/>
  <c r="U22" i="125"/>
  <c r="V22" i="125" s="1"/>
  <c r="S22" i="125"/>
  <c r="R22" i="125"/>
  <c r="J22" i="125"/>
  <c r="I22" i="125"/>
  <c r="U21" i="125"/>
  <c r="V21" i="125" s="1"/>
  <c r="S21" i="125"/>
  <c r="R21" i="125"/>
  <c r="J21" i="125"/>
  <c r="I21" i="125"/>
  <c r="W21" i="125" s="1"/>
  <c r="U20" i="125"/>
  <c r="V20" i="125" s="1"/>
  <c r="S20" i="125"/>
  <c r="R20" i="125"/>
  <c r="J20" i="125"/>
  <c r="I20" i="125"/>
  <c r="W20" i="125" s="1"/>
  <c r="W19" i="125"/>
  <c r="V19" i="125"/>
  <c r="U19" i="125"/>
  <c r="S19" i="125"/>
  <c r="R19" i="125"/>
  <c r="J19" i="125"/>
  <c r="I19" i="125"/>
  <c r="U18" i="125"/>
  <c r="V18" i="125" s="1"/>
  <c r="S18" i="125"/>
  <c r="R18" i="125"/>
  <c r="J18" i="125"/>
  <c r="I18" i="125"/>
  <c r="W18" i="125" s="1"/>
  <c r="W17" i="125"/>
  <c r="U17" i="125"/>
  <c r="V17" i="125" s="1"/>
  <c r="S17" i="125"/>
  <c r="R17" i="125"/>
  <c r="J17" i="125"/>
  <c r="I17" i="125"/>
  <c r="U16" i="125"/>
  <c r="V16" i="125" s="1"/>
  <c r="S16" i="125"/>
  <c r="R16" i="125"/>
  <c r="J16" i="125"/>
  <c r="I16" i="125"/>
  <c r="W16" i="125" s="1"/>
  <c r="U15" i="125"/>
  <c r="V15" i="125" s="1"/>
  <c r="S15" i="125"/>
  <c r="R15" i="125"/>
  <c r="J15" i="125"/>
  <c r="I15" i="125"/>
  <c r="W15" i="125" s="1"/>
  <c r="V14" i="125"/>
  <c r="U14" i="125"/>
  <c r="S14" i="125"/>
  <c r="R14" i="125"/>
  <c r="J14" i="125"/>
  <c r="I14" i="125"/>
  <c r="W14" i="125" s="1"/>
  <c r="U13" i="125"/>
  <c r="V13" i="125" s="1"/>
  <c r="S13" i="125"/>
  <c r="R13" i="125"/>
  <c r="J13" i="125"/>
  <c r="I13" i="125"/>
  <c r="W13" i="125" s="1"/>
  <c r="U12" i="125"/>
  <c r="V12" i="125" s="1"/>
  <c r="S12" i="125"/>
  <c r="R12" i="125"/>
  <c r="J12" i="125"/>
  <c r="I12" i="125"/>
  <c r="U11" i="125"/>
  <c r="V11" i="125" s="1"/>
  <c r="S11" i="125"/>
  <c r="R11" i="125"/>
  <c r="J11" i="125"/>
  <c r="I11" i="125"/>
  <c r="W11" i="125" s="1"/>
  <c r="U10" i="125"/>
  <c r="V10" i="125" s="1"/>
  <c r="S10" i="125"/>
  <c r="R10" i="125"/>
  <c r="J10" i="125"/>
  <c r="I10" i="125"/>
  <c r="W10" i="125" s="1"/>
  <c r="A10" i="125"/>
  <c r="A11" i="125" s="1"/>
  <c r="A12" i="125" s="1"/>
  <c r="A13" i="125" s="1"/>
  <c r="A14" i="125" s="1"/>
  <c r="A15" i="125" s="1"/>
  <c r="A16" i="125" s="1"/>
  <c r="A17" i="125" s="1"/>
  <c r="A18" i="125" s="1"/>
  <c r="A19" i="125" s="1"/>
  <c r="A20" i="125" s="1"/>
  <c r="A21" i="125" s="1"/>
  <c r="A22" i="125" s="1"/>
  <c r="A23" i="125" s="1"/>
  <c r="A24" i="125" s="1"/>
  <c r="A25" i="125" s="1"/>
  <c r="A26" i="125" s="1"/>
  <c r="A27" i="125" s="1"/>
  <c r="A28" i="125" s="1"/>
  <c r="A29" i="125" s="1"/>
  <c r="A30" i="125" s="1"/>
  <c r="A31" i="125" s="1"/>
  <c r="A32" i="125" s="1"/>
  <c r="A33" i="125" s="1"/>
  <c r="A34" i="125" s="1"/>
  <c r="A35" i="125" s="1"/>
  <c r="A36" i="125" s="1"/>
  <c r="A37" i="125" s="1"/>
  <c r="A38" i="125" s="1"/>
  <c r="A39" i="125" s="1"/>
  <c r="A40" i="125" s="1"/>
  <c r="A41" i="125" s="1"/>
  <c r="A42" i="125" s="1"/>
  <c r="A43" i="125" s="1"/>
  <c r="A44" i="125" s="1"/>
  <c r="A45" i="125" s="1"/>
  <c r="A46" i="125" s="1"/>
  <c r="A47" i="125" s="1"/>
  <c r="A48" i="125" s="1"/>
  <c r="A49" i="125" s="1"/>
  <c r="A50" i="125" s="1"/>
  <c r="A51" i="125" s="1"/>
  <c r="A52" i="125" s="1"/>
  <c r="A53" i="125" s="1"/>
  <c r="A54" i="125" s="1"/>
  <c r="A55" i="125" s="1"/>
  <c r="A56" i="125" s="1"/>
  <c r="A57" i="125" s="1"/>
  <c r="A58" i="125" s="1"/>
  <c r="A59" i="125" s="1"/>
  <c r="U9" i="125"/>
  <c r="V9" i="125" s="1"/>
  <c r="S9" i="125"/>
  <c r="R9" i="125"/>
  <c r="J9" i="125"/>
  <c r="I9" i="125"/>
  <c r="W9" i="125" s="1"/>
  <c r="A9" i="125"/>
  <c r="U8" i="125"/>
  <c r="V8" i="125" s="1"/>
  <c r="S8" i="125"/>
  <c r="R8" i="125"/>
  <c r="J8" i="125"/>
  <c r="I8" i="125"/>
  <c r="W60" i="126" l="1"/>
  <c r="W54" i="125"/>
  <c r="W38" i="125"/>
  <c r="W35" i="125"/>
  <c r="W23" i="125"/>
  <c r="W12" i="125"/>
  <c r="W8" i="125"/>
  <c r="U60" i="125"/>
  <c r="S60" i="125"/>
  <c r="R60" i="125"/>
  <c r="W48" i="125"/>
  <c r="W29" i="125"/>
  <c r="W36" i="125"/>
  <c r="W49" i="125"/>
  <c r="W52" i="125"/>
  <c r="W47" i="125"/>
  <c r="W22" i="125"/>
  <c r="W30" i="125"/>
  <c r="W46" i="125"/>
  <c r="W53" i="125"/>
  <c r="J60" i="125"/>
  <c r="W44" i="125"/>
  <c r="W41" i="125"/>
  <c r="V60" i="125"/>
  <c r="I42" i="125"/>
  <c r="W42" i="125" s="1"/>
  <c r="I60" i="125"/>
  <c r="C42" i="124"/>
  <c r="I42" i="124" s="1"/>
  <c r="W42" i="124" s="1"/>
  <c r="Q60" i="124"/>
  <c r="P60" i="124"/>
  <c r="O60" i="124"/>
  <c r="N60" i="124"/>
  <c r="M60" i="124"/>
  <c r="L60" i="124"/>
  <c r="H60" i="124"/>
  <c r="G60" i="124"/>
  <c r="E60" i="124"/>
  <c r="D60" i="124"/>
  <c r="S59" i="124"/>
  <c r="R59" i="124"/>
  <c r="J59" i="124"/>
  <c r="I59" i="124"/>
  <c r="S58" i="124"/>
  <c r="R58" i="124"/>
  <c r="J58" i="124"/>
  <c r="I58" i="124"/>
  <c r="S57" i="124"/>
  <c r="R57" i="124"/>
  <c r="J57" i="124"/>
  <c r="I57" i="124"/>
  <c r="S56" i="124"/>
  <c r="R56" i="124"/>
  <c r="J56" i="124"/>
  <c r="I56" i="124"/>
  <c r="S55" i="124"/>
  <c r="R55" i="124"/>
  <c r="J55" i="124"/>
  <c r="I55" i="124"/>
  <c r="U54" i="124"/>
  <c r="V54" i="124" s="1"/>
  <c r="S54" i="124"/>
  <c r="R54" i="124"/>
  <c r="J54" i="124"/>
  <c r="I54" i="124"/>
  <c r="W54" i="124" s="1"/>
  <c r="W53" i="124"/>
  <c r="U53" i="124"/>
  <c r="V53" i="124" s="1"/>
  <c r="S53" i="124"/>
  <c r="R53" i="124"/>
  <c r="J53" i="124"/>
  <c r="I53" i="124"/>
  <c r="U52" i="124"/>
  <c r="V52" i="124" s="1"/>
  <c r="S52" i="124"/>
  <c r="R52" i="124"/>
  <c r="J52" i="124"/>
  <c r="I52" i="124"/>
  <c r="W52" i="124" s="1"/>
  <c r="W51" i="124"/>
  <c r="U51" i="124"/>
  <c r="V51" i="124" s="1"/>
  <c r="S51" i="124"/>
  <c r="R51" i="124"/>
  <c r="J51" i="124"/>
  <c r="I51" i="124"/>
  <c r="U50" i="124"/>
  <c r="V50" i="124" s="1"/>
  <c r="S50" i="124"/>
  <c r="R50" i="124"/>
  <c r="J50" i="124"/>
  <c r="I50" i="124"/>
  <c r="W50" i="124" s="1"/>
  <c r="U49" i="124"/>
  <c r="V49" i="124" s="1"/>
  <c r="S49" i="124"/>
  <c r="R49" i="124"/>
  <c r="J49" i="124"/>
  <c r="I49" i="124"/>
  <c r="W49" i="124" s="1"/>
  <c r="U48" i="124"/>
  <c r="V48" i="124" s="1"/>
  <c r="S48" i="124"/>
  <c r="R48" i="124"/>
  <c r="J48" i="124"/>
  <c r="I48" i="124"/>
  <c r="V47" i="124"/>
  <c r="U47" i="124"/>
  <c r="S47" i="124"/>
  <c r="R47" i="124"/>
  <c r="J47" i="124"/>
  <c r="I47" i="124"/>
  <c r="W47" i="124" s="1"/>
  <c r="W46" i="124"/>
  <c r="U46" i="124"/>
  <c r="V46" i="124" s="1"/>
  <c r="S46" i="124"/>
  <c r="R46" i="124"/>
  <c r="J46" i="124"/>
  <c r="I46" i="124"/>
  <c r="S45" i="124"/>
  <c r="R45" i="124"/>
  <c r="J45" i="124"/>
  <c r="I45" i="124"/>
  <c r="U44" i="124"/>
  <c r="V44" i="124" s="1"/>
  <c r="S44" i="124"/>
  <c r="R44" i="124"/>
  <c r="J44" i="124"/>
  <c r="I44" i="124"/>
  <c r="S43" i="124"/>
  <c r="R43" i="124"/>
  <c r="J43" i="124"/>
  <c r="I43" i="124"/>
  <c r="U42" i="124"/>
  <c r="V42" i="124" s="1"/>
  <c r="S42" i="124"/>
  <c r="R42" i="124"/>
  <c r="J42" i="124"/>
  <c r="U41" i="124"/>
  <c r="V41" i="124" s="1"/>
  <c r="S41" i="124"/>
  <c r="R41" i="124"/>
  <c r="J41" i="124"/>
  <c r="I41" i="124"/>
  <c r="W40" i="124"/>
  <c r="U40" i="124"/>
  <c r="V40" i="124" s="1"/>
  <c r="S40" i="124"/>
  <c r="R40" i="124"/>
  <c r="J40" i="124"/>
  <c r="I40" i="124"/>
  <c r="U39" i="124"/>
  <c r="V39" i="124" s="1"/>
  <c r="S39" i="124"/>
  <c r="R39" i="124"/>
  <c r="J39" i="124"/>
  <c r="I39" i="124"/>
  <c r="W39" i="124" s="1"/>
  <c r="U38" i="124"/>
  <c r="V38" i="124" s="1"/>
  <c r="S38" i="124"/>
  <c r="R38" i="124"/>
  <c r="J38" i="124"/>
  <c r="I38" i="124"/>
  <c r="W37" i="124"/>
  <c r="U37" i="124"/>
  <c r="V37" i="124" s="1"/>
  <c r="S37" i="124"/>
  <c r="R37" i="124"/>
  <c r="J37" i="124"/>
  <c r="I37" i="124"/>
  <c r="U36" i="124"/>
  <c r="V36" i="124" s="1"/>
  <c r="S36" i="124"/>
  <c r="R36" i="124"/>
  <c r="J36" i="124"/>
  <c r="I36" i="124"/>
  <c r="W36" i="124" s="1"/>
  <c r="U35" i="124"/>
  <c r="V35" i="124" s="1"/>
  <c r="S35" i="124"/>
  <c r="R35" i="124"/>
  <c r="J35" i="124"/>
  <c r="I35" i="124"/>
  <c r="U34" i="124"/>
  <c r="V34" i="124" s="1"/>
  <c r="S34" i="124"/>
  <c r="R34" i="124"/>
  <c r="J34" i="124"/>
  <c r="I34" i="124"/>
  <c r="W34" i="124" s="1"/>
  <c r="U33" i="124"/>
  <c r="V33" i="124" s="1"/>
  <c r="S33" i="124"/>
  <c r="R33" i="124"/>
  <c r="J33" i="124"/>
  <c r="I33" i="124"/>
  <c r="W33" i="124" s="1"/>
  <c r="W32" i="124"/>
  <c r="U32" i="124"/>
  <c r="V32" i="124" s="1"/>
  <c r="S32" i="124"/>
  <c r="R32" i="124"/>
  <c r="J32" i="124"/>
  <c r="I32" i="124"/>
  <c r="U31" i="124"/>
  <c r="V31" i="124" s="1"/>
  <c r="S31" i="124"/>
  <c r="R31" i="124"/>
  <c r="J31" i="124"/>
  <c r="I31" i="124"/>
  <c r="W31" i="124" s="1"/>
  <c r="U30" i="124"/>
  <c r="V30" i="124" s="1"/>
  <c r="S30" i="124"/>
  <c r="R30" i="124"/>
  <c r="J30" i="124"/>
  <c r="I30" i="124"/>
  <c r="U29" i="124"/>
  <c r="V29" i="124" s="1"/>
  <c r="S29" i="124"/>
  <c r="R29" i="124"/>
  <c r="J29" i="124"/>
  <c r="I29" i="124"/>
  <c r="W29" i="124" s="1"/>
  <c r="U28" i="124"/>
  <c r="V28" i="124" s="1"/>
  <c r="S28" i="124"/>
  <c r="R28" i="124"/>
  <c r="J28" i="124"/>
  <c r="I28" i="124"/>
  <c r="W28" i="124" s="1"/>
  <c r="U27" i="124"/>
  <c r="S27" i="124"/>
  <c r="R27" i="124"/>
  <c r="J27" i="124"/>
  <c r="I27" i="124"/>
  <c r="W27" i="124" s="1"/>
  <c r="BE26" i="124"/>
  <c r="U26" i="124"/>
  <c r="V26" i="124" s="1"/>
  <c r="S26" i="124"/>
  <c r="R26" i="124"/>
  <c r="J26" i="124"/>
  <c r="I26" i="124"/>
  <c r="W26" i="124" s="1"/>
  <c r="U25" i="124"/>
  <c r="V25" i="124" s="1"/>
  <c r="S25" i="124"/>
  <c r="R25" i="124"/>
  <c r="J25" i="124"/>
  <c r="I25" i="124"/>
  <c r="W25" i="124" s="1"/>
  <c r="U24" i="124"/>
  <c r="V24" i="124" s="1"/>
  <c r="S24" i="124"/>
  <c r="R24" i="124"/>
  <c r="J24" i="124"/>
  <c r="I24" i="124"/>
  <c r="U23" i="124"/>
  <c r="V23" i="124" s="1"/>
  <c r="S23" i="124"/>
  <c r="R23" i="124"/>
  <c r="J23" i="124"/>
  <c r="I23" i="124"/>
  <c r="U22" i="124"/>
  <c r="V22" i="124" s="1"/>
  <c r="S22" i="124"/>
  <c r="R22" i="124"/>
  <c r="J22" i="124"/>
  <c r="I22" i="124"/>
  <c r="W22" i="124" s="1"/>
  <c r="U21" i="124"/>
  <c r="V21" i="124" s="1"/>
  <c r="S21" i="124"/>
  <c r="R21" i="124"/>
  <c r="J21" i="124"/>
  <c r="I21" i="124"/>
  <c r="W21" i="124" s="1"/>
  <c r="V20" i="124"/>
  <c r="U20" i="124"/>
  <c r="S20" i="124"/>
  <c r="R20" i="124"/>
  <c r="J20" i="124"/>
  <c r="I20" i="124"/>
  <c r="U19" i="124"/>
  <c r="V19" i="124" s="1"/>
  <c r="S19" i="124"/>
  <c r="R19" i="124"/>
  <c r="J19" i="124"/>
  <c r="I19" i="124"/>
  <c r="U18" i="124"/>
  <c r="V18" i="124" s="1"/>
  <c r="S18" i="124"/>
  <c r="R18" i="124"/>
  <c r="J18" i="124"/>
  <c r="I18" i="124"/>
  <c r="W18" i="124" s="1"/>
  <c r="U17" i="124"/>
  <c r="V17" i="124" s="1"/>
  <c r="S17" i="124"/>
  <c r="R17" i="124"/>
  <c r="J17" i="124"/>
  <c r="I17" i="124"/>
  <c r="W17" i="124" s="1"/>
  <c r="U16" i="124"/>
  <c r="V16" i="124" s="1"/>
  <c r="S16" i="124"/>
  <c r="R16" i="124"/>
  <c r="J16" i="124"/>
  <c r="I16" i="124"/>
  <c r="W16" i="124" s="1"/>
  <c r="U15" i="124"/>
  <c r="V15" i="124" s="1"/>
  <c r="S15" i="124"/>
  <c r="R15" i="124"/>
  <c r="J15" i="124"/>
  <c r="I15" i="124"/>
  <c r="W15" i="124" s="1"/>
  <c r="U14" i="124"/>
  <c r="V14" i="124" s="1"/>
  <c r="S14" i="124"/>
  <c r="R14" i="124"/>
  <c r="J14" i="124"/>
  <c r="I14" i="124"/>
  <c r="U13" i="124"/>
  <c r="V13" i="124" s="1"/>
  <c r="S13" i="124"/>
  <c r="R13" i="124"/>
  <c r="J13" i="124"/>
  <c r="I13" i="124"/>
  <c r="W13" i="124" s="1"/>
  <c r="V12" i="124"/>
  <c r="U12" i="124"/>
  <c r="S12" i="124"/>
  <c r="R12" i="124"/>
  <c r="J12" i="124"/>
  <c r="I12" i="124"/>
  <c r="U11" i="124"/>
  <c r="V11" i="124" s="1"/>
  <c r="S11" i="124"/>
  <c r="R11" i="124"/>
  <c r="J11" i="124"/>
  <c r="I11" i="124"/>
  <c r="U10" i="124"/>
  <c r="V10" i="124" s="1"/>
  <c r="S10" i="124"/>
  <c r="R10" i="124"/>
  <c r="J10" i="124"/>
  <c r="I10" i="124"/>
  <c r="W10" i="124" s="1"/>
  <c r="V9" i="124"/>
  <c r="U9" i="124"/>
  <c r="S9" i="124"/>
  <c r="R9" i="124"/>
  <c r="J9" i="124"/>
  <c r="I9" i="124"/>
  <c r="W9" i="124" s="1"/>
  <c r="A9" i="124"/>
  <c r="A10" i="124" s="1"/>
  <c r="A11" i="124" s="1"/>
  <c r="A12" i="124" s="1"/>
  <c r="A13" i="124" s="1"/>
  <c r="A14" i="124" s="1"/>
  <c r="A15" i="124" s="1"/>
  <c r="A16" i="124" s="1"/>
  <c r="A17" i="124" s="1"/>
  <c r="A18" i="124" s="1"/>
  <c r="A19" i="124" s="1"/>
  <c r="A20" i="124" s="1"/>
  <c r="A21" i="124" s="1"/>
  <c r="A22" i="124" s="1"/>
  <c r="A23" i="124" s="1"/>
  <c r="A24" i="124" s="1"/>
  <c r="A25" i="124" s="1"/>
  <c r="A26" i="124" s="1"/>
  <c r="A27" i="124" s="1"/>
  <c r="A28" i="124" s="1"/>
  <c r="A29" i="124" s="1"/>
  <c r="A30" i="124" s="1"/>
  <c r="A31" i="124" s="1"/>
  <c r="A32" i="124" s="1"/>
  <c r="A33" i="124" s="1"/>
  <c r="A34" i="124" s="1"/>
  <c r="A35" i="124" s="1"/>
  <c r="A36" i="124" s="1"/>
  <c r="A37" i="124" s="1"/>
  <c r="A38" i="124" s="1"/>
  <c r="A39" i="124" s="1"/>
  <c r="A40" i="124" s="1"/>
  <c r="A41" i="124" s="1"/>
  <c r="A42" i="124" s="1"/>
  <c r="A43" i="124" s="1"/>
  <c r="A44" i="124" s="1"/>
  <c r="A45" i="124" s="1"/>
  <c r="A46" i="124" s="1"/>
  <c r="A47" i="124" s="1"/>
  <c r="A48" i="124" s="1"/>
  <c r="A49" i="124" s="1"/>
  <c r="A50" i="124" s="1"/>
  <c r="A51" i="124" s="1"/>
  <c r="A52" i="124" s="1"/>
  <c r="A53" i="124" s="1"/>
  <c r="A54" i="124" s="1"/>
  <c r="A55" i="124" s="1"/>
  <c r="A56" i="124" s="1"/>
  <c r="A57" i="124" s="1"/>
  <c r="A58" i="124" s="1"/>
  <c r="A59" i="124" s="1"/>
  <c r="V8" i="124"/>
  <c r="U8" i="124"/>
  <c r="S8" i="124"/>
  <c r="R8" i="124"/>
  <c r="J8" i="124"/>
  <c r="I8" i="124"/>
  <c r="W60" i="125" l="1"/>
  <c r="W48" i="124"/>
  <c r="W44" i="124"/>
  <c r="C60" i="124"/>
  <c r="W41" i="124"/>
  <c r="W38" i="124"/>
  <c r="W35" i="124"/>
  <c r="W30" i="124"/>
  <c r="W24" i="124"/>
  <c r="W14" i="124"/>
  <c r="W12" i="124"/>
  <c r="R60" i="124"/>
  <c r="W8" i="124"/>
  <c r="U60" i="124"/>
  <c r="S60" i="124"/>
  <c r="W20" i="124"/>
  <c r="W23" i="124"/>
  <c r="J60" i="124"/>
  <c r="W11" i="124"/>
  <c r="W19" i="124"/>
  <c r="V27" i="124"/>
  <c r="V60" i="124" s="1"/>
  <c r="I60" i="124"/>
  <c r="Q60" i="123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V54" i="123"/>
  <c r="U54" i="123"/>
  <c r="S54" i="123"/>
  <c r="R54" i="123"/>
  <c r="J54" i="123"/>
  <c r="I54" i="123"/>
  <c r="U53" i="123"/>
  <c r="V53" i="123" s="1"/>
  <c r="S53" i="123"/>
  <c r="R53" i="123"/>
  <c r="J53" i="123"/>
  <c r="I53" i="123"/>
  <c r="W53" i="123" s="1"/>
  <c r="V52" i="123"/>
  <c r="U52" i="123"/>
  <c r="S52" i="123"/>
  <c r="R52" i="123"/>
  <c r="J52" i="123"/>
  <c r="W52" i="123" s="1"/>
  <c r="I52" i="123"/>
  <c r="W51" i="123"/>
  <c r="U51" i="123"/>
  <c r="V51" i="123" s="1"/>
  <c r="S51" i="123"/>
  <c r="R51" i="123"/>
  <c r="J51" i="123"/>
  <c r="I51" i="123"/>
  <c r="V50" i="123"/>
  <c r="U50" i="123"/>
  <c r="S50" i="123"/>
  <c r="R50" i="123"/>
  <c r="J50" i="123"/>
  <c r="W50" i="123" s="1"/>
  <c r="I50" i="123"/>
  <c r="W49" i="123"/>
  <c r="U49" i="123"/>
  <c r="V49" i="123" s="1"/>
  <c r="S49" i="123"/>
  <c r="R49" i="123"/>
  <c r="J49" i="123"/>
  <c r="I49" i="123"/>
  <c r="V48" i="123"/>
  <c r="U48" i="123"/>
  <c r="S48" i="123"/>
  <c r="R48" i="123"/>
  <c r="J48" i="123"/>
  <c r="I48" i="123"/>
  <c r="W47" i="123"/>
  <c r="U47" i="123"/>
  <c r="V47" i="123" s="1"/>
  <c r="S47" i="123"/>
  <c r="R47" i="123"/>
  <c r="J47" i="123"/>
  <c r="I47" i="123"/>
  <c r="V46" i="123"/>
  <c r="U46" i="123"/>
  <c r="S46" i="123"/>
  <c r="R46" i="123"/>
  <c r="J46" i="123"/>
  <c r="W46" i="123" s="1"/>
  <c r="I46" i="123"/>
  <c r="S45" i="123"/>
  <c r="R45" i="123"/>
  <c r="J45" i="123"/>
  <c r="I45" i="123"/>
  <c r="U44" i="123"/>
  <c r="V44" i="123" s="1"/>
  <c r="S44" i="123"/>
  <c r="R44" i="123"/>
  <c r="J44" i="123"/>
  <c r="I44" i="123"/>
  <c r="W44" i="123" s="1"/>
  <c r="S43" i="123"/>
  <c r="R43" i="123"/>
  <c r="J43" i="123"/>
  <c r="I43" i="123"/>
  <c r="U42" i="123"/>
  <c r="V42" i="123" s="1"/>
  <c r="S42" i="123"/>
  <c r="R42" i="123"/>
  <c r="J42" i="123"/>
  <c r="I42" i="123"/>
  <c r="W42" i="123" s="1"/>
  <c r="U41" i="123"/>
  <c r="V41" i="123" s="1"/>
  <c r="S41" i="123"/>
  <c r="R41" i="123"/>
  <c r="J41" i="123"/>
  <c r="I41" i="123"/>
  <c r="W41" i="123" s="1"/>
  <c r="W40" i="123"/>
  <c r="U40" i="123"/>
  <c r="V40" i="123" s="1"/>
  <c r="S40" i="123"/>
  <c r="R40" i="123"/>
  <c r="J40" i="123"/>
  <c r="I40" i="123"/>
  <c r="U39" i="123"/>
  <c r="V39" i="123" s="1"/>
  <c r="S39" i="123"/>
  <c r="R39" i="123"/>
  <c r="J39" i="123"/>
  <c r="I39" i="123"/>
  <c r="W39" i="123" s="1"/>
  <c r="U38" i="123"/>
  <c r="V38" i="123" s="1"/>
  <c r="S38" i="123"/>
  <c r="R38" i="123"/>
  <c r="J38" i="123"/>
  <c r="I38" i="123"/>
  <c r="W38" i="123" s="1"/>
  <c r="U37" i="123"/>
  <c r="V37" i="123" s="1"/>
  <c r="S37" i="123"/>
  <c r="R37" i="123"/>
  <c r="J37" i="123"/>
  <c r="I37" i="123"/>
  <c r="W37" i="123" s="1"/>
  <c r="W36" i="123"/>
  <c r="U36" i="123"/>
  <c r="V36" i="123" s="1"/>
  <c r="S36" i="123"/>
  <c r="R36" i="123"/>
  <c r="J36" i="123"/>
  <c r="I36" i="123"/>
  <c r="U35" i="123"/>
  <c r="V35" i="123" s="1"/>
  <c r="S35" i="123"/>
  <c r="R35" i="123"/>
  <c r="J35" i="123"/>
  <c r="I35" i="123"/>
  <c r="W34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I33" i="123"/>
  <c r="W33" i="123" s="1"/>
  <c r="W32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W30" i="123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W28" i="123"/>
  <c r="U28" i="123"/>
  <c r="V28" i="123" s="1"/>
  <c r="S28" i="123"/>
  <c r="R28" i="123"/>
  <c r="J28" i="123"/>
  <c r="I28" i="123"/>
  <c r="U27" i="123"/>
  <c r="V27" i="123" s="1"/>
  <c r="S27" i="123"/>
  <c r="R27" i="123"/>
  <c r="J27" i="123"/>
  <c r="I27" i="123"/>
  <c r="W27" i="123" s="1"/>
  <c r="BE26" i="123"/>
  <c r="U26" i="123"/>
  <c r="V26" i="123" s="1"/>
  <c r="S26" i="123"/>
  <c r="R26" i="123"/>
  <c r="J26" i="123"/>
  <c r="I26" i="123"/>
  <c r="W26" i="123" s="1"/>
  <c r="V25" i="123"/>
  <c r="U25" i="123"/>
  <c r="S25" i="123"/>
  <c r="R25" i="123"/>
  <c r="J25" i="123"/>
  <c r="I25" i="123"/>
  <c r="W25" i="123" s="1"/>
  <c r="V24" i="123"/>
  <c r="U24" i="123"/>
  <c r="S24" i="123"/>
  <c r="R24" i="123"/>
  <c r="J24" i="123"/>
  <c r="I24" i="123"/>
  <c r="W24" i="123" s="1"/>
  <c r="V23" i="123"/>
  <c r="U23" i="123"/>
  <c r="S23" i="123"/>
  <c r="R23" i="123"/>
  <c r="J23" i="123"/>
  <c r="I23" i="123"/>
  <c r="V22" i="123"/>
  <c r="U22" i="123"/>
  <c r="S22" i="123"/>
  <c r="R22" i="123"/>
  <c r="J22" i="123"/>
  <c r="I22" i="123"/>
  <c r="W22" i="123" s="1"/>
  <c r="V21" i="123"/>
  <c r="U21" i="123"/>
  <c r="S21" i="123"/>
  <c r="R21" i="123"/>
  <c r="J21" i="123"/>
  <c r="I21" i="123"/>
  <c r="W21" i="123" s="1"/>
  <c r="V20" i="123"/>
  <c r="U20" i="123"/>
  <c r="S20" i="123"/>
  <c r="R20" i="123"/>
  <c r="J20" i="123"/>
  <c r="I20" i="123"/>
  <c r="V19" i="123"/>
  <c r="U19" i="123"/>
  <c r="S19" i="123"/>
  <c r="R19" i="123"/>
  <c r="J19" i="123"/>
  <c r="I19" i="123"/>
  <c r="W19" i="123" s="1"/>
  <c r="V18" i="123"/>
  <c r="U18" i="123"/>
  <c r="S18" i="123"/>
  <c r="R18" i="123"/>
  <c r="J18" i="123"/>
  <c r="I18" i="123"/>
  <c r="W18" i="123" s="1"/>
  <c r="V17" i="123"/>
  <c r="U17" i="123"/>
  <c r="S17" i="123"/>
  <c r="R17" i="123"/>
  <c r="J17" i="123"/>
  <c r="I17" i="123"/>
  <c r="W17" i="123" s="1"/>
  <c r="V16" i="123"/>
  <c r="U16" i="123"/>
  <c r="S16" i="123"/>
  <c r="R16" i="123"/>
  <c r="J16" i="123"/>
  <c r="I16" i="123"/>
  <c r="W16" i="123" s="1"/>
  <c r="V15" i="123"/>
  <c r="U15" i="123"/>
  <c r="S15" i="123"/>
  <c r="R15" i="123"/>
  <c r="J15" i="123"/>
  <c r="I15" i="123"/>
  <c r="W15" i="123" s="1"/>
  <c r="V14" i="123"/>
  <c r="U14" i="123"/>
  <c r="S14" i="123"/>
  <c r="R14" i="123"/>
  <c r="J14" i="123"/>
  <c r="I14" i="123"/>
  <c r="U13" i="123"/>
  <c r="V13" i="123" s="1"/>
  <c r="S13" i="123"/>
  <c r="R13" i="123"/>
  <c r="J13" i="123"/>
  <c r="I13" i="123"/>
  <c r="W13" i="123" s="1"/>
  <c r="V12" i="123"/>
  <c r="U12" i="123"/>
  <c r="S12" i="123"/>
  <c r="R12" i="123"/>
  <c r="J12" i="123"/>
  <c r="I12" i="123"/>
  <c r="V11" i="123"/>
  <c r="U11" i="123"/>
  <c r="S11" i="123"/>
  <c r="R11" i="123"/>
  <c r="J11" i="123"/>
  <c r="I11" i="123"/>
  <c r="W11" i="123" s="1"/>
  <c r="V10" i="123"/>
  <c r="U10" i="123"/>
  <c r="S10" i="123"/>
  <c r="R10" i="123"/>
  <c r="J10" i="123"/>
  <c r="I10" i="123"/>
  <c r="W10" i="123" s="1"/>
  <c r="U9" i="123"/>
  <c r="S9" i="123"/>
  <c r="R9" i="123"/>
  <c r="J9" i="123"/>
  <c r="I9" i="123"/>
  <c r="W9" i="123" s="1"/>
  <c r="A9" i="123"/>
  <c r="A10" i="123" s="1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V8" i="123"/>
  <c r="U8" i="123"/>
  <c r="S8" i="123"/>
  <c r="R8" i="123"/>
  <c r="J8" i="123"/>
  <c r="I8" i="123"/>
  <c r="W8" i="123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W53" i="12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W51" i="12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W49" i="121"/>
  <c r="U49" i="121"/>
  <c r="V49" i="121" s="1"/>
  <c r="S49" i="121"/>
  <c r="R49" i="121"/>
  <c r="J49" i="121"/>
  <c r="U48" i="121"/>
  <c r="V48" i="121" s="1"/>
  <c r="S48" i="121"/>
  <c r="R48" i="121"/>
  <c r="J48" i="121"/>
  <c r="I48" i="121"/>
  <c r="W48" i="121" s="1"/>
  <c r="W47" i="12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S43" i="121"/>
  <c r="R43" i="121"/>
  <c r="J43" i="121"/>
  <c r="I43" i="121"/>
  <c r="V42" i="121"/>
  <c r="U42" i="12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V40" i="121"/>
  <c r="U40" i="121"/>
  <c r="S40" i="121"/>
  <c r="R40" i="121"/>
  <c r="J40" i="121"/>
  <c r="I40" i="121"/>
  <c r="W40" i="121" s="1"/>
  <c r="U39" i="121"/>
  <c r="V39" i="121" s="1"/>
  <c r="S39" i="121"/>
  <c r="R39" i="121"/>
  <c r="J39" i="121"/>
  <c r="I39" i="121"/>
  <c r="W39" i="121" s="1"/>
  <c r="U38" i="121"/>
  <c r="V38" i="121" s="1"/>
  <c r="S38" i="121"/>
  <c r="R38" i="121"/>
  <c r="J38" i="121"/>
  <c r="I38" i="121"/>
  <c r="W38" i="121" s="1"/>
  <c r="U37" i="121"/>
  <c r="V37" i="121" s="1"/>
  <c r="S37" i="121"/>
  <c r="R37" i="121"/>
  <c r="J37" i="121"/>
  <c r="I37" i="121"/>
  <c r="W37" i="121" s="1"/>
  <c r="V36" i="121"/>
  <c r="U36" i="121"/>
  <c r="S36" i="121"/>
  <c r="R36" i="121"/>
  <c r="J36" i="121"/>
  <c r="I36" i="121"/>
  <c r="W36" i="121" s="1"/>
  <c r="U35" i="121"/>
  <c r="V35" i="121" s="1"/>
  <c r="S35" i="121"/>
  <c r="R35" i="121"/>
  <c r="J35" i="121"/>
  <c r="I35" i="121"/>
  <c r="W35" i="121" s="1"/>
  <c r="V34" i="121"/>
  <c r="U34" i="121"/>
  <c r="S34" i="121"/>
  <c r="R34" i="121"/>
  <c r="J34" i="121"/>
  <c r="I34" i="121"/>
  <c r="W34" i="121" s="1"/>
  <c r="U33" i="121"/>
  <c r="V33" i="121" s="1"/>
  <c r="S33" i="121"/>
  <c r="R33" i="121"/>
  <c r="J33" i="121"/>
  <c r="I33" i="121"/>
  <c r="W33" i="121" s="1"/>
  <c r="V32" i="121"/>
  <c r="U32" i="121"/>
  <c r="S32" i="121"/>
  <c r="R32" i="121"/>
  <c r="J32" i="121"/>
  <c r="I32" i="121"/>
  <c r="W32" i="121" s="1"/>
  <c r="U31" i="121"/>
  <c r="V31" i="121" s="1"/>
  <c r="S31" i="121"/>
  <c r="R31" i="121"/>
  <c r="J31" i="121"/>
  <c r="I31" i="121"/>
  <c r="W31" i="121" s="1"/>
  <c r="V30" i="121"/>
  <c r="U30" i="121"/>
  <c r="S30" i="121"/>
  <c r="R30" i="121"/>
  <c r="J30" i="121"/>
  <c r="I30" i="121"/>
  <c r="W30" i="121" s="1"/>
  <c r="U29" i="121"/>
  <c r="V29" i="121" s="1"/>
  <c r="S29" i="121"/>
  <c r="R29" i="121"/>
  <c r="J29" i="121"/>
  <c r="I29" i="121"/>
  <c r="W29" i="121" s="1"/>
  <c r="V28" i="121"/>
  <c r="U28" i="121"/>
  <c r="S28" i="121"/>
  <c r="R28" i="121"/>
  <c r="J28" i="121"/>
  <c r="I28" i="121"/>
  <c r="W28" i="121" s="1"/>
  <c r="U27" i="121"/>
  <c r="V27" i="121" s="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W26" i="121" s="1"/>
  <c r="U25" i="121"/>
  <c r="V25" i="121" s="1"/>
  <c r="S25" i="121"/>
  <c r="R25" i="121"/>
  <c r="J25" i="121"/>
  <c r="I25" i="12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W23" i="121" s="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W21" i="121" s="1"/>
  <c r="I21" i="121"/>
  <c r="U20" i="121"/>
  <c r="V20" i="121" s="1"/>
  <c r="S20" i="121"/>
  <c r="R20" i="121"/>
  <c r="J20" i="121"/>
  <c r="I20" i="121"/>
  <c r="U19" i="121"/>
  <c r="V19" i="121" s="1"/>
  <c r="S19" i="121"/>
  <c r="R19" i="121"/>
  <c r="J19" i="121"/>
  <c r="W19" i="121" s="1"/>
  <c r="I19" i="121"/>
  <c r="W18" i="121"/>
  <c r="U18" i="121"/>
  <c r="V18" i="121" s="1"/>
  <c r="S18" i="121"/>
  <c r="R18" i="121"/>
  <c r="J18" i="121"/>
  <c r="I18" i="121"/>
  <c r="U17" i="121"/>
  <c r="V17" i="121" s="1"/>
  <c r="S17" i="121"/>
  <c r="R17" i="121"/>
  <c r="J17" i="121"/>
  <c r="W17" i="121" s="1"/>
  <c r="I17" i="121"/>
  <c r="W16" i="121"/>
  <c r="U16" i="121"/>
  <c r="V16" i="121" s="1"/>
  <c r="S16" i="121"/>
  <c r="R16" i="121"/>
  <c r="J16" i="121"/>
  <c r="I16" i="121"/>
  <c r="U15" i="121"/>
  <c r="V15" i="121" s="1"/>
  <c r="S15" i="121"/>
  <c r="R15" i="121"/>
  <c r="J15" i="121"/>
  <c r="I15" i="12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U12" i="121"/>
  <c r="V12" i="121" s="1"/>
  <c r="S12" i="121"/>
  <c r="R12" i="121"/>
  <c r="J12" i="121"/>
  <c r="I12" i="121"/>
  <c r="W12" i="121" s="1"/>
  <c r="U11" i="121"/>
  <c r="V11" i="121" s="1"/>
  <c r="S11" i="121"/>
  <c r="R11" i="121"/>
  <c r="J11" i="121"/>
  <c r="I11" i="12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S8" i="121"/>
  <c r="R8" i="121"/>
  <c r="J8" i="121"/>
  <c r="I8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W54" i="120"/>
  <c r="V54" i="120"/>
  <c r="U54" i="120"/>
  <c r="S54" i="120"/>
  <c r="R54" i="120"/>
  <c r="J54" i="120"/>
  <c r="I54" i="120"/>
  <c r="W53" i="120"/>
  <c r="U53" i="120"/>
  <c r="V53" i="120" s="1"/>
  <c r="S53" i="120"/>
  <c r="R53" i="120"/>
  <c r="J53" i="120"/>
  <c r="I53" i="120"/>
  <c r="W52" i="120"/>
  <c r="V52" i="120"/>
  <c r="U52" i="120"/>
  <c r="S52" i="120"/>
  <c r="R52" i="120"/>
  <c r="J52" i="120"/>
  <c r="I52" i="120"/>
  <c r="W51" i="120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W49" i="120"/>
  <c r="U49" i="120"/>
  <c r="V49" i="120" s="1"/>
  <c r="S49" i="120"/>
  <c r="R49" i="120"/>
  <c r="J49" i="120"/>
  <c r="I49" i="120"/>
  <c r="U48" i="120"/>
  <c r="V48" i="120" s="1"/>
  <c r="S48" i="120"/>
  <c r="R48" i="120"/>
  <c r="J48" i="120"/>
  <c r="I48" i="120"/>
  <c r="W48" i="120" s="1"/>
  <c r="W47" i="120"/>
  <c r="U47" i="120"/>
  <c r="V47" i="120" s="1"/>
  <c r="S47" i="120"/>
  <c r="R47" i="120"/>
  <c r="J47" i="120"/>
  <c r="I47" i="120"/>
  <c r="W46" i="120"/>
  <c r="V46" i="120"/>
  <c r="U46" i="120"/>
  <c r="S46" i="120"/>
  <c r="R46" i="120"/>
  <c r="J46" i="120"/>
  <c r="I46" i="120"/>
  <c r="S45" i="120"/>
  <c r="R45" i="120"/>
  <c r="J45" i="120"/>
  <c r="I45" i="120"/>
  <c r="U44" i="120"/>
  <c r="S44" i="120"/>
  <c r="R44" i="120"/>
  <c r="J44" i="120"/>
  <c r="I44" i="120"/>
  <c r="W44" i="120" s="1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V40" i="120"/>
  <c r="U40" i="120"/>
  <c r="S40" i="120"/>
  <c r="R40" i="120"/>
  <c r="J40" i="120"/>
  <c r="I40" i="120"/>
  <c r="W40" i="120" s="1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V36" i="120"/>
  <c r="U36" i="120"/>
  <c r="S36" i="120"/>
  <c r="R36" i="120"/>
  <c r="J36" i="120"/>
  <c r="I36" i="120"/>
  <c r="W36" i="120" s="1"/>
  <c r="U35" i="120"/>
  <c r="V35" i="120" s="1"/>
  <c r="S35" i="120"/>
  <c r="R35" i="120"/>
  <c r="J35" i="120"/>
  <c r="I35" i="120"/>
  <c r="V34" i="120"/>
  <c r="U34" i="120"/>
  <c r="S34" i="120"/>
  <c r="R34" i="120"/>
  <c r="J34" i="120"/>
  <c r="I34" i="120"/>
  <c r="W34" i="120" s="1"/>
  <c r="U33" i="120"/>
  <c r="V33" i="120" s="1"/>
  <c r="S33" i="120"/>
  <c r="R33" i="120"/>
  <c r="J33" i="120"/>
  <c r="I33" i="120"/>
  <c r="W33" i="120" s="1"/>
  <c r="V32" i="120"/>
  <c r="U32" i="120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V30" i="120"/>
  <c r="U30" i="120"/>
  <c r="S30" i="120"/>
  <c r="R30" i="120"/>
  <c r="J30" i="120"/>
  <c r="I30" i="120"/>
  <c r="W30" i="120" s="1"/>
  <c r="U29" i="120"/>
  <c r="V29" i="120" s="1"/>
  <c r="S29" i="120"/>
  <c r="R29" i="120"/>
  <c r="J29" i="120"/>
  <c r="I29" i="120"/>
  <c r="W29" i="120" s="1"/>
  <c r="V28" i="120"/>
  <c r="U28" i="120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V26" i="120"/>
  <c r="U26" i="120"/>
  <c r="S26" i="120"/>
  <c r="R26" i="120"/>
  <c r="J26" i="120"/>
  <c r="I26" i="120"/>
  <c r="V25" i="120"/>
  <c r="U25" i="120"/>
  <c r="S25" i="120"/>
  <c r="R25" i="120"/>
  <c r="J25" i="120"/>
  <c r="I25" i="120"/>
  <c r="V24" i="120"/>
  <c r="U24" i="120"/>
  <c r="S24" i="120"/>
  <c r="R24" i="120"/>
  <c r="J24" i="120"/>
  <c r="I24" i="120"/>
  <c r="V23" i="120"/>
  <c r="U23" i="120"/>
  <c r="S23" i="120"/>
  <c r="R23" i="120"/>
  <c r="J23" i="120"/>
  <c r="W23" i="120" s="1"/>
  <c r="I23" i="120"/>
  <c r="V22" i="120"/>
  <c r="U22" i="120"/>
  <c r="S22" i="120"/>
  <c r="R22" i="120"/>
  <c r="J22" i="120"/>
  <c r="I22" i="120"/>
  <c r="W22" i="120" s="1"/>
  <c r="V21" i="120"/>
  <c r="U21" i="120"/>
  <c r="S21" i="120"/>
  <c r="R21" i="120"/>
  <c r="J21" i="120"/>
  <c r="I21" i="120"/>
  <c r="V20" i="120"/>
  <c r="U20" i="120"/>
  <c r="S20" i="120"/>
  <c r="R20" i="120"/>
  <c r="J20" i="120"/>
  <c r="I20" i="120"/>
  <c r="V19" i="120"/>
  <c r="U19" i="120"/>
  <c r="S19" i="120"/>
  <c r="R19" i="120"/>
  <c r="J19" i="120"/>
  <c r="W19" i="120" s="1"/>
  <c r="I19" i="120"/>
  <c r="V18" i="120"/>
  <c r="U18" i="120"/>
  <c r="S18" i="120"/>
  <c r="R18" i="120"/>
  <c r="J18" i="120"/>
  <c r="I18" i="120"/>
  <c r="W18" i="120" s="1"/>
  <c r="V17" i="120"/>
  <c r="U17" i="120"/>
  <c r="S17" i="120"/>
  <c r="R17" i="120"/>
  <c r="J17" i="120"/>
  <c r="W17" i="120" s="1"/>
  <c r="I17" i="120"/>
  <c r="V16" i="120"/>
  <c r="U16" i="120"/>
  <c r="S16" i="120"/>
  <c r="R16" i="120"/>
  <c r="J16" i="120"/>
  <c r="I16" i="120"/>
  <c r="W16" i="120" s="1"/>
  <c r="V15" i="120"/>
  <c r="U15" i="120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W13" i="120" s="1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U10" i="120"/>
  <c r="V10" i="120" s="1"/>
  <c r="S10" i="120"/>
  <c r="R10" i="120"/>
  <c r="J10" i="120"/>
  <c r="I10" i="120"/>
  <c r="W10" i="120" s="1"/>
  <c r="V9" i="120"/>
  <c r="U9" i="120"/>
  <c r="S9" i="120"/>
  <c r="R9" i="120"/>
  <c r="J9" i="120"/>
  <c r="I9" i="120"/>
  <c r="A9" i="120"/>
  <c r="A10" i="120" s="1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8" i="120"/>
  <c r="V8" i="120" s="1"/>
  <c r="S8" i="120"/>
  <c r="R8" i="120"/>
  <c r="J8" i="120"/>
  <c r="I8" i="120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I51" i="119"/>
  <c r="W51" i="119" s="1"/>
  <c r="U50" i="119"/>
  <c r="V50" i="119" s="1"/>
  <c r="S50" i="119"/>
  <c r="R50" i="119"/>
  <c r="J50" i="119"/>
  <c r="I50" i="119"/>
  <c r="W50" i="119" s="1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W39" i="119" s="1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W37" i="119" s="1"/>
  <c r="I37" i="119"/>
  <c r="U36" i="119"/>
  <c r="V36" i="119" s="1"/>
  <c r="S36" i="119"/>
  <c r="R36" i="119"/>
  <c r="J36" i="119"/>
  <c r="I36" i="119"/>
  <c r="W36" i="119" s="1"/>
  <c r="U35" i="119"/>
  <c r="V35" i="119" s="1"/>
  <c r="S35" i="119"/>
  <c r="R35" i="119"/>
  <c r="J35" i="119"/>
  <c r="I35" i="119"/>
  <c r="U34" i="119"/>
  <c r="V34" i="119" s="1"/>
  <c r="S34" i="119"/>
  <c r="R34" i="119"/>
  <c r="J34" i="119"/>
  <c r="I34" i="119"/>
  <c r="W34" i="119" s="1"/>
  <c r="U33" i="119"/>
  <c r="V33" i="119" s="1"/>
  <c r="S33" i="119"/>
  <c r="R33" i="119"/>
  <c r="J33" i="119"/>
  <c r="I33" i="119"/>
  <c r="U32" i="119"/>
  <c r="V32" i="119" s="1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U28" i="119"/>
  <c r="V28" i="119" s="1"/>
  <c r="S28" i="119"/>
  <c r="R28" i="119"/>
  <c r="J28" i="119"/>
  <c r="I28" i="119"/>
  <c r="W28" i="119" s="1"/>
  <c r="U27" i="119"/>
  <c r="V27" i="119" s="1"/>
  <c r="S27" i="119"/>
  <c r="R27" i="119"/>
  <c r="J27" i="119"/>
  <c r="W27" i="119" s="1"/>
  <c r="I27" i="119"/>
  <c r="BE26" i="119"/>
  <c r="V26" i="119"/>
  <c r="U26" i="119"/>
  <c r="S26" i="119"/>
  <c r="R26" i="119"/>
  <c r="J26" i="119"/>
  <c r="I26" i="119"/>
  <c r="W25" i="119"/>
  <c r="U25" i="119"/>
  <c r="V25" i="119" s="1"/>
  <c r="S25" i="119"/>
  <c r="R25" i="119"/>
  <c r="J25" i="119"/>
  <c r="I25" i="119"/>
  <c r="V24" i="119"/>
  <c r="U24" i="119"/>
  <c r="S24" i="119"/>
  <c r="R24" i="119"/>
  <c r="J24" i="119"/>
  <c r="I24" i="119"/>
  <c r="W24" i="119" s="1"/>
  <c r="U23" i="119"/>
  <c r="V23" i="119" s="1"/>
  <c r="S23" i="119"/>
  <c r="R23" i="119"/>
  <c r="J23" i="119"/>
  <c r="W23" i="119" s="1"/>
  <c r="I23" i="119"/>
  <c r="V22" i="119"/>
  <c r="U22" i="119"/>
  <c r="S22" i="119"/>
  <c r="R22" i="119"/>
  <c r="J22" i="119"/>
  <c r="I22" i="119"/>
  <c r="W22" i="119" s="1"/>
  <c r="U21" i="119"/>
  <c r="V21" i="119" s="1"/>
  <c r="S21" i="119"/>
  <c r="R21" i="119"/>
  <c r="J21" i="119"/>
  <c r="I21" i="119"/>
  <c r="W21" i="119" s="1"/>
  <c r="V20" i="119"/>
  <c r="U20" i="119"/>
  <c r="S20" i="119"/>
  <c r="R20" i="119"/>
  <c r="J20" i="119"/>
  <c r="I20" i="119"/>
  <c r="W19" i="119"/>
  <c r="U19" i="119"/>
  <c r="V19" i="119" s="1"/>
  <c r="S19" i="119"/>
  <c r="R19" i="119"/>
  <c r="J19" i="119"/>
  <c r="I19" i="119"/>
  <c r="V18" i="119"/>
  <c r="U18" i="119"/>
  <c r="S18" i="119"/>
  <c r="R18" i="119"/>
  <c r="J18" i="119"/>
  <c r="I18" i="119"/>
  <c r="W18" i="119" s="1"/>
  <c r="W17" i="119"/>
  <c r="U17" i="119"/>
  <c r="V17" i="119" s="1"/>
  <c r="S17" i="119"/>
  <c r="R17" i="119"/>
  <c r="J17" i="119"/>
  <c r="I17" i="119"/>
  <c r="V16" i="119"/>
  <c r="U16" i="119"/>
  <c r="S16" i="119"/>
  <c r="R16" i="119"/>
  <c r="J16" i="119"/>
  <c r="I16" i="119"/>
  <c r="W16" i="119" s="1"/>
  <c r="U15" i="119"/>
  <c r="V15" i="119" s="1"/>
  <c r="S15" i="119"/>
  <c r="R15" i="119"/>
  <c r="J15" i="119"/>
  <c r="I15" i="119"/>
  <c r="W15" i="119" s="1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V12" i="119"/>
  <c r="U12" i="119"/>
  <c r="S12" i="119"/>
  <c r="R12" i="119"/>
  <c r="J12" i="119"/>
  <c r="I12" i="119"/>
  <c r="U11" i="119"/>
  <c r="V11" i="119" s="1"/>
  <c r="S11" i="119"/>
  <c r="R11" i="119"/>
  <c r="J11" i="119"/>
  <c r="I11" i="119"/>
  <c r="W11" i="119" s="1"/>
  <c r="U10" i="119"/>
  <c r="V10" i="119" s="1"/>
  <c r="S10" i="119"/>
  <c r="R10" i="119"/>
  <c r="J10" i="119"/>
  <c r="I10" i="119"/>
  <c r="W10" i="119" s="1"/>
  <c r="A10" i="119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W9" i="119"/>
  <c r="U9" i="119"/>
  <c r="S9" i="119"/>
  <c r="R9" i="119"/>
  <c r="J9" i="119"/>
  <c r="I9" i="119"/>
  <c r="A9" i="119"/>
  <c r="V8" i="119"/>
  <c r="U8" i="119"/>
  <c r="S8" i="119"/>
  <c r="R8" i="119"/>
  <c r="J8" i="119"/>
  <c r="I8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W53" i="118" s="1"/>
  <c r="U52" i="118"/>
  <c r="V52" i="118" s="1"/>
  <c r="S52" i="118"/>
  <c r="R52" i="118"/>
  <c r="J52" i="118"/>
  <c r="I52" i="118"/>
  <c r="W52" i="118" s="1"/>
  <c r="V51" i="118"/>
  <c r="U51" i="118"/>
  <c r="S51" i="118"/>
  <c r="R51" i="118"/>
  <c r="J51" i="118"/>
  <c r="I51" i="118"/>
  <c r="W51" i="118" s="1"/>
  <c r="U50" i="118"/>
  <c r="V50" i="118" s="1"/>
  <c r="S50" i="118"/>
  <c r="R50" i="118"/>
  <c r="J50" i="118"/>
  <c r="I50" i="118"/>
  <c r="W50" i="118" s="1"/>
  <c r="V49" i="118"/>
  <c r="U49" i="118"/>
  <c r="S49" i="118"/>
  <c r="R49" i="118"/>
  <c r="J49" i="118"/>
  <c r="I49" i="118"/>
  <c r="W49" i="118" s="1"/>
  <c r="U48" i="118"/>
  <c r="V48" i="118" s="1"/>
  <c r="S48" i="118"/>
  <c r="R48" i="118"/>
  <c r="J48" i="118"/>
  <c r="I48" i="118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W39" i="118" s="1"/>
  <c r="I39" i="118"/>
  <c r="V38" i="118"/>
  <c r="U38" i="118"/>
  <c r="S38" i="118"/>
  <c r="R38" i="118"/>
  <c r="J38" i="118"/>
  <c r="I38" i="118"/>
  <c r="U37" i="118"/>
  <c r="V37" i="118" s="1"/>
  <c r="S37" i="118"/>
  <c r="R37" i="118"/>
  <c r="J37" i="118"/>
  <c r="I37" i="118"/>
  <c r="V36" i="118"/>
  <c r="U36" i="118"/>
  <c r="S36" i="118"/>
  <c r="R36" i="118"/>
  <c r="J36" i="118"/>
  <c r="I36" i="118"/>
  <c r="W36" i="118" s="1"/>
  <c r="U35" i="118"/>
  <c r="V35" i="118" s="1"/>
  <c r="S35" i="118"/>
  <c r="R35" i="118"/>
  <c r="J35" i="118"/>
  <c r="I35" i="118"/>
  <c r="U34" i="118"/>
  <c r="V34" i="118" s="1"/>
  <c r="S34" i="118"/>
  <c r="R34" i="118"/>
  <c r="J34" i="118"/>
  <c r="I34" i="118"/>
  <c r="W34" i="118" s="1"/>
  <c r="U33" i="118"/>
  <c r="V33" i="118" s="1"/>
  <c r="S33" i="118"/>
  <c r="R33" i="118"/>
  <c r="J33" i="118"/>
  <c r="I33" i="118"/>
  <c r="V32" i="118"/>
  <c r="U32" i="118"/>
  <c r="S32" i="118"/>
  <c r="R32" i="118"/>
  <c r="J32" i="118"/>
  <c r="I32" i="118"/>
  <c r="W32" i="118" s="1"/>
  <c r="U31" i="118"/>
  <c r="V31" i="118" s="1"/>
  <c r="S31" i="118"/>
  <c r="R31" i="118"/>
  <c r="J31" i="118"/>
  <c r="I31" i="118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V28" i="118"/>
  <c r="U28" i="118"/>
  <c r="S28" i="118"/>
  <c r="R28" i="118"/>
  <c r="J28" i="118"/>
  <c r="I28" i="118"/>
  <c r="W28" i="118" s="1"/>
  <c r="U27" i="118"/>
  <c r="V27" i="118" s="1"/>
  <c r="S27" i="118"/>
  <c r="R27" i="118"/>
  <c r="J27" i="118"/>
  <c r="W27" i="118" s="1"/>
  <c r="I27" i="118"/>
  <c r="BE26" i="118"/>
  <c r="U26" i="118"/>
  <c r="V26" i="118" s="1"/>
  <c r="S26" i="118"/>
  <c r="R26" i="118"/>
  <c r="J26" i="118"/>
  <c r="I26" i="118"/>
  <c r="W25" i="118"/>
  <c r="U25" i="118"/>
  <c r="V25" i="118" s="1"/>
  <c r="S25" i="118"/>
  <c r="R25" i="118"/>
  <c r="J25" i="118"/>
  <c r="I25" i="118"/>
  <c r="U24" i="118"/>
  <c r="V24" i="118" s="1"/>
  <c r="S24" i="118"/>
  <c r="R24" i="118"/>
  <c r="J24" i="118"/>
  <c r="I24" i="118"/>
  <c r="W24" i="118" s="1"/>
  <c r="U23" i="118"/>
  <c r="V23" i="118" s="1"/>
  <c r="S23" i="118"/>
  <c r="R23" i="118"/>
  <c r="J23" i="118"/>
  <c r="I23" i="118"/>
  <c r="U22" i="118"/>
  <c r="V22" i="118" s="1"/>
  <c r="S22" i="118"/>
  <c r="R22" i="118"/>
  <c r="J22" i="118"/>
  <c r="I22" i="118"/>
  <c r="W22" i="118" s="1"/>
  <c r="U21" i="118"/>
  <c r="V21" i="118" s="1"/>
  <c r="S21" i="118"/>
  <c r="R21" i="118"/>
  <c r="J21" i="118"/>
  <c r="I21" i="118"/>
  <c r="W21" i="118" s="1"/>
  <c r="U20" i="118"/>
  <c r="V20" i="118" s="1"/>
  <c r="S20" i="118"/>
  <c r="R20" i="118"/>
  <c r="J20" i="118"/>
  <c r="I20" i="118"/>
  <c r="W19" i="118"/>
  <c r="U19" i="118"/>
  <c r="V19" i="118" s="1"/>
  <c r="S19" i="118"/>
  <c r="R19" i="118"/>
  <c r="J19" i="118"/>
  <c r="I19" i="118"/>
  <c r="U18" i="118"/>
  <c r="V18" i="118" s="1"/>
  <c r="S18" i="118"/>
  <c r="R18" i="118"/>
  <c r="J18" i="118"/>
  <c r="I18" i="118"/>
  <c r="W18" i="118" s="1"/>
  <c r="W17" i="118"/>
  <c r="U17" i="118"/>
  <c r="V17" i="118" s="1"/>
  <c r="S17" i="118"/>
  <c r="R17" i="118"/>
  <c r="J17" i="118"/>
  <c r="I17" i="118"/>
  <c r="U16" i="118"/>
  <c r="V16" i="118" s="1"/>
  <c r="S16" i="118"/>
  <c r="R16" i="118"/>
  <c r="J16" i="118"/>
  <c r="I16" i="118"/>
  <c r="W16" i="118" s="1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W12" i="118" s="1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U9" i="118"/>
  <c r="S9" i="118"/>
  <c r="R9" i="118"/>
  <c r="J9" i="118"/>
  <c r="I9" i="118"/>
  <c r="W9" i="118" s="1"/>
  <c r="A9" i="118"/>
  <c r="U8" i="118"/>
  <c r="V8" i="118" s="1"/>
  <c r="S8" i="118"/>
  <c r="R8" i="118"/>
  <c r="J8" i="118"/>
  <c r="I8" i="118"/>
  <c r="W60" i="124" l="1"/>
  <c r="W54" i="123"/>
  <c r="W48" i="123"/>
  <c r="W35" i="123"/>
  <c r="R60" i="123"/>
  <c r="W23" i="123"/>
  <c r="W20" i="123"/>
  <c r="W14" i="123"/>
  <c r="S60" i="123"/>
  <c r="U60" i="123"/>
  <c r="J60" i="123"/>
  <c r="W12" i="123"/>
  <c r="W44" i="121"/>
  <c r="W25" i="121"/>
  <c r="W20" i="121"/>
  <c r="W15" i="121"/>
  <c r="W14" i="121"/>
  <c r="S60" i="121"/>
  <c r="R60" i="121"/>
  <c r="U60" i="121"/>
  <c r="J60" i="121"/>
  <c r="W13" i="121"/>
  <c r="W11" i="121"/>
  <c r="I60" i="121"/>
  <c r="W9" i="121"/>
  <c r="W8" i="121"/>
  <c r="W41" i="120"/>
  <c r="W38" i="120"/>
  <c r="W35" i="120"/>
  <c r="W26" i="120"/>
  <c r="W25" i="120"/>
  <c r="W24" i="120"/>
  <c r="W21" i="120"/>
  <c r="W20" i="120"/>
  <c r="W15" i="120"/>
  <c r="S60" i="120"/>
  <c r="U60" i="120"/>
  <c r="R60" i="120"/>
  <c r="J60" i="120"/>
  <c r="W11" i="120"/>
  <c r="W9" i="120"/>
  <c r="W8" i="120"/>
  <c r="W48" i="119"/>
  <c r="W41" i="119"/>
  <c r="W38" i="119"/>
  <c r="W35" i="119"/>
  <c r="W33" i="119"/>
  <c r="W31" i="119"/>
  <c r="W30" i="119"/>
  <c r="W29" i="119"/>
  <c r="W26" i="119"/>
  <c r="W20" i="119"/>
  <c r="W13" i="119"/>
  <c r="J60" i="119"/>
  <c r="W12" i="119"/>
  <c r="S60" i="119"/>
  <c r="U60" i="119"/>
  <c r="R60" i="119"/>
  <c r="W8" i="119"/>
  <c r="W48" i="118"/>
  <c r="W44" i="118"/>
  <c r="W41" i="118"/>
  <c r="W38" i="118"/>
  <c r="W37" i="118"/>
  <c r="W35" i="118"/>
  <c r="W33" i="118"/>
  <c r="W31" i="118"/>
  <c r="W30" i="118"/>
  <c r="W29" i="118"/>
  <c r="W26" i="118"/>
  <c r="W23" i="118"/>
  <c r="W20" i="118"/>
  <c r="W14" i="118"/>
  <c r="S60" i="118"/>
  <c r="R60" i="118"/>
  <c r="U60" i="118"/>
  <c r="I60" i="118"/>
  <c r="W8" i="118"/>
  <c r="J60" i="118"/>
  <c r="V9" i="123"/>
  <c r="V60" i="123" s="1"/>
  <c r="I60" i="123"/>
  <c r="V8" i="121"/>
  <c r="V60" i="121" s="1"/>
  <c r="V60" i="120"/>
  <c r="I60" i="120"/>
  <c r="V44" i="120"/>
  <c r="I60" i="119"/>
  <c r="V9" i="119"/>
  <c r="V60" i="119" s="1"/>
  <c r="V60" i="118"/>
  <c r="V9" i="118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I59" i="117"/>
  <c r="S58" i="117"/>
  <c r="R58" i="117"/>
  <c r="J58" i="117"/>
  <c r="I58" i="117"/>
  <c r="S57" i="117"/>
  <c r="R57" i="117"/>
  <c r="J57" i="117"/>
  <c r="I57" i="117"/>
  <c r="S56" i="117"/>
  <c r="R56" i="117"/>
  <c r="J56" i="117"/>
  <c r="I56" i="117"/>
  <c r="S55" i="117"/>
  <c r="R55" i="117"/>
  <c r="J55" i="117"/>
  <c r="I55" i="117"/>
  <c r="V54" i="117"/>
  <c r="U54" i="117"/>
  <c r="S54" i="117"/>
  <c r="R54" i="117"/>
  <c r="J54" i="117"/>
  <c r="I54" i="117"/>
  <c r="U53" i="117"/>
  <c r="V53" i="117" s="1"/>
  <c r="S53" i="117"/>
  <c r="R53" i="117"/>
  <c r="J53" i="117"/>
  <c r="I53" i="117"/>
  <c r="W53" i="117" s="1"/>
  <c r="V52" i="117"/>
  <c r="U52" i="117"/>
  <c r="S52" i="117"/>
  <c r="R52" i="117"/>
  <c r="J52" i="117"/>
  <c r="I52" i="117"/>
  <c r="W51" i="117"/>
  <c r="U51" i="117"/>
  <c r="V51" i="117" s="1"/>
  <c r="S51" i="117"/>
  <c r="R51" i="117"/>
  <c r="J51" i="117"/>
  <c r="I51" i="117"/>
  <c r="V50" i="117"/>
  <c r="U50" i="117"/>
  <c r="S50" i="117"/>
  <c r="R50" i="117"/>
  <c r="J50" i="117"/>
  <c r="I50" i="117"/>
  <c r="U49" i="117"/>
  <c r="V49" i="117" s="1"/>
  <c r="S49" i="117"/>
  <c r="R49" i="117"/>
  <c r="J49" i="117"/>
  <c r="W49" i="117" s="1"/>
  <c r="I49" i="117"/>
  <c r="V48" i="117"/>
  <c r="U48" i="117"/>
  <c r="S48" i="117"/>
  <c r="R48" i="117"/>
  <c r="J48" i="117"/>
  <c r="I48" i="117"/>
  <c r="W47" i="117"/>
  <c r="U47" i="117"/>
  <c r="V47" i="117" s="1"/>
  <c r="S47" i="117"/>
  <c r="R47" i="117"/>
  <c r="J47" i="117"/>
  <c r="I47" i="117"/>
  <c r="V46" i="117"/>
  <c r="U46" i="117"/>
  <c r="S46" i="117"/>
  <c r="R46" i="117"/>
  <c r="J46" i="117"/>
  <c r="I46" i="117"/>
  <c r="S45" i="117"/>
  <c r="R45" i="117"/>
  <c r="J45" i="117"/>
  <c r="I45" i="117"/>
  <c r="U44" i="117"/>
  <c r="V44" i="117" s="1"/>
  <c r="S44" i="117"/>
  <c r="R44" i="117"/>
  <c r="J44" i="117"/>
  <c r="I44" i="117"/>
  <c r="S43" i="117"/>
  <c r="R43" i="117"/>
  <c r="J43" i="117"/>
  <c r="I43" i="117"/>
  <c r="U42" i="117"/>
  <c r="V42" i="117" s="1"/>
  <c r="S42" i="117"/>
  <c r="R42" i="117"/>
  <c r="J42" i="117"/>
  <c r="I42" i="117"/>
  <c r="W42" i="117" s="1"/>
  <c r="U41" i="117"/>
  <c r="V41" i="117" s="1"/>
  <c r="S41" i="117"/>
  <c r="R41" i="117"/>
  <c r="J41" i="117"/>
  <c r="I41" i="117"/>
  <c r="V40" i="117"/>
  <c r="U40" i="117"/>
  <c r="S40" i="117"/>
  <c r="R40" i="117"/>
  <c r="J40" i="117"/>
  <c r="I40" i="117"/>
  <c r="W40" i="117" s="1"/>
  <c r="U39" i="117"/>
  <c r="V39" i="117" s="1"/>
  <c r="S39" i="117"/>
  <c r="R39" i="117"/>
  <c r="J39" i="117"/>
  <c r="I39" i="117"/>
  <c r="W39" i="117" s="1"/>
  <c r="U38" i="117"/>
  <c r="V38" i="117" s="1"/>
  <c r="S38" i="117"/>
  <c r="R38" i="117"/>
  <c r="J38" i="117"/>
  <c r="I38" i="117"/>
  <c r="U37" i="117"/>
  <c r="V37" i="117" s="1"/>
  <c r="S37" i="117"/>
  <c r="R37" i="117"/>
  <c r="J37" i="117"/>
  <c r="I37" i="117"/>
  <c r="W37" i="117" s="1"/>
  <c r="U36" i="117"/>
  <c r="V36" i="117" s="1"/>
  <c r="S36" i="117"/>
  <c r="R36" i="117"/>
  <c r="J36" i="117"/>
  <c r="I36" i="117"/>
  <c r="W36" i="117" s="1"/>
  <c r="U35" i="117"/>
  <c r="V35" i="117" s="1"/>
  <c r="S35" i="117"/>
  <c r="R35" i="117"/>
  <c r="J35" i="117"/>
  <c r="I35" i="117"/>
  <c r="U34" i="117"/>
  <c r="V34" i="117" s="1"/>
  <c r="S34" i="117"/>
  <c r="R34" i="117"/>
  <c r="J34" i="117"/>
  <c r="I34" i="117"/>
  <c r="W34" i="117" s="1"/>
  <c r="U33" i="117"/>
  <c r="V33" i="117" s="1"/>
  <c r="S33" i="117"/>
  <c r="R33" i="117"/>
  <c r="J33" i="117"/>
  <c r="I33" i="117"/>
  <c r="W33" i="117" s="1"/>
  <c r="U32" i="117"/>
  <c r="V32" i="117" s="1"/>
  <c r="S32" i="117"/>
  <c r="R32" i="117"/>
  <c r="J32" i="117"/>
  <c r="I32" i="117"/>
  <c r="W32" i="117" s="1"/>
  <c r="U31" i="117"/>
  <c r="V31" i="117" s="1"/>
  <c r="S31" i="117"/>
  <c r="R31" i="117"/>
  <c r="J31" i="117"/>
  <c r="I31" i="117"/>
  <c r="W31" i="117" s="1"/>
  <c r="U30" i="117"/>
  <c r="V30" i="117" s="1"/>
  <c r="S30" i="117"/>
  <c r="R30" i="117"/>
  <c r="J30" i="117"/>
  <c r="I30" i="117"/>
  <c r="U29" i="117"/>
  <c r="V29" i="117" s="1"/>
  <c r="S29" i="117"/>
  <c r="R29" i="117"/>
  <c r="J29" i="117"/>
  <c r="I29" i="117"/>
  <c r="W29" i="117" s="1"/>
  <c r="U28" i="117"/>
  <c r="V28" i="117" s="1"/>
  <c r="S28" i="117"/>
  <c r="R28" i="117"/>
  <c r="J28" i="117"/>
  <c r="I28" i="117"/>
  <c r="W28" i="117" s="1"/>
  <c r="U27" i="117"/>
  <c r="V27" i="117" s="1"/>
  <c r="S27" i="117"/>
  <c r="R27" i="117"/>
  <c r="J27" i="117"/>
  <c r="I27" i="117"/>
  <c r="W27" i="117" s="1"/>
  <c r="BE26" i="117"/>
  <c r="U26" i="117"/>
  <c r="V26" i="117" s="1"/>
  <c r="S26" i="117"/>
  <c r="R26" i="117"/>
  <c r="J26" i="117"/>
  <c r="I26" i="117"/>
  <c r="V25" i="117"/>
  <c r="U25" i="117"/>
  <c r="S25" i="117"/>
  <c r="R25" i="117"/>
  <c r="J25" i="117"/>
  <c r="W25" i="117" s="1"/>
  <c r="I25" i="117"/>
  <c r="U24" i="117"/>
  <c r="V24" i="117" s="1"/>
  <c r="S24" i="117"/>
  <c r="R24" i="117"/>
  <c r="J24" i="117"/>
  <c r="I24" i="117"/>
  <c r="V23" i="117"/>
  <c r="U23" i="117"/>
  <c r="S23" i="117"/>
  <c r="R23" i="117"/>
  <c r="J23" i="117"/>
  <c r="I23" i="117"/>
  <c r="U22" i="117"/>
  <c r="V22" i="117" s="1"/>
  <c r="S22" i="117"/>
  <c r="R22" i="117"/>
  <c r="J22" i="117"/>
  <c r="I22" i="117"/>
  <c r="W22" i="117" s="1"/>
  <c r="V21" i="117"/>
  <c r="U21" i="117"/>
  <c r="S21" i="117"/>
  <c r="R21" i="117"/>
  <c r="J21" i="117"/>
  <c r="I21" i="117"/>
  <c r="U20" i="117"/>
  <c r="V20" i="117" s="1"/>
  <c r="S20" i="117"/>
  <c r="R20" i="117"/>
  <c r="J20" i="117"/>
  <c r="I20" i="117"/>
  <c r="V19" i="117"/>
  <c r="U19" i="117"/>
  <c r="S19" i="117"/>
  <c r="R19" i="117"/>
  <c r="J19" i="117"/>
  <c r="W19" i="117" s="1"/>
  <c r="I19" i="117"/>
  <c r="U18" i="117"/>
  <c r="V18" i="117" s="1"/>
  <c r="S18" i="117"/>
  <c r="R18" i="117"/>
  <c r="J18" i="117"/>
  <c r="I18" i="117"/>
  <c r="W18" i="117" s="1"/>
  <c r="V17" i="117"/>
  <c r="U17" i="117"/>
  <c r="S17" i="117"/>
  <c r="R17" i="117"/>
  <c r="J17" i="117"/>
  <c r="W17" i="117" s="1"/>
  <c r="I17" i="117"/>
  <c r="U16" i="117"/>
  <c r="V16" i="117" s="1"/>
  <c r="S16" i="117"/>
  <c r="R16" i="117"/>
  <c r="J16" i="117"/>
  <c r="I16" i="117"/>
  <c r="W16" i="117" s="1"/>
  <c r="V15" i="117"/>
  <c r="U15" i="117"/>
  <c r="S15" i="117"/>
  <c r="R15" i="117"/>
  <c r="J15" i="117"/>
  <c r="I15" i="117"/>
  <c r="U14" i="117"/>
  <c r="V14" i="117" s="1"/>
  <c r="S14" i="117"/>
  <c r="R14" i="117"/>
  <c r="J14" i="117"/>
  <c r="I14" i="117"/>
  <c r="U13" i="117"/>
  <c r="V13" i="117" s="1"/>
  <c r="S13" i="117"/>
  <c r="R13" i="117"/>
  <c r="J13" i="117"/>
  <c r="I13" i="117"/>
  <c r="U12" i="117"/>
  <c r="V12" i="117" s="1"/>
  <c r="S12" i="117"/>
  <c r="R12" i="117"/>
  <c r="J12" i="117"/>
  <c r="I12" i="117"/>
  <c r="V11" i="117"/>
  <c r="U11" i="117"/>
  <c r="S11" i="117"/>
  <c r="R11" i="117"/>
  <c r="J11" i="117"/>
  <c r="W11" i="117" s="1"/>
  <c r="I11" i="117"/>
  <c r="U10" i="117"/>
  <c r="V10" i="117" s="1"/>
  <c r="S10" i="117"/>
  <c r="R10" i="117"/>
  <c r="J10" i="117"/>
  <c r="I10" i="117"/>
  <c r="W10" i="117" s="1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V9" i="117"/>
  <c r="U9" i="117"/>
  <c r="S9" i="117"/>
  <c r="R9" i="117"/>
  <c r="J9" i="117"/>
  <c r="I9" i="117"/>
  <c r="A9" i="117"/>
  <c r="U8" i="117"/>
  <c r="V8" i="117" s="1"/>
  <c r="S8" i="117"/>
  <c r="R8" i="117"/>
  <c r="J8" i="117"/>
  <c r="I8" i="117"/>
  <c r="W8" i="117" s="1"/>
  <c r="W60" i="123" l="1"/>
  <c r="W60" i="121"/>
  <c r="W60" i="120"/>
  <c r="W60" i="119"/>
  <c r="W60" i="118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E01330-A09E-4D24-A7AB-A63FFB146A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5A771FF-49FF-4A42-A0F3-474550366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C6E11D0-66EE-4705-937F-6B58BC7A80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293AF32-F60A-488D-A6C0-E0153D789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ABE2C9E-A0D5-41A5-ACB0-CC73974E0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B2C7EC5-A39B-4A04-9B98-23B17CEE6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A1D3DE4-1D32-48F4-B0B1-4E20C5D0BD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26D640F-9C9A-4049-92EB-B93B85BAB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6600902-7D3B-419D-ADEB-F984A4E3C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630CD2E-7524-4744-B4F6-C760DCC37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6DCCD8A-BFF6-4C49-9F7F-1F6447ED5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A6510CD-03BD-47E3-813A-D8285D1B7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78BB2F2-7AE2-4DF4-9255-866BCB109A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89A17FD-C1DB-4976-8FEE-F5BABD2F7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D84510-0BDC-4DA7-A52E-2E015A654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C2C7961-6969-47BE-B936-671866D799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22C1E8F-DE36-41B8-87BA-2B0DA636FE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C7DE1DD-274D-468A-A3FD-1ED86CCA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2DE4616-5F24-4E23-A55F-82F8B11E71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EB914F2-90F1-4F66-9AC1-1165E89C5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F87298E6-2A02-4F3F-8428-034E08560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5ACC47B-B854-47BF-9170-B0AE0203A2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9175664B-AD15-4695-B7FC-2EE3B58393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6E07D93F-91B2-4222-BAB6-B47783799B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634565B5-7BF8-49C9-B443-C293BE3388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DA8D116-2057-4DEE-B394-5FEA2DAF73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A985F77-06F2-49F8-B9DE-8D53F29441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FE4DBCEA-B6D5-41D9-94AF-D34824C6C6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CD8E6288-B673-44C1-9D80-5F4B4CB829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E26A17E-DB3C-47C8-9A77-1D115D9166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27E5A2CE-B933-4449-9E31-DE778DA4EF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3513011F-5A92-4D3C-A5B8-454809E737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8316A89D-8827-404F-A3BB-AF1CF8524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DDB140C-0E72-4A44-A1D6-A156AAE743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504A4A7-2A3A-47D7-9AB4-6076D98EE5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29034850-D688-4069-8B23-84A0DB7244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3D025F8-84EB-47DA-B5AE-E18F057148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C764E53-CFF7-414D-98A7-035855DC2A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BA78DA7-1E2B-497D-9E78-BB6B0B653A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93A33AF-189F-426D-967C-6E71725D01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48A60B6-88FE-4EBB-BE55-0F0694AF8E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30C1B344-966E-42E5-9349-2BBE7A991E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376637C1-50BF-458C-8D47-C60A58F072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0957F17C-081F-4FE8-AE0D-443FAA6C6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5053ACDC-4E82-4DE4-9735-6CFA7A88D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<sst xmlns="http://schemas.openxmlformats.org/spreadsheetml/2006/main" count="1802" uniqueCount="82">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</sst>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32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167" fontId="2" fillId="5" borderId="44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topLeftCell="A29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4"/>
      <c r="Q1" s="215"/>
      <c r="R1" s="215"/>
      <c r="S1" s="215"/>
      <c r="T1" s="215"/>
      <c r="U1" s="215"/>
      <c r="V1" s="215"/>
      <c r="W1" s="215"/>
      <c r="X1" s="21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7" t="s">
        <v>74</v>
      </c>
      <c r="C4" s="218" t="s">
        <v>3</v>
      </c>
      <c r="D4" s="219" t="s">
        <v>75</v>
      </c>
      <c r="E4" s="220" t="s">
        <v>4</v>
      </c>
      <c r="F4" s="221"/>
      <c r="G4" s="222" t="s">
        <v>5</v>
      </c>
      <c r="H4" s="224" t="s">
        <v>75</v>
      </c>
      <c r="I4" s="226" t="s">
        <v>6</v>
      </c>
      <c r="J4" s="224" t="s">
        <v>75</v>
      </c>
      <c r="L4" s="228" t="s">
        <v>7</v>
      </c>
      <c r="M4" s="229"/>
      <c r="N4" s="229"/>
      <c r="O4" s="229"/>
      <c r="P4" s="229"/>
      <c r="Q4" s="229"/>
      <c r="R4" s="229"/>
      <c r="S4" s="229"/>
      <c r="T4" s="229"/>
      <c r="U4" s="229"/>
      <c r="V4" s="230"/>
      <c r="W4" s="229"/>
      <c r="X4" s="231"/>
    </row>
    <row r="5" spans="1:60" s="3" customFormat="1" ht="57" thickBot="1" x14ac:dyDescent="0.3">
      <c r="A5" s="49"/>
      <c r="B5" s="217"/>
      <c r="C5" s="218"/>
      <c r="D5" s="219"/>
      <c r="E5" s="48" t="s">
        <v>8</v>
      </c>
      <c r="F5" s="106" t="s">
        <v>9</v>
      </c>
      <c r="G5" s="223"/>
      <c r="H5" s="225"/>
      <c r="I5" s="227"/>
      <c r="J5" s="22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20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D48" sqref="AD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4">
        <v>46174</v>
      </c>
      <c r="Q1" s="215"/>
      <c r="R1" s="215"/>
      <c r="S1" s="215"/>
      <c r="T1" s="215"/>
      <c r="U1" s="215"/>
      <c r="V1" s="215"/>
      <c r="W1" s="215"/>
      <c r="X1" s="21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7" t="s">
        <v>74</v>
      </c>
      <c r="C4" s="218" t="s">
        <v>3</v>
      </c>
      <c r="D4" s="219" t="s">
        <v>75</v>
      </c>
      <c r="E4" s="220" t="s">
        <v>4</v>
      </c>
      <c r="F4" s="221"/>
      <c r="G4" s="222" t="s">
        <v>5</v>
      </c>
      <c r="H4" s="224" t="s">
        <v>75</v>
      </c>
      <c r="I4" s="226" t="s">
        <v>6</v>
      </c>
      <c r="J4" s="224" t="s">
        <v>75</v>
      </c>
      <c r="L4" s="228" t="s">
        <v>7</v>
      </c>
      <c r="M4" s="229"/>
      <c r="N4" s="229"/>
      <c r="O4" s="229"/>
      <c r="P4" s="229"/>
      <c r="Q4" s="229"/>
      <c r="R4" s="229"/>
      <c r="S4" s="229"/>
      <c r="T4" s="229"/>
      <c r="U4" s="229"/>
      <c r="V4" s="230"/>
      <c r="W4" s="229"/>
      <c r="X4" s="231"/>
    </row>
    <row r="5" spans="1:60" s="3" customFormat="1" ht="57" thickBot="1" x14ac:dyDescent="0.3">
      <c r="A5" s="49"/>
      <c r="B5" s="217"/>
      <c r="C5" s="218"/>
      <c r="D5" s="219"/>
      <c r="E5" s="48" t="s">
        <v>8</v>
      </c>
      <c r="F5" s="182" t="s">
        <v>9</v>
      </c>
      <c r="G5" s="223"/>
      <c r="H5" s="225"/>
      <c r="I5" s="227"/>
      <c r="J5" s="22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7</v>
      </c>
      <c r="E8" s="112"/>
      <c r="F8" s="112"/>
      <c r="G8" s="76"/>
      <c r="H8" s="73">
        <v>22</v>
      </c>
      <c r="I8" s="73">
        <f>C8-G8</f>
        <v>35</v>
      </c>
      <c r="J8" s="77">
        <f t="shared" ref="J8:J12" si="0">D8-H8</f>
        <v>-15</v>
      </c>
      <c r="K8" s="41"/>
      <c r="L8" s="112"/>
      <c r="M8" s="112">
        <v>22</v>
      </c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22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152</v>
      </c>
      <c r="D10" s="111"/>
      <c r="E10" s="112"/>
      <c r="F10" s="112"/>
      <c r="G10" s="76">
        <v>3</v>
      </c>
      <c r="H10" s="73"/>
      <c r="I10" s="73">
        <f t="shared" si="4"/>
        <v>149</v>
      </c>
      <c r="J10" s="95">
        <f t="shared" si="0"/>
        <v>0</v>
      </c>
      <c r="K10" s="41"/>
      <c r="L10" s="112">
        <v>2</v>
      </c>
      <c r="M10" s="112"/>
      <c r="N10" s="112">
        <v>1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3576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/>
      <c r="H11" s="73"/>
      <c r="I11" s="73">
        <f t="shared" si="4"/>
        <v>35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840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3180</v>
      </c>
      <c r="D13" s="114"/>
      <c r="E13" s="115"/>
      <c r="F13" s="115"/>
      <c r="G13" s="78">
        <v>19</v>
      </c>
      <c r="H13" s="79">
        <v>24</v>
      </c>
      <c r="I13" s="80">
        <f t="shared" si="4"/>
        <v>3161</v>
      </c>
      <c r="J13" s="94">
        <f>D13-H13</f>
        <v>-24</v>
      </c>
      <c r="K13" s="53"/>
      <c r="L13" s="121">
        <v>6</v>
      </c>
      <c r="M13" s="121">
        <v>12</v>
      </c>
      <c r="N13" s="121">
        <v>3</v>
      </c>
      <c r="O13" s="121">
        <v>12</v>
      </c>
      <c r="P13" s="121">
        <v>10</v>
      </c>
      <c r="Q13" s="122"/>
      <c r="R13" s="97">
        <f>L13+N13+P13</f>
        <v>19</v>
      </c>
      <c r="S13" s="125">
        <f>M13+O13+Q13</f>
        <v>24</v>
      </c>
      <c r="T13" s="53"/>
      <c r="U13" s="131">
        <f>L13*24+N13*24+P13*24</f>
        <v>456</v>
      </c>
      <c r="V13" s="135">
        <f t="shared" si="6"/>
        <v>19</v>
      </c>
      <c r="W13" s="133">
        <f>I13*24+J13</f>
        <v>75840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/>
      <c r="H14" s="73"/>
      <c r="I14" s="93">
        <f t="shared" si="4"/>
        <v>3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88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/>
      <c r="H16" s="73"/>
      <c r="I16" s="73">
        <f t="shared" si="4"/>
        <v>1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24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/>
      <c r="H21" s="73"/>
      <c r="I21" s="73">
        <f t="shared" si="4"/>
        <v>6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/>
      <c r="H22" s="73"/>
      <c r="I22" s="73">
        <f t="shared" si="4"/>
        <v>3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/>
      <c r="H25" s="73"/>
      <c r="I25" s="73">
        <f t="shared" si="4"/>
        <v>9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216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152</v>
      </c>
      <c r="D26" s="111">
        <v>1</v>
      </c>
      <c r="E26" s="112"/>
      <c r="F26" s="112"/>
      <c r="G26" s="76">
        <v>3</v>
      </c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>
        <v>1</v>
      </c>
      <c r="O26" s="112"/>
      <c r="P26" s="112">
        <v>2</v>
      </c>
      <c r="Q26" s="120"/>
      <c r="R26" s="86">
        <f t="shared" si="7"/>
        <v>3</v>
      </c>
      <c r="S26" s="124">
        <f t="shared" si="7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124</v>
      </c>
      <c r="D29" s="111"/>
      <c r="E29" s="112"/>
      <c r="F29" s="112"/>
      <c r="G29" s="76">
        <v>14</v>
      </c>
      <c r="H29" s="73"/>
      <c r="I29" s="73">
        <f t="shared" si="4"/>
        <v>110</v>
      </c>
      <c r="J29" s="77">
        <f t="shared" si="4"/>
        <v>0</v>
      </c>
      <c r="K29" s="42"/>
      <c r="L29" s="112">
        <v>10</v>
      </c>
      <c r="M29" s="112"/>
      <c r="N29" s="112">
        <v>1</v>
      </c>
      <c r="O29" s="112"/>
      <c r="P29" s="112">
        <v>3</v>
      </c>
      <c r="Q29" s="120"/>
      <c r="R29" s="86">
        <f t="shared" si="7"/>
        <v>14</v>
      </c>
      <c r="S29" s="124">
        <f t="shared" si="7"/>
        <v>0</v>
      </c>
      <c r="T29" s="42"/>
      <c r="U29" s="107">
        <f t="shared" si="5"/>
        <v>336</v>
      </c>
      <c r="V29" s="130">
        <f t="shared" si="6"/>
        <v>14</v>
      </c>
      <c r="W29" s="129">
        <f t="shared" si="8"/>
        <v>2640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/>
      <c r="H30" s="73"/>
      <c r="I30" s="73">
        <f t="shared" si="4"/>
        <v>63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1517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/>
      <c r="H33" s="73"/>
      <c r="I33" s="73">
        <f t="shared" si="4"/>
        <v>6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144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90</v>
      </c>
      <c r="D35" s="111">
        <v>14</v>
      </c>
      <c r="E35" s="112"/>
      <c r="F35" s="112"/>
      <c r="G35" s="76">
        <v>11</v>
      </c>
      <c r="H35" s="73"/>
      <c r="I35" s="73">
        <f t="shared" si="4"/>
        <v>79</v>
      </c>
      <c r="J35" s="77">
        <f t="shared" si="4"/>
        <v>14</v>
      </c>
      <c r="K35" s="41"/>
      <c r="L35" s="112">
        <v>10</v>
      </c>
      <c r="M35" s="112"/>
      <c r="N35" s="112"/>
      <c r="O35" s="112"/>
      <c r="P35" s="112">
        <v>1</v>
      </c>
      <c r="Q35" s="120"/>
      <c r="R35" s="86">
        <f t="shared" si="7"/>
        <v>11</v>
      </c>
      <c r="S35" s="124">
        <f t="shared" si="7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8"/>
        <v>1910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/>
      <c r="H37" s="73"/>
      <c r="I37" s="73">
        <f t="shared" si="4"/>
        <v>1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24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4609</v>
      </c>
      <c r="D38" s="114">
        <v>2</v>
      </c>
      <c r="E38" s="115"/>
      <c r="F38" s="115"/>
      <c r="G38" s="78">
        <v>78</v>
      </c>
      <c r="H38" s="79">
        <v>1</v>
      </c>
      <c r="I38" s="139">
        <f t="shared" si="4"/>
        <v>4531</v>
      </c>
      <c r="J38" s="140">
        <f t="shared" si="4"/>
        <v>1</v>
      </c>
      <c r="K38" s="51"/>
      <c r="L38" s="121">
        <v>13</v>
      </c>
      <c r="M38" s="121">
        <v>1</v>
      </c>
      <c r="N38" s="121">
        <v>40</v>
      </c>
      <c r="O38" s="121"/>
      <c r="P38" s="121">
        <v>25</v>
      </c>
      <c r="Q38" s="122"/>
      <c r="R38" s="97">
        <f t="shared" si="7"/>
        <v>78</v>
      </c>
      <c r="S38" s="125">
        <f t="shared" si="7"/>
        <v>1</v>
      </c>
      <c r="T38" s="51"/>
      <c r="U38" s="131">
        <f>L38*6+N38*6+P38*6</f>
        <v>468</v>
      </c>
      <c r="V38" s="135">
        <f>U38/6</f>
        <v>78</v>
      </c>
      <c r="W38" s="133">
        <f>I38*6+J38</f>
        <v>27187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/>
      <c r="H41" s="150"/>
      <c r="I41" s="151">
        <f t="shared" si="4"/>
        <v>95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2288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289</v>
      </c>
      <c r="D42" s="164"/>
      <c r="E42" s="165"/>
      <c r="F42" s="165"/>
      <c r="G42" s="166">
        <v>22</v>
      </c>
      <c r="H42" s="167"/>
      <c r="I42" s="166">
        <f t="shared" si="4"/>
        <v>267</v>
      </c>
      <c r="J42" s="168">
        <f t="shared" si="4"/>
        <v>0</v>
      </c>
      <c r="K42" s="169"/>
      <c r="L42" s="165">
        <v>10</v>
      </c>
      <c r="M42" s="165"/>
      <c r="N42" s="165">
        <v>6</v>
      </c>
      <c r="O42" s="165"/>
      <c r="P42" s="165">
        <v>6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3204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40125</v>
      </c>
      <c r="D44" s="114">
        <v>3</v>
      </c>
      <c r="E44" s="115"/>
      <c r="F44" s="115"/>
      <c r="G44" s="78">
        <v>1152</v>
      </c>
      <c r="H44" s="79"/>
      <c r="I44" s="73">
        <f>C44+E44-G44</f>
        <v>38973</v>
      </c>
      <c r="J44" s="177">
        <f t="shared" si="4"/>
        <v>3</v>
      </c>
      <c r="K44" s="51"/>
      <c r="L44" s="121">
        <v>570</v>
      </c>
      <c r="M44" s="121"/>
      <c r="N44" s="121">
        <v>275</v>
      </c>
      <c r="O44" s="121"/>
      <c r="P44" s="121">
        <v>307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233841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/>
      <c r="H48" s="139"/>
      <c r="I48" s="139">
        <f t="shared" si="4"/>
        <v>2810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16861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/>
      <c r="H50" s="73"/>
      <c r="I50" s="73">
        <f t="shared" si="4"/>
        <v>2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48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/>
      <c r="H53" s="73"/>
      <c r="I53" s="73">
        <f t="shared" si="4"/>
        <v>1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24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/>
      <c r="H54" s="73"/>
      <c r="I54" s="73">
        <f t="shared" si="4"/>
        <v>10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240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52013</v>
      </c>
      <c r="D60" s="54">
        <f>SUM(D8:D59)</f>
        <v>118</v>
      </c>
      <c r="E60" s="44">
        <f>SUM(E8:E59)</f>
        <v>0</v>
      </c>
      <c r="F60" s="44"/>
      <c r="G60" s="28">
        <f>SUM(G8:G59)</f>
        <v>1302</v>
      </c>
      <c r="H60" s="56">
        <f>SUM(H8:H59)</f>
        <v>47</v>
      </c>
      <c r="I60" s="56">
        <f>SUM(I8:I59)</f>
        <v>50711</v>
      </c>
      <c r="J60" s="45">
        <f>SUM(J8:J59)</f>
        <v>71</v>
      </c>
      <c r="K60" s="46"/>
      <c r="L60" s="74">
        <f t="shared" ref="L60:S60" si="20">SUM(L8:L59)</f>
        <v>621</v>
      </c>
      <c r="M60" s="74">
        <f t="shared" si="20"/>
        <v>35</v>
      </c>
      <c r="N60" s="74">
        <f t="shared" si="20"/>
        <v>327</v>
      </c>
      <c r="O60" s="74">
        <f t="shared" si="20"/>
        <v>12</v>
      </c>
      <c r="P60" s="74">
        <f t="shared" si="20"/>
        <v>354</v>
      </c>
      <c r="Q60" s="75">
        <f t="shared" si="20"/>
        <v>0</v>
      </c>
      <c r="R60" s="85">
        <f t="shared" si="20"/>
        <v>1302</v>
      </c>
      <c r="S60" s="84">
        <f t="shared" si="20"/>
        <v>47</v>
      </c>
      <c r="T60" s="46"/>
      <c r="U60" s="43">
        <f>SUM(U8:U59)</f>
        <v>8844</v>
      </c>
      <c r="V60" s="102">
        <f>SUM(V8:V59)</f>
        <v>1302</v>
      </c>
      <c r="W60" s="186">
        <f>SUM(W8:W59)</f>
        <v>379667</v>
      </c>
      <c r="X60" s="45"/>
    </row>
    <row r="61" spans="1:24" ht="19.5" thickBot="1" x14ac:dyDescent="0.3">
      <c r="V61" s="103"/>
    </row>
    <row r="62" spans="1:24" ht="18.75" customHeight="1" x14ac:dyDescent="0.25">
      <c r="G62" s="20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652E6-A638-4076-943D-E58E1CCFB30D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44" sqref="AD4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4">
        <v>46175</v>
      </c>
      <c r="Q1" s="215"/>
      <c r="R1" s="215"/>
      <c r="S1" s="215"/>
      <c r="T1" s="215"/>
      <c r="U1" s="215"/>
      <c r="V1" s="215"/>
      <c r="W1" s="215"/>
      <c r="X1" s="21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7" t="s">
        <v>74</v>
      </c>
      <c r="C4" s="218" t="s">
        <v>3</v>
      </c>
      <c r="D4" s="219" t="s">
        <v>75</v>
      </c>
      <c r="E4" s="220" t="s">
        <v>4</v>
      </c>
      <c r="F4" s="221"/>
      <c r="G4" s="222" t="s">
        <v>5</v>
      </c>
      <c r="H4" s="224" t="s">
        <v>75</v>
      </c>
      <c r="I4" s="226" t="s">
        <v>6</v>
      </c>
      <c r="J4" s="224" t="s">
        <v>75</v>
      </c>
      <c r="L4" s="228" t="s">
        <v>7</v>
      </c>
      <c r="M4" s="229"/>
      <c r="N4" s="229"/>
      <c r="O4" s="229"/>
      <c r="P4" s="229"/>
      <c r="Q4" s="229"/>
      <c r="R4" s="229"/>
      <c r="S4" s="229"/>
      <c r="T4" s="229"/>
      <c r="U4" s="229"/>
      <c r="V4" s="230"/>
      <c r="W4" s="229"/>
      <c r="X4" s="231"/>
    </row>
    <row r="5" spans="1:60" s="3" customFormat="1" ht="57" thickBot="1" x14ac:dyDescent="0.3">
      <c r="A5" s="49"/>
      <c r="B5" s="217"/>
      <c r="C5" s="218"/>
      <c r="D5" s="219"/>
      <c r="E5" s="48" t="s">
        <v>8</v>
      </c>
      <c r="F5" s="185" t="s">
        <v>9</v>
      </c>
      <c r="G5" s="223"/>
      <c r="H5" s="225"/>
      <c r="I5" s="227"/>
      <c r="J5" s="22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11</v>
      </c>
      <c r="H8" s="73"/>
      <c r="I8" s="73">
        <f>C8-G8</f>
        <v>23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>
        <v>10</v>
      </c>
      <c r="Q8" s="120"/>
      <c r="R8" s="86">
        <f t="shared" ref="R8:S12" si="1">L8+N8+P8</f>
        <v>11</v>
      </c>
      <c r="S8" s="124">
        <f t="shared" si="1"/>
        <v>0</v>
      </c>
      <c r="T8" s="41"/>
      <c r="U8" s="107">
        <f>L8*24+N8*24+P8*24</f>
        <v>264</v>
      </c>
      <c r="V8" s="130">
        <f>U8/24</f>
        <v>11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149</v>
      </c>
      <c r="D10" s="111"/>
      <c r="E10" s="112"/>
      <c r="F10" s="112"/>
      <c r="G10" s="76">
        <v>5</v>
      </c>
      <c r="H10" s="73"/>
      <c r="I10" s="73">
        <f t="shared" si="4"/>
        <v>144</v>
      </c>
      <c r="J10" s="95">
        <f t="shared" si="0"/>
        <v>0</v>
      </c>
      <c r="K10" s="41"/>
      <c r="L10" s="112"/>
      <c r="M10" s="112"/>
      <c r="N10" s="112"/>
      <c r="O10" s="112"/>
      <c r="P10" s="112">
        <v>5</v>
      </c>
      <c r="Q10" s="120"/>
      <c r="R10" s="99">
        <f t="shared" si="1"/>
        <v>5</v>
      </c>
      <c r="S10" s="126">
        <f t="shared" si="1"/>
        <v>0</v>
      </c>
      <c r="T10" s="41"/>
      <c r="U10" s="107">
        <f>L10*24+N10*24+P10*24</f>
        <v>120</v>
      </c>
      <c r="V10" s="134">
        <f>U10/24</f>
        <v>5</v>
      </c>
      <c r="W10" s="129">
        <f t="shared" si="2"/>
        <v>3456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>
        <v>2</v>
      </c>
      <c r="H11" s="73"/>
      <c r="I11" s="73">
        <f t="shared" si="4"/>
        <v>33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792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>
        <v>5</v>
      </c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>
        <v>5</v>
      </c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3160</v>
      </c>
      <c r="D13" s="114"/>
      <c r="E13" s="115"/>
      <c r="F13" s="115"/>
      <c r="G13" s="78">
        <v>14</v>
      </c>
      <c r="H13" s="79">
        <v>12</v>
      </c>
      <c r="I13" s="80">
        <f t="shared" si="4"/>
        <v>3146</v>
      </c>
      <c r="J13" s="94">
        <f>D13-H13</f>
        <v>-12</v>
      </c>
      <c r="K13" s="53"/>
      <c r="L13" s="121"/>
      <c r="M13" s="121">
        <v>12</v>
      </c>
      <c r="N13" s="121">
        <v>13</v>
      </c>
      <c r="O13" s="121"/>
      <c r="P13" s="121">
        <v>1</v>
      </c>
      <c r="Q13" s="122"/>
      <c r="R13" s="97">
        <f>L13+N13+P13</f>
        <v>14</v>
      </c>
      <c r="S13" s="125">
        <f>M13+O13+Q13</f>
        <v>12</v>
      </c>
      <c r="T13" s="53"/>
      <c r="U13" s="131">
        <f>L13*24+N13*24+P13*24</f>
        <v>336</v>
      </c>
      <c r="V13" s="135">
        <f t="shared" si="6"/>
        <v>14</v>
      </c>
      <c r="W13" s="133">
        <f>I13*24+J13</f>
        <v>75492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>
        <v>1</v>
      </c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>
        <v>1</v>
      </c>
      <c r="Q14" s="120"/>
      <c r="R14" s="96">
        <f t="shared" ref="R14:S59" si="7">L14+N14+P14</f>
        <v>1</v>
      </c>
      <c r="S14" s="126">
        <f t="shared" si="7"/>
        <v>0</v>
      </c>
      <c r="T14" s="41"/>
      <c r="U14" s="107">
        <f t="shared" si="5"/>
        <v>24</v>
      </c>
      <c r="V14" s="109">
        <f t="shared" si="6"/>
        <v>1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>
        <v>1</v>
      </c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>
        <v>1</v>
      </c>
      <c r="Q16" s="120"/>
      <c r="R16" s="86">
        <f t="shared" si="7"/>
        <v>1</v>
      </c>
      <c r="S16" s="124">
        <f t="shared" si="7"/>
        <v>0</v>
      </c>
      <c r="T16" s="41"/>
      <c r="U16" s="107">
        <f t="shared" si="5"/>
        <v>24</v>
      </c>
      <c r="V16" s="130">
        <f t="shared" si="6"/>
        <v>1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>
        <v>1</v>
      </c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>
        <v>1</v>
      </c>
      <c r="Q20" s="120"/>
      <c r="R20" s="86">
        <f t="shared" si="7"/>
        <v>1</v>
      </c>
      <c r="S20" s="124">
        <f t="shared" si="7"/>
        <v>0</v>
      </c>
      <c r="T20" s="41"/>
      <c r="U20" s="107">
        <f t="shared" si="5"/>
        <v>24</v>
      </c>
      <c r="V20" s="130">
        <f t="shared" si="6"/>
        <v>1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>
        <v>1</v>
      </c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>
        <v>1</v>
      </c>
      <c r="Q21" s="120"/>
      <c r="R21" s="86">
        <f t="shared" si="7"/>
        <v>1</v>
      </c>
      <c r="S21" s="124">
        <f t="shared" si="7"/>
        <v>0</v>
      </c>
      <c r="T21" s="41"/>
      <c r="U21" s="107">
        <f t="shared" si="5"/>
        <v>24</v>
      </c>
      <c r="V21" s="130">
        <f t="shared" si="6"/>
        <v>1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>
        <v>1</v>
      </c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>
        <v>1</v>
      </c>
      <c r="Q22" s="120"/>
      <c r="R22" s="86">
        <f t="shared" si="7"/>
        <v>1</v>
      </c>
      <c r="S22" s="124">
        <f t="shared" si="7"/>
        <v>0</v>
      </c>
      <c r="T22" s="41"/>
      <c r="U22" s="107">
        <f t="shared" si="5"/>
        <v>24</v>
      </c>
      <c r="V22" s="130">
        <f t="shared" si="6"/>
        <v>1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>
        <v>1</v>
      </c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>
        <v>1</v>
      </c>
      <c r="Q23" s="120"/>
      <c r="R23" s="86">
        <f t="shared" si="7"/>
        <v>1</v>
      </c>
      <c r="S23" s="124">
        <f t="shared" si="7"/>
        <v>0</v>
      </c>
      <c r="T23" s="42"/>
      <c r="U23" s="107">
        <f t="shared" si="5"/>
        <v>24</v>
      </c>
      <c r="V23" s="130">
        <f t="shared" si="6"/>
        <v>1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>
        <v>1</v>
      </c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>
        <v>1</v>
      </c>
      <c r="Q25" s="120"/>
      <c r="R25" s="86">
        <f t="shared" si="7"/>
        <v>1</v>
      </c>
      <c r="S25" s="124">
        <f t="shared" si="7"/>
        <v>0</v>
      </c>
      <c r="T25" s="41"/>
      <c r="U25" s="107">
        <f t="shared" si="5"/>
        <v>24</v>
      </c>
      <c r="V25" s="130">
        <f t="shared" si="6"/>
        <v>1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/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2</v>
      </c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>
        <v>2</v>
      </c>
      <c r="Q28" s="120"/>
      <c r="R28" s="86">
        <f t="shared" si="7"/>
        <v>2</v>
      </c>
      <c r="S28" s="124">
        <f t="shared" si="7"/>
        <v>0</v>
      </c>
      <c r="T28" s="42"/>
      <c r="U28" s="107">
        <f t="shared" si="5"/>
        <v>48</v>
      </c>
      <c r="V28" s="130">
        <f t="shared" si="6"/>
        <v>2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110</v>
      </c>
      <c r="D29" s="111"/>
      <c r="E29" s="112"/>
      <c r="F29" s="112"/>
      <c r="G29" s="76">
        <v>10</v>
      </c>
      <c r="H29" s="73"/>
      <c r="I29" s="73">
        <f t="shared" si="4"/>
        <v>100</v>
      </c>
      <c r="J29" s="77">
        <f t="shared" si="4"/>
        <v>0</v>
      </c>
      <c r="K29" s="42"/>
      <c r="L29" s="112"/>
      <c r="M29" s="112"/>
      <c r="N29" s="112"/>
      <c r="O29" s="112"/>
      <c r="P29" s="112">
        <v>10</v>
      </c>
      <c r="Q29" s="120"/>
      <c r="R29" s="86">
        <f t="shared" si="7"/>
        <v>10</v>
      </c>
      <c r="S29" s="124">
        <f t="shared" si="7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>
        <v>10</v>
      </c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>
        <v>10</v>
      </c>
      <c r="Q30" s="120"/>
      <c r="R30" s="86">
        <f t="shared" si="7"/>
        <v>10</v>
      </c>
      <c r="S30" s="124">
        <f t="shared" si="7"/>
        <v>0</v>
      </c>
      <c r="T30" s="41"/>
      <c r="U30" s="107">
        <f t="shared" si="5"/>
        <v>240</v>
      </c>
      <c r="V30" s="130">
        <f t="shared" si="6"/>
        <v>10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2</v>
      </c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>
        <v>2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>
        <v>2</v>
      </c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>
        <v>2</v>
      </c>
      <c r="Q33" s="120"/>
      <c r="R33" s="86">
        <f t="shared" si="7"/>
        <v>2</v>
      </c>
      <c r="S33" s="124">
        <f t="shared" si="7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>
        <v>2</v>
      </c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>
        <v>2</v>
      </c>
      <c r="Q34" s="120"/>
      <c r="R34" s="86">
        <f t="shared" si="7"/>
        <v>2</v>
      </c>
      <c r="S34" s="124">
        <f t="shared" si="7"/>
        <v>0</v>
      </c>
      <c r="T34" s="41"/>
      <c r="U34" s="107">
        <f t="shared" si="5"/>
        <v>48</v>
      </c>
      <c r="V34" s="130">
        <f t="shared" si="6"/>
        <v>2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79</v>
      </c>
      <c r="D35" s="111">
        <v>14</v>
      </c>
      <c r="E35" s="112"/>
      <c r="F35" s="112"/>
      <c r="G35" s="76">
        <v>2</v>
      </c>
      <c r="H35" s="73"/>
      <c r="I35" s="73">
        <f t="shared" si="4"/>
        <v>77</v>
      </c>
      <c r="J35" s="77">
        <f t="shared" si="4"/>
        <v>14</v>
      </c>
      <c r="K35" s="41"/>
      <c r="L35" s="112">
        <v>1</v>
      </c>
      <c r="M35" s="112"/>
      <c r="N35" s="112">
        <v>1</v>
      </c>
      <c r="O35" s="112"/>
      <c r="P35" s="112">
        <v>74</v>
      </c>
      <c r="Q35" s="120"/>
      <c r="R35" s="86">
        <f t="shared" si="7"/>
        <v>76</v>
      </c>
      <c r="S35" s="124">
        <f t="shared" si="7"/>
        <v>0</v>
      </c>
      <c r="T35" s="41"/>
      <c r="U35" s="107">
        <f t="shared" si="5"/>
        <v>1824</v>
      </c>
      <c r="V35" s="130">
        <f t="shared" si="6"/>
        <v>76</v>
      </c>
      <c r="W35" s="129">
        <f t="shared" si="8"/>
        <v>1862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>
        <v>1</v>
      </c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>
        <v>1</v>
      </c>
      <c r="Q37" s="120"/>
      <c r="R37" s="86">
        <f t="shared" si="7"/>
        <v>1</v>
      </c>
      <c r="S37" s="124">
        <f t="shared" si="7"/>
        <v>0</v>
      </c>
      <c r="T37" s="41"/>
      <c r="U37" s="107">
        <f t="shared" si="5"/>
        <v>24</v>
      </c>
      <c r="V37" s="130">
        <f t="shared" si="6"/>
        <v>1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4531</v>
      </c>
      <c r="D38" s="114">
        <v>1</v>
      </c>
      <c r="E38" s="115"/>
      <c r="F38" s="115"/>
      <c r="G38" s="78">
        <v>86</v>
      </c>
      <c r="H38" s="79"/>
      <c r="I38" s="139">
        <f t="shared" si="4"/>
        <v>4445</v>
      </c>
      <c r="J38" s="140">
        <f t="shared" si="4"/>
        <v>1</v>
      </c>
      <c r="K38" s="51"/>
      <c r="L38" s="121">
        <v>11</v>
      </c>
      <c r="M38" s="121"/>
      <c r="N38" s="121">
        <v>1</v>
      </c>
      <c r="O38" s="121"/>
      <c r="P38" s="121">
        <v>74</v>
      </c>
      <c r="Q38" s="122"/>
      <c r="R38" s="97">
        <f t="shared" si="7"/>
        <v>86</v>
      </c>
      <c r="S38" s="125">
        <f t="shared" si="7"/>
        <v>0</v>
      </c>
      <c r="T38" s="51"/>
      <c r="U38" s="131">
        <f>L38*6+N38*6+P38*6</f>
        <v>516</v>
      </c>
      <c r="V38" s="135">
        <f>U38/6</f>
        <v>86</v>
      </c>
      <c r="W38" s="133">
        <f>I38*6+J38</f>
        <v>26671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>
        <v>1</v>
      </c>
      <c r="H41" s="150"/>
      <c r="I41" s="151">
        <f t="shared" si="4"/>
        <v>94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2264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267</v>
      </c>
      <c r="D42" s="164"/>
      <c r="E42" s="165"/>
      <c r="F42" s="165"/>
      <c r="G42" s="166">
        <v>22</v>
      </c>
      <c r="H42" s="167"/>
      <c r="I42" s="166">
        <f t="shared" si="4"/>
        <v>245</v>
      </c>
      <c r="J42" s="168">
        <f t="shared" si="4"/>
        <v>0</v>
      </c>
      <c r="K42" s="169"/>
      <c r="L42" s="165">
        <v>2</v>
      </c>
      <c r="M42" s="165"/>
      <c r="N42" s="165"/>
      <c r="O42" s="165"/>
      <c r="P42" s="165">
        <v>20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2940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38973</v>
      </c>
      <c r="D44" s="114">
        <v>3</v>
      </c>
      <c r="E44" s="115"/>
      <c r="F44" s="115"/>
      <c r="G44" s="78">
        <v>980</v>
      </c>
      <c r="H44" s="79"/>
      <c r="I44" s="73">
        <f>C44+E44-G44</f>
        <v>37993</v>
      </c>
      <c r="J44" s="177">
        <f t="shared" si="4"/>
        <v>3</v>
      </c>
      <c r="K44" s="51"/>
      <c r="L44" s="121">
        <v>304</v>
      </c>
      <c r="M44" s="121"/>
      <c r="N44" s="121">
        <v>330</v>
      </c>
      <c r="O44" s="121"/>
      <c r="P44" s="121">
        <v>346</v>
      </c>
      <c r="Q44" s="122"/>
      <c r="R44" s="178">
        <f t="shared" si="7"/>
        <v>980</v>
      </c>
      <c r="S44" s="179">
        <f t="shared" si="7"/>
        <v>0</v>
      </c>
      <c r="T44" s="51"/>
      <c r="U44" s="131">
        <f>L44*6+N44*6+P44*6</f>
        <v>5880</v>
      </c>
      <c r="V44" s="130">
        <f>U44/6</f>
        <v>980</v>
      </c>
      <c r="W44" s="133">
        <f>I44*6+J44</f>
        <v>227961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>
        <v>1</v>
      </c>
      <c r="Q46" s="120"/>
      <c r="R46" s="86">
        <f t="shared" si="7"/>
        <v>1</v>
      </c>
      <c r="S46" s="128">
        <f t="shared" si="7"/>
        <v>0</v>
      </c>
      <c r="T46" s="41"/>
      <c r="U46" s="107">
        <f t="shared" ref="U46:U47" si="11">L46*24+N46*24+P46*24</f>
        <v>24</v>
      </c>
      <c r="V46" s="134">
        <f t="shared" ref="V46:V47" si="12">U46/24</f>
        <v>1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>
        <v>10</v>
      </c>
      <c r="H48" s="139"/>
      <c r="I48" s="139">
        <f t="shared" si="4"/>
        <v>2800</v>
      </c>
      <c r="J48" s="140">
        <f t="shared" si="4"/>
        <v>1</v>
      </c>
      <c r="K48" s="51"/>
      <c r="L48" s="121"/>
      <c r="M48" s="121"/>
      <c r="N48" s="121"/>
      <c r="O48" s="121"/>
      <c r="P48" s="121">
        <v>10</v>
      </c>
      <c r="Q48" s="122"/>
      <c r="R48" s="97">
        <f t="shared" si="7"/>
        <v>10</v>
      </c>
      <c r="S48" s="144">
        <f t="shared" si="7"/>
        <v>0</v>
      </c>
      <c r="T48" s="51"/>
      <c r="U48" s="131">
        <f>L48*6+N48*6+P48*6</f>
        <v>60</v>
      </c>
      <c r="V48" s="135">
        <f>U48/6</f>
        <v>10</v>
      </c>
      <c r="W48" s="133">
        <f>I48*6+J48</f>
        <v>16801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>
        <v>1</v>
      </c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>
        <v>1</v>
      </c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>
        <v>1</v>
      </c>
      <c r="Q53" s="120"/>
      <c r="R53" s="96">
        <f t="shared" si="7"/>
        <v>1</v>
      </c>
      <c r="S53" s="126">
        <f t="shared" si="7"/>
        <v>0</v>
      </c>
      <c r="T53" s="41"/>
      <c r="U53" s="107">
        <f t="shared" ref="U53:U54" si="17">L53*24+N53*24+P53*24</f>
        <v>24</v>
      </c>
      <c r="V53" s="109">
        <f t="shared" ref="V53:V54" si="18">U53/24</f>
        <v>1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>
        <v>1</v>
      </c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>
        <v>1</v>
      </c>
      <c r="Q54" s="120"/>
      <c r="R54" s="86">
        <f t="shared" si="7"/>
        <v>1</v>
      </c>
      <c r="S54" s="124">
        <f t="shared" si="7"/>
        <v>0</v>
      </c>
      <c r="T54" s="41"/>
      <c r="U54" s="107">
        <f t="shared" si="17"/>
        <v>24</v>
      </c>
      <c r="V54" s="130">
        <f t="shared" si="18"/>
        <v>1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50709</v>
      </c>
      <c r="D60" s="54">
        <f>SUM(D8:D59)</f>
        <v>119</v>
      </c>
      <c r="E60" s="44">
        <f>SUM(E8:E59)</f>
        <v>0</v>
      </c>
      <c r="F60" s="44"/>
      <c r="G60" s="28">
        <f>SUM(G8:G59)</f>
        <v>1178</v>
      </c>
      <c r="H60" s="56">
        <f>SUM(H8:H59)</f>
        <v>12</v>
      </c>
      <c r="I60" s="56">
        <f>SUM(I8:I59)</f>
        <v>49531</v>
      </c>
      <c r="J60" s="45">
        <f>SUM(J8:J59)</f>
        <v>107</v>
      </c>
      <c r="K60" s="46"/>
      <c r="L60" s="74">
        <f t="shared" ref="L60:S60" si="20">SUM(L8:L59)</f>
        <v>319</v>
      </c>
      <c r="M60" s="74">
        <f t="shared" si="20"/>
        <v>12</v>
      </c>
      <c r="N60" s="74">
        <f t="shared" si="20"/>
        <v>345</v>
      </c>
      <c r="O60" s="74">
        <f t="shared" si="20"/>
        <v>0</v>
      </c>
      <c r="P60" s="74">
        <f t="shared" si="20"/>
        <v>588</v>
      </c>
      <c r="Q60" s="75">
        <f t="shared" si="20"/>
        <v>0</v>
      </c>
      <c r="R60" s="85">
        <f t="shared" si="20"/>
        <v>1252</v>
      </c>
      <c r="S60" s="84">
        <f t="shared" si="20"/>
        <v>12</v>
      </c>
      <c r="T60" s="46"/>
      <c r="U60" s="43">
        <f>SUM(U8:U59)</f>
        <v>10416</v>
      </c>
      <c r="V60" s="102">
        <f>SUM(V8:V59)</f>
        <v>1252</v>
      </c>
      <c r="W60" s="187">
        <f>SUM(W8:W59)</f>
        <v>371015</v>
      </c>
      <c r="X60" s="45"/>
    </row>
    <row r="61" spans="1:24" ht="19.5" thickBot="1" x14ac:dyDescent="0.3">
      <c r="V61" s="103"/>
    </row>
    <row r="62" spans="1:24" ht="18.75" customHeight="1" x14ac:dyDescent="0.25">
      <c r="G62" s="20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42B2-8920-47D7-B2DD-0A88F0876B89}">
  <sheetPr>
    <pageSetUpPr fitToPage="1"/>
  </sheetPr>
  <dimension ref="A1:BH90"/>
  <sheetViews>
    <sheetView zoomScale="85" zoomScaleNormal="85" zoomScaleSheetLayoutView="85" zoomScalePageLayoutView="80" workbookViewId="0">
      <selection activeCell="AF48" sqref="AF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4">
        <v>46176</v>
      </c>
      <c r="Q1" s="215"/>
      <c r="R1" s="215"/>
      <c r="S1" s="215"/>
      <c r="T1" s="215"/>
      <c r="U1" s="215"/>
      <c r="V1" s="215"/>
      <c r="W1" s="215"/>
      <c r="X1" s="21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7" t="s">
        <v>74</v>
      </c>
      <c r="C4" s="218" t="s">
        <v>3</v>
      </c>
      <c r="D4" s="219" t="s">
        <v>75</v>
      </c>
      <c r="E4" s="220" t="s">
        <v>4</v>
      </c>
      <c r="F4" s="221"/>
      <c r="G4" s="222" t="s">
        <v>5</v>
      </c>
      <c r="H4" s="224" t="s">
        <v>75</v>
      </c>
      <c r="I4" s="226" t="s">
        <v>6</v>
      </c>
      <c r="J4" s="224" t="s">
        <v>75</v>
      </c>
      <c r="L4" s="228" t="s">
        <v>7</v>
      </c>
      <c r="M4" s="229"/>
      <c r="N4" s="229"/>
      <c r="O4" s="229"/>
      <c r="P4" s="229"/>
      <c r="Q4" s="229"/>
      <c r="R4" s="229"/>
      <c r="S4" s="229"/>
      <c r="T4" s="229"/>
      <c r="U4" s="229"/>
      <c r="V4" s="230"/>
      <c r="W4" s="229"/>
      <c r="X4" s="231"/>
    </row>
    <row r="5" spans="1:60" s="3" customFormat="1" ht="57" thickBot="1" x14ac:dyDescent="0.3">
      <c r="A5" s="49"/>
      <c r="B5" s="217"/>
      <c r="C5" s="218"/>
      <c r="D5" s="219"/>
      <c r="E5" s="48" t="s">
        <v>8</v>
      </c>
      <c r="F5" s="185" t="s">
        <v>9</v>
      </c>
      <c r="G5" s="223"/>
      <c r="H5" s="225"/>
      <c r="I5" s="227"/>
      <c r="J5" s="22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>
        <v>2</v>
      </c>
      <c r="H9" s="79"/>
      <c r="I9" s="78">
        <f t="shared" ref="I9:J59" si="4">C9-G9</f>
        <v>96</v>
      </c>
      <c r="J9" s="94">
        <f t="shared" si="0"/>
        <v>0</v>
      </c>
      <c r="K9" s="51"/>
      <c r="L9" s="121">
        <v>2</v>
      </c>
      <c r="M9" s="121"/>
      <c r="N9" s="121"/>
      <c r="O9" s="121"/>
      <c r="P9" s="121"/>
      <c r="Q9" s="122">
        <v>2</v>
      </c>
      <c r="R9" s="98">
        <f t="shared" si="1"/>
        <v>2</v>
      </c>
      <c r="S9" s="125">
        <f t="shared" si="1"/>
        <v>2</v>
      </c>
      <c r="T9" s="51"/>
      <c r="U9" s="131">
        <f>L9*24+N9*24+P9*24</f>
        <v>48</v>
      </c>
      <c r="V9" s="132">
        <f>U9/24</f>
        <v>2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144</v>
      </c>
      <c r="D10" s="111"/>
      <c r="E10" s="112"/>
      <c r="F10" s="112"/>
      <c r="G10" s="76">
        <v>1</v>
      </c>
      <c r="H10" s="73"/>
      <c r="I10" s="73">
        <f t="shared" si="4"/>
        <v>143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>
        <v>1</v>
      </c>
      <c r="R10" s="99">
        <f t="shared" si="1"/>
        <v>1</v>
      </c>
      <c r="S10" s="126">
        <f t="shared" si="1"/>
        <v>1</v>
      </c>
      <c r="T10" s="41"/>
      <c r="U10" s="107">
        <f>L10*24+N10*24+P10*24</f>
        <v>24</v>
      </c>
      <c r="V10" s="134">
        <f>U10/24</f>
        <v>1</v>
      </c>
      <c r="W10" s="129">
        <f t="shared" si="2"/>
        <v>3432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33</v>
      </c>
      <c r="D11" s="111"/>
      <c r="E11" s="112"/>
      <c r="F11" s="112"/>
      <c r="G11" s="76">
        <v>1</v>
      </c>
      <c r="H11" s="73"/>
      <c r="I11" s="73">
        <f t="shared" si="4"/>
        <v>32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>
        <v>1</v>
      </c>
      <c r="R11" s="86">
        <f t="shared" si="1"/>
        <v>1</v>
      </c>
      <c r="S11" s="124">
        <f t="shared" si="1"/>
        <v>1</v>
      </c>
      <c r="T11" s="41"/>
      <c r="U11" s="107">
        <f>L11*24+N11*24+P11*24</f>
        <v>24</v>
      </c>
      <c r="V11" s="130">
        <f>U11/24</f>
        <v>1</v>
      </c>
      <c r="W11" s="129">
        <f t="shared" si="2"/>
        <v>768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3145</v>
      </c>
      <c r="D13" s="114">
        <v>12</v>
      </c>
      <c r="E13" s="115"/>
      <c r="F13" s="115"/>
      <c r="G13" s="78">
        <v>13</v>
      </c>
      <c r="H13" s="79">
        <v>12</v>
      </c>
      <c r="I13" s="80">
        <f t="shared" si="4"/>
        <v>3132</v>
      </c>
      <c r="J13" s="94">
        <f>D13-H13</f>
        <v>0</v>
      </c>
      <c r="K13" s="53"/>
      <c r="L13" s="121">
        <v>13</v>
      </c>
      <c r="M13" s="121">
        <v>12</v>
      </c>
      <c r="N13" s="121"/>
      <c r="O13" s="121"/>
      <c r="P13" s="121"/>
      <c r="Q13" s="122"/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75168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>
        <v>2</v>
      </c>
      <c r="H26" s="73"/>
      <c r="I26" s="73">
        <f t="shared" si="4"/>
        <v>147</v>
      </c>
      <c r="J26" s="77">
        <f t="shared" si="4"/>
        <v>1</v>
      </c>
      <c r="K26" s="41"/>
      <c r="L26" s="112">
        <v>2</v>
      </c>
      <c r="M26" s="112"/>
      <c r="N26" s="112"/>
      <c r="O26" s="112"/>
      <c r="P26" s="112"/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3529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100</v>
      </c>
      <c r="D29" s="111"/>
      <c r="E29" s="112"/>
      <c r="F29" s="112"/>
      <c r="G29" s="76">
        <v>2</v>
      </c>
      <c r="H29" s="73"/>
      <c r="I29" s="73">
        <f t="shared" si="4"/>
        <v>98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2352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77</v>
      </c>
      <c r="D35" s="111">
        <v>14</v>
      </c>
      <c r="E35" s="112"/>
      <c r="F35" s="112"/>
      <c r="G35" s="76">
        <v>1</v>
      </c>
      <c r="H35" s="73"/>
      <c r="I35" s="73">
        <f t="shared" si="4"/>
        <v>76</v>
      </c>
      <c r="J35" s="77">
        <f t="shared" si="4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4445</v>
      </c>
      <c r="D38" s="114">
        <v>1</v>
      </c>
      <c r="E38" s="115"/>
      <c r="F38" s="115"/>
      <c r="G38" s="78">
        <v>10</v>
      </c>
      <c r="H38" s="79"/>
      <c r="I38" s="139">
        <f t="shared" si="4"/>
        <v>4435</v>
      </c>
      <c r="J38" s="140">
        <f t="shared" si="4"/>
        <v>1</v>
      </c>
      <c r="K38" s="51"/>
      <c r="L38" s="121">
        <v>10</v>
      </c>
      <c r="M38" s="121"/>
      <c r="N38" s="121"/>
      <c r="O38" s="121"/>
      <c r="P38" s="121"/>
      <c r="Q38" s="122"/>
      <c r="R38" s="97">
        <f t="shared" si="7"/>
        <v>10</v>
      </c>
      <c r="S38" s="125">
        <f t="shared" si="7"/>
        <v>0</v>
      </c>
      <c r="T38" s="51"/>
      <c r="U38" s="131">
        <f>L38*6+N38*6+P38*6</f>
        <v>60</v>
      </c>
      <c r="V38" s="135">
        <f>U38/6</f>
        <v>10</v>
      </c>
      <c r="W38" s="133">
        <f>I38*6+J38</f>
        <v>26611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94</v>
      </c>
      <c r="D41" s="147">
        <v>8</v>
      </c>
      <c r="E41" s="148"/>
      <c r="F41" s="148"/>
      <c r="G41" s="149">
        <v>1</v>
      </c>
      <c r="H41" s="150"/>
      <c r="I41" s="151">
        <f t="shared" si="4"/>
        <v>93</v>
      </c>
      <c r="J41" s="152">
        <f t="shared" si="4"/>
        <v>8</v>
      </c>
      <c r="K41" s="153"/>
      <c r="L41" s="154">
        <v>1</v>
      </c>
      <c r="M41" s="154"/>
      <c r="N41" s="154"/>
      <c r="O41" s="154"/>
      <c r="P41" s="154"/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245</v>
      </c>
      <c r="D42" s="164"/>
      <c r="E42" s="165"/>
      <c r="F42" s="165"/>
      <c r="G42" s="166">
        <v>5</v>
      </c>
      <c r="H42" s="167"/>
      <c r="I42" s="166">
        <f t="shared" si="4"/>
        <v>240</v>
      </c>
      <c r="J42" s="168">
        <f t="shared" si="4"/>
        <v>0</v>
      </c>
      <c r="K42" s="169"/>
      <c r="L42" s="165">
        <v>5</v>
      </c>
      <c r="M42" s="165"/>
      <c r="N42" s="165"/>
      <c r="O42" s="165"/>
      <c r="P42" s="165"/>
      <c r="Q42" s="170"/>
      <c r="R42" s="171">
        <f t="shared" si="7"/>
        <v>5</v>
      </c>
      <c r="S42" s="172">
        <f t="shared" si="7"/>
        <v>0</v>
      </c>
      <c r="T42" s="169"/>
      <c r="U42" s="173">
        <f>L42*12+N42*12+P42*12</f>
        <v>60</v>
      </c>
      <c r="V42" s="174">
        <f>U42/12</f>
        <v>5</v>
      </c>
      <c r="W42" s="175">
        <f>I42*12+J42</f>
        <v>2880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37993</v>
      </c>
      <c r="D44" s="114">
        <v>3</v>
      </c>
      <c r="E44" s="115"/>
      <c r="F44" s="115"/>
      <c r="G44" s="78">
        <v>441</v>
      </c>
      <c r="H44" s="79"/>
      <c r="I44" s="73">
        <f>C44+E44-G44</f>
        <v>37552</v>
      </c>
      <c r="J44" s="177">
        <f t="shared" si="4"/>
        <v>3</v>
      </c>
      <c r="K44" s="51"/>
      <c r="L44" s="121">
        <v>441</v>
      </c>
      <c r="M44" s="121"/>
      <c r="N44" s="121"/>
      <c r="O44" s="121"/>
      <c r="P44" s="121"/>
      <c r="Q44" s="122"/>
      <c r="R44" s="178">
        <f t="shared" si="7"/>
        <v>441</v>
      </c>
      <c r="S44" s="179">
        <f t="shared" si="7"/>
        <v>0</v>
      </c>
      <c r="T44" s="51"/>
      <c r="U44" s="131">
        <f>L44*6+N44*6+P44*6</f>
        <v>2646</v>
      </c>
      <c r="V44" s="130">
        <f>U44/6</f>
        <v>441</v>
      </c>
      <c r="W44" s="133">
        <f>I44*6+J44</f>
        <v>225315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2800</v>
      </c>
      <c r="D48" s="142">
        <v>1</v>
      </c>
      <c r="E48" s="121"/>
      <c r="F48" s="121"/>
      <c r="G48" s="143">
        <v>2</v>
      </c>
      <c r="H48" s="139"/>
      <c r="I48" s="139">
        <f t="shared" si="4"/>
        <v>2798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16789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/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49530</v>
      </c>
      <c r="D60" s="54">
        <f>SUM(D8:D59)</f>
        <v>131</v>
      </c>
      <c r="E60" s="44">
        <f>SUM(E8:E59)</f>
        <v>0</v>
      </c>
      <c r="F60" s="44"/>
      <c r="G60" s="28">
        <f>SUM(G8:G59)</f>
        <v>481</v>
      </c>
      <c r="H60" s="56">
        <f>SUM(H8:H59)</f>
        <v>12</v>
      </c>
      <c r="I60" s="56">
        <f>SUM(I8:I59)</f>
        <v>49049</v>
      </c>
      <c r="J60" s="45">
        <f>SUM(J8:J59)</f>
        <v>119</v>
      </c>
      <c r="K60" s="46"/>
      <c r="L60" s="74">
        <f t="shared" ref="L60:S60" si="20">SUM(L8:L59)</f>
        <v>479</v>
      </c>
      <c r="M60" s="74">
        <f t="shared" si="20"/>
        <v>12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4</v>
      </c>
      <c r="R60" s="85">
        <f t="shared" si="20"/>
        <v>479</v>
      </c>
      <c r="S60" s="84">
        <f t="shared" si="20"/>
        <v>16</v>
      </c>
      <c r="T60" s="46"/>
      <c r="U60" s="43">
        <f>SUM(U8:U59)</f>
        <v>3282</v>
      </c>
      <c r="V60" s="102">
        <f>SUM(V8:V59)</f>
        <v>479</v>
      </c>
      <c r="W60" s="187">
        <f>SUM(W8:W59)</f>
        <v>367673</v>
      </c>
      <c r="X60" s="45"/>
    </row>
    <row r="61" spans="1:24" ht="19.5" thickBot="1" x14ac:dyDescent="0.3">
      <c r="V61" s="103"/>
    </row>
    <row r="62" spans="1:24" ht="18.75" customHeight="1" x14ac:dyDescent="0.25">
      <c r="G62" s="20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471E3-6918-4402-B00B-D917007CF6C0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4">
        <v>46178</v>
      </c>
      <c r="Q1" s="215"/>
      <c r="R1" s="215"/>
      <c r="S1" s="215"/>
      <c r="T1" s="215"/>
      <c r="U1" s="215"/>
      <c r="V1" s="215"/>
      <c r="W1" s="215"/>
      <c r="X1" s="21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7" t="s">
        <v>74</v>
      </c>
      <c r="C4" s="218" t="s">
        <v>3</v>
      </c>
      <c r="D4" s="219" t="s">
        <v>75</v>
      </c>
      <c r="E4" s="220" t="s">
        <v>4</v>
      </c>
      <c r="F4" s="221"/>
      <c r="G4" s="222" t="s">
        <v>5</v>
      </c>
      <c r="H4" s="224" t="s">
        <v>75</v>
      </c>
      <c r="I4" s="226" t="s">
        <v>6</v>
      </c>
      <c r="J4" s="224" t="s">
        <v>75</v>
      </c>
      <c r="L4" s="228" t="s">
        <v>7</v>
      </c>
      <c r="M4" s="229"/>
      <c r="N4" s="229"/>
      <c r="O4" s="229"/>
      <c r="P4" s="229"/>
      <c r="Q4" s="229"/>
      <c r="R4" s="229"/>
      <c r="S4" s="229"/>
      <c r="T4" s="229"/>
      <c r="U4" s="229"/>
      <c r="V4" s="230"/>
      <c r="W4" s="229"/>
      <c r="X4" s="231"/>
    </row>
    <row r="5" spans="1:60" s="3" customFormat="1" ht="57" thickBot="1" x14ac:dyDescent="0.3">
      <c r="A5" s="49"/>
      <c r="B5" s="217"/>
      <c r="C5" s="218"/>
      <c r="D5" s="219"/>
      <c r="E5" s="48" t="s">
        <v>8</v>
      </c>
      <c r="F5" s="185" t="s">
        <v>9</v>
      </c>
      <c r="G5" s="223"/>
      <c r="H5" s="225"/>
      <c r="I5" s="227"/>
      <c r="J5" s="22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143</v>
      </c>
      <c r="D10" s="111"/>
      <c r="E10" s="112"/>
      <c r="F10" s="112"/>
      <c r="G10" s="76">
        <v>4</v>
      </c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32</v>
      </c>
      <c r="D11" s="111"/>
      <c r="E11" s="112"/>
      <c r="F11" s="112"/>
      <c r="G11" s="76">
        <v>9</v>
      </c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>
        <v>7</v>
      </c>
      <c r="Q11" s="120"/>
      <c r="R11" s="86">
        <f t="shared" si="1"/>
        <v>9</v>
      </c>
      <c r="S11" s="124">
        <f t="shared" si="1"/>
        <v>0</v>
      </c>
      <c r="T11" s="41"/>
      <c r="U11" s="107">
        <f>L11*24+N11*24+P11*24</f>
        <v>216</v>
      </c>
      <c r="V11" s="130">
        <f>U11/24</f>
        <v>9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3132</v>
      </c>
      <c r="D13" s="114"/>
      <c r="E13" s="115"/>
      <c r="F13" s="115"/>
      <c r="G13" s="78">
        <v>41</v>
      </c>
      <c r="H13" s="79">
        <v>12</v>
      </c>
      <c r="I13" s="80">
        <f t="shared" si="4"/>
        <v>3091</v>
      </c>
      <c r="J13" s="94">
        <f>D13-H13</f>
        <v>-12</v>
      </c>
      <c r="K13" s="53"/>
      <c r="L13" s="121">
        <v>10</v>
      </c>
      <c r="M13" s="121">
        <v>12</v>
      </c>
      <c r="N13" s="121">
        <v>7</v>
      </c>
      <c r="O13" s="121"/>
      <c r="P13" s="121">
        <v>24</v>
      </c>
      <c r="Q13" s="122"/>
      <c r="R13" s="97">
        <f>L13+N13+P13</f>
        <v>41</v>
      </c>
      <c r="S13" s="125">
        <f>M13+O13+Q13</f>
        <v>12</v>
      </c>
      <c r="T13" s="53"/>
      <c r="U13" s="131">
        <f>L13*24+N13*24+P13*24</f>
        <v>984</v>
      </c>
      <c r="V13" s="135">
        <f t="shared" si="6"/>
        <v>41</v>
      </c>
      <c r="W13" s="133">
        <f>I13*24+J13</f>
        <v>74172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147</v>
      </c>
      <c r="D26" s="111">
        <v>1</v>
      </c>
      <c r="E26" s="112"/>
      <c r="F26" s="112"/>
      <c r="G26" s="76">
        <v>20</v>
      </c>
      <c r="H26" s="73"/>
      <c r="I26" s="73">
        <f t="shared" si="4"/>
        <v>127</v>
      </c>
      <c r="J26" s="77">
        <f t="shared" si="4"/>
        <v>1</v>
      </c>
      <c r="K26" s="41"/>
      <c r="L26" s="112"/>
      <c r="M26" s="112"/>
      <c r="N26" s="112"/>
      <c r="O26" s="112"/>
      <c r="P26" s="112">
        <v>20</v>
      </c>
      <c r="Q26" s="120"/>
      <c r="R26" s="86">
        <f t="shared" si="7"/>
        <v>20</v>
      </c>
      <c r="S26" s="124">
        <f t="shared" si="7"/>
        <v>0</v>
      </c>
      <c r="T26" s="41"/>
      <c r="U26" s="107">
        <f t="shared" si="5"/>
        <v>480</v>
      </c>
      <c r="V26" s="130">
        <f t="shared" si="6"/>
        <v>20</v>
      </c>
      <c r="W26" s="129">
        <f t="shared" si="8"/>
        <v>3049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98</v>
      </c>
      <c r="D29" s="111"/>
      <c r="E29" s="112"/>
      <c r="F29" s="112"/>
      <c r="G29" s="76">
        <v>46</v>
      </c>
      <c r="H29" s="73"/>
      <c r="I29" s="73">
        <f t="shared" si="4"/>
        <v>52</v>
      </c>
      <c r="J29" s="77">
        <f t="shared" si="4"/>
        <v>0</v>
      </c>
      <c r="K29" s="42"/>
      <c r="L29" s="112">
        <v>26</v>
      </c>
      <c r="M29" s="112"/>
      <c r="N29" s="112"/>
      <c r="O29" s="112"/>
      <c r="P29" s="112">
        <v>20</v>
      </c>
      <c r="Q29" s="120"/>
      <c r="R29" s="86">
        <f t="shared" si="7"/>
        <v>46</v>
      </c>
      <c r="S29" s="124">
        <f t="shared" si="7"/>
        <v>0</v>
      </c>
      <c r="T29" s="42"/>
      <c r="U29" s="107">
        <f t="shared" si="5"/>
        <v>1104</v>
      </c>
      <c r="V29" s="130">
        <f t="shared" si="6"/>
        <v>46</v>
      </c>
      <c r="W29" s="129">
        <f t="shared" si="8"/>
        <v>1248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/>
      <c r="H35" s="73"/>
      <c r="I35" s="73">
        <f t="shared" si="4"/>
        <v>76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4435</v>
      </c>
      <c r="D38" s="114">
        <v>1</v>
      </c>
      <c r="E38" s="115"/>
      <c r="F38" s="115"/>
      <c r="G38" s="78">
        <v>275</v>
      </c>
      <c r="H38" s="79"/>
      <c r="I38" s="139">
        <f t="shared" si="4"/>
        <v>4160</v>
      </c>
      <c r="J38" s="140">
        <f t="shared" si="4"/>
        <v>1</v>
      </c>
      <c r="K38" s="51"/>
      <c r="L38" s="121">
        <v>117</v>
      </c>
      <c r="M38" s="121"/>
      <c r="N38" s="121">
        <v>23</v>
      </c>
      <c r="O38" s="121"/>
      <c r="P38" s="121">
        <v>135</v>
      </c>
      <c r="Q38" s="122"/>
      <c r="R38" s="97">
        <f t="shared" si="7"/>
        <v>275</v>
      </c>
      <c r="S38" s="125">
        <f t="shared" si="7"/>
        <v>0</v>
      </c>
      <c r="T38" s="51"/>
      <c r="U38" s="131">
        <f>L38*6+N38*6+P38*6</f>
        <v>1650</v>
      </c>
      <c r="V38" s="135">
        <f>U38/6</f>
        <v>275</v>
      </c>
      <c r="W38" s="133">
        <f>I38*6+J38</f>
        <v>24961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93</v>
      </c>
      <c r="D41" s="147">
        <v>8</v>
      </c>
      <c r="E41" s="148"/>
      <c r="F41" s="148"/>
      <c r="G41" s="149">
        <v>65</v>
      </c>
      <c r="H41" s="150"/>
      <c r="I41" s="151">
        <f t="shared" si="4"/>
        <v>28</v>
      </c>
      <c r="J41" s="152">
        <f t="shared" si="4"/>
        <v>8</v>
      </c>
      <c r="K41" s="153"/>
      <c r="L41" s="154">
        <v>65</v>
      </c>
      <c r="M41" s="154"/>
      <c r="N41" s="154"/>
      <c r="O41" s="154"/>
      <c r="P41" s="154"/>
      <c r="Q41" s="155"/>
      <c r="R41" s="156">
        <f t="shared" si="7"/>
        <v>65</v>
      </c>
      <c r="S41" s="157">
        <f t="shared" si="7"/>
        <v>0</v>
      </c>
      <c r="T41" s="153"/>
      <c r="U41" s="158">
        <f t="shared" si="9"/>
        <v>1560</v>
      </c>
      <c r="V41" s="159">
        <f t="shared" si="6"/>
        <v>65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240</v>
      </c>
      <c r="D42" s="164"/>
      <c r="E42" s="165"/>
      <c r="F42" s="165"/>
      <c r="G42" s="166">
        <v>71</v>
      </c>
      <c r="H42" s="167"/>
      <c r="I42" s="166">
        <f t="shared" si="4"/>
        <v>169</v>
      </c>
      <c r="J42" s="168">
        <f t="shared" si="4"/>
        <v>0</v>
      </c>
      <c r="K42" s="169"/>
      <c r="L42" s="165">
        <v>50</v>
      </c>
      <c r="M42" s="165"/>
      <c r="N42" s="165">
        <v>1</v>
      </c>
      <c r="O42" s="165"/>
      <c r="P42" s="165">
        <v>20</v>
      </c>
      <c r="Q42" s="170"/>
      <c r="R42" s="171">
        <f t="shared" si="7"/>
        <v>71</v>
      </c>
      <c r="S42" s="172">
        <f t="shared" si="7"/>
        <v>0</v>
      </c>
      <c r="T42" s="169"/>
      <c r="U42" s="173">
        <f>L42*12+N42*12+P42*12</f>
        <v>852</v>
      </c>
      <c r="V42" s="174">
        <f>U42/12</f>
        <v>71</v>
      </c>
      <c r="W42" s="175">
        <f>I42*12+J42</f>
        <v>2028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37552</v>
      </c>
      <c r="D44" s="114">
        <v>3</v>
      </c>
      <c r="E44" s="115"/>
      <c r="F44" s="115"/>
      <c r="G44" s="78">
        <v>1206</v>
      </c>
      <c r="H44" s="79"/>
      <c r="I44" s="73">
        <f>C44+E44-G44</f>
        <v>36346</v>
      </c>
      <c r="J44" s="177">
        <f t="shared" si="4"/>
        <v>3</v>
      </c>
      <c r="K44" s="51"/>
      <c r="L44" s="121">
        <v>370</v>
      </c>
      <c r="M44" s="121"/>
      <c r="N44" s="121">
        <v>297</v>
      </c>
      <c r="O44" s="121"/>
      <c r="P44" s="121">
        <v>539</v>
      </c>
      <c r="Q44" s="122"/>
      <c r="R44" s="178">
        <f t="shared" si="7"/>
        <v>1206</v>
      </c>
      <c r="S44" s="179">
        <f t="shared" si="7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218079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2798</v>
      </c>
      <c r="D48" s="142">
        <v>1</v>
      </c>
      <c r="E48" s="121"/>
      <c r="F48" s="121"/>
      <c r="G48" s="143">
        <v>3</v>
      </c>
      <c r="H48" s="139"/>
      <c r="I48" s="139">
        <f t="shared" si="4"/>
        <v>2795</v>
      </c>
      <c r="J48" s="140">
        <f t="shared" si="4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>
        <v>1</v>
      </c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49049</v>
      </c>
      <c r="D60" s="54">
        <f>SUM(D8:D59)</f>
        <v>119</v>
      </c>
      <c r="E60" s="44">
        <f>SUM(E8:E59)</f>
        <v>0</v>
      </c>
      <c r="F60" s="44"/>
      <c r="G60" s="28">
        <f>SUM(G8:G59)</f>
        <v>1741</v>
      </c>
      <c r="H60" s="56">
        <f>SUM(H8:H59)</f>
        <v>12</v>
      </c>
      <c r="I60" s="56">
        <f>SUM(I8:I59)</f>
        <v>47308</v>
      </c>
      <c r="J60" s="45">
        <f>SUM(J8:J59)</f>
        <v>107</v>
      </c>
      <c r="K60" s="46"/>
      <c r="L60" s="74">
        <f t="shared" ref="L60:S60" si="20">SUM(L8:L59)</f>
        <v>641</v>
      </c>
      <c r="M60" s="74">
        <f t="shared" si="20"/>
        <v>12</v>
      </c>
      <c r="N60" s="74">
        <f t="shared" si="20"/>
        <v>332</v>
      </c>
      <c r="O60" s="74">
        <f t="shared" si="20"/>
        <v>0</v>
      </c>
      <c r="P60" s="74">
        <f t="shared" si="20"/>
        <v>768</v>
      </c>
      <c r="Q60" s="75">
        <f t="shared" si="20"/>
        <v>0</v>
      </c>
      <c r="R60" s="85">
        <f t="shared" si="20"/>
        <v>1741</v>
      </c>
      <c r="S60" s="84">
        <f t="shared" si="20"/>
        <v>12</v>
      </c>
      <c r="T60" s="46"/>
      <c r="U60" s="43">
        <f>SUM(U8:U59)</f>
        <v>14220</v>
      </c>
      <c r="V60" s="102">
        <f>SUM(V8:V59)</f>
        <v>1741</v>
      </c>
      <c r="W60" s="187">
        <f>SUM(W8:W59)</f>
        <v>353441</v>
      </c>
      <c r="X60" s="45"/>
    </row>
    <row r="61" spans="1:24" ht="19.5" thickBot="1" x14ac:dyDescent="0.3">
      <c r="V61" s="103"/>
    </row>
    <row r="62" spans="1:24" ht="18.75" customHeight="1" x14ac:dyDescent="0.25">
      <c r="G62" s="20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EA637-3DDF-441C-9F10-A8168FD3DD9B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G40" sqref="AG4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4">
        <v>46179</v>
      </c>
      <c r="Q1" s="215"/>
      <c r="R1" s="215"/>
      <c r="S1" s="215"/>
      <c r="T1" s="215"/>
      <c r="U1" s="215"/>
      <c r="V1" s="215"/>
      <c r="W1" s="215"/>
      <c r="X1" s="21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7" t="s">
        <v>74</v>
      </c>
      <c r="C4" s="218" t="s">
        <v>3</v>
      </c>
      <c r="D4" s="219" t="s">
        <v>75</v>
      </c>
      <c r="E4" s="220" t="s">
        <v>4</v>
      </c>
      <c r="F4" s="221"/>
      <c r="G4" s="222" t="s">
        <v>5</v>
      </c>
      <c r="H4" s="224" t="s">
        <v>75</v>
      </c>
      <c r="I4" s="226" t="s">
        <v>6</v>
      </c>
      <c r="J4" s="224" t="s">
        <v>75</v>
      </c>
      <c r="L4" s="228" t="s">
        <v>7</v>
      </c>
      <c r="M4" s="229"/>
      <c r="N4" s="229"/>
      <c r="O4" s="229"/>
      <c r="P4" s="229"/>
      <c r="Q4" s="229"/>
      <c r="R4" s="229"/>
      <c r="S4" s="229"/>
      <c r="T4" s="229"/>
      <c r="U4" s="229"/>
      <c r="V4" s="230"/>
      <c r="W4" s="229"/>
      <c r="X4" s="231"/>
    </row>
    <row r="5" spans="1:60" s="3" customFormat="1" ht="57" thickBot="1" x14ac:dyDescent="0.3">
      <c r="A5" s="49"/>
      <c r="B5" s="217"/>
      <c r="C5" s="218"/>
      <c r="D5" s="219"/>
      <c r="E5" s="48" t="s">
        <v>8</v>
      </c>
      <c r="F5" s="185" t="s">
        <v>9</v>
      </c>
      <c r="G5" s="223"/>
      <c r="H5" s="225"/>
      <c r="I5" s="227"/>
      <c r="J5" s="22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3090</v>
      </c>
      <c r="D13" s="114">
        <v>12</v>
      </c>
      <c r="E13" s="115"/>
      <c r="F13" s="115"/>
      <c r="G13" s="78">
        <v>17</v>
      </c>
      <c r="H13" s="79">
        <v>12</v>
      </c>
      <c r="I13" s="80">
        <f t="shared" si="4"/>
        <v>3073</v>
      </c>
      <c r="J13" s="94">
        <f>D13-H13</f>
        <v>0</v>
      </c>
      <c r="K13" s="53"/>
      <c r="L13" s="121"/>
      <c r="M13" s="121"/>
      <c r="N13" s="121">
        <v>9</v>
      </c>
      <c r="O13" s="121"/>
      <c r="P13" s="121">
        <v>8</v>
      </c>
      <c r="Q13" s="122">
        <v>12</v>
      </c>
      <c r="R13" s="97">
        <f>L13+N13+P13</f>
        <v>17</v>
      </c>
      <c r="S13" s="125">
        <f>M13+O13+Q13</f>
        <v>12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73752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127</v>
      </c>
      <c r="D26" s="111">
        <v>1</v>
      </c>
      <c r="E26" s="112"/>
      <c r="F26" s="112"/>
      <c r="G26" s="76">
        <v>2</v>
      </c>
      <c r="H26" s="73"/>
      <c r="I26" s="73">
        <f t="shared" si="4"/>
        <v>125</v>
      </c>
      <c r="J26" s="77">
        <f t="shared" si="4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3001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52</v>
      </c>
      <c r="D29" s="111"/>
      <c r="E29" s="112"/>
      <c r="F29" s="112"/>
      <c r="G29" s="76">
        <v>4</v>
      </c>
      <c r="H29" s="73"/>
      <c r="I29" s="73">
        <f t="shared" si="4"/>
        <v>48</v>
      </c>
      <c r="J29" s="77">
        <f t="shared" si="4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1152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>
        <v>1</v>
      </c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>
        <v>2</v>
      </c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4160</v>
      </c>
      <c r="D38" s="114">
        <v>1</v>
      </c>
      <c r="E38" s="115"/>
      <c r="F38" s="115"/>
      <c r="G38" s="78">
        <v>52</v>
      </c>
      <c r="H38" s="79"/>
      <c r="I38" s="139">
        <f t="shared" si="4"/>
        <v>4108</v>
      </c>
      <c r="J38" s="140">
        <f t="shared" si="4"/>
        <v>1</v>
      </c>
      <c r="K38" s="51"/>
      <c r="L38" s="121"/>
      <c r="M38" s="121"/>
      <c r="N38" s="121">
        <v>6</v>
      </c>
      <c r="O38" s="121"/>
      <c r="P38" s="121">
        <v>46</v>
      </c>
      <c r="Q38" s="122"/>
      <c r="R38" s="97">
        <f t="shared" si="7"/>
        <v>52</v>
      </c>
      <c r="S38" s="125">
        <f t="shared" si="7"/>
        <v>0</v>
      </c>
      <c r="T38" s="51"/>
      <c r="U38" s="131">
        <f>L38*6+N38*6+P38*6</f>
        <v>312</v>
      </c>
      <c r="V38" s="135">
        <f>U38/6</f>
        <v>52</v>
      </c>
      <c r="W38" s="133">
        <f>I38*6+J38</f>
        <v>24649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169</v>
      </c>
      <c r="D42" s="164"/>
      <c r="E42" s="165"/>
      <c r="F42" s="165"/>
      <c r="G42" s="166">
        <v>24</v>
      </c>
      <c r="H42" s="167"/>
      <c r="I42" s="166">
        <f t="shared" si="4"/>
        <v>145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20</v>
      </c>
      <c r="Q42" s="170"/>
      <c r="R42" s="171">
        <f t="shared" si="7"/>
        <v>24</v>
      </c>
      <c r="S42" s="172">
        <f t="shared" si="7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1740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36346</v>
      </c>
      <c r="D44" s="114">
        <v>3</v>
      </c>
      <c r="E44" s="115"/>
      <c r="F44" s="115"/>
      <c r="G44" s="78">
        <v>773</v>
      </c>
      <c r="H44" s="79"/>
      <c r="I44" s="73">
        <f>C44+E44-G44</f>
        <v>35573</v>
      </c>
      <c r="J44" s="177">
        <f t="shared" si="4"/>
        <v>3</v>
      </c>
      <c r="K44" s="51"/>
      <c r="L44" s="121"/>
      <c r="M44" s="121"/>
      <c r="N44" s="121">
        <v>384</v>
      </c>
      <c r="O44" s="121"/>
      <c r="P44" s="121">
        <v>389</v>
      </c>
      <c r="Q44" s="122"/>
      <c r="R44" s="178">
        <f t="shared" si="7"/>
        <v>773</v>
      </c>
      <c r="S44" s="179">
        <f t="shared" si="7"/>
        <v>0</v>
      </c>
      <c r="T44" s="51"/>
      <c r="U44" s="131">
        <f>L44*6+N44*6+P44*6</f>
        <v>4638</v>
      </c>
      <c r="V44" s="130">
        <f>U44/6</f>
        <v>773</v>
      </c>
      <c r="W44" s="133">
        <f>I44*6+J44</f>
        <v>213441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47307</v>
      </c>
      <c r="D60" s="54">
        <f>SUM(D8:D59)</f>
        <v>131</v>
      </c>
      <c r="E60" s="44">
        <f>SUM(E8:E59)</f>
        <v>0</v>
      </c>
      <c r="F60" s="44"/>
      <c r="G60" s="28">
        <f>SUM(G8:G59)</f>
        <v>875</v>
      </c>
      <c r="H60" s="56">
        <f>SUM(H8:H59)</f>
        <v>12</v>
      </c>
      <c r="I60" s="56">
        <f>SUM(I8:I59)</f>
        <v>46432</v>
      </c>
      <c r="J60" s="45">
        <f>SUM(J8:J59)</f>
        <v>119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403</v>
      </c>
      <c r="O60" s="74">
        <f t="shared" si="20"/>
        <v>0</v>
      </c>
      <c r="P60" s="74">
        <f t="shared" si="20"/>
        <v>472</v>
      </c>
      <c r="Q60" s="75">
        <f t="shared" si="20"/>
        <v>12</v>
      </c>
      <c r="R60" s="85">
        <f t="shared" si="20"/>
        <v>875</v>
      </c>
      <c r="S60" s="84">
        <f t="shared" si="20"/>
        <v>12</v>
      </c>
      <c r="T60" s="46"/>
      <c r="U60" s="43">
        <f>SUM(U8:U59)</f>
        <v>5862</v>
      </c>
      <c r="V60" s="102">
        <f>SUM(V8:V59)</f>
        <v>875</v>
      </c>
      <c r="W60" s="187">
        <f>SUM(W8:W59)</f>
        <v>347567</v>
      </c>
      <c r="X60" s="45"/>
    </row>
    <row r="61" spans="1:24" ht="19.5" thickBot="1" x14ac:dyDescent="0.3">
      <c r="V61" s="103"/>
    </row>
    <row r="62" spans="1:24" ht="18.75" customHeight="1" x14ac:dyDescent="0.25">
      <c r="G62" s="20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85E88-8B9C-421D-9E16-DE6F175C77AB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C27" sqref="AC27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4">
        <v>46181</v>
      </c>
      <c r="Q1" s="215"/>
      <c r="R1" s="215"/>
      <c r="S1" s="215"/>
      <c r="T1" s="215"/>
      <c r="U1" s="215"/>
      <c r="V1" s="215"/>
      <c r="W1" s="215"/>
      <c r="X1" s="21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7" t="s">
        <v>74</v>
      </c>
      <c r="C4" s="218" t="s">
        <v>3</v>
      </c>
      <c r="D4" s="219" t="s">
        <v>75</v>
      </c>
      <c r="E4" s="220" t="s">
        <v>4</v>
      </c>
      <c r="F4" s="221"/>
      <c r="G4" s="222" t="s">
        <v>5</v>
      </c>
      <c r="H4" s="224" t="s">
        <v>75</v>
      </c>
      <c r="I4" s="226" t="s">
        <v>6</v>
      </c>
      <c r="J4" s="224" t="s">
        <v>75</v>
      </c>
      <c r="L4" s="228" t="s">
        <v>7</v>
      </c>
      <c r="M4" s="229"/>
      <c r="N4" s="229"/>
      <c r="O4" s="229"/>
      <c r="P4" s="229"/>
      <c r="Q4" s="229"/>
      <c r="R4" s="229"/>
      <c r="S4" s="229"/>
      <c r="T4" s="229"/>
      <c r="U4" s="229"/>
      <c r="V4" s="230"/>
      <c r="W4" s="229"/>
      <c r="X4" s="231"/>
    </row>
    <row r="5" spans="1:60" s="3" customFormat="1" ht="57" thickBot="1" x14ac:dyDescent="0.3">
      <c r="A5" s="49"/>
      <c r="B5" s="217"/>
      <c r="C5" s="218"/>
      <c r="D5" s="219"/>
      <c r="E5" s="48" t="s">
        <v>8</v>
      </c>
      <c r="F5" s="185" t="s">
        <v>9</v>
      </c>
      <c r="G5" s="223"/>
      <c r="H5" s="225"/>
      <c r="I5" s="227"/>
      <c r="J5" s="22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3073</v>
      </c>
      <c r="D13" s="114"/>
      <c r="E13" s="115"/>
      <c r="F13" s="115"/>
      <c r="G13" s="78">
        <v>25</v>
      </c>
      <c r="H13" s="79">
        <v>12</v>
      </c>
      <c r="I13" s="80">
        <f t="shared" si="4"/>
        <v>3048</v>
      </c>
      <c r="J13" s="94">
        <f>D13-H13</f>
        <v>-12</v>
      </c>
      <c r="K13" s="53"/>
      <c r="L13" s="121"/>
      <c r="M13" s="121"/>
      <c r="N13" s="121">
        <v>15</v>
      </c>
      <c r="O13" s="121"/>
      <c r="P13" s="121">
        <v>10</v>
      </c>
      <c r="Q13" s="122">
        <v>12</v>
      </c>
      <c r="R13" s="97">
        <f>L13+N13+P13</f>
        <v>25</v>
      </c>
      <c r="S13" s="125">
        <f>M13+O13+Q13</f>
        <v>12</v>
      </c>
      <c r="T13" s="53"/>
      <c r="U13" s="131">
        <f>L13*24+N13*24+P13*24</f>
        <v>600</v>
      </c>
      <c r="V13" s="135">
        <f t="shared" si="6"/>
        <v>25</v>
      </c>
      <c r="W13" s="133">
        <f>I13*24+J13</f>
        <v>73140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125</v>
      </c>
      <c r="D26" s="111">
        <v>1</v>
      </c>
      <c r="E26" s="112"/>
      <c r="F26" s="112"/>
      <c r="G26" s="76">
        <v>1</v>
      </c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>
        <v>1</v>
      </c>
      <c r="Q26" s="120"/>
      <c r="R26" s="86">
        <f t="shared" si="7"/>
        <v>1</v>
      </c>
      <c r="S26" s="124">
        <f t="shared" si="7"/>
        <v>0</v>
      </c>
      <c r="T26" s="41"/>
      <c r="U26" s="107">
        <f t="shared" si="5"/>
        <v>24</v>
      </c>
      <c r="V26" s="130">
        <f t="shared" si="6"/>
        <v>1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48</v>
      </c>
      <c r="D29" s="111"/>
      <c r="E29" s="112"/>
      <c r="F29" s="112"/>
      <c r="G29" s="76">
        <v>5</v>
      </c>
      <c r="H29" s="73"/>
      <c r="I29" s="73">
        <f t="shared" si="4"/>
        <v>43</v>
      </c>
      <c r="J29" s="77">
        <f t="shared" si="4"/>
        <v>0</v>
      </c>
      <c r="K29" s="42"/>
      <c r="L29" s="112"/>
      <c r="M29" s="112"/>
      <c r="N29" s="112"/>
      <c r="O29" s="112"/>
      <c r="P29" s="112">
        <v>5</v>
      </c>
      <c r="Q29" s="120"/>
      <c r="R29" s="86">
        <f t="shared" si="7"/>
        <v>5</v>
      </c>
      <c r="S29" s="124">
        <f t="shared" si="7"/>
        <v>0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1032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/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4108</v>
      </c>
      <c r="D38" s="114">
        <v>1</v>
      </c>
      <c r="E38" s="115"/>
      <c r="F38" s="115"/>
      <c r="G38" s="78">
        <v>109</v>
      </c>
      <c r="H38" s="79"/>
      <c r="I38" s="139">
        <f t="shared" si="4"/>
        <v>3999</v>
      </c>
      <c r="J38" s="140">
        <f t="shared" si="4"/>
        <v>1</v>
      </c>
      <c r="K38" s="51"/>
      <c r="L38" s="121"/>
      <c r="M38" s="121"/>
      <c r="N38" s="121">
        <v>33</v>
      </c>
      <c r="O38" s="121"/>
      <c r="P38" s="121">
        <v>76</v>
      </c>
      <c r="Q38" s="122"/>
      <c r="R38" s="97">
        <f t="shared" si="7"/>
        <v>109</v>
      </c>
      <c r="S38" s="125">
        <f t="shared" si="7"/>
        <v>0</v>
      </c>
      <c r="T38" s="51"/>
      <c r="U38" s="131">
        <f>L38*6+N38*6+P38*6</f>
        <v>654</v>
      </c>
      <c r="V38" s="135">
        <f>U38/6</f>
        <v>109</v>
      </c>
      <c r="W38" s="133">
        <f>I38*6+J38</f>
        <v>23995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145</v>
      </c>
      <c r="D42" s="164"/>
      <c r="E42" s="165"/>
      <c r="F42" s="165"/>
      <c r="G42" s="166">
        <v>14</v>
      </c>
      <c r="H42" s="167"/>
      <c r="I42" s="166">
        <f t="shared" si="4"/>
        <v>131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10</v>
      </c>
      <c r="Q42" s="170"/>
      <c r="R42" s="171">
        <f t="shared" si="7"/>
        <v>14</v>
      </c>
      <c r="S42" s="172">
        <f t="shared" si="7"/>
        <v>0</v>
      </c>
      <c r="T42" s="169"/>
      <c r="U42" s="173">
        <f>L42*12+N42*12+P42*12</f>
        <v>168</v>
      </c>
      <c r="V42" s="174">
        <f>U42/12</f>
        <v>14</v>
      </c>
      <c r="W42" s="175">
        <f>I42*12+J42</f>
        <v>1572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35573</v>
      </c>
      <c r="D44" s="114">
        <v>3</v>
      </c>
      <c r="E44" s="115"/>
      <c r="F44" s="115"/>
      <c r="G44" s="78">
        <v>873</v>
      </c>
      <c r="H44" s="79"/>
      <c r="I44" s="73">
        <f>C44+E44-G44</f>
        <v>34700</v>
      </c>
      <c r="J44" s="177">
        <f t="shared" si="4"/>
        <v>3</v>
      </c>
      <c r="K44" s="51"/>
      <c r="L44" s="121"/>
      <c r="M44" s="121"/>
      <c r="N44" s="121">
        <v>457</v>
      </c>
      <c r="O44" s="121"/>
      <c r="P44" s="121">
        <v>416</v>
      </c>
      <c r="Q44" s="122"/>
      <c r="R44" s="178">
        <f t="shared" si="7"/>
        <v>873</v>
      </c>
      <c r="S44" s="179">
        <f t="shared" si="7"/>
        <v>0</v>
      </c>
      <c r="T44" s="51"/>
      <c r="U44" s="131">
        <f>L44*6+N44*6+P44*6</f>
        <v>5238</v>
      </c>
      <c r="V44" s="130">
        <f>U44/6</f>
        <v>873</v>
      </c>
      <c r="W44" s="133">
        <f>I44*6+J44</f>
        <v>208203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46432</v>
      </c>
      <c r="D60" s="54">
        <f>SUM(D8:D59)</f>
        <v>119</v>
      </c>
      <c r="E60" s="44">
        <f>SUM(E8:E59)</f>
        <v>0</v>
      </c>
      <c r="F60" s="44"/>
      <c r="G60" s="28">
        <f>SUM(G8:G59)</f>
        <v>1027</v>
      </c>
      <c r="H60" s="56">
        <f>SUM(H8:H59)</f>
        <v>12</v>
      </c>
      <c r="I60" s="56">
        <f>SUM(I8:I59)</f>
        <v>45405</v>
      </c>
      <c r="J60" s="45">
        <f>SUM(J8:J59)</f>
        <v>107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509</v>
      </c>
      <c r="O60" s="74">
        <f t="shared" si="20"/>
        <v>0</v>
      </c>
      <c r="P60" s="74">
        <f t="shared" si="20"/>
        <v>518</v>
      </c>
      <c r="Q60" s="75">
        <f t="shared" si="20"/>
        <v>12</v>
      </c>
      <c r="R60" s="85">
        <f t="shared" si="20"/>
        <v>1027</v>
      </c>
      <c r="S60" s="84">
        <f t="shared" si="20"/>
        <v>12</v>
      </c>
      <c r="T60" s="46"/>
      <c r="U60" s="43">
        <f>SUM(U8:U59)</f>
        <v>6804</v>
      </c>
      <c r="V60" s="102">
        <f>SUM(V8:V59)</f>
        <v>1027</v>
      </c>
      <c r="W60" s="187">
        <f>SUM(W8:W59)</f>
        <v>340751</v>
      </c>
      <c r="X60" s="45"/>
    </row>
    <row r="61" spans="1:24" ht="19.5" thickBot="1" x14ac:dyDescent="0.3">
      <c r="V61" s="103"/>
    </row>
    <row r="62" spans="1:24" ht="18.75" customHeight="1" x14ac:dyDescent="0.25">
      <c r="G62" s="20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EB28BF-6C46-4483-9101-264754BF15F2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59" sqref="AD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4">
        <v>46181</v>
      </c>
      <c r="Q1" s="215"/>
      <c r="R1" s="215"/>
      <c r="S1" s="215"/>
      <c r="T1" s="215"/>
      <c r="U1" s="215"/>
      <c r="V1" s="215"/>
      <c r="W1" s="215"/>
      <c r="X1" s="21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7" t="s">
        <v>74</v>
      </c>
      <c r="C4" s="218" t="s">
        <v>3</v>
      </c>
      <c r="D4" s="219" t="s">
        <v>75</v>
      </c>
      <c r="E4" s="220" t="s">
        <v>4</v>
      </c>
      <c r="F4" s="221"/>
      <c r="G4" s="222" t="s">
        <v>5</v>
      </c>
      <c r="H4" s="224" t="s">
        <v>75</v>
      </c>
      <c r="I4" s="226" t="s">
        <v>6</v>
      </c>
      <c r="J4" s="224" t="s">
        <v>75</v>
      </c>
      <c r="L4" s="228" t="s">
        <v>7</v>
      </c>
      <c r="M4" s="229"/>
      <c r="N4" s="229"/>
      <c r="O4" s="229"/>
      <c r="P4" s="229"/>
      <c r="Q4" s="229"/>
      <c r="R4" s="229"/>
      <c r="S4" s="229"/>
      <c r="T4" s="229"/>
      <c r="U4" s="229"/>
      <c r="V4" s="230"/>
      <c r="W4" s="229"/>
      <c r="X4" s="231"/>
    </row>
    <row r="5" spans="1:60" s="3" customFormat="1" ht="57" thickBot="1" x14ac:dyDescent="0.3">
      <c r="A5" s="49"/>
      <c r="B5" s="217"/>
      <c r="C5" s="218"/>
      <c r="D5" s="219"/>
      <c r="E5" s="48" t="s">
        <v>8</v>
      </c>
      <c r="F5" s="190" t="s">
        <v>9</v>
      </c>
      <c r="G5" s="223"/>
      <c r="H5" s="225"/>
      <c r="I5" s="227"/>
      <c r="J5" s="22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>
        <v>4</v>
      </c>
      <c r="H10" s="73"/>
      <c r="I10" s="73">
        <f t="shared" si="4"/>
        <v>135</v>
      </c>
      <c r="J10" s="95">
        <f t="shared" si="0"/>
        <v>0</v>
      </c>
      <c r="K10" s="41"/>
      <c r="L10" s="112">
        <v>2</v>
      </c>
      <c r="M10" s="112"/>
      <c r="N10" s="112">
        <v>2</v>
      </c>
      <c r="O10" s="112"/>
      <c r="P10" s="112"/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3240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>
        <v>3</v>
      </c>
      <c r="H11" s="73"/>
      <c r="I11" s="73">
        <f t="shared" si="4"/>
        <v>20</v>
      </c>
      <c r="J11" s="77">
        <f t="shared" si="0"/>
        <v>0</v>
      </c>
      <c r="K11" s="41"/>
      <c r="L11" s="112">
        <v>2</v>
      </c>
      <c r="M11" s="112"/>
      <c r="N11" s="112">
        <v>1</v>
      </c>
      <c r="O11" s="112"/>
      <c r="P11" s="112"/>
      <c r="Q11" s="120"/>
      <c r="R11" s="86">
        <f t="shared" si="1"/>
        <v>3</v>
      </c>
      <c r="S11" s="124">
        <f t="shared" si="1"/>
        <v>0</v>
      </c>
      <c r="T11" s="41"/>
      <c r="U11" s="107">
        <f>L11*24+N11*24+P11*24</f>
        <v>72</v>
      </c>
      <c r="V11" s="130">
        <f>U11/24</f>
        <v>3</v>
      </c>
      <c r="W11" s="129">
        <f t="shared" si="2"/>
        <v>480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3047</v>
      </c>
      <c r="D13" s="114">
        <v>12</v>
      </c>
      <c r="E13" s="115"/>
      <c r="F13" s="115"/>
      <c r="G13" s="78">
        <v>33</v>
      </c>
      <c r="H13" s="79">
        <v>12</v>
      </c>
      <c r="I13" s="80">
        <f t="shared" si="4"/>
        <v>3014</v>
      </c>
      <c r="J13" s="94">
        <f>D13-H13</f>
        <v>0</v>
      </c>
      <c r="K13" s="53"/>
      <c r="L13" s="121">
        <v>2</v>
      </c>
      <c r="M13" s="121">
        <v>12</v>
      </c>
      <c r="N13" s="121">
        <v>12</v>
      </c>
      <c r="O13" s="121"/>
      <c r="P13" s="121">
        <v>19</v>
      </c>
      <c r="Q13" s="122"/>
      <c r="R13" s="97">
        <f>L13+N13+P13</f>
        <v>33</v>
      </c>
      <c r="S13" s="125">
        <f>M13+O13+Q13</f>
        <v>12</v>
      </c>
      <c r="T13" s="53"/>
      <c r="U13" s="131">
        <f>L13*24+N13*24+P13*24</f>
        <v>792</v>
      </c>
      <c r="V13" s="135">
        <f t="shared" si="6"/>
        <v>33</v>
      </c>
      <c r="W13" s="133">
        <f>I13*24+J13</f>
        <v>72336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43</v>
      </c>
      <c r="D29" s="111"/>
      <c r="E29" s="112"/>
      <c r="F29" s="112"/>
      <c r="G29" s="76">
        <v>9</v>
      </c>
      <c r="H29" s="73"/>
      <c r="I29" s="73">
        <f t="shared" si="4"/>
        <v>34</v>
      </c>
      <c r="J29" s="77">
        <f t="shared" si="4"/>
        <v>0</v>
      </c>
      <c r="K29" s="42"/>
      <c r="L29" s="112">
        <v>1</v>
      </c>
      <c r="M29" s="112"/>
      <c r="N29" s="112">
        <v>1</v>
      </c>
      <c r="O29" s="112"/>
      <c r="P29" s="112">
        <v>7</v>
      </c>
      <c r="Q29" s="120"/>
      <c r="R29" s="86">
        <f t="shared" si="7"/>
        <v>9</v>
      </c>
      <c r="S29" s="124">
        <f t="shared" si="7"/>
        <v>0</v>
      </c>
      <c r="T29" s="42"/>
      <c r="U29" s="107">
        <f t="shared" si="5"/>
        <v>216</v>
      </c>
      <c r="V29" s="130">
        <f t="shared" si="6"/>
        <v>9</v>
      </c>
      <c r="W29" s="129">
        <f t="shared" si="8"/>
        <v>816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>
        <v>3</v>
      </c>
      <c r="H30" s="73"/>
      <c r="I30" s="73">
        <f t="shared" si="4"/>
        <v>50</v>
      </c>
      <c r="J30" s="77">
        <f t="shared" si="4"/>
        <v>5</v>
      </c>
      <c r="K30" s="41"/>
      <c r="L30" s="112">
        <v>1</v>
      </c>
      <c r="M30" s="112"/>
      <c r="N30" s="112"/>
      <c r="O30" s="112"/>
      <c r="P30" s="112">
        <v>2</v>
      </c>
      <c r="Q30" s="120"/>
      <c r="R30" s="86">
        <f t="shared" si="7"/>
        <v>3</v>
      </c>
      <c r="S30" s="124">
        <f t="shared" si="7"/>
        <v>0</v>
      </c>
      <c r="T30" s="41"/>
      <c r="U30" s="107">
        <f t="shared" si="5"/>
        <v>72</v>
      </c>
      <c r="V30" s="130">
        <f t="shared" si="6"/>
        <v>3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74</v>
      </c>
      <c r="D35" s="111">
        <v>14</v>
      </c>
      <c r="E35" s="112"/>
      <c r="F35" s="112"/>
      <c r="G35" s="76">
        <v>10</v>
      </c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>
        <v>5</v>
      </c>
      <c r="O35" s="112"/>
      <c r="P35" s="112">
        <v>5</v>
      </c>
      <c r="Q35" s="120"/>
      <c r="R35" s="86">
        <f t="shared" si="7"/>
        <v>10</v>
      </c>
      <c r="S35" s="124">
        <f t="shared" si="7"/>
        <v>0</v>
      </c>
      <c r="T35" s="41"/>
      <c r="U35" s="107">
        <f t="shared" si="5"/>
        <v>240</v>
      </c>
      <c r="V35" s="130">
        <f t="shared" si="6"/>
        <v>10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3999</v>
      </c>
      <c r="D38" s="114">
        <v>1</v>
      </c>
      <c r="E38" s="115"/>
      <c r="F38" s="115"/>
      <c r="G38" s="78">
        <v>178</v>
      </c>
      <c r="H38" s="79"/>
      <c r="I38" s="139">
        <f t="shared" si="4"/>
        <v>3821</v>
      </c>
      <c r="J38" s="140">
        <f t="shared" si="4"/>
        <v>1</v>
      </c>
      <c r="K38" s="51"/>
      <c r="L38" s="121">
        <v>20</v>
      </c>
      <c r="M38" s="121"/>
      <c r="N38" s="121">
        <v>50</v>
      </c>
      <c r="O38" s="121"/>
      <c r="P38" s="121">
        <v>108</v>
      </c>
      <c r="Q38" s="122"/>
      <c r="R38" s="97">
        <f t="shared" si="7"/>
        <v>178</v>
      </c>
      <c r="S38" s="125">
        <f t="shared" si="7"/>
        <v>0</v>
      </c>
      <c r="T38" s="51"/>
      <c r="U38" s="131">
        <f>L38*6+N38*6+P38*6</f>
        <v>1068</v>
      </c>
      <c r="V38" s="135">
        <f>U38/6</f>
        <v>178</v>
      </c>
      <c r="W38" s="133">
        <f>I38*6+J38</f>
        <v>22927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>
        <v>1</v>
      </c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f>131</f>
        <v>131</v>
      </c>
      <c r="D42" s="164"/>
      <c r="E42" s="165"/>
      <c r="F42" s="165"/>
      <c r="G42" s="166">
        <v>39</v>
      </c>
      <c r="H42" s="167"/>
      <c r="I42" s="166">
        <f t="shared" si="4"/>
        <v>92</v>
      </c>
      <c r="J42" s="168">
        <f t="shared" si="4"/>
        <v>0</v>
      </c>
      <c r="K42" s="169"/>
      <c r="L42" s="165">
        <v>9</v>
      </c>
      <c r="M42" s="165"/>
      <c r="N42" s="165">
        <v>3</v>
      </c>
      <c r="O42" s="165"/>
      <c r="P42" s="165">
        <v>27</v>
      </c>
      <c r="Q42" s="170"/>
      <c r="R42" s="171">
        <f t="shared" si="7"/>
        <v>39</v>
      </c>
      <c r="S42" s="172">
        <f t="shared" si="7"/>
        <v>0</v>
      </c>
      <c r="T42" s="169"/>
      <c r="U42" s="173">
        <f>L42*12+N42*12+P42*12</f>
        <v>468</v>
      </c>
      <c r="V42" s="174">
        <f>U42/12</f>
        <v>39</v>
      </c>
      <c r="W42" s="175">
        <f>I42*12+J42</f>
        <v>1104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34700</v>
      </c>
      <c r="D44" s="114">
        <v>3</v>
      </c>
      <c r="E44" s="115"/>
      <c r="F44" s="115"/>
      <c r="G44" s="78">
        <v>1152</v>
      </c>
      <c r="H44" s="79"/>
      <c r="I44" s="73">
        <f>C44+E44-G44</f>
        <v>33548</v>
      </c>
      <c r="J44" s="177">
        <f t="shared" si="4"/>
        <v>3</v>
      </c>
      <c r="K44" s="51"/>
      <c r="L44" s="121">
        <v>339</v>
      </c>
      <c r="M44" s="121"/>
      <c r="N44" s="121">
        <v>323</v>
      </c>
      <c r="O44" s="121"/>
      <c r="P44" s="121">
        <v>490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201291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45404</v>
      </c>
      <c r="D60" s="54">
        <f>SUM(D8:D59)</f>
        <v>131</v>
      </c>
      <c r="E60" s="44">
        <f>SUM(E8:E59)</f>
        <v>0</v>
      </c>
      <c r="F60" s="44"/>
      <c r="G60" s="28">
        <f>SUM(G8:G59)</f>
        <v>1432</v>
      </c>
      <c r="H60" s="56">
        <f>SUM(H8:H59)</f>
        <v>12</v>
      </c>
      <c r="I60" s="56">
        <f>SUM(I8:I59)</f>
        <v>43972</v>
      </c>
      <c r="J60" s="45">
        <f>SUM(J8:J59)</f>
        <v>119</v>
      </c>
      <c r="K60" s="46"/>
      <c r="L60" s="74">
        <f t="shared" ref="L60:S60" si="20">SUM(L8:L59)</f>
        <v>376</v>
      </c>
      <c r="M60" s="74">
        <f t="shared" si="20"/>
        <v>12</v>
      </c>
      <c r="N60" s="74">
        <f t="shared" si="20"/>
        <v>397</v>
      </c>
      <c r="O60" s="74">
        <f t="shared" si="20"/>
        <v>0</v>
      </c>
      <c r="P60" s="74">
        <f t="shared" si="20"/>
        <v>659</v>
      </c>
      <c r="Q60" s="75">
        <f t="shared" si="20"/>
        <v>0</v>
      </c>
      <c r="R60" s="85">
        <f t="shared" si="20"/>
        <v>1432</v>
      </c>
      <c r="S60" s="84">
        <f t="shared" si="20"/>
        <v>12</v>
      </c>
      <c r="T60" s="46"/>
      <c r="U60" s="43">
        <f>SUM(U8:U59)</f>
        <v>9960</v>
      </c>
      <c r="V60" s="102">
        <f>SUM(V8:V59)</f>
        <v>1432</v>
      </c>
      <c r="W60" s="187">
        <f>SUM(W8:W59)</f>
        <v>330779</v>
      </c>
      <c r="X60" s="45"/>
    </row>
    <row r="61" spans="1:24" ht="19.5" thickBot="1" x14ac:dyDescent="0.3">
      <c r="V61" s="103"/>
    </row>
    <row r="62" spans="1:24" ht="18.75" customHeight="1" x14ac:dyDescent="0.25">
      <c r="G62" s="20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8" t="s">
        <v>3</v>
      </c>
      <c r="D69" s="189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9FBA9-D099-42A2-AE80-DC4B3F80ADEE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C50" sqref="AC5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4">
        <v>46181</v>
      </c>
      <c r="Q1" s="215"/>
      <c r="R1" s="215"/>
      <c r="S1" s="215"/>
      <c r="T1" s="215"/>
      <c r="U1" s="215"/>
      <c r="V1" s="215"/>
      <c r="W1" s="215"/>
      <c r="X1" s="21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7" t="s">
        <v>74</v>
      </c>
      <c r="C4" s="218" t="s">
        <v>3</v>
      </c>
      <c r="D4" s="219" t="s">
        <v>75</v>
      </c>
      <c r="E4" s="220" t="s">
        <v>4</v>
      </c>
      <c r="F4" s="221"/>
      <c r="G4" s="222" t="s">
        <v>5</v>
      </c>
      <c r="H4" s="224" t="s">
        <v>75</v>
      </c>
      <c r="I4" s="226" t="s">
        <v>6</v>
      </c>
      <c r="J4" s="224" t="s">
        <v>75</v>
      </c>
      <c r="L4" s="228" t="s">
        <v>7</v>
      </c>
      <c r="M4" s="229"/>
      <c r="N4" s="229"/>
      <c r="O4" s="229"/>
      <c r="P4" s="229"/>
      <c r="Q4" s="229"/>
      <c r="R4" s="229"/>
      <c r="S4" s="229"/>
      <c r="T4" s="229"/>
      <c r="U4" s="229"/>
      <c r="V4" s="230"/>
      <c r="W4" s="229"/>
      <c r="X4" s="231"/>
    </row>
    <row r="5" spans="1:60" s="3" customFormat="1" ht="57" thickBot="1" x14ac:dyDescent="0.3">
      <c r="A5" s="49"/>
      <c r="B5" s="217"/>
      <c r="C5" s="218"/>
      <c r="D5" s="219"/>
      <c r="E5" s="48" t="s">
        <v>8</v>
      </c>
      <c r="F5" s="193" t="s">
        <v>9</v>
      </c>
      <c r="G5" s="223"/>
      <c r="H5" s="225"/>
      <c r="I5" s="227"/>
      <c r="J5" s="22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>
        <v>2</v>
      </c>
      <c r="H8" s="73"/>
      <c r="I8" s="73">
        <f>C8-G8</f>
        <v>21</v>
      </c>
      <c r="J8" s="77">
        <f t="shared" ref="J8:J12" si="0">D8-H8</f>
        <v>9</v>
      </c>
      <c r="K8" s="41"/>
      <c r="L8" s="112">
        <v>2</v>
      </c>
      <c r="M8" s="112"/>
      <c r="N8" s="112"/>
      <c r="O8" s="112"/>
      <c r="P8" s="112"/>
      <c r="Q8" s="120"/>
      <c r="R8" s="86">
        <f t="shared" ref="R8:S12" si="1">L8+N8+P8</f>
        <v>2</v>
      </c>
      <c r="S8" s="124">
        <f t="shared" si="1"/>
        <v>0</v>
      </c>
      <c r="T8" s="41"/>
      <c r="U8" s="107">
        <f>L8*24+N8*24+P8*24</f>
        <v>48</v>
      </c>
      <c r="V8" s="130">
        <f>U8/24</f>
        <v>2</v>
      </c>
      <c r="W8" s="129">
        <f t="shared" ref="W8:W12" si="2">I8*24+J8</f>
        <v>513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135</v>
      </c>
      <c r="D10" s="111"/>
      <c r="E10" s="112"/>
      <c r="F10" s="112"/>
      <c r="G10" s="76">
        <v>19</v>
      </c>
      <c r="H10" s="73"/>
      <c r="I10" s="73">
        <f t="shared" si="4"/>
        <v>116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17</v>
      </c>
      <c r="Q10" s="120"/>
      <c r="R10" s="99">
        <f t="shared" si="1"/>
        <v>19</v>
      </c>
      <c r="S10" s="126">
        <f t="shared" si="1"/>
        <v>0</v>
      </c>
      <c r="T10" s="41"/>
      <c r="U10" s="107">
        <f>L10*24+N10*24+P10*24</f>
        <v>456</v>
      </c>
      <c r="V10" s="134">
        <f>U10/24</f>
        <v>19</v>
      </c>
      <c r="W10" s="129">
        <f t="shared" si="2"/>
        <v>2784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20</v>
      </c>
      <c r="D11" s="111"/>
      <c r="E11" s="112"/>
      <c r="F11" s="112"/>
      <c r="G11" s="76">
        <v>20</v>
      </c>
      <c r="H11" s="73"/>
      <c r="I11" s="73">
        <f t="shared" si="4"/>
        <v>0</v>
      </c>
      <c r="J11" s="77">
        <f t="shared" si="0"/>
        <v>0</v>
      </c>
      <c r="K11" s="41"/>
      <c r="L11" s="112">
        <v>4</v>
      </c>
      <c r="M11" s="112"/>
      <c r="N11" s="112"/>
      <c r="O11" s="112"/>
      <c r="P11" s="112">
        <v>16</v>
      </c>
      <c r="Q11" s="120"/>
      <c r="R11" s="86">
        <f t="shared" si="1"/>
        <v>20</v>
      </c>
      <c r="S11" s="124">
        <f t="shared" si="1"/>
        <v>0</v>
      </c>
      <c r="T11" s="41"/>
      <c r="U11" s="107">
        <f>L11*24+N11*24+P11*24</f>
        <v>480</v>
      </c>
      <c r="V11" s="130">
        <f>U11/24</f>
        <v>20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3014</v>
      </c>
      <c r="D13" s="114"/>
      <c r="E13" s="115"/>
      <c r="F13" s="115"/>
      <c r="G13" s="78">
        <v>10</v>
      </c>
      <c r="H13" s="79"/>
      <c r="I13" s="80">
        <f t="shared" si="4"/>
        <v>3004</v>
      </c>
      <c r="J13" s="94">
        <f>D13-H13</f>
        <v>0</v>
      </c>
      <c r="K13" s="53"/>
      <c r="L13" s="121"/>
      <c r="M13" s="121"/>
      <c r="N13" s="121"/>
      <c r="O13" s="121"/>
      <c r="P13" s="121">
        <v>10</v>
      </c>
      <c r="Q13" s="122"/>
      <c r="R13" s="97">
        <f>L13+N13+P13</f>
        <v>10</v>
      </c>
      <c r="S13" s="125">
        <f>M13+O13+Q13</f>
        <v>0</v>
      </c>
      <c r="T13" s="53"/>
      <c r="U13" s="131">
        <f>L13*24+N13*24+P13*24</f>
        <v>240</v>
      </c>
      <c r="V13" s="135">
        <f t="shared" si="6"/>
        <v>10</v>
      </c>
      <c r="W13" s="133">
        <f>I13*24+J13</f>
        <v>72096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/>
      <c r="H26" s="73"/>
      <c r="I26" s="73">
        <f t="shared" si="4"/>
        <v>124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2977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34</v>
      </c>
      <c r="D29" s="111"/>
      <c r="E29" s="112"/>
      <c r="F29" s="112"/>
      <c r="G29" s="76">
        <v>6</v>
      </c>
      <c r="H29" s="73"/>
      <c r="I29" s="73">
        <f t="shared" si="4"/>
        <v>28</v>
      </c>
      <c r="J29" s="77">
        <f t="shared" si="4"/>
        <v>0</v>
      </c>
      <c r="K29" s="42"/>
      <c r="L29" s="112">
        <v>1</v>
      </c>
      <c r="M29" s="112"/>
      <c r="N29" s="112"/>
      <c r="O29" s="112"/>
      <c r="P29" s="112">
        <v>5</v>
      </c>
      <c r="Q29" s="120"/>
      <c r="R29" s="86">
        <f t="shared" si="7"/>
        <v>6</v>
      </c>
      <c r="S29" s="124">
        <f t="shared" si="7"/>
        <v>0</v>
      </c>
      <c r="T29" s="42"/>
      <c r="U29" s="107">
        <f t="shared" si="5"/>
        <v>144</v>
      </c>
      <c r="V29" s="130">
        <f t="shared" si="6"/>
        <v>6</v>
      </c>
      <c r="W29" s="129">
        <f t="shared" si="8"/>
        <v>672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3821</v>
      </c>
      <c r="D38" s="114">
        <v>1</v>
      </c>
      <c r="E38" s="115"/>
      <c r="F38" s="115"/>
      <c r="G38" s="78">
        <v>29</v>
      </c>
      <c r="H38" s="79"/>
      <c r="I38" s="139">
        <f t="shared" si="4"/>
        <v>3792</v>
      </c>
      <c r="J38" s="140">
        <f t="shared" si="4"/>
        <v>1</v>
      </c>
      <c r="K38" s="51"/>
      <c r="L38" s="121">
        <v>15</v>
      </c>
      <c r="M38" s="121"/>
      <c r="N38" s="121"/>
      <c r="O38" s="121"/>
      <c r="P38" s="121">
        <v>14</v>
      </c>
      <c r="Q38" s="122"/>
      <c r="R38" s="97">
        <f t="shared" si="7"/>
        <v>29</v>
      </c>
      <c r="S38" s="125">
        <f t="shared" si="7"/>
        <v>0</v>
      </c>
      <c r="T38" s="51"/>
      <c r="U38" s="131">
        <f>L38*6+N38*6+P38*6</f>
        <v>174</v>
      </c>
      <c r="V38" s="135">
        <f>U38/6</f>
        <v>29</v>
      </c>
      <c r="W38" s="133">
        <f>I38*6+J38</f>
        <v>22753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27</v>
      </c>
      <c r="D41" s="147">
        <v>8</v>
      </c>
      <c r="E41" s="148"/>
      <c r="F41" s="148"/>
      <c r="G41" s="149"/>
      <c r="H41" s="150"/>
      <c r="I41" s="151">
        <f t="shared" si="4"/>
        <v>27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656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92</v>
      </c>
      <c r="D42" s="164"/>
      <c r="E42" s="165"/>
      <c r="F42" s="165"/>
      <c r="G42" s="166">
        <v>9</v>
      </c>
      <c r="H42" s="167"/>
      <c r="I42" s="166">
        <f t="shared" si="4"/>
        <v>83</v>
      </c>
      <c r="J42" s="168">
        <f t="shared" si="4"/>
        <v>0</v>
      </c>
      <c r="K42" s="169"/>
      <c r="L42" s="165">
        <v>8</v>
      </c>
      <c r="M42" s="165"/>
      <c r="N42" s="165"/>
      <c r="O42" s="165"/>
      <c r="P42" s="165">
        <v>1</v>
      </c>
      <c r="Q42" s="170"/>
      <c r="R42" s="171">
        <f t="shared" si="7"/>
        <v>9</v>
      </c>
      <c r="S42" s="172">
        <f t="shared" si="7"/>
        <v>0</v>
      </c>
      <c r="T42" s="169"/>
      <c r="U42" s="173">
        <f>L42*12+N42*12+P42*12</f>
        <v>108</v>
      </c>
      <c r="V42" s="174">
        <f>U42/12</f>
        <v>9</v>
      </c>
      <c r="W42" s="175">
        <f>I42*12+J42</f>
        <v>996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33548</v>
      </c>
      <c r="D44" s="114">
        <v>3</v>
      </c>
      <c r="E44" s="115"/>
      <c r="F44" s="115"/>
      <c r="G44" s="78">
        <v>650</v>
      </c>
      <c r="H44" s="79"/>
      <c r="I44" s="73">
        <f>C44+E44-G44</f>
        <v>32898</v>
      </c>
      <c r="J44" s="177">
        <f t="shared" si="4"/>
        <v>3</v>
      </c>
      <c r="K44" s="51"/>
      <c r="L44" s="121">
        <v>312</v>
      </c>
      <c r="M44" s="121"/>
      <c r="N44" s="121"/>
      <c r="O44" s="121"/>
      <c r="P44" s="121">
        <v>338</v>
      </c>
      <c r="Q44" s="122"/>
      <c r="R44" s="178">
        <f t="shared" si="7"/>
        <v>650</v>
      </c>
      <c r="S44" s="179">
        <f t="shared" si="7"/>
        <v>0</v>
      </c>
      <c r="T44" s="51"/>
      <c r="U44" s="131">
        <f>L44*6+N44*6+P44*6</f>
        <v>3900</v>
      </c>
      <c r="V44" s="130">
        <f>U44/6</f>
        <v>650</v>
      </c>
      <c r="W44" s="133">
        <f>I44*6+J44</f>
        <v>197391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>
        <v>2</v>
      </c>
      <c r="H48" s="139"/>
      <c r="I48" s="139">
        <f t="shared" si="4"/>
        <v>2793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16759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43972</v>
      </c>
      <c r="D60" s="54">
        <f>SUM(D8:D59)</f>
        <v>119</v>
      </c>
      <c r="E60" s="44">
        <f>SUM(E8:E59)</f>
        <v>0</v>
      </c>
      <c r="F60" s="44"/>
      <c r="G60" s="28">
        <f>SUM(G8:G59)</f>
        <v>747</v>
      </c>
      <c r="H60" s="56">
        <f>SUM(H8:H59)</f>
        <v>0</v>
      </c>
      <c r="I60" s="56">
        <f>SUM(I8:I59)</f>
        <v>43225</v>
      </c>
      <c r="J60" s="45">
        <f>SUM(J8:J59)</f>
        <v>119</v>
      </c>
      <c r="K60" s="46"/>
      <c r="L60" s="74">
        <f t="shared" ref="L60:S60" si="20">SUM(L8:L59)</f>
        <v>346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401</v>
      </c>
      <c r="Q60" s="75">
        <f t="shared" si="20"/>
        <v>0</v>
      </c>
      <c r="R60" s="85">
        <f t="shared" si="20"/>
        <v>747</v>
      </c>
      <c r="S60" s="84">
        <f t="shared" si="20"/>
        <v>0</v>
      </c>
      <c r="T60" s="46"/>
      <c r="U60" s="43">
        <f>SUM(U8:U59)</f>
        <v>5562</v>
      </c>
      <c r="V60" s="102">
        <f>SUM(V8:V59)</f>
        <v>747</v>
      </c>
      <c r="W60" s="187">
        <f>SUM(W8:W59)</f>
        <v>325217</v>
      </c>
      <c r="X60" s="45"/>
    </row>
    <row r="61" spans="1:24" ht="19.5" thickBot="1" x14ac:dyDescent="0.3">
      <c r="V61" s="103"/>
    </row>
    <row r="62" spans="1:24" ht="18.75" customHeight="1" x14ac:dyDescent="0.25">
      <c r="G62" s="20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1" t="s">
        <v>3</v>
      </c>
      <c r="D69" s="192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B4951-6A36-4AD6-9558-72AD2AE159BE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E32" sqref="AE3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4">
        <v>46181</v>
      </c>
      <c r="Q1" s="215"/>
      <c r="R1" s="215"/>
      <c r="S1" s="215"/>
      <c r="T1" s="215"/>
      <c r="U1" s="215"/>
      <c r="V1" s="215"/>
      <c r="W1" s="215"/>
      <c r="X1" s="21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7" t="s">
        <v>74</v>
      </c>
      <c r="C4" s="218" t="s">
        <v>3</v>
      </c>
      <c r="D4" s="219" t="s">
        <v>75</v>
      </c>
      <c r="E4" s="220" t="s">
        <v>4</v>
      </c>
      <c r="F4" s="221"/>
      <c r="G4" s="222" t="s">
        <v>5</v>
      </c>
      <c r="H4" s="224" t="s">
        <v>75</v>
      </c>
      <c r="I4" s="226" t="s">
        <v>6</v>
      </c>
      <c r="J4" s="224" t="s">
        <v>75</v>
      </c>
      <c r="L4" s="228" t="s">
        <v>7</v>
      </c>
      <c r="M4" s="229"/>
      <c r="N4" s="229"/>
      <c r="O4" s="229"/>
      <c r="P4" s="229"/>
      <c r="Q4" s="229"/>
      <c r="R4" s="229"/>
      <c r="S4" s="229"/>
      <c r="T4" s="229"/>
      <c r="U4" s="229"/>
      <c r="V4" s="230"/>
      <c r="W4" s="229"/>
      <c r="X4" s="231"/>
    </row>
    <row r="5" spans="1:60" s="3" customFormat="1" ht="57" thickBot="1" x14ac:dyDescent="0.3">
      <c r="A5" s="49"/>
      <c r="B5" s="217"/>
      <c r="C5" s="218"/>
      <c r="D5" s="219"/>
      <c r="E5" s="48" t="s">
        <v>8</v>
      </c>
      <c r="F5" s="196" t="s">
        <v>9</v>
      </c>
      <c r="G5" s="223"/>
      <c r="H5" s="225"/>
      <c r="I5" s="227"/>
      <c r="J5" s="22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21</v>
      </c>
      <c r="D8" s="111">
        <v>9</v>
      </c>
      <c r="E8" s="112"/>
      <c r="F8" s="112"/>
      <c r="G8" s="76"/>
      <c r="H8" s="73"/>
      <c r="I8" s="73">
        <f>C8-G8</f>
        <v>21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513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116</v>
      </c>
      <c r="D10" s="111"/>
      <c r="E10" s="112"/>
      <c r="F10" s="112"/>
      <c r="G10" s="76">
        <v>2</v>
      </c>
      <c r="H10" s="73"/>
      <c r="I10" s="73">
        <f t="shared" si="4"/>
        <v>114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2736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3004</v>
      </c>
      <c r="D13" s="114"/>
      <c r="E13" s="115"/>
      <c r="F13" s="115"/>
      <c r="G13" s="78">
        <v>17</v>
      </c>
      <c r="H13" s="79">
        <v>24</v>
      </c>
      <c r="I13" s="80">
        <f t="shared" si="4"/>
        <v>2987</v>
      </c>
      <c r="J13" s="94">
        <f>D13-H13</f>
        <v>-24</v>
      </c>
      <c r="K13" s="53"/>
      <c r="L13" s="121"/>
      <c r="M13" s="121"/>
      <c r="N13" s="121">
        <v>15</v>
      </c>
      <c r="O13" s="121">
        <v>12</v>
      </c>
      <c r="P13" s="121">
        <v>2</v>
      </c>
      <c r="Q13" s="122">
        <v>12</v>
      </c>
      <c r="R13" s="97">
        <f>L13+N13+P13</f>
        <v>17</v>
      </c>
      <c r="S13" s="125">
        <f>M13+O13+Q13</f>
        <v>24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71664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124</v>
      </c>
      <c r="D26" s="111">
        <v>1</v>
      </c>
      <c r="E26" s="112"/>
      <c r="F26" s="112"/>
      <c r="G26" s="76">
        <v>5</v>
      </c>
      <c r="H26" s="73"/>
      <c r="I26" s="73">
        <f t="shared" si="4"/>
        <v>119</v>
      </c>
      <c r="J26" s="77">
        <f t="shared" si="4"/>
        <v>1</v>
      </c>
      <c r="K26" s="41"/>
      <c r="L26" s="112"/>
      <c r="M26" s="112"/>
      <c r="N26" s="112"/>
      <c r="O26" s="112"/>
      <c r="P26" s="112">
        <v>5</v>
      </c>
      <c r="Q26" s="120"/>
      <c r="R26" s="86">
        <f t="shared" si="7"/>
        <v>5</v>
      </c>
      <c r="S26" s="124">
        <f t="shared" si="7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8"/>
        <v>2857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28</v>
      </c>
      <c r="D29" s="111"/>
      <c r="E29" s="112"/>
      <c r="F29" s="112"/>
      <c r="G29" s="76">
        <v>2</v>
      </c>
      <c r="H29" s="73"/>
      <c r="I29" s="73">
        <f t="shared" si="4"/>
        <v>26</v>
      </c>
      <c r="J29" s="77">
        <f t="shared" si="4"/>
        <v>0</v>
      </c>
      <c r="K29" s="42"/>
      <c r="L29" s="112"/>
      <c r="M29" s="112"/>
      <c r="N29" s="112"/>
      <c r="O29" s="112"/>
      <c r="P29" s="112">
        <v>2</v>
      </c>
      <c r="Q29" s="120"/>
      <c r="R29" s="86">
        <f t="shared" si="7"/>
        <v>2</v>
      </c>
      <c r="S29" s="124">
        <f t="shared" si="7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8"/>
        <v>624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3792</v>
      </c>
      <c r="D38" s="114">
        <v>1</v>
      </c>
      <c r="E38" s="115"/>
      <c r="F38" s="115"/>
      <c r="G38" s="78">
        <v>161</v>
      </c>
      <c r="H38" s="79"/>
      <c r="I38" s="139">
        <f t="shared" si="4"/>
        <v>3631</v>
      </c>
      <c r="J38" s="140">
        <f t="shared" si="4"/>
        <v>1</v>
      </c>
      <c r="K38" s="51"/>
      <c r="L38" s="121"/>
      <c r="M38" s="121"/>
      <c r="N38" s="121">
        <v>108</v>
      </c>
      <c r="O38" s="121"/>
      <c r="P38" s="121">
        <v>53</v>
      </c>
      <c r="Q38" s="122"/>
      <c r="R38" s="97">
        <f t="shared" si="7"/>
        <v>161</v>
      </c>
      <c r="S38" s="125">
        <f t="shared" si="7"/>
        <v>0</v>
      </c>
      <c r="T38" s="51"/>
      <c r="U38" s="131">
        <f>L38*6+N38*6+P38*6</f>
        <v>966</v>
      </c>
      <c r="V38" s="135">
        <f>U38/6</f>
        <v>161</v>
      </c>
      <c r="W38" s="133">
        <f>I38*6+J38</f>
        <v>21787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27</v>
      </c>
      <c r="D41" s="147">
        <v>8</v>
      </c>
      <c r="E41" s="148"/>
      <c r="F41" s="148"/>
      <c r="G41" s="149">
        <v>26</v>
      </c>
      <c r="H41" s="150"/>
      <c r="I41" s="151">
        <f t="shared" si="4"/>
        <v>1</v>
      </c>
      <c r="J41" s="152">
        <f t="shared" si="4"/>
        <v>8</v>
      </c>
      <c r="K41" s="153"/>
      <c r="L41" s="154"/>
      <c r="M41" s="154"/>
      <c r="N41" s="154"/>
      <c r="O41" s="154"/>
      <c r="P41" s="154">
        <v>26</v>
      </c>
      <c r="Q41" s="155"/>
      <c r="R41" s="156">
        <f t="shared" si="7"/>
        <v>26</v>
      </c>
      <c r="S41" s="157">
        <f t="shared" si="7"/>
        <v>0</v>
      </c>
      <c r="T41" s="153"/>
      <c r="U41" s="158">
        <f t="shared" si="9"/>
        <v>624</v>
      </c>
      <c r="V41" s="159">
        <f t="shared" si="6"/>
        <v>26</v>
      </c>
      <c r="W41" s="159">
        <f t="shared" si="10"/>
        <v>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83</v>
      </c>
      <c r="D42" s="164"/>
      <c r="E42" s="165"/>
      <c r="F42" s="165"/>
      <c r="G42" s="166">
        <v>11</v>
      </c>
      <c r="H42" s="167"/>
      <c r="I42" s="166">
        <f t="shared" si="4"/>
        <v>72</v>
      </c>
      <c r="J42" s="168">
        <f t="shared" si="4"/>
        <v>0</v>
      </c>
      <c r="K42" s="169"/>
      <c r="L42" s="165"/>
      <c r="M42" s="165"/>
      <c r="N42" s="165"/>
      <c r="O42" s="165"/>
      <c r="P42" s="165">
        <v>11</v>
      </c>
      <c r="Q42" s="170"/>
      <c r="R42" s="171">
        <f t="shared" si="7"/>
        <v>11</v>
      </c>
      <c r="S42" s="172">
        <f t="shared" si="7"/>
        <v>0</v>
      </c>
      <c r="T42" s="169"/>
      <c r="U42" s="173">
        <f>L42*12+N42*12+P42*12</f>
        <v>132</v>
      </c>
      <c r="V42" s="174">
        <f>U42/12</f>
        <v>11</v>
      </c>
      <c r="W42" s="175">
        <f>I42*12+J42</f>
        <v>864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32898</v>
      </c>
      <c r="D44" s="114">
        <v>3</v>
      </c>
      <c r="E44" s="115"/>
      <c r="F44" s="115"/>
      <c r="G44" s="78">
        <v>534</v>
      </c>
      <c r="H44" s="79"/>
      <c r="I44" s="73">
        <f>C44+E44-G44</f>
        <v>32364</v>
      </c>
      <c r="J44" s="177">
        <f t="shared" si="4"/>
        <v>3</v>
      </c>
      <c r="K44" s="51"/>
      <c r="L44" s="121"/>
      <c r="M44" s="121"/>
      <c r="N44" s="121">
        <v>265</v>
      </c>
      <c r="O44" s="121"/>
      <c r="P44" s="121">
        <v>269</v>
      </c>
      <c r="Q44" s="122"/>
      <c r="R44" s="178">
        <f t="shared" si="7"/>
        <v>534</v>
      </c>
      <c r="S44" s="179">
        <f t="shared" si="7"/>
        <v>0</v>
      </c>
      <c r="T44" s="51"/>
      <c r="U44" s="131">
        <f>L44*6+N44*6+P44*6</f>
        <v>3204</v>
      </c>
      <c r="V44" s="130">
        <f>U44/6</f>
        <v>534</v>
      </c>
      <c r="W44" s="133">
        <f>I44*6+J44</f>
        <v>194187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2793</v>
      </c>
      <c r="D48" s="142">
        <v>1</v>
      </c>
      <c r="E48" s="121"/>
      <c r="F48" s="121"/>
      <c r="G48" s="143">
        <v>3</v>
      </c>
      <c r="H48" s="139"/>
      <c r="I48" s="139">
        <f t="shared" si="4"/>
        <v>2790</v>
      </c>
      <c r="J48" s="140">
        <f t="shared" si="4"/>
        <v>1</v>
      </c>
      <c r="K48" s="51"/>
      <c r="L48" s="121"/>
      <c r="M48" s="121"/>
      <c r="N48" s="121">
        <v>3</v>
      </c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43225</v>
      </c>
      <c r="D60" s="54">
        <f>SUM(D8:D59)</f>
        <v>119</v>
      </c>
      <c r="E60" s="44">
        <f>SUM(E8:E59)</f>
        <v>0</v>
      </c>
      <c r="F60" s="44"/>
      <c r="G60" s="28">
        <f>SUM(G8:G59)</f>
        <v>761</v>
      </c>
      <c r="H60" s="56">
        <f>SUM(H8:H59)</f>
        <v>24</v>
      </c>
      <c r="I60" s="56">
        <f>SUM(I8:I59)</f>
        <v>42464</v>
      </c>
      <c r="J60" s="45">
        <f>SUM(J8:J59)</f>
        <v>95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393</v>
      </c>
      <c r="O60" s="74">
        <f t="shared" si="20"/>
        <v>12</v>
      </c>
      <c r="P60" s="74">
        <f t="shared" si="20"/>
        <v>368</v>
      </c>
      <c r="Q60" s="75">
        <f t="shared" si="20"/>
        <v>12</v>
      </c>
      <c r="R60" s="85">
        <f t="shared" si="20"/>
        <v>761</v>
      </c>
      <c r="S60" s="84">
        <f t="shared" si="20"/>
        <v>24</v>
      </c>
      <c r="T60" s="46"/>
      <c r="U60" s="43">
        <f>SUM(U8:U59)</f>
        <v>5568</v>
      </c>
      <c r="V60" s="102">
        <f>SUM(V8:V59)</f>
        <v>761</v>
      </c>
      <c r="W60" s="187">
        <f>SUM(W8:W59)</f>
        <v>319625</v>
      </c>
      <c r="X60" s="45"/>
    </row>
    <row r="61" spans="1:24" ht="19.5" thickBot="1" x14ac:dyDescent="0.3">
      <c r="V61" s="103"/>
    </row>
    <row r="62" spans="1:24" ht="18.75" customHeight="1" x14ac:dyDescent="0.25">
      <c r="G62" s="20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4" t="s">
        <v>3</v>
      </c>
      <c r="D69" s="19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76624-73D9-418A-92EB-BF18B9B20931}">
  <sheetPr>
    <pageSetUpPr fitToPage="1"/>
  </sheetPr>
  <dimension ref="A1:BH90"/>
  <sheetViews>
    <sheetView topLeftCell="A37" zoomScale="85" zoomScaleNormal="85" zoomScaleSheetLayoutView="85" zoomScalePageLayoutView="80" workbookViewId="0">
      <selection activeCell="Z65" sqref="Z6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4">
        <v>46181</v>
      </c>
      <c r="Q1" s="215"/>
      <c r="R1" s="215"/>
      <c r="S1" s="215"/>
      <c r="T1" s="215"/>
      <c r="U1" s="215"/>
      <c r="V1" s="215"/>
      <c r="W1" s="215"/>
      <c r="X1" s="21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7" t="s">
        <v>74</v>
      </c>
      <c r="C4" s="218" t="s">
        <v>3</v>
      </c>
      <c r="D4" s="219" t="s">
        <v>75</v>
      </c>
      <c r="E4" s="220" t="s">
        <v>4</v>
      </c>
      <c r="F4" s="221"/>
      <c r="G4" s="222" t="s">
        <v>5</v>
      </c>
      <c r="H4" s="224" t="s">
        <v>75</v>
      </c>
      <c r="I4" s="226" t="s">
        <v>6</v>
      </c>
      <c r="J4" s="224" t="s">
        <v>75</v>
      </c>
      <c r="L4" s="228" t="s">
        <v>7</v>
      </c>
      <c r="M4" s="229"/>
      <c r="N4" s="229"/>
      <c r="O4" s="229"/>
      <c r="P4" s="229"/>
      <c r="Q4" s="229"/>
      <c r="R4" s="229"/>
      <c r="S4" s="229"/>
      <c r="T4" s="229"/>
      <c r="U4" s="229"/>
      <c r="V4" s="230"/>
      <c r="W4" s="229"/>
      <c r="X4" s="231"/>
    </row>
    <row r="5" spans="1:60" s="3" customFormat="1" ht="57" thickBot="1" x14ac:dyDescent="0.3">
      <c r="A5" s="49"/>
      <c r="B5" s="217"/>
      <c r="C5" s="218"/>
      <c r="D5" s="219"/>
      <c r="E5" s="48" t="s">
        <v>8</v>
      </c>
      <c r="F5" s="199" t="s">
        <v>9</v>
      </c>
      <c r="G5" s="223"/>
      <c r="H5" s="225"/>
      <c r="I5" s="227"/>
      <c r="J5" s="22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21</v>
      </c>
      <c r="D8" s="111">
        <v>9</v>
      </c>
      <c r="E8" s="112"/>
      <c r="F8" s="112"/>
      <c r="G8" s="76">
        <v>3</v>
      </c>
      <c r="H8" s="73"/>
      <c r="I8" s="73">
        <f>C8-G8</f>
        <v>18</v>
      </c>
      <c r="J8" s="77">
        <f t="shared" ref="J8:J12" si="0">D8-H8</f>
        <v>9</v>
      </c>
      <c r="K8" s="41"/>
      <c r="L8" s="112">
        <v>3</v>
      </c>
      <c r="M8" s="112"/>
      <c r="N8" s="112"/>
      <c r="O8" s="112"/>
      <c r="P8" s="112"/>
      <c r="Q8" s="120"/>
      <c r="R8" s="86">
        <f t="shared" ref="R8:S12" si="1">L8+N8+P8</f>
        <v>3</v>
      </c>
      <c r="S8" s="124">
        <f t="shared" si="1"/>
        <v>0</v>
      </c>
      <c r="T8" s="41"/>
      <c r="U8" s="107">
        <f>L8*24+N8*24+P8*24</f>
        <v>72</v>
      </c>
      <c r="V8" s="130">
        <f>U8/24</f>
        <v>3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>
        <v>2</v>
      </c>
      <c r="H9" s="79"/>
      <c r="I9" s="78">
        <f t="shared" ref="I9:J59" si="4">C9-G9</f>
        <v>94</v>
      </c>
      <c r="J9" s="94">
        <f t="shared" si="0"/>
        <v>0</v>
      </c>
      <c r="K9" s="51"/>
      <c r="L9" s="121">
        <v>1</v>
      </c>
      <c r="M9" s="121"/>
      <c r="N9" s="121">
        <v>1</v>
      </c>
      <c r="O9" s="121"/>
      <c r="P9" s="121"/>
      <c r="Q9" s="122"/>
      <c r="R9" s="98">
        <f t="shared" si="1"/>
        <v>2</v>
      </c>
      <c r="S9" s="125">
        <f t="shared" si="1"/>
        <v>0</v>
      </c>
      <c r="T9" s="51"/>
      <c r="U9" s="131">
        <f>L9*24+N9*24+P9*24</f>
        <v>48</v>
      </c>
      <c r="V9" s="132">
        <f>U9/24</f>
        <v>2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114</v>
      </c>
      <c r="D10" s="111"/>
      <c r="E10" s="112"/>
      <c r="F10" s="112"/>
      <c r="G10" s="76">
        <v>7</v>
      </c>
      <c r="H10" s="73"/>
      <c r="I10" s="73">
        <f t="shared" si="4"/>
        <v>107</v>
      </c>
      <c r="J10" s="95">
        <f t="shared" si="0"/>
        <v>0</v>
      </c>
      <c r="K10" s="41"/>
      <c r="L10" s="112">
        <v>2</v>
      </c>
      <c r="M10" s="112"/>
      <c r="N10" s="112">
        <v>5</v>
      </c>
      <c r="O10" s="112"/>
      <c r="P10" s="112"/>
      <c r="Q10" s="120"/>
      <c r="R10" s="99">
        <f t="shared" si="1"/>
        <v>7</v>
      </c>
      <c r="S10" s="126">
        <f t="shared" si="1"/>
        <v>0</v>
      </c>
      <c r="T10" s="41"/>
      <c r="U10" s="107">
        <f>L10*24+N10*24+P10*24</f>
        <v>168</v>
      </c>
      <c r="V10" s="134">
        <f>U10/24</f>
        <v>7</v>
      </c>
      <c r="W10" s="129">
        <f t="shared" si="2"/>
        <v>2568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2986</v>
      </c>
      <c r="D13" s="114"/>
      <c r="E13" s="115"/>
      <c r="F13" s="115"/>
      <c r="G13" s="78">
        <v>22</v>
      </c>
      <c r="H13" s="79"/>
      <c r="I13" s="80">
        <f t="shared" si="4"/>
        <v>2964</v>
      </c>
      <c r="J13" s="94">
        <f>D13-H13</f>
        <v>0</v>
      </c>
      <c r="K13" s="53"/>
      <c r="L13" s="121">
        <v>12</v>
      </c>
      <c r="M13" s="121"/>
      <c r="N13" s="121">
        <v>10</v>
      </c>
      <c r="O13" s="121"/>
      <c r="P13" s="121"/>
      <c r="Q13" s="122"/>
      <c r="R13" s="97">
        <f>L13+N13+P13</f>
        <v>22</v>
      </c>
      <c r="S13" s="125">
        <f>M13+O13+Q13</f>
        <v>0</v>
      </c>
      <c r="T13" s="53"/>
      <c r="U13" s="131">
        <f>L13*24+N13*24+P13*24</f>
        <v>528</v>
      </c>
      <c r="V13" s="135">
        <f t="shared" si="6"/>
        <v>22</v>
      </c>
      <c r="W13" s="133">
        <f>I13*24+J13</f>
        <v>71136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119</v>
      </c>
      <c r="D26" s="111">
        <v>1</v>
      </c>
      <c r="E26" s="112"/>
      <c r="F26" s="112"/>
      <c r="G26" s="76"/>
      <c r="H26" s="73"/>
      <c r="I26" s="73">
        <f t="shared" si="4"/>
        <v>119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2857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26</v>
      </c>
      <c r="D29" s="111"/>
      <c r="E29" s="112"/>
      <c r="F29" s="112"/>
      <c r="G29" s="76">
        <v>1</v>
      </c>
      <c r="H29" s="73"/>
      <c r="I29" s="73">
        <f t="shared" si="4"/>
        <v>25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7"/>
        <v>1</v>
      </c>
      <c r="S29" s="124">
        <f t="shared" si="7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8"/>
        <v>600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4"/>
        <v>50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12</v>
      </c>
      <c r="D31" s="111"/>
      <c r="E31" s="112"/>
      <c r="F31" s="112"/>
      <c r="G31" s="76"/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>
        <v>1</v>
      </c>
      <c r="H33" s="73"/>
      <c r="I33" s="73">
        <f t="shared" si="4"/>
        <v>3</v>
      </c>
      <c r="J33" s="77">
        <f t="shared" si="4"/>
        <v>0</v>
      </c>
      <c r="K33" s="41"/>
      <c r="L33" s="112"/>
      <c r="M33" s="112"/>
      <c r="N33" s="112">
        <v>1</v>
      </c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72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4"/>
        <v>64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3631</v>
      </c>
      <c r="D38" s="114">
        <v>1</v>
      </c>
      <c r="E38" s="115"/>
      <c r="F38" s="115"/>
      <c r="G38" s="78">
        <v>171</v>
      </c>
      <c r="H38" s="79"/>
      <c r="I38" s="139">
        <f t="shared" si="4"/>
        <v>3460</v>
      </c>
      <c r="J38" s="140">
        <f t="shared" si="4"/>
        <v>1</v>
      </c>
      <c r="K38" s="51"/>
      <c r="L38" s="121">
        <v>103</v>
      </c>
      <c r="M38" s="121"/>
      <c r="N38" s="121">
        <v>68</v>
      </c>
      <c r="O38" s="121"/>
      <c r="P38" s="121"/>
      <c r="Q38" s="122"/>
      <c r="R38" s="97">
        <f t="shared" si="7"/>
        <v>171</v>
      </c>
      <c r="S38" s="125">
        <f t="shared" si="7"/>
        <v>0</v>
      </c>
      <c r="T38" s="51"/>
      <c r="U38" s="131">
        <f>L38*6+N38*6+P38*6</f>
        <v>1026</v>
      </c>
      <c r="V38" s="135">
        <f>U38/6</f>
        <v>171</v>
      </c>
      <c r="W38" s="133">
        <f>I38*6+J38</f>
        <v>20761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</v>
      </c>
      <c r="D41" s="147">
        <v>8</v>
      </c>
      <c r="E41" s="148"/>
      <c r="F41" s="148"/>
      <c r="G41" s="149"/>
      <c r="H41" s="150"/>
      <c r="I41" s="151">
        <f t="shared" si="4"/>
        <v>1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32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72</v>
      </c>
      <c r="D42" s="164"/>
      <c r="E42" s="165"/>
      <c r="F42" s="165"/>
      <c r="G42" s="166">
        <v>13</v>
      </c>
      <c r="H42" s="167"/>
      <c r="I42" s="166">
        <f t="shared" si="4"/>
        <v>59</v>
      </c>
      <c r="J42" s="168">
        <f t="shared" si="4"/>
        <v>0</v>
      </c>
      <c r="K42" s="169"/>
      <c r="L42" s="165">
        <v>8</v>
      </c>
      <c r="M42" s="165"/>
      <c r="N42" s="165">
        <v>5</v>
      </c>
      <c r="O42" s="165"/>
      <c r="P42" s="165"/>
      <c r="Q42" s="170"/>
      <c r="R42" s="171">
        <f t="shared" si="7"/>
        <v>13</v>
      </c>
      <c r="S42" s="172">
        <f t="shared" si="7"/>
        <v>0</v>
      </c>
      <c r="T42" s="169"/>
      <c r="U42" s="173">
        <f>L42*12+N42*12+P42*12</f>
        <v>156</v>
      </c>
      <c r="V42" s="174">
        <f>U42/12</f>
        <v>13</v>
      </c>
      <c r="W42" s="175">
        <f>I42*12+J42</f>
        <v>708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32364</v>
      </c>
      <c r="D44" s="114">
        <v>2</v>
      </c>
      <c r="E44" s="115"/>
      <c r="F44" s="115"/>
      <c r="G44" s="78">
        <v>699</v>
      </c>
      <c r="H44" s="79"/>
      <c r="I44" s="73">
        <f>C44+E44-G44</f>
        <v>31665</v>
      </c>
      <c r="J44" s="177">
        <f t="shared" si="4"/>
        <v>2</v>
      </c>
      <c r="K44" s="51"/>
      <c r="L44" s="121">
        <v>422</v>
      </c>
      <c r="M44" s="121"/>
      <c r="N44" s="121">
        <v>277</v>
      </c>
      <c r="O44" s="121"/>
      <c r="P44" s="121"/>
      <c r="Q44" s="122"/>
      <c r="R44" s="178">
        <f t="shared" si="7"/>
        <v>699</v>
      </c>
      <c r="S44" s="179">
        <f t="shared" si="7"/>
        <v>0</v>
      </c>
      <c r="T44" s="51"/>
      <c r="U44" s="131">
        <f>L44*6+N44*6+P44*6</f>
        <v>4194</v>
      </c>
      <c r="V44" s="130">
        <f>U44/6</f>
        <v>699</v>
      </c>
      <c r="W44" s="133">
        <f>I44*6+J44</f>
        <v>189992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f>2790</f>
        <v>2790</v>
      </c>
      <c r="D48" s="142">
        <v>1</v>
      </c>
      <c r="E48" s="121"/>
      <c r="F48" s="121"/>
      <c r="G48" s="143"/>
      <c r="H48" s="139"/>
      <c r="I48" s="139">
        <f t="shared" si="4"/>
        <v>2790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16741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42463</v>
      </c>
      <c r="D60" s="54">
        <f>SUM(D8:D59)</f>
        <v>118</v>
      </c>
      <c r="E60" s="44">
        <f>SUM(E8:E59)</f>
        <v>0</v>
      </c>
      <c r="F60" s="44"/>
      <c r="G60" s="28">
        <f>SUM(G8:G59)</f>
        <v>919</v>
      </c>
      <c r="H60" s="56">
        <f>SUM(H8:H59)</f>
        <v>0</v>
      </c>
      <c r="I60" s="56">
        <f>SUM(I8:I59)</f>
        <v>41544</v>
      </c>
      <c r="J60" s="45">
        <f>SUM(J8:J59)</f>
        <v>118</v>
      </c>
      <c r="K60" s="46"/>
      <c r="L60" s="74">
        <f t="shared" ref="L60:S60" si="20">SUM(L8:L59)</f>
        <v>551</v>
      </c>
      <c r="M60" s="74">
        <f t="shared" si="20"/>
        <v>0</v>
      </c>
      <c r="N60" s="74">
        <f t="shared" si="20"/>
        <v>368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919</v>
      </c>
      <c r="S60" s="84">
        <f t="shared" si="20"/>
        <v>0</v>
      </c>
      <c r="T60" s="46"/>
      <c r="U60" s="43">
        <f>SUM(U8:U59)</f>
        <v>6240</v>
      </c>
      <c r="V60" s="102">
        <f>SUM(V8:V59)</f>
        <v>919</v>
      </c>
      <c r="W60" s="187">
        <f>SUM(W8:W59)</f>
        <v>313384</v>
      </c>
      <c r="X60" s="45"/>
    </row>
    <row r="61" spans="1:24" ht="19.5" thickBot="1" x14ac:dyDescent="0.3">
      <c r="V61" s="103"/>
    </row>
    <row r="62" spans="1:24" ht="18.75" customHeight="1" x14ac:dyDescent="0.25">
      <c r="G62" s="20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97" t="s">
        <v>3</v>
      </c>
      <c r="D69" s="198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FCCB86-9811-4A01-961C-58193094CAFF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B59" sqref="AB59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4">
        <v>46181</v>
      </c>
      <c r="Q1" s="215"/>
      <c r="R1" s="215"/>
      <c r="S1" s="215"/>
      <c r="T1" s="215"/>
      <c r="U1" s="215"/>
      <c r="V1" s="215"/>
      <c r="W1" s="215"/>
      <c r="X1" s="21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7" t="s">
        <v>74</v>
      </c>
      <c r="C4" s="218" t="s">
        <v>3</v>
      </c>
      <c r="D4" s="219" t="s">
        <v>75</v>
      </c>
      <c r="E4" s="220" t="s">
        <v>4</v>
      </c>
      <c r="F4" s="221"/>
      <c r="G4" s="222" t="s">
        <v>5</v>
      </c>
      <c r="H4" s="224" t="s">
        <v>75</v>
      </c>
      <c r="I4" s="226" t="s">
        <v>6</v>
      </c>
      <c r="J4" s="224" t="s">
        <v>75</v>
      </c>
      <c r="L4" s="228" t="s">
        <v>7</v>
      </c>
      <c r="M4" s="229"/>
      <c r="N4" s="229"/>
      <c r="O4" s="229"/>
      <c r="P4" s="229"/>
      <c r="Q4" s="229"/>
      <c r="R4" s="229"/>
      <c r="S4" s="229"/>
      <c r="T4" s="229"/>
      <c r="U4" s="229"/>
      <c r="V4" s="230"/>
      <c r="W4" s="229"/>
      <c r="X4" s="231"/>
    </row>
    <row r="5" spans="1:60" s="3" customFormat="1" ht="57" thickBot="1" x14ac:dyDescent="0.3">
      <c r="A5" s="49"/>
      <c r="B5" s="217"/>
      <c r="C5" s="218"/>
      <c r="D5" s="219"/>
      <c r="E5" s="48" t="s">
        <v>8</v>
      </c>
      <c r="F5" s="202" t="s">
        <v>9</v>
      </c>
      <c r="G5" s="223"/>
      <c r="H5" s="225"/>
      <c r="I5" s="227"/>
      <c r="J5" s="22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2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3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ref="W9:W12" si="4">I9*24+J9</f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2"/>
        <v>3</v>
      </c>
      <c r="B10" s="10" t="s">
        <v>47</v>
      </c>
      <c r="C10" s="110">
        <v>107</v>
      </c>
      <c r="D10" s="111"/>
      <c r="E10" s="112"/>
      <c r="F10" s="112"/>
      <c r="G10" s="76">
        <v>12</v>
      </c>
      <c r="H10" s="73"/>
      <c r="I10" s="73">
        <f t="shared" si="3"/>
        <v>95</v>
      </c>
      <c r="J10" s="95">
        <f t="shared" si="0"/>
        <v>0</v>
      </c>
      <c r="K10" s="41"/>
      <c r="L10" s="112">
        <v>2</v>
      </c>
      <c r="M10" s="112"/>
      <c r="N10" s="112"/>
      <c r="O10" s="112"/>
      <c r="P10" s="112">
        <v>10</v>
      </c>
      <c r="Q10" s="120"/>
      <c r="R10" s="99">
        <f t="shared" si="1"/>
        <v>12</v>
      </c>
      <c r="S10" s="126">
        <f t="shared" si="1"/>
        <v>0</v>
      </c>
      <c r="T10" s="41"/>
      <c r="U10" s="107">
        <f>L10*24+N10*24+P10*24</f>
        <v>288</v>
      </c>
      <c r="V10" s="134">
        <f>U10/24</f>
        <v>12</v>
      </c>
      <c r="W10" s="129">
        <f t="shared" si="4"/>
        <v>2280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2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3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4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2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3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4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2"/>
        <v>6</v>
      </c>
      <c r="B13" s="50" t="s">
        <v>44</v>
      </c>
      <c r="C13" s="113">
        <v>2964</v>
      </c>
      <c r="D13" s="114"/>
      <c r="E13" s="115"/>
      <c r="F13" s="115"/>
      <c r="G13" s="78">
        <v>44</v>
      </c>
      <c r="H13" s="79"/>
      <c r="I13" s="80">
        <f t="shared" si="3"/>
        <v>2920</v>
      </c>
      <c r="J13" s="94">
        <f>D13-H13</f>
        <v>0</v>
      </c>
      <c r="K13" s="53"/>
      <c r="L13" s="121">
        <v>9</v>
      </c>
      <c r="M13" s="121"/>
      <c r="N13" s="121">
        <v>12</v>
      </c>
      <c r="O13" s="121"/>
      <c r="P13" s="121">
        <v>23</v>
      </c>
      <c r="Q13" s="122"/>
      <c r="R13" s="97">
        <f>L13+N13+P13</f>
        <v>44</v>
      </c>
      <c r="S13" s="125">
        <f>M13+O13+Q13</f>
        <v>0</v>
      </c>
      <c r="T13" s="53"/>
      <c r="U13" s="131">
        <f>L13*24+N13*24+P13*24</f>
        <v>1056</v>
      </c>
      <c r="V13" s="135">
        <f t="shared" si="6"/>
        <v>44</v>
      </c>
      <c r="W13" s="133">
        <f>I13*24+J13</f>
        <v>70080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2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3"/>
        <v>2</v>
      </c>
      <c r="J14" s="95">
        <f t="shared" si="3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2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3"/>
        <v>4</v>
      </c>
      <c r="J15" s="77">
        <f t="shared" si="3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2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3"/>
        <v>0</v>
      </c>
      <c r="J16" s="77">
        <f t="shared" si="3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2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3"/>
        <v>0</v>
      </c>
      <c r="J17" s="77">
        <f t="shared" si="3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2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3"/>
        <v>3</v>
      </c>
      <c r="J18" s="77">
        <f t="shared" si="3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2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3"/>
        <v>0</v>
      </c>
      <c r="J19" s="77">
        <f t="shared" si="3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2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3"/>
        <v>3</v>
      </c>
      <c r="J20" s="77">
        <f t="shared" si="3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2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3"/>
        <v>5</v>
      </c>
      <c r="J21" s="77">
        <f t="shared" si="3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2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3"/>
        <v>2</v>
      </c>
      <c r="J22" s="77">
        <f t="shared" si="3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2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3"/>
        <v>0</v>
      </c>
      <c r="J23" s="77">
        <f t="shared" si="3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2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3"/>
        <v>37</v>
      </c>
      <c r="J24" s="77">
        <f t="shared" si="3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2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3"/>
        <v>8</v>
      </c>
      <c r="J25" s="77">
        <f t="shared" si="3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2"/>
        <v>19</v>
      </c>
      <c r="B26" s="13" t="s">
        <v>22</v>
      </c>
      <c r="C26" s="110">
        <v>119</v>
      </c>
      <c r="D26" s="111">
        <v>1</v>
      </c>
      <c r="E26" s="112"/>
      <c r="F26" s="112"/>
      <c r="G26" s="76">
        <v>2</v>
      </c>
      <c r="H26" s="73"/>
      <c r="I26" s="73">
        <f t="shared" si="3"/>
        <v>117</v>
      </c>
      <c r="J26" s="77">
        <f t="shared" si="3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2809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2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3"/>
        <v>0</v>
      </c>
      <c r="J27" s="77">
        <f t="shared" si="3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2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3"/>
        <v>0</v>
      </c>
      <c r="J28" s="77">
        <f t="shared" si="3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2"/>
        <v>22</v>
      </c>
      <c r="B29" s="13" t="s">
        <v>25</v>
      </c>
      <c r="C29" s="110">
        <v>25</v>
      </c>
      <c r="D29" s="111"/>
      <c r="E29" s="112"/>
      <c r="F29" s="112"/>
      <c r="G29" s="76">
        <v>5</v>
      </c>
      <c r="H29" s="73"/>
      <c r="I29" s="73">
        <f t="shared" si="3"/>
        <v>20</v>
      </c>
      <c r="J29" s="77">
        <f t="shared" si="3"/>
        <v>0</v>
      </c>
      <c r="K29" s="42"/>
      <c r="L29" s="112">
        <v>2</v>
      </c>
      <c r="M29" s="112"/>
      <c r="N29" s="112"/>
      <c r="O29" s="112"/>
      <c r="P29" s="112">
        <v>3</v>
      </c>
      <c r="Q29" s="120"/>
      <c r="R29" s="86">
        <f t="shared" si="7"/>
        <v>5</v>
      </c>
      <c r="S29" s="124">
        <f t="shared" si="7"/>
        <v>0</v>
      </c>
      <c r="T29" s="42"/>
      <c r="U29" s="107">
        <f t="shared" si="5"/>
        <v>120</v>
      </c>
      <c r="V29" s="130">
        <f t="shared" si="6"/>
        <v>5</v>
      </c>
      <c r="W29" s="129">
        <f t="shared" si="8"/>
        <v>480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2"/>
        <v>23</v>
      </c>
      <c r="B30" s="13" t="s">
        <v>27</v>
      </c>
      <c r="C30" s="110">
        <v>50</v>
      </c>
      <c r="D30" s="111">
        <v>5</v>
      </c>
      <c r="E30" s="112"/>
      <c r="F30" s="112"/>
      <c r="G30" s="76"/>
      <c r="H30" s="73"/>
      <c r="I30" s="73">
        <f t="shared" si="3"/>
        <v>50</v>
      </c>
      <c r="J30" s="77">
        <f t="shared" si="3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1205</v>
      </c>
      <c r="X30" s="27"/>
    </row>
    <row r="31" spans="1:60" ht="19.5" thickBot="1" x14ac:dyDescent="0.3">
      <c r="A31" s="3">
        <f t="shared" si="2"/>
        <v>24</v>
      </c>
      <c r="B31" s="13" t="s">
        <v>29</v>
      </c>
      <c r="C31" s="110">
        <v>12</v>
      </c>
      <c r="D31" s="111"/>
      <c r="E31" s="112"/>
      <c r="F31" s="112"/>
      <c r="G31" s="76">
        <v>1</v>
      </c>
      <c r="H31" s="73"/>
      <c r="I31" s="73">
        <f t="shared" si="3"/>
        <v>11</v>
      </c>
      <c r="J31" s="77">
        <f t="shared" si="3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264</v>
      </c>
      <c r="X31" s="27"/>
    </row>
    <row r="32" spans="1:60" ht="19.5" thickBot="1" x14ac:dyDescent="0.3">
      <c r="A32" s="3">
        <f t="shared" si="2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3"/>
        <v>0</v>
      </c>
      <c r="J32" s="77">
        <f t="shared" si="3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2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3"/>
        <v>3</v>
      </c>
      <c r="J33" s="77">
        <f t="shared" si="3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2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3"/>
        <v>0</v>
      </c>
      <c r="J34" s="77">
        <f t="shared" si="3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2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/>
      <c r="H35" s="73"/>
      <c r="I35" s="73">
        <f t="shared" si="3"/>
        <v>64</v>
      </c>
      <c r="J35" s="77">
        <f t="shared" si="3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1550</v>
      </c>
      <c r="X35" s="27"/>
    </row>
    <row r="36" spans="1:26" ht="18.75" hidden="1" customHeight="1" x14ac:dyDescent="0.25">
      <c r="A36" s="3">
        <f t="shared" si="2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3"/>
        <v>0</v>
      </c>
      <c r="J36" s="77">
        <f t="shared" si="3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2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3"/>
        <v>0</v>
      </c>
      <c r="J37" s="77">
        <f t="shared" si="3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2"/>
        <v>31</v>
      </c>
      <c r="B38" s="138" t="s">
        <v>33</v>
      </c>
      <c r="C38" s="113">
        <v>3460</v>
      </c>
      <c r="D38" s="114">
        <v>1</v>
      </c>
      <c r="E38" s="115"/>
      <c r="F38" s="115"/>
      <c r="G38" s="78">
        <v>279</v>
      </c>
      <c r="H38" s="79"/>
      <c r="I38" s="139">
        <f t="shared" si="3"/>
        <v>3181</v>
      </c>
      <c r="J38" s="140">
        <f t="shared" si="3"/>
        <v>1</v>
      </c>
      <c r="K38" s="51"/>
      <c r="L38" s="121">
        <v>111</v>
      </c>
      <c r="M38" s="121"/>
      <c r="N38" s="121">
        <v>6</v>
      </c>
      <c r="O38" s="121"/>
      <c r="P38" s="121">
        <v>162</v>
      </c>
      <c r="Q38" s="122"/>
      <c r="R38" s="97">
        <f t="shared" si="7"/>
        <v>279</v>
      </c>
      <c r="S38" s="125">
        <f t="shared" si="7"/>
        <v>0</v>
      </c>
      <c r="T38" s="51"/>
      <c r="U38" s="131">
        <f>L38*6+N38*6+P38*6</f>
        <v>1674</v>
      </c>
      <c r="V38" s="135">
        <f>U38/6</f>
        <v>279</v>
      </c>
      <c r="W38" s="133">
        <f>I38*6+J38</f>
        <v>19087</v>
      </c>
      <c r="X38" s="52"/>
    </row>
    <row r="39" spans="1:26" ht="19.5" thickBot="1" x14ac:dyDescent="0.3">
      <c r="A39" s="3">
        <f t="shared" si="2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3"/>
        <v>0</v>
      </c>
      <c r="J39" s="77">
        <f t="shared" si="3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2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3"/>
        <v>0</v>
      </c>
      <c r="J40" s="77">
        <f t="shared" si="3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2"/>
        <v>34</v>
      </c>
      <c r="B41" s="145" t="s">
        <v>35</v>
      </c>
      <c r="C41" s="146">
        <v>1</v>
      </c>
      <c r="D41" s="147">
        <v>8</v>
      </c>
      <c r="E41" s="148"/>
      <c r="F41" s="148"/>
      <c r="G41" s="149"/>
      <c r="H41" s="150"/>
      <c r="I41" s="151">
        <f t="shared" si="3"/>
        <v>1</v>
      </c>
      <c r="J41" s="152">
        <f t="shared" si="3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32</v>
      </c>
      <c r="X41" s="160"/>
    </row>
    <row r="42" spans="1:26" ht="19.5" thickBot="1" x14ac:dyDescent="0.3">
      <c r="A42" s="3">
        <f t="shared" si="2"/>
        <v>35</v>
      </c>
      <c r="B42" s="162" t="s">
        <v>36</v>
      </c>
      <c r="C42" s="163">
        <v>59</v>
      </c>
      <c r="D42" s="164"/>
      <c r="E42" s="165"/>
      <c r="F42" s="165"/>
      <c r="G42" s="166">
        <v>17</v>
      </c>
      <c r="H42" s="167"/>
      <c r="I42" s="166">
        <f t="shared" si="3"/>
        <v>42</v>
      </c>
      <c r="J42" s="168">
        <f t="shared" si="3"/>
        <v>0</v>
      </c>
      <c r="K42" s="169"/>
      <c r="L42" s="165">
        <v>6</v>
      </c>
      <c r="M42" s="165"/>
      <c r="N42" s="165">
        <v>6</v>
      </c>
      <c r="O42" s="165"/>
      <c r="P42" s="165">
        <v>5</v>
      </c>
      <c r="Q42" s="170"/>
      <c r="R42" s="171">
        <f t="shared" si="7"/>
        <v>17</v>
      </c>
      <c r="S42" s="172">
        <f t="shared" si="7"/>
        <v>0</v>
      </c>
      <c r="T42" s="169"/>
      <c r="U42" s="173">
        <f>L42*12+N42*12+P42*12</f>
        <v>204</v>
      </c>
      <c r="V42" s="174">
        <f>U42/12</f>
        <v>17</v>
      </c>
      <c r="W42" s="175">
        <f>I42*12+J42</f>
        <v>504</v>
      </c>
      <c r="X42" s="176"/>
    </row>
    <row r="43" spans="1:26" ht="18.75" hidden="1" customHeight="1" x14ac:dyDescent="0.3">
      <c r="A43" s="3">
        <f t="shared" si="2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3"/>
        <v>0</v>
      </c>
      <c r="J43" s="94">
        <f t="shared" si="3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2"/>
        <v>37</v>
      </c>
      <c r="B44" s="50" t="s">
        <v>37</v>
      </c>
      <c r="C44" s="113">
        <f>31665</f>
        <v>31665</v>
      </c>
      <c r="D44" s="114">
        <v>2</v>
      </c>
      <c r="E44" s="115"/>
      <c r="F44" s="115"/>
      <c r="G44" s="78">
        <v>1184</v>
      </c>
      <c r="H44" s="79"/>
      <c r="I44" s="73">
        <f>C44+E44-G44</f>
        <v>30481</v>
      </c>
      <c r="J44" s="177">
        <f t="shared" si="3"/>
        <v>2</v>
      </c>
      <c r="K44" s="51"/>
      <c r="L44" s="121">
        <v>322</v>
      </c>
      <c r="M44" s="121"/>
      <c r="N44" s="121">
        <v>379</v>
      </c>
      <c r="O44" s="121"/>
      <c r="P44" s="121">
        <v>483</v>
      </c>
      <c r="Q44" s="122"/>
      <c r="R44" s="178">
        <f t="shared" si="7"/>
        <v>1184</v>
      </c>
      <c r="S44" s="179">
        <f t="shared" si="7"/>
        <v>0</v>
      </c>
      <c r="T44" s="51"/>
      <c r="U44" s="131">
        <f>L44*6+N44*6+P44*6</f>
        <v>7104</v>
      </c>
      <c r="V44" s="130">
        <f>U44/6</f>
        <v>1184</v>
      </c>
      <c r="W44" s="133">
        <f>I44*6+J44</f>
        <v>182888</v>
      </c>
      <c r="X44" s="52"/>
      <c r="Z44" s="47"/>
    </row>
    <row r="45" spans="1:26" ht="18.75" hidden="1" customHeight="1" x14ac:dyDescent="0.3">
      <c r="A45" s="3">
        <f t="shared" si="2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3"/>
        <v>0</v>
      </c>
      <c r="J45" s="77">
        <f t="shared" si="3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2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3"/>
        <v>0</v>
      </c>
      <c r="J46" s="77">
        <f t="shared" si="3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2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3"/>
        <v>0</v>
      </c>
      <c r="J47" s="77">
        <f t="shared" si="3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2"/>
        <v>41</v>
      </c>
      <c r="B48" s="50" t="s">
        <v>39</v>
      </c>
      <c r="C48" s="141">
        <v>2790</v>
      </c>
      <c r="D48" s="142">
        <v>1</v>
      </c>
      <c r="E48" s="121"/>
      <c r="F48" s="121"/>
      <c r="G48" s="143"/>
      <c r="H48" s="139"/>
      <c r="I48" s="139">
        <f t="shared" si="3"/>
        <v>2790</v>
      </c>
      <c r="J48" s="140">
        <f t="shared" si="3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16741</v>
      </c>
      <c r="X48" s="52"/>
    </row>
    <row r="49" spans="1:24" ht="19.5" thickBot="1" x14ac:dyDescent="0.3">
      <c r="A49" s="3">
        <f t="shared" si="2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3"/>
        <v>1</v>
      </c>
      <c r="J49" s="77">
        <f t="shared" si="3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2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3"/>
        <v>0</v>
      </c>
      <c r="J50" s="77">
        <f t="shared" si="3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2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3"/>
        <v>0</v>
      </c>
      <c r="J51" s="77">
        <f t="shared" si="3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2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3"/>
        <v>34</v>
      </c>
      <c r="J52" s="140">
        <f t="shared" si="3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2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3"/>
        <v>0</v>
      </c>
      <c r="J53" s="77">
        <f t="shared" si="3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2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3"/>
        <v>9</v>
      </c>
      <c r="J54" s="77">
        <f t="shared" si="3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2"/>
        <v>48</v>
      </c>
      <c r="B55" s="13"/>
      <c r="C55" s="110"/>
      <c r="D55" s="111"/>
      <c r="E55" s="112"/>
      <c r="F55" s="112"/>
      <c r="G55" s="76"/>
      <c r="H55" s="73"/>
      <c r="I55" s="73">
        <f t="shared" si="3"/>
        <v>0</v>
      </c>
      <c r="J55" s="77">
        <f t="shared" si="3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2"/>
        <v>49</v>
      </c>
      <c r="B56" s="13"/>
      <c r="C56" s="110"/>
      <c r="D56" s="111"/>
      <c r="E56" s="112"/>
      <c r="F56" s="112"/>
      <c r="G56" s="76"/>
      <c r="H56" s="73"/>
      <c r="I56" s="73">
        <f t="shared" si="3"/>
        <v>0</v>
      </c>
      <c r="J56" s="77">
        <f t="shared" si="3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2"/>
        <v>50</v>
      </c>
      <c r="B57" s="13"/>
      <c r="C57" s="110"/>
      <c r="D57" s="111"/>
      <c r="E57" s="112"/>
      <c r="F57" s="112"/>
      <c r="G57" s="76"/>
      <c r="H57" s="73"/>
      <c r="I57" s="73">
        <f t="shared" si="3"/>
        <v>0</v>
      </c>
      <c r="J57" s="77">
        <f t="shared" si="3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2"/>
        <v>51</v>
      </c>
      <c r="B58" s="13"/>
      <c r="C58" s="110"/>
      <c r="D58" s="111"/>
      <c r="E58" s="112"/>
      <c r="F58" s="112"/>
      <c r="G58" s="76"/>
      <c r="H58" s="73"/>
      <c r="I58" s="73">
        <f t="shared" si="3"/>
        <v>0</v>
      </c>
      <c r="J58" s="77">
        <f t="shared" si="3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2"/>
        <v>52</v>
      </c>
      <c r="B59" s="13"/>
      <c r="C59" s="110"/>
      <c r="D59" s="111"/>
      <c r="E59" s="112"/>
      <c r="F59" s="112"/>
      <c r="G59" s="76"/>
      <c r="H59" s="73"/>
      <c r="I59" s="73">
        <f t="shared" si="3"/>
        <v>0</v>
      </c>
      <c r="J59" s="77">
        <f t="shared" si="3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41544</v>
      </c>
      <c r="D60" s="54">
        <f>SUM(D8:D59)</f>
        <v>118</v>
      </c>
      <c r="E60" s="44">
        <f>SUM(E8:E59)</f>
        <v>0</v>
      </c>
      <c r="F60" s="44"/>
      <c r="G60" s="28">
        <f>SUM(G8:G59)</f>
        <v>1544</v>
      </c>
      <c r="H60" s="56">
        <f>SUM(H8:H59)</f>
        <v>0</v>
      </c>
      <c r="I60" s="56">
        <f>SUM(I8:I59)</f>
        <v>40000</v>
      </c>
      <c r="J60" s="45">
        <f>SUM(J8:J59)</f>
        <v>118</v>
      </c>
      <c r="K60" s="46"/>
      <c r="L60" s="74">
        <f t="shared" ref="L60:S60" si="20">SUM(L8:L59)</f>
        <v>452</v>
      </c>
      <c r="M60" s="74">
        <f t="shared" si="20"/>
        <v>0</v>
      </c>
      <c r="N60" s="74">
        <f t="shared" si="20"/>
        <v>403</v>
      </c>
      <c r="O60" s="74">
        <f t="shared" si="20"/>
        <v>0</v>
      </c>
      <c r="P60" s="74">
        <f t="shared" si="20"/>
        <v>689</v>
      </c>
      <c r="Q60" s="75">
        <f t="shared" si="20"/>
        <v>0</v>
      </c>
      <c r="R60" s="85">
        <f t="shared" si="20"/>
        <v>1544</v>
      </c>
      <c r="S60" s="84">
        <f t="shared" si="20"/>
        <v>0</v>
      </c>
      <c r="T60" s="46"/>
      <c r="U60" s="43">
        <f>SUM(U8:U59)</f>
        <v>10518</v>
      </c>
      <c r="V60" s="102">
        <f>SUM(V8:V59)</f>
        <v>1544</v>
      </c>
      <c r="W60" s="187">
        <f>SUM(W8:W59)</f>
        <v>302866</v>
      </c>
      <c r="X60" s="45"/>
    </row>
    <row r="61" spans="1:24" ht="19.5" thickBot="1" x14ac:dyDescent="0.3">
      <c r="V61" s="103"/>
    </row>
    <row r="62" spans="1:24" ht="18.75" customHeight="1" x14ac:dyDescent="0.25">
      <c r="G62" s="20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0" t="s">
        <v>3</v>
      </c>
      <c r="D69" s="20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91633C-CAD5-4723-BEC5-004346DDCA0D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Z65" sqref="Z65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4">
        <v>46181</v>
      </c>
      <c r="Q1" s="215"/>
      <c r="R1" s="215"/>
      <c r="S1" s="215"/>
      <c r="T1" s="215"/>
      <c r="U1" s="215"/>
      <c r="V1" s="215"/>
      <c r="W1" s="215"/>
      <c r="X1" s="21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7" t="s">
        <v>74</v>
      </c>
      <c r="C4" s="218" t="s">
        <v>3</v>
      </c>
      <c r="D4" s="219" t="s">
        <v>75</v>
      </c>
      <c r="E4" s="220" t="s">
        <v>4</v>
      </c>
      <c r="F4" s="221"/>
      <c r="G4" s="222" t="s">
        <v>5</v>
      </c>
      <c r="H4" s="224" t="s">
        <v>75</v>
      </c>
      <c r="I4" s="226" t="s">
        <v>6</v>
      </c>
      <c r="J4" s="224" t="s">
        <v>75</v>
      </c>
      <c r="L4" s="228" t="s">
        <v>7</v>
      </c>
      <c r="M4" s="229"/>
      <c r="N4" s="229"/>
      <c r="O4" s="229"/>
      <c r="P4" s="229"/>
      <c r="Q4" s="229"/>
      <c r="R4" s="229"/>
      <c r="S4" s="229"/>
      <c r="T4" s="229"/>
      <c r="U4" s="229"/>
      <c r="V4" s="230"/>
      <c r="W4" s="229"/>
      <c r="X4" s="231"/>
    </row>
    <row r="5" spans="1:60" s="3" customFormat="1" ht="57" thickBot="1" x14ac:dyDescent="0.3">
      <c r="A5" s="49"/>
      <c r="B5" s="217"/>
      <c r="C5" s="218"/>
      <c r="D5" s="219"/>
      <c r="E5" s="48" t="s">
        <v>8</v>
      </c>
      <c r="F5" s="205" t="s">
        <v>9</v>
      </c>
      <c r="G5" s="223"/>
      <c r="H5" s="225"/>
      <c r="I5" s="227"/>
      <c r="J5" s="22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2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3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ref="W9:W12" si="4">I9*24+J9</f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2"/>
        <v>3</v>
      </c>
      <c r="B10" s="10" t="s">
        <v>47</v>
      </c>
      <c r="C10" s="110">
        <v>95</v>
      </c>
      <c r="D10" s="111"/>
      <c r="E10" s="112"/>
      <c r="F10" s="112"/>
      <c r="G10" s="76">
        <v>2</v>
      </c>
      <c r="H10" s="73"/>
      <c r="I10" s="73">
        <f t="shared" si="3"/>
        <v>93</v>
      </c>
      <c r="J10" s="95">
        <f t="shared" si="0"/>
        <v>0</v>
      </c>
      <c r="K10" s="41"/>
      <c r="L10" s="112"/>
      <c r="M10" s="112"/>
      <c r="N10" s="112"/>
      <c r="O10" s="112"/>
      <c r="P10" s="112">
        <v>2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4"/>
        <v>2232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2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3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4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2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3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4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2"/>
        <v>6</v>
      </c>
      <c r="B13" s="50" t="s">
        <v>44</v>
      </c>
      <c r="C13" s="113">
        <v>2920</v>
      </c>
      <c r="D13" s="114"/>
      <c r="E13" s="115"/>
      <c r="F13" s="115"/>
      <c r="G13" s="78">
        <v>39</v>
      </c>
      <c r="H13" s="79">
        <v>12</v>
      </c>
      <c r="I13" s="80">
        <f t="shared" si="3"/>
        <v>2881</v>
      </c>
      <c r="J13" s="94">
        <f>D13-H13</f>
        <v>-12</v>
      </c>
      <c r="K13" s="53"/>
      <c r="L13" s="121">
        <v>10</v>
      </c>
      <c r="M13" s="121"/>
      <c r="N13" s="121">
        <v>7</v>
      </c>
      <c r="O13" s="121"/>
      <c r="P13" s="121">
        <v>22</v>
      </c>
      <c r="Q13" s="122">
        <v>12</v>
      </c>
      <c r="R13" s="97">
        <f>L13+N13+P13</f>
        <v>39</v>
      </c>
      <c r="S13" s="125">
        <f>M13+O13+Q13</f>
        <v>12</v>
      </c>
      <c r="T13" s="53"/>
      <c r="U13" s="131">
        <f>L13*24+N13*24+P13*24</f>
        <v>936</v>
      </c>
      <c r="V13" s="135">
        <f t="shared" si="6"/>
        <v>39</v>
      </c>
      <c r="W13" s="133">
        <f>I13*24+J13</f>
        <v>69132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2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3"/>
        <v>2</v>
      </c>
      <c r="J14" s="95">
        <f t="shared" si="3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2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3"/>
        <v>4</v>
      </c>
      <c r="J15" s="77">
        <f t="shared" si="3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2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3"/>
        <v>0</v>
      </c>
      <c r="J16" s="77">
        <f t="shared" si="3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2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3"/>
        <v>0</v>
      </c>
      <c r="J17" s="77">
        <f t="shared" si="3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2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3"/>
        <v>3</v>
      </c>
      <c r="J18" s="77">
        <f t="shared" si="3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2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3"/>
        <v>0</v>
      </c>
      <c r="J19" s="77">
        <f t="shared" si="3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2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3"/>
        <v>3</v>
      </c>
      <c r="J20" s="77">
        <f t="shared" si="3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2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3"/>
        <v>5</v>
      </c>
      <c r="J21" s="77">
        <f t="shared" si="3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2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3"/>
        <v>2</v>
      </c>
      <c r="J22" s="77">
        <f t="shared" si="3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2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3"/>
        <v>0</v>
      </c>
      <c r="J23" s="77">
        <f t="shared" si="3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2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3"/>
        <v>37</v>
      </c>
      <c r="J24" s="77">
        <f t="shared" si="3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2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3"/>
        <v>8</v>
      </c>
      <c r="J25" s="77">
        <f t="shared" si="3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2"/>
        <v>19</v>
      </c>
      <c r="B26" s="13" t="s">
        <v>22</v>
      </c>
      <c r="C26" s="110">
        <v>117</v>
      </c>
      <c r="D26" s="111">
        <v>1</v>
      </c>
      <c r="E26" s="112"/>
      <c r="F26" s="112"/>
      <c r="G26" s="76">
        <v>17</v>
      </c>
      <c r="H26" s="73"/>
      <c r="I26" s="73">
        <f t="shared" si="3"/>
        <v>100</v>
      </c>
      <c r="J26" s="77">
        <f t="shared" si="3"/>
        <v>1</v>
      </c>
      <c r="K26" s="41"/>
      <c r="L26" s="112">
        <v>2</v>
      </c>
      <c r="M26" s="112"/>
      <c r="N26" s="112"/>
      <c r="O26" s="112"/>
      <c r="P26" s="112">
        <v>15</v>
      </c>
      <c r="Q26" s="120"/>
      <c r="R26" s="86">
        <f t="shared" si="7"/>
        <v>17</v>
      </c>
      <c r="S26" s="124">
        <f t="shared" si="7"/>
        <v>0</v>
      </c>
      <c r="T26" s="41"/>
      <c r="U26" s="107">
        <f t="shared" si="5"/>
        <v>408</v>
      </c>
      <c r="V26" s="130">
        <f t="shared" si="6"/>
        <v>17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2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3"/>
        <v>0</v>
      </c>
      <c r="J27" s="77">
        <f t="shared" si="3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2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3"/>
        <v>0</v>
      </c>
      <c r="J28" s="77">
        <f t="shared" si="3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2"/>
        <v>22</v>
      </c>
      <c r="B29" s="13" t="s">
        <v>25</v>
      </c>
      <c r="C29" s="110">
        <v>20</v>
      </c>
      <c r="D29" s="111"/>
      <c r="E29" s="112"/>
      <c r="F29" s="112"/>
      <c r="G29" s="76">
        <v>17</v>
      </c>
      <c r="H29" s="73"/>
      <c r="I29" s="73">
        <f t="shared" si="3"/>
        <v>3</v>
      </c>
      <c r="J29" s="77">
        <f t="shared" si="3"/>
        <v>0</v>
      </c>
      <c r="K29" s="42"/>
      <c r="L29" s="112"/>
      <c r="M29" s="112"/>
      <c r="N29" s="112"/>
      <c r="O29" s="112"/>
      <c r="P29" s="112">
        <v>17</v>
      </c>
      <c r="Q29" s="120"/>
      <c r="R29" s="86">
        <f t="shared" si="7"/>
        <v>17</v>
      </c>
      <c r="S29" s="124">
        <f t="shared" si="7"/>
        <v>0</v>
      </c>
      <c r="T29" s="42"/>
      <c r="U29" s="107">
        <f t="shared" si="5"/>
        <v>408</v>
      </c>
      <c r="V29" s="130">
        <f t="shared" si="6"/>
        <v>17</v>
      </c>
      <c r="W29" s="129">
        <f t="shared" si="8"/>
        <v>72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2"/>
        <v>23</v>
      </c>
      <c r="B30" s="13" t="s">
        <v>27</v>
      </c>
      <c r="C30" s="110">
        <v>50</v>
      </c>
      <c r="D30" s="111">
        <v>5</v>
      </c>
      <c r="E30" s="112"/>
      <c r="F30" s="112"/>
      <c r="G30" s="76">
        <v>6</v>
      </c>
      <c r="H30" s="73"/>
      <c r="I30" s="73">
        <f t="shared" si="3"/>
        <v>44</v>
      </c>
      <c r="J30" s="77">
        <f t="shared" si="3"/>
        <v>5</v>
      </c>
      <c r="K30" s="41"/>
      <c r="L30" s="112">
        <v>1</v>
      </c>
      <c r="M30" s="112"/>
      <c r="N30" s="112"/>
      <c r="O30" s="112"/>
      <c r="P30" s="112">
        <v>5</v>
      </c>
      <c r="Q30" s="120"/>
      <c r="R30" s="86">
        <f t="shared" si="7"/>
        <v>6</v>
      </c>
      <c r="S30" s="124">
        <f t="shared" si="7"/>
        <v>0</v>
      </c>
      <c r="T30" s="41"/>
      <c r="U30" s="107">
        <f t="shared" si="5"/>
        <v>144</v>
      </c>
      <c r="V30" s="130">
        <f t="shared" si="6"/>
        <v>6</v>
      </c>
      <c r="W30" s="129">
        <f t="shared" si="8"/>
        <v>1061</v>
      </c>
      <c r="X30" s="27"/>
    </row>
    <row r="31" spans="1:60" ht="19.5" thickBot="1" x14ac:dyDescent="0.3">
      <c r="A31" s="3">
        <f t="shared" si="2"/>
        <v>24</v>
      </c>
      <c r="B31" s="13" t="s">
        <v>29</v>
      </c>
      <c r="C31" s="110">
        <v>11</v>
      </c>
      <c r="D31" s="111"/>
      <c r="E31" s="112"/>
      <c r="F31" s="112"/>
      <c r="G31" s="76">
        <v>1</v>
      </c>
      <c r="H31" s="73"/>
      <c r="I31" s="73">
        <f t="shared" si="3"/>
        <v>10</v>
      </c>
      <c r="J31" s="77">
        <f t="shared" si="3"/>
        <v>0</v>
      </c>
      <c r="K31" s="41"/>
      <c r="L31" s="112">
        <v>1</v>
      </c>
      <c r="M31" s="112"/>
      <c r="N31" s="112"/>
      <c r="O31" s="112"/>
      <c r="P31" s="112"/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240</v>
      </c>
      <c r="X31" s="27"/>
    </row>
    <row r="32" spans="1:60" ht="19.5" thickBot="1" x14ac:dyDescent="0.3">
      <c r="A32" s="3">
        <f t="shared" si="2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3"/>
        <v>0</v>
      </c>
      <c r="J32" s="77">
        <f t="shared" si="3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2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3"/>
        <v>3</v>
      </c>
      <c r="J33" s="77">
        <f t="shared" si="3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2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3"/>
        <v>0</v>
      </c>
      <c r="J34" s="77">
        <f t="shared" si="3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2"/>
        <v>28</v>
      </c>
      <c r="B35" s="13" t="s">
        <v>31</v>
      </c>
      <c r="C35" s="110">
        <v>64</v>
      </c>
      <c r="D35" s="111">
        <v>14</v>
      </c>
      <c r="E35" s="112"/>
      <c r="F35" s="112"/>
      <c r="G35" s="76">
        <v>4</v>
      </c>
      <c r="H35" s="73"/>
      <c r="I35" s="73">
        <f t="shared" si="3"/>
        <v>60</v>
      </c>
      <c r="J35" s="77">
        <f t="shared" si="3"/>
        <v>14</v>
      </c>
      <c r="K35" s="41"/>
      <c r="L35" s="112">
        <v>2</v>
      </c>
      <c r="M35" s="112"/>
      <c r="N35" s="112"/>
      <c r="O35" s="112"/>
      <c r="P35" s="112">
        <v>2</v>
      </c>
      <c r="Q35" s="120"/>
      <c r="R35" s="86">
        <f t="shared" si="7"/>
        <v>4</v>
      </c>
      <c r="S35" s="124">
        <f t="shared" si="7"/>
        <v>0</v>
      </c>
      <c r="T35" s="41"/>
      <c r="U35" s="107">
        <f t="shared" si="5"/>
        <v>96</v>
      </c>
      <c r="V35" s="130">
        <f t="shared" si="6"/>
        <v>4</v>
      </c>
      <c r="W35" s="129">
        <f t="shared" si="8"/>
        <v>1454</v>
      </c>
      <c r="X35" s="27"/>
    </row>
    <row r="36" spans="1:26" ht="18.75" hidden="1" customHeight="1" x14ac:dyDescent="0.3">
      <c r="A36" s="3">
        <f t="shared" si="2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3"/>
        <v>0</v>
      </c>
      <c r="J36" s="77">
        <f t="shared" si="3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2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3"/>
        <v>0</v>
      </c>
      <c r="J37" s="77">
        <f t="shared" si="3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2"/>
        <v>31</v>
      </c>
      <c r="B38" s="138" t="s">
        <v>33</v>
      </c>
      <c r="C38" s="113">
        <v>3181</v>
      </c>
      <c r="D38" s="114">
        <v>1</v>
      </c>
      <c r="E38" s="115"/>
      <c r="F38" s="115"/>
      <c r="G38" s="78">
        <v>165</v>
      </c>
      <c r="H38" s="79"/>
      <c r="I38" s="139">
        <f t="shared" si="3"/>
        <v>3016</v>
      </c>
      <c r="J38" s="140">
        <f t="shared" si="3"/>
        <v>1</v>
      </c>
      <c r="K38" s="51"/>
      <c r="L38" s="121">
        <v>121</v>
      </c>
      <c r="M38" s="121"/>
      <c r="N38" s="121">
        <v>4</v>
      </c>
      <c r="O38" s="121"/>
      <c r="P38" s="121">
        <v>40</v>
      </c>
      <c r="Q38" s="122"/>
      <c r="R38" s="97">
        <f t="shared" si="7"/>
        <v>165</v>
      </c>
      <c r="S38" s="125">
        <f t="shared" si="7"/>
        <v>0</v>
      </c>
      <c r="T38" s="51"/>
      <c r="U38" s="131">
        <f>L38*6+N38*6+P38*6</f>
        <v>990</v>
      </c>
      <c r="V38" s="135">
        <f>U38/6</f>
        <v>165</v>
      </c>
      <c r="W38" s="133">
        <f>I38*6+J38</f>
        <v>18097</v>
      </c>
      <c r="X38" s="52"/>
    </row>
    <row r="39" spans="1:26" ht="19.5" thickBot="1" x14ac:dyDescent="0.3">
      <c r="A39" s="3">
        <f t="shared" si="2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3"/>
        <v>0</v>
      </c>
      <c r="J39" s="77">
        <f t="shared" si="3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2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3"/>
        <v>0</v>
      </c>
      <c r="J40" s="77">
        <f t="shared" si="3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2"/>
        <v>34</v>
      </c>
      <c r="B41" s="145" t="s">
        <v>35</v>
      </c>
      <c r="C41" s="146">
        <v>1</v>
      </c>
      <c r="D41" s="147">
        <v>8</v>
      </c>
      <c r="E41" s="148">
        <v>252</v>
      </c>
      <c r="F41" s="148"/>
      <c r="G41" s="149"/>
      <c r="H41" s="150"/>
      <c r="I41" s="151">
        <f>C41+E41-G41</f>
        <v>253</v>
      </c>
      <c r="J41" s="152">
        <f t="shared" si="3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6080</v>
      </c>
      <c r="X41" s="160"/>
    </row>
    <row r="42" spans="1:26" ht="19.5" thickBot="1" x14ac:dyDescent="0.3">
      <c r="A42" s="3">
        <f t="shared" si="2"/>
        <v>35</v>
      </c>
      <c r="B42" s="162" t="s">
        <v>36</v>
      </c>
      <c r="C42" s="163">
        <v>42</v>
      </c>
      <c r="D42" s="164"/>
      <c r="E42" s="165">
        <v>384</v>
      </c>
      <c r="F42" s="165"/>
      <c r="G42" s="166">
        <v>33</v>
      </c>
      <c r="H42" s="167"/>
      <c r="I42" s="166">
        <f>C42+E42-G42</f>
        <v>393</v>
      </c>
      <c r="J42" s="168">
        <f t="shared" si="3"/>
        <v>0</v>
      </c>
      <c r="K42" s="169"/>
      <c r="L42" s="165">
        <v>8</v>
      </c>
      <c r="M42" s="165"/>
      <c r="N42" s="165">
        <v>7</v>
      </c>
      <c r="O42" s="165"/>
      <c r="P42" s="165">
        <v>18</v>
      </c>
      <c r="Q42" s="170"/>
      <c r="R42" s="171">
        <f t="shared" si="7"/>
        <v>33</v>
      </c>
      <c r="S42" s="172">
        <f t="shared" si="7"/>
        <v>0</v>
      </c>
      <c r="T42" s="169"/>
      <c r="U42" s="173">
        <f>L42*12+N42*12+P42*12</f>
        <v>396</v>
      </c>
      <c r="V42" s="174">
        <f>U42/12</f>
        <v>33</v>
      </c>
      <c r="W42" s="175">
        <f>I42*12+J42</f>
        <v>4716</v>
      </c>
      <c r="X42" s="176"/>
    </row>
    <row r="43" spans="1:26" ht="18.75" hidden="1" customHeight="1" x14ac:dyDescent="0.3">
      <c r="A43" s="3">
        <f t="shared" si="2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3"/>
        <v>0</v>
      </c>
      <c r="J43" s="94">
        <f t="shared" si="3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2"/>
        <v>37</v>
      </c>
      <c r="B44" s="50" t="s">
        <v>37</v>
      </c>
      <c r="C44" s="113">
        <v>30481</v>
      </c>
      <c r="D44" s="114">
        <v>2</v>
      </c>
      <c r="E44" s="115">
        <v>972</v>
      </c>
      <c r="F44" s="115"/>
      <c r="G44" s="78">
        <v>1549</v>
      </c>
      <c r="H44" s="79"/>
      <c r="I44" s="73">
        <f>C44+E44-G44</f>
        <v>29904</v>
      </c>
      <c r="J44" s="177">
        <f t="shared" si="3"/>
        <v>2</v>
      </c>
      <c r="K44" s="51"/>
      <c r="L44" s="121">
        <v>583</v>
      </c>
      <c r="M44" s="121"/>
      <c r="N44" s="121">
        <v>318</v>
      </c>
      <c r="O44" s="121"/>
      <c r="P44" s="121">
        <v>648</v>
      </c>
      <c r="Q44" s="122"/>
      <c r="R44" s="178">
        <f t="shared" si="7"/>
        <v>1549</v>
      </c>
      <c r="S44" s="179">
        <f t="shared" si="7"/>
        <v>0</v>
      </c>
      <c r="T44" s="51"/>
      <c r="U44" s="131">
        <f>L44*6+N44*6+P44*6</f>
        <v>9294</v>
      </c>
      <c r="V44" s="130">
        <f>U44/6</f>
        <v>1549</v>
      </c>
      <c r="W44" s="133">
        <f>I44*6+J44</f>
        <v>179426</v>
      </c>
      <c r="X44" s="52"/>
      <c r="Z44" s="47"/>
    </row>
    <row r="45" spans="1:26" ht="18.75" hidden="1" customHeight="1" x14ac:dyDescent="0.3">
      <c r="A45" s="3">
        <f t="shared" si="2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3"/>
        <v>0</v>
      </c>
      <c r="J45" s="77">
        <f t="shared" si="3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2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3"/>
        <v>0</v>
      </c>
      <c r="J46" s="77">
        <f t="shared" si="3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2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3"/>
        <v>0</v>
      </c>
      <c r="J47" s="77">
        <f t="shared" si="3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2"/>
        <v>41</v>
      </c>
      <c r="B48" s="50" t="s">
        <v>39</v>
      </c>
      <c r="C48" s="141">
        <v>2790</v>
      </c>
      <c r="D48" s="142">
        <v>1</v>
      </c>
      <c r="E48" s="121"/>
      <c r="F48" s="121"/>
      <c r="G48" s="143">
        <v>3</v>
      </c>
      <c r="H48" s="139"/>
      <c r="I48" s="139">
        <f t="shared" si="3"/>
        <v>2787</v>
      </c>
      <c r="J48" s="140">
        <f t="shared" si="3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16723</v>
      </c>
      <c r="X48" s="52"/>
    </row>
    <row r="49" spans="1:24" ht="19.5" thickBot="1" x14ac:dyDescent="0.3">
      <c r="A49" s="3">
        <f t="shared" si="2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3"/>
        <v>1</v>
      </c>
      <c r="J49" s="77">
        <f t="shared" si="3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2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3"/>
        <v>0</v>
      </c>
      <c r="J50" s="77">
        <f t="shared" si="3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2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3"/>
        <v>0</v>
      </c>
      <c r="J51" s="77">
        <f t="shared" si="3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2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3"/>
        <v>34</v>
      </c>
      <c r="J52" s="140">
        <f t="shared" si="3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2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3"/>
        <v>0</v>
      </c>
      <c r="J53" s="77">
        <f t="shared" si="3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2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3"/>
        <v>9</v>
      </c>
      <c r="J54" s="77">
        <f t="shared" si="3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2"/>
        <v>48</v>
      </c>
      <c r="B55" s="13"/>
      <c r="C55" s="110"/>
      <c r="D55" s="111"/>
      <c r="E55" s="112"/>
      <c r="F55" s="112"/>
      <c r="G55" s="76"/>
      <c r="H55" s="73"/>
      <c r="I55" s="73">
        <f t="shared" si="3"/>
        <v>0</v>
      </c>
      <c r="J55" s="77">
        <f t="shared" si="3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2"/>
        <v>49</v>
      </c>
      <c r="B56" s="13"/>
      <c r="C56" s="110"/>
      <c r="D56" s="111"/>
      <c r="E56" s="112"/>
      <c r="F56" s="112"/>
      <c r="G56" s="76"/>
      <c r="H56" s="73"/>
      <c r="I56" s="73">
        <f t="shared" si="3"/>
        <v>0</v>
      </c>
      <c r="J56" s="77">
        <f t="shared" si="3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2"/>
        <v>50</v>
      </c>
      <c r="B57" s="13"/>
      <c r="C57" s="110"/>
      <c r="D57" s="111"/>
      <c r="E57" s="112"/>
      <c r="F57" s="112"/>
      <c r="G57" s="76"/>
      <c r="H57" s="73"/>
      <c r="I57" s="73">
        <f t="shared" si="3"/>
        <v>0</v>
      </c>
      <c r="J57" s="77">
        <f t="shared" si="3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2"/>
        <v>51</v>
      </c>
      <c r="B58" s="13"/>
      <c r="C58" s="110"/>
      <c r="D58" s="111"/>
      <c r="E58" s="112"/>
      <c r="F58" s="112"/>
      <c r="G58" s="76"/>
      <c r="H58" s="73"/>
      <c r="I58" s="73">
        <f t="shared" si="3"/>
        <v>0</v>
      </c>
      <c r="J58" s="77">
        <f t="shared" si="3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2"/>
        <v>52</v>
      </c>
      <c r="B59" s="13"/>
      <c r="C59" s="110"/>
      <c r="D59" s="111"/>
      <c r="E59" s="112"/>
      <c r="F59" s="112"/>
      <c r="G59" s="76"/>
      <c r="H59" s="73"/>
      <c r="I59" s="73">
        <f t="shared" si="3"/>
        <v>0</v>
      </c>
      <c r="J59" s="77">
        <f t="shared" si="3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40000</v>
      </c>
      <c r="D60" s="54">
        <f>SUM(D8:D59)</f>
        <v>118</v>
      </c>
      <c r="E60" s="44">
        <f>SUM(E8:E59)</f>
        <v>1608</v>
      </c>
      <c r="F60" s="44"/>
      <c r="G60" s="28">
        <f>SUM(G8:G59)</f>
        <v>1836</v>
      </c>
      <c r="H60" s="56">
        <f>SUM(H8:H59)</f>
        <v>12</v>
      </c>
      <c r="I60" s="56">
        <f>SUM(I8:I59)</f>
        <v>39772</v>
      </c>
      <c r="J60" s="45">
        <f>SUM(J8:J59)</f>
        <v>106</v>
      </c>
      <c r="K60" s="46"/>
      <c r="L60" s="74">
        <f t="shared" ref="L60:S60" si="20">SUM(L8:L59)</f>
        <v>731</v>
      </c>
      <c r="M60" s="74">
        <f t="shared" si="20"/>
        <v>0</v>
      </c>
      <c r="N60" s="74">
        <f t="shared" si="20"/>
        <v>336</v>
      </c>
      <c r="O60" s="74">
        <f t="shared" si="20"/>
        <v>0</v>
      </c>
      <c r="P60" s="74">
        <f t="shared" si="20"/>
        <v>769</v>
      </c>
      <c r="Q60" s="75">
        <f t="shared" si="20"/>
        <v>12</v>
      </c>
      <c r="R60" s="85">
        <f t="shared" si="20"/>
        <v>1836</v>
      </c>
      <c r="S60" s="84">
        <f t="shared" si="20"/>
        <v>12</v>
      </c>
      <c r="T60" s="46"/>
      <c r="U60" s="43">
        <f>SUM(U8:U59)</f>
        <v>12762</v>
      </c>
      <c r="V60" s="102">
        <f>SUM(V8:V59)</f>
        <v>1836</v>
      </c>
      <c r="W60" s="187">
        <f>SUM(W8:W59)</f>
        <v>306580</v>
      </c>
      <c r="X60" s="45"/>
    </row>
    <row r="61" spans="1:24" ht="19.5" thickBot="1" x14ac:dyDescent="0.3">
      <c r="V61" s="103"/>
    </row>
    <row r="62" spans="1:24" ht="18.75" customHeight="1" x14ac:dyDescent="0.25">
      <c r="G62" s="20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DEDCA-C715-46F2-8DD5-744858204953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51" sqref="AD5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4">
        <v>46181</v>
      </c>
      <c r="Q1" s="215"/>
      <c r="R1" s="215"/>
      <c r="S1" s="215"/>
      <c r="T1" s="215"/>
      <c r="U1" s="215"/>
      <c r="V1" s="215"/>
      <c r="W1" s="215"/>
      <c r="X1" s="21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7" t="s">
        <v>74</v>
      </c>
      <c r="C4" s="218" t="s">
        <v>3</v>
      </c>
      <c r="D4" s="219" t="s">
        <v>75</v>
      </c>
      <c r="E4" s="220" t="s">
        <v>4</v>
      </c>
      <c r="F4" s="221"/>
      <c r="G4" s="222" t="s">
        <v>5</v>
      </c>
      <c r="H4" s="224" t="s">
        <v>75</v>
      </c>
      <c r="I4" s="226" t="s">
        <v>6</v>
      </c>
      <c r="J4" s="224" t="s">
        <v>75</v>
      </c>
      <c r="L4" s="228" t="s">
        <v>7</v>
      </c>
      <c r="M4" s="229"/>
      <c r="N4" s="229"/>
      <c r="O4" s="229"/>
      <c r="P4" s="229"/>
      <c r="Q4" s="229"/>
      <c r="R4" s="229"/>
      <c r="S4" s="229"/>
      <c r="T4" s="229"/>
      <c r="U4" s="229"/>
      <c r="V4" s="230"/>
      <c r="W4" s="229"/>
      <c r="X4" s="231"/>
    </row>
    <row r="5" spans="1:60" s="3" customFormat="1" ht="57" thickBot="1" x14ac:dyDescent="0.3">
      <c r="A5" s="49"/>
      <c r="B5" s="217"/>
      <c r="C5" s="218"/>
      <c r="D5" s="219"/>
      <c r="E5" s="48" t="s">
        <v>8</v>
      </c>
      <c r="F5" s="205" t="s">
        <v>9</v>
      </c>
      <c r="G5" s="223"/>
      <c r="H5" s="225"/>
      <c r="I5" s="227"/>
      <c r="J5" s="22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93</v>
      </c>
      <c r="D10" s="111"/>
      <c r="E10" s="112"/>
      <c r="F10" s="112"/>
      <c r="G10" s="76">
        <v>4</v>
      </c>
      <c r="H10" s="73"/>
      <c r="I10" s="73">
        <f t="shared" si="4"/>
        <v>89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2136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2880</v>
      </c>
      <c r="D13" s="114">
        <v>12</v>
      </c>
      <c r="E13" s="115"/>
      <c r="F13" s="115"/>
      <c r="G13" s="78">
        <v>29</v>
      </c>
      <c r="H13" s="79">
        <v>36</v>
      </c>
      <c r="I13" s="80">
        <f t="shared" si="4"/>
        <v>2851</v>
      </c>
      <c r="J13" s="94">
        <f>D13-H13</f>
        <v>-24</v>
      </c>
      <c r="K13" s="53"/>
      <c r="L13" s="121">
        <v>5</v>
      </c>
      <c r="M13" s="121">
        <v>12</v>
      </c>
      <c r="N13" s="121">
        <v>9</v>
      </c>
      <c r="O13" s="121">
        <v>12</v>
      </c>
      <c r="P13" s="121">
        <v>15</v>
      </c>
      <c r="Q13" s="122">
        <v>12</v>
      </c>
      <c r="R13" s="97">
        <f>L13+N13+P13</f>
        <v>29</v>
      </c>
      <c r="S13" s="125">
        <f>M13+O13+Q13</f>
        <v>36</v>
      </c>
      <c r="T13" s="53"/>
      <c r="U13" s="131">
        <f>L13*24+N13*24+P13*24</f>
        <v>696</v>
      </c>
      <c r="V13" s="135">
        <f t="shared" si="6"/>
        <v>29</v>
      </c>
      <c r="W13" s="133">
        <f>I13*24+J13</f>
        <v>68400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f>2</f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3</v>
      </c>
      <c r="D29" s="111"/>
      <c r="E29" s="112"/>
      <c r="F29" s="112"/>
      <c r="G29" s="76">
        <v>1</v>
      </c>
      <c r="H29" s="73"/>
      <c r="I29" s="73">
        <f t="shared" si="4"/>
        <v>2</v>
      </c>
      <c r="J29" s="77">
        <f t="shared" si="4"/>
        <v>0</v>
      </c>
      <c r="K29" s="42"/>
      <c r="L29" s="112"/>
      <c r="M29" s="112"/>
      <c r="N29" s="112">
        <v>1</v>
      </c>
      <c r="O29" s="112"/>
      <c r="P29" s="112"/>
      <c r="Q29" s="120"/>
      <c r="R29" s="86">
        <f t="shared" si="7"/>
        <v>1</v>
      </c>
      <c r="S29" s="124">
        <f t="shared" si="7"/>
        <v>0</v>
      </c>
      <c r="T29" s="42"/>
      <c r="U29" s="107">
        <f t="shared" si="5"/>
        <v>24</v>
      </c>
      <c r="V29" s="130">
        <f t="shared" si="6"/>
        <v>1</v>
      </c>
      <c r="W29" s="129">
        <f t="shared" si="8"/>
        <v>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44</v>
      </c>
      <c r="D30" s="111">
        <v>5</v>
      </c>
      <c r="E30" s="112"/>
      <c r="F30" s="112"/>
      <c r="G30" s="76">
        <v>2</v>
      </c>
      <c r="H30" s="73"/>
      <c r="I30" s="73">
        <f t="shared" si="4"/>
        <v>42</v>
      </c>
      <c r="J30" s="77">
        <f t="shared" si="4"/>
        <v>5</v>
      </c>
      <c r="K30" s="41"/>
      <c r="L30" s="112"/>
      <c r="M30" s="112"/>
      <c r="N30" s="112"/>
      <c r="O30" s="112"/>
      <c r="P30" s="112">
        <v>2</v>
      </c>
      <c r="Q30" s="120"/>
      <c r="R30" s="86">
        <f t="shared" si="7"/>
        <v>2</v>
      </c>
      <c r="S30" s="124">
        <f t="shared" si="7"/>
        <v>0</v>
      </c>
      <c r="T30" s="41"/>
      <c r="U30" s="107">
        <f t="shared" si="5"/>
        <v>48</v>
      </c>
      <c r="V30" s="130">
        <f t="shared" si="6"/>
        <v>2</v>
      </c>
      <c r="W30" s="129">
        <f t="shared" si="8"/>
        <v>1013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3</v>
      </c>
      <c r="D33" s="111"/>
      <c r="E33" s="112"/>
      <c r="F33" s="112"/>
      <c r="G33" s="76"/>
      <c r="H33" s="73"/>
      <c r="I33" s="73">
        <f t="shared" si="4"/>
        <v>3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72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60</v>
      </c>
      <c r="D35" s="111">
        <v>14</v>
      </c>
      <c r="E35" s="112"/>
      <c r="F35" s="112"/>
      <c r="G35" s="76">
        <v>3</v>
      </c>
      <c r="H35" s="73"/>
      <c r="I35" s="73">
        <f t="shared" si="4"/>
        <v>57</v>
      </c>
      <c r="J35" s="77">
        <f t="shared" si="4"/>
        <v>14</v>
      </c>
      <c r="K35" s="41"/>
      <c r="L35" s="112"/>
      <c r="M35" s="112"/>
      <c r="N35" s="112"/>
      <c r="O35" s="112"/>
      <c r="P35" s="112">
        <v>3</v>
      </c>
      <c r="Q35" s="120"/>
      <c r="R35" s="86">
        <f t="shared" si="7"/>
        <v>3</v>
      </c>
      <c r="S35" s="124">
        <f t="shared" si="7"/>
        <v>0</v>
      </c>
      <c r="T35" s="41"/>
      <c r="U35" s="107">
        <f t="shared" si="5"/>
        <v>72</v>
      </c>
      <c r="V35" s="130">
        <f t="shared" si="6"/>
        <v>3</v>
      </c>
      <c r="W35" s="129">
        <f t="shared" si="8"/>
        <v>1382</v>
      </c>
      <c r="X35" s="27"/>
    </row>
    <row r="36" spans="1:26" ht="18.75" hidden="1" customHeight="1" x14ac:dyDescent="0.25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3016</v>
      </c>
      <c r="D38" s="114">
        <v>1</v>
      </c>
      <c r="E38" s="115"/>
      <c r="F38" s="115"/>
      <c r="G38" s="78">
        <v>85</v>
      </c>
      <c r="H38" s="79"/>
      <c r="I38" s="139">
        <f t="shared" si="4"/>
        <v>2931</v>
      </c>
      <c r="J38" s="140">
        <f t="shared" si="4"/>
        <v>1</v>
      </c>
      <c r="K38" s="51"/>
      <c r="L38" s="121">
        <v>12</v>
      </c>
      <c r="M38" s="121"/>
      <c r="N38" s="121">
        <v>15</v>
      </c>
      <c r="O38" s="121"/>
      <c r="P38" s="121">
        <v>58</v>
      </c>
      <c r="Q38" s="122"/>
      <c r="R38" s="97">
        <f t="shared" si="7"/>
        <v>85</v>
      </c>
      <c r="S38" s="125">
        <f t="shared" si="7"/>
        <v>0</v>
      </c>
      <c r="T38" s="51"/>
      <c r="U38" s="131">
        <f>L38*6+N38*6+P38*6</f>
        <v>510</v>
      </c>
      <c r="V38" s="135">
        <f>U38/6</f>
        <v>85</v>
      </c>
      <c r="W38" s="133">
        <f>I38*6+J38</f>
        <v>17587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253</v>
      </c>
      <c r="D41" s="147">
        <v>8</v>
      </c>
      <c r="E41" s="148"/>
      <c r="F41" s="148"/>
      <c r="G41" s="149">
        <v>1</v>
      </c>
      <c r="H41" s="150">
        <v>12</v>
      </c>
      <c r="I41" s="151">
        <f t="shared" si="4"/>
        <v>252</v>
      </c>
      <c r="J41" s="152">
        <f t="shared" si="4"/>
        <v>-4</v>
      </c>
      <c r="K41" s="153"/>
      <c r="L41" s="154"/>
      <c r="M41" s="154"/>
      <c r="N41" s="154"/>
      <c r="O41" s="154">
        <v>12</v>
      </c>
      <c r="P41" s="154">
        <v>1</v>
      </c>
      <c r="Q41" s="155"/>
      <c r="R41" s="156">
        <f t="shared" si="7"/>
        <v>1</v>
      </c>
      <c r="S41" s="157">
        <f t="shared" si="7"/>
        <v>12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6044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393</v>
      </c>
      <c r="D42" s="164"/>
      <c r="E42" s="165"/>
      <c r="F42" s="165"/>
      <c r="G42" s="166">
        <v>6</v>
      </c>
      <c r="H42" s="167"/>
      <c r="I42" s="166">
        <f t="shared" si="4"/>
        <v>387</v>
      </c>
      <c r="J42" s="168">
        <f t="shared" si="4"/>
        <v>0</v>
      </c>
      <c r="K42" s="169"/>
      <c r="L42" s="165"/>
      <c r="M42" s="165"/>
      <c r="N42" s="165"/>
      <c r="O42" s="165"/>
      <c r="P42" s="165">
        <v>6</v>
      </c>
      <c r="Q42" s="170"/>
      <c r="R42" s="171">
        <f t="shared" si="7"/>
        <v>6</v>
      </c>
      <c r="S42" s="172">
        <f t="shared" si="7"/>
        <v>0</v>
      </c>
      <c r="T42" s="169"/>
      <c r="U42" s="173">
        <f>L42*12+N42*12+P42*12</f>
        <v>72</v>
      </c>
      <c r="V42" s="174">
        <f>U42/12</f>
        <v>6</v>
      </c>
      <c r="W42" s="175">
        <f>I42*12+J42</f>
        <v>4644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29904</v>
      </c>
      <c r="D44" s="114">
        <v>2</v>
      </c>
      <c r="E44" s="115"/>
      <c r="F44" s="115"/>
      <c r="G44" s="78">
        <v>1079</v>
      </c>
      <c r="H44" s="79"/>
      <c r="I44" s="73">
        <f>C44+E44-G44</f>
        <v>28825</v>
      </c>
      <c r="J44" s="177">
        <f t="shared" si="4"/>
        <v>2</v>
      </c>
      <c r="K44" s="51"/>
      <c r="L44" s="121">
        <v>335</v>
      </c>
      <c r="M44" s="121"/>
      <c r="N44" s="121">
        <v>292</v>
      </c>
      <c r="O44" s="121"/>
      <c r="P44" s="121">
        <v>452</v>
      </c>
      <c r="Q44" s="122"/>
      <c r="R44" s="178">
        <f t="shared" si="7"/>
        <v>1079</v>
      </c>
      <c r="S44" s="179">
        <f t="shared" si="7"/>
        <v>0</v>
      </c>
      <c r="T44" s="51"/>
      <c r="U44" s="131">
        <f>L44*6+N44*6+P44*6</f>
        <v>6474</v>
      </c>
      <c r="V44" s="130">
        <f>U44/6</f>
        <v>1079</v>
      </c>
      <c r="W44" s="133">
        <f>I44*6+J44</f>
        <v>172952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39771</v>
      </c>
      <c r="D60" s="54">
        <f>SUM(D8:D59)</f>
        <v>130</v>
      </c>
      <c r="E60" s="44">
        <f>SUM(E8:E59)</f>
        <v>0</v>
      </c>
      <c r="F60" s="44"/>
      <c r="G60" s="28">
        <f>SUM(G8:G59)</f>
        <v>1210</v>
      </c>
      <c r="H60" s="56">
        <f>SUM(H8:H59)</f>
        <v>48</v>
      </c>
      <c r="I60" s="56">
        <f>SUM(I8:I59)</f>
        <v>38561</v>
      </c>
      <c r="J60" s="45">
        <f>SUM(J8:J59)</f>
        <v>82</v>
      </c>
      <c r="K60" s="46"/>
      <c r="L60" s="74">
        <f t="shared" ref="L60:S60" si="20">SUM(L8:L59)</f>
        <v>352</v>
      </c>
      <c r="M60" s="74">
        <f t="shared" si="20"/>
        <v>12</v>
      </c>
      <c r="N60" s="74">
        <f t="shared" si="20"/>
        <v>319</v>
      </c>
      <c r="O60" s="74">
        <f t="shared" si="20"/>
        <v>24</v>
      </c>
      <c r="P60" s="74">
        <f t="shared" si="20"/>
        <v>539</v>
      </c>
      <c r="Q60" s="75">
        <f t="shared" si="20"/>
        <v>12</v>
      </c>
      <c r="R60" s="85">
        <f t="shared" si="20"/>
        <v>1210</v>
      </c>
      <c r="S60" s="84">
        <f t="shared" si="20"/>
        <v>48</v>
      </c>
      <c r="T60" s="46"/>
      <c r="U60" s="43">
        <f>SUM(U8:U59)</f>
        <v>8016</v>
      </c>
      <c r="V60" s="102">
        <f>SUM(V8:V59)</f>
        <v>1210</v>
      </c>
      <c r="W60" s="187">
        <f>SUM(W8:W59)</f>
        <v>298516</v>
      </c>
      <c r="X60" s="45"/>
    </row>
    <row r="61" spans="1:24" ht="19.5" thickBot="1" x14ac:dyDescent="0.3">
      <c r="V61" s="103"/>
    </row>
    <row r="62" spans="1:24" ht="18.75" customHeight="1" x14ac:dyDescent="0.25">
      <c r="G62" s="20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6D5CD-D2A1-4E04-8CE8-12FE35E1187D}">
  <sheetPr>
    <pageSetUpPr fitToPage="1"/>
  </sheetPr>
  <dimension ref="A1:BH90"/>
  <sheetViews>
    <sheetView topLeftCell="A26" zoomScale="85" zoomScaleNormal="85" zoomScaleSheetLayoutView="85" zoomScalePageLayoutView="80" workbookViewId="0">
      <selection activeCell="AI51" sqref="AI5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4">
        <v>46181</v>
      </c>
      <c r="Q1" s="215"/>
      <c r="R1" s="215"/>
      <c r="S1" s="215"/>
      <c r="T1" s="215"/>
      <c r="U1" s="215"/>
      <c r="V1" s="215"/>
      <c r="W1" s="215"/>
      <c r="X1" s="21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7" t="s">
        <v>74</v>
      </c>
      <c r="C4" s="218" t="s">
        <v>3</v>
      </c>
      <c r="D4" s="219" t="s">
        <v>75</v>
      </c>
      <c r="E4" s="220" t="s">
        <v>4</v>
      </c>
      <c r="F4" s="221"/>
      <c r="G4" s="222" t="s">
        <v>5</v>
      </c>
      <c r="H4" s="224" t="s">
        <v>75</v>
      </c>
      <c r="I4" s="226" t="s">
        <v>6</v>
      </c>
      <c r="J4" s="224" t="s">
        <v>75</v>
      </c>
      <c r="L4" s="228" t="s">
        <v>7</v>
      </c>
      <c r="M4" s="229"/>
      <c r="N4" s="229"/>
      <c r="O4" s="229"/>
      <c r="P4" s="229"/>
      <c r="Q4" s="229"/>
      <c r="R4" s="229"/>
      <c r="S4" s="229"/>
      <c r="T4" s="229"/>
      <c r="U4" s="229"/>
      <c r="V4" s="230"/>
      <c r="W4" s="229"/>
      <c r="X4" s="231"/>
    </row>
    <row r="5" spans="1:60" s="3" customFormat="1" ht="57" thickBot="1" x14ac:dyDescent="0.3">
      <c r="A5" s="49"/>
      <c r="B5" s="217"/>
      <c r="C5" s="218"/>
      <c r="D5" s="219"/>
      <c r="E5" s="48" t="s">
        <v>8</v>
      </c>
      <c r="F5" s="205" t="s">
        <v>9</v>
      </c>
      <c r="G5" s="223"/>
      <c r="H5" s="225"/>
      <c r="I5" s="227"/>
      <c r="J5" s="22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89</v>
      </c>
      <c r="D10" s="111"/>
      <c r="E10" s="112"/>
      <c r="F10" s="112"/>
      <c r="G10" s="76">
        <v>1</v>
      </c>
      <c r="H10" s="73"/>
      <c r="I10" s="73">
        <f t="shared" si="4"/>
        <v>88</v>
      </c>
      <c r="J10" s="95">
        <f t="shared" si="0"/>
        <v>0</v>
      </c>
      <c r="K10" s="41"/>
      <c r="L10" s="112"/>
      <c r="M10" s="112"/>
      <c r="N10" s="112">
        <v>1</v>
      </c>
      <c r="O10" s="112"/>
      <c r="P10" s="112"/>
      <c r="Q10" s="120"/>
      <c r="R10" s="99">
        <f t="shared" si="1"/>
        <v>1</v>
      </c>
      <c r="S10" s="126">
        <f t="shared" si="1"/>
        <v>0</v>
      </c>
      <c r="T10" s="41"/>
      <c r="U10" s="107">
        <f>L10*24+N10*24+P10*24</f>
        <v>24</v>
      </c>
      <c r="V10" s="134">
        <f>U10/24</f>
        <v>1</v>
      </c>
      <c r="W10" s="129">
        <f t="shared" si="2"/>
        <v>2112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2850</v>
      </c>
      <c r="D13" s="114"/>
      <c r="E13" s="115"/>
      <c r="F13" s="115"/>
      <c r="G13" s="78">
        <v>32</v>
      </c>
      <c r="H13" s="79">
        <v>12</v>
      </c>
      <c r="I13" s="80">
        <f t="shared" si="4"/>
        <v>2818</v>
      </c>
      <c r="J13" s="94">
        <f>D13-H13</f>
        <v>-12</v>
      </c>
      <c r="K13" s="53"/>
      <c r="L13" s="121">
        <v>9</v>
      </c>
      <c r="M13" s="121"/>
      <c r="N13" s="121">
        <v>10</v>
      </c>
      <c r="O13" s="121"/>
      <c r="P13" s="121">
        <v>13</v>
      </c>
      <c r="Q13" s="122">
        <v>12</v>
      </c>
      <c r="R13" s="97">
        <f>L13+N13+P13</f>
        <v>32</v>
      </c>
      <c r="S13" s="125">
        <f>M13+O13+Q13</f>
        <v>12</v>
      </c>
      <c r="T13" s="53"/>
      <c r="U13" s="131">
        <f>L13*24+N13*24+P13*24</f>
        <v>768</v>
      </c>
      <c r="V13" s="135">
        <f t="shared" si="6"/>
        <v>32</v>
      </c>
      <c r="W13" s="133">
        <f>I13*24+J13</f>
        <v>67620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/>
      <c r="H27" s="73"/>
      <c r="I27" s="73">
        <f t="shared" si="4"/>
        <v>3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2</v>
      </c>
      <c r="D29" s="111"/>
      <c r="E29" s="112"/>
      <c r="F29" s="112"/>
      <c r="G29" s="76">
        <v>2</v>
      </c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>
        <v>2</v>
      </c>
      <c r="O29" s="112"/>
      <c r="P29" s="112"/>
      <c r="Q29" s="120"/>
      <c r="R29" s="86">
        <f t="shared" si="7"/>
        <v>2</v>
      </c>
      <c r="S29" s="124">
        <f t="shared" si="7"/>
        <v>0</v>
      </c>
      <c r="T29" s="42"/>
      <c r="U29" s="107">
        <f t="shared" si="5"/>
        <v>48</v>
      </c>
      <c r="V29" s="130">
        <f t="shared" si="6"/>
        <v>2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42</v>
      </c>
      <c r="D30" s="111">
        <v>5</v>
      </c>
      <c r="E30" s="112"/>
      <c r="F30" s="112"/>
      <c r="G30" s="76">
        <v>1</v>
      </c>
      <c r="H30" s="73"/>
      <c r="I30" s="73">
        <f t="shared" si="4"/>
        <v>41</v>
      </c>
      <c r="J30" s="77">
        <f t="shared" si="4"/>
        <v>5</v>
      </c>
      <c r="K30" s="41"/>
      <c r="L30" s="112"/>
      <c r="M30" s="112"/>
      <c r="N30" s="112">
        <v>1</v>
      </c>
      <c r="O30" s="112"/>
      <c r="P30" s="112"/>
      <c r="Q30" s="120"/>
      <c r="R30" s="86">
        <f t="shared" si="7"/>
        <v>1</v>
      </c>
      <c r="S30" s="124">
        <f t="shared" si="7"/>
        <v>0</v>
      </c>
      <c r="T30" s="41"/>
      <c r="U30" s="107">
        <f t="shared" si="5"/>
        <v>24</v>
      </c>
      <c r="V30" s="130">
        <f t="shared" si="6"/>
        <v>1</v>
      </c>
      <c r="W30" s="129">
        <f t="shared" si="8"/>
        <v>989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3</v>
      </c>
      <c r="D33" s="111"/>
      <c r="E33" s="112"/>
      <c r="F33" s="112"/>
      <c r="G33" s="76">
        <v>1</v>
      </c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>
        <v>1</v>
      </c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57</v>
      </c>
      <c r="D35" s="111">
        <v>14</v>
      </c>
      <c r="E35" s="112"/>
      <c r="F35" s="112"/>
      <c r="G35" s="76">
        <v>2</v>
      </c>
      <c r="H35" s="73"/>
      <c r="I35" s="73">
        <f t="shared" si="4"/>
        <v>55</v>
      </c>
      <c r="J35" s="77">
        <f t="shared" si="4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1334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2931</v>
      </c>
      <c r="D38" s="114">
        <v>1</v>
      </c>
      <c r="E38" s="115"/>
      <c r="F38" s="115"/>
      <c r="G38" s="78">
        <v>22</v>
      </c>
      <c r="H38" s="79"/>
      <c r="I38" s="139">
        <f t="shared" si="4"/>
        <v>2909</v>
      </c>
      <c r="J38" s="140">
        <f t="shared" si="4"/>
        <v>1</v>
      </c>
      <c r="K38" s="51"/>
      <c r="L38" s="121"/>
      <c r="M38" s="121"/>
      <c r="N38" s="121">
        <v>20</v>
      </c>
      <c r="O38" s="121"/>
      <c r="P38" s="121">
        <v>2</v>
      </c>
      <c r="Q38" s="122"/>
      <c r="R38" s="97">
        <f t="shared" si="7"/>
        <v>22</v>
      </c>
      <c r="S38" s="125">
        <f t="shared" si="7"/>
        <v>0</v>
      </c>
      <c r="T38" s="51"/>
      <c r="U38" s="131">
        <f>L38*6+N38*6+P38*6</f>
        <v>132</v>
      </c>
      <c r="V38" s="135">
        <f>U38/6</f>
        <v>22</v>
      </c>
      <c r="W38" s="133">
        <f>I38*6+J38</f>
        <v>17455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251</v>
      </c>
      <c r="D41" s="147">
        <v>20</v>
      </c>
      <c r="E41" s="148"/>
      <c r="F41" s="148"/>
      <c r="G41" s="149">
        <v>71</v>
      </c>
      <c r="H41" s="150"/>
      <c r="I41" s="151">
        <f t="shared" si="4"/>
        <v>180</v>
      </c>
      <c r="J41" s="152">
        <f t="shared" si="4"/>
        <v>20</v>
      </c>
      <c r="K41" s="153"/>
      <c r="L41" s="154">
        <v>70</v>
      </c>
      <c r="M41" s="154"/>
      <c r="N41" s="154">
        <v>1</v>
      </c>
      <c r="O41" s="154"/>
      <c r="P41" s="154"/>
      <c r="Q41" s="155"/>
      <c r="R41" s="156">
        <f t="shared" si="7"/>
        <v>71</v>
      </c>
      <c r="S41" s="157">
        <f t="shared" si="7"/>
        <v>0</v>
      </c>
      <c r="T41" s="153"/>
      <c r="U41" s="158">
        <f t="shared" si="9"/>
        <v>1704</v>
      </c>
      <c r="V41" s="159">
        <f t="shared" si="6"/>
        <v>71</v>
      </c>
      <c r="W41" s="159">
        <f t="shared" si="10"/>
        <v>4340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387</v>
      </c>
      <c r="D42" s="164"/>
      <c r="E42" s="165"/>
      <c r="F42" s="165"/>
      <c r="G42" s="166">
        <v>10</v>
      </c>
      <c r="H42" s="167"/>
      <c r="I42" s="166">
        <f t="shared" si="4"/>
        <v>377</v>
      </c>
      <c r="J42" s="168">
        <f t="shared" si="4"/>
        <v>0</v>
      </c>
      <c r="K42" s="169"/>
      <c r="L42" s="165"/>
      <c r="M42" s="165"/>
      <c r="N42" s="165">
        <v>10</v>
      </c>
      <c r="O42" s="165"/>
      <c r="P42" s="165"/>
      <c r="Q42" s="170"/>
      <c r="R42" s="171">
        <f t="shared" si="7"/>
        <v>10</v>
      </c>
      <c r="S42" s="172">
        <f t="shared" si="7"/>
        <v>0</v>
      </c>
      <c r="T42" s="169"/>
      <c r="U42" s="173">
        <f>L42*12+N42*12+P42*12</f>
        <v>120</v>
      </c>
      <c r="V42" s="174">
        <f>U42/12</f>
        <v>10</v>
      </c>
      <c r="W42" s="175">
        <f>I42*12+J42</f>
        <v>4524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28825</v>
      </c>
      <c r="D44" s="114">
        <v>2</v>
      </c>
      <c r="E44" s="115">
        <v>1836</v>
      </c>
      <c r="F44" s="115"/>
      <c r="G44" s="78">
        <v>1213</v>
      </c>
      <c r="H44" s="79"/>
      <c r="I44" s="73">
        <f>C44+E44-G44</f>
        <v>29448</v>
      </c>
      <c r="J44" s="177">
        <f t="shared" si="4"/>
        <v>2</v>
      </c>
      <c r="K44" s="51"/>
      <c r="L44" s="121">
        <v>431</v>
      </c>
      <c r="M44" s="121"/>
      <c r="N44" s="121">
        <v>262</v>
      </c>
      <c r="O44" s="121"/>
      <c r="P44" s="121">
        <v>520</v>
      </c>
      <c r="Q44" s="122"/>
      <c r="R44" s="178">
        <f t="shared" si="7"/>
        <v>1213</v>
      </c>
      <c r="S44" s="179">
        <f t="shared" si="7"/>
        <v>0</v>
      </c>
      <c r="T44" s="51"/>
      <c r="U44" s="131">
        <f>L44*6+N44*6+P44*6</f>
        <v>7278</v>
      </c>
      <c r="V44" s="130">
        <f>U44/6</f>
        <v>1213</v>
      </c>
      <c r="W44" s="133">
        <f>I44*6+J44</f>
        <v>176690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38572</v>
      </c>
      <c r="D60" s="54">
        <f>SUM(D8:D59)</f>
        <v>130</v>
      </c>
      <c r="E60" s="44">
        <f>SUM(E8:E59)</f>
        <v>1836</v>
      </c>
      <c r="F60" s="44"/>
      <c r="G60" s="28">
        <f>SUM(G8:G59)</f>
        <v>1355</v>
      </c>
      <c r="H60" s="56">
        <f>SUM(H8:H59)</f>
        <v>12</v>
      </c>
      <c r="I60" s="56">
        <f>SUM(I8:I59)</f>
        <v>39053</v>
      </c>
      <c r="J60" s="45">
        <f>SUM(J8:J59)</f>
        <v>118</v>
      </c>
      <c r="K60" s="46"/>
      <c r="L60" s="74">
        <f t="shared" ref="L60:S60" si="20">SUM(L8:L59)</f>
        <v>510</v>
      </c>
      <c r="M60" s="74">
        <f t="shared" si="20"/>
        <v>0</v>
      </c>
      <c r="N60" s="74">
        <f t="shared" si="20"/>
        <v>308</v>
      </c>
      <c r="O60" s="74">
        <f t="shared" si="20"/>
        <v>0</v>
      </c>
      <c r="P60" s="74">
        <f t="shared" si="20"/>
        <v>537</v>
      </c>
      <c r="Q60" s="75">
        <f t="shared" si="20"/>
        <v>12</v>
      </c>
      <c r="R60" s="85">
        <f t="shared" si="20"/>
        <v>1355</v>
      </c>
      <c r="S60" s="84">
        <f t="shared" si="20"/>
        <v>12</v>
      </c>
      <c r="T60" s="46"/>
      <c r="U60" s="43">
        <f>SUM(U8:U59)</f>
        <v>10170</v>
      </c>
      <c r="V60" s="102">
        <f>SUM(V8:V59)</f>
        <v>1355</v>
      </c>
      <c r="W60" s="187">
        <f>SUM(W8:W59)</f>
        <v>299662</v>
      </c>
      <c r="X60" s="45"/>
    </row>
    <row r="61" spans="1:24" ht="19.5" thickBot="1" x14ac:dyDescent="0.3">
      <c r="V61" s="103"/>
    </row>
    <row r="62" spans="1:24" ht="18.75" customHeight="1" x14ac:dyDescent="0.25">
      <c r="G62" s="20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50800-D9E4-40A5-9BAC-000F8F232B5A}">
  <sheetPr>
    <pageSetUpPr fitToPage="1"/>
  </sheetPr>
  <dimension ref="A1:BH90"/>
  <sheetViews>
    <sheetView topLeftCell="A35" zoomScale="85" zoomScaleNormal="85" zoomScaleSheetLayoutView="85" zoomScalePageLayoutView="80" workbookViewId="0">
      <selection activeCell="AI52" sqref="AI5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4">
        <v>46181</v>
      </c>
      <c r="Q1" s="215"/>
      <c r="R1" s="215"/>
      <c r="S1" s="215"/>
      <c r="T1" s="215"/>
      <c r="U1" s="215"/>
      <c r="V1" s="215"/>
      <c r="W1" s="215"/>
      <c r="X1" s="21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7" t="s">
        <v>74</v>
      </c>
      <c r="C4" s="218" t="s">
        <v>3</v>
      </c>
      <c r="D4" s="219" t="s">
        <v>75</v>
      </c>
      <c r="E4" s="220" t="s">
        <v>4</v>
      </c>
      <c r="F4" s="221"/>
      <c r="G4" s="222" t="s">
        <v>5</v>
      </c>
      <c r="H4" s="224" t="s">
        <v>75</v>
      </c>
      <c r="I4" s="226" t="s">
        <v>6</v>
      </c>
      <c r="J4" s="224" t="s">
        <v>75</v>
      </c>
      <c r="L4" s="228" t="s">
        <v>7</v>
      </c>
      <c r="M4" s="229"/>
      <c r="N4" s="229"/>
      <c r="O4" s="229"/>
      <c r="P4" s="229"/>
      <c r="Q4" s="229"/>
      <c r="R4" s="229"/>
      <c r="S4" s="229"/>
      <c r="T4" s="229"/>
      <c r="U4" s="229"/>
      <c r="V4" s="230"/>
      <c r="W4" s="229"/>
      <c r="X4" s="231"/>
    </row>
    <row r="5" spans="1:60" s="3" customFormat="1" ht="57" thickBot="1" x14ac:dyDescent="0.3">
      <c r="A5" s="49"/>
      <c r="B5" s="217"/>
      <c r="C5" s="218"/>
      <c r="D5" s="219"/>
      <c r="E5" s="48" t="s">
        <v>8</v>
      </c>
      <c r="F5" s="205" t="s">
        <v>9</v>
      </c>
      <c r="G5" s="223"/>
      <c r="H5" s="225"/>
      <c r="I5" s="227"/>
      <c r="J5" s="22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88</v>
      </c>
      <c r="D10" s="111"/>
      <c r="E10" s="112"/>
      <c r="F10" s="112"/>
      <c r="G10" s="76">
        <v>2</v>
      </c>
      <c r="H10" s="73"/>
      <c r="I10" s="73">
        <f t="shared" si="4"/>
        <v>86</v>
      </c>
      <c r="J10" s="95">
        <f t="shared" si="0"/>
        <v>0</v>
      </c>
      <c r="K10" s="41"/>
      <c r="L10" s="112"/>
      <c r="M10" s="112"/>
      <c r="N10" s="112"/>
      <c r="O10" s="112"/>
      <c r="P10" s="112">
        <v>2</v>
      </c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2064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2817</v>
      </c>
      <c r="D13" s="114">
        <v>12</v>
      </c>
      <c r="E13" s="115"/>
      <c r="F13" s="115"/>
      <c r="G13" s="78">
        <v>21</v>
      </c>
      <c r="H13" s="79">
        <v>12</v>
      </c>
      <c r="I13" s="80">
        <f t="shared" si="4"/>
        <v>2796</v>
      </c>
      <c r="J13" s="94">
        <f>D13-H13</f>
        <v>0</v>
      </c>
      <c r="K13" s="53"/>
      <c r="L13" s="121"/>
      <c r="M13" s="121"/>
      <c r="N13" s="121">
        <v>8</v>
      </c>
      <c r="O13" s="121">
        <v>12</v>
      </c>
      <c r="P13" s="121">
        <v>13</v>
      </c>
      <c r="Q13" s="122"/>
      <c r="R13" s="97">
        <f>L13+N13+P13</f>
        <v>21</v>
      </c>
      <c r="S13" s="125">
        <f>M13+O13+Q13</f>
        <v>12</v>
      </c>
      <c r="T13" s="53"/>
      <c r="U13" s="131">
        <f>L13*24+N13*24+P13*24</f>
        <v>504</v>
      </c>
      <c r="V13" s="135">
        <f t="shared" si="6"/>
        <v>21</v>
      </c>
      <c r="W13" s="133">
        <f>I13*24+J13</f>
        <v>67104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/>
      <c r="H26" s="73"/>
      <c r="I26" s="73">
        <f t="shared" si="4"/>
        <v>100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2401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/>
      <c r="H27" s="73"/>
      <c r="I27" s="73">
        <f t="shared" si="4"/>
        <v>3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72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41</v>
      </c>
      <c r="D30" s="111">
        <v>5</v>
      </c>
      <c r="E30" s="112"/>
      <c r="F30" s="112"/>
      <c r="G30" s="76"/>
      <c r="H30" s="73"/>
      <c r="I30" s="73">
        <f t="shared" si="4"/>
        <v>41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989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/>
      <c r="H31" s="73"/>
      <c r="I31" s="73">
        <f t="shared" si="4"/>
        <v>10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240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/>
      <c r="H33" s="73"/>
      <c r="I33" s="73">
        <f t="shared" si="4"/>
        <v>2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48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55</v>
      </c>
      <c r="D35" s="111">
        <v>14</v>
      </c>
      <c r="E35" s="112"/>
      <c r="F35" s="112"/>
      <c r="G35" s="76"/>
      <c r="H35" s="73"/>
      <c r="I35" s="73">
        <f t="shared" si="4"/>
        <v>55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1334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2909</v>
      </c>
      <c r="D38" s="114">
        <v>1</v>
      </c>
      <c r="E38" s="115"/>
      <c r="F38" s="115"/>
      <c r="G38" s="78">
        <v>45</v>
      </c>
      <c r="H38" s="79"/>
      <c r="I38" s="139">
        <f t="shared" si="4"/>
        <v>2864</v>
      </c>
      <c r="J38" s="140">
        <f t="shared" si="4"/>
        <v>1</v>
      </c>
      <c r="K38" s="51"/>
      <c r="L38" s="121"/>
      <c r="M38" s="121"/>
      <c r="N38" s="121">
        <v>10</v>
      </c>
      <c r="O38" s="121"/>
      <c r="P38" s="121">
        <v>35</v>
      </c>
      <c r="Q38" s="122"/>
      <c r="R38" s="97">
        <f t="shared" si="7"/>
        <v>45</v>
      </c>
      <c r="S38" s="125">
        <f t="shared" si="7"/>
        <v>0</v>
      </c>
      <c r="T38" s="51"/>
      <c r="U38" s="131">
        <f>L38*6+N38*6+P38*6</f>
        <v>270</v>
      </c>
      <c r="V38" s="135">
        <f>U38/6</f>
        <v>45</v>
      </c>
      <c r="W38" s="133">
        <f>I38*6+J38</f>
        <v>17185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180</v>
      </c>
      <c r="D41" s="147">
        <v>20</v>
      </c>
      <c r="E41" s="148"/>
      <c r="F41" s="148"/>
      <c r="G41" s="149"/>
      <c r="H41" s="150"/>
      <c r="I41" s="151">
        <f t="shared" si="4"/>
        <v>180</v>
      </c>
      <c r="J41" s="152">
        <f t="shared" si="4"/>
        <v>20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4340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377</v>
      </c>
      <c r="D42" s="164"/>
      <c r="E42" s="165"/>
      <c r="F42" s="165"/>
      <c r="G42" s="166">
        <v>15</v>
      </c>
      <c r="H42" s="167"/>
      <c r="I42" s="166">
        <f t="shared" si="4"/>
        <v>362</v>
      </c>
      <c r="J42" s="168">
        <f t="shared" si="4"/>
        <v>0</v>
      </c>
      <c r="K42" s="169"/>
      <c r="L42" s="165"/>
      <c r="M42" s="165"/>
      <c r="N42" s="165">
        <v>5</v>
      </c>
      <c r="O42" s="165"/>
      <c r="P42" s="165">
        <v>10</v>
      </c>
      <c r="Q42" s="170"/>
      <c r="R42" s="171">
        <f t="shared" si="7"/>
        <v>15</v>
      </c>
      <c r="S42" s="172">
        <f t="shared" si="7"/>
        <v>0</v>
      </c>
      <c r="T42" s="169"/>
      <c r="U42" s="173">
        <f>L42*12+N42*12+P42*12</f>
        <v>180</v>
      </c>
      <c r="V42" s="174">
        <f>U42/12</f>
        <v>15</v>
      </c>
      <c r="W42" s="175">
        <f>I42*12+J42</f>
        <v>4344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29448</v>
      </c>
      <c r="D44" s="114">
        <v>2</v>
      </c>
      <c r="E44" s="115">
        <v>1836</v>
      </c>
      <c r="F44" s="115"/>
      <c r="G44" s="78">
        <v>691</v>
      </c>
      <c r="H44" s="79"/>
      <c r="I44" s="73">
        <f>C44+E44-G44</f>
        <v>30593</v>
      </c>
      <c r="J44" s="177">
        <f t="shared" si="4"/>
        <v>2</v>
      </c>
      <c r="K44" s="51"/>
      <c r="L44" s="121"/>
      <c r="M44" s="121"/>
      <c r="N44" s="121">
        <v>312</v>
      </c>
      <c r="O44" s="121"/>
      <c r="P44" s="121">
        <v>379</v>
      </c>
      <c r="Q44" s="122"/>
      <c r="R44" s="178">
        <f t="shared" si="7"/>
        <v>691</v>
      </c>
      <c r="S44" s="179">
        <f t="shared" si="7"/>
        <v>0</v>
      </c>
      <c r="T44" s="51"/>
      <c r="U44" s="131">
        <f>L44*6+N44*6+P44*6</f>
        <v>4146</v>
      </c>
      <c r="V44" s="130">
        <f>U44/6</f>
        <v>691</v>
      </c>
      <c r="W44" s="133">
        <f>I44*6+J44</f>
        <v>183560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39052</v>
      </c>
      <c r="D60" s="54">
        <f>SUM(D8:D59)</f>
        <v>142</v>
      </c>
      <c r="E60" s="44">
        <f>SUM(E8:E59)</f>
        <v>1836</v>
      </c>
      <c r="F60" s="44"/>
      <c r="G60" s="28">
        <f>SUM(G8:G59)</f>
        <v>774</v>
      </c>
      <c r="H60" s="56">
        <f>SUM(H8:H59)</f>
        <v>12</v>
      </c>
      <c r="I60" s="56">
        <f>SUM(I8:I59)</f>
        <v>40114</v>
      </c>
      <c r="J60" s="45">
        <f>SUM(J8:J59)</f>
        <v>130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335</v>
      </c>
      <c r="O60" s="74">
        <f t="shared" si="20"/>
        <v>12</v>
      </c>
      <c r="P60" s="74">
        <f t="shared" si="20"/>
        <v>439</v>
      </c>
      <c r="Q60" s="75">
        <f t="shared" si="20"/>
        <v>0</v>
      </c>
      <c r="R60" s="85">
        <f t="shared" si="20"/>
        <v>774</v>
      </c>
      <c r="S60" s="84">
        <f t="shared" si="20"/>
        <v>12</v>
      </c>
      <c r="T60" s="46"/>
      <c r="U60" s="43">
        <f>SUM(U8:U59)</f>
        <v>5148</v>
      </c>
      <c r="V60" s="102">
        <f>SUM(V8:V59)</f>
        <v>774</v>
      </c>
      <c r="W60" s="187">
        <f>SUM(W8:W59)</f>
        <v>305518</v>
      </c>
      <c r="X60" s="45"/>
    </row>
    <row r="61" spans="1:24" ht="19.5" thickBot="1" x14ac:dyDescent="0.3">
      <c r="V61" s="103"/>
    </row>
    <row r="62" spans="1:24" ht="18.75" customHeight="1" x14ac:dyDescent="0.25">
      <c r="G62" s="20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3" t="s">
        <v>3</v>
      </c>
      <c r="D69" s="20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B7340-1E0E-46B2-A428-8DD1E98E472C}">
  <sheetPr>
    <pageSetUpPr fitToPage="1"/>
  </sheetPr>
  <dimension ref="A1:BH90"/>
  <sheetViews>
    <sheetView tabSelected="1" topLeftCell="A32" zoomScale="85" zoomScaleNormal="85" zoomScaleSheetLayoutView="85" zoomScalePageLayoutView="80" workbookViewId="0">
      <selection activeCell="AB42" sqref="AB42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214">
        <v>46181</v>
      </c>
      <c r="Q1" s="215"/>
      <c r="R1" s="215"/>
      <c r="S1" s="215"/>
      <c r="T1" s="215"/>
      <c r="U1" s="215"/>
      <c r="V1" s="215"/>
      <c r="W1" s="215"/>
      <c r="X1" s="216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217" t="s">
        <v>74</v>
      </c>
      <c r="C4" s="218" t="s">
        <v>3</v>
      </c>
      <c r="D4" s="219" t="s">
        <v>75</v>
      </c>
      <c r="E4" s="220" t="s">
        <v>4</v>
      </c>
      <c r="F4" s="221"/>
      <c r="G4" s="222" t="s">
        <v>5</v>
      </c>
      <c r="H4" s="224" t="s">
        <v>75</v>
      </c>
      <c r="I4" s="226" t="s">
        <v>6</v>
      </c>
      <c r="J4" s="224" t="s">
        <v>75</v>
      </c>
      <c r="L4" s="228" t="s">
        <v>7</v>
      </c>
      <c r="M4" s="229"/>
      <c r="N4" s="229"/>
      <c r="O4" s="229"/>
      <c r="P4" s="229"/>
      <c r="Q4" s="229"/>
      <c r="R4" s="229"/>
      <c r="S4" s="229"/>
      <c r="T4" s="229"/>
      <c r="U4" s="229"/>
      <c r="V4" s="230"/>
      <c r="W4" s="229"/>
      <c r="X4" s="231"/>
    </row>
    <row r="5" spans="1:60" s="3" customFormat="1" ht="57" thickBot="1" x14ac:dyDescent="0.3">
      <c r="A5" s="49"/>
      <c r="B5" s="217"/>
      <c r="C5" s="218"/>
      <c r="D5" s="219"/>
      <c r="E5" s="48" t="s">
        <v>8</v>
      </c>
      <c r="F5" s="208" t="s">
        <v>9</v>
      </c>
      <c r="G5" s="223"/>
      <c r="H5" s="225"/>
      <c r="I5" s="227"/>
      <c r="J5" s="225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18</v>
      </c>
      <c r="D8" s="111">
        <v>9</v>
      </c>
      <c r="E8" s="112"/>
      <c r="F8" s="112"/>
      <c r="G8" s="76"/>
      <c r="H8" s="73"/>
      <c r="I8" s="73">
        <f>C8-G8</f>
        <v>18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441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94</v>
      </c>
      <c r="D9" s="114"/>
      <c r="E9" s="115"/>
      <c r="F9" s="115"/>
      <c r="G9" s="78"/>
      <c r="H9" s="79"/>
      <c r="I9" s="78">
        <f t="shared" ref="I9:J59" si="4">C9-G9</f>
        <v>94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2256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86</v>
      </c>
      <c r="D10" s="111"/>
      <c r="E10" s="112"/>
      <c r="F10" s="112"/>
      <c r="G10" s="76">
        <v>2</v>
      </c>
      <c r="H10" s="73"/>
      <c r="I10" s="73">
        <f t="shared" si="4"/>
        <v>84</v>
      </c>
      <c r="J10" s="95">
        <f t="shared" si="0"/>
        <v>0</v>
      </c>
      <c r="K10" s="41"/>
      <c r="L10" s="112">
        <v>1</v>
      </c>
      <c r="M10" s="112"/>
      <c r="N10" s="112">
        <v>1</v>
      </c>
      <c r="O10" s="112"/>
      <c r="P10" s="112"/>
      <c r="Q10" s="120"/>
      <c r="R10" s="99">
        <f t="shared" si="1"/>
        <v>2</v>
      </c>
      <c r="S10" s="126">
        <f t="shared" si="1"/>
        <v>0</v>
      </c>
      <c r="T10" s="41"/>
      <c r="U10" s="107">
        <f>L10*24+N10*24+P10*24</f>
        <v>48</v>
      </c>
      <c r="V10" s="134">
        <f>U10/24</f>
        <v>2</v>
      </c>
      <c r="W10" s="129">
        <f t="shared" si="2"/>
        <v>2016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2796</v>
      </c>
      <c r="D13" s="114"/>
      <c r="E13" s="115"/>
      <c r="F13" s="115"/>
      <c r="G13" s="78">
        <v>26</v>
      </c>
      <c r="H13" s="79">
        <v>36</v>
      </c>
      <c r="I13" s="80">
        <f t="shared" si="4"/>
        <v>2770</v>
      </c>
      <c r="J13" s="94">
        <f>D13-H13</f>
        <v>-36</v>
      </c>
      <c r="K13" s="53"/>
      <c r="L13" s="121">
        <v>9</v>
      </c>
      <c r="M13" s="121">
        <v>12</v>
      </c>
      <c r="N13" s="121">
        <v>10</v>
      </c>
      <c r="O13" s="121">
        <v>12</v>
      </c>
      <c r="P13" s="121">
        <v>7</v>
      </c>
      <c r="Q13" s="122">
        <v>12</v>
      </c>
      <c r="R13" s="97">
        <f>L13+N13+P13</f>
        <v>26</v>
      </c>
      <c r="S13" s="125">
        <f>M13+O13+Q13</f>
        <v>36</v>
      </c>
      <c r="T13" s="53"/>
      <c r="U13" s="131">
        <f>L13*24+N13*24+P13*24</f>
        <v>624</v>
      </c>
      <c r="V13" s="135">
        <f t="shared" si="6"/>
        <v>26</v>
      </c>
      <c r="W13" s="133">
        <f>I13*24+J13</f>
        <v>66444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25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100</v>
      </c>
      <c r="D26" s="111">
        <v>1</v>
      </c>
      <c r="E26" s="112"/>
      <c r="F26" s="112"/>
      <c r="G26" s="76">
        <v>5</v>
      </c>
      <c r="H26" s="73"/>
      <c r="I26" s="73">
        <f t="shared" si="4"/>
        <v>95</v>
      </c>
      <c r="J26" s="77">
        <f t="shared" si="4"/>
        <v>1</v>
      </c>
      <c r="K26" s="41"/>
      <c r="L26" s="112">
        <v>5</v>
      </c>
      <c r="M26" s="112"/>
      <c r="N26" s="112"/>
      <c r="O26" s="112"/>
      <c r="P26" s="112"/>
      <c r="Q26" s="120"/>
      <c r="R26" s="86">
        <f t="shared" si="7"/>
        <v>5</v>
      </c>
      <c r="S26" s="124">
        <f t="shared" si="7"/>
        <v>0</v>
      </c>
      <c r="T26" s="41"/>
      <c r="U26" s="107">
        <f t="shared" si="5"/>
        <v>120</v>
      </c>
      <c r="V26" s="130">
        <f t="shared" si="6"/>
        <v>5</v>
      </c>
      <c r="W26" s="129">
        <f t="shared" si="8"/>
        <v>2281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>
        <v>3</v>
      </c>
      <c r="D27" s="111"/>
      <c r="E27" s="112"/>
      <c r="F27" s="112"/>
      <c r="G27" s="76">
        <v>1</v>
      </c>
      <c r="H27" s="73"/>
      <c r="I27" s="73">
        <f t="shared" si="4"/>
        <v>2</v>
      </c>
      <c r="J27" s="77">
        <f t="shared" si="4"/>
        <v>0</v>
      </c>
      <c r="K27" s="42"/>
      <c r="L27" s="112">
        <v>1</v>
      </c>
      <c r="M27" s="112"/>
      <c r="N27" s="112"/>
      <c r="O27" s="112"/>
      <c r="P27" s="112"/>
      <c r="Q27" s="120"/>
      <c r="R27" s="86">
        <f t="shared" si="7"/>
        <v>1</v>
      </c>
      <c r="S27" s="124">
        <f t="shared" si="7"/>
        <v>0</v>
      </c>
      <c r="T27" s="42"/>
      <c r="U27" s="107">
        <f t="shared" si="5"/>
        <v>24</v>
      </c>
      <c r="V27" s="130">
        <f t="shared" si="6"/>
        <v>1</v>
      </c>
      <c r="W27" s="129">
        <f t="shared" si="8"/>
        <v>48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41</v>
      </c>
      <c r="D30" s="111">
        <v>5</v>
      </c>
      <c r="E30" s="112"/>
      <c r="F30" s="112"/>
      <c r="G30" s="76"/>
      <c r="H30" s="73"/>
      <c r="I30" s="73">
        <f t="shared" si="4"/>
        <v>41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989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10</v>
      </c>
      <c r="D31" s="111"/>
      <c r="E31" s="112"/>
      <c r="F31" s="112"/>
      <c r="G31" s="76">
        <v>1</v>
      </c>
      <c r="H31" s="73"/>
      <c r="I31" s="73">
        <f t="shared" si="4"/>
        <v>9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216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2</v>
      </c>
      <c r="D33" s="111"/>
      <c r="E33" s="112"/>
      <c r="F33" s="112"/>
      <c r="G33" s="76">
        <v>1</v>
      </c>
      <c r="H33" s="73"/>
      <c r="I33" s="73">
        <f t="shared" si="4"/>
        <v>1</v>
      </c>
      <c r="J33" s="77">
        <f t="shared" si="4"/>
        <v>0</v>
      </c>
      <c r="K33" s="41"/>
      <c r="L33" s="112">
        <v>1</v>
      </c>
      <c r="M33" s="112"/>
      <c r="N33" s="112"/>
      <c r="O33" s="112"/>
      <c r="P33" s="112"/>
      <c r="Q33" s="120"/>
      <c r="R33" s="86">
        <f t="shared" si="7"/>
        <v>1</v>
      </c>
      <c r="S33" s="124">
        <f t="shared" si="7"/>
        <v>0</v>
      </c>
      <c r="T33" s="41"/>
      <c r="U33" s="107">
        <f t="shared" si="5"/>
        <v>24</v>
      </c>
      <c r="V33" s="130">
        <f t="shared" si="6"/>
        <v>1</v>
      </c>
      <c r="W33" s="129">
        <f t="shared" si="8"/>
        <v>24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55</v>
      </c>
      <c r="D35" s="111">
        <v>14</v>
      </c>
      <c r="E35" s="112"/>
      <c r="F35" s="112"/>
      <c r="G35" s="76">
        <v>12</v>
      </c>
      <c r="H35" s="73"/>
      <c r="I35" s="73">
        <f t="shared" si="4"/>
        <v>43</v>
      </c>
      <c r="J35" s="77">
        <f t="shared" si="4"/>
        <v>14</v>
      </c>
      <c r="K35" s="41"/>
      <c r="L35" s="112">
        <v>11</v>
      </c>
      <c r="M35" s="112"/>
      <c r="N35" s="112"/>
      <c r="O35" s="112"/>
      <c r="P35" s="112">
        <v>1</v>
      </c>
      <c r="Q35" s="120"/>
      <c r="R35" s="86">
        <f t="shared" si="7"/>
        <v>12</v>
      </c>
      <c r="S35" s="124">
        <f t="shared" si="7"/>
        <v>0</v>
      </c>
      <c r="T35" s="41"/>
      <c r="U35" s="107">
        <f t="shared" si="5"/>
        <v>288</v>
      </c>
      <c r="V35" s="130">
        <f t="shared" si="6"/>
        <v>12</v>
      </c>
      <c r="W35" s="129">
        <f t="shared" si="8"/>
        <v>1046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2864</v>
      </c>
      <c r="D38" s="114">
        <v>1</v>
      </c>
      <c r="E38" s="115"/>
      <c r="F38" s="115"/>
      <c r="G38" s="78">
        <v>86</v>
      </c>
      <c r="H38" s="79"/>
      <c r="I38" s="139">
        <f t="shared" si="4"/>
        <v>2778</v>
      </c>
      <c r="J38" s="140">
        <f t="shared" si="4"/>
        <v>1</v>
      </c>
      <c r="K38" s="51"/>
      <c r="L38" s="121">
        <v>5</v>
      </c>
      <c r="M38" s="121"/>
      <c r="N38" s="121">
        <v>10</v>
      </c>
      <c r="O38" s="121"/>
      <c r="P38" s="121">
        <v>71</v>
      </c>
      <c r="Q38" s="122"/>
      <c r="R38" s="97">
        <f t="shared" si="7"/>
        <v>86</v>
      </c>
      <c r="S38" s="125">
        <f t="shared" si="7"/>
        <v>0</v>
      </c>
      <c r="T38" s="51"/>
      <c r="U38" s="131">
        <f>L38*6+N38*6+P38*6</f>
        <v>516</v>
      </c>
      <c r="V38" s="135">
        <f>U38/6</f>
        <v>86</v>
      </c>
      <c r="W38" s="133">
        <f>I38*6+J38</f>
        <v>16669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>
        <v>2</v>
      </c>
      <c r="D39" s="111"/>
      <c r="E39" s="112"/>
      <c r="F39" s="112"/>
      <c r="G39" s="76"/>
      <c r="H39" s="73"/>
      <c r="I39" s="76">
        <f t="shared" si="4"/>
        <v>2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48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180</v>
      </c>
      <c r="D41" s="147">
        <v>20</v>
      </c>
      <c r="E41" s="148"/>
      <c r="F41" s="148"/>
      <c r="G41" s="149">
        <v>6</v>
      </c>
      <c r="H41" s="150"/>
      <c r="I41" s="151">
        <f t="shared" si="4"/>
        <v>174</v>
      </c>
      <c r="J41" s="152">
        <f t="shared" si="4"/>
        <v>20</v>
      </c>
      <c r="K41" s="153"/>
      <c r="L41" s="154">
        <v>5</v>
      </c>
      <c r="M41" s="154"/>
      <c r="N41" s="154">
        <v>1</v>
      </c>
      <c r="O41" s="154"/>
      <c r="P41" s="154"/>
      <c r="Q41" s="155"/>
      <c r="R41" s="156">
        <f t="shared" si="7"/>
        <v>6</v>
      </c>
      <c r="S41" s="157">
        <f t="shared" si="7"/>
        <v>0</v>
      </c>
      <c r="T41" s="153"/>
      <c r="U41" s="158">
        <f t="shared" si="9"/>
        <v>144</v>
      </c>
      <c r="V41" s="159">
        <f t="shared" si="6"/>
        <v>6</v>
      </c>
      <c r="W41" s="159">
        <f t="shared" si="10"/>
        <v>4196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362</v>
      </c>
      <c r="D42" s="164"/>
      <c r="E42" s="165"/>
      <c r="F42" s="165"/>
      <c r="G42" s="166">
        <v>70</v>
      </c>
      <c r="H42" s="167"/>
      <c r="I42" s="166">
        <f t="shared" si="4"/>
        <v>292</v>
      </c>
      <c r="J42" s="168">
        <f t="shared" si="4"/>
        <v>0</v>
      </c>
      <c r="K42" s="169"/>
      <c r="L42" s="165">
        <v>56</v>
      </c>
      <c r="M42" s="165"/>
      <c r="N42" s="165">
        <v>1</v>
      </c>
      <c r="O42" s="165"/>
      <c r="P42" s="165">
        <v>13</v>
      </c>
      <c r="Q42" s="170"/>
      <c r="R42" s="171">
        <f t="shared" si="7"/>
        <v>70</v>
      </c>
      <c r="S42" s="172">
        <f t="shared" si="7"/>
        <v>0</v>
      </c>
      <c r="T42" s="169"/>
      <c r="U42" s="173">
        <f>L42*12+N42*12+P42*12</f>
        <v>840</v>
      </c>
      <c r="V42" s="174">
        <f>U42/12</f>
        <v>70</v>
      </c>
      <c r="W42" s="175">
        <f>I42*12+J42</f>
        <v>3504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30593</v>
      </c>
      <c r="D44" s="114">
        <v>2</v>
      </c>
      <c r="E44" s="115"/>
      <c r="F44" s="115"/>
      <c r="G44" s="78">
        <v>926</v>
      </c>
      <c r="H44" s="79"/>
      <c r="I44" s="73">
        <f>C44+E44-G44</f>
        <v>29667</v>
      </c>
      <c r="J44" s="177">
        <f t="shared" si="4"/>
        <v>2</v>
      </c>
      <c r="K44" s="51"/>
      <c r="L44" s="121">
        <v>298</v>
      </c>
      <c r="M44" s="121"/>
      <c r="N44" s="121">
        <v>328</v>
      </c>
      <c r="O44" s="121"/>
      <c r="P44" s="121">
        <v>300</v>
      </c>
      <c r="Q44" s="122"/>
      <c r="R44" s="178">
        <f t="shared" si="7"/>
        <v>926</v>
      </c>
      <c r="S44" s="179">
        <f t="shared" si="7"/>
        <v>0</v>
      </c>
      <c r="T44" s="51"/>
      <c r="U44" s="131">
        <f>L44*6+N44*6+P44*6</f>
        <v>5556</v>
      </c>
      <c r="V44" s="130">
        <f>U44/6</f>
        <v>926</v>
      </c>
      <c r="W44" s="133">
        <f>I44*6+J44</f>
        <v>178004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8</v>
      </c>
      <c r="D46" s="111"/>
      <c r="E46" s="112"/>
      <c r="F46" s="112"/>
      <c r="G46" s="76"/>
      <c r="H46" s="73"/>
      <c r="I46" s="93">
        <f t="shared" si="4"/>
        <v>8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192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2787</v>
      </c>
      <c r="D48" s="142">
        <v>1</v>
      </c>
      <c r="E48" s="121"/>
      <c r="F48" s="121"/>
      <c r="G48" s="143"/>
      <c r="H48" s="139"/>
      <c r="I48" s="139">
        <f t="shared" si="4"/>
        <v>2787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16723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40114</v>
      </c>
      <c r="D60" s="54">
        <f>SUM(D8:D59)</f>
        <v>130</v>
      </c>
      <c r="E60" s="44">
        <f>SUM(E8:E59)</f>
        <v>0</v>
      </c>
      <c r="F60" s="44"/>
      <c r="G60" s="28">
        <f>SUM(G8:G59)</f>
        <v>1136</v>
      </c>
      <c r="H60" s="56">
        <f>SUM(H8:H59)</f>
        <v>36</v>
      </c>
      <c r="I60" s="56">
        <f>SUM(I8:I59)</f>
        <v>38978</v>
      </c>
      <c r="J60" s="45">
        <f>SUM(J8:J59)</f>
        <v>94</v>
      </c>
      <c r="K60" s="46"/>
      <c r="L60" s="74">
        <f t="shared" ref="L60:S60" si="20">SUM(L8:L59)</f>
        <v>392</v>
      </c>
      <c r="M60" s="74">
        <f t="shared" si="20"/>
        <v>12</v>
      </c>
      <c r="N60" s="74">
        <f t="shared" si="20"/>
        <v>351</v>
      </c>
      <c r="O60" s="74">
        <f t="shared" si="20"/>
        <v>12</v>
      </c>
      <c r="P60" s="74">
        <f t="shared" si="20"/>
        <v>393</v>
      </c>
      <c r="Q60" s="75">
        <f t="shared" si="20"/>
        <v>12</v>
      </c>
      <c r="R60" s="85">
        <f t="shared" si="20"/>
        <v>1136</v>
      </c>
      <c r="S60" s="84">
        <f t="shared" si="20"/>
        <v>36</v>
      </c>
      <c r="T60" s="46"/>
      <c r="U60" s="43">
        <f>SUM(U8:U59)</f>
        <v>8208</v>
      </c>
      <c r="V60" s="102">
        <f>SUM(V8:V59)</f>
        <v>1136</v>
      </c>
      <c r="W60" s="187">
        <f>SUM(W8:W59)</f>
        <v>297274</v>
      </c>
      <c r="X60" s="45"/>
    </row>
    <row r="61" spans="1:24" ht="19.5" thickBot="1" x14ac:dyDescent="0.3">
      <c r="V61" s="103"/>
    </row>
    <row r="62" spans="1:24" ht="18.75" customHeight="1" x14ac:dyDescent="0.25">
      <c r="G62" s="209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210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211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212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212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213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206" t="s">
        <v>3</v>
      </c>
      <c r="D69" s="207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17</vt:i4>
      </vt:variant>
    </vt:vector>
  </HeadingPairs>
  <TitlesOfParts>
    <vt:vector size="34" baseType="lpstr">
      <vt:lpstr>EXAMPLE</vt:lpstr>
      <vt:lpstr>05,01</vt:lpstr>
      <vt:lpstr>05,02</vt:lpstr>
      <vt:lpstr>05,03</vt:lpstr>
      <vt:lpstr>05,04</vt:lpstr>
      <vt:lpstr>05,05</vt:lpstr>
      <vt:lpstr>05,08</vt:lpstr>
      <vt:lpstr>05,09</vt:lpstr>
      <vt:lpstr>05,10</vt:lpstr>
      <vt:lpstr>05,11 </vt:lpstr>
      <vt:lpstr>05,12  </vt:lpstr>
      <vt:lpstr>05,15</vt:lpstr>
      <vt:lpstr>05,16</vt:lpstr>
      <vt:lpstr>05,17</vt:lpstr>
      <vt:lpstr>05,18</vt:lpstr>
      <vt:lpstr>05,19</vt:lpstr>
      <vt:lpstr>05,22</vt:lpstr>
      <vt:lpstr>'05,01'!Print_Area</vt:lpstr>
      <vt:lpstr>'05,02'!Print_Area</vt:lpstr>
      <vt:lpstr>'05,03'!Print_Area</vt:lpstr>
      <vt:lpstr>'05,04'!Print_Area</vt:lpstr>
      <vt:lpstr>'05,05'!Print_Area</vt:lpstr>
      <vt:lpstr>'05,08'!Print_Area</vt:lpstr>
      <vt:lpstr>'05,09'!Print_Area</vt:lpstr>
      <vt:lpstr>'05,10'!Print_Area</vt:lpstr>
      <vt:lpstr>'05,11 '!Print_Area</vt:lpstr>
      <vt:lpstr>'05,12  '!Print_Area</vt:lpstr>
      <vt:lpstr>'05,15'!Print_Area</vt:lpstr>
      <vt:lpstr>'05,16'!Print_Area</vt:lpstr>
      <vt:lpstr>'05,17'!Print_Area</vt:lpstr>
      <vt:lpstr>'05,18'!Print_Area</vt:lpstr>
      <vt:lpstr>'05,19'!Print_Area</vt:lpstr>
      <vt:lpstr>'05,22'!Print_Area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2026-06-23T03:25:37Z</dcterms:modified>
</cp:coreProperties>
</file>