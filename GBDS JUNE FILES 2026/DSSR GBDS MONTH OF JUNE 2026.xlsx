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D605158C-274E-4F2C-901B-D8D11C8E3B08}" xr6:coauthVersionLast="45" xr6:coauthVersionMax="45" xr10:uidLastSave="{00000000-0000-0000-0000-000000000000}"/>
  <bookViews>
    <workbookView xWindow="-120" yWindow="-120" windowWidth="29040" windowHeight="15840" firstSheet="6" activeTab="21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  <sheet name="05,16" sheetId="129" r:id="rId13"/>
    <sheet name="05,17" sheetId="130" r:id="rId14"/>
    <sheet name="05,18" sheetId="131" r:id="rId15"/>
    <sheet name="05,19" sheetId="132" r:id="rId16"/>
    <sheet name="05,22" sheetId="133" r:id="rId17"/>
    <sheet name="05,23" sheetId="134" r:id="rId18"/>
    <sheet name="05,24" sheetId="135" r:id="rId19"/>
    <sheet name="05,25" sheetId="136" r:id="rId20"/>
    <sheet name="05,26" sheetId="137" r:id="rId21"/>
    <sheet name="05,27" sheetId="138" r:id="rId22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12">'05,16'!$A$1:$Y$61</definedName>
    <definedName name="_xlnm.Print_Area" localSheetId="13">'05,17'!$A$1:$Y$61</definedName>
    <definedName name="_xlnm.Print_Area" localSheetId="14">'05,18'!$A$1:$Y$61</definedName>
    <definedName name="_xlnm.Print_Area" localSheetId="15">'05,19'!$A$1:$Y$61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'05,25'!$A$1:$Y$61</definedName>
    <definedName name="_xlnm.Print_Area" localSheetId="20">'05,26'!$A$1:$Y$61</definedName>
    <definedName name="_xlnm.Print_Area" localSheetId="21">'05,27'!$A$1:$Y$61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4" i="138" l="1"/>
  <c r="I42" i="138"/>
  <c r="I41" i="138"/>
  <c r="I44" i="134"/>
  <c r="I44" i="133"/>
  <c r="I40" i="138"/>
  <c r="Q60" i="138" l="1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U54" i="138"/>
  <c r="V54" i="138" s="1"/>
  <c r="S54" i="138"/>
  <c r="R54" i="138"/>
  <c r="J54" i="138"/>
  <c r="I54" i="138"/>
  <c r="U53" i="138"/>
  <c r="V53" i="138" s="1"/>
  <c r="S53" i="138"/>
  <c r="R53" i="138"/>
  <c r="J53" i="138"/>
  <c r="I53" i="138"/>
  <c r="W53" i="138" s="1"/>
  <c r="U52" i="138"/>
  <c r="V52" i="138" s="1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U50" i="138"/>
  <c r="V50" i="138" s="1"/>
  <c r="S50" i="138"/>
  <c r="R50" i="138"/>
  <c r="J50" i="138"/>
  <c r="I50" i="138"/>
  <c r="W50" i="138" s="1"/>
  <c r="U49" i="138"/>
  <c r="V49" i="138" s="1"/>
  <c r="S49" i="138"/>
  <c r="R49" i="138"/>
  <c r="J49" i="138"/>
  <c r="I49" i="138"/>
  <c r="W49" i="138" s="1"/>
  <c r="U48" i="138"/>
  <c r="V48" i="138" s="1"/>
  <c r="S48" i="138"/>
  <c r="R48" i="138"/>
  <c r="J48" i="138"/>
  <c r="I48" i="138"/>
  <c r="U47" i="138"/>
  <c r="V47" i="138" s="1"/>
  <c r="S47" i="138"/>
  <c r="R47" i="138"/>
  <c r="J47" i="138"/>
  <c r="I47" i="138"/>
  <c r="W47" i="138" s="1"/>
  <c r="U46" i="138"/>
  <c r="V46" i="138" s="1"/>
  <c r="S46" i="138"/>
  <c r="R46" i="138"/>
  <c r="J46" i="138"/>
  <c r="I46" i="138"/>
  <c r="W46" i="138" s="1"/>
  <c r="S45" i="138"/>
  <c r="R45" i="138"/>
  <c r="J45" i="138"/>
  <c r="I45" i="138"/>
  <c r="V44" i="138"/>
  <c r="U44" i="138"/>
  <c r="S44" i="138"/>
  <c r="R44" i="138"/>
  <c r="J44" i="138"/>
  <c r="S43" i="138"/>
  <c r="R43" i="138"/>
  <c r="J43" i="138"/>
  <c r="I43" i="138"/>
  <c r="U42" i="138"/>
  <c r="V42" i="138" s="1"/>
  <c r="S42" i="138"/>
  <c r="R42" i="138"/>
  <c r="J42" i="138"/>
  <c r="W42" i="138"/>
  <c r="U41" i="138"/>
  <c r="V41" i="138" s="1"/>
  <c r="S41" i="138"/>
  <c r="R41" i="138"/>
  <c r="J41" i="138"/>
  <c r="U40" i="138"/>
  <c r="V40" i="138" s="1"/>
  <c r="S40" i="138"/>
  <c r="R40" i="138"/>
  <c r="J40" i="138"/>
  <c r="W40" i="138" s="1"/>
  <c r="U39" i="138"/>
  <c r="V39" i="138" s="1"/>
  <c r="S39" i="138"/>
  <c r="R39" i="138"/>
  <c r="J39" i="138"/>
  <c r="I39" i="138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6" i="138"/>
  <c r="V36" i="138"/>
  <c r="U36" i="138"/>
  <c r="S36" i="138"/>
  <c r="R36" i="138"/>
  <c r="J36" i="138"/>
  <c r="I36" i="138"/>
  <c r="U35" i="138"/>
  <c r="V35" i="138" s="1"/>
  <c r="S35" i="138"/>
  <c r="R35" i="138"/>
  <c r="J35" i="138"/>
  <c r="I35" i="138"/>
  <c r="W34" i="138"/>
  <c r="U34" i="138"/>
  <c r="V34" i="138" s="1"/>
  <c r="S34" i="138"/>
  <c r="R34" i="138"/>
  <c r="J34" i="138"/>
  <c r="I34" i="138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U31" i="138"/>
  <c r="V31" i="138" s="1"/>
  <c r="S31" i="138"/>
  <c r="R31" i="138"/>
  <c r="J31" i="138"/>
  <c r="I31" i="138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U28" i="138"/>
  <c r="V28" i="138" s="1"/>
  <c r="S28" i="138"/>
  <c r="R28" i="138"/>
  <c r="J28" i="138"/>
  <c r="I28" i="138"/>
  <c r="W28" i="138" s="1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U24" i="138"/>
  <c r="V24" i="138" s="1"/>
  <c r="S24" i="138"/>
  <c r="R24" i="138"/>
  <c r="J24" i="138"/>
  <c r="W24" i="138" s="1"/>
  <c r="I24" i="138"/>
  <c r="U23" i="138"/>
  <c r="V23" i="138" s="1"/>
  <c r="S23" i="138"/>
  <c r="R23" i="138"/>
  <c r="J23" i="138"/>
  <c r="I23" i="138"/>
  <c r="W23" i="138" s="1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U20" i="138"/>
  <c r="V20" i="138" s="1"/>
  <c r="S20" i="138"/>
  <c r="R20" i="138"/>
  <c r="J20" i="138"/>
  <c r="I20" i="138"/>
  <c r="U19" i="138"/>
  <c r="V19" i="138" s="1"/>
  <c r="S19" i="138"/>
  <c r="R19" i="138"/>
  <c r="J19" i="138"/>
  <c r="I19" i="138"/>
  <c r="W19" i="138" s="1"/>
  <c r="U18" i="138"/>
  <c r="V18" i="138" s="1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W16" i="138"/>
  <c r="U16" i="138"/>
  <c r="V16" i="138" s="1"/>
  <c r="S16" i="138"/>
  <c r="R16" i="138"/>
  <c r="J16" i="138"/>
  <c r="I16" i="138"/>
  <c r="U15" i="138"/>
  <c r="V15" i="138" s="1"/>
  <c r="S15" i="138"/>
  <c r="R15" i="138"/>
  <c r="J15" i="138"/>
  <c r="I15" i="138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W13" i="138" s="1"/>
  <c r="U12" i="138"/>
  <c r="V12" i="138" s="1"/>
  <c r="S12" i="138"/>
  <c r="R12" i="138"/>
  <c r="J12" i="138"/>
  <c r="I12" i="138"/>
  <c r="W12" i="138" s="1"/>
  <c r="U11" i="138"/>
  <c r="V11" i="138" s="1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S60" i="138" s="1"/>
  <c r="R8" i="138"/>
  <c r="J8" i="138"/>
  <c r="I8" i="138"/>
  <c r="W44" i="138" l="1"/>
  <c r="W37" i="138"/>
  <c r="W38" i="138"/>
  <c r="W48" i="138"/>
  <c r="W41" i="138"/>
  <c r="W39" i="138"/>
  <c r="W35" i="138"/>
  <c r="W32" i="138"/>
  <c r="W31" i="138"/>
  <c r="W30" i="138"/>
  <c r="W26" i="138"/>
  <c r="W20" i="138"/>
  <c r="W8" i="138"/>
  <c r="W15" i="138"/>
  <c r="W54" i="138"/>
  <c r="I60" i="138"/>
  <c r="J60" i="138"/>
  <c r="R60" i="138"/>
  <c r="U60" i="138"/>
  <c r="V60" i="138"/>
  <c r="I46" i="137"/>
  <c r="I44" i="137"/>
  <c r="W44" i="137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I54" i="137"/>
  <c r="W54" i="137" s="1"/>
  <c r="U53" i="137"/>
  <c r="V53" i="137" s="1"/>
  <c r="S53" i="137"/>
  <c r="R53" i="137"/>
  <c r="J53" i="137"/>
  <c r="I53" i="137"/>
  <c r="W53" i="137" s="1"/>
  <c r="U52" i="137"/>
  <c r="V52" i="137" s="1"/>
  <c r="S52" i="137"/>
  <c r="R52" i="137"/>
  <c r="J52" i="137"/>
  <c r="I52" i="137"/>
  <c r="W52" i="137" s="1"/>
  <c r="U51" i="137"/>
  <c r="V51" i="137" s="1"/>
  <c r="S51" i="137"/>
  <c r="R51" i="137"/>
  <c r="J51" i="137"/>
  <c r="I51" i="137"/>
  <c r="W51" i="137" s="1"/>
  <c r="U50" i="137"/>
  <c r="V50" i="137" s="1"/>
  <c r="S50" i="137"/>
  <c r="R50" i="137"/>
  <c r="J50" i="137"/>
  <c r="I50" i="137"/>
  <c r="W50" i="137" s="1"/>
  <c r="U49" i="137"/>
  <c r="V49" i="137" s="1"/>
  <c r="S49" i="137"/>
  <c r="R49" i="137"/>
  <c r="J49" i="137"/>
  <c r="I49" i="137"/>
  <c r="W49" i="137" s="1"/>
  <c r="U48" i="137"/>
  <c r="V48" i="137" s="1"/>
  <c r="S48" i="137"/>
  <c r="R48" i="137"/>
  <c r="J48" i="137"/>
  <c r="I48" i="137"/>
  <c r="W48" i="137" s="1"/>
  <c r="U47" i="137"/>
  <c r="V47" i="137" s="1"/>
  <c r="S47" i="137"/>
  <c r="R47" i="137"/>
  <c r="J47" i="137"/>
  <c r="I47" i="137"/>
  <c r="W47" i="137" s="1"/>
  <c r="U46" i="137"/>
  <c r="V46" i="137" s="1"/>
  <c r="S46" i="137"/>
  <c r="R46" i="137"/>
  <c r="J46" i="137"/>
  <c r="S45" i="137"/>
  <c r="R45" i="137"/>
  <c r="J45" i="137"/>
  <c r="I45" i="137"/>
  <c r="U44" i="137"/>
  <c r="V44" i="137" s="1"/>
  <c r="S44" i="137"/>
  <c r="R44" i="137"/>
  <c r="J44" i="137"/>
  <c r="S43" i="137"/>
  <c r="R43" i="137"/>
  <c r="J43" i="137"/>
  <c r="I43" i="137"/>
  <c r="U42" i="137"/>
  <c r="V42" i="137" s="1"/>
  <c r="S42" i="137"/>
  <c r="R42" i="137"/>
  <c r="J42" i="137"/>
  <c r="I42" i="137"/>
  <c r="U41" i="137"/>
  <c r="V41" i="137" s="1"/>
  <c r="S41" i="137"/>
  <c r="R41" i="137"/>
  <c r="J41" i="137"/>
  <c r="I41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U38" i="137"/>
  <c r="V38" i="137" s="1"/>
  <c r="S38" i="137"/>
  <c r="R38" i="137"/>
  <c r="J38" i="137"/>
  <c r="I38" i="137"/>
  <c r="V37" i="137"/>
  <c r="U37" i="137"/>
  <c r="S37" i="137"/>
  <c r="R37" i="137"/>
  <c r="J37" i="137"/>
  <c r="I37" i="137"/>
  <c r="U36" i="137"/>
  <c r="V36" i="137" s="1"/>
  <c r="S36" i="137"/>
  <c r="R36" i="137"/>
  <c r="J36" i="137"/>
  <c r="W36" i="137" s="1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U33" i="137"/>
  <c r="V33" i="137" s="1"/>
  <c r="S33" i="137"/>
  <c r="R33" i="137"/>
  <c r="J33" i="137"/>
  <c r="W33" i="137" s="1"/>
  <c r="I33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U28" i="137"/>
  <c r="V28" i="137" s="1"/>
  <c r="S28" i="137"/>
  <c r="R28" i="137"/>
  <c r="J28" i="137"/>
  <c r="I28" i="137"/>
  <c r="U27" i="137"/>
  <c r="V27" i="137" s="1"/>
  <c r="S27" i="137"/>
  <c r="R27" i="137"/>
  <c r="J27" i="137"/>
  <c r="I27" i="137"/>
  <c r="BE26" i="137"/>
  <c r="U26" i="137"/>
  <c r="V26" i="137" s="1"/>
  <c r="S26" i="137"/>
  <c r="R26" i="137"/>
  <c r="J26" i="137"/>
  <c r="I26" i="137"/>
  <c r="W26" i="137" s="1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W24" i="137" s="1"/>
  <c r="U23" i="137"/>
  <c r="V23" i="137" s="1"/>
  <c r="S23" i="137"/>
  <c r="R23" i="137"/>
  <c r="J23" i="137"/>
  <c r="I23" i="137"/>
  <c r="W23" i="137" s="1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W19" i="137"/>
  <c r="U19" i="137"/>
  <c r="V19" i="137" s="1"/>
  <c r="S19" i="137"/>
  <c r="R19" i="137"/>
  <c r="J19" i="137"/>
  <c r="I19" i="137"/>
  <c r="U18" i="137"/>
  <c r="V18" i="137" s="1"/>
  <c r="S18" i="137"/>
  <c r="R18" i="137"/>
  <c r="J18" i="137"/>
  <c r="I18" i="137"/>
  <c r="W18" i="137" s="1"/>
  <c r="W17" i="137"/>
  <c r="U17" i="137"/>
  <c r="V17" i="137" s="1"/>
  <c r="S17" i="137"/>
  <c r="R17" i="137"/>
  <c r="J17" i="137"/>
  <c r="I17" i="137"/>
  <c r="V16" i="137"/>
  <c r="U16" i="137"/>
  <c r="S16" i="137"/>
  <c r="R16" i="137"/>
  <c r="J16" i="137"/>
  <c r="I16" i="137"/>
  <c r="W16" i="137" s="1"/>
  <c r="U15" i="137"/>
  <c r="V15" i="137" s="1"/>
  <c r="S15" i="137"/>
  <c r="R15" i="137"/>
  <c r="J15" i="137"/>
  <c r="I15" i="137"/>
  <c r="U14" i="137"/>
  <c r="V14" i="137" s="1"/>
  <c r="S14" i="137"/>
  <c r="R14" i="137"/>
  <c r="J14" i="137"/>
  <c r="W14" i="137" s="1"/>
  <c r="I14" i="137"/>
  <c r="U13" i="137"/>
  <c r="V13" i="137" s="1"/>
  <c r="S13" i="137"/>
  <c r="R13" i="137"/>
  <c r="J13" i="137"/>
  <c r="I13" i="137"/>
  <c r="W13" i="137" s="1"/>
  <c r="U12" i="137"/>
  <c r="V12" i="137" s="1"/>
  <c r="S12" i="137"/>
  <c r="R12" i="137"/>
  <c r="J12" i="137"/>
  <c r="W12" i="137" s="1"/>
  <c r="I12" i="137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U9" i="137"/>
  <c r="V9" i="137" s="1"/>
  <c r="S9" i="137"/>
  <c r="R9" i="137"/>
  <c r="J9" i="137"/>
  <c r="I9" i="137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8" i="137"/>
  <c r="V8" i="137" s="1"/>
  <c r="S8" i="137"/>
  <c r="R8" i="137"/>
  <c r="J8" i="137"/>
  <c r="I8" i="137"/>
  <c r="W60" i="138" l="1"/>
  <c r="W46" i="137"/>
  <c r="W30" i="137"/>
  <c r="W29" i="137"/>
  <c r="W20" i="137"/>
  <c r="W15" i="137"/>
  <c r="J60" i="137"/>
  <c r="R60" i="137"/>
  <c r="W8" i="137"/>
  <c r="U60" i="137"/>
  <c r="S60" i="137"/>
  <c r="W27" i="137"/>
  <c r="W31" i="137"/>
  <c r="W37" i="137"/>
  <c r="I60" i="137"/>
  <c r="W34" i="137"/>
  <c r="W32" i="137"/>
  <c r="W35" i="137"/>
  <c r="W42" i="137"/>
  <c r="W28" i="137"/>
  <c r="W38" i="137"/>
  <c r="W39" i="137"/>
  <c r="W40" i="137"/>
  <c r="W9" i="137"/>
  <c r="W41" i="137"/>
  <c r="V60" i="137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U53" i="136"/>
  <c r="V53" i="136" s="1"/>
  <c r="S53" i="136"/>
  <c r="R53" i="136"/>
  <c r="J53" i="136"/>
  <c r="I53" i="136"/>
  <c r="W53" i="136" s="1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U49" i="136"/>
  <c r="V49" i="136" s="1"/>
  <c r="S49" i="136"/>
  <c r="R49" i="136"/>
  <c r="J49" i="136"/>
  <c r="I49" i="136"/>
  <c r="W49" i="136" s="1"/>
  <c r="U48" i="136"/>
  <c r="V48" i="136" s="1"/>
  <c r="S48" i="136"/>
  <c r="R48" i="136"/>
  <c r="J48" i="136"/>
  <c r="I48" i="136"/>
  <c r="W48" i="136" s="1"/>
  <c r="U47" i="136"/>
  <c r="V47" i="136" s="1"/>
  <c r="S47" i="136"/>
  <c r="R47" i="136"/>
  <c r="J47" i="136"/>
  <c r="I47" i="136"/>
  <c r="W47" i="136" s="1"/>
  <c r="U46" i="136"/>
  <c r="V46" i="136" s="1"/>
  <c r="S46" i="136"/>
  <c r="R46" i="136"/>
  <c r="J46" i="136"/>
  <c r="W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W42" i="136"/>
  <c r="U42" i="136"/>
  <c r="V42" i="136" s="1"/>
  <c r="S42" i="136"/>
  <c r="R42" i="136"/>
  <c r="J42" i="136"/>
  <c r="I42" i="136"/>
  <c r="U41" i="136"/>
  <c r="V41" i="136" s="1"/>
  <c r="S41" i="136"/>
  <c r="R41" i="136"/>
  <c r="J41" i="136"/>
  <c r="I41" i="136"/>
  <c r="W41" i="136" s="1"/>
  <c r="V40" i="136"/>
  <c r="U40" i="136"/>
  <c r="S40" i="136"/>
  <c r="R40" i="136"/>
  <c r="J40" i="136"/>
  <c r="I40" i="136"/>
  <c r="W40" i="136" s="1"/>
  <c r="U39" i="136"/>
  <c r="V39" i="136" s="1"/>
  <c r="S39" i="136"/>
  <c r="R39" i="136"/>
  <c r="J39" i="136"/>
  <c r="I39" i="136"/>
  <c r="W39" i="136" s="1"/>
  <c r="U38" i="136"/>
  <c r="V38" i="136" s="1"/>
  <c r="S38" i="136"/>
  <c r="R38" i="136"/>
  <c r="J38" i="136"/>
  <c r="I38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4" i="136"/>
  <c r="U34" i="136"/>
  <c r="V34" i="136" s="1"/>
  <c r="S34" i="136"/>
  <c r="R34" i="136"/>
  <c r="J34" i="136"/>
  <c r="I34" i="136"/>
  <c r="U33" i="136"/>
  <c r="V33" i="136" s="1"/>
  <c r="S33" i="136"/>
  <c r="R33" i="136"/>
  <c r="J33" i="136"/>
  <c r="I33" i="136"/>
  <c r="W33" i="136" s="1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U28" i="136"/>
  <c r="V28" i="136" s="1"/>
  <c r="S28" i="136"/>
  <c r="R28" i="136"/>
  <c r="J28" i="136"/>
  <c r="I28" i="136"/>
  <c r="W28" i="136" s="1"/>
  <c r="U27" i="136"/>
  <c r="V27" i="136" s="1"/>
  <c r="S27" i="136"/>
  <c r="R27" i="136"/>
  <c r="J27" i="136"/>
  <c r="I27" i="136"/>
  <c r="W27" i="136" s="1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U24" i="136"/>
  <c r="V24" i="136" s="1"/>
  <c r="S24" i="136"/>
  <c r="R24" i="136"/>
  <c r="J24" i="136"/>
  <c r="I24" i="136"/>
  <c r="W24" i="136" s="1"/>
  <c r="U23" i="136"/>
  <c r="V23" i="136" s="1"/>
  <c r="S23" i="136"/>
  <c r="R23" i="136"/>
  <c r="J23" i="136"/>
  <c r="I23" i="136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W20" i="136" s="1"/>
  <c r="U19" i="136"/>
  <c r="V19" i="136" s="1"/>
  <c r="S19" i="136"/>
  <c r="R19" i="136"/>
  <c r="J19" i="136"/>
  <c r="I19" i="136"/>
  <c r="W19" i="136" s="1"/>
  <c r="U18" i="136"/>
  <c r="V18" i="136" s="1"/>
  <c r="S18" i="136"/>
  <c r="R18" i="136"/>
  <c r="J18" i="136"/>
  <c r="I18" i="136"/>
  <c r="W18" i="136" s="1"/>
  <c r="U17" i="136"/>
  <c r="V17" i="136" s="1"/>
  <c r="S17" i="136"/>
  <c r="R17" i="136"/>
  <c r="J17" i="136"/>
  <c r="I17" i="136"/>
  <c r="W17" i="136" s="1"/>
  <c r="U16" i="136"/>
  <c r="V16" i="136" s="1"/>
  <c r="S16" i="136"/>
  <c r="R16" i="136"/>
  <c r="J16" i="136"/>
  <c r="I16" i="136"/>
  <c r="W16" i="136" s="1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W13" i="136" s="1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W60" i="137" l="1"/>
  <c r="W38" i="136"/>
  <c r="W35" i="136"/>
  <c r="W26" i="136"/>
  <c r="W23" i="136"/>
  <c r="W12" i="136"/>
  <c r="R60" i="136"/>
  <c r="S60" i="136"/>
  <c r="U60" i="136"/>
  <c r="W44" i="136"/>
  <c r="I60" i="136"/>
  <c r="J60" i="136"/>
  <c r="W8" i="136"/>
  <c r="W9" i="136"/>
  <c r="W29" i="136"/>
  <c r="W37" i="136"/>
  <c r="V8" i="136"/>
  <c r="V60" i="136" s="1"/>
  <c r="Q60" i="135"/>
  <c r="P60" i="135"/>
  <c r="O60" i="135"/>
  <c r="N60" i="135"/>
  <c r="M60" i="135"/>
  <c r="L60" i="135"/>
  <c r="H60" i="135"/>
  <c r="G60" i="135"/>
  <c r="E60" i="135"/>
  <c r="D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W52" i="135"/>
  <c r="U52" i="135"/>
  <c r="V52" i="135" s="1"/>
  <c r="S52" i="135"/>
  <c r="R52" i="135"/>
  <c r="J52" i="135"/>
  <c r="I52" i="135"/>
  <c r="W51" i="135"/>
  <c r="U51" i="135"/>
  <c r="V51" i="135" s="1"/>
  <c r="S51" i="135"/>
  <c r="R51" i="135"/>
  <c r="J51" i="135"/>
  <c r="I51" i="135"/>
  <c r="V50" i="135"/>
  <c r="U50" i="135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W47" i="135"/>
  <c r="U47" i="135"/>
  <c r="V47" i="135" s="1"/>
  <c r="S47" i="135"/>
  <c r="R47" i="135"/>
  <c r="J47" i="135"/>
  <c r="I47" i="135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U40" i="135"/>
  <c r="V40" i="135" s="1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U38" i="135"/>
  <c r="V38" i="135" s="1"/>
  <c r="S38" i="135"/>
  <c r="R38" i="135"/>
  <c r="J38" i="135"/>
  <c r="C60" i="135"/>
  <c r="U37" i="135"/>
  <c r="V37" i="135" s="1"/>
  <c r="S37" i="135"/>
  <c r="R37" i="135"/>
  <c r="J37" i="135"/>
  <c r="I37" i="135"/>
  <c r="W37" i="135" s="1"/>
  <c r="U36" i="135"/>
  <c r="V36" i="135" s="1"/>
  <c r="S36" i="135"/>
  <c r="R36" i="135"/>
  <c r="J36" i="135"/>
  <c r="I36" i="135"/>
  <c r="W36" i="135" s="1"/>
  <c r="U35" i="135"/>
  <c r="V35" i="135" s="1"/>
  <c r="S35" i="135"/>
  <c r="R35" i="135"/>
  <c r="J35" i="135"/>
  <c r="I35" i="135"/>
  <c r="U34" i="135"/>
  <c r="V34" i="135" s="1"/>
  <c r="S34" i="135"/>
  <c r="R34" i="135"/>
  <c r="J34" i="135"/>
  <c r="I34" i="135"/>
  <c r="U33" i="135"/>
  <c r="V33" i="135" s="1"/>
  <c r="S33" i="135"/>
  <c r="R33" i="135"/>
  <c r="J33" i="135"/>
  <c r="I33" i="135"/>
  <c r="U32" i="135"/>
  <c r="V32" i="135" s="1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U30" i="135"/>
  <c r="V30" i="135" s="1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U28" i="135"/>
  <c r="V28" i="135" s="1"/>
  <c r="S28" i="135"/>
  <c r="R28" i="135"/>
  <c r="J28" i="135"/>
  <c r="I28" i="135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U25" i="135"/>
  <c r="V25" i="135" s="1"/>
  <c r="S25" i="135"/>
  <c r="R25" i="135"/>
  <c r="J25" i="135"/>
  <c r="I25" i="135"/>
  <c r="U24" i="135"/>
  <c r="V24" i="135" s="1"/>
  <c r="S24" i="135"/>
  <c r="R24" i="135"/>
  <c r="J24" i="135"/>
  <c r="I24" i="135"/>
  <c r="U23" i="135"/>
  <c r="V23" i="135" s="1"/>
  <c r="S23" i="135"/>
  <c r="R23" i="135"/>
  <c r="J23" i="135"/>
  <c r="I23" i="135"/>
  <c r="U22" i="135"/>
  <c r="V22" i="135" s="1"/>
  <c r="S22" i="135"/>
  <c r="R22" i="135"/>
  <c r="J22" i="135"/>
  <c r="I22" i="135"/>
  <c r="W22" i="135" s="1"/>
  <c r="U21" i="135"/>
  <c r="V21" i="135" s="1"/>
  <c r="S21" i="135"/>
  <c r="R21" i="135"/>
  <c r="J21" i="135"/>
  <c r="I21" i="135"/>
  <c r="U20" i="135"/>
  <c r="V20" i="135" s="1"/>
  <c r="S20" i="135"/>
  <c r="R20" i="135"/>
  <c r="J20" i="135"/>
  <c r="I20" i="135"/>
  <c r="U19" i="135"/>
  <c r="V19" i="135" s="1"/>
  <c r="S19" i="135"/>
  <c r="R19" i="135"/>
  <c r="J19" i="135"/>
  <c r="I19" i="135"/>
  <c r="W19" i="135" s="1"/>
  <c r="U18" i="135"/>
  <c r="V18" i="135" s="1"/>
  <c r="S18" i="135"/>
  <c r="R18" i="135"/>
  <c r="J18" i="135"/>
  <c r="I18" i="135"/>
  <c r="W18" i="135" s="1"/>
  <c r="U17" i="135"/>
  <c r="V17" i="135" s="1"/>
  <c r="S17" i="135"/>
  <c r="R17" i="135"/>
  <c r="J17" i="135"/>
  <c r="I17" i="135"/>
  <c r="U16" i="135"/>
  <c r="V16" i="135" s="1"/>
  <c r="S16" i="135"/>
  <c r="R16" i="135"/>
  <c r="J16" i="135"/>
  <c r="I16" i="135"/>
  <c r="W16" i="135" s="1"/>
  <c r="U15" i="135"/>
  <c r="V15" i="135" s="1"/>
  <c r="S15" i="135"/>
  <c r="R15" i="135"/>
  <c r="J15" i="135"/>
  <c r="I15" i="135"/>
  <c r="U14" i="135"/>
  <c r="V14" i="135" s="1"/>
  <c r="S14" i="135"/>
  <c r="R14" i="135"/>
  <c r="J14" i="135"/>
  <c r="I14" i="135"/>
  <c r="W14" i="135" s="1"/>
  <c r="U13" i="135"/>
  <c r="V13" i="135" s="1"/>
  <c r="S13" i="135"/>
  <c r="R13" i="135"/>
  <c r="J13" i="135"/>
  <c r="I13" i="135"/>
  <c r="U12" i="135"/>
  <c r="V12" i="135" s="1"/>
  <c r="S12" i="135"/>
  <c r="R12" i="135"/>
  <c r="J12" i="135"/>
  <c r="I12" i="135"/>
  <c r="U11" i="135"/>
  <c r="V11" i="135" s="1"/>
  <c r="S11" i="135"/>
  <c r="R11" i="135"/>
  <c r="J11" i="135"/>
  <c r="I11" i="135"/>
  <c r="W11" i="135" s="1"/>
  <c r="U10" i="135"/>
  <c r="V10" i="135" s="1"/>
  <c r="S10" i="135"/>
  <c r="R10" i="135"/>
  <c r="J10" i="135"/>
  <c r="I10" i="135"/>
  <c r="W10" i="135" s="1"/>
  <c r="U9" i="135"/>
  <c r="V9" i="135" s="1"/>
  <c r="S9" i="135"/>
  <c r="R9" i="135"/>
  <c r="J9" i="135"/>
  <c r="I9" i="135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V8" i="135"/>
  <c r="U8" i="135"/>
  <c r="S8" i="135"/>
  <c r="R8" i="135"/>
  <c r="J8" i="135"/>
  <c r="I8" i="135"/>
  <c r="W8" i="135" s="1"/>
  <c r="W60" i="136" l="1"/>
  <c r="W41" i="135"/>
  <c r="W35" i="135"/>
  <c r="W26" i="135"/>
  <c r="W24" i="135"/>
  <c r="R60" i="135"/>
  <c r="U60" i="135"/>
  <c r="S60" i="135"/>
  <c r="J60" i="135"/>
  <c r="W33" i="135"/>
  <c r="W17" i="135"/>
  <c r="W25" i="135"/>
  <c r="W34" i="135"/>
  <c r="W12" i="135"/>
  <c r="W20" i="135"/>
  <c r="W28" i="135"/>
  <c r="W15" i="135"/>
  <c r="W23" i="135"/>
  <c r="W13" i="135"/>
  <c r="W21" i="135"/>
  <c r="V60" i="135"/>
  <c r="W9" i="135"/>
  <c r="I38" i="135"/>
  <c r="W38" i="135" s="1"/>
  <c r="C38" i="134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I39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I37" i="134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U31" i="134"/>
  <c r="V31" i="134" s="1"/>
  <c r="S31" i="134"/>
  <c r="R31" i="134"/>
  <c r="J31" i="134"/>
  <c r="I31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I29" i="134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W24" i="134" s="1"/>
  <c r="I24" i="134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U19" i="134"/>
  <c r="V19" i="134" s="1"/>
  <c r="S19" i="134"/>
  <c r="R19" i="134"/>
  <c r="J19" i="134"/>
  <c r="I19" i="134"/>
  <c r="W19" i="134" s="1"/>
  <c r="W18" i="134"/>
  <c r="U18" i="134"/>
  <c r="V18" i="134" s="1"/>
  <c r="S18" i="134"/>
  <c r="R18" i="134"/>
  <c r="J18" i="134"/>
  <c r="I18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W12" i="134" s="1"/>
  <c r="I12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U9" i="134"/>
  <c r="V9" i="134" s="1"/>
  <c r="S9" i="134"/>
  <c r="S60" i="134" s="1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R8" i="134"/>
  <c r="J8" i="134"/>
  <c r="I8" i="134"/>
  <c r="W60" i="135" l="1"/>
  <c r="I60" i="135"/>
  <c r="W32" i="134"/>
  <c r="R60" i="134"/>
  <c r="W41" i="134"/>
  <c r="W38" i="134"/>
  <c r="W30" i="134"/>
  <c r="W26" i="134"/>
  <c r="W20" i="134"/>
  <c r="W11" i="134"/>
  <c r="I60" i="134"/>
  <c r="W17" i="134"/>
  <c r="W31" i="134"/>
  <c r="W39" i="134"/>
  <c r="W48" i="134"/>
  <c r="W44" i="134"/>
  <c r="W8" i="134"/>
  <c r="J60" i="134"/>
  <c r="W9" i="134"/>
  <c r="W29" i="134"/>
  <c r="W37" i="134"/>
  <c r="W21" i="134"/>
  <c r="W52" i="134"/>
  <c r="V60" i="134"/>
  <c r="U60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V53" i="133"/>
  <c r="U53" i="133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U50" i="133"/>
  <c r="V50" i="133" s="1"/>
  <c r="S50" i="133"/>
  <c r="R50" i="133"/>
  <c r="J50" i="133"/>
  <c r="I50" i="133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V47" i="133"/>
  <c r="U47" i="133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W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1" i="133" s="1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V36" i="133"/>
  <c r="U36" i="133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U27" i="133"/>
  <c r="V27" i="133" s="1"/>
  <c r="S27" i="133"/>
  <c r="R27" i="133"/>
  <c r="J27" i="133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U22" i="133"/>
  <c r="V22" i="133" s="1"/>
  <c r="S22" i="133"/>
  <c r="R22" i="133"/>
  <c r="J22" i="133"/>
  <c r="W22" i="133" s="1"/>
  <c r="I22" i="133"/>
  <c r="U21" i="133"/>
  <c r="V21" i="133" s="1"/>
  <c r="S21" i="133"/>
  <c r="R21" i="133"/>
  <c r="J21" i="133"/>
  <c r="I21" i="133"/>
  <c r="V20" i="133"/>
  <c r="U20" i="133"/>
  <c r="S20" i="133"/>
  <c r="R20" i="133"/>
  <c r="J20" i="133"/>
  <c r="I20" i="133"/>
  <c r="U19" i="133"/>
  <c r="V19" i="133" s="1"/>
  <c r="S19" i="133"/>
  <c r="R19" i="133"/>
  <c r="J19" i="133"/>
  <c r="I19" i="133"/>
  <c r="W19" i="133" s="1"/>
  <c r="W18" i="133"/>
  <c r="U18" i="133"/>
  <c r="V18" i="133" s="1"/>
  <c r="S18" i="133"/>
  <c r="R18" i="133"/>
  <c r="J18" i="133"/>
  <c r="I18" i="133"/>
  <c r="V17" i="133"/>
  <c r="U17" i="133"/>
  <c r="S17" i="133"/>
  <c r="R17" i="133"/>
  <c r="J17" i="133"/>
  <c r="I17" i="133"/>
  <c r="V16" i="133"/>
  <c r="U16" i="133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W12" i="133" s="1"/>
  <c r="V11" i="133"/>
  <c r="U11" i="133"/>
  <c r="S11" i="133"/>
  <c r="R11" i="133"/>
  <c r="J11" i="133"/>
  <c r="I11" i="133"/>
  <c r="W11" i="133" s="1"/>
  <c r="U10" i="133"/>
  <c r="V10" i="133" s="1"/>
  <c r="S10" i="133"/>
  <c r="R10" i="133"/>
  <c r="J10" i="133"/>
  <c r="I10" i="133"/>
  <c r="A10" i="133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9" i="133"/>
  <c r="U9" i="133"/>
  <c r="S9" i="133"/>
  <c r="R9" i="133"/>
  <c r="J9" i="133"/>
  <c r="I9" i="133"/>
  <c r="W9" i="133" s="1"/>
  <c r="A9" i="133"/>
  <c r="V8" i="133"/>
  <c r="U8" i="133"/>
  <c r="S8" i="133"/>
  <c r="R8" i="133"/>
  <c r="J8" i="133"/>
  <c r="I8" i="133"/>
  <c r="W60" i="134" l="1"/>
  <c r="W26" i="133"/>
  <c r="W24" i="133"/>
  <c r="W20" i="133"/>
  <c r="W14" i="133"/>
  <c r="W10" i="133"/>
  <c r="S60" i="133"/>
  <c r="U60" i="133"/>
  <c r="R60" i="133"/>
  <c r="W13" i="133"/>
  <c r="W17" i="133"/>
  <c r="W50" i="133"/>
  <c r="W27" i="133"/>
  <c r="W30" i="133"/>
  <c r="J60" i="133"/>
  <c r="W23" i="133"/>
  <c r="W28" i="133"/>
  <c r="I60" i="133"/>
  <c r="W8" i="133"/>
  <c r="W21" i="133"/>
  <c r="V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W54" i="132"/>
  <c r="U54" i="132"/>
  <c r="V54" i="132" s="1"/>
  <c r="S54" i="132"/>
  <c r="R54" i="132"/>
  <c r="J54" i="132"/>
  <c r="I54" i="132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W50" i="132"/>
  <c r="U50" i="132"/>
  <c r="V50" i="132" s="1"/>
  <c r="S50" i="132"/>
  <c r="R50" i="132"/>
  <c r="J50" i="132"/>
  <c r="I50" i="132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W48" i="132" s="1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S45" i="132"/>
  <c r="R45" i="132"/>
  <c r="J45" i="132"/>
  <c r="I45" i="132"/>
  <c r="U44" i="132"/>
  <c r="V44" i="132" s="1"/>
  <c r="S44" i="132"/>
  <c r="R44" i="132"/>
  <c r="J44" i="132"/>
  <c r="I44" i="132"/>
  <c r="W44" i="132" s="1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W35" i="132" s="1"/>
  <c r="W34" i="132"/>
  <c r="U34" i="132"/>
  <c r="V34" i="132" s="1"/>
  <c r="S34" i="132"/>
  <c r="R34" i="132"/>
  <c r="J34" i="132"/>
  <c r="I34" i="132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30" i="132" s="1"/>
  <c r="W29" i="132"/>
  <c r="U29" i="132"/>
  <c r="V29" i="132" s="1"/>
  <c r="S29" i="132"/>
  <c r="R29" i="132"/>
  <c r="J29" i="132"/>
  <c r="I29" i="132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V25" i="132"/>
  <c r="U25" i="132"/>
  <c r="S25" i="132"/>
  <c r="R25" i="132"/>
  <c r="J25" i="132"/>
  <c r="I25" i="132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U21" i="132"/>
  <c r="V21" i="132" s="1"/>
  <c r="S21" i="132"/>
  <c r="R21" i="132"/>
  <c r="J21" i="132"/>
  <c r="I21" i="132"/>
  <c r="U20" i="132"/>
  <c r="V20" i="132" s="1"/>
  <c r="S20" i="132"/>
  <c r="R20" i="132"/>
  <c r="J20" i="132"/>
  <c r="I20" i="132"/>
  <c r="V19" i="132"/>
  <c r="U19" i="132"/>
  <c r="S19" i="132"/>
  <c r="R19" i="132"/>
  <c r="J19" i="132"/>
  <c r="I19" i="132"/>
  <c r="U18" i="132"/>
  <c r="V18" i="132" s="1"/>
  <c r="S18" i="132"/>
  <c r="R18" i="132"/>
  <c r="J18" i="132"/>
  <c r="I18" i="132"/>
  <c r="W18" i="132" s="1"/>
  <c r="V17" i="132"/>
  <c r="U17" i="132"/>
  <c r="S17" i="132"/>
  <c r="R17" i="132"/>
  <c r="J17" i="132"/>
  <c r="I17" i="132"/>
  <c r="V16" i="132"/>
  <c r="U16" i="132"/>
  <c r="S16" i="132"/>
  <c r="R16" i="132"/>
  <c r="J16" i="132"/>
  <c r="I16" i="132"/>
  <c r="V15" i="132"/>
  <c r="U15" i="132"/>
  <c r="S15" i="132"/>
  <c r="R15" i="132"/>
  <c r="J15" i="132"/>
  <c r="I15" i="132"/>
  <c r="V14" i="132"/>
  <c r="U14" i="132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U11" i="132"/>
  <c r="V11" i="132" s="1"/>
  <c r="S11" i="132"/>
  <c r="R11" i="132"/>
  <c r="J11" i="132"/>
  <c r="I11" i="132"/>
  <c r="U10" i="132"/>
  <c r="V10" i="132" s="1"/>
  <c r="S10" i="132"/>
  <c r="R10" i="132"/>
  <c r="J10" i="132"/>
  <c r="I10" i="132"/>
  <c r="W10" i="132" s="1"/>
  <c r="A10" i="132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9" i="132"/>
  <c r="V9" i="132" s="1"/>
  <c r="S9" i="132"/>
  <c r="R9" i="132"/>
  <c r="J9" i="132"/>
  <c r="I9" i="132"/>
  <c r="W9" i="132" s="1"/>
  <c r="A9" i="132"/>
  <c r="V8" i="132"/>
  <c r="U8" i="132"/>
  <c r="S8" i="132"/>
  <c r="R8" i="132"/>
  <c r="J8" i="132"/>
  <c r="I8" i="132"/>
  <c r="Q60" i="131"/>
  <c r="P60" i="131"/>
  <c r="O60" i="131"/>
  <c r="N60" i="131"/>
  <c r="M60" i="131"/>
  <c r="L60" i="131"/>
  <c r="H60" i="131"/>
  <c r="G60" i="131"/>
  <c r="E60" i="131"/>
  <c r="D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U37" i="131"/>
  <c r="V37" i="131" s="1"/>
  <c r="S37" i="131"/>
  <c r="R37" i="131"/>
  <c r="J37" i="131"/>
  <c r="W37" i="131" s="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U27" i="13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W26" i="131" s="1"/>
  <c r="V25" i="131"/>
  <c r="U25" i="13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U18" i="131"/>
  <c r="V18" i="131" s="1"/>
  <c r="S18" i="131"/>
  <c r="R18" i="131"/>
  <c r="J18" i="131"/>
  <c r="I18" i="131"/>
  <c r="W18" i="131" s="1"/>
  <c r="V17" i="131"/>
  <c r="U17" i="131"/>
  <c r="S17" i="131"/>
  <c r="R17" i="131"/>
  <c r="J17" i="131"/>
  <c r="I17" i="131"/>
  <c r="W17" i="131" s="1"/>
  <c r="V16" i="131"/>
  <c r="U16" i="131"/>
  <c r="S16" i="131"/>
  <c r="R16" i="131"/>
  <c r="J16" i="131"/>
  <c r="I16" i="131"/>
  <c r="W16" i="131" s="1"/>
  <c r="U15" i="131"/>
  <c r="V15" i="131" s="1"/>
  <c r="S15" i="131"/>
  <c r="R15" i="131"/>
  <c r="J15" i="131"/>
  <c r="I15" i="131"/>
  <c r="U14" i="131"/>
  <c r="V14" i="131" s="1"/>
  <c r="S14" i="131"/>
  <c r="R14" i="131"/>
  <c r="J14" i="131"/>
  <c r="C60" i="13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V8" i="131" s="1"/>
  <c r="S8" i="131"/>
  <c r="R8" i="131"/>
  <c r="J8" i="131"/>
  <c r="I8" i="131"/>
  <c r="W8" i="131" s="1"/>
  <c r="C14" i="130"/>
  <c r="Q60" i="130"/>
  <c r="P60" i="130"/>
  <c r="O60" i="130"/>
  <c r="N60" i="130"/>
  <c r="M60" i="130"/>
  <c r="L60" i="130"/>
  <c r="H60" i="130"/>
  <c r="G60" i="130"/>
  <c r="E60" i="130"/>
  <c r="D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C60" i="130"/>
  <c r="U47" i="130"/>
  <c r="V47" i="130" s="1"/>
  <c r="S47" i="130"/>
  <c r="R47" i="130"/>
  <c r="J47" i="130"/>
  <c r="I47" i="130"/>
  <c r="V46" i="130"/>
  <c r="U46" i="130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V40" i="130"/>
  <c r="U40" i="130"/>
  <c r="S40" i="130"/>
  <c r="R40" i="130"/>
  <c r="J40" i="130"/>
  <c r="I40" i="130"/>
  <c r="W40" i="130" s="1"/>
  <c r="U39" i="130"/>
  <c r="V39" i="130" s="1"/>
  <c r="S39" i="130"/>
  <c r="R39" i="130"/>
  <c r="J39" i="130"/>
  <c r="I39" i="130"/>
  <c r="U38" i="130"/>
  <c r="V38" i="130" s="1"/>
  <c r="S38" i="130"/>
  <c r="R38" i="130"/>
  <c r="J38" i="130"/>
  <c r="I38" i="130"/>
  <c r="W38" i="130" s="1"/>
  <c r="U37" i="130"/>
  <c r="V37" i="130" s="1"/>
  <c r="S37" i="130"/>
  <c r="R37" i="130"/>
  <c r="J37" i="130"/>
  <c r="I37" i="130"/>
  <c r="W37" i="130" s="1"/>
  <c r="V36" i="130"/>
  <c r="U36" i="130"/>
  <c r="S36" i="130"/>
  <c r="R36" i="130"/>
  <c r="J36" i="130"/>
  <c r="I36" i="130"/>
  <c r="W36" i="130" s="1"/>
  <c r="V35" i="130"/>
  <c r="U35" i="130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V32" i="130"/>
  <c r="U32" i="130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U29" i="130"/>
  <c r="V29" i="130" s="1"/>
  <c r="S29" i="130"/>
  <c r="R29" i="130"/>
  <c r="J29" i="130"/>
  <c r="I29" i="130"/>
  <c r="W29" i="130" s="1"/>
  <c r="V28" i="130"/>
  <c r="U28" i="130"/>
  <c r="S28" i="130"/>
  <c r="R28" i="130"/>
  <c r="J28" i="130"/>
  <c r="I28" i="130"/>
  <c r="W28" i="130" s="1"/>
  <c r="V27" i="130"/>
  <c r="U27" i="130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W26" i="130" s="1"/>
  <c r="U25" i="130"/>
  <c r="V25" i="130" s="1"/>
  <c r="S25" i="130"/>
  <c r="R25" i="130"/>
  <c r="J25" i="130"/>
  <c r="I25" i="130"/>
  <c r="U24" i="130"/>
  <c r="V24" i="130" s="1"/>
  <c r="S24" i="130"/>
  <c r="R24" i="130"/>
  <c r="J24" i="130"/>
  <c r="I24" i="130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U20" i="130"/>
  <c r="V20" i="130" s="1"/>
  <c r="S20" i="130"/>
  <c r="R20" i="130"/>
  <c r="J20" i="130"/>
  <c r="I20" i="130"/>
  <c r="W20" i="130" s="1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9" i="130"/>
  <c r="V9" i="130" s="1"/>
  <c r="S9" i="130"/>
  <c r="R9" i="130"/>
  <c r="J9" i="130"/>
  <c r="I9" i="130"/>
  <c r="W9" i="130" s="1"/>
  <c r="A9" i="130"/>
  <c r="U8" i="130"/>
  <c r="S8" i="130"/>
  <c r="R8" i="130"/>
  <c r="J8" i="130"/>
  <c r="I8" i="130"/>
  <c r="W8" i="130" s="1"/>
  <c r="I41" i="129"/>
  <c r="I42" i="129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U53" i="129"/>
  <c r="V53" i="129" s="1"/>
  <c r="S53" i="129"/>
  <c r="R53" i="129"/>
  <c r="J53" i="129"/>
  <c r="I53" i="129"/>
  <c r="U52" i="129"/>
  <c r="V52" i="129" s="1"/>
  <c r="S52" i="129"/>
  <c r="R52" i="129"/>
  <c r="J52" i="129"/>
  <c r="I52" i="129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U41" i="129"/>
  <c r="V41" i="129" s="1"/>
  <c r="S41" i="129"/>
  <c r="R41" i="129"/>
  <c r="J41" i="129"/>
  <c r="W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W36" i="129"/>
  <c r="U36" i="129"/>
  <c r="V36" i="129" s="1"/>
  <c r="S36" i="129"/>
  <c r="R36" i="129"/>
  <c r="J36" i="129"/>
  <c r="I36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W34" i="129" s="1"/>
  <c r="I34" i="129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W28" i="129"/>
  <c r="U28" i="129"/>
  <c r="V28" i="129" s="1"/>
  <c r="S28" i="129"/>
  <c r="R28" i="129"/>
  <c r="J28" i="129"/>
  <c r="I28" i="129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0" i="129"/>
  <c r="V20" i="129"/>
  <c r="U20" i="129"/>
  <c r="S20" i="129"/>
  <c r="R20" i="129"/>
  <c r="J20" i="129"/>
  <c r="I20" i="129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4" i="129"/>
  <c r="U14" i="129"/>
  <c r="V14" i="129" s="1"/>
  <c r="S14" i="129"/>
  <c r="R14" i="129"/>
  <c r="J14" i="129"/>
  <c r="I14" i="129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V8" i="129" s="1"/>
  <c r="S8" i="129"/>
  <c r="R8" i="129"/>
  <c r="J8" i="129"/>
  <c r="I8" i="129"/>
  <c r="W60" i="133" l="1"/>
  <c r="W46" i="132"/>
  <c r="W14" i="132"/>
  <c r="U60" i="132"/>
  <c r="V60" i="132"/>
  <c r="R60" i="132"/>
  <c r="S60" i="132"/>
  <c r="W11" i="132"/>
  <c r="W19" i="132"/>
  <c r="W17" i="132"/>
  <c r="W25" i="132"/>
  <c r="W47" i="132"/>
  <c r="W12" i="132"/>
  <c r="W20" i="132"/>
  <c r="W15" i="132"/>
  <c r="W23" i="132"/>
  <c r="W8" i="132"/>
  <c r="W13" i="132"/>
  <c r="W21" i="132"/>
  <c r="J60" i="132"/>
  <c r="W16" i="132"/>
  <c r="W24" i="132"/>
  <c r="I60" i="132"/>
  <c r="W44" i="131"/>
  <c r="W41" i="131"/>
  <c r="W38" i="131"/>
  <c r="W35" i="131"/>
  <c r="W30" i="131"/>
  <c r="W29" i="131"/>
  <c r="W24" i="131"/>
  <c r="W12" i="131"/>
  <c r="R60" i="131"/>
  <c r="U60" i="131"/>
  <c r="S60" i="131"/>
  <c r="W19" i="131"/>
  <c r="J60" i="131"/>
  <c r="W20" i="131"/>
  <c r="W15" i="131"/>
  <c r="W23" i="131"/>
  <c r="W10" i="131"/>
  <c r="V27" i="131"/>
  <c r="V60" i="131" s="1"/>
  <c r="I14" i="131"/>
  <c r="W14" i="131" s="1"/>
  <c r="W44" i="130"/>
  <c r="W41" i="130"/>
  <c r="W30" i="130"/>
  <c r="W24" i="130"/>
  <c r="W12" i="130"/>
  <c r="S60" i="130"/>
  <c r="R60" i="130"/>
  <c r="U60" i="130"/>
  <c r="J60" i="130"/>
  <c r="W11" i="130"/>
  <c r="W52" i="130"/>
  <c r="W21" i="130"/>
  <c r="W15" i="130"/>
  <c r="W25" i="130"/>
  <c r="W47" i="130"/>
  <c r="W50" i="130"/>
  <c r="W39" i="130"/>
  <c r="W13" i="130"/>
  <c r="W54" i="130"/>
  <c r="W23" i="130"/>
  <c r="V8" i="130"/>
  <c r="V60" i="130" s="1"/>
  <c r="I48" i="130"/>
  <c r="W48" i="130" s="1"/>
  <c r="W42" i="129"/>
  <c r="W38" i="129"/>
  <c r="W30" i="129"/>
  <c r="W26" i="129"/>
  <c r="W24" i="129"/>
  <c r="W21" i="129"/>
  <c r="W18" i="129"/>
  <c r="W12" i="129"/>
  <c r="R60" i="129"/>
  <c r="S60" i="129"/>
  <c r="W52" i="129"/>
  <c r="W35" i="129"/>
  <c r="I60" i="129"/>
  <c r="W53" i="129"/>
  <c r="W8" i="129"/>
  <c r="W23" i="129"/>
  <c r="W54" i="129"/>
  <c r="J60" i="129"/>
  <c r="W15" i="129"/>
  <c r="W48" i="129"/>
  <c r="V60" i="129"/>
  <c r="U60" i="129"/>
  <c r="W8" i="128"/>
  <c r="C44" i="128"/>
  <c r="W60" i="132" l="1"/>
  <c r="W60" i="131"/>
  <c r="I60" i="131"/>
  <c r="W60" i="130"/>
  <c r="I60" i="130"/>
  <c r="W60" i="129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E5A2CE-B933-4449-9E31-DE778DA4E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513011F-5A92-4D3C-A5B8-454809E73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316A89D-8827-404F-A3BB-AF1CF8524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DDB140C-0E72-4A44-A1D6-A156AAE74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04A4A7-2A3A-47D7-9AB4-6076D98E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9034850-D688-4069-8B23-84A0DB724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3D025F8-84EB-47DA-B5AE-E18F057148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C764E53-CFF7-414D-98A7-035855DC2A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A78DA7-1E2B-497D-9E78-BB6B0B653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93A33AF-189F-426D-967C-6E71725D0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48A60B6-88FE-4EBB-BE55-0F0694AF8E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0C1B344-966E-42E5-9349-2BBE7A991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76637C1-50BF-458C-8D47-C60A58F072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57F17C-081F-4FE8-AE0D-443FAA6C6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053ACDC-4E82-4DE4-9735-6CFA7A88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099D0A-D5C1-4463-B606-6F7014F84E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572DB7-0060-46AB-A9F3-21D8C6107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AAE63AD-FBBA-4658-AD91-F66A97D85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FC904E-36F4-4A2B-841A-B02DC9F8CB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B648FE-AC1D-44D5-A8F1-4B77E2D334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808F2B4-FE2A-4B52-AFE0-3DB81525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A8DA659-6422-402B-BB26-DACC6D9E2E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A0247B1-CB98-4B7D-826F-FA5375747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83DE3EB-73F9-4DE8-B24F-8F23D1CAA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F36F39C-E229-439F-8E2E-FFC25BA240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5A6510-E466-4D6D-9326-DF714B5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7FD4038-8F1B-4101-967D-E4687A0A48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68285A6-8FBB-46CC-86E1-1FD7A7534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9E073B2-5DBA-4812-A190-52C1F410DF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7DB609-A777-441B-A34D-4DC7572935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<sst xmlns="http://schemas.openxmlformats.org/spreadsheetml/2006/main" count="2332" uniqueCount="82">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</sst>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/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06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46174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82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46175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85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46176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85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46178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85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46179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85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85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90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93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96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topLeftCell="A37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199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59" sqref="AB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02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633C-CAD5-4723-BEC5-004346DDCA0D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05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95</v>
      </c>
      <c r="D10" s="111"/>
      <c r="E10" s="112"/>
      <c r="F10" s="112"/>
      <c r="G10" s="76">
        <v>2</v>
      </c>
      <c r="H10" s="73"/>
      <c r="I10" s="73">
        <f t="shared" si="3"/>
        <v>93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4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2920</v>
      </c>
      <c r="D13" s="114"/>
      <c r="E13" s="115"/>
      <c r="F13" s="115"/>
      <c r="G13" s="78">
        <v>39</v>
      </c>
      <c r="H13" s="79">
        <v>12</v>
      </c>
      <c r="I13" s="80">
        <f t="shared" si="3"/>
        <v>2881</v>
      </c>
      <c r="J13" s="94">
        <f>D13-H13</f>
        <v>-12</v>
      </c>
      <c r="K13" s="53"/>
      <c r="L13" s="121">
        <v>10</v>
      </c>
      <c r="M13" s="121"/>
      <c r="N13" s="121">
        <v>7</v>
      </c>
      <c r="O13" s="121"/>
      <c r="P13" s="121">
        <v>22</v>
      </c>
      <c r="Q13" s="122">
        <v>12</v>
      </c>
      <c r="R13" s="97">
        <f>L13+N13+P13</f>
        <v>39</v>
      </c>
      <c r="S13" s="125">
        <f>M13+O13+Q13</f>
        <v>12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69132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117</v>
      </c>
      <c r="D26" s="111">
        <v>1</v>
      </c>
      <c r="E26" s="112"/>
      <c r="F26" s="112"/>
      <c r="G26" s="76">
        <v>17</v>
      </c>
      <c r="H26" s="73"/>
      <c r="I26" s="73">
        <f t="shared" si="3"/>
        <v>100</v>
      </c>
      <c r="J26" s="77">
        <f t="shared" si="3"/>
        <v>1</v>
      </c>
      <c r="K26" s="41"/>
      <c r="L26" s="112">
        <v>2</v>
      </c>
      <c r="M26" s="112"/>
      <c r="N26" s="112"/>
      <c r="O26" s="112"/>
      <c r="P26" s="112">
        <v>15</v>
      </c>
      <c r="Q26" s="120"/>
      <c r="R26" s="86">
        <f t="shared" si="7"/>
        <v>17</v>
      </c>
      <c r="S26" s="124">
        <f t="shared" si="7"/>
        <v>0</v>
      </c>
      <c r="T26" s="41"/>
      <c r="U26" s="107">
        <f t="shared" si="5"/>
        <v>408</v>
      </c>
      <c r="V26" s="130">
        <f t="shared" si="6"/>
        <v>17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20</v>
      </c>
      <c r="D29" s="111"/>
      <c r="E29" s="112"/>
      <c r="F29" s="112"/>
      <c r="G29" s="76">
        <v>17</v>
      </c>
      <c r="H29" s="73"/>
      <c r="I29" s="73">
        <f t="shared" si="3"/>
        <v>3</v>
      </c>
      <c r="J29" s="77">
        <f t="shared" si="3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>
        <v>6</v>
      </c>
      <c r="H30" s="73"/>
      <c r="I30" s="73">
        <f t="shared" si="3"/>
        <v>44</v>
      </c>
      <c r="J30" s="77">
        <f t="shared" si="3"/>
        <v>5</v>
      </c>
      <c r="K30" s="41"/>
      <c r="L30" s="112">
        <v>1</v>
      </c>
      <c r="M30" s="112"/>
      <c r="N30" s="112"/>
      <c r="O30" s="112"/>
      <c r="P30" s="112">
        <v>5</v>
      </c>
      <c r="Q30" s="120"/>
      <c r="R30" s="86">
        <f t="shared" si="7"/>
        <v>6</v>
      </c>
      <c r="S30" s="124">
        <f t="shared" si="7"/>
        <v>0</v>
      </c>
      <c r="T30" s="41"/>
      <c r="U30" s="107">
        <f t="shared" si="5"/>
        <v>144</v>
      </c>
      <c r="V30" s="130">
        <f t="shared" si="6"/>
        <v>6</v>
      </c>
      <c r="W30" s="129">
        <f t="shared" si="8"/>
        <v>1061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3"/>
        <v>10</v>
      </c>
      <c r="J31" s="77">
        <f t="shared" si="3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240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>
        <v>4</v>
      </c>
      <c r="H35" s="73"/>
      <c r="I35" s="73">
        <f t="shared" si="3"/>
        <v>60</v>
      </c>
      <c r="J35" s="77">
        <f t="shared" si="3"/>
        <v>14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1454</v>
      </c>
      <c r="X35" s="27"/>
    </row>
    <row r="36" spans="1:26" ht="18.75" hidden="1" customHeight="1" x14ac:dyDescent="0.3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3181</v>
      </c>
      <c r="D38" s="114">
        <v>1</v>
      </c>
      <c r="E38" s="115"/>
      <c r="F38" s="115"/>
      <c r="G38" s="78">
        <v>165</v>
      </c>
      <c r="H38" s="79"/>
      <c r="I38" s="139">
        <f t="shared" si="3"/>
        <v>3016</v>
      </c>
      <c r="J38" s="140">
        <f t="shared" si="3"/>
        <v>1</v>
      </c>
      <c r="K38" s="51"/>
      <c r="L38" s="121">
        <v>121</v>
      </c>
      <c r="M38" s="121"/>
      <c r="N38" s="121">
        <v>4</v>
      </c>
      <c r="O38" s="121"/>
      <c r="P38" s="121">
        <v>40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18097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>
        <v>252</v>
      </c>
      <c r="F41" s="148"/>
      <c r="G41" s="149"/>
      <c r="H41" s="150"/>
      <c r="I41" s="151">
        <f>C41+E41-G41</f>
        <v>253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6080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42</v>
      </c>
      <c r="D42" s="164"/>
      <c r="E42" s="165">
        <v>384</v>
      </c>
      <c r="F42" s="165"/>
      <c r="G42" s="166">
        <v>33</v>
      </c>
      <c r="H42" s="167"/>
      <c r="I42" s="166">
        <f>C42+E42-G42</f>
        <v>393</v>
      </c>
      <c r="J42" s="168">
        <f t="shared" si="3"/>
        <v>0</v>
      </c>
      <c r="K42" s="169"/>
      <c r="L42" s="165">
        <v>8</v>
      </c>
      <c r="M42" s="165"/>
      <c r="N42" s="165">
        <v>7</v>
      </c>
      <c r="O42" s="165"/>
      <c r="P42" s="165">
        <v>18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4716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v>30481</v>
      </c>
      <c r="D44" s="114">
        <v>2</v>
      </c>
      <c r="E44" s="115">
        <v>972</v>
      </c>
      <c r="F44" s="115"/>
      <c r="G44" s="78">
        <v>1549</v>
      </c>
      <c r="H44" s="79"/>
      <c r="I44" s="73">
        <f>C44+E44-G44</f>
        <v>29904</v>
      </c>
      <c r="J44" s="177">
        <f t="shared" si="3"/>
        <v>2</v>
      </c>
      <c r="K44" s="51"/>
      <c r="L44" s="121">
        <v>583</v>
      </c>
      <c r="M44" s="121"/>
      <c r="N44" s="121">
        <v>318</v>
      </c>
      <c r="O44" s="121"/>
      <c r="P44" s="121">
        <v>648</v>
      </c>
      <c r="Q44" s="122"/>
      <c r="R44" s="178">
        <f t="shared" si="7"/>
        <v>1549</v>
      </c>
      <c r="S44" s="179">
        <f t="shared" si="7"/>
        <v>0</v>
      </c>
      <c r="T44" s="51"/>
      <c r="U44" s="131">
        <f>L44*6+N44*6+P44*6</f>
        <v>9294</v>
      </c>
      <c r="V44" s="130">
        <f>U44/6</f>
        <v>1549</v>
      </c>
      <c r="W44" s="133">
        <f>I44*6+J44</f>
        <v>179426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>
        <v>3</v>
      </c>
      <c r="H48" s="139"/>
      <c r="I48" s="139">
        <f t="shared" si="3"/>
        <v>2787</v>
      </c>
      <c r="J48" s="140">
        <f t="shared" si="3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16723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40000</v>
      </c>
      <c r="D60" s="54">
        <f>SUM(D8:D59)</f>
        <v>118</v>
      </c>
      <c r="E60" s="44">
        <f>SUM(E8:E59)</f>
        <v>1608</v>
      </c>
      <c r="F60" s="44"/>
      <c r="G60" s="28">
        <f>SUM(G8:G59)</f>
        <v>1836</v>
      </c>
      <c r="H60" s="56">
        <f>SUM(H8:H59)</f>
        <v>12</v>
      </c>
      <c r="I60" s="56">
        <f>SUM(I8:I59)</f>
        <v>39772</v>
      </c>
      <c r="J60" s="45">
        <f>SUM(J8:J59)</f>
        <v>106</v>
      </c>
      <c r="K60" s="46"/>
      <c r="L60" s="74">
        <f t="shared" ref="L60:S60" si="20">SUM(L8:L59)</f>
        <v>731</v>
      </c>
      <c r="M60" s="74">
        <f t="shared" si="20"/>
        <v>0</v>
      </c>
      <c r="N60" s="74">
        <f t="shared" si="20"/>
        <v>336</v>
      </c>
      <c r="O60" s="74">
        <f t="shared" si="20"/>
        <v>0</v>
      </c>
      <c r="P60" s="74">
        <f t="shared" si="20"/>
        <v>769</v>
      </c>
      <c r="Q60" s="75">
        <f t="shared" si="20"/>
        <v>12</v>
      </c>
      <c r="R60" s="85">
        <f t="shared" si="20"/>
        <v>1836</v>
      </c>
      <c r="S60" s="84">
        <f t="shared" si="20"/>
        <v>12</v>
      </c>
      <c r="T60" s="46"/>
      <c r="U60" s="43">
        <f>SUM(U8:U59)</f>
        <v>12762</v>
      </c>
      <c r="V60" s="102">
        <f>SUM(V8:V59)</f>
        <v>1836</v>
      </c>
      <c r="W60" s="187">
        <f>SUM(W8:W59)</f>
        <v>306580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EDCA-C715-46F2-8DD5-744858204953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1" sqref="AD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05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4</v>
      </c>
      <c r="H10" s="73"/>
      <c r="I10" s="73">
        <f t="shared" si="4"/>
        <v>89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2136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2880</v>
      </c>
      <c r="D13" s="114">
        <v>12</v>
      </c>
      <c r="E13" s="115"/>
      <c r="F13" s="115"/>
      <c r="G13" s="78">
        <v>29</v>
      </c>
      <c r="H13" s="79">
        <v>36</v>
      </c>
      <c r="I13" s="80">
        <f t="shared" si="4"/>
        <v>2851</v>
      </c>
      <c r="J13" s="94">
        <f>D13-H13</f>
        <v>-24</v>
      </c>
      <c r="K13" s="53"/>
      <c r="L13" s="121">
        <v>5</v>
      </c>
      <c r="M13" s="121">
        <v>12</v>
      </c>
      <c r="N13" s="121">
        <v>9</v>
      </c>
      <c r="O13" s="121">
        <v>12</v>
      </c>
      <c r="P13" s="121">
        <v>15</v>
      </c>
      <c r="Q13" s="122">
        <v>12</v>
      </c>
      <c r="R13" s="97">
        <f>L13+N13+P13</f>
        <v>29</v>
      </c>
      <c r="S13" s="125">
        <f>M13+O13+Q13</f>
        <v>36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68400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f>2</f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44</v>
      </c>
      <c r="D30" s="111">
        <v>5</v>
      </c>
      <c r="E30" s="112"/>
      <c r="F30" s="112"/>
      <c r="G30" s="76">
        <v>2</v>
      </c>
      <c r="H30" s="73"/>
      <c r="I30" s="73">
        <f t="shared" si="4"/>
        <v>42</v>
      </c>
      <c r="J30" s="77">
        <f t="shared" si="4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1013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60</v>
      </c>
      <c r="D35" s="111">
        <v>14</v>
      </c>
      <c r="E35" s="112"/>
      <c r="F35" s="112"/>
      <c r="G35" s="76">
        <v>3</v>
      </c>
      <c r="H35" s="73"/>
      <c r="I35" s="73">
        <f t="shared" si="4"/>
        <v>57</v>
      </c>
      <c r="J35" s="77">
        <f t="shared" si="4"/>
        <v>14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1382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3016</v>
      </c>
      <c r="D38" s="114">
        <v>1</v>
      </c>
      <c r="E38" s="115"/>
      <c r="F38" s="115"/>
      <c r="G38" s="78">
        <v>85</v>
      </c>
      <c r="H38" s="79"/>
      <c r="I38" s="139">
        <f t="shared" si="4"/>
        <v>2931</v>
      </c>
      <c r="J38" s="140">
        <f t="shared" si="4"/>
        <v>1</v>
      </c>
      <c r="K38" s="51"/>
      <c r="L38" s="121">
        <v>12</v>
      </c>
      <c r="M38" s="121"/>
      <c r="N38" s="121">
        <v>15</v>
      </c>
      <c r="O38" s="121"/>
      <c r="P38" s="121">
        <v>58</v>
      </c>
      <c r="Q38" s="122"/>
      <c r="R38" s="97">
        <f t="shared" si="7"/>
        <v>85</v>
      </c>
      <c r="S38" s="125">
        <f t="shared" si="7"/>
        <v>0</v>
      </c>
      <c r="T38" s="51"/>
      <c r="U38" s="131">
        <f>L38*6+N38*6+P38*6</f>
        <v>510</v>
      </c>
      <c r="V38" s="135">
        <f>U38/6</f>
        <v>85</v>
      </c>
      <c r="W38" s="133">
        <f>I38*6+J38</f>
        <v>17587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8</v>
      </c>
      <c r="E41" s="148"/>
      <c r="F41" s="148"/>
      <c r="G41" s="149">
        <v>1</v>
      </c>
      <c r="H41" s="150">
        <v>12</v>
      </c>
      <c r="I41" s="151">
        <f t="shared" si="4"/>
        <v>252</v>
      </c>
      <c r="J41" s="152">
        <f t="shared" si="4"/>
        <v>-4</v>
      </c>
      <c r="K41" s="153"/>
      <c r="L41" s="154"/>
      <c r="M41" s="154"/>
      <c r="N41" s="154"/>
      <c r="O41" s="154">
        <v>12</v>
      </c>
      <c r="P41" s="154">
        <v>1</v>
      </c>
      <c r="Q41" s="155"/>
      <c r="R41" s="156">
        <f t="shared" si="7"/>
        <v>1</v>
      </c>
      <c r="S41" s="157">
        <f t="shared" si="7"/>
        <v>12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393</v>
      </c>
      <c r="D42" s="164"/>
      <c r="E42" s="165"/>
      <c r="F42" s="165"/>
      <c r="G42" s="166">
        <v>6</v>
      </c>
      <c r="H42" s="167"/>
      <c r="I42" s="166">
        <f t="shared" si="4"/>
        <v>387</v>
      </c>
      <c r="J42" s="168">
        <f t="shared" si="4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7"/>
        <v>6</v>
      </c>
      <c r="S42" s="172">
        <f t="shared" si="7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4644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29904</v>
      </c>
      <c r="D44" s="114">
        <v>2</v>
      </c>
      <c r="E44" s="115"/>
      <c r="F44" s="115"/>
      <c r="G44" s="78">
        <v>1079</v>
      </c>
      <c r="H44" s="79"/>
      <c r="I44" s="73">
        <f>C44+E44-G44</f>
        <v>28825</v>
      </c>
      <c r="J44" s="177">
        <f t="shared" si="4"/>
        <v>2</v>
      </c>
      <c r="K44" s="51"/>
      <c r="L44" s="121">
        <v>335</v>
      </c>
      <c r="M44" s="121"/>
      <c r="N44" s="121">
        <v>292</v>
      </c>
      <c r="O44" s="121"/>
      <c r="P44" s="121">
        <v>452</v>
      </c>
      <c r="Q44" s="122"/>
      <c r="R44" s="178">
        <f t="shared" si="7"/>
        <v>1079</v>
      </c>
      <c r="S44" s="179">
        <f t="shared" si="7"/>
        <v>0</v>
      </c>
      <c r="T44" s="51"/>
      <c r="U44" s="131">
        <f>L44*6+N44*6+P44*6</f>
        <v>6474</v>
      </c>
      <c r="V44" s="130">
        <f>U44/6</f>
        <v>1079</v>
      </c>
      <c r="W44" s="133">
        <f>I44*6+J44</f>
        <v>172952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39771</v>
      </c>
      <c r="D60" s="54">
        <f>SUM(D8:D59)</f>
        <v>130</v>
      </c>
      <c r="E60" s="44">
        <f>SUM(E8:E59)</f>
        <v>0</v>
      </c>
      <c r="F60" s="44"/>
      <c r="G60" s="28">
        <f>SUM(G8:G59)</f>
        <v>1210</v>
      </c>
      <c r="H60" s="56">
        <f>SUM(H8:H59)</f>
        <v>48</v>
      </c>
      <c r="I60" s="56">
        <f>SUM(I8:I59)</f>
        <v>38561</v>
      </c>
      <c r="J60" s="45">
        <f>SUM(J8:J59)</f>
        <v>82</v>
      </c>
      <c r="K60" s="46"/>
      <c r="L60" s="74">
        <f t="shared" ref="L60:S60" si="20">SUM(L8:L59)</f>
        <v>352</v>
      </c>
      <c r="M60" s="74">
        <f t="shared" si="20"/>
        <v>12</v>
      </c>
      <c r="N60" s="74">
        <f t="shared" si="20"/>
        <v>319</v>
      </c>
      <c r="O60" s="74">
        <f t="shared" si="20"/>
        <v>24</v>
      </c>
      <c r="P60" s="74">
        <f t="shared" si="20"/>
        <v>539</v>
      </c>
      <c r="Q60" s="75">
        <f t="shared" si="20"/>
        <v>12</v>
      </c>
      <c r="R60" s="85">
        <f t="shared" si="20"/>
        <v>1210</v>
      </c>
      <c r="S60" s="84">
        <f t="shared" si="20"/>
        <v>48</v>
      </c>
      <c r="T60" s="46"/>
      <c r="U60" s="43">
        <f>SUM(U8:U59)</f>
        <v>8016</v>
      </c>
      <c r="V60" s="102">
        <f>SUM(V8:V59)</f>
        <v>1210</v>
      </c>
      <c r="W60" s="187">
        <f>SUM(W8:W59)</f>
        <v>298516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D5CD-D2A1-4E04-8CE8-12FE35E1187D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I44" sqref="I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05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89</v>
      </c>
      <c r="D10" s="111"/>
      <c r="E10" s="112"/>
      <c r="F10" s="112"/>
      <c r="G10" s="76">
        <v>1</v>
      </c>
      <c r="H10" s="73"/>
      <c r="I10" s="73">
        <f t="shared" si="4"/>
        <v>88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2850</v>
      </c>
      <c r="D13" s="114"/>
      <c r="E13" s="115"/>
      <c r="F13" s="115"/>
      <c r="G13" s="78">
        <v>32</v>
      </c>
      <c r="H13" s="79">
        <v>12</v>
      </c>
      <c r="I13" s="80">
        <f t="shared" si="4"/>
        <v>2818</v>
      </c>
      <c r="J13" s="94">
        <f>D13-H13</f>
        <v>-12</v>
      </c>
      <c r="K13" s="53"/>
      <c r="L13" s="121">
        <v>9</v>
      </c>
      <c r="M13" s="121"/>
      <c r="N13" s="121">
        <v>10</v>
      </c>
      <c r="O13" s="121"/>
      <c r="P13" s="121">
        <v>13</v>
      </c>
      <c r="Q13" s="122">
        <v>12</v>
      </c>
      <c r="R13" s="97">
        <f>L13+N13+P13</f>
        <v>32</v>
      </c>
      <c r="S13" s="125">
        <f>M13+O13+Q13</f>
        <v>12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67620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/>
      <c r="F29" s="112"/>
      <c r="G29" s="76">
        <v>2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2</v>
      </c>
      <c r="O29" s="112"/>
      <c r="P29" s="112"/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42</v>
      </c>
      <c r="D30" s="111">
        <v>5</v>
      </c>
      <c r="E30" s="112"/>
      <c r="F30" s="112"/>
      <c r="G30" s="76">
        <v>1</v>
      </c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>
        <v>1</v>
      </c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57</v>
      </c>
      <c r="D35" s="111">
        <v>14</v>
      </c>
      <c r="E35" s="112"/>
      <c r="F35" s="112"/>
      <c r="G35" s="76">
        <v>2</v>
      </c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2931</v>
      </c>
      <c r="D38" s="114">
        <v>1</v>
      </c>
      <c r="E38" s="115"/>
      <c r="F38" s="115"/>
      <c r="G38" s="78">
        <v>22</v>
      </c>
      <c r="H38" s="79"/>
      <c r="I38" s="139">
        <f t="shared" si="4"/>
        <v>2909</v>
      </c>
      <c r="J38" s="140">
        <f t="shared" si="4"/>
        <v>1</v>
      </c>
      <c r="K38" s="51"/>
      <c r="L38" s="121"/>
      <c r="M38" s="121"/>
      <c r="N38" s="121">
        <v>20</v>
      </c>
      <c r="O38" s="121"/>
      <c r="P38" s="121">
        <v>2</v>
      </c>
      <c r="Q38" s="122"/>
      <c r="R38" s="97">
        <f t="shared" si="7"/>
        <v>22</v>
      </c>
      <c r="S38" s="125">
        <f t="shared" si="7"/>
        <v>0</v>
      </c>
      <c r="T38" s="51"/>
      <c r="U38" s="131">
        <f>L38*6+N38*6+P38*6</f>
        <v>132</v>
      </c>
      <c r="V38" s="135">
        <f>U38/6</f>
        <v>22</v>
      </c>
      <c r="W38" s="133">
        <f>I38*6+J38</f>
        <v>17455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>
        <v>71</v>
      </c>
      <c r="H41" s="150"/>
      <c r="I41" s="151">
        <f t="shared" si="4"/>
        <v>180</v>
      </c>
      <c r="J41" s="152">
        <f t="shared" si="4"/>
        <v>20</v>
      </c>
      <c r="K41" s="153"/>
      <c r="L41" s="154">
        <v>70</v>
      </c>
      <c r="M41" s="154"/>
      <c r="N41" s="154">
        <v>1</v>
      </c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387</v>
      </c>
      <c r="D42" s="164"/>
      <c r="E42" s="165"/>
      <c r="F42" s="165"/>
      <c r="G42" s="166">
        <v>10</v>
      </c>
      <c r="H42" s="167"/>
      <c r="I42" s="166">
        <f t="shared" si="4"/>
        <v>377</v>
      </c>
      <c r="J42" s="168">
        <f t="shared" si="4"/>
        <v>0</v>
      </c>
      <c r="K42" s="169"/>
      <c r="L42" s="165"/>
      <c r="M42" s="165"/>
      <c r="N42" s="165">
        <v>10</v>
      </c>
      <c r="O42" s="165"/>
      <c r="P42" s="165"/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4524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28825</v>
      </c>
      <c r="D44" s="114">
        <v>2</v>
      </c>
      <c r="E44" s="115">
        <v>1836</v>
      </c>
      <c r="F44" s="115"/>
      <c r="G44" s="78">
        <v>1213</v>
      </c>
      <c r="H44" s="79"/>
      <c r="I44" s="73">
        <f>C44+E44-G44</f>
        <v>29448</v>
      </c>
      <c r="J44" s="177">
        <f t="shared" si="4"/>
        <v>2</v>
      </c>
      <c r="K44" s="51"/>
      <c r="L44" s="121">
        <v>431</v>
      </c>
      <c r="M44" s="121"/>
      <c r="N44" s="121">
        <v>262</v>
      </c>
      <c r="O44" s="121"/>
      <c r="P44" s="121">
        <v>520</v>
      </c>
      <c r="Q44" s="122"/>
      <c r="R44" s="178">
        <f t="shared" si="7"/>
        <v>1213</v>
      </c>
      <c r="S44" s="179">
        <f t="shared" si="7"/>
        <v>0</v>
      </c>
      <c r="T44" s="51"/>
      <c r="U44" s="131">
        <f>L44*6+N44*6+P44*6</f>
        <v>7278</v>
      </c>
      <c r="V44" s="130">
        <f>U44/6</f>
        <v>1213</v>
      </c>
      <c r="W44" s="133">
        <f>I44*6+J44</f>
        <v>176690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38572</v>
      </c>
      <c r="D60" s="54">
        <f>SUM(D8:D59)</f>
        <v>130</v>
      </c>
      <c r="E60" s="44">
        <f>SUM(E8:E59)</f>
        <v>1836</v>
      </c>
      <c r="F60" s="44"/>
      <c r="G60" s="28">
        <f>SUM(G8:G59)</f>
        <v>1355</v>
      </c>
      <c r="H60" s="56">
        <f>SUM(H8:H59)</f>
        <v>12</v>
      </c>
      <c r="I60" s="56">
        <f>SUM(I8:I59)</f>
        <v>39053</v>
      </c>
      <c r="J60" s="45">
        <f>SUM(J8:J59)</f>
        <v>118</v>
      </c>
      <c r="K60" s="46"/>
      <c r="L60" s="74">
        <f t="shared" ref="L60:S60" si="20">SUM(L8:L59)</f>
        <v>510</v>
      </c>
      <c r="M60" s="74">
        <f t="shared" si="20"/>
        <v>0</v>
      </c>
      <c r="N60" s="74">
        <f t="shared" si="20"/>
        <v>308</v>
      </c>
      <c r="O60" s="74">
        <f t="shared" si="20"/>
        <v>0</v>
      </c>
      <c r="P60" s="74">
        <f t="shared" si="20"/>
        <v>537</v>
      </c>
      <c r="Q60" s="75">
        <f t="shared" si="20"/>
        <v>12</v>
      </c>
      <c r="R60" s="85">
        <f t="shared" si="20"/>
        <v>1355</v>
      </c>
      <c r="S60" s="84">
        <f t="shared" si="20"/>
        <v>12</v>
      </c>
      <c r="T60" s="46"/>
      <c r="U60" s="43">
        <f>SUM(U8:U59)</f>
        <v>10170</v>
      </c>
      <c r="V60" s="102">
        <f>SUM(V8:V59)</f>
        <v>1355</v>
      </c>
      <c r="W60" s="187">
        <f>SUM(W8:W59)</f>
        <v>299662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0800-D9E4-40A5-9BAC-000F8F232B5A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I44" sqref="I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05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2</v>
      </c>
      <c r="H10" s="73"/>
      <c r="I10" s="73">
        <f t="shared" si="4"/>
        <v>86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2817</v>
      </c>
      <c r="D13" s="114">
        <v>12</v>
      </c>
      <c r="E13" s="115"/>
      <c r="F13" s="115"/>
      <c r="G13" s="78">
        <v>21</v>
      </c>
      <c r="H13" s="79">
        <v>12</v>
      </c>
      <c r="I13" s="80">
        <f t="shared" si="4"/>
        <v>2796</v>
      </c>
      <c r="J13" s="94">
        <f>D13-H13</f>
        <v>0</v>
      </c>
      <c r="K13" s="53"/>
      <c r="L13" s="121"/>
      <c r="M13" s="121"/>
      <c r="N13" s="121">
        <v>8</v>
      </c>
      <c r="O13" s="121">
        <v>12</v>
      </c>
      <c r="P13" s="121">
        <v>13</v>
      </c>
      <c r="Q13" s="122"/>
      <c r="R13" s="97">
        <f>L13+N13+P13</f>
        <v>21</v>
      </c>
      <c r="S13" s="125">
        <f>M13+O13+Q13</f>
        <v>12</v>
      </c>
      <c r="T13" s="53"/>
      <c r="U13" s="131">
        <f>L13*24+N13*24+P13*24</f>
        <v>504</v>
      </c>
      <c r="V13" s="135">
        <f t="shared" si="6"/>
        <v>21</v>
      </c>
      <c r="W13" s="133">
        <f>I13*24+J13</f>
        <v>67104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/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2909</v>
      </c>
      <c r="D38" s="114">
        <v>1</v>
      </c>
      <c r="E38" s="115"/>
      <c r="F38" s="115"/>
      <c r="G38" s="78">
        <v>45</v>
      </c>
      <c r="H38" s="79"/>
      <c r="I38" s="139">
        <f t="shared" si="4"/>
        <v>2864</v>
      </c>
      <c r="J38" s="140">
        <f t="shared" si="4"/>
        <v>1</v>
      </c>
      <c r="K38" s="51"/>
      <c r="L38" s="121"/>
      <c r="M38" s="121"/>
      <c r="N38" s="121">
        <v>10</v>
      </c>
      <c r="O38" s="121"/>
      <c r="P38" s="121">
        <v>35</v>
      </c>
      <c r="Q38" s="122"/>
      <c r="R38" s="97">
        <f t="shared" si="7"/>
        <v>45</v>
      </c>
      <c r="S38" s="125">
        <f t="shared" si="7"/>
        <v>0</v>
      </c>
      <c r="T38" s="51"/>
      <c r="U38" s="131">
        <f>L38*6+N38*6+P38*6</f>
        <v>270</v>
      </c>
      <c r="V38" s="135">
        <f>U38/6</f>
        <v>45</v>
      </c>
      <c r="W38" s="133">
        <f>I38*6+J38</f>
        <v>17185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/>
      <c r="H41" s="150"/>
      <c r="I41" s="151">
        <f t="shared" si="4"/>
        <v>180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377</v>
      </c>
      <c r="D42" s="164"/>
      <c r="E42" s="165"/>
      <c r="F42" s="165"/>
      <c r="G42" s="166">
        <v>15</v>
      </c>
      <c r="H42" s="167"/>
      <c r="I42" s="166">
        <f t="shared" si="4"/>
        <v>362</v>
      </c>
      <c r="J42" s="168">
        <f t="shared" si="4"/>
        <v>0</v>
      </c>
      <c r="K42" s="169"/>
      <c r="L42" s="165"/>
      <c r="M42" s="165"/>
      <c r="N42" s="165">
        <v>5</v>
      </c>
      <c r="O42" s="165"/>
      <c r="P42" s="165">
        <v>10</v>
      </c>
      <c r="Q42" s="170"/>
      <c r="R42" s="171">
        <f t="shared" si="7"/>
        <v>15</v>
      </c>
      <c r="S42" s="172">
        <f t="shared" si="7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29448</v>
      </c>
      <c r="D44" s="114">
        <v>2</v>
      </c>
      <c r="E44" s="115">
        <v>1836</v>
      </c>
      <c r="F44" s="115"/>
      <c r="G44" s="78">
        <v>691</v>
      </c>
      <c r="H44" s="79"/>
      <c r="I44" s="73">
        <f>C44+E44-G44</f>
        <v>30593</v>
      </c>
      <c r="J44" s="177">
        <f t="shared" si="4"/>
        <v>2</v>
      </c>
      <c r="K44" s="51"/>
      <c r="L44" s="121"/>
      <c r="M44" s="121"/>
      <c r="N44" s="121">
        <v>312</v>
      </c>
      <c r="O44" s="121"/>
      <c r="P44" s="121">
        <v>379</v>
      </c>
      <c r="Q44" s="122"/>
      <c r="R44" s="178">
        <f t="shared" si="7"/>
        <v>691</v>
      </c>
      <c r="S44" s="179">
        <f t="shared" si="7"/>
        <v>0</v>
      </c>
      <c r="T44" s="51"/>
      <c r="U44" s="131">
        <f>L44*6+N44*6+P44*6</f>
        <v>4146</v>
      </c>
      <c r="V44" s="130">
        <f>U44/6</f>
        <v>691</v>
      </c>
      <c r="W44" s="133">
        <f>I44*6+J44</f>
        <v>183560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39052</v>
      </c>
      <c r="D60" s="54">
        <f>SUM(D8:D59)</f>
        <v>142</v>
      </c>
      <c r="E60" s="44">
        <f>SUM(E8:E59)</f>
        <v>1836</v>
      </c>
      <c r="F60" s="44"/>
      <c r="G60" s="28">
        <f>SUM(G8:G59)</f>
        <v>774</v>
      </c>
      <c r="H60" s="56">
        <f>SUM(H8:H59)</f>
        <v>12</v>
      </c>
      <c r="I60" s="56">
        <f>SUM(I8:I59)</f>
        <v>40114</v>
      </c>
      <c r="J60" s="45">
        <f>SUM(J8:J59)</f>
        <v>130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335</v>
      </c>
      <c r="O60" s="74">
        <f t="shared" si="20"/>
        <v>12</v>
      </c>
      <c r="P60" s="74">
        <f t="shared" si="20"/>
        <v>439</v>
      </c>
      <c r="Q60" s="75">
        <f t="shared" si="20"/>
        <v>0</v>
      </c>
      <c r="R60" s="85">
        <f t="shared" si="20"/>
        <v>774</v>
      </c>
      <c r="S60" s="84">
        <f t="shared" si="20"/>
        <v>12</v>
      </c>
      <c r="T60" s="46"/>
      <c r="U60" s="43">
        <f>SUM(U8:U59)</f>
        <v>5148</v>
      </c>
      <c r="V60" s="102">
        <f>SUM(V8:V59)</f>
        <v>774</v>
      </c>
      <c r="W60" s="187">
        <f>SUM(W8:W59)</f>
        <v>305518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B7340-1E0E-46B2-A428-8DD1E98E472C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I44" sqref="I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08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86</v>
      </c>
      <c r="D10" s="111"/>
      <c r="E10" s="112"/>
      <c r="F10" s="112"/>
      <c r="G10" s="76">
        <v>2</v>
      </c>
      <c r="H10" s="73"/>
      <c r="I10" s="73">
        <f t="shared" si="4"/>
        <v>84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2796</v>
      </c>
      <c r="D13" s="114"/>
      <c r="E13" s="115"/>
      <c r="F13" s="115"/>
      <c r="G13" s="78">
        <v>26</v>
      </c>
      <c r="H13" s="79">
        <v>36</v>
      </c>
      <c r="I13" s="80">
        <f t="shared" si="4"/>
        <v>2770</v>
      </c>
      <c r="J13" s="94">
        <f>D13-H13</f>
        <v>-36</v>
      </c>
      <c r="K13" s="53"/>
      <c r="L13" s="121">
        <v>9</v>
      </c>
      <c r="M13" s="121">
        <v>12</v>
      </c>
      <c r="N13" s="121">
        <v>10</v>
      </c>
      <c r="O13" s="121">
        <v>12</v>
      </c>
      <c r="P13" s="121">
        <v>7</v>
      </c>
      <c r="Q13" s="122">
        <v>12</v>
      </c>
      <c r="R13" s="97">
        <f>L13+N13+P13</f>
        <v>26</v>
      </c>
      <c r="S13" s="125">
        <f>M13+O13+Q13</f>
        <v>36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66444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>
        <v>5</v>
      </c>
      <c r="H26" s="73"/>
      <c r="I26" s="73">
        <f t="shared" si="4"/>
        <v>95</v>
      </c>
      <c r="J26" s="77">
        <f t="shared" si="4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2281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1</v>
      </c>
      <c r="H27" s="73"/>
      <c r="I27" s="73">
        <f t="shared" si="4"/>
        <v>2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1</v>
      </c>
      <c r="H31" s="73"/>
      <c r="I31" s="73">
        <f t="shared" si="4"/>
        <v>9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>
        <v>12</v>
      </c>
      <c r="H35" s="73"/>
      <c r="I35" s="73">
        <f t="shared" si="4"/>
        <v>43</v>
      </c>
      <c r="J35" s="77">
        <f t="shared" si="4"/>
        <v>14</v>
      </c>
      <c r="K35" s="41"/>
      <c r="L35" s="112">
        <v>11</v>
      </c>
      <c r="M35" s="112"/>
      <c r="N35" s="112"/>
      <c r="O35" s="112"/>
      <c r="P35" s="112">
        <v>1</v>
      </c>
      <c r="Q35" s="120"/>
      <c r="R35" s="86">
        <f t="shared" si="7"/>
        <v>12</v>
      </c>
      <c r="S35" s="124">
        <f t="shared" si="7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8"/>
        <v>1046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2864</v>
      </c>
      <c r="D38" s="114">
        <v>1</v>
      </c>
      <c r="E38" s="115"/>
      <c r="F38" s="115"/>
      <c r="G38" s="78">
        <v>86</v>
      </c>
      <c r="H38" s="79"/>
      <c r="I38" s="139">
        <f t="shared" si="4"/>
        <v>2778</v>
      </c>
      <c r="J38" s="140">
        <f t="shared" si="4"/>
        <v>1</v>
      </c>
      <c r="K38" s="51"/>
      <c r="L38" s="121">
        <v>5</v>
      </c>
      <c r="M38" s="121"/>
      <c r="N38" s="121">
        <v>10</v>
      </c>
      <c r="O38" s="121"/>
      <c r="P38" s="121">
        <v>71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16669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>
        <v>6</v>
      </c>
      <c r="H41" s="150"/>
      <c r="I41" s="151">
        <f t="shared" si="4"/>
        <v>174</v>
      </c>
      <c r="J41" s="152">
        <f t="shared" si="4"/>
        <v>20</v>
      </c>
      <c r="K41" s="153"/>
      <c r="L41" s="154">
        <v>5</v>
      </c>
      <c r="M41" s="154"/>
      <c r="N41" s="154">
        <v>1</v>
      </c>
      <c r="O41" s="154"/>
      <c r="P41" s="154"/>
      <c r="Q41" s="155"/>
      <c r="R41" s="156">
        <f t="shared" si="7"/>
        <v>6</v>
      </c>
      <c r="S41" s="157">
        <f t="shared" si="7"/>
        <v>0</v>
      </c>
      <c r="T41" s="153"/>
      <c r="U41" s="158">
        <f t="shared" si="9"/>
        <v>144</v>
      </c>
      <c r="V41" s="159">
        <f t="shared" si="6"/>
        <v>6</v>
      </c>
      <c r="W41" s="159">
        <f t="shared" si="10"/>
        <v>4196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362</v>
      </c>
      <c r="D42" s="164"/>
      <c r="E42" s="165"/>
      <c r="F42" s="165"/>
      <c r="G42" s="166">
        <v>70</v>
      </c>
      <c r="H42" s="167"/>
      <c r="I42" s="166">
        <f t="shared" si="4"/>
        <v>292</v>
      </c>
      <c r="J42" s="168">
        <f t="shared" si="4"/>
        <v>0</v>
      </c>
      <c r="K42" s="169"/>
      <c r="L42" s="165">
        <v>56</v>
      </c>
      <c r="M42" s="165"/>
      <c r="N42" s="165">
        <v>1</v>
      </c>
      <c r="O42" s="165"/>
      <c r="P42" s="165">
        <v>13</v>
      </c>
      <c r="Q42" s="170"/>
      <c r="R42" s="171">
        <f t="shared" si="7"/>
        <v>70</v>
      </c>
      <c r="S42" s="172">
        <f t="shared" si="7"/>
        <v>0</v>
      </c>
      <c r="T42" s="169"/>
      <c r="U42" s="173">
        <f>L42*12+N42*12+P42*12</f>
        <v>840</v>
      </c>
      <c r="V42" s="174">
        <f>U42/12</f>
        <v>70</v>
      </c>
      <c r="W42" s="175">
        <f>I42*12+J42</f>
        <v>3504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30593</v>
      </c>
      <c r="D44" s="114">
        <v>2</v>
      </c>
      <c r="E44" s="115"/>
      <c r="F44" s="115"/>
      <c r="G44" s="78">
        <v>926</v>
      </c>
      <c r="H44" s="79"/>
      <c r="I44" s="73">
        <f>C44+E44-G44</f>
        <v>29667</v>
      </c>
      <c r="J44" s="177">
        <f t="shared" si="4"/>
        <v>2</v>
      </c>
      <c r="K44" s="51"/>
      <c r="L44" s="121">
        <v>298</v>
      </c>
      <c r="M44" s="121"/>
      <c r="N44" s="121">
        <v>328</v>
      </c>
      <c r="O44" s="121"/>
      <c r="P44" s="121">
        <v>300</v>
      </c>
      <c r="Q44" s="122"/>
      <c r="R44" s="178">
        <f t="shared" si="7"/>
        <v>926</v>
      </c>
      <c r="S44" s="179">
        <f t="shared" si="7"/>
        <v>0</v>
      </c>
      <c r="T44" s="51"/>
      <c r="U44" s="131">
        <f>L44*6+N44*6+P44*6</f>
        <v>5556</v>
      </c>
      <c r="V44" s="130">
        <f>U44/6</f>
        <v>926</v>
      </c>
      <c r="W44" s="133">
        <f>I44*6+J44</f>
        <v>178004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40114</v>
      </c>
      <c r="D60" s="54">
        <f>SUM(D8:D59)</f>
        <v>130</v>
      </c>
      <c r="E60" s="44">
        <f>SUM(E8:E59)</f>
        <v>0</v>
      </c>
      <c r="F60" s="44"/>
      <c r="G60" s="28">
        <f>SUM(G8:G59)</f>
        <v>1136</v>
      </c>
      <c r="H60" s="56">
        <f>SUM(H8:H59)</f>
        <v>36</v>
      </c>
      <c r="I60" s="56">
        <f>SUM(I8:I59)</f>
        <v>38978</v>
      </c>
      <c r="J60" s="45">
        <f>SUM(J8:J59)</f>
        <v>94</v>
      </c>
      <c r="K60" s="46"/>
      <c r="L60" s="74">
        <f t="shared" ref="L60:S60" si="20">SUM(L8:L59)</f>
        <v>392</v>
      </c>
      <c r="M60" s="74">
        <f t="shared" si="20"/>
        <v>12</v>
      </c>
      <c r="N60" s="74">
        <f t="shared" si="20"/>
        <v>351</v>
      </c>
      <c r="O60" s="74">
        <f t="shared" si="20"/>
        <v>12</v>
      </c>
      <c r="P60" s="74">
        <f t="shared" si="20"/>
        <v>393</v>
      </c>
      <c r="Q60" s="75">
        <f t="shared" si="20"/>
        <v>12</v>
      </c>
      <c r="R60" s="85">
        <f t="shared" si="20"/>
        <v>1136</v>
      </c>
      <c r="S60" s="84">
        <f t="shared" si="20"/>
        <v>36</v>
      </c>
      <c r="T60" s="46"/>
      <c r="U60" s="43">
        <f>SUM(U8:U59)</f>
        <v>8208</v>
      </c>
      <c r="V60" s="102">
        <f>SUM(V8:V59)</f>
        <v>1136</v>
      </c>
      <c r="W60" s="187">
        <f>SUM(W8:W59)</f>
        <v>297274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6" t="s">
        <v>3</v>
      </c>
      <c r="D69" s="20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9E8B-1E55-43B9-8348-1C697F8479F2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I44" sqref="I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11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>
        <v>1</v>
      </c>
      <c r="H8" s="73"/>
      <c r="I8" s="73">
        <f>C8-G8</f>
        <v>17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>
        <v>1</v>
      </c>
      <c r="H9" s="79"/>
      <c r="I9" s="78">
        <f t="shared" ref="I9:J59" si="4">C9-G9</f>
        <v>93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/>
      <c r="H10" s="73"/>
      <c r="I10" s="73">
        <f t="shared" si="4"/>
        <v>84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2768</v>
      </c>
      <c r="D13" s="114">
        <v>12</v>
      </c>
      <c r="E13" s="115"/>
      <c r="F13" s="115"/>
      <c r="G13" s="78">
        <v>34</v>
      </c>
      <c r="H13" s="79"/>
      <c r="I13" s="80">
        <f t="shared" si="4"/>
        <v>2734</v>
      </c>
      <c r="J13" s="94">
        <f>D13-H13</f>
        <v>12</v>
      </c>
      <c r="K13" s="53"/>
      <c r="L13" s="121">
        <v>6</v>
      </c>
      <c r="M13" s="121"/>
      <c r="N13" s="121">
        <v>8</v>
      </c>
      <c r="O13" s="121"/>
      <c r="P13" s="121">
        <v>20</v>
      </c>
      <c r="Q13" s="122"/>
      <c r="R13" s="97">
        <f>L13+N13+P13</f>
        <v>34</v>
      </c>
      <c r="S13" s="125">
        <f>M13+O13+Q13</f>
        <v>0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65628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95</v>
      </c>
      <c r="D26" s="111">
        <v>1</v>
      </c>
      <c r="E26" s="112"/>
      <c r="F26" s="112"/>
      <c r="G26" s="76">
        <v>24</v>
      </c>
      <c r="H26" s="73"/>
      <c r="I26" s="73">
        <f t="shared" si="4"/>
        <v>71</v>
      </c>
      <c r="J26" s="77">
        <f t="shared" si="4"/>
        <v>1</v>
      </c>
      <c r="K26" s="41"/>
      <c r="L26" s="112">
        <v>12</v>
      </c>
      <c r="M26" s="112"/>
      <c r="N26" s="112"/>
      <c r="O26" s="112"/>
      <c r="P26" s="112">
        <v>12</v>
      </c>
      <c r="Q26" s="120"/>
      <c r="R26" s="86">
        <f t="shared" si="7"/>
        <v>24</v>
      </c>
      <c r="S26" s="124">
        <f t="shared" si="7"/>
        <v>0</v>
      </c>
      <c r="T26" s="41"/>
      <c r="U26" s="107">
        <f t="shared" si="5"/>
        <v>576</v>
      </c>
      <c r="V26" s="130">
        <f t="shared" si="6"/>
        <v>24</v>
      </c>
      <c r="W26" s="129">
        <f t="shared" si="8"/>
        <v>1705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>
        <v>5</v>
      </c>
      <c r="H30" s="73"/>
      <c r="I30" s="73">
        <f t="shared" si="4"/>
        <v>36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4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869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9</v>
      </c>
      <c r="D31" s="111"/>
      <c r="E31" s="112"/>
      <c r="F31" s="112"/>
      <c r="G31" s="76">
        <v>1</v>
      </c>
      <c r="H31" s="73"/>
      <c r="I31" s="73">
        <f t="shared" si="4"/>
        <v>8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/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43</v>
      </c>
      <c r="D35" s="111">
        <v>14</v>
      </c>
      <c r="E35" s="112"/>
      <c r="F35" s="112"/>
      <c r="G35" s="76">
        <v>7</v>
      </c>
      <c r="H35" s="73"/>
      <c r="I35" s="73">
        <f t="shared" si="4"/>
        <v>36</v>
      </c>
      <c r="J35" s="77">
        <f t="shared" si="4"/>
        <v>14</v>
      </c>
      <c r="K35" s="41"/>
      <c r="L35" s="112">
        <v>2</v>
      </c>
      <c r="M35" s="112"/>
      <c r="N35" s="112"/>
      <c r="O35" s="112"/>
      <c r="P35" s="112">
        <v>5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878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f>2778</f>
        <v>2778</v>
      </c>
      <c r="D38" s="114">
        <v>1</v>
      </c>
      <c r="E38" s="115"/>
      <c r="F38" s="115"/>
      <c r="G38" s="78">
        <v>134</v>
      </c>
      <c r="H38" s="79"/>
      <c r="I38" s="139">
        <f t="shared" si="4"/>
        <v>2644</v>
      </c>
      <c r="J38" s="140">
        <f t="shared" si="4"/>
        <v>1</v>
      </c>
      <c r="K38" s="51"/>
      <c r="L38" s="121">
        <v>6</v>
      </c>
      <c r="M38" s="121"/>
      <c r="N38" s="121">
        <v>20</v>
      </c>
      <c r="O38" s="121"/>
      <c r="P38" s="121">
        <v>108</v>
      </c>
      <c r="Q38" s="122"/>
      <c r="R38" s="97">
        <f t="shared" si="7"/>
        <v>134</v>
      </c>
      <c r="S38" s="125">
        <f t="shared" si="7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15865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174</v>
      </c>
      <c r="D41" s="147">
        <v>20</v>
      </c>
      <c r="E41" s="148"/>
      <c r="F41" s="148"/>
      <c r="G41" s="149">
        <v>10</v>
      </c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292</v>
      </c>
      <c r="D42" s="164"/>
      <c r="E42" s="165"/>
      <c r="F42" s="165"/>
      <c r="G42" s="166">
        <v>60</v>
      </c>
      <c r="H42" s="167"/>
      <c r="I42" s="166">
        <f t="shared" si="4"/>
        <v>232</v>
      </c>
      <c r="J42" s="168">
        <f t="shared" si="4"/>
        <v>0</v>
      </c>
      <c r="K42" s="169"/>
      <c r="L42" s="165">
        <v>5</v>
      </c>
      <c r="M42" s="165"/>
      <c r="N42" s="165">
        <v>4</v>
      </c>
      <c r="O42" s="165"/>
      <c r="P42" s="165">
        <v>51</v>
      </c>
      <c r="Q42" s="170"/>
      <c r="R42" s="171">
        <f t="shared" si="7"/>
        <v>60</v>
      </c>
      <c r="S42" s="172">
        <f t="shared" si="7"/>
        <v>0</v>
      </c>
      <c r="T42" s="169"/>
      <c r="U42" s="173">
        <f>L42*12+N42*12+P42*12</f>
        <v>720</v>
      </c>
      <c r="V42" s="174">
        <f>U42/12</f>
        <v>60</v>
      </c>
      <c r="W42" s="175">
        <f>I42*12+J42</f>
        <v>2784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29667</v>
      </c>
      <c r="D44" s="114">
        <v>2</v>
      </c>
      <c r="E44" s="115">
        <v>1512</v>
      </c>
      <c r="F44" s="115"/>
      <c r="G44" s="78">
        <v>1272</v>
      </c>
      <c r="H44" s="79"/>
      <c r="I44" s="73">
        <f>C44+E44-G44</f>
        <v>29907</v>
      </c>
      <c r="J44" s="177">
        <f t="shared" si="4"/>
        <v>2</v>
      </c>
      <c r="K44" s="51"/>
      <c r="L44" s="121">
        <v>459</v>
      </c>
      <c r="M44" s="121"/>
      <c r="N44" s="121">
        <v>277</v>
      </c>
      <c r="O44" s="121"/>
      <c r="P44" s="121">
        <v>536</v>
      </c>
      <c r="Q44" s="122"/>
      <c r="R44" s="178">
        <f t="shared" si="7"/>
        <v>1272</v>
      </c>
      <c r="S44" s="179">
        <f t="shared" si="7"/>
        <v>0</v>
      </c>
      <c r="T44" s="51"/>
      <c r="U44" s="131">
        <f>L44*6+N44*6+P44*6</f>
        <v>7632</v>
      </c>
      <c r="V44" s="130">
        <f>U44/6</f>
        <v>1272</v>
      </c>
      <c r="W44" s="133">
        <f>I44*6+J44</f>
        <v>179444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>
        <v>5</v>
      </c>
      <c r="H48" s="139"/>
      <c r="I48" s="139">
        <f t="shared" si="4"/>
        <v>2782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>
        <v>3</v>
      </c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39173</v>
      </c>
      <c r="D60" s="54">
        <f>SUM(D8:D59)</f>
        <v>142</v>
      </c>
      <c r="E60" s="44">
        <f>SUM(E8:E59)</f>
        <v>1512</v>
      </c>
      <c r="F60" s="44"/>
      <c r="G60" s="28">
        <f>SUM(G8:G59)</f>
        <v>1554</v>
      </c>
      <c r="H60" s="56">
        <f>SUM(H8:H59)</f>
        <v>0</v>
      </c>
      <c r="I60" s="56">
        <f>SUM(I8:I59)</f>
        <v>39131</v>
      </c>
      <c r="J60" s="45">
        <f>SUM(J8:J59)</f>
        <v>142</v>
      </c>
      <c r="K60" s="46"/>
      <c r="L60" s="74">
        <f t="shared" ref="L60:S60" si="20">SUM(L8:L59)</f>
        <v>495</v>
      </c>
      <c r="M60" s="74">
        <f t="shared" si="20"/>
        <v>0</v>
      </c>
      <c r="N60" s="74">
        <f t="shared" si="20"/>
        <v>309</v>
      </c>
      <c r="O60" s="74">
        <f t="shared" si="20"/>
        <v>0</v>
      </c>
      <c r="P60" s="74">
        <f t="shared" si="20"/>
        <v>750</v>
      </c>
      <c r="Q60" s="75">
        <f t="shared" si="20"/>
        <v>0</v>
      </c>
      <c r="R60" s="85">
        <f t="shared" si="20"/>
        <v>1554</v>
      </c>
      <c r="S60" s="84">
        <f t="shared" si="20"/>
        <v>0</v>
      </c>
      <c r="T60" s="46"/>
      <c r="U60" s="43">
        <f>SUM(U8:U59)</f>
        <v>11178</v>
      </c>
      <c r="V60" s="102">
        <f>SUM(V8:V59)</f>
        <v>1554</v>
      </c>
      <c r="W60" s="187">
        <f>SUM(W8:W59)</f>
        <v>299896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9" t="s">
        <v>3</v>
      </c>
      <c r="D69" s="21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7E18-409A-43A4-B588-AB5C63C0050E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AF58" sqref="AF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14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/>
      <c r="H8" s="73"/>
      <c r="I8" s="73">
        <f>C8-G8</f>
        <v>17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/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>
        <v>6</v>
      </c>
      <c r="H10" s="73"/>
      <c r="I10" s="73">
        <f t="shared" si="4"/>
        <v>78</v>
      </c>
      <c r="J10" s="95">
        <f t="shared" si="0"/>
        <v>0</v>
      </c>
      <c r="K10" s="41"/>
      <c r="L10" s="112">
        <v>5</v>
      </c>
      <c r="M10" s="112"/>
      <c r="N10" s="112">
        <v>1</v>
      </c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1872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2734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2705</v>
      </c>
      <c r="J13" s="94">
        <f>D13-H13</f>
        <v>0</v>
      </c>
      <c r="K13" s="53"/>
      <c r="L13" s="121">
        <v>2</v>
      </c>
      <c r="M13" s="121"/>
      <c r="N13" s="121">
        <v>11</v>
      </c>
      <c r="O13" s="121"/>
      <c r="P13" s="121">
        <v>16</v>
      </c>
      <c r="Q13" s="122">
        <v>12</v>
      </c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64920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71</v>
      </c>
      <c r="D26" s="111">
        <v>1</v>
      </c>
      <c r="E26" s="112"/>
      <c r="F26" s="112"/>
      <c r="G26" s="76">
        <v>1</v>
      </c>
      <c r="H26" s="73"/>
      <c r="I26" s="73">
        <f t="shared" si="4"/>
        <v>70</v>
      </c>
      <c r="J26" s="77">
        <f t="shared" si="4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1681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36</v>
      </c>
      <c r="D30" s="111">
        <v>5</v>
      </c>
      <c r="E30" s="112"/>
      <c r="F30" s="112"/>
      <c r="G30" s="76">
        <v>3</v>
      </c>
      <c r="H30" s="73"/>
      <c r="I30" s="73">
        <f t="shared" si="4"/>
        <v>33</v>
      </c>
      <c r="J30" s="77">
        <f t="shared" si="4"/>
        <v>5</v>
      </c>
      <c r="K30" s="41"/>
      <c r="L30" s="112">
        <v>1</v>
      </c>
      <c r="M30" s="112"/>
      <c r="N30" s="112">
        <v>1</v>
      </c>
      <c r="O30" s="112"/>
      <c r="P30" s="112">
        <v>1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797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2</v>
      </c>
      <c r="H31" s="73"/>
      <c r="I31" s="73">
        <f t="shared" si="4"/>
        <v>6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144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>
        <v>1</v>
      </c>
      <c r="H33" s="73"/>
      <c r="I33" s="73">
        <f t="shared" si="4"/>
        <v>0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36</v>
      </c>
      <c r="D35" s="111">
        <v>14</v>
      </c>
      <c r="E35" s="112"/>
      <c r="F35" s="112"/>
      <c r="G35" s="76">
        <v>1</v>
      </c>
      <c r="H35" s="73"/>
      <c r="I35" s="73">
        <f t="shared" si="4"/>
        <v>35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2644</v>
      </c>
      <c r="D38" s="114">
        <v>1</v>
      </c>
      <c r="E38" s="115"/>
      <c r="F38" s="115"/>
      <c r="G38" s="78">
        <v>68</v>
      </c>
      <c r="H38" s="79"/>
      <c r="I38" s="139">
        <f t="shared" si="4"/>
        <v>2576</v>
      </c>
      <c r="J38" s="140">
        <f t="shared" si="4"/>
        <v>1</v>
      </c>
      <c r="K38" s="51"/>
      <c r="L38" s="121">
        <v>43</v>
      </c>
      <c r="M38" s="121"/>
      <c r="N38" s="121">
        <v>5</v>
      </c>
      <c r="O38" s="121"/>
      <c r="P38" s="121">
        <v>20</v>
      </c>
      <c r="Q38" s="122"/>
      <c r="R38" s="97">
        <f t="shared" si="7"/>
        <v>68</v>
      </c>
      <c r="S38" s="125">
        <f t="shared" si="7"/>
        <v>0</v>
      </c>
      <c r="T38" s="51"/>
      <c r="U38" s="131">
        <f>L38*6+N38*6+P38*6</f>
        <v>408</v>
      </c>
      <c r="V38" s="135">
        <f>U38/6</f>
        <v>68</v>
      </c>
      <c r="W38" s="133">
        <f>I38*6+J38</f>
        <v>15457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76">
        <f t="shared" si="4"/>
        <v>1</v>
      </c>
      <c r="J39" s="77">
        <f t="shared" si="4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232</v>
      </c>
      <c r="D42" s="164"/>
      <c r="E42" s="165"/>
      <c r="F42" s="165"/>
      <c r="G42" s="166">
        <v>30</v>
      </c>
      <c r="H42" s="167"/>
      <c r="I42" s="166">
        <f t="shared" si="4"/>
        <v>202</v>
      </c>
      <c r="J42" s="168">
        <f t="shared" si="4"/>
        <v>0</v>
      </c>
      <c r="K42" s="169"/>
      <c r="L42" s="165">
        <v>5</v>
      </c>
      <c r="M42" s="165"/>
      <c r="N42" s="165">
        <v>2</v>
      </c>
      <c r="O42" s="165"/>
      <c r="P42" s="165">
        <v>23</v>
      </c>
      <c r="Q42" s="170"/>
      <c r="R42" s="171">
        <f t="shared" si="7"/>
        <v>30</v>
      </c>
      <c r="S42" s="172">
        <f t="shared" si="7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2424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29907</v>
      </c>
      <c r="D44" s="114">
        <v>1</v>
      </c>
      <c r="E44" s="115">
        <v>3672</v>
      </c>
      <c r="F44" s="115"/>
      <c r="G44" s="78">
        <v>1215</v>
      </c>
      <c r="H44" s="79"/>
      <c r="I44" s="73">
        <f>C44+E44-G44</f>
        <v>32364</v>
      </c>
      <c r="J44" s="177">
        <f t="shared" si="4"/>
        <v>1</v>
      </c>
      <c r="K44" s="51"/>
      <c r="L44" s="121">
        <v>315</v>
      </c>
      <c r="M44" s="121"/>
      <c r="N44" s="121">
        <v>327</v>
      </c>
      <c r="O44" s="121"/>
      <c r="P44" s="121">
        <v>513</v>
      </c>
      <c r="Q44" s="122"/>
      <c r="R44" s="178">
        <f t="shared" si="7"/>
        <v>1155</v>
      </c>
      <c r="S44" s="179">
        <f t="shared" si="7"/>
        <v>0</v>
      </c>
      <c r="T44" s="51"/>
      <c r="U44" s="131">
        <f>L44*6+N44*6+P44*6</f>
        <v>6930</v>
      </c>
      <c r="V44" s="130">
        <f>U44/6</f>
        <v>1155</v>
      </c>
      <c r="W44" s="133">
        <f>I44*6+J44</f>
        <v>194185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>
        <v>1</v>
      </c>
      <c r="H46" s="73"/>
      <c r="I46" s="93">
        <f t="shared" si="4"/>
        <v>7</v>
      </c>
      <c r="J46" s="77">
        <f t="shared" si="4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168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/>
      <c r="H48" s="139"/>
      <c r="I48" s="139">
        <f t="shared" si="4"/>
        <v>2782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39131</v>
      </c>
      <c r="D60" s="54">
        <f>SUM(D8:D59)</f>
        <v>141</v>
      </c>
      <c r="E60" s="44">
        <f>SUM(E8:E59)</f>
        <v>3672</v>
      </c>
      <c r="F60" s="44"/>
      <c r="G60" s="28">
        <f>SUM(G8:G59)</f>
        <v>1359</v>
      </c>
      <c r="H60" s="56">
        <f>SUM(H8:H59)</f>
        <v>12</v>
      </c>
      <c r="I60" s="56">
        <f>SUM(I8:I59)</f>
        <v>41444</v>
      </c>
      <c r="J60" s="45">
        <f>SUM(J8:J59)</f>
        <v>129</v>
      </c>
      <c r="K60" s="46"/>
      <c r="L60" s="74">
        <f t="shared" ref="L60:S60" si="20">SUM(L8:L59)</f>
        <v>378</v>
      </c>
      <c r="M60" s="74">
        <f t="shared" si="20"/>
        <v>0</v>
      </c>
      <c r="N60" s="74">
        <f t="shared" si="20"/>
        <v>347</v>
      </c>
      <c r="O60" s="74">
        <f t="shared" si="20"/>
        <v>0</v>
      </c>
      <c r="P60" s="74">
        <f t="shared" si="20"/>
        <v>574</v>
      </c>
      <c r="Q60" s="75">
        <f t="shared" si="20"/>
        <v>12</v>
      </c>
      <c r="R60" s="85">
        <f t="shared" si="20"/>
        <v>1299</v>
      </c>
      <c r="S60" s="84">
        <f t="shared" si="20"/>
        <v>12</v>
      </c>
      <c r="T60" s="46"/>
      <c r="U60" s="43">
        <f>SUM(U8:U59)</f>
        <v>8802</v>
      </c>
      <c r="V60" s="102">
        <f>SUM(V8:V59)</f>
        <v>1299</v>
      </c>
      <c r="W60" s="187">
        <f>SUM(W8:W59)</f>
        <v>312753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2" t="s">
        <v>3</v>
      </c>
      <c r="D69" s="21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1793-3972-406A-BEEA-FEB21A53C824}">
  <sheetPr>
    <pageSetUpPr fitToPage="1"/>
  </sheetPr>
  <dimension ref="A1:BH90"/>
  <sheetViews>
    <sheetView topLeftCell="A38" zoomScale="85" zoomScaleNormal="85" zoomScaleSheetLayoutView="85" zoomScalePageLayoutView="80" workbookViewId="0">
      <selection activeCell="AC57" sqref="AC5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17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>
        <v>1</v>
      </c>
      <c r="H8" s="73"/>
      <c r="I8" s="73">
        <f>C8-G8</f>
        <v>16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393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>
        <v>3</v>
      </c>
      <c r="H9" s="79"/>
      <c r="I9" s="78">
        <f t="shared" ref="I9:J59" si="4">C9-G9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2</v>
      </c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78</v>
      </c>
      <c r="D10" s="111"/>
      <c r="E10" s="112"/>
      <c r="F10" s="112"/>
      <c r="G10" s="76">
        <v>9</v>
      </c>
      <c r="H10" s="73"/>
      <c r="I10" s="73">
        <f t="shared" si="4"/>
        <v>69</v>
      </c>
      <c r="J10" s="95">
        <f t="shared" si="0"/>
        <v>0</v>
      </c>
      <c r="K10" s="41"/>
      <c r="L10" s="112">
        <v>5</v>
      </c>
      <c r="M10" s="112"/>
      <c r="N10" s="112">
        <v>4</v>
      </c>
      <c r="O10" s="112"/>
      <c r="P10" s="112"/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1656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>
        <v>5</v>
      </c>
      <c r="H12" s="73"/>
      <c r="I12" s="73">
        <f t="shared" si="4"/>
        <v>0</v>
      </c>
      <c r="J12" s="77">
        <f t="shared" si="0"/>
        <v>2</v>
      </c>
      <c r="K12" s="41"/>
      <c r="L12" s="112">
        <v>5</v>
      </c>
      <c r="M12" s="112"/>
      <c r="N12" s="112"/>
      <c r="O12" s="112"/>
      <c r="P12" s="112"/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2705</v>
      </c>
      <c r="D13" s="114"/>
      <c r="E13" s="115"/>
      <c r="F13" s="115"/>
      <c r="G13" s="78">
        <v>27</v>
      </c>
      <c r="H13" s="79"/>
      <c r="I13" s="80">
        <f t="shared" si="4"/>
        <v>2678</v>
      </c>
      <c r="J13" s="94">
        <f>D13-H13</f>
        <v>0</v>
      </c>
      <c r="K13" s="53"/>
      <c r="L13" s="121">
        <v>1</v>
      </c>
      <c r="M13" s="121"/>
      <c r="N13" s="121">
        <v>9</v>
      </c>
      <c r="O13" s="121"/>
      <c r="P13" s="121">
        <v>17</v>
      </c>
      <c r="Q13" s="122"/>
      <c r="R13" s="97">
        <f>L13+N13+P13</f>
        <v>27</v>
      </c>
      <c r="S13" s="125">
        <f>M13+O13+Q13</f>
        <v>0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64272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70</v>
      </c>
      <c r="D26" s="111">
        <v>1</v>
      </c>
      <c r="E26" s="112"/>
      <c r="F26" s="112"/>
      <c r="G26" s="76">
        <v>8</v>
      </c>
      <c r="H26" s="73"/>
      <c r="I26" s="73">
        <f t="shared" si="4"/>
        <v>62</v>
      </c>
      <c r="J26" s="77">
        <f t="shared" si="4"/>
        <v>1</v>
      </c>
      <c r="K26" s="41"/>
      <c r="L26" s="112">
        <v>4</v>
      </c>
      <c r="M26" s="112"/>
      <c r="N26" s="112">
        <v>2</v>
      </c>
      <c r="O26" s="112"/>
      <c r="P26" s="112">
        <v>2</v>
      </c>
      <c r="Q26" s="120"/>
      <c r="R26" s="86">
        <f t="shared" si="7"/>
        <v>8</v>
      </c>
      <c r="S26" s="124">
        <f t="shared" si="7"/>
        <v>0</v>
      </c>
      <c r="T26" s="41"/>
      <c r="U26" s="107">
        <f t="shared" si="5"/>
        <v>192</v>
      </c>
      <c r="V26" s="130">
        <f t="shared" si="6"/>
        <v>8</v>
      </c>
      <c r="W26" s="129">
        <f t="shared" si="8"/>
        <v>1489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>
        <v>17</v>
      </c>
      <c r="H29" s="73"/>
      <c r="I29" s="73">
        <f t="shared" si="4"/>
        <v>175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15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4200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33</v>
      </c>
      <c r="D30" s="111">
        <v>5</v>
      </c>
      <c r="E30" s="112"/>
      <c r="F30" s="112"/>
      <c r="G30" s="76">
        <v>2</v>
      </c>
      <c r="H30" s="73"/>
      <c r="I30" s="73">
        <f t="shared" si="4"/>
        <v>31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1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749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6</v>
      </c>
      <c r="D31" s="111"/>
      <c r="E31" s="112"/>
      <c r="F31" s="112"/>
      <c r="G31" s="76">
        <v>2</v>
      </c>
      <c r="H31" s="73"/>
      <c r="I31" s="73">
        <f t="shared" si="4"/>
        <v>4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3</v>
      </c>
      <c r="H32" s="73"/>
      <c r="I32" s="73">
        <f t="shared" si="4"/>
        <v>2</v>
      </c>
      <c r="J32" s="77">
        <f t="shared" si="4"/>
        <v>0</v>
      </c>
      <c r="K32" s="41"/>
      <c r="L32" s="112">
        <v>2</v>
      </c>
      <c r="M32" s="112"/>
      <c r="N32" s="112">
        <v>1</v>
      </c>
      <c r="O32" s="112"/>
      <c r="P32" s="112"/>
      <c r="Q32" s="120"/>
      <c r="R32" s="86">
        <f t="shared" si="7"/>
        <v>3</v>
      </c>
      <c r="S32" s="124">
        <f t="shared" si="7"/>
        <v>0</v>
      </c>
      <c r="T32" s="41"/>
      <c r="U32" s="107">
        <f t="shared" si="5"/>
        <v>72</v>
      </c>
      <c r="V32" s="130">
        <f t="shared" si="6"/>
        <v>3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35</v>
      </c>
      <c r="D35" s="111">
        <v>14</v>
      </c>
      <c r="E35" s="112"/>
      <c r="F35" s="112"/>
      <c r="G35" s="76">
        <v>7</v>
      </c>
      <c r="H35" s="73"/>
      <c r="I35" s="73">
        <f t="shared" si="4"/>
        <v>28</v>
      </c>
      <c r="J35" s="77">
        <f t="shared" si="4"/>
        <v>14</v>
      </c>
      <c r="K35" s="41"/>
      <c r="L35" s="112">
        <v>3</v>
      </c>
      <c r="M35" s="112"/>
      <c r="N35" s="112">
        <v>2</v>
      </c>
      <c r="O35" s="112"/>
      <c r="P35" s="112">
        <v>2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686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2576</v>
      </c>
      <c r="D38" s="114">
        <v>1</v>
      </c>
      <c r="E38" s="115"/>
      <c r="F38" s="115"/>
      <c r="G38" s="78">
        <v>50</v>
      </c>
      <c r="H38" s="79"/>
      <c r="I38" s="139">
        <f t="shared" si="4"/>
        <v>2526</v>
      </c>
      <c r="J38" s="140">
        <f t="shared" si="4"/>
        <v>1</v>
      </c>
      <c r="K38" s="51"/>
      <c r="L38" s="121">
        <v>10</v>
      </c>
      <c r="M38" s="121"/>
      <c r="N38" s="121">
        <v>20</v>
      </c>
      <c r="O38" s="121"/>
      <c r="P38" s="121">
        <v>20</v>
      </c>
      <c r="Q38" s="122"/>
      <c r="R38" s="97">
        <f t="shared" si="7"/>
        <v>50</v>
      </c>
      <c r="S38" s="125">
        <f t="shared" si="7"/>
        <v>0</v>
      </c>
      <c r="T38" s="51"/>
      <c r="U38" s="131">
        <f>L38*6+N38*6+P38*6</f>
        <v>300</v>
      </c>
      <c r="V38" s="135">
        <f>U38/6</f>
        <v>50</v>
      </c>
      <c r="W38" s="133">
        <f>I38*6+J38</f>
        <v>15157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76">
        <f t="shared" si="4"/>
        <v>1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52</v>
      </c>
      <c r="H41" s="150"/>
      <c r="I41" s="151">
        <f t="shared" si="4"/>
        <v>112</v>
      </c>
      <c r="J41" s="152">
        <f t="shared" si="4"/>
        <v>20</v>
      </c>
      <c r="K41" s="153"/>
      <c r="L41" s="154">
        <v>50</v>
      </c>
      <c r="M41" s="154"/>
      <c r="N41" s="154"/>
      <c r="O41" s="154"/>
      <c r="P41" s="154">
        <v>2</v>
      </c>
      <c r="Q41" s="155"/>
      <c r="R41" s="156">
        <f t="shared" si="7"/>
        <v>52</v>
      </c>
      <c r="S41" s="157">
        <f t="shared" si="7"/>
        <v>0</v>
      </c>
      <c r="T41" s="153"/>
      <c r="U41" s="158">
        <f t="shared" si="9"/>
        <v>1248</v>
      </c>
      <c r="V41" s="159">
        <f t="shared" si="6"/>
        <v>52</v>
      </c>
      <c r="W41" s="159">
        <f t="shared" si="10"/>
        <v>2708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202</v>
      </c>
      <c r="D42" s="164"/>
      <c r="E42" s="165"/>
      <c r="F42" s="165"/>
      <c r="G42" s="166">
        <v>48</v>
      </c>
      <c r="H42" s="167"/>
      <c r="I42" s="166">
        <f t="shared" si="4"/>
        <v>154</v>
      </c>
      <c r="J42" s="168">
        <f t="shared" si="4"/>
        <v>0</v>
      </c>
      <c r="K42" s="169"/>
      <c r="L42" s="165">
        <v>25</v>
      </c>
      <c r="M42" s="165"/>
      <c r="N42" s="165">
        <v>6</v>
      </c>
      <c r="O42" s="165"/>
      <c r="P42" s="165">
        <v>17</v>
      </c>
      <c r="Q42" s="170"/>
      <c r="R42" s="171">
        <f t="shared" si="7"/>
        <v>48</v>
      </c>
      <c r="S42" s="172">
        <f t="shared" si="7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1848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1</v>
      </c>
      <c r="E44" s="115">
        <v>1836</v>
      </c>
      <c r="F44" s="115"/>
      <c r="G44" s="78">
        <v>1168</v>
      </c>
      <c r="H44" s="79"/>
      <c r="I44" s="73">
        <f>C44+E44-G44</f>
        <v>33032</v>
      </c>
      <c r="J44" s="177">
        <f t="shared" si="4"/>
        <v>1</v>
      </c>
      <c r="K44" s="51"/>
      <c r="L44" s="121">
        <v>456</v>
      </c>
      <c r="M44" s="121"/>
      <c r="N44" s="121"/>
      <c r="O44" s="121">
        <v>265</v>
      </c>
      <c r="P44" s="121">
        <v>447</v>
      </c>
      <c r="Q44" s="122"/>
      <c r="R44" s="178">
        <f t="shared" si="7"/>
        <v>903</v>
      </c>
      <c r="S44" s="179">
        <f t="shared" si="7"/>
        <v>265</v>
      </c>
      <c r="T44" s="51"/>
      <c r="U44" s="131">
        <f>L44*6+N44*6+P44*6</f>
        <v>5418</v>
      </c>
      <c r="V44" s="130">
        <f>U44/6</f>
        <v>903</v>
      </c>
      <c r="W44" s="133">
        <f>I44*6+J44</f>
        <v>198193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7</v>
      </c>
      <c r="D46" s="111"/>
      <c r="E46" s="112"/>
      <c r="F46" s="112"/>
      <c r="G46" s="76">
        <v>2</v>
      </c>
      <c r="H46" s="73"/>
      <c r="I46" s="93">
        <v>5</v>
      </c>
      <c r="J46" s="77">
        <f t="shared" si="4"/>
        <v>0</v>
      </c>
      <c r="K46" s="41"/>
      <c r="L46" s="112">
        <v>1</v>
      </c>
      <c r="M46" s="112"/>
      <c r="N46" s="112">
        <v>1</v>
      </c>
      <c r="O46" s="112"/>
      <c r="P46" s="112"/>
      <c r="Q46" s="120"/>
      <c r="R46" s="86">
        <f t="shared" si="7"/>
        <v>2</v>
      </c>
      <c r="S46" s="128">
        <f t="shared" si="7"/>
        <v>0</v>
      </c>
      <c r="T46" s="41"/>
      <c r="U46" s="107">
        <f t="shared" ref="U46:U47" si="11">L46*24+N46*24+P46*24</f>
        <v>48</v>
      </c>
      <c r="V46" s="134">
        <f t="shared" ref="V46:V47" si="12">U46/24</f>
        <v>2</v>
      </c>
      <c r="W46" s="129">
        <f t="shared" ref="W46:W47" si="13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>
        <v>3</v>
      </c>
      <c r="H48" s="139"/>
      <c r="I48" s="139">
        <f t="shared" si="4"/>
        <v>2779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16675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41444</v>
      </c>
      <c r="D60" s="54">
        <f>SUM(D8:D59)</f>
        <v>129</v>
      </c>
      <c r="E60" s="44">
        <f>SUM(E8:E59)</f>
        <v>1836</v>
      </c>
      <c r="F60" s="44"/>
      <c r="G60" s="28">
        <f>SUM(G8:G59)</f>
        <v>1407</v>
      </c>
      <c r="H60" s="56">
        <f>SUM(H8:H59)</f>
        <v>0</v>
      </c>
      <c r="I60" s="56">
        <f>SUM(I8:I59)</f>
        <v>41873</v>
      </c>
      <c r="J60" s="45">
        <f>SUM(J8:J59)</f>
        <v>129</v>
      </c>
      <c r="K60" s="46"/>
      <c r="L60" s="74">
        <f t="shared" ref="L60:S60" si="20">SUM(L8:L59)</f>
        <v>569</v>
      </c>
      <c r="M60" s="74">
        <f t="shared" si="20"/>
        <v>0</v>
      </c>
      <c r="N60" s="74">
        <f t="shared" si="20"/>
        <v>46</v>
      </c>
      <c r="O60" s="74">
        <f t="shared" si="20"/>
        <v>265</v>
      </c>
      <c r="P60" s="74">
        <f t="shared" si="20"/>
        <v>527</v>
      </c>
      <c r="Q60" s="75">
        <f t="shared" si="20"/>
        <v>0</v>
      </c>
      <c r="R60" s="85">
        <f t="shared" si="20"/>
        <v>1142</v>
      </c>
      <c r="S60" s="84">
        <f t="shared" si="20"/>
        <v>265</v>
      </c>
      <c r="T60" s="46"/>
      <c r="U60" s="43">
        <f>SUM(U8:U59)</f>
        <v>9624</v>
      </c>
      <c r="V60" s="102">
        <f>SUM(V8:V59)</f>
        <v>1142</v>
      </c>
      <c r="W60" s="187">
        <f>SUM(W8:W59)</f>
        <v>312555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5" t="s">
        <v>3</v>
      </c>
      <c r="D69" s="21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43EEB-5D57-48E9-98CE-667B02861CA9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66" sqref="AB6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20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16</v>
      </c>
      <c r="D8" s="111">
        <v>9</v>
      </c>
      <c r="E8" s="112"/>
      <c r="F8" s="112"/>
      <c r="G8" s="76">
        <v>5</v>
      </c>
      <c r="H8" s="73"/>
      <c r="I8" s="73">
        <f>C8-G8</f>
        <v>11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5</v>
      </c>
      <c r="Q8" s="120"/>
      <c r="R8" s="86">
        <f t="shared" ref="R8:S12" si="1">L8+N8+P8</f>
        <v>5</v>
      </c>
      <c r="S8" s="124">
        <f t="shared" si="1"/>
        <v>0</v>
      </c>
      <c r="T8" s="41"/>
      <c r="U8" s="107">
        <f>L8*24+N8*24+P8*24</f>
        <v>120</v>
      </c>
      <c r="V8" s="130">
        <f>U8/24</f>
        <v>5</v>
      </c>
      <c r="W8" s="129">
        <f t="shared" ref="W8:W12" si="2">I8*24+J8</f>
        <v>273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>
        <v>10</v>
      </c>
      <c r="H9" s="79"/>
      <c r="I9" s="78">
        <f t="shared" ref="I9:J59" si="4">C9-G9</f>
        <v>80</v>
      </c>
      <c r="J9" s="94">
        <f t="shared" si="0"/>
        <v>0</v>
      </c>
      <c r="K9" s="51"/>
      <c r="L9" s="121"/>
      <c r="M9" s="121"/>
      <c r="N9" s="121"/>
      <c r="O9" s="121"/>
      <c r="P9" s="121">
        <v>10</v>
      </c>
      <c r="Q9" s="122"/>
      <c r="R9" s="98">
        <f t="shared" si="1"/>
        <v>10</v>
      </c>
      <c r="S9" s="125">
        <f t="shared" si="1"/>
        <v>0</v>
      </c>
      <c r="T9" s="51"/>
      <c r="U9" s="131">
        <f>L9*24+N9*24+P9*24</f>
        <v>240</v>
      </c>
      <c r="V9" s="132">
        <f>U9/24</f>
        <v>10</v>
      </c>
      <c r="W9" s="133">
        <f t="shared" si="2"/>
        <v>1920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69</v>
      </c>
      <c r="D10" s="111"/>
      <c r="E10" s="112"/>
      <c r="F10" s="112"/>
      <c r="G10" s="76">
        <v>5</v>
      </c>
      <c r="H10" s="73"/>
      <c r="I10" s="73">
        <f t="shared" si="4"/>
        <v>64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1536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2678</v>
      </c>
      <c r="D13" s="114"/>
      <c r="E13" s="115"/>
      <c r="F13" s="115"/>
      <c r="G13" s="78">
        <v>15</v>
      </c>
      <c r="H13" s="79"/>
      <c r="I13" s="80">
        <f t="shared" si="4"/>
        <v>2663</v>
      </c>
      <c r="J13" s="94">
        <f>D13-H13</f>
        <v>0</v>
      </c>
      <c r="K13" s="53"/>
      <c r="L13" s="121"/>
      <c r="M13" s="121"/>
      <c r="N13" s="121">
        <v>15</v>
      </c>
      <c r="O13" s="121"/>
      <c r="P13" s="121"/>
      <c r="Q13" s="122"/>
      <c r="R13" s="97">
        <f>L13+N13+P13</f>
        <v>15</v>
      </c>
      <c r="S13" s="125">
        <f>M13+O13+Q13</f>
        <v>0</v>
      </c>
      <c r="T13" s="53"/>
      <c r="U13" s="131">
        <f>L13*24+N13*24+P13*24</f>
        <v>360</v>
      </c>
      <c r="V13" s="135">
        <f t="shared" si="6"/>
        <v>15</v>
      </c>
      <c r="W13" s="133">
        <f>I13*24+J13</f>
        <v>63912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62</v>
      </c>
      <c r="D26" s="111">
        <v>1</v>
      </c>
      <c r="E26" s="112"/>
      <c r="F26" s="112"/>
      <c r="G26" s="76">
        <v>10</v>
      </c>
      <c r="H26" s="73"/>
      <c r="I26" s="73">
        <f t="shared" si="4"/>
        <v>52</v>
      </c>
      <c r="J26" s="77">
        <f t="shared" si="4"/>
        <v>1</v>
      </c>
      <c r="K26" s="41"/>
      <c r="L26" s="112"/>
      <c r="M26" s="112"/>
      <c r="N26" s="112"/>
      <c r="O26" s="112"/>
      <c r="P26" s="112">
        <v>10</v>
      </c>
      <c r="Q26" s="120"/>
      <c r="R26" s="86">
        <f t="shared" si="7"/>
        <v>10</v>
      </c>
      <c r="S26" s="124">
        <f t="shared" si="7"/>
        <v>0</v>
      </c>
      <c r="T26" s="41"/>
      <c r="U26" s="107">
        <f t="shared" si="5"/>
        <v>240</v>
      </c>
      <c r="V26" s="130">
        <f t="shared" si="6"/>
        <v>10</v>
      </c>
      <c r="W26" s="129">
        <f t="shared" si="8"/>
        <v>1249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175</v>
      </c>
      <c r="D29" s="111"/>
      <c r="E29" s="112"/>
      <c r="F29" s="112"/>
      <c r="G29" s="76">
        <v>20</v>
      </c>
      <c r="H29" s="73"/>
      <c r="I29" s="73">
        <f t="shared" si="4"/>
        <v>155</v>
      </c>
      <c r="J29" s="77">
        <f t="shared" si="4"/>
        <v>0</v>
      </c>
      <c r="K29" s="42"/>
      <c r="L29" s="112"/>
      <c r="M29" s="112"/>
      <c r="N29" s="112"/>
      <c r="O29" s="112"/>
      <c r="P29" s="112">
        <v>20</v>
      </c>
      <c r="Q29" s="120"/>
      <c r="R29" s="86">
        <f t="shared" si="7"/>
        <v>20</v>
      </c>
      <c r="S29" s="124">
        <f t="shared" si="7"/>
        <v>0</v>
      </c>
      <c r="T29" s="42"/>
      <c r="U29" s="107">
        <f t="shared" si="5"/>
        <v>480</v>
      </c>
      <c r="V29" s="130">
        <f t="shared" si="6"/>
        <v>20</v>
      </c>
      <c r="W29" s="129">
        <f t="shared" si="8"/>
        <v>3720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31</v>
      </c>
      <c r="D30" s="111">
        <v>5</v>
      </c>
      <c r="E30" s="112"/>
      <c r="F30" s="112"/>
      <c r="G30" s="76">
        <v>5</v>
      </c>
      <c r="H30" s="73"/>
      <c r="I30" s="73">
        <f t="shared" si="4"/>
        <v>26</v>
      </c>
      <c r="J30" s="77">
        <f t="shared" si="4"/>
        <v>5</v>
      </c>
      <c r="K30" s="41"/>
      <c r="L30" s="112"/>
      <c r="M30" s="112"/>
      <c r="N30" s="112"/>
      <c r="O30" s="112"/>
      <c r="P30" s="112">
        <v>5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</v>
      </c>
      <c r="D35" s="111">
        <v>14</v>
      </c>
      <c r="E35" s="112"/>
      <c r="F35" s="112"/>
      <c r="G35" s="76">
        <v>10</v>
      </c>
      <c r="H35" s="73"/>
      <c r="I35" s="73">
        <f t="shared" si="4"/>
        <v>18</v>
      </c>
      <c r="J35" s="77">
        <f t="shared" si="4"/>
        <v>14</v>
      </c>
      <c r="K35" s="41"/>
      <c r="L35" s="112"/>
      <c r="M35" s="112"/>
      <c r="N35" s="112"/>
      <c r="O35" s="112"/>
      <c r="P35" s="112">
        <v>10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446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2526</v>
      </c>
      <c r="D38" s="114">
        <v>1</v>
      </c>
      <c r="E38" s="115"/>
      <c r="F38" s="115"/>
      <c r="G38" s="78">
        <v>118</v>
      </c>
      <c r="H38" s="79"/>
      <c r="I38" s="139">
        <f t="shared" si="4"/>
        <v>2408</v>
      </c>
      <c r="J38" s="140">
        <f t="shared" si="4"/>
        <v>1</v>
      </c>
      <c r="K38" s="51"/>
      <c r="L38" s="121"/>
      <c r="M38" s="121"/>
      <c r="N38" s="121">
        <v>66</v>
      </c>
      <c r="O38" s="121"/>
      <c r="P38" s="121">
        <v>52</v>
      </c>
      <c r="Q38" s="122"/>
      <c r="R38" s="97">
        <f t="shared" si="7"/>
        <v>118</v>
      </c>
      <c r="S38" s="125">
        <f t="shared" si="7"/>
        <v>0</v>
      </c>
      <c r="T38" s="51"/>
      <c r="U38" s="131">
        <f>L38*6+N38*6+P38*6</f>
        <v>708</v>
      </c>
      <c r="V38" s="135">
        <f>U38/6</f>
        <v>118</v>
      </c>
      <c r="W38" s="133">
        <f>I38*6+J38</f>
        <v>14449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112</v>
      </c>
      <c r="D41" s="147">
        <v>20</v>
      </c>
      <c r="E41" s="148"/>
      <c r="F41" s="148"/>
      <c r="G41" s="149">
        <v>10</v>
      </c>
      <c r="H41" s="150"/>
      <c r="I41" s="151">
        <f t="shared" si="4"/>
        <v>102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2468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154</v>
      </c>
      <c r="D42" s="164"/>
      <c r="E42" s="165"/>
      <c r="F42" s="165"/>
      <c r="G42" s="166">
        <v>23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3</v>
      </c>
      <c r="O42" s="165"/>
      <c r="P42" s="165">
        <v>20</v>
      </c>
      <c r="Q42" s="170"/>
      <c r="R42" s="171">
        <f t="shared" si="7"/>
        <v>23</v>
      </c>
      <c r="S42" s="172">
        <f t="shared" si="7"/>
        <v>0</v>
      </c>
      <c r="T42" s="169"/>
      <c r="U42" s="173">
        <f>L42*12+N42*12+P42*12</f>
        <v>276</v>
      </c>
      <c r="V42" s="174">
        <f>U42/12</f>
        <v>23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33030</v>
      </c>
      <c r="D44" s="114">
        <v>5</v>
      </c>
      <c r="E44" s="115">
        <v>3672</v>
      </c>
      <c r="F44" s="115"/>
      <c r="G44" s="78">
        <v>638</v>
      </c>
      <c r="H44" s="79"/>
      <c r="I44" s="73">
        <f>C44+E44-G44</f>
        <v>36064</v>
      </c>
      <c r="J44" s="177">
        <f t="shared" si="4"/>
        <v>5</v>
      </c>
      <c r="K44" s="51"/>
      <c r="L44" s="121"/>
      <c r="M44" s="121"/>
      <c r="N44" s="121">
        <v>433</v>
      </c>
      <c r="O44" s="121"/>
      <c r="P44" s="121">
        <v>205</v>
      </c>
      <c r="Q44" s="122"/>
      <c r="R44" s="178">
        <f t="shared" si="7"/>
        <v>638</v>
      </c>
      <c r="S44" s="179">
        <f t="shared" si="7"/>
        <v>0</v>
      </c>
      <c r="T44" s="51"/>
      <c r="U44" s="131">
        <f>L44*6+N44*6+P44*6</f>
        <v>3828</v>
      </c>
      <c r="V44" s="130">
        <f>U44/6</f>
        <v>638</v>
      </c>
      <c r="W44" s="133">
        <f>I44*6+J44</f>
        <v>216389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>C46+E46-G46</f>
        <v>1</v>
      </c>
      <c r="J46" s="77">
        <f t="shared" si="4"/>
        <v>0</v>
      </c>
      <c r="K46" s="41"/>
      <c r="L46" s="112"/>
      <c r="M46" s="112"/>
      <c r="N46" s="112"/>
      <c r="O46" s="112"/>
      <c r="P46" s="112">
        <v>4</v>
      </c>
      <c r="Q46" s="120"/>
      <c r="R46" s="86">
        <f t="shared" si="7"/>
        <v>4</v>
      </c>
      <c r="S46" s="128">
        <f t="shared" si="7"/>
        <v>0</v>
      </c>
      <c r="T46" s="41"/>
      <c r="U46" s="107">
        <f t="shared" ref="U46:U47" si="11">L46*24+N46*24+P46*24</f>
        <v>96</v>
      </c>
      <c r="V46" s="134">
        <f t="shared" ref="V46:V47" si="12">U46/24</f>
        <v>4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2779</v>
      </c>
      <c r="D48" s="142">
        <v>1</v>
      </c>
      <c r="E48" s="121"/>
      <c r="F48" s="121"/>
      <c r="G48" s="143">
        <v>10</v>
      </c>
      <c r="H48" s="139"/>
      <c r="I48" s="139">
        <f t="shared" si="4"/>
        <v>2769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16615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41871</v>
      </c>
      <c r="D60" s="54">
        <f>SUM(D8:D59)</f>
        <v>133</v>
      </c>
      <c r="E60" s="44">
        <f>SUM(E8:E59)</f>
        <v>3672</v>
      </c>
      <c r="F60" s="44"/>
      <c r="G60" s="28">
        <f>SUM(G8:G59)</f>
        <v>886</v>
      </c>
      <c r="H60" s="56">
        <f>SUM(H8:H59)</f>
        <v>0</v>
      </c>
      <c r="I60" s="56">
        <f>SUM(I8:I59)</f>
        <v>44657</v>
      </c>
      <c r="J60" s="45">
        <f>SUM(J8:J59)</f>
        <v>133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517</v>
      </c>
      <c r="O60" s="74">
        <f t="shared" si="20"/>
        <v>0</v>
      </c>
      <c r="P60" s="74">
        <f t="shared" si="20"/>
        <v>369</v>
      </c>
      <c r="Q60" s="75">
        <f t="shared" si="20"/>
        <v>0</v>
      </c>
      <c r="R60" s="85">
        <f t="shared" si="20"/>
        <v>886</v>
      </c>
      <c r="S60" s="84">
        <f t="shared" si="20"/>
        <v>0</v>
      </c>
      <c r="T60" s="46"/>
      <c r="U60" s="43">
        <f>SUM(U8:U59)</f>
        <v>7200</v>
      </c>
      <c r="V60" s="102">
        <f>SUM(V8:V59)</f>
        <v>886</v>
      </c>
      <c r="W60" s="187">
        <f>SUM(W8:W59)</f>
        <v>327379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8" t="s">
        <v>3</v>
      </c>
      <c r="D69" s="21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188B3-BDA5-4E58-950B-CDD51BBEF850}">
  <sheetPr>
    <pageSetUpPr fitToPage="1"/>
  </sheetPr>
  <dimension ref="A1:BH90"/>
  <sheetViews>
    <sheetView tabSelected="1" topLeftCell="A32" zoomScale="85" zoomScaleNormal="85" zoomScaleSheetLayoutView="85" zoomScalePageLayoutView="80" workbookViewId="0">
      <selection activeCell="AB54" sqref="AB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9">
        <v>46181</v>
      </c>
      <c r="Q1" s="230"/>
      <c r="R1" s="230"/>
      <c r="S1" s="230"/>
      <c r="T1" s="230"/>
      <c r="U1" s="230"/>
      <c r="V1" s="230"/>
      <c r="W1" s="230"/>
      <c r="X1" s="23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2" t="s">
        <v>74</v>
      </c>
      <c r="C4" s="233" t="s">
        <v>3</v>
      </c>
      <c r="D4" s="234" t="s">
        <v>75</v>
      </c>
      <c r="E4" s="235" t="s">
        <v>4</v>
      </c>
      <c r="F4" s="236"/>
      <c r="G4" s="237" t="s">
        <v>5</v>
      </c>
      <c r="H4" s="239" t="s">
        <v>75</v>
      </c>
      <c r="I4" s="241" t="s">
        <v>6</v>
      </c>
      <c r="J4" s="239" t="s">
        <v>75</v>
      </c>
      <c r="L4" s="243" t="s">
        <v>7</v>
      </c>
      <c r="M4" s="244"/>
      <c r="N4" s="244"/>
      <c r="O4" s="244"/>
      <c r="P4" s="244"/>
      <c r="Q4" s="244"/>
      <c r="R4" s="244"/>
      <c r="S4" s="244"/>
      <c r="T4" s="244"/>
      <c r="U4" s="244"/>
      <c r="V4" s="245"/>
      <c r="W4" s="244"/>
      <c r="X4" s="246"/>
    </row>
    <row r="5" spans="1:60" s="3" customFormat="1" ht="57" thickBot="1" x14ac:dyDescent="0.3">
      <c r="A5" s="49"/>
      <c r="B5" s="232"/>
      <c r="C5" s="233"/>
      <c r="D5" s="234"/>
      <c r="E5" s="48" t="s">
        <v>8</v>
      </c>
      <c r="F5" s="223" t="s">
        <v>9</v>
      </c>
      <c r="G5" s="238"/>
      <c r="H5" s="240"/>
      <c r="I5" s="242"/>
      <c r="J5" s="24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11</v>
      </c>
      <c r="D8" s="111">
        <v>9</v>
      </c>
      <c r="E8" s="112"/>
      <c r="F8" s="112"/>
      <c r="G8" s="76"/>
      <c r="H8" s="73"/>
      <c r="I8" s="73">
        <f>C8-G8</f>
        <v>11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273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/>
      <c r="E9" s="115"/>
      <c r="F9" s="115"/>
      <c r="G9" s="78"/>
      <c r="H9" s="79"/>
      <c r="I9" s="78">
        <f t="shared" ref="I9:J59" si="4">C9-G9</f>
        <v>80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1920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64</v>
      </c>
      <c r="D10" s="111"/>
      <c r="E10" s="112"/>
      <c r="F10" s="112"/>
      <c r="G10" s="76"/>
      <c r="H10" s="73"/>
      <c r="I10" s="73">
        <f t="shared" si="4"/>
        <v>64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1536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2663</v>
      </c>
      <c r="D13" s="114"/>
      <c r="E13" s="115"/>
      <c r="F13" s="115"/>
      <c r="G13" s="78"/>
      <c r="H13" s="79"/>
      <c r="I13" s="80">
        <f t="shared" si="4"/>
        <v>2663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63912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52</v>
      </c>
      <c r="D26" s="111">
        <v>1</v>
      </c>
      <c r="E26" s="112"/>
      <c r="F26" s="112"/>
      <c r="G26" s="76"/>
      <c r="H26" s="73"/>
      <c r="I26" s="73">
        <f t="shared" si="4"/>
        <v>52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1249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155</v>
      </c>
      <c r="D29" s="111"/>
      <c r="E29" s="112"/>
      <c r="F29" s="112"/>
      <c r="G29" s="76"/>
      <c r="H29" s="73"/>
      <c r="I29" s="73">
        <f t="shared" si="4"/>
        <v>155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3720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/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</v>
      </c>
      <c r="D35" s="111">
        <v>14</v>
      </c>
      <c r="E35" s="112"/>
      <c r="F35" s="112"/>
      <c r="G35" s="76"/>
      <c r="H35" s="73"/>
      <c r="I35" s="73">
        <f t="shared" si="4"/>
        <v>18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446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2408</v>
      </c>
      <c r="D38" s="114">
        <v>1</v>
      </c>
      <c r="E38" s="115"/>
      <c r="F38" s="115"/>
      <c r="G38" s="78"/>
      <c r="H38" s="79"/>
      <c r="I38" s="139">
        <f t="shared" si="4"/>
        <v>2408</v>
      </c>
      <c r="J38" s="140">
        <f t="shared" si="4"/>
        <v>1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14449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>C40-G40</f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102</v>
      </c>
      <c r="D41" s="147">
        <v>20</v>
      </c>
      <c r="E41" s="148"/>
      <c r="F41" s="148"/>
      <c r="G41" s="149"/>
      <c r="H41" s="150"/>
      <c r="I41" s="151">
        <f>C41+E41-G41</f>
        <v>102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2468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131</v>
      </c>
      <c r="D42" s="164"/>
      <c r="E42" s="165"/>
      <c r="F42" s="165"/>
      <c r="G42" s="166"/>
      <c r="H42" s="167"/>
      <c r="I42" s="166">
        <f>C42+F42-G42</f>
        <v>131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36064</v>
      </c>
      <c r="D44" s="114">
        <v>5</v>
      </c>
      <c r="E44" s="115">
        <v>3354</v>
      </c>
      <c r="F44" s="115">
        <v>318</v>
      </c>
      <c r="G44" s="78"/>
      <c r="H44" s="79"/>
      <c r="I44" s="73">
        <f>C44+E44+F44</f>
        <v>39736</v>
      </c>
      <c r="J44" s="177">
        <f t="shared" si="4"/>
        <v>5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238421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>C46+E46-G46</f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2769</v>
      </c>
      <c r="D48" s="142">
        <v>1</v>
      </c>
      <c r="E48" s="121"/>
      <c r="F48" s="121"/>
      <c r="G48" s="143"/>
      <c r="H48" s="139"/>
      <c r="I48" s="139">
        <f t="shared" si="4"/>
        <v>2769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44657</v>
      </c>
      <c r="D60" s="54">
        <f>SUM(D8:D59)</f>
        <v>133</v>
      </c>
      <c r="E60" s="44">
        <f>SUM(E8:E59)</f>
        <v>3354</v>
      </c>
      <c r="F60" s="44"/>
      <c r="G60" s="28">
        <f>SUM(G8:G59)</f>
        <v>0</v>
      </c>
      <c r="H60" s="56">
        <f>SUM(H8:H59)</f>
        <v>0</v>
      </c>
      <c r="I60" s="56">
        <f>SUM(I8:I59)</f>
        <v>48329</v>
      </c>
      <c r="J60" s="45">
        <f>SUM(J8:J59)</f>
        <v>133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187">
        <f>SUM(W8:W59)</f>
        <v>349411</v>
      </c>
      <c r="X60" s="45"/>
    </row>
    <row r="61" spans="1:24" ht="19.5" thickBot="1" x14ac:dyDescent="0.3">
      <c r="V61" s="103"/>
    </row>
    <row r="62" spans="1:24" ht="18.75" customHeight="1" x14ac:dyDescent="0.25">
      <c r="G62" s="22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1" t="s">
        <v>3</v>
      </c>
      <c r="D69" s="22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05,16</vt:lpstr>
      <vt:lpstr>05,17</vt:lpstr>
      <vt:lpstr>05,18</vt:lpstr>
      <vt:lpstr>05,19</vt:lpstr>
      <vt:lpstr>05,22</vt:lpstr>
      <vt:lpstr>05,23</vt:lpstr>
      <vt:lpstr>05,24</vt:lpstr>
      <vt:lpstr>05,25</vt:lpstr>
      <vt:lpstr>05,26</vt:lpstr>
      <vt:lpstr>05,27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'05,16'!Print_Area</vt:lpstr>
      <vt:lpstr>'05,17'!Print_Area</vt:lpstr>
      <vt:lpstr>'05,18'!Print_Area</vt:lpstr>
      <vt:lpstr>'05,19'!Print_Area</vt:lpstr>
      <vt:lpstr>'05,22'!Print_Area</vt:lpstr>
      <vt:lpstr>'05,23'!Print_Area</vt:lpstr>
      <vt:lpstr>'05,24'!Print_Area</vt:lpstr>
      <vt:lpstr>'05,25'!Print_Area</vt:lpstr>
      <vt:lpstr>'05,26'!Print_Area</vt:lpstr>
      <vt:lpstr>'05,27'!Print_Area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2026-06-29T05:18:17Z</dcterms:modified>
</cp:coreProperties>
</file>