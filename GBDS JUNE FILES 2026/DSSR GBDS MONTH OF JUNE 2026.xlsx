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2E30FBB-DC15-49F0-9335-8156ECF781FE}" xr6:coauthVersionLast="45" xr6:coauthVersionMax="45" xr10:uidLastSave="{00000000-0000-0000-0000-000000000000}"/>
  <bookViews>
    <workbookView xWindow="-120" yWindow="-120" windowWidth="29040" windowHeight="15840" firstSheet="2" activeTab="17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  <sheet name="05,22" sheetId="133" r:id="rId17"/>
    <sheet name="05,23" sheetId="134" r:id="rId18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16">'05,22'!$A$1:$Y$61</definedName>
    <definedName name="_xlnm.Print_Area" localSheetId="17">'05,23'!$A$1:$Y$61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8" i="134" l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I39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I37" i="134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U31" i="134"/>
  <c r="V31" i="134" s="1"/>
  <c r="S31" i="134"/>
  <c r="R31" i="134"/>
  <c r="J31" i="134"/>
  <c r="I31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I29" i="134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W24" i="134" s="1"/>
  <c r="I24" i="134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U19" i="134"/>
  <c r="V19" i="134" s="1"/>
  <c r="S19" i="134"/>
  <c r="R19" i="134"/>
  <c r="J19" i="134"/>
  <c r="I19" i="134"/>
  <c r="W19" i="134" s="1"/>
  <c r="W18" i="134"/>
  <c r="U18" i="134"/>
  <c r="V18" i="134" s="1"/>
  <c r="S18" i="134"/>
  <c r="R18" i="134"/>
  <c r="J18" i="134"/>
  <c r="I18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W12" i="134" s="1"/>
  <c r="I12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U9" i="134"/>
  <c r="V9" i="134" s="1"/>
  <c r="S9" i="134"/>
  <c r="S60" i="134" s="1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R8" i="134"/>
  <c r="J8" i="134"/>
  <c r="I8" i="134"/>
  <c r="W32" i="134" l="1"/>
  <c r="R60" i="134"/>
  <c r="W41" i="134"/>
  <c r="W38" i="134"/>
  <c r="W30" i="134"/>
  <c r="W26" i="134"/>
  <c r="W20" i="134"/>
  <c r="W11" i="134"/>
  <c r="I60" i="134"/>
  <c r="W17" i="134"/>
  <c r="W31" i="134"/>
  <c r="W39" i="134"/>
  <c r="W48" i="134"/>
  <c r="W44" i="134"/>
  <c r="W8" i="134"/>
  <c r="J60" i="134"/>
  <c r="W9" i="134"/>
  <c r="W29" i="134"/>
  <c r="W37" i="134"/>
  <c r="W21" i="134"/>
  <c r="W52" i="134"/>
  <c r="V60" i="134"/>
  <c r="U60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V53" i="133"/>
  <c r="U53" i="133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U50" i="133"/>
  <c r="V50" i="133" s="1"/>
  <c r="S50" i="133"/>
  <c r="R50" i="133"/>
  <c r="J50" i="133"/>
  <c r="I50" i="133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V47" i="133"/>
  <c r="U47" i="133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W44" i="133" s="1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1" i="133" s="1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V36" i="133"/>
  <c r="U36" i="133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U27" i="133"/>
  <c r="V27" i="133" s="1"/>
  <c r="S27" i="133"/>
  <c r="R27" i="133"/>
  <c r="J27" i="133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U22" i="133"/>
  <c r="V22" i="133" s="1"/>
  <c r="S22" i="133"/>
  <c r="R22" i="133"/>
  <c r="J22" i="133"/>
  <c r="W22" i="133" s="1"/>
  <c r="I22" i="133"/>
  <c r="U21" i="133"/>
  <c r="V21" i="133" s="1"/>
  <c r="S21" i="133"/>
  <c r="R21" i="133"/>
  <c r="J21" i="133"/>
  <c r="I21" i="133"/>
  <c r="V20" i="133"/>
  <c r="U20" i="133"/>
  <c r="S20" i="133"/>
  <c r="R20" i="133"/>
  <c r="J20" i="133"/>
  <c r="I20" i="133"/>
  <c r="U19" i="133"/>
  <c r="V19" i="133" s="1"/>
  <c r="S19" i="133"/>
  <c r="R19" i="133"/>
  <c r="J19" i="133"/>
  <c r="I19" i="133"/>
  <c r="W19" i="133" s="1"/>
  <c r="W18" i="133"/>
  <c r="U18" i="133"/>
  <c r="V18" i="133" s="1"/>
  <c r="S18" i="133"/>
  <c r="R18" i="133"/>
  <c r="J18" i="133"/>
  <c r="I18" i="133"/>
  <c r="V17" i="133"/>
  <c r="U17" i="133"/>
  <c r="S17" i="133"/>
  <c r="R17" i="133"/>
  <c r="J17" i="133"/>
  <c r="I17" i="133"/>
  <c r="V16" i="133"/>
  <c r="U16" i="133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W12" i="133" s="1"/>
  <c r="V11" i="133"/>
  <c r="U11" i="133"/>
  <c r="S11" i="133"/>
  <c r="R11" i="133"/>
  <c r="J11" i="133"/>
  <c r="I11" i="133"/>
  <c r="W11" i="133" s="1"/>
  <c r="U10" i="133"/>
  <c r="V10" i="133" s="1"/>
  <c r="S10" i="133"/>
  <c r="R10" i="133"/>
  <c r="J10" i="133"/>
  <c r="I10" i="133"/>
  <c r="A10" i="133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9" i="133"/>
  <c r="U9" i="133"/>
  <c r="S9" i="133"/>
  <c r="R9" i="133"/>
  <c r="J9" i="133"/>
  <c r="I9" i="133"/>
  <c r="W9" i="133" s="1"/>
  <c r="A9" i="133"/>
  <c r="V8" i="133"/>
  <c r="U8" i="133"/>
  <c r="S8" i="133"/>
  <c r="R8" i="133"/>
  <c r="J8" i="133"/>
  <c r="I8" i="133"/>
  <c r="W60" i="134" l="1"/>
  <c r="W26" i="133"/>
  <c r="W24" i="133"/>
  <c r="W20" i="133"/>
  <c r="W14" i="133"/>
  <c r="W10" i="133"/>
  <c r="S60" i="133"/>
  <c r="U60" i="133"/>
  <c r="R60" i="133"/>
  <c r="W13" i="133"/>
  <c r="W17" i="133"/>
  <c r="W50" i="133"/>
  <c r="W27" i="133"/>
  <c r="W30" i="133"/>
  <c r="J60" i="133"/>
  <c r="W23" i="133"/>
  <c r="W28" i="133"/>
  <c r="I60" i="133"/>
  <c r="W8" i="133"/>
  <c r="W21" i="133"/>
  <c r="V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60" i="133" l="1"/>
  <c r="W46" i="132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76637C1-50BF-458C-8D47-C60A58F072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57F17C-081F-4FE8-AE0D-443FAA6C6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053ACDC-4E82-4DE4-9735-6CFA7A88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099D0A-D5C1-4463-B606-6F7014F84E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572DB7-0060-46AB-A9F3-21D8C6107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AAE63AD-FBBA-4658-AD91-F66A97D85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<sst xmlns="http://schemas.openxmlformats.org/spreadsheetml/2006/main" count="1908" uniqueCount="82">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</sst>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/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06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46174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82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46175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8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46176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8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46178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8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46179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8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8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90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93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96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opLeftCell="A37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199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59" sqref="AB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202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20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1" sqref="AD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20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I51" sqref="AI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20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AI52" sqref="A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205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7340-1E0E-46B2-A428-8DD1E98E472C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42" sqref="AB4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208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86</v>
      </c>
      <c r="D10" s="111"/>
      <c r="E10" s="112"/>
      <c r="F10" s="112"/>
      <c r="G10" s="76">
        <v>2</v>
      </c>
      <c r="H10" s="73"/>
      <c r="I10" s="73">
        <f t="shared" si="4"/>
        <v>84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2796</v>
      </c>
      <c r="D13" s="114"/>
      <c r="E13" s="115"/>
      <c r="F13" s="115"/>
      <c r="G13" s="78">
        <v>26</v>
      </c>
      <c r="H13" s="79">
        <v>36</v>
      </c>
      <c r="I13" s="80">
        <f t="shared" si="4"/>
        <v>2770</v>
      </c>
      <c r="J13" s="94">
        <f>D13-H13</f>
        <v>-36</v>
      </c>
      <c r="K13" s="53"/>
      <c r="L13" s="121">
        <v>9</v>
      </c>
      <c r="M13" s="121">
        <v>12</v>
      </c>
      <c r="N13" s="121">
        <v>10</v>
      </c>
      <c r="O13" s="121">
        <v>12</v>
      </c>
      <c r="P13" s="121">
        <v>7</v>
      </c>
      <c r="Q13" s="122">
        <v>12</v>
      </c>
      <c r="R13" s="97">
        <f>L13+N13+P13</f>
        <v>26</v>
      </c>
      <c r="S13" s="125">
        <f>M13+O13+Q13</f>
        <v>36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66444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>
        <v>5</v>
      </c>
      <c r="H26" s="73"/>
      <c r="I26" s="73">
        <f t="shared" si="4"/>
        <v>95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2281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1</v>
      </c>
      <c r="H27" s="73"/>
      <c r="I27" s="73">
        <f t="shared" si="4"/>
        <v>2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1</v>
      </c>
      <c r="H31" s="73"/>
      <c r="I31" s="73">
        <f t="shared" si="4"/>
        <v>9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>
        <v>12</v>
      </c>
      <c r="H35" s="73"/>
      <c r="I35" s="73">
        <f t="shared" si="4"/>
        <v>43</v>
      </c>
      <c r="J35" s="77">
        <f t="shared" si="4"/>
        <v>14</v>
      </c>
      <c r="K35" s="41"/>
      <c r="L35" s="112">
        <v>11</v>
      </c>
      <c r="M35" s="112"/>
      <c r="N35" s="112"/>
      <c r="O35" s="112"/>
      <c r="P35" s="112">
        <v>1</v>
      </c>
      <c r="Q35" s="120"/>
      <c r="R35" s="86">
        <f t="shared" si="7"/>
        <v>12</v>
      </c>
      <c r="S35" s="124">
        <f t="shared" si="7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8"/>
        <v>1046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2864</v>
      </c>
      <c r="D38" s="114">
        <v>1</v>
      </c>
      <c r="E38" s="115"/>
      <c r="F38" s="115"/>
      <c r="G38" s="78">
        <v>86</v>
      </c>
      <c r="H38" s="79"/>
      <c r="I38" s="139">
        <f t="shared" si="4"/>
        <v>2778</v>
      </c>
      <c r="J38" s="140">
        <f t="shared" si="4"/>
        <v>1</v>
      </c>
      <c r="K38" s="51"/>
      <c r="L38" s="121">
        <v>5</v>
      </c>
      <c r="M38" s="121"/>
      <c r="N38" s="121">
        <v>10</v>
      </c>
      <c r="O38" s="121"/>
      <c r="P38" s="121">
        <v>71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16669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>
        <v>6</v>
      </c>
      <c r="H41" s="150"/>
      <c r="I41" s="151">
        <f t="shared" si="4"/>
        <v>174</v>
      </c>
      <c r="J41" s="152">
        <f t="shared" si="4"/>
        <v>20</v>
      </c>
      <c r="K41" s="153"/>
      <c r="L41" s="154">
        <v>5</v>
      </c>
      <c r="M41" s="154"/>
      <c r="N41" s="154">
        <v>1</v>
      </c>
      <c r="O41" s="154"/>
      <c r="P41" s="154"/>
      <c r="Q41" s="155"/>
      <c r="R41" s="156">
        <f t="shared" si="7"/>
        <v>6</v>
      </c>
      <c r="S41" s="157">
        <f t="shared" si="7"/>
        <v>0</v>
      </c>
      <c r="T41" s="153"/>
      <c r="U41" s="158">
        <f t="shared" si="9"/>
        <v>144</v>
      </c>
      <c r="V41" s="159">
        <f t="shared" si="6"/>
        <v>6</v>
      </c>
      <c r="W41" s="159">
        <f t="shared" si="10"/>
        <v>4196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362</v>
      </c>
      <c r="D42" s="164"/>
      <c r="E42" s="165"/>
      <c r="F42" s="165"/>
      <c r="G42" s="166">
        <v>70</v>
      </c>
      <c r="H42" s="167"/>
      <c r="I42" s="166">
        <f t="shared" si="4"/>
        <v>292</v>
      </c>
      <c r="J42" s="168">
        <f t="shared" si="4"/>
        <v>0</v>
      </c>
      <c r="K42" s="169"/>
      <c r="L42" s="165">
        <v>56</v>
      </c>
      <c r="M42" s="165"/>
      <c r="N42" s="165">
        <v>1</v>
      </c>
      <c r="O42" s="165"/>
      <c r="P42" s="165">
        <v>13</v>
      </c>
      <c r="Q42" s="170"/>
      <c r="R42" s="171">
        <f t="shared" si="7"/>
        <v>70</v>
      </c>
      <c r="S42" s="172">
        <f t="shared" si="7"/>
        <v>0</v>
      </c>
      <c r="T42" s="169"/>
      <c r="U42" s="173">
        <f>L42*12+N42*12+P42*12</f>
        <v>840</v>
      </c>
      <c r="V42" s="174">
        <f>U42/12</f>
        <v>70</v>
      </c>
      <c r="W42" s="175">
        <f>I42*12+J42</f>
        <v>3504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30593</v>
      </c>
      <c r="D44" s="114">
        <v>2</v>
      </c>
      <c r="E44" s="115"/>
      <c r="F44" s="115"/>
      <c r="G44" s="78">
        <v>926</v>
      </c>
      <c r="H44" s="79"/>
      <c r="I44" s="73">
        <f>C44+E44-G44</f>
        <v>29667</v>
      </c>
      <c r="J44" s="177">
        <f t="shared" si="4"/>
        <v>2</v>
      </c>
      <c r="K44" s="51"/>
      <c r="L44" s="121">
        <v>298</v>
      </c>
      <c r="M44" s="121"/>
      <c r="N44" s="121">
        <v>328</v>
      </c>
      <c r="O44" s="121"/>
      <c r="P44" s="121">
        <v>300</v>
      </c>
      <c r="Q44" s="122"/>
      <c r="R44" s="178">
        <f t="shared" si="7"/>
        <v>926</v>
      </c>
      <c r="S44" s="179">
        <f t="shared" si="7"/>
        <v>0</v>
      </c>
      <c r="T44" s="51"/>
      <c r="U44" s="131">
        <f>L44*6+N44*6+P44*6</f>
        <v>5556</v>
      </c>
      <c r="V44" s="130">
        <f>U44/6</f>
        <v>926</v>
      </c>
      <c r="W44" s="133">
        <f>I44*6+J44</f>
        <v>178004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40114</v>
      </c>
      <c r="D60" s="54">
        <f>SUM(D8:D59)</f>
        <v>130</v>
      </c>
      <c r="E60" s="44">
        <f>SUM(E8:E59)</f>
        <v>0</v>
      </c>
      <c r="F60" s="44"/>
      <c r="G60" s="28">
        <f>SUM(G8:G59)</f>
        <v>1136</v>
      </c>
      <c r="H60" s="56">
        <f>SUM(H8:H59)</f>
        <v>36</v>
      </c>
      <c r="I60" s="56">
        <f>SUM(I8:I59)</f>
        <v>38978</v>
      </c>
      <c r="J60" s="45">
        <f>SUM(J8:J59)</f>
        <v>94</v>
      </c>
      <c r="K60" s="46"/>
      <c r="L60" s="74">
        <f t="shared" ref="L60:S60" si="20">SUM(L8:L59)</f>
        <v>392</v>
      </c>
      <c r="M60" s="74">
        <f t="shared" si="20"/>
        <v>12</v>
      </c>
      <c r="N60" s="74">
        <f t="shared" si="20"/>
        <v>351</v>
      </c>
      <c r="O60" s="74">
        <f t="shared" si="20"/>
        <v>12</v>
      </c>
      <c r="P60" s="74">
        <f t="shared" si="20"/>
        <v>393</v>
      </c>
      <c r="Q60" s="75">
        <f t="shared" si="20"/>
        <v>12</v>
      </c>
      <c r="R60" s="85">
        <f t="shared" si="20"/>
        <v>1136</v>
      </c>
      <c r="S60" s="84">
        <f t="shared" si="20"/>
        <v>36</v>
      </c>
      <c r="T60" s="46"/>
      <c r="U60" s="43">
        <f>SUM(U8:U59)</f>
        <v>8208</v>
      </c>
      <c r="V60" s="102">
        <f>SUM(V8:V59)</f>
        <v>1136</v>
      </c>
      <c r="W60" s="187">
        <f>SUM(W8:W59)</f>
        <v>297274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6" t="s">
        <v>3</v>
      </c>
      <c r="D69" s="20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9E8B-1E55-43B9-8348-1C697F8479F2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AC39" sqref="AC3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7">
        <v>46181</v>
      </c>
      <c r="Q1" s="218"/>
      <c r="R1" s="218"/>
      <c r="S1" s="218"/>
      <c r="T1" s="218"/>
      <c r="U1" s="218"/>
      <c r="V1" s="218"/>
      <c r="W1" s="218"/>
      <c r="X1" s="21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0" t="s">
        <v>74</v>
      </c>
      <c r="C4" s="221" t="s">
        <v>3</v>
      </c>
      <c r="D4" s="222" t="s">
        <v>75</v>
      </c>
      <c r="E4" s="223" t="s">
        <v>4</v>
      </c>
      <c r="F4" s="224"/>
      <c r="G4" s="225" t="s">
        <v>5</v>
      </c>
      <c r="H4" s="227" t="s">
        <v>75</v>
      </c>
      <c r="I4" s="229" t="s">
        <v>6</v>
      </c>
      <c r="J4" s="227" t="s">
        <v>75</v>
      </c>
      <c r="L4" s="231" t="s">
        <v>7</v>
      </c>
      <c r="M4" s="232"/>
      <c r="N4" s="232"/>
      <c r="O4" s="232"/>
      <c r="P4" s="232"/>
      <c r="Q4" s="232"/>
      <c r="R4" s="232"/>
      <c r="S4" s="232"/>
      <c r="T4" s="232"/>
      <c r="U4" s="232"/>
      <c r="V4" s="233"/>
      <c r="W4" s="232"/>
      <c r="X4" s="234"/>
    </row>
    <row r="5" spans="1:60" s="3" customFormat="1" ht="57" thickBot="1" x14ac:dyDescent="0.3">
      <c r="A5" s="49"/>
      <c r="B5" s="220"/>
      <c r="C5" s="221"/>
      <c r="D5" s="222"/>
      <c r="E5" s="48" t="s">
        <v>8</v>
      </c>
      <c r="F5" s="211" t="s">
        <v>9</v>
      </c>
      <c r="G5" s="226"/>
      <c r="H5" s="228"/>
      <c r="I5" s="230"/>
      <c r="J5" s="22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>
        <v>1</v>
      </c>
      <c r="H8" s="73"/>
      <c r="I8" s="73">
        <f>C8-G8</f>
        <v>17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>
        <v>1</v>
      </c>
      <c r="H9" s="79"/>
      <c r="I9" s="78">
        <f t="shared" ref="I9:J59" si="4">C9-G9</f>
        <v>93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/>
      <c r="H10" s="73"/>
      <c r="I10" s="73">
        <f t="shared" si="4"/>
        <v>84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2768</v>
      </c>
      <c r="D13" s="114">
        <v>12</v>
      </c>
      <c r="E13" s="115"/>
      <c r="F13" s="115"/>
      <c r="G13" s="78">
        <v>34</v>
      </c>
      <c r="H13" s="79"/>
      <c r="I13" s="80">
        <f t="shared" si="4"/>
        <v>2734</v>
      </c>
      <c r="J13" s="94">
        <f>D13-H13</f>
        <v>12</v>
      </c>
      <c r="K13" s="53"/>
      <c r="L13" s="121">
        <v>6</v>
      </c>
      <c r="M13" s="121"/>
      <c r="N13" s="121">
        <v>8</v>
      </c>
      <c r="O13" s="121"/>
      <c r="P13" s="121">
        <v>20</v>
      </c>
      <c r="Q13" s="122"/>
      <c r="R13" s="97">
        <f>L13+N13+P13</f>
        <v>34</v>
      </c>
      <c r="S13" s="125">
        <f>M13+O13+Q13</f>
        <v>0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65628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95</v>
      </c>
      <c r="D26" s="111">
        <v>1</v>
      </c>
      <c r="E26" s="112"/>
      <c r="F26" s="112"/>
      <c r="G26" s="76">
        <v>24</v>
      </c>
      <c r="H26" s="73"/>
      <c r="I26" s="73">
        <f t="shared" si="4"/>
        <v>71</v>
      </c>
      <c r="J26" s="77">
        <f t="shared" si="4"/>
        <v>1</v>
      </c>
      <c r="K26" s="41"/>
      <c r="L26" s="112">
        <v>12</v>
      </c>
      <c r="M26" s="112"/>
      <c r="N26" s="112"/>
      <c r="O26" s="112"/>
      <c r="P26" s="112">
        <v>12</v>
      </c>
      <c r="Q26" s="120"/>
      <c r="R26" s="86">
        <f t="shared" si="7"/>
        <v>24</v>
      </c>
      <c r="S26" s="124">
        <f t="shared" si="7"/>
        <v>0</v>
      </c>
      <c r="T26" s="41"/>
      <c r="U26" s="107">
        <f t="shared" si="5"/>
        <v>576</v>
      </c>
      <c r="V26" s="130">
        <f t="shared" si="6"/>
        <v>24</v>
      </c>
      <c r="W26" s="129">
        <f t="shared" si="8"/>
        <v>1705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>
        <v>5</v>
      </c>
      <c r="H30" s="73"/>
      <c r="I30" s="73">
        <f t="shared" si="4"/>
        <v>36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4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869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9</v>
      </c>
      <c r="D31" s="111"/>
      <c r="E31" s="112"/>
      <c r="F31" s="112"/>
      <c r="G31" s="76">
        <v>1</v>
      </c>
      <c r="H31" s="73"/>
      <c r="I31" s="73">
        <f t="shared" si="4"/>
        <v>8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/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43</v>
      </c>
      <c r="D35" s="111">
        <v>14</v>
      </c>
      <c r="E35" s="112"/>
      <c r="F35" s="112"/>
      <c r="G35" s="76">
        <v>7</v>
      </c>
      <c r="H35" s="73"/>
      <c r="I35" s="73">
        <f t="shared" si="4"/>
        <v>36</v>
      </c>
      <c r="J35" s="77">
        <f t="shared" si="4"/>
        <v>14</v>
      </c>
      <c r="K35" s="41"/>
      <c r="L35" s="112">
        <v>2</v>
      </c>
      <c r="M35" s="112"/>
      <c r="N35" s="112"/>
      <c r="O35" s="112"/>
      <c r="P35" s="112">
        <v>5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878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f>2778</f>
        <v>2778</v>
      </c>
      <c r="D38" s="114">
        <v>1</v>
      </c>
      <c r="E38" s="115"/>
      <c r="F38" s="115"/>
      <c r="G38" s="78">
        <v>134</v>
      </c>
      <c r="H38" s="79"/>
      <c r="I38" s="139">
        <f t="shared" si="4"/>
        <v>2644</v>
      </c>
      <c r="J38" s="140">
        <f t="shared" si="4"/>
        <v>1</v>
      </c>
      <c r="K38" s="51"/>
      <c r="L38" s="121">
        <v>6</v>
      </c>
      <c r="M38" s="121"/>
      <c r="N38" s="121">
        <v>20</v>
      </c>
      <c r="O38" s="121"/>
      <c r="P38" s="121">
        <v>108</v>
      </c>
      <c r="Q38" s="122"/>
      <c r="R38" s="97">
        <f t="shared" si="7"/>
        <v>134</v>
      </c>
      <c r="S38" s="125">
        <f t="shared" si="7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15865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174</v>
      </c>
      <c r="D41" s="147">
        <v>20</v>
      </c>
      <c r="E41" s="148"/>
      <c r="F41" s="148"/>
      <c r="G41" s="149">
        <v>10</v>
      </c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292</v>
      </c>
      <c r="D42" s="164"/>
      <c r="E42" s="165"/>
      <c r="F42" s="165"/>
      <c r="G42" s="166">
        <v>60</v>
      </c>
      <c r="H42" s="167"/>
      <c r="I42" s="166">
        <f t="shared" si="4"/>
        <v>232</v>
      </c>
      <c r="J42" s="168">
        <f t="shared" si="4"/>
        <v>0</v>
      </c>
      <c r="K42" s="169"/>
      <c r="L42" s="165">
        <v>5</v>
      </c>
      <c r="M42" s="165"/>
      <c r="N42" s="165">
        <v>4</v>
      </c>
      <c r="O42" s="165"/>
      <c r="P42" s="165">
        <v>51</v>
      </c>
      <c r="Q42" s="170"/>
      <c r="R42" s="171">
        <f t="shared" si="7"/>
        <v>60</v>
      </c>
      <c r="S42" s="172">
        <f t="shared" si="7"/>
        <v>0</v>
      </c>
      <c r="T42" s="169"/>
      <c r="U42" s="173">
        <f>L42*12+N42*12+P42*12</f>
        <v>720</v>
      </c>
      <c r="V42" s="174">
        <f>U42/12</f>
        <v>60</v>
      </c>
      <c r="W42" s="175">
        <f>I42*12+J42</f>
        <v>2784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29667</v>
      </c>
      <c r="D44" s="114">
        <v>2</v>
      </c>
      <c r="E44" s="115">
        <v>1512</v>
      </c>
      <c r="F44" s="115"/>
      <c r="G44" s="78">
        <v>1272</v>
      </c>
      <c r="H44" s="79"/>
      <c r="I44" s="73">
        <f>C44+E44-G44</f>
        <v>29907</v>
      </c>
      <c r="J44" s="177">
        <f t="shared" si="4"/>
        <v>2</v>
      </c>
      <c r="K44" s="51"/>
      <c r="L44" s="121">
        <v>459</v>
      </c>
      <c r="M44" s="121"/>
      <c r="N44" s="121">
        <v>277</v>
      </c>
      <c r="O44" s="121"/>
      <c r="P44" s="121">
        <v>536</v>
      </c>
      <c r="Q44" s="122"/>
      <c r="R44" s="178">
        <f t="shared" si="7"/>
        <v>1272</v>
      </c>
      <c r="S44" s="179">
        <f t="shared" si="7"/>
        <v>0</v>
      </c>
      <c r="T44" s="51"/>
      <c r="U44" s="131">
        <f>L44*6+N44*6+P44*6</f>
        <v>7632</v>
      </c>
      <c r="V44" s="130">
        <f>U44/6</f>
        <v>1272</v>
      </c>
      <c r="W44" s="133">
        <f>I44*6+J44</f>
        <v>179444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>
        <v>5</v>
      </c>
      <c r="H48" s="139"/>
      <c r="I48" s="139">
        <f t="shared" si="4"/>
        <v>2782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>
        <v>3</v>
      </c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39173</v>
      </c>
      <c r="D60" s="54">
        <f>SUM(D8:D59)</f>
        <v>142</v>
      </c>
      <c r="E60" s="44">
        <f>SUM(E8:E59)</f>
        <v>1512</v>
      </c>
      <c r="F60" s="44"/>
      <c r="G60" s="28">
        <f>SUM(G8:G59)</f>
        <v>1554</v>
      </c>
      <c r="H60" s="56">
        <f>SUM(H8:H59)</f>
        <v>0</v>
      </c>
      <c r="I60" s="56">
        <f>SUM(I8:I59)</f>
        <v>39131</v>
      </c>
      <c r="J60" s="45">
        <f>SUM(J8:J59)</f>
        <v>142</v>
      </c>
      <c r="K60" s="46"/>
      <c r="L60" s="74">
        <f t="shared" ref="L60:S60" si="20">SUM(L8:L59)</f>
        <v>495</v>
      </c>
      <c r="M60" s="74">
        <f t="shared" si="20"/>
        <v>0</v>
      </c>
      <c r="N60" s="74">
        <f t="shared" si="20"/>
        <v>309</v>
      </c>
      <c r="O60" s="74">
        <f t="shared" si="20"/>
        <v>0</v>
      </c>
      <c r="P60" s="74">
        <f t="shared" si="20"/>
        <v>750</v>
      </c>
      <c r="Q60" s="75">
        <f t="shared" si="20"/>
        <v>0</v>
      </c>
      <c r="R60" s="85">
        <f t="shared" si="20"/>
        <v>1554</v>
      </c>
      <c r="S60" s="84">
        <f t="shared" si="20"/>
        <v>0</v>
      </c>
      <c r="T60" s="46"/>
      <c r="U60" s="43">
        <f>SUM(U8:U59)</f>
        <v>11178</v>
      </c>
      <c r="V60" s="102">
        <f>SUM(V8:V59)</f>
        <v>1554</v>
      </c>
      <c r="W60" s="187">
        <f>SUM(W8:W59)</f>
        <v>299896</v>
      </c>
      <c r="X60" s="45"/>
    </row>
    <row r="61" spans="1:24" ht="19.5" thickBot="1" x14ac:dyDescent="0.3">
      <c r="V61" s="103"/>
    </row>
    <row r="62" spans="1:24" ht="18.75" customHeight="1" x14ac:dyDescent="0.25">
      <c r="G62" s="21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9" t="s">
        <v>3</v>
      </c>
      <c r="D69" s="21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05,22</vt:lpstr>
      <vt:lpstr>05,23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'05,22'!Print_Area</vt:lpstr>
      <vt:lpstr>'05,23'!Print_Area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2026-06-24T03:28:45Z</dcterms:modified>
</cp:coreProperties>
</file>