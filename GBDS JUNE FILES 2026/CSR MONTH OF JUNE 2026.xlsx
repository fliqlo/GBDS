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0C58F68B-CE73-4F89-9620-7F9135327FD8}" xr6:coauthVersionLast="45" xr6:coauthVersionMax="47" xr10:uidLastSave="{00000000-0000-0000-0000-000000000000}"/>
  <bookViews>
    <workbookView xWindow="-120" yWindow="-120" windowWidth="29040" windowHeight="15840" firstSheet="84" activeTab="94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 NO TRIP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  <sheet name="(23)" sheetId="1794" r:id="rId77"/>
    <sheet name="06-23 R1" sheetId="1799" r:id="rId78"/>
    <sheet name="06-23 R2" sheetId="1800" r:id="rId79"/>
    <sheet name="06-23 R3" sheetId="1797" r:id="rId80"/>
    <sheet name="(24)" sheetId="1798" r:id="rId81"/>
    <sheet name="06-24 R1" sheetId="1795" r:id="rId82"/>
    <sheet name="06-24 R2" sheetId="1796" r:id="rId83"/>
    <sheet name="06-24 R3" sheetId="1801" r:id="rId84"/>
    <sheet name="(25)" sheetId="1802" r:id="rId85"/>
    <sheet name="06-25 R1" sheetId="1803" r:id="rId86"/>
    <sheet name="06-25 R2" sheetId="1804" r:id="rId87"/>
    <sheet name="06-25 R3" sheetId="1805" r:id="rId88"/>
    <sheet name="(26)" sheetId="1806" r:id="rId89"/>
    <sheet name="06-26 R1 NO TRIP" sheetId="1807" r:id="rId90"/>
    <sheet name="06-26 R2" sheetId="1808" r:id="rId91"/>
    <sheet name="06-26 R3" sheetId="1809" r:id="rId92"/>
    <sheet name="(29)" sheetId="1810" r:id="rId93"/>
    <sheet name="06-29 R1 " sheetId="1811" r:id="rId94"/>
    <sheet name="06-29 R2" sheetId="1812" r:id="rId95"/>
    <sheet name="06-29 R3" sheetId="1813" r:id="rId96"/>
  </sheets>
  <externalReferences>
    <externalReference r:id="rId97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76">'(23)'!$A$1:$Z$44</definedName>
    <definedName name="_xlnm.Print_Area" localSheetId="80">'(24)'!$A$1:$Z$44</definedName>
    <definedName name="_xlnm.Print_Area" localSheetId="84">'(25)'!$A$1:$Z$44</definedName>
    <definedName name="_xlnm.Print_Area" localSheetId="88">'(26)'!$A$1:$Z$44</definedName>
    <definedName name="_xlnm.Print_Area" localSheetId="92">'(29)'!$A$1:$Z$44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 NO TRIP'!$A$1:$Z$43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  <definedName name="_xlnm.Print_Area" localSheetId="77">'06-23 R1'!$A$1:$Z$43</definedName>
    <definedName name="_xlnm.Print_Area" localSheetId="78">'06-23 R2'!$A$1:$V$44</definedName>
    <definedName name="_xlnm.Print_Area" localSheetId="79">'06-23 R3'!$A$1:$V$44</definedName>
    <definedName name="_xlnm.Print_Area" localSheetId="81">'06-24 R1'!$A$1:$Z$43</definedName>
    <definedName name="_xlnm.Print_Area" localSheetId="82">'06-24 R2'!$A$1:$V$44</definedName>
    <definedName name="_xlnm.Print_Area" localSheetId="83">'06-24 R3'!$A$1:$V$44</definedName>
    <definedName name="_xlnm.Print_Area" localSheetId="85">'06-25 R1'!$A$1:$Z$43</definedName>
    <definedName name="_xlnm.Print_Area" localSheetId="86">'06-25 R2'!$A$1:$V$44</definedName>
    <definedName name="_xlnm.Print_Area" localSheetId="87">'06-25 R3'!$A$1:$V$44</definedName>
    <definedName name="_xlnm.Print_Area" localSheetId="89">'06-26 R1 NO TRIP'!$A$1:$Z$43</definedName>
    <definedName name="_xlnm.Print_Area" localSheetId="90">'06-26 R2'!$A$1:$V$44</definedName>
    <definedName name="_xlnm.Print_Area" localSheetId="91">'06-26 R3'!$A$1:$V$44</definedName>
    <definedName name="_xlnm.Print_Area" localSheetId="93">'06-29 R1 '!$A$1:$Z$43</definedName>
    <definedName name="_xlnm.Print_Area" localSheetId="94">'06-29 R2'!$A$1:$V$44</definedName>
    <definedName name="_xlnm.Print_Area" localSheetId="95">'06-29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12" l="1"/>
  <c r="C44" i="1813" l="1"/>
  <c r="C44" i="1811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09" l="1"/>
  <c r="C44" i="1808"/>
  <c r="C44" i="1805" l="1"/>
  <c r="C44" i="1804"/>
  <c r="C44" i="1803"/>
  <c r="C44" i="1801" l="1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F21" i="1806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C44" i="1796" l="1"/>
  <c r="C44" i="1795" l="1"/>
  <c r="C44" i="1797" l="1"/>
  <c r="C44" i="1800"/>
  <c r="C44" i="1799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 l="1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5"/>
  <c r="Y19" i="1795"/>
  <c r="W19" i="1795"/>
  <c r="V19" i="1795"/>
  <c r="U19" i="1795"/>
  <c r="T19" i="1795"/>
  <c r="P19" i="1795"/>
  <c r="O19" i="1795"/>
  <c r="N19" i="1795"/>
  <c r="M19" i="1795"/>
  <c r="L19" i="1795"/>
  <c r="K19" i="1795"/>
  <c r="J19" i="1795"/>
  <c r="I19" i="1795"/>
  <c r="H19" i="1795"/>
  <c r="G19" i="1795"/>
  <c r="F19" i="1795"/>
  <c r="E19" i="1795"/>
  <c r="D19" i="1795"/>
  <c r="C19" i="1795"/>
  <c r="Y18" i="1795"/>
  <c r="W18" i="1795"/>
  <c r="V18" i="1795"/>
  <c r="U18" i="1795"/>
  <c r="T18" i="1795"/>
  <c r="P18" i="1795"/>
  <c r="O18" i="1795"/>
  <c r="N18" i="1795"/>
  <c r="M18" i="1795"/>
  <c r="L18" i="1795"/>
  <c r="K18" i="1795"/>
  <c r="J18" i="1795"/>
  <c r="I18" i="1795"/>
  <c r="H18" i="1795"/>
  <c r="G18" i="1795"/>
  <c r="F18" i="1795"/>
  <c r="E18" i="1795"/>
  <c r="D18" i="1795"/>
  <c r="C18" i="1795"/>
  <c r="Y4" i="1795"/>
  <c r="W4" i="1795"/>
  <c r="V4" i="1795"/>
  <c r="U4" i="1795"/>
  <c r="T4" i="1795"/>
  <c r="P4" i="1795"/>
  <c r="O4" i="1795"/>
  <c r="N4" i="1795"/>
  <c r="M4" i="1795"/>
  <c r="L4" i="1795"/>
  <c r="K4" i="1795"/>
  <c r="J4" i="1795"/>
  <c r="I4" i="1795"/>
  <c r="H4" i="1795"/>
  <c r="G4" i="1795"/>
  <c r="F4" i="1795"/>
  <c r="E4" i="1795"/>
  <c r="D4" i="1795"/>
  <c r="C4" i="1795"/>
  <c r="Y3" i="1795"/>
  <c r="W3" i="1795"/>
  <c r="V3" i="1795"/>
  <c r="U3" i="1795"/>
  <c r="T3" i="1795"/>
  <c r="P3" i="1795"/>
  <c r="O3" i="1795"/>
  <c r="N3" i="1795"/>
  <c r="M3" i="1795"/>
  <c r="L3" i="1795"/>
  <c r="K3" i="1795"/>
  <c r="J3" i="1795"/>
  <c r="I3" i="1795"/>
  <c r="H3" i="1795"/>
  <c r="G3" i="1795"/>
  <c r="F3" i="1795"/>
  <c r="E3" i="1795"/>
  <c r="D3" i="1795"/>
  <c r="C3" i="1795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C44" i="1793" l="1"/>
  <c r="C44" i="1792"/>
  <c r="C44" i="1791"/>
  <c r="C44" i="1785" l="1"/>
  <c r="C45" i="1784"/>
  <c r="C44" i="1784"/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<sst xmlns="http://schemas.openxmlformats.org/spreadsheetml/2006/main" count="8572" uniqueCount="141">
  <si>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</si>
  <si>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</si>
  <si>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</si>
  <si>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</si>
  <si>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</si>
  <si>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</si>
  <si>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</si>
  <si>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</si>
  <si>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</si>
  <si>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</si>
  <si>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</si>
  <si>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</si>
  <si>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</si>
  <si>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</si>
  <si>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</si>
  <si>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</si>
  <si>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</si>
  <si>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</si>
  <si>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</si>
  <si>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</si>
  <si>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</si>
  <si>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</si>
  <si>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</si>
  <si>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</si>
  <si>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</si>
  <si>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</si>
  <si>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</si>
  <si>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</si>
  <si>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</si>
  <si>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</si>
  <si>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</si>
  <si>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</si>
  <si>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</si>
  <si>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</si>
  <si>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</si>
  <si>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</si>
  <si>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</si>
  <si>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</si>
  <si>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</si>
  <si>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</si>
  <si>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</si>
  <si>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</si>
  <si>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</si>
  <si>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</si>
  <si>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</si>
  <si>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</si>
  <si>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</si>
  <si>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</si>
  <si>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</si>
  <si>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</si>
  <si>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</si>
  <si>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</si>
  <si>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</si>
  <si>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</si>
  <si>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</si>
  <si>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</si>
  <si>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</si>
  <si>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</si>
  <si>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</si>
  <si>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</si>
  <si>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</si>
  <si>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</si>
  <si>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</si>
  <si>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</si>
  <si>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</si>
  <si>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</si>
  <si>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</si>
  <si>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</si>
  <si>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</si>
  <si>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</si>
  <si>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</si>
  <si>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</si>
  <si>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</si>
  <si>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</si>
  <si>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</si>
  <si>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</si>
  <si>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</si>
  <si>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</si>
  <si>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</si>
  <si>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</si>
  <si>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</si>
  <si>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</si>
  <si>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</si>
  <si>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</si>
  <si>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</si>
  <si>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</si>
  <si>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</si>
  <si>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</si>
  <si>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</si>
  <si>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</si>
  <si>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</si>
  <si>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</si>
  <si>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</si>
  <si>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</si>
  <si>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</si>
  <si>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</si>
  <si>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</si>
  <si>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</si>
  <si>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</si>
  <si>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</si>
  <si>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</si>
  <si>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</si>
  <si>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</si>
  <si>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</si>
  <si>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</si>
  <si>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</si>
  <si>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</si>
  <si>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</si>
  <si>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</si>
  <si>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</si>
  <si>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</si>
  <si>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</si>
  <si>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</si>
  <si>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</si>
  <si>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</si>
  <si>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</si>
  <si>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</si>
  <si>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</si>
  <si>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</si>
  <si>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</si>
  <si>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</si>
  <si>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</si>
  <si>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</si>
  <si>
    <t>16/12b</t>
  </si>
  <si>
    <t>25/12b</t>
  </si>
  <si>
    <t>13/12b</t>
  </si>
  <si>
    <t>19/12b</t>
  </si>
  <si>
    <t>9/12B</t>
  </si>
  <si>
    <t>24/12B</t>
  </si>
  <si>
    <t>14/12B</t>
  </si>
  <si>
    <t>7/12B</t>
  </si>
  <si>
    <t>DATE ___________06/23/2026___________</t>
  </si>
  <si>
    <t>DATE ___________06/24/2026___________</t>
  </si>
  <si>
    <t>DATE ___________06/25/2026___________</t>
  </si>
  <si>
    <t>1</t>
  </si>
  <si>
    <t>3/3B</t>
  </si>
  <si>
    <t>16/12B</t>
  </si>
  <si>
    <t>DATE ___________06/26/2026___________</t>
  </si>
  <si>
    <t>13/3B</t>
  </si>
  <si>
    <t>DATE ___________06/29/2026___________</t>
  </si>
  <si>
    <t>4/12B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</si>
</sst>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2+6+10+10+13+10+570</f>
        <v>621</v>
      </c>
      <c r="D44" s="100"/>
      <c r="E44" s="100"/>
    </row>
    <row r="45" spans="2:25" x14ac:dyDescent="0.25">
      <c r="B45" s="76" t="s">
        <v>69</v>
      </c>
      <c r="C45" s="100">
        <f>22+12+1</f>
        <v>35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1+3+1+1+40+6+275</f>
        <v>327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10+2+3+1+25+6+307</f>
        <v>354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1+1+11+2+304</f>
        <v>319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13+1+1+330</f>
        <v>345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10+5+2+5+1+1+1+1+1+1+1+1+2+10+10+2+2+2+1+74+1+20+346+1+10+1+1+1</f>
        <v>514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2+1+1+13+2+2+1+10+1+5+441+2</f>
        <v>481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1+1+26+15+15+3+5+62+2+10+551</f>
        <v>691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10+26+117+65+50+370</f>
        <v>638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2+2+7+23+1+297</f>
        <v>332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2+7+24+20+20+135+20+539+1</f>
        <v>768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9+6+4+384</f>
        <v>403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8+2+4+1+2+46+389</f>
        <v>452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1+1+26+15+15+3+5+62+2+10+551</f>
        <v>691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15+33+4+457</f>
        <v>509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10+1+5+76+10+416</f>
        <v>518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2+2+2+1+1+20+9+339</f>
        <v>376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2+1+12+1+5+50+3+323</f>
        <v>397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1+1+26+15+15+3+5+62+2+10+551</f>
        <v>691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2+2+4+1+15+8+312</f>
        <v>344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2+15+108+265</f>
        <v>390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2+5+2+53+26+11+269+3</f>
        <v>371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3+1+2+12+103+8+422</f>
        <v>551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1+5+10+1+1+68+5+277</f>
        <v>368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0">
        <f>2+9+2+111+6+322</f>
        <v>452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0">
        <f>12+6+6+379</f>
        <v>403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0">
        <f>10+23+2+3+1+162+5+483</f>
        <v>689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10+2+1+1+2+121+8+583+3</f>
        <v>731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7+4+7+318</f>
        <v>336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2+22+15+17+5+2+40+18+648</f>
        <v>769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5+12+335</f>
        <v>352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2+15+2+30+58+1+6+452</f>
        <v>566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9+70+431</f>
        <v>510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101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1+10+2+1+1+20+10+10+262</f>
        <v>317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13+2+2+520</f>
        <v>537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427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10</v>
      </c>
      <c r="I31" s="23"/>
      <c r="J31" s="23"/>
      <c r="K31" s="23">
        <v>1</v>
      </c>
      <c r="L31" s="23">
        <v>5</v>
      </c>
      <c r="M31" s="23">
        <v>115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>
        <v>5</v>
      </c>
      <c r="M32" s="28">
        <v>312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298</v>
      </c>
      <c r="G42" s="42">
        <v>4</v>
      </c>
      <c r="H42" s="42"/>
      <c r="I42" s="42">
        <v>4</v>
      </c>
      <c r="J42" s="42">
        <v>2</v>
      </c>
      <c r="K42" s="42">
        <v>7</v>
      </c>
      <c r="L42" s="42"/>
      <c r="M42" s="42"/>
      <c r="N42" s="42"/>
      <c r="O42" s="42">
        <v>6</v>
      </c>
      <c r="P42" s="42">
        <v>1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8+10+5+312</f>
        <v>335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53</v>
      </c>
      <c r="I24" s="14"/>
      <c r="J24" s="14"/>
      <c r="K24" s="14">
        <v>2</v>
      </c>
      <c r="L24" s="14">
        <v>16</v>
      </c>
      <c r="M24" s="14">
        <v>543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6</v>
      </c>
      <c r="M31" s="23">
        <v>164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0</v>
      </c>
      <c r="L32" s="28">
        <v>10</v>
      </c>
      <c r="M32" s="28">
        <v>379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422</v>
      </c>
      <c r="G36" s="42">
        <v>15</v>
      </c>
      <c r="H36" s="42">
        <v>4</v>
      </c>
      <c r="I36" s="42">
        <v>8</v>
      </c>
      <c r="J36" s="42">
        <v>2</v>
      </c>
      <c r="K36" s="42">
        <v>6</v>
      </c>
      <c r="L36" s="42"/>
      <c r="M36" s="42"/>
      <c r="N36" s="42"/>
      <c r="O36" s="42">
        <v>12</v>
      </c>
      <c r="P36" s="42">
        <v>1</v>
      </c>
      <c r="Q36" s="43">
        <v>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422</v>
      </c>
      <c r="G42" s="42">
        <v>15</v>
      </c>
      <c r="H42" s="42">
        <v>4</v>
      </c>
      <c r="I42" s="42">
        <v>8</v>
      </c>
      <c r="J42" s="42">
        <v>2</v>
      </c>
      <c r="K42" s="42">
        <v>6</v>
      </c>
      <c r="L42" s="42"/>
      <c r="M42" s="42"/>
      <c r="N42" s="42"/>
      <c r="O42" s="42">
        <v>12</v>
      </c>
      <c r="P42" s="42">
        <v>1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2+13+35+10+379</f>
        <v>439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topLeftCell="A29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>
        <v>1</v>
      </c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>
        <v>0</v>
      </c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127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12</v>
      </c>
      <c r="G24" s="14"/>
      <c r="H24" s="14">
        <v>12</v>
      </c>
      <c r="I24" s="14"/>
      <c r="J24" s="14"/>
      <c r="K24" s="14">
        <v>5</v>
      </c>
      <c r="L24" s="14">
        <v>56</v>
      </c>
      <c r="M24" s="14">
        <v>330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1</v>
      </c>
      <c r="G31" s="23"/>
      <c r="H31" s="23">
        <v>7</v>
      </c>
      <c r="I31" s="23"/>
      <c r="J31" s="23"/>
      <c r="K31" s="23">
        <v>0</v>
      </c>
      <c r="L31" s="23">
        <v>0</v>
      </c>
      <c r="M31" s="23">
        <v>32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11</v>
      </c>
      <c r="G32" s="28"/>
      <c r="H32" s="28">
        <v>5</v>
      </c>
      <c r="I32" s="28"/>
      <c r="J32" s="28"/>
      <c r="K32" s="28">
        <v>5</v>
      </c>
      <c r="L32" s="28">
        <v>56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15</v>
      </c>
      <c r="F36" s="42">
        <v>363</v>
      </c>
      <c r="G36" s="42">
        <v>10</v>
      </c>
      <c r="H36" s="42">
        <v>3</v>
      </c>
      <c r="I36" s="42">
        <v>12</v>
      </c>
      <c r="J36" s="42">
        <v>2</v>
      </c>
      <c r="K36" s="42">
        <v>2</v>
      </c>
      <c r="L36" s="42">
        <v>2</v>
      </c>
      <c r="M36" s="42"/>
      <c r="N36" s="42">
        <v>4</v>
      </c>
      <c r="O36" s="42">
        <v>7</v>
      </c>
      <c r="P36" s="42">
        <v>47</v>
      </c>
      <c r="Q36" s="43">
        <v>37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15</v>
      </c>
      <c r="F42" s="42">
        <v>363</v>
      </c>
      <c r="G42" s="42">
        <v>10</v>
      </c>
      <c r="H42" s="42">
        <v>3</v>
      </c>
      <c r="I42" s="42">
        <v>12</v>
      </c>
      <c r="J42" s="42">
        <v>2</v>
      </c>
      <c r="K42" s="42">
        <v>2</v>
      </c>
      <c r="L42" s="42">
        <v>2</v>
      </c>
      <c r="M42" s="42"/>
      <c r="N42" s="42">
        <v>4</v>
      </c>
      <c r="O42" s="42">
        <v>7</v>
      </c>
      <c r="P42" s="42">
        <v>47</v>
      </c>
      <c r="Q42" s="43">
        <v>37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1+9+5+1+1+11+5+5+56+298</f>
        <v>392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K46" sqref="K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439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20</v>
      </c>
      <c r="I31" s="23"/>
      <c r="J31" s="23"/>
      <c r="K31" s="23">
        <v>0</v>
      </c>
      <c r="L31" s="23">
        <v>4</v>
      </c>
      <c r="M31" s="23">
        <v>111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1</v>
      </c>
      <c r="L32" s="28">
        <v>1</v>
      </c>
      <c r="M32" s="28">
        <v>328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324</v>
      </c>
      <c r="G36" s="42">
        <v>4</v>
      </c>
      <c r="H36" s="42"/>
      <c r="I36" s="42"/>
      <c r="J36" s="42"/>
      <c r="K36" s="42">
        <v>5</v>
      </c>
      <c r="L36" s="42">
        <v>1</v>
      </c>
      <c r="M36" s="42"/>
      <c r="N36" s="42"/>
      <c r="O36" s="42">
        <v>8</v>
      </c>
      <c r="P36" s="42">
        <v>10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324</v>
      </c>
      <c r="G42" s="42">
        <v>4</v>
      </c>
      <c r="H42" s="42"/>
      <c r="I42" s="42"/>
      <c r="J42" s="42"/>
      <c r="K42" s="42">
        <v>5</v>
      </c>
      <c r="L42" s="42">
        <v>1</v>
      </c>
      <c r="M42" s="42"/>
      <c r="N42" s="42"/>
      <c r="O42" s="42">
        <v>8</v>
      </c>
      <c r="P42" s="42">
        <v>10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1+10+10+1+1+328</f>
        <v>351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I49" sqref="I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72</v>
      </c>
      <c r="I24" s="14"/>
      <c r="J24" s="14"/>
      <c r="K24" s="14">
        <v>2</v>
      </c>
      <c r="L24" s="14">
        <v>14</v>
      </c>
      <c r="M24" s="14">
        <v>488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188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>
        <v>0</v>
      </c>
      <c r="L32" s="28">
        <v>13</v>
      </c>
      <c r="M32" s="28">
        <v>300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314</v>
      </c>
      <c r="G36" s="42">
        <v>4</v>
      </c>
      <c r="H36" s="42"/>
      <c r="I36" s="42">
        <v>17</v>
      </c>
      <c r="J36" s="42">
        <v>1</v>
      </c>
      <c r="K36" s="42">
        <v>10</v>
      </c>
      <c r="L36" s="42"/>
      <c r="M36" s="42"/>
      <c r="N36" s="42">
        <v>12</v>
      </c>
      <c r="O36" s="42">
        <v>3</v>
      </c>
      <c r="P36" s="42">
        <v>4</v>
      </c>
      <c r="Q36" s="43">
        <v>11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314</v>
      </c>
      <c r="G42" s="42">
        <v>4</v>
      </c>
      <c r="H42" s="42"/>
      <c r="I42" s="42">
        <v>17</v>
      </c>
      <c r="J42" s="42">
        <v>1</v>
      </c>
      <c r="K42" s="42">
        <v>10</v>
      </c>
      <c r="L42" s="42"/>
      <c r="M42" s="42"/>
      <c r="N42" s="42">
        <v>12</v>
      </c>
      <c r="O42" s="42">
        <v>3</v>
      </c>
      <c r="P42" s="42">
        <v>4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7+1+1+71+13+300</f>
        <v>393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33CA-C364-4803-89B3-94F7FA1C0D4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5FB4-B731-4736-9B40-9BF7AE5B3F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13</v>
      </c>
      <c r="I24" s="14"/>
      <c r="J24" s="14"/>
      <c r="K24" s="14">
        <v>2</v>
      </c>
      <c r="L24" s="14">
        <v>5</v>
      </c>
      <c r="M24" s="14">
        <v>571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7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5</v>
      </c>
      <c r="M32" s="28">
        <v>459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4</v>
      </c>
      <c r="D36" s="41"/>
      <c r="E36" s="42">
        <v>5</v>
      </c>
      <c r="F36" s="42">
        <v>305</v>
      </c>
      <c r="G36" s="42">
        <v>2</v>
      </c>
      <c r="H36" s="42">
        <v>9</v>
      </c>
      <c r="I36" s="42">
        <v>15</v>
      </c>
      <c r="J36" s="42">
        <v>1</v>
      </c>
      <c r="K36" s="42">
        <v>6</v>
      </c>
      <c r="L36" s="42">
        <v>4</v>
      </c>
      <c r="M36" s="42">
        <v>1</v>
      </c>
      <c r="N36" s="42">
        <v>12</v>
      </c>
      <c r="O36" s="42">
        <v>4</v>
      </c>
      <c r="P36" s="42"/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>
        <v>5</v>
      </c>
      <c r="F42" s="42">
        <v>305</v>
      </c>
      <c r="G42" s="42">
        <v>2</v>
      </c>
      <c r="H42" s="42">
        <v>9</v>
      </c>
      <c r="I42" s="42">
        <v>15</v>
      </c>
      <c r="J42" s="42">
        <v>1</v>
      </c>
      <c r="K42" s="42">
        <v>6</v>
      </c>
      <c r="L42" s="42">
        <v>4</v>
      </c>
      <c r="M42" s="42">
        <v>1</v>
      </c>
      <c r="N42" s="42">
        <v>12</v>
      </c>
      <c r="O42" s="42">
        <v>4</v>
      </c>
      <c r="P42" s="42"/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1+1+6+12+1+2+6+5+459+2</f>
        <v>495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F77D-7744-4A4B-B3A5-EE125B6AEB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20</v>
      </c>
      <c r="I24" s="14"/>
      <c r="J24" s="14"/>
      <c r="K24" s="14"/>
      <c r="L24" s="14">
        <v>4</v>
      </c>
      <c r="M24" s="14">
        <v>405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/>
      <c r="L31" s="23">
        <v>0</v>
      </c>
      <c r="M31" s="23">
        <v>128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4</v>
      </c>
      <c r="M32" s="28">
        <v>277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3</v>
      </c>
      <c r="H36" s="42">
        <v>4</v>
      </c>
      <c r="I36" s="42">
        <v>2</v>
      </c>
      <c r="J36" s="42"/>
      <c r="K36" s="42"/>
      <c r="L36" s="42"/>
      <c r="M36" s="42"/>
      <c r="N36" s="42"/>
      <c r="O36" s="42">
        <v>2</v>
      </c>
      <c r="P36" s="42">
        <v>8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3</v>
      </c>
      <c r="H42" s="42">
        <v>4</v>
      </c>
      <c r="I42" s="42">
        <v>2</v>
      </c>
      <c r="J42" s="42"/>
      <c r="K42" s="42"/>
      <c r="L42" s="42"/>
      <c r="M42" s="42"/>
      <c r="N42" s="42"/>
      <c r="O42" s="42">
        <v>2</v>
      </c>
      <c r="P42" s="42">
        <v>8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8+20+4+277</f>
        <v>309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1301-2D6B-4CE4-8D95-58F093699B97}">
  <dimension ref="B1:AA45"/>
  <sheetViews>
    <sheetView showGridLines="0" zoomScale="160" zoomScaleNormal="160" workbookViewId="0">
      <selection activeCell="H26" sqref="H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4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4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10</v>
      </c>
      <c r="L24" s="14">
        <v>52</v>
      </c>
      <c r="M24" s="14">
        <v>542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1</v>
      </c>
      <c r="M31" s="23">
        <v>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10</v>
      </c>
      <c r="L32" s="28">
        <v>51</v>
      </c>
      <c r="M32" s="28">
        <v>536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9</v>
      </c>
      <c r="F36" s="42">
        <v>698</v>
      </c>
      <c r="G36" s="42">
        <v>1</v>
      </c>
      <c r="H36" s="42">
        <v>4</v>
      </c>
      <c r="I36" s="42">
        <v>15</v>
      </c>
      <c r="J36" s="42"/>
      <c r="K36" s="42">
        <v>6</v>
      </c>
      <c r="L36" s="42">
        <v>17</v>
      </c>
      <c r="M36" s="42">
        <v>2</v>
      </c>
      <c r="N36" s="42">
        <v>11</v>
      </c>
      <c r="O36" s="42">
        <v>15</v>
      </c>
      <c r="P36" s="42">
        <v>4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9</v>
      </c>
      <c r="F42" s="42">
        <v>698</v>
      </c>
      <c r="G42" s="42">
        <v>1</v>
      </c>
      <c r="H42" s="42">
        <v>4</v>
      </c>
      <c r="I42" s="42">
        <v>15</v>
      </c>
      <c r="J42" s="42"/>
      <c r="K42" s="42">
        <v>6</v>
      </c>
      <c r="L42" s="42">
        <v>17</v>
      </c>
      <c r="M42" s="42">
        <v>2</v>
      </c>
      <c r="N42" s="42">
        <v>11</v>
      </c>
      <c r="O42" s="42">
        <v>15</v>
      </c>
      <c r="P42" s="42">
        <v>4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20+12+4+1+5+108+10+51+536+3</f>
        <v>750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70DE8-DED5-4F55-9FFB-A795E7A10F2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C2FC-1BA0-4E98-BFAF-10D98E17D1D0}">
  <dimension ref="B1:AA45"/>
  <sheetViews>
    <sheetView showGridLines="0" zoomScale="145" zoomScaleNormal="145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/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1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</v>
      </c>
      <c r="G24" s="14"/>
      <c r="H24" s="14">
        <v>43</v>
      </c>
      <c r="I24" s="14">
        <v>2</v>
      </c>
      <c r="J24" s="14"/>
      <c r="K24" s="14">
        <v>2</v>
      </c>
      <c r="L24" s="14">
        <v>10</v>
      </c>
      <c r="M24" s="14">
        <v>364</v>
      </c>
      <c r="N24" s="14">
        <v>2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5</v>
      </c>
      <c r="M31" s="23">
        <v>49</v>
      </c>
      <c r="N31" s="23">
        <v>1</v>
      </c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</v>
      </c>
      <c r="G32" s="28"/>
      <c r="H32" s="28">
        <v>43</v>
      </c>
      <c r="I32" s="28">
        <v>1</v>
      </c>
      <c r="J32" s="28"/>
      <c r="K32" s="28">
        <v>0</v>
      </c>
      <c r="L32" s="28">
        <v>5</v>
      </c>
      <c r="M32" s="28">
        <v>315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5</v>
      </c>
      <c r="H36" s="42"/>
      <c r="I36" s="42">
        <v>6</v>
      </c>
      <c r="J36" s="42">
        <v>2</v>
      </c>
      <c r="K36" s="42">
        <v>10</v>
      </c>
      <c r="L36" s="42">
        <v>1</v>
      </c>
      <c r="M36" s="42">
        <v>2</v>
      </c>
      <c r="N36" s="42"/>
      <c r="O36" s="42">
        <v>1</v>
      </c>
      <c r="P36" s="42"/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5</v>
      </c>
      <c r="H42" s="42"/>
      <c r="I42" s="42">
        <v>6</v>
      </c>
      <c r="J42" s="42">
        <v>2</v>
      </c>
      <c r="K42" s="42">
        <v>10</v>
      </c>
      <c r="L42" s="42">
        <v>1</v>
      </c>
      <c r="M42" s="42">
        <v>2</v>
      </c>
      <c r="N42" s="42"/>
      <c r="O42" s="42">
        <v>1</v>
      </c>
      <c r="P42" s="42"/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5+2+1+1+1+1+1+1+43+1+5+315+1</f>
        <v>378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1EB2-A201-4084-9718-C519322CD7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416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25</v>
      </c>
      <c r="I31" s="23"/>
      <c r="J31" s="23"/>
      <c r="K31" s="23">
        <v>1</v>
      </c>
      <c r="L31" s="23">
        <v>4</v>
      </c>
      <c r="M31" s="23">
        <v>89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2</v>
      </c>
      <c r="M32" s="28">
        <v>327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1</v>
      </c>
      <c r="H36" s="42"/>
      <c r="I36" s="42"/>
      <c r="J36" s="42"/>
      <c r="K36" s="42"/>
      <c r="L36" s="42"/>
      <c r="M36" s="42"/>
      <c r="N36" s="42"/>
      <c r="O36" s="42">
        <v>3</v>
      </c>
      <c r="P36" s="42">
        <v>8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1</v>
      </c>
      <c r="H42" s="42"/>
      <c r="I42" s="42"/>
      <c r="J42" s="42"/>
      <c r="K42" s="42"/>
      <c r="L42" s="42"/>
      <c r="M42" s="42"/>
      <c r="N42" s="42"/>
      <c r="O42" s="42">
        <v>3</v>
      </c>
      <c r="P42" s="42">
        <v>8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1+11+1+5+2+327</f>
        <v>347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F1AA-1D94-48BD-B1E8-21C6B4141E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43</v>
      </c>
      <c r="I24" s="14"/>
      <c r="J24" s="14"/>
      <c r="K24" s="14">
        <v>2</v>
      </c>
      <c r="L24" s="14">
        <v>26</v>
      </c>
      <c r="M24" s="14">
        <v>581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23</v>
      </c>
      <c r="I31" s="23"/>
      <c r="J31" s="23"/>
      <c r="K31" s="23">
        <v>2</v>
      </c>
      <c r="L31" s="23">
        <v>3</v>
      </c>
      <c r="M31" s="23">
        <v>8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23</v>
      </c>
      <c r="M32" s="28">
        <v>573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657</v>
      </c>
      <c r="G36" s="42">
        <v>10</v>
      </c>
      <c r="H36" s="42">
        <v>5</v>
      </c>
      <c r="I36" s="42">
        <v>21</v>
      </c>
      <c r="J36" s="42"/>
      <c r="K36" s="42">
        <v>4</v>
      </c>
      <c r="L36" s="42">
        <v>2</v>
      </c>
      <c r="M36" s="42"/>
      <c r="N36" s="42">
        <v>12</v>
      </c>
      <c r="O36" s="42">
        <v>18</v>
      </c>
      <c r="P36" s="42">
        <v>5</v>
      </c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657</v>
      </c>
      <c r="G42" s="42">
        <v>10</v>
      </c>
      <c r="H42" s="42">
        <v>5</v>
      </c>
      <c r="I42" s="42">
        <v>21</v>
      </c>
      <c r="J42" s="42"/>
      <c r="K42" s="42">
        <v>4</v>
      </c>
      <c r="L42" s="42">
        <v>2</v>
      </c>
      <c r="M42" s="42"/>
      <c r="N42" s="42">
        <v>12</v>
      </c>
      <c r="O42" s="42">
        <v>18</v>
      </c>
      <c r="P42" s="42">
        <v>5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16+1+1+20+23+573</f>
        <v>634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88DB-AC95-4CEC-9ED0-6FDE50790F7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7035-0425-47F5-9E94-ECB40021CCD6}">
  <dimension ref="B1:AA45"/>
  <sheetViews>
    <sheetView showGridLines="0" topLeftCell="A32" zoomScale="150" zoomScaleNormal="15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>
        <v>5</v>
      </c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0</v>
      </c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>
        <v>5</v>
      </c>
      <c r="H16" s="28">
        <v>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>
        <v>0</v>
      </c>
      <c r="V16" s="28"/>
      <c r="W16" s="56">
        <v>1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3</v>
      </c>
      <c r="G24" s="14"/>
      <c r="H24" s="14">
        <v>10</v>
      </c>
      <c r="I24" s="14">
        <v>1</v>
      </c>
      <c r="J24" s="14"/>
      <c r="K24" s="14">
        <v>52</v>
      </c>
      <c r="L24" s="14">
        <v>25</v>
      </c>
      <c r="M24" s="14">
        <v>457</v>
      </c>
      <c r="N24" s="14">
        <v>1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0</v>
      </c>
      <c r="M31" s="23">
        <v>1</v>
      </c>
      <c r="N31" s="23">
        <v>0</v>
      </c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3</v>
      </c>
      <c r="G32" s="28"/>
      <c r="H32" s="28">
        <v>10</v>
      </c>
      <c r="I32" s="28">
        <v>0</v>
      </c>
      <c r="J32" s="28"/>
      <c r="K32" s="28">
        <v>50</v>
      </c>
      <c r="L32" s="28">
        <v>25</v>
      </c>
      <c r="M32" s="28">
        <v>456</v>
      </c>
      <c r="N32" s="28">
        <v>1</v>
      </c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>
        <v>7</v>
      </c>
      <c r="E36" s="42"/>
      <c r="F36" s="42">
        <v>321</v>
      </c>
      <c r="G36" s="42">
        <v>193</v>
      </c>
      <c r="H36" s="42">
        <v>3</v>
      </c>
      <c r="I36" s="42">
        <v>7</v>
      </c>
      <c r="J36" s="42">
        <v>19</v>
      </c>
      <c r="K36" s="42"/>
      <c r="L36" s="42">
        <v>59</v>
      </c>
      <c r="M36" s="42">
        <v>58</v>
      </c>
      <c r="N36" s="42"/>
      <c r="O36" s="42">
        <v>1</v>
      </c>
      <c r="P36" s="42"/>
      <c r="Q36" s="43">
        <v>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>
        <v>7</v>
      </c>
      <c r="E42" s="42"/>
      <c r="F42" s="42">
        <v>321</v>
      </c>
      <c r="G42" s="42">
        <v>193</v>
      </c>
      <c r="H42" s="42">
        <v>3</v>
      </c>
      <c r="I42" s="42">
        <v>7</v>
      </c>
      <c r="J42" s="42">
        <v>19</v>
      </c>
      <c r="K42" s="42"/>
      <c r="L42" s="42">
        <v>59</v>
      </c>
      <c r="M42" s="42">
        <v>58</v>
      </c>
      <c r="N42" s="42"/>
      <c r="O42" s="42">
        <v>1</v>
      </c>
      <c r="P42" s="42"/>
      <c r="Q42" s="43">
        <v>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1+5+5+1+4+1+1+1+2+3+10+50+25+456+1+3</f>
        <v>569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2D1E-01A7-417D-8264-411CFDF7E90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4</v>
      </c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4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86" t="s">
        <v>108</v>
      </c>
      <c r="G24" s="14"/>
      <c r="H24" s="14">
        <v>25</v>
      </c>
      <c r="I24" s="14"/>
      <c r="J24" s="14"/>
      <c r="K24" s="14">
        <v>1</v>
      </c>
      <c r="L24" s="14">
        <v>6</v>
      </c>
      <c r="M24" s="14">
        <v>377</v>
      </c>
      <c r="N24" s="14">
        <v>2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88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112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</v>
      </c>
      <c r="G32" s="28"/>
      <c r="H32" s="28">
        <v>20</v>
      </c>
      <c r="I32" s="28"/>
      <c r="J32" s="28"/>
      <c r="K32" s="28">
        <v>0</v>
      </c>
      <c r="L32" s="28">
        <v>6</v>
      </c>
      <c r="M32" s="28">
        <v>265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</v>
      </c>
      <c r="F36" s="42">
        <v>267</v>
      </c>
      <c r="G36" s="42">
        <v>6</v>
      </c>
      <c r="H36" s="42"/>
      <c r="I36" s="42">
        <v>5</v>
      </c>
      <c r="J36" s="42">
        <v>1</v>
      </c>
      <c r="K36" s="42">
        <v>7</v>
      </c>
      <c r="L36" s="42"/>
      <c r="M36" s="42">
        <v>2</v>
      </c>
      <c r="N36" s="42">
        <v>18</v>
      </c>
      <c r="O36" s="42">
        <v>3</v>
      </c>
      <c r="P36" s="42">
        <v>5</v>
      </c>
      <c r="Q36" s="43">
        <v>7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</v>
      </c>
      <c r="F42" s="42">
        <v>267</v>
      </c>
      <c r="G42" s="42">
        <v>6</v>
      </c>
      <c r="H42" s="42"/>
      <c r="I42" s="42">
        <v>5</v>
      </c>
      <c r="J42" s="42">
        <v>1</v>
      </c>
      <c r="K42" s="42">
        <v>7</v>
      </c>
      <c r="L42" s="42"/>
      <c r="M42" s="42">
        <v>2</v>
      </c>
      <c r="N42" s="42">
        <v>18</v>
      </c>
      <c r="O42" s="42">
        <v>3</v>
      </c>
      <c r="P42" s="42">
        <v>5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4+9+2+1+1+2+20+6+265+1</f>
        <v>311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85374-B27F-41BD-8954-13AC3C67BF5D}">
  <dimension ref="B1:AA45"/>
  <sheetViews>
    <sheetView showGridLines="0" topLeftCell="A29" zoomScale="160" zoomScaleNormal="160" workbookViewId="0">
      <selection activeCell="H47" sqref="H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2</v>
      </c>
      <c r="E16" s="27"/>
      <c r="F16" s="27"/>
      <c r="G16" s="28"/>
      <c r="H16" s="28">
        <v>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15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2</v>
      </c>
      <c r="L24" s="14">
        <v>18</v>
      </c>
      <c r="M24" s="14">
        <v>656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1</v>
      </c>
      <c r="M31" s="23">
        <v>209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20</v>
      </c>
      <c r="I32" s="28"/>
      <c r="J32" s="28"/>
      <c r="K32" s="28">
        <v>2</v>
      </c>
      <c r="L32" s="28">
        <v>17</v>
      </c>
      <c r="M32" s="28">
        <v>447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4</v>
      </c>
      <c r="I36" s="42">
        <v>22</v>
      </c>
      <c r="J36" s="42">
        <v>1</v>
      </c>
      <c r="K36" s="42">
        <v>4</v>
      </c>
      <c r="L36" s="42">
        <v>11</v>
      </c>
      <c r="M36" s="42"/>
      <c r="N36" s="42">
        <v>2</v>
      </c>
      <c r="O36" s="42">
        <v>13</v>
      </c>
      <c r="P36" s="42">
        <v>3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4</v>
      </c>
      <c r="I42" s="42">
        <v>22</v>
      </c>
      <c r="J42" s="42">
        <v>1</v>
      </c>
      <c r="K42" s="42">
        <v>4</v>
      </c>
      <c r="L42" s="42">
        <v>11</v>
      </c>
      <c r="M42" s="42"/>
      <c r="N42" s="42">
        <v>2</v>
      </c>
      <c r="O42" s="42">
        <v>13</v>
      </c>
      <c r="P42" s="42">
        <v>3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1+2+17+2+15+1+1+2+20+2+17+447</f>
        <v>527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03AB-0158-43BF-853C-FE4C0A95F74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A4669-CB8F-4E3B-A72B-615CA0A9DA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20C8-E3FC-45E2-A024-C340A533834B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6" t="s">
        <v>85</v>
      </c>
      <c r="G24" s="14"/>
      <c r="H24" s="14">
        <v>68</v>
      </c>
      <c r="I24" s="14"/>
      <c r="J24" s="14"/>
      <c r="K24" s="14">
        <v>1</v>
      </c>
      <c r="L24" s="14">
        <v>3</v>
      </c>
      <c r="M24" s="14">
        <v>488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85</v>
      </c>
      <c r="G31" s="23"/>
      <c r="H31" s="23">
        <v>2</v>
      </c>
      <c r="I31" s="23"/>
      <c r="J31" s="23"/>
      <c r="K31" s="23">
        <v>1</v>
      </c>
      <c r="L31" s="23">
        <v>0</v>
      </c>
      <c r="M31" s="23">
        <v>55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66</v>
      </c>
      <c r="I32" s="28"/>
      <c r="J32" s="28"/>
      <c r="K32" s="28">
        <v>0</v>
      </c>
      <c r="L32" s="28">
        <v>3</v>
      </c>
      <c r="M32" s="28">
        <v>433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281</v>
      </c>
      <c r="G36" s="42">
        <v>21</v>
      </c>
      <c r="H36" s="42">
        <v>5</v>
      </c>
      <c r="I36" s="42">
        <v>20</v>
      </c>
      <c r="J36" s="42">
        <v>2</v>
      </c>
      <c r="K36" s="42">
        <v>7</v>
      </c>
      <c r="L36" s="42"/>
      <c r="M36" s="42"/>
      <c r="N36" s="42">
        <v>4</v>
      </c>
      <c r="O36" s="42">
        <v>4</v>
      </c>
      <c r="P36" s="42">
        <v>10</v>
      </c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281</v>
      </c>
      <c r="G42" s="42">
        <v>21</v>
      </c>
      <c r="H42" s="42">
        <v>5</v>
      </c>
      <c r="I42" s="42">
        <v>20</v>
      </c>
      <c r="J42" s="42">
        <v>2</v>
      </c>
      <c r="K42" s="42">
        <v>7</v>
      </c>
      <c r="L42" s="42"/>
      <c r="M42" s="42"/>
      <c r="N42" s="42">
        <v>4</v>
      </c>
      <c r="O42" s="42">
        <v>4</v>
      </c>
      <c r="P42" s="42">
        <v>10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>
        <f>15+66+3+433</f>
        <v>517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D335F-2505-46BA-850E-8BAA41DE5D73}">
  <dimension ref="B1:AA45"/>
  <sheetViews>
    <sheetView showGridLines="0" zoomScale="160" zoomScaleNormal="160" workbookViewId="0">
      <selection activeCell="N42" sqref="N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10</v>
      </c>
      <c r="E8" s="14">
        <v>5</v>
      </c>
      <c r="F8" s="14"/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>
        <v>1</v>
      </c>
      <c r="V8" s="14"/>
      <c r="W8" s="14">
        <v>20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5</v>
      </c>
      <c r="D16" s="58">
        <v>10</v>
      </c>
      <c r="E16" s="27">
        <v>5</v>
      </c>
      <c r="F16" s="27"/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>
        <v>1</v>
      </c>
      <c r="V16" s="28"/>
      <c r="W16" s="56">
        <v>20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10</v>
      </c>
      <c r="G24" s="14"/>
      <c r="H24" s="14">
        <v>53</v>
      </c>
      <c r="I24" s="14">
        <v>1</v>
      </c>
      <c r="J24" s="14"/>
      <c r="K24" s="14">
        <v>10</v>
      </c>
      <c r="L24" s="14">
        <v>21</v>
      </c>
      <c r="M24" s="14">
        <v>209</v>
      </c>
      <c r="N24" s="14">
        <v>4</v>
      </c>
      <c r="O24" s="14"/>
      <c r="P24" s="14" t="s">
        <v>138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1</v>
      </c>
      <c r="M31" s="23">
        <v>4</v>
      </c>
      <c r="N31" s="23">
        <v>0</v>
      </c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10</v>
      </c>
      <c r="G32" s="28"/>
      <c r="H32" s="28">
        <v>52</v>
      </c>
      <c r="I32" s="28">
        <v>1</v>
      </c>
      <c r="J32" s="28"/>
      <c r="K32" s="28">
        <v>10</v>
      </c>
      <c r="L32" s="28">
        <v>20</v>
      </c>
      <c r="M32" s="28">
        <v>205</v>
      </c>
      <c r="N32" s="28">
        <v>4</v>
      </c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8</v>
      </c>
      <c r="F36" s="42">
        <v>59</v>
      </c>
      <c r="G36" s="42">
        <v>194</v>
      </c>
      <c r="H36" s="42"/>
      <c r="I36" s="42"/>
      <c r="J36" s="42">
        <v>20</v>
      </c>
      <c r="K36" s="42">
        <v>11</v>
      </c>
      <c r="L36" s="42"/>
      <c r="M36" s="42">
        <v>43</v>
      </c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8</v>
      </c>
      <c r="F42" s="42">
        <v>59</v>
      </c>
      <c r="G42" s="42">
        <v>194</v>
      </c>
      <c r="H42" s="42"/>
      <c r="I42" s="42"/>
      <c r="J42" s="42">
        <v>20</v>
      </c>
      <c r="K42" s="42">
        <v>11</v>
      </c>
      <c r="L42" s="42"/>
      <c r="M42" s="42">
        <v>43</v>
      </c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>
        <f>5+10+5+10+1+20+5+1+10+52+1+10+20+205+4+10</f>
        <v>369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43AD5-AEBE-43A3-A434-84A05AD00EB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3B82E-D659-42B0-A89B-9DDD7352D7A1}">
  <dimension ref="B1:AA45"/>
  <sheetViews>
    <sheetView showGridLines="0" topLeftCell="A29" zoomScale="150" zoomScaleNormal="150" workbookViewId="0">
      <selection activeCell="G39" sqref="G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/>
      <c r="L24" s="14">
        <v>3</v>
      </c>
      <c r="M24" s="14">
        <v>594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21</v>
      </c>
      <c r="I32" s="28"/>
      <c r="J32" s="28"/>
      <c r="K32" s="28"/>
      <c r="L32" s="28">
        <v>3</v>
      </c>
      <c r="M32" s="28">
        <v>592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499</v>
      </c>
      <c r="G36" s="42">
        <v>5</v>
      </c>
      <c r="H36" s="42">
        <v>2</v>
      </c>
      <c r="I36" s="42">
        <v>2</v>
      </c>
      <c r="J36" s="42">
        <v>1</v>
      </c>
      <c r="K36" s="42">
        <v>9</v>
      </c>
      <c r="L36" s="42"/>
      <c r="M36" s="42"/>
      <c r="N36" s="42"/>
      <c r="O36" s="42">
        <v>2</v>
      </c>
      <c r="P36" s="42">
        <v>21</v>
      </c>
      <c r="Q36" s="43">
        <v>8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499</v>
      </c>
      <c r="G42" s="42">
        <v>5</v>
      </c>
      <c r="H42" s="42">
        <v>2</v>
      </c>
      <c r="I42" s="42">
        <v>2</v>
      </c>
      <c r="J42" s="42">
        <v>1</v>
      </c>
      <c r="K42" s="42">
        <v>9</v>
      </c>
      <c r="L42" s="42"/>
      <c r="M42" s="42"/>
      <c r="N42" s="42"/>
      <c r="O42" s="42">
        <v>2</v>
      </c>
      <c r="P42" s="42">
        <v>21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22+21+3+592</f>
        <v>638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7403-C55B-4E9E-B4D0-806AD0BEF131}">
  <dimension ref="B1:AA45"/>
  <sheetViews>
    <sheetView showGridLines="0" tabSelected="1" topLeftCell="A29" zoomScale="160" zoomScaleNormal="160" workbookViewId="0">
      <selection activeCell="J47" sqref="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456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193</v>
      </c>
      <c r="N31" s="23">
        <v>0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30</v>
      </c>
      <c r="I32" s="28"/>
      <c r="J32" s="28"/>
      <c r="K32" s="28">
        <v>1</v>
      </c>
      <c r="L32" s="28">
        <v>6</v>
      </c>
      <c r="M32" s="28">
        <v>263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4</v>
      </c>
      <c r="H36" s="42">
        <v>1</v>
      </c>
      <c r="I36" s="42">
        <v>1</v>
      </c>
      <c r="J36" s="42">
        <v>1</v>
      </c>
      <c r="K36" s="42">
        <v>9</v>
      </c>
      <c r="L36" s="42"/>
      <c r="M36" s="42"/>
      <c r="N36" s="42">
        <v>5</v>
      </c>
      <c r="O36" s="42">
        <v>5</v>
      </c>
      <c r="P36" s="42"/>
      <c r="Q36" s="43">
        <v>20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4</v>
      </c>
      <c r="H42" s="42">
        <v>1</v>
      </c>
      <c r="I42" s="42">
        <v>1</v>
      </c>
      <c r="J42" s="42">
        <v>1</v>
      </c>
      <c r="K42" s="42">
        <v>9</v>
      </c>
      <c r="L42" s="42"/>
      <c r="M42" s="42"/>
      <c r="N42" s="42">
        <v>5</v>
      </c>
      <c r="O42" s="42">
        <v>5</v>
      </c>
      <c r="P42" s="42"/>
      <c r="Q42" s="43">
        <v>20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4+1+1+30+1+6+263+1</f>
        <v>307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66C4-DDBE-4096-90F8-034DFB29DEB3}">
  <dimension ref="B1:AA45"/>
  <sheetViews>
    <sheetView showGridLines="0" topLeftCell="A27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5</v>
      </c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5</v>
      </c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109</v>
      </c>
      <c r="I24" s="14"/>
      <c r="J24" s="14"/>
      <c r="K24" s="14"/>
      <c r="L24" s="14">
        <v>21</v>
      </c>
      <c r="M24" s="14">
        <v>542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11</v>
      </c>
      <c r="M31" s="23">
        <v>68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59</v>
      </c>
      <c r="I32" s="28"/>
      <c r="J32" s="28"/>
      <c r="K32" s="28"/>
      <c r="L32" s="28">
        <v>10</v>
      </c>
      <c r="M32" s="28">
        <v>474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531</v>
      </c>
      <c r="G36" s="42"/>
      <c r="H36" s="42"/>
      <c r="I36" s="42">
        <v>10</v>
      </c>
      <c r="J36" s="42"/>
      <c r="K36" s="42"/>
      <c r="L36" s="42"/>
      <c r="M36" s="42"/>
      <c r="N36" s="42"/>
      <c r="O36" s="42">
        <v>8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531</v>
      </c>
      <c r="G42" s="42"/>
      <c r="H42" s="42"/>
      <c r="I42" s="42">
        <v>10</v>
      </c>
      <c r="J42" s="42"/>
      <c r="K42" s="42"/>
      <c r="L42" s="42"/>
      <c r="M42" s="42"/>
      <c r="N42" s="42"/>
      <c r="O42" s="42">
        <v>8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5+15+59+10+474</f>
        <v>563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96</vt:i4>
      </vt:variant>
      <vt:variant>
        <vt:lpstr>Named Ranges</vt:lpstr>
      </vt:variant>
      <vt:variant>
        <vt:i4>95</vt:i4>
      </vt:variant>
    </vt:vector>
  </HeadingPairs>
  <TitlesOfParts>
    <vt:vector size="191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 NO TRIP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(23)</vt:lpstr>
      <vt:lpstr>06-23 R1</vt:lpstr>
      <vt:lpstr>06-23 R2</vt:lpstr>
      <vt:lpstr>06-23 R3</vt:lpstr>
      <vt:lpstr>(24)</vt:lpstr>
      <vt:lpstr>06-24 R1</vt:lpstr>
      <vt:lpstr>06-24 R2</vt:lpstr>
      <vt:lpstr>06-24 R3</vt:lpstr>
      <vt:lpstr>(25)</vt:lpstr>
      <vt:lpstr>06-25 R1</vt:lpstr>
      <vt:lpstr>06-25 R2</vt:lpstr>
      <vt:lpstr>06-25 R3</vt:lpstr>
      <vt:lpstr>(26)</vt:lpstr>
      <vt:lpstr>06-26 R1 NO TRIP</vt:lpstr>
      <vt:lpstr>06-26 R2</vt:lpstr>
      <vt:lpstr>06-26 R3</vt:lpstr>
      <vt:lpstr>(29)</vt:lpstr>
      <vt:lpstr>06-29 R1 </vt:lpstr>
      <vt:lpstr>06-29 R2</vt:lpstr>
      <vt:lpstr>06-29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'(29)'!Print_Area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 NO TRIP'!Print_Area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  <vt:lpstr>'06-23 R1'!Print_Area</vt:lpstr>
      <vt:lpstr>'06-23 R2'!Print_Area</vt:lpstr>
      <vt:lpstr>'06-23 R3'!Print_Area</vt:lpstr>
      <vt:lpstr>'06-24 R1'!Print_Area</vt:lpstr>
      <vt:lpstr>'06-24 R2'!Print_Area</vt:lpstr>
      <vt:lpstr>'06-24 R3'!Print_Area</vt:lpstr>
      <vt:lpstr>'06-25 R1'!Print_Area</vt:lpstr>
      <vt:lpstr>'06-25 R2'!Print_Area</vt:lpstr>
      <vt:lpstr>'06-25 R3'!Print_Area</vt:lpstr>
      <vt:lpstr>'06-26 R1 NO TRIP'!Print_Area</vt:lpstr>
      <vt:lpstr>'06-26 R2'!Print_Area</vt:lpstr>
      <vt:lpstr>'06-26 R3'!Print_Area</vt:lpstr>
      <vt:lpstr>'06-29 R1 '!Print_Area</vt:lpstr>
      <vt:lpstr>'06-29 R2'!Print_Area</vt:lpstr>
      <vt:lpstr>'06-29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2026-06-29T08:54:08Z</dcterms:modified>
</cp:coreProperties>
</file>