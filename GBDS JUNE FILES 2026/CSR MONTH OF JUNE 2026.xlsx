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24C253D3-FBAA-487E-8EED-A7967D639A69}" xr6:coauthVersionLast="45" xr6:coauthVersionMax="47" xr10:uidLastSave="{00000000-0000-0000-0000-000000000000}"/>
  <bookViews>
    <workbookView xWindow="-120" yWindow="-120" windowWidth="29040" windowHeight="15840" firstSheet="88" activeTab="99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 NO TRIP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 NO TRIP" sheetId="1744" r:id="rId27"/>
    <sheet name="06-08 R2" sheetId="1745" r:id="rId28"/>
    <sheet name="06-08 R3" sheetId="1746" r:id="rId29"/>
    <sheet name="(9)" sheetId="1747" r:id="rId30"/>
    <sheet name="06-09 R1" sheetId="1748" r:id="rId31"/>
    <sheet name="06-09 R2" sheetId="1749" r:id="rId32"/>
    <sheet name="06-09 R3" sheetId="1750" r:id="rId33"/>
    <sheet name="(10)" sheetId="1751" r:id="rId34"/>
    <sheet name="06-10 R1" sheetId="1752" r:id="rId35"/>
    <sheet name="06-10 R2 NO TRIP" sheetId="1753" r:id="rId36"/>
    <sheet name="(11)" sheetId="1755" r:id="rId37"/>
    <sheet name="06-11 R1 NO TRIP" sheetId="1756" r:id="rId38"/>
    <sheet name="06-11 R2" sheetId="1757" r:id="rId39"/>
    <sheet name="06-11 R3" sheetId="1754" r:id="rId40"/>
    <sheet name="(12)" sheetId="1758" r:id="rId41"/>
    <sheet name="06-12 R1" sheetId="1759" r:id="rId42"/>
    <sheet name="06-12 R2" sheetId="1760" r:id="rId43"/>
    <sheet name="06-12 R3 NO TRIP" sheetId="1761" r:id="rId44"/>
    <sheet name="(13)" sheetId="1762" r:id="rId45"/>
    <sheet name="06-13 R1" sheetId="1763" r:id="rId46"/>
    <sheet name="06-13 R2" sheetId="1764" r:id="rId47"/>
    <sheet name="06-13 R3" sheetId="1765" r:id="rId48"/>
    <sheet name="(15)" sheetId="1766" r:id="rId49"/>
    <sheet name="06-15 R1" sheetId="1767" r:id="rId50"/>
    <sheet name="06-15 R2" sheetId="1768" r:id="rId51"/>
    <sheet name="06-15 R3" sheetId="1769" r:id="rId52"/>
    <sheet name="(16)" sheetId="1770" r:id="rId53"/>
    <sheet name="06-16 R1" sheetId="1771" r:id="rId54"/>
    <sheet name="06-16 R2" sheetId="1772" r:id="rId55"/>
    <sheet name="06-16 R3" sheetId="1773" r:id="rId56"/>
    <sheet name="(17)" sheetId="1774" r:id="rId57"/>
    <sheet name="06-17 R1" sheetId="1775" r:id="rId58"/>
    <sheet name="06-17 R2" sheetId="1776" r:id="rId59"/>
    <sheet name="06-17 R3" sheetId="1777" r:id="rId60"/>
    <sheet name="(18)" sheetId="1778" r:id="rId61"/>
    <sheet name="06-18 R1" sheetId="1779" r:id="rId62"/>
    <sheet name="06-18 R2" sheetId="1780" r:id="rId63"/>
    <sheet name="06-18 R3" sheetId="1781" r:id="rId64"/>
    <sheet name="(19)" sheetId="1782" r:id="rId65"/>
    <sheet name="06-19 R1 NO TRIP" sheetId="1783" r:id="rId66"/>
    <sheet name="06-19 R2" sheetId="1784" r:id="rId67"/>
    <sheet name="06-19 R3" sheetId="1785" r:id="rId68"/>
    <sheet name="(20)" sheetId="1786" r:id="rId69"/>
    <sheet name="06-20 R1" sheetId="1787" r:id="rId70"/>
    <sheet name="06-20 R2" sheetId="1788" r:id="rId71"/>
    <sheet name="06-20 R3" sheetId="1789" r:id="rId72"/>
    <sheet name="(22)" sheetId="1790" r:id="rId73"/>
    <sheet name="06-22 R1" sheetId="1791" r:id="rId74"/>
    <sheet name="06-22 R2" sheetId="1792" r:id="rId75"/>
    <sheet name="06-22 R3" sheetId="1793" r:id="rId76"/>
    <sheet name="(23)" sheetId="1794" r:id="rId77"/>
    <sheet name="06-23 R1" sheetId="1799" r:id="rId78"/>
    <sheet name="06-23 R2" sheetId="1800" r:id="rId79"/>
    <sheet name="06-23 R3" sheetId="1797" r:id="rId80"/>
    <sheet name="(24)" sheetId="1798" r:id="rId81"/>
    <sheet name="06-24 R1" sheetId="1795" r:id="rId82"/>
    <sheet name="06-24 R2" sheetId="1796" r:id="rId83"/>
    <sheet name="06-24 R3" sheetId="1801" r:id="rId84"/>
    <sheet name="(25)" sheetId="1802" r:id="rId85"/>
    <sheet name="06-25 R1" sheetId="1803" r:id="rId86"/>
    <sheet name="06-25 R2" sheetId="1804" r:id="rId87"/>
    <sheet name="06-25 R3" sheetId="1805" r:id="rId88"/>
    <sheet name="(26)" sheetId="1806" r:id="rId89"/>
    <sheet name="06-26 R1 NO TRIP" sheetId="1807" r:id="rId90"/>
    <sheet name="06-26 R2" sheetId="1808" r:id="rId91"/>
    <sheet name="06-26 R3" sheetId="1809" r:id="rId92"/>
    <sheet name="(29)" sheetId="1810" r:id="rId93"/>
    <sheet name="06-29 R1 " sheetId="1811" r:id="rId94"/>
    <sheet name="06-29 R2" sheetId="1812" r:id="rId95"/>
    <sheet name="06-29 R3" sheetId="1813" r:id="rId96"/>
    <sheet name="(30)" sheetId="1814" r:id="rId97"/>
    <sheet name="06-30 R1 " sheetId="1815" r:id="rId98"/>
    <sheet name="06-30 R2" sheetId="1816" r:id="rId99"/>
    <sheet name="06-30 R3" sheetId="1817" r:id="rId100"/>
  </sheets>
  <externalReferences>
    <externalReference r:id="rId101"/>
  </externalReferences>
  <definedNames>
    <definedName name="_xlnm.Print_Area" localSheetId="1">'(01)'!$A$1:$Z$44</definedName>
    <definedName name="_xlnm.Print_Area" localSheetId="33">'(10)'!$A$1:$Z$44</definedName>
    <definedName name="_xlnm.Print_Area" localSheetId="36">'(11)'!$A$1:$Z$44</definedName>
    <definedName name="_xlnm.Print_Area" localSheetId="40">'(12)'!$A$1:$Z$44</definedName>
    <definedName name="_xlnm.Print_Area" localSheetId="44">'(13)'!$A$1:$Z$44</definedName>
    <definedName name="_xlnm.Print_Area" localSheetId="48">'(15)'!$A$1:$Z$44</definedName>
    <definedName name="_xlnm.Print_Area" localSheetId="52">'(16)'!$A$1:$Z$44</definedName>
    <definedName name="_xlnm.Print_Area" localSheetId="56">'(17)'!$A$1:$Z$44</definedName>
    <definedName name="_xlnm.Print_Area" localSheetId="60">'(18)'!$A$1:$Z$44</definedName>
    <definedName name="_xlnm.Print_Area" localSheetId="64">'(19)'!$A$1:$Z$44</definedName>
    <definedName name="_xlnm.Print_Area" localSheetId="5">'(2)'!$A$1:$Z$44</definedName>
    <definedName name="_xlnm.Print_Area" localSheetId="68">'(20)'!$A$1:$Z$44</definedName>
    <definedName name="_xlnm.Print_Area" localSheetId="72">'(22)'!$A$1:$Z$44</definedName>
    <definedName name="_xlnm.Print_Area" localSheetId="76">'(23)'!$A$1:$Z$44</definedName>
    <definedName name="_xlnm.Print_Area" localSheetId="80">'(24)'!$A$1:$Z$44</definedName>
    <definedName name="_xlnm.Print_Area" localSheetId="84">'(25)'!$A$1:$Z$44</definedName>
    <definedName name="_xlnm.Print_Area" localSheetId="88">'(26)'!$A$1:$Z$44</definedName>
    <definedName name="_xlnm.Print_Area" localSheetId="92">'(29)'!$A$1:$Z$44</definedName>
    <definedName name="_xlnm.Print_Area" localSheetId="9">'(3)'!$A$1:$Z$44</definedName>
    <definedName name="_xlnm.Print_Area" localSheetId="96">'(30)'!$A$1:$Z$44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9">'(9)'!$A$1:$Z$44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 NO TRIP'!$A$1:$Z$43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 NO TRIP'!$A$1:$Z$43</definedName>
    <definedName name="_xlnm.Print_Area" localSheetId="27">'06-08 R2'!$A$1:$V$44</definedName>
    <definedName name="_xlnm.Print_Area" localSheetId="28">'06-08 R3'!$A$1:$V$44</definedName>
    <definedName name="_xlnm.Print_Area" localSheetId="30">'06-09 R1'!$A$1:$Z$43</definedName>
    <definedName name="_xlnm.Print_Area" localSheetId="31">'06-09 R2'!$A$1:$V$44</definedName>
    <definedName name="_xlnm.Print_Area" localSheetId="32">'06-09 R3'!$A$1:$V$44</definedName>
    <definedName name="_xlnm.Print_Area" localSheetId="34">'06-10 R1'!$A$1:$Z$43</definedName>
    <definedName name="_xlnm.Print_Area" localSheetId="35">'06-10 R2 NO TRIP'!$A$1:$V$44</definedName>
    <definedName name="_xlnm.Print_Area" localSheetId="37">'06-11 R1 NO TRIP'!$A$1:$Z$43</definedName>
    <definedName name="_xlnm.Print_Area" localSheetId="38">'06-11 R2'!$A$1:$V$44</definedName>
    <definedName name="_xlnm.Print_Area" localSheetId="39">'06-11 R3'!$A$1:$V$44</definedName>
    <definedName name="_xlnm.Print_Area" localSheetId="41">'06-12 R1'!$A$1:$Z$43</definedName>
    <definedName name="_xlnm.Print_Area" localSheetId="42">'06-12 R2'!$A$1:$V$44</definedName>
    <definedName name="_xlnm.Print_Area" localSheetId="43">'06-12 R3 NO TRIP'!$A$1:$V$44</definedName>
    <definedName name="_xlnm.Print_Area" localSheetId="45">'06-13 R1'!$A$1:$Z$43</definedName>
    <definedName name="_xlnm.Print_Area" localSheetId="46">'06-13 R2'!$A$1:$V$44</definedName>
    <definedName name="_xlnm.Print_Area" localSheetId="47">'06-13 R3'!$A$1:$V$44</definedName>
    <definedName name="_xlnm.Print_Area" localSheetId="49">'06-15 R1'!$A$1:$Z$43</definedName>
    <definedName name="_xlnm.Print_Area" localSheetId="50">'06-15 R2'!$A$1:$V$44</definedName>
    <definedName name="_xlnm.Print_Area" localSheetId="51">'06-15 R3'!$A$1:$V$44</definedName>
    <definedName name="_xlnm.Print_Area" localSheetId="53">'06-16 R1'!$A$1:$Z$43</definedName>
    <definedName name="_xlnm.Print_Area" localSheetId="54">'06-16 R2'!$A$1:$V$44</definedName>
    <definedName name="_xlnm.Print_Area" localSheetId="55">'06-16 R3'!$A$1:$V$44</definedName>
    <definedName name="_xlnm.Print_Area" localSheetId="57">'06-17 R1'!$A$1:$Z$43</definedName>
    <definedName name="_xlnm.Print_Area" localSheetId="58">'06-17 R2'!$A$1:$V$44</definedName>
    <definedName name="_xlnm.Print_Area" localSheetId="59">'06-17 R3'!$A$1:$V$44</definedName>
    <definedName name="_xlnm.Print_Area" localSheetId="61">'06-18 R1'!$A$1:$Z$43</definedName>
    <definedName name="_xlnm.Print_Area" localSheetId="62">'06-18 R2'!$A$1:$V$44</definedName>
    <definedName name="_xlnm.Print_Area" localSheetId="63">'06-18 R3'!$A$1:$V$44</definedName>
    <definedName name="_xlnm.Print_Area" localSheetId="65">'06-19 R1 NO TRIP'!$A$1:$Z$43</definedName>
    <definedName name="_xlnm.Print_Area" localSheetId="66">'06-19 R2'!$A$1:$V$44</definedName>
    <definedName name="_xlnm.Print_Area" localSheetId="67">'06-19 R3'!$A$1:$V$44</definedName>
    <definedName name="_xlnm.Print_Area" localSheetId="69">'06-20 R1'!$A$1:$Z$43</definedName>
    <definedName name="_xlnm.Print_Area" localSheetId="70">'06-20 R2'!$A$1:$V$44</definedName>
    <definedName name="_xlnm.Print_Area" localSheetId="71">'06-20 R3'!$A$1:$V$44</definedName>
    <definedName name="_xlnm.Print_Area" localSheetId="73">'06-22 R1'!$A$1:$Z$43</definedName>
    <definedName name="_xlnm.Print_Area" localSheetId="74">'06-22 R2'!$A$1:$V$44</definedName>
    <definedName name="_xlnm.Print_Area" localSheetId="75">'06-22 R3'!$A$1:$V$44</definedName>
    <definedName name="_xlnm.Print_Area" localSheetId="77">'06-23 R1'!$A$1:$Z$43</definedName>
    <definedName name="_xlnm.Print_Area" localSheetId="78">'06-23 R2'!$A$1:$V$44</definedName>
    <definedName name="_xlnm.Print_Area" localSheetId="79">'06-23 R3'!$A$1:$V$44</definedName>
    <definedName name="_xlnm.Print_Area" localSheetId="81">'06-24 R1'!$A$1:$Z$43</definedName>
    <definedName name="_xlnm.Print_Area" localSheetId="82">'06-24 R2'!$A$1:$V$44</definedName>
    <definedName name="_xlnm.Print_Area" localSheetId="83">'06-24 R3'!$A$1:$V$44</definedName>
    <definedName name="_xlnm.Print_Area" localSheetId="85">'06-25 R1'!$A$1:$Z$43</definedName>
    <definedName name="_xlnm.Print_Area" localSheetId="86">'06-25 R2'!$A$1:$V$44</definedName>
    <definedName name="_xlnm.Print_Area" localSheetId="87">'06-25 R3'!$A$1:$V$44</definedName>
    <definedName name="_xlnm.Print_Area" localSheetId="89">'06-26 R1 NO TRIP'!$A$1:$Z$43</definedName>
    <definedName name="_xlnm.Print_Area" localSheetId="90">'06-26 R2'!$A$1:$V$44</definedName>
    <definedName name="_xlnm.Print_Area" localSheetId="91">'06-26 R3'!$A$1:$V$44</definedName>
    <definedName name="_xlnm.Print_Area" localSheetId="93">'06-29 R1 '!$A$1:$Z$43</definedName>
    <definedName name="_xlnm.Print_Area" localSheetId="94">'06-29 R2'!$A$1:$V$44</definedName>
    <definedName name="_xlnm.Print_Area" localSheetId="95">'06-29 R3'!$A$1:$V$44</definedName>
    <definedName name="_xlnm.Print_Area" localSheetId="97">'06-30 R1 '!$A$1:$Z$43</definedName>
    <definedName name="_xlnm.Print_Area" localSheetId="98">'06-30 R2'!$A$1:$V$44</definedName>
    <definedName name="_xlnm.Print_Area" localSheetId="99">'06-30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17" l="1"/>
  <c r="C44" i="1816"/>
  <c r="C44" i="1815"/>
  <c r="F21" i="1817"/>
  <c r="Y19" i="1817"/>
  <c r="W19" i="1817"/>
  <c r="V19" i="1817"/>
  <c r="U19" i="1817"/>
  <c r="T19" i="1817"/>
  <c r="P19" i="1817"/>
  <c r="O19" i="1817"/>
  <c r="N19" i="1817"/>
  <c r="M19" i="1817"/>
  <c r="L19" i="1817"/>
  <c r="K19" i="1817"/>
  <c r="J19" i="1817"/>
  <c r="I19" i="1817"/>
  <c r="H19" i="1817"/>
  <c r="G19" i="1817"/>
  <c r="F19" i="1817"/>
  <c r="E19" i="1817"/>
  <c r="D19" i="1817"/>
  <c r="C19" i="1817"/>
  <c r="Y18" i="1817"/>
  <c r="W18" i="1817"/>
  <c r="V18" i="1817"/>
  <c r="U18" i="1817"/>
  <c r="T18" i="1817"/>
  <c r="P18" i="1817"/>
  <c r="O18" i="1817"/>
  <c r="N18" i="1817"/>
  <c r="M18" i="1817"/>
  <c r="L18" i="1817"/>
  <c r="K18" i="1817"/>
  <c r="J18" i="1817"/>
  <c r="I18" i="1817"/>
  <c r="H18" i="1817"/>
  <c r="G18" i="1817"/>
  <c r="F18" i="1817"/>
  <c r="E18" i="1817"/>
  <c r="D18" i="1817"/>
  <c r="C18" i="1817"/>
  <c r="Y4" i="1817"/>
  <c r="W4" i="1817"/>
  <c r="V4" i="1817"/>
  <c r="U4" i="1817"/>
  <c r="T4" i="1817"/>
  <c r="P4" i="1817"/>
  <c r="O4" i="1817"/>
  <c r="N4" i="1817"/>
  <c r="M4" i="1817"/>
  <c r="L4" i="1817"/>
  <c r="K4" i="1817"/>
  <c r="J4" i="1817"/>
  <c r="I4" i="1817"/>
  <c r="H4" i="1817"/>
  <c r="G4" i="1817"/>
  <c r="F4" i="1817"/>
  <c r="E4" i="1817"/>
  <c r="D4" i="1817"/>
  <c r="C4" i="1817"/>
  <c r="Y3" i="1817"/>
  <c r="W3" i="1817"/>
  <c r="V3" i="1817"/>
  <c r="U3" i="1817"/>
  <c r="T3" i="1817"/>
  <c r="P3" i="1817"/>
  <c r="O3" i="1817"/>
  <c r="N3" i="1817"/>
  <c r="M3" i="1817"/>
  <c r="L3" i="1817"/>
  <c r="K3" i="1817"/>
  <c r="J3" i="1817"/>
  <c r="I3" i="1817"/>
  <c r="H3" i="1817"/>
  <c r="G3" i="1817"/>
  <c r="F3" i="1817"/>
  <c r="E3" i="1817"/>
  <c r="D3" i="1817"/>
  <c r="C3" i="1817"/>
  <c r="F21" i="1816"/>
  <c r="Y19" i="1816"/>
  <c r="W19" i="1816"/>
  <c r="V19" i="1816"/>
  <c r="U19" i="1816"/>
  <c r="T19" i="1816"/>
  <c r="P19" i="1816"/>
  <c r="O19" i="1816"/>
  <c r="N19" i="1816"/>
  <c r="M19" i="1816"/>
  <c r="L19" i="1816"/>
  <c r="K19" i="1816"/>
  <c r="J19" i="1816"/>
  <c r="I19" i="1816"/>
  <c r="H19" i="1816"/>
  <c r="G19" i="1816"/>
  <c r="F19" i="1816"/>
  <c r="E19" i="1816"/>
  <c r="D19" i="1816"/>
  <c r="C19" i="1816"/>
  <c r="Y18" i="1816"/>
  <c r="W18" i="1816"/>
  <c r="V18" i="1816"/>
  <c r="U18" i="1816"/>
  <c r="T18" i="1816"/>
  <c r="P18" i="1816"/>
  <c r="O18" i="1816"/>
  <c r="N18" i="1816"/>
  <c r="M18" i="1816"/>
  <c r="L18" i="1816"/>
  <c r="K18" i="1816"/>
  <c r="J18" i="1816"/>
  <c r="I18" i="1816"/>
  <c r="H18" i="1816"/>
  <c r="G18" i="1816"/>
  <c r="F18" i="1816"/>
  <c r="E18" i="1816"/>
  <c r="D18" i="1816"/>
  <c r="C18" i="1816"/>
  <c r="Y4" i="1816"/>
  <c r="W4" i="1816"/>
  <c r="V4" i="1816"/>
  <c r="U4" i="1816"/>
  <c r="T4" i="1816"/>
  <c r="P4" i="1816"/>
  <c r="O4" i="1816"/>
  <c r="N4" i="1816"/>
  <c r="M4" i="1816"/>
  <c r="L4" i="1816"/>
  <c r="K4" i="1816"/>
  <c r="J4" i="1816"/>
  <c r="I4" i="1816"/>
  <c r="H4" i="1816"/>
  <c r="G4" i="1816"/>
  <c r="F4" i="1816"/>
  <c r="E4" i="1816"/>
  <c r="D4" i="1816"/>
  <c r="C4" i="1816"/>
  <c r="Y3" i="1816"/>
  <c r="W3" i="1816"/>
  <c r="V3" i="1816"/>
  <c r="U3" i="1816"/>
  <c r="T3" i="1816"/>
  <c r="P3" i="1816"/>
  <c r="O3" i="1816"/>
  <c r="N3" i="1816"/>
  <c r="M3" i="1816"/>
  <c r="L3" i="1816"/>
  <c r="K3" i="1816"/>
  <c r="J3" i="1816"/>
  <c r="I3" i="1816"/>
  <c r="H3" i="1816"/>
  <c r="G3" i="1816"/>
  <c r="F3" i="1816"/>
  <c r="E3" i="1816"/>
  <c r="D3" i="1816"/>
  <c r="C3" i="1816"/>
  <c r="F21" i="1815"/>
  <c r="Y19" i="1815"/>
  <c r="W19" i="1815"/>
  <c r="V19" i="1815"/>
  <c r="U19" i="1815"/>
  <c r="T19" i="1815"/>
  <c r="P19" i="1815"/>
  <c r="O19" i="1815"/>
  <c r="N19" i="1815"/>
  <c r="M19" i="1815"/>
  <c r="L19" i="1815"/>
  <c r="K19" i="1815"/>
  <c r="J19" i="1815"/>
  <c r="I19" i="1815"/>
  <c r="H19" i="1815"/>
  <c r="G19" i="1815"/>
  <c r="F19" i="1815"/>
  <c r="E19" i="1815"/>
  <c r="D19" i="1815"/>
  <c r="C19" i="1815"/>
  <c r="Y18" i="1815"/>
  <c r="W18" i="1815"/>
  <c r="V18" i="1815"/>
  <c r="U18" i="1815"/>
  <c r="T18" i="1815"/>
  <c r="P18" i="1815"/>
  <c r="O18" i="1815"/>
  <c r="N18" i="1815"/>
  <c r="M18" i="1815"/>
  <c r="L18" i="1815"/>
  <c r="K18" i="1815"/>
  <c r="J18" i="1815"/>
  <c r="I18" i="1815"/>
  <c r="H18" i="1815"/>
  <c r="G18" i="1815"/>
  <c r="F18" i="1815"/>
  <c r="E18" i="1815"/>
  <c r="D18" i="1815"/>
  <c r="C18" i="1815"/>
  <c r="Y4" i="1815"/>
  <c r="W4" i="1815"/>
  <c r="V4" i="1815"/>
  <c r="U4" i="1815"/>
  <c r="T4" i="1815"/>
  <c r="P4" i="1815"/>
  <c r="O4" i="1815"/>
  <c r="N4" i="1815"/>
  <c r="M4" i="1815"/>
  <c r="L4" i="1815"/>
  <c r="K4" i="1815"/>
  <c r="J4" i="1815"/>
  <c r="I4" i="1815"/>
  <c r="H4" i="1815"/>
  <c r="G4" i="1815"/>
  <c r="F4" i="1815"/>
  <c r="E4" i="1815"/>
  <c r="D4" i="1815"/>
  <c r="C4" i="1815"/>
  <c r="Y3" i="1815"/>
  <c r="W3" i="1815"/>
  <c r="V3" i="1815"/>
  <c r="U3" i="1815"/>
  <c r="T3" i="1815"/>
  <c r="P3" i="1815"/>
  <c r="O3" i="1815"/>
  <c r="N3" i="1815"/>
  <c r="M3" i="1815"/>
  <c r="L3" i="1815"/>
  <c r="K3" i="1815"/>
  <c r="J3" i="1815"/>
  <c r="I3" i="1815"/>
  <c r="H3" i="1815"/>
  <c r="G3" i="1815"/>
  <c r="F3" i="1815"/>
  <c r="E3" i="1815"/>
  <c r="D3" i="1815"/>
  <c r="C3" i="1815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C44" i="1812" l="1"/>
  <c r="C44" i="1813" l="1"/>
  <c r="C44" i="1811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09" l="1"/>
  <c r="C44" i="1808"/>
  <c r="C44" i="1805" l="1"/>
  <c r="C44" i="1804"/>
  <c r="C44" i="1803"/>
  <c r="C44" i="1801" l="1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F21" i="1806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C44" i="1796" l="1"/>
  <c r="C44" i="1795" l="1"/>
  <c r="C44" i="1797" l="1"/>
  <c r="C44" i="1800"/>
  <c r="C44" i="1799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 l="1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5"/>
  <c r="Y19" i="1795"/>
  <c r="W19" i="1795"/>
  <c r="V19" i="1795"/>
  <c r="U19" i="1795"/>
  <c r="T19" i="1795"/>
  <c r="P19" i="1795"/>
  <c r="O19" i="1795"/>
  <c r="N19" i="1795"/>
  <c r="M19" i="1795"/>
  <c r="L19" i="1795"/>
  <c r="K19" i="1795"/>
  <c r="J19" i="1795"/>
  <c r="I19" i="1795"/>
  <c r="H19" i="1795"/>
  <c r="G19" i="1795"/>
  <c r="F19" i="1795"/>
  <c r="E19" i="1795"/>
  <c r="D19" i="1795"/>
  <c r="C19" i="1795"/>
  <c r="Y18" i="1795"/>
  <c r="W18" i="1795"/>
  <c r="V18" i="1795"/>
  <c r="U18" i="1795"/>
  <c r="T18" i="1795"/>
  <c r="P18" i="1795"/>
  <c r="O18" i="1795"/>
  <c r="N18" i="1795"/>
  <c r="M18" i="1795"/>
  <c r="L18" i="1795"/>
  <c r="K18" i="1795"/>
  <c r="J18" i="1795"/>
  <c r="I18" i="1795"/>
  <c r="H18" i="1795"/>
  <c r="G18" i="1795"/>
  <c r="F18" i="1795"/>
  <c r="E18" i="1795"/>
  <c r="D18" i="1795"/>
  <c r="C18" i="1795"/>
  <c r="Y4" i="1795"/>
  <c r="W4" i="1795"/>
  <c r="V4" i="1795"/>
  <c r="U4" i="1795"/>
  <c r="T4" i="1795"/>
  <c r="P4" i="1795"/>
  <c r="O4" i="1795"/>
  <c r="N4" i="1795"/>
  <c r="M4" i="1795"/>
  <c r="L4" i="1795"/>
  <c r="K4" i="1795"/>
  <c r="J4" i="1795"/>
  <c r="I4" i="1795"/>
  <c r="H4" i="1795"/>
  <c r="G4" i="1795"/>
  <c r="F4" i="1795"/>
  <c r="E4" i="1795"/>
  <c r="D4" i="1795"/>
  <c r="C4" i="1795"/>
  <c r="Y3" i="1795"/>
  <c r="W3" i="1795"/>
  <c r="V3" i="1795"/>
  <c r="U3" i="1795"/>
  <c r="T3" i="1795"/>
  <c r="P3" i="1795"/>
  <c r="O3" i="1795"/>
  <c r="N3" i="1795"/>
  <c r="M3" i="1795"/>
  <c r="L3" i="1795"/>
  <c r="K3" i="1795"/>
  <c r="J3" i="1795"/>
  <c r="I3" i="1795"/>
  <c r="H3" i="1795"/>
  <c r="G3" i="1795"/>
  <c r="F3" i="1795"/>
  <c r="E3" i="1795"/>
  <c r="D3" i="1795"/>
  <c r="C3" i="1795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C44" i="1793" l="1"/>
  <c r="C44" i="1792"/>
  <c r="C44" i="1791"/>
  <c r="C44" i="1785" l="1"/>
  <c r="C45" i="1784"/>
  <c r="C44" i="1784"/>
  <c r="C44" i="1781" l="1"/>
  <c r="C44" i="1779"/>
  <c r="C44" i="1780"/>
  <c r="C45" i="1777" l="1"/>
  <c r="C44" i="1777"/>
  <c r="C45" i="1775"/>
  <c r="C44" i="1775"/>
  <c r="C44" i="1771" l="1"/>
  <c r="M31" i="1771"/>
  <c r="H31" i="1771"/>
  <c r="C44" i="1773"/>
  <c r="C44" i="1772"/>
  <c r="F21" i="1793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  <c r="F21" i="1789"/>
  <c r="Y19" i="1789"/>
  <c r="W19" i="1789"/>
  <c r="V19" i="1789"/>
  <c r="U19" i="1789"/>
  <c r="T19" i="1789"/>
  <c r="P19" i="1789"/>
  <c r="O19" i="1789"/>
  <c r="N19" i="1789"/>
  <c r="M19" i="1789"/>
  <c r="L19" i="1789"/>
  <c r="K19" i="1789"/>
  <c r="J19" i="1789"/>
  <c r="I19" i="1789"/>
  <c r="H19" i="1789"/>
  <c r="G19" i="1789"/>
  <c r="F19" i="1789"/>
  <c r="E19" i="1789"/>
  <c r="D19" i="1789"/>
  <c r="C19" i="1789"/>
  <c r="Y18" i="1789"/>
  <c r="W18" i="1789"/>
  <c r="V18" i="1789"/>
  <c r="U18" i="1789"/>
  <c r="T18" i="1789"/>
  <c r="P18" i="1789"/>
  <c r="O18" i="1789"/>
  <c r="N18" i="1789"/>
  <c r="M18" i="1789"/>
  <c r="L18" i="1789"/>
  <c r="K18" i="1789"/>
  <c r="J18" i="1789"/>
  <c r="I18" i="1789"/>
  <c r="H18" i="1789"/>
  <c r="G18" i="1789"/>
  <c r="F18" i="1789"/>
  <c r="E18" i="1789"/>
  <c r="D18" i="1789"/>
  <c r="C18" i="1789"/>
  <c r="Y4" i="1789"/>
  <c r="W4" i="1789"/>
  <c r="V4" i="1789"/>
  <c r="U4" i="1789"/>
  <c r="T4" i="1789"/>
  <c r="P4" i="1789"/>
  <c r="O4" i="1789"/>
  <c r="N4" i="1789"/>
  <c r="M4" i="1789"/>
  <c r="L4" i="1789"/>
  <c r="K4" i="1789"/>
  <c r="J4" i="1789"/>
  <c r="I4" i="1789"/>
  <c r="H4" i="1789"/>
  <c r="G4" i="1789"/>
  <c r="F4" i="1789"/>
  <c r="E4" i="1789"/>
  <c r="D4" i="1789"/>
  <c r="C4" i="1789"/>
  <c r="Y3" i="1789"/>
  <c r="W3" i="1789"/>
  <c r="V3" i="1789"/>
  <c r="U3" i="1789"/>
  <c r="T3" i="1789"/>
  <c r="P3" i="1789"/>
  <c r="O3" i="1789"/>
  <c r="N3" i="1789"/>
  <c r="M3" i="1789"/>
  <c r="L3" i="1789"/>
  <c r="K3" i="1789"/>
  <c r="J3" i="1789"/>
  <c r="I3" i="1789"/>
  <c r="H3" i="1789"/>
  <c r="G3" i="1789"/>
  <c r="F3" i="1789"/>
  <c r="E3" i="1789"/>
  <c r="D3" i="1789"/>
  <c r="C3" i="1789"/>
  <c r="F21" i="1788"/>
  <c r="Y19" i="1788"/>
  <c r="W19" i="1788"/>
  <c r="V19" i="1788"/>
  <c r="U19" i="1788"/>
  <c r="T19" i="1788"/>
  <c r="P19" i="1788"/>
  <c r="O19" i="1788"/>
  <c r="N19" i="1788"/>
  <c r="M19" i="1788"/>
  <c r="L19" i="1788"/>
  <c r="K19" i="1788"/>
  <c r="J19" i="1788"/>
  <c r="I19" i="1788"/>
  <c r="H19" i="1788"/>
  <c r="G19" i="1788"/>
  <c r="F19" i="1788"/>
  <c r="E19" i="1788"/>
  <c r="D19" i="1788"/>
  <c r="C19" i="1788"/>
  <c r="Y18" i="1788"/>
  <c r="W18" i="1788"/>
  <c r="V18" i="1788"/>
  <c r="U18" i="1788"/>
  <c r="T18" i="1788"/>
  <c r="P18" i="1788"/>
  <c r="O18" i="1788"/>
  <c r="N18" i="1788"/>
  <c r="M18" i="1788"/>
  <c r="L18" i="1788"/>
  <c r="K18" i="1788"/>
  <c r="J18" i="1788"/>
  <c r="I18" i="1788"/>
  <c r="H18" i="1788"/>
  <c r="G18" i="1788"/>
  <c r="F18" i="1788"/>
  <c r="E18" i="1788"/>
  <c r="D18" i="1788"/>
  <c r="C18" i="1788"/>
  <c r="Y4" i="1788"/>
  <c r="W4" i="1788"/>
  <c r="V4" i="1788"/>
  <c r="U4" i="1788"/>
  <c r="T4" i="1788"/>
  <c r="P4" i="1788"/>
  <c r="O4" i="1788"/>
  <c r="N4" i="1788"/>
  <c r="M4" i="1788"/>
  <c r="L4" i="1788"/>
  <c r="K4" i="1788"/>
  <c r="J4" i="1788"/>
  <c r="I4" i="1788"/>
  <c r="H4" i="1788"/>
  <c r="G4" i="1788"/>
  <c r="F4" i="1788"/>
  <c r="E4" i="1788"/>
  <c r="D4" i="1788"/>
  <c r="C4" i="1788"/>
  <c r="Y3" i="1788"/>
  <c r="W3" i="1788"/>
  <c r="V3" i="1788"/>
  <c r="U3" i="1788"/>
  <c r="T3" i="1788"/>
  <c r="P3" i="1788"/>
  <c r="O3" i="1788"/>
  <c r="N3" i="1788"/>
  <c r="M3" i="1788"/>
  <c r="L3" i="1788"/>
  <c r="K3" i="1788"/>
  <c r="J3" i="1788"/>
  <c r="I3" i="1788"/>
  <c r="H3" i="1788"/>
  <c r="G3" i="1788"/>
  <c r="F3" i="1788"/>
  <c r="E3" i="1788"/>
  <c r="D3" i="1788"/>
  <c r="C3" i="1788"/>
  <c r="F21" i="1787"/>
  <c r="Y19" i="1787"/>
  <c r="W19" i="1787"/>
  <c r="V19" i="1787"/>
  <c r="U19" i="1787"/>
  <c r="T19" i="1787"/>
  <c r="P19" i="1787"/>
  <c r="O19" i="1787"/>
  <c r="N19" i="1787"/>
  <c r="M19" i="1787"/>
  <c r="L19" i="1787"/>
  <c r="K19" i="1787"/>
  <c r="J19" i="1787"/>
  <c r="I19" i="1787"/>
  <c r="H19" i="1787"/>
  <c r="G19" i="1787"/>
  <c r="F19" i="1787"/>
  <c r="E19" i="1787"/>
  <c r="D19" i="1787"/>
  <c r="C19" i="1787"/>
  <c r="Y18" i="1787"/>
  <c r="W18" i="1787"/>
  <c r="V18" i="1787"/>
  <c r="U18" i="1787"/>
  <c r="T18" i="1787"/>
  <c r="P18" i="1787"/>
  <c r="O18" i="1787"/>
  <c r="N18" i="1787"/>
  <c r="M18" i="1787"/>
  <c r="L18" i="1787"/>
  <c r="K18" i="1787"/>
  <c r="J18" i="1787"/>
  <c r="I18" i="1787"/>
  <c r="H18" i="1787"/>
  <c r="G18" i="1787"/>
  <c r="F18" i="1787"/>
  <c r="E18" i="1787"/>
  <c r="D18" i="1787"/>
  <c r="C18" i="1787"/>
  <c r="Y4" i="1787"/>
  <c r="W4" i="1787"/>
  <c r="V4" i="1787"/>
  <c r="U4" i="1787"/>
  <c r="T4" i="1787"/>
  <c r="P4" i="1787"/>
  <c r="O4" i="1787"/>
  <c r="N4" i="1787"/>
  <c r="M4" i="1787"/>
  <c r="L4" i="1787"/>
  <c r="K4" i="1787"/>
  <c r="J4" i="1787"/>
  <c r="I4" i="1787"/>
  <c r="H4" i="1787"/>
  <c r="G4" i="1787"/>
  <c r="F4" i="1787"/>
  <c r="E4" i="1787"/>
  <c r="D4" i="1787"/>
  <c r="C4" i="1787"/>
  <c r="Y3" i="1787"/>
  <c r="W3" i="1787"/>
  <c r="V3" i="1787"/>
  <c r="U3" i="1787"/>
  <c r="T3" i="1787"/>
  <c r="P3" i="1787"/>
  <c r="O3" i="1787"/>
  <c r="N3" i="1787"/>
  <c r="M3" i="1787"/>
  <c r="L3" i="1787"/>
  <c r="K3" i="1787"/>
  <c r="J3" i="1787"/>
  <c r="I3" i="1787"/>
  <c r="H3" i="1787"/>
  <c r="G3" i="1787"/>
  <c r="F3" i="1787"/>
  <c r="E3" i="1787"/>
  <c r="D3" i="1787"/>
  <c r="C3" i="1787"/>
  <c r="F21" i="1786"/>
  <c r="Y19" i="1786"/>
  <c r="W19" i="1786"/>
  <c r="V19" i="1786"/>
  <c r="U19" i="1786"/>
  <c r="T19" i="1786"/>
  <c r="P19" i="1786"/>
  <c r="O19" i="1786"/>
  <c r="N19" i="1786"/>
  <c r="M19" i="1786"/>
  <c r="L19" i="1786"/>
  <c r="K19" i="1786"/>
  <c r="J19" i="1786"/>
  <c r="I19" i="1786"/>
  <c r="H19" i="1786"/>
  <c r="G19" i="1786"/>
  <c r="F19" i="1786"/>
  <c r="E19" i="1786"/>
  <c r="D19" i="1786"/>
  <c r="C19" i="1786"/>
  <c r="Y18" i="1786"/>
  <c r="W18" i="1786"/>
  <c r="V18" i="1786"/>
  <c r="U18" i="1786"/>
  <c r="T18" i="1786"/>
  <c r="P18" i="1786"/>
  <c r="O18" i="1786"/>
  <c r="N18" i="1786"/>
  <c r="M18" i="1786"/>
  <c r="L18" i="1786"/>
  <c r="K18" i="1786"/>
  <c r="J18" i="1786"/>
  <c r="I18" i="1786"/>
  <c r="H18" i="1786"/>
  <c r="G18" i="1786"/>
  <c r="F18" i="1786"/>
  <c r="E18" i="1786"/>
  <c r="D18" i="1786"/>
  <c r="C18" i="1786"/>
  <c r="Y4" i="1786"/>
  <c r="W4" i="1786"/>
  <c r="V4" i="1786"/>
  <c r="U4" i="1786"/>
  <c r="T4" i="1786"/>
  <c r="P4" i="1786"/>
  <c r="O4" i="1786"/>
  <c r="N4" i="1786"/>
  <c r="M4" i="1786"/>
  <c r="L4" i="1786"/>
  <c r="K4" i="1786"/>
  <c r="J4" i="1786"/>
  <c r="I4" i="1786"/>
  <c r="H4" i="1786"/>
  <c r="G4" i="1786"/>
  <c r="F4" i="1786"/>
  <c r="E4" i="1786"/>
  <c r="D4" i="1786"/>
  <c r="C4" i="1786"/>
  <c r="Y3" i="1786"/>
  <c r="W3" i="1786"/>
  <c r="V3" i="1786"/>
  <c r="U3" i="1786"/>
  <c r="T3" i="1786"/>
  <c r="P3" i="1786"/>
  <c r="O3" i="1786"/>
  <c r="N3" i="1786"/>
  <c r="M3" i="1786"/>
  <c r="L3" i="1786"/>
  <c r="K3" i="1786"/>
  <c r="J3" i="1786"/>
  <c r="I3" i="1786"/>
  <c r="H3" i="1786"/>
  <c r="G3" i="1786"/>
  <c r="F3" i="1786"/>
  <c r="E3" i="1786"/>
  <c r="D3" i="1786"/>
  <c r="C3" i="1786"/>
  <c r="F21" i="1785"/>
  <c r="Y19" i="1785"/>
  <c r="W19" i="1785"/>
  <c r="V19" i="1785"/>
  <c r="U19" i="1785"/>
  <c r="T19" i="1785"/>
  <c r="P19" i="1785"/>
  <c r="O19" i="1785"/>
  <c r="N19" i="1785"/>
  <c r="M19" i="1785"/>
  <c r="L19" i="1785"/>
  <c r="K19" i="1785"/>
  <c r="J19" i="1785"/>
  <c r="I19" i="1785"/>
  <c r="H19" i="1785"/>
  <c r="G19" i="1785"/>
  <c r="F19" i="1785"/>
  <c r="E19" i="1785"/>
  <c r="D19" i="1785"/>
  <c r="C19" i="1785"/>
  <c r="Y18" i="1785"/>
  <c r="W18" i="1785"/>
  <c r="V18" i="1785"/>
  <c r="U18" i="1785"/>
  <c r="T18" i="1785"/>
  <c r="P18" i="1785"/>
  <c r="O18" i="1785"/>
  <c r="N18" i="1785"/>
  <c r="M18" i="1785"/>
  <c r="L18" i="1785"/>
  <c r="K18" i="1785"/>
  <c r="J18" i="1785"/>
  <c r="I18" i="1785"/>
  <c r="H18" i="1785"/>
  <c r="G18" i="1785"/>
  <c r="F18" i="1785"/>
  <c r="E18" i="1785"/>
  <c r="D18" i="1785"/>
  <c r="C18" i="1785"/>
  <c r="Y4" i="1785"/>
  <c r="W4" i="1785"/>
  <c r="V4" i="1785"/>
  <c r="U4" i="1785"/>
  <c r="T4" i="1785"/>
  <c r="P4" i="1785"/>
  <c r="O4" i="1785"/>
  <c r="N4" i="1785"/>
  <c r="M4" i="1785"/>
  <c r="L4" i="1785"/>
  <c r="K4" i="1785"/>
  <c r="J4" i="1785"/>
  <c r="I4" i="1785"/>
  <c r="H4" i="1785"/>
  <c r="G4" i="1785"/>
  <c r="F4" i="1785"/>
  <c r="E4" i="1785"/>
  <c r="D4" i="1785"/>
  <c r="C4" i="1785"/>
  <c r="Y3" i="1785"/>
  <c r="W3" i="1785"/>
  <c r="V3" i="1785"/>
  <c r="U3" i="1785"/>
  <c r="T3" i="1785"/>
  <c r="P3" i="1785"/>
  <c r="O3" i="1785"/>
  <c r="N3" i="1785"/>
  <c r="M3" i="1785"/>
  <c r="L3" i="1785"/>
  <c r="K3" i="1785"/>
  <c r="J3" i="1785"/>
  <c r="I3" i="1785"/>
  <c r="H3" i="1785"/>
  <c r="G3" i="1785"/>
  <c r="F3" i="1785"/>
  <c r="E3" i="1785"/>
  <c r="D3" i="1785"/>
  <c r="C3" i="1785"/>
  <c r="F21" i="1784"/>
  <c r="Y19" i="1784"/>
  <c r="W19" i="1784"/>
  <c r="V19" i="1784"/>
  <c r="U19" i="1784"/>
  <c r="T19" i="1784"/>
  <c r="P19" i="1784"/>
  <c r="O19" i="1784"/>
  <c r="N19" i="1784"/>
  <c r="M19" i="1784"/>
  <c r="L19" i="1784"/>
  <c r="K19" i="1784"/>
  <c r="J19" i="1784"/>
  <c r="I19" i="1784"/>
  <c r="H19" i="1784"/>
  <c r="G19" i="1784"/>
  <c r="F19" i="1784"/>
  <c r="E19" i="1784"/>
  <c r="D19" i="1784"/>
  <c r="C19" i="1784"/>
  <c r="Y18" i="1784"/>
  <c r="W18" i="1784"/>
  <c r="V18" i="1784"/>
  <c r="U18" i="1784"/>
  <c r="T18" i="1784"/>
  <c r="P18" i="1784"/>
  <c r="O18" i="1784"/>
  <c r="N18" i="1784"/>
  <c r="M18" i="1784"/>
  <c r="L18" i="1784"/>
  <c r="K18" i="1784"/>
  <c r="J18" i="1784"/>
  <c r="I18" i="1784"/>
  <c r="H18" i="1784"/>
  <c r="G18" i="1784"/>
  <c r="F18" i="1784"/>
  <c r="E18" i="1784"/>
  <c r="D18" i="1784"/>
  <c r="C18" i="1784"/>
  <c r="Y4" i="1784"/>
  <c r="W4" i="1784"/>
  <c r="V4" i="1784"/>
  <c r="U4" i="1784"/>
  <c r="T4" i="1784"/>
  <c r="P4" i="1784"/>
  <c r="O4" i="1784"/>
  <c r="N4" i="1784"/>
  <c r="M4" i="1784"/>
  <c r="L4" i="1784"/>
  <c r="K4" i="1784"/>
  <c r="J4" i="1784"/>
  <c r="I4" i="1784"/>
  <c r="H4" i="1784"/>
  <c r="G4" i="1784"/>
  <c r="F4" i="1784"/>
  <c r="E4" i="1784"/>
  <c r="D4" i="1784"/>
  <c r="C4" i="1784"/>
  <c r="Y3" i="1784"/>
  <c r="W3" i="1784"/>
  <c r="V3" i="1784"/>
  <c r="U3" i="1784"/>
  <c r="T3" i="1784"/>
  <c r="P3" i="1784"/>
  <c r="O3" i="1784"/>
  <c r="N3" i="1784"/>
  <c r="M3" i="1784"/>
  <c r="L3" i="1784"/>
  <c r="K3" i="1784"/>
  <c r="J3" i="1784"/>
  <c r="I3" i="1784"/>
  <c r="H3" i="1784"/>
  <c r="G3" i="1784"/>
  <c r="F3" i="1784"/>
  <c r="E3" i="1784"/>
  <c r="D3" i="1784"/>
  <c r="C3" i="1784"/>
  <c r="F21" i="1783"/>
  <c r="Y19" i="1783"/>
  <c r="W19" i="1783"/>
  <c r="V19" i="1783"/>
  <c r="U19" i="1783"/>
  <c r="T19" i="1783"/>
  <c r="P19" i="1783"/>
  <c r="O19" i="1783"/>
  <c r="N19" i="1783"/>
  <c r="M19" i="1783"/>
  <c r="L19" i="1783"/>
  <c r="K19" i="1783"/>
  <c r="J19" i="1783"/>
  <c r="I19" i="1783"/>
  <c r="H19" i="1783"/>
  <c r="G19" i="1783"/>
  <c r="F19" i="1783"/>
  <c r="E19" i="1783"/>
  <c r="D19" i="1783"/>
  <c r="C19" i="1783"/>
  <c r="Y18" i="1783"/>
  <c r="W18" i="1783"/>
  <c r="V18" i="1783"/>
  <c r="U18" i="1783"/>
  <c r="T18" i="1783"/>
  <c r="P18" i="1783"/>
  <c r="O18" i="1783"/>
  <c r="N18" i="1783"/>
  <c r="M18" i="1783"/>
  <c r="L18" i="1783"/>
  <c r="K18" i="1783"/>
  <c r="J18" i="1783"/>
  <c r="I18" i="1783"/>
  <c r="H18" i="1783"/>
  <c r="G18" i="1783"/>
  <c r="F18" i="1783"/>
  <c r="E18" i="1783"/>
  <c r="D18" i="1783"/>
  <c r="C18" i="1783"/>
  <c r="Y4" i="1783"/>
  <c r="W4" i="1783"/>
  <c r="V4" i="1783"/>
  <c r="U4" i="1783"/>
  <c r="T4" i="1783"/>
  <c r="P4" i="1783"/>
  <c r="O4" i="1783"/>
  <c r="N4" i="1783"/>
  <c r="M4" i="1783"/>
  <c r="L4" i="1783"/>
  <c r="K4" i="1783"/>
  <c r="J4" i="1783"/>
  <c r="I4" i="1783"/>
  <c r="H4" i="1783"/>
  <c r="G4" i="1783"/>
  <c r="F4" i="1783"/>
  <c r="E4" i="1783"/>
  <c r="D4" i="1783"/>
  <c r="C4" i="1783"/>
  <c r="Y3" i="1783"/>
  <c r="W3" i="1783"/>
  <c r="V3" i="1783"/>
  <c r="U3" i="1783"/>
  <c r="T3" i="1783"/>
  <c r="P3" i="1783"/>
  <c r="O3" i="1783"/>
  <c r="N3" i="1783"/>
  <c r="M3" i="1783"/>
  <c r="L3" i="1783"/>
  <c r="K3" i="1783"/>
  <c r="J3" i="1783"/>
  <c r="I3" i="1783"/>
  <c r="H3" i="1783"/>
  <c r="G3" i="1783"/>
  <c r="F3" i="1783"/>
  <c r="E3" i="1783"/>
  <c r="D3" i="1783"/>
  <c r="C3" i="1783"/>
  <c r="F21" i="1782"/>
  <c r="Y19" i="1782"/>
  <c r="W19" i="1782"/>
  <c r="V19" i="1782"/>
  <c r="U19" i="1782"/>
  <c r="T19" i="1782"/>
  <c r="P19" i="1782"/>
  <c r="O19" i="1782"/>
  <c r="N19" i="1782"/>
  <c r="M19" i="1782"/>
  <c r="L19" i="1782"/>
  <c r="K19" i="1782"/>
  <c r="J19" i="1782"/>
  <c r="I19" i="1782"/>
  <c r="H19" i="1782"/>
  <c r="G19" i="1782"/>
  <c r="F19" i="1782"/>
  <c r="E19" i="1782"/>
  <c r="D19" i="1782"/>
  <c r="C19" i="1782"/>
  <c r="Y18" i="1782"/>
  <c r="W18" i="1782"/>
  <c r="V18" i="1782"/>
  <c r="U18" i="1782"/>
  <c r="T18" i="1782"/>
  <c r="P18" i="1782"/>
  <c r="O18" i="1782"/>
  <c r="N18" i="1782"/>
  <c r="M18" i="1782"/>
  <c r="L18" i="1782"/>
  <c r="K18" i="1782"/>
  <c r="J18" i="1782"/>
  <c r="I18" i="1782"/>
  <c r="H18" i="1782"/>
  <c r="G18" i="1782"/>
  <c r="F18" i="1782"/>
  <c r="E18" i="1782"/>
  <c r="D18" i="1782"/>
  <c r="C18" i="1782"/>
  <c r="Y4" i="1782"/>
  <c r="W4" i="1782"/>
  <c r="V4" i="1782"/>
  <c r="U4" i="1782"/>
  <c r="T4" i="1782"/>
  <c r="P4" i="1782"/>
  <c r="O4" i="1782"/>
  <c r="N4" i="1782"/>
  <c r="M4" i="1782"/>
  <c r="L4" i="1782"/>
  <c r="K4" i="1782"/>
  <c r="J4" i="1782"/>
  <c r="I4" i="1782"/>
  <c r="H4" i="1782"/>
  <c r="G4" i="1782"/>
  <c r="F4" i="1782"/>
  <c r="E4" i="1782"/>
  <c r="D4" i="1782"/>
  <c r="C4" i="1782"/>
  <c r="Y3" i="1782"/>
  <c r="W3" i="1782"/>
  <c r="V3" i="1782"/>
  <c r="U3" i="1782"/>
  <c r="T3" i="1782"/>
  <c r="P3" i="1782"/>
  <c r="O3" i="1782"/>
  <c r="N3" i="1782"/>
  <c r="M3" i="1782"/>
  <c r="L3" i="1782"/>
  <c r="K3" i="1782"/>
  <c r="J3" i="1782"/>
  <c r="I3" i="1782"/>
  <c r="H3" i="1782"/>
  <c r="G3" i="1782"/>
  <c r="F3" i="1782"/>
  <c r="E3" i="1782"/>
  <c r="D3" i="1782"/>
  <c r="C3" i="1782"/>
  <c r="F21" i="1781"/>
  <c r="Y19" i="1781"/>
  <c r="W19" i="1781"/>
  <c r="V19" i="1781"/>
  <c r="U19" i="1781"/>
  <c r="T19" i="1781"/>
  <c r="P19" i="1781"/>
  <c r="O19" i="1781"/>
  <c r="N19" i="1781"/>
  <c r="M19" i="1781"/>
  <c r="L19" i="1781"/>
  <c r="K19" i="1781"/>
  <c r="J19" i="1781"/>
  <c r="I19" i="1781"/>
  <c r="H19" i="1781"/>
  <c r="G19" i="1781"/>
  <c r="F19" i="1781"/>
  <c r="E19" i="1781"/>
  <c r="D19" i="1781"/>
  <c r="C19" i="1781"/>
  <c r="Y18" i="1781"/>
  <c r="W18" i="1781"/>
  <c r="V18" i="1781"/>
  <c r="U18" i="1781"/>
  <c r="T18" i="1781"/>
  <c r="P18" i="1781"/>
  <c r="O18" i="1781"/>
  <c r="N18" i="1781"/>
  <c r="M18" i="1781"/>
  <c r="L18" i="1781"/>
  <c r="K18" i="1781"/>
  <c r="J18" i="1781"/>
  <c r="I18" i="1781"/>
  <c r="H18" i="1781"/>
  <c r="G18" i="1781"/>
  <c r="F18" i="1781"/>
  <c r="E18" i="1781"/>
  <c r="D18" i="1781"/>
  <c r="C18" i="1781"/>
  <c r="Y4" i="1781"/>
  <c r="W4" i="1781"/>
  <c r="V4" i="1781"/>
  <c r="U4" i="1781"/>
  <c r="T4" i="1781"/>
  <c r="P4" i="1781"/>
  <c r="O4" i="1781"/>
  <c r="N4" i="1781"/>
  <c r="M4" i="1781"/>
  <c r="L4" i="1781"/>
  <c r="K4" i="1781"/>
  <c r="J4" i="1781"/>
  <c r="I4" i="1781"/>
  <c r="H4" i="1781"/>
  <c r="G4" i="1781"/>
  <c r="F4" i="1781"/>
  <c r="E4" i="1781"/>
  <c r="D4" i="1781"/>
  <c r="C4" i="1781"/>
  <c r="Y3" i="1781"/>
  <c r="W3" i="1781"/>
  <c r="V3" i="1781"/>
  <c r="U3" i="1781"/>
  <c r="T3" i="1781"/>
  <c r="P3" i="1781"/>
  <c r="O3" i="1781"/>
  <c r="N3" i="1781"/>
  <c r="M3" i="1781"/>
  <c r="L3" i="1781"/>
  <c r="K3" i="1781"/>
  <c r="J3" i="1781"/>
  <c r="I3" i="1781"/>
  <c r="H3" i="1781"/>
  <c r="G3" i="1781"/>
  <c r="F3" i="1781"/>
  <c r="E3" i="1781"/>
  <c r="D3" i="1781"/>
  <c r="C3" i="1781"/>
  <c r="F21" i="1780"/>
  <c r="Y19" i="1780"/>
  <c r="W19" i="1780"/>
  <c r="V19" i="1780"/>
  <c r="U19" i="1780"/>
  <c r="T19" i="1780"/>
  <c r="P19" i="1780"/>
  <c r="O19" i="1780"/>
  <c r="N19" i="1780"/>
  <c r="M19" i="1780"/>
  <c r="L19" i="1780"/>
  <c r="K19" i="1780"/>
  <c r="J19" i="1780"/>
  <c r="I19" i="1780"/>
  <c r="H19" i="1780"/>
  <c r="G19" i="1780"/>
  <c r="F19" i="1780"/>
  <c r="E19" i="1780"/>
  <c r="D19" i="1780"/>
  <c r="C19" i="1780"/>
  <c r="Y18" i="1780"/>
  <c r="W18" i="1780"/>
  <c r="V18" i="1780"/>
  <c r="U18" i="1780"/>
  <c r="T18" i="1780"/>
  <c r="P18" i="1780"/>
  <c r="O18" i="1780"/>
  <c r="N18" i="1780"/>
  <c r="M18" i="1780"/>
  <c r="L18" i="1780"/>
  <c r="K18" i="1780"/>
  <c r="J18" i="1780"/>
  <c r="I18" i="1780"/>
  <c r="H18" i="1780"/>
  <c r="G18" i="1780"/>
  <c r="F18" i="1780"/>
  <c r="E18" i="1780"/>
  <c r="D18" i="1780"/>
  <c r="C18" i="1780"/>
  <c r="Y4" i="1780"/>
  <c r="W4" i="1780"/>
  <c r="V4" i="1780"/>
  <c r="U4" i="1780"/>
  <c r="T4" i="1780"/>
  <c r="P4" i="1780"/>
  <c r="O4" i="1780"/>
  <c r="N4" i="1780"/>
  <c r="M4" i="1780"/>
  <c r="L4" i="1780"/>
  <c r="K4" i="1780"/>
  <c r="J4" i="1780"/>
  <c r="I4" i="1780"/>
  <c r="H4" i="1780"/>
  <c r="G4" i="1780"/>
  <c r="F4" i="1780"/>
  <c r="E4" i="1780"/>
  <c r="D4" i="1780"/>
  <c r="C4" i="1780"/>
  <c r="Y3" i="1780"/>
  <c r="W3" i="1780"/>
  <c r="V3" i="1780"/>
  <c r="U3" i="1780"/>
  <c r="T3" i="1780"/>
  <c r="P3" i="1780"/>
  <c r="O3" i="1780"/>
  <c r="N3" i="1780"/>
  <c r="M3" i="1780"/>
  <c r="L3" i="1780"/>
  <c r="K3" i="1780"/>
  <c r="J3" i="1780"/>
  <c r="I3" i="1780"/>
  <c r="H3" i="1780"/>
  <c r="G3" i="1780"/>
  <c r="F3" i="1780"/>
  <c r="E3" i="1780"/>
  <c r="D3" i="1780"/>
  <c r="C3" i="1780"/>
  <c r="F21" i="1779"/>
  <c r="Y19" i="1779"/>
  <c r="W19" i="1779"/>
  <c r="V19" i="1779"/>
  <c r="U19" i="1779"/>
  <c r="T19" i="1779"/>
  <c r="P19" i="1779"/>
  <c r="O19" i="1779"/>
  <c r="N19" i="1779"/>
  <c r="M19" i="1779"/>
  <c r="L19" i="1779"/>
  <c r="K19" i="1779"/>
  <c r="J19" i="1779"/>
  <c r="I19" i="1779"/>
  <c r="H19" i="1779"/>
  <c r="G19" i="1779"/>
  <c r="F19" i="1779"/>
  <c r="E19" i="1779"/>
  <c r="D19" i="1779"/>
  <c r="C19" i="1779"/>
  <c r="Y18" i="1779"/>
  <c r="W18" i="1779"/>
  <c r="V18" i="1779"/>
  <c r="U18" i="1779"/>
  <c r="T18" i="1779"/>
  <c r="P18" i="1779"/>
  <c r="O18" i="1779"/>
  <c r="N18" i="1779"/>
  <c r="M18" i="1779"/>
  <c r="L18" i="1779"/>
  <c r="K18" i="1779"/>
  <c r="J18" i="1779"/>
  <c r="I18" i="1779"/>
  <c r="H18" i="1779"/>
  <c r="G18" i="1779"/>
  <c r="F18" i="1779"/>
  <c r="E18" i="1779"/>
  <c r="D18" i="1779"/>
  <c r="C18" i="1779"/>
  <c r="Y4" i="1779"/>
  <c r="W4" i="1779"/>
  <c r="V4" i="1779"/>
  <c r="U4" i="1779"/>
  <c r="T4" i="1779"/>
  <c r="P4" i="1779"/>
  <c r="O4" i="1779"/>
  <c r="N4" i="1779"/>
  <c r="M4" i="1779"/>
  <c r="L4" i="1779"/>
  <c r="K4" i="1779"/>
  <c r="J4" i="1779"/>
  <c r="I4" i="1779"/>
  <c r="H4" i="1779"/>
  <c r="G4" i="1779"/>
  <c r="F4" i="1779"/>
  <c r="E4" i="1779"/>
  <c r="D4" i="1779"/>
  <c r="C4" i="1779"/>
  <c r="Y3" i="1779"/>
  <c r="W3" i="1779"/>
  <c r="V3" i="1779"/>
  <c r="U3" i="1779"/>
  <c r="T3" i="1779"/>
  <c r="P3" i="1779"/>
  <c r="O3" i="1779"/>
  <c r="N3" i="1779"/>
  <c r="M3" i="1779"/>
  <c r="L3" i="1779"/>
  <c r="K3" i="1779"/>
  <c r="J3" i="1779"/>
  <c r="I3" i="1779"/>
  <c r="H3" i="1779"/>
  <c r="G3" i="1779"/>
  <c r="F3" i="1779"/>
  <c r="E3" i="1779"/>
  <c r="D3" i="1779"/>
  <c r="C3" i="1779"/>
  <c r="F21" i="1778"/>
  <c r="Y19" i="1778"/>
  <c r="W19" i="1778"/>
  <c r="V19" i="1778"/>
  <c r="U19" i="1778"/>
  <c r="T19" i="1778"/>
  <c r="P19" i="1778"/>
  <c r="O19" i="1778"/>
  <c r="N19" i="1778"/>
  <c r="M19" i="1778"/>
  <c r="L19" i="1778"/>
  <c r="K19" i="1778"/>
  <c r="J19" i="1778"/>
  <c r="I19" i="1778"/>
  <c r="H19" i="1778"/>
  <c r="G19" i="1778"/>
  <c r="F19" i="1778"/>
  <c r="E19" i="1778"/>
  <c r="D19" i="1778"/>
  <c r="C19" i="1778"/>
  <c r="Y18" i="1778"/>
  <c r="W18" i="1778"/>
  <c r="V18" i="1778"/>
  <c r="U18" i="1778"/>
  <c r="T18" i="1778"/>
  <c r="P18" i="1778"/>
  <c r="O18" i="1778"/>
  <c r="N18" i="1778"/>
  <c r="M18" i="1778"/>
  <c r="L18" i="1778"/>
  <c r="K18" i="1778"/>
  <c r="J18" i="1778"/>
  <c r="I18" i="1778"/>
  <c r="H18" i="1778"/>
  <c r="G18" i="1778"/>
  <c r="F18" i="1778"/>
  <c r="E18" i="1778"/>
  <c r="D18" i="1778"/>
  <c r="C18" i="1778"/>
  <c r="Y4" i="1778"/>
  <c r="W4" i="1778"/>
  <c r="V4" i="1778"/>
  <c r="U4" i="1778"/>
  <c r="T4" i="1778"/>
  <c r="P4" i="1778"/>
  <c r="O4" i="1778"/>
  <c r="N4" i="1778"/>
  <c r="M4" i="1778"/>
  <c r="L4" i="1778"/>
  <c r="K4" i="1778"/>
  <c r="J4" i="1778"/>
  <c r="I4" i="1778"/>
  <c r="H4" i="1778"/>
  <c r="G4" i="1778"/>
  <c r="F4" i="1778"/>
  <c r="E4" i="1778"/>
  <c r="D4" i="1778"/>
  <c r="C4" i="1778"/>
  <c r="Y3" i="1778"/>
  <c r="W3" i="1778"/>
  <c r="V3" i="1778"/>
  <c r="U3" i="1778"/>
  <c r="T3" i="1778"/>
  <c r="P3" i="1778"/>
  <c r="O3" i="1778"/>
  <c r="N3" i="1778"/>
  <c r="M3" i="1778"/>
  <c r="L3" i="1778"/>
  <c r="K3" i="1778"/>
  <c r="J3" i="1778"/>
  <c r="I3" i="1778"/>
  <c r="H3" i="1778"/>
  <c r="G3" i="1778"/>
  <c r="F3" i="1778"/>
  <c r="E3" i="1778"/>
  <c r="D3" i="1778"/>
  <c r="C3" i="1778"/>
  <c r="F21" i="1777"/>
  <c r="Y19" i="1777"/>
  <c r="W19" i="1777"/>
  <c r="V19" i="1777"/>
  <c r="U19" i="1777"/>
  <c r="T19" i="1777"/>
  <c r="P19" i="1777"/>
  <c r="O19" i="1777"/>
  <c r="N19" i="1777"/>
  <c r="M19" i="1777"/>
  <c r="L19" i="1777"/>
  <c r="K19" i="1777"/>
  <c r="J19" i="1777"/>
  <c r="I19" i="1777"/>
  <c r="H19" i="1777"/>
  <c r="G19" i="1777"/>
  <c r="F19" i="1777"/>
  <c r="E19" i="1777"/>
  <c r="D19" i="1777"/>
  <c r="C19" i="1777"/>
  <c r="Y18" i="1777"/>
  <c r="W18" i="1777"/>
  <c r="V18" i="1777"/>
  <c r="U18" i="1777"/>
  <c r="T18" i="1777"/>
  <c r="P18" i="1777"/>
  <c r="O18" i="1777"/>
  <c r="N18" i="1777"/>
  <c r="M18" i="1777"/>
  <c r="L18" i="1777"/>
  <c r="K18" i="1777"/>
  <c r="J18" i="1777"/>
  <c r="I18" i="1777"/>
  <c r="H18" i="1777"/>
  <c r="G18" i="1777"/>
  <c r="F18" i="1777"/>
  <c r="E18" i="1777"/>
  <c r="D18" i="1777"/>
  <c r="C18" i="1777"/>
  <c r="Y4" i="1777"/>
  <c r="W4" i="1777"/>
  <c r="V4" i="1777"/>
  <c r="U4" i="1777"/>
  <c r="T4" i="1777"/>
  <c r="P4" i="1777"/>
  <c r="O4" i="1777"/>
  <c r="N4" i="1777"/>
  <c r="M4" i="1777"/>
  <c r="L4" i="1777"/>
  <c r="K4" i="1777"/>
  <c r="J4" i="1777"/>
  <c r="I4" i="1777"/>
  <c r="H4" i="1777"/>
  <c r="G4" i="1777"/>
  <c r="F4" i="1777"/>
  <c r="E4" i="1777"/>
  <c r="D4" i="1777"/>
  <c r="C4" i="1777"/>
  <c r="Y3" i="1777"/>
  <c r="W3" i="1777"/>
  <c r="V3" i="1777"/>
  <c r="U3" i="1777"/>
  <c r="T3" i="1777"/>
  <c r="P3" i="1777"/>
  <c r="O3" i="1777"/>
  <c r="N3" i="1777"/>
  <c r="M3" i="1777"/>
  <c r="L3" i="1777"/>
  <c r="K3" i="1777"/>
  <c r="J3" i="1777"/>
  <c r="I3" i="1777"/>
  <c r="H3" i="1777"/>
  <c r="G3" i="1777"/>
  <c r="F3" i="1777"/>
  <c r="E3" i="1777"/>
  <c r="D3" i="1777"/>
  <c r="C3" i="1777"/>
  <c r="F21" i="1776"/>
  <c r="Y19" i="1776"/>
  <c r="W19" i="1776"/>
  <c r="V19" i="1776"/>
  <c r="U19" i="1776"/>
  <c r="T19" i="1776"/>
  <c r="P19" i="1776"/>
  <c r="O19" i="1776"/>
  <c r="N19" i="1776"/>
  <c r="M19" i="1776"/>
  <c r="L19" i="1776"/>
  <c r="K19" i="1776"/>
  <c r="J19" i="1776"/>
  <c r="I19" i="1776"/>
  <c r="H19" i="1776"/>
  <c r="G19" i="1776"/>
  <c r="F19" i="1776"/>
  <c r="E19" i="1776"/>
  <c r="D19" i="1776"/>
  <c r="C19" i="1776"/>
  <c r="Y18" i="1776"/>
  <c r="W18" i="1776"/>
  <c r="V18" i="1776"/>
  <c r="U18" i="1776"/>
  <c r="T18" i="1776"/>
  <c r="P18" i="1776"/>
  <c r="O18" i="1776"/>
  <c r="N18" i="1776"/>
  <c r="M18" i="1776"/>
  <c r="L18" i="1776"/>
  <c r="K18" i="1776"/>
  <c r="J18" i="1776"/>
  <c r="I18" i="1776"/>
  <c r="H18" i="1776"/>
  <c r="G18" i="1776"/>
  <c r="F18" i="1776"/>
  <c r="E18" i="1776"/>
  <c r="D18" i="1776"/>
  <c r="C18" i="1776"/>
  <c r="Y4" i="1776"/>
  <c r="W4" i="1776"/>
  <c r="V4" i="1776"/>
  <c r="U4" i="1776"/>
  <c r="T4" i="1776"/>
  <c r="P4" i="1776"/>
  <c r="O4" i="1776"/>
  <c r="N4" i="1776"/>
  <c r="M4" i="1776"/>
  <c r="L4" i="1776"/>
  <c r="K4" i="1776"/>
  <c r="J4" i="1776"/>
  <c r="I4" i="1776"/>
  <c r="H4" i="1776"/>
  <c r="G4" i="1776"/>
  <c r="F4" i="1776"/>
  <c r="E4" i="1776"/>
  <c r="D4" i="1776"/>
  <c r="C4" i="1776"/>
  <c r="Y3" i="1776"/>
  <c r="W3" i="1776"/>
  <c r="V3" i="1776"/>
  <c r="U3" i="1776"/>
  <c r="T3" i="1776"/>
  <c r="P3" i="1776"/>
  <c r="O3" i="1776"/>
  <c r="N3" i="1776"/>
  <c r="M3" i="1776"/>
  <c r="L3" i="1776"/>
  <c r="K3" i="1776"/>
  <c r="J3" i="1776"/>
  <c r="I3" i="1776"/>
  <c r="H3" i="1776"/>
  <c r="G3" i="1776"/>
  <c r="F3" i="1776"/>
  <c r="E3" i="1776"/>
  <c r="D3" i="1776"/>
  <c r="C3" i="1776"/>
  <c r="F21" i="1775"/>
  <c r="Y19" i="1775"/>
  <c r="W19" i="1775"/>
  <c r="V19" i="1775"/>
  <c r="U19" i="1775"/>
  <c r="T19" i="1775"/>
  <c r="P19" i="1775"/>
  <c r="O19" i="1775"/>
  <c r="N19" i="1775"/>
  <c r="M19" i="1775"/>
  <c r="L19" i="1775"/>
  <c r="K19" i="1775"/>
  <c r="J19" i="1775"/>
  <c r="I19" i="1775"/>
  <c r="H19" i="1775"/>
  <c r="G19" i="1775"/>
  <c r="F19" i="1775"/>
  <c r="E19" i="1775"/>
  <c r="D19" i="1775"/>
  <c r="C19" i="1775"/>
  <c r="Y18" i="1775"/>
  <c r="W18" i="1775"/>
  <c r="V18" i="1775"/>
  <c r="U18" i="1775"/>
  <c r="T18" i="1775"/>
  <c r="P18" i="1775"/>
  <c r="O18" i="1775"/>
  <c r="N18" i="1775"/>
  <c r="M18" i="1775"/>
  <c r="L18" i="1775"/>
  <c r="K18" i="1775"/>
  <c r="J18" i="1775"/>
  <c r="I18" i="1775"/>
  <c r="H18" i="1775"/>
  <c r="G18" i="1775"/>
  <c r="F18" i="1775"/>
  <c r="E18" i="1775"/>
  <c r="D18" i="1775"/>
  <c r="C18" i="1775"/>
  <c r="Y4" i="1775"/>
  <c r="W4" i="1775"/>
  <c r="V4" i="1775"/>
  <c r="U4" i="1775"/>
  <c r="T4" i="1775"/>
  <c r="P4" i="1775"/>
  <c r="O4" i="1775"/>
  <c r="N4" i="1775"/>
  <c r="M4" i="1775"/>
  <c r="L4" i="1775"/>
  <c r="K4" i="1775"/>
  <c r="J4" i="1775"/>
  <c r="I4" i="1775"/>
  <c r="H4" i="1775"/>
  <c r="G4" i="1775"/>
  <c r="F4" i="1775"/>
  <c r="E4" i="1775"/>
  <c r="D4" i="1775"/>
  <c r="C4" i="1775"/>
  <c r="Y3" i="1775"/>
  <c r="W3" i="1775"/>
  <c r="V3" i="1775"/>
  <c r="U3" i="1775"/>
  <c r="T3" i="1775"/>
  <c r="P3" i="1775"/>
  <c r="O3" i="1775"/>
  <c r="N3" i="1775"/>
  <c r="M3" i="1775"/>
  <c r="L3" i="1775"/>
  <c r="K3" i="1775"/>
  <c r="J3" i="1775"/>
  <c r="I3" i="1775"/>
  <c r="H3" i="1775"/>
  <c r="G3" i="1775"/>
  <c r="F3" i="1775"/>
  <c r="E3" i="1775"/>
  <c r="D3" i="1775"/>
  <c r="C3" i="1775"/>
  <c r="F21" i="1774"/>
  <c r="Y19" i="1774"/>
  <c r="W19" i="1774"/>
  <c r="V19" i="1774"/>
  <c r="U19" i="1774"/>
  <c r="T19" i="1774"/>
  <c r="P19" i="1774"/>
  <c r="O19" i="1774"/>
  <c r="N19" i="1774"/>
  <c r="M19" i="1774"/>
  <c r="L19" i="1774"/>
  <c r="K19" i="1774"/>
  <c r="J19" i="1774"/>
  <c r="I19" i="1774"/>
  <c r="H19" i="1774"/>
  <c r="G19" i="1774"/>
  <c r="F19" i="1774"/>
  <c r="E19" i="1774"/>
  <c r="D19" i="1774"/>
  <c r="C19" i="1774"/>
  <c r="Y18" i="1774"/>
  <c r="W18" i="1774"/>
  <c r="V18" i="1774"/>
  <c r="U18" i="1774"/>
  <c r="T18" i="1774"/>
  <c r="P18" i="1774"/>
  <c r="O18" i="1774"/>
  <c r="N18" i="1774"/>
  <c r="M18" i="1774"/>
  <c r="L18" i="1774"/>
  <c r="K18" i="1774"/>
  <c r="J18" i="1774"/>
  <c r="I18" i="1774"/>
  <c r="H18" i="1774"/>
  <c r="G18" i="1774"/>
  <c r="F18" i="1774"/>
  <c r="E18" i="1774"/>
  <c r="D18" i="1774"/>
  <c r="C18" i="1774"/>
  <c r="Y4" i="1774"/>
  <c r="W4" i="1774"/>
  <c r="V4" i="1774"/>
  <c r="U4" i="1774"/>
  <c r="T4" i="1774"/>
  <c r="P4" i="1774"/>
  <c r="O4" i="1774"/>
  <c r="N4" i="1774"/>
  <c r="M4" i="1774"/>
  <c r="L4" i="1774"/>
  <c r="K4" i="1774"/>
  <c r="J4" i="1774"/>
  <c r="I4" i="1774"/>
  <c r="H4" i="1774"/>
  <c r="G4" i="1774"/>
  <c r="F4" i="1774"/>
  <c r="E4" i="1774"/>
  <c r="D4" i="1774"/>
  <c r="C4" i="1774"/>
  <c r="Y3" i="1774"/>
  <c r="W3" i="1774"/>
  <c r="V3" i="1774"/>
  <c r="U3" i="1774"/>
  <c r="T3" i="1774"/>
  <c r="P3" i="1774"/>
  <c r="O3" i="1774"/>
  <c r="N3" i="1774"/>
  <c r="M3" i="1774"/>
  <c r="L3" i="1774"/>
  <c r="K3" i="1774"/>
  <c r="J3" i="1774"/>
  <c r="I3" i="1774"/>
  <c r="H3" i="1774"/>
  <c r="G3" i="1774"/>
  <c r="F3" i="1774"/>
  <c r="E3" i="1774"/>
  <c r="D3" i="1774"/>
  <c r="C3" i="1774"/>
  <c r="F21" i="1773"/>
  <c r="Y19" i="1773"/>
  <c r="W19" i="1773"/>
  <c r="V19" i="1773"/>
  <c r="U19" i="1773"/>
  <c r="T19" i="1773"/>
  <c r="P19" i="1773"/>
  <c r="O19" i="1773"/>
  <c r="N19" i="1773"/>
  <c r="M19" i="1773"/>
  <c r="L19" i="1773"/>
  <c r="K19" i="1773"/>
  <c r="J19" i="1773"/>
  <c r="I19" i="1773"/>
  <c r="H19" i="1773"/>
  <c r="G19" i="1773"/>
  <c r="F19" i="1773"/>
  <c r="E19" i="1773"/>
  <c r="D19" i="1773"/>
  <c r="C19" i="1773"/>
  <c r="Y18" i="1773"/>
  <c r="W18" i="1773"/>
  <c r="V18" i="1773"/>
  <c r="U18" i="1773"/>
  <c r="T18" i="1773"/>
  <c r="P18" i="1773"/>
  <c r="O18" i="1773"/>
  <c r="N18" i="1773"/>
  <c r="M18" i="1773"/>
  <c r="L18" i="1773"/>
  <c r="K18" i="1773"/>
  <c r="J18" i="1773"/>
  <c r="I18" i="1773"/>
  <c r="H18" i="1773"/>
  <c r="G18" i="1773"/>
  <c r="F18" i="1773"/>
  <c r="E18" i="1773"/>
  <c r="D18" i="1773"/>
  <c r="C18" i="1773"/>
  <c r="Y4" i="1773"/>
  <c r="W4" i="1773"/>
  <c r="V4" i="1773"/>
  <c r="U4" i="1773"/>
  <c r="T4" i="1773"/>
  <c r="P4" i="1773"/>
  <c r="O4" i="1773"/>
  <c r="N4" i="1773"/>
  <c r="M4" i="1773"/>
  <c r="L4" i="1773"/>
  <c r="K4" i="1773"/>
  <c r="J4" i="1773"/>
  <c r="I4" i="1773"/>
  <c r="H4" i="1773"/>
  <c r="G4" i="1773"/>
  <c r="F4" i="1773"/>
  <c r="E4" i="1773"/>
  <c r="D4" i="1773"/>
  <c r="C4" i="1773"/>
  <c r="Y3" i="1773"/>
  <c r="W3" i="1773"/>
  <c r="V3" i="1773"/>
  <c r="U3" i="1773"/>
  <c r="T3" i="1773"/>
  <c r="P3" i="1773"/>
  <c r="O3" i="1773"/>
  <c r="N3" i="1773"/>
  <c r="M3" i="1773"/>
  <c r="L3" i="1773"/>
  <c r="K3" i="1773"/>
  <c r="J3" i="1773"/>
  <c r="I3" i="1773"/>
  <c r="H3" i="1773"/>
  <c r="G3" i="1773"/>
  <c r="F3" i="1773"/>
  <c r="E3" i="1773"/>
  <c r="D3" i="1773"/>
  <c r="C3" i="1773"/>
  <c r="F21" i="1772"/>
  <c r="Y19" i="1772"/>
  <c r="W19" i="1772"/>
  <c r="V19" i="1772"/>
  <c r="U19" i="1772"/>
  <c r="T19" i="1772"/>
  <c r="P19" i="1772"/>
  <c r="O19" i="1772"/>
  <c r="N19" i="1772"/>
  <c r="M19" i="1772"/>
  <c r="L19" i="1772"/>
  <c r="K19" i="1772"/>
  <c r="J19" i="1772"/>
  <c r="I19" i="1772"/>
  <c r="H19" i="1772"/>
  <c r="G19" i="1772"/>
  <c r="F19" i="1772"/>
  <c r="E19" i="1772"/>
  <c r="D19" i="1772"/>
  <c r="C19" i="1772"/>
  <c r="Y18" i="1772"/>
  <c r="W18" i="1772"/>
  <c r="V18" i="1772"/>
  <c r="U18" i="1772"/>
  <c r="T18" i="1772"/>
  <c r="P18" i="1772"/>
  <c r="O18" i="1772"/>
  <c r="N18" i="1772"/>
  <c r="M18" i="1772"/>
  <c r="L18" i="1772"/>
  <c r="K18" i="1772"/>
  <c r="J18" i="1772"/>
  <c r="I18" i="1772"/>
  <c r="H18" i="1772"/>
  <c r="G18" i="1772"/>
  <c r="F18" i="1772"/>
  <c r="E18" i="1772"/>
  <c r="D18" i="1772"/>
  <c r="C18" i="1772"/>
  <c r="Y4" i="1772"/>
  <c r="W4" i="1772"/>
  <c r="V4" i="1772"/>
  <c r="U4" i="1772"/>
  <c r="T4" i="1772"/>
  <c r="P4" i="1772"/>
  <c r="O4" i="1772"/>
  <c r="N4" i="1772"/>
  <c r="M4" i="1772"/>
  <c r="L4" i="1772"/>
  <c r="K4" i="1772"/>
  <c r="J4" i="1772"/>
  <c r="I4" i="1772"/>
  <c r="H4" i="1772"/>
  <c r="G4" i="1772"/>
  <c r="F4" i="1772"/>
  <c r="E4" i="1772"/>
  <c r="D4" i="1772"/>
  <c r="C4" i="1772"/>
  <c r="Y3" i="1772"/>
  <c r="W3" i="1772"/>
  <c r="V3" i="1772"/>
  <c r="U3" i="1772"/>
  <c r="T3" i="1772"/>
  <c r="P3" i="1772"/>
  <c r="O3" i="1772"/>
  <c r="N3" i="1772"/>
  <c r="M3" i="1772"/>
  <c r="L3" i="1772"/>
  <c r="K3" i="1772"/>
  <c r="J3" i="1772"/>
  <c r="I3" i="1772"/>
  <c r="H3" i="1772"/>
  <c r="G3" i="1772"/>
  <c r="F3" i="1772"/>
  <c r="E3" i="1772"/>
  <c r="D3" i="1772"/>
  <c r="C3" i="1772"/>
  <c r="F21" i="1771"/>
  <c r="Y19" i="1771"/>
  <c r="W19" i="1771"/>
  <c r="V19" i="1771"/>
  <c r="U19" i="1771"/>
  <c r="T19" i="1771"/>
  <c r="P19" i="1771"/>
  <c r="O19" i="1771"/>
  <c r="N19" i="1771"/>
  <c r="M19" i="1771"/>
  <c r="L19" i="1771"/>
  <c r="K19" i="1771"/>
  <c r="J19" i="1771"/>
  <c r="I19" i="1771"/>
  <c r="H19" i="1771"/>
  <c r="G19" i="1771"/>
  <c r="F19" i="1771"/>
  <c r="E19" i="1771"/>
  <c r="D19" i="1771"/>
  <c r="C19" i="1771"/>
  <c r="Y18" i="1771"/>
  <c r="W18" i="1771"/>
  <c r="V18" i="1771"/>
  <c r="U18" i="1771"/>
  <c r="T18" i="1771"/>
  <c r="P18" i="1771"/>
  <c r="O18" i="1771"/>
  <c r="N18" i="1771"/>
  <c r="M18" i="1771"/>
  <c r="L18" i="1771"/>
  <c r="K18" i="1771"/>
  <c r="J18" i="1771"/>
  <c r="I18" i="1771"/>
  <c r="H18" i="1771"/>
  <c r="G18" i="1771"/>
  <c r="F18" i="1771"/>
  <c r="E18" i="1771"/>
  <c r="D18" i="1771"/>
  <c r="C18" i="1771"/>
  <c r="Y4" i="1771"/>
  <c r="W4" i="1771"/>
  <c r="V4" i="1771"/>
  <c r="U4" i="1771"/>
  <c r="T4" i="1771"/>
  <c r="P4" i="1771"/>
  <c r="O4" i="1771"/>
  <c r="N4" i="1771"/>
  <c r="M4" i="1771"/>
  <c r="L4" i="1771"/>
  <c r="K4" i="1771"/>
  <c r="J4" i="1771"/>
  <c r="I4" i="1771"/>
  <c r="H4" i="1771"/>
  <c r="G4" i="1771"/>
  <c r="F4" i="1771"/>
  <c r="E4" i="1771"/>
  <c r="D4" i="1771"/>
  <c r="C4" i="1771"/>
  <c r="Y3" i="1771"/>
  <c r="W3" i="1771"/>
  <c r="V3" i="1771"/>
  <c r="U3" i="1771"/>
  <c r="T3" i="1771"/>
  <c r="P3" i="1771"/>
  <c r="O3" i="1771"/>
  <c r="N3" i="1771"/>
  <c r="M3" i="1771"/>
  <c r="L3" i="1771"/>
  <c r="K3" i="1771"/>
  <c r="J3" i="1771"/>
  <c r="I3" i="1771"/>
  <c r="H3" i="1771"/>
  <c r="G3" i="1771"/>
  <c r="F3" i="1771"/>
  <c r="E3" i="1771"/>
  <c r="D3" i="1771"/>
  <c r="C3" i="1771"/>
  <c r="F21" i="1770"/>
  <c r="Y19" i="1770"/>
  <c r="W19" i="1770"/>
  <c r="V19" i="1770"/>
  <c r="U19" i="1770"/>
  <c r="T19" i="1770"/>
  <c r="P19" i="1770"/>
  <c r="O19" i="1770"/>
  <c r="N19" i="1770"/>
  <c r="M19" i="1770"/>
  <c r="L19" i="1770"/>
  <c r="K19" i="1770"/>
  <c r="J19" i="1770"/>
  <c r="I19" i="1770"/>
  <c r="H19" i="1770"/>
  <c r="G19" i="1770"/>
  <c r="F19" i="1770"/>
  <c r="E19" i="1770"/>
  <c r="D19" i="1770"/>
  <c r="C19" i="1770"/>
  <c r="Y18" i="1770"/>
  <c r="W18" i="1770"/>
  <c r="V18" i="1770"/>
  <c r="U18" i="1770"/>
  <c r="T18" i="1770"/>
  <c r="P18" i="1770"/>
  <c r="O18" i="1770"/>
  <c r="N18" i="1770"/>
  <c r="M18" i="1770"/>
  <c r="L18" i="1770"/>
  <c r="K18" i="1770"/>
  <c r="J18" i="1770"/>
  <c r="I18" i="1770"/>
  <c r="H18" i="1770"/>
  <c r="G18" i="1770"/>
  <c r="F18" i="1770"/>
  <c r="E18" i="1770"/>
  <c r="D18" i="1770"/>
  <c r="C18" i="1770"/>
  <c r="Y4" i="1770"/>
  <c r="W4" i="1770"/>
  <c r="V4" i="1770"/>
  <c r="U4" i="1770"/>
  <c r="T4" i="1770"/>
  <c r="P4" i="1770"/>
  <c r="O4" i="1770"/>
  <c r="N4" i="1770"/>
  <c r="M4" i="1770"/>
  <c r="L4" i="1770"/>
  <c r="K4" i="1770"/>
  <c r="J4" i="1770"/>
  <c r="I4" i="1770"/>
  <c r="H4" i="1770"/>
  <c r="G4" i="1770"/>
  <c r="F4" i="1770"/>
  <c r="E4" i="1770"/>
  <c r="D4" i="1770"/>
  <c r="C4" i="1770"/>
  <c r="Y3" i="1770"/>
  <c r="W3" i="1770"/>
  <c r="V3" i="1770"/>
  <c r="U3" i="1770"/>
  <c r="T3" i="1770"/>
  <c r="P3" i="1770"/>
  <c r="O3" i="1770"/>
  <c r="N3" i="1770"/>
  <c r="M3" i="1770"/>
  <c r="L3" i="1770"/>
  <c r="K3" i="1770"/>
  <c r="J3" i="1770"/>
  <c r="I3" i="1770"/>
  <c r="H3" i="1770"/>
  <c r="G3" i="1770"/>
  <c r="F3" i="1770"/>
  <c r="E3" i="1770"/>
  <c r="D3" i="1770"/>
  <c r="C3" i="1770"/>
  <c r="C44" i="1769" l="1"/>
  <c r="C44" i="1768"/>
  <c r="C44" i="1767"/>
  <c r="C44" i="1759" l="1"/>
  <c r="C44" i="1760"/>
  <c r="F21" i="1769"/>
  <c r="Y19" i="1769"/>
  <c r="W19" i="1769"/>
  <c r="V19" i="1769"/>
  <c r="U19" i="1769"/>
  <c r="T19" i="1769"/>
  <c r="P19" i="1769"/>
  <c r="O19" i="1769"/>
  <c r="N19" i="1769"/>
  <c r="M19" i="1769"/>
  <c r="L19" i="1769"/>
  <c r="K19" i="1769"/>
  <c r="J19" i="1769"/>
  <c r="I19" i="1769"/>
  <c r="H19" i="1769"/>
  <c r="G19" i="1769"/>
  <c r="F19" i="1769"/>
  <c r="E19" i="1769"/>
  <c r="D19" i="1769"/>
  <c r="C19" i="1769"/>
  <c r="Y18" i="1769"/>
  <c r="W18" i="1769"/>
  <c r="V18" i="1769"/>
  <c r="U18" i="1769"/>
  <c r="T18" i="1769"/>
  <c r="P18" i="1769"/>
  <c r="O18" i="1769"/>
  <c r="N18" i="1769"/>
  <c r="M18" i="1769"/>
  <c r="L18" i="1769"/>
  <c r="K18" i="1769"/>
  <c r="J18" i="1769"/>
  <c r="I18" i="1769"/>
  <c r="H18" i="1769"/>
  <c r="G18" i="1769"/>
  <c r="F18" i="1769"/>
  <c r="E18" i="1769"/>
  <c r="D18" i="1769"/>
  <c r="C18" i="1769"/>
  <c r="Y4" i="1769"/>
  <c r="W4" i="1769"/>
  <c r="V4" i="1769"/>
  <c r="U4" i="1769"/>
  <c r="T4" i="1769"/>
  <c r="P4" i="1769"/>
  <c r="O4" i="1769"/>
  <c r="N4" i="1769"/>
  <c r="M4" i="1769"/>
  <c r="L4" i="1769"/>
  <c r="K4" i="1769"/>
  <c r="J4" i="1769"/>
  <c r="I4" i="1769"/>
  <c r="H4" i="1769"/>
  <c r="G4" i="1769"/>
  <c r="F4" i="1769"/>
  <c r="E4" i="1769"/>
  <c r="D4" i="1769"/>
  <c r="C4" i="1769"/>
  <c r="Y3" i="1769"/>
  <c r="W3" i="1769"/>
  <c r="V3" i="1769"/>
  <c r="U3" i="1769"/>
  <c r="T3" i="1769"/>
  <c r="P3" i="1769"/>
  <c r="O3" i="1769"/>
  <c r="N3" i="1769"/>
  <c r="M3" i="1769"/>
  <c r="L3" i="1769"/>
  <c r="K3" i="1769"/>
  <c r="J3" i="1769"/>
  <c r="I3" i="1769"/>
  <c r="H3" i="1769"/>
  <c r="G3" i="1769"/>
  <c r="F3" i="1769"/>
  <c r="E3" i="1769"/>
  <c r="D3" i="1769"/>
  <c r="C3" i="1769"/>
  <c r="F21" i="1768"/>
  <c r="Y19" i="1768"/>
  <c r="W19" i="1768"/>
  <c r="V19" i="1768"/>
  <c r="U19" i="1768"/>
  <c r="T19" i="1768"/>
  <c r="P19" i="1768"/>
  <c r="O19" i="1768"/>
  <c r="N19" i="1768"/>
  <c r="M19" i="1768"/>
  <c r="L19" i="1768"/>
  <c r="K19" i="1768"/>
  <c r="J19" i="1768"/>
  <c r="I19" i="1768"/>
  <c r="H19" i="1768"/>
  <c r="G19" i="1768"/>
  <c r="F19" i="1768"/>
  <c r="E19" i="1768"/>
  <c r="D19" i="1768"/>
  <c r="C19" i="1768"/>
  <c r="Y18" i="1768"/>
  <c r="W18" i="1768"/>
  <c r="V18" i="1768"/>
  <c r="U18" i="1768"/>
  <c r="T18" i="1768"/>
  <c r="P18" i="1768"/>
  <c r="O18" i="1768"/>
  <c r="N18" i="1768"/>
  <c r="M18" i="1768"/>
  <c r="L18" i="1768"/>
  <c r="K18" i="1768"/>
  <c r="J18" i="1768"/>
  <c r="I18" i="1768"/>
  <c r="H18" i="1768"/>
  <c r="G18" i="1768"/>
  <c r="F18" i="1768"/>
  <c r="E18" i="1768"/>
  <c r="D18" i="1768"/>
  <c r="C18" i="1768"/>
  <c r="Y4" i="1768"/>
  <c r="W4" i="1768"/>
  <c r="V4" i="1768"/>
  <c r="U4" i="1768"/>
  <c r="T4" i="1768"/>
  <c r="P4" i="1768"/>
  <c r="O4" i="1768"/>
  <c r="N4" i="1768"/>
  <c r="M4" i="1768"/>
  <c r="L4" i="1768"/>
  <c r="K4" i="1768"/>
  <c r="J4" i="1768"/>
  <c r="I4" i="1768"/>
  <c r="H4" i="1768"/>
  <c r="G4" i="1768"/>
  <c r="F4" i="1768"/>
  <c r="E4" i="1768"/>
  <c r="D4" i="1768"/>
  <c r="C4" i="1768"/>
  <c r="Y3" i="1768"/>
  <c r="W3" i="1768"/>
  <c r="V3" i="1768"/>
  <c r="U3" i="1768"/>
  <c r="T3" i="1768"/>
  <c r="P3" i="1768"/>
  <c r="O3" i="1768"/>
  <c r="N3" i="1768"/>
  <c r="M3" i="1768"/>
  <c r="L3" i="1768"/>
  <c r="K3" i="1768"/>
  <c r="J3" i="1768"/>
  <c r="I3" i="1768"/>
  <c r="H3" i="1768"/>
  <c r="G3" i="1768"/>
  <c r="F3" i="1768"/>
  <c r="E3" i="1768"/>
  <c r="D3" i="1768"/>
  <c r="C3" i="1768"/>
  <c r="F21" i="1767"/>
  <c r="Y19" i="1767"/>
  <c r="W19" i="1767"/>
  <c r="V19" i="1767"/>
  <c r="U19" i="1767"/>
  <c r="T19" i="1767"/>
  <c r="P19" i="1767"/>
  <c r="O19" i="1767"/>
  <c r="N19" i="1767"/>
  <c r="M19" i="1767"/>
  <c r="L19" i="1767"/>
  <c r="K19" i="1767"/>
  <c r="J19" i="1767"/>
  <c r="I19" i="1767"/>
  <c r="H19" i="1767"/>
  <c r="G19" i="1767"/>
  <c r="F19" i="1767"/>
  <c r="E19" i="1767"/>
  <c r="D19" i="1767"/>
  <c r="C19" i="1767"/>
  <c r="Y18" i="1767"/>
  <c r="W18" i="1767"/>
  <c r="V18" i="1767"/>
  <c r="U18" i="1767"/>
  <c r="T18" i="1767"/>
  <c r="P18" i="1767"/>
  <c r="O18" i="1767"/>
  <c r="N18" i="1767"/>
  <c r="M18" i="1767"/>
  <c r="L18" i="1767"/>
  <c r="K18" i="1767"/>
  <c r="J18" i="1767"/>
  <c r="I18" i="1767"/>
  <c r="H18" i="1767"/>
  <c r="G18" i="1767"/>
  <c r="F18" i="1767"/>
  <c r="E18" i="1767"/>
  <c r="D18" i="1767"/>
  <c r="C18" i="1767"/>
  <c r="Y4" i="1767"/>
  <c r="W4" i="1767"/>
  <c r="V4" i="1767"/>
  <c r="U4" i="1767"/>
  <c r="T4" i="1767"/>
  <c r="P4" i="1767"/>
  <c r="O4" i="1767"/>
  <c r="N4" i="1767"/>
  <c r="M4" i="1767"/>
  <c r="L4" i="1767"/>
  <c r="K4" i="1767"/>
  <c r="J4" i="1767"/>
  <c r="I4" i="1767"/>
  <c r="H4" i="1767"/>
  <c r="G4" i="1767"/>
  <c r="F4" i="1767"/>
  <c r="E4" i="1767"/>
  <c r="D4" i="1767"/>
  <c r="C4" i="1767"/>
  <c r="Y3" i="1767"/>
  <c r="W3" i="1767"/>
  <c r="V3" i="1767"/>
  <c r="U3" i="1767"/>
  <c r="T3" i="1767"/>
  <c r="P3" i="1767"/>
  <c r="O3" i="1767"/>
  <c r="N3" i="1767"/>
  <c r="M3" i="1767"/>
  <c r="L3" i="1767"/>
  <c r="K3" i="1767"/>
  <c r="J3" i="1767"/>
  <c r="I3" i="1767"/>
  <c r="H3" i="1767"/>
  <c r="G3" i="1767"/>
  <c r="F3" i="1767"/>
  <c r="E3" i="1767"/>
  <c r="D3" i="1767"/>
  <c r="C3" i="1767"/>
  <c r="F21" i="1766"/>
  <c r="Y19" i="1766"/>
  <c r="W19" i="1766"/>
  <c r="V19" i="1766"/>
  <c r="U19" i="1766"/>
  <c r="T19" i="1766"/>
  <c r="P19" i="1766"/>
  <c r="O19" i="1766"/>
  <c r="N19" i="1766"/>
  <c r="M19" i="1766"/>
  <c r="L19" i="1766"/>
  <c r="K19" i="1766"/>
  <c r="J19" i="1766"/>
  <c r="I19" i="1766"/>
  <c r="H19" i="1766"/>
  <c r="G19" i="1766"/>
  <c r="F19" i="1766"/>
  <c r="E19" i="1766"/>
  <c r="D19" i="1766"/>
  <c r="C19" i="1766"/>
  <c r="Y18" i="1766"/>
  <c r="W18" i="1766"/>
  <c r="V18" i="1766"/>
  <c r="U18" i="1766"/>
  <c r="T18" i="1766"/>
  <c r="P18" i="1766"/>
  <c r="O18" i="1766"/>
  <c r="N18" i="1766"/>
  <c r="M18" i="1766"/>
  <c r="L18" i="1766"/>
  <c r="K18" i="1766"/>
  <c r="J18" i="1766"/>
  <c r="I18" i="1766"/>
  <c r="H18" i="1766"/>
  <c r="G18" i="1766"/>
  <c r="F18" i="1766"/>
  <c r="E18" i="1766"/>
  <c r="D18" i="1766"/>
  <c r="C18" i="1766"/>
  <c r="Y4" i="1766"/>
  <c r="W4" i="1766"/>
  <c r="V4" i="1766"/>
  <c r="U4" i="1766"/>
  <c r="T4" i="1766"/>
  <c r="P4" i="1766"/>
  <c r="O4" i="1766"/>
  <c r="N4" i="1766"/>
  <c r="M4" i="1766"/>
  <c r="L4" i="1766"/>
  <c r="K4" i="1766"/>
  <c r="J4" i="1766"/>
  <c r="I4" i="1766"/>
  <c r="H4" i="1766"/>
  <c r="G4" i="1766"/>
  <c r="F4" i="1766"/>
  <c r="E4" i="1766"/>
  <c r="D4" i="1766"/>
  <c r="C4" i="1766"/>
  <c r="Y3" i="1766"/>
  <c r="W3" i="1766"/>
  <c r="V3" i="1766"/>
  <c r="U3" i="1766"/>
  <c r="T3" i="1766"/>
  <c r="P3" i="1766"/>
  <c r="O3" i="1766"/>
  <c r="N3" i="1766"/>
  <c r="M3" i="1766"/>
  <c r="L3" i="1766"/>
  <c r="K3" i="1766"/>
  <c r="J3" i="1766"/>
  <c r="I3" i="1766"/>
  <c r="H3" i="1766"/>
  <c r="G3" i="1766"/>
  <c r="F3" i="1766"/>
  <c r="E3" i="1766"/>
  <c r="D3" i="1766"/>
  <c r="C3" i="1766"/>
  <c r="C45" i="1754" l="1"/>
  <c r="C44" i="1754"/>
  <c r="C45" i="1757"/>
  <c r="C44" i="1757"/>
  <c r="F21" i="1765"/>
  <c r="Y19" i="1765"/>
  <c r="W19" i="1765"/>
  <c r="V19" i="1765"/>
  <c r="U19" i="1765"/>
  <c r="T19" i="1765"/>
  <c r="P19" i="1765"/>
  <c r="O19" i="1765"/>
  <c r="N19" i="1765"/>
  <c r="M19" i="1765"/>
  <c r="L19" i="1765"/>
  <c r="K19" i="1765"/>
  <c r="J19" i="1765"/>
  <c r="I19" i="1765"/>
  <c r="H19" i="1765"/>
  <c r="G19" i="1765"/>
  <c r="F19" i="1765"/>
  <c r="E19" i="1765"/>
  <c r="D19" i="1765"/>
  <c r="C19" i="1765"/>
  <c r="Y18" i="1765"/>
  <c r="W18" i="1765"/>
  <c r="V18" i="1765"/>
  <c r="U18" i="1765"/>
  <c r="T18" i="1765"/>
  <c r="P18" i="1765"/>
  <c r="O18" i="1765"/>
  <c r="N18" i="1765"/>
  <c r="M18" i="1765"/>
  <c r="L18" i="1765"/>
  <c r="K18" i="1765"/>
  <c r="J18" i="1765"/>
  <c r="I18" i="1765"/>
  <c r="H18" i="1765"/>
  <c r="G18" i="1765"/>
  <c r="F18" i="1765"/>
  <c r="E18" i="1765"/>
  <c r="D18" i="1765"/>
  <c r="C18" i="1765"/>
  <c r="Y4" i="1765"/>
  <c r="W4" i="1765"/>
  <c r="V4" i="1765"/>
  <c r="U4" i="1765"/>
  <c r="T4" i="1765"/>
  <c r="P4" i="1765"/>
  <c r="O4" i="1765"/>
  <c r="N4" i="1765"/>
  <c r="M4" i="1765"/>
  <c r="L4" i="1765"/>
  <c r="K4" i="1765"/>
  <c r="J4" i="1765"/>
  <c r="I4" i="1765"/>
  <c r="H4" i="1765"/>
  <c r="G4" i="1765"/>
  <c r="F4" i="1765"/>
  <c r="E4" i="1765"/>
  <c r="D4" i="1765"/>
  <c r="C4" i="1765"/>
  <c r="Y3" i="1765"/>
  <c r="W3" i="1765"/>
  <c r="V3" i="1765"/>
  <c r="U3" i="1765"/>
  <c r="T3" i="1765"/>
  <c r="P3" i="1765"/>
  <c r="O3" i="1765"/>
  <c r="N3" i="1765"/>
  <c r="M3" i="1765"/>
  <c r="L3" i="1765"/>
  <c r="K3" i="1765"/>
  <c r="J3" i="1765"/>
  <c r="I3" i="1765"/>
  <c r="H3" i="1765"/>
  <c r="G3" i="1765"/>
  <c r="F3" i="1765"/>
  <c r="E3" i="1765"/>
  <c r="D3" i="1765"/>
  <c r="C3" i="1765"/>
  <c r="F21" i="1764"/>
  <c r="Y19" i="1764"/>
  <c r="W19" i="1764"/>
  <c r="V19" i="1764"/>
  <c r="U19" i="1764"/>
  <c r="T19" i="1764"/>
  <c r="P19" i="1764"/>
  <c r="O19" i="1764"/>
  <c r="N19" i="1764"/>
  <c r="M19" i="1764"/>
  <c r="L19" i="1764"/>
  <c r="K19" i="1764"/>
  <c r="J19" i="1764"/>
  <c r="I19" i="1764"/>
  <c r="H19" i="1764"/>
  <c r="G19" i="1764"/>
  <c r="F19" i="1764"/>
  <c r="E19" i="1764"/>
  <c r="D19" i="1764"/>
  <c r="C19" i="1764"/>
  <c r="Y18" i="1764"/>
  <c r="W18" i="1764"/>
  <c r="V18" i="1764"/>
  <c r="U18" i="1764"/>
  <c r="T18" i="1764"/>
  <c r="P18" i="1764"/>
  <c r="O18" i="1764"/>
  <c r="N18" i="1764"/>
  <c r="M18" i="1764"/>
  <c r="L18" i="1764"/>
  <c r="K18" i="1764"/>
  <c r="J18" i="1764"/>
  <c r="I18" i="1764"/>
  <c r="H18" i="1764"/>
  <c r="G18" i="1764"/>
  <c r="F18" i="1764"/>
  <c r="E18" i="1764"/>
  <c r="D18" i="1764"/>
  <c r="C18" i="1764"/>
  <c r="Y4" i="1764"/>
  <c r="W4" i="1764"/>
  <c r="V4" i="1764"/>
  <c r="U4" i="1764"/>
  <c r="T4" i="1764"/>
  <c r="P4" i="1764"/>
  <c r="O4" i="1764"/>
  <c r="N4" i="1764"/>
  <c r="M4" i="1764"/>
  <c r="L4" i="1764"/>
  <c r="K4" i="1764"/>
  <c r="J4" i="1764"/>
  <c r="I4" i="1764"/>
  <c r="H4" i="1764"/>
  <c r="G4" i="1764"/>
  <c r="F4" i="1764"/>
  <c r="E4" i="1764"/>
  <c r="D4" i="1764"/>
  <c r="C4" i="1764"/>
  <c r="Y3" i="1764"/>
  <c r="W3" i="1764"/>
  <c r="V3" i="1764"/>
  <c r="U3" i="1764"/>
  <c r="T3" i="1764"/>
  <c r="P3" i="1764"/>
  <c r="O3" i="1764"/>
  <c r="N3" i="1764"/>
  <c r="M3" i="1764"/>
  <c r="L3" i="1764"/>
  <c r="K3" i="1764"/>
  <c r="J3" i="1764"/>
  <c r="I3" i="1764"/>
  <c r="H3" i="1764"/>
  <c r="G3" i="1764"/>
  <c r="F3" i="1764"/>
  <c r="E3" i="1764"/>
  <c r="D3" i="1764"/>
  <c r="C3" i="1764"/>
  <c r="F21" i="1763"/>
  <c r="Y19" i="1763"/>
  <c r="W19" i="1763"/>
  <c r="V19" i="1763"/>
  <c r="U19" i="1763"/>
  <c r="T19" i="1763"/>
  <c r="P19" i="1763"/>
  <c r="O19" i="1763"/>
  <c r="N19" i="1763"/>
  <c r="M19" i="1763"/>
  <c r="L19" i="1763"/>
  <c r="K19" i="1763"/>
  <c r="J19" i="1763"/>
  <c r="I19" i="1763"/>
  <c r="H19" i="1763"/>
  <c r="G19" i="1763"/>
  <c r="F19" i="1763"/>
  <c r="E19" i="1763"/>
  <c r="D19" i="1763"/>
  <c r="C19" i="1763"/>
  <c r="Y18" i="1763"/>
  <c r="W18" i="1763"/>
  <c r="V18" i="1763"/>
  <c r="U18" i="1763"/>
  <c r="T18" i="1763"/>
  <c r="P18" i="1763"/>
  <c r="O18" i="1763"/>
  <c r="N18" i="1763"/>
  <c r="M18" i="1763"/>
  <c r="L18" i="1763"/>
  <c r="K18" i="1763"/>
  <c r="J18" i="1763"/>
  <c r="I18" i="1763"/>
  <c r="H18" i="1763"/>
  <c r="G18" i="1763"/>
  <c r="F18" i="1763"/>
  <c r="E18" i="1763"/>
  <c r="D18" i="1763"/>
  <c r="C18" i="1763"/>
  <c r="Y4" i="1763"/>
  <c r="W4" i="1763"/>
  <c r="V4" i="1763"/>
  <c r="U4" i="1763"/>
  <c r="T4" i="1763"/>
  <c r="P4" i="1763"/>
  <c r="O4" i="1763"/>
  <c r="N4" i="1763"/>
  <c r="M4" i="1763"/>
  <c r="L4" i="1763"/>
  <c r="K4" i="1763"/>
  <c r="J4" i="1763"/>
  <c r="I4" i="1763"/>
  <c r="H4" i="1763"/>
  <c r="G4" i="1763"/>
  <c r="F4" i="1763"/>
  <c r="E4" i="1763"/>
  <c r="D4" i="1763"/>
  <c r="C4" i="1763"/>
  <c r="Y3" i="1763"/>
  <c r="W3" i="1763"/>
  <c r="V3" i="1763"/>
  <c r="U3" i="1763"/>
  <c r="T3" i="1763"/>
  <c r="P3" i="1763"/>
  <c r="O3" i="1763"/>
  <c r="N3" i="1763"/>
  <c r="M3" i="1763"/>
  <c r="L3" i="1763"/>
  <c r="K3" i="1763"/>
  <c r="J3" i="1763"/>
  <c r="I3" i="1763"/>
  <c r="H3" i="1763"/>
  <c r="G3" i="1763"/>
  <c r="F3" i="1763"/>
  <c r="E3" i="1763"/>
  <c r="D3" i="1763"/>
  <c r="C3" i="1763"/>
  <c r="F21" i="1762"/>
  <c r="Y19" i="1762"/>
  <c r="W19" i="1762"/>
  <c r="V19" i="1762"/>
  <c r="U19" i="1762"/>
  <c r="T19" i="1762"/>
  <c r="P19" i="1762"/>
  <c r="O19" i="1762"/>
  <c r="N19" i="1762"/>
  <c r="M19" i="1762"/>
  <c r="L19" i="1762"/>
  <c r="K19" i="1762"/>
  <c r="J19" i="1762"/>
  <c r="I19" i="1762"/>
  <c r="H19" i="1762"/>
  <c r="G19" i="1762"/>
  <c r="F19" i="1762"/>
  <c r="E19" i="1762"/>
  <c r="D19" i="1762"/>
  <c r="C19" i="1762"/>
  <c r="Y18" i="1762"/>
  <c r="W18" i="1762"/>
  <c r="V18" i="1762"/>
  <c r="U18" i="1762"/>
  <c r="T18" i="1762"/>
  <c r="P18" i="1762"/>
  <c r="O18" i="1762"/>
  <c r="N18" i="1762"/>
  <c r="M18" i="1762"/>
  <c r="L18" i="1762"/>
  <c r="K18" i="1762"/>
  <c r="J18" i="1762"/>
  <c r="I18" i="1762"/>
  <c r="H18" i="1762"/>
  <c r="G18" i="1762"/>
  <c r="F18" i="1762"/>
  <c r="E18" i="1762"/>
  <c r="D18" i="1762"/>
  <c r="C18" i="1762"/>
  <c r="Y4" i="1762"/>
  <c r="W4" i="1762"/>
  <c r="V4" i="1762"/>
  <c r="U4" i="1762"/>
  <c r="T4" i="1762"/>
  <c r="P4" i="1762"/>
  <c r="O4" i="1762"/>
  <c r="N4" i="1762"/>
  <c r="M4" i="1762"/>
  <c r="L4" i="1762"/>
  <c r="K4" i="1762"/>
  <c r="J4" i="1762"/>
  <c r="I4" i="1762"/>
  <c r="H4" i="1762"/>
  <c r="G4" i="1762"/>
  <c r="F4" i="1762"/>
  <c r="E4" i="1762"/>
  <c r="D4" i="1762"/>
  <c r="C4" i="1762"/>
  <c r="Y3" i="1762"/>
  <c r="W3" i="1762"/>
  <c r="V3" i="1762"/>
  <c r="U3" i="1762"/>
  <c r="T3" i="1762"/>
  <c r="P3" i="1762"/>
  <c r="O3" i="1762"/>
  <c r="N3" i="1762"/>
  <c r="M3" i="1762"/>
  <c r="L3" i="1762"/>
  <c r="K3" i="1762"/>
  <c r="J3" i="1762"/>
  <c r="I3" i="1762"/>
  <c r="H3" i="1762"/>
  <c r="G3" i="1762"/>
  <c r="F3" i="1762"/>
  <c r="E3" i="1762"/>
  <c r="D3" i="1762"/>
  <c r="C3" i="1762"/>
  <c r="F21" i="1761"/>
  <c r="Y19" i="1761"/>
  <c r="W19" i="1761"/>
  <c r="V19" i="1761"/>
  <c r="U19" i="1761"/>
  <c r="T19" i="1761"/>
  <c r="P19" i="1761"/>
  <c r="O19" i="1761"/>
  <c r="N19" i="1761"/>
  <c r="M19" i="1761"/>
  <c r="L19" i="1761"/>
  <c r="K19" i="1761"/>
  <c r="J19" i="1761"/>
  <c r="I19" i="1761"/>
  <c r="H19" i="1761"/>
  <c r="G19" i="1761"/>
  <c r="F19" i="1761"/>
  <c r="E19" i="1761"/>
  <c r="D19" i="1761"/>
  <c r="C19" i="1761"/>
  <c r="Y18" i="1761"/>
  <c r="W18" i="1761"/>
  <c r="V18" i="1761"/>
  <c r="U18" i="1761"/>
  <c r="T18" i="1761"/>
  <c r="P18" i="1761"/>
  <c r="O18" i="1761"/>
  <c r="N18" i="1761"/>
  <c r="M18" i="1761"/>
  <c r="L18" i="1761"/>
  <c r="K18" i="1761"/>
  <c r="J18" i="1761"/>
  <c r="I18" i="1761"/>
  <c r="H18" i="1761"/>
  <c r="G18" i="1761"/>
  <c r="F18" i="1761"/>
  <c r="E18" i="1761"/>
  <c r="D18" i="1761"/>
  <c r="C18" i="1761"/>
  <c r="Y4" i="1761"/>
  <c r="W4" i="1761"/>
  <c r="V4" i="1761"/>
  <c r="U4" i="1761"/>
  <c r="T4" i="1761"/>
  <c r="P4" i="1761"/>
  <c r="O4" i="1761"/>
  <c r="N4" i="1761"/>
  <c r="M4" i="1761"/>
  <c r="L4" i="1761"/>
  <c r="K4" i="1761"/>
  <c r="J4" i="1761"/>
  <c r="I4" i="1761"/>
  <c r="H4" i="1761"/>
  <c r="G4" i="1761"/>
  <c r="F4" i="1761"/>
  <c r="E4" i="1761"/>
  <c r="D4" i="1761"/>
  <c r="C4" i="1761"/>
  <c r="Y3" i="1761"/>
  <c r="W3" i="1761"/>
  <c r="V3" i="1761"/>
  <c r="U3" i="1761"/>
  <c r="T3" i="1761"/>
  <c r="P3" i="1761"/>
  <c r="O3" i="1761"/>
  <c r="N3" i="1761"/>
  <c r="M3" i="1761"/>
  <c r="L3" i="1761"/>
  <c r="K3" i="1761"/>
  <c r="J3" i="1761"/>
  <c r="I3" i="1761"/>
  <c r="H3" i="1761"/>
  <c r="G3" i="1761"/>
  <c r="F3" i="1761"/>
  <c r="E3" i="1761"/>
  <c r="D3" i="1761"/>
  <c r="C3" i="1761"/>
  <c r="F21" i="1760"/>
  <c r="Y19" i="1760"/>
  <c r="W19" i="1760"/>
  <c r="V19" i="1760"/>
  <c r="U19" i="1760"/>
  <c r="T19" i="1760"/>
  <c r="P19" i="1760"/>
  <c r="O19" i="1760"/>
  <c r="N19" i="1760"/>
  <c r="M19" i="1760"/>
  <c r="L19" i="1760"/>
  <c r="K19" i="1760"/>
  <c r="J19" i="1760"/>
  <c r="I19" i="1760"/>
  <c r="H19" i="1760"/>
  <c r="G19" i="1760"/>
  <c r="F19" i="1760"/>
  <c r="E19" i="1760"/>
  <c r="D19" i="1760"/>
  <c r="C19" i="1760"/>
  <c r="Y18" i="1760"/>
  <c r="W18" i="1760"/>
  <c r="V18" i="1760"/>
  <c r="U18" i="1760"/>
  <c r="T18" i="1760"/>
  <c r="P18" i="1760"/>
  <c r="O18" i="1760"/>
  <c r="N18" i="1760"/>
  <c r="M18" i="1760"/>
  <c r="L18" i="1760"/>
  <c r="K18" i="1760"/>
  <c r="J18" i="1760"/>
  <c r="I18" i="1760"/>
  <c r="H18" i="1760"/>
  <c r="G18" i="1760"/>
  <c r="F18" i="1760"/>
  <c r="E18" i="1760"/>
  <c r="D18" i="1760"/>
  <c r="C18" i="1760"/>
  <c r="Y4" i="1760"/>
  <c r="W4" i="1760"/>
  <c r="V4" i="1760"/>
  <c r="U4" i="1760"/>
  <c r="T4" i="1760"/>
  <c r="P4" i="1760"/>
  <c r="O4" i="1760"/>
  <c r="N4" i="1760"/>
  <c r="M4" i="1760"/>
  <c r="L4" i="1760"/>
  <c r="K4" i="1760"/>
  <c r="J4" i="1760"/>
  <c r="I4" i="1760"/>
  <c r="H4" i="1760"/>
  <c r="G4" i="1760"/>
  <c r="F4" i="1760"/>
  <c r="E4" i="1760"/>
  <c r="D4" i="1760"/>
  <c r="C4" i="1760"/>
  <c r="Y3" i="1760"/>
  <c r="W3" i="1760"/>
  <c r="V3" i="1760"/>
  <c r="U3" i="1760"/>
  <c r="T3" i="1760"/>
  <c r="P3" i="1760"/>
  <c r="O3" i="1760"/>
  <c r="N3" i="1760"/>
  <c r="M3" i="1760"/>
  <c r="L3" i="1760"/>
  <c r="K3" i="1760"/>
  <c r="J3" i="1760"/>
  <c r="I3" i="1760"/>
  <c r="H3" i="1760"/>
  <c r="G3" i="1760"/>
  <c r="F3" i="1760"/>
  <c r="E3" i="1760"/>
  <c r="D3" i="1760"/>
  <c r="C3" i="1760"/>
  <c r="F21" i="1759"/>
  <c r="Y19" i="1759"/>
  <c r="W19" i="1759"/>
  <c r="V19" i="1759"/>
  <c r="U19" i="1759"/>
  <c r="T19" i="1759"/>
  <c r="P19" i="1759"/>
  <c r="O19" i="1759"/>
  <c r="N19" i="1759"/>
  <c r="M19" i="1759"/>
  <c r="L19" i="1759"/>
  <c r="K19" i="1759"/>
  <c r="J19" i="1759"/>
  <c r="I19" i="1759"/>
  <c r="H19" i="1759"/>
  <c r="G19" i="1759"/>
  <c r="F19" i="1759"/>
  <c r="E19" i="1759"/>
  <c r="D19" i="1759"/>
  <c r="C19" i="1759"/>
  <c r="Y18" i="1759"/>
  <c r="W18" i="1759"/>
  <c r="V18" i="1759"/>
  <c r="U18" i="1759"/>
  <c r="T18" i="1759"/>
  <c r="P18" i="1759"/>
  <c r="O18" i="1759"/>
  <c r="N18" i="1759"/>
  <c r="M18" i="1759"/>
  <c r="L18" i="1759"/>
  <c r="K18" i="1759"/>
  <c r="J18" i="1759"/>
  <c r="I18" i="1759"/>
  <c r="H18" i="1759"/>
  <c r="G18" i="1759"/>
  <c r="F18" i="1759"/>
  <c r="E18" i="1759"/>
  <c r="D18" i="1759"/>
  <c r="C18" i="1759"/>
  <c r="Y4" i="1759"/>
  <c r="W4" i="1759"/>
  <c r="V4" i="1759"/>
  <c r="U4" i="1759"/>
  <c r="T4" i="1759"/>
  <c r="P4" i="1759"/>
  <c r="O4" i="1759"/>
  <c r="N4" i="1759"/>
  <c r="M4" i="1759"/>
  <c r="L4" i="1759"/>
  <c r="K4" i="1759"/>
  <c r="J4" i="1759"/>
  <c r="I4" i="1759"/>
  <c r="H4" i="1759"/>
  <c r="G4" i="1759"/>
  <c r="F4" i="1759"/>
  <c r="E4" i="1759"/>
  <c r="D4" i="1759"/>
  <c r="C4" i="1759"/>
  <c r="Y3" i="1759"/>
  <c r="W3" i="1759"/>
  <c r="V3" i="1759"/>
  <c r="U3" i="1759"/>
  <c r="T3" i="1759"/>
  <c r="P3" i="1759"/>
  <c r="O3" i="1759"/>
  <c r="N3" i="1759"/>
  <c r="M3" i="1759"/>
  <c r="L3" i="1759"/>
  <c r="K3" i="1759"/>
  <c r="J3" i="1759"/>
  <c r="I3" i="1759"/>
  <c r="H3" i="1759"/>
  <c r="G3" i="1759"/>
  <c r="F3" i="1759"/>
  <c r="E3" i="1759"/>
  <c r="D3" i="1759"/>
  <c r="C3" i="1759"/>
  <c r="F21" i="1758"/>
  <c r="Y19" i="1758"/>
  <c r="W19" i="1758"/>
  <c r="V19" i="1758"/>
  <c r="U19" i="1758"/>
  <c r="T19" i="1758"/>
  <c r="P19" i="1758"/>
  <c r="O19" i="1758"/>
  <c r="N19" i="1758"/>
  <c r="M19" i="1758"/>
  <c r="L19" i="1758"/>
  <c r="K19" i="1758"/>
  <c r="J19" i="1758"/>
  <c r="I19" i="1758"/>
  <c r="H19" i="1758"/>
  <c r="G19" i="1758"/>
  <c r="F19" i="1758"/>
  <c r="E19" i="1758"/>
  <c r="D19" i="1758"/>
  <c r="C19" i="1758"/>
  <c r="Y18" i="1758"/>
  <c r="W18" i="1758"/>
  <c r="V18" i="1758"/>
  <c r="U18" i="1758"/>
  <c r="T18" i="1758"/>
  <c r="P18" i="1758"/>
  <c r="O18" i="1758"/>
  <c r="N18" i="1758"/>
  <c r="M18" i="1758"/>
  <c r="L18" i="1758"/>
  <c r="K18" i="1758"/>
  <c r="J18" i="1758"/>
  <c r="I18" i="1758"/>
  <c r="H18" i="1758"/>
  <c r="G18" i="1758"/>
  <c r="F18" i="1758"/>
  <c r="E18" i="1758"/>
  <c r="D18" i="1758"/>
  <c r="C18" i="1758"/>
  <c r="Y4" i="1758"/>
  <c r="W4" i="1758"/>
  <c r="V4" i="1758"/>
  <c r="U4" i="1758"/>
  <c r="T4" i="1758"/>
  <c r="P4" i="1758"/>
  <c r="O4" i="1758"/>
  <c r="N4" i="1758"/>
  <c r="M4" i="1758"/>
  <c r="L4" i="1758"/>
  <c r="K4" i="1758"/>
  <c r="J4" i="1758"/>
  <c r="I4" i="1758"/>
  <c r="H4" i="1758"/>
  <c r="G4" i="1758"/>
  <c r="F4" i="1758"/>
  <c r="E4" i="1758"/>
  <c r="D4" i="1758"/>
  <c r="C4" i="1758"/>
  <c r="Y3" i="1758"/>
  <c r="W3" i="1758"/>
  <c r="V3" i="1758"/>
  <c r="U3" i="1758"/>
  <c r="T3" i="1758"/>
  <c r="P3" i="1758"/>
  <c r="O3" i="1758"/>
  <c r="N3" i="1758"/>
  <c r="M3" i="1758"/>
  <c r="L3" i="1758"/>
  <c r="K3" i="1758"/>
  <c r="J3" i="1758"/>
  <c r="I3" i="1758"/>
  <c r="H3" i="1758"/>
  <c r="G3" i="1758"/>
  <c r="F3" i="1758"/>
  <c r="E3" i="1758"/>
  <c r="D3" i="1758"/>
  <c r="C3" i="1758"/>
  <c r="F21" i="1757"/>
  <c r="Y19" i="1757"/>
  <c r="W19" i="1757"/>
  <c r="V19" i="1757"/>
  <c r="U19" i="1757"/>
  <c r="T19" i="1757"/>
  <c r="P19" i="1757"/>
  <c r="O19" i="1757"/>
  <c r="N19" i="1757"/>
  <c r="M19" i="1757"/>
  <c r="L19" i="1757"/>
  <c r="K19" i="1757"/>
  <c r="J19" i="1757"/>
  <c r="I19" i="1757"/>
  <c r="H19" i="1757"/>
  <c r="G19" i="1757"/>
  <c r="F19" i="1757"/>
  <c r="E19" i="1757"/>
  <c r="D19" i="1757"/>
  <c r="C19" i="1757"/>
  <c r="Y18" i="1757"/>
  <c r="W18" i="1757"/>
  <c r="V18" i="1757"/>
  <c r="U18" i="1757"/>
  <c r="T18" i="1757"/>
  <c r="P18" i="1757"/>
  <c r="O18" i="1757"/>
  <c r="N18" i="1757"/>
  <c r="M18" i="1757"/>
  <c r="L18" i="1757"/>
  <c r="K18" i="1757"/>
  <c r="J18" i="1757"/>
  <c r="I18" i="1757"/>
  <c r="H18" i="1757"/>
  <c r="G18" i="1757"/>
  <c r="F18" i="1757"/>
  <c r="E18" i="1757"/>
  <c r="D18" i="1757"/>
  <c r="C18" i="1757"/>
  <c r="Y4" i="1757"/>
  <c r="W4" i="1757"/>
  <c r="V4" i="1757"/>
  <c r="U4" i="1757"/>
  <c r="T4" i="1757"/>
  <c r="P4" i="1757"/>
  <c r="O4" i="1757"/>
  <c r="N4" i="1757"/>
  <c r="M4" i="1757"/>
  <c r="L4" i="1757"/>
  <c r="K4" i="1757"/>
  <c r="J4" i="1757"/>
  <c r="I4" i="1757"/>
  <c r="H4" i="1757"/>
  <c r="G4" i="1757"/>
  <c r="F4" i="1757"/>
  <c r="E4" i="1757"/>
  <c r="D4" i="1757"/>
  <c r="C4" i="1757"/>
  <c r="Y3" i="1757"/>
  <c r="W3" i="1757"/>
  <c r="V3" i="1757"/>
  <c r="U3" i="1757"/>
  <c r="T3" i="1757"/>
  <c r="P3" i="1757"/>
  <c r="O3" i="1757"/>
  <c r="N3" i="1757"/>
  <c r="M3" i="1757"/>
  <c r="L3" i="1757"/>
  <c r="K3" i="1757"/>
  <c r="J3" i="1757"/>
  <c r="I3" i="1757"/>
  <c r="H3" i="1757"/>
  <c r="G3" i="1757"/>
  <c r="F3" i="1757"/>
  <c r="E3" i="1757"/>
  <c r="D3" i="1757"/>
  <c r="C3" i="1757"/>
  <c r="F21" i="1756"/>
  <c r="Y19" i="1756"/>
  <c r="W19" i="1756"/>
  <c r="V19" i="1756"/>
  <c r="U19" i="1756"/>
  <c r="T19" i="1756"/>
  <c r="P19" i="1756"/>
  <c r="O19" i="1756"/>
  <c r="N19" i="1756"/>
  <c r="M19" i="1756"/>
  <c r="L19" i="1756"/>
  <c r="K19" i="1756"/>
  <c r="J19" i="1756"/>
  <c r="I19" i="1756"/>
  <c r="H19" i="1756"/>
  <c r="G19" i="1756"/>
  <c r="F19" i="1756"/>
  <c r="E19" i="1756"/>
  <c r="D19" i="1756"/>
  <c r="C19" i="1756"/>
  <c r="Y18" i="1756"/>
  <c r="W18" i="1756"/>
  <c r="V18" i="1756"/>
  <c r="U18" i="1756"/>
  <c r="T18" i="1756"/>
  <c r="P18" i="1756"/>
  <c r="O18" i="1756"/>
  <c r="N18" i="1756"/>
  <c r="M18" i="1756"/>
  <c r="L18" i="1756"/>
  <c r="K18" i="1756"/>
  <c r="J18" i="1756"/>
  <c r="I18" i="1756"/>
  <c r="H18" i="1756"/>
  <c r="G18" i="1756"/>
  <c r="F18" i="1756"/>
  <c r="E18" i="1756"/>
  <c r="D18" i="1756"/>
  <c r="C18" i="1756"/>
  <c r="Y4" i="1756"/>
  <c r="W4" i="1756"/>
  <c r="V4" i="1756"/>
  <c r="U4" i="1756"/>
  <c r="T4" i="1756"/>
  <c r="P4" i="1756"/>
  <c r="O4" i="1756"/>
  <c r="N4" i="1756"/>
  <c r="M4" i="1756"/>
  <c r="L4" i="1756"/>
  <c r="K4" i="1756"/>
  <c r="J4" i="1756"/>
  <c r="I4" i="1756"/>
  <c r="H4" i="1756"/>
  <c r="G4" i="1756"/>
  <c r="F4" i="1756"/>
  <c r="E4" i="1756"/>
  <c r="D4" i="1756"/>
  <c r="C4" i="1756"/>
  <c r="Y3" i="1756"/>
  <c r="W3" i="1756"/>
  <c r="V3" i="1756"/>
  <c r="U3" i="1756"/>
  <c r="T3" i="1756"/>
  <c r="P3" i="1756"/>
  <c r="O3" i="1756"/>
  <c r="N3" i="1756"/>
  <c r="M3" i="1756"/>
  <c r="L3" i="1756"/>
  <c r="K3" i="1756"/>
  <c r="J3" i="1756"/>
  <c r="I3" i="1756"/>
  <c r="H3" i="1756"/>
  <c r="G3" i="1756"/>
  <c r="F3" i="1756"/>
  <c r="E3" i="1756"/>
  <c r="D3" i="1756"/>
  <c r="C3" i="1756"/>
  <c r="F21" i="1755"/>
  <c r="Y19" i="1755"/>
  <c r="W19" i="1755"/>
  <c r="V19" i="1755"/>
  <c r="U19" i="1755"/>
  <c r="T19" i="1755"/>
  <c r="P19" i="1755"/>
  <c r="O19" i="1755"/>
  <c r="N19" i="1755"/>
  <c r="M19" i="1755"/>
  <c r="L19" i="1755"/>
  <c r="K19" i="1755"/>
  <c r="J19" i="1755"/>
  <c r="I19" i="1755"/>
  <c r="H19" i="1755"/>
  <c r="G19" i="1755"/>
  <c r="F19" i="1755"/>
  <c r="E19" i="1755"/>
  <c r="D19" i="1755"/>
  <c r="C19" i="1755"/>
  <c r="Y18" i="1755"/>
  <c r="W18" i="1755"/>
  <c r="V18" i="1755"/>
  <c r="U18" i="1755"/>
  <c r="T18" i="1755"/>
  <c r="P18" i="1755"/>
  <c r="O18" i="1755"/>
  <c r="N18" i="1755"/>
  <c r="M18" i="1755"/>
  <c r="L18" i="1755"/>
  <c r="K18" i="1755"/>
  <c r="J18" i="1755"/>
  <c r="I18" i="1755"/>
  <c r="H18" i="1755"/>
  <c r="G18" i="1755"/>
  <c r="F18" i="1755"/>
  <c r="E18" i="1755"/>
  <c r="D18" i="1755"/>
  <c r="C18" i="1755"/>
  <c r="Y4" i="1755"/>
  <c r="W4" i="1755"/>
  <c r="V4" i="1755"/>
  <c r="U4" i="1755"/>
  <c r="T4" i="1755"/>
  <c r="P4" i="1755"/>
  <c r="O4" i="1755"/>
  <c r="N4" i="1755"/>
  <c r="M4" i="1755"/>
  <c r="L4" i="1755"/>
  <c r="K4" i="1755"/>
  <c r="J4" i="1755"/>
  <c r="I4" i="1755"/>
  <c r="H4" i="1755"/>
  <c r="G4" i="1755"/>
  <c r="F4" i="1755"/>
  <c r="E4" i="1755"/>
  <c r="D4" i="1755"/>
  <c r="C4" i="1755"/>
  <c r="Y3" i="1755"/>
  <c r="W3" i="1755"/>
  <c r="V3" i="1755"/>
  <c r="U3" i="1755"/>
  <c r="T3" i="1755"/>
  <c r="P3" i="1755"/>
  <c r="O3" i="1755"/>
  <c r="N3" i="1755"/>
  <c r="M3" i="1755"/>
  <c r="L3" i="1755"/>
  <c r="K3" i="1755"/>
  <c r="J3" i="1755"/>
  <c r="I3" i="1755"/>
  <c r="H3" i="1755"/>
  <c r="G3" i="1755"/>
  <c r="F3" i="1755"/>
  <c r="E3" i="1755"/>
  <c r="D3" i="1755"/>
  <c r="C3" i="1755"/>
  <c r="C44" i="1752" l="1"/>
  <c r="C44" i="1749" l="1"/>
  <c r="C45" i="1748"/>
  <c r="C44" i="1748"/>
  <c r="C44" i="1746" l="1"/>
  <c r="C44" i="1745"/>
  <c r="F21" i="1754" l="1"/>
  <c r="Y19" i="1754"/>
  <c r="W19" i="1754"/>
  <c r="V19" i="1754"/>
  <c r="U19" i="1754"/>
  <c r="T19" i="1754"/>
  <c r="P19" i="1754"/>
  <c r="O19" i="1754"/>
  <c r="N19" i="1754"/>
  <c r="M19" i="1754"/>
  <c r="L19" i="1754"/>
  <c r="K19" i="1754"/>
  <c r="J19" i="1754"/>
  <c r="I19" i="1754"/>
  <c r="H19" i="1754"/>
  <c r="G19" i="1754"/>
  <c r="F19" i="1754"/>
  <c r="E19" i="1754"/>
  <c r="D19" i="1754"/>
  <c r="C19" i="1754"/>
  <c r="Y18" i="1754"/>
  <c r="W18" i="1754"/>
  <c r="V18" i="1754"/>
  <c r="U18" i="1754"/>
  <c r="T18" i="1754"/>
  <c r="P18" i="1754"/>
  <c r="O18" i="1754"/>
  <c r="N18" i="1754"/>
  <c r="M18" i="1754"/>
  <c r="L18" i="1754"/>
  <c r="K18" i="1754"/>
  <c r="J18" i="1754"/>
  <c r="I18" i="1754"/>
  <c r="H18" i="1754"/>
  <c r="G18" i="1754"/>
  <c r="F18" i="1754"/>
  <c r="E18" i="1754"/>
  <c r="D18" i="1754"/>
  <c r="C18" i="1754"/>
  <c r="Y4" i="1754"/>
  <c r="W4" i="1754"/>
  <c r="V4" i="1754"/>
  <c r="U4" i="1754"/>
  <c r="T4" i="1754"/>
  <c r="P4" i="1754"/>
  <c r="O4" i="1754"/>
  <c r="N4" i="1754"/>
  <c r="M4" i="1754"/>
  <c r="L4" i="1754"/>
  <c r="K4" i="1754"/>
  <c r="J4" i="1754"/>
  <c r="I4" i="1754"/>
  <c r="H4" i="1754"/>
  <c r="G4" i="1754"/>
  <c r="F4" i="1754"/>
  <c r="E4" i="1754"/>
  <c r="D4" i="1754"/>
  <c r="C4" i="1754"/>
  <c r="Y3" i="1754"/>
  <c r="W3" i="1754"/>
  <c r="V3" i="1754"/>
  <c r="U3" i="1754"/>
  <c r="T3" i="1754"/>
  <c r="P3" i="1754"/>
  <c r="O3" i="1754"/>
  <c r="N3" i="1754"/>
  <c r="M3" i="1754"/>
  <c r="L3" i="1754"/>
  <c r="K3" i="1754"/>
  <c r="J3" i="1754"/>
  <c r="I3" i="1754"/>
  <c r="H3" i="1754"/>
  <c r="G3" i="1754"/>
  <c r="F3" i="1754"/>
  <c r="E3" i="1754"/>
  <c r="D3" i="1754"/>
  <c r="C3" i="1754"/>
  <c r="F21" i="1753"/>
  <c r="Y19" i="1753"/>
  <c r="W19" i="1753"/>
  <c r="V19" i="1753"/>
  <c r="U19" i="1753"/>
  <c r="T19" i="1753"/>
  <c r="P19" i="1753"/>
  <c r="O19" i="1753"/>
  <c r="N19" i="1753"/>
  <c r="M19" i="1753"/>
  <c r="L19" i="1753"/>
  <c r="K19" i="1753"/>
  <c r="J19" i="1753"/>
  <c r="I19" i="1753"/>
  <c r="H19" i="1753"/>
  <c r="G19" i="1753"/>
  <c r="F19" i="1753"/>
  <c r="E19" i="1753"/>
  <c r="D19" i="1753"/>
  <c r="C19" i="1753"/>
  <c r="Y18" i="1753"/>
  <c r="W18" i="1753"/>
  <c r="V18" i="1753"/>
  <c r="U18" i="1753"/>
  <c r="T18" i="1753"/>
  <c r="P18" i="1753"/>
  <c r="O18" i="1753"/>
  <c r="N18" i="1753"/>
  <c r="M18" i="1753"/>
  <c r="L18" i="1753"/>
  <c r="K18" i="1753"/>
  <c r="J18" i="1753"/>
  <c r="I18" i="1753"/>
  <c r="H18" i="1753"/>
  <c r="G18" i="1753"/>
  <c r="F18" i="1753"/>
  <c r="E18" i="1753"/>
  <c r="D18" i="1753"/>
  <c r="C18" i="1753"/>
  <c r="Y4" i="1753"/>
  <c r="W4" i="1753"/>
  <c r="V4" i="1753"/>
  <c r="U4" i="1753"/>
  <c r="T4" i="1753"/>
  <c r="P4" i="1753"/>
  <c r="O4" i="1753"/>
  <c r="N4" i="1753"/>
  <c r="M4" i="1753"/>
  <c r="L4" i="1753"/>
  <c r="K4" i="1753"/>
  <c r="J4" i="1753"/>
  <c r="I4" i="1753"/>
  <c r="H4" i="1753"/>
  <c r="G4" i="1753"/>
  <c r="F4" i="1753"/>
  <c r="E4" i="1753"/>
  <c r="D4" i="1753"/>
  <c r="C4" i="1753"/>
  <c r="Y3" i="1753"/>
  <c r="W3" i="1753"/>
  <c r="V3" i="1753"/>
  <c r="U3" i="1753"/>
  <c r="T3" i="1753"/>
  <c r="P3" i="1753"/>
  <c r="O3" i="1753"/>
  <c r="N3" i="1753"/>
  <c r="M3" i="1753"/>
  <c r="L3" i="1753"/>
  <c r="K3" i="1753"/>
  <c r="J3" i="1753"/>
  <c r="I3" i="1753"/>
  <c r="H3" i="1753"/>
  <c r="G3" i="1753"/>
  <c r="F3" i="1753"/>
  <c r="E3" i="1753"/>
  <c r="D3" i="1753"/>
  <c r="C3" i="1753"/>
  <c r="F21" i="1752"/>
  <c r="Y19" i="1752"/>
  <c r="W19" i="1752"/>
  <c r="V19" i="1752"/>
  <c r="U19" i="1752"/>
  <c r="T19" i="1752"/>
  <c r="P19" i="1752"/>
  <c r="O19" i="1752"/>
  <c r="N19" i="1752"/>
  <c r="M19" i="1752"/>
  <c r="L19" i="1752"/>
  <c r="K19" i="1752"/>
  <c r="J19" i="1752"/>
  <c r="I19" i="1752"/>
  <c r="H19" i="1752"/>
  <c r="G19" i="1752"/>
  <c r="F19" i="1752"/>
  <c r="E19" i="1752"/>
  <c r="D19" i="1752"/>
  <c r="C19" i="1752"/>
  <c r="Y18" i="1752"/>
  <c r="W18" i="1752"/>
  <c r="V18" i="1752"/>
  <c r="U18" i="1752"/>
  <c r="T18" i="1752"/>
  <c r="P18" i="1752"/>
  <c r="O18" i="1752"/>
  <c r="N18" i="1752"/>
  <c r="M18" i="1752"/>
  <c r="L18" i="1752"/>
  <c r="K18" i="1752"/>
  <c r="J18" i="1752"/>
  <c r="I18" i="1752"/>
  <c r="H18" i="1752"/>
  <c r="G18" i="1752"/>
  <c r="F18" i="1752"/>
  <c r="E18" i="1752"/>
  <c r="D18" i="1752"/>
  <c r="C18" i="1752"/>
  <c r="Y4" i="1752"/>
  <c r="W4" i="1752"/>
  <c r="V4" i="1752"/>
  <c r="U4" i="1752"/>
  <c r="T4" i="1752"/>
  <c r="P4" i="1752"/>
  <c r="O4" i="1752"/>
  <c r="N4" i="1752"/>
  <c r="M4" i="1752"/>
  <c r="L4" i="1752"/>
  <c r="K4" i="1752"/>
  <c r="J4" i="1752"/>
  <c r="I4" i="1752"/>
  <c r="H4" i="1752"/>
  <c r="G4" i="1752"/>
  <c r="F4" i="1752"/>
  <c r="E4" i="1752"/>
  <c r="D4" i="1752"/>
  <c r="C4" i="1752"/>
  <c r="Y3" i="1752"/>
  <c r="W3" i="1752"/>
  <c r="V3" i="1752"/>
  <c r="U3" i="1752"/>
  <c r="T3" i="1752"/>
  <c r="P3" i="1752"/>
  <c r="O3" i="1752"/>
  <c r="N3" i="1752"/>
  <c r="M3" i="1752"/>
  <c r="L3" i="1752"/>
  <c r="K3" i="1752"/>
  <c r="J3" i="1752"/>
  <c r="I3" i="1752"/>
  <c r="H3" i="1752"/>
  <c r="G3" i="1752"/>
  <c r="F3" i="1752"/>
  <c r="E3" i="1752"/>
  <c r="D3" i="1752"/>
  <c r="C3" i="1752"/>
  <c r="F21" i="1751"/>
  <c r="Y19" i="1751"/>
  <c r="W19" i="1751"/>
  <c r="V19" i="1751"/>
  <c r="U19" i="1751"/>
  <c r="T19" i="1751"/>
  <c r="P19" i="1751"/>
  <c r="O19" i="1751"/>
  <c r="N19" i="1751"/>
  <c r="M19" i="1751"/>
  <c r="L19" i="1751"/>
  <c r="K19" i="1751"/>
  <c r="J19" i="1751"/>
  <c r="I19" i="1751"/>
  <c r="H19" i="1751"/>
  <c r="G19" i="1751"/>
  <c r="F19" i="1751"/>
  <c r="E19" i="1751"/>
  <c r="D19" i="1751"/>
  <c r="C19" i="1751"/>
  <c r="Y18" i="1751"/>
  <c r="W18" i="1751"/>
  <c r="V18" i="1751"/>
  <c r="U18" i="1751"/>
  <c r="T18" i="1751"/>
  <c r="P18" i="1751"/>
  <c r="O18" i="1751"/>
  <c r="N18" i="1751"/>
  <c r="M18" i="1751"/>
  <c r="L18" i="1751"/>
  <c r="K18" i="1751"/>
  <c r="J18" i="1751"/>
  <c r="I18" i="1751"/>
  <c r="H18" i="1751"/>
  <c r="G18" i="1751"/>
  <c r="F18" i="1751"/>
  <c r="E18" i="1751"/>
  <c r="D18" i="1751"/>
  <c r="C18" i="1751"/>
  <c r="Y4" i="1751"/>
  <c r="W4" i="1751"/>
  <c r="V4" i="1751"/>
  <c r="U4" i="1751"/>
  <c r="T4" i="1751"/>
  <c r="P4" i="1751"/>
  <c r="O4" i="1751"/>
  <c r="N4" i="1751"/>
  <c r="M4" i="1751"/>
  <c r="L4" i="1751"/>
  <c r="K4" i="1751"/>
  <c r="J4" i="1751"/>
  <c r="I4" i="1751"/>
  <c r="H4" i="1751"/>
  <c r="G4" i="1751"/>
  <c r="F4" i="1751"/>
  <c r="E4" i="1751"/>
  <c r="D4" i="1751"/>
  <c r="C4" i="1751"/>
  <c r="Y3" i="1751"/>
  <c r="W3" i="1751"/>
  <c r="V3" i="1751"/>
  <c r="U3" i="1751"/>
  <c r="T3" i="1751"/>
  <c r="P3" i="1751"/>
  <c r="O3" i="1751"/>
  <c r="N3" i="1751"/>
  <c r="M3" i="1751"/>
  <c r="L3" i="1751"/>
  <c r="K3" i="1751"/>
  <c r="J3" i="1751"/>
  <c r="I3" i="1751"/>
  <c r="H3" i="1751"/>
  <c r="G3" i="1751"/>
  <c r="F3" i="1751"/>
  <c r="E3" i="1751"/>
  <c r="D3" i="1751"/>
  <c r="C3" i="1751"/>
  <c r="C44" i="1750"/>
  <c r="F21" i="1750"/>
  <c r="Y19" i="1750"/>
  <c r="W19" i="1750"/>
  <c r="V19" i="1750"/>
  <c r="U19" i="1750"/>
  <c r="T19" i="1750"/>
  <c r="P19" i="1750"/>
  <c r="O19" i="1750"/>
  <c r="N19" i="1750"/>
  <c r="M19" i="1750"/>
  <c r="L19" i="1750"/>
  <c r="K19" i="1750"/>
  <c r="J19" i="1750"/>
  <c r="I19" i="1750"/>
  <c r="H19" i="1750"/>
  <c r="G19" i="1750"/>
  <c r="F19" i="1750"/>
  <c r="E19" i="1750"/>
  <c r="D19" i="1750"/>
  <c r="C19" i="1750"/>
  <c r="Y18" i="1750"/>
  <c r="W18" i="1750"/>
  <c r="V18" i="1750"/>
  <c r="U18" i="1750"/>
  <c r="T18" i="1750"/>
  <c r="P18" i="1750"/>
  <c r="O18" i="1750"/>
  <c r="N18" i="1750"/>
  <c r="M18" i="1750"/>
  <c r="L18" i="1750"/>
  <c r="K18" i="1750"/>
  <c r="J18" i="1750"/>
  <c r="I18" i="1750"/>
  <c r="H18" i="1750"/>
  <c r="G18" i="1750"/>
  <c r="F18" i="1750"/>
  <c r="E18" i="1750"/>
  <c r="D18" i="1750"/>
  <c r="C18" i="1750"/>
  <c r="Y4" i="1750"/>
  <c r="W4" i="1750"/>
  <c r="V4" i="1750"/>
  <c r="U4" i="1750"/>
  <c r="T4" i="1750"/>
  <c r="P4" i="1750"/>
  <c r="O4" i="1750"/>
  <c r="N4" i="1750"/>
  <c r="M4" i="1750"/>
  <c r="L4" i="1750"/>
  <c r="K4" i="1750"/>
  <c r="J4" i="1750"/>
  <c r="I4" i="1750"/>
  <c r="H4" i="1750"/>
  <c r="G4" i="1750"/>
  <c r="F4" i="1750"/>
  <c r="E4" i="1750"/>
  <c r="D4" i="1750"/>
  <c r="C4" i="1750"/>
  <c r="Y3" i="1750"/>
  <c r="W3" i="1750"/>
  <c r="V3" i="1750"/>
  <c r="U3" i="1750"/>
  <c r="T3" i="1750"/>
  <c r="P3" i="1750"/>
  <c r="O3" i="1750"/>
  <c r="N3" i="1750"/>
  <c r="M3" i="1750"/>
  <c r="L3" i="1750"/>
  <c r="K3" i="1750"/>
  <c r="J3" i="1750"/>
  <c r="I3" i="1750"/>
  <c r="H3" i="1750"/>
  <c r="G3" i="1750"/>
  <c r="F3" i="1750"/>
  <c r="E3" i="1750"/>
  <c r="D3" i="1750"/>
  <c r="C3" i="1750"/>
  <c r="F21" i="1749"/>
  <c r="Y19" i="1749"/>
  <c r="W19" i="1749"/>
  <c r="V19" i="1749"/>
  <c r="U19" i="1749"/>
  <c r="T19" i="1749"/>
  <c r="P19" i="1749"/>
  <c r="O19" i="1749"/>
  <c r="N19" i="1749"/>
  <c r="M19" i="1749"/>
  <c r="L19" i="1749"/>
  <c r="K19" i="1749"/>
  <c r="J19" i="1749"/>
  <c r="I19" i="1749"/>
  <c r="H19" i="1749"/>
  <c r="G19" i="1749"/>
  <c r="F19" i="1749"/>
  <c r="E19" i="1749"/>
  <c r="D19" i="1749"/>
  <c r="C19" i="1749"/>
  <c r="Y18" i="1749"/>
  <c r="W18" i="1749"/>
  <c r="V18" i="1749"/>
  <c r="U18" i="1749"/>
  <c r="T18" i="1749"/>
  <c r="P18" i="1749"/>
  <c r="O18" i="1749"/>
  <c r="N18" i="1749"/>
  <c r="M18" i="1749"/>
  <c r="L18" i="1749"/>
  <c r="K18" i="1749"/>
  <c r="J18" i="1749"/>
  <c r="I18" i="1749"/>
  <c r="H18" i="1749"/>
  <c r="G18" i="1749"/>
  <c r="F18" i="1749"/>
  <c r="E18" i="1749"/>
  <c r="D18" i="1749"/>
  <c r="C18" i="1749"/>
  <c r="Y4" i="1749"/>
  <c r="W4" i="1749"/>
  <c r="V4" i="1749"/>
  <c r="U4" i="1749"/>
  <c r="T4" i="1749"/>
  <c r="P4" i="1749"/>
  <c r="O4" i="1749"/>
  <c r="N4" i="1749"/>
  <c r="M4" i="1749"/>
  <c r="L4" i="1749"/>
  <c r="K4" i="1749"/>
  <c r="J4" i="1749"/>
  <c r="I4" i="1749"/>
  <c r="H4" i="1749"/>
  <c r="G4" i="1749"/>
  <c r="F4" i="1749"/>
  <c r="E4" i="1749"/>
  <c r="D4" i="1749"/>
  <c r="C4" i="1749"/>
  <c r="Y3" i="1749"/>
  <c r="W3" i="1749"/>
  <c r="V3" i="1749"/>
  <c r="U3" i="1749"/>
  <c r="T3" i="1749"/>
  <c r="P3" i="1749"/>
  <c r="O3" i="1749"/>
  <c r="N3" i="1749"/>
  <c r="M3" i="1749"/>
  <c r="L3" i="1749"/>
  <c r="K3" i="1749"/>
  <c r="J3" i="1749"/>
  <c r="I3" i="1749"/>
  <c r="H3" i="1749"/>
  <c r="G3" i="1749"/>
  <c r="F3" i="1749"/>
  <c r="E3" i="1749"/>
  <c r="D3" i="1749"/>
  <c r="C3" i="1749"/>
  <c r="F21" i="1748"/>
  <c r="Y19" i="1748"/>
  <c r="W19" i="1748"/>
  <c r="V19" i="1748"/>
  <c r="U19" i="1748"/>
  <c r="T19" i="1748"/>
  <c r="P19" i="1748"/>
  <c r="O19" i="1748"/>
  <c r="N19" i="1748"/>
  <c r="M19" i="1748"/>
  <c r="L19" i="1748"/>
  <c r="K19" i="1748"/>
  <c r="J19" i="1748"/>
  <c r="I19" i="1748"/>
  <c r="H19" i="1748"/>
  <c r="G19" i="1748"/>
  <c r="F19" i="1748"/>
  <c r="E19" i="1748"/>
  <c r="D19" i="1748"/>
  <c r="C19" i="1748"/>
  <c r="Y18" i="1748"/>
  <c r="W18" i="1748"/>
  <c r="V18" i="1748"/>
  <c r="U18" i="1748"/>
  <c r="T18" i="1748"/>
  <c r="P18" i="1748"/>
  <c r="O18" i="1748"/>
  <c r="N18" i="1748"/>
  <c r="M18" i="1748"/>
  <c r="L18" i="1748"/>
  <c r="K18" i="1748"/>
  <c r="J18" i="1748"/>
  <c r="I18" i="1748"/>
  <c r="H18" i="1748"/>
  <c r="G18" i="1748"/>
  <c r="F18" i="1748"/>
  <c r="E18" i="1748"/>
  <c r="D18" i="1748"/>
  <c r="C18" i="1748"/>
  <c r="Y4" i="1748"/>
  <c r="W4" i="1748"/>
  <c r="V4" i="1748"/>
  <c r="U4" i="1748"/>
  <c r="T4" i="1748"/>
  <c r="P4" i="1748"/>
  <c r="O4" i="1748"/>
  <c r="N4" i="1748"/>
  <c r="M4" i="1748"/>
  <c r="L4" i="1748"/>
  <c r="K4" i="1748"/>
  <c r="J4" i="1748"/>
  <c r="I4" i="1748"/>
  <c r="H4" i="1748"/>
  <c r="G4" i="1748"/>
  <c r="F4" i="1748"/>
  <c r="E4" i="1748"/>
  <c r="D4" i="1748"/>
  <c r="C4" i="1748"/>
  <c r="Y3" i="1748"/>
  <c r="W3" i="1748"/>
  <c r="V3" i="1748"/>
  <c r="U3" i="1748"/>
  <c r="T3" i="1748"/>
  <c r="P3" i="1748"/>
  <c r="O3" i="1748"/>
  <c r="N3" i="1748"/>
  <c r="M3" i="1748"/>
  <c r="L3" i="1748"/>
  <c r="K3" i="1748"/>
  <c r="J3" i="1748"/>
  <c r="I3" i="1748"/>
  <c r="H3" i="1748"/>
  <c r="G3" i="1748"/>
  <c r="F3" i="1748"/>
  <c r="E3" i="1748"/>
  <c r="D3" i="1748"/>
  <c r="C3" i="1748"/>
  <c r="F21" i="1747"/>
  <c r="Y19" i="1747"/>
  <c r="W19" i="1747"/>
  <c r="V19" i="1747"/>
  <c r="U19" i="1747"/>
  <c r="T19" i="1747"/>
  <c r="P19" i="1747"/>
  <c r="O19" i="1747"/>
  <c r="N19" i="1747"/>
  <c r="M19" i="1747"/>
  <c r="L19" i="1747"/>
  <c r="K19" i="1747"/>
  <c r="J19" i="1747"/>
  <c r="I19" i="1747"/>
  <c r="H19" i="1747"/>
  <c r="G19" i="1747"/>
  <c r="F19" i="1747"/>
  <c r="E19" i="1747"/>
  <c r="D19" i="1747"/>
  <c r="C19" i="1747"/>
  <c r="Y18" i="1747"/>
  <c r="W18" i="1747"/>
  <c r="V18" i="1747"/>
  <c r="U18" i="1747"/>
  <c r="T18" i="1747"/>
  <c r="P18" i="1747"/>
  <c r="O18" i="1747"/>
  <c r="N18" i="1747"/>
  <c r="M18" i="1747"/>
  <c r="L18" i="1747"/>
  <c r="K18" i="1747"/>
  <c r="J18" i="1747"/>
  <c r="I18" i="1747"/>
  <c r="H18" i="1747"/>
  <c r="G18" i="1747"/>
  <c r="F18" i="1747"/>
  <c r="E18" i="1747"/>
  <c r="D18" i="1747"/>
  <c r="C18" i="1747"/>
  <c r="Y4" i="1747"/>
  <c r="W4" i="1747"/>
  <c r="V4" i="1747"/>
  <c r="U4" i="1747"/>
  <c r="T4" i="1747"/>
  <c r="P4" i="1747"/>
  <c r="O4" i="1747"/>
  <c r="N4" i="1747"/>
  <c r="M4" i="1747"/>
  <c r="L4" i="1747"/>
  <c r="K4" i="1747"/>
  <c r="J4" i="1747"/>
  <c r="I4" i="1747"/>
  <c r="H4" i="1747"/>
  <c r="G4" i="1747"/>
  <c r="F4" i="1747"/>
  <c r="E4" i="1747"/>
  <c r="D4" i="1747"/>
  <c r="C4" i="1747"/>
  <c r="Y3" i="1747"/>
  <c r="W3" i="1747"/>
  <c r="V3" i="1747"/>
  <c r="U3" i="1747"/>
  <c r="T3" i="1747"/>
  <c r="P3" i="1747"/>
  <c r="O3" i="1747"/>
  <c r="N3" i="1747"/>
  <c r="M3" i="1747"/>
  <c r="L3" i="1747"/>
  <c r="K3" i="1747"/>
  <c r="J3" i="1747"/>
  <c r="I3" i="1747"/>
  <c r="H3" i="1747"/>
  <c r="G3" i="1747"/>
  <c r="F3" i="1747"/>
  <c r="E3" i="1747"/>
  <c r="D3" i="1747"/>
  <c r="C3" i="1747"/>
  <c r="C44" i="1738" l="1"/>
  <c r="C44" i="1737"/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5" i="1704"/>
  <c r="C44" i="170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<sst xmlns="http://schemas.openxmlformats.org/spreadsheetml/2006/main" count="8936" uniqueCount="143">
  <si>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</si>
  <si>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</si>
  <si>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</si>
  <si>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</si>
  <si>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</si>
  <si>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</si>
  <si>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</si>
  <si>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</si>
  <si>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</si>
  <si>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</si>
  <si>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</si>
  <si>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</si>
  <si>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</si>
  <si>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</si>
  <si>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</si>
  <si>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</si>
  <si>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</si>
  <si>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</si>
  <si>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</si>
  <si>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</si>
  <si>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</si>
  <si>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</si>
  <si>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</si>
  <si>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</si>
  <si>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</si>
  <si>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</si>
  <si>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</si>
  <si>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</si>
  <si>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</si>
  <si>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</si>
  <si>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</si>
  <si>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</si>
  <si>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</si>
  <si>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</si>
  <si>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</si>
  <si>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</si>
  <si>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</si>
  <si>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</si>
  <si>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</si>
  <si>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</si>
  <si>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</si>
  <si>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</si>
  <si>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</si>
  <si>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</si>
  <si>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</si>
  <si>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</si>
  <si>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</si>
  <si>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</si>
  <si>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</si>
  <si>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</si>
  <si>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</si>
  <si>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</si>
  <si>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</si>
  <si>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</si>
  <si>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</si>
  <si>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</si>
  <si>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</si>
  <si>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</si>
  <si>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</si>
  <si>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</si>
  <si>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</si>
  <si>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</si>
  <si>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</si>
  <si>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</si>
  <si>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</si>
  <si>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</si>
  <si>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</si>
  <si>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</si>
  <si>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</si>
  <si>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</si>
  <si>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</si>
  <si>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</si>
  <si>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</si>
  <si>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</si>
  <si>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</si>
  <si>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</si>
  <si>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</si>
  <si>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</si>
  <si>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</si>
  <si>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</si>
  <si>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</si>
  <si>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</si>
  <si>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</si>
  <si>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</si>
  <si>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</si>
  <si>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</si>
  <si>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</si>
  <si>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</si>
  <si>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</si>
  <si>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</si>
  <si>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</si>
  <si>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</si>
  <si>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</si>
  <si>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</si>
  <si>
    <t>DATE ___________06/09/2026___________</t>
  </si>
  <si>
    <t>DATE ___________06/10/2026___________</t>
  </si>
  <si>
    <t>20/12B</t>
  </si>
  <si>
    <t>2/12b</t>
  </si>
  <si>
    <t>9/12b</t>
  </si>
  <si>
    <t>12b</t>
  </si>
  <si>
    <t>5/12b</t>
  </si>
  <si>
    <t>1/12b</t>
  </si>
  <si>
    <t>9/4b</t>
  </si>
  <si>
    <t>9/3b</t>
  </si>
  <si>
    <t>DATE ___________06/11/2026___________</t>
  </si>
  <si>
    <t>DATE ___________06/12/2026___________</t>
  </si>
  <si>
    <t>DATE ___________06/13/2026___________</t>
  </si>
  <si>
    <t>9/4B</t>
  </si>
  <si>
    <t>2/12B</t>
  </si>
  <si>
    <t>6/3B</t>
  </si>
  <si>
    <t>25/12B</t>
  </si>
  <si>
    <t>DATE ___________06/15/2026___________</t>
  </si>
  <si>
    <t>DATE ___________06/16/2026___________</t>
  </si>
  <si>
    <t>DATE ___________06/17/2026___________</t>
  </si>
  <si>
    <t>DATE ___________06/18/2026___________</t>
  </si>
  <si>
    <t>DATE ___________06/19/2026___________</t>
  </si>
  <si>
    <t>DATE ___________06/20/2026___________</t>
  </si>
  <si>
    <t>DATE ___________06/22/2026___________</t>
  </si>
  <si>
    <t>22/12B</t>
  </si>
  <si>
    <t>10/12b</t>
  </si>
  <si>
    <t>15/12b</t>
  </si>
  <si>
    <t>4/12b</t>
  </si>
  <si>
    <t>6/3b</t>
  </si>
  <si>
    <t>16/12b</t>
  </si>
  <si>
    <t>25/12b</t>
  </si>
  <si>
    <t>13/12b</t>
  </si>
  <si>
    <t>19/12b</t>
  </si>
  <si>
    <t>9/12B</t>
  </si>
  <si>
    <t>24/12B</t>
  </si>
  <si>
    <t>14/12B</t>
  </si>
  <si>
    <t>7/12B</t>
  </si>
  <si>
    <t>DATE ___________06/23/2026___________</t>
  </si>
  <si>
    <t>DATE ___________06/24/2026___________</t>
  </si>
  <si>
    <t>DATE ___________06/25/2026___________</t>
  </si>
  <si>
    <t>1</t>
  </si>
  <si>
    <t>3/3B</t>
  </si>
  <si>
    <t>16/12B</t>
  </si>
  <si>
    <t>DATE ___________06/26/2026___________</t>
  </si>
  <si>
    <t>13/3B</t>
  </si>
  <si>
    <t>DATE ___________06/29/2026___________</t>
  </si>
  <si>
    <t>4/12B</t>
  </si>
  <si>
    <t>DATE ___________06/30/2026___________</t>
  </si>
  <si>
    <t>29/12B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</si>
</sst>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2+6+10+10+13+10+570</f>
        <v>621</v>
      </c>
      <c r="D44" s="101"/>
      <c r="E44" s="101"/>
    </row>
    <row r="45" spans="2:25" x14ac:dyDescent="0.25">
      <c r="B45" s="76" t="s">
        <v>69</v>
      </c>
      <c r="C45" s="101">
        <f>22+12+1</f>
        <v>35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1+3+1+1+40+6+275</f>
        <v>327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10+2+3+1+25+6+307</f>
        <v>354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1+1+11+2+304</f>
        <v>319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13+1+1+330</f>
        <v>345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10+5+2+5+1+1+1+1+1+1+1+1+2+10+10+2+2+2+1+74+1+20+346+1+10+1+1+1</f>
        <v>514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2+1+1+13+2+2+1+10+1+5+441+2</f>
        <v>481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1+1+26+15+15+3+5+62+2+10+551</f>
        <v>691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3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10+26+117+65+50+370</f>
        <v>638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2+2+7+23+1+297</f>
        <v>332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2+7+24+20+20+135+20+539+1</f>
        <v>768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K12" sqref="K1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30</v>
      </c>
      <c r="I24" s="14"/>
      <c r="J24" s="14"/>
      <c r="K24" s="14" t="s">
        <v>85</v>
      </c>
      <c r="L24" s="14">
        <v>5</v>
      </c>
      <c r="M24" s="14">
        <v>416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24</v>
      </c>
      <c r="I31" s="23"/>
      <c r="J31" s="23"/>
      <c r="K31" s="23" t="s">
        <v>85</v>
      </c>
      <c r="L31" s="23">
        <v>1</v>
      </c>
      <c r="M31" s="23">
        <v>32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</v>
      </c>
      <c r="I32" s="28"/>
      <c r="J32" s="28"/>
      <c r="K32" s="28">
        <v>0</v>
      </c>
      <c r="L32" s="28">
        <v>4</v>
      </c>
      <c r="M32" s="28">
        <v>384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1</v>
      </c>
      <c r="H36" s="42"/>
      <c r="I36" s="42">
        <v>2</v>
      </c>
      <c r="J36" s="42"/>
      <c r="K36" s="42"/>
      <c r="L36" s="42"/>
      <c r="M36" s="42"/>
      <c r="N36" s="42"/>
      <c r="O36" s="42">
        <v>8</v>
      </c>
      <c r="P36" s="42">
        <v>4</v>
      </c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1</v>
      </c>
      <c r="H42" s="42"/>
      <c r="I42" s="42">
        <v>2</v>
      </c>
      <c r="J42" s="42"/>
      <c r="K42" s="42"/>
      <c r="L42" s="42"/>
      <c r="M42" s="42"/>
      <c r="N42" s="42"/>
      <c r="O42" s="42">
        <v>8</v>
      </c>
      <c r="P42" s="42">
        <v>4</v>
      </c>
      <c r="Q42" s="43">
        <v>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9+6+4+384</f>
        <v>403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topLeftCell="D1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55</v>
      </c>
      <c r="I24" s="14"/>
      <c r="J24" s="14"/>
      <c r="K24" s="14">
        <v>2</v>
      </c>
      <c r="L24" s="14">
        <v>434</v>
      </c>
      <c r="M24" s="14"/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9</v>
      </c>
      <c r="I31" s="23"/>
      <c r="J31" s="23"/>
      <c r="K31" s="23">
        <v>2</v>
      </c>
      <c r="L31" s="23">
        <v>45</v>
      </c>
      <c r="M31" s="23"/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46</v>
      </c>
      <c r="I32" s="28"/>
      <c r="J32" s="28"/>
      <c r="K32" s="28">
        <v>0</v>
      </c>
      <c r="L32" s="28">
        <v>389</v>
      </c>
      <c r="M32" s="28"/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>
        <v>1</v>
      </c>
      <c r="E36" s="42"/>
      <c r="F36" s="42">
        <v>421</v>
      </c>
      <c r="G36" s="42">
        <v>13</v>
      </c>
      <c r="H36" s="42">
        <v>3</v>
      </c>
      <c r="I36" s="42">
        <v>19</v>
      </c>
      <c r="J36" s="42">
        <v>1</v>
      </c>
      <c r="K36" s="42">
        <v>8</v>
      </c>
      <c r="L36" s="42">
        <v>5</v>
      </c>
      <c r="M36" s="42">
        <v>1</v>
      </c>
      <c r="N36" s="42">
        <v>5</v>
      </c>
      <c r="O36" s="42">
        <v>12</v>
      </c>
      <c r="P36" s="42"/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>
        <v>1</v>
      </c>
      <c r="E42" s="42"/>
      <c r="F42" s="42">
        <v>421</v>
      </c>
      <c r="G42" s="42">
        <v>13</v>
      </c>
      <c r="H42" s="42">
        <v>3</v>
      </c>
      <c r="I42" s="42">
        <v>19</v>
      </c>
      <c r="J42" s="42">
        <v>1</v>
      </c>
      <c r="K42" s="42">
        <v>8</v>
      </c>
      <c r="L42" s="42">
        <v>5</v>
      </c>
      <c r="M42" s="42">
        <v>1</v>
      </c>
      <c r="N42" s="42">
        <v>5</v>
      </c>
      <c r="O42" s="42">
        <v>12</v>
      </c>
      <c r="P42" s="42"/>
      <c r="Q42" s="43">
        <v>14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8+2+4+1+2+46+389</f>
        <v>452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1+1+26+15+15+3+5+62+2+10+551</f>
        <v>691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K26" sqref="K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50</v>
      </c>
      <c r="I24" s="14"/>
      <c r="J24" s="14"/>
      <c r="K24" s="14" t="s">
        <v>85</v>
      </c>
      <c r="L24" s="14">
        <v>8</v>
      </c>
      <c r="M24" s="14">
        <v>482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17</v>
      </c>
      <c r="I31" s="23"/>
      <c r="J31" s="23"/>
      <c r="K31" s="23" t="s">
        <v>85</v>
      </c>
      <c r="L31" s="23">
        <v>4</v>
      </c>
      <c r="M31" s="23">
        <v>25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4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495</v>
      </c>
      <c r="G36" s="42">
        <v>1</v>
      </c>
      <c r="H36" s="42">
        <v>4</v>
      </c>
      <c r="I36" s="42">
        <v>3</v>
      </c>
      <c r="J36" s="42">
        <v>1</v>
      </c>
      <c r="K36" s="42">
        <v>8</v>
      </c>
      <c r="L36" s="42"/>
      <c r="M36" s="42"/>
      <c r="N36" s="42"/>
      <c r="O36" s="42">
        <v>2</v>
      </c>
      <c r="P36" s="42">
        <v>15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495</v>
      </c>
      <c r="G42" s="42">
        <v>1</v>
      </c>
      <c r="H42" s="42">
        <v>4</v>
      </c>
      <c r="I42" s="42">
        <v>3</v>
      </c>
      <c r="J42" s="42">
        <v>1</v>
      </c>
      <c r="K42" s="42">
        <v>8</v>
      </c>
      <c r="L42" s="42"/>
      <c r="M42" s="42"/>
      <c r="N42" s="42"/>
      <c r="O42" s="42">
        <v>2</v>
      </c>
      <c r="P42" s="42">
        <v>15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15+33+4+457</f>
        <v>509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topLeftCell="A29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77</v>
      </c>
      <c r="I24" s="14"/>
      <c r="J24" s="14"/>
      <c r="K24" s="14">
        <v>2</v>
      </c>
      <c r="L24" s="14">
        <v>16</v>
      </c>
      <c r="M24" s="14">
        <v>477</v>
      </c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1</v>
      </c>
      <c r="I31" s="23"/>
      <c r="J31" s="23"/>
      <c r="K31" s="23">
        <v>2</v>
      </c>
      <c r="L31" s="23">
        <v>6</v>
      </c>
      <c r="M31" s="23">
        <v>61</v>
      </c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76</v>
      </c>
      <c r="I32" s="28"/>
      <c r="J32" s="28"/>
      <c r="K32" s="28">
        <v>0</v>
      </c>
      <c r="L32" s="28">
        <v>10</v>
      </c>
      <c r="M32" s="28">
        <v>416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10</v>
      </c>
      <c r="F36" s="42">
        <v>467</v>
      </c>
      <c r="G36" s="42">
        <v>10</v>
      </c>
      <c r="H36" s="42">
        <v>5</v>
      </c>
      <c r="I36" s="42">
        <v>25</v>
      </c>
      <c r="J36" s="42"/>
      <c r="K36" s="42">
        <v>33</v>
      </c>
      <c r="L36" s="42">
        <v>3</v>
      </c>
      <c r="M36" s="42">
        <v>1</v>
      </c>
      <c r="N36" s="42">
        <v>8</v>
      </c>
      <c r="O36" s="42">
        <v>5</v>
      </c>
      <c r="P36" s="42">
        <v>5</v>
      </c>
      <c r="Q36" s="43">
        <v>7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10</v>
      </c>
      <c r="F42" s="42">
        <v>467</v>
      </c>
      <c r="G42" s="42">
        <v>10</v>
      </c>
      <c r="H42" s="42">
        <v>5</v>
      </c>
      <c r="I42" s="42">
        <v>25</v>
      </c>
      <c r="J42" s="42"/>
      <c r="K42" s="42">
        <v>33</v>
      </c>
      <c r="L42" s="42">
        <v>3</v>
      </c>
      <c r="M42" s="42">
        <v>1</v>
      </c>
      <c r="N42" s="42">
        <v>8</v>
      </c>
      <c r="O42" s="42">
        <v>5</v>
      </c>
      <c r="P42" s="42">
        <v>5</v>
      </c>
      <c r="Q42" s="43">
        <v>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10+1+5+76+10+416</f>
        <v>518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8DB6-5127-49A0-88FD-A510330E25C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028DD-8A10-4B87-80EA-B429032AF9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2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9</v>
      </c>
      <c r="M24" s="14">
        <v>385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46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9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300</v>
      </c>
      <c r="G36" s="42">
        <v>6</v>
      </c>
      <c r="H36" s="42">
        <v>2</v>
      </c>
      <c r="I36" s="42">
        <v>8</v>
      </c>
      <c r="J36" s="42">
        <v>1</v>
      </c>
      <c r="K36" s="42"/>
      <c r="L36" s="42">
        <v>2</v>
      </c>
      <c r="M36" s="42"/>
      <c r="N36" s="42"/>
      <c r="O36" s="42">
        <v>1</v>
      </c>
      <c r="P36" s="42">
        <v>2</v>
      </c>
      <c r="Q36" s="43">
        <v>21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300</v>
      </c>
      <c r="G42" s="42">
        <v>6</v>
      </c>
      <c r="H42" s="42">
        <v>2</v>
      </c>
      <c r="I42" s="42">
        <v>8</v>
      </c>
      <c r="J42" s="42">
        <v>1</v>
      </c>
      <c r="K42" s="42"/>
      <c r="L42" s="42">
        <v>2</v>
      </c>
      <c r="M42" s="42"/>
      <c r="N42" s="42"/>
      <c r="O42" s="42">
        <v>1</v>
      </c>
      <c r="P42" s="42">
        <v>2</v>
      </c>
      <c r="Q42" s="43">
        <v>21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>
        <f>2+2+2+1+1+20+9+339</f>
        <v>376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B2E9-1DAD-41B9-8108-5761B3569B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3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100</v>
      </c>
      <c r="G24" s="14"/>
      <c r="H24" s="14">
        <v>50</v>
      </c>
      <c r="I24" s="14"/>
      <c r="J24" s="14"/>
      <c r="K24" s="14" t="s">
        <v>101</v>
      </c>
      <c r="L24" s="14">
        <v>4</v>
      </c>
      <c r="M24" s="14">
        <v>368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99</v>
      </c>
      <c r="G31" s="23"/>
      <c r="H31" s="23">
        <v>0</v>
      </c>
      <c r="I31" s="23"/>
      <c r="J31" s="23"/>
      <c r="K31" s="23" t="s">
        <v>101</v>
      </c>
      <c r="L31" s="23">
        <v>1</v>
      </c>
      <c r="M31" s="23">
        <v>45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50</v>
      </c>
      <c r="I32" s="28"/>
      <c r="J32" s="28"/>
      <c r="K32" s="28">
        <v>0</v>
      </c>
      <c r="L32" s="28">
        <v>3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386</v>
      </c>
      <c r="G36" s="42">
        <v>9</v>
      </c>
      <c r="H36" s="42">
        <v>4</v>
      </c>
      <c r="I36" s="42">
        <v>3</v>
      </c>
      <c r="J36" s="42">
        <v>1</v>
      </c>
      <c r="K36" s="42"/>
      <c r="L36" s="42">
        <v>5</v>
      </c>
      <c r="M36" s="42">
        <v>1</v>
      </c>
      <c r="N36" s="42"/>
      <c r="O36" s="42">
        <v>13</v>
      </c>
      <c r="P36" s="42">
        <v>1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386</v>
      </c>
      <c r="G42" s="42">
        <v>9</v>
      </c>
      <c r="H42" s="42">
        <v>4</v>
      </c>
      <c r="I42" s="42">
        <v>3</v>
      </c>
      <c r="J42" s="42">
        <v>1</v>
      </c>
      <c r="K42" s="42"/>
      <c r="L42" s="42">
        <v>5</v>
      </c>
      <c r="M42" s="42">
        <v>1</v>
      </c>
      <c r="N42" s="42"/>
      <c r="O42" s="42">
        <v>13</v>
      </c>
      <c r="P42" s="42">
        <v>1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>
        <f>2+1+12+1+5+50+3+323</f>
        <v>397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65DA-3F48-4CD6-ACFE-59473E57E5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7</v>
      </c>
      <c r="X8" s="59">
        <v>20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7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2</v>
      </c>
      <c r="L24" s="14">
        <v>35</v>
      </c>
      <c r="M24" s="14">
        <v>493</v>
      </c>
      <c r="N24" s="14"/>
      <c r="O24" s="14"/>
      <c r="P24" s="14" t="s">
        <v>103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8</v>
      </c>
      <c r="M31" s="23">
        <v>3</v>
      </c>
      <c r="N31" s="23"/>
      <c r="O31" s="23"/>
      <c r="P31" s="23" t="s">
        <v>103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</v>
      </c>
      <c r="L32" s="28">
        <v>27</v>
      </c>
      <c r="M32" s="28">
        <v>490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24</v>
      </c>
      <c r="F36" s="42">
        <v>562</v>
      </c>
      <c r="G36" s="42">
        <v>1</v>
      </c>
      <c r="H36" s="42">
        <v>3</v>
      </c>
      <c r="I36" s="42">
        <v>19</v>
      </c>
      <c r="J36" s="42"/>
      <c r="K36" s="42">
        <v>8</v>
      </c>
      <c r="L36" s="42">
        <v>7</v>
      </c>
      <c r="M36" s="42">
        <v>4</v>
      </c>
      <c r="N36" s="42">
        <v>4</v>
      </c>
      <c r="O36" s="42">
        <v>14</v>
      </c>
      <c r="P36" s="42">
        <v>5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24</v>
      </c>
      <c r="F42" s="42">
        <v>562</v>
      </c>
      <c r="G42" s="42">
        <v>1</v>
      </c>
      <c r="H42" s="42">
        <v>3</v>
      </c>
      <c r="I42" s="42">
        <v>19</v>
      </c>
      <c r="J42" s="42"/>
      <c r="K42" s="42">
        <v>8</v>
      </c>
      <c r="L42" s="42">
        <v>7</v>
      </c>
      <c r="M42" s="42">
        <v>4</v>
      </c>
      <c r="N42" s="42">
        <v>4</v>
      </c>
      <c r="O42" s="42">
        <v>14</v>
      </c>
      <c r="P42" s="42">
        <v>5</v>
      </c>
      <c r="Q42" s="43">
        <v>22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>
        <f>1+1+26+15+15+3+5+62+2+10+551</f>
        <v>691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476-46CD-40CB-AB97-62C479F8E3F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2333-E2CF-4662-8CA0-CC82140FEBC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>
        <v>2</v>
      </c>
      <c r="F8" s="14">
        <v>4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>
        <v>4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10</v>
      </c>
      <c r="M24" s="14">
        <v>370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1</v>
      </c>
      <c r="L31" s="23">
        <v>2</v>
      </c>
      <c r="M31" s="23">
        <v>58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8</v>
      </c>
      <c r="M32" s="28">
        <v>312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6</v>
      </c>
      <c r="H36" s="42">
        <v>5</v>
      </c>
      <c r="I36" s="42">
        <v>9</v>
      </c>
      <c r="J36" s="42">
        <v>4</v>
      </c>
      <c r="K36" s="42">
        <v>4</v>
      </c>
      <c r="L36" s="42">
        <v>2</v>
      </c>
      <c r="M36" s="42">
        <v>1</v>
      </c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6</v>
      </c>
      <c r="H42" s="42">
        <v>5</v>
      </c>
      <c r="I42" s="42">
        <v>9</v>
      </c>
      <c r="J42" s="42">
        <v>4</v>
      </c>
      <c r="K42" s="42">
        <v>4</v>
      </c>
      <c r="L42" s="42">
        <v>2</v>
      </c>
      <c r="M42" s="42">
        <v>1</v>
      </c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>
        <f>2+2+4+1+15+8+312</f>
        <v>344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510E-BEE3-4382-9DE0-2C0BBCCEDE5A}">
  <dimension ref="B1:AA45"/>
  <sheetViews>
    <sheetView showGridLines="0" topLeftCell="A16" zoomScale="160" zoomScaleNormal="160" workbookViewId="0">
      <selection activeCell="N38" sqref="N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53E1-742A-48AB-BEDC-A3BA21BED00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88B5-F19A-497C-A6A6-006728A3CC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71BBD-4DAB-4F54-8CCE-B382B16ABC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108</v>
      </c>
      <c r="I24" s="14"/>
      <c r="J24" s="14"/>
      <c r="K24" s="14" t="s">
        <v>88</v>
      </c>
      <c r="L24" s="14">
        <v>6</v>
      </c>
      <c r="M24" s="14">
        <v>369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12</v>
      </c>
      <c r="L31" s="23">
        <v>6</v>
      </c>
      <c r="M31" s="23">
        <v>104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0</v>
      </c>
      <c r="M32" s="28">
        <v>265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33</v>
      </c>
      <c r="H36" s="42">
        <v>3</v>
      </c>
      <c r="I36" s="42">
        <v>3</v>
      </c>
      <c r="J36" s="42"/>
      <c r="K36" s="42"/>
      <c r="L36" s="42"/>
      <c r="M36" s="42"/>
      <c r="N36" s="42"/>
      <c r="O36" s="42">
        <v>2</v>
      </c>
      <c r="P36" s="42">
        <v>9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33</v>
      </c>
      <c r="H42" s="42">
        <v>3</v>
      </c>
      <c r="I42" s="42">
        <v>3</v>
      </c>
      <c r="J42" s="42"/>
      <c r="K42" s="42"/>
      <c r="L42" s="42"/>
      <c r="M42" s="42"/>
      <c r="N42" s="42"/>
      <c r="O42" s="42">
        <v>2</v>
      </c>
      <c r="P42" s="42">
        <v>9</v>
      </c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>
        <f>2+15+108+265</f>
        <v>390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CAA7-25D3-432A-B5E1-EF6BECD151C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7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>
        <v>26</v>
      </c>
      <c r="L24" s="14">
        <v>15</v>
      </c>
      <c r="M24" s="14">
        <v>431</v>
      </c>
      <c r="N24" s="14"/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>
        <v>0</v>
      </c>
      <c r="L31" s="23">
        <v>4</v>
      </c>
      <c r="M31" s="23">
        <v>162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53</v>
      </c>
      <c r="I32" s="28"/>
      <c r="J32" s="28"/>
      <c r="K32" s="28">
        <v>26</v>
      </c>
      <c r="L32" s="28">
        <v>11</v>
      </c>
      <c r="M32" s="28">
        <v>269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12</v>
      </c>
      <c r="H36" s="42">
        <v>3</v>
      </c>
      <c r="I36" s="42">
        <v>14</v>
      </c>
      <c r="J36" s="42">
        <v>1</v>
      </c>
      <c r="K36" s="42">
        <v>2</v>
      </c>
      <c r="L36" s="42">
        <v>33</v>
      </c>
      <c r="M36" s="42"/>
      <c r="N36" s="42">
        <v>15</v>
      </c>
      <c r="O36" s="42">
        <v>2</v>
      </c>
      <c r="P36" s="42"/>
      <c r="Q36" s="43">
        <v>16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12</v>
      </c>
      <c r="H42" s="42">
        <v>3</v>
      </c>
      <c r="I42" s="42">
        <v>14</v>
      </c>
      <c r="J42" s="42">
        <v>1</v>
      </c>
      <c r="K42" s="42">
        <v>2</v>
      </c>
      <c r="L42" s="42">
        <v>33</v>
      </c>
      <c r="M42" s="42"/>
      <c r="N42" s="42">
        <v>15</v>
      </c>
      <c r="O42" s="42">
        <v>2</v>
      </c>
      <c r="P42" s="42"/>
      <c r="Q42" s="43">
        <v>16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>
        <f>2+5+2+53+26+11+269+3</f>
        <v>371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F7BD-955D-439D-A420-9D99970F2B7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21C10-082D-46CA-8D11-6C987D35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>
        <v>3</v>
      </c>
      <c r="E8" s="14">
        <v>2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2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104</v>
      </c>
      <c r="I24" s="14"/>
      <c r="J24" s="14"/>
      <c r="K24" s="14"/>
      <c r="L24" s="14">
        <v>14</v>
      </c>
      <c r="M24" s="14">
        <v>441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6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103</v>
      </c>
      <c r="I32" s="28"/>
      <c r="J32" s="28"/>
      <c r="K32" s="28"/>
      <c r="L32" s="28">
        <v>8</v>
      </c>
      <c r="M32" s="28">
        <v>422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344</v>
      </c>
      <c r="G36" s="42">
        <v>8</v>
      </c>
      <c r="H36" s="42">
        <v>3</v>
      </c>
      <c r="I36" s="42">
        <v>3</v>
      </c>
      <c r="J36" s="42">
        <v>1</v>
      </c>
      <c r="K36" s="42">
        <v>12</v>
      </c>
      <c r="L36" s="42">
        <v>2</v>
      </c>
      <c r="M36" s="42">
        <v>2</v>
      </c>
      <c r="N36" s="42">
        <v>22</v>
      </c>
      <c r="O36" s="42">
        <v>5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344</v>
      </c>
      <c r="G42" s="42">
        <v>8</v>
      </c>
      <c r="H42" s="42">
        <v>3</v>
      </c>
      <c r="I42" s="42">
        <v>3</v>
      </c>
      <c r="J42" s="42">
        <v>1</v>
      </c>
      <c r="K42" s="42">
        <v>12</v>
      </c>
      <c r="L42" s="42">
        <v>2</v>
      </c>
      <c r="M42" s="42">
        <v>2</v>
      </c>
      <c r="N42" s="42">
        <v>22</v>
      </c>
      <c r="O42" s="42">
        <v>5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>
        <f>3+1+2+12+103+8+422</f>
        <v>551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959D7-1134-4012-B3CD-F4E1909A91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5</v>
      </c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14" t="s">
        <v>85</v>
      </c>
      <c r="G24" s="14"/>
      <c r="H24" s="14">
        <v>68</v>
      </c>
      <c r="I24" s="14"/>
      <c r="J24" s="14"/>
      <c r="K24" s="14" t="s">
        <v>88</v>
      </c>
      <c r="L24" s="14">
        <v>6</v>
      </c>
      <c r="M24" s="14">
        <v>374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0</v>
      </c>
      <c r="I31" s="23"/>
      <c r="J31" s="23"/>
      <c r="K31" s="23" t="s">
        <v>88</v>
      </c>
      <c r="L31" s="23">
        <v>1</v>
      </c>
      <c r="M31" s="23">
        <v>97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68</v>
      </c>
      <c r="I32" s="28"/>
      <c r="J32" s="28"/>
      <c r="K32" s="28">
        <v>0</v>
      </c>
      <c r="L32" s="28">
        <v>5</v>
      </c>
      <c r="M32" s="28">
        <v>277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396</v>
      </c>
      <c r="G36" s="42">
        <v>3</v>
      </c>
      <c r="H36" s="42">
        <v>3</v>
      </c>
      <c r="I36" s="42">
        <v>6</v>
      </c>
      <c r="J36" s="42"/>
      <c r="K36" s="42">
        <v>2</v>
      </c>
      <c r="L36" s="42">
        <v>5</v>
      </c>
      <c r="M36" s="42"/>
      <c r="N36" s="42"/>
      <c r="O36" s="42">
        <v>6</v>
      </c>
      <c r="P36" s="42">
        <v>5</v>
      </c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396</v>
      </c>
      <c r="G42" s="42">
        <v>3</v>
      </c>
      <c r="H42" s="42">
        <v>3</v>
      </c>
      <c r="I42" s="42">
        <v>6</v>
      </c>
      <c r="J42" s="42"/>
      <c r="K42" s="42">
        <v>2</v>
      </c>
      <c r="L42" s="42">
        <v>5</v>
      </c>
      <c r="M42" s="42"/>
      <c r="N42" s="42"/>
      <c r="O42" s="42">
        <v>6</v>
      </c>
      <c r="P42" s="42">
        <v>5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>
        <f>1+5+10+1+1+68+5+277</f>
        <v>368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63703-5D4B-4E7C-B04F-B492E99BFD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FAD9-BCFD-4E00-B44C-52C5E0D94AD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E0477-8D4A-4461-AF7A-BE48D2121E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EB4-3552-4D1E-9D68-907782B5CF0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7AA4-CC6C-4B09-99C1-8EA5EFCBC8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72EEA-818A-45EB-B468-E5CF0BEA212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DB2A2-C7DE-46A1-9418-B83E20CE8A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117</v>
      </c>
      <c r="I24" s="14"/>
      <c r="J24" s="14"/>
      <c r="K24" s="14"/>
      <c r="L24" s="14">
        <v>6</v>
      </c>
      <c r="M24" s="14">
        <v>326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/>
      <c r="I31" s="23"/>
      <c r="J31" s="23"/>
      <c r="K31" s="23"/>
      <c r="L31" s="23">
        <v>0</v>
      </c>
      <c r="M31" s="23">
        <v>4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/>
      <c r="L32" s="28">
        <v>6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9</v>
      </c>
      <c r="D36" s="41">
        <v>2</v>
      </c>
      <c r="E36" s="42">
        <v>18</v>
      </c>
      <c r="F36" s="42">
        <v>539</v>
      </c>
      <c r="G36" s="42">
        <v>21</v>
      </c>
      <c r="H36" s="42">
        <v>10</v>
      </c>
      <c r="I36" s="42">
        <v>16</v>
      </c>
      <c r="J36" s="42">
        <v>1</v>
      </c>
      <c r="K36" s="42">
        <v>17</v>
      </c>
      <c r="L36" s="42">
        <v>10</v>
      </c>
      <c r="M36" s="42"/>
      <c r="N36" s="42">
        <v>23</v>
      </c>
      <c r="O36" s="42">
        <v>24</v>
      </c>
      <c r="P36" s="42">
        <v>2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9</v>
      </c>
      <c r="D42" s="41">
        <v>2</v>
      </c>
      <c r="E42" s="42">
        <v>18</v>
      </c>
      <c r="F42" s="42">
        <v>539</v>
      </c>
      <c r="G42" s="42">
        <v>21</v>
      </c>
      <c r="H42" s="42">
        <v>10</v>
      </c>
      <c r="I42" s="42">
        <v>16</v>
      </c>
      <c r="J42" s="42">
        <v>1</v>
      </c>
      <c r="K42" s="42">
        <v>17</v>
      </c>
      <c r="L42" s="42">
        <v>10</v>
      </c>
      <c r="M42" s="42"/>
      <c r="N42" s="42">
        <v>23</v>
      </c>
      <c r="O42" s="42">
        <v>24</v>
      </c>
      <c r="P42" s="42">
        <v>2</v>
      </c>
      <c r="Q42" s="43">
        <v>11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1">
        <f>2+9+2+111+6+322</f>
        <v>452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0AF6E-4F8C-4A65-AA61-EE6E7C4CFE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46</v>
      </c>
      <c r="I24" s="14"/>
      <c r="J24" s="14"/>
      <c r="K24" s="14">
        <v>6</v>
      </c>
      <c r="L24" s="14">
        <v>432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40</v>
      </c>
      <c r="I31" s="23"/>
      <c r="J31" s="23"/>
      <c r="K31" s="23">
        <v>0</v>
      </c>
      <c r="L31" s="23">
        <v>53</v>
      </c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</v>
      </c>
      <c r="I32" s="28"/>
      <c r="J32" s="28"/>
      <c r="K32" s="28">
        <v>6</v>
      </c>
      <c r="L32" s="28">
        <v>379</v>
      </c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395</v>
      </c>
      <c r="G36" s="42"/>
      <c r="H36" s="42"/>
      <c r="I36" s="42">
        <v>3</v>
      </c>
      <c r="J36" s="42"/>
      <c r="K36" s="42"/>
      <c r="L36" s="42"/>
      <c r="M36" s="42"/>
      <c r="N36" s="42"/>
      <c r="O36" s="42">
        <v>7</v>
      </c>
      <c r="P36" s="42">
        <v>9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395</v>
      </c>
      <c r="G42" s="42"/>
      <c r="H42" s="42"/>
      <c r="I42" s="42">
        <v>3</v>
      </c>
      <c r="J42" s="42"/>
      <c r="K42" s="42"/>
      <c r="L42" s="42"/>
      <c r="M42" s="42"/>
      <c r="N42" s="42"/>
      <c r="O42" s="42">
        <v>7</v>
      </c>
      <c r="P42" s="42">
        <v>9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1">
        <f>12+6+6+379</f>
        <v>403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746B2-220C-4816-A795-31207816330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10</v>
      </c>
      <c r="F8" s="14"/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>
        <v>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163</v>
      </c>
      <c r="I24" s="14"/>
      <c r="J24" s="14"/>
      <c r="K24" s="14"/>
      <c r="L24" s="14">
        <v>14</v>
      </c>
      <c r="M24" s="14">
        <v>486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9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162</v>
      </c>
      <c r="I32" s="28"/>
      <c r="J32" s="28"/>
      <c r="K32" s="28"/>
      <c r="L32" s="28">
        <v>5</v>
      </c>
      <c r="M32" s="28">
        <v>483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444</v>
      </c>
      <c r="G36" s="42"/>
      <c r="H36" s="42"/>
      <c r="I36" s="42">
        <v>10</v>
      </c>
      <c r="J36" s="42"/>
      <c r="K36" s="42"/>
      <c r="L36" s="42"/>
      <c r="M36" s="42">
        <v>4</v>
      </c>
      <c r="N36" s="42"/>
      <c r="O36" s="42">
        <v>10</v>
      </c>
      <c r="P36" s="42">
        <v>1</v>
      </c>
      <c r="Q36" s="43">
        <v>17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444</v>
      </c>
      <c r="G42" s="42"/>
      <c r="H42" s="42"/>
      <c r="I42" s="42">
        <v>10</v>
      </c>
      <c r="J42" s="42"/>
      <c r="K42" s="42"/>
      <c r="L42" s="42"/>
      <c r="M42" s="42">
        <v>4</v>
      </c>
      <c r="N42" s="42"/>
      <c r="O42" s="42">
        <v>10</v>
      </c>
      <c r="P42" s="42">
        <v>1</v>
      </c>
      <c r="Q42" s="43">
        <v>17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1">
        <f>10+23+2+3+1+162+5+483</f>
        <v>689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E366-1139-401A-95E8-45B400650E3E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964-B423-44D7-BE1F-AD31F03C2104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134</v>
      </c>
      <c r="I24" s="14"/>
      <c r="J24" s="14"/>
      <c r="K24" s="14"/>
      <c r="L24" s="14">
        <v>8</v>
      </c>
      <c r="M24" s="14">
        <v>599</v>
      </c>
      <c r="N24" s="14"/>
      <c r="O24" s="14"/>
      <c r="P24" s="14">
        <v>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f>4+9</f>
        <v>13</v>
      </c>
      <c r="I31" s="23"/>
      <c r="J31" s="23"/>
      <c r="K31" s="23"/>
      <c r="L31" s="23">
        <v>0</v>
      </c>
      <c r="M31" s="23">
        <f>4+12</f>
        <v>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121</v>
      </c>
      <c r="I32" s="28"/>
      <c r="J32" s="28"/>
      <c r="K32" s="28"/>
      <c r="L32" s="28">
        <v>8</v>
      </c>
      <c r="M32" s="28">
        <v>583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825</v>
      </c>
      <c r="G36" s="42">
        <v>62</v>
      </c>
      <c r="H36" s="42">
        <v>1</v>
      </c>
      <c r="I36" s="42">
        <v>18</v>
      </c>
      <c r="J36" s="42">
        <v>3</v>
      </c>
      <c r="K36" s="42">
        <v>8</v>
      </c>
      <c r="L36" s="42">
        <v>10</v>
      </c>
      <c r="M36" s="42"/>
      <c r="N36" s="42">
        <v>1</v>
      </c>
      <c r="O36" s="42">
        <v>28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825</v>
      </c>
      <c r="G42" s="42">
        <v>62</v>
      </c>
      <c r="H42" s="42">
        <v>1</v>
      </c>
      <c r="I42" s="42">
        <v>18</v>
      </c>
      <c r="J42" s="42">
        <v>3</v>
      </c>
      <c r="K42" s="42">
        <v>8</v>
      </c>
      <c r="L42" s="42">
        <v>10</v>
      </c>
      <c r="M42" s="42"/>
      <c r="N42" s="42">
        <v>1</v>
      </c>
      <c r="O42" s="42">
        <v>28</v>
      </c>
      <c r="P42" s="42">
        <v>1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10+2+1+1+2+121+8+583+3</f>
        <v>731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9417E-43DF-4473-AFE8-F3CF98D29D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1</v>
      </c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3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85</v>
      </c>
      <c r="G24" s="14"/>
      <c r="H24" s="14">
        <v>30</v>
      </c>
      <c r="I24" s="14"/>
      <c r="J24" s="14"/>
      <c r="K24" s="14" t="s">
        <v>88</v>
      </c>
      <c r="L24" s="14">
        <v>7</v>
      </c>
      <c r="M24" s="14">
        <v>366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26</v>
      </c>
      <c r="I31" s="23"/>
      <c r="J31" s="23"/>
      <c r="K31" s="23" t="s">
        <v>88</v>
      </c>
      <c r="L31" s="23">
        <v>0</v>
      </c>
      <c r="M31" s="23">
        <v>48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4</v>
      </c>
      <c r="I32" s="28"/>
      <c r="J32" s="28"/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331</v>
      </c>
      <c r="G42" s="42">
        <v>5</v>
      </c>
      <c r="H42" s="42">
        <v>5</v>
      </c>
      <c r="I42" s="42">
        <v>3</v>
      </c>
      <c r="J42" s="42"/>
      <c r="K42" s="42">
        <v>8</v>
      </c>
      <c r="L42" s="42"/>
      <c r="M42" s="42"/>
      <c r="N42" s="42"/>
      <c r="O42" s="42"/>
      <c r="P42" s="42">
        <v>8</v>
      </c>
      <c r="Q42" s="43">
        <v>19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7+4+7+318</f>
        <v>336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B3DE-9AAF-4F3A-9D1E-365B28A0A13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17</v>
      </c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17</v>
      </c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41</v>
      </c>
      <c r="I24" s="14"/>
      <c r="J24" s="14"/>
      <c r="K24" s="14"/>
      <c r="L24" s="14">
        <v>19</v>
      </c>
      <c r="M24" s="14">
        <v>651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/>
      <c r="L32" s="28">
        <v>18</v>
      </c>
      <c r="M32" s="28">
        <v>648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>
        <v>2</v>
      </c>
      <c r="E36" s="42">
        <v>34</v>
      </c>
      <c r="F36" s="42">
        <v>705</v>
      </c>
      <c r="G36" s="42"/>
      <c r="H36" s="42"/>
      <c r="I36" s="42">
        <v>15</v>
      </c>
      <c r="J36" s="42"/>
      <c r="K36" s="42">
        <v>1</v>
      </c>
      <c r="L36" s="42">
        <v>30</v>
      </c>
      <c r="M36" s="42"/>
      <c r="N36" s="42"/>
      <c r="O36" s="42">
        <v>17</v>
      </c>
      <c r="P36" s="42">
        <v>18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>
        <v>2</v>
      </c>
      <c r="E42" s="42">
        <v>34</v>
      </c>
      <c r="F42" s="42">
        <v>705</v>
      </c>
      <c r="G42" s="42"/>
      <c r="H42" s="42"/>
      <c r="I42" s="42">
        <v>15</v>
      </c>
      <c r="J42" s="42"/>
      <c r="K42" s="42">
        <v>1</v>
      </c>
      <c r="L42" s="42">
        <v>30</v>
      </c>
      <c r="M42" s="42"/>
      <c r="N42" s="42"/>
      <c r="O42" s="42">
        <v>17</v>
      </c>
      <c r="P42" s="42">
        <v>18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2+22+15+17+5+2+40+18+648</f>
        <v>769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E94FD-3617-4589-99A4-E8F1ABC1933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128F3-A060-4D93-BD75-B48B079CFAD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</v>
      </c>
      <c r="I24" s="14"/>
      <c r="J24" s="14"/>
      <c r="K24" s="14"/>
      <c r="L24" s="14"/>
      <c r="M24" s="14">
        <v>340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/>
      <c r="M31" s="23">
        <v>5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/>
      <c r="L32" s="28"/>
      <c r="M32" s="28">
        <v>335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340</v>
      </c>
      <c r="G36" s="42">
        <v>4</v>
      </c>
      <c r="H36" s="42">
        <v>2</v>
      </c>
      <c r="I36" s="42"/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18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340</v>
      </c>
      <c r="G42" s="42">
        <v>4</v>
      </c>
      <c r="H42" s="42">
        <v>2</v>
      </c>
      <c r="I42" s="42"/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18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5+12+335</f>
        <v>352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A5-CD98-487A-B2B0-0541218FA8B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26</v>
      </c>
      <c r="I24" s="14"/>
      <c r="J24" s="14"/>
      <c r="K24" s="14" t="s">
        <v>99</v>
      </c>
      <c r="L24" s="14"/>
      <c r="M24" s="14">
        <v>425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101</v>
      </c>
      <c r="G31" s="23"/>
      <c r="H31" s="23">
        <v>11</v>
      </c>
      <c r="I31" s="23"/>
      <c r="J31" s="23"/>
      <c r="K31" s="23">
        <v>0</v>
      </c>
      <c r="L31" s="23"/>
      <c r="M31" s="23">
        <v>133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15</v>
      </c>
      <c r="I32" s="28"/>
      <c r="J32" s="28"/>
      <c r="K32" s="28" t="s">
        <v>99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1</v>
      </c>
      <c r="H36" s="42">
        <v>2</v>
      </c>
      <c r="I36" s="42"/>
      <c r="J36" s="42"/>
      <c r="K36" s="42"/>
      <c r="L36" s="42">
        <v>1</v>
      </c>
      <c r="M36" s="42"/>
      <c r="N36" s="42">
        <v>13</v>
      </c>
      <c r="O36" s="42">
        <v>3</v>
      </c>
      <c r="P36" s="42">
        <v>1</v>
      </c>
      <c r="Q36" s="43">
        <v>16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1</v>
      </c>
      <c r="H42" s="42">
        <v>2</v>
      </c>
      <c r="I42" s="42"/>
      <c r="J42" s="42"/>
      <c r="K42" s="42"/>
      <c r="L42" s="42">
        <v>1</v>
      </c>
      <c r="M42" s="42"/>
      <c r="N42" s="42">
        <v>13</v>
      </c>
      <c r="O42" s="42">
        <v>3</v>
      </c>
      <c r="P42" s="42">
        <v>1</v>
      </c>
      <c r="Q42" s="43">
        <v>16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67332-609A-4124-B7CF-6511062980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2</v>
      </c>
      <c r="L24" s="14">
        <v>17</v>
      </c>
      <c r="M24" s="14">
        <v>543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11</v>
      </c>
      <c r="M31" s="23">
        <v>91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30</v>
      </c>
      <c r="G32" s="28"/>
      <c r="H32" s="28">
        <v>58</v>
      </c>
      <c r="I32" s="28"/>
      <c r="J32" s="28"/>
      <c r="K32" s="28">
        <v>1</v>
      </c>
      <c r="L32" s="28">
        <v>6</v>
      </c>
      <c r="M32" s="28">
        <v>452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512</v>
      </c>
      <c r="G36" s="42">
        <v>1</v>
      </c>
      <c r="H36" s="42"/>
      <c r="I36" s="42">
        <v>7</v>
      </c>
      <c r="J36" s="42">
        <v>1</v>
      </c>
      <c r="K36" s="42">
        <v>10</v>
      </c>
      <c r="L36" s="42">
        <v>4</v>
      </c>
      <c r="M36" s="42"/>
      <c r="N36" s="42"/>
      <c r="O36" s="42">
        <v>9</v>
      </c>
      <c r="P36" s="42">
        <v>6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512</v>
      </c>
      <c r="G42" s="42">
        <v>1</v>
      </c>
      <c r="H42" s="42"/>
      <c r="I42" s="42">
        <v>7</v>
      </c>
      <c r="J42" s="42">
        <v>1</v>
      </c>
      <c r="K42" s="42">
        <v>10</v>
      </c>
      <c r="L42" s="42">
        <v>4</v>
      </c>
      <c r="M42" s="42"/>
      <c r="N42" s="42"/>
      <c r="O42" s="42">
        <v>9</v>
      </c>
      <c r="P42" s="42">
        <v>6</v>
      </c>
      <c r="Q42" s="43">
        <v>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2+15+2+30+58+1+6+452</f>
        <v>566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EC0DA-C694-4552-A111-62808CE8A0C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03E7-AA43-4F3C-952D-2548FEE6C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123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</v>
      </c>
      <c r="I24" s="14"/>
      <c r="J24" s="14"/>
      <c r="K24" s="14">
        <v>70</v>
      </c>
      <c r="L24" s="14"/>
      <c r="M24" s="14">
        <v>437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0</v>
      </c>
      <c r="L31" s="23"/>
      <c r="M31" s="23">
        <v>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70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496</v>
      </c>
      <c r="G36" s="42">
        <v>11</v>
      </c>
      <c r="H36" s="42">
        <v>2</v>
      </c>
      <c r="I36" s="42">
        <v>2</v>
      </c>
      <c r="J36" s="42"/>
      <c r="K36" s="42">
        <v>5</v>
      </c>
      <c r="L36" s="42">
        <v>70</v>
      </c>
      <c r="M36" s="42">
        <v>2</v>
      </c>
      <c r="N36" s="42">
        <v>21</v>
      </c>
      <c r="O36" s="42">
        <v>6</v>
      </c>
      <c r="P36" s="42">
        <v>10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496</v>
      </c>
      <c r="G42" s="42">
        <v>11</v>
      </c>
      <c r="H42" s="42">
        <v>2</v>
      </c>
      <c r="I42" s="42">
        <v>2</v>
      </c>
      <c r="J42" s="42"/>
      <c r="K42" s="42">
        <v>5</v>
      </c>
      <c r="L42" s="42">
        <v>70</v>
      </c>
      <c r="M42" s="42">
        <v>2</v>
      </c>
      <c r="N42" s="42">
        <v>21</v>
      </c>
      <c r="O42" s="42">
        <v>6</v>
      </c>
      <c r="P42" s="42">
        <v>10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9+70+431</f>
        <v>510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3EE1-6B68-4739-925D-42452C24A61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30</v>
      </c>
      <c r="I24" s="14"/>
      <c r="J24" s="14"/>
      <c r="K24" s="14">
        <v>2</v>
      </c>
      <c r="L24" s="14">
        <v>10</v>
      </c>
      <c r="M24" s="14">
        <v>347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101</v>
      </c>
      <c r="G31" s="23"/>
      <c r="H31" s="23">
        <v>10</v>
      </c>
      <c r="I31" s="23"/>
      <c r="J31" s="23"/>
      <c r="K31" s="23">
        <v>1</v>
      </c>
      <c r="L31" s="23">
        <v>0</v>
      </c>
      <c r="M31" s="23">
        <v>85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20</v>
      </c>
      <c r="I32" s="28"/>
      <c r="J32" s="28"/>
      <c r="K32" s="28">
        <v>1</v>
      </c>
      <c r="L32" s="28">
        <v>10</v>
      </c>
      <c r="M32" s="28">
        <v>262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279</v>
      </c>
      <c r="G36" s="42">
        <v>8</v>
      </c>
      <c r="H36" s="42">
        <v>3</v>
      </c>
      <c r="I36" s="42"/>
      <c r="J36" s="42"/>
      <c r="K36" s="42"/>
      <c r="L36" s="42">
        <v>4</v>
      </c>
      <c r="M36" s="42"/>
      <c r="N36" s="42"/>
      <c r="O36" s="42">
        <v>4</v>
      </c>
      <c r="P36" s="42">
        <v>7</v>
      </c>
      <c r="Q36" s="43">
        <v>4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279</v>
      </c>
      <c r="G42" s="42">
        <v>8</v>
      </c>
      <c r="H42" s="42">
        <v>3</v>
      </c>
      <c r="I42" s="42"/>
      <c r="J42" s="42"/>
      <c r="K42" s="42"/>
      <c r="L42" s="42">
        <v>4</v>
      </c>
      <c r="M42" s="42"/>
      <c r="N42" s="42"/>
      <c r="O42" s="42">
        <v>4</v>
      </c>
      <c r="P42" s="42">
        <v>7</v>
      </c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1+10+2+1+1+20+10+10+262</f>
        <v>317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D545-464F-4D8C-8669-0F19482B59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126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37</v>
      </c>
      <c r="I24" s="14"/>
      <c r="J24" s="14"/>
      <c r="K24" s="14">
        <v>2</v>
      </c>
      <c r="L24" s="14">
        <v>11</v>
      </c>
      <c r="M24" s="14">
        <v>523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0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548</v>
      </c>
      <c r="G36" s="42">
        <v>4</v>
      </c>
      <c r="H36" s="42">
        <v>5</v>
      </c>
      <c r="I36" s="42">
        <v>29</v>
      </c>
      <c r="J36" s="42">
        <v>1</v>
      </c>
      <c r="K36" s="42">
        <v>4</v>
      </c>
      <c r="L36" s="42">
        <v>6</v>
      </c>
      <c r="M36" s="42">
        <v>1</v>
      </c>
      <c r="N36" s="42">
        <v>5</v>
      </c>
      <c r="O36" s="42">
        <v>21</v>
      </c>
      <c r="P36" s="42">
        <v>7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548</v>
      </c>
      <c r="G42" s="42">
        <v>4</v>
      </c>
      <c r="H42" s="42">
        <v>5</v>
      </c>
      <c r="I42" s="42">
        <v>29</v>
      </c>
      <c r="J42" s="42">
        <v>1</v>
      </c>
      <c r="K42" s="42">
        <v>4</v>
      </c>
      <c r="L42" s="42">
        <v>6</v>
      </c>
      <c r="M42" s="42">
        <v>1</v>
      </c>
      <c r="N42" s="42">
        <v>5</v>
      </c>
      <c r="O42" s="42">
        <v>21</v>
      </c>
      <c r="P42" s="42">
        <v>7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13+2+2+520</f>
        <v>537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8591C-232A-44AC-A51B-B029AE6E73B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0DE79-E55C-45AF-956D-6E57BF19CF61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A689E-A38A-41D6-9AB9-0133BD5160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427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10</v>
      </c>
      <c r="I31" s="23"/>
      <c r="J31" s="23"/>
      <c r="K31" s="23">
        <v>1</v>
      </c>
      <c r="L31" s="23">
        <v>5</v>
      </c>
      <c r="M31" s="23">
        <v>115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>
        <v>5</v>
      </c>
      <c r="M32" s="28">
        <v>312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298</v>
      </c>
      <c r="G42" s="42">
        <v>4</v>
      </c>
      <c r="H42" s="42"/>
      <c r="I42" s="42">
        <v>4</v>
      </c>
      <c r="J42" s="42">
        <v>2</v>
      </c>
      <c r="K42" s="42">
        <v>7</v>
      </c>
      <c r="L42" s="42"/>
      <c r="M42" s="42"/>
      <c r="N42" s="42"/>
      <c r="O42" s="42">
        <v>6</v>
      </c>
      <c r="P42" s="42">
        <v>1</v>
      </c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8+10+5+312</f>
        <v>335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38697-0250-4F17-B8FD-FFB08399EA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53</v>
      </c>
      <c r="I24" s="14"/>
      <c r="J24" s="14"/>
      <c r="K24" s="14">
        <v>2</v>
      </c>
      <c r="L24" s="14">
        <v>16</v>
      </c>
      <c r="M24" s="14">
        <v>543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6</v>
      </c>
      <c r="M31" s="23">
        <v>164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0</v>
      </c>
      <c r="L32" s="28">
        <v>10</v>
      </c>
      <c r="M32" s="28">
        <v>379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422</v>
      </c>
      <c r="G36" s="42">
        <v>15</v>
      </c>
      <c r="H36" s="42">
        <v>4</v>
      </c>
      <c r="I36" s="42">
        <v>8</v>
      </c>
      <c r="J36" s="42">
        <v>2</v>
      </c>
      <c r="K36" s="42">
        <v>6</v>
      </c>
      <c r="L36" s="42"/>
      <c r="M36" s="42"/>
      <c r="N36" s="42"/>
      <c r="O36" s="42">
        <v>12</v>
      </c>
      <c r="P36" s="42">
        <v>1</v>
      </c>
      <c r="Q36" s="43">
        <v>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422</v>
      </c>
      <c r="G42" s="42">
        <v>15</v>
      </c>
      <c r="H42" s="42">
        <v>4</v>
      </c>
      <c r="I42" s="42">
        <v>8</v>
      </c>
      <c r="J42" s="42">
        <v>2</v>
      </c>
      <c r="K42" s="42">
        <v>6</v>
      </c>
      <c r="L42" s="42"/>
      <c r="M42" s="42"/>
      <c r="N42" s="42"/>
      <c r="O42" s="42">
        <v>12</v>
      </c>
      <c r="P42" s="42">
        <v>1</v>
      </c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2+13+35+10+379</f>
        <v>439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2AAC3-B933-46FB-BEC8-FC9437CD47F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6D3C-7485-41BB-A849-2E93FAF4C6D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C5C00-8EA7-4987-8925-4F82E4BC337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3095-55CD-451B-8790-0E6C103847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topLeftCell="A29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>
        <v>1</v>
      </c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>
        <v>1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>
        <v>0</v>
      </c>
      <c r="F15" s="23"/>
      <c r="G15" s="23"/>
      <c r="H15" s="23">
        <v>15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127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>
        <v>1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>
        <v>12</v>
      </c>
      <c r="G24" s="14"/>
      <c r="H24" s="14">
        <v>12</v>
      </c>
      <c r="I24" s="14"/>
      <c r="J24" s="14"/>
      <c r="K24" s="14">
        <v>5</v>
      </c>
      <c r="L24" s="14">
        <v>56</v>
      </c>
      <c r="M24" s="14">
        <v>330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>
        <v>1</v>
      </c>
      <c r="G31" s="23"/>
      <c r="H31" s="23">
        <v>7</v>
      </c>
      <c r="I31" s="23"/>
      <c r="J31" s="23"/>
      <c r="K31" s="23">
        <v>0</v>
      </c>
      <c r="L31" s="23">
        <v>0</v>
      </c>
      <c r="M31" s="23">
        <v>32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11</v>
      </c>
      <c r="G32" s="28"/>
      <c r="H32" s="28">
        <v>5</v>
      </c>
      <c r="I32" s="28"/>
      <c r="J32" s="28"/>
      <c r="K32" s="28">
        <v>5</v>
      </c>
      <c r="L32" s="28">
        <v>56</v>
      </c>
      <c r="M32" s="28">
        <v>298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15</v>
      </c>
      <c r="F36" s="42">
        <v>363</v>
      </c>
      <c r="G36" s="42">
        <v>10</v>
      </c>
      <c r="H36" s="42">
        <v>3</v>
      </c>
      <c r="I36" s="42">
        <v>12</v>
      </c>
      <c r="J36" s="42">
        <v>2</v>
      </c>
      <c r="K36" s="42">
        <v>2</v>
      </c>
      <c r="L36" s="42">
        <v>2</v>
      </c>
      <c r="M36" s="42"/>
      <c r="N36" s="42">
        <v>4</v>
      </c>
      <c r="O36" s="42">
        <v>7</v>
      </c>
      <c r="P36" s="42">
        <v>47</v>
      </c>
      <c r="Q36" s="43">
        <v>37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15</v>
      </c>
      <c r="F42" s="42">
        <v>363</v>
      </c>
      <c r="G42" s="42">
        <v>10</v>
      </c>
      <c r="H42" s="42">
        <v>3</v>
      </c>
      <c r="I42" s="42">
        <v>12</v>
      </c>
      <c r="J42" s="42">
        <v>2</v>
      </c>
      <c r="K42" s="42">
        <v>2</v>
      </c>
      <c r="L42" s="42">
        <v>2</v>
      </c>
      <c r="M42" s="42"/>
      <c r="N42" s="42">
        <v>4</v>
      </c>
      <c r="O42" s="42">
        <v>7</v>
      </c>
      <c r="P42" s="42">
        <v>47</v>
      </c>
      <c r="Q42" s="43">
        <v>37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1+9+5+1+1+11+5+5+56+298</f>
        <v>392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K46" sqref="K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 t="s">
        <v>129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5</v>
      </c>
      <c r="M24" s="14">
        <v>439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20</v>
      </c>
      <c r="I31" s="23"/>
      <c r="J31" s="23"/>
      <c r="K31" s="23">
        <v>0</v>
      </c>
      <c r="L31" s="23">
        <v>4</v>
      </c>
      <c r="M31" s="23">
        <v>111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1</v>
      </c>
      <c r="L32" s="28">
        <v>1</v>
      </c>
      <c r="M32" s="28">
        <v>328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324</v>
      </c>
      <c r="G36" s="42">
        <v>4</v>
      </c>
      <c r="H36" s="42"/>
      <c r="I36" s="42"/>
      <c r="J36" s="42"/>
      <c r="K36" s="42">
        <v>5</v>
      </c>
      <c r="L36" s="42">
        <v>1</v>
      </c>
      <c r="M36" s="42"/>
      <c r="N36" s="42"/>
      <c r="O36" s="42">
        <v>8</v>
      </c>
      <c r="P36" s="42">
        <v>10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324</v>
      </c>
      <c r="G42" s="42">
        <v>4</v>
      </c>
      <c r="H42" s="42"/>
      <c r="I42" s="42"/>
      <c r="J42" s="42"/>
      <c r="K42" s="42">
        <v>5</v>
      </c>
      <c r="L42" s="42">
        <v>1</v>
      </c>
      <c r="M42" s="42"/>
      <c r="N42" s="42"/>
      <c r="O42" s="42">
        <v>8</v>
      </c>
      <c r="P42" s="42">
        <v>10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1+10+10+1+1+328</f>
        <v>351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zoomScale="160" zoomScaleNormal="160" workbookViewId="0">
      <selection activeCell="I49" sqref="I4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72</v>
      </c>
      <c r="I24" s="14"/>
      <c r="J24" s="14"/>
      <c r="K24" s="14">
        <v>2</v>
      </c>
      <c r="L24" s="14">
        <v>14</v>
      </c>
      <c r="M24" s="14">
        <v>488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188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>
        <v>0</v>
      </c>
      <c r="L32" s="28">
        <v>13</v>
      </c>
      <c r="M32" s="28">
        <v>300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314</v>
      </c>
      <c r="G36" s="42">
        <v>4</v>
      </c>
      <c r="H36" s="42"/>
      <c r="I36" s="42">
        <v>17</v>
      </c>
      <c r="J36" s="42">
        <v>1</v>
      </c>
      <c r="K36" s="42">
        <v>10</v>
      </c>
      <c r="L36" s="42"/>
      <c r="M36" s="42"/>
      <c r="N36" s="42">
        <v>12</v>
      </c>
      <c r="O36" s="42">
        <v>3</v>
      </c>
      <c r="P36" s="42">
        <v>4</v>
      </c>
      <c r="Q36" s="43">
        <v>11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314</v>
      </c>
      <c r="G42" s="42">
        <v>4</v>
      </c>
      <c r="H42" s="42"/>
      <c r="I42" s="42">
        <v>17</v>
      </c>
      <c r="J42" s="42">
        <v>1</v>
      </c>
      <c r="K42" s="42">
        <v>10</v>
      </c>
      <c r="L42" s="42"/>
      <c r="M42" s="42"/>
      <c r="N42" s="42">
        <v>12</v>
      </c>
      <c r="O42" s="42">
        <v>3</v>
      </c>
      <c r="P42" s="42">
        <v>4</v>
      </c>
      <c r="Q42" s="43">
        <v>11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7+1+1+71+13+300</f>
        <v>393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733CA-C364-4803-89B3-94F7FA1C0D4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A5FB4-B731-4736-9B40-9BF7AE5B3FF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12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13</v>
      </c>
      <c r="I24" s="14"/>
      <c r="J24" s="14"/>
      <c r="K24" s="14">
        <v>2</v>
      </c>
      <c r="L24" s="14">
        <v>5</v>
      </c>
      <c r="M24" s="14">
        <v>571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7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6</v>
      </c>
      <c r="I32" s="28"/>
      <c r="J32" s="28"/>
      <c r="K32" s="28">
        <v>0</v>
      </c>
      <c r="L32" s="28">
        <v>5</v>
      </c>
      <c r="M32" s="28">
        <v>459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4</v>
      </c>
      <c r="D36" s="41"/>
      <c r="E36" s="42">
        <v>5</v>
      </c>
      <c r="F36" s="42">
        <v>305</v>
      </c>
      <c r="G36" s="42">
        <v>2</v>
      </c>
      <c r="H36" s="42">
        <v>9</v>
      </c>
      <c r="I36" s="42">
        <v>15</v>
      </c>
      <c r="J36" s="42">
        <v>1</v>
      </c>
      <c r="K36" s="42">
        <v>6</v>
      </c>
      <c r="L36" s="42">
        <v>4</v>
      </c>
      <c r="M36" s="42">
        <v>1</v>
      </c>
      <c r="N36" s="42">
        <v>12</v>
      </c>
      <c r="O36" s="42">
        <v>4</v>
      </c>
      <c r="P36" s="42"/>
      <c r="Q36" s="43">
        <v>15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>
        <v>5</v>
      </c>
      <c r="F42" s="42">
        <v>305</v>
      </c>
      <c r="G42" s="42">
        <v>2</v>
      </c>
      <c r="H42" s="42">
        <v>9</v>
      </c>
      <c r="I42" s="42">
        <v>15</v>
      </c>
      <c r="J42" s="42">
        <v>1</v>
      </c>
      <c r="K42" s="42">
        <v>6</v>
      </c>
      <c r="L42" s="42">
        <v>4</v>
      </c>
      <c r="M42" s="42">
        <v>1</v>
      </c>
      <c r="N42" s="42">
        <v>12</v>
      </c>
      <c r="O42" s="42">
        <v>4</v>
      </c>
      <c r="P42" s="42"/>
      <c r="Q42" s="43">
        <v>15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1+1+6+12+1+2+6+5+459+2</f>
        <v>495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4F77D-7744-4A4B-B3A5-EE125B6AEB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>
        <v>1</v>
      </c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20</v>
      </c>
      <c r="I24" s="14"/>
      <c r="J24" s="14"/>
      <c r="K24" s="14"/>
      <c r="L24" s="14">
        <v>4</v>
      </c>
      <c r="M24" s="14">
        <v>405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/>
      <c r="L31" s="23">
        <v>0</v>
      </c>
      <c r="M31" s="23">
        <v>128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4</v>
      </c>
      <c r="M32" s="28">
        <v>277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3</v>
      </c>
      <c r="H36" s="42">
        <v>4</v>
      </c>
      <c r="I36" s="42">
        <v>2</v>
      </c>
      <c r="J36" s="42"/>
      <c r="K36" s="42"/>
      <c r="L36" s="42"/>
      <c r="M36" s="42"/>
      <c r="N36" s="42"/>
      <c r="O36" s="42">
        <v>2</v>
      </c>
      <c r="P36" s="42">
        <v>8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3</v>
      </c>
      <c r="H42" s="42">
        <v>4</v>
      </c>
      <c r="I42" s="42">
        <v>2</v>
      </c>
      <c r="J42" s="42"/>
      <c r="K42" s="42"/>
      <c r="L42" s="42"/>
      <c r="M42" s="42"/>
      <c r="N42" s="42"/>
      <c r="O42" s="42">
        <v>2</v>
      </c>
      <c r="P42" s="42">
        <v>8</v>
      </c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8+20+4+277</f>
        <v>309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71301-2D6B-4CE4-8D95-58F093699B97}">
  <dimension ref="B1:AA45"/>
  <sheetViews>
    <sheetView showGridLines="0" zoomScale="160" zoomScaleNormal="160" workbookViewId="0">
      <selection activeCell="H26" sqref="H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4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12</v>
      </c>
      <c r="U16" s="28"/>
      <c r="V16" s="28"/>
      <c r="W16" s="56"/>
      <c r="X16" s="62">
        <v>4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10</v>
      </c>
      <c r="L24" s="14">
        <v>52</v>
      </c>
      <c r="M24" s="14">
        <v>542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1</v>
      </c>
      <c r="M31" s="23">
        <v>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10</v>
      </c>
      <c r="L32" s="28">
        <v>51</v>
      </c>
      <c r="M32" s="28">
        <v>536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9</v>
      </c>
      <c r="F36" s="42">
        <v>698</v>
      </c>
      <c r="G36" s="42">
        <v>1</v>
      </c>
      <c r="H36" s="42">
        <v>4</v>
      </c>
      <c r="I36" s="42">
        <v>15</v>
      </c>
      <c r="J36" s="42"/>
      <c r="K36" s="42">
        <v>6</v>
      </c>
      <c r="L36" s="42">
        <v>17</v>
      </c>
      <c r="M36" s="42">
        <v>2</v>
      </c>
      <c r="N36" s="42">
        <v>11</v>
      </c>
      <c r="O36" s="42">
        <v>15</v>
      </c>
      <c r="P36" s="42">
        <v>4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9</v>
      </c>
      <c r="F42" s="42">
        <v>698</v>
      </c>
      <c r="G42" s="42">
        <v>1</v>
      </c>
      <c r="H42" s="42">
        <v>4</v>
      </c>
      <c r="I42" s="42">
        <v>15</v>
      </c>
      <c r="J42" s="42"/>
      <c r="K42" s="42">
        <v>6</v>
      </c>
      <c r="L42" s="42">
        <v>17</v>
      </c>
      <c r="M42" s="42">
        <v>2</v>
      </c>
      <c r="N42" s="42">
        <v>11</v>
      </c>
      <c r="O42" s="42">
        <v>15</v>
      </c>
      <c r="P42" s="42">
        <v>4</v>
      </c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20+12+4+1+5+108+10+51+536+3</f>
        <v>750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70DE8-DED5-4F55-9FFB-A795E7A10F2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C2FC-1BA0-4E98-BFAF-10D98E17D1D0}">
  <dimension ref="B1:AA45"/>
  <sheetViews>
    <sheetView showGridLines="0" zoomScale="145" zoomScaleNormal="145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5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>
        <v>1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5</v>
      </c>
      <c r="F16" s="27"/>
      <c r="G16" s="28"/>
      <c r="H16" s="28">
        <v>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>
        <v>1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>
        <v>1</v>
      </c>
      <c r="G24" s="14"/>
      <c r="H24" s="14">
        <v>43</v>
      </c>
      <c r="I24" s="14">
        <v>2</v>
      </c>
      <c r="J24" s="14"/>
      <c r="K24" s="14">
        <v>2</v>
      </c>
      <c r="L24" s="14">
        <v>10</v>
      </c>
      <c r="M24" s="14">
        <v>364</v>
      </c>
      <c r="N24" s="14">
        <v>2</v>
      </c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>
        <v>0</v>
      </c>
      <c r="G31" s="23"/>
      <c r="H31" s="23">
        <v>0</v>
      </c>
      <c r="I31" s="23">
        <v>1</v>
      </c>
      <c r="J31" s="23"/>
      <c r="K31" s="23">
        <v>2</v>
      </c>
      <c r="L31" s="23">
        <v>5</v>
      </c>
      <c r="M31" s="23">
        <v>49</v>
      </c>
      <c r="N31" s="23">
        <v>1</v>
      </c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1</v>
      </c>
      <c r="G32" s="28"/>
      <c r="H32" s="28">
        <v>43</v>
      </c>
      <c r="I32" s="28">
        <v>1</v>
      </c>
      <c r="J32" s="28"/>
      <c r="K32" s="28">
        <v>0</v>
      </c>
      <c r="L32" s="28">
        <v>5</v>
      </c>
      <c r="M32" s="28">
        <v>315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369</v>
      </c>
      <c r="G36" s="42">
        <v>5</v>
      </c>
      <c r="H36" s="42"/>
      <c r="I36" s="42">
        <v>6</v>
      </c>
      <c r="J36" s="42">
        <v>2</v>
      </c>
      <c r="K36" s="42">
        <v>10</v>
      </c>
      <c r="L36" s="42">
        <v>1</v>
      </c>
      <c r="M36" s="42">
        <v>2</v>
      </c>
      <c r="N36" s="42"/>
      <c r="O36" s="42">
        <v>1</v>
      </c>
      <c r="P36" s="42"/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369</v>
      </c>
      <c r="G42" s="42">
        <v>5</v>
      </c>
      <c r="H42" s="42"/>
      <c r="I42" s="42">
        <v>6</v>
      </c>
      <c r="J42" s="42">
        <v>2</v>
      </c>
      <c r="K42" s="42">
        <v>10</v>
      </c>
      <c r="L42" s="42">
        <v>1</v>
      </c>
      <c r="M42" s="42">
        <v>2</v>
      </c>
      <c r="N42" s="42"/>
      <c r="O42" s="42">
        <v>1</v>
      </c>
      <c r="P42" s="42"/>
      <c r="Q42" s="43">
        <v>19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5+2+1+1+1+1+1+1+43+1+5+315+1</f>
        <v>378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B1EB2-A201-4084-9718-C519322CD74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416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25</v>
      </c>
      <c r="I31" s="23"/>
      <c r="J31" s="23"/>
      <c r="K31" s="23">
        <v>1</v>
      </c>
      <c r="L31" s="23">
        <v>4</v>
      </c>
      <c r="M31" s="23">
        <v>89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2</v>
      </c>
      <c r="M32" s="28">
        <v>327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1</v>
      </c>
      <c r="H36" s="42"/>
      <c r="I36" s="42"/>
      <c r="J36" s="42"/>
      <c r="K36" s="42"/>
      <c r="L36" s="42"/>
      <c r="M36" s="42"/>
      <c r="N36" s="42"/>
      <c r="O36" s="42">
        <v>3</v>
      </c>
      <c r="P36" s="42">
        <v>8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1</v>
      </c>
      <c r="H42" s="42"/>
      <c r="I42" s="42"/>
      <c r="J42" s="42"/>
      <c r="K42" s="42"/>
      <c r="L42" s="42"/>
      <c r="M42" s="42"/>
      <c r="N42" s="42"/>
      <c r="O42" s="42">
        <v>3</v>
      </c>
      <c r="P42" s="42">
        <v>8</v>
      </c>
      <c r="Q42" s="43">
        <v>19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1+11+1+5+2+327</f>
        <v>347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F1AA-1D94-48BD-B1E8-21C6B4141E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43</v>
      </c>
      <c r="I24" s="14"/>
      <c r="J24" s="14"/>
      <c r="K24" s="14">
        <v>2</v>
      </c>
      <c r="L24" s="14">
        <v>26</v>
      </c>
      <c r="M24" s="14">
        <v>581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23</v>
      </c>
      <c r="I31" s="23"/>
      <c r="J31" s="23"/>
      <c r="K31" s="23">
        <v>2</v>
      </c>
      <c r="L31" s="23">
        <v>3</v>
      </c>
      <c r="M31" s="23">
        <v>8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23</v>
      </c>
      <c r="M32" s="28">
        <v>573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657</v>
      </c>
      <c r="G36" s="42">
        <v>10</v>
      </c>
      <c r="H36" s="42">
        <v>5</v>
      </c>
      <c r="I36" s="42">
        <v>21</v>
      </c>
      <c r="J36" s="42"/>
      <c r="K36" s="42">
        <v>4</v>
      </c>
      <c r="L36" s="42">
        <v>2</v>
      </c>
      <c r="M36" s="42"/>
      <c r="N36" s="42">
        <v>12</v>
      </c>
      <c r="O36" s="42">
        <v>18</v>
      </c>
      <c r="P36" s="42">
        <v>5</v>
      </c>
      <c r="Q36" s="43">
        <v>15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657</v>
      </c>
      <c r="G42" s="42">
        <v>10</v>
      </c>
      <c r="H42" s="42">
        <v>5</v>
      </c>
      <c r="I42" s="42">
        <v>21</v>
      </c>
      <c r="J42" s="42"/>
      <c r="K42" s="42">
        <v>4</v>
      </c>
      <c r="L42" s="42">
        <v>2</v>
      </c>
      <c r="M42" s="42"/>
      <c r="N42" s="42">
        <v>12</v>
      </c>
      <c r="O42" s="42">
        <v>18</v>
      </c>
      <c r="P42" s="42">
        <v>5</v>
      </c>
      <c r="Q42" s="43">
        <v>15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16+1+1+20+23+573</f>
        <v>634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288DB-AC95-4CEC-9ED0-6FDE50790F7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A7035-0425-47F5-9E94-ECB40021CCD6}">
  <dimension ref="B1:AA45"/>
  <sheetViews>
    <sheetView showGridLines="0" topLeftCell="A32" zoomScale="150" zoomScaleNormal="15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5</v>
      </c>
      <c r="F8" s="14"/>
      <c r="G8" s="14">
        <v>5</v>
      </c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>
        <v>1</v>
      </c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0</v>
      </c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>
        <v>1</v>
      </c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>
        <v>5</v>
      </c>
      <c r="H16" s="28">
        <v>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4</v>
      </c>
      <c r="U16" s="28">
        <v>0</v>
      </c>
      <c r="V16" s="28"/>
      <c r="W16" s="56">
        <v>1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3</v>
      </c>
      <c r="G24" s="14"/>
      <c r="H24" s="14">
        <v>10</v>
      </c>
      <c r="I24" s="14">
        <v>1</v>
      </c>
      <c r="J24" s="14"/>
      <c r="K24" s="14">
        <v>52</v>
      </c>
      <c r="L24" s="14">
        <v>25</v>
      </c>
      <c r="M24" s="14">
        <v>457</v>
      </c>
      <c r="N24" s="14">
        <v>1</v>
      </c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>
        <v>1</v>
      </c>
      <c r="J31" s="23"/>
      <c r="K31" s="23">
        <v>2</v>
      </c>
      <c r="L31" s="23">
        <v>0</v>
      </c>
      <c r="M31" s="23">
        <v>1</v>
      </c>
      <c r="N31" s="23">
        <v>0</v>
      </c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3</v>
      </c>
      <c r="G32" s="28"/>
      <c r="H32" s="28">
        <v>10</v>
      </c>
      <c r="I32" s="28">
        <v>0</v>
      </c>
      <c r="J32" s="28"/>
      <c r="K32" s="28">
        <v>50</v>
      </c>
      <c r="L32" s="28">
        <v>25</v>
      </c>
      <c r="M32" s="28">
        <v>456</v>
      </c>
      <c r="N32" s="28">
        <v>1</v>
      </c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>
        <v>7</v>
      </c>
      <c r="E36" s="42"/>
      <c r="F36" s="42">
        <v>321</v>
      </c>
      <c r="G36" s="42">
        <v>193</v>
      </c>
      <c r="H36" s="42">
        <v>3</v>
      </c>
      <c r="I36" s="42">
        <v>7</v>
      </c>
      <c r="J36" s="42">
        <v>19</v>
      </c>
      <c r="K36" s="42"/>
      <c r="L36" s="42">
        <v>59</v>
      </c>
      <c r="M36" s="42">
        <v>58</v>
      </c>
      <c r="N36" s="42"/>
      <c r="O36" s="42">
        <v>1</v>
      </c>
      <c r="P36" s="42"/>
      <c r="Q36" s="43">
        <v>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>
        <v>7</v>
      </c>
      <c r="E42" s="42"/>
      <c r="F42" s="42">
        <v>321</v>
      </c>
      <c r="G42" s="42">
        <v>193</v>
      </c>
      <c r="H42" s="42">
        <v>3</v>
      </c>
      <c r="I42" s="42">
        <v>7</v>
      </c>
      <c r="J42" s="42">
        <v>19</v>
      </c>
      <c r="K42" s="42"/>
      <c r="L42" s="42">
        <v>59</v>
      </c>
      <c r="M42" s="42">
        <v>58</v>
      </c>
      <c r="N42" s="42"/>
      <c r="O42" s="42">
        <v>1</v>
      </c>
      <c r="P42" s="42"/>
      <c r="Q42" s="43">
        <v>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1+5+5+1+4+1+1+1+2+3+10+50+25+456+1+3</f>
        <v>569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B2D1E-01A7-417D-8264-411CFDF7E90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>
        <v>4</v>
      </c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4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86" t="s">
        <v>108</v>
      </c>
      <c r="G24" s="14"/>
      <c r="H24" s="14">
        <v>25</v>
      </c>
      <c r="I24" s="14"/>
      <c r="J24" s="14"/>
      <c r="K24" s="14">
        <v>1</v>
      </c>
      <c r="L24" s="14">
        <v>6</v>
      </c>
      <c r="M24" s="14">
        <v>377</v>
      </c>
      <c r="N24" s="14">
        <v>2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 t="s">
        <v>88</v>
      </c>
      <c r="G31" s="23"/>
      <c r="H31" s="23">
        <v>5</v>
      </c>
      <c r="I31" s="23"/>
      <c r="J31" s="23"/>
      <c r="K31" s="23">
        <v>1</v>
      </c>
      <c r="L31" s="23">
        <v>0</v>
      </c>
      <c r="M31" s="23">
        <v>112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</v>
      </c>
      <c r="G32" s="28"/>
      <c r="H32" s="28">
        <v>20</v>
      </c>
      <c r="I32" s="28"/>
      <c r="J32" s="28"/>
      <c r="K32" s="28">
        <v>0</v>
      </c>
      <c r="L32" s="28">
        <v>6</v>
      </c>
      <c r="M32" s="28">
        <v>265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</v>
      </c>
      <c r="F36" s="42">
        <v>267</v>
      </c>
      <c r="G36" s="42">
        <v>6</v>
      </c>
      <c r="H36" s="42"/>
      <c r="I36" s="42">
        <v>5</v>
      </c>
      <c r="J36" s="42">
        <v>1</v>
      </c>
      <c r="K36" s="42">
        <v>7</v>
      </c>
      <c r="L36" s="42"/>
      <c r="M36" s="42">
        <v>2</v>
      </c>
      <c r="N36" s="42">
        <v>18</v>
      </c>
      <c r="O36" s="42">
        <v>3</v>
      </c>
      <c r="P36" s="42">
        <v>5</v>
      </c>
      <c r="Q36" s="43">
        <v>7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</v>
      </c>
      <c r="F42" s="42">
        <v>267</v>
      </c>
      <c r="G42" s="42">
        <v>6</v>
      </c>
      <c r="H42" s="42"/>
      <c r="I42" s="42">
        <v>5</v>
      </c>
      <c r="J42" s="42">
        <v>1</v>
      </c>
      <c r="K42" s="42">
        <v>7</v>
      </c>
      <c r="L42" s="42"/>
      <c r="M42" s="42">
        <v>2</v>
      </c>
      <c r="N42" s="42">
        <v>18</v>
      </c>
      <c r="O42" s="42">
        <v>3</v>
      </c>
      <c r="P42" s="42">
        <v>5</v>
      </c>
      <c r="Q42" s="43">
        <v>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4+9+2+1+1+2+20+6+265+1</f>
        <v>311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85374-B27F-41BD-8954-13AC3C67BF5D}">
  <dimension ref="B1:AA45"/>
  <sheetViews>
    <sheetView showGridLines="0" topLeftCell="A29" zoomScale="160" zoomScaleNormal="160" workbookViewId="0">
      <selection activeCell="H47" sqref="H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2</v>
      </c>
      <c r="E16" s="27"/>
      <c r="F16" s="27"/>
      <c r="G16" s="28"/>
      <c r="H16" s="28">
        <v>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15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2</v>
      </c>
      <c r="L24" s="14">
        <v>18</v>
      </c>
      <c r="M24" s="14">
        <v>656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1</v>
      </c>
      <c r="M31" s="23">
        <v>209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20</v>
      </c>
      <c r="I32" s="28"/>
      <c r="J32" s="28"/>
      <c r="K32" s="28">
        <v>2</v>
      </c>
      <c r="L32" s="28">
        <v>17</v>
      </c>
      <c r="M32" s="28">
        <v>447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4</v>
      </c>
      <c r="I36" s="42">
        <v>22</v>
      </c>
      <c r="J36" s="42">
        <v>1</v>
      </c>
      <c r="K36" s="42">
        <v>4</v>
      </c>
      <c r="L36" s="42">
        <v>11</v>
      </c>
      <c r="M36" s="42"/>
      <c r="N36" s="42">
        <v>2</v>
      </c>
      <c r="O36" s="42">
        <v>13</v>
      </c>
      <c r="P36" s="42">
        <v>3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4</v>
      </c>
      <c r="I42" s="42">
        <v>22</v>
      </c>
      <c r="J42" s="42">
        <v>1</v>
      </c>
      <c r="K42" s="42">
        <v>4</v>
      </c>
      <c r="L42" s="42">
        <v>11</v>
      </c>
      <c r="M42" s="42"/>
      <c r="N42" s="42">
        <v>2</v>
      </c>
      <c r="O42" s="42">
        <v>13</v>
      </c>
      <c r="P42" s="42">
        <v>3</v>
      </c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1+2+17+2+15+1+1+2+20+2+17+447</f>
        <v>527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03AB-0158-43BF-853C-FE4C0A95F74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A4669-CB8F-4E3B-A72B-615CA0A9DA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20C8-E3FC-45E2-A024-C340A533834B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6" t="s">
        <v>85</v>
      </c>
      <c r="G24" s="14"/>
      <c r="H24" s="14">
        <v>68</v>
      </c>
      <c r="I24" s="14"/>
      <c r="J24" s="14"/>
      <c r="K24" s="14">
        <v>1</v>
      </c>
      <c r="L24" s="14">
        <v>3</v>
      </c>
      <c r="M24" s="14">
        <v>488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 t="s">
        <v>85</v>
      </c>
      <c r="G31" s="23"/>
      <c r="H31" s="23">
        <v>2</v>
      </c>
      <c r="I31" s="23"/>
      <c r="J31" s="23"/>
      <c r="K31" s="23">
        <v>1</v>
      </c>
      <c r="L31" s="23">
        <v>0</v>
      </c>
      <c r="M31" s="23">
        <v>55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66</v>
      </c>
      <c r="I32" s="28"/>
      <c r="J32" s="28"/>
      <c r="K32" s="28">
        <v>0</v>
      </c>
      <c r="L32" s="28">
        <v>3</v>
      </c>
      <c r="M32" s="28">
        <v>433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281</v>
      </c>
      <c r="G36" s="42">
        <v>21</v>
      </c>
      <c r="H36" s="42">
        <v>5</v>
      </c>
      <c r="I36" s="42">
        <v>20</v>
      </c>
      <c r="J36" s="42">
        <v>2</v>
      </c>
      <c r="K36" s="42">
        <v>7</v>
      </c>
      <c r="L36" s="42"/>
      <c r="M36" s="42"/>
      <c r="N36" s="42">
        <v>4</v>
      </c>
      <c r="O36" s="42">
        <v>4</v>
      </c>
      <c r="P36" s="42">
        <v>10</v>
      </c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281</v>
      </c>
      <c r="G42" s="42">
        <v>21</v>
      </c>
      <c r="H42" s="42">
        <v>5</v>
      </c>
      <c r="I42" s="42">
        <v>20</v>
      </c>
      <c r="J42" s="42">
        <v>2</v>
      </c>
      <c r="K42" s="42">
        <v>7</v>
      </c>
      <c r="L42" s="42"/>
      <c r="M42" s="42"/>
      <c r="N42" s="42">
        <v>4</v>
      </c>
      <c r="O42" s="42">
        <v>4</v>
      </c>
      <c r="P42" s="42">
        <v>10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1">
        <f>15+66+3+433</f>
        <v>517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D335F-2505-46BA-850E-8BAA41DE5D73}">
  <dimension ref="B1:AA45"/>
  <sheetViews>
    <sheetView showGridLines="0" zoomScale="160" zoomScaleNormal="160" workbookViewId="0">
      <selection activeCell="N42" sqref="N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10</v>
      </c>
      <c r="E8" s="14">
        <v>5</v>
      </c>
      <c r="F8" s="14"/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10</v>
      </c>
      <c r="U8" s="14">
        <v>1</v>
      </c>
      <c r="V8" s="14"/>
      <c r="W8" s="14">
        <v>20</v>
      </c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>
        <v>0</v>
      </c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5</v>
      </c>
      <c r="D16" s="58">
        <v>10</v>
      </c>
      <c r="E16" s="27">
        <v>5</v>
      </c>
      <c r="F16" s="27"/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10</v>
      </c>
      <c r="U16" s="28">
        <v>1</v>
      </c>
      <c r="V16" s="28"/>
      <c r="W16" s="56">
        <v>20</v>
      </c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10</v>
      </c>
      <c r="G24" s="14"/>
      <c r="H24" s="14">
        <v>53</v>
      </c>
      <c r="I24" s="14">
        <v>1</v>
      </c>
      <c r="J24" s="14"/>
      <c r="K24" s="14">
        <v>10</v>
      </c>
      <c r="L24" s="14">
        <v>21</v>
      </c>
      <c r="M24" s="14">
        <v>209</v>
      </c>
      <c r="N24" s="14">
        <v>4</v>
      </c>
      <c r="O24" s="14"/>
      <c r="P24" s="14" t="s">
        <v>138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1</v>
      </c>
      <c r="I31" s="23">
        <v>0</v>
      </c>
      <c r="J31" s="23"/>
      <c r="K31" s="23">
        <v>0</v>
      </c>
      <c r="L31" s="23">
        <v>1</v>
      </c>
      <c r="M31" s="23">
        <v>4</v>
      </c>
      <c r="N31" s="23">
        <v>0</v>
      </c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10</v>
      </c>
      <c r="G32" s="28"/>
      <c r="H32" s="28">
        <v>52</v>
      </c>
      <c r="I32" s="28">
        <v>1</v>
      </c>
      <c r="J32" s="28"/>
      <c r="K32" s="28">
        <v>10</v>
      </c>
      <c r="L32" s="28">
        <v>20</v>
      </c>
      <c r="M32" s="28">
        <v>205</v>
      </c>
      <c r="N32" s="28">
        <v>4</v>
      </c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8</v>
      </c>
      <c r="F36" s="42">
        <v>59</v>
      </c>
      <c r="G36" s="42">
        <v>194</v>
      </c>
      <c r="H36" s="42"/>
      <c r="I36" s="42"/>
      <c r="J36" s="42">
        <v>20</v>
      </c>
      <c r="K36" s="42">
        <v>11</v>
      </c>
      <c r="L36" s="42"/>
      <c r="M36" s="42">
        <v>43</v>
      </c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8</v>
      </c>
      <c r="F42" s="42">
        <v>59</v>
      </c>
      <c r="G42" s="42">
        <v>194</v>
      </c>
      <c r="H42" s="42"/>
      <c r="I42" s="42"/>
      <c r="J42" s="42">
        <v>20</v>
      </c>
      <c r="K42" s="42">
        <v>11</v>
      </c>
      <c r="L42" s="42"/>
      <c r="M42" s="42">
        <v>43</v>
      </c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1">
        <f>5+10+5+10+1+20+5+1+10+52+1+10+20+205+4+10</f>
        <v>369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43AD5-AEBE-43A3-A434-84A05AD00EB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3B82E-D659-42B0-A89B-9DDD7352D7A1}">
  <dimension ref="B1:AA45"/>
  <sheetViews>
    <sheetView showGridLines="0" topLeftCell="A29" zoomScale="150" zoomScaleNormal="150" workbookViewId="0">
      <selection activeCell="G39" sqref="G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/>
      <c r="L24" s="14">
        <v>3</v>
      </c>
      <c r="M24" s="14">
        <v>594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33</v>
      </c>
      <c r="I31" s="23"/>
      <c r="J31" s="23"/>
      <c r="K31" s="23"/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21</v>
      </c>
      <c r="I32" s="28"/>
      <c r="J32" s="28"/>
      <c r="K32" s="28"/>
      <c r="L32" s="28">
        <v>3</v>
      </c>
      <c r="M32" s="28">
        <v>592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499</v>
      </c>
      <c r="G36" s="42">
        <v>5</v>
      </c>
      <c r="H36" s="42">
        <v>2</v>
      </c>
      <c r="I36" s="42">
        <v>2</v>
      </c>
      <c r="J36" s="42">
        <v>1</v>
      </c>
      <c r="K36" s="42">
        <v>9</v>
      </c>
      <c r="L36" s="42"/>
      <c r="M36" s="42"/>
      <c r="N36" s="42"/>
      <c r="O36" s="42">
        <v>2</v>
      </c>
      <c r="P36" s="42">
        <v>21</v>
      </c>
      <c r="Q36" s="43">
        <v>8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499</v>
      </c>
      <c r="G42" s="42">
        <v>5</v>
      </c>
      <c r="H42" s="42">
        <v>2</v>
      </c>
      <c r="I42" s="42">
        <v>2</v>
      </c>
      <c r="J42" s="42">
        <v>1</v>
      </c>
      <c r="K42" s="42">
        <v>9</v>
      </c>
      <c r="L42" s="42"/>
      <c r="M42" s="42"/>
      <c r="N42" s="42"/>
      <c r="O42" s="42">
        <v>2</v>
      </c>
      <c r="P42" s="42">
        <v>21</v>
      </c>
      <c r="Q42" s="43">
        <v>8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22+21+3+592</f>
        <v>638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B7403-C55B-4E9E-B4D0-806AD0BEF131}">
  <dimension ref="B1:AA45"/>
  <sheetViews>
    <sheetView showGridLines="0" topLeftCell="A29" zoomScale="160" zoomScaleNormal="160" workbookViewId="0">
      <selection activeCell="J47" sqref="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456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193</v>
      </c>
      <c r="N31" s="23">
        <v>0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30</v>
      </c>
      <c r="I32" s="28"/>
      <c r="J32" s="28"/>
      <c r="K32" s="28">
        <v>1</v>
      </c>
      <c r="L32" s="28">
        <v>6</v>
      </c>
      <c r="M32" s="28">
        <v>263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280</v>
      </c>
      <c r="G36" s="42">
        <v>4</v>
      </c>
      <c r="H36" s="42">
        <v>1</v>
      </c>
      <c r="I36" s="42">
        <v>1</v>
      </c>
      <c r="J36" s="42">
        <v>1</v>
      </c>
      <c r="K36" s="42">
        <v>9</v>
      </c>
      <c r="L36" s="42"/>
      <c r="M36" s="42"/>
      <c r="N36" s="42">
        <v>5</v>
      </c>
      <c r="O36" s="42">
        <v>5</v>
      </c>
      <c r="P36" s="42"/>
      <c r="Q36" s="43">
        <v>20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280</v>
      </c>
      <c r="G42" s="42">
        <v>4</v>
      </c>
      <c r="H42" s="42">
        <v>1</v>
      </c>
      <c r="I42" s="42">
        <v>1</v>
      </c>
      <c r="J42" s="42">
        <v>1</v>
      </c>
      <c r="K42" s="42">
        <v>9</v>
      </c>
      <c r="L42" s="42"/>
      <c r="M42" s="42"/>
      <c r="N42" s="42">
        <v>5</v>
      </c>
      <c r="O42" s="42">
        <v>5</v>
      </c>
      <c r="P42" s="42"/>
      <c r="Q42" s="43">
        <v>20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4+1+1+30+1+6+263+1</f>
        <v>307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66C4-DDBE-4096-90F8-034DFB29DEB3}">
  <dimension ref="B1:AA45"/>
  <sheetViews>
    <sheetView showGridLines="0" topLeftCell="A27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5</v>
      </c>
      <c r="F8" s="14"/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5</v>
      </c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109</v>
      </c>
      <c r="I24" s="14"/>
      <c r="J24" s="14"/>
      <c r="K24" s="14"/>
      <c r="L24" s="14">
        <v>21</v>
      </c>
      <c r="M24" s="14">
        <v>542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20</v>
      </c>
      <c r="I31" s="23"/>
      <c r="J31" s="23"/>
      <c r="K31" s="23"/>
      <c r="L31" s="23">
        <v>11</v>
      </c>
      <c r="M31" s="23">
        <v>68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59</v>
      </c>
      <c r="I32" s="28"/>
      <c r="J32" s="28"/>
      <c r="K32" s="28"/>
      <c r="L32" s="28">
        <v>10</v>
      </c>
      <c r="M32" s="28">
        <v>474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531</v>
      </c>
      <c r="G36" s="42"/>
      <c r="H36" s="42"/>
      <c r="I36" s="42">
        <v>10</v>
      </c>
      <c r="J36" s="42"/>
      <c r="K36" s="42"/>
      <c r="L36" s="42"/>
      <c r="M36" s="42"/>
      <c r="N36" s="42"/>
      <c r="O36" s="42">
        <v>8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531</v>
      </c>
      <c r="G42" s="42"/>
      <c r="H42" s="42"/>
      <c r="I42" s="42">
        <v>10</v>
      </c>
      <c r="J42" s="42"/>
      <c r="K42" s="42"/>
      <c r="L42" s="42"/>
      <c r="M42" s="42"/>
      <c r="N42" s="42"/>
      <c r="O42" s="42">
        <v>8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5+15+59+10+474</f>
        <v>563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73FB-C06E-46B6-86B5-A5DCE1168CF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CFB77-867D-4DB0-93A4-0BBD7EB4E24B}">
  <dimension ref="B1:AA45"/>
  <sheetViews>
    <sheetView showGridLines="0" topLeftCell="A29" zoomScale="150" zoomScaleNormal="15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142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108</v>
      </c>
      <c r="I24" s="14"/>
      <c r="J24" s="14"/>
      <c r="K24" s="14">
        <v>2</v>
      </c>
      <c r="L24" s="14">
        <v>10</v>
      </c>
      <c r="M24" s="14">
        <v>382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0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10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458</v>
      </c>
      <c r="G36" s="42">
        <v>2</v>
      </c>
      <c r="H36" s="42">
        <v>2</v>
      </c>
      <c r="I36" s="42">
        <v>17</v>
      </c>
      <c r="J36" s="42">
        <v>1</v>
      </c>
      <c r="K36" s="42">
        <v>8</v>
      </c>
      <c r="L36" s="42">
        <v>4</v>
      </c>
      <c r="M36" s="42">
        <v>1</v>
      </c>
      <c r="N36" s="42">
        <v>22</v>
      </c>
      <c r="O36" s="42">
        <v>25</v>
      </c>
      <c r="P36" s="42">
        <v>5</v>
      </c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458</v>
      </c>
      <c r="G42" s="42">
        <v>2</v>
      </c>
      <c r="H42" s="42">
        <v>2</v>
      </c>
      <c r="I42" s="42">
        <v>17</v>
      </c>
      <c r="J42" s="42">
        <v>1</v>
      </c>
      <c r="K42" s="42">
        <v>8</v>
      </c>
      <c r="L42" s="42">
        <v>4</v>
      </c>
      <c r="M42" s="42">
        <v>1</v>
      </c>
      <c r="N42" s="42">
        <v>22</v>
      </c>
      <c r="O42" s="42">
        <v>25</v>
      </c>
      <c r="P42" s="42">
        <v>5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1+29+2+2+108+1+382+3</f>
        <v>528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58899-A46B-4684-B2B9-2FF09F181BB6}">
  <dimension ref="B1:AA45"/>
  <sheetViews>
    <sheetView showGridLines="0" topLeftCell="A27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>
        <v>3</v>
      </c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3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>
        <v>30</v>
      </c>
      <c r="H24" s="14"/>
      <c r="I24" s="14"/>
      <c r="J24" s="14"/>
      <c r="K24" s="14">
        <v>1</v>
      </c>
      <c r="L24" s="14">
        <v>8</v>
      </c>
      <c r="M24" s="14">
        <v>409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>
        <v>2</v>
      </c>
      <c r="H31" s="23"/>
      <c r="I31" s="23"/>
      <c r="J31" s="23"/>
      <c r="K31" s="23">
        <v>0</v>
      </c>
      <c r="L31" s="23">
        <v>0</v>
      </c>
      <c r="M31" s="23">
        <v>150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>
        <v>28</v>
      </c>
      <c r="H32" s="28"/>
      <c r="I32" s="28"/>
      <c r="J32" s="28"/>
      <c r="K32" s="28">
        <v>1</v>
      </c>
      <c r="L32" s="28">
        <v>8</v>
      </c>
      <c r="M32" s="28">
        <v>259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291</v>
      </c>
      <c r="G36" s="42">
        <v>12</v>
      </c>
      <c r="H36" s="42">
        <v>2</v>
      </c>
      <c r="I36" s="42">
        <v>7</v>
      </c>
      <c r="J36" s="42"/>
      <c r="K36" s="42">
        <v>9</v>
      </c>
      <c r="L36" s="42">
        <v>1</v>
      </c>
      <c r="M36" s="42"/>
      <c r="N36" s="42">
        <v>3</v>
      </c>
      <c r="O36" s="42">
        <v>4</v>
      </c>
      <c r="P36" s="42">
        <v>5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291</v>
      </c>
      <c r="G42" s="42">
        <v>12</v>
      </c>
      <c r="H42" s="42">
        <v>2</v>
      </c>
      <c r="I42" s="42">
        <v>7</v>
      </c>
      <c r="J42" s="42"/>
      <c r="K42" s="42">
        <v>9</v>
      </c>
      <c r="L42" s="42">
        <v>1</v>
      </c>
      <c r="M42" s="42"/>
      <c r="N42" s="42">
        <v>3</v>
      </c>
      <c r="O42" s="42">
        <v>4</v>
      </c>
      <c r="P42" s="42">
        <v>5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3+8+1+1+28+1+8+259</f>
        <v>309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6D192-8703-4EC6-AC7C-4AA4CBE898D6}">
  <dimension ref="B1:AA45"/>
  <sheetViews>
    <sheetView showGridLines="0" tabSelected="1" topLeftCell="A29" zoomScale="160" zoomScaleNormal="160" workbookViewId="0">
      <selection activeCell="E40" sqref="E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/>
      <c r="G15" s="23"/>
      <c r="H15" s="23">
        <v>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60</v>
      </c>
      <c r="I24" s="14"/>
      <c r="J24" s="14"/>
      <c r="K24" s="14"/>
      <c r="L24" s="14">
        <v>20</v>
      </c>
      <c r="M24" s="14">
        <v>500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183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59</v>
      </c>
      <c r="I32" s="28"/>
      <c r="J32" s="28"/>
      <c r="K32" s="28"/>
      <c r="L32" s="28">
        <v>19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396</v>
      </c>
      <c r="G36" s="42">
        <v>2</v>
      </c>
      <c r="H36" s="42">
        <v>1</v>
      </c>
      <c r="I36" s="42">
        <v>11</v>
      </c>
      <c r="J36" s="42">
        <v>1</v>
      </c>
      <c r="K36" s="42">
        <v>6</v>
      </c>
      <c r="L36" s="42">
        <v>3</v>
      </c>
      <c r="M36" s="42">
        <v>1</v>
      </c>
      <c r="N36" s="42">
        <v>10</v>
      </c>
      <c r="O36" s="42">
        <v>5</v>
      </c>
      <c r="P36" s="42">
        <v>3</v>
      </c>
      <c r="Q36" s="43">
        <v>9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396</v>
      </c>
      <c r="G42" s="42">
        <v>2</v>
      </c>
      <c r="H42" s="42">
        <v>1</v>
      </c>
      <c r="I42" s="42">
        <v>11</v>
      </c>
      <c r="J42" s="42">
        <v>1</v>
      </c>
      <c r="K42" s="42">
        <v>6</v>
      </c>
      <c r="L42" s="42">
        <v>3</v>
      </c>
      <c r="M42" s="42">
        <v>1</v>
      </c>
      <c r="N42" s="42">
        <v>10</v>
      </c>
      <c r="O42" s="42">
        <v>5</v>
      </c>
      <c r="P42" s="42">
        <v>3</v>
      </c>
      <c r="Q42" s="43">
        <v>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2+8+2+59+19+317</f>
        <v>407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100</vt:i4>
      </vt:variant>
      <vt:variant>
        <vt:lpstr>Named Ranges</vt:lpstr>
      </vt:variant>
      <vt:variant>
        <vt:i4>99</vt:i4>
      </vt:variant>
    </vt:vector>
  </HeadingPairs>
  <TitlesOfParts>
    <vt:vector size="199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 NO TRIP</vt:lpstr>
      <vt:lpstr>06-05 R2</vt:lpstr>
      <vt:lpstr>06-05 R3</vt:lpstr>
      <vt:lpstr>(6)</vt:lpstr>
      <vt:lpstr>06-06 R1</vt:lpstr>
      <vt:lpstr>06-06 R2</vt:lpstr>
      <vt:lpstr>06-06 R3</vt:lpstr>
      <vt:lpstr>(8)</vt:lpstr>
      <vt:lpstr>06-08 R1 NO TRIP</vt:lpstr>
      <vt:lpstr>06-08 R2</vt:lpstr>
      <vt:lpstr>06-08 R3</vt:lpstr>
      <vt:lpstr>(9)</vt:lpstr>
      <vt:lpstr>06-09 R1</vt:lpstr>
      <vt:lpstr>06-09 R2</vt:lpstr>
      <vt:lpstr>06-09 R3</vt:lpstr>
      <vt:lpstr>(10)</vt:lpstr>
      <vt:lpstr>06-10 R1</vt:lpstr>
      <vt:lpstr>06-10 R2 NO TRIP</vt:lpstr>
      <vt:lpstr>(11)</vt:lpstr>
      <vt:lpstr>06-11 R1 NO TRIP</vt:lpstr>
      <vt:lpstr>06-11 R2</vt:lpstr>
      <vt:lpstr>06-11 R3</vt:lpstr>
      <vt:lpstr>(12)</vt:lpstr>
      <vt:lpstr>06-12 R1</vt:lpstr>
      <vt:lpstr>06-12 R2</vt:lpstr>
      <vt:lpstr>06-12 R3 NO TRIP</vt:lpstr>
      <vt:lpstr>(13)</vt:lpstr>
      <vt:lpstr>06-13 R1</vt:lpstr>
      <vt:lpstr>06-13 R2</vt:lpstr>
      <vt:lpstr>06-13 R3</vt:lpstr>
      <vt:lpstr>(15)</vt:lpstr>
      <vt:lpstr>06-15 R1</vt:lpstr>
      <vt:lpstr>06-15 R2</vt:lpstr>
      <vt:lpstr>06-15 R3</vt:lpstr>
      <vt:lpstr>(16)</vt:lpstr>
      <vt:lpstr>06-16 R1</vt:lpstr>
      <vt:lpstr>06-16 R2</vt:lpstr>
      <vt:lpstr>06-16 R3</vt:lpstr>
      <vt:lpstr>(17)</vt:lpstr>
      <vt:lpstr>06-17 R1</vt:lpstr>
      <vt:lpstr>06-17 R2</vt:lpstr>
      <vt:lpstr>06-17 R3</vt:lpstr>
      <vt:lpstr>(18)</vt:lpstr>
      <vt:lpstr>06-18 R1</vt:lpstr>
      <vt:lpstr>06-18 R2</vt:lpstr>
      <vt:lpstr>06-18 R3</vt:lpstr>
      <vt:lpstr>(19)</vt:lpstr>
      <vt:lpstr>06-19 R1 NO TRIP</vt:lpstr>
      <vt:lpstr>06-19 R2</vt:lpstr>
      <vt:lpstr>06-19 R3</vt:lpstr>
      <vt:lpstr>(20)</vt:lpstr>
      <vt:lpstr>06-20 R1</vt:lpstr>
      <vt:lpstr>06-20 R2</vt:lpstr>
      <vt:lpstr>06-20 R3</vt:lpstr>
      <vt:lpstr>(22)</vt:lpstr>
      <vt:lpstr>06-22 R1</vt:lpstr>
      <vt:lpstr>06-22 R2</vt:lpstr>
      <vt:lpstr>06-22 R3</vt:lpstr>
      <vt:lpstr>(23)</vt:lpstr>
      <vt:lpstr>06-23 R1</vt:lpstr>
      <vt:lpstr>06-23 R2</vt:lpstr>
      <vt:lpstr>06-23 R3</vt:lpstr>
      <vt:lpstr>(24)</vt:lpstr>
      <vt:lpstr>06-24 R1</vt:lpstr>
      <vt:lpstr>06-24 R2</vt:lpstr>
      <vt:lpstr>06-24 R3</vt:lpstr>
      <vt:lpstr>(25)</vt:lpstr>
      <vt:lpstr>06-25 R1</vt:lpstr>
      <vt:lpstr>06-25 R2</vt:lpstr>
      <vt:lpstr>06-25 R3</vt:lpstr>
      <vt:lpstr>(26)</vt:lpstr>
      <vt:lpstr>06-26 R1 NO TRIP</vt:lpstr>
      <vt:lpstr>06-26 R2</vt:lpstr>
      <vt:lpstr>06-26 R3</vt:lpstr>
      <vt:lpstr>(29)</vt:lpstr>
      <vt:lpstr>06-29 R1 </vt:lpstr>
      <vt:lpstr>06-29 R2</vt:lpstr>
      <vt:lpstr>06-29 R3</vt:lpstr>
      <vt:lpstr>(30)</vt:lpstr>
      <vt:lpstr>06-30 R1 </vt:lpstr>
      <vt:lpstr>06-30 R2</vt:lpstr>
      <vt:lpstr>06-30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'(29)'!Print_Area</vt:lpstr>
      <vt:lpstr>'(3)'!Print_Area</vt:lpstr>
      <vt:lpstr>'(30)'!Print_Area</vt:lpstr>
      <vt:lpstr>'(4)'!Print_Area</vt:lpstr>
      <vt:lpstr>'(5)'!Print_Area</vt:lpstr>
      <vt:lpstr>'(6)'!Print_Area</vt:lpstr>
      <vt:lpstr>'(8)'!Print_Area</vt:lpstr>
      <vt:lpstr>'(9)'!Print_Area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 NO TRIP'!Print_Area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 NO TRIP'!Print_Area</vt:lpstr>
      <vt:lpstr>'06-08 R2'!Print_Area</vt:lpstr>
      <vt:lpstr>'06-08 R3'!Print_Area</vt:lpstr>
      <vt:lpstr>'06-09 R1'!Print_Area</vt:lpstr>
      <vt:lpstr>'06-09 R2'!Print_Area</vt:lpstr>
      <vt:lpstr>'06-09 R3'!Print_Area</vt:lpstr>
      <vt:lpstr>'06-10 R1'!Print_Area</vt:lpstr>
      <vt:lpstr>'06-10 R2 NO TRIP'!Print_Area</vt:lpstr>
      <vt:lpstr>'06-11 R1 NO TRIP'!Print_Area</vt:lpstr>
      <vt:lpstr>'06-11 R2'!Print_Area</vt:lpstr>
      <vt:lpstr>'06-11 R3'!Print_Area</vt:lpstr>
      <vt:lpstr>'06-12 R1'!Print_Area</vt:lpstr>
      <vt:lpstr>'06-12 R2'!Print_Area</vt:lpstr>
      <vt:lpstr>'06-12 R3 NO TRIP'!Print_Area</vt:lpstr>
      <vt:lpstr>'06-13 R1'!Print_Area</vt:lpstr>
      <vt:lpstr>'06-13 R2'!Print_Area</vt:lpstr>
      <vt:lpstr>'06-13 R3'!Print_Area</vt:lpstr>
      <vt:lpstr>'06-15 R1'!Print_Area</vt:lpstr>
      <vt:lpstr>'06-15 R2'!Print_Area</vt:lpstr>
      <vt:lpstr>'06-15 R3'!Print_Area</vt:lpstr>
      <vt:lpstr>'06-16 R1'!Print_Area</vt:lpstr>
      <vt:lpstr>'06-16 R2'!Print_Area</vt:lpstr>
      <vt:lpstr>'06-16 R3'!Print_Area</vt:lpstr>
      <vt:lpstr>'06-17 R1'!Print_Area</vt:lpstr>
      <vt:lpstr>'06-17 R2'!Print_Area</vt:lpstr>
      <vt:lpstr>'06-17 R3'!Print_Area</vt:lpstr>
      <vt:lpstr>'06-18 R1'!Print_Area</vt:lpstr>
      <vt:lpstr>'06-18 R2'!Print_Area</vt:lpstr>
      <vt:lpstr>'06-18 R3'!Print_Area</vt:lpstr>
      <vt:lpstr>'06-19 R1 NO TRIP'!Print_Area</vt:lpstr>
      <vt:lpstr>'06-19 R2'!Print_Area</vt:lpstr>
      <vt:lpstr>'06-19 R3'!Print_Area</vt:lpstr>
      <vt:lpstr>'06-20 R1'!Print_Area</vt:lpstr>
      <vt:lpstr>'06-20 R2'!Print_Area</vt:lpstr>
      <vt:lpstr>'06-20 R3'!Print_Area</vt:lpstr>
      <vt:lpstr>'06-22 R1'!Print_Area</vt:lpstr>
      <vt:lpstr>'06-22 R2'!Print_Area</vt:lpstr>
      <vt:lpstr>'06-22 R3'!Print_Area</vt:lpstr>
      <vt:lpstr>'06-23 R1'!Print_Area</vt:lpstr>
      <vt:lpstr>'06-23 R2'!Print_Area</vt:lpstr>
      <vt:lpstr>'06-23 R3'!Print_Area</vt:lpstr>
      <vt:lpstr>'06-24 R1'!Print_Area</vt:lpstr>
      <vt:lpstr>'06-24 R2'!Print_Area</vt:lpstr>
      <vt:lpstr>'06-24 R3'!Print_Area</vt:lpstr>
      <vt:lpstr>'06-25 R1'!Print_Area</vt:lpstr>
      <vt:lpstr>'06-25 R2'!Print_Area</vt:lpstr>
      <vt:lpstr>'06-25 R3'!Print_Area</vt:lpstr>
      <vt:lpstr>'06-26 R1 NO TRIP'!Print_Area</vt:lpstr>
      <vt:lpstr>'06-26 R2'!Print_Area</vt:lpstr>
      <vt:lpstr>'06-26 R3'!Print_Area</vt:lpstr>
      <vt:lpstr>'06-29 R1 '!Print_Area</vt:lpstr>
      <vt:lpstr>'06-29 R2'!Print_Area</vt:lpstr>
      <vt:lpstr>'06-29 R3'!Print_Area</vt:lpstr>
      <vt:lpstr>'06-30 R1 '!Print_Area</vt:lpstr>
      <vt:lpstr>'06-30 R2'!Print_Area</vt:lpstr>
      <vt:lpstr>'06-30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2026-06-30T08:49:03Z</cp:lastPrinted>
  <dcterms:created xsi:type="dcterms:W3CDTF">2024-09-01T22:48:10Z</dcterms:created>
  <dcterms:modified xsi:type="dcterms:W3CDTF">2026-06-30T09:09:43Z</dcterms:modified>
</cp:coreProperties>
</file>