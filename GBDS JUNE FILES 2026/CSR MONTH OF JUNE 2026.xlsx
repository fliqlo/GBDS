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53ACB199-EE9F-4081-BFD2-DCCF577B7435}" xr6:coauthVersionLast="45" xr6:coauthVersionMax="47" xr10:uidLastSave="{00000000-0000-0000-0000-000000000000}"/>
  <bookViews>
    <workbookView xWindow="-120" yWindow="-120" windowWidth="29040" windowHeight="15840" firstSheet="75" activeTab="79" xr2:uid="{67C3A74A-A57E-4AB5-8CD3-31B592A14032}"/>
  </bookViews>
  <sheets>
    <sheet name="CSR | JUNE" sheetId="902" r:id="rId1"/>
    <sheet name="(01)" sheetId="1703" r:id="rId2"/>
    <sheet name="06-01 R1" sheetId="1704" r:id="rId3"/>
    <sheet name="06-01 R2" sheetId="1705" r:id="rId4"/>
    <sheet name="06-01 R3" sheetId="1706" r:id="rId5"/>
    <sheet name="(2)" sheetId="1723" r:id="rId6"/>
    <sheet name="06-02 R1" sheetId="1724" r:id="rId7"/>
    <sheet name="06-02 R2" sheetId="1725" r:id="rId8"/>
    <sheet name="06-02 R3" sheetId="1726" r:id="rId9"/>
    <sheet name="(3)" sheetId="1727" r:id="rId10"/>
    <sheet name="06-03 R1" sheetId="1728" r:id="rId11"/>
    <sheet name="06-03 R2 NO TRIP" sheetId="1729" r:id="rId12"/>
    <sheet name="06-03 R3 NO TRIP" sheetId="1730" r:id="rId13"/>
    <sheet name="(4)" sheetId="1731" r:id="rId14"/>
    <sheet name="06-04 R1" sheetId="1732" r:id="rId15"/>
    <sheet name="06-04 R2" sheetId="1733" r:id="rId16"/>
    <sheet name="06-04 R3" sheetId="1734" r:id="rId17"/>
    <sheet name="(5)" sheetId="1735" r:id="rId18"/>
    <sheet name="06-05 R1 NO TRIP" sheetId="1736" r:id="rId19"/>
    <sheet name="06-05 R2" sheetId="1737" r:id="rId20"/>
    <sheet name="06-05 R3" sheetId="1738" r:id="rId21"/>
    <sheet name="(6)" sheetId="1739" r:id="rId22"/>
    <sheet name="06-06 R1" sheetId="1740" r:id="rId23"/>
    <sheet name="06-06 R2" sheetId="1741" r:id="rId24"/>
    <sheet name="06-06 R3" sheetId="1742" r:id="rId25"/>
    <sheet name="(8)" sheetId="1743" r:id="rId26"/>
    <sheet name="06-08 R1 NO TRIP" sheetId="1744" r:id="rId27"/>
    <sheet name="06-08 R2" sheetId="1745" r:id="rId28"/>
    <sheet name="06-08 R3" sheetId="1746" r:id="rId29"/>
    <sheet name="(9)" sheetId="1747" r:id="rId30"/>
    <sheet name="06-09 R1" sheetId="1748" r:id="rId31"/>
    <sheet name="06-09 R2" sheetId="1749" r:id="rId32"/>
    <sheet name="06-09 R3" sheetId="1750" r:id="rId33"/>
    <sheet name="(10)" sheetId="1751" r:id="rId34"/>
    <sheet name="06-10 R1" sheetId="1752" r:id="rId35"/>
    <sheet name="06-10 R2 NO TRIP" sheetId="1753" r:id="rId36"/>
    <sheet name="(11)" sheetId="1755" r:id="rId37"/>
    <sheet name="06-11 R1 NO TRIP" sheetId="1756" r:id="rId38"/>
    <sheet name="06-11 R2" sheetId="1757" r:id="rId39"/>
    <sheet name="06-11 R3" sheetId="1754" r:id="rId40"/>
    <sheet name="(12)" sheetId="1758" r:id="rId41"/>
    <sheet name="06-12 R1" sheetId="1759" r:id="rId42"/>
    <sheet name="06-12 R2" sheetId="1760" r:id="rId43"/>
    <sheet name="06-12 R3 NO TRIP" sheetId="1761" r:id="rId44"/>
    <sheet name="(13)" sheetId="1762" r:id="rId45"/>
    <sheet name="06-13 R1" sheetId="1763" r:id="rId46"/>
    <sheet name="06-13 R2" sheetId="1764" r:id="rId47"/>
    <sheet name="06-13 R3" sheetId="1765" r:id="rId48"/>
    <sheet name="(15)" sheetId="1766" r:id="rId49"/>
    <sheet name="06-15 R1" sheetId="1767" r:id="rId50"/>
    <sheet name="06-15 R2" sheetId="1768" r:id="rId51"/>
    <sheet name="06-15 R3" sheetId="1769" r:id="rId52"/>
    <sheet name="(16)" sheetId="1770" r:id="rId53"/>
    <sheet name="06-16 R1" sheetId="1771" r:id="rId54"/>
    <sheet name="06-16 R2" sheetId="1772" r:id="rId55"/>
    <sheet name="06-16 R3" sheetId="1773" r:id="rId56"/>
    <sheet name="(17)" sheetId="1774" r:id="rId57"/>
    <sheet name="06-17 R1" sheetId="1775" r:id="rId58"/>
    <sheet name="06-17 R2" sheetId="1776" r:id="rId59"/>
    <sheet name="06-17 R3" sheetId="1777" r:id="rId60"/>
    <sheet name="(18)" sheetId="1778" r:id="rId61"/>
    <sheet name="06-18 R1" sheetId="1779" r:id="rId62"/>
    <sheet name="06-18 R2" sheetId="1780" r:id="rId63"/>
    <sheet name="06-18 R3" sheetId="1781" r:id="rId64"/>
    <sheet name="(19)" sheetId="1782" r:id="rId65"/>
    <sheet name="06-19 R1 NO TRIP" sheetId="1783" r:id="rId66"/>
    <sheet name="06-19 R2" sheetId="1784" r:id="rId67"/>
    <sheet name="06-19 R3" sheetId="1785" r:id="rId68"/>
    <sheet name="(20)" sheetId="1786" r:id="rId69"/>
    <sheet name="06-20 R1" sheetId="1787" r:id="rId70"/>
    <sheet name="06-20 R2" sheetId="1788" r:id="rId71"/>
    <sheet name="06-20 R3" sheetId="1789" r:id="rId72"/>
    <sheet name="(22)" sheetId="1790" r:id="rId73"/>
    <sheet name="06-22 R1" sheetId="1791" r:id="rId74"/>
    <sheet name="06-22 R2" sheetId="1792" r:id="rId75"/>
    <sheet name="06-22 R3" sheetId="1793" r:id="rId76"/>
    <sheet name="(23)" sheetId="1794" r:id="rId77"/>
    <sheet name="06-23 R1" sheetId="1799" r:id="rId78"/>
    <sheet name="06-23 R2" sheetId="1800" r:id="rId79"/>
    <sheet name="06-23 R3" sheetId="1797" r:id="rId80"/>
    <sheet name="(24)" sheetId="1798" r:id="rId81"/>
    <sheet name="06-24 R1" sheetId="1795" r:id="rId82"/>
    <sheet name="06-24 R2" sheetId="1796" r:id="rId83"/>
    <sheet name="06-24 R3" sheetId="1801" r:id="rId84"/>
    <sheet name="(25)" sheetId="1802" r:id="rId85"/>
    <sheet name="06-25 R1" sheetId="1803" r:id="rId86"/>
    <sheet name="06-25 R2" sheetId="1804" r:id="rId87"/>
    <sheet name="06-25 R3" sheetId="1805" r:id="rId88"/>
  </sheets>
  <externalReferences>
    <externalReference r:id="rId89"/>
  </externalReferences>
  <definedNames>
    <definedName name="_xlnm.Print_Area" localSheetId="1">'(01)'!$A$1:$Z$44</definedName>
    <definedName name="_xlnm.Print_Area" localSheetId="33">'(10)'!$A$1:$Z$44</definedName>
    <definedName name="_xlnm.Print_Area" localSheetId="36">'(11)'!$A$1:$Z$44</definedName>
    <definedName name="_xlnm.Print_Area" localSheetId="40">'(12)'!$A$1:$Z$44</definedName>
    <definedName name="_xlnm.Print_Area" localSheetId="44">'(13)'!$A$1:$Z$44</definedName>
    <definedName name="_xlnm.Print_Area" localSheetId="48">'(15)'!$A$1:$Z$44</definedName>
    <definedName name="_xlnm.Print_Area" localSheetId="52">'(16)'!$A$1:$Z$44</definedName>
    <definedName name="_xlnm.Print_Area" localSheetId="56">'(17)'!$A$1:$Z$44</definedName>
    <definedName name="_xlnm.Print_Area" localSheetId="60">'(18)'!$A$1:$Z$44</definedName>
    <definedName name="_xlnm.Print_Area" localSheetId="64">'(19)'!$A$1:$Z$44</definedName>
    <definedName name="_xlnm.Print_Area" localSheetId="5">'(2)'!$A$1:$Z$44</definedName>
    <definedName name="_xlnm.Print_Area" localSheetId="68">'(20)'!$A$1:$Z$44</definedName>
    <definedName name="_xlnm.Print_Area" localSheetId="72">'(22)'!$A$1:$Z$44</definedName>
    <definedName name="_xlnm.Print_Area" localSheetId="76">'(23)'!$A$1:$Z$44</definedName>
    <definedName name="_xlnm.Print_Area" localSheetId="80">'(24)'!$A$1:$Z$44</definedName>
    <definedName name="_xlnm.Print_Area" localSheetId="84">'(25)'!$A$1:$Z$44</definedName>
    <definedName name="_xlnm.Print_Area" localSheetId="9">'(3)'!$A$1:$Z$44</definedName>
    <definedName name="_xlnm.Print_Area" localSheetId="13">'(4)'!$A$1:$Z$44</definedName>
    <definedName name="_xlnm.Print_Area" localSheetId="17">'(5)'!$A$1:$Z$44</definedName>
    <definedName name="_xlnm.Print_Area" localSheetId="21">'(6)'!$A$1:$Z$44</definedName>
    <definedName name="_xlnm.Print_Area" localSheetId="25">'(8)'!$A$1:$Z$44</definedName>
    <definedName name="_xlnm.Print_Area" localSheetId="29">'(9)'!$A$1:$Z$44</definedName>
    <definedName name="_xlnm.Print_Area" localSheetId="2">'06-01 R1'!$A$1:$Z$43</definedName>
    <definedName name="_xlnm.Print_Area" localSheetId="3">'06-01 R2'!$A$1:$V$44</definedName>
    <definedName name="_xlnm.Print_Area" localSheetId="4">'06-01 R3'!$A$1:$V$44</definedName>
    <definedName name="_xlnm.Print_Area" localSheetId="6">'06-02 R1'!$A$1:$Z$43</definedName>
    <definedName name="_xlnm.Print_Area" localSheetId="7">'06-02 R2'!$A$1:$V$44</definedName>
    <definedName name="_xlnm.Print_Area" localSheetId="8">'06-02 R3'!$A$1:$V$44</definedName>
    <definedName name="_xlnm.Print_Area" localSheetId="10">'06-03 R1'!$A$1:$Z$43</definedName>
    <definedName name="_xlnm.Print_Area" localSheetId="11">'06-03 R2 NO TRIP'!$A$1:$V$44</definedName>
    <definedName name="_xlnm.Print_Area" localSheetId="12">'06-03 R3 NO TRIP'!$A$1:$V$44</definedName>
    <definedName name="_xlnm.Print_Area" localSheetId="14">'06-04 R1'!$A$1:$Z$43</definedName>
    <definedName name="_xlnm.Print_Area" localSheetId="15">'06-04 R2'!$A$1:$V$44</definedName>
    <definedName name="_xlnm.Print_Area" localSheetId="16">'06-04 R3'!$A$1:$V$44</definedName>
    <definedName name="_xlnm.Print_Area" localSheetId="18">'06-05 R1 NO TRIP'!$A$1:$Z$43</definedName>
    <definedName name="_xlnm.Print_Area" localSheetId="19">'06-05 R2'!$A$1:$V$44</definedName>
    <definedName name="_xlnm.Print_Area" localSheetId="20">'06-05 R3'!$A$1:$V$44</definedName>
    <definedName name="_xlnm.Print_Area" localSheetId="22">'06-06 R1'!$A$1:$Z$43</definedName>
    <definedName name="_xlnm.Print_Area" localSheetId="23">'06-06 R2'!$A$1:$V$44</definedName>
    <definedName name="_xlnm.Print_Area" localSheetId="24">'06-06 R3'!$A$1:$V$44</definedName>
    <definedName name="_xlnm.Print_Area" localSheetId="26">'06-08 R1 NO TRIP'!$A$1:$Z$43</definedName>
    <definedName name="_xlnm.Print_Area" localSheetId="27">'06-08 R2'!$A$1:$V$44</definedName>
    <definedName name="_xlnm.Print_Area" localSheetId="28">'06-08 R3'!$A$1:$V$44</definedName>
    <definedName name="_xlnm.Print_Area" localSheetId="30">'06-09 R1'!$A$1:$Z$43</definedName>
    <definedName name="_xlnm.Print_Area" localSheetId="31">'06-09 R2'!$A$1:$V$44</definedName>
    <definedName name="_xlnm.Print_Area" localSheetId="32">'06-09 R3'!$A$1:$V$44</definedName>
    <definedName name="_xlnm.Print_Area" localSheetId="34">'06-10 R1'!$A$1:$Z$43</definedName>
    <definedName name="_xlnm.Print_Area" localSheetId="35">'06-10 R2 NO TRIP'!$A$1:$V$44</definedName>
    <definedName name="_xlnm.Print_Area" localSheetId="37">'06-11 R1 NO TRIP'!$A$1:$Z$43</definedName>
    <definedName name="_xlnm.Print_Area" localSheetId="38">'06-11 R2'!$A$1:$V$44</definedName>
    <definedName name="_xlnm.Print_Area" localSheetId="39">'06-11 R3'!$A$1:$V$44</definedName>
    <definedName name="_xlnm.Print_Area" localSheetId="41">'06-12 R1'!$A$1:$Z$43</definedName>
    <definedName name="_xlnm.Print_Area" localSheetId="42">'06-12 R2'!$A$1:$V$44</definedName>
    <definedName name="_xlnm.Print_Area" localSheetId="43">'06-12 R3 NO TRIP'!$A$1:$V$44</definedName>
    <definedName name="_xlnm.Print_Area" localSheetId="45">'06-13 R1'!$A$1:$Z$43</definedName>
    <definedName name="_xlnm.Print_Area" localSheetId="46">'06-13 R2'!$A$1:$V$44</definedName>
    <definedName name="_xlnm.Print_Area" localSheetId="47">'06-13 R3'!$A$1:$V$44</definedName>
    <definedName name="_xlnm.Print_Area" localSheetId="49">'06-15 R1'!$A$1:$Z$43</definedName>
    <definedName name="_xlnm.Print_Area" localSheetId="50">'06-15 R2'!$A$1:$V$44</definedName>
    <definedName name="_xlnm.Print_Area" localSheetId="51">'06-15 R3'!$A$1:$V$44</definedName>
    <definedName name="_xlnm.Print_Area" localSheetId="53">'06-16 R1'!$A$1:$Z$43</definedName>
    <definedName name="_xlnm.Print_Area" localSheetId="54">'06-16 R2'!$A$1:$V$44</definedName>
    <definedName name="_xlnm.Print_Area" localSheetId="55">'06-16 R3'!$A$1:$V$44</definedName>
    <definedName name="_xlnm.Print_Area" localSheetId="57">'06-17 R1'!$A$1:$Z$43</definedName>
    <definedName name="_xlnm.Print_Area" localSheetId="58">'06-17 R2'!$A$1:$V$44</definedName>
    <definedName name="_xlnm.Print_Area" localSheetId="59">'06-17 R3'!$A$1:$V$44</definedName>
    <definedName name="_xlnm.Print_Area" localSheetId="61">'06-18 R1'!$A$1:$Z$43</definedName>
    <definedName name="_xlnm.Print_Area" localSheetId="62">'06-18 R2'!$A$1:$V$44</definedName>
    <definedName name="_xlnm.Print_Area" localSheetId="63">'06-18 R3'!$A$1:$V$44</definedName>
    <definedName name="_xlnm.Print_Area" localSheetId="65">'06-19 R1 NO TRIP'!$A$1:$Z$43</definedName>
    <definedName name="_xlnm.Print_Area" localSheetId="66">'06-19 R2'!$A$1:$V$44</definedName>
    <definedName name="_xlnm.Print_Area" localSheetId="67">'06-19 R3'!$A$1:$V$44</definedName>
    <definedName name="_xlnm.Print_Area" localSheetId="69">'06-20 R1'!$A$1:$Z$43</definedName>
    <definedName name="_xlnm.Print_Area" localSheetId="70">'06-20 R2'!$A$1:$V$44</definedName>
    <definedName name="_xlnm.Print_Area" localSheetId="71">'06-20 R3'!$A$1:$V$44</definedName>
    <definedName name="_xlnm.Print_Area" localSheetId="73">'06-22 R1'!$A$1:$Z$43</definedName>
    <definedName name="_xlnm.Print_Area" localSheetId="74">'06-22 R2'!$A$1:$V$44</definedName>
    <definedName name="_xlnm.Print_Area" localSheetId="75">'06-22 R3'!$A$1:$V$44</definedName>
    <definedName name="_xlnm.Print_Area" localSheetId="77">'06-23 R1'!$A$1:$Z$43</definedName>
    <definedName name="_xlnm.Print_Area" localSheetId="78">'06-23 R2'!$A$1:$V$44</definedName>
    <definedName name="_xlnm.Print_Area" localSheetId="79">'06-23 R3'!$A$1:$V$44</definedName>
    <definedName name="_xlnm.Print_Area" localSheetId="81">'06-24 R1'!$A$1:$Z$43</definedName>
    <definedName name="_xlnm.Print_Area" localSheetId="82">'06-24 R2'!$A$1:$V$44</definedName>
    <definedName name="_xlnm.Print_Area" localSheetId="83">'06-24 R3'!$A$1:$V$44</definedName>
    <definedName name="_xlnm.Print_Area" localSheetId="85">'06-25 R1'!$A$1:$Z$43</definedName>
    <definedName name="_xlnm.Print_Area" localSheetId="86">'06-25 R2'!$A$1:$V$44</definedName>
    <definedName name="_xlnm.Print_Area" localSheetId="87">'06-25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797" l="1"/>
  <c r="C44" i="1800"/>
  <c r="C44" i="1799"/>
  <c r="F21" i="1805"/>
  <c r="Y19" i="1805"/>
  <c r="W19" i="1805"/>
  <c r="V19" i="1805"/>
  <c r="U19" i="1805"/>
  <c r="T19" i="1805"/>
  <c r="P19" i="1805"/>
  <c r="O19" i="1805"/>
  <c r="N19" i="1805"/>
  <c r="M19" i="1805"/>
  <c r="L19" i="1805"/>
  <c r="K19" i="1805"/>
  <c r="J19" i="1805"/>
  <c r="I19" i="1805"/>
  <c r="H19" i="1805"/>
  <c r="G19" i="1805"/>
  <c r="F19" i="1805"/>
  <c r="E19" i="1805"/>
  <c r="D19" i="1805"/>
  <c r="C19" i="1805"/>
  <c r="Y18" i="1805"/>
  <c r="W18" i="1805"/>
  <c r="V18" i="1805"/>
  <c r="U18" i="1805"/>
  <c r="T18" i="1805"/>
  <c r="P18" i="1805"/>
  <c r="O18" i="1805"/>
  <c r="N18" i="1805"/>
  <c r="M18" i="1805"/>
  <c r="L18" i="1805"/>
  <c r="K18" i="1805"/>
  <c r="J18" i="1805"/>
  <c r="I18" i="1805"/>
  <c r="H18" i="1805"/>
  <c r="G18" i="1805"/>
  <c r="F18" i="1805"/>
  <c r="E18" i="1805"/>
  <c r="D18" i="1805"/>
  <c r="C18" i="1805"/>
  <c r="Y4" i="1805"/>
  <c r="W4" i="1805"/>
  <c r="V4" i="1805"/>
  <c r="U4" i="1805"/>
  <c r="T4" i="1805"/>
  <c r="P4" i="1805"/>
  <c r="O4" i="1805"/>
  <c r="N4" i="1805"/>
  <c r="M4" i="1805"/>
  <c r="L4" i="1805"/>
  <c r="K4" i="1805"/>
  <c r="J4" i="1805"/>
  <c r="I4" i="1805"/>
  <c r="H4" i="1805"/>
  <c r="G4" i="1805"/>
  <c r="F4" i="1805"/>
  <c r="E4" i="1805"/>
  <c r="D4" i="1805"/>
  <c r="C4" i="1805"/>
  <c r="Y3" i="1805"/>
  <c r="W3" i="1805"/>
  <c r="V3" i="1805"/>
  <c r="U3" i="1805"/>
  <c r="T3" i="1805"/>
  <c r="P3" i="1805"/>
  <c r="O3" i="1805"/>
  <c r="N3" i="1805"/>
  <c r="M3" i="1805"/>
  <c r="L3" i="1805"/>
  <c r="K3" i="1805"/>
  <c r="J3" i="1805"/>
  <c r="I3" i="1805"/>
  <c r="H3" i="1805"/>
  <c r="G3" i="1805"/>
  <c r="F3" i="1805"/>
  <c r="E3" i="1805"/>
  <c r="D3" i="1805"/>
  <c r="C3" i="1805"/>
  <c r="F21" i="1804"/>
  <c r="Y19" i="1804"/>
  <c r="W19" i="1804"/>
  <c r="V19" i="1804"/>
  <c r="U19" i="1804"/>
  <c r="T19" i="1804"/>
  <c r="P19" i="1804"/>
  <c r="O19" i="1804"/>
  <c r="N19" i="1804"/>
  <c r="M19" i="1804"/>
  <c r="L19" i="1804"/>
  <c r="K19" i="1804"/>
  <c r="J19" i="1804"/>
  <c r="I19" i="1804"/>
  <c r="H19" i="1804"/>
  <c r="G19" i="1804"/>
  <c r="F19" i="1804"/>
  <c r="E19" i="1804"/>
  <c r="D19" i="1804"/>
  <c r="C19" i="1804"/>
  <c r="Y18" i="1804"/>
  <c r="W18" i="1804"/>
  <c r="V18" i="1804"/>
  <c r="U18" i="1804"/>
  <c r="T18" i="1804"/>
  <c r="P18" i="1804"/>
  <c r="O18" i="1804"/>
  <c r="N18" i="1804"/>
  <c r="M18" i="1804"/>
  <c r="L18" i="1804"/>
  <c r="K18" i="1804"/>
  <c r="J18" i="1804"/>
  <c r="I18" i="1804"/>
  <c r="H18" i="1804"/>
  <c r="G18" i="1804"/>
  <c r="F18" i="1804"/>
  <c r="E18" i="1804"/>
  <c r="D18" i="1804"/>
  <c r="C18" i="1804"/>
  <c r="Y4" i="1804"/>
  <c r="W4" i="1804"/>
  <c r="V4" i="1804"/>
  <c r="U4" i="1804"/>
  <c r="T4" i="1804"/>
  <c r="P4" i="1804"/>
  <c r="O4" i="1804"/>
  <c r="N4" i="1804"/>
  <c r="M4" i="1804"/>
  <c r="L4" i="1804"/>
  <c r="K4" i="1804"/>
  <c r="J4" i="1804"/>
  <c r="I4" i="1804"/>
  <c r="H4" i="1804"/>
  <c r="G4" i="1804"/>
  <c r="F4" i="1804"/>
  <c r="E4" i="1804"/>
  <c r="D4" i="1804"/>
  <c r="C4" i="1804"/>
  <c r="Y3" i="1804"/>
  <c r="W3" i="1804"/>
  <c r="V3" i="1804"/>
  <c r="U3" i="1804"/>
  <c r="T3" i="1804"/>
  <c r="P3" i="1804"/>
  <c r="O3" i="1804"/>
  <c r="N3" i="1804"/>
  <c r="M3" i="1804"/>
  <c r="L3" i="1804"/>
  <c r="K3" i="1804"/>
  <c r="J3" i="1804"/>
  <c r="I3" i="1804"/>
  <c r="H3" i="1804"/>
  <c r="G3" i="1804"/>
  <c r="F3" i="1804"/>
  <c r="E3" i="1804"/>
  <c r="D3" i="1804"/>
  <c r="C3" i="1804"/>
  <c r="F21" i="1803"/>
  <c r="Y19" i="1803"/>
  <c r="W19" i="1803"/>
  <c r="V19" i="1803"/>
  <c r="U19" i="1803"/>
  <c r="T19" i="1803"/>
  <c r="P19" i="1803"/>
  <c r="O19" i="1803"/>
  <c r="N19" i="1803"/>
  <c r="M19" i="1803"/>
  <c r="L19" i="1803"/>
  <c r="K19" i="1803"/>
  <c r="J19" i="1803"/>
  <c r="I19" i="1803"/>
  <c r="H19" i="1803"/>
  <c r="G19" i="1803"/>
  <c r="F19" i="1803"/>
  <c r="E19" i="1803"/>
  <c r="D19" i="1803"/>
  <c r="C19" i="1803"/>
  <c r="Y18" i="1803"/>
  <c r="W18" i="1803"/>
  <c r="V18" i="1803"/>
  <c r="U18" i="1803"/>
  <c r="T18" i="1803"/>
  <c r="P18" i="1803"/>
  <c r="O18" i="1803"/>
  <c r="N18" i="1803"/>
  <c r="M18" i="1803"/>
  <c r="L18" i="1803"/>
  <c r="K18" i="1803"/>
  <c r="J18" i="1803"/>
  <c r="I18" i="1803"/>
  <c r="H18" i="1803"/>
  <c r="G18" i="1803"/>
  <c r="F18" i="1803"/>
  <c r="E18" i="1803"/>
  <c r="D18" i="1803"/>
  <c r="C18" i="1803"/>
  <c r="Y4" i="1803"/>
  <c r="W4" i="1803"/>
  <c r="V4" i="1803"/>
  <c r="U4" i="1803"/>
  <c r="T4" i="1803"/>
  <c r="P4" i="1803"/>
  <c r="O4" i="1803"/>
  <c r="N4" i="1803"/>
  <c r="M4" i="1803"/>
  <c r="L4" i="1803"/>
  <c r="K4" i="1803"/>
  <c r="J4" i="1803"/>
  <c r="I4" i="1803"/>
  <c r="H4" i="1803"/>
  <c r="G4" i="1803"/>
  <c r="F4" i="1803"/>
  <c r="E4" i="1803"/>
  <c r="D4" i="1803"/>
  <c r="C4" i="1803"/>
  <c r="Y3" i="1803"/>
  <c r="W3" i="1803"/>
  <c r="V3" i="1803"/>
  <c r="U3" i="1803"/>
  <c r="T3" i="1803"/>
  <c r="P3" i="1803"/>
  <c r="O3" i="1803"/>
  <c r="N3" i="1803"/>
  <c r="M3" i="1803"/>
  <c r="L3" i="1803"/>
  <c r="K3" i="1803"/>
  <c r="J3" i="1803"/>
  <c r="I3" i="1803"/>
  <c r="H3" i="1803"/>
  <c r="G3" i="1803"/>
  <c r="F3" i="1803"/>
  <c r="E3" i="1803"/>
  <c r="D3" i="1803"/>
  <c r="C3" i="1803"/>
  <c r="F21" i="1802"/>
  <c r="Y19" i="1802"/>
  <c r="W19" i="1802"/>
  <c r="V19" i="1802"/>
  <c r="U19" i="1802"/>
  <c r="T19" i="1802"/>
  <c r="P19" i="1802"/>
  <c r="O19" i="1802"/>
  <c r="N19" i="1802"/>
  <c r="M19" i="1802"/>
  <c r="L19" i="1802"/>
  <c r="K19" i="1802"/>
  <c r="J19" i="1802"/>
  <c r="I19" i="1802"/>
  <c r="H19" i="1802"/>
  <c r="G19" i="1802"/>
  <c r="F19" i="1802"/>
  <c r="E19" i="1802"/>
  <c r="D19" i="1802"/>
  <c r="C19" i="1802"/>
  <c r="Y18" i="1802"/>
  <c r="W18" i="1802"/>
  <c r="V18" i="1802"/>
  <c r="U18" i="1802"/>
  <c r="T18" i="1802"/>
  <c r="P18" i="1802"/>
  <c r="O18" i="1802"/>
  <c r="N18" i="1802"/>
  <c r="M18" i="1802"/>
  <c r="L18" i="1802"/>
  <c r="K18" i="1802"/>
  <c r="J18" i="1802"/>
  <c r="I18" i="1802"/>
  <c r="H18" i="1802"/>
  <c r="G18" i="1802"/>
  <c r="F18" i="1802"/>
  <c r="E18" i="1802"/>
  <c r="D18" i="1802"/>
  <c r="C18" i="1802"/>
  <c r="Y4" i="1802"/>
  <c r="W4" i="1802"/>
  <c r="V4" i="1802"/>
  <c r="U4" i="1802"/>
  <c r="T4" i="1802"/>
  <c r="P4" i="1802"/>
  <c r="O4" i="1802"/>
  <c r="N4" i="1802"/>
  <c r="M4" i="1802"/>
  <c r="L4" i="1802"/>
  <c r="K4" i="1802"/>
  <c r="J4" i="1802"/>
  <c r="I4" i="1802"/>
  <c r="H4" i="1802"/>
  <c r="G4" i="1802"/>
  <c r="F4" i="1802"/>
  <c r="E4" i="1802"/>
  <c r="D4" i="1802"/>
  <c r="C4" i="1802"/>
  <c r="Y3" i="1802"/>
  <c r="W3" i="1802"/>
  <c r="V3" i="1802"/>
  <c r="U3" i="1802"/>
  <c r="T3" i="1802"/>
  <c r="P3" i="1802"/>
  <c r="O3" i="1802"/>
  <c r="N3" i="1802"/>
  <c r="M3" i="1802"/>
  <c r="L3" i="1802"/>
  <c r="K3" i="1802"/>
  <c r="J3" i="1802"/>
  <c r="I3" i="1802"/>
  <c r="H3" i="1802"/>
  <c r="G3" i="1802"/>
  <c r="F3" i="1802"/>
  <c r="E3" i="1802"/>
  <c r="D3" i="1802"/>
  <c r="C3" i="1802"/>
  <c r="F21" i="1801"/>
  <c r="Y19" i="1801"/>
  <c r="W19" i="1801"/>
  <c r="V19" i="1801"/>
  <c r="U19" i="1801"/>
  <c r="T19" i="1801"/>
  <c r="P19" i="1801"/>
  <c r="O19" i="1801"/>
  <c r="N19" i="1801"/>
  <c r="M19" i="1801"/>
  <c r="L19" i="1801"/>
  <c r="K19" i="1801"/>
  <c r="J19" i="1801"/>
  <c r="I19" i="1801"/>
  <c r="H19" i="1801"/>
  <c r="G19" i="1801"/>
  <c r="F19" i="1801"/>
  <c r="E19" i="1801"/>
  <c r="D19" i="1801"/>
  <c r="C19" i="1801"/>
  <c r="Y18" i="1801"/>
  <c r="W18" i="1801"/>
  <c r="V18" i="1801"/>
  <c r="U18" i="1801"/>
  <c r="T18" i="1801"/>
  <c r="P18" i="1801"/>
  <c r="O18" i="1801"/>
  <c r="N18" i="1801"/>
  <c r="M18" i="1801"/>
  <c r="L18" i="1801"/>
  <c r="K18" i="1801"/>
  <c r="J18" i="1801"/>
  <c r="I18" i="1801"/>
  <c r="H18" i="1801"/>
  <c r="G18" i="1801"/>
  <c r="F18" i="1801"/>
  <c r="E18" i="1801"/>
  <c r="D18" i="1801"/>
  <c r="C18" i="1801"/>
  <c r="Y4" i="1801"/>
  <c r="W4" i="1801"/>
  <c r="V4" i="1801"/>
  <c r="U4" i="1801"/>
  <c r="T4" i="1801"/>
  <c r="P4" i="1801"/>
  <c r="O4" i="1801"/>
  <c r="N4" i="1801"/>
  <c r="M4" i="1801"/>
  <c r="L4" i="1801"/>
  <c r="K4" i="1801"/>
  <c r="J4" i="1801"/>
  <c r="I4" i="1801"/>
  <c r="H4" i="1801"/>
  <c r="G4" i="1801"/>
  <c r="F4" i="1801"/>
  <c r="E4" i="1801"/>
  <c r="D4" i="1801"/>
  <c r="C4" i="1801"/>
  <c r="Y3" i="1801"/>
  <c r="W3" i="1801"/>
  <c r="V3" i="1801"/>
  <c r="U3" i="1801"/>
  <c r="T3" i="1801"/>
  <c r="P3" i="1801"/>
  <c r="O3" i="1801"/>
  <c r="N3" i="1801"/>
  <c r="M3" i="1801"/>
  <c r="L3" i="1801"/>
  <c r="K3" i="1801"/>
  <c r="J3" i="1801"/>
  <c r="I3" i="1801"/>
  <c r="H3" i="1801"/>
  <c r="G3" i="1801"/>
  <c r="F3" i="1801"/>
  <c r="E3" i="1801"/>
  <c r="D3" i="1801"/>
  <c r="C3" i="1801"/>
  <c r="F21" i="1800"/>
  <c r="Y19" i="1800"/>
  <c r="W19" i="1800"/>
  <c r="V19" i="1800"/>
  <c r="U19" i="1800"/>
  <c r="T19" i="1800"/>
  <c r="P19" i="1800"/>
  <c r="O19" i="1800"/>
  <c r="N19" i="1800"/>
  <c r="M19" i="1800"/>
  <c r="L19" i="1800"/>
  <c r="K19" i="1800"/>
  <c r="J19" i="1800"/>
  <c r="I19" i="1800"/>
  <c r="H19" i="1800"/>
  <c r="G19" i="1800"/>
  <c r="F19" i="1800"/>
  <c r="E19" i="1800"/>
  <c r="D19" i="1800"/>
  <c r="C19" i="1800"/>
  <c r="Y18" i="1800"/>
  <c r="W18" i="1800"/>
  <c r="V18" i="1800"/>
  <c r="U18" i="1800"/>
  <c r="T18" i="1800"/>
  <c r="P18" i="1800"/>
  <c r="O18" i="1800"/>
  <c r="N18" i="1800"/>
  <c r="M18" i="1800"/>
  <c r="L18" i="1800"/>
  <c r="K18" i="1800"/>
  <c r="J18" i="1800"/>
  <c r="I18" i="1800"/>
  <c r="H18" i="1800"/>
  <c r="G18" i="1800"/>
  <c r="F18" i="1800"/>
  <c r="E18" i="1800"/>
  <c r="D18" i="1800"/>
  <c r="C18" i="1800"/>
  <c r="Y4" i="1800"/>
  <c r="W4" i="1800"/>
  <c r="V4" i="1800"/>
  <c r="U4" i="1800"/>
  <c r="T4" i="1800"/>
  <c r="P4" i="1800"/>
  <c r="O4" i="1800"/>
  <c r="N4" i="1800"/>
  <c r="M4" i="1800"/>
  <c r="L4" i="1800"/>
  <c r="K4" i="1800"/>
  <c r="J4" i="1800"/>
  <c r="I4" i="1800"/>
  <c r="H4" i="1800"/>
  <c r="G4" i="1800"/>
  <c r="F4" i="1800"/>
  <c r="E4" i="1800"/>
  <c r="D4" i="1800"/>
  <c r="C4" i="1800"/>
  <c r="Y3" i="1800"/>
  <c r="W3" i="1800"/>
  <c r="V3" i="1800"/>
  <c r="U3" i="1800"/>
  <c r="T3" i="1800"/>
  <c r="P3" i="1800"/>
  <c r="O3" i="1800"/>
  <c r="N3" i="1800"/>
  <c r="M3" i="1800"/>
  <c r="L3" i="1800"/>
  <c r="K3" i="1800"/>
  <c r="J3" i="1800"/>
  <c r="I3" i="1800"/>
  <c r="H3" i="1800"/>
  <c r="G3" i="1800"/>
  <c r="F3" i="1800"/>
  <c r="E3" i="1800"/>
  <c r="D3" i="1800"/>
  <c r="C3" i="1800"/>
  <c r="F21" i="1799"/>
  <c r="Y19" i="1799"/>
  <c r="W19" i="1799"/>
  <c r="V19" i="1799"/>
  <c r="U19" i="1799"/>
  <c r="T19" i="1799"/>
  <c r="P19" i="1799"/>
  <c r="O19" i="1799"/>
  <c r="N19" i="1799"/>
  <c r="M19" i="1799"/>
  <c r="L19" i="1799"/>
  <c r="K19" i="1799"/>
  <c r="J19" i="1799"/>
  <c r="I19" i="1799"/>
  <c r="H19" i="1799"/>
  <c r="G19" i="1799"/>
  <c r="F19" i="1799"/>
  <c r="E19" i="1799"/>
  <c r="D19" i="1799"/>
  <c r="C19" i="1799"/>
  <c r="Y18" i="1799"/>
  <c r="W18" i="1799"/>
  <c r="V18" i="1799"/>
  <c r="U18" i="1799"/>
  <c r="T18" i="1799"/>
  <c r="P18" i="1799"/>
  <c r="O18" i="1799"/>
  <c r="N18" i="1799"/>
  <c r="M18" i="1799"/>
  <c r="L18" i="1799"/>
  <c r="K18" i="1799"/>
  <c r="J18" i="1799"/>
  <c r="I18" i="1799"/>
  <c r="H18" i="1799"/>
  <c r="G18" i="1799"/>
  <c r="F18" i="1799"/>
  <c r="E18" i="1799"/>
  <c r="D18" i="1799"/>
  <c r="C18" i="1799"/>
  <c r="Y4" i="1799"/>
  <c r="W4" i="1799"/>
  <c r="V4" i="1799"/>
  <c r="U4" i="1799"/>
  <c r="T4" i="1799"/>
  <c r="P4" i="1799"/>
  <c r="O4" i="1799"/>
  <c r="N4" i="1799"/>
  <c r="M4" i="1799"/>
  <c r="L4" i="1799"/>
  <c r="K4" i="1799"/>
  <c r="J4" i="1799"/>
  <c r="I4" i="1799"/>
  <c r="H4" i="1799"/>
  <c r="G4" i="1799"/>
  <c r="F4" i="1799"/>
  <c r="E4" i="1799"/>
  <c r="D4" i="1799"/>
  <c r="C4" i="1799"/>
  <c r="Y3" i="1799"/>
  <c r="W3" i="1799"/>
  <c r="V3" i="1799"/>
  <c r="U3" i="1799"/>
  <c r="T3" i="1799"/>
  <c r="P3" i="1799"/>
  <c r="O3" i="1799"/>
  <c r="N3" i="1799"/>
  <c r="M3" i="1799"/>
  <c r="L3" i="1799"/>
  <c r="K3" i="1799"/>
  <c r="J3" i="1799"/>
  <c r="I3" i="1799"/>
  <c r="H3" i="1799"/>
  <c r="G3" i="1799"/>
  <c r="F3" i="1799"/>
  <c r="E3" i="1799"/>
  <c r="D3" i="1799"/>
  <c r="C3" i="1799"/>
  <c r="F21" i="1798"/>
  <c r="Y19" i="1798"/>
  <c r="W19" i="1798"/>
  <c r="V19" i="1798"/>
  <c r="U19" i="1798"/>
  <c r="T19" i="1798"/>
  <c r="P19" i="1798"/>
  <c r="O19" i="1798"/>
  <c r="N19" i="1798"/>
  <c r="M19" i="1798"/>
  <c r="L19" i="1798"/>
  <c r="K19" i="1798"/>
  <c r="J19" i="1798"/>
  <c r="I19" i="1798"/>
  <c r="H19" i="1798"/>
  <c r="G19" i="1798"/>
  <c r="F19" i="1798"/>
  <c r="E19" i="1798"/>
  <c r="D19" i="1798"/>
  <c r="C19" i="1798"/>
  <c r="Y18" i="1798"/>
  <c r="W18" i="1798"/>
  <c r="V18" i="1798"/>
  <c r="U18" i="1798"/>
  <c r="T18" i="1798"/>
  <c r="P18" i="1798"/>
  <c r="O18" i="1798"/>
  <c r="N18" i="1798"/>
  <c r="M18" i="1798"/>
  <c r="L18" i="1798"/>
  <c r="K18" i="1798"/>
  <c r="J18" i="1798"/>
  <c r="I18" i="1798"/>
  <c r="H18" i="1798"/>
  <c r="G18" i="1798"/>
  <c r="F18" i="1798"/>
  <c r="E18" i="1798"/>
  <c r="D18" i="1798"/>
  <c r="C18" i="1798"/>
  <c r="Y4" i="1798"/>
  <c r="W4" i="1798"/>
  <c r="V4" i="1798"/>
  <c r="U4" i="1798"/>
  <c r="T4" i="1798"/>
  <c r="P4" i="1798"/>
  <c r="O4" i="1798"/>
  <c r="N4" i="1798"/>
  <c r="M4" i="1798"/>
  <c r="L4" i="1798"/>
  <c r="K4" i="1798"/>
  <c r="J4" i="1798"/>
  <c r="I4" i="1798"/>
  <c r="H4" i="1798"/>
  <c r="G4" i="1798"/>
  <c r="F4" i="1798"/>
  <c r="E4" i="1798"/>
  <c r="D4" i="1798"/>
  <c r="C4" i="1798"/>
  <c r="Y3" i="1798"/>
  <c r="W3" i="1798"/>
  <c r="V3" i="1798"/>
  <c r="U3" i="1798"/>
  <c r="T3" i="1798"/>
  <c r="P3" i="1798"/>
  <c r="O3" i="1798"/>
  <c r="N3" i="1798"/>
  <c r="M3" i="1798"/>
  <c r="L3" i="1798"/>
  <c r="K3" i="1798"/>
  <c r="J3" i="1798"/>
  <c r="I3" i="1798"/>
  <c r="H3" i="1798"/>
  <c r="G3" i="1798"/>
  <c r="F3" i="1798"/>
  <c r="E3" i="1798"/>
  <c r="D3" i="1798"/>
  <c r="C3" i="1798"/>
  <c r="F21" i="1797" l="1"/>
  <c r="Y19" i="1797"/>
  <c r="W19" i="1797"/>
  <c r="V19" i="1797"/>
  <c r="U19" i="1797"/>
  <c r="T19" i="1797"/>
  <c r="P19" i="1797"/>
  <c r="O19" i="1797"/>
  <c r="N19" i="1797"/>
  <c r="M19" i="1797"/>
  <c r="L19" i="1797"/>
  <c r="K19" i="1797"/>
  <c r="J19" i="1797"/>
  <c r="I19" i="1797"/>
  <c r="H19" i="1797"/>
  <c r="G19" i="1797"/>
  <c r="F19" i="1797"/>
  <c r="E19" i="1797"/>
  <c r="D19" i="1797"/>
  <c r="C19" i="1797"/>
  <c r="Y18" i="1797"/>
  <c r="W18" i="1797"/>
  <c r="V18" i="1797"/>
  <c r="U18" i="1797"/>
  <c r="T18" i="1797"/>
  <c r="P18" i="1797"/>
  <c r="O18" i="1797"/>
  <c r="N18" i="1797"/>
  <c r="M18" i="1797"/>
  <c r="L18" i="1797"/>
  <c r="K18" i="1797"/>
  <c r="J18" i="1797"/>
  <c r="I18" i="1797"/>
  <c r="H18" i="1797"/>
  <c r="G18" i="1797"/>
  <c r="F18" i="1797"/>
  <c r="E18" i="1797"/>
  <c r="D18" i="1797"/>
  <c r="C18" i="1797"/>
  <c r="Y4" i="1797"/>
  <c r="W4" i="1797"/>
  <c r="V4" i="1797"/>
  <c r="U4" i="1797"/>
  <c r="T4" i="1797"/>
  <c r="P4" i="1797"/>
  <c r="O4" i="1797"/>
  <c r="N4" i="1797"/>
  <c r="M4" i="1797"/>
  <c r="L4" i="1797"/>
  <c r="K4" i="1797"/>
  <c r="J4" i="1797"/>
  <c r="I4" i="1797"/>
  <c r="H4" i="1797"/>
  <c r="G4" i="1797"/>
  <c r="F4" i="1797"/>
  <c r="E4" i="1797"/>
  <c r="D4" i="1797"/>
  <c r="C4" i="1797"/>
  <c r="Y3" i="1797"/>
  <c r="W3" i="1797"/>
  <c r="V3" i="1797"/>
  <c r="U3" i="1797"/>
  <c r="T3" i="1797"/>
  <c r="P3" i="1797"/>
  <c r="O3" i="1797"/>
  <c r="N3" i="1797"/>
  <c r="M3" i="1797"/>
  <c r="L3" i="1797"/>
  <c r="K3" i="1797"/>
  <c r="J3" i="1797"/>
  <c r="I3" i="1797"/>
  <c r="H3" i="1797"/>
  <c r="G3" i="1797"/>
  <c r="F3" i="1797"/>
  <c r="E3" i="1797"/>
  <c r="D3" i="1797"/>
  <c r="C3" i="1797"/>
  <c r="F21" i="1796"/>
  <c r="Y19" i="1796"/>
  <c r="W19" i="1796"/>
  <c r="V19" i="1796"/>
  <c r="U19" i="1796"/>
  <c r="T19" i="1796"/>
  <c r="P19" i="1796"/>
  <c r="O19" i="1796"/>
  <c r="N19" i="1796"/>
  <c r="M19" i="1796"/>
  <c r="L19" i="1796"/>
  <c r="K19" i="1796"/>
  <c r="J19" i="1796"/>
  <c r="I19" i="1796"/>
  <c r="H19" i="1796"/>
  <c r="G19" i="1796"/>
  <c r="F19" i="1796"/>
  <c r="E19" i="1796"/>
  <c r="D19" i="1796"/>
  <c r="C19" i="1796"/>
  <c r="Y18" i="1796"/>
  <c r="W18" i="1796"/>
  <c r="V18" i="1796"/>
  <c r="U18" i="1796"/>
  <c r="T18" i="1796"/>
  <c r="P18" i="1796"/>
  <c r="O18" i="1796"/>
  <c r="N18" i="1796"/>
  <c r="M18" i="1796"/>
  <c r="L18" i="1796"/>
  <c r="K18" i="1796"/>
  <c r="J18" i="1796"/>
  <c r="I18" i="1796"/>
  <c r="H18" i="1796"/>
  <c r="G18" i="1796"/>
  <c r="F18" i="1796"/>
  <c r="E18" i="1796"/>
  <c r="D18" i="1796"/>
  <c r="C18" i="1796"/>
  <c r="Y4" i="1796"/>
  <c r="W4" i="1796"/>
  <c r="V4" i="1796"/>
  <c r="U4" i="1796"/>
  <c r="T4" i="1796"/>
  <c r="P4" i="1796"/>
  <c r="O4" i="1796"/>
  <c r="N4" i="1796"/>
  <c r="M4" i="1796"/>
  <c r="L4" i="1796"/>
  <c r="K4" i="1796"/>
  <c r="J4" i="1796"/>
  <c r="I4" i="1796"/>
  <c r="H4" i="1796"/>
  <c r="G4" i="1796"/>
  <c r="F4" i="1796"/>
  <c r="E4" i="1796"/>
  <c r="D4" i="1796"/>
  <c r="C4" i="1796"/>
  <c r="Y3" i="1796"/>
  <c r="W3" i="1796"/>
  <c r="V3" i="1796"/>
  <c r="U3" i="1796"/>
  <c r="T3" i="1796"/>
  <c r="P3" i="1796"/>
  <c r="O3" i="1796"/>
  <c r="N3" i="1796"/>
  <c r="M3" i="1796"/>
  <c r="L3" i="1796"/>
  <c r="K3" i="1796"/>
  <c r="J3" i="1796"/>
  <c r="I3" i="1796"/>
  <c r="H3" i="1796"/>
  <c r="G3" i="1796"/>
  <c r="F3" i="1796"/>
  <c r="E3" i="1796"/>
  <c r="D3" i="1796"/>
  <c r="C3" i="1796"/>
  <c r="F21" i="1795"/>
  <c r="Y19" i="1795"/>
  <c r="W19" i="1795"/>
  <c r="V19" i="1795"/>
  <c r="U19" i="1795"/>
  <c r="T19" i="1795"/>
  <c r="P19" i="1795"/>
  <c r="O19" i="1795"/>
  <c r="N19" i="1795"/>
  <c r="M19" i="1795"/>
  <c r="L19" i="1795"/>
  <c r="K19" i="1795"/>
  <c r="J19" i="1795"/>
  <c r="I19" i="1795"/>
  <c r="H19" i="1795"/>
  <c r="G19" i="1795"/>
  <c r="F19" i="1795"/>
  <c r="E19" i="1795"/>
  <c r="D19" i="1795"/>
  <c r="C19" i="1795"/>
  <c r="Y18" i="1795"/>
  <c r="W18" i="1795"/>
  <c r="V18" i="1795"/>
  <c r="U18" i="1795"/>
  <c r="T18" i="1795"/>
  <c r="P18" i="1795"/>
  <c r="O18" i="1795"/>
  <c r="N18" i="1795"/>
  <c r="M18" i="1795"/>
  <c r="L18" i="1795"/>
  <c r="K18" i="1795"/>
  <c r="J18" i="1795"/>
  <c r="I18" i="1795"/>
  <c r="H18" i="1795"/>
  <c r="G18" i="1795"/>
  <c r="F18" i="1795"/>
  <c r="E18" i="1795"/>
  <c r="D18" i="1795"/>
  <c r="C18" i="1795"/>
  <c r="Y4" i="1795"/>
  <c r="W4" i="1795"/>
  <c r="V4" i="1795"/>
  <c r="U4" i="1795"/>
  <c r="T4" i="1795"/>
  <c r="P4" i="1795"/>
  <c r="O4" i="1795"/>
  <c r="N4" i="1795"/>
  <c r="M4" i="1795"/>
  <c r="L4" i="1795"/>
  <c r="K4" i="1795"/>
  <c r="J4" i="1795"/>
  <c r="I4" i="1795"/>
  <c r="H4" i="1795"/>
  <c r="G4" i="1795"/>
  <c r="F4" i="1795"/>
  <c r="E4" i="1795"/>
  <c r="D4" i="1795"/>
  <c r="C4" i="1795"/>
  <c r="Y3" i="1795"/>
  <c r="W3" i="1795"/>
  <c r="V3" i="1795"/>
  <c r="U3" i="1795"/>
  <c r="T3" i="1795"/>
  <c r="P3" i="1795"/>
  <c r="O3" i="1795"/>
  <c r="N3" i="1795"/>
  <c r="M3" i="1795"/>
  <c r="L3" i="1795"/>
  <c r="K3" i="1795"/>
  <c r="J3" i="1795"/>
  <c r="I3" i="1795"/>
  <c r="H3" i="1795"/>
  <c r="G3" i="1795"/>
  <c r="F3" i="1795"/>
  <c r="E3" i="1795"/>
  <c r="D3" i="1795"/>
  <c r="C3" i="1795"/>
  <c r="F21" i="1794"/>
  <c r="Y19" i="1794"/>
  <c r="W19" i="1794"/>
  <c r="V19" i="1794"/>
  <c r="U19" i="1794"/>
  <c r="T19" i="1794"/>
  <c r="P19" i="1794"/>
  <c r="O19" i="1794"/>
  <c r="N19" i="1794"/>
  <c r="M19" i="1794"/>
  <c r="L19" i="1794"/>
  <c r="K19" i="1794"/>
  <c r="J19" i="1794"/>
  <c r="I19" i="1794"/>
  <c r="H19" i="1794"/>
  <c r="G19" i="1794"/>
  <c r="F19" i="1794"/>
  <c r="E19" i="1794"/>
  <c r="D19" i="1794"/>
  <c r="C19" i="1794"/>
  <c r="Y18" i="1794"/>
  <c r="W18" i="1794"/>
  <c r="V18" i="1794"/>
  <c r="U18" i="1794"/>
  <c r="T18" i="1794"/>
  <c r="P18" i="1794"/>
  <c r="O18" i="1794"/>
  <c r="N18" i="1794"/>
  <c r="M18" i="1794"/>
  <c r="L18" i="1794"/>
  <c r="K18" i="1794"/>
  <c r="J18" i="1794"/>
  <c r="I18" i="1794"/>
  <c r="H18" i="1794"/>
  <c r="G18" i="1794"/>
  <c r="F18" i="1794"/>
  <c r="E18" i="1794"/>
  <c r="D18" i="1794"/>
  <c r="C18" i="1794"/>
  <c r="Y4" i="1794"/>
  <c r="W4" i="1794"/>
  <c r="V4" i="1794"/>
  <c r="U4" i="1794"/>
  <c r="T4" i="1794"/>
  <c r="P4" i="1794"/>
  <c r="O4" i="1794"/>
  <c r="N4" i="1794"/>
  <c r="M4" i="1794"/>
  <c r="L4" i="1794"/>
  <c r="K4" i="1794"/>
  <c r="J4" i="1794"/>
  <c r="I4" i="1794"/>
  <c r="H4" i="1794"/>
  <c r="G4" i="1794"/>
  <c r="F4" i="1794"/>
  <c r="E4" i="1794"/>
  <c r="D4" i="1794"/>
  <c r="C4" i="1794"/>
  <c r="Y3" i="1794"/>
  <c r="W3" i="1794"/>
  <c r="V3" i="1794"/>
  <c r="U3" i="1794"/>
  <c r="T3" i="1794"/>
  <c r="P3" i="1794"/>
  <c r="O3" i="1794"/>
  <c r="N3" i="1794"/>
  <c r="M3" i="1794"/>
  <c r="L3" i="1794"/>
  <c r="K3" i="1794"/>
  <c r="J3" i="1794"/>
  <c r="I3" i="1794"/>
  <c r="H3" i="1794"/>
  <c r="G3" i="1794"/>
  <c r="F3" i="1794"/>
  <c r="E3" i="1794"/>
  <c r="D3" i="1794"/>
  <c r="C3" i="1794"/>
  <c r="C44" i="1793" l="1"/>
  <c r="C44" i="1792"/>
  <c r="C44" i="1791"/>
  <c r="C44" i="1785" l="1"/>
  <c r="C45" i="1784"/>
  <c r="C44" i="1784"/>
  <c r="C44" i="1781" l="1"/>
  <c r="C44" i="1779"/>
  <c r="C44" i="1780"/>
  <c r="C45" i="1777" l="1"/>
  <c r="C44" i="1777"/>
  <c r="C45" i="1775"/>
  <c r="C44" i="1775"/>
  <c r="C44" i="1771" l="1"/>
  <c r="M31" i="1771"/>
  <c r="H31" i="1771"/>
  <c r="C44" i="1773"/>
  <c r="C44" i="1772"/>
  <c r="F21" i="1793"/>
  <c r="Y19" i="1793"/>
  <c r="W19" i="1793"/>
  <c r="V19" i="1793"/>
  <c r="U19" i="1793"/>
  <c r="T19" i="1793"/>
  <c r="P19" i="1793"/>
  <c r="O19" i="1793"/>
  <c r="N19" i="1793"/>
  <c r="M19" i="1793"/>
  <c r="L19" i="1793"/>
  <c r="K19" i="1793"/>
  <c r="J19" i="1793"/>
  <c r="I19" i="1793"/>
  <c r="H19" i="1793"/>
  <c r="G19" i="1793"/>
  <c r="F19" i="1793"/>
  <c r="E19" i="1793"/>
  <c r="D19" i="1793"/>
  <c r="C19" i="1793"/>
  <c r="Y18" i="1793"/>
  <c r="W18" i="1793"/>
  <c r="V18" i="1793"/>
  <c r="U18" i="1793"/>
  <c r="T18" i="1793"/>
  <c r="P18" i="1793"/>
  <c r="O18" i="1793"/>
  <c r="N18" i="1793"/>
  <c r="M18" i="1793"/>
  <c r="L18" i="1793"/>
  <c r="K18" i="1793"/>
  <c r="J18" i="1793"/>
  <c r="I18" i="1793"/>
  <c r="H18" i="1793"/>
  <c r="G18" i="1793"/>
  <c r="F18" i="1793"/>
  <c r="E18" i="1793"/>
  <c r="D18" i="1793"/>
  <c r="C18" i="1793"/>
  <c r="Y4" i="1793"/>
  <c r="W4" i="1793"/>
  <c r="V4" i="1793"/>
  <c r="U4" i="1793"/>
  <c r="T4" i="1793"/>
  <c r="P4" i="1793"/>
  <c r="O4" i="1793"/>
  <c r="N4" i="1793"/>
  <c r="M4" i="1793"/>
  <c r="L4" i="1793"/>
  <c r="K4" i="1793"/>
  <c r="J4" i="1793"/>
  <c r="I4" i="1793"/>
  <c r="H4" i="1793"/>
  <c r="G4" i="1793"/>
  <c r="F4" i="1793"/>
  <c r="E4" i="1793"/>
  <c r="D4" i="1793"/>
  <c r="C4" i="1793"/>
  <c r="Y3" i="1793"/>
  <c r="W3" i="1793"/>
  <c r="V3" i="1793"/>
  <c r="U3" i="1793"/>
  <c r="T3" i="1793"/>
  <c r="P3" i="1793"/>
  <c r="O3" i="1793"/>
  <c r="N3" i="1793"/>
  <c r="M3" i="1793"/>
  <c r="L3" i="1793"/>
  <c r="K3" i="1793"/>
  <c r="J3" i="1793"/>
  <c r="I3" i="1793"/>
  <c r="H3" i="1793"/>
  <c r="G3" i="1793"/>
  <c r="F3" i="1793"/>
  <c r="E3" i="1793"/>
  <c r="D3" i="1793"/>
  <c r="C3" i="1793"/>
  <c r="F21" i="1792"/>
  <c r="Y19" i="1792"/>
  <c r="W19" i="1792"/>
  <c r="V19" i="1792"/>
  <c r="U19" i="1792"/>
  <c r="T19" i="1792"/>
  <c r="P19" i="1792"/>
  <c r="O19" i="1792"/>
  <c r="N19" i="1792"/>
  <c r="M19" i="1792"/>
  <c r="L19" i="1792"/>
  <c r="K19" i="1792"/>
  <c r="J19" i="1792"/>
  <c r="I19" i="1792"/>
  <c r="H19" i="1792"/>
  <c r="G19" i="1792"/>
  <c r="F19" i="1792"/>
  <c r="E19" i="1792"/>
  <c r="D19" i="1792"/>
  <c r="C19" i="1792"/>
  <c r="Y18" i="1792"/>
  <c r="W18" i="1792"/>
  <c r="V18" i="1792"/>
  <c r="U18" i="1792"/>
  <c r="T18" i="1792"/>
  <c r="P18" i="1792"/>
  <c r="O18" i="1792"/>
  <c r="N18" i="1792"/>
  <c r="M18" i="1792"/>
  <c r="L18" i="1792"/>
  <c r="K18" i="1792"/>
  <c r="J18" i="1792"/>
  <c r="I18" i="1792"/>
  <c r="H18" i="1792"/>
  <c r="G18" i="1792"/>
  <c r="F18" i="1792"/>
  <c r="E18" i="1792"/>
  <c r="D18" i="1792"/>
  <c r="C18" i="1792"/>
  <c r="Y4" i="1792"/>
  <c r="W4" i="1792"/>
  <c r="V4" i="1792"/>
  <c r="U4" i="1792"/>
  <c r="T4" i="1792"/>
  <c r="P4" i="1792"/>
  <c r="O4" i="1792"/>
  <c r="N4" i="1792"/>
  <c r="M4" i="1792"/>
  <c r="L4" i="1792"/>
  <c r="K4" i="1792"/>
  <c r="J4" i="1792"/>
  <c r="I4" i="1792"/>
  <c r="H4" i="1792"/>
  <c r="G4" i="1792"/>
  <c r="F4" i="1792"/>
  <c r="E4" i="1792"/>
  <c r="D4" i="1792"/>
  <c r="C4" i="1792"/>
  <c r="Y3" i="1792"/>
  <c r="W3" i="1792"/>
  <c r="V3" i="1792"/>
  <c r="U3" i="1792"/>
  <c r="T3" i="1792"/>
  <c r="P3" i="1792"/>
  <c r="O3" i="1792"/>
  <c r="N3" i="1792"/>
  <c r="M3" i="1792"/>
  <c r="L3" i="1792"/>
  <c r="K3" i="1792"/>
  <c r="J3" i="1792"/>
  <c r="I3" i="1792"/>
  <c r="H3" i="1792"/>
  <c r="G3" i="1792"/>
  <c r="F3" i="1792"/>
  <c r="E3" i="1792"/>
  <c r="D3" i="1792"/>
  <c r="C3" i="1792"/>
  <c r="F21" i="1791"/>
  <c r="Y19" i="1791"/>
  <c r="W19" i="1791"/>
  <c r="V19" i="1791"/>
  <c r="U19" i="1791"/>
  <c r="T19" i="1791"/>
  <c r="P19" i="1791"/>
  <c r="O19" i="1791"/>
  <c r="N19" i="1791"/>
  <c r="M19" i="1791"/>
  <c r="L19" i="1791"/>
  <c r="K19" i="1791"/>
  <c r="J19" i="1791"/>
  <c r="I19" i="1791"/>
  <c r="H19" i="1791"/>
  <c r="G19" i="1791"/>
  <c r="F19" i="1791"/>
  <c r="E19" i="1791"/>
  <c r="D19" i="1791"/>
  <c r="C19" i="1791"/>
  <c r="Y18" i="1791"/>
  <c r="W18" i="1791"/>
  <c r="V18" i="1791"/>
  <c r="U18" i="1791"/>
  <c r="T18" i="1791"/>
  <c r="P18" i="1791"/>
  <c r="O18" i="1791"/>
  <c r="N18" i="1791"/>
  <c r="M18" i="1791"/>
  <c r="L18" i="1791"/>
  <c r="K18" i="1791"/>
  <c r="J18" i="1791"/>
  <c r="I18" i="1791"/>
  <c r="H18" i="1791"/>
  <c r="G18" i="1791"/>
  <c r="F18" i="1791"/>
  <c r="E18" i="1791"/>
  <c r="D18" i="1791"/>
  <c r="C18" i="1791"/>
  <c r="Y4" i="1791"/>
  <c r="W4" i="1791"/>
  <c r="V4" i="1791"/>
  <c r="U4" i="1791"/>
  <c r="T4" i="1791"/>
  <c r="P4" i="1791"/>
  <c r="O4" i="1791"/>
  <c r="N4" i="1791"/>
  <c r="M4" i="1791"/>
  <c r="L4" i="1791"/>
  <c r="K4" i="1791"/>
  <c r="J4" i="1791"/>
  <c r="I4" i="1791"/>
  <c r="H4" i="1791"/>
  <c r="G4" i="1791"/>
  <c r="F4" i="1791"/>
  <c r="E4" i="1791"/>
  <c r="D4" i="1791"/>
  <c r="C4" i="1791"/>
  <c r="Y3" i="1791"/>
  <c r="W3" i="1791"/>
  <c r="V3" i="1791"/>
  <c r="U3" i="1791"/>
  <c r="T3" i="1791"/>
  <c r="P3" i="1791"/>
  <c r="O3" i="1791"/>
  <c r="N3" i="1791"/>
  <c r="M3" i="1791"/>
  <c r="L3" i="1791"/>
  <c r="K3" i="1791"/>
  <c r="J3" i="1791"/>
  <c r="I3" i="1791"/>
  <c r="H3" i="1791"/>
  <c r="G3" i="1791"/>
  <c r="F3" i="1791"/>
  <c r="E3" i="1791"/>
  <c r="D3" i="1791"/>
  <c r="C3" i="1791"/>
  <c r="F21" i="1790"/>
  <c r="Y19" i="1790"/>
  <c r="W19" i="1790"/>
  <c r="V19" i="1790"/>
  <c r="U19" i="1790"/>
  <c r="T19" i="1790"/>
  <c r="P19" i="1790"/>
  <c r="O19" i="1790"/>
  <c r="N19" i="1790"/>
  <c r="M19" i="1790"/>
  <c r="L19" i="1790"/>
  <c r="K19" i="1790"/>
  <c r="J19" i="1790"/>
  <c r="I19" i="1790"/>
  <c r="H19" i="1790"/>
  <c r="G19" i="1790"/>
  <c r="F19" i="1790"/>
  <c r="E19" i="1790"/>
  <c r="D19" i="1790"/>
  <c r="C19" i="1790"/>
  <c r="Y18" i="1790"/>
  <c r="W18" i="1790"/>
  <c r="V18" i="1790"/>
  <c r="U18" i="1790"/>
  <c r="T18" i="1790"/>
  <c r="P18" i="1790"/>
  <c r="O18" i="1790"/>
  <c r="N18" i="1790"/>
  <c r="M18" i="1790"/>
  <c r="L18" i="1790"/>
  <c r="K18" i="1790"/>
  <c r="J18" i="1790"/>
  <c r="I18" i="1790"/>
  <c r="H18" i="1790"/>
  <c r="G18" i="1790"/>
  <c r="F18" i="1790"/>
  <c r="E18" i="1790"/>
  <c r="D18" i="1790"/>
  <c r="C18" i="1790"/>
  <c r="Y4" i="1790"/>
  <c r="W4" i="1790"/>
  <c r="V4" i="1790"/>
  <c r="U4" i="1790"/>
  <c r="T4" i="1790"/>
  <c r="P4" i="1790"/>
  <c r="O4" i="1790"/>
  <c r="N4" i="1790"/>
  <c r="M4" i="1790"/>
  <c r="L4" i="1790"/>
  <c r="K4" i="1790"/>
  <c r="J4" i="1790"/>
  <c r="I4" i="1790"/>
  <c r="H4" i="1790"/>
  <c r="G4" i="1790"/>
  <c r="F4" i="1790"/>
  <c r="E4" i="1790"/>
  <c r="D4" i="1790"/>
  <c r="C4" i="1790"/>
  <c r="Y3" i="1790"/>
  <c r="W3" i="1790"/>
  <c r="V3" i="1790"/>
  <c r="U3" i="1790"/>
  <c r="T3" i="1790"/>
  <c r="P3" i="1790"/>
  <c r="O3" i="1790"/>
  <c r="N3" i="1790"/>
  <c r="M3" i="1790"/>
  <c r="L3" i="1790"/>
  <c r="K3" i="1790"/>
  <c r="J3" i="1790"/>
  <c r="I3" i="1790"/>
  <c r="H3" i="1790"/>
  <c r="G3" i="1790"/>
  <c r="F3" i="1790"/>
  <c r="E3" i="1790"/>
  <c r="D3" i="1790"/>
  <c r="C3" i="1790"/>
  <c r="F21" i="1789"/>
  <c r="Y19" i="1789"/>
  <c r="W19" i="1789"/>
  <c r="V19" i="1789"/>
  <c r="U19" i="1789"/>
  <c r="T19" i="1789"/>
  <c r="P19" i="1789"/>
  <c r="O19" i="1789"/>
  <c r="N19" i="1789"/>
  <c r="M19" i="1789"/>
  <c r="L19" i="1789"/>
  <c r="K19" i="1789"/>
  <c r="J19" i="1789"/>
  <c r="I19" i="1789"/>
  <c r="H19" i="1789"/>
  <c r="G19" i="1789"/>
  <c r="F19" i="1789"/>
  <c r="E19" i="1789"/>
  <c r="D19" i="1789"/>
  <c r="C19" i="1789"/>
  <c r="Y18" i="1789"/>
  <c r="W18" i="1789"/>
  <c r="V18" i="1789"/>
  <c r="U18" i="1789"/>
  <c r="T18" i="1789"/>
  <c r="P18" i="1789"/>
  <c r="O18" i="1789"/>
  <c r="N18" i="1789"/>
  <c r="M18" i="1789"/>
  <c r="L18" i="1789"/>
  <c r="K18" i="1789"/>
  <c r="J18" i="1789"/>
  <c r="I18" i="1789"/>
  <c r="H18" i="1789"/>
  <c r="G18" i="1789"/>
  <c r="F18" i="1789"/>
  <c r="E18" i="1789"/>
  <c r="D18" i="1789"/>
  <c r="C18" i="1789"/>
  <c r="Y4" i="1789"/>
  <c r="W4" i="1789"/>
  <c r="V4" i="1789"/>
  <c r="U4" i="1789"/>
  <c r="T4" i="1789"/>
  <c r="P4" i="1789"/>
  <c r="O4" i="1789"/>
  <c r="N4" i="1789"/>
  <c r="M4" i="1789"/>
  <c r="L4" i="1789"/>
  <c r="K4" i="1789"/>
  <c r="J4" i="1789"/>
  <c r="I4" i="1789"/>
  <c r="H4" i="1789"/>
  <c r="G4" i="1789"/>
  <c r="F4" i="1789"/>
  <c r="E4" i="1789"/>
  <c r="D4" i="1789"/>
  <c r="C4" i="1789"/>
  <c r="Y3" i="1789"/>
  <c r="W3" i="1789"/>
  <c r="V3" i="1789"/>
  <c r="U3" i="1789"/>
  <c r="T3" i="1789"/>
  <c r="P3" i="1789"/>
  <c r="O3" i="1789"/>
  <c r="N3" i="1789"/>
  <c r="M3" i="1789"/>
  <c r="L3" i="1789"/>
  <c r="K3" i="1789"/>
  <c r="J3" i="1789"/>
  <c r="I3" i="1789"/>
  <c r="H3" i="1789"/>
  <c r="G3" i="1789"/>
  <c r="F3" i="1789"/>
  <c r="E3" i="1789"/>
  <c r="D3" i="1789"/>
  <c r="C3" i="1789"/>
  <c r="F21" i="1788"/>
  <c r="Y19" i="1788"/>
  <c r="W19" i="1788"/>
  <c r="V19" i="1788"/>
  <c r="U19" i="1788"/>
  <c r="T19" i="1788"/>
  <c r="P19" i="1788"/>
  <c r="O19" i="1788"/>
  <c r="N19" i="1788"/>
  <c r="M19" i="1788"/>
  <c r="L19" i="1788"/>
  <c r="K19" i="1788"/>
  <c r="J19" i="1788"/>
  <c r="I19" i="1788"/>
  <c r="H19" i="1788"/>
  <c r="G19" i="1788"/>
  <c r="F19" i="1788"/>
  <c r="E19" i="1788"/>
  <c r="D19" i="1788"/>
  <c r="C19" i="1788"/>
  <c r="Y18" i="1788"/>
  <c r="W18" i="1788"/>
  <c r="V18" i="1788"/>
  <c r="U18" i="1788"/>
  <c r="T18" i="1788"/>
  <c r="P18" i="1788"/>
  <c r="O18" i="1788"/>
  <c r="N18" i="1788"/>
  <c r="M18" i="1788"/>
  <c r="L18" i="1788"/>
  <c r="K18" i="1788"/>
  <c r="J18" i="1788"/>
  <c r="I18" i="1788"/>
  <c r="H18" i="1788"/>
  <c r="G18" i="1788"/>
  <c r="F18" i="1788"/>
  <c r="E18" i="1788"/>
  <c r="D18" i="1788"/>
  <c r="C18" i="1788"/>
  <c r="Y4" i="1788"/>
  <c r="W4" i="1788"/>
  <c r="V4" i="1788"/>
  <c r="U4" i="1788"/>
  <c r="T4" i="1788"/>
  <c r="P4" i="1788"/>
  <c r="O4" i="1788"/>
  <c r="N4" i="1788"/>
  <c r="M4" i="1788"/>
  <c r="L4" i="1788"/>
  <c r="K4" i="1788"/>
  <c r="J4" i="1788"/>
  <c r="I4" i="1788"/>
  <c r="H4" i="1788"/>
  <c r="G4" i="1788"/>
  <c r="F4" i="1788"/>
  <c r="E4" i="1788"/>
  <c r="D4" i="1788"/>
  <c r="C4" i="1788"/>
  <c r="Y3" i="1788"/>
  <c r="W3" i="1788"/>
  <c r="V3" i="1788"/>
  <c r="U3" i="1788"/>
  <c r="T3" i="1788"/>
  <c r="P3" i="1788"/>
  <c r="O3" i="1788"/>
  <c r="N3" i="1788"/>
  <c r="M3" i="1788"/>
  <c r="L3" i="1788"/>
  <c r="K3" i="1788"/>
  <c r="J3" i="1788"/>
  <c r="I3" i="1788"/>
  <c r="H3" i="1788"/>
  <c r="G3" i="1788"/>
  <c r="F3" i="1788"/>
  <c r="E3" i="1788"/>
  <c r="D3" i="1788"/>
  <c r="C3" i="1788"/>
  <c r="F21" i="1787"/>
  <c r="Y19" i="1787"/>
  <c r="W19" i="1787"/>
  <c r="V19" i="1787"/>
  <c r="U19" i="1787"/>
  <c r="T19" i="1787"/>
  <c r="P19" i="1787"/>
  <c r="O19" i="1787"/>
  <c r="N19" i="1787"/>
  <c r="M19" i="1787"/>
  <c r="L19" i="1787"/>
  <c r="K19" i="1787"/>
  <c r="J19" i="1787"/>
  <c r="I19" i="1787"/>
  <c r="H19" i="1787"/>
  <c r="G19" i="1787"/>
  <c r="F19" i="1787"/>
  <c r="E19" i="1787"/>
  <c r="D19" i="1787"/>
  <c r="C19" i="1787"/>
  <c r="Y18" i="1787"/>
  <c r="W18" i="1787"/>
  <c r="V18" i="1787"/>
  <c r="U18" i="1787"/>
  <c r="T18" i="1787"/>
  <c r="P18" i="1787"/>
  <c r="O18" i="1787"/>
  <c r="N18" i="1787"/>
  <c r="M18" i="1787"/>
  <c r="L18" i="1787"/>
  <c r="K18" i="1787"/>
  <c r="J18" i="1787"/>
  <c r="I18" i="1787"/>
  <c r="H18" i="1787"/>
  <c r="G18" i="1787"/>
  <c r="F18" i="1787"/>
  <c r="E18" i="1787"/>
  <c r="D18" i="1787"/>
  <c r="C18" i="1787"/>
  <c r="Y4" i="1787"/>
  <c r="W4" i="1787"/>
  <c r="V4" i="1787"/>
  <c r="U4" i="1787"/>
  <c r="T4" i="1787"/>
  <c r="P4" i="1787"/>
  <c r="O4" i="1787"/>
  <c r="N4" i="1787"/>
  <c r="M4" i="1787"/>
  <c r="L4" i="1787"/>
  <c r="K4" i="1787"/>
  <c r="J4" i="1787"/>
  <c r="I4" i="1787"/>
  <c r="H4" i="1787"/>
  <c r="G4" i="1787"/>
  <c r="F4" i="1787"/>
  <c r="E4" i="1787"/>
  <c r="D4" i="1787"/>
  <c r="C4" i="1787"/>
  <c r="Y3" i="1787"/>
  <c r="W3" i="1787"/>
  <c r="V3" i="1787"/>
  <c r="U3" i="1787"/>
  <c r="T3" i="1787"/>
  <c r="P3" i="1787"/>
  <c r="O3" i="1787"/>
  <c r="N3" i="1787"/>
  <c r="M3" i="1787"/>
  <c r="L3" i="1787"/>
  <c r="K3" i="1787"/>
  <c r="J3" i="1787"/>
  <c r="I3" i="1787"/>
  <c r="H3" i="1787"/>
  <c r="G3" i="1787"/>
  <c r="F3" i="1787"/>
  <c r="E3" i="1787"/>
  <c r="D3" i="1787"/>
  <c r="C3" i="1787"/>
  <c r="F21" i="1786"/>
  <c r="Y19" i="1786"/>
  <c r="W19" i="1786"/>
  <c r="V19" i="1786"/>
  <c r="U19" i="1786"/>
  <c r="T19" i="1786"/>
  <c r="P19" i="1786"/>
  <c r="O19" i="1786"/>
  <c r="N19" i="1786"/>
  <c r="M19" i="1786"/>
  <c r="L19" i="1786"/>
  <c r="K19" i="1786"/>
  <c r="J19" i="1786"/>
  <c r="I19" i="1786"/>
  <c r="H19" i="1786"/>
  <c r="G19" i="1786"/>
  <c r="F19" i="1786"/>
  <c r="E19" i="1786"/>
  <c r="D19" i="1786"/>
  <c r="C19" i="1786"/>
  <c r="Y18" i="1786"/>
  <c r="W18" i="1786"/>
  <c r="V18" i="1786"/>
  <c r="U18" i="1786"/>
  <c r="T18" i="1786"/>
  <c r="P18" i="1786"/>
  <c r="O18" i="1786"/>
  <c r="N18" i="1786"/>
  <c r="M18" i="1786"/>
  <c r="L18" i="1786"/>
  <c r="K18" i="1786"/>
  <c r="J18" i="1786"/>
  <c r="I18" i="1786"/>
  <c r="H18" i="1786"/>
  <c r="G18" i="1786"/>
  <c r="F18" i="1786"/>
  <c r="E18" i="1786"/>
  <c r="D18" i="1786"/>
  <c r="C18" i="1786"/>
  <c r="Y4" i="1786"/>
  <c r="W4" i="1786"/>
  <c r="V4" i="1786"/>
  <c r="U4" i="1786"/>
  <c r="T4" i="1786"/>
  <c r="P4" i="1786"/>
  <c r="O4" i="1786"/>
  <c r="N4" i="1786"/>
  <c r="M4" i="1786"/>
  <c r="L4" i="1786"/>
  <c r="K4" i="1786"/>
  <c r="J4" i="1786"/>
  <c r="I4" i="1786"/>
  <c r="H4" i="1786"/>
  <c r="G4" i="1786"/>
  <c r="F4" i="1786"/>
  <c r="E4" i="1786"/>
  <c r="D4" i="1786"/>
  <c r="C4" i="1786"/>
  <c r="Y3" i="1786"/>
  <c r="W3" i="1786"/>
  <c r="V3" i="1786"/>
  <c r="U3" i="1786"/>
  <c r="T3" i="1786"/>
  <c r="P3" i="1786"/>
  <c r="O3" i="1786"/>
  <c r="N3" i="1786"/>
  <c r="M3" i="1786"/>
  <c r="L3" i="1786"/>
  <c r="K3" i="1786"/>
  <c r="J3" i="1786"/>
  <c r="I3" i="1786"/>
  <c r="H3" i="1786"/>
  <c r="G3" i="1786"/>
  <c r="F3" i="1786"/>
  <c r="E3" i="1786"/>
  <c r="D3" i="1786"/>
  <c r="C3" i="1786"/>
  <c r="F21" i="1785"/>
  <c r="Y19" i="1785"/>
  <c r="W19" i="1785"/>
  <c r="V19" i="1785"/>
  <c r="U19" i="1785"/>
  <c r="T19" i="1785"/>
  <c r="P19" i="1785"/>
  <c r="O19" i="1785"/>
  <c r="N19" i="1785"/>
  <c r="M19" i="1785"/>
  <c r="L19" i="1785"/>
  <c r="K19" i="1785"/>
  <c r="J19" i="1785"/>
  <c r="I19" i="1785"/>
  <c r="H19" i="1785"/>
  <c r="G19" i="1785"/>
  <c r="F19" i="1785"/>
  <c r="E19" i="1785"/>
  <c r="D19" i="1785"/>
  <c r="C19" i="1785"/>
  <c r="Y18" i="1785"/>
  <c r="W18" i="1785"/>
  <c r="V18" i="1785"/>
  <c r="U18" i="1785"/>
  <c r="T18" i="1785"/>
  <c r="P18" i="1785"/>
  <c r="O18" i="1785"/>
  <c r="N18" i="1785"/>
  <c r="M18" i="1785"/>
  <c r="L18" i="1785"/>
  <c r="K18" i="1785"/>
  <c r="J18" i="1785"/>
  <c r="I18" i="1785"/>
  <c r="H18" i="1785"/>
  <c r="G18" i="1785"/>
  <c r="F18" i="1785"/>
  <c r="E18" i="1785"/>
  <c r="D18" i="1785"/>
  <c r="C18" i="1785"/>
  <c r="Y4" i="1785"/>
  <c r="W4" i="1785"/>
  <c r="V4" i="1785"/>
  <c r="U4" i="1785"/>
  <c r="T4" i="1785"/>
  <c r="P4" i="1785"/>
  <c r="O4" i="1785"/>
  <c r="N4" i="1785"/>
  <c r="M4" i="1785"/>
  <c r="L4" i="1785"/>
  <c r="K4" i="1785"/>
  <c r="J4" i="1785"/>
  <c r="I4" i="1785"/>
  <c r="H4" i="1785"/>
  <c r="G4" i="1785"/>
  <c r="F4" i="1785"/>
  <c r="E4" i="1785"/>
  <c r="D4" i="1785"/>
  <c r="C4" i="1785"/>
  <c r="Y3" i="1785"/>
  <c r="W3" i="1785"/>
  <c r="V3" i="1785"/>
  <c r="U3" i="1785"/>
  <c r="T3" i="1785"/>
  <c r="P3" i="1785"/>
  <c r="O3" i="1785"/>
  <c r="N3" i="1785"/>
  <c r="M3" i="1785"/>
  <c r="L3" i="1785"/>
  <c r="K3" i="1785"/>
  <c r="J3" i="1785"/>
  <c r="I3" i="1785"/>
  <c r="H3" i="1785"/>
  <c r="G3" i="1785"/>
  <c r="F3" i="1785"/>
  <c r="E3" i="1785"/>
  <c r="D3" i="1785"/>
  <c r="C3" i="1785"/>
  <c r="F21" i="1784"/>
  <c r="Y19" i="1784"/>
  <c r="W19" i="1784"/>
  <c r="V19" i="1784"/>
  <c r="U19" i="1784"/>
  <c r="T19" i="1784"/>
  <c r="P19" i="1784"/>
  <c r="O19" i="1784"/>
  <c r="N19" i="1784"/>
  <c r="M19" i="1784"/>
  <c r="L19" i="1784"/>
  <c r="K19" i="1784"/>
  <c r="J19" i="1784"/>
  <c r="I19" i="1784"/>
  <c r="H19" i="1784"/>
  <c r="G19" i="1784"/>
  <c r="F19" i="1784"/>
  <c r="E19" i="1784"/>
  <c r="D19" i="1784"/>
  <c r="C19" i="1784"/>
  <c r="Y18" i="1784"/>
  <c r="W18" i="1784"/>
  <c r="V18" i="1784"/>
  <c r="U18" i="1784"/>
  <c r="T18" i="1784"/>
  <c r="P18" i="1784"/>
  <c r="O18" i="1784"/>
  <c r="N18" i="1784"/>
  <c r="M18" i="1784"/>
  <c r="L18" i="1784"/>
  <c r="K18" i="1784"/>
  <c r="J18" i="1784"/>
  <c r="I18" i="1784"/>
  <c r="H18" i="1784"/>
  <c r="G18" i="1784"/>
  <c r="F18" i="1784"/>
  <c r="E18" i="1784"/>
  <c r="D18" i="1784"/>
  <c r="C18" i="1784"/>
  <c r="Y4" i="1784"/>
  <c r="W4" i="1784"/>
  <c r="V4" i="1784"/>
  <c r="U4" i="1784"/>
  <c r="T4" i="1784"/>
  <c r="P4" i="1784"/>
  <c r="O4" i="1784"/>
  <c r="N4" i="1784"/>
  <c r="M4" i="1784"/>
  <c r="L4" i="1784"/>
  <c r="K4" i="1784"/>
  <c r="J4" i="1784"/>
  <c r="I4" i="1784"/>
  <c r="H4" i="1784"/>
  <c r="G4" i="1784"/>
  <c r="F4" i="1784"/>
  <c r="E4" i="1784"/>
  <c r="D4" i="1784"/>
  <c r="C4" i="1784"/>
  <c r="Y3" i="1784"/>
  <c r="W3" i="1784"/>
  <c r="V3" i="1784"/>
  <c r="U3" i="1784"/>
  <c r="T3" i="1784"/>
  <c r="P3" i="1784"/>
  <c r="O3" i="1784"/>
  <c r="N3" i="1784"/>
  <c r="M3" i="1784"/>
  <c r="L3" i="1784"/>
  <c r="K3" i="1784"/>
  <c r="J3" i="1784"/>
  <c r="I3" i="1784"/>
  <c r="H3" i="1784"/>
  <c r="G3" i="1784"/>
  <c r="F3" i="1784"/>
  <c r="E3" i="1784"/>
  <c r="D3" i="1784"/>
  <c r="C3" i="1784"/>
  <c r="F21" i="1783"/>
  <c r="Y19" i="1783"/>
  <c r="W19" i="1783"/>
  <c r="V19" i="1783"/>
  <c r="U19" i="1783"/>
  <c r="T19" i="1783"/>
  <c r="P19" i="1783"/>
  <c r="O19" i="1783"/>
  <c r="N19" i="1783"/>
  <c r="M19" i="1783"/>
  <c r="L19" i="1783"/>
  <c r="K19" i="1783"/>
  <c r="J19" i="1783"/>
  <c r="I19" i="1783"/>
  <c r="H19" i="1783"/>
  <c r="G19" i="1783"/>
  <c r="F19" i="1783"/>
  <c r="E19" i="1783"/>
  <c r="D19" i="1783"/>
  <c r="C19" i="1783"/>
  <c r="Y18" i="1783"/>
  <c r="W18" i="1783"/>
  <c r="V18" i="1783"/>
  <c r="U18" i="1783"/>
  <c r="T18" i="1783"/>
  <c r="P18" i="1783"/>
  <c r="O18" i="1783"/>
  <c r="N18" i="1783"/>
  <c r="M18" i="1783"/>
  <c r="L18" i="1783"/>
  <c r="K18" i="1783"/>
  <c r="J18" i="1783"/>
  <c r="I18" i="1783"/>
  <c r="H18" i="1783"/>
  <c r="G18" i="1783"/>
  <c r="F18" i="1783"/>
  <c r="E18" i="1783"/>
  <c r="D18" i="1783"/>
  <c r="C18" i="1783"/>
  <c r="Y4" i="1783"/>
  <c r="W4" i="1783"/>
  <c r="V4" i="1783"/>
  <c r="U4" i="1783"/>
  <c r="T4" i="1783"/>
  <c r="P4" i="1783"/>
  <c r="O4" i="1783"/>
  <c r="N4" i="1783"/>
  <c r="M4" i="1783"/>
  <c r="L4" i="1783"/>
  <c r="K4" i="1783"/>
  <c r="J4" i="1783"/>
  <c r="I4" i="1783"/>
  <c r="H4" i="1783"/>
  <c r="G4" i="1783"/>
  <c r="F4" i="1783"/>
  <c r="E4" i="1783"/>
  <c r="D4" i="1783"/>
  <c r="C4" i="1783"/>
  <c r="Y3" i="1783"/>
  <c r="W3" i="1783"/>
  <c r="V3" i="1783"/>
  <c r="U3" i="1783"/>
  <c r="T3" i="1783"/>
  <c r="P3" i="1783"/>
  <c r="O3" i="1783"/>
  <c r="N3" i="1783"/>
  <c r="M3" i="1783"/>
  <c r="L3" i="1783"/>
  <c r="K3" i="1783"/>
  <c r="J3" i="1783"/>
  <c r="I3" i="1783"/>
  <c r="H3" i="1783"/>
  <c r="G3" i="1783"/>
  <c r="F3" i="1783"/>
  <c r="E3" i="1783"/>
  <c r="D3" i="1783"/>
  <c r="C3" i="1783"/>
  <c r="F21" i="1782"/>
  <c r="Y19" i="1782"/>
  <c r="W19" i="1782"/>
  <c r="V19" i="1782"/>
  <c r="U19" i="1782"/>
  <c r="T19" i="1782"/>
  <c r="P19" i="1782"/>
  <c r="O19" i="1782"/>
  <c r="N19" i="1782"/>
  <c r="M19" i="1782"/>
  <c r="L19" i="1782"/>
  <c r="K19" i="1782"/>
  <c r="J19" i="1782"/>
  <c r="I19" i="1782"/>
  <c r="H19" i="1782"/>
  <c r="G19" i="1782"/>
  <c r="F19" i="1782"/>
  <c r="E19" i="1782"/>
  <c r="D19" i="1782"/>
  <c r="C19" i="1782"/>
  <c r="Y18" i="1782"/>
  <c r="W18" i="1782"/>
  <c r="V18" i="1782"/>
  <c r="U18" i="1782"/>
  <c r="T18" i="1782"/>
  <c r="P18" i="1782"/>
  <c r="O18" i="1782"/>
  <c r="N18" i="1782"/>
  <c r="M18" i="1782"/>
  <c r="L18" i="1782"/>
  <c r="K18" i="1782"/>
  <c r="J18" i="1782"/>
  <c r="I18" i="1782"/>
  <c r="H18" i="1782"/>
  <c r="G18" i="1782"/>
  <c r="F18" i="1782"/>
  <c r="E18" i="1782"/>
  <c r="D18" i="1782"/>
  <c r="C18" i="1782"/>
  <c r="Y4" i="1782"/>
  <c r="W4" i="1782"/>
  <c r="V4" i="1782"/>
  <c r="U4" i="1782"/>
  <c r="T4" i="1782"/>
  <c r="P4" i="1782"/>
  <c r="O4" i="1782"/>
  <c r="N4" i="1782"/>
  <c r="M4" i="1782"/>
  <c r="L4" i="1782"/>
  <c r="K4" i="1782"/>
  <c r="J4" i="1782"/>
  <c r="I4" i="1782"/>
  <c r="H4" i="1782"/>
  <c r="G4" i="1782"/>
  <c r="F4" i="1782"/>
  <c r="E4" i="1782"/>
  <c r="D4" i="1782"/>
  <c r="C4" i="1782"/>
  <c r="Y3" i="1782"/>
  <c r="W3" i="1782"/>
  <c r="V3" i="1782"/>
  <c r="U3" i="1782"/>
  <c r="T3" i="1782"/>
  <c r="P3" i="1782"/>
  <c r="O3" i="1782"/>
  <c r="N3" i="1782"/>
  <c r="M3" i="1782"/>
  <c r="L3" i="1782"/>
  <c r="K3" i="1782"/>
  <c r="J3" i="1782"/>
  <c r="I3" i="1782"/>
  <c r="H3" i="1782"/>
  <c r="G3" i="1782"/>
  <c r="F3" i="1782"/>
  <c r="E3" i="1782"/>
  <c r="D3" i="1782"/>
  <c r="C3" i="1782"/>
  <c r="F21" i="1781"/>
  <c r="Y19" i="1781"/>
  <c r="W19" i="1781"/>
  <c r="V19" i="1781"/>
  <c r="U19" i="1781"/>
  <c r="T19" i="1781"/>
  <c r="P19" i="1781"/>
  <c r="O19" i="1781"/>
  <c r="N19" i="1781"/>
  <c r="M19" i="1781"/>
  <c r="L19" i="1781"/>
  <c r="K19" i="1781"/>
  <c r="J19" i="1781"/>
  <c r="I19" i="1781"/>
  <c r="H19" i="1781"/>
  <c r="G19" i="1781"/>
  <c r="F19" i="1781"/>
  <c r="E19" i="1781"/>
  <c r="D19" i="1781"/>
  <c r="C19" i="1781"/>
  <c r="Y18" i="1781"/>
  <c r="W18" i="1781"/>
  <c r="V18" i="1781"/>
  <c r="U18" i="1781"/>
  <c r="T18" i="1781"/>
  <c r="P18" i="1781"/>
  <c r="O18" i="1781"/>
  <c r="N18" i="1781"/>
  <c r="M18" i="1781"/>
  <c r="L18" i="1781"/>
  <c r="K18" i="1781"/>
  <c r="J18" i="1781"/>
  <c r="I18" i="1781"/>
  <c r="H18" i="1781"/>
  <c r="G18" i="1781"/>
  <c r="F18" i="1781"/>
  <c r="E18" i="1781"/>
  <c r="D18" i="1781"/>
  <c r="C18" i="1781"/>
  <c r="Y4" i="1781"/>
  <c r="W4" i="1781"/>
  <c r="V4" i="1781"/>
  <c r="U4" i="1781"/>
  <c r="T4" i="1781"/>
  <c r="P4" i="1781"/>
  <c r="O4" i="1781"/>
  <c r="N4" i="1781"/>
  <c r="M4" i="1781"/>
  <c r="L4" i="1781"/>
  <c r="K4" i="1781"/>
  <c r="J4" i="1781"/>
  <c r="I4" i="1781"/>
  <c r="H4" i="1781"/>
  <c r="G4" i="1781"/>
  <c r="F4" i="1781"/>
  <c r="E4" i="1781"/>
  <c r="D4" i="1781"/>
  <c r="C4" i="1781"/>
  <c r="Y3" i="1781"/>
  <c r="W3" i="1781"/>
  <c r="V3" i="1781"/>
  <c r="U3" i="1781"/>
  <c r="T3" i="1781"/>
  <c r="P3" i="1781"/>
  <c r="O3" i="1781"/>
  <c r="N3" i="1781"/>
  <c r="M3" i="1781"/>
  <c r="L3" i="1781"/>
  <c r="K3" i="1781"/>
  <c r="J3" i="1781"/>
  <c r="I3" i="1781"/>
  <c r="H3" i="1781"/>
  <c r="G3" i="1781"/>
  <c r="F3" i="1781"/>
  <c r="E3" i="1781"/>
  <c r="D3" i="1781"/>
  <c r="C3" i="1781"/>
  <c r="F21" i="1780"/>
  <c r="Y19" i="1780"/>
  <c r="W19" i="1780"/>
  <c r="V19" i="1780"/>
  <c r="U19" i="1780"/>
  <c r="T19" i="1780"/>
  <c r="P19" i="1780"/>
  <c r="O19" i="1780"/>
  <c r="N19" i="1780"/>
  <c r="M19" i="1780"/>
  <c r="L19" i="1780"/>
  <c r="K19" i="1780"/>
  <c r="J19" i="1780"/>
  <c r="I19" i="1780"/>
  <c r="H19" i="1780"/>
  <c r="G19" i="1780"/>
  <c r="F19" i="1780"/>
  <c r="E19" i="1780"/>
  <c r="D19" i="1780"/>
  <c r="C19" i="1780"/>
  <c r="Y18" i="1780"/>
  <c r="W18" i="1780"/>
  <c r="V18" i="1780"/>
  <c r="U18" i="1780"/>
  <c r="T18" i="1780"/>
  <c r="P18" i="1780"/>
  <c r="O18" i="1780"/>
  <c r="N18" i="1780"/>
  <c r="M18" i="1780"/>
  <c r="L18" i="1780"/>
  <c r="K18" i="1780"/>
  <c r="J18" i="1780"/>
  <c r="I18" i="1780"/>
  <c r="H18" i="1780"/>
  <c r="G18" i="1780"/>
  <c r="F18" i="1780"/>
  <c r="E18" i="1780"/>
  <c r="D18" i="1780"/>
  <c r="C18" i="1780"/>
  <c r="Y4" i="1780"/>
  <c r="W4" i="1780"/>
  <c r="V4" i="1780"/>
  <c r="U4" i="1780"/>
  <c r="T4" i="1780"/>
  <c r="P4" i="1780"/>
  <c r="O4" i="1780"/>
  <c r="N4" i="1780"/>
  <c r="M4" i="1780"/>
  <c r="L4" i="1780"/>
  <c r="K4" i="1780"/>
  <c r="J4" i="1780"/>
  <c r="I4" i="1780"/>
  <c r="H4" i="1780"/>
  <c r="G4" i="1780"/>
  <c r="F4" i="1780"/>
  <c r="E4" i="1780"/>
  <c r="D4" i="1780"/>
  <c r="C4" i="1780"/>
  <c r="Y3" i="1780"/>
  <c r="W3" i="1780"/>
  <c r="V3" i="1780"/>
  <c r="U3" i="1780"/>
  <c r="T3" i="1780"/>
  <c r="P3" i="1780"/>
  <c r="O3" i="1780"/>
  <c r="N3" i="1780"/>
  <c r="M3" i="1780"/>
  <c r="L3" i="1780"/>
  <c r="K3" i="1780"/>
  <c r="J3" i="1780"/>
  <c r="I3" i="1780"/>
  <c r="H3" i="1780"/>
  <c r="G3" i="1780"/>
  <c r="F3" i="1780"/>
  <c r="E3" i="1780"/>
  <c r="D3" i="1780"/>
  <c r="C3" i="1780"/>
  <c r="F21" i="1779"/>
  <c r="Y19" i="1779"/>
  <c r="W19" i="1779"/>
  <c r="V19" i="1779"/>
  <c r="U19" i="1779"/>
  <c r="T19" i="1779"/>
  <c r="P19" i="1779"/>
  <c r="O19" i="1779"/>
  <c r="N19" i="1779"/>
  <c r="M19" i="1779"/>
  <c r="L19" i="1779"/>
  <c r="K19" i="1779"/>
  <c r="J19" i="1779"/>
  <c r="I19" i="1779"/>
  <c r="H19" i="1779"/>
  <c r="G19" i="1779"/>
  <c r="F19" i="1779"/>
  <c r="E19" i="1779"/>
  <c r="D19" i="1779"/>
  <c r="C19" i="1779"/>
  <c r="Y18" i="1779"/>
  <c r="W18" i="1779"/>
  <c r="V18" i="1779"/>
  <c r="U18" i="1779"/>
  <c r="T18" i="1779"/>
  <c r="P18" i="1779"/>
  <c r="O18" i="1779"/>
  <c r="N18" i="1779"/>
  <c r="M18" i="1779"/>
  <c r="L18" i="1779"/>
  <c r="K18" i="1779"/>
  <c r="J18" i="1779"/>
  <c r="I18" i="1779"/>
  <c r="H18" i="1779"/>
  <c r="G18" i="1779"/>
  <c r="F18" i="1779"/>
  <c r="E18" i="1779"/>
  <c r="D18" i="1779"/>
  <c r="C18" i="1779"/>
  <c r="Y4" i="1779"/>
  <c r="W4" i="1779"/>
  <c r="V4" i="1779"/>
  <c r="U4" i="1779"/>
  <c r="T4" i="1779"/>
  <c r="P4" i="1779"/>
  <c r="O4" i="1779"/>
  <c r="N4" i="1779"/>
  <c r="M4" i="1779"/>
  <c r="L4" i="1779"/>
  <c r="K4" i="1779"/>
  <c r="J4" i="1779"/>
  <c r="I4" i="1779"/>
  <c r="H4" i="1779"/>
  <c r="G4" i="1779"/>
  <c r="F4" i="1779"/>
  <c r="E4" i="1779"/>
  <c r="D4" i="1779"/>
  <c r="C4" i="1779"/>
  <c r="Y3" i="1779"/>
  <c r="W3" i="1779"/>
  <c r="V3" i="1779"/>
  <c r="U3" i="1779"/>
  <c r="T3" i="1779"/>
  <c r="P3" i="1779"/>
  <c r="O3" i="1779"/>
  <c r="N3" i="1779"/>
  <c r="M3" i="1779"/>
  <c r="L3" i="1779"/>
  <c r="K3" i="1779"/>
  <c r="J3" i="1779"/>
  <c r="I3" i="1779"/>
  <c r="H3" i="1779"/>
  <c r="G3" i="1779"/>
  <c r="F3" i="1779"/>
  <c r="E3" i="1779"/>
  <c r="D3" i="1779"/>
  <c r="C3" i="1779"/>
  <c r="F21" i="1778"/>
  <c r="Y19" i="1778"/>
  <c r="W19" i="1778"/>
  <c r="V19" i="1778"/>
  <c r="U19" i="1778"/>
  <c r="T19" i="1778"/>
  <c r="P19" i="1778"/>
  <c r="O19" i="1778"/>
  <c r="N19" i="1778"/>
  <c r="M19" i="1778"/>
  <c r="L19" i="1778"/>
  <c r="K19" i="1778"/>
  <c r="J19" i="1778"/>
  <c r="I19" i="1778"/>
  <c r="H19" i="1778"/>
  <c r="G19" i="1778"/>
  <c r="F19" i="1778"/>
  <c r="E19" i="1778"/>
  <c r="D19" i="1778"/>
  <c r="C19" i="1778"/>
  <c r="Y18" i="1778"/>
  <c r="W18" i="1778"/>
  <c r="V18" i="1778"/>
  <c r="U18" i="1778"/>
  <c r="T18" i="1778"/>
  <c r="P18" i="1778"/>
  <c r="O18" i="1778"/>
  <c r="N18" i="1778"/>
  <c r="M18" i="1778"/>
  <c r="L18" i="1778"/>
  <c r="K18" i="1778"/>
  <c r="J18" i="1778"/>
  <c r="I18" i="1778"/>
  <c r="H18" i="1778"/>
  <c r="G18" i="1778"/>
  <c r="F18" i="1778"/>
  <c r="E18" i="1778"/>
  <c r="D18" i="1778"/>
  <c r="C18" i="1778"/>
  <c r="Y4" i="1778"/>
  <c r="W4" i="1778"/>
  <c r="V4" i="1778"/>
  <c r="U4" i="1778"/>
  <c r="T4" i="1778"/>
  <c r="P4" i="1778"/>
  <c r="O4" i="1778"/>
  <c r="N4" i="1778"/>
  <c r="M4" i="1778"/>
  <c r="L4" i="1778"/>
  <c r="K4" i="1778"/>
  <c r="J4" i="1778"/>
  <c r="I4" i="1778"/>
  <c r="H4" i="1778"/>
  <c r="G4" i="1778"/>
  <c r="F4" i="1778"/>
  <c r="E4" i="1778"/>
  <c r="D4" i="1778"/>
  <c r="C4" i="1778"/>
  <c r="Y3" i="1778"/>
  <c r="W3" i="1778"/>
  <c r="V3" i="1778"/>
  <c r="U3" i="1778"/>
  <c r="T3" i="1778"/>
  <c r="P3" i="1778"/>
  <c r="O3" i="1778"/>
  <c r="N3" i="1778"/>
  <c r="M3" i="1778"/>
  <c r="L3" i="1778"/>
  <c r="K3" i="1778"/>
  <c r="J3" i="1778"/>
  <c r="I3" i="1778"/>
  <c r="H3" i="1778"/>
  <c r="G3" i="1778"/>
  <c r="F3" i="1778"/>
  <c r="E3" i="1778"/>
  <c r="D3" i="1778"/>
  <c r="C3" i="1778"/>
  <c r="F21" i="1777"/>
  <c r="Y19" i="1777"/>
  <c r="W19" i="1777"/>
  <c r="V19" i="1777"/>
  <c r="U19" i="1777"/>
  <c r="T19" i="1777"/>
  <c r="P19" i="1777"/>
  <c r="O19" i="1777"/>
  <c r="N19" i="1777"/>
  <c r="M19" i="1777"/>
  <c r="L19" i="1777"/>
  <c r="K19" i="1777"/>
  <c r="J19" i="1777"/>
  <c r="I19" i="1777"/>
  <c r="H19" i="1777"/>
  <c r="G19" i="1777"/>
  <c r="F19" i="1777"/>
  <c r="E19" i="1777"/>
  <c r="D19" i="1777"/>
  <c r="C19" i="1777"/>
  <c r="Y18" i="1777"/>
  <c r="W18" i="1777"/>
  <c r="V18" i="1777"/>
  <c r="U18" i="1777"/>
  <c r="T18" i="1777"/>
  <c r="P18" i="1777"/>
  <c r="O18" i="1777"/>
  <c r="N18" i="1777"/>
  <c r="M18" i="1777"/>
  <c r="L18" i="1777"/>
  <c r="K18" i="1777"/>
  <c r="J18" i="1777"/>
  <c r="I18" i="1777"/>
  <c r="H18" i="1777"/>
  <c r="G18" i="1777"/>
  <c r="F18" i="1777"/>
  <c r="E18" i="1777"/>
  <c r="D18" i="1777"/>
  <c r="C18" i="1777"/>
  <c r="Y4" i="1777"/>
  <c r="W4" i="1777"/>
  <c r="V4" i="1777"/>
  <c r="U4" i="1777"/>
  <c r="T4" i="1777"/>
  <c r="P4" i="1777"/>
  <c r="O4" i="1777"/>
  <c r="N4" i="1777"/>
  <c r="M4" i="1777"/>
  <c r="L4" i="1777"/>
  <c r="K4" i="1777"/>
  <c r="J4" i="1777"/>
  <c r="I4" i="1777"/>
  <c r="H4" i="1777"/>
  <c r="G4" i="1777"/>
  <c r="F4" i="1777"/>
  <c r="E4" i="1777"/>
  <c r="D4" i="1777"/>
  <c r="C4" i="1777"/>
  <c r="Y3" i="1777"/>
  <c r="W3" i="1777"/>
  <c r="V3" i="1777"/>
  <c r="U3" i="1777"/>
  <c r="T3" i="1777"/>
  <c r="P3" i="1777"/>
  <c r="O3" i="1777"/>
  <c r="N3" i="1777"/>
  <c r="M3" i="1777"/>
  <c r="L3" i="1777"/>
  <c r="K3" i="1777"/>
  <c r="J3" i="1777"/>
  <c r="I3" i="1777"/>
  <c r="H3" i="1777"/>
  <c r="G3" i="1777"/>
  <c r="F3" i="1777"/>
  <c r="E3" i="1777"/>
  <c r="D3" i="1777"/>
  <c r="C3" i="1777"/>
  <c r="F21" i="1776"/>
  <c r="Y19" i="1776"/>
  <c r="W19" i="1776"/>
  <c r="V19" i="1776"/>
  <c r="U19" i="1776"/>
  <c r="T19" i="1776"/>
  <c r="P19" i="1776"/>
  <c r="O19" i="1776"/>
  <c r="N19" i="1776"/>
  <c r="M19" i="1776"/>
  <c r="L19" i="1776"/>
  <c r="K19" i="1776"/>
  <c r="J19" i="1776"/>
  <c r="I19" i="1776"/>
  <c r="H19" i="1776"/>
  <c r="G19" i="1776"/>
  <c r="F19" i="1776"/>
  <c r="E19" i="1776"/>
  <c r="D19" i="1776"/>
  <c r="C19" i="1776"/>
  <c r="Y18" i="1776"/>
  <c r="W18" i="1776"/>
  <c r="V18" i="1776"/>
  <c r="U18" i="1776"/>
  <c r="T18" i="1776"/>
  <c r="P18" i="1776"/>
  <c r="O18" i="1776"/>
  <c r="N18" i="1776"/>
  <c r="M18" i="1776"/>
  <c r="L18" i="1776"/>
  <c r="K18" i="1776"/>
  <c r="J18" i="1776"/>
  <c r="I18" i="1776"/>
  <c r="H18" i="1776"/>
  <c r="G18" i="1776"/>
  <c r="F18" i="1776"/>
  <c r="E18" i="1776"/>
  <c r="D18" i="1776"/>
  <c r="C18" i="1776"/>
  <c r="Y4" i="1776"/>
  <c r="W4" i="1776"/>
  <c r="V4" i="1776"/>
  <c r="U4" i="1776"/>
  <c r="T4" i="1776"/>
  <c r="P4" i="1776"/>
  <c r="O4" i="1776"/>
  <c r="N4" i="1776"/>
  <c r="M4" i="1776"/>
  <c r="L4" i="1776"/>
  <c r="K4" i="1776"/>
  <c r="J4" i="1776"/>
  <c r="I4" i="1776"/>
  <c r="H4" i="1776"/>
  <c r="G4" i="1776"/>
  <c r="F4" i="1776"/>
  <c r="E4" i="1776"/>
  <c r="D4" i="1776"/>
  <c r="C4" i="1776"/>
  <c r="Y3" i="1776"/>
  <c r="W3" i="1776"/>
  <c r="V3" i="1776"/>
  <c r="U3" i="1776"/>
  <c r="T3" i="1776"/>
  <c r="P3" i="1776"/>
  <c r="O3" i="1776"/>
  <c r="N3" i="1776"/>
  <c r="M3" i="1776"/>
  <c r="L3" i="1776"/>
  <c r="K3" i="1776"/>
  <c r="J3" i="1776"/>
  <c r="I3" i="1776"/>
  <c r="H3" i="1776"/>
  <c r="G3" i="1776"/>
  <c r="F3" i="1776"/>
  <c r="E3" i="1776"/>
  <c r="D3" i="1776"/>
  <c r="C3" i="1776"/>
  <c r="F21" i="1775"/>
  <c r="Y19" i="1775"/>
  <c r="W19" i="1775"/>
  <c r="V19" i="1775"/>
  <c r="U19" i="1775"/>
  <c r="T19" i="1775"/>
  <c r="P19" i="1775"/>
  <c r="O19" i="1775"/>
  <c r="N19" i="1775"/>
  <c r="M19" i="1775"/>
  <c r="L19" i="1775"/>
  <c r="K19" i="1775"/>
  <c r="J19" i="1775"/>
  <c r="I19" i="1775"/>
  <c r="H19" i="1775"/>
  <c r="G19" i="1775"/>
  <c r="F19" i="1775"/>
  <c r="E19" i="1775"/>
  <c r="D19" i="1775"/>
  <c r="C19" i="1775"/>
  <c r="Y18" i="1775"/>
  <c r="W18" i="1775"/>
  <c r="V18" i="1775"/>
  <c r="U18" i="1775"/>
  <c r="T18" i="1775"/>
  <c r="P18" i="1775"/>
  <c r="O18" i="1775"/>
  <c r="N18" i="1775"/>
  <c r="M18" i="1775"/>
  <c r="L18" i="1775"/>
  <c r="K18" i="1775"/>
  <c r="J18" i="1775"/>
  <c r="I18" i="1775"/>
  <c r="H18" i="1775"/>
  <c r="G18" i="1775"/>
  <c r="F18" i="1775"/>
  <c r="E18" i="1775"/>
  <c r="D18" i="1775"/>
  <c r="C18" i="1775"/>
  <c r="Y4" i="1775"/>
  <c r="W4" i="1775"/>
  <c r="V4" i="1775"/>
  <c r="U4" i="1775"/>
  <c r="T4" i="1775"/>
  <c r="P4" i="1775"/>
  <c r="O4" i="1775"/>
  <c r="N4" i="1775"/>
  <c r="M4" i="1775"/>
  <c r="L4" i="1775"/>
  <c r="K4" i="1775"/>
  <c r="J4" i="1775"/>
  <c r="I4" i="1775"/>
  <c r="H4" i="1775"/>
  <c r="G4" i="1775"/>
  <c r="F4" i="1775"/>
  <c r="E4" i="1775"/>
  <c r="D4" i="1775"/>
  <c r="C4" i="1775"/>
  <c r="Y3" i="1775"/>
  <c r="W3" i="1775"/>
  <c r="V3" i="1775"/>
  <c r="U3" i="1775"/>
  <c r="T3" i="1775"/>
  <c r="P3" i="1775"/>
  <c r="O3" i="1775"/>
  <c r="N3" i="1775"/>
  <c r="M3" i="1775"/>
  <c r="L3" i="1775"/>
  <c r="K3" i="1775"/>
  <c r="J3" i="1775"/>
  <c r="I3" i="1775"/>
  <c r="H3" i="1775"/>
  <c r="G3" i="1775"/>
  <c r="F3" i="1775"/>
  <c r="E3" i="1775"/>
  <c r="D3" i="1775"/>
  <c r="C3" i="1775"/>
  <c r="F21" i="1774"/>
  <c r="Y19" i="1774"/>
  <c r="W19" i="1774"/>
  <c r="V19" i="1774"/>
  <c r="U19" i="1774"/>
  <c r="T19" i="1774"/>
  <c r="P19" i="1774"/>
  <c r="O19" i="1774"/>
  <c r="N19" i="1774"/>
  <c r="M19" i="1774"/>
  <c r="L19" i="1774"/>
  <c r="K19" i="1774"/>
  <c r="J19" i="1774"/>
  <c r="I19" i="1774"/>
  <c r="H19" i="1774"/>
  <c r="G19" i="1774"/>
  <c r="F19" i="1774"/>
  <c r="E19" i="1774"/>
  <c r="D19" i="1774"/>
  <c r="C19" i="1774"/>
  <c r="Y18" i="1774"/>
  <c r="W18" i="1774"/>
  <c r="V18" i="1774"/>
  <c r="U18" i="1774"/>
  <c r="T18" i="1774"/>
  <c r="P18" i="1774"/>
  <c r="O18" i="1774"/>
  <c r="N18" i="1774"/>
  <c r="M18" i="1774"/>
  <c r="L18" i="1774"/>
  <c r="K18" i="1774"/>
  <c r="J18" i="1774"/>
  <c r="I18" i="1774"/>
  <c r="H18" i="1774"/>
  <c r="G18" i="1774"/>
  <c r="F18" i="1774"/>
  <c r="E18" i="1774"/>
  <c r="D18" i="1774"/>
  <c r="C18" i="1774"/>
  <c r="Y4" i="1774"/>
  <c r="W4" i="1774"/>
  <c r="V4" i="1774"/>
  <c r="U4" i="1774"/>
  <c r="T4" i="1774"/>
  <c r="P4" i="1774"/>
  <c r="O4" i="1774"/>
  <c r="N4" i="1774"/>
  <c r="M4" i="1774"/>
  <c r="L4" i="1774"/>
  <c r="K4" i="1774"/>
  <c r="J4" i="1774"/>
  <c r="I4" i="1774"/>
  <c r="H4" i="1774"/>
  <c r="G4" i="1774"/>
  <c r="F4" i="1774"/>
  <c r="E4" i="1774"/>
  <c r="D4" i="1774"/>
  <c r="C4" i="1774"/>
  <c r="Y3" i="1774"/>
  <c r="W3" i="1774"/>
  <c r="V3" i="1774"/>
  <c r="U3" i="1774"/>
  <c r="T3" i="1774"/>
  <c r="P3" i="1774"/>
  <c r="O3" i="1774"/>
  <c r="N3" i="1774"/>
  <c r="M3" i="1774"/>
  <c r="L3" i="1774"/>
  <c r="K3" i="1774"/>
  <c r="J3" i="1774"/>
  <c r="I3" i="1774"/>
  <c r="H3" i="1774"/>
  <c r="G3" i="1774"/>
  <c r="F3" i="1774"/>
  <c r="E3" i="1774"/>
  <c r="D3" i="1774"/>
  <c r="C3" i="1774"/>
  <c r="F21" i="1773"/>
  <c r="Y19" i="1773"/>
  <c r="W19" i="1773"/>
  <c r="V19" i="1773"/>
  <c r="U19" i="1773"/>
  <c r="T19" i="1773"/>
  <c r="P19" i="1773"/>
  <c r="O19" i="1773"/>
  <c r="N19" i="1773"/>
  <c r="M19" i="1773"/>
  <c r="L19" i="1773"/>
  <c r="K19" i="1773"/>
  <c r="J19" i="1773"/>
  <c r="I19" i="1773"/>
  <c r="H19" i="1773"/>
  <c r="G19" i="1773"/>
  <c r="F19" i="1773"/>
  <c r="E19" i="1773"/>
  <c r="D19" i="1773"/>
  <c r="C19" i="1773"/>
  <c r="Y18" i="1773"/>
  <c r="W18" i="1773"/>
  <c r="V18" i="1773"/>
  <c r="U18" i="1773"/>
  <c r="T18" i="1773"/>
  <c r="P18" i="1773"/>
  <c r="O18" i="1773"/>
  <c r="N18" i="1773"/>
  <c r="M18" i="1773"/>
  <c r="L18" i="1773"/>
  <c r="K18" i="1773"/>
  <c r="J18" i="1773"/>
  <c r="I18" i="1773"/>
  <c r="H18" i="1773"/>
  <c r="G18" i="1773"/>
  <c r="F18" i="1773"/>
  <c r="E18" i="1773"/>
  <c r="D18" i="1773"/>
  <c r="C18" i="1773"/>
  <c r="Y4" i="1773"/>
  <c r="W4" i="1773"/>
  <c r="V4" i="1773"/>
  <c r="U4" i="1773"/>
  <c r="T4" i="1773"/>
  <c r="P4" i="1773"/>
  <c r="O4" i="1773"/>
  <c r="N4" i="1773"/>
  <c r="M4" i="1773"/>
  <c r="L4" i="1773"/>
  <c r="K4" i="1773"/>
  <c r="J4" i="1773"/>
  <c r="I4" i="1773"/>
  <c r="H4" i="1773"/>
  <c r="G4" i="1773"/>
  <c r="F4" i="1773"/>
  <c r="E4" i="1773"/>
  <c r="D4" i="1773"/>
  <c r="C4" i="1773"/>
  <c r="Y3" i="1773"/>
  <c r="W3" i="1773"/>
  <c r="V3" i="1773"/>
  <c r="U3" i="1773"/>
  <c r="T3" i="1773"/>
  <c r="P3" i="1773"/>
  <c r="O3" i="1773"/>
  <c r="N3" i="1773"/>
  <c r="M3" i="1773"/>
  <c r="L3" i="1773"/>
  <c r="K3" i="1773"/>
  <c r="J3" i="1773"/>
  <c r="I3" i="1773"/>
  <c r="H3" i="1773"/>
  <c r="G3" i="1773"/>
  <c r="F3" i="1773"/>
  <c r="E3" i="1773"/>
  <c r="D3" i="1773"/>
  <c r="C3" i="1773"/>
  <c r="F21" i="1772"/>
  <c r="Y19" i="1772"/>
  <c r="W19" i="1772"/>
  <c r="V19" i="1772"/>
  <c r="U19" i="1772"/>
  <c r="T19" i="1772"/>
  <c r="P19" i="1772"/>
  <c r="O19" i="1772"/>
  <c r="N19" i="1772"/>
  <c r="M19" i="1772"/>
  <c r="L19" i="1772"/>
  <c r="K19" i="1772"/>
  <c r="J19" i="1772"/>
  <c r="I19" i="1772"/>
  <c r="H19" i="1772"/>
  <c r="G19" i="1772"/>
  <c r="F19" i="1772"/>
  <c r="E19" i="1772"/>
  <c r="D19" i="1772"/>
  <c r="C19" i="1772"/>
  <c r="Y18" i="1772"/>
  <c r="W18" i="1772"/>
  <c r="V18" i="1772"/>
  <c r="U18" i="1772"/>
  <c r="T18" i="1772"/>
  <c r="P18" i="1772"/>
  <c r="O18" i="1772"/>
  <c r="N18" i="1772"/>
  <c r="M18" i="1772"/>
  <c r="L18" i="1772"/>
  <c r="K18" i="1772"/>
  <c r="J18" i="1772"/>
  <c r="I18" i="1772"/>
  <c r="H18" i="1772"/>
  <c r="G18" i="1772"/>
  <c r="F18" i="1772"/>
  <c r="E18" i="1772"/>
  <c r="D18" i="1772"/>
  <c r="C18" i="1772"/>
  <c r="Y4" i="1772"/>
  <c r="W4" i="1772"/>
  <c r="V4" i="1772"/>
  <c r="U4" i="1772"/>
  <c r="T4" i="1772"/>
  <c r="P4" i="1772"/>
  <c r="O4" i="1772"/>
  <c r="N4" i="1772"/>
  <c r="M4" i="1772"/>
  <c r="L4" i="1772"/>
  <c r="K4" i="1772"/>
  <c r="J4" i="1772"/>
  <c r="I4" i="1772"/>
  <c r="H4" i="1772"/>
  <c r="G4" i="1772"/>
  <c r="F4" i="1772"/>
  <c r="E4" i="1772"/>
  <c r="D4" i="1772"/>
  <c r="C4" i="1772"/>
  <c r="Y3" i="1772"/>
  <c r="W3" i="1772"/>
  <c r="V3" i="1772"/>
  <c r="U3" i="1772"/>
  <c r="T3" i="1772"/>
  <c r="P3" i="1772"/>
  <c r="O3" i="1772"/>
  <c r="N3" i="1772"/>
  <c r="M3" i="1772"/>
  <c r="L3" i="1772"/>
  <c r="K3" i="1772"/>
  <c r="J3" i="1772"/>
  <c r="I3" i="1772"/>
  <c r="H3" i="1772"/>
  <c r="G3" i="1772"/>
  <c r="F3" i="1772"/>
  <c r="E3" i="1772"/>
  <c r="D3" i="1772"/>
  <c r="C3" i="1772"/>
  <c r="F21" i="1771"/>
  <c r="Y19" i="1771"/>
  <c r="W19" i="1771"/>
  <c r="V19" i="1771"/>
  <c r="U19" i="1771"/>
  <c r="T19" i="1771"/>
  <c r="P19" i="1771"/>
  <c r="O19" i="1771"/>
  <c r="N19" i="1771"/>
  <c r="M19" i="1771"/>
  <c r="L19" i="1771"/>
  <c r="K19" i="1771"/>
  <c r="J19" i="1771"/>
  <c r="I19" i="1771"/>
  <c r="H19" i="1771"/>
  <c r="G19" i="1771"/>
  <c r="F19" i="1771"/>
  <c r="E19" i="1771"/>
  <c r="D19" i="1771"/>
  <c r="C19" i="1771"/>
  <c r="Y18" i="1771"/>
  <c r="W18" i="1771"/>
  <c r="V18" i="1771"/>
  <c r="U18" i="1771"/>
  <c r="T18" i="1771"/>
  <c r="P18" i="1771"/>
  <c r="O18" i="1771"/>
  <c r="N18" i="1771"/>
  <c r="M18" i="1771"/>
  <c r="L18" i="1771"/>
  <c r="K18" i="1771"/>
  <c r="J18" i="1771"/>
  <c r="I18" i="1771"/>
  <c r="H18" i="1771"/>
  <c r="G18" i="1771"/>
  <c r="F18" i="1771"/>
  <c r="E18" i="1771"/>
  <c r="D18" i="1771"/>
  <c r="C18" i="1771"/>
  <c r="Y4" i="1771"/>
  <c r="W4" i="1771"/>
  <c r="V4" i="1771"/>
  <c r="U4" i="1771"/>
  <c r="T4" i="1771"/>
  <c r="P4" i="1771"/>
  <c r="O4" i="1771"/>
  <c r="N4" i="1771"/>
  <c r="M4" i="1771"/>
  <c r="L4" i="1771"/>
  <c r="K4" i="1771"/>
  <c r="J4" i="1771"/>
  <c r="I4" i="1771"/>
  <c r="H4" i="1771"/>
  <c r="G4" i="1771"/>
  <c r="F4" i="1771"/>
  <c r="E4" i="1771"/>
  <c r="D4" i="1771"/>
  <c r="C4" i="1771"/>
  <c r="Y3" i="1771"/>
  <c r="W3" i="1771"/>
  <c r="V3" i="1771"/>
  <c r="U3" i="1771"/>
  <c r="T3" i="1771"/>
  <c r="P3" i="1771"/>
  <c r="O3" i="1771"/>
  <c r="N3" i="1771"/>
  <c r="M3" i="1771"/>
  <c r="L3" i="1771"/>
  <c r="K3" i="1771"/>
  <c r="J3" i="1771"/>
  <c r="I3" i="1771"/>
  <c r="H3" i="1771"/>
  <c r="G3" i="1771"/>
  <c r="F3" i="1771"/>
  <c r="E3" i="1771"/>
  <c r="D3" i="1771"/>
  <c r="C3" i="1771"/>
  <c r="F21" i="1770"/>
  <c r="Y19" i="1770"/>
  <c r="W19" i="1770"/>
  <c r="V19" i="1770"/>
  <c r="U19" i="1770"/>
  <c r="T19" i="1770"/>
  <c r="P19" i="1770"/>
  <c r="O19" i="1770"/>
  <c r="N19" i="1770"/>
  <c r="M19" i="1770"/>
  <c r="L19" i="1770"/>
  <c r="K19" i="1770"/>
  <c r="J19" i="1770"/>
  <c r="I19" i="1770"/>
  <c r="H19" i="1770"/>
  <c r="G19" i="1770"/>
  <c r="F19" i="1770"/>
  <c r="E19" i="1770"/>
  <c r="D19" i="1770"/>
  <c r="C19" i="1770"/>
  <c r="Y18" i="1770"/>
  <c r="W18" i="1770"/>
  <c r="V18" i="1770"/>
  <c r="U18" i="1770"/>
  <c r="T18" i="1770"/>
  <c r="P18" i="1770"/>
  <c r="O18" i="1770"/>
  <c r="N18" i="1770"/>
  <c r="M18" i="1770"/>
  <c r="L18" i="1770"/>
  <c r="K18" i="1770"/>
  <c r="J18" i="1770"/>
  <c r="I18" i="1770"/>
  <c r="H18" i="1770"/>
  <c r="G18" i="1770"/>
  <c r="F18" i="1770"/>
  <c r="E18" i="1770"/>
  <c r="D18" i="1770"/>
  <c r="C18" i="1770"/>
  <c r="Y4" i="1770"/>
  <c r="W4" i="1770"/>
  <c r="V4" i="1770"/>
  <c r="U4" i="1770"/>
  <c r="T4" i="1770"/>
  <c r="P4" i="1770"/>
  <c r="O4" i="1770"/>
  <c r="N4" i="1770"/>
  <c r="M4" i="1770"/>
  <c r="L4" i="1770"/>
  <c r="K4" i="1770"/>
  <c r="J4" i="1770"/>
  <c r="I4" i="1770"/>
  <c r="H4" i="1770"/>
  <c r="G4" i="1770"/>
  <c r="F4" i="1770"/>
  <c r="E4" i="1770"/>
  <c r="D4" i="1770"/>
  <c r="C4" i="1770"/>
  <c r="Y3" i="1770"/>
  <c r="W3" i="1770"/>
  <c r="V3" i="1770"/>
  <c r="U3" i="1770"/>
  <c r="T3" i="1770"/>
  <c r="P3" i="1770"/>
  <c r="O3" i="1770"/>
  <c r="N3" i="1770"/>
  <c r="M3" i="1770"/>
  <c r="L3" i="1770"/>
  <c r="K3" i="1770"/>
  <c r="J3" i="1770"/>
  <c r="I3" i="1770"/>
  <c r="H3" i="1770"/>
  <c r="G3" i="1770"/>
  <c r="F3" i="1770"/>
  <c r="E3" i="1770"/>
  <c r="D3" i="1770"/>
  <c r="C3" i="1770"/>
  <c r="C44" i="1769" l="1"/>
  <c r="C44" i="1768"/>
  <c r="C44" i="1767"/>
  <c r="C44" i="1759" l="1"/>
  <c r="C44" i="1760"/>
  <c r="F21" i="1769"/>
  <c r="Y19" i="1769"/>
  <c r="W19" i="1769"/>
  <c r="V19" i="1769"/>
  <c r="U19" i="1769"/>
  <c r="T19" i="1769"/>
  <c r="P19" i="1769"/>
  <c r="O19" i="1769"/>
  <c r="N19" i="1769"/>
  <c r="M19" i="1769"/>
  <c r="L19" i="1769"/>
  <c r="K19" i="1769"/>
  <c r="J19" i="1769"/>
  <c r="I19" i="1769"/>
  <c r="H19" i="1769"/>
  <c r="G19" i="1769"/>
  <c r="F19" i="1769"/>
  <c r="E19" i="1769"/>
  <c r="D19" i="1769"/>
  <c r="C19" i="1769"/>
  <c r="Y18" i="1769"/>
  <c r="W18" i="1769"/>
  <c r="V18" i="1769"/>
  <c r="U18" i="1769"/>
  <c r="T18" i="1769"/>
  <c r="P18" i="1769"/>
  <c r="O18" i="1769"/>
  <c r="N18" i="1769"/>
  <c r="M18" i="1769"/>
  <c r="L18" i="1769"/>
  <c r="K18" i="1769"/>
  <c r="J18" i="1769"/>
  <c r="I18" i="1769"/>
  <c r="H18" i="1769"/>
  <c r="G18" i="1769"/>
  <c r="F18" i="1769"/>
  <c r="E18" i="1769"/>
  <c r="D18" i="1769"/>
  <c r="C18" i="1769"/>
  <c r="Y4" i="1769"/>
  <c r="W4" i="1769"/>
  <c r="V4" i="1769"/>
  <c r="U4" i="1769"/>
  <c r="T4" i="1769"/>
  <c r="P4" i="1769"/>
  <c r="O4" i="1769"/>
  <c r="N4" i="1769"/>
  <c r="M4" i="1769"/>
  <c r="L4" i="1769"/>
  <c r="K4" i="1769"/>
  <c r="J4" i="1769"/>
  <c r="I4" i="1769"/>
  <c r="H4" i="1769"/>
  <c r="G4" i="1769"/>
  <c r="F4" i="1769"/>
  <c r="E4" i="1769"/>
  <c r="D4" i="1769"/>
  <c r="C4" i="1769"/>
  <c r="Y3" i="1769"/>
  <c r="W3" i="1769"/>
  <c r="V3" i="1769"/>
  <c r="U3" i="1769"/>
  <c r="T3" i="1769"/>
  <c r="P3" i="1769"/>
  <c r="O3" i="1769"/>
  <c r="N3" i="1769"/>
  <c r="M3" i="1769"/>
  <c r="L3" i="1769"/>
  <c r="K3" i="1769"/>
  <c r="J3" i="1769"/>
  <c r="I3" i="1769"/>
  <c r="H3" i="1769"/>
  <c r="G3" i="1769"/>
  <c r="F3" i="1769"/>
  <c r="E3" i="1769"/>
  <c r="D3" i="1769"/>
  <c r="C3" i="1769"/>
  <c r="F21" i="1768"/>
  <c r="Y19" i="1768"/>
  <c r="W19" i="1768"/>
  <c r="V19" i="1768"/>
  <c r="U19" i="1768"/>
  <c r="T19" i="1768"/>
  <c r="P19" i="1768"/>
  <c r="O19" i="1768"/>
  <c r="N19" i="1768"/>
  <c r="M19" i="1768"/>
  <c r="L19" i="1768"/>
  <c r="K19" i="1768"/>
  <c r="J19" i="1768"/>
  <c r="I19" i="1768"/>
  <c r="H19" i="1768"/>
  <c r="G19" i="1768"/>
  <c r="F19" i="1768"/>
  <c r="E19" i="1768"/>
  <c r="D19" i="1768"/>
  <c r="C19" i="1768"/>
  <c r="Y18" i="1768"/>
  <c r="W18" i="1768"/>
  <c r="V18" i="1768"/>
  <c r="U18" i="1768"/>
  <c r="T18" i="1768"/>
  <c r="P18" i="1768"/>
  <c r="O18" i="1768"/>
  <c r="N18" i="1768"/>
  <c r="M18" i="1768"/>
  <c r="L18" i="1768"/>
  <c r="K18" i="1768"/>
  <c r="J18" i="1768"/>
  <c r="I18" i="1768"/>
  <c r="H18" i="1768"/>
  <c r="G18" i="1768"/>
  <c r="F18" i="1768"/>
  <c r="E18" i="1768"/>
  <c r="D18" i="1768"/>
  <c r="C18" i="1768"/>
  <c r="Y4" i="1768"/>
  <c r="W4" i="1768"/>
  <c r="V4" i="1768"/>
  <c r="U4" i="1768"/>
  <c r="T4" i="1768"/>
  <c r="P4" i="1768"/>
  <c r="O4" i="1768"/>
  <c r="N4" i="1768"/>
  <c r="M4" i="1768"/>
  <c r="L4" i="1768"/>
  <c r="K4" i="1768"/>
  <c r="J4" i="1768"/>
  <c r="I4" i="1768"/>
  <c r="H4" i="1768"/>
  <c r="G4" i="1768"/>
  <c r="F4" i="1768"/>
  <c r="E4" i="1768"/>
  <c r="D4" i="1768"/>
  <c r="C4" i="1768"/>
  <c r="Y3" i="1768"/>
  <c r="W3" i="1768"/>
  <c r="V3" i="1768"/>
  <c r="U3" i="1768"/>
  <c r="T3" i="1768"/>
  <c r="P3" i="1768"/>
  <c r="O3" i="1768"/>
  <c r="N3" i="1768"/>
  <c r="M3" i="1768"/>
  <c r="L3" i="1768"/>
  <c r="K3" i="1768"/>
  <c r="J3" i="1768"/>
  <c r="I3" i="1768"/>
  <c r="H3" i="1768"/>
  <c r="G3" i="1768"/>
  <c r="F3" i="1768"/>
  <c r="E3" i="1768"/>
  <c r="D3" i="1768"/>
  <c r="C3" i="1768"/>
  <c r="F21" i="1767"/>
  <c r="Y19" i="1767"/>
  <c r="W19" i="1767"/>
  <c r="V19" i="1767"/>
  <c r="U19" i="1767"/>
  <c r="T19" i="1767"/>
  <c r="P19" i="1767"/>
  <c r="O19" i="1767"/>
  <c r="N19" i="1767"/>
  <c r="M19" i="1767"/>
  <c r="L19" i="1767"/>
  <c r="K19" i="1767"/>
  <c r="J19" i="1767"/>
  <c r="I19" i="1767"/>
  <c r="H19" i="1767"/>
  <c r="G19" i="1767"/>
  <c r="F19" i="1767"/>
  <c r="E19" i="1767"/>
  <c r="D19" i="1767"/>
  <c r="C19" i="1767"/>
  <c r="Y18" i="1767"/>
  <c r="W18" i="1767"/>
  <c r="V18" i="1767"/>
  <c r="U18" i="1767"/>
  <c r="T18" i="1767"/>
  <c r="P18" i="1767"/>
  <c r="O18" i="1767"/>
  <c r="N18" i="1767"/>
  <c r="M18" i="1767"/>
  <c r="L18" i="1767"/>
  <c r="K18" i="1767"/>
  <c r="J18" i="1767"/>
  <c r="I18" i="1767"/>
  <c r="H18" i="1767"/>
  <c r="G18" i="1767"/>
  <c r="F18" i="1767"/>
  <c r="E18" i="1767"/>
  <c r="D18" i="1767"/>
  <c r="C18" i="1767"/>
  <c r="Y4" i="1767"/>
  <c r="W4" i="1767"/>
  <c r="V4" i="1767"/>
  <c r="U4" i="1767"/>
  <c r="T4" i="1767"/>
  <c r="P4" i="1767"/>
  <c r="O4" i="1767"/>
  <c r="N4" i="1767"/>
  <c r="M4" i="1767"/>
  <c r="L4" i="1767"/>
  <c r="K4" i="1767"/>
  <c r="J4" i="1767"/>
  <c r="I4" i="1767"/>
  <c r="H4" i="1767"/>
  <c r="G4" i="1767"/>
  <c r="F4" i="1767"/>
  <c r="E4" i="1767"/>
  <c r="D4" i="1767"/>
  <c r="C4" i="1767"/>
  <c r="Y3" i="1767"/>
  <c r="W3" i="1767"/>
  <c r="V3" i="1767"/>
  <c r="U3" i="1767"/>
  <c r="T3" i="1767"/>
  <c r="P3" i="1767"/>
  <c r="O3" i="1767"/>
  <c r="N3" i="1767"/>
  <c r="M3" i="1767"/>
  <c r="L3" i="1767"/>
  <c r="K3" i="1767"/>
  <c r="J3" i="1767"/>
  <c r="I3" i="1767"/>
  <c r="H3" i="1767"/>
  <c r="G3" i="1767"/>
  <c r="F3" i="1767"/>
  <c r="E3" i="1767"/>
  <c r="D3" i="1767"/>
  <c r="C3" i="1767"/>
  <c r="F21" i="1766"/>
  <c r="Y19" i="1766"/>
  <c r="W19" i="1766"/>
  <c r="V19" i="1766"/>
  <c r="U19" i="1766"/>
  <c r="T19" i="1766"/>
  <c r="P19" i="1766"/>
  <c r="O19" i="1766"/>
  <c r="N19" i="1766"/>
  <c r="M19" i="1766"/>
  <c r="L19" i="1766"/>
  <c r="K19" i="1766"/>
  <c r="J19" i="1766"/>
  <c r="I19" i="1766"/>
  <c r="H19" i="1766"/>
  <c r="G19" i="1766"/>
  <c r="F19" i="1766"/>
  <c r="E19" i="1766"/>
  <c r="D19" i="1766"/>
  <c r="C19" i="1766"/>
  <c r="Y18" i="1766"/>
  <c r="W18" i="1766"/>
  <c r="V18" i="1766"/>
  <c r="U18" i="1766"/>
  <c r="T18" i="1766"/>
  <c r="P18" i="1766"/>
  <c r="O18" i="1766"/>
  <c r="N18" i="1766"/>
  <c r="M18" i="1766"/>
  <c r="L18" i="1766"/>
  <c r="K18" i="1766"/>
  <c r="J18" i="1766"/>
  <c r="I18" i="1766"/>
  <c r="H18" i="1766"/>
  <c r="G18" i="1766"/>
  <c r="F18" i="1766"/>
  <c r="E18" i="1766"/>
  <c r="D18" i="1766"/>
  <c r="C18" i="1766"/>
  <c r="Y4" i="1766"/>
  <c r="W4" i="1766"/>
  <c r="V4" i="1766"/>
  <c r="U4" i="1766"/>
  <c r="T4" i="1766"/>
  <c r="P4" i="1766"/>
  <c r="O4" i="1766"/>
  <c r="N4" i="1766"/>
  <c r="M4" i="1766"/>
  <c r="L4" i="1766"/>
  <c r="K4" i="1766"/>
  <c r="J4" i="1766"/>
  <c r="I4" i="1766"/>
  <c r="H4" i="1766"/>
  <c r="G4" i="1766"/>
  <c r="F4" i="1766"/>
  <c r="E4" i="1766"/>
  <c r="D4" i="1766"/>
  <c r="C4" i="1766"/>
  <c r="Y3" i="1766"/>
  <c r="W3" i="1766"/>
  <c r="V3" i="1766"/>
  <c r="U3" i="1766"/>
  <c r="T3" i="1766"/>
  <c r="P3" i="1766"/>
  <c r="O3" i="1766"/>
  <c r="N3" i="1766"/>
  <c r="M3" i="1766"/>
  <c r="L3" i="1766"/>
  <c r="K3" i="1766"/>
  <c r="J3" i="1766"/>
  <c r="I3" i="1766"/>
  <c r="H3" i="1766"/>
  <c r="G3" i="1766"/>
  <c r="F3" i="1766"/>
  <c r="E3" i="1766"/>
  <c r="D3" i="1766"/>
  <c r="C3" i="1766"/>
  <c r="C45" i="1754" l="1"/>
  <c r="C44" i="1754"/>
  <c r="C45" i="1757"/>
  <c r="C44" i="1757"/>
  <c r="F21" i="1765"/>
  <c r="Y19" i="1765"/>
  <c r="W19" i="1765"/>
  <c r="V19" i="1765"/>
  <c r="U19" i="1765"/>
  <c r="T19" i="1765"/>
  <c r="P19" i="1765"/>
  <c r="O19" i="1765"/>
  <c r="N19" i="1765"/>
  <c r="M19" i="1765"/>
  <c r="L19" i="1765"/>
  <c r="K19" i="1765"/>
  <c r="J19" i="1765"/>
  <c r="I19" i="1765"/>
  <c r="H19" i="1765"/>
  <c r="G19" i="1765"/>
  <c r="F19" i="1765"/>
  <c r="E19" i="1765"/>
  <c r="D19" i="1765"/>
  <c r="C19" i="1765"/>
  <c r="Y18" i="1765"/>
  <c r="W18" i="1765"/>
  <c r="V18" i="1765"/>
  <c r="U18" i="1765"/>
  <c r="T18" i="1765"/>
  <c r="P18" i="1765"/>
  <c r="O18" i="1765"/>
  <c r="N18" i="1765"/>
  <c r="M18" i="1765"/>
  <c r="L18" i="1765"/>
  <c r="K18" i="1765"/>
  <c r="J18" i="1765"/>
  <c r="I18" i="1765"/>
  <c r="H18" i="1765"/>
  <c r="G18" i="1765"/>
  <c r="F18" i="1765"/>
  <c r="E18" i="1765"/>
  <c r="D18" i="1765"/>
  <c r="C18" i="1765"/>
  <c r="Y4" i="1765"/>
  <c r="W4" i="1765"/>
  <c r="V4" i="1765"/>
  <c r="U4" i="1765"/>
  <c r="T4" i="1765"/>
  <c r="P4" i="1765"/>
  <c r="O4" i="1765"/>
  <c r="N4" i="1765"/>
  <c r="M4" i="1765"/>
  <c r="L4" i="1765"/>
  <c r="K4" i="1765"/>
  <c r="J4" i="1765"/>
  <c r="I4" i="1765"/>
  <c r="H4" i="1765"/>
  <c r="G4" i="1765"/>
  <c r="F4" i="1765"/>
  <c r="E4" i="1765"/>
  <c r="D4" i="1765"/>
  <c r="C4" i="1765"/>
  <c r="Y3" i="1765"/>
  <c r="W3" i="1765"/>
  <c r="V3" i="1765"/>
  <c r="U3" i="1765"/>
  <c r="T3" i="1765"/>
  <c r="P3" i="1765"/>
  <c r="O3" i="1765"/>
  <c r="N3" i="1765"/>
  <c r="M3" i="1765"/>
  <c r="L3" i="1765"/>
  <c r="K3" i="1765"/>
  <c r="J3" i="1765"/>
  <c r="I3" i="1765"/>
  <c r="H3" i="1765"/>
  <c r="G3" i="1765"/>
  <c r="F3" i="1765"/>
  <c r="E3" i="1765"/>
  <c r="D3" i="1765"/>
  <c r="C3" i="1765"/>
  <c r="F21" i="1764"/>
  <c r="Y19" i="1764"/>
  <c r="W19" i="1764"/>
  <c r="V19" i="1764"/>
  <c r="U19" i="1764"/>
  <c r="T19" i="1764"/>
  <c r="P19" i="1764"/>
  <c r="O19" i="1764"/>
  <c r="N19" i="1764"/>
  <c r="M19" i="1764"/>
  <c r="L19" i="1764"/>
  <c r="K19" i="1764"/>
  <c r="J19" i="1764"/>
  <c r="I19" i="1764"/>
  <c r="H19" i="1764"/>
  <c r="G19" i="1764"/>
  <c r="F19" i="1764"/>
  <c r="E19" i="1764"/>
  <c r="D19" i="1764"/>
  <c r="C19" i="1764"/>
  <c r="Y18" i="1764"/>
  <c r="W18" i="1764"/>
  <c r="V18" i="1764"/>
  <c r="U18" i="1764"/>
  <c r="T18" i="1764"/>
  <c r="P18" i="1764"/>
  <c r="O18" i="1764"/>
  <c r="N18" i="1764"/>
  <c r="M18" i="1764"/>
  <c r="L18" i="1764"/>
  <c r="K18" i="1764"/>
  <c r="J18" i="1764"/>
  <c r="I18" i="1764"/>
  <c r="H18" i="1764"/>
  <c r="G18" i="1764"/>
  <c r="F18" i="1764"/>
  <c r="E18" i="1764"/>
  <c r="D18" i="1764"/>
  <c r="C18" i="1764"/>
  <c r="Y4" i="1764"/>
  <c r="W4" i="1764"/>
  <c r="V4" i="1764"/>
  <c r="U4" i="1764"/>
  <c r="T4" i="1764"/>
  <c r="P4" i="1764"/>
  <c r="O4" i="1764"/>
  <c r="N4" i="1764"/>
  <c r="M4" i="1764"/>
  <c r="L4" i="1764"/>
  <c r="K4" i="1764"/>
  <c r="J4" i="1764"/>
  <c r="I4" i="1764"/>
  <c r="H4" i="1764"/>
  <c r="G4" i="1764"/>
  <c r="F4" i="1764"/>
  <c r="E4" i="1764"/>
  <c r="D4" i="1764"/>
  <c r="C4" i="1764"/>
  <c r="Y3" i="1764"/>
  <c r="W3" i="1764"/>
  <c r="V3" i="1764"/>
  <c r="U3" i="1764"/>
  <c r="T3" i="1764"/>
  <c r="P3" i="1764"/>
  <c r="O3" i="1764"/>
  <c r="N3" i="1764"/>
  <c r="M3" i="1764"/>
  <c r="L3" i="1764"/>
  <c r="K3" i="1764"/>
  <c r="J3" i="1764"/>
  <c r="I3" i="1764"/>
  <c r="H3" i="1764"/>
  <c r="G3" i="1764"/>
  <c r="F3" i="1764"/>
  <c r="E3" i="1764"/>
  <c r="D3" i="1764"/>
  <c r="C3" i="1764"/>
  <c r="F21" i="1763"/>
  <c r="Y19" i="1763"/>
  <c r="W19" i="1763"/>
  <c r="V19" i="1763"/>
  <c r="U19" i="1763"/>
  <c r="T19" i="1763"/>
  <c r="P19" i="1763"/>
  <c r="O19" i="1763"/>
  <c r="N19" i="1763"/>
  <c r="M19" i="1763"/>
  <c r="L19" i="1763"/>
  <c r="K19" i="1763"/>
  <c r="J19" i="1763"/>
  <c r="I19" i="1763"/>
  <c r="H19" i="1763"/>
  <c r="G19" i="1763"/>
  <c r="F19" i="1763"/>
  <c r="E19" i="1763"/>
  <c r="D19" i="1763"/>
  <c r="C19" i="1763"/>
  <c r="Y18" i="1763"/>
  <c r="W18" i="1763"/>
  <c r="V18" i="1763"/>
  <c r="U18" i="1763"/>
  <c r="T18" i="1763"/>
  <c r="P18" i="1763"/>
  <c r="O18" i="1763"/>
  <c r="N18" i="1763"/>
  <c r="M18" i="1763"/>
  <c r="L18" i="1763"/>
  <c r="K18" i="1763"/>
  <c r="J18" i="1763"/>
  <c r="I18" i="1763"/>
  <c r="H18" i="1763"/>
  <c r="G18" i="1763"/>
  <c r="F18" i="1763"/>
  <c r="E18" i="1763"/>
  <c r="D18" i="1763"/>
  <c r="C18" i="1763"/>
  <c r="Y4" i="1763"/>
  <c r="W4" i="1763"/>
  <c r="V4" i="1763"/>
  <c r="U4" i="1763"/>
  <c r="T4" i="1763"/>
  <c r="P4" i="1763"/>
  <c r="O4" i="1763"/>
  <c r="N4" i="1763"/>
  <c r="M4" i="1763"/>
  <c r="L4" i="1763"/>
  <c r="K4" i="1763"/>
  <c r="J4" i="1763"/>
  <c r="I4" i="1763"/>
  <c r="H4" i="1763"/>
  <c r="G4" i="1763"/>
  <c r="F4" i="1763"/>
  <c r="E4" i="1763"/>
  <c r="D4" i="1763"/>
  <c r="C4" i="1763"/>
  <c r="Y3" i="1763"/>
  <c r="W3" i="1763"/>
  <c r="V3" i="1763"/>
  <c r="U3" i="1763"/>
  <c r="T3" i="1763"/>
  <c r="P3" i="1763"/>
  <c r="O3" i="1763"/>
  <c r="N3" i="1763"/>
  <c r="M3" i="1763"/>
  <c r="L3" i="1763"/>
  <c r="K3" i="1763"/>
  <c r="J3" i="1763"/>
  <c r="I3" i="1763"/>
  <c r="H3" i="1763"/>
  <c r="G3" i="1763"/>
  <c r="F3" i="1763"/>
  <c r="E3" i="1763"/>
  <c r="D3" i="1763"/>
  <c r="C3" i="1763"/>
  <c r="F21" i="1762"/>
  <c r="Y19" i="1762"/>
  <c r="W19" i="1762"/>
  <c r="V19" i="1762"/>
  <c r="U19" i="1762"/>
  <c r="T19" i="1762"/>
  <c r="P19" i="1762"/>
  <c r="O19" i="1762"/>
  <c r="N19" i="1762"/>
  <c r="M19" i="1762"/>
  <c r="L19" i="1762"/>
  <c r="K19" i="1762"/>
  <c r="J19" i="1762"/>
  <c r="I19" i="1762"/>
  <c r="H19" i="1762"/>
  <c r="G19" i="1762"/>
  <c r="F19" i="1762"/>
  <c r="E19" i="1762"/>
  <c r="D19" i="1762"/>
  <c r="C19" i="1762"/>
  <c r="Y18" i="1762"/>
  <c r="W18" i="1762"/>
  <c r="V18" i="1762"/>
  <c r="U18" i="1762"/>
  <c r="T18" i="1762"/>
  <c r="P18" i="1762"/>
  <c r="O18" i="1762"/>
  <c r="N18" i="1762"/>
  <c r="M18" i="1762"/>
  <c r="L18" i="1762"/>
  <c r="K18" i="1762"/>
  <c r="J18" i="1762"/>
  <c r="I18" i="1762"/>
  <c r="H18" i="1762"/>
  <c r="G18" i="1762"/>
  <c r="F18" i="1762"/>
  <c r="E18" i="1762"/>
  <c r="D18" i="1762"/>
  <c r="C18" i="1762"/>
  <c r="Y4" i="1762"/>
  <c r="W4" i="1762"/>
  <c r="V4" i="1762"/>
  <c r="U4" i="1762"/>
  <c r="T4" i="1762"/>
  <c r="P4" i="1762"/>
  <c r="O4" i="1762"/>
  <c r="N4" i="1762"/>
  <c r="M4" i="1762"/>
  <c r="L4" i="1762"/>
  <c r="K4" i="1762"/>
  <c r="J4" i="1762"/>
  <c r="I4" i="1762"/>
  <c r="H4" i="1762"/>
  <c r="G4" i="1762"/>
  <c r="F4" i="1762"/>
  <c r="E4" i="1762"/>
  <c r="D4" i="1762"/>
  <c r="C4" i="1762"/>
  <c r="Y3" i="1762"/>
  <c r="W3" i="1762"/>
  <c r="V3" i="1762"/>
  <c r="U3" i="1762"/>
  <c r="T3" i="1762"/>
  <c r="P3" i="1762"/>
  <c r="O3" i="1762"/>
  <c r="N3" i="1762"/>
  <c r="M3" i="1762"/>
  <c r="L3" i="1762"/>
  <c r="K3" i="1762"/>
  <c r="J3" i="1762"/>
  <c r="I3" i="1762"/>
  <c r="H3" i="1762"/>
  <c r="G3" i="1762"/>
  <c r="F3" i="1762"/>
  <c r="E3" i="1762"/>
  <c r="D3" i="1762"/>
  <c r="C3" i="1762"/>
  <c r="F21" i="1761"/>
  <c r="Y19" i="1761"/>
  <c r="W19" i="1761"/>
  <c r="V19" i="1761"/>
  <c r="U19" i="1761"/>
  <c r="T19" i="1761"/>
  <c r="P19" i="1761"/>
  <c r="O19" i="1761"/>
  <c r="N19" i="1761"/>
  <c r="M19" i="1761"/>
  <c r="L19" i="1761"/>
  <c r="K19" i="1761"/>
  <c r="J19" i="1761"/>
  <c r="I19" i="1761"/>
  <c r="H19" i="1761"/>
  <c r="G19" i="1761"/>
  <c r="F19" i="1761"/>
  <c r="E19" i="1761"/>
  <c r="D19" i="1761"/>
  <c r="C19" i="1761"/>
  <c r="Y18" i="1761"/>
  <c r="W18" i="1761"/>
  <c r="V18" i="1761"/>
  <c r="U18" i="1761"/>
  <c r="T18" i="1761"/>
  <c r="P18" i="1761"/>
  <c r="O18" i="1761"/>
  <c r="N18" i="1761"/>
  <c r="M18" i="1761"/>
  <c r="L18" i="1761"/>
  <c r="K18" i="1761"/>
  <c r="J18" i="1761"/>
  <c r="I18" i="1761"/>
  <c r="H18" i="1761"/>
  <c r="G18" i="1761"/>
  <c r="F18" i="1761"/>
  <c r="E18" i="1761"/>
  <c r="D18" i="1761"/>
  <c r="C18" i="1761"/>
  <c r="Y4" i="1761"/>
  <c r="W4" i="1761"/>
  <c r="V4" i="1761"/>
  <c r="U4" i="1761"/>
  <c r="T4" i="1761"/>
  <c r="P4" i="1761"/>
  <c r="O4" i="1761"/>
  <c r="N4" i="1761"/>
  <c r="M4" i="1761"/>
  <c r="L4" i="1761"/>
  <c r="K4" i="1761"/>
  <c r="J4" i="1761"/>
  <c r="I4" i="1761"/>
  <c r="H4" i="1761"/>
  <c r="G4" i="1761"/>
  <c r="F4" i="1761"/>
  <c r="E4" i="1761"/>
  <c r="D4" i="1761"/>
  <c r="C4" i="1761"/>
  <c r="Y3" i="1761"/>
  <c r="W3" i="1761"/>
  <c r="V3" i="1761"/>
  <c r="U3" i="1761"/>
  <c r="T3" i="1761"/>
  <c r="P3" i="1761"/>
  <c r="O3" i="1761"/>
  <c r="N3" i="1761"/>
  <c r="M3" i="1761"/>
  <c r="L3" i="1761"/>
  <c r="K3" i="1761"/>
  <c r="J3" i="1761"/>
  <c r="I3" i="1761"/>
  <c r="H3" i="1761"/>
  <c r="G3" i="1761"/>
  <c r="F3" i="1761"/>
  <c r="E3" i="1761"/>
  <c r="D3" i="1761"/>
  <c r="C3" i="1761"/>
  <c r="F21" i="1760"/>
  <c r="Y19" i="1760"/>
  <c r="W19" i="1760"/>
  <c r="V19" i="1760"/>
  <c r="U19" i="1760"/>
  <c r="T19" i="1760"/>
  <c r="P19" i="1760"/>
  <c r="O19" i="1760"/>
  <c r="N19" i="1760"/>
  <c r="M19" i="1760"/>
  <c r="L19" i="1760"/>
  <c r="K19" i="1760"/>
  <c r="J19" i="1760"/>
  <c r="I19" i="1760"/>
  <c r="H19" i="1760"/>
  <c r="G19" i="1760"/>
  <c r="F19" i="1760"/>
  <c r="E19" i="1760"/>
  <c r="D19" i="1760"/>
  <c r="C19" i="1760"/>
  <c r="Y18" i="1760"/>
  <c r="W18" i="1760"/>
  <c r="V18" i="1760"/>
  <c r="U18" i="1760"/>
  <c r="T18" i="1760"/>
  <c r="P18" i="1760"/>
  <c r="O18" i="1760"/>
  <c r="N18" i="1760"/>
  <c r="M18" i="1760"/>
  <c r="L18" i="1760"/>
  <c r="K18" i="1760"/>
  <c r="J18" i="1760"/>
  <c r="I18" i="1760"/>
  <c r="H18" i="1760"/>
  <c r="G18" i="1760"/>
  <c r="F18" i="1760"/>
  <c r="E18" i="1760"/>
  <c r="D18" i="1760"/>
  <c r="C18" i="1760"/>
  <c r="Y4" i="1760"/>
  <c r="W4" i="1760"/>
  <c r="V4" i="1760"/>
  <c r="U4" i="1760"/>
  <c r="T4" i="1760"/>
  <c r="P4" i="1760"/>
  <c r="O4" i="1760"/>
  <c r="N4" i="1760"/>
  <c r="M4" i="1760"/>
  <c r="L4" i="1760"/>
  <c r="K4" i="1760"/>
  <c r="J4" i="1760"/>
  <c r="I4" i="1760"/>
  <c r="H4" i="1760"/>
  <c r="G4" i="1760"/>
  <c r="F4" i="1760"/>
  <c r="E4" i="1760"/>
  <c r="D4" i="1760"/>
  <c r="C4" i="1760"/>
  <c r="Y3" i="1760"/>
  <c r="W3" i="1760"/>
  <c r="V3" i="1760"/>
  <c r="U3" i="1760"/>
  <c r="T3" i="1760"/>
  <c r="P3" i="1760"/>
  <c r="O3" i="1760"/>
  <c r="N3" i="1760"/>
  <c r="M3" i="1760"/>
  <c r="L3" i="1760"/>
  <c r="K3" i="1760"/>
  <c r="J3" i="1760"/>
  <c r="I3" i="1760"/>
  <c r="H3" i="1760"/>
  <c r="G3" i="1760"/>
  <c r="F3" i="1760"/>
  <c r="E3" i="1760"/>
  <c r="D3" i="1760"/>
  <c r="C3" i="1760"/>
  <c r="F21" i="1759"/>
  <c r="Y19" i="1759"/>
  <c r="W19" i="1759"/>
  <c r="V19" i="1759"/>
  <c r="U19" i="1759"/>
  <c r="T19" i="1759"/>
  <c r="P19" i="1759"/>
  <c r="O19" i="1759"/>
  <c r="N19" i="1759"/>
  <c r="M19" i="1759"/>
  <c r="L19" i="1759"/>
  <c r="K19" i="1759"/>
  <c r="J19" i="1759"/>
  <c r="I19" i="1759"/>
  <c r="H19" i="1759"/>
  <c r="G19" i="1759"/>
  <c r="F19" i="1759"/>
  <c r="E19" i="1759"/>
  <c r="D19" i="1759"/>
  <c r="C19" i="1759"/>
  <c r="Y18" i="1759"/>
  <c r="W18" i="1759"/>
  <c r="V18" i="1759"/>
  <c r="U18" i="1759"/>
  <c r="T18" i="1759"/>
  <c r="P18" i="1759"/>
  <c r="O18" i="1759"/>
  <c r="N18" i="1759"/>
  <c r="M18" i="1759"/>
  <c r="L18" i="1759"/>
  <c r="K18" i="1759"/>
  <c r="J18" i="1759"/>
  <c r="I18" i="1759"/>
  <c r="H18" i="1759"/>
  <c r="G18" i="1759"/>
  <c r="F18" i="1759"/>
  <c r="E18" i="1759"/>
  <c r="D18" i="1759"/>
  <c r="C18" i="1759"/>
  <c r="Y4" i="1759"/>
  <c r="W4" i="1759"/>
  <c r="V4" i="1759"/>
  <c r="U4" i="1759"/>
  <c r="T4" i="1759"/>
  <c r="P4" i="1759"/>
  <c r="O4" i="1759"/>
  <c r="N4" i="1759"/>
  <c r="M4" i="1759"/>
  <c r="L4" i="1759"/>
  <c r="K4" i="1759"/>
  <c r="J4" i="1759"/>
  <c r="I4" i="1759"/>
  <c r="H4" i="1759"/>
  <c r="G4" i="1759"/>
  <c r="F4" i="1759"/>
  <c r="E4" i="1759"/>
  <c r="D4" i="1759"/>
  <c r="C4" i="1759"/>
  <c r="Y3" i="1759"/>
  <c r="W3" i="1759"/>
  <c r="V3" i="1759"/>
  <c r="U3" i="1759"/>
  <c r="T3" i="1759"/>
  <c r="P3" i="1759"/>
  <c r="O3" i="1759"/>
  <c r="N3" i="1759"/>
  <c r="M3" i="1759"/>
  <c r="L3" i="1759"/>
  <c r="K3" i="1759"/>
  <c r="J3" i="1759"/>
  <c r="I3" i="1759"/>
  <c r="H3" i="1759"/>
  <c r="G3" i="1759"/>
  <c r="F3" i="1759"/>
  <c r="E3" i="1759"/>
  <c r="D3" i="1759"/>
  <c r="C3" i="1759"/>
  <c r="F21" i="1758"/>
  <c r="Y19" i="1758"/>
  <c r="W19" i="1758"/>
  <c r="V19" i="1758"/>
  <c r="U19" i="1758"/>
  <c r="T19" i="1758"/>
  <c r="P19" i="1758"/>
  <c r="O19" i="1758"/>
  <c r="N19" i="1758"/>
  <c r="M19" i="1758"/>
  <c r="L19" i="1758"/>
  <c r="K19" i="1758"/>
  <c r="J19" i="1758"/>
  <c r="I19" i="1758"/>
  <c r="H19" i="1758"/>
  <c r="G19" i="1758"/>
  <c r="F19" i="1758"/>
  <c r="E19" i="1758"/>
  <c r="D19" i="1758"/>
  <c r="C19" i="1758"/>
  <c r="Y18" i="1758"/>
  <c r="W18" i="1758"/>
  <c r="V18" i="1758"/>
  <c r="U18" i="1758"/>
  <c r="T18" i="1758"/>
  <c r="P18" i="1758"/>
  <c r="O18" i="1758"/>
  <c r="N18" i="1758"/>
  <c r="M18" i="1758"/>
  <c r="L18" i="1758"/>
  <c r="K18" i="1758"/>
  <c r="J18" i="1758"/>
  <c r="I18" i="1758"/>
  <c r="H18" i="1758"/>
  <c r="G18" i="1758"/>
  <c r="F18" i="1758"/>
  <c r="E18" i="1758"/>
  <c r="D18" i="1758"/>
  <c r="C18" i="1758"/>
  <c r="Y4" i="1758"/>
  <c r="W4" i="1758"/>
  <c r="V4" i="1758"/>
  <c r="U4" i="1758"/>
  <c r="T4" i="1758"/>
  <c r="P4" i="1758"/>
  <c r="O4" i="1758"/>
  <c r="N4" i="1758"/>
  <c r="M4" i="1758"/>
  <c r="L4" i="1758"/>
  <c r="K4" i="1758"/>
  <c r="J4" i="1758"/>
  <c r="I4" i="1758"/>
  <c r="H4" i="1758"/>
  <c r="G4" i="1758"/>
  <c r="F4" i="1758"/>
  <c r="E4" i="1758"/>
  <c r="D4" i="1758"/>
  <c r="C4" i="1758"/>
  <c r="Y3" i="1758"/>
  <c r="W3" i="1758"/>
  <c r="V3" i="1758"/>
  <c r="U3" i="1758"/>
  <c r="T3" i="1758"/>
  <c r="P3" i="1758"/>
  <c r="O3" i="1758"/>
  <c r="N3" i="1758"/>
  <c r="M3" i="1758"/>
  <c r="L3" i="1758"/>
  <c r="K3" i="1758"/>
  <c r="J3" i="1758"/>
  <c r="I3" i="1758"/>
  <c r="H3" i="1758"/>
  <c r="G3" i="1758"/>
  <c r="F3" i="1758"/>
  <c r="E3" i="1758"/>
  <c r="D3" i="1758"/>
  <c r="C3" i="1758"/>
  <c r="F21" i="1757"/>
  <c r="Y19" i="1757"/>
  <c r="W19" i="1757"/>
  <c r="V19" i="1757"/>
  <c r="U19" i="1757"/>
  <c r="T19" i="1757"/>
  <c r="P19" i="1757"/>
  <c r="O19" i="1757"/>
  <c r="N19" i="1757"/>
  <c r="M19" i="1757"/>
  <c r="L19" i="1757"/>
  <c r="K19" i="1757"/>
  <c r="J19" i="1757"/>
  <c r="I19" i="1757"/>
  <c r="H19" i="1757"/>
  <c r="G19" i="1757"/>
  <c r="F19" i="1757"/>
  <c r="E19" i="1757"/>
  <c r="D19" i="1757"/>
  <c r="C19" i="1757"/>
  <c r="Y18" i="1757"/>
  <c r="W18" i="1757"/>
  <c r="V18" i="1757"/>
  <c r="U18" i="1757"/>
  <c r="T18" i="1757"/>
  <c r="P18" i="1757"/>
  <c r="O18" i="1757"/>
  <c r="N18" i="1757"/>
  <c r="M18" i="1757"/>
  <c r="L18" i="1757"/>
  <c r="K18" i="1757"/>
  <c r="J18" i="1757"/>
  <c r="I18" i="1757"/>
  <c r="H18" i="1757"/>
  <c r="G18" i="1757"/>
  <c r="F18" i="1757"/>
  <c r="E18" i="1757"/>
  <c r="D18" i="1757"/>
  <c r="C18" i="1757"/>
  <c r="Y4" i="1757"/>
  <c r="W4" i="1757"/>
  <c r="V4" i="1757"/>
  <c r="U4" i="1757"/>
  <c r="T4" i="1757"/>
  <c r="P4" i="1757"/>
  <c r="O4" i="1757"/>
  <c r="N4" i="1757"/>
  <c r="M4" i="1757"/>
  <c r="L4" i="1757"/>
  <c r="K4" i="1757"/>
  <c r="J4" i="1757"/>
  <c r="I4" i="1757"/>
  <c r="H4" i="1757"/>
  <c r="G4" i="1757"/>
  <c r="F4" i="1757"/>
  <c r="E4" i="1757"/>
  <c r="D4" i="1757"/>
  <c r="C4" i="1757"/>
  <c r="Y3" i="1757"/>
  <c r="W3" i="1757"/>
  <c r="V3" i="1757"/>
  <c r="U3" i="1757"/>
  <c r="T3" i="1757"/>
  <c r="P3" i="1757"/>
  <c r="O3" i="1757"/>
  <c r="N3" i="1757"/>
  <c r="M3" i="1757"/>
  <c r="L3" i="1757"/>
  <c r="K3" i="1757"/>
  <c r="J3" i="1757"/>
  <c r="I3" i="1757"/>
  <c r="H3" i="1757"/>
  <c r="G3" i="1757"/>
  <c r="F3" i="1757"/>
  <c r="E3" i="1757"/>
  <c r="D3" i="1757"/>
  <c r="C3" i="1757"/>
  <c r="F21" i="1756"/>
  <c r="Y19" i="1756"/>
  <c r="W19" i="1756"/>
  <c r="V19" i="1756"/>
  <c r="U19" i="1756"/>
  <c r="T19" i="1756"/>
  <c r="P19" i="1756"/>
  <c r="O19" i="1756"/>
  <c r="N19" i="1756"/>
  <c r="M19" i="1756"/>
  <c r="L19" i="1756"/>
  <c r="K19" i="1756"/>
  <c r="J19" i="1756"/>
  <c r="I19" i="1756"/>
  <c r="H19" i="1756"/>
  <c r="G19" i="1756"/>
  <c r="F19" i="1756"/>
  <c r="E19" i="1756"/>
  <c r="D19" i="1756"/>
  <c r="C19" i="1756"/>
  <c r="Y18" i="1756"/>
  <c r="W18" i="1756"/>
  <c r="V18" i="1756"/>
  <c r="U18" i="1756"/>
  <c r="T18" i="1756"/>
  <c r="P18" i="1756"/>
  <c r="O18" i="1756"/>
  <c r="N18" i="1756"/>
  <c r="M18" i="1756"/>
  <c r="L18" i="1756"/>
  <c r="K18" i="1756"/>
  <c r="J18" i="1756"/>
  <c r="I18" i="1756"/>
  <c r="H18" i="1756"/>
  <c r="G18" i="1756"/>
  <c r="F18" i="1756"/>
  <c r="E18" i="1756"/>
  <c r="D18" i="1756"/>
  <c r="C18" i="1756"/>
  <c r="Y4" i="1756"/>
  <c r="W4" i="1756"/>
  <c r="V4" i="1756"/>
  <c r="U4" i="1756"/>
  <c r="T4" i="1756"/>
  <c r="P4" i="1756"/>
  <c r="O4" i="1756"/>
  <c r="N4" i="1756"/>
  <c r="M4" i="1756"/>
  <c r="L4" i="1756"/>
  <c r="K4" i="1756"/>
  <c r="J4" i="1756"/>
  <c r="I4" i="1756"/>
  <c r="H4" i="1756"/>
  <c r="G4" i="1756"/>
  <c r="F4" i="1756"/>
  <c r="E4" i="1756"/>
  <c r="D4" i="1756"/>
  <c r="C4" i="1756"/>
  <c r="Y3" i="1756"/>
  <c r="W3" i="1756"/>
  <c r="V3" i="1756"/>
  <c r="U3" i="1756"/>
  <c r="T3" i="1756"/>
  <c r="P3" i="1756"/>
  <c r="O3" i="1756"/>
  <c r="N3" i="1756"/>
  <c r="M3" i="1756"/>
  <c r="L3" i="1756"/>
  <c r="K3" i="1756"/>
  <c r="J3" i="1756"/>
  <c r="I3" i="1756"/>
  <c r="H3" i="1756"/>
  <c r="G3" i="1756"/>
  <c r="F3" i="1756"/>
  <c r="E3" i="1756"/>
  <c r="D3" i="1756"/>
  <c r="C3" i="1756"/>
  <c r="F21" i="1755"/>
  <c r="Y19" i="1755"/>
  <c r="W19" i="1755"/>
  <c r="V19" i="1755"/>
  <c r="U19" i="1755"/>
  <c r="T19" i="1755"/>
  <c r="P19" i="1755"/>
  <c r="O19" i="1755"/>
  <c r="N19" i="1755"/>
  <c r="M19" i="1755"/>
  <c r="L19" i="1755"/>
  <c r="K19" i="1755"/>
  <c r="J19" i="1755"/>
  <c r="I19" i="1755"/>
  <c r="H19" i="1755"/>
  <c r="G19" i="1755"/>
  <c r="F19" i="1755"/>
  <c r="E19" i="1755"/>
  <c r="D19" i="1755"/>
  <c r="C19" i="1755"/>
  <c r="Y18" i="1755"/>
  <c r="W18" i="1755"/>
  <c r="V18" i="1755"/>
  <c r="U18" i="1755"/>
  <c r="T18" i="1755"/>
  <c r="P18" i="1755"/>
  <c r="O18" i="1755"/>
  <c r="N18" i="1755"/>
  <c r="M18" i="1755"/>
  <c r="L18" i="1755"/>
  <c r="K18" i="1755"/>
  <c r="J18" i="1755"/>
  <c r="I18" i="1755"/>
  <c r="H18" i="1755"/>
  <c r="G18" i="1755"/>
  <c r="F18" i="1755"/>
  <c r="E18" i="1755"/>
  <c r="D18" i="1755"/>
  <c r="C18" i="1755"/>
  <c r="Y4" i="1755"/>
  <c r="W4" i="1755"/>
  <c r="V4" i="1755"/>
  <c r="U4" i="1755"/>
  <c r="T4" i="1755"/>
  <c r="P4" i="1755"/>
  <c r="O4" i="1755"/>
  <c r="N4" i="1755"/>
  <c r="M4" i="1755"/>
  <c r="L4" i="1755"/>
  <c r="K4" i="1755"/>
  <c r="J4" i="1755"/>
  <c r="I4" i="1755"/>
  <c r="H4" i="1755"/>
  <c r="G4" i="1755"/>
  <c r="F4" i="1755"/>
  <c r="E4" i="1755"/>
  <c r="D4" i="1755"/>
  <c r="C4" i="1755"/>
  <c r="Y3" i="1755"/>
  <c r="W3" i="1755"/>
  <c r="V3" i="1755"/>
  <c r="U3" i="1755"/>
  <c r="T3" i="1755"/>
  <c r="P3" i="1755"/>
  <c r="O3" i="1755"/>
  <c r="N3" i="1755"/>
  <c r="M3" i="1755"/>
  <c r="L3" i="1755"/>
  <c r="K3" i="1755"/>
  <c r="J3" i="1755"/>
  <c r="I3" i="1755"/>
  <c r="H3" i="1755"/>
  <c r="G3" i="1755"/>
  <c r="F3" i="1755"/>
  <c r="E3" i="1755"/>
  <c r="D3" i="1755"/>
  <c r="C3" i="1755"/>
  <c r="C44" i="1752" l="1"/>
  <c r="C44" i="1749" l="1"/>
  <c r="C45" i="1748"/>
  <c r="C44" i="1748"/>
  <c r="C44" i="1746" l="1"/>
  <c r="C44" i="1745"/>
  <c r="F21" i="1754" l="1"/>
  <c r="Y19" i="1754"/>
  <c r="W19" i="1754"/>
  <c r="V19" i="1754"/>
  <c r="U19" i="1754"/>
  <c r="T19" i="1754"/>
  <c r="P19" i="1754"/>
  <c r="O19" i="1754"/>
  <c r="N19" i="1754"/>
  <c r="M19" i="1754"/>
  <c r="L19" i="1754"/>
  <c r="K19" i="1754"/>
  <c r="J19" i="1754"/>
  <c r="I19" i="1754"/>
  <c r="H19" i="1754"/>
  <c r="G19" i="1754"/>
  <c r="F19" i="1754"/>
  <c r="E19" i="1754"/>
  <c r="D19" i="1754"/>
  <c r="C19" i="1754"/>
  <c r="Y18" i="1754"/>
  <c r="W18" i="1754"/>
  <c r="V18" i="1754"/>
  <c r="U18" i="1754"/>
  <c r="T18" i="1754"/>
  <c r="P18" i="1754"/>
  <c r="O18" i="1754"/>
  <c r="N18" i="1754"/>
  <c r="M18" i="1754"/>
  <c r="L18" i="1754"/>
  <c r="K18" i="1754"/>
  <c r="J18" i="1754"/>
  <c r="I18" i="1754"/>
  <c r="H18" i="1754"/>
  <c r="G18" i="1754"/>
  <c r="F18" i="1754"/>
  <c r="E18" i="1754"/>
  <c r="D18" i="1754"/>
  <c r="C18" i="1754"/>
  <c r="Y4" i="1754"/>
  <c r="W4" i="1754"/>
  <c r="V4" i="1754"/>
  <c r="U4" i="1754"/>
  <c r="T4" i="1754"/>
  <c r="P4" i="1754"/>
  <c r="O4" i="1754"/>
  <c r="N4" i="1754"/>
  <c r="M4" i="1754"/>
  <c r="L4" i="1754"/>
  <c r="K4" i="1754"/>
  <c r="J4" i="1754"/>
  <c r="I4" i="1754"/>
  <c r="H4" i="1754"/>
  <c r="G4" i="1754"/>
  <c r="F4" i="1754"/>
  <c r="E4" i="1754"/>
  <c r="D4" i="1754"/>
  <c r="C4" i="1754"/>
  <c r="Y3" i="1754"/>
  <c r="W3" i="1754"/>
  <c r="V3" i="1754"/>
  <c r="U3" i="1754"/>
  <c r="T3" i="1754"/>
  <c r="P3" i="1754"/>
  <c r="O3" i="1754"/>
  <c r="N3" i="1754"/>
  <c r="M3" i="1754"/>
  <c r="L3" i="1754"/>
  <c r="K3" i="1754"/>
  <c r="J3" i="1754"/>
  <c r="I3" i="1754"/>
  <c r="H3" i="1754"/>
  <c r="G3" i="1754"/>
  <c r="F3" i="1754"/>
  <c r="E3" i="1754"/>
  <c r="D3" i="1754"/>
  <c r="C3" i="1754"/>
  <c r="F21" i="1753"/>
  <c r="Y19" i="1753"/>
  <c r="W19" i="1753"/>
  <c r="V19" i="1753"/>
  <c r="U19" i="1753"/>
  <c r="T19" i="1753"/>
  <c r="P19" i="1753"/>
  <c r="O19" i="1753"/>
  <c r="N19" i="1753"/>
  <c r="M19" i="1753"/>
  <c r="L19" i="1753"/>
  <c r="K19" i="1753"/>
  <c r="J19" i="1753"/>
  <c r="I19" i="1753"/>
  <c r="H19" i="1753"/>
  <c r="G19" i="1753"/>
  <c r="F19" i="1753"/>
  <c r="E19" i="1753"/>
  <c r="D19" i="1753"/>
  <c r="C19" i="1753"/>
  <c r="Y18" i="1753"/>
  <c r="W18" i="1753"/>
  <c r="V18" i="1753"/>
  <c r="U18" i="1753"/>
  <c r="T18" i="1753"/>
  <c r="P18" i="1753"/>
  <c r="O18" i="1753"/>
  <c r="N18" i="1753"/>
  <c r="M18" i="1753"/>
  <c r="L18" i="1753"/>
  <c r="K18" i="1753"/>
  <c r="J18" i="1753"/>
  <c r="I18" i="1753"/>
  <c r="H18" i="1753"/>
  <c r="G18" i="1753"/>
  <c r="F18" i="1753"/>
  <c r="E18" i="1753"/>
  <c r="D18" i="1753"/>
  <c r="C18" i="1753"/>
  <c r="Y4" i="1753"/>
  <c r="W4" i="1753"/>
  <c r="V4" i="1753"/>
  <c r="U4" i="1753"/>
  <c r="T4" i="1753"/>
  <c r="P4" i="1753"/>
  <c r="O4" i="1753"/>
  <c r="N4" i="1753"/>
  <c r="M4" i="1753"/>
  <c r="L4" i="1753"/>
  <c r="K4" i="1753"/>
  <c r="J4" i="1753"/>
  <c r="I4" i="1753"/>
  <c r="H4" i="1753"/>
  <c r="G4" i="1753"/>
  <c r="F4" i="1753"/>
  <c r="E4" i="1753"/>
  <c r="D4" i="1753"/>
  <c r="C4" i="1753"/>
  <c r="Y3" i="1753"/>
  <c r="W3" i="1753"/>
  <c r="V3" i="1753"/>
  <c r="U3" i="1753"/>
  <c r="T3" i="1753"/>
  <c r="P3" i="1753"/>
  <c r="O3" i="1753"/>
  <c r="N3" i="1753"/>
  <c r="M3" i="1753"/>
  <c r="L3" i="1753"/>
  <c r="K3" i="1753"/>
  <c r="J3" i="1753"/>
  <c r="I3" i="1753"/>
  <c r="H3" i="1753"/>
  <c r="G3" i="1753"/>
  <c r="F3" i="1753"/>
  <c r="E3" i="1753"/>
  <c r="D3" i="1753"/>
  <c r="C3" i="1753"/>
  <c r="F21" i="1752"/>
  <c r="Y19" i="1752"/>
  <c r="W19" i="1752"/>
  <c r="V19" i="1752"/>
  <c r="U19" i="1752"/>
  <c r="T19" i="1752"/>
  <c r="P19" i="1752"/>
  <c r="O19" i="1752"/>
  <c r="N19" i="1752"/>
  <c r="M19" i="1752"/>
  <c r="L19" i="1752"/>
  <c r="K19" i="1752"/>
  <c r="J19" i="1752"/>
  <c r="I19" i="1752"/>
  <c r="H19" i="1752"/>
  <c r="G19" i="1752"/>
  <c r="F19" i="1752"/>
  <c r="E19" i="1752"/>
  <c r="D19" i="1752"/>
  <c r="C19" i="1752"/>
  <c r="Y18" i="1752"/>
  <c r="W18" i="1752"/>
  <c r="V18" i="1752"/>
  <c r="U18" i="1752"/>
  <c r="T18" i="1752"/>
  <c r="P18" i="1752"/>
  <c r="O18" i="1752"/>
  <c r="N18" i="1752"/>
  <c r="M18" i="1752"/>
  <c r="L18" i="1752"/>
  <c r="K18" i="1752"/>
  <c r="J18" i="1752"/>
  <c r="I18" i="1752"/>
  <c r="H18" i="1752"/>
  <c r="G18" i="1752"/>
  <c r="F18" i="1752"/>
  <c r="E18" i="1752"/>
  <c r="D18" i="1752"/>
  <c r="C18" i="1752"/>
  <c r="Y4" i="1752"/>
  <c r="W4" i="1752"/>
  <c r="V4" i="1752"/>
  <c r="U4" i="1752"/>
  <c r="T4" i="1752"/>
  <c r="P4" i="1752"/>
  <c r="O4" i="1752"/>
  <c r="N4" i="1752"/>
  <c r="M4" i="1752"/>
  <c r="L4" i="1752"/>
  <c r="K4" i="1752"/>
  <c r="J4" i="1752"/>
  <c r="I4" i="1752"/>
  <c r="H4" i="1752"/>
  <c r="G4" i="1752"/>
  <c r="F4" i="1752"/>
  <c r="E4" i="1752"/>
  <c r="D4" i="1752"/>
  <c r="C4" i="1752"/>
  <c r="Y3" i="1752"/>
  <c r="W3" i="1752"/>
  <c r="V3" i="1752"/>
  <c r="U3" i="1752"/>
  <c r="T3" i="1752"/>
  <c r="P3" i="1752"/>
  <c r="O3" i="1752"/>
  <c r="N3" i="1752"/>
  <c r="M3" i="1752"/>
  <c r="L3" i="1752"/>
  <c r="K3" i="1752"/>
  <c r="J3" i="1752"/>
  <c r="I3" i="1752"/>
  <c r="H3" i="1752"/>
  <c r="G3" i="1752"/>
  <c r="F3" i="1752"/>
  <c r="E3" i="1752"/>
  <c r="D3" i="1752"/>
  <c r="C3" i="1752"/>
  <c r="F21" i="1751"/>
  <c r="Y19" i="1751"/>
  <c r="W19" i="1751"/>
  <c r="V19" i="1751"/>
  <c r="U19" i="1751"/>
  <c r="T19" i="1751"/>
  <c r="P19" i="1751"/>
  <c r="O19" i="1751"/>
  <c r="N19" i="1751"/>
  <c r="M19" i="1751"/>
  <c r="L19" i="1751"/>
  <c r="K19" i="1751"/>
  <c r="J19" i="1751"/>
  <c r="I19" i="1751"/>
  <c r="H19" i="1751"/>
  <c r="G19" i="1751"/>
  <c r="F19" i="1751"/>
  <c r="E19" i="1751"/>
  <c r="D19" i="1751"/>
  <c r="C19" i="1751"/>
  <c r="Y18" i="1751"/>
  <c r="W18" i="1751"/>
  <c r="V18" i="1751"/>
  <c r="U18" i="1751"/>
  <c r="T18" i="1751"/>
  <c r="P18" i="1751"/>
  <c r="O18" i="1751"/>
  <c r="N18" i="1751"/>
  <c r="M18" i="1751"/>
  <c r="L18" i="1751"/>
  <c r="K18" i="1751"/>
  <c r="J18" i="1751"/>
  <c r="I18" i="1751"/>
  <c r="H18" i="1751"/>
  <c r="G18" i="1751"/>
  <c r="F18" i="1751"/>
  <c r="E18" i="1751"/>
  <c r="D18" i="1751"/>
  <c r="C18" i="1751"/>
  <c r="Y4" i="1751"/>
  <c r="W4" i="1751"/>
  <c r="V4" i="1751"/>
  <c r="U4" i="1751"/>
  <c r="T4" i="1751"/>
  <c r="P4" i="1751"/>
  <c r="O4" i="1751"/>
  <c r="N4" i="1751"/>
  <c r="M4" i="1751"/>
  <c r="L4" i="1751"/>
  <c r="K4" i="1751"/>
  <c r="J4" i="1751"/>
  <c r="I4" i="1751"/>
  <c r="H4" i="1751"/>
  <c r="G4" i="1751"/>
  <c r="F4" i="1751"/>
  <c r="E4" i="1751"/>
  <c r="D4" i="1751"/>
  <c r="C4" i="1751"/>
  <c r="Y3" i="1751"/>
  <c r="W3" i="1751"/>
  <c r="V3" i="1751"/>
  <c r="U3" i="1751"/>
  <c r="T3" i="1751"/>
  <c r="P3" i="1751"/>
  <c r="O3" i="1751"/>
  <c r="N3" i="1751"/>
  <c r="M3" i="1751"/>
  <c r="L3" i="1751"/>
  <c r="K3" i="1751"/>
  <c r="J3" i="1751"/>
  <c r="I3" i="1751"/>
  <c r="H3" i="1751"/>
  <c r="G3" i="1751"/>
  <c r="F3" i="1751"/>
  <c r="E3" i="1751"/>
  <c r="D3" i="1751"/>
  <c r="C3" i="1751"/>
  <c r="C44" i="1750"/>
  <c r="F21" i="1750"/>
  <c r="Y19" i="1750"/>
  <c r="W19" i="1750"/>
  <c r="V19" i="1750"/>
  <c r="U19" i="1750"/>
  <c r="T19" i="1750"/>
  <c r="P19" i="1750"/>
  <c r="O19" i="1750"/>
  <c r="N19" i="1750"/>
  <c r="M19" i="1750"/>
  <c r="L19" i="1750"/>
  <c r="K19" i="1750"/>
  <c r="J19" i="1750"/>
  <c r="I19" i="1750"/>
  <c r="H19" i="1750"/>
  <c r="G19" i="1750"/>
  <c r="F19" i="1750"/>
  <c r="E19" i="1750"/>
  <c r="D19" i="1750"/>
  <c r="C19" i="1750"/>
  <c r="Y18" i="1750"/>
  <c r="W18" i="1750"/>
  <c r="V18" i="1750"/>
  <c r="U18" i="1750"/>
  <c r="T18" i="1750"/>
  <c r="P18" i="1750"/>
  <c r="O18" i="1750"/>
  <c r="N18" i="1750"/>
  <c r="M18" i="1750"/>
  <c r="L18" i="1750"/>
  <c r="K18" i="1750"/>
  <c r="J18" i="1750"/>
  <c r="I18" i="1750"/>
  <c r="H18" i="1750"/>
  <c r="G18" i="1750"/>
  <c r="F18" i="1750"/>
  <c r="E18" i="1750"/>
  <c r="D18" i="1750"/>
  <c r="C18" i="1750"/>
  <c r="Y4" i="1750"/>
  <c r="W4" i="1750"/>
  <c r="V4" i="1750"/>
  <c r="U4" i="1750"/>
  <c r="T4" i="1750"/>
  <c r="P4" i="1750"/>
  <c r="O4" i="1750"/>
  <c r="N4" i="1750"/>
  <c r="M4" i="1750"/>
  <c r="L4" i="1750"/>
  <c r="K4" i="1750"/>
  <c r="J4" i="1750"/>
  <c r="I4" i="1750"/>
  <c r="H4" i="1750"/>
  <c r="G4" i="1750"/>
  <c r="F4" i="1750"/>
  <c r="E4" i="1750"/>
  <c r="D4" i="1750"/>
  <c r="C4" i="1750"/>
  <c r="Y3" i="1750"/>
  <c r="W3" i="1750"/>
  <c r="V3" i="1750"/>
  <c r="U3" i="1750"/>
  <c r="T3" i="1750"/>
  <c r="P3" i="1750"/>
  <c r="O3" i="1750"/>
  <c r="N3" i="1750"/>
  <c r="M3" i="1750"/>
  <c r="L3" i="1750"/>
  <c r="K3" i="1750"/>
  <c r="J3" i="1750"/>
  <c r="I3" i="1750"/>
  <c r="H3" i="1750"/>
  <c r="G3" i="1750"/>
  <c r="F3" i="1750"/>
  <c r="E3" i="1750"/>
  <c r="D3" i="1750"/>
  <c r="C3" i="1750"/>
  <c r="F21" i="1749"/>
  <c r="Y19" i="1749"/>
  <c r="W19" i="1749"/>
  <c r="V19" i="1749"/>
  <c r="U19" i="1749"/>
  <c r="T19" i="1749"/>
  <c r="P19" i="1749"/>
  <c r="O19" i="1749"/>
  <c r="N19" i="1749"/>
  <c r="M19" i="1749"/>
  <c r="L19" i="1749"/>
  <c r="K19" i="1749"/>
  <c r="J19" i="1749"/>
  <c r="I19" i="1749"/>
  <c r="H19" i="1749"/>
  <c r="G19" i="1749"/>
  <c r="F19" i="1749"/>
  <c r="E19" i="1749"/>
  <c r="D19" i="1749"/>
  <c r="C19" i="1749"/>
  <c r="Y18" i="1749"/>
  <c r="W18" i="1749"/>
  <c r="V18" i="1749"/>
  <c r="U18" i="1749"/>
  <c r="T18" i="1749"/>
  <c r="P18" i="1749"/>
  <c r="O18" i="1749"/>
  <c r="N18" i="1749"/>
  <c r="M18" i="1749"/>
  <c r="L18" i="1749"/>
  <c r="K18" i="1749"/>
  <c r="J18" i="1749"/>
  <c r="I18" i="1749"/>
  <c r="H18" i="1749"/>
  <c r="G18" i="1749"/>
  <c r="F18" i="1749"/>
  <c r="E18" i="1749"/>
  <c r="D18" i="1749"/>
  <c r="C18" i="1749"/>
  <c r="Y4" i="1749"/>
  <c r="W4" i="1749"/>
  <c r="V4" i="1749"/>
  <c r="U4" i="1749"/>
  <c r="T4" i="1749"/>
  <c r="P4" i="1749"/>
  <c r="O4" i="1749"/>
  <c r="N4" i="1749"/>
  <c r="M4" i="1749"/>
  <c r="L4" i="1749"/>
  <c r="K4" i="1749"/>
  <c r="J4" i="1749"/>
  <c r="I4" i="1749"/>
  <c r="H4" i="1749"/>
  <c r="G4" i="1749"/>
  <c r="F4" i="1749"/>
  <c r="E4" i="1749"/>
  <c r="D4" i="1749"/>
  <c r="C4" i="1749"/>
  <c r="Y3" i="1749"/>
  <c r="W3" i="1749"/>
  <c r="V3" i="1749"/>
  <c r="U3" i="1749"/>
  <c r="T3" i="1749"/>
  <c r="P3" i="1749"/>
  <c r="O3" i="1749"/>
  <c r="N3" i="1749"/>
  <c r="M3" i="1749"/>
  <c r="L3" i="1749"/>
  <c r="K3" i="1749"/>
  <c r="J3" i="1749"/>
  <c r="I3" i="1749"/>
  <c r="H3" i="1749"/>
  <c r="G3" i="1749"/>
  <c r="F3" i="1749"/>
  <c r="E3" i="1749"/>
  <c r="D3" i="1749"/>
  <c r="C3" i="1749"/>
  <c r="F21" i="1748"/>
  <c r="Y19" i="1748"/>
  <c r="W19" i="1748"/>
  <c r="V19" i="1748"/>
  <c r="U19" i="1748"/>
  <c r="T19" i="1748"/>
  <c r="P19" i="1748"/>
  <c r="O19" i="1748"/>
  <c r="N19" i="1748"/>
  <c r="M19" i="1748"/>
  <c r="L19" i="1748"/>
  <c r="K19" i="1748"/>
  <c r="J19" i="1748"/>
  <c r="I19" i="1748"/>
  <c r="H19" i="1748"/>
  <c r="G19" i="1748"/>
  <c r="F19" i="1748"/>
  <c r="E19" i="1748"/>
  <c r="D19" i="1748"/>
  <c r="C19" i="1748"/>
  <c r="Y18" i="1748"/>
  <c r="W18" i="1748"/>
  <c r="V18" i="1748"/>
  <c r="U18" i="1748"/>
  <c r="T18" i="1748"/>
  <c r="P18" i="1748"/>
  <c r="O18" i="1748"/>
  <c r="N18" i="1748"/>
  <c r="M18" i="1748"/>
  <c r="L18" i="1748"/>
  <c r="K18" i="1748"/>
  <c r="J18" i="1748"/>
  <c r="I18" i="1748"/>
  <c r="H18" i="1748"/>
  <c r="G18" i="1748"/>
  <c r="F18" i="1748"/>
  <c r="E18" i="1748"/>
  <c r="D18" i="1748"/>
  <c r="C18" i="1748"/>
  <c r="Y4" i="1748"/>
  <c r="W4" i="1748"/>
  <c r="V4" i="1748"/>
  <c r="U4" i="1748"/>
  <c r="T4" i="1748"/>
  <c r="P4" i="1748"/>
  <c r="O4" i="1748"/>
  <c r="N4" i="1748"/>
  <c r="M4" i="1748"/>
  <c r="L4" i="1748"/>
  <c r="K4" i="1748"/>
  <c r="J4" i="1748"/>
  <c r="I4" i="1748"/>
  <c r="H4" i="1748"/>
  <c r="G4" i="1748"/>
  <c r="F4" i="1748"/>
  <c r="E4" i="1748"/>
  <c r="D4" i="1748"/>
  <c r="C4" i="1748"/>
  <c r="Y3" i="1748"/>
  <c r="W3" i="1748"/>
  <c r="V3" i="1748"/>
  <c r="U3" i="1748"/>
  <c r="T3" i="1748"/>
  <c r="P3" i="1748"/>
  <c r="O3" i="1748"/>
  <c r="N3" i="1748"/>
  <c r="M3" i="1748"/>
  <c r="L3" i="1748"/>
  <c r="K3" i="1748"/>
  <c r="J3" i="1748"/>
  <c r="I3" i="1748"/>
  <c r="H3" i="1748"/>
  <c r="G3" i="1748"/>
  <c r="F3" i="1748"/>
  <c r="E3" i="1748"/>
  <c r="D3" i="1748"/>
  <c r="C3" i="1748"/>
  <c r="F21" i="1747"/>
  <c r="Y19" i="1747"/>
  <c r="W19" i="1747"/>
  <c r="V19" i="1747"/>
  <c r="U19" i="1747"/>
  <c r="T19" i="1747"/>
  <c r="P19" i="1747"/>
  <c r="O19" i="1747"/>
  <c r="N19" i="1747"/>
  <c r="M19" i="1747"/>
  <c r="L19" i="1747"/>
  <c r="K19" i="1747"/>
  <c r="J19" i="1747"/>
  <c r="I19" i="1747"/>
  <c r="H19" i="1747"/>
  <c r="G19" i="1747"/>
  <c r="F19" i="1747"/>
  <c r="E19" i="1747"/>
  <c r="D19" i="1747"/>
  <c r="C19" i="1747"/>
  <c r="Y18" i="1747"/>
  <c r="W18" i="1747"/>
  <c r="V18" i="1747"/>
  <c r="U18" i="1747"/>
  <c r="T18" i="1747"/>
  <c r="P18" i="1747"/>
  <c r="O18" i="1747"/>
  <c r="N18" i="1747"/>
  <c r="M18" i="1747"/>
  <c r="L18" i="1747"/>
  <c r="K18" i="1747"/>
  <c r="J18" i="1747"/>
  <c r="I18" i="1747"/>
  <c r="H18" i="1747"/>
  <c r="G18" i="1747"/>
  <c r="F18" i="1747"/>
  <c r="E18" i="1747"/>
  <c r="D18" i="1747"/>
  <c r="C18" i="1747"/>
  <c r="Y4" i="1747"/>
  <c r="W4" i="1747"/>
  <c r="V4" i="1747"/>
  <c r="U4" i="1747"/>
  <c r="T4" i="1747"/>
  <c r="P4" i="1747"/>
  <c r="O4" i="1747"/>
  <c r="N4" i="1747"/>
  <c r="M4" i="1747"/>
  <c r="L4" i="1747"/>
  <c r="K4" i="1747"/>
  <c r="J4" i="1747"/>
  <c r="I4" i="1747"/>
  <c r="H4" i="1747"/>
  <c r="G4" i="1747"/>
  <c r="F4" i="1747"/>
  <c r="E4" i="1747"/>
  <c r="D4" i="1747"/>
  <c r="C4" i="1747"/>
  <c r="Y3" i="1747"/>
  <c r="W3" i="1747"/>
  <c r="V3" i="1747"/>
  <c r="U3" i="1747"/>
  <c r="T3" i="1747"/>
  <c r="P3" i="1747"/>
  <c r="O3" i="1747"/>
  <c r="N3" i="1747"/>
  <c r="M3" i="1747"/>
  <c r="L3" i="1747"/>
  <c r="K3" i="1747"/>
  <c r="J3" i="1747"/>
  <c r="I3" i="1747"/>
  <c r="H3" i="1747"/>
  <c r="G3" i="1747"/>
  <c r="F3" i="1747"/>
  <c r="E3" i="1747"/>
  <c r="D3" i="1747"/>
  <c r="C3" i="1747"/>
  <c r="C44" i="1738" l="1"/>
  <c r="C44" i="1737"/>
  <c r="C44" i="1734" l="1"/>
  <c r="C44" i="1733"/>
  <c r="C44" i="1732" l="1"/>
  <c r="C45" i="1728" l="1"/>
  <c r="C44" i="1728"/>
  <c r="C44" i="1726" l="1"/>
  <c r="C44" i="1725"/>
  <c r="C44" i="1724"/>
  <c r="C44" i="1706" l="1"/>
  <c r="C44" i="1705"/>
  <c r="C45" i="1704"/>
  <c r="C44" i="1704"/>
  <c r="F21" i="1746" l="1"/>
  <c r="Y19" i="1746"/>
  <c r="W19" i="1746"/>
  <c r="V19" i="1746"/>
  <c r="U19" i="1746"/>
  <c r="T19" i="1746"/>
  <c r="P19" i="1746"/>
  <c r="O19" i="1746"/>
  <c r="N19" i="1746"/>
  <c r="M19" i="1746"/>
  <c r="L19" i="1746"/>
  <c r="K19" i="1746"/>
  <c r="J19" i="1746"/>
  <c r="I19" i="1746"/>
  <c r="H19" i="1746"/>
  <c r="G19" i="1746"/>
  <c r="F19" i="1746"/>
  <c r="E19" i="1746"/>
  <c r="D19" i="1746"/>
  <c r="C19" i="1746"/>
  <c r="Y18" i="1746"/>
  <c r="W18" i="1746"/>
  <c r="V18" i="1746"/>
  <c r="U18" i="1746"/>
  <c r="T18" i="1746"/>
  <c r="P18" i="1746"/>
  <c r="O18" i="1746"/>
  <c r="N18" i="1746"/>
  <c r="M18" i="1746"/>
  <c r="L18" i="1746"/>
  <c r="K18" i="1746"/>
  <c r="J18" i="1746"/>
  <c r="I18" i="1746"/>
  <c r="H18" i="1746"/>
  <c r="G18" i="1746"/>
  <c r="F18" i="1746"/>
  <c r="E18" i="1746"/>
  <c r="D18" i="1746"/>
  <c r="C18" i="1746"/>
  <c r="Y4" i="1746"/>
  <c r="W4" i="1746"/>
  <c r="V4" i="1746"/>
  <c r="U4" i="1746"/>
  <c r="T4" i="1746"/>
  <c r="P4" i="1746"/>
  <c r="O4" i="1746"/>
  <c r="N4" i="1746"/>
  <c r="M4" i="1746"/>
  <c r="L4" i="1746"/>
  <c r="K4" i="1746"/>
  <c r="J4" i="1746"/>
  <c r="I4" i="1746"/>
  <c r="H4" i="1746"/>
  <c r="G4" i="1746"/>
  <c r="F4" i="1746"/>
  <c r="E4" i="1746"/>
  <c r="D4" i="1746"/>
  <c r="C4" i="1746"/>
  <c r="Y3" i="1746"/>
  <c r="W3" i="1746"/>
  <c r="V3" i="1746"/>
  <c r="U3" i="1746"/>
  <c r="T3" i="1746"/>
  <c r="P3" i="1746"/>
  <c r="O3" i="1746"/>
  <c r="N3" i="1746"/>
  <c r="M3" i="1746"/>
  <c r="L3" i="1746"/>
  <c r="K3" i="1746"/>
  <c r="J3" i="1746"/>
  <c r="I3" i="1746"/>
  <c r="H3" i="1746"/>
  <c r="G3" i="1746"/>
  <c r="F3" i="1746"/>
  <c r="E3" i="1746"/>
  <c r="D3" i="1746"/>
  <c r="C3" i="1746"/>
  <c r="F21" i="1745"/>
  <c r="Y19" i="1745"/>
  <c r="W19" i="1745"/>
  <c r="V19" i="1745"/>
  <c r="U19" i="1745"/>
  <c r="T19" i="1745"/>
  <c r="P19" i="1745"/>
  <c r="O19" i="1745"/>
  <c r="N19" i="1745"/>
  <c r="M19" i="1745"/>
  <c r="L19" i="1745"/>
  <c r="K19" i="1745"/>
  <c r="J19" i="1745"/>
  <c r="I19" i="1745"/>
  <c r="H19" i="1745"/>
  <c r="G19" i="1745"/>
  <c r="F19" i="1745"/>
  <c r="E19" i="1745"/>
  <c r="D19" i="1745"/>
  <c r="C19" i="1745"/>
  <c r="Y18" i="1745"/>
  <c r="W18" i="1745"/>
  <c r="V18" i="1745"/>
  <c r="U18" i="1745"/>
  <c r="T18" i="1745"/>
  <c r="P18" i="1745"/>
  <c r="O18" i="1745"/>
  <c r="N18" i="1745"/>
  <c r="M18" i="1745"/>
  <c r="L18" i="1745"/>
  <c r="K18" i="1745"/>
  <c r="J18" i="1745"/>
  <c r="I18" i="1745"/>
  <c r="H18" i="1745"/>
  <c r="G18" i="1745"/>
  <c r="F18" i="1745"/>
  <c r="E18" i="1745"/>
  <c r="D18" i="1745"/>
  <c r="C18" i="1745"/>
  <c r="Y4" i="1745"/>
  <c r="W4" i="1745"/>
  <c r="V4" i="1745"/>
  <c r="U4" i="1745"/>
  <c r="T4" i="1745"/>
  <c r="P4" i="1745"/>
  <c r="O4" i="1745"/>
  <c r="N4" i="1745"/>
  <c r="M4" i="1745"/>
  <c r="L4" i="1745"/>
  <c r="K4" i="1745"/>
  <c r="J4" i="1745"/>
  <c r="I4" i="1745"/>
  <c r="H4" i="1745"/>
  <c r="G4" i="1745"/>
  <c r="F4" i="1745"/>
  <c r="E4" i="1745"/>
  <c r="D4" i="1745"/>
  <c r="C4" i="1745"/>
  <c r="Y3" i="1745"/>
  <c r="W3" i="1745"/>
  <c r="V3" i="1745"/>
  <c r="U3" i="1745"/>
  <c r="T3" i="1745"/>
  <c r="P3" i="1745"/>
  <c r="O3" i="1745"/>
  <c r="N3" i="1745"/>
  <c r="M3" i="1745"/>
  <c r="L3" i="1745"/>
  <c r="K3" i="1745"/>
  <c r="J3" i="1745"/>
  <c r="I3" i="1745"/>
  <c r="H3" i="1745"/>
  <c r="G3" i="1745"/>
  <c r="F3" i="1745"/>
  <c r="E3" i="1745"/>
  <c r="D3" i="1745"/>
  <c r="C3" i="1745"/>
  <c r="F21" i="1744"/>
  <c r="Y19" i="1744"/>
  <c r="W19" i="1744"/>
  <c r="V19" i="1744"/>
  <c r="U19" i="1744"/>
  <c r="T19" i="1744"/>
  <c r="P19" i="1744"/>
  <c r="O19" i="1744"/>
  <c r="N19" i="1744"/>
  <c r="M19" i="1744"/>
  <c r="L19" i="1744"/>
  <c r="K19" i="1744"/>
  <c r="J19" i="1744"/>
  <c r="I19" i="1744"/>
  <c r="H19" i="1744"/>
  <c r="G19" i="1744"/>
  <c r="F19" i="1744"/>
  <c r="E19" i="1744"/>
  <c r="D19" i="1744"/>
  <c r="C19" i="1744"/>
  <c r="Y18" i="1744"/>
  <c r="W18" i="1744"/>
  <c r="V18" i="1744"/>
  <c r="U18" i="1744"/>
  <c r="T18" i="1744"/>
  <c r="P18" i="1744"/>
  <c r="O18" i="1744"/>
  <c r="N18" i="1744"/>
  <c r="M18" i="1744"/>
  <c r="L18" i="1744"/>
  <c r="K18" i="1744"/>
  <c r="J18" i="1744"/>
  <c r="I18" i="1744"/>
  <c r="H18" i="1744"/>
  <c r="G18" i="1744"/>
  <c r="F18" i="1744"/>
  <c r="E18" i="1744"/>
  <c r="D18" i="1744"/>
  <c r="C18" i="1744"/>
  <c r="Y4" i="1744"/>
  <c r="W4" i="1744"/>
  <c r="V4" i="1744"/>
  <c r="U4" i="1744"/>
  <c r="T4" i="1744"/>
  <c r="P4" i="1744"/>
  <c r="O4" i="1744"/>
  <c r="N4" i="1744"/>
  <c r="M4" i="1744"/>
  <c r="L4" i="1744"/>
  <c r="K4" i="1744"/>
  <c r="J4" i="1744"/>
  <c r="I4" i="1744"/>
  <c r="H4" i="1744"/>
  <c r="G4" i="1744"/>
  <c r="F4" i="1744"/>
  <c r="E4" i="1744"/>
  <c r="D4" i="1744"/>
  <c r="C4" i="1744"/>
  <c r="Y3" i="1744"/>
  <c r="W3" i="1744"/>
  <c r="V3" i="1744"/>
  <c r="U3" i="1744"/>
  <c r="T3" i="1744"/>
  <c r="P3" i="1744"/>
  <c r="O3" i="1744"/>
  <c r="N3" i="1744"/>
  <c r="M3" i="1744"/>
  <c r="L3" i="1744"/>
  <c r="K3" i="1744"/>
  <c r="J3" i="1744"/>
  <c r="I3" i="1744"/>
  <c r="H3" i="1744"/>
  <c r="G3" i="1744"/>
  <c r="F3" i="1744"/>
  <c r="E3" i="1744"/>
  <c r="D3" i="1744"/>
  <c r="C3" i="1744"/>
  <c r="F21" i="1743"/>
  <c r="Y19" i="1743"/>
  <c r="W19" i="1743"/>
  <c r="V19" i="1743"/>
  <c r="U19" i="1743"/>
  <c r="T19" i="1743"/>
  <c r="P19" i="1743"/>
  <c r="O19" i="1743"/>
  <c r="N19" i="1743"/>
  <c r="M19" i="1743"/>
  <c r="L19" i="1743"/>
  <c r="K19" i="1743"/>
  <c r="J19" i="1743"/>
  <c r="I19" i="1743"/>
  <c r="H19" i="1743"/>
  <c r="G19" i="1743"/>
  <c r="F19" i="1743"/>
  <c r="E19" i="1743"/>
  <c r="D19" i="1743"/>
  <c r="C19" i="1743"/>
  <c r="Y18" i="1743"/>
  <c r="W18" i="1743"/>
  <c r="V18" i="1743"/>
  <c r="U18" i="1743"/>
  <c r="T18" i="1743"/>
  <c r="P18" i="1743"/>
  <c r="O18" i="1743"/>
  <c r="N18" i="1743"/>
  <c r="M18" i="1743"/>
  <c r="L18" i="1743"/>
  <c r="K18" i="1743"/>
  <c r="J18" i="1743"/>
  <c r="I18" i="1743"/>
  <c r="H18" i="1743"/>
  <c r="G18" i="1743"/>
  <c r="F18" i="1743"/>
  <c r="E18" i="1743"/>
  <c r="D18" i="1743"/>
  <c r="C18" i="1743"/>
  <c r="Y4" i="1743"/>
  <c r="W4" i="1743"/>
  <c r="V4" i="1743"/>
  <c r="U4" i="1743"/>
  <c r="T4" i="1743"/>
  <c r="P4" i="1743"/>
  <c r="O4" i="1743"/>
  <c r="N4" i="1743"/>
  <c r="M4" i="1743"/>
  <c r="L4" i="1743"/>
  <c r="K4" i="1743"/>
  <c r="J4" i="1743"/>
  <c r="I4" i="1743"/>
  <c r="H4" i="1743"/>
  <c r="G4" i="1743"/>
  <c r="F4" i="1743"/>
  <c r="E4" i="1743"/>
  <c r="D4" i="1743"/>
  <c r="C4" i="1743"/>
  <c r="Y3" i="1743"/>
  <c r="W3" i="1743"/>
  <c r="V3" i="1743"/>
  <c r="U3" i="1743"/>
  <c r="T3" i="1743"/>
  <c r="P3" i="1743"/>
  <c r="O3" i="1743"/>
  <c r="N3" i="1743"/>
  <c r="M3" i="1743"/>
  <c r="L3" i="1743"/>
  <c r="K3" i="1743"/>
  <c r="J3" i="1743"/>
  <c r="I3" i="1743"/>
  <c r="H3" i="1743"/>
  <c r="G3" i="1743"/>
  <c r="F3" i="1743"/>
  <c r="E3" i="1743"/>
  <c r="D3" i="1743"/>
  <c r="C3" i="1743"/>
  <c r="C44" i="1742"/>
  <c r="F21" i="1742"/>
  <c r="Y19" i="1742"/>
  <c r="W19" i="1742"/>
  <c r="V19" i="1742"/>
  <c r="U19" i="1742"/>
  <c r="T19" i="1742"/>
  <c r="P19" i="1742"/>
  <c r="O19" i="1742"/>
  <c r="N19" i="1742"/>
  <c r="M19" i="1742"/>
  <c r="L19" i="1742"/>
  <c r="K19" i="1742"/>
  <c r="J19" i="1742"/>
  <c r="I19" i="1742"/>
  <c r="H19" i="1742"/>
  <c r="G19" i="1742"/>
  <c r="F19" i="1742"/>
  <c r="E19" i="1742"/>
  <c r="D19" i="1742"/>
  <c r="C19" i="1742"/>
  <c r="Y18" i="1742"/>
  <c r="W18" i="1742"/>
  <c r="V18" i="1742"/>
  <c r="U18" i="1742"/>
  <c r="T18" i="1742"/>
  <c r="P18" i="1742"/>
  <c r="O18" i="1742"/>
  <c r="N18" i="1742"/>
  <c r="M18" i="1742"/>
  <c r="L18" i="1742"/>
  <c r="K18" i="1742"/>
  <c r="J18" i="1742"/>
  <c r="I18" i="1742"/>
  <c r="H18" i="1742"/>
  <c r="G18" i="1742"/>
  <c r="F18" i="1742"/>
  <c r="E18" i="1742"/>
  <c r="D18" i="1742"/>
  <c r="C18" i="1742"/>
  <c r="Y4" i="1742"/>
  <c r="W4" i="1742"/>
  <c r="V4" i="1742"/>
  <c r="U4" i="1742"/>
  <c r="T4" i="1742"/>
  <c r="P4" i="1742"/>
  <c r="O4" i="1742"/>
  <c r="N4" i="1742"/>
  <c r="M4" i="1742"/>
  <c r="L4" i="1742"/>
  <c r="K4" i="1742"/>
  <c r="J4" i="1742"/>
  <c r="I4" i="1742"/>
  <c r="H4" i="1742"/>
  <c r="G4" i="1742"/>
  <c r="F4" i="1742"/>
  <c r="E4" i="1742"/>
  <c r="D4" i="1742"/>
  <c r="C4" i="1742"/>
  <c r="Y3" i="1742"/>
  <c r="W3" i="1742"/>
  <c r="V3" i="1742"/>
  <c r="U3" i="1742"/>
  <c r="T3" i="1742"/>
  <c r="P3" i="1742"/>
  <c r="O3" i="1742"/>
  <c r="N3" i="1742"/>
  <c r="M3" i="1742"/>
  <c r="L3" i="1742"/>
  <c r="K3" i="1742"/>
  <c r="J3" i="1742"/>
  <c r="I3" i="1742"/>
  <c r="H3" i="1742"/>
  <c r="G3" i="1742"/>
  <c r="F3" i="1742"/>
  <c r="E3" i="1742"/>
  <c r="D3" i="1742"/>
  <c r="C3" i="1742"/>
  <c r="F21" i="1741"/>
  <c r="Y19" i="1741"/>
  <c r="W19" i="1741"/>
  <c r="V19" i="1741"/>
  <c r="U19" i="1741"/>
  <c r="T19" i="1741"/>
  <c r="P19" i="1741"/>
  <c r="O19" i="1741"/>
  <c r="N19" i="1741"/>
  <c r="M19" i="1741"/>
  <c r="L19" i="1741"/>
  <c r="K19" i="1741"/>
  <c r="J19" i="1741"/>
  <c r="I19" i="1741"/>
  <c r="H19" i="1741"/>
  <c r="G19" i="1741"/>
  <c r="F19" i="1741"/>
  <c r="E19" i="1741"/>
  <c r="D19" i="1741"/>
  <c r="C19" i="1741"/>
  <c r="Y18" i="1741"/>
  <c r="W18" i="1741"/>
  <c r="V18" i="1741"/>
  <c r="U18" i="1741"/>
  <c r="T18" i="1741"/>
  <c r="P18" i="1741"/>
  <c r="O18" i="1741"/>
  <c r="N18" i="1741"/>
  <c r="M18" i="1741"/>
  <c r="L18" i="1741"/>
  <c r="K18" i="1741"/>
  <c r="J18" i="1741"/>
  <c r="I18" i="1741"/>
  <c r="H18" i="1741"/>
  <c r="G18" i="1741"/>
  <c r="F18" i="1741"/>
  <c r="E18" i="1741"/>
  <c r="D18" i="1741"/>
  <c r="C18" i="1741"/>
  <c r="Y4" i="1741"/>
  <c r="W4" i="1741"/>
  <c r="V4" i="1741"/>
  <c r="U4" i="1741"/>
  <c r="T4" i="1741"/>
  <c r="P4" i="1741"/>
  <c r="O4" i="1741"/>
  <c r="N4" i="1741"/>
  <c r="M4" i="1741"/>
  <c r="L4" i="1741"/>
  <c r="K4" i="1741"/>
  <c r="J4" i="1741"/>
  <c r="I4" i="1741"/>
  <c r="H4" i="1741"/>
  <c r="G4" i="1741"/>
  <c r="F4" i="1741"/>
  <c r="E4" i="1741"/>
  <c r="D4" i="1741"/>
  <c r="C4" i="1741"/>
  <c r="Y3" i="1741"/>
  <c r="W3" i="1741"/>
  <c r="V3" i="1741"/>
  <c r="U3" i="1741"/>
  <c r="T3" i="1741"/>
  <c r="P3" i="1741"/>
  <c r="O3" i="1741"/>
  <c r="N3" i="1741"/>
  <c r="M3" i="1741"/>
  <c r="L3" i="1741"/>
  <c r="K3" i="1741"/>
  <c r="J3" i="1741"/>
  <c r="I3" i="1741"/>
  <c r="H3" i="1741"/>
  <c r="G3" i="1741"/>
  <c r="F3" i="1741"/>
  <c r="E3" i="1741"/>
  <c r="D3" i="1741"/>
  <c r="C3" i="1741"/>
  <c r="F21" i="1740"/>
  <c r="Y19" i="1740"/>
  <c r="W19" i="1740"/>
  <c r="V19" i="1740"/>
  <c r="U19" i="1740"/>
  <c r="T19" i="1740"/>
  <c r="P19" i="1740"/>
  <c r="O19" i="1740"/>
  <c r="N19" i="1740"/>
  <c r="M19" i="1740"/>
  <c r="L19" i="1740"/>
  <c r="K19" i="1740"/>
  <c r="J19" i="1740"/>
  <c r="I19" i="1740"/>
  <c r="H19" i="1740"/>
  <c r="G19" i="1740"/>
  <c r="F19" i="1740"/>
  <c r="E19" i="1740"/>
  <c r="D19" i="1740"/>
  <c r="C19" i="1740"/>
  <c r="Y18" i="1740"/>
  <c r="W18" i="1740"/>
  <c r="V18" i="1740"/>
  <c r="U18" i="1740"/>
  <c r="T18" i="1740"/>
  <c r="P18" i="1740"/>
  <c r="O18" i="1740"/>
  <c r="N18" i="1740"/>
  <c r="M18" i="1740"/>
  <c r="L18" i="1740"/>
  <c r="K18" i="1740"/>
  <c r="J18" i="1740"/>
  <c r="I18" i="1740"/>
  <c r="H18" i="1740"/>
  <c r="G18" i="1740"/>
  <c r="F18" i="1740"/>
  <c r="E18" i="1740"/>
  <c r="D18" i="1740"/>
  <c r="C18" i="1740"/>
  <c r="Y4" i="1740"/>
  <c r="W4" i="1740"/>
  <c r="V4" i="1740"/>
  <c r="U4" i="1740"/>
  <c r="T4" i="1740"/>
  <c r="P4" i="1740"/>
  <c r="O4" i="1740"/>
  <c r="N4" i="1740"/>
  <c r="M4" i="1740"/>
  <c r="L4" i="1740"/>
  <c r="K4" i="1740"/>
  <c r="J4" i="1740"/>
  <c r="I4" i="1740"/>
  <c r="H4" i="1740"/>
  <c r="G4" i="1740"/>
  <c r="F4" i="1740"/>
  <c r="E4" i="1740"/>
  <c r="D4" i="1740"/>
  <c r="C4" i="1740"/>
  <c r="Y3" i="1740"/>
  <c r="W3" i="1740"/>
  <c r="V3" i="1740"/>
  <c r="U3" i="1740"/>
  <c r="T3" i="1740"/>
  <c r="P3" i="1740"/>
  <c r="O3" i="1740"/>
  <c r="N3" i="1740"/>
  <c r="M3" i="1740"/>
  <c r="L3" i="1740"/>
  <c r="K3" i="1740"/>
  <c r="J3" i="1740"/>
  <c r="I3" i="1740"/>
  <c r="H3" i="1740"/>
  <c r="G3" i="1740"/>
  <c r="F3" i="1740"/>
  <c r="E3" i="1740"/>
  <c r="D3" i="1740"/>
  <c r="C3" i="1740"/>
  <c r="F21" i="1739"/>
  <c r="Y19" i="1739"/>
  <c r="W19" i="1739"/>
  <c r="V19" i="1739"/>
  <c r="U19" i="1739"/>
  <c r="T19" i="1739"/>
  <c r="P19" i="1739"/>
  <c r="O19" i="1739"/>
  <c r="N19" i="1739"/>
  <c r="M19" i="1739"/>
  <c r="L19" i="1739"/>
  <c r="K19" i="1739"/>
  <c r="J19" i="1739"/>
  <c r="I19" i="1739"/>
  <c r="H19" i="1739"/>
  <c r="G19" i="1739"/>
  <c r="F19" i="1739"/>
  <c r="E19" i="1739"/>
  <c r="D19" i="1739"/>
  <c r="C19" i="1739"/>
  <c r="Y18" i="1739"/>
  <c r="W18" i="1739"/>
  <c r="V18" i="1739"/>
  <c r="U18" i="1739"/>
  <c r="T18" i="1739"/>
  <c r="P18" i="1739"/>
  <c r="O18" i="1739"/>
  <c r="N18" i="1739"/>
  <c r="M18" i="1739"/>
  <c r="L18" i="1739"/>
  <c r="K18" i="1739"/>
  <c r="J18" i="1739"/>
  <c r="I18" i="1739"/>
  <c r="H18" i="1739"/>
  <c r="G18" i="1739"/>
  <c r="F18" i="1739"/>
  <c r="E18" i="1739"/>
  <c r="D18" i="1739"/>
  <c r="C18" i="1739"/>
  <c r="Y4" i="1739"/>
  <c r="W4" i="1739"/>
  <c r="V4" i="1739"/>
  <c r="U4" i="1739"/>
  <c r="T4" i="1739"/>
  <c r="P4" i="1739"/>
  <c r="O4" i="1739"/>
  <c r="N4" i="1739"/>
  <c r="M4" i="1739"/>
  <c r="L4" i="1739"/>
  <c r="K4" i="1739"/>
  <c r="J4" i="1739"/>
  <c r="I4" i="1739"/>
  <c r="H4" i="1739"/>
  <c r="G4" i="1739"/>
  <c r="F4" i="1739"/>
  <c r="E4" i="1739"/>
  <c r="D4" i="1739"/>
  <c r="C4" i="1739"/>
  <c r="Y3" i="1739"/>
  <c r="W3" i="1739"/>
  <c r="V3" i="1739"/>
  <c r="U3" i="1739"/>
  <c r="T3" i="1739"/>
  <c r="P3" i="1739"/>
  <c r="O3" i="1739"/>
  <c r="N3" i="1739"/>
  <c r="M3" i="1739"/>
  <c r="L3" i="1739"/>
  <c r="K3" i="1739"/>
  <c r="J3" i="1739"/>
  <c r="I3" i="1739"/>
  <c r="H3" i="1739"/>
  <c r="G3" i="1739"/>
  <c r="F3" i="1739"/>
  <c r="E3" i="1739"/>
  <c r="D3" i="1739"/>
  <c r="C3" i="1739"/>
  <c r="F21" i="1738"/>
  <c r="Y19" i="1738"/>
  <c r="W19" i="1738"/>
  <c r="V19" i="1738"/>
  <c r="U19" i="1738"/>
  <c r="T19" i="1738"/>
  <c r="P19" i="1738"/>
  <c r="O19" i="1738"/>
  <c r="N19" i="1738"/>
  <c r="M19" i="1738"/>
  <c r="L19" i="1738"/>
  <c r="K19" i="1738"/>
  <c r="J19" i="1738"/>
  <c r="I19" i="1738"/>
  <c r="H19" i="1738"/>
  <c r="G19" i="1738"/>
  <c r="F19" i="1738"/>
  <c r="E19" i="1738"/>
  <c r="D19" i="1738"/>
  <c r="C19" i="1738"/>
  <c r="Y18" i="1738"/>
  <c r="W18" i="1738"/>
  <c r="V18" i="1738"/>
  <c r="U18" i="1738"/>
  <c r="T18" i="1738"/>
  <c r="P18" i="1738"/>
  <c r="O18" i="1738"/>
  <c r="N18" i="1738"/>
  <c r="M18" i="1738"/>
  <c r="L18" i="1738"/>
  <c r="K18" i="1738"/>
  <c r="J18" i="1738"/>
  <c r="I18" i="1738"/>
  <c r="H18" i="1738"/>
  <c r="G18" i="1738"/>
  <c r="F18" i="1738"/>
  <c r="E18" i="1738"/>
  <c r="D18" i="1738"/>
  <c r="C18" i="1738"/>
  <c r="Y4" i="1738"/>
  <c r="W4" i="1738"/>
  <c r="V4" i="1738"/>
  <c r="U4" i="1738"/>
  <c r="T4" i="1738"/>
  <c r="P4" i="1738"/>
  <c r="O4" i="1738"/>
  <c r="N4" i="1738"/>
  <c r="M4" i="1738"/>
  <c r="L4" i="1738"/>
  <c r="K4" i="1738"/>
  <c r="J4" i="1738"/>
  <c r="I4" i="1738"/>
  <c r="H4" i="1738"/>
  <c r="G4" i="1738"/>
  <c r="F4" i="1738"/>
  <c r="E4" i="1738"/>
  <c r="D4" i="1738"/>
  <c r="C4" i="1738"/>
  <c r="Y3" i="1738"/>
  <c r="W3" i="1738"/>
  <c r="V3" i="1738"/>
  <c r="U3" i="1738"/>
  <c r="T3" i="1738"/>
  <c r="P3" i="1738"/>
  <c r="O3" i="1738"/>
  <c r="N3" i="1738"/>
  <c r="M3" i="1738"/>
  <c r="L3" i="1738"/>
  <c r="K3" i="1738"/>
  <c r="J3" i="1738"/>
  <c r="I3" i="1738"/>
  <c r="H3" i="1738"/>
  <c r="G3" i="1738"/>
  <c r="F3" i="1738"/>
  <c r="E3" i="1738"/>
  <c r="D3" i="1738"/>
  <c r="C3" i="1738"/>
  <c r="F21" i="1737"/>
  <c r="Y19" i="1737"/>
  <c r="W19" i="1737"/>
  <c r="V19" i="1737"/>
  <c r="U19" i="1737"/>
  <c r="T19" i="1737"/>
  <c r="P19" i="1737"/>
  <c r="O19" i="1737"/>
  <c r="N19" i="1737"/>
  <c r="M19" i="1737"/>
  <c r="L19" i="1737"/>
  <c r="K19" i="1737"/>
  <c r="J19" i="1737"/>
  <c r="I19" i="1737"/>
  <c r="H19" i="1737"/>
  <c r="G19" i="1737"/>
  <c r="F19" i="1737"/>
  <c r="E19" i="1737"/>
  <c r="D19" i="1737"/>
  <c r="C19" i="1737"/>
  <c r="Y18" i="1737"/>
  <c r="W18" i="1737"/>
  <c r="V18" i="1737"/>
  <c r="U18" i="1737"/>
  <c r="T18" i="1737"/>
  <c r="P18" i="1737"/>
  <c r="O18" i="1737"/>
  <c r="N18" i="1737"/>
  <c r="M18" i="1737"/>
  <c r="L18" i="1737"/>
  <c r="K18" i="1737"/>
  <c r="J18" i="1737"/>
  <c r="I18" i="1737"/>
  <c r="H18" i="1737"/>
  <c r="G18" i="1737"/>
  <c r="F18" i="1737"/>
  <c r="E18" i="1737"/>
  <c r="D18" i="1737"/>
  <c r="C18" i="1737"/>
  <c r="Y4" i="1737"/>
  <c r="W4" i="1737"/>
  <c r="V4" i="1737"/>
  <c r="U4" i="1737"/>
  <c r="T4" i="1737"/>
  <c r="P4" i="1737"/>
  <c r="O4" i="1737"/>
  <c r="N4" i="1737"/>
  <c r="M4" i="1737"/>
  <c r="L4" i="1737"/>
  <c r="K4" i="1737"/>
  <c r="J4" i="1737"/>
  <c r="I4" i="1737"/>
  <c r="H4" i="1737"/>
  <c r="G4" i="1737"/>
  <c r="F4" i="1737"/>
  <c r="E4" i="1737"/>
  <c r="D4" i="1737"/>
  <c r="C4" i="1737"/>
  <c r="Y3" i="1737"/>
  <c r="W3" i="1737"/>
  <c r="V3" i="1737"/>
  <c r="U3" i="1737"/>
  <c r="T3" i="1737"/>
  <c r="P3" i="1737"/>
  <c r="O3" i="1737"/>
  <c r="N3" i="1737"/>
  <c r="M3" i="1737"/>
  <c r="L3" i="1737"/>
  <c r="K3" i="1737"/>
  <c r="J3" i="1737"/>
  <c r="I3" i="1737"/>
  <c r="H3" i="1737"/>
  <c r="G3" i="1737"/>
  <c r="F3" i="1737"/>
  <c r="E3" i="1737"/>
  <c r="D3" i="1737"/>
  <c r="C3" i="1737"/>
  <c r="F21" i="1736"/>
  <c r="Y19" i="1736"/>
  <c r="W19" i="1736"/>
  <c r="V19" i="1736"/>
  <c r="U19" i="1736"/>
  <c r="T19" i="1736"/>
  <c r="P19" i="1736"/>
  <c r="O19" i="1736"/>
  <c r="N19" i="1736"/>
  <c r="M19" i="1736"/>
  <c r="L19" i="1736"/>
  <c r="K19" i="1736"/>
  <c r="J19" i="1736"/>
  <c r="I19" i="1736"/>
  <c r="H19" i="1736"/>
  <c r="G19" i="1736"/>
  <c r="F19" i="1736"/>
  <c r="E19" i="1736"/>
  <c r="D19" i="1736"/>
  <c r="C19" i="1736"/>
  <c r="Y18" i="1736"/>
  <c r="W18" i="1736"/>
  <c r="V18" i="1736"/>
  <c r="U18" i="1736"/>
  <c r="T18" i="1736"/>
  <c r="P18" i="1736"/>
  <c r="O18" i="1736"/>
  <c r="N18" i="1736"/>
  <c r="M18" i="1736"/>
  <c r="L18" i="1736"/>
  <c r="K18" i="1736"/>
  <c r="J18" i="1736"/>
  <c r="I18" i="1736"/>
  <c r="H18" i="1736"/>
  <c r="G18" i="1736"/>
  <c r="F18" i="1736"/>
  <c r="E18" i="1736"/>
  <c r="D18" i="1736"/>
  <c r="C18" i="1736"/>
  <c r="Y4" i="1736"/>
  <c r="W4" i="1736"/>
  <c r="V4" i="1736"/>
  <c r="U4" i="1736"/>
  <c r="T4" i="1736"/>
  <c r="P4" i="1736"/>
  <c r="O4" i="1736"/>
  <c r="N4" i="1736"/>
  <c r="M4" i="1736"/>
  <c r="L4" i="1736"/>
  <c r="K4" i="1736"/>
  <c r="J4" i="1736"/>
  <c r="I4" i="1736"/>
  <c r="H4" i="1736"/>
  <c r="G4" i="1736"/>
  <c r="F4" i="1736"/>
  <c r="E4" i="1736"/>
  <c r="D4" i="1736"/>
  <c r="C4" i="1736"/>
  <c r="Y3" i="1736"/>
  <c r="W3" i="1736"/>
  <c r="V3" i="1736"/>
  <c r="U3" i="1736"/>
  <c r="T3" i="1736"/>
  <c r="P3" i="1736"/>
  <c r="O3" i="1736"/>
  <c r="N3" i="1736"/>
  <c r="M3" i="1736"/>
  <c r="L3" i="1736"/>
  <c r="K3" i="1736"/>
  <c r="J3" i="1736"/>
  <c r="I3" i="1736"/>
  <c r="H3" i="1736"/>
  <c r="G3" i="1736"/>
  <c r="F3" i="1736"/>
  <c r="E3" i="1736"/>
  <c r="D3" i="1736"/>
  <c r="C3" i="1736"/>
  <c r="F21" i="1735"/>
  <c r="Y19" i="1735"/>
  <c r="W19" i="1735"/>
  <c r="V19" i="1735"/>
  <c r="U19" i="1735"/>
  <c r="T19" i="1735"/>
  <c r="P19" i="1735"/>
  <c r="O19" i="1735"/>
  <c r="N19" i="1735"/>
  <c r="M19" i="1735"/>
  <c r="L19" i="1735"/>
  <c r="K19" i="1735"/>
  <c r="J19" i="1735"/>
  <c r="I19" i="1735"/>
  <c r="H19" i="1735"/>
  <c r="G19" i="1735"/>
  <c r="F19" i="1735"/>
  <c r="E19" i="1735"/>
  <c r="D19" i="1735"/>
  <c r="C19" i="1735"/>
  <c r="Y18" i="1735"/>
  <c r="W18" i="1735"/>
  <c r="V18" i="1735"/>
  <c r="U18" i="1735"/>
  <c r="T18" i="1735"/>
  <c r="P18" i="1735"/>
  <c r="O18" i="1735"/>
  <c r="N18" i="1735"/>
  <c r="M18" i="1735"/>
  <c r="L18" i="1735"/>
  <c r="K18" i="1735"/>
  <c r="J18" i="1735"/>
  <c r="I18" i="1735"/>
  <c r="H18" i="1735"/>
  <c r="G18" i="1735"/>
  <c r="F18" i="1735"/>
  <c r="E18" i="1735"/>
  <c r="D18" i="1735"/>
  <c r="C18" i="1735"/>
  <c r="Y4" i="1735"/>
  <c r="W4" i="1735"/>
  <c r="V4" i="1735"/>
  <c r="U4" i="1735"/>
  <c r="T4" i="1735"/>
  <c r="P4" i="1735"/>
  <c r="O4" i="1735"/>
  <c r="N4" i="1735"/>
  <c r="M4" i="1735"/>
  <c r="L4" i="1735"/>
  <c r="K4" i="1735"/>
  <c r="J4" i="1735"/>
  <c r="I4" i="1735"/>
  <c r="H4" i="1735"/>
  <c r="G4" i="1735"/>
  <c r="F4" i="1735"/>
  <c r="E4" i="1735"/>
  <c r="D4" i="1735"/>
  <c r="C4" i="1735"/>
  <c r="Y3" i="1735"/>
  <c r="W3" i="1735"/>
  <c r="V3" i="1735"/>
  <c r="U3" i="1735"/>
  <c r="T3" i="1735"/>
  <c r="P3" i="1735"/>
  <c r="O3" i="1735"/>
  <c r="N3" i="1735"/>
  <c r="M3" i="1735"/>
  <c r="L3" i="1735"/>
  <c r="K3" i="1735"/>
  <c r="J3" i="1735"/>
  <c r="I3" i="1735"/>
  <c r="H3" i="1735"/>
  <c r="G3" i="1735"/>
  <c r="F3" i="1735"/>
  <c r="E3" i="1735"/>
  <c r="D3" i="1735"/>
  <c r="C3" i="1735"/>
  <c r="F21" i="1734"/>
  <c r="Y19" i="1734"/>
  <c r="W19" i="1734"/>
  <c r="V19" i="1734"/>
  <c r="U19" i="1734"/>
  <c r="T19" i="1734"/>
  <c r="P19" i="1734"/>
  <c r="O19" i="1734"/>
  <c r="N19" i="1734"/>
  <c r="M19" i="1734"/>
  <c r="L19" i="1734"/>
  <c r="K19" i="1734"/>
  <c r="J19" i="1734"/>
  <c r="I19" i="1734"/>
  <c r="H19" i="1734"/>
  <c r="G19" i="1734"/>
  <c r="F19" i="1734"/>
  <c r="E19" i="1734"/>
  <c r="D19" i="1734"/>
  <c r="C19" i="1734"/>
  <c r="Y18" i="1734"/>
  <c r="W18" i="1734"/>
  <c r="V18" i="1734"/>
  <c r="U18" i="1734"/>
  <c r="T18" i="1734"/>
  <c r="P18" i="1734"/>
  <c r="O18" i="1734"/>
  <c r="N18" i="1734"/>
  <c r="M18" i="1734"/>
  <c r="L18" i="1734"/>
  <c r="K18" i="1734"/>
  <c r="J18" i="1734"/>
  <c r="I18" i="1734"/>
  <c r="H18" i="1734"/>
  <c r="G18" i="1734"/>
  <c r="F18" i="1734"/>
  <c r="E18" i="1734"/>
  <c r="D18" i="1734"/>
  <c r="C18" i="1734"/>
  <c r="Y4" i="1734"/>
  <c r="W4" i="1734"/>
  <c r="V4" i="1734"/>
  <c r="U4" i="1734"/>
  <c r="T4" i="1734"/>
  <c r="P4" i="1734"/>
  <c r="O4" i="1734"/>
  <c r="N4" i="1734"/>
  <c r="M4" i="1734"/>
  <c r="L4" i="1734"/>
  <c r="K4" i="1734"/>
  <c r="J4" i="1734"/>
  <c r="I4" i="1734"/>
  <c r="H4" i="1734"/>
  <c r="G4" i="1734"/>
  <c r="F4" i="1734"/>
  <c r="E4" i="1734"/>
  <c r="D4" i="1734"/>
  <c r="C4" i="1734"/>
  <c r="Y3" i="1734"/>
  <c r="W3" i="1734"/>
  <c r="V3" i="1734"/>
  <c r="U3" i="1734"/>
  <c r="T3" i="1734"/>
  <c r="P3" i="1734"/>
  <c r="O3" i="1734"/>
  <c r="N3" i="1734"/>
  <c r="M3" i="1734"/>
  <c r="L3" i="1734"/>
  <c r="K3" i="1734"/>
  <c r="J3" i="1734"/>
  <c r="I3" i="1734"/>
  <c r="H3" i="1734"/>
  <c r="G3" i="1734"/>
  <c r="F3" i="1734"/>
  <c r="E3" i="1734"/>
  <c r="D3" i="1734"/>
  <c r="C3" i="1734"/>
  <c r="F21" i="1733"/>
  <c r="Y19" i="1733"/>
  <c r="W19" i="1733"/>
  <c r="V19" i="1733"/>
  <c r="U19" i="1733"/>
  <c r="T19" i="1733"/>
  <c r="P19" i="1733"/>
  <c r="O19" i="1733"/>
  <c r="N19" i="1733"/>
  <c r="M19" i="1733"/>
  <c r="L19" i="1733"/>
  <c r="K19" i="1733"/>
  <c r="J19" i="1733"/>
  <c r="I19" i="1733"/>
  <c r="H19" i="1733"/>
  <c r="G19" i="1733"/>
  <c r="F19" i="1733"/>
  <c r="E19" i="1733"/>
  <c r="D19" i="1733"/>
  <c r="C19" i="1733"/>
  <c r="Y18" i="1733"/>
  <c r="W18" i="1733"/>
  <c r="V18" i="1733"/>
  <c r="U18" i="1733"/>
  <c r="T18" i="1733"/>
  <c r="P18" i="1733"/>
  <c r="O18" i="1733"/>
  <c r="N18" i="1733"/>
  <c r="M18" i="1733"/>
  <c r="L18" i="1733"/>
  <c r="K18" i="1733"/>
  <c r="J18" i="1733"/>
  <c r="I18" i="1733"/>
  <c r="H18" i="1733"/>
  <c r="G18" i="1733"/>
  <c r="F18" i="1733"/>
  <c r="E18" i="1733"/>
  <c r="D18" i="1733"/>
  <c r="C18" i="1733"/>
  <c r="Y4" i="1733"/>
  <c r="W4" i="1733"/>
  <c r="V4" i="1733"/>
  <c r="U4" i="1733"/>
  <c r="T4" i="1733"/>
  <c r="P4" i="1733"/>
  <c r="O4" i="1733"/>
  <c r="N4" i="1733"/>
  <c r="M4" i="1733"/>
  <c r="L4" i="1733"/>
  <c r="K4" i="1733"/>
  <c r="J4" i="1733"/>
  <c r="I4" i="1733"/>
  <c r="H4" i="1733"/>
  <c r="G4" i="1733"/>
  <c r="F4" i="1733"/>
  <c r="E4" i="1733"/>
  <c r="D4" i="1733"/>
  <c r="C4" i="1733"/>
  <c r="Y3" i="1733"/>
  <c r="W3" i="1733"/>
  <c r="V3" i="1733"/>
  <c r="U3" i="1733"/>
  <c r="T3" i="1733"/>
  <c r="P3" i="1733"/>
  <c r="O3" i="1733"/>
  <c r="N3" i="1733"/>
  <c r="M3" i="1733"/>
  <c r="L3" i="1733"/>
  <c r="K3" i="1733"/>
  <c r="J3" i="1733"/>
  <c r="I3" i="1733"/>
  <c r="H3" i="1733"/>
  <c r="G3" i="1733"/>
  <c r="F3" i="1733"/>
  <c r="E3" i="1733"/>
  <c r="D3" i="1733"/>
  <c r="C3" i="1733"/>
  <c r="F21" i="1732"/>
  <c r="Y19" i="1732"/>
  <c r="W19" i="1732"/>
  <c r="V19" i="1732"/>
  <c r="U19" i="1732"/>
  <c r="T19" i="1732"/>
  <c r="P19" i="1732"/>
  <c r="O19" i="1732"/>
  <c r="N19" i="1732"/>
  <c r="M19" i="1732"/>
  <c r="L19" i="1732"/>
  <c r="K19" i="1732"/>
  <c r="J19" i="1732"/>
  <c r="I19" i="1732"/>
  <c r="H19" i="1732"/>
  <c r="G19" i="1732"/>
  <c r="F19" i="1732"/>
  <c r="E19" i="1732"/>
  <c r="D19" i="1732"/>
  <c r="C19" i="1732"/>
  <c r="Y18" i="1732"/>
  <c r="W18" i="1732"/>
  <c r="V18" i="1732"/>
  <c r="U18" i="1732"/>
  <c r="T18" i="1732"/>
  <c r="P18" i="1732"/>
  <c r="O18" i="1732"/>
  <c r="N18" i="1732"/>
  <c r="M18" i="1732"/>
  <c r="L18" i="1732"/>
  <c r="K18" i="1732"/>
  <c r="J18" i="1732"/>
  <c r="I18" i="1732"/>
  <c r="H18" i="1732"/>
  <c r="G18" i="1732"/>
  <c r="F18" i="1732"/>
  <c r="E18" i="1732"/>
  <c r="D18" i="1732"/>
  <c r="C18" i="1732"/>
  <c r="Y4" i="1732"/>
  <c r="W4" i="1732"/>
  <c r="V4" i="1732"/>
  <c r="U4" i="1732"/>
  <c r="T4" i="1732"/>
  <c r="P4" i="1732"/>
  <c r="O4" i="1732"/>
  <c r="N4" i="1732"/>
  <c r="M4" i="1732"/>
  <c r="L4" i="1732"/>
  <c r="K4" i="1732"/>
  <c r="J4" i="1732"/>
  <c r="I4" i="1732"/>
  <c r="H4" i="1732"/>
  <c r="G4" i="1732"/>
  <c r="F4" i="1732"/>
  <c r="E4" i="1732"/>
  <c r="D4" i="1732"/>
  <c r="C4" i="1732"/>
  <c r="Y3" i="1732"/>
  <c r="W3" i="1732"/>
  <c r="V3" i="1732"/>
  <c r="U3" i="1732"/>
  <c r="T3" i="1732"/>
  <c r="P3" i="1732"/>
  <c r="O3" i="1732"/>
  <c r="N3" i="1732"/>
  <c r="M3" i="1732"/>
  <c r="L3" i="1732"/>
  <c r="K3" i="1732"/>
  <c r="J3" i="1732"/>
  <c r="I3" i="1732"/>
  <c r="H3" i="1732"/>
  <c r="G3" i="1732"/>
  <c r="F3" i="1732"/>
  <c r="E3" i="1732"/>
  <c r="D3" i="1732"/>
  <c r="C3" i="1732"/>
  <c r="F21" i="1731"/>
  <c r="Y19" i="1731"/>
  <c r="W19" i="1731"/>
  <c r="V19" i="1731"/>
  <c r="U19" i="1731"/>
  <c r="T19" i="1731"/>
  <c r="P19" i="1731"/>
  <c r="O19" i="1731"/>
  <c r="N19" i="1731"/>
  <c r="M19" i="1731"/>
  <c r="L19" i="1731"/>
  <c r="K19" i="1731"/>
  <c r="J19" i="1731"/>
  <c r="I19" i="1731"/>
  <c r="H19" i="1731"/>
  <c r="G19" i="1731"/>
  <c r="F19" i="1731"/>
  <c r="E19" i="1731"/>
  <c r="D19" i="1731"/>
  <c r="C19" i="1731"/>
  <c r="Y18" i="1731"/>
  <c r="W18" i="1731"/>
  <c r="V18" i="1731"/>
  <c r="U18" i="1731"/>
  <c r="T18" i="1731"/>
  <c r="P18" i="1731"/>
  <c r="O18" i="1731"/>
  <c r="N18" i="1731"/>
  <c r="M18" i="1731"/>
  <c r="L18" i="1731"/>
  <c r="K18" i="1731"/>
  <c r="J18" i="1731"/>
  <c r="I18" i="1731"/>
  <c r="H18" i="1731"/>
  <c r="G18" i="1731"/>
  <c r="F18" i="1731"/>
  <c r="E18" i="1731"/>
  <c r="D18" i="1731"/>
  <c r="C18" i="1731"/>
  <c r="Y4" i="1731"/>
  <c r="W4" i="1731"/>
  <c r="V4" i="1731"/>
  <c r="U4" i="1731"/>
  <c r="T4" i="1731"/>
  <c r="P4" i="1731"/>
  <c r="O4" i="1731"/>
  <c r="N4" i="1731"/>
  <c r="M4" i="1731"/>
  <c r="L4" i="1731"/>
  <c r="K4" i="1731"/>
  <c r="J4" i="1731"/>
  <c r="I4" i="1731"/>
  <c r="H4" i="1731"/>
  <c r="G4" i="1731"/>
  <c r="F4" i="1731"/>
  <c r="E4" i="1731"/>
  <c r="D4" i="1731"/>
  <c r="C4" i="1731"/>
  <c r="Y3" i="1731"/>
  <c r="W3" i="1731"/>
  <c r="V3" i="1731"/>
  <c r="U3" i="1731"/>
  <c r="T3" i="1731"/>
  <c r="P3" i="1731"/>
  <c r="O3" i="1731"/>
  <c r="N3" i="1731"/>
  <c r="M3" i="1731"/>
  <c r="L3" i="1731"/>
  <c r="K3" i="1731"/>
  <c r="J3" i="1731"/>
  <c r="I3" i="1731"/>
  <c r="H3" i="1731"/>
  <c r="G3" i="1731"/>
  <c r="F3" i="1731"/>
  <c r="E3" i="1731"/>
  <c r="D3" i="1731"/>
  <c r="C3" i="1731"/>
  <c r="C44" i="1730"/>
  <c r="F21" i="1730"/>
  <c r="Y19" i="1730"/>
  <c r="W19" i="1730"/>
  <c r="V19" i="1730"/>
  <c r="U19" i="1730"/>
  <c r="T19" i="1730"/>
  <c r="P19" i="1730"/>
  <c r="O19" i="1730"/>
  <c r="N19" i="1730"/>
  <c r="M19" i="1730"/>
  <c r="L19" i="1730"/>
  <c r="K19" i="1730"/>
  <c r="J19" i="1730"/>
  <c r="I19" i="1730"/>
  <c r="H19" i="1730"/>
  <c r="G19" i="1730"/>
  <c r="F19" i="1730"/>
  <c r="E19" i="1730"/>
  <c r="D19" i="1730"/>
  <c r="C19" i="1730"/>
  <c r="Y18" i="1730"/>
  <c r="W18" i="1730"/>
  <c r="V18" i="1730"/>
  <c r="U18" i="1730"/>
  <c r="T18" i="1730"/>
  <c r="P18" i="1730"/>
  <c r="O18" i="1730"/>
  <c r="N18" i="1730"/>
  <c r="M18" i="1730"/>
  <c r="L18" i="1730"/>
  <c r="K18" i="1730"/>
  <c r="J18" i="1730"/>
  <c r="I18" i="1730"/>
  <c r="H18" i="1730"/>
  <c r="G18" i="1730"/>
  <c r="F18" i="1730"/>
  <c r="E18" i="1730"/>
  <c r="D18" i="1730"/>
  <c r="C18" i="1730"/>
  <c r="Y4" i="1730"/>
  <c r="W4" i="1730"/>
  <c r="V4" i="1730"/>
  <c r="U4" i="1730"/>
  <c r="T4" i="1730"/>
  <c r="P4" i="1730"/>
  <c r="O4" i="1730"/>
  <c r="N4" i="1730"/>
  <c r="M4" i="1730"/>
  <c r="L4" i="1730"/>
  <c r="K4" i="1730"/>
  <c r="J4" i="1730"/>
  <c r="I4" i="1730"/>
  <c r="H4" i="1730"/>
  <c r="G4" i="1730"/>
  <c r="F4" i="1730"/>
  <c r="E4" i="1730"/>
  <c r="D4" i="1730"/>
  <c r="C4" i="1730"/>
  <c r="Y3" i="1730"/>
  <c r="W3" i="1730"/>
  <c r="V3" i="1730"/>
  <c r="U3" i="1730"/>
  <c r="T3" i="1730"/>
  <c r="P3" i="1730"/>
  <c r="O3" i="1730"/>
  <c r="N3" i="1730"/>
  <c r="M3" i="1730"/>
  <c r="L3" i="1730"/>
  <c r="K3" i="1730"/>
  <c r="J3" i="1730"/>
  <c r="I3" i="1730"/>
  <c r="H3" i="1730"/>
  <c r="G3" i="1730"/>
  <c r="F3" i="1730"/>
  <c r="E3" i="1730"/>
  <c r="D3" i="1730"/>
  <c r="C3" i="1730"/>
  <c r="F21" i="1729"/>
  <c r="Y19" i="1729"/>
  <c r="W19" i="1729"/>
  <c r="V19" i="1729"/>
  <c r="U19" i="1729"/>
  <c r="T19" i="1729"/>
  <c r="P19" i="1729"/>
  <c r="O19" i="1729"/>
  <c r="N19" i="1729"/>
  <c r="M19" i="1729"/>
  <c r="L19" i="1729"/>
  <c r="K19" i="1729"/>
  <c r="J19" i="1729"/>
  <c r="I19" i="1729"/>
  <c r="H19" i="1729"/>
  <c r="G19" i="1729"/>
  <c r="F19" i="1729"/>
  <c r="E19" i="1729"/>
  <c r="D19" i="1729"/>
  <c r="C19" i="1729"/>
  <c r="Y18" i="1729"/>
  <c r="W18" i="1729"/>
  <c r="V18" i="1729"/>
  <c r="U18" i="1729"/>
  <c r="T18" i="1729"/>
  <c r="P18" i="1729"/>
  <c r="O18" i="1729"/>
  <c r="N18" i="1729"/>
  <c r="M18" i="1729"/>
  <c r="L18" i="1729"/>
  <c r="K18" i="1729"/>
  <c r="J18" i="1729"/>
  <c r="I18" i="1729"/>
  <c r="H18" i="1729"/>
  <c r="G18" i="1729"/>
  <c r="F18" i="1729"/>
  <c r="E18" i="1729"/>
  <c r="D18" i="1729"/>
  <c r="C18" i="1729"/>
  <c r="Y4" i="1729"/>
  <c r="W4" i="1729"/>
  <c r="V4" i="1729"/>
  <c r="U4" i="1729"/>
  <c r="T4" i="1729"/>
  <c r="P4" i="1729"/>
  <c r="O4" i="1729"/>
  <c r="N4" i="1729"/>
  <c r="M4" i="1729"/>
  <c r="L4" i="1729"/>
  <c r="K4" i="1729"/>
  <c r="J4" i="1729"/>
  <c r="I4" i="1729"/>
  <c r="H4" i="1729"/>
  <c r="G4" i="1729"/>
  <c r="F4" i="1729"/>
  <c r="E4" i="1729"/>
  <c r="D4" i="1729"/>
  <c r="C4" i="1729"/>
  <c r="Y3" i="1729"/>
  <c r="W3" i="1729"/>
  <c r="V3" i="1729"/>
  <c r="U3" i="1729"/>
  <c r="T3" i="1729"/>
  <c r="P3" i="1729"/>
  <c r="O3" i="1729"/>
  <c r="N3" i="1729"/>
  <c r="M3" i="1729"/>
  <c r="L3" i="1729"/>
  <c r="K3" i="1729"/>
  <c r="J3" i="1729"/>
  <c r="I3" i="1729"/>
  <c r="H3" i="1729"/>
  <c r="G3" i="1729"/>
  <c r="F3" i="1729"/>
  <c r="E3" i="1729"/>
  <c r="D3" i="1729"/>
  <c r="C3" i="1729"/>
  <c r="F21" i="1728"/>
  <c r="Y19" i="1728"/>
  <c r="W19" i="1728"/>
  <c r="V19" i="1728"/>
  <c r="U19" i="1728"/>
  <c r="T19" i="1728"/>
  <c r="P19" i="1728"/>
  <c r="O19" i="1728"/>
  <c r="N19" i="1728"/>
  <c r="M19" i="1728"/>
  <c r="L19" i="1728"/>
  <c r="K19" i="1728"/>
  <c r="J19" i="1728"/>
  <c r="I19" i="1728"/>
  <c r="H19" i="1728"/>
  <c r="G19" i="1728"/>
  <c r="F19" i="1728"/>
  <c r="E19" i="1728"/>
  <c r="D19" i="1728"/>
  <c r="C19" i="1728"/>
  <c r="Y18" i="1728"/>
  <c r="W18" i="1728"/>
  <c r="V18" i="1728"/>
  <c r="U18" i="1728"/>
  <c r="T18" i="1728"/>
  <c r="P18" i="1728"/>
  <c r="O18" i="1728"/>
  <c r="N18" i="1728"/>
  <c r="M18" i="1728"/>
  <c r="L18" i="1728"/>
  <c r="K18" i="1728"/>
  <c r="J18" i="1728"/>
  <c r="I18" i="1728"/>
  <c r="H18" i="1728"/>
  <c r="G18" i="1728"/>
  <c r="F18" i="1728"/>
  <c r="E18" i="1728"/>
  <c r="D18" i="1728"/>
  <c r="C18" i="1728"/>
  <c r="Y4" i="1728"/>
  <c r="W4" i="1728"/>
  <c r="V4" i="1728"/>
  <c r="U4" i="1728"/>
  <c r="T4" i="1728"/>
  <c r="P4" i="1728"/>
  <c r="O4" i="1728"/>
  <c r="N4" i="1728"/>
  <c r="M4" i="1728"/>
  <c r="L4" i="1728"/>
  <c r="K4" i="1728"/>
  <c r="J4" i="1728"/>
  <c r="I4" i="1728"/>
  <c r="H4" i="1728"/>
  <c r="G4" i="1728"/>
  <c r="F4" i="1728"/>
  <c r="E4" i="1728"/>
  <c r="D4" i="1728"/>
  <c r="C4" i="1728"/>
  <c r="Y3" i="1728"/>
  <c r="W3" i="1728"/>
  <c r="V3" i="1728"/>
  <c r="U3" i="1728"/>
  <c r="T3" i="1728"/>
  <c r="P3" i="1728"/>
  <c r="O3" i="1728"/>
  <c r="N3" i="1728"/>
  <c r="M3" i="1728"/>
  <c r="L3" i="1728"/>
  <c r="K3" i="1728"/>
  <c r="J3" i="1728"/>
  <c r="I3" i="1728"/>
  <c r="H3" i="1728"/>
  <c r="G3" i="1728"/>
  <c r="F3" i="1728"/>
  <c r="E3" i="1728"/>
  <c r="D3" i="1728"/>
  <c r="C3" i="1728"/>
  <c r="F21" i="1727"/>
  <c r="Y19" i="1727"/>
  <c r="W19" i="1727"/>
  <c r="V19" i="1727"/>
  <c r="U19" i="1727"/>
  <c r="T19" i="1727"/>
  <c r="P19" i="1727"/>
  <c r="O19" i="1727"/>
  <c r="N19" i="1727"/>
  <c r="M19" i="1727"/>
  <c r="L19" i="1727"/>
  <c r="K19" i="1727"/>
  <c r="J19" i="1727"/>
  <c r="I19" i="1727"/>
  <c r="H19" i="1727"/>
  <c r="G19" i="1727"/>
  <c r="F19" i="1727"/>
  <c r="E19" i="1727"/>
  <c r="D19" i="1727"/>
  <c r="C19" i="1727"/>
  <c r="Y18" i="1727"/>
  <c r="W18" i="1727"/>
  <c r="V18" i="1727"/>
  <c r="U18" i="1727"/>
  <c r="T18" i="1727"/>
  <c r="P18" i="1727"/>
  <c r="O18" i="1727"/>
  <c r="N18" i="1727"/>
  <c r="M18" i="1727"/>
  <c r="L18" i="1727"/>
  <c r="K18" i="1727"/>
  <c r="J18" i="1727"/>
  <c r="I18" i="1727"/>
  <c r="H18" i="1727"/>
  <c r="G18" i="1727"/>
  <c r="F18" i="1727"/>
  <c r="E18" i="1727"/>
  <c r="D18" i="1727"/>
  <c r="C18" i="1727"/>
  <c r="Y4" i="1727"/>
  <c r="W4" i="1727"/>
  <c r="V4" i="1727"/>
  <c r="U4" i="1727"/>
  <c r="T4" i="1727"/>
  <c r="P4" i="1727"/>
  <c r="O4" i="1727"/>
  <c r="N4" i="1727"/>
  <c r="M4" i="1727"/>
  <c r="L4" i="1727"/>
  <c r="K4" i="1727"/>
  <c r="J4" i="1727"/>
  <c r="I4" i="1727"/>
  <c r="H4" i="1727"/>
  <c r="G4" i="1727"/>
  <c r="F4" i="1727"/>
  <c r="E4" i="1727"/>
  <c r="D4" i="1727"/>
  <c r="C4" i="1727"/>
  <c r="Y3" i="1727"/>
  <c r="W3" i="1727"/>
  <c r="V3" i="1727"/>
  <c r="U3" i="1727"/>
  <c r="T3" i="1727"/>
  <c r="P3" i="1727"/>
  <c r="O3" i="1727"/>
  <c r="N3" i="1727"/>
  <c r="M3" i="1727"/>
  <c r="L3" i="1727"/>
  <c r="K3" i="1727"/>
  <c r="J3" i="1727"/>
  <c r="I3" i="1727"/>
  <c r="H3" i="1727"/>
  <c r="G3" i="1727"/>
  <c r="F3" i="1727"/>
  <c r="E3" i="1727"/>
  <c r="D3" i="1727"/>
  <c r="C3" i="1727"/>
  <c r="F21" i="1726"/>
  <c r="Y19" i="1726"/>
  <c r="W19" i="1726"/>
  <c r="V19" i="1726"/>
  <c r="U19" i="1726"/>
  <c r="T19" i="1726"/>
  <c r="P19" i="1726"/>
  <c r="O19" i="1726"/>
  <c r="N19" i="1726"/>
  <c r="M19" i="1726"/>
  <c r="L19" i="1726"/>
  <c r="K19" i="1726"/>
  <c r="J19" i="1726"/>
  <c r="I19" i="1726"/>
  <c r="H19" i="1726"/>
  <c r="G19" i="1726"/>
  <c r="F19" i="1726"/>
  <c r="E19" i="1726"/>
  <c r="D19" i="1726"/>
  <c r="C19" i="1726"/>
  <c r="Y18" i="1726"/>
  <c r="W18" i="1726"/>
  <c r="V18" i="1726"/>
  <c r="U18" i="1726"/>
  <c r="T18" i="1726"/>
  <c r="P18" i="1726"/>
  <c r="O18" i="1726"/>
  <c r="N18" i="1726"/>
  <c r="M18" i="1726"/>
  <c r="L18" i="1726"/>
  <c r="K18" i="1726"/>
  <c r="J18" i="1726"/>
  <c r="I18" i="1726"/>
  <c r="H18" i="1726"/>
  <c r="G18" i="1726"/>
  <c r="F18" i="1726"/>
  <c r="E18" i="1726"/>
  <c r="D18" i="1726"/>
  <c r="C18" i="1726"/>
  <c r="Y4" i="1726"/>
  <c r="W4" i="1726"/>
  <c r="V4" i="1726"/>
  <c r="U4" i="1726"/>
  <c r="T4" i="1726"/>
  <c r="P4" i="1726"/>
  <c r="O4" i="1726"/>
  <c r="N4" i="1726"/>
  <c r="M4" i="1726"/>
  <c r="L4" i="1726"/>
  <c r="K4" i="1726"/>
  <c r="J4" i="1726"/>
  <c r="I4" i="1726"/>
  <c r="H4" i="1726"/>
  <c r="G4" i="1726"/>
  <c r="F4" i="1726"/>
  <c r="E4" i="1726"/>
  <c r="D4" i="1726"/>
  <c r="C4" i="1726"/>
  <c r="Y3" i="1726"/>
  <c r="W3" i="1726"/>
  <c r="V3" i="1726"/>
  <c r="U3" i="1726"/>
  <c r="T3" i="1726"/>
  <c r="P3" i="1726"/>
  <c r="O3" i="1726"/>
  <c r="N3" i="1726"/>
  <c r="M3" i="1726"/>
  <c r="L3" i="1726"/>
  <c r="K3" i="1726"/>
  <c r="J3" i="1726"/>
  <c r="I3" i="1726"/>
  <c r="H3" i="1726"/>
  <c r="G3" i="1726"/>
  <c r="F3" i="1726"/>
  <c r="E3" i="1726"/>
  <c r="D3" i="1726"/>
  <c r="C3" i="1726"/>
  <c r="F21" i="1725"/>
  <c r="Y19" i="1725"/>
  <c r="W19" i="1725"/>
  <c r="V19" i="1725"/>
  <c r="U19" i="1725"/>
  <c r="T19" i="1725"/>
  <c r="P19" i="1725"/>
  <c r="O19" i="1725"/>
  <c r="N19" i="1725"/>
  <c r="M19" i="1725"/>
  <c r="L19" i="1725"/>
  <c r="K19" i="1725"/>
  <c r="J19" i="1725"/>
  <c r="I19" i="1725"/>
  <c r="H19" i="1725"/>
  <c r="G19" i="1725"/>
  <c r="F19" i="1725"/>
  <c r="E19" i="1725"/>
  <c r="D19" i="1725"/>
  <c r="C19" i="1725"/>
  <c r="Y18" i="1725"/>
  <c r="W18" i="1725"/>
  <c r="V18" i="1725"/>
  <c r="U18" i="1725"/>
  <c r="T18" i="1725"/>
  <c r="P18" i="1725"/>
  <c r="O18" i="1725"/>
  <c r="N18" i="1725"/>
  <c r="M18" i="1725"/>
  <c r="L18" i="1725"/>
  <c r="K18" i="1725"/>
  <c r="J18" i="1725"/>
  <c r="I18" i="1725"/>
  <c r="H18" i="1725"/>
  <c r="G18" i="1725"/>
  <c r="F18" i="1725"/>
  <c r="E18" i="1725"/>
  <c r="D18" i="1725"/>
  <c r="C18" i="1725"/>
  <c r="Y4" i="1725"/>
  <c r="W4" i="1725"/>
  <c r="V4" i="1725"/>
  <c r="U4" i="1725"/>
  <c r="T4" i="1725"/>
  <c r="P4" i="1725"/>
  <c r="O4" i="1725"/>
  <c r="N4" i="1725"/>
  <c r="M4" i="1725"/>
  <c r="L4" i="1725"/>
  <c r="K4" i="1725"/>
  <c r="J4" i="1725"/>
  <c r="I4" i="1725"/>
  <c r="H4" i="1725"/>
  <c r="G4" i="1725"/>
  <c r="F4" i="1725"/>
  <c r="E4" i="1725"/>
  <c r="D4" i="1725"/>
  <c r="C4" i="1725"/>
  <c r="Y3" i="1725"/>
  <c r="W3" i="1725"/>
  <c r="V3" i="1725"/>
  <c r="U3" i="1725"/>
  <c r="T3" i="1725"/>
  <c r="P3" i="1725"/>
  <c r="O3" i="1725"/>
  <c r="N3" i="1725"/>
  <c r="M3" i="1725"/>
  <c r="L3" i="1725"/>
  <c r="K3" i="1725"/>
  <c r="J3" i="1725"/>
  <c r="I3" i="1725"/>
  <c r="H3" i="1725"/>
  <c r="G3" i="1725"/>
  <c r="F3" i="1725"/>
  <c r="E3" i="1725"/>
  <c r="D3" i="1725"/>
  <c r="C3" i="1725"/>
  <c r="F21" i="1724"/>
  <c r="Y19" i="1724"/>
  <c r="W19" i="1724"/>
  <c r="V19" i="1724"/>
  <c r="U19" i="1724"/>
  <c r="T19" i="1724"/>
  <c r="P19" i="1724"/>
  <c r="O19" i="1724"/>
  <c r="N19" i="1724"/>
  <c r="M19" i="1724"/>
  <c r="L19" i="1724"/>
  <c r="K19" i="1724"/>
  <c r="J19" i="1724"/>
  <c r="I19" i="1724"/>
  <c r="H19" i="1724"/>
  <c r="G19" i="1724"/>
  <c r="F19" i="1724"/>
  <c r="E19" i="1724"/>
  <c r="D19" i="1724"/>
  <c r="C19" i="1724"/>
  <c r="Y18" i="1724"/>
  <c r="W18" i="1724"/>
  <c r="V18" i="1724"/>
  <c r="U18" i="1724"/>
  <c r="T18" i="1724"/>
  <c r="P18" i="1724"/>
  <c r="O18" i="1724"/>
  <c r="N18" i="1724"/>
  <c r="M18" i="1724"/>
  <c r="L18" i="1724"/>
  <c r="K18" i="1724"/>
  <c r="J18" i="1724"/>
  <c r="I18" i="1724"/>
  <c r="H18" i="1724"/>
  <c r="G18" i="1724"/>
  <c r="F18" i="1724"/>
  <c r="E18" i="1724"/>
  <c r="D18" i="1724"/>
  <c r="C18" i="1724"/>
  <c r="Y4" i="1724"/>
  <c r="W4" i="1724"/>
  <c r="V4" i="1724"/>
  <c r="U4" i="1724"/>
  <c r="T4" i="1724"/>
  <c r="P4" i="1724"/>
  <c r="O4" i="1724"/>
  <c r="N4" i="1724"/>
  <c r="M4" i="1724"/>
  <c r="L4" i="1724"/>
  <c r="K4" i="1724"/>
  <c r="J4" i="1724"/>
  <c r="I4" i="1724"/>
  <c r="H4" i="1724"/>
  <c r="G4" i="1724"/>
  <c r="F4" i="1724"/>
  <c r="E4" i="1724"/>
  <c r="D4" i="1724"/>
  <c r="C4" i="1724"/>
  <c r="Y3" i="1724"/>
  <c r="W3" i="1724"/>
  <c r="V3" i="1724"/>
  <c r="U3" i="1724"/>
  <c r="T3" i="1724"/>
  <c r="P3" i="1724"/>
  <c r="O3" i="1724"/>
  <c r="N3" i="1724"/>
  <c r="M3" i="1724"/>
  <c r="L3" i="1724"/>
  <c r="K3" i="1724"/>
  <c r="J3" i="1724"/>
  <c r="I3" i="1724"/>
  <c r="H3" i="1724"/>
  <c r="G3" i="1724"/>
  <c r="F3" i="1724"/>
  <c r="E3" i="1724"/>
  <c r="D3" i="1724"/>
  <c r="C3" i="1724"/>
  <c r="F21" i="1723"/>
  <c r="Y19" i="1723"/>
  <c r="W19" i="1723"/>
  <c r="V19" i="1723"/>
  <c r="U19" i="1723"/>
  <c r="T19" i="1723"/>
  <c r="P19" i="1723"/>
  <c r="O19" i="1723"/>
  <c r="N19" i="1723"/>
  <c r="M19" i="1723"/>
  <c r="L19" i="1723"/>
  <c r="K19" i="1723"/>
  <c r="J19" i="1723"/>
  <c r="I19" i="1723"/>
  <c r="H19" i="1723"/>
  <c r="G19" i="1723"/>
  <c r="F19" i="1723"/>
  <c r="E19" i="1723"/>
  <c r="D19" i="1723"/>
  <c r="C19" i="1723"/>
  <c r="Y18" i="1723"/>
  <c r="W18" i="1723"/>
  <c r="V18" i="1723"/>
  <c r="U18" i="1723"/>
  <c r="T18" i="1723"/>
  <c r="P18" i="1723"/>
  <c r="O18" i="1723"/>
  <c r="N18" i="1723"/>
  <c r="M18" i="1723"/>
  <c r="L18" i="1723"/>
  <c r="K18" i="1723"/>
  <c r="J18" i="1723"/>
  <c r="I18" i="1723"/>
  <c r="H18" i="1723"/>
  <c r="G18" i="1723"/>
  <c r="F18" i="1723"/>
  <c r="E18" i="1723"/>
  <c r="D18" i="1723"/>
  <c r="C18" i="1723"/>
  <c r="Y4" i="1723"/>
  <c r="W4" i="1723"/>
  <c r="V4" i="1723"/>
  <c r="U4" i="1723"/>
  <c r="T4" i="1723"/>
  <c r="P4" i="1723"/>
  <c r="O4" i="1723"/>
  <c r="N4" i="1723"/>
  <c r="M4" i="1723"/>
  <c r="L4" i="1723"/>
  <c r="K4" i="1723"/>
  <c r="J4" i="1723"/>
  <c r="I4" i="1723"/>
  <c r="H4" i="1723"/>
  <c r="G4" i="1723"/>
  <c r="F4" i="1723"/>
  <c r="E4" i="1723"/>
  <c r="D4" i="1723"/>
  <c r="C4" i="1723"/>
  <c r="Y3" i="1723"/>
  <c r="W3" i="1723"/>
  <c r="V3" i="1723"/>
  <c r="U3" i="1723"/>
  <c r="T3" i="1723"/>
  <c r="P3" i="1723"/>
  <c r="O3" i="1723"/>
  <c r="N3" i="1723"/>
  <c r="M3" i="1723"/>
  <c r="L3" i="1723"/>
  <c r="K3" i="1723"/>
  <c r="J3" i="1723"/>
  <c r="I3" i="1723"/>
  <c r="H3" i="1723"/>
  <c r="G3" i="1723"/>
  <c r="F3" i="1723"/>
  <c r="E3" i="1723"/>
  <c r="D3" i="1723"/>
  <c r="C3" i="1723"/>
  <c r="F21" i="1706" l="1"/>
  <c r="Y19" i="1706"/>
  <c r="W19" i="1706"/>
  <c r="V19" i="1706"/>
  <c r="U19" i="1706"/>
  <c r="T19" i="1706"/>
  <c r="P19" i="1706"/>
  <c r="O19" i="1706"/>
  <c r="N19" i="1706"/>
  <c r="M19" i="1706"/>
  <c r="L19" i="1706"/>
  <c r="K19" i="1706"/>
  <c r="J19" i="1706"/>
  <c r="I19" i="1706"/>
  <c r="H19" i="1706"/>
  <c r="G19" i="1706"/>
  <c r="F19" i="1706"/>
  <c r="E19" i="1706"/>
  <c r="D19" i="1706"/>
  <c r="C19" i="1706"/>
  <c r="Y18" i="1706"/>
  <c r="W18" i="1706"/>
  <c r="V18" i="1706"/>
  <c r="U18" i="1706"/>
  <c r="T18" i="1706"/>
  <c r="P18" i="1706"/>
  <c r="O18" i="1706"/>
  <c r="N18" i="1706"/>
  <c r="M18" i="1706"/>
  <c r="L18" i="1706"/>
  <c r="K18" i="1706"/>
  <c r="J18" i="1706"/>
  <c r="I18" i="1706"/>
  <c r="H18" i="1706"/>
  <c r="G18" i="1706"/>
  <c r="F18" i="1706"/>
  <c r="E18" i="1706"/>
  <c r="D18" i="1706"/>
  <c r="C18" i="1706"/>
  <c r="Y4" i="1706"/>
  <c r="W4" i="1706"/>
  <c r="V4" i="1706"/>
  <c r="U4" i="1706"/>
  <c r="T4" i="1706"/>
  <c r="P4" i="1706"/>
  <c r="O4" i="1706"/>
  <c r="N4" i="1706"/>
  <c r="M4" i="1706"/>
  <c r="L4" i="1706"/>
  <c r="K4" i="1706"/>
  <c r="J4" i="1706"/>
  <c r="I4" i="1706"/>
  <c r="H4" i="1706"/>
  <c r="G4" i="1706"/>
  <c r="F4" i="1706"/>
  <c r="E4" i="1706"/>
  <c r="D4" i="1706"/>
  <c r="C4" i="1706"/>
  <c r="Y3" i="1706"/>
  <c r="W3" i="1706"/>
  <c r="V3" i="1706"/>
  <c r="U3" i="1706"/>
  <c r="T3" i="1706"/>
  <c r="P3" i="1706"/>
  <c r="O3" i="1706"/>
  <c r="N3" i="1706"/>
  <c r="M3" i="1706"/>
  <c r="L3" i="1706"/>
  <c r="K3" i="1706"/>
  <c r="J3" i="1706"/>
  <c r="I3" i="1706"/>
  <c r="H3" i="1706"/>
  <c r="G3" i="1706"/>
  <c r="F3" i="1706"/>
  <c r="E3" i="1706"/>
  <c r="D3" i="1706"/>
  <c r="C3" i="1706"/>
  <c r="F21" i="1705"/>
  <c r="Y19" i="1705"/>
  <c r="W19" i="1705"/>
  <c r="V19" i="1705"/>
  <c r="U19" i="1705"/>
  <c r="T19" i="1705"/>
  <c r="P19" i="1705"/>
  <c r="O19" i="1705"/>
  <c r="N19" i="1705"/>
  <c r="M19" i="1705"/>
  <c r="L19" i="1705"/>
  <c r="K19" i="1705"/>
  <c r="J19" i="1705"/>
  <c r="I19" i="1705"/>
  <c r="H19" i="1705"/>
  <c r="G19" i="1705"/>
  <c r="F19" i="1705"/>
  <c r="E19" i="1705"/>
  <c r="D19" i="1705"/>
  <c r="C19" i="1705"/>
  <c r="Y18" i="1705"/>
  <c r="W18" i="1705"/>
  <c r="V18" i="1705"/>
  <c r="U18" i="1705"/>
  <c r="T18" i="1705"/>
  <c r="P18" i="1705"/>
  <c r="O18" i="1705"/>
  <c r="N18" i="1705"/>
  <c r="M18" i="1705"/>
  <c r="L18" i="1705"/>
  <c r="K18" i="1705"/>
  <c r="J18" i="1705"/>
  <c r="I18" i="1705"/>
  <c r="H18" i="1705"/>
  <c r="G18" i="1705"/>
  <c r="F18" i="1705"/>
  <c r="E18" i="1705"/>
  <c r="D18" i="1705"/>
  <c r="C18" i="1705"/>
  <c r="Y4" i="1705"/>
  <c r="W4" i="1705"/>
  <c r="V4" i="1705"/>
  <c r="U4" i="1705"/>
  <c r="T4" i="1705"/>
  <c r="P4" i="1705"/>
  <c r="O4" i="1705"/>
  <c r="N4" i="1705"/>
  <c r="M4" i="1705"/>
  <c r="L4" i="1705"/>
  <c r="K4" i="1705"/>
  <c r="J4" i="1705"/>
  <c r="I4" i="1705"/>
  <c r="H4" i="1705"/>
  <c r="G4" i="1705"/>
  <c r="F4" i="1705"/>
  <c r="E4" i="1705"/>
  <c r="D4" i="1705"/>
  <c r="C4" i="1705"/>
  <c r="Y3" i="1705"/>
  <c r="W3" i="1705"/>
  <c r="V3" i="1705"/>
  <c r="U3" i="1705"/>
  <c r="T3" i="1705"/>
  <c r="P3" i="1705"/>
  <c r="O3" i="1705"/>
  <c r="N3" i="1705"/>
  <c r="M3" i="1705"/>
  <c r="L3" i="1705"/>
  <c r="K3" i="1705"/>
  <c r="J3" i="1705"/>
  <c r="I3" i="1705"/>
  <c r="H3" i="1705"/>
  <c r="G3" i="1705"/>
  <c r="F3" i="1705"/>
  <c r="E3" i="1705"/>
  <c r="D3" i="1705"/>
  <c r="C3" i="1705"/>
  <c r="F21" i="1704"/>
  <c r="Y19" i="1704"/>
  <c r="W19" i="1704"/>
  <c r="V19" i="1704"/>
  <c r="U19" i="1704"/>
  <c r="T19" i="1704"/>
  <c r="P19" i="1704"/>
  <c r="O19" i="1704"/>
  <c r="N19" i="1704"/>
  <c r="M19" i="1704"/>
  <c r="L19" i="1704"/>
  <c r="K19" i="1704"/>
  <c r="J19" i="1704"/>
  <c r="I19" i="1704"/>
  <c r="H19" i="1704"/>
  <c r="G19" i="1704"/>
  <c r="F19" i="1704"/>
  <c r="E19" i="1704"/>
  <c r="D19" i="1704"/>
  <c r="C19" i="1704"/>
  <c r="Y18" i="1704"/>
  <c r="W18" i="1704"/>
  <c r="V18" i="1704"/>
  <c r="U18" i="1704"/>
  <c r="T18" i="1704"/>
  <c r="P18" i="1704"/>
  <c r="O18" i="1704"/>
  <c r="N18" i="1704"/>
  <c r="M18" i="1704"/>
  <c r="L18" i="1704"/>
  <c r="K18" i="1704"/>
  <c r="J18" i="1704"/>
  <c r="I18" i="1704"/>
  <c r="H18" i="1704"/>
  <c r="G18" i="1704"/>
  <c r="F18" i="1704"/>
  <c r="E18" i="1704"/>
  <c r="D18" i="1704"/>
  <c r="C18" i="1704"/>
  <c r="Y4" i="1704"/>
  <c r="W4" i="1704"/>
  <c r="V4" i="1704"/>
  <c r="U4" i="1704"/>
  <c r="T4" i="1704"/>
  <c r="P4" i="1704"/>
  <c r="O4" i="1704"/>
  <c r="N4" i="1704"/>
  <c r="M4" i="1704"/>
  <c r="L4" i="1704"/>
  <c r="K4" i="1704"/>
  <c r="J4" i="1704"/>
  <c r="I4" i="1704"/>
  <c r="H4" i="1704"/>
  <c r="G4" i="1704"/>
  <c r="F4" i="1704"/>
  <c r="E4" i="1704"/>
  <c r="D4" i="1704"/>
  <c r="C4" i="1704"/>
  <c r="Y3" i="1704"/>
  <c r="W3" i="1704"/>
  <c r="V3" i="1704"/>
  <c r="U3" i="1704"/>
  <c r="T3" i="1704"/>
  <c r="P3" i="1704"/>
  <c r="O3" i="1704"/>
  <c r="N3" i="1704"/>
  <c r="M3" i="1704"/>
  <c r="L3" i="1704"/>
  <c r="K3" i="1704"/>
  <c r="J3" i="1704"/>
  <c r="I3" i="1704"/>
  <c r="H3" i="1704"/>
  <c r="G3" i="1704"/>
  <c r="F3" i="1704"/>
  <c r="E3" i="1704"/>
  <c r="D3" i="1704"/>
  <c r="C3" i="1704"/>
  <c r="F21" i="1703"/>
  <c r="Y19" i="1703"/>
  <c r="W19" i="1703"/>
  <c r="V19" i="1703"/>
  <c r="U19" i="1703"/>
  <c r="T19" i="1703"/>
  <c r="P19" i="1703"/>
  <c r="O19" i="1703"/>
  <c r="N19" i="1703"/>
  <c r="M19" i="1703"/>
  <c r="L19" i="1703"/>
  <c r="K19" i="1703"/>
  <c r="J19" i="1703"/>
  <c r="I19" i="1703"/>
  <c r="H19" i="1703"/>
  <c r="G19" i="1703"/>
  <c r="F19" i="1703"/>
  <c r="E19" i="1703"/>
  <c r="D19" i="1703"/>
  <c r="C19" i="1703"/>
  <c r="Y18" i="1703"/>
  <c r="W18" i="1703"/>
  <c r="V18" i="1703"/>
  <c r="U18" i="1703"/>
  <c r="T18" i="1703"/>
  <c r="P18" i="1703"/>
  <c r="O18" i="1703"/>
  <c r="N18" i="1703"/>
  <c r="M18" i="1703"/>
  <c r="L18" i="1703"/>
  <c r="K18" i="1703"/>
  <c r="J18" i="1703"/>
  <c r="I18" i="1703"/>
  <c r="H18" i="1703"/>
  <c r="G18" i="1703"/>
  <c r="F18" i="1703"/>
  <c r="E18" i="1703"/>
  <c r="D18" i="1703"/>
  <c r="C18" i="1703"/>
  <c r="Y4" i="1703"/>
  <c r="W4" i="1703"/>
  <c r="V4" i="1703"/>
  <c r="U4" i="1703"/>
  <c r="T4" i="1703"/>
  <c r="P4" i="1703"/>
  <c r="O4" i="1703"/>
  <c r="N4" i="1703"/>
  <c r="M4" i="1703"/>
  <c r="L4" i="1703"/>
  <c r="K4" i="1703"/>
  <c r="J4" i="1703"/>
  <c r="I4" i="1703"/>
  <c r="H4" i="1703"/>
  <c r="G4" i="1703"/>
  <c r="F4" i="1703"/>
  <c r="E4" i="1703"/>
  <c r="D4" i="1703"/>
  <c r="C4" i="1703"/>
  <c r="Y3" i="1703"/>
  <c r="W3" i="1703"/>
  <c r="V3" i="1703"/>
  <c r="U3" i="1703"/>
  <c r="T3" i="1703"/>
  <c r="P3" i="1703"/>
  <c r="O3" i="1703"/>
  <c r="N3" i="1703"/>
  <c r="M3" i="1703"/>
  <c r="L3" i="1703"/>
  <c r="K3" i="1703"/>
  <c r="J3" i="1703"/>
  <c r="I3" i="1703"/>
  <c r="H3" i="1703"/>
  <c r="G3" i="1703"/>
  <c r="F3" i="1703"/>
  <c r="E3" i="1703"/>
  <c r="D3" i="1703"/>
  <c r="C3" i="1703"/>
</calcChain>
</file>

<file path=xl/sharedStrings.xml><?xml version="1.0" encoding="utf-8"?>
<sst xmlns="http://schemas.openxmlformats.org/spreadsheetml/2006/main" count="7834" uniqueCount="136">
  <si>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</si>
  <si>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</si>
  <si>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</si>
  <si>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</si>
  <si>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</si>
  <si>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</si>
  <si>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</si>
  <si>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</si>
  <si>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</si>
  <si>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</si>
  <si>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</si>
  <si>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</si>
  <si>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</si>
  <si>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</si>
  <si>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</si>
  <si>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</si>
  <si>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</si>
  <si>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</si>
  <si>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</si>
  <si>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</si>
  <si>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</si>
  <si>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</si>
  <si>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</si>
  <si>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</si>
  <si>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</si>
  <si>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</si>
  <si>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</si>
  <si>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</si>
  <si>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</si>
  <si>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</si>
  <si>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</si>
  <si>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</si>
  <si>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</si>
  <si>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</si>
  <si>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</si>
  <si>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</si>
  <si>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</si>
  <si>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</si>
  <si>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</si>
  <si>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</si>
  <si>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</si>
  <si>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</si>
  <si>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</si>
  <si>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</si>
  <si>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</si>
  <si>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</si>
  <si>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</si>
  <si>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</si>
  <si>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</si>
  <si>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</si>
  <si>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</si>
  <si>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</si>
  <si>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</si>
  <si>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</si>
  <si>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</si>
  <si>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</si>
  <si>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</si>
  <si>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</si>
  <si>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</si>
  <si>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</si>
  <si>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</si>
  <si>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</si>
  <si>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</si>
  <si>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</si>
  <si>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</si>
  <si>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</si>
  <si>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</si>
  <si>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</si>
  <si>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</si>
  <si>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</si>
  <si>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___________06/01/2026___________</t>
  </si>
  <si>
    <t>DATE ___________06/02/2026___________</t>
  </si>
  <si>
    <t>DATE ___________06/03/2026___________</t>
  </si>
  <si>
    <t>DATE ___________06/04/2026___________</t>
  </si>
  <si>
    <t>DATE ___________06/05/2026___________</t>
  </si>
  <si>
    <t>DATE ___________06/06/2026___________</t>
  </si>
  <si>
    <t>DATE ___________06/08/2026___________</t>
  </si>
  <si>
    <t>2/22B</t>
  </si>
  <si>
    <t>22B</t>
  </si>
  <si>
    <t>11/12B</t>
  </si>
  <si>
    <t>6/12B</t>
  </si>
  <si>
    <t>13/1B</t>
  </si>
  <si>
    <t>12/1B</t>
  </si>
  <si>
    <t>8/12B</t>
  </si>
  <si>
    <t>3/12B</t>
  </si>
  <si>
    <t>1/12B</t>
  </si>
  <si>
    <t>5/4B</t>
  </si>
  <si>
    <t>9/3B</t>
  </si>
  <si>
    <t>12B</t>
  </si>
  <si>
    <t>13/12B</t>
  </si>
  <si>
    <t>2/3B</t>
  </si>
  <si>
    <t>12/3B</t>
  </si>
  <si>
    <t>15/12B</t>
  </si>
  <si>
    <t>10/12B</t>
  </si>
  <si>
    <t>DATE ___________06/09/2026___________</t>
  </si>
  <si>
    <t>DATE ___________06/10/2026___________</t>
  </si>
  <si>
    <t>20/12B</t>
  </si>
  <si>
    <t>2/12b</t>
  </si>
  <si>
    <t>9/12b</t>
  </si>
  <si>
    <t>12b</t>
  </si>
  <si>
    <t>5/12b</t>
  </si>
  <si>
    <t>1/12b</t>
  </si>
  <si>
    <t>9/4b</t>
  </si>
  <si>
    <t>9/3b</t>
  </si>
  <si>
    <t>DATE ___________06/11/2026___________</t>
  </si>
  <si>
    <t>DATE ___________06/12/2026___________</t>
  </si>
  <si>
    <t>DATE ___________06/13/2026___________</t>
  </si>
  <si>
    <t>9/4B</t>
  </si>
  <si>
    <t>2/12B</t>
  </si>
  <si>
    <t>6/3B</t>
  </si>
  <si>
    <t>25/12B</t>
  </si>
  <si>
    <t>DATE ___________06/15/2026___________</t>
  </si>
  <si>
    <t>DATE ___________06/16/2026___________</t>
  </si>
  <si>
    <t>DATE ___________06/17/2026___________</t>
  </si>
  <si>
    <t>DATE ___________06/18/2026___________</t>
  </si>
  <si>
    <t>DATE ___________06/19/2026___________</t>
  </si>
  <si>
    <t>DATE ___________06/20/2026___________</t>
  </si>
  <si>
    <t>DATE ___________06/22/2026___________</t>
  </si>
  <si>
    <t>22/12B</t>
  </si>
  <si>
    <t>10/12b</t>
  </si>
  <si>
    <t>15/12b</t>
  </si>
  <si>
    <t>4/12b</t>
  </si>
  <si>
    <t>6/3b</t>
  </si>
  <si>
    <t>16/12b</t>
  </si>
  <si>
    <t>25/12b</t>
  </si>
  <si>
    <t>13/12b</t>
  </si>
  <si>
    <t>19/12b</t>
  </si>
  <si>
    <t>9/12B</t>
  </si>
  <si>
    <t>24/12B</t>
  </si>
  <si>
    <t>14/12B</t>
  </si>
  <si>
    <t>7/12B</t>
  </si>
  <si>
    <t>DATE ___________06/23/2026___________</t>
  </si>
  <si>
    <t>DATE ___________06/24/2026___________</t>
  </si>
  <si>
    <t>DATE ___________06/25/2026___________</t>
  </si>
  <si>
    <t>1</t>
  </si>
  <si>
    <t>3/3B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</si>
</sst>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16" fontId="3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C45" sqref="C45:E4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69AE-F03A-4794-847E-8D722CFBA0DC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12A0-7D43-4720-A0E2-0B907356A537}">
  <dimension ref="B1:AA45"/>
  <sheetViews>
    <sheetView showGridLines="0" topLeftCell="A29" zoomScale="160" zoomScaleNormal="160" workbookViewId="0">
      <selection activeCell="H45" sqref="H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77</v>
      </c>
      <c r="D8" s="14"/>
      <c r="E8" s="14">
        <v>2</v>
      </c>
      <c r="F8" s="14"/>
      <c r="G8" s="14"/>
      <c r="H8" s="14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10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>
        <v>0</v>
      </c>
      <c r="F15" s="23"/>
      <c r="G15" s="23"/>
      <c r="H15" s="23" t="s">
        <v>79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 t="s">
        <v>78</v>
      </c>
      <c r="D16" s="58"/>
      <c r="E16" s="27">
        <v>2</v>
      </c>
      <c r="F16" s="27"/>
      <c r="G16" s="28"/>
      <c r="H16" s="28" t="s">
        <v>80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12</v>
      </c>
      <c r="G24" s="14"/>
      <c r="H24" s="14" t="s">
        <v>81</v>
      </c>
      <c r="I24" s="14"/>
      <c r="J24" s="14"/>
      <c r="K24" s="14">
        <v>1</v>
      </c>
      <c r="L24" s="14">
        <v>10</v>
      </c>
      <c r="M24" s="14">
        <v>580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1</v>
      </c>
      <c r="L31" s="23">
        <v>0</v>
      </c>
      <c r="M31" s="23">
        <v>10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 t="s">
        <v>82</v>
      </c>
      <c r="I32" s="28"/>
      <c r="J32" s="28"/>
      <c r="K32" s="28">
        <v>0</v>
      </c>
      <c r="L32" s="28">
        <v>10</v>
      </c>
      <c r="M32" s="28">
        <v>570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>
        <v>2</v>
      </c>
      <c r="D36" s="41"/>
      <c r="E36" s="42">
        <v>4</v>
      </c>
      <c r="F36" s="42">
        <v>440</v>
      </c>
      <c r="G36" s="42">
        <v>6</v>
      </c>
      <c r="H36" s="42">
        <v>1</v>
      </c>
      <c r="I36" s="42">
        <v>8</v>
      </c>
      <c r="J36" s="42">
        <v>1</v>
      </c>
      <c r="K36" s="42">
        <v>7</v>
      </c>
      <c r="L36" s="42">
        <v>14</v>
      </c>
      <c r="M36" s="42"/>
      <c r="N36" s="42"/>
      <c r="O36" s="42">
        <v>16</v>
      </c>
      <c r="P36" s="42">
        <v>26</v>
      </c>
      <c r="Q36" s="43">
        <v>19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>
        <v>4</v>
      </c>
      <c r="F42" s="42">
        <v>440</v>
      </c>
      <c r="G42" s="42">
        <v>6</v>
      </c>
      <c r="H42" s="42">
        <v>1</v>
      </c>
      <c r="I42" s="42">
        <v>8</v>
      </c>
      <c r="J42" s="42">
        <v>1</v>
      </c>
      <c r="K42" s="42">
        <v>7</v>
      </c>
      <c r="L42" s="42">
        <v>14</v>
      </c>
      <c r="M42" s="42"/>
      <c r="N42" s="42"/>
      <c r="O42" s="42">
        <v>16</v>
      </c>
      <c r="P42" s="42">
        <v>26</v>
      </c>
      <c r="Q42" s="43">
        <v>19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98">
        <f>2+6+10+10+13+10+570</f>
        <v>621</v>
      </c>
      <c r="D44" s="98"/>
      <c r="E44" s="98"/>
    </row>
    <row r="45" spans="2:25" x14ac:dyDescent="0.25">
      <c r="B45" s="76" t="s">
        <v>69</v>
      </c>
      <c r="C45" s="98">
        <f>22+12+1</f>
        <v>35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15C6-95BA-47BF-9DC0-F22984A10E43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>
        <v>1</v>
      </c>
      <c r="D8" s="14"/>
      <c r="E8" s="14">
        <v>1</v>
      </c>
      <c r="F8" s="14"/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/>
      <c r="G15" s="23"/>
      <c r="H15" s="23" t="s">
        <v>83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1</v>
      </c>
      <c r="F16" s="27"/>
      <c r="G16" s="28"/>
      <c r="H16" s="28" t="s">
        <v>84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1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40</v>
      </c>
      <c r="I24" s="14"/>
      <c r="J24" s="14"/>
      <c r="K24" s="14" t="s">
        <v>85</v>
      </c>
      <c r="L24" s="14">
        <v>12</v>
      </c>
      <c r="M24" s="14">
        <v>362</v>
      </c>
      <c r="N24" s="14"/>
      <c r="O24" s="14"/>
      <c r="P24" s="14" t="s">
        <v>86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0</v>
      </c>
      <c r="I31" s="23"/>
      <c r="J31" s="23"/>
      <c r="K31" s="23" t="s">
        <v>85</v>
      </c>
      <c r="L31" s="23">
        <v>6</v>
      </c>
      <c r="M31" s="23">
        <v>87</v>
      </c>
      <c r="N31" s="23"/>
      <c r="O31" s="23"/>
      <c r="P31" s="23" t="s">
        <v>86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40</v>
      </c>
      <c r="I32" s="28"/>
      <c r="J32" s="28"/>
      <c r="K32" s="28">
        <v>0</v>
      </c>
      <c r="L32" s="28">
        <v>6</v>
      </c>
      <c r="M32" s="28">
        <v>275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>
        <v>4</v>
      </c>
      <c r="F36" s="42">
        <v>312</v>
      </c>
      <c r="G36" s="42">
        <v>6</v>
      </c>
      <c r="H36" s="42">
        <v>4</v>
      </c>
      <c r="I36" s="42">
        <v>4</v>
      </c>
      <c r="J36" s="42">
        <v>1</v>
      </c>
      <c r="K36" s="42">
        <v>7</v>
      </c>
      <c r="L36" s="42">
        <v>2</v>
      </c>
      <c r="M36" s="42"/>
      <c r="N36" s="42"/>
      <c r="O36" s="42">
        <v>3</v>
      </c>
      <c r="P36" s="42"/>
      <c r="Q36" s="43">
        <v>3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>
        <v>4</v>
      </c>
      <c r="F42" s="42">
        <v>312</v>
      </c>
      <c r="G42" s="42">
        <v>6</v>
      </c>
      <c r="H42" s="42">
        <v>4</v>
      </c>
      <c r="I42" s="42">
        <v>4</v>
      </c>
      <c r="J42" s="42">
        <v>1</v>
      </c>
      <c r="K42" s="42">
        <v>7</v>
      </c>
      <c r="L42" s="42">
        <v>2</v>
      </c>
      <c r="M42" s="42"/>
      <c r="N42" s="42"/>
      <c r="O42" s="42">
        <v>3</v>
      </c>
      <c r="P42" s="42"/>
      <c r="Q42" s="43">
        <v>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98">
        <f>1+3+1+1+40+6+275</f>
        <v>327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5EDC-BA9D-43B9-B0B5-3AF437A51AA9}">
  <dimension ref="B1:AA45"/>
  <sheetViews>
    <sheetView showGridLines="0" topLeftCell="A32" zoomScale="160" zoomScaleNormal="160" workbookViewId="0">
      <selection activeCell="H51" sqref="H51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8</v>
      </c>
      <c r="G24" s="14"/>
      <c r="H24" s="14">
        <v>28</v>
      </c>
      <c r="I24" s="14"/>
      <c r="J24" s="14"/>
      <c r="K24" s="14"/>
      <c r="L24" s="14">
        <v>26</v>
      </c>
      <c r="M24" s="14">
        <v>547</v>
      </c>
      <c r="N24" s="14">
        <v>1</v>
      </c>
      <c r="O24" s="14"/>
      <c r="P24" s="14" t="s">
        <v>87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7</v>
      </c>
      <c r="G31" s="23"/>
      <c r="H31" s="23">
        <v>3</v>
      </c>
      <c r="I31" s="23"/>
      <c r="J31" s="23"/>
      <c r="K31" s="23"/>
      <c r="L31" s="23">
        <v>20</v>
      </c>
      <c r="M31" s="23">
        <v>240</v>
      </c>
      <c r="N31" s="23">
        <v>1</v>
      </c>
      <c r="O31" s="23"/>
      <c r="P31" s="23" t="s">
        <v>87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25</v>
      </c>
      <c r="I32" s="28"/>
      <c r="J32" s="28"/>
      <c r="K32" s="28"/>
      <c r="L32" s="28">
        <v>6</v>
      </c>
      <c r="M32" s="28">
        <v>307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506</v>
      </c>
      <c r="G36" s="42"/>
      <c r="H36" s="42">
        <v>1</v>
      </c>
      <c r="I36" s="42">
        <v>10</v>
      </c>
      <c r="J36" s="42"/>
      <c r="K36" s="42">
        <v>10</v>
      </c>
      <c r="L36" s="42">
        <v>2</v>
      </c>
      <c r="M36" s="42"/>
      <c r="N36" s="42">
        <v>1</v>
      </c>
      <c r="O36" s="42">
        <v>8</v>
      </c>
      <c r="P36" s="42">
        <v>2</v>
      </c>
      <c r="Q36" s="43">
        <v>13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506</v>
      </c>
      <c r="G42" s="42"/>
      <c r="H42" s="42">
        <v>1</v>
      </c>
      <c r="I42" s="42">
        <v>10</v>
      </c>
      <c r="J42" s="42"/>
      <c r="K42" s="42">
        <v>10</v>
      </c>
      <c r="L42" s="42">
        <v>2</v>
      </c>
      <c r="M42" s="42"/>
      <c r="N42" s="42">
        <v>1</v>
      </c>
      <c r="O42" s="42">
        <v>8</v>
      </c>
      <c r="P42" s="42">
        <v>2</v>
      </c>
      <c r="Q42" s="43">
        <v>13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98">
        <f>10+2+3+1+25+6+307</f>
        <v>354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3BC2-0CBD-4426-BD61-6B706DC16457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5F47-59AB-493B-A442-320F2640DB0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 t="s">
        <v>79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11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1</v>
      </c>
      <c r="D16" s="58"/>
      <c r="E16" s="27"/>
      <c r="F16" s="27"/>
      <c r="G16" s="28"/>
      <c r="H16" s="28" t="s">
        <v>88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20</v>
      </c>
      <c r="I24" s="14"/>
      <c r="J24" s="14"/>
      <c r="K24" s="14">
        <v>1</v>
      </c>
      <c r="L24" s="14">
        <v>10</v>
      </c>
      <c r="M24" s="14">
        <v>341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9</v>
      </c>
      <c r="I31" s="23"/>
      <c r="J31" s="23"/>
      <c r="K31" s="23">
        <v>1</v>
      </c>
      <c r="L31" s="23">
        <v>8</v>
      </c>
      <c r="M31" s="23">
        <v>37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11</v>
      </c>
      <c r="I32" s="28"/>
      <c r="J32" s="28"/>
      <c r="K32" s="28">
        <v>0</v>
      </c>
      <c r="L32" s="28">
        <v>2</v>
      </c>
      <c r="M32" s="28">
        <v>304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>
        <v>23</v>
      </c>
      <c r="F36" s="42">
        <v>312</v>
      </c>
      <c r="G36" s="42">
        <v>5</v>
      </c>
      <c r="H36" s="42"/>
      <c r="I36" s="42">
        <v>2</v>
      </c>
      <c r="J36" s="42"/>
      <c r="K36" s="42"/>
      <c r="L36" s="42"/>
      <c r="M36" s="42">
        <v>2</v>
      </c>
      <c r="N36" s="42">
        <v>1</v>
      </c>
      <c r="O36" s="42">
        <v>1</v>
      </c>
      <c r="P36" s="42"/>
      <c r="Q36" s="43">
        <v>6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>
        <v>23</v>
      </c>
      <c r="F42" s="42">
        <v>312</v>
      </c>
      <c r="G42" s="42">
        <v>5</v>
      </c>
      <c r="H42" s="42"/>
      <c r="I42" s="42">
        <v>2</v>
      </c>
      <c r="J42" s="42"/>
      <c r="K42" s="42"/>
      <c r="L42" s="42"/>
      <c r="M42" s="42">
        <v>2</v>
      </c>
      <c r="N42" s="42">
        <v>1</v>
      </c>
      <c r="O42" s="42">
        <v>1</v>
      </c>
      <c r="P42" s="42"/>
      <c r="Q42" s="43">
        <v>6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1+1+11+2+304</f>
        <v>319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E215-66CC-4A35-BCAD-8530D09D33F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/>
      <c r="F8" s="14"/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88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24</v>
      </c>
      <c r="I24" s="14"/>
      <c r="J24" s="14"/>
      <c r="K24" s="14" t="s">
        <v>85</v>
      </c>
      <c r="L24" s="14">
        <v>6</v>
      </c>
      <c r="M24" s="14">
        <v>411</v>
      </c>
      <c r="N24" s="14"/>
      <c r="O24" s="14"/>
      <c r="P24" s="14" t="s">
        <v>86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88</v>
      </c>
      <c r="G31" s="23"/>
      <c r="H31" s="23">
        <v>23</v>
      </c>
      <c r="I31" s="23"/>
      <c r="J31" s="23"/>
      <c r="K31" s="23" t="s">
        <v>85</v>
      </c>
      <c r="L31" s="23">
        <v>6</v>
      </c>
      <c r="M31" s="23">
        <v>81</v>
      </c>
      <c r="N31" s="23"/>
      <c r="O31" s="23"/>
      <c r="P31" s="23" t="s">
        <v>86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</v>
      </c>
      <c r="I32" s="28"/>
      <c r="J32" s="28"/>
      <c r="K32" s="28">
        <v>0</v>
      </c>
      <c r="L32" s="28">
        <v>0</v>
      </c>
      <c r="M32" s="28">
        <v>330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334</v>
      </c>
      <c r="G36" s="42"/>
      <c r="H36" s="42"/>
      <c r="I36" s="42"/>
      <c r="J36" s="42"/>
      <c r="K36" s="42"/>
      <c r="L36" s="42"/>
      <c r="M36" s="42"/>
      <c r="N36" s="42"/>
      <c r="O36" s="42">
        <v>3</v>
      </c>
      <c r="P36" s="42">
        <v>11</v>
      </c>
      <c r="Q36" s="43">
        <v>2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334</v>
      </c>
      <c r="G42" s="42"/>
      <c r="H42" s="42"/>
      <c r="I42" s="42"/>
      <c r="J42" s="42"/>
      <c r="K42" s="42"/>
      <c r="L42" s="42"/>
      <c r="M42" s="42"/>
      <c r="N42" s="42"/>
      <c r="O42" s="42">
        <v>3</v>
      </c>
      <c r="P42" s="42">
        <v>11</v>
      </c>
      <c r="Q42" s="43">
        <v>2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13+1+1+330</f>
        <v>345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B20B-6D69-4F33-8305-008179B2B35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11</v>
      </c>
      <c r="D8" s="14">
        <v>2</v>
      </c>
      <c r="E8" s="14">
        <v>5</v>
      </c>
      <c r="F8" s="14">
        <v>2</v>
      </c>
      <c r="G8" s="14">
        <v>5</v>
      </c>
      <c r="H8" s="14">
        <v>5</v>
      </c>
      <c r="I8" s="14">
        <v>1</v>
      </c>
      <c r="J8" s="14"/>
      <c r="K8" s="14">
        <v>1</v>
      </c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/>
      <c r="S8" s="14">
        <v>1</v>
      </c>
      <c r="T8" s="14"/>
      <c r="U8" s="14"/>
      <c r="V8" s="14">
        <v>2</v>
      </c>
      <c r="W8" s="14">
        <v>10</v>
      </c>
      <c r="X8" s="59">
        <v>10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>
        <v>0</v>
      </c>
      <c r="H15" s="23">
        <v>4</v>
      </c>
      <c r="I15" s="23">
        <v>0</v>
      </c>
      <c r="J15" s="23"/>
      <c r="K15" s="23">
        <v>0</v>
      </c>
      <c r="L15" s="23"/>
      <c r="M15" s="23"/>
      <c r="N15" s="23">
        <v>0</v>
      </c>
      <c r="O15" s="23">
        <v>0</v>
      </c>
      <c r="P15" s="23">
        <v>0</v>
      </c>
      <c r="Q15" s="23">
        <v>0</v>
      </c>
      <c r="R15" s="23"/>
      <c r="S15" s="23">
        <v>0</v>
      </c>
      <c r="T15" s="23"/>
      <c r="U15" s="23"/>
      <c r="V15" s="23">
        <v>0</v>
      </c>
      <c r="W15" s="23">
        <v>0</v>
      </c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10</v>
      </c>
      <c r="D16" s="58">
        <v>0</v>
      </c>
      <c r="E16" s="27">
        <v>5</v>
      </c>
      <c r="F16" s="27">
        <v>2</v>
      </c>
      <c r="G16" s="28">
        <v>5</v>
      </c>
      <c r="H16" s="28">
        <v>1</v>
      </c>
      <c r="I16" s="28">
        <v>1</v>
      </c>
      <c r="J16" s="28"/>
      <c r="K16" s="56">
        <v>1</v>
      </c>
      <c r="L16" s="28"/>
      <c r="M16" s="28"/>
      <c r="N16" s="28">
        <v>1</v>
      </c>
      <c r="O16" s="28">
        <v>1</v>
      </c>
      <c r="P16" s="28">
        <v>1</v>
      </c>
      <c r="Q16" s="28">
        <v>1</v>
      </c>
      <c r="R16" s="28"/>
      <c r="S16" s="28">
        <v>1</v>
      </c>
      <c r="T16" s="28"/>
      <c r="U16" s="28"/>
      <c r="V16" s="28">
        <v>2</v>
      </c>
      <c r="W16" s="56">
        <v>10</v>
      </c>
      <c r="X16" s="62">
        <v>10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2</v>
      </c>
      <c r="E24" s="14">
        <v>2</v>
      </c>
      <c r="F24" s="14">
        <v>7</v>
      </c>
      <c r="G24" s="14">
        <v>1</v>
      </c>
      <c r="H24" s="14">
        <v>102</v>
      </c>
      <c r="I24" s="14"/>
      <c r="J24" s="14"/>
      <c r="K24" s="14">
        <v>1</v>
      </c>
      <c r="L24" s="14">
        <v>20</v>
      </c>
      <c r="M24" s="14">
        <v>348</v>
      </c>
      <c r="N24" s="14">
        <v>1</v>
      </c>
      <c r="O24" s="14"/>
      <c r="P24" s="14" t="s">
        <v>91</v>
      </c>
      <c r="Q24" s="14"/>
      <c r="R24" s="14">
        <v>1</v>
      </c>
      <c r="S24" s="14"/>
      <c r="T24" s="14"/>
      <c r="U24" s="14">
        <v>1</v>
      </c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>
        <v>0</v>
      </c>
      <c r="F31" s="23">
        <v>7</v>
      </c>
      <c r="G31" s="23">
        <v>0</v>
      </c>
      <c r="H31" s="23">
        <v>28</v>
      </c>
      <c r="I31" s="23"/>
      <c r="J31" s="23"/>
      <c r="K31" s="23">
        <v>0</v>
      </c>
      <c r="L31" s="23">
        <v>0</v>
      </c>
      <c r="M31" s="23">
        <v>2</v>
      </c>
      <c r="N31" s="23">
        <v>0</v>
      </c>
      <c r="O31" s="23"/>
      <c r="P31" s="23" t="s">
        <v>90</v>
      </c>
      <c r="Q31" s="23"/>
      <c r="R31" s="23">
        <v>0</v>
      </c>
      <c r="S31" s="23"/>
      <c r="T31" s="23"/>
      <c r="U31" s="23">
        <v>0</v>
      </c>
      <c r="V31" s="23">
        <v>0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2</v>
      </c>
      <c r="E32" s="27">
        <v>2</v>
      </c>
      <c r="F32" s="27">
        <v>0</v>
      </c>
      <c r="G32" s="28">
        <v>1</v>
      </c>
      <c r="H32" s="28">
        <v>74</v>
      </c>
      <c r="I32" s="28"/>
      <c r="J32" s="28"/>
      <c r="K32" s="28">
        <v>1</v>
      </c>
      <c r="L32" s="28">
        <v>20</v>
      </c>
      <c r="M32" s="28">
        <v>346</v>
      </c>
      <c r="N32" s="28">
        <v>1</v>
      </c>
      <c r="O32" s="23"/>
      <c r="P32" s="28">
        <v>10</v>
      </c>
      <c r="Q32" s="28"/>
      <c r="R32" s="28">
        <v>1</v>
      </c>
      <c r="S32" s="28"/>
      <c r="T32" s="28"/>
      <c r="U32" s="28">
        <v>1</v>
      </c>
      <c r="V32" s="28">
        <v>1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1</v>
      </c>
      <c r="D36" s="41">
        <v>7</v>
      </c>
      <c r="E36" s="42">
        <v>11</v>
      </c>
      <c r="F36" s="42">
        <v>278</v>
      </c>
      <c r="G36" s="42">
        <v>382</v>
      </c>
      <c r="H36" s="42">
        <v>5</v>
      </c>
      <c r="I36" s="42"/>
      <c r="J36" s="42">
        <v>32</v>
      </c>
      <c r="K36" s="42">
        <v>7</v>
      </c>
      <c r="L36" s="42">
        <v>3</v>
      </c>
      <c r="M36" s="42">
        <v>69</v>
      </c>
      <c r="N36" s="42">
        <v>10</v>
      </c>
      <c r="O36" s="42"/>
      <c r="P36" s="42"/>
      <c r="Q36" s="43">
        <v>5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1</v>
      </c>
      <c r="D42" s="41">
        <v>7</v>
      </c>
      <c r="E42" s="42">
        <v>11</v>
      </c>
      <c r="F42" s="42">
        <v>278</v>
      </c>
      <c r="G42" s="42">
        <v>382</v>
      </c>
      <c r="H42" s="42">
        <v>5</v>
      </c>
      <c r="I42" s="42"/>
      <c r="J42" s="42">
        <v>32</v>
      </c>
      <c r="K42" s="42">
        <v>7</v>
      </c>
      <c r="L42" s="42">
        <v>3</v>
      </c>
      <c r="M42" s="42">
        <v>69</v>
      </c>
      <c r="N42" s="42">
        <v>10</v>
      </c>
      <c r="O42" s="42"/>
      <c r="P42" s="42"/>
      <c r="Q42" s="43">
        <v>5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10+5+2+5+1+1+1+1+1+1+1+1+2+10+10+2+2+2+1+74+1+20+346+1+10+1+1+1</f>
        <v>514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C6E-2F64-42A6-9BC6-216E74DE9C4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9C46-9F24-48A2-861C-EE9F5C1640B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1</v>
      </c>
      <c r="F8" s="14">
        <v>1</v>
      </c>
      <c r="G8" s="14"/>
      <c r="H8" s="14" t="s">
        <v>92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0</v>
      </c>
      <c r="E15" s="23">
        <v>0</v>
      </c>
      <c r="F15" s="23">
        <v>0</v>
      </c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2</v>
      </c>
      <c r="E16" s="27">
        <v>1</v>
      </c>
      <c r="F16" s="27">
        <v>1</v>
      </c>
      <c r="G16" s="28"/>
      <c r="H16" s="28" t="s">
        <v>89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</v>
      </c>
      <c r="I24" s="14"/>
      <c r="J24" s="14"/>
      <c r="K24" s="14">
        <v>2</v>
      </c>
      <c r="L24" s="14">
        <v>5</v>
      </c>
      <c r="M24" s="14">
        <v>443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>
        <v>1</v>
      </c>
      <c r="L31" s="23">
        <v>0</v>
      </c>
      <c r="M31" s="23">
        <v>2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10</v>
      </c>
      <c r="I32" s="28"/>
      <c r="J32" s="28"/>
      <c r="K32" s="28">
        <v>1</v>
      </c>
      <c r="L32" s="28">
        <v>5</v>
      </c>
      <c r="M32" s="28">
        <v>441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351</v>
      </c>
      <c r="G36" s="42">
        <v>12</v>
      </c>
      <c r="H36" s="42">
        <v>3</v>
      </c>
      <c r="I36" s="42">
        <v>5</v>
      </c>
      <c r="J36" s="42"/>
      <c r="K36" s="42">
        <v>6</v>
      </c>
      <c r="L36" s="42">
        <v>8</v>
      </c>
      <c r="M36" s="42"/>
      <c r="N36" s="42"/>
      <c r="O36" s="42">
        <v>1</v>
      </c>
      <c r="P36" s="42">
        <v>7</v>
      </c>
      <c r="Q36" s="43">
        <v>11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351</v>
      </c>
      <c r="G42" s="42">
        <v>12</v>
      </c>
      <c r="H42" s="42">
        <v>3</v>
      </c>
      <c r="I42" s="42">
        <v>5</v>
      </c>
      <c r="J42" s="42"/>
      <c r="K42" s="42">
        <v>6</v>
      </c>
      <c r="L42" s="42">
        <v>8</v>
      </c>
      <c r="M42" s="42"/>
      <c r="N42" s="42"/>
      <c r="O42" s="42">
        <v>1</v>
      </c>
      <c r="P42" s="42">
        <v>7</v>
      </c>
      <c r="Q42" s="43">
        <v>11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2+1+1+13+2+2+1+10+1+5+441+2</f>
        <v>481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A01B-B459-498C-81DF-E930F32A035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C8FD-D516-459F-B1BE-E8CF39338D6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1+1+26+15+15+3+5+62+2+10+551</f>
        <v>691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EE80-C5CB-4A0C-BFA8-EAC475B9DEA9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5AD3-CF87-4FC0-A07B-172708C3BD4F}">
  <dimension ref="B1:AA45"/>
  <sheetViews>
    <sheetView showGridLines="0" topLeftCell="A13" zoomScaleNormal="100" workbookViewId="0">
      <selection activeCell="I47" sqref="I47:J4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>
        <v>21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27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93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26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127</v>
      </c>
      <c r="I24" s="14"/>
      <c r="J24" s="14"/>
      <c r="K24" s="14">
        <v>66</v>
      </c>
      <c r="L24" s="14">
        <v>58</v>
      </c>
      <c r="M24" s="14">
        <v>399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10</v>
      </c>
      <c r="I31" s="23"/>
      <c r="J31" s="23"/>
      <c r="K31" s="23">
        <v>1</v>
      </c>
      <c r="L31" s="23">
        <v>8</v>
      </c>
      <c r="M31" s="23">
        <v>29</v>
      </c>
      <c r="N31" s="23"/>
      <c r="O31" s="23"/>
      <c r="P31" s="23">
        <v>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117</v>
      </c>
      <c r="I32" s="28"/>
      <c r="J32" s="28"/>
      <c r="K32" s="28">
        <v>65</v>
      </c>
      <c r="L32" s="28">
        <v>50</v>
      </c>
      <c r="M32" s="28">
        <v>370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553</v>
      </c>
      <c r="G36" s="42">
        <v>7</v>
      </c>
      <c r="H36" s="42">
        <v>11</v>
      </c>
      <c r="I36" s="42">
        <v>50</v>
      </c>
      <c r="J36" s="42"/>
      <c r="K36" s="42">
        <v>9</v>
      </c>
      <c r="L36" s="42">
        <v>68</v>
      </c>
      <c r="M36" s="42"/>
      <c r="N36" s="42"/>
      <c r="O36" s="42">
        <v>12</v>
      </c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603</v>
      </c>
      <c r="G42" s="42">
        <v>7</v>
      </c>
      <c r="H42" s="42">
        <v>11</v>
      </c>
      <c r="I42" s="42">
        <v>50</v>
      </c>
      <c r="J42" s="42"/>
      <c r="K42" s="42">
        <v>9</v>
      </c>
      <c r="L42" s="42">
        <v>68</v>
      </c>
      <c r="M42" s="42"/>
      <c r="N42" s="42"/>
      <c r="O42" s="42">
        <v>12</v>
      </c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10+26+117+65+50+370</f>
        <v>638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E4DF-AE31-4E9C-A25F-A39165404DB3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>
        <v>2</v>
      </c>
      <c r="F8" s="14">
        <v>2</v>
      </c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>
        <v>0</v>
      </c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/>
      <c r="D16" s="58"/>
      <c r="E16" s="27">
        <v>2</v>
      </c>
      <c r="F16" s="27">
        <v>2</v>
      </c>
      <c r="G16" s="28"/>
      <c r="H16" s="28">
        <v>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23</v>
      </c>
      <c r="I24" s="14"/>
      <c r="J24" s="14"/>
      <c r="K24" s="14" t="s">
        <v>85</v>
      </c>
      <c r="L24" s="14">
        <v>6</v>
      </c>
      <c r="M24" s="14">
        <v>387</v>
      </c>
      <c r="N24" s="14"/>
      <c r="O24" s="14"/>
      <c r="P24" s="14" t="s">
        <v>86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0</v>
      </c>
      <c r="I31" s="23"/>
      <c r="J31" s="23"/>
      <c r="K31" s="23" t="s">
        <v>85</v>
      </c>
      <c r="L31" s="23">
        <v>5</v>
      </c>
      <c r="M31" s="23">
        <v>90</v>
      </c>
      <c r="N31" s="23"/>
      <c r="O31" s="23"/>
      <c r="P31" s="23" t="s">
        <v>86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23</v>
      </c>
      <c r="I32" s="28"/>
      <c r="J32" s="28"/>
      <c r="K32" s="28">
        <v>0</v>
      </c>
      <c r="L32" s="28">
        <v>1</v>
      </c>
      <c r="M32" s="28">
        <v>297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2</v>
      </c>
      <c r="D36" s="41"/>
      <c r="E36" s="42">
        <v>1</v>
      </c>
      <c r="F36" s="42">
        <v>353</v>
      </c>
      <c r="G36" s="42">
        <v>9</v>
      </c>
      <c r="H36" s="42">
        <v>3</v>
      </c>
      <c r="I36" s="42">
        <v>5</v>
      </c>
      <c r="J36" s="42"/>
      <c r="K36" s="42">
        <v>3</v>
      </c>
      <c r="L36" s="42"/>
      <c r="M36" s="42"/>
      <c r="N36" s="42">
        <v>1</v>
      </c>
      <c r="O36" s="42">
        <v>3</v>
      </c>
      <c r="P36" s="42">
        <v>9</v>
      </c>
      <c r="Q36" s="43">
        <v>1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>
        <v>1</v>
      </c>
      <c r="F42" s="42">
        <v>353</v>
      </c>
      <c r="G42" s="42">
        <v>9</v>
      </c>
      <c r="H42" s="42">
        <v>3</v>
      </c>
      <c r="I42" s="42">
        <v>5</v>
      </c>
      <c r="J42" s="42"/>
      <c r="K42" s="42">
        <v>3</v>
      </c>
      <c r="L42" s="42"/>
      <c r="M42" s="42"/>
      <c r="N42" s="42">
        <v>1</v>
      </c>
      <c r="O42" s="42">
        <v>3</v>
      </c>
      <c r="P42" s="42">
        <v>9</v>
      </c>
      <c r="Q42" s="43">
        <v>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2+2+7+23+1+297</f>
        <v>332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FF7A-A822-4FF1-91AF-A236BCA8D2C9}">
  <dimension ref="B1:AA45"/>
  <sheetViews>
    <sheetView showGridLines="0" topLeftCell="A26" zoomScale="148" zoomScaleNormal="148" workbookViewId="0">
      <selection activeCell="I50" sqref="I5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>
        <v>7</v>
      </c>
      <c r="G8" s="14"/>
      <c r="H8" s="14">
        <v>24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20</v>
      </c>
      <c r="U8" s="14"/>
      <c r="V8" s="14"/>
      <c r="W8" s="14">
        <v>20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>
        <v>2</v>
      </c>
      <c r="F16" s="27">
        <v>7</v>
      </c>
      <c r="G16" s="28"/>
      <c r="H16" s="28">
        <v>24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20</v>
      </c>
      <c r="U16" s="28"/>
      <c r="V16" s="28"/>
      <c r="W16" s="56">
        <v>20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7</v>
      </c>
      <c r="G24" s="14"/>
      <c r="H24" s="14">
        <v>136</v>
      </c>
      <c r="I24" s="14"/>
      <c r="J24" s="14"/>
      <c r="K24" s="14">
        <v>2</v>
      </c>
      <c r="L24" s="14">
        <v>20</v>
      </c>
      <c r="M24" s="14">
        <v>541</v>
      </c>
      <c r="N24" s="14"/>
      <c r="O24" s="14"/>
      <c r="P24" s="14" t="s">
        <v>90</v>
      </c>
      <c r="Q24" s="14"/>
      <c r="R24" s="14">
        <v>1</v>
      </c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7</v>
      </c>
      <c r="G31" s="23"/>
      <c r="H31" s="23">
        <v>1</v>
      </c>
      <c r="I31" s="23"/>
      <c r="J31" s="23"/>
      <c r="K31" s="23">
        <v>2</v>
      </c>
      <c r="L31" s="23">
        <v>0</v>
      </c>
      <c r="M31" s="23">
        <v>2</v>
      </c>
      <c r="N31" s="23"/>
      <c r="O31" s="23"/>
      <c r="P31" s="23" t="s">
        <v>90</v>
      </c>
      <c r="Q31" s="23"/>
      <c r="R31" s="23">
        <v>0</v>
      </c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135</v>
      </c>
      <c r="I32" s="28"/>
      <c r="J32" s="28"/>
      <c r="K32" s="28">
        <v>0</v>
      </c>
      <c r="L32" s="28">
        <v>20</v>
      </c>
      <c r="M32" s="28">
        <v>539</v>
      </c>
      <c r="N32" s="28"/>
      <c r="O32" s="23"/>
      <c r="P32" s="28"/>
      <c r="Q32" s="28"/>
      <c r="R32" s="28">
        <v>1</v>
      </c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3</v>
      </c>
      <c r="D36" s="41">
        <v>1</v>
      </c>
      <c r="E36" s="42">
        <v>19</v>
      </c>
      <c r="F36" s="42">
        <v>756</v>
      </c>
      <c r="G36" s="42">
        <v>2</v>
      </c>
      <c r="H36" s="42">
        <v>5</v>
      </c>
      <c r="I36" s="42">
        <v>14</v>
      </c>
      <c r="J36" s="42">
        <v>1</v>
      </c>
      <c r="K36" s="42">
        <v>10</v>
      </c>
      <c r="L36" s="42">
        <v>13</v>
      </c>
      <c r="M36" s="42"/>
      <c r="N36" s="42">
        <v>7</v>
      </c>
      <c r="O36" s="42">
        <v>11</v>
      </c>
      <c r="P36" s="42">
        <v>24</v>
      </c>
      <c r="Q36" s="43">
        <v>14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3</v>
      </c>
      <c r="D42" s="41">
        <v>1</v>
      </c>
      <c r="E42" s="42">
        <v>19</v>
      </c>
      <c r="F42" s="42">
        <v>756</v>
      </c>
      <c r="G42" s="42">
        <v>2</v>
      </c>
      <c r="H42" s="42">
        <v>5</v>
      </c>
      <c r="I42" s="42">
        <v>14</v>
      </c>
      <c r="J42" s="42">
        <v>1</v>
      </c>
      <c r="K42" s="42">
        <v>10</v>
      </c>
      <c r="L42" s="42">
        <v>13</v>
      </c>
      <c r="M42" s="42"/>
      <c r="N42" s="42">
        <v>7</v>
      </c>
      <c r="O42" s="42">
        <v>11</v>
      </c>
      <c r="P42" s="42">
        <v>24</v>
      </c>
      <c r="Q42" s="43">
        <v>14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2+7+24+20+20+135+20+539+1</f>
        <v>768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F53E-872A-4D7A-B1A1-182B346307C8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F403-692C-4B09-9429-8E65C4E493E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90DD-1F00-4E93-8DAA-D242E77658AD}">
  <dimension ref="B1:AA45"/>
  <sheetViews>
    <sheetView showGridLines="0" zoomScale="160" zoomScaleNormal="160" workbookViewId="0">
      <selection activeCell="K12" sqref="K1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/>
      <c r="F8" s="14"/>
      <c r="G8" s="14"/>
      <c r="H8" s="14">
        <v>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30</v>
      </c>
      <c r="I24" s="14"/>
      <c r="J24" s="14"/>
      <c r="K24" s="14" t="s">
        <v>85</v>
      </c>
      <c r="L24" s="14">
        <v>5</v>
      </c>
      <c r="M24" s="14">
        <v>416</v>
      </c>
      <c r="N24" s="14"/>
      <c r="O24" s="14"/>
      <c r="P24" s="14" t="s">
        <v>86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24</v>
      </c>
      <c r="I31" s="23"/>
      <c r="J31" s="23"/>
      <c r="K31" s="23" t="s">
        <v>85</v>
      </c>
      <c r="L31" s="23">
        <v>1</v>
      </c>
      <c r="M31" s="23">
        <v>32</v>
      </c>
      <c r="N31" s="23"/>
      <c r="O31" s="23"/>
      <c r="P31" s="23" t="s">
        <v>86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6</v>
      </c>
      <c r="I32" s="28"/>
      <c r="J32" s="28"/>
      <c r="K32" s="28">
        <v>0</v>
      </c>
      <c r="L32" s="28">
        <v>4</v>
      </c>
      <c r="M32" s="28">
        <v>384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348</v>
      </c>
      <c r="G36" s="42">
        <v>1</v>
      </c>
      <c r="H36" s="42"/>
      <c r="I36" s="42">
        <v>2</v>
      </c>
      <c r="J36" s="42"/>
      <c r="K36" s="42"/>
      <c r="L36" s="42"/>
      <c r="M36" s="42"/>
      <c r="N36" s="42"/>
      <c r="O36" s="42">
        <v>8</v>
      </c>
      <c r="P36" s="42">
        <v>4</v>
      </c>
      <c r="Q36" s="43">
        <v>5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348</v>
      </c>
      <c r="G42" s="42">
        <v>1</v>
      </c>
      <c r="H42" s="42"/>
      <c r="I42" s="42">
        <v>2</v>
      </c>
      <c r="J42" s="42"/>
      <c r="K42" s="42"/>
      <c r="L42" s="42"/>
      <c r="M42" s="42"/>
      <c r="N42" s="42"/>
      <c r="O42" s="42">
        <v>8</v>
      </c>
      <c r="P42" s="42">
        <v>4</v>
      </c>
      <c r="Q42" s="43">
        <v>5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9+6+4+384</f>
        <v>403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68F4-51B3-4F22-9977-287746C40CA8}">
  <dimension ref="B1:AA45"/>
  <sheetViews>
    <sheetView showGridLines="0" topLeftCell="D1" zoomScale="160" zoomScaleNormal="160" workbookViewId="0">
      <selection activeCell="H38" sqref="H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 t="s">
        <v>93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83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4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7</v>
      </c>
      <c r="G24" s="14"/>
      <c r="H24" s="14">
        <v>55</v>
      </c>
      <c r="I24" s="14"/>
      <c r="J24" s="14"/>
      <c r="K24" s="14">
        <v>2</v>
      </c>
      <c r="L24" s="14">
        <v>434</v>
      </c>
      <c r="M24" s="14"/>
      <c r="N24" s="14"/>
      <c r="O24" s="14"/>
      <c r="P24" s="14" t="s">
        <v>90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5</v>
      </c>
      <c r="G31" s="23"/>
      <c r="H31" s="23">
        <v>9</v>
      </c>
      <c r="I31" s="23"/>
      <c r="J31" s="23"/>
      <c r="K31" s="23">
        <v>2</v>
      </c>
      <c r="L31" s="23">
        <v>45</v>
      </c>
      <c r="M31" s="23"/>
      <c r="N31" s="23"/>
      <c r="O31" s="23"/>
      <c r="P31" s="23" t="s">
        <v>90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46</v>
      </c>
      <c r="I32" s="28"/>
      <c r="J32" s="28"/>
      <c r="K32" s="28">
        <v>0</v>
      </c>
      <c r="L32" s="28">
        <v>389</v>
      </c>
      <c r="M32" s="28"/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5</v>
      </c>
      <c r="D36" s="41">
        <v>1</v>
      </c>
      <c r="E36" s="42"/>
      <c r="F36" s="42">
        <v>421</v>
      </c>
      <c r="G36" s="42">
        <v>13</v>
      </c>
      <c r="H36" s="42">
        <v>3</v>
      </c>
      <c r="I36" s="42">
        <v>19</v>
      </c>
      <c r="J36" s="42">
        <v>1</v>
      </c>
      <c r="K36" s="42">
        <v>8</v>
      </c>
      <c r="L36" s="42">
        <v>5</v>
      </c>
      <c r="M36" s="42">
        <v>1</v>
      </c>
      <c r="N36" s="42">
        <v>5</v>
      </c>
      <c r="O36" s="42">
        <v>12</v>
      </c>
      <c r="P36" s="42"/>
      <c r="Q36" s="43">
        <v>14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5</v>
      </c>
      <c r="D42" s="41">
        <v>1</v>
      </c>
      <c r="E42" s="42"/>
      <c r="F42" s="42">
        <v>421</v>
      </c>
      <c r="G42" s="42">
        <v>13</v>
      </c>
      <c r="H42" s="42">
        <v>3</v>
      </c>
      <c r="I42" s="42">
        <v>19</v>
      </c>
      <c r="J42" s="42">
        <v>1</v>
      </c>
      <c r="K42" s="42">
        <v>8</v>
      </c>
      <c r="L42" s="42">
        <v>5</v>
      </c>
      <c r="M42" s="42">
        <v>1</v>
      </c>
      <c r="N42" s="42">
        <v>5</v>
      </c>
      <c r="O42" s="42">
        <v>12</v>
      </c>
      <c r="P42" s="42"/>
      <c r="Q42" s="43">
        <v>14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8+2+4+1+2+46+389</f>
        <v>452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C715-DCA4-4919-B5B3-2091570DC21F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CFB9-8166-4F1A-AE6D-6254B627312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DBE9-AE37-475B-99FF-62BD58953DF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24DB-EE41-4E0E-A137-04D6985447C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1+1+26+15+15+3+5+62+2+10+551</f>
        <v>691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5C68-5AA5-47D0-98B6-6C910A9696B8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FE6F-F82C-4D73-93F1-34AE4639E24B}">
  <dimension ref="B1:AA45"/>
  <sheetViews>
    <sheetView showGridLines="0" zoomScale="160" zoomScaleNormal="160" workbookViewId="0">
      <selection activeCell="K26" sqref="K2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0652-D80F-4430-8938-AD6562E1BD08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>
        <v>1</v>
      </c>
      <c r="D8" s="14"/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15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50</v>
      </c>
      <c r="I24" s="14"/>
      <c r="J24" s="14"/>
      <c r="K24" s="14" t="s">
        <v>85</v>
      </c>
      <c r="L24" s="14">
        <v>8</v>
      </c>
      <c r="M24" s="14">
        <v>482</v>
      </c>
      <c r="N24" s="14"/>
      <c r="O24" s="14"/>
      <c r="P24" s="14" t="s">
        <v>86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17</v>
      </c>
      <c r="I31" s="23"/>
      <c r="J31" s="23"/>
      <c r="K31" s="23" t="s">
        <v>85</v>
      </c>
      <c r="L31" s="23">
        <v>4</v>
      </c>
      <c r="M31" s="23">
        <v>25</v>
      </c>
      <c r="N31" s="23"/>
      <c r="O31" s="23"/>
      <c r="P31" s="23" t="s">
        <v>86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33</v>
      </c>
      <c r="I32" s="28"/>
      <c r="J32" s="28"/>
      <c r="K32" s="28">
        <v>0</v>
      </c>
      <c r="L32" s="28">
        <v>4</v>
      </c>
      <c r="M32" s="28">
        <v>457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495</v>
      </c>
      <c r="G36" s="42">
        <v>1</v>
      </c>
      <c r="H36" s="42">
        <v>4</v>
      </c>
      <c r="I36" s="42">
        <v>3</v>
      </c>
      <c r="J36" s="42">
        <v>1</v>
      </c>
      <c r="K36" s="42">
        <v>8</v>
      </c>
      <c r="L36" s="42"/>
      <c r="M36" s="42"/>
      <c r="N36" s="42"/>
      <c r="O36" s="42">
        <v>2</v>
      </c>
      <c r="P36" s="42">
        <v>15</v>
      </c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495</v>
      </c>
      <c r="G42" s="42">
        <v>1</v>
      </c>
      <c r="H42" s="42">
        <v>4</v>
      </c>
      <c r="I42" s="42">
        <v>3</v>
      </c>
      <c r="J42" s="42">
        <v>1</v>
      </c>
      <c r="K42" s="42">
        <v>8</v>
      </c>
      <c r="L42" s="42"/>
      <c r="M42" s="42"/>
      <c r="N42" s="42"/>
      <c r="O42" s="42">
        <v>2</v>
      </c>
      <c r="P42" s="42">
        <v>15</v>
      </c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15+33+4+457</f>
        <v>509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5F77-BD14-48DF-9B62-001800A92A58}">
  <dimension ref="B1:AA45"/>
  <sheetViews>
    <sheetView showGridLines="0" topLeftCell="A29" zoomScale="160" zoomScaleNormal="160" workbookViewId="0">
      <selection activeCell="N46" sqref="N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 t="s">
        <v>96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5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10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5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77</v>
      </c>
      <c r="I24" s="14"/>
      <c r="J24" s="14"/>
      <c r="K24" s="14">
        <v>2</v>
      </c>
      <c r="L24" s="14">
        <v>16</v>
      </c>
      <c r="M24" s="14">
        <v>477</v>
      </c>
      <c r="N24" s="14"/>
      <c r="O24" s="14"/>
      <c r="P24" s="14" t="s">
        <v>90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5</v>
      </c>
      <c r="G31" s="23"/>
      <c r="H31" s="23">
        <v>1</v>
      </c>
      <c r="I31" s="23"/>
      <c r="J31" s="23"/>
      <c r="K31" s="23">
        <v>2</v>
      </c>
      <c r="L31" s="23">
        <v>6</v>
      </c>
      <c r="M31" s="23">
        <v>61</v>
      </c>
      <c r="N31" s="23"/>
      <c r="O31" s="23"/>
      <c r="P31" s="23" t="s">
        <v>90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76</v>
      </c>
      <c r="I32" s="28"/>
      <c r="J32" s="28"/>
      <c r="K32" s="28">
        <v>0</v>
      </c>
      <c r="L32" s="28">
        <v>10</v>
      </c>
      <c r="M32" s="28">
        <v>416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10</v>
      </c>
      <c r="F36" s="42">
        <v>467</v>
      </c>
      <c r="G36" s="42">
        <v>10</v>
      </c>
      <c r="H36" s="42">
        <v>5</v>
      </c>
      <c r="I36" s="42">
        <v>25</v>
      </c>
      <c r="J36" s="42"/>
      <c r="K36" s="42">
        <v>33</v>
      </c>
      <c r="L36" s="42">
        <v>3</v>
      </c>
      <c r="M36" s="42">
        <v>1</v>
      </c>
      <c r="N36" s="42">
        <v>8</v>
      </c>
      <c r="O36" s="42">
        <v>5</v>
      </c>
      <c r="P36" s="42">
        <v>5</v>
      </c>
      <c r="Q36" s="43">
        <v>7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10</v>
      </c>
      <c r="F42" s="42">
        <v>467</v>
      </c>
      <c r="G42" s="42">
        <v>10</v>
      </c>
      <c r="H42" s="42">
        <v>5</v>
      </c>
      <c r="I42" s="42">
        <v>25</v>
      </c>
      <c r="J42" s="42"/>
      <c r="K42" s="42">
        <v>33</v>
      </c>
      <c r="L42" s="42">
        <v>3</v>
      </c>
      <c r="M42" s="42">
        <v>1</v>
      </c>
      <c r="N42" s="42">
        <v>8</v>
      </c>
      <c r="O42" s="42">
        <v>5</v>
      </c>
      <c r="P42" s="42">
        <v>5</v>
      </c>
      <c r="Q42" s="43">
        <v>7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8">
        <f>10+1+5+76+10+416</f>
        <v>518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8DB6-5127-49A0-88FD-A510330E25C0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28DD-8A10-4B87-80EA-B429032AF99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>
        <v>2</v>
      </c>
      <c r="F8" s="14">
        <v>2</v>
      </c>
      <c r="G8" s="14"/>
      <c r="H8" s="14" t="s">
        <v>98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>
        <v>1</v>
      </c>
      <c r="T8" s="14"/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>
        <v>0</v>
      </c>
      <c r="G15" s="23"/>
      <c r="H15" s="23">
        <v>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>
        <v>1</v>
      </c>
      <c r="T15" s="23"/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>
        <v>2</v>
      </c>
      <c r="G16" s="28"/>
      <c r="H16" s="28" t="s">
        <v>97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>
        <v>0</v>
      </c>
      <c r="T16" s="28"/>
      <c r="U16" s="28"/>
      <c r="V16" s="28"/>
      <c r="W16" s="56">
        <v>1</v>
      </c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21</v>
      </c>
      <c r="I24" s="14"/>
      <c r="J24" s="14"/>
      <c r="K24" s="14">
        <v>1</v>
      </c>
      <c r="L24" s="14">
        <v>9</v>
      </c>
      <c r="M24" s="14">
        <v>385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1</v>
      </c>
      <c r="L31" s="23">
        <v>0</v>
      </c>
      <c r="M31" s="23">
        <v>46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20</v>
      </c>
      <c r="I32" s="28"/>
      <c r="J32" s="28"/>
      <c r="K32" s="28">
        <v>0</v>
      </c>
      <c r="L32" s="28">
        <v>9</v>
      </c>
      <c r="M32" s="28">
        <v>339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300</v>
      </c>
      <c r="G36" s="42">
        <v>6</v>
      </c>
      <c r="H36" s="42">
        <v>2</v>
      </c>
      <c r="I36" s="42">
        <v>8</v>
      </c>
      <c r="J36" s="42">
        <v>1</v>
      </c>
      <c r="K36" s="42"/>
      <c r="L36" s="42">
        <v>2</v>
      </c>
      <c r="M36" s="42"/>
      <c r="N36" s="42"/>
      <c r="O36" s="42">
        <v>1</v>
      </c>
      <c r="P36" s="42">
        <v>2</v>
      </c>
      <c r="Q36" s="43">
        <v>21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300</v>
      </c>
      <c r="G42" s="42">
        <v>6</v>
      </c>
      <c r="H42" s="42">
        <v>2</v>
      </c>
      <c r="I42" s="42">
        <v>8</v>
      </c>
      <c r="J42" s="42">
        <v>1</v>
      </c>
      <c r="K42" s="42"/>
      <c r="L42" s="42">
        <v>2</v>
      </c>
      <c r="M42" s="42"/>
      <c r="N42" s="42"/>
      <c r="O42" s="42">
        <v>1</v>
      </c>
      <c r="P42" s="42">
        <v>2</v>
      </c>
      <c r="Q42" s="43">
        <v>21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>
        <f>2+2+2+1+1+20+9+339</f>
        <v>376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B2E9-1DAD-41B9-8108-5761B3569BB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>
        <v>3</v>
      </c>
      <c r="F8" s="14">
        <v>1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>
        <v>0</v>
      </c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>
        <v>1</v>
      </c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1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100</v>
      </c>
      <c r="G24" s="14"/>
      <c r="H24" s="14">
        <v>50</v>
      </c>
      <c r="I24" s="14"/>
      <c r="J24" s="14"/>
      <c r="K24" s="14" t="s">
        <v>101</v>
      </c>
      <c r="L24" s="14">
        <v>4</v>
      </c>
      <c r="M24" s="14">
        <v>368</v>
      </c>
      <c r="N24" s="14"/>
      <c r="O24" s="14"/>
      <c r="P24" s="14" t="s">
        <v>102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99</v>
      </c>
      <c r="G31" s="23"/>
      <c r="H31" s="23">
        <v>0</v>
      </c>
      <c r="I31" s="23"/>
      <c r="J31" s="23"/>
      <c r="K31" s="23" t="s">
        <v>101</v>
      </c>
      <c r="L31" s="23">
        <v>1</v>
      </c>
      <c r="M31" s="23">
        <v>45</v>
      </c>
      <c r="N31" s="23"/>
      <c r="O31" s="23"/>
      <c r="P31" s="23" t="s">
        <v>102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50</v>
      </c>
      <c r="I32" s="28"/>
      <c r="J32" s="28"/>
      <c r="K32" s="28">
        <v>0</v>
      </c>
      <c r="L32" s="28">
        <v>3</v>
      </c>
      <c r="M32" s="28">
        <v>323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4</v>
      </c>
      <c r="D36" s="41"/>
      <c r="E36" s="42"/>
      <c r="F36" s="42">
        <v>386</v>
      </c>
      <c r="G36" s="42">
        <v>9</v>
      </c>
      <c r="H36" s="42">
        <v>4</v>
      </c>
      <c r="I36" s="42">
        <v>3</v>
      </c>
      <c r="J36" s="42">
        <v>1</v>
      </c>
      <c r="K36" s="42"/>
      <c r="L36" s="42">
        <v>5</v>
      </c>
      <c r="M36" s="42">
        <v>1</v>
      </c>
      <c r="N36" s="42"/>
      <c r="O36" s="42">
        <v>13</v>
      </c>
      <c r="P36" s="42">
        <v>1</v>
      </c>
      <c r="Q36" s="43">
        <v>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4</v>
      </c>
      <c r="D42" s="41"/>
      <c r="E42" s="42"/>
      <c r="F42" s="42">
        <v>386</v>
      </c>
      <c r="G42" s="42">
        <v>9</v>
      </c>
      <c r="H42" s="42">
        <v>4</v>
      </c>
      <c r="I42" s="42">
        <v>3</v>
      </c>
      <c r="J42" s="42">
        <v>1</v>
      </c>
      <c r="K42" s="42"/>
      <c r="L42" s="42">
        <v>5</v>
      </c>
      <c r="M42" s="42">
        <v>1</v>
      </c>
      <c r="N42" s="42"/>
      <c r="O42" s="42">
        <v>13</v>
      </c>
      <c r="P42" s="42">
        <v>1</v>
      </c>
      <c r="Q42" s="43">
        <v>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>
        <f>2+1+12+1+5+50+3+323</f>
        <v>397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65DA-3F48-4CD6-ACFE-59473E57E51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7</v>
      </c>
      <c r="X8" s="59">
        <v>20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7</v>
      </c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109</v>
      </c>
      <c r="I24" s="14"/>
      <c r="J24" s="14"/>
      <c r="K24" s="14">
        <v>2</v>
      </c>
      <c r="L24" s="14">
        <v>35</v>
      </c>
      <c r="M24" s="14">
        <v>493</v>
      </c>
      <c r="N24" s="14"/>
      <c r="O24" s="14"/>
      <c r="P24" s="14" t="s">
        <v>103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1</v>
      </c>
      <c r="L31" s="23">
        <v>8</v>
      </c>
      <c r="M31" s="23">
        <v>3</v>
      </c>
      <c r="N31" s="23"/>
      <c r="O31" s="23"/>
      <c r="P31" s="23" t="s">
        <v>103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108</v>
      </c>
      <c r="I32" s="28"/>
      <c r="J32" s="28"/>
      <c r="K32" s="28">
        <v>1</v>
      </c>
      <c r="L32" s="28">
        <v>27</v>
      </c>
      <c r="M32" s="28">
        <v>490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1</v>
      </c>
      <c r="D36" s="41"/>
      <c r="E36" s="42">
        <v>24</v>
      </c>
      <c r="F36" s="42">
        <v>562</v>
      </c>
      <c r="G36" s="42">
        <v>1</v>
      </c>
      <c r="H36" s="42">
        <v>3</v>
      </c>
      <c r="I36" s="42">
        <v>19</v>
      </c>
      <c r="J36" s="42"/>
      <c r="K36" s="42">
        <v>8</v>
      </c>
      <c r="L36" s="42">
        <v>7</v>
      </c>
      <c r="M36" s="42">
        <v>4</v>
      </c>
      <c r="N36" s="42">
        <v>4</v>
      </c>
      <c r="O36" s="42">
        <v>14</v>
      </c>
      <c r="P36" s="42">
        <v>5</v>
      </c>
      <c r="Q36" s="43">
        <v>22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>
        <v>24</v>
      </c>
      <c r="F42" s="42">
        <v>562</v>
      </c>
      <c r="G42" s="42">
        <v>1</v>
      </c>
      <c r="H42" s="42">
        <v>3</v>
      </c>
      <c r="I42" s="42">
        <v>19</v>
      </c>
      <c r="J42" s="42"/>
      <c r="K42" s="42">
        <v>8</v>
      </c>
      <c r="L42" s="42">
        <v>7</v>
      </c>
      <c r="M42" s="42">
        <v>4</v>
      </c>
      <c r="N42" s="42">
        <v>4</v>
      </c>
      <c r="O42" s="42">
        <v>14</v>
      </c>
      <c r="P42" s="42">
        <v>5</v>
      </c>
      <c r="Q42" s="43">
        <v>22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>
        <f>1+1+26+15+15+3+5+62+2+10+551</f>
        <v>691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1476-46CD-40CB-AB97-62C479F8E3F5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2333-E2CF-4662-8CA0-CC82140FEBC5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3</v>
      </c>
      <c r="D8" s="14"/>
      <c r="E8" s="14">
        <v>2</v>
      </c>
      <c r="F8" s="14">
        <v>4</v>
      </c>
      <c r="G8" s="14"/>
      <c r="H8" s="14">
        <v>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>
        <v>0</v>
      </c>
      <c r="G15" s="23"/>
      <c r="H15" s="23">
        <v>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2</v>
      </c>
      <c r="D16" s="58"/>
      <c r="E16" s="27">
        <v>2</v>
      </c>
      <c r="F16" s="27">
        <v>4</v>
      </c>
      <c r="G16" s="28"/>
      <c r="H16" s="28">
        <v>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21</v>
      </c>
      <c r="I24" s="14"/>
      <c r="J24" s="14"/>
      <c r="K24" s="14">
        <v>1</v>
      </c>
      <c r="L24" s="14">
        <v>10</v>
      </c>
      <c r="M24" s="14">
        <v>370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6</v>
      </c>
      <c r="I31" s="23"/>
      <c r="J31" s="23"/>
      <c r="K31" s="23">
        <v>1</v>
      </c>
      <c r="L31" s="23">
        <v>2</v>
      </c>
      <c r="M31" s="23">
        <v>58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15</v>
      </c>
      <c r="I32" s="28"/>
      <c r="J32" s="28"/>
      <c r="K32" s="28">
        <v>0</v>
      </c>
      <c r="L32" s="28">
        <v>8</v>
      </c>
      <c r="M32" s="28">
        <v>312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321</v>
      </c>
      <c r="G36" s="42">
        <v>6</v>
      </c>
      <c r="H36" s="42">
        <v>5</v>
      </c>
      <c r="I36" s="42">
        <v>9</v>
      </c>
      <c r="J36" s="42">
        <v>4</v>
      </c>
      <c r="K36" s="42">
        <v>4</v>
      </c>
      <c r="L36" s="42">
        <v>2</v>
      </c>
      <c r="M36" s="42">
        <v>1</v>
      </c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321</v>
      </c>
      <c r="G42" s="42">
        <v>6</v>
      </c>
      <c r="H42" s="42">
        <v>5</v>
      </c>
      <c r="I42" s="42">
        <v>9</v>
      </c>
      <c r="J42" s="42">
        <v>4</v>
      </c>
      <c r="K42" s="42">
        <v>4</v>
      </c>
      <c r="L42" s="42">
        <v>2</v>
      </c>
      <c r="M42" s="42">
        <v>1</v>
      </c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>
        <f>2+2+4+1+15+8+312</f>
        <v>344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10E-BEE3-4382-9DE0-2C0BBCCEDE5A}">
  <dimension ref="B1:AA45"/>
  <sheetViews>
    <sheetView showGridLines="0" topLeftCell="A16" zoomScale="160" zoomScaleNormal="160" workbookViewId="0">
      <selection activeCell="N38" sqref="N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53E1-742A-48AB-BEDC-A3BA21BED00B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88B5-F19A-497C-A6A6-006728A3CC0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1BBD-4DAB-4F54-8CCE-B382B16ABCE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>
        <v>2</v>
      </c>
      <c r="F8" s="14"/>
      <c r="G8" s="14"/>
      <c r="H8" s="14">
        <v>16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/>
      <c r="G15" s="23"/>
      <c r="H15" s="23">
        <v>12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/>
      <c r="G16" s="28"/>
      <c r="H16" s="28" t="s">
        <v>92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108</v>
      </c>
      <c r="I24" s="14"/>
      <c r="J24" s="14"/>
      <c r="K24" s="14" t="s">
        <v>88</v>
      </c>
      <c r="L24" s="14">
        <v>6</v>
      </c>
      <c r="M24" s="14">
        <v>369</v>
      </c>
      <c r="N24" s="14"/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0</v>
      </c>
      <c r="I31" s="23"/>
      <c r="J31" s="23"/>
      <c r="K31" s="23">
        <v>12</v>
      </c>
      <c r="L31" s="23">
        <v>6</v>
      </c>
      <c r="M31" s="23">
        <v>104</v>
      </c>
      <c r="N31" s="23"/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108</v>
      </c>
      <c r="I32" s="28"/>
      <c r="J32" s="28"/>
      <c r="K32" s="28">
        <v>0</v>
      </c>
      <c r="L32" s="28">
        <v>0</v>
      </c>
      <c r="M32" s="28">
        <v>265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338</v>
      </c>
      <c r="G36" s="42">
        <v>33</v>
      </c>
      <c r="H36" s="42">
        <v>3</v>
      </c>
      <c r="I36" s="42">
        <v>3</v>
      </c>
      <c r="J36" s="42"/>
      <c r="K36" s="42"/>
      <c r="L36" s="42"/>
      <c r="M36" s="42"/>
      <c r="N36" s="42"/>
      <c r="O36" s="42">
        <v>2</v>
      </c>
      <c r="P36" s="42">
        <v>9</v>
      </c>
      <c r="Q36" s="43">
        <v>3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338</v>
      </c>
      <c r="G42" s="42">
        <v>33</v>
      </c>
      <c r="H42" s="42">
        <v>3</v>
      </c>
      <c r="I42" s="42">
        <v>3</v>
      </c>
      <c r="J42" s="42"/>
      <c r="K42" s="42"/>
      <c r="L42" s="42"/>
      <c r="M42" s="42"/>
      <c r="N42" s="42"/>
      <c r="O42" s="42">
        <v>2</v>
      </c>
      <c r="P42" s="42">
        <v>9</v>
      </c>
      <c r="Q42" s="43">
        <v>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>
        <f>2+15+108+265</f>
        <v>390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CAA7-25D3-432A-B5E1-EF6BECD151C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16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7</v>
      </c>
      <c r="U8" s="14"/>
      <c r="V8" s="14"/>
      <c r="W8" s="14">
        <v>3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 t="s">
        <v>89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1</v>
      </c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108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5</v>
      </c>
      <c r="U16" s="28"/>
      <c r="V16" s="28"/>
      <c r="W16" s="56">
        <v>2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54</v>
      </c>
      <c r="I24" s="14"/>
      <c r="J24" s="14"/>
      <c r="K24" s="14">
        <v>26</v>
      </c>
      <c r="L24" s="14">
        <v>15</v>
      </c>
      <c r="M24" s="14">
        <v>431</v>
      </c>
      <c r="N24" s="14"/>
      <c r="O24" s="14"/>
      <c r="P24" s="14" t="s">
        <v>87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1</v>
      </c>
      <c r="I31" s="23"/>
      <c r="J31" s="23"/>
      <c r="K31" s="23">
        <v>0</v>
      </c>
      <c r="L31" s="23">
        <v>4</v>
      </c>
      <c r="M31" s="23">
        <v>162</v>
      </c>
      <c r="N31" s="23"/>
      <c r="O31" s="23"/>
      <c r="P31" s="23" t="s">
        <v>109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53</v>
      </c>
      <c r="I32" s="28"/>
      <c r="J32" s="28"/>
      <c r="K32" s="28">
        <v>26</v>
      </c>
      <c r="L32" s="28">
        <v>11</v>
      </c>
      <c r="M32" s="28">
        <v>269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333</v>
      </c>
      <c r="G36" s="42">
        <v>12</v>
      </c>
      <c r="H36" s="42">
        <v>3</v>
      </c>
      <c r="I36" s="42">
        <v>14</v>
      </c>
      <c r="J36" s="42">
        <v>1</v>
      </c>
      <c r="K36" s="42">
        <v>2</v>
      </c>
      <c r="L36" s="42">
        <v>33</v>
      </c>
      <c r="M36" s="42"/>
      <c r="N36" s="42">
        <v>15</v>
      </c>
      <c r="O36" s="42">
        <v>2</v>
      </c>
      <c r="P36" s="42"/>
      <c r="Q36" s="43">
        <v>16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333</v>
      </c>
      <c r="G42" s="42">
        <v>12</v>
      </c>
      <c r="H42" s="42">
        <v>3</v>
      </c>
      <c r="I42" s="42">
        <v>14</v>
      </c>
      <c r="J42" s="42">
        <v>1</v>
      </c>
      <c r="K42" s="42">
        <v>2</v>
      </c>
      <c r="L42" s="42">
        <v>33</v>
      </c>
      <c r="M42" s="42"/>
      <c r="N42" s="42">
        <v>15</v>
      </c>
      <c r="O42" s="42">
        <v>2</v>
      </c>
      <c r="P42" s="42"/>
      <c r="Q42" s="43">
        <v>16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8">
        <f>2+5+2+53+26+11+269+3</f>
        <v>371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F7BD-955D-439D-A420-9D99970F2B78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1C10-082D-46CA-8D11-6C987D35F72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4</v>
      </c>
      <c r="D8" s="14">
        <v>3</v>
      </c>
      <c r="E8" s="14">
        <v>2</v>
      </c>
      <c r="F8" s="14"/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3</v>
      </c>
      <c r="D16" s="58">
        <v>1</v>
      </c>
      <c r="E16" s="27">
        <v>2</v>
      </c>
      <c r="F16" s="27"/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104</v>
      </c>
      <c r="I24" s="14"/>
      <c r="J24" s="14"/>
      <c r="K24" s="14"/>
      <c r="L24" s="14">
        <v>14</v>
      </c>
      <c r="M24" s="14">
        <v>441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/>
      <c r="L31" s="23">
        <v>6</v>
      </c>
      <c r="M31" s="23">
        <v>19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103</v>
      </c>
      <c r="I32" s="28"/>
      <c r="J32" s="28"/>
      <c r="K32" s="28"/>
      <c r="L32" s="28">
        <v>8</v>
      </c>
      <c r="M32" s="28">
        <v>422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344</v>
      </c>
      <c r="G36" s="42">
        <v>8</v>
      </c>
      <c r="H36" s="42">
        <v>3</v>
      </c>
      <c r="I36" s="42">
        <v>3</v>
      </c>
      <c r="J36" s="42">
        <v>1</v>
      </c>
      <c r="K36" s="42">
        <v>12</v>
      </c>
      <c r="L36" s="42">
        <v>2</v>
      </c>
      <c r="M36" s="42">
        <v>2</v>
      </c>
      <c r="N36" s="42">
        <v>22</v>
      </c>
      <c r="O36" s="42">
        <v>5</v>
      </c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344</v>
      </c>
      <c r="G42" s="42">
        <v>8</v>
      </c>
      <c r="H42" s="42">
        <v>3</v>
      </c>
      <c r="I42" s="42">
        <v>3</v>
      </c>
      <c r="J42" s="42">
        <v>1</v>
      </c>
      <c r="K42" s="42">
        <v>12</v>
      </c>
      <c r="L42" s="42">
        <v>2</v>
      </c>
      <c r="M42" s="42">
        <v>2</v>
      </c>
      <c r="N42" s="42">
        <v>22</v>
      </c>
      <c r="O42" s="42">
        <v>5</v>
      </c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>
        <f>3+1+2+12+103+8+422</f>
        <v>551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9D7-1134-4012-B3CD-F4E1909A914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>
        <v>1</v>
      </c>
      <c r="E8" s="14">
        <v>5</v>
      </c>
      <c r="F8" s="14"/>
      <c r="G8" s="14"/>
      <c r="H8" s="14" t="s">
        <v>93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0</v>
      </c>
      <c r="F15" s="23"/>
      <c r="G15" s="23"/>
      <c r="H15" s="23" t="s">
        <v>88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1</v>
      </c>
      <c r="E16" s="27">
        <v>5</v>
      </c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1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2</v>
      </c>
      <c r="E24" s="14"/>
      <c r="F24" s="14" t="s">
        <v>85</v>
      </c>
      <c r="G24" s="14"/>
      <c r="H24" s="14">
        <v>68</v>
      </c>
      <c r="I24" s="14"/>
      <c r="J24" s="14"/>
      <c r="K24" s="14" t="s">
        <v>88</v>
      </c>
      <c r="L24" s="14">
        <v>6</v>
      </c>
      <c r="M24" s="14">
        <v>374</v>
      </c>
      <c r="N24" s="14"/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1</v>
      </c>
      <c r="E31" s="23"/>
      <c r="F31" s="23" t="s">
        <v>85</v>
      </c>
      <c r="G31" s="23"/>
      <c r="H31" s="23">
        <v>0</v>
      </c>
      <c r="I31" s="23"/>
      <c r="J31" s="23"/>
      <c r="K31" s="23" t="s">
        <v>88</v>
      </c>
      <c r="L31" s="23">
        <v>1</v>
      </c>
      <c r="M31" s="23">
        <v>97</v>
      </c>
      <c r="N31" s="23"/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1</v>
      </c>
      <c r="E32" s="27"/>
      <c r="F32" s="27">
        <v>0</v>
      </c>
      <c r="G32" s="28"/>
      <c r="H32" s="28">
        <v>68</v>
      </c>
      <c r="I32" s="28"/>
      <c r="J32" s="28"/>
      <c r="K32" s="28">
        <v>0</v>
      </c>
      <c r="L32" s="28">
        <v>5</v>
      </c>
      <c r="M32" s="28">
        <v>277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396</v>
      </c>
      <c r="G36" s="42">
        <v>3</v>
      </c>
      <c r="H36" s="42">
        <v>3</v>
      </c>
      <c r="I36" s="42">
        <v>6</v>
      </c>
      <c r="J36" s="42"/>
      <c r="K36" s="42">
        <v>2</v>
      </c>
      <c r="L36" s="42">
        <v>5</v>
      </c>
      <c r="M36" s="42"/>
      <c r="N36" s="42"/>
      <c r="O36" s="42">
        <v>6</v>
      </c>
      <c r="P36" s="42">
        <v>5</v>
      </c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396</v>
      </c>
      <c r="G42" s="42">
        <v>3</v>
      </c>
      <c r="H42" s="42">
        <v>3</v>
      </c>
      <c r="I42" s="42">
        <v>6</v>
      </c>
      <c r="J42" s="42"/>
      <c r="K42" s="42">
        <v>2</v>
      </c>
      <c r="L42" s="42">
        <v>5</v>
      </c>
      <c r="M42" s="42"/>
      <c r="N42" s="42"/>
      <c r="O42" s="42">
        <v>6</v>
      </c>
      <c r="P42" s="42">
        <v>5</v>
      </c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>
        <f>1+5+10+1+1+68+5+277</f>
        <v>368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3703-5D4B-4E7C-B04F-B492E99BFDE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FAD9-BCFD-4E00-B44C-52C5E0D94AD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0477-8D4A-4461-AF7A-BE48D2121ED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1EB4-3552-4D1E-9D68-907782B5CF0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7AA4-CC6C-4B09-99C1-8EA5EFCBC86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2EEA-818A-45EB-B468-E5CF0BEA2122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B2A2-C7DE-46A1-9418-B83E20CE8A8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/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117</v>
      </c>
      <c r="I24" s="14"/>
      <c r="J24" s="14"/>
      <c r="K24" s="14"/>
      <c r="L24" s="14">
        <v>6</v>
      </c>
      <c r="M24" s="14">
        <v>326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/>
      <c r="I31" s="23"/>
      <c r="J31" s="23"/>
      <c r="K31" s="23"/>
      <c r="L31" s="23">
        <v>0</v>
      </c>
      <c r="M31" s="23">
        <v>4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111</v>
      </c>
      <c r="I32" s="28"/>
      <c r="J32" s="28"/>
      <c r="K32" s="28"/>
      <c r="L32" s="28">
        <v>6</v>
      </c>
      <c r="M32" s="28">
        <v>322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>
        <v>9</v>
      </c>
      <c r="D36" s="41">
        <v>2</v>
      </c>
      <c r="E36" s="42">
        <v>18</v>
      </c>
      <c r="F36" s="42">
        <v>539</v>
      </c>
      <c r="G36" s="42">
        <v>21</v>
      </c>
      <c r="H36" s="42">
        <v>10</v>
      </c>
      <c r="I36" s="42">
        <v>16</v>
      </c>
      <c r="J36" s="42">
        <v>1</v>
      </c>
      <c r="K36" s="42">
        <v>17</v>
      </c>
      <c r="L36" s="42">
        <v>10</v>
      </c>
      <c r="M36" s="42"/>
      <c r="N36" s="42">
        <v>23</v>
      </c>
      <c r="O36" s="42">
        <v>24</v>
      </c>
      <c r="P36" s="42">
        <v>2</v>
      </c>
      <c r="Q36" s="43">
        <v>11</v>
      </c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>
        <v>9</v>
      </c>
      <c r="D42" s="41">
        <v>2</v>
      </c>
      <c r="E42" s="42">
        <v>18</v>
      </c>
      <c r="F42" s="42">
        <v>539</v>
      </c>
      <c r="G42" s="42">
        <v>21</v>
      </c>
      <c r="H42" s="42">
        <v>10</v>
      </c>
      <c r="I42" s="42">
        <v>16</v>
      </c>
      <c r="J42" s="42">
        <v>1</v>
      </c>
      <c r="K42" s="42">
        <v>17</v>
      </c>
      <c r="L42" s="42">
        <v>10</v>
      </c>
      <c r="M42" s="42"/>
      <c r="N42" s="42">
        <v>23</v>
      </c>
      <c r="O42" s="42">
        <v>24</v>
      </c>
      <c r="P42" s="42">
        <v>2</v>
      </c>
      <c r="Q42" s="43">
        <v>11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98">
        <f>2+9+2+111+6+322</f>
        <v>452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AF6E-4F8C-4A65-AA61-EE6E7C4CFE1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46</v>
      </c>
      <c r="I24" s="14"/>
      <c r="J24" s="14"/>
      <c r="K24" s="14">
        <v>6</v>
      </c>
      <c r="L24" s="14">
        <v>432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40</v>
      </c>
      <c r="I31" s="23"/>
      <c r="J31" s="23"/>
      <c r="K31" s="23">
        <v>0</v>
      </c>
      <c r="L31" s="23">
        <v>53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6</v>
      </c>
      <c r="I32" s="28"/>
      <c r="J32" s="28"/>
      <c r="K32" s="28">
        <v>6</v>
      </c>
      <c r="L32" s="28">
        <v>379</v>
      </c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395</v>
      </c>
      <c r="G36" s="42"/>
      <c r="H36" s="42"/>
      <c r="I36" s="42">
        <v>3</v>
      </c>
      <c r="J36" s="42"/>
      <c r="K36" s="42"/>
      <c r="L36" s="42"/>
      <c r="M36" s="42"/>
      <c r="N36" s="42"/>
      <c r="O36" s="42">
        <v>7</v>
      </c>
      <c r="P36" s="42">
        <v>9</v>
      </c>
      <c r="Q36" s="43"/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395</v>
      </c>
      <c r="G42" s="42"/>
      <c r="H42" s="42"/>
      <c r="I42" s="42">
        <v>3</v>
      </c>
      <c r="J42" s="42"/>
      <c r="K42" s="42"/>
      <c r="L42" s="42"/>
      <c r="M42" s="42"/>
      <c r="N42" s="42"/>
      <c r="O42" s="42">
        <v>7</v>
      </c>
      <c r="P42" s="42">
        <v>9</v>
      </c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98">
        <f>12+6+6+379</f>
        <v>403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46B2-220C-4816-A795-31207816330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10</v>
      </c>
      <c r="F8" s="14"/>
      <c r="G8" s="14"/>
      <c r="H8" s="14" t="s">
        <v>110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3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 t="s">
        <v>108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10</v>
      </c>
      <c r="F16" s="27"/>
      <c r="G16" s="28"/>
      <c r="H16" s="28">
        <v>23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3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163</v>
      </c>
      <c r="I24" s="14"/>
      <c r="J24" s="14"/>
      <c r="K24" s="14"/>
      <c r="L24" s="14">
        <v>14</v>
      </c>
      <c r="M24" s="14">
        <v>486</v>
      </c>
      <c r="N24" s="14"/>
      <c r="O24" s="14"/>
      <c r="P24" s="14" t="s">
        <v>109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1</v>
      </c>
      <c r="I31" s="23"/>
      <c r="J31" s="23"/>
      <c r="K31" s="23"/>
      <c r="L31" s="23">
        <v>9</v>
      </c>
      <c r="M31" s="23">
        <v>3</v>
      </c>
      <c r="N31" s="23"/>
      <c r="O31" s="23"/>
      <c r="P31" s="23" t="s">
        <v>109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162</v>
      </c>
      <c r="I32" s="28"/>
      <c r="J32" s="28"/>
      <c r="K32" s="28"/>
      <c r="L32" s="28">
        <v>5</v>
      </c>
      <c r="M32" s="28">
        <v>483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3"/>
      <c r="W35" s="83"/>
      <c r="X35" s="83"/>
      <c r="Y35" s="83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444</v>
      </c>
      <c r="G36" s="42"/>
      <c r="H36" s="42"/>
      <c r="I36" s="42">
        <v>10</v>
      </c>
      <c r="J36" s="42"/>
      <c r="K36" s="42"/>
      <c r="L36" s="42"/>
      <c r="M36" s="42">
        <v>4</v>
      </c>
      <c r="N36" s="42"/>
      <c r="O36" s="42">
        <v>10</v>
      </c>
      <c r="P36" s="42">
        <v>1</v>
      </c>
      <c r="Q36" s="43">
        <v>17</v>
      </c>
      <c r="R36" s="72"/>
      <c r="S36" s="44"/>
      <c r="T36" s="44"/>
      <c r="U36" s="83"/>
      <c r="V36" s="83"/>
      <c r="W36" s="83"/>
      <c r="X36" s="83"/>
      <c r="Y36" s="83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3"/>
      <c r="V37" s="83"/>
      <c r="W37" s="83"/>
      <c r="X37" s="83"/>
      <c r="Y37" s="83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3"/>
      <c r="V38" s="83"/>
      <c r="W38" s="83"/>
      <c r="X38" s="83"/>
      <c r="Y38" s="83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3"/>
      <c r="V39" s="83"/>
      <c r="W39" s="83"/>
      <c r="X39" s="83"/>
      <c r="Y39" s="83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3"/>
      <c r="V40" s="83"/>
      <c r="W40" s="83"/>
      <c r="X40" s="83"/>
      <c r="Y40" s="83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3"/>
      <c r="W41" s="83"/>
      <c r="X41" s="83"/>
      <c r="Y41" s="83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444</v>
      </c>
      <c r="G42" s="42"/>
      <c r="H42" s="42"/>
      <c r="I42" s="42">
        <v>10</v>
      </c>
      <c r="J42" s="42"/>
      <c r="K42" s="42"/>
      <c r="L42" s="42"/>
      <c r="M42" s="42">
        <v>4</v>
      </c>
      <c r="N42" s="42"/>
      <c r="O42" s="42">
        <v>10</v>
      </c>
      <c r="P42" s="42">
        <v>1</v>
      </c>
      <c r="Q42" s="43">
        <v>17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3"/>
      <c r="V43" s="83"/>
      <c r="W43" s="83"/>
      <c r="X43" s="83"/>
      <c r="Y43" s="83"/>
    </row>
    <row r="44" spans="2:25" x14ac:dyDescent="0.25">
      <c r="B44" s="76" t="s">
        <v>68</v>
      </c>
      <c r="C44" s="98">
        <f>10+23+2+3+1+162+5+483</f>
        <v>689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E366-1139-401A-95E8-45B400650E3E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1964-B423-44D7-BE1F-AD31F03C2104}">
  <dimension ref="B1:AA45"/>
  <sheetViews>
    <sheetView showGridLines="0" topLeftCell="B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3</v>
      </c>
      <c r="E8" s="14"/>
      <c r="F8" s="14"/>
      <c r="G8" s="14"/>
      <c r="H8" s="14">
        <v>21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4</v>
      </c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3</v>
      </c>
      <c r="E15" s="23"/>
      <c r="F15" s="23"/>
      <c r="G15" s="23"/>
      <c r="H15" s="23">
        <v>11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/>
      <c r="X16" s="62">
        <v>1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134</v>
      </c>
      <c r="I24" s="14"/>
      <c r="J24" s="14"/>
      <c r="K24" s="14"/>
      <c r="L24" s="14">
        <v>8</v>
      </c>
      <c r="M24" s="14">
        <v>599</v>
      </c>
      <c r="N24" s="14"/>
      <c r="O24" s="14"/>
      <c r="P24" s="14">
        <v>11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f>4+9</f>
        <v>13</v>
      </c>
      <c r="I31" s="23"/>
      <c r="J31" s="23"/>
      <c r="K31" s="23"/>
      <c r="L31" s="23">
        <v>0</v>
      </c>
      <c r="M31" s="23">
        <f>4+12</f>
        <v>16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121</v>
      </c>
      <c r="I32" s="28"/>
      <c r="J32" s="28"/>
      <c r="K32" s="28"/>
      <c r="L32" s="28">
        <v>8</v>
      </c>
      <c r="M32" s="28">
        <v>583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825</v>
      </c>
      <c r="G36" s="42">
        <v>62</v>
      </c>
      <c r="H36" s="42">
        <v>1</v>
      </c>
      <c r="I36" s="42">
        <v>18</v>
      </c>
      <c r="J36" s="42">
        <v>3</v>
      </c>
      <c r="K36" s="42">
        <v>8</v>
      </c>
      <c r="L36" s="42">
        <v>10</v>
      </c>
      <c r="M36" s="42"/>
      <c r="N36" s="42">
        <v>1</v>
      </c>
      <c r="O36" s="42">
        <v>28</v>
      </c>
      <c r="P36" s="42">
        <v>1</v>
      </c>
      <c r="Q36" s="43">
        <v>1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825</v>
      </c>
      <c r="G42" s="42">
        <v>62</v>
      </c>
      <c r="H42" s="42">
        <v>1</v>
      </c>
      <c r="I42" s="42">
        <v>18</v>
      </c>
      <c r="J42" s="42">
        <v>3</v>
      </c>
      <c r="K42" s="42">
        <v>8</v>
      </c>
      <c r="L42" s="42">
        <v>10</v>
      </c>
      <c r="M42" s="42"/>
      <c r="N42" s="42">
        <v>1</v>
      </c>
      <c r="O42" s="42">
        <v>28</v>
      </c>
      <c r="P42" s="42">
        <v>1</v>
      </c>
      <c r="Q42" s="43">
        <v>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10+2+1+1+2+121+8+583+3</f>
        <v>731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417E-43DF-4473-AFE8-F3CF98D29D7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>
        <v>1</v>
      </c>
      <c r="F8" s="14"/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3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/>
      <c r="G15" s="23"/>
      <c r="H15" s="23" t="s">
        <v>80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3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0</v>
      </c>
      <c r="F16" s="27"/>
      <c r="G16" s="28"/>
      <c r="H16" s="28">
        <v>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14" t="s">
        <v>85</v>
      </c>
      <c r="G24" s="14"/>
      <c r="H24" s="14">
        <v>30</v>
      </c>
      <c r="I24" s="14"/>
      <c r="J24" s="14"/>
      <c r="K24" s="14" t="s">
        <v>88</v>
      </c>
      <c r="L24" s="14">
        <v>7</v>
      </c>
      <c r="M24" s="14">
        <v>366</v>
      </c>
      <c r="N24" s="14"/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1</v>
      </c>
      <c r="E31" s="23"/>
      <c r="F31" s="23" t="s">
        <v>85</v>
      </c>
      <c r="G31" s="23"/>
      <c r="H31" s="23">
        <v>26</v>
      </c>
      <c r="I31" s="23"/>
      <c r="J31" s="23"/>
      <c r="K31" s="23" t="s">
        <v>88</v>
      </c>
      <c r="L31" s="23">
        <v>0</v>
      </c>
      <c r="M31" s="23">
        <v>48</v>
      </c>
      <c r="N31" s="23"/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0</v>
      </c>
      <c r="E32" s="27"/>
      <c r="F32" s="27">
        <v>0</v>
      </c>
      <c r="G32" s="28"/>
      <c r="H32" s="28">
        <v>4</v>
      </c>
      <c r="I32" s="28"/>
      <c r="J32" s="28"/>
      <c r="K32" s="28">
        <v>0</v>
      </c>
      <c r="L32" s="28">
        <v>7</v>
      </c>
      <c r="M32" s="28">
        <v>318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331</v>
      </c>
      <c r="G42" s="42">
        <v>5</v>
      </c>
      <c r="H42" s="42">
        <v>5</v>
      </c>
      <c r="I42" s="42">
        <v>3</v>
      </c>
      <c r="J42" s="42"/>
      <c r="K42" s="42">
        <v>8</v>
      </c>
      <c r="L42" s="42"/>
      <c r="M42" s="42"/>
      <c r="N42" s="42"/>
      <c r="O42" s="42"/>
      <c r="P42" s="42">
        <v>8</v>
      </c>
      <c r="Q42" s="43">
        <v>19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7+4+7+318</f>
        <v>336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B3DE-9AAF-4F3A-9D1E-365B28A0A13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/>
      <c r="G8" s="14"/>
      <c r="H8" s="14" t="s">
        <v>118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15</v>
      </c>
      <c r="U8" s="14"/>
      <c r="V8" s="14"/>
      <c r="W8" s="14">
        <v>17</v>
      </c>
      <c r="X8" s="59">
        <v>5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/>
      <c r="H16" s="28" t="s">
        <v>118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15</v>
      </c>
      <c r="U16" s="28"/>
      <c r="V16" s="28"/>
      <c r="W16" s="56">
        <v>17</v>
      </c>
      <c r="X16" s="62">
        <v>5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41</v>
      </c>
      <c r="I24" s="14"/>
      <c r="J24" s="14"/>
      <c r="K24" s="14"/>
      <c r="L24" s="14">
        <v>19</v>
      </c>
      <c r="M24" s="14">
        <v>651</v>
      </c>
      <c r="N24" s="14"/>
      <c r="O24" s="14"/>
      <c r="P24" s="14" t="s">
        <v>109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/>
      <c r="L31" s="23">
        <v>1</v>
      </c>
      <c r="M31" s="23">
        <v>3</v>
      </c>
      <c r="N31" s="23"/>
      <c r="O31" s="23"/>
      <c r="P31" s="23" t="s">
        <v>109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40</v>
      </c>
      <c r="I32" s="28"/>
      <c r="J32" s="28"/>
      <c r="K32" s="28"/>
      <c r="L32" s="28">
        <v>18</v>
      </c>
      <c r="M32" s="28">
        <v>648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1</v>
      </c>
      <c r="D36" s="41">
        <v>2</v>
      </c>
      <c r="E36" s="42">
        <v>34</v>
      </c>
      <c r="F36" s="42">
        <v>705</v>
      </c>
      <c r="G36" s="42"/>
      <c r="H36" s="42"/>
      <c r="I36" s="42">
        <v>15</v>
      </c>
      <c r="J36" s="42"/>
      <c r="K36" s="42">
        <v>1</v>
      </c>
      <c r="L36" s="42">
        <v>30</v>
      </c>
      <c r="M36" s="42"/>
      <c r="N36" s="42"/>
      <c r="O36" s="42">
        <v>17</v>
      </c>
      <c r="P36" s="42">
        <v>18</v>
      </c>
      <c r="Q36" s="43">
        <v>13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1</v>
      </c>
      <c r="D42" s="41">
        <v>2</v>
      </c>
      <c r="E42" s="42">
        <v>34</v>
      </c>
      <c r="F42" s="42">
        <v>705</v>
      </c>
      <c r="G42" s="42"/>
      <c r="H42" s="42"/>
      <c r="I42" s="42">
        <v>15</v>
      </c>
      <c r="J42" s="42"/>
      <c r="K42" s="42">
        <v>1</v>
      </c>
      <c r="L42" s="42">
        <v>30</v>
      </c>
      <c r="M42" s="42"/>
      <c r="N42" s="42"/>
      <c r="O42" s="42">
        <v>17</v>
      </c>
      <c r="P42" s="42">
        <v>18</v>
      </c>
      <c r="Q42" s="43">
        <v>13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2+22+15+17+5+2+40+18+648</f>
        <v>769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94FD-3617-4589-99A4-E8F1ABC1933D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28F3-A060-4D93-BD75-B48B079CFAD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3</v>
      </c>
      <c r="E8" s="14"/>
      <c r="F8" s="14"/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3</v>
      </c>
      <c r="E15" s="23"/>
      <c r="F15" s="23"/>
      <c r="G15" s="23"/>
      <c r="H15" s="23" t="s">
        <v>100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100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13</v>
      </c>
      <c r="I24" s="14"/>
      <c r="J24" s="14"/>
      <c r="K24" s="14"/>
      <c r="L24" s="14"/>
      <c r="M24" s="14">
        <v>340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/>
      <c r="L31" s="23"/>
      <c r="M31" s="23">
        <v>5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12</v>
      </c>
      <c r="I32" s="28"/>
      <c r="J32" s="28"/>
      <c r="K32" s="28"/>
      <c r="L32" s="28"/>
      <c r="M32" s="28">
        <v>335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340</v>
      </c>
      <c r="G36" s="42">
        <v>4</v>
      </c>
      <c r="H36" s="42">
        <v>2</v>
      </c>
      <c r="I36" s="42"/>
      <c r="J36" s="42"/>
      <c r="K36" s="42">
        <v>1</v>
      </c>
      <c r="L36" s="42"/>
      <c r="M36" s="42"/>
      <c r="N36" s="42"/>
      <c r="O36" s="42">
        <v>4</v>
      </c>
      <c r="P36" s="42">
        <v>1</v>
      </c>
      <c r="Q36" s="43">
        <v>18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340</v>
      </c>
      <c r="G42" s="42">
        <v>4</v>
      </c>
      <c r="H42" s="42">
        <v>2</v>
      </c>
      <c r="I42" s="42"/>
      <c r="J42" s="42"/>
      <c r="K42" s="42">
        <v>1</v>
      </c>
      <c r="L42" s="42"/>
      <c r="M42" s="42"/>
      <c r="N42" s="42"/>
      <c r="O42" s="42">
        <v>4</v>
      </c>
      <c r="P42" s="42">
        <v>1</v>
      </c>
      <c r="Q42" s="43">
        <v>18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5+12+335</f>
        <v>352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3AA5-CD98-487A-B2B0-0541218FA8B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/>
      <c r="E8" s="14">
        <v>2</v>
      </c>
      <c r="F8" s="14"/>
      <c r="G8" s="14"/>
      <c r="H8" s="14" t="s">
        <v>119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3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/>
      <c r="G16" s="28"/>
      <c r="H16" s="28" t="s">
        <v>98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1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14" t="s">
        <v>101</v>
      </c>
      <c r="G24" s="14"/>
      <c r="H24" s="14">
        <v>26</v>
      </c>
      <c r="I24" s="14"/>
      <c r="J24" s="14"/>
      <c r="K24" s="14" t="s">
        <v>99</v>
      </c>
      <c r="L24" s="14"/>
      <c r="M24" s="14">
        <v>425</v>
      </c>
      <c r="N24" s="14"/>
      <c r="O24" s="14"/>
      <c r="P24" s="14" t="s">
        <v>102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1</v>
      </c>
      <c r="E31" s="23"/>
      <c r="F31" s="23" t="s">
        <v>101</v>
      </c>
      <c r="G31" s="23"/>
      <c r="H31" s="23">
        <v>11</v>
      </c>
      <c r="I31" s="23"/>
      <c r="J31" s="23"/>
      <c r="K31" s="23">
        <v>0</v>
      </c>
      <c r="L31" s="23"/>
      <c r="M31" s="23">
        <v>133</v>
      </c>
      <c r="N31" s="23"/>
      <c r="O31" s="23"/>
      <c r="P31" s="23" t="s">
        <v>102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0</v>
      </c>
      <c r="E32" s="27"/>
      <c r="F32" s="27">
        <v>0</v>
      </c>
      <c r="G32" s="28"/>
      <c r="H32" s="28">
        <v>15</v>
      </c>
      <c r="I32" s="28"/>
      <c r="J32" s="28"/>
      <c r="K32" s="28" t="s">
        <v>99</v>
      </c>
      <c r="L32" s="28"/>
      <c r="M32" s="28">
        <v>292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309</v>
      </c>
      <c r="G36" s="42">
        <v>1</v>
      </c>
      <c r="H36" s="42">
        <v>2</v>
      </c>
      <c r="I36" s="42"/>
      <c r="J36" s="42"/>
      <c r="K36" s="42"/>
      <c r="L36" s="42">
        <v>1</v>
      </c>
      <c r="M36" s="42"/>
      <c r="N36" s="42">
        <v>13</v>
      </c>
      <c r="O36" s="42">
        <v>3</v>
      </c>
      <c r="P36" s="42">
        <v>1</v>
      </c>
      <c r="Q36" s="43">
        <v>16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309</v>
      </c>
      <c r="G42" s="42">
        <v>1</v>
      </c>
      <c r="H42" s="42">
        <v>2</v>
      </c>
      <c r="I42" s="42"/>
      <c r="J42" s="42"/>
      <c r="K42" s="42"/>
      <c r="L42" s="42">
        <v>1</v>
      </c>
      <c r="M42" s="42"/>
      <c r="N42" s="42">
        <v>13</v>
      </c>
      <c r="O42" s="42">
        <v>3</v>
      </c>
      <c r="P42" s="42">
        <v>1</v>
      </c>
      <c r="Q42" s="43">
        <v>16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7332-609A-4124-B7CF-65110629804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>
        <v>2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 t="s">
        <v>121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>
        <v>0</v>
      </c>
      <c r="Y15" s="24">
        <v>2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/>
      <c r="H16" s="28" t="s">
        <v>120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59</v>
      </c>
      <c r="I24" s="14"/>
      <c r="J24" s="14"/>
      <c r="K24" s="14">
        <v>2</v>
      </c>
      <c r="L24" s="14">
        <v>17</v>
      </c>
      <c r="M24" s="14">
        <v>543</v>
      </c>
      <c r="N24" s="14"/>
      <c r="O24" s="14"/>
      <c r="P24" s="14" t="s">
        <v>122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1</v>
      </c>
      <c r="L31" s="23">
        <v>11</v>
      </c>
      <c r="M31" s="23">
        <v>91</v>
      </c>
      <c r="N31" s="23"/>
      <c r="O31" s="23"/>
      <c r="P31" s="23" t="s">
        <v>122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30</v>
      </c>
      <c r="G32" s="28"/>
      <c r="H32" s="28">
        <v>58</v>
      </c>
      <c r="I32" s="28"/>
      <c r="J32" s="28"/>
      <c r="K32" s="28">
        <v>1</v>
      </c>
      <c r="L32" s="28">
        <v>6</v>
      </c>
      <c r="M32" s="28">
        <v>452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512</v>
      </c>
      <c r="G36" s="42">
        <v>1</v>
      </c>
      <c r="H36" s="42"/>
      <c r="I36" s="42">
        <v>7</v>
      </c>
      <c r="J36" s="42">
        <v>1</v>
      </c>
      <c r="K36" s="42">
        <v>10</v>
      </c>
      <c r="L36" s="42">
        <v>4</v>
      </c>
      <c r="M36" s="42"/>
      <c r="N36" s="42"/>
      <c r="O36" s="42">
        <v>9</v>
      </c>
      <c r="P36" s="42">
        <v>6</v>
      </c>
      <c r="Q36" s="43">
        <v>7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512</v>
      </c>
      <c r="G42" s="42">
        <v>1</v>
      </c>
      <c r="H42" s="42"/>
      <c r="I42" s="42">
        <v>7</v>
      </c>
      <c r="J42" s="42">
        <v>1</v>
      </c>
      <c r="K42" s="42">
        <v>10</v>
      </c>
      <c r="L42" s="42">
        <v>4</v>
      </c>
      <c r="M42" s="42"/>
      <c r="N42" s="42"/>
      <c r="O42" s="42">
        <v>9</v>
      </c>
      <c r="P42" s="42">
        <v>6</v>
      </c>
      <c r="Q42" s="43">
        <v>7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2+15+2+30+58+1+6+452</f>
        <v>566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C0DA-C694-4552-A111-62808CE8A0C2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03E7-AA43-4F3C-952D-2548FEE6C64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3</v>
      </c>
      <c r="E8" s="14"/>
      <c r="F8" s="14"/>
      <c r="G8" s="14"/>
      <c r="H8" s="14" t="s">
        <v>124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3</v>
      </c>
      <c r="E15" s="23"/>
      <c r="F15" s="23"/>
      <c r="G15" s="23"/>
      <c r="H15" s="23" t="s">
        <v>123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</v>
      </c>
      <c r="I24" s="14"/>
      <c r="J24" s="14"/>
      <c r="K24" s="14">
        <v>70</v>
      </c>
      <c r="L24" s="14"/>
      <c r="M24" s="14">
        <v>437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0</v>
      </c>
      <c r="L31" s="23"/>
      <c r="M31" s="23">
        <v>6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0</v>
      </c>
      <c r="I32" s="28"/>
      <c r="J32" s="28"/>
      <c r="K32" s="28">
        <v>70</v>
      </c>
      <c r="L32" s="28"/>
      <c r="M32" s="28">
        <v>431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496</v>
      </c>
      <c r="G36" s="42">
        <v>11</v>
      </c>
      <c r="H36" s="42">
        <v>2</v>
      </c>
      <c r="I36" s="42">
        <v>2</v>
      </c>
      <c r="J36" s="42"/>
      <c r="K36" s="42">
        <v>5</v>
      </c>
      <c r="L36" s="42">
        <v>70</v>
      </c>
      <c r="M36" s="42">
        <v>2</v>
      </c>
      <c r="N36" s="42">
        <v>21</v>
      </c>
      <c r="O36" s="42">
        <v>6</v>
      </c>
      <c r="P36" s="42">
        <v>10</v>
      </c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496</v>
      </c>
      <c r="G42" s="42">
        <v>11</v>
      </c>
      <c r="H42" s="42">
        <v>2</v>
      </c>
      <c r="I42" s="42">
        <v>2</v>
      </c>
      <c r="J42" s="42"/>
      <c r="K42" s="42">
        <v>5</v>
      </c>
      <c r="L42" s="42">
        <v>70</v>
      </c>
      <c r="M42" s="42">
        <v>2</v>
      </c>
      <c r="N42" s="42">
        <v>21</v>
      </c>
      <c r="O42" s="42">
        <v>6</v>
      </c>
      <c r="P42" s="42">
        <v>10</v>
      </c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9+70+431</f>
        <v>510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3EE1-6B68-4739-925D-42452C24A61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>
        <v>1</v>
      </c>
      <c r="E8" s="14">
        <v>2</v>
      </c>
      <c r="F8" s="14"/>
      <c r="G8" s="14"/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14" t="s">
        <v>101</v>
      </c>
      <c r="G24" s="14"/>
      <c r="H24" s="14">
        <v>30</v>
      </c>
      <c r="I24" s="14"/>
      <c r="J24" s="14"/>
      <c r="K24" s="14">
        <v>2</v>
      </c>
      <c r="L24" s="14">
        <v>10</v>
      </c>
      <c r="M24" s="14">
        <v>347</v>
      </c>
      <c r="N24" s="14"/>
      <c r="O24" s="14"/>
      <c r="P24" s="14" t="s">
        <v>102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/>
      <c r="F31" s="23" t="s">
        <v>101</v>
      </c>
      <c r="G31" s="23"/>
      <c r="H31" s="23">
        <v>10</v>
      </c>
      <c r="I31" s="23"/>
      <c r="J31" s="23"/>
      <c r="K31" s="23">
        <v>1</v>
      </c>
      <c r="L31" s="23">
        <v>0</v>
      </c>
      <c r="M31" s="23">
        <v>85</v>
      </c>
      <c r="N31" s="23"/>
      <c r="O31" s="23"/>
      <c r="P31" s="23" t="s">
        <v>102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1</v>
      </c>
      <c r="E32" s="27"/>
      <c r="F32" s="27">
        <v>0</v>
      </c>
      <c r="G32" s="28"/>
      <c r="H32" s="28">
        <v>20</v>
      </c>
      <c r="I32" s="28"/>
      <c r="J32" s="28"/>
      <c r="K32" s="28">
        <v>1</v>
      </c>
      <c r="L32" s="28">
        <v>10</v>
      </c>
      <c r="M32" s="28">
        <v>262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279</v>
      </c>
      <c r="G36" s="42">
        <v>8</v>
      </c>
      <c r="H36" s="42">
        <v>3</v>
      </c>
      <c r="I36" s="42"/>
      <c r="J36" s="42"/>
      <c r="K36" s="42"/>
      <c r="L36" s="42">
        <v>4</v>
      </c>
      <c r="M36" s="42"/>
      <c r="N36" s="42"/>
      <c r="O36" s="42">
        <v>4</v>
      </c>
      <c r="P36" s="42">
        <v>7</v>
      </c>
      <c r="Q36" s="43">
        <v>4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279</v>
      </c>
      <c r="G42" s="42">
        <v>8</v>
      </c>
      <c r="H42" s="42">
        <v>3</v>
      </c>
      <c r="I42" s="42"/>
      <c r="J42" s="42"/>
      <c r="K42" s="42"/>
      <c r="L42" s="42">
        <v>4</v>
      </c>
      <c r="M42" s="42"/>
      <c r="N42" s="42"/>
      <c r="O42" s="42">
        <v>4</v>
      </c>
      <c r="P42" s="42">
        <v>7</v>
      </c>
      <c r="Q42" s="43">
        <v>4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1+10+2+1+1+20+10+10+262</f>
        <v>317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D545-464F-4D8C-8669-0F19482B59F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/>
      <c r="G8" s="14"/>
      <c r="H8" s="14" t="s">
        <v>126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12</v>
      </c>
      <c r="U8" s="14"/>
      <c r="V8" s="14"/>
      <c r="W8" s="14"/>
      <c r="X8" s="59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2</v>
      </c>
      <c r="F15" s="23"/>
      <c r="G15" s="23"/>
      <c r="H15" s="23">
        <v>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12</v>
      </c>
      <c r="U15" s="23"/>
      <c r="V15" s="23"/>
      <c r="W15" s="23"/>
      <c r="X15" s="61">
        <v>1</v>
      </c>
      <c r="Y15" s="24">
        <v>2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 t="s">
        <v>125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37</v>
      </c>
      <c r="I24" s="14"/>
      <c r="J24" s="14"/>
      <c r="K24" s="14">
        <v>2</v>
      </c>
      <c r="L24" s="14">
        <v>11</v>
      </c>
      <c r="M24" s="14">
        <v>523</v>
      </c>
      <c r="N24" s="14"/>
      <c r="O24" s="14"/>
      <c r="P24" s="14" t="s">
        <v>122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35</v>
      </c>
      <c r="I31" s="23"/>
      <c r="J31" s="23"/>
      <c r="K31" s="23">
        <v>2</v>
      </c>
      <c r="L31" s="23">
        <v>11</v>
      </c>
      <c r="M31" s="23">
        <v>3</v>
      </c>
      <c r="N31" s="23"/>
      <c r="O31" s="23"/>
      <c r="P31" s="23" t="s">
        <v>122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2</v>
      </c>
      <c r="I32" s="28"/>
      <c r="J32" s="28"/>
      <c r="K32" s="28">
        <v>0</v>
      </c>
      <c r="L32" s="28">
        <v>0</v>
      </c>
      <c r="M32" s="28">
        <v>520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548</v>
      </c>
      <c r="G36" s="42">
        <v>4</v>
      </c>
      <c r="H36" s="42">
        <v>5</v>
      </c>
      <c r="I36" s="42">
        <v>29</v>
      </c>
      <c r="J36" s="42">
        <v>1</v>
      </c>
      <c r="K36" s="42">
        <v>4</v>
      </c>
      <c r="L36" s="42">
        <v>6</v>
      </c>
      <c r="M36" s="42">
        <v>1</v>
      </c>
      <c r="N36" s="42">
        <v>5</v>
      </c>
      <c r="O36" s="42">
        <v>21</v>
      </c>
      <c r="P36" s="42">
        <v>7</v>
      </c>
      <c r="Q36" s="43">
        <v>13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548</v>
      </c>
      <c r="G42" s="42">
        <v>4</v>
      </c>
      <c r="H42" s="42">
        <v>5</v>
      </c>
      <c r="I42" s="42">
        <v>29</v>
      </c>
      <c r="J42" s="42">
        <v>1</v>
      </c>
      <c r="K42" s="42">
        <v>4</v>
      </c>
      <c r="L42" s="42">
        <v>6</v>
      </c>
      <c r="M42" s="42">
        <v>1</v>
      </c>
      <c r="N42" s="42">
        <v>5</v>
      </c>
      <c r="O42" s="42">
        <v>21</v>
      </c>
      <c r="P42" s="42">
        <v>7</v>
      </c>
      <c r="Q42" s="43">
        <v>13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13+2+2+520</f>
        <v>537</v>
      </c>
      <c r="D44" s="98"/>
      <c r="E44" s="98"/>
    </row>
    <row r="45" spans="2:25" x14ac:dyDescent="0.25">
      <c r="B45" s="76" t="s">
        <v>69</v>
      </c>
      <c r="C45" s="98"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591C-232A-44AC-A51B-B029AE6E73BA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DE79-E55C-45AF-956D-6E57BF19CF61}">
  <dimension ref="B1:AA45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689E-A38A-41D6-9AB9-0133BD5160E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>
        <v>1</v>
      </c>
      <c r="E8" s="14">
        <v>1</v>
      </c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 t="s">
        <v>80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 t="s">
        <v>83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85</v>
      </c>
      <c r="G24" s="14"/>
      <c r="H24" s="14">
        <v>20</v>
      </c>
      <c r="I24" s="14"/>
      <c r="J24" s="14"/>
      <c r="K24" s="14">
        <v>1</v>
      </c>
      <c r="L24" s="14">
        <v>10</v>
      </c>
      <c r="M24" s="14">
        <v>427</v>
      </c>
      <c r="N24" s="14"/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10</v>
      </c>
      <c r="I31" s="23"/>
      <c r="J31" s="23"/>
      <c r="K31" s="23">
        <v>1</v>
      </c>
      <c r="L31" s="23">
        <v>5</v>
      </c>
      <c r="M31" s="23">
        <v>115</v>
      </c>
      <c r="N31" s="23"/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</v>
      </c>
      <c r="I32" s="28"/>
      <c r="J32" s="28"/>
      <c r="K32" s="28">
        <v>0</v>
      </c>
      <c r="L32" s="28">
        <v>5</v>
      </c>
      <c r="M32" s="28">
        <v>312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298</v>
      </c>
      <c r="G42" s="42">
        <v>4</v>
      </c>
      <c r="H42" s="42"/>
      <c r="I42" s="42">
        <v>4</v>
      </c>
      <c r="J42" s="42">
        <v>2</v>
      </c>
      <c r="K42" s="42">
        <v>7</v>
      </c>
      <c r="L42" s="42"/>
      <c r="M42" s="42"/>
      <c r="N42" s="42"/>
      <c r="O42" s="42">
        <v>6</v>
      </c>
      <c r="P42" s="42">
        <v>1</v>
      </c>
      <c r="Q42" s="43">
        <v>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8+10+5+312</f>
        <v>335</v>
      </c>
      <c r="D44" s="98"/>
      <c r="E44" s="98"/>
    </row>
    <row r="45" spans="2:25" x14ac:dyDescent="0.25">
      <c r="B45" s="76" t="s">
        <v>69</v>
      </c>
      <c r="C45" s="98">
        <f>12</f>
        <v>12</v>
      </c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8697-0250-4F17-B8FD-FFB08399EA7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2</v>
      </c>
      <c r="F8" s="14"/>
      <c r="G8" s="14"/>
      <c r="H8" s="14">
        <v>21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12</v>
      </c>
      <c r="U8" s="14"/>
      <c r="V8" s="14"/>
      <c r="W8" s="14"/>
      <c r="X8" s="59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/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12</v>
      </c>
      <c r="U15" s="23"/>
      <c r="V15" s="23"/>
      <c r="W15" s="23"/>
      <c r="X15" s="61">
        <v>1</v>
      </c>
      <c r="Y15" s="24">
        <v>2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53</v>
      </c>
      <c r="I24" s="14"/>
      <c r="J24" s="14"/>
      <c r="K24" s="14">
        <v>2</v>
      </c>
      <c r="L24" s="14">
        <v>16</v>
      </c>
      <c r="M24" s="14">
        <v>543</v>
      </c>
      <c r="N24" s="14"/>
      <c r="O24" s="14"/>
      <c r="P24" s="14" t="s">
        <v>109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18</v>
      </c>
      <c r="I31" s="23"/>
      <c r="J31" s="23"/>
      <c r="K31" s="23">
        <v>2</v>
      </c>
      <c r="L31" s="23">
        <v>6</v>
      </c>
      <c r="M31" s="23">
        <v>164</v>
      </c>
      <c r="N31" s="23"/>
      <c r="O31" s="23"/>
      <c r="P31" s="23" t="s">
        <v>109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35</v>
      </c>
      <c r="I32" s="28"/>
      <c r="J32" s="28"/>
      <c r="K32" s="28">
        <v>0</v>
      </c>
      <c r="L32" s="28">
        <v>10</v>
      </c>
      <c r="M32" s="28">
        <v>379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422</v>
      </c>
      <c r="G36" s="42">
        <v>15</v>
      </c>
      <c r="H36" s="42">
        <v>4</v>
      </c>
      <c r="I36" s="42">
        <v>8</v>
      </c>
      <c r="J36" s="42">
        <v>2</v>
      </c>
      <c r="K36" s="42">
        <v>6</v>
      </c>
      <c r="L36" s="42"/>
      <c r="M36" s="42"/>
      <c r="N36" s="42"/>
      <c r="O36" s="42">
        <v>12</v>
      </c>
      <c r="P36" s="42">
        <v>1</v>
      </c>
      <c r="Q36" s="43">
        <v>3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422</v>
      </c>
      <c r="G42" s="42">
        <v>15</v>
      </c>
      <c r="H42" s="42">
        <v>4</v>
      </c>
      <c r="I42" s="42">
        <v>8</v>
      </c>
      <c r="J42" s="42">
        <v>2</v>
      </c>
      <c r="K42" s="42">
        <v>6</v>
      </c>
      <c r="L42" s="42"/>
      <c r="M42" s="42"/>
      <c r="N42" s="42"/>
      <c r="O42" s="42">
        <v>12</v>
      </c>
      <c r="P42" s="42">
        <v>1</v>
      </c>
      <c r="Q42" s="43">
        <v>3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2+13+35+10+379</f>
        <v>439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AAC3-B933-46FB-BEC8-FC9437CD47F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6D3C-7485-41BB-A849-2E93FAF4C6D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5C00-8EA7-4987-8925-4F82E4BC337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3095-55CD-451B-8790-0E6C1038470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CD76-39FA-4092-BA10-748AFE6507F9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F4F5-AEC8-4F8E-AAC6-E396A65F608F}">
  <dimension ref="B1:AA45"/>
  <sheetViews>
    <sheetView showGridLines="0" topLeftCell="A29" zoomScale="160" zoomScaleNormal="160" workbookViewId="0">
      <selection activeCell="H38" sqref="H3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3</v>
      </c>
      <c r="E8" s="14">
        <v>1</v>
      </c>
      <c r="F8" s="14"/>
      <c r="G8" s="14"/>
      <c r="H8" s="14" t="s">
        <v>128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5</v>
      </c>
      <c r="U8" s="14">
        <v>1</v>
      </c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3</v>
      </c>
      <c r="E15" s="23">
        <v>0</v>
      </c>
      <c r="F15" s="23"/>
      <c r="G15" s="23"/>
      <c r="H15" s="23">
        <v>15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>
        <v>0</v>
      </c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/>
      <c r="G16" s="28"/>
      <c r="H16" s="28" t="s">
        <v>127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5</v>
      </c>
      <c r="U16" s="28">
        <v>1</v>
      </c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/>
      <c r="F24" s="14">
        <v>12</v>
      </c>
      <c r="G24" s="14"/>
      <c r="H24" s="14">
        <v>12</v>
      </c>
      <c r="I24" s="14"/>
      <c r="J24" s="14"/>
      <c r="K24" s="14">
        <v>5</v>
      </c>
      <c r="L24" s="14">
        <v>56</v>
      </c>
      <c r="M24" s="14">
        <v>330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/>
      <c r="F31" s="23">
        <v>1</v>
      </c>
      <c r="G31" s="23"/>
      <c r="H31" s="23">
        <v>7</v>
      </c>
      <c r="I31" s="23"/>
      <c r="J31" s="23"/>
      <c r="K31" s="23">
        <v>0</v>
      </c>
      <c r="L31" s="23">
        <v>0</v>
      </c>
      <c r="M31" s="23">
        <v>32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1</v>
      </c>
      <c r="E32" s="27"/>
      <c r="F32" s="27">
        <v>11</v>
      </c>
      <c r="G32" s="28"/>
      <c r="H32" s="28">
        <v>5</v>
      </c>
      <c r="I32" s="28"/>
      <c r="J32" s="28"/>
      <c r="K32" s="28">
        <v>5</v>
      </c>
      <c r="L32" s="28">
        <v>56</v>
      </c>
      <c r="M32" s="28">
        <v>298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3</v>
      </c>
      <c r="D36" s="41">
        <v>1</v>
      </c>
      <c r="E36" s="42">
        <v>15</v>
      </c>
      <c r="F36" s="42">
        <v>363</v>
      </c>
      <c r="G36" s="42">
        <v>10</v>
      </c>
      <c r="H36" s="42">
        <v>3</v>
      </c>
      <c r="I36" s="42">
        <v>12</v>
      </c>
      <c r="J36" s="42">
        <v>2</v>
      </c>
      <c r="K36" s="42">
        <v>2</v>
      </c>
      <c r="L36" s="42">
        <v>2</v>
      </c>
      <c r="M36" s="42"/>
      <c r="N36" s="42">
        <v>4</v>
      </c>
      <c r="O36" s="42">
        <v>7</v>
      </c>
      <c r="P36" s="42">
        <v>47</v>
      </c>
      <c r="Q36" s="43">
        <v>37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3</v>
      </c>
      <c r="D42" s="41">
        <v>1</v>
      </c>
      <c r="E42" s="42">
        <v>15</v>
      </c>
      <c r="F42" s="42">
        <v>363</v>
      </c>
      <c r="G42" s="42">
        <v>10</v>
      </c>
      <c r="H42" s="42">
        <v>3</v>
      </c>
      <c r="I42" s="42">
        <v>12</v>
      </c>
      <c r="J42" s="42">
        <v>2</v>
      </c>
      <c r="K42" s="42">
        <v>2</v>
      </c>
      <c r="L42" s="42">
        <v>2</v>
      </c>
      <c r="M42" s="42"/>
      <c r="N42" s="42">
        <v>4</v>
      </c>
      <c r="O42" s="42">
        <v>7</v>
      </c>
      <c r="P42" s="42">
        <v>47</v>
      </c>
      <c r="Q42" s="43">
        <v>37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1+9+5+1+1+11+5+5+56+298</f>
        <v>392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5D8F-0C1E-4DAA-8803-CF0527D7B2F6}">
  <dimension ref="B1:AA45"/>
  <sheetViews>
    <sheetView showGridLines="0" topLeftCell="A29" zoomScale="160" zoomScaleNormal="160" workbookViewId="0">
      <selection activeCell="K46" sqref="K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>
        <v>1</v>
      </c>
      <c r="D8" s="14">
        <v>1</v>
      </c>
      <c r="E8" s="14">
        <v>2</v>
      </c>
      <c r="F8" s="14"/>
      <c r="G8" s="14"/>
      <c r="H8" s="14" t="s">
        <v>129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>
        <v>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6" t="s">
        <v>85</v>
      </c>
      <c r="G24" s="14"/>
      <c r="H24" s="14">
        <v>30</v>
      </c>
      <c r="I24" s="14"/>
      <c r="J24" s="14"/>
      <c r="K24" s="14">
        <v>1</v>
      </c>
      <c r="L24" s="14">
        <v>5</v>
      </c>
      <c r="M24" s="14">
        <v>439</v>
      </c>
      <c r="N24" s="14">
        <v>1</v>
      </c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20</v>
      </c>
      <c r="I31" s="23"/>
      <c r="J31" s="23"/>
      <c r="K31" s="23">
        <v>0</v>
      </c>
      <c r="L31" s="23">
        <v>4</v>
      </c>
      <c r="M31" s="23">
        <v>111</v>
      </c>
      <c r="N31" s="23">
        <v>1</v>
      </c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</v>
      </c>
      <c r="I32" s="28"/>
      <c r="J32" s="28"/>
      <c r="K32" s="28">
        <v>1</v>
      </c>
      <c r="L32" s="28">
        <v>1</v>
      </c>
      <c r="M32" s="28">
        <v>328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324</v>
      </c>
      <c r="G36" s="42">
        <v>4</v>
      </c>
      <c r="H36" s="42"/>
      <c r="I36" s="42"/>
      <c r="J36" s="42"/>
      <c r="K36" s="42">
        <v>5</v>
      </c>
      <c r="L36" s="42">
        <v>1</v>
      </c>
      <c r="M36" s="42"/>
      <c r="N36" s="42"/>
      <c r="O36" s="42">
        <v>8</v>
      </c>
      <c r="P36" s="42">
        <v>10</v>
      </c>
      <c r="Q36" s="43">
        <v>1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324</v>
      </c>
      <c r="G42" s="42">
        <v>4</v>
      </c>
      <c r="H42" s="42"/>
      <c r="I42" s="42"/>
      <c r="J42" s="42"/>
      <c r="K42" s="42">
        <v>5</v>
      </c>
      <c r="L42" s="42">
        <v>1</v>
      </c>
      <c r="M42" s="42"/>
      <c r="N42" s="42"/>
      <c r="O42" s="42">
        <v>8</v>
      </c>
      <c r="P42" s="42">
        <v>10</v>
      </c>
      <c r="Q42" s="43">
        <v>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1+10+10+1+1+328</f>
        <v>351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2C53-8075-4AE2-9CE8-2FE2300B4914}">
  <dimension ref="B1:AA45"/>
  <sheetViews>
    <sheetView showGridLines="0" zoomScale="160" zoomScaleNormal="160" workbookViewId="0">
      <selection activeCell="I49" sqref="I49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12</v>
      </c>
      <c r="U8" s="14"/>
      <c r="V8" s="14"/>
      <c r="W8" s="14"/>
      <c r="X8" s="59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 t="s">
        <v>93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12</v>
      </c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130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>
        <v>0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72</v>
      </c>
      <c r="I24" s="14"/>
      <c r="J24" s="14"/>
      <c r="K24" s="14">
        <v>2</v>
      </c>
      <c r="L24" s="14">
        <v>14</v>
      </c>
      <c r="M24" s="14">
        <v>488</v>
      </c>
      <c r="N24" s="14"/>
      <c r="O24" s="14"/>
      <c r="P24" s="14" t="s">
        <v>109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2</v>
      </c>
      <c r="L31" s="23">
        <v>1</v>
      </c>
      <c r="M31" s="23">
        <v>188</v>
      </c>
      <c r="N31" s="23"/>
      <c r="O31" s="23"/>
      <c r="P31" s="23" t="s">
        <v>109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71</v>
      </c>
      <c r="I32" s="28"/>
      <c r="J32" s="28"/>
      <c r="K32" s="28">
        <v>0</v>
      </c>
      <c r="L32" s="28">
        <v>13</v>
      </c>
      <c r="M32" s="28">
        <v>300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314</v>
      </c>
      <c r="G36" s="42">
        <v>4</v>
      </c>
      <c r="H36" s="42"/>
      <c r="I36" s="42">
        <v>17</v>
      </c>
      <c r="J36" s="42">
        <v>1</v>
      </c>
      <c r="K36" s="42">
        <v>10</v>
      </c>
      <c r="L36" s="42"/>
      <c r="M36" s="42"/>
      <c r="N36" s="42">
        <v>12</v>
      </c>
      <c r="O36" s="42">
        <v>3</v>
      </c>
      <c r="P36" s="42">
        <v>4</v>
      </c>
      <c r="Q36" s="43">
        <v>11</v>
      </c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314</v>
      </c>
      <c r="G42" s="42">
        <v>4</v>
      </c>
      <c r="H42" s="42"/>
      <c r="I42" s="42">
        <v>17</v>
      </c>
      <c r="J42" s="42">
        <v>1</v>
      </c>
      <c r="K42" s="42">
        <v>10</v>
      </c>
      <c r="L42" s="42"/>
      <c r="M42" s="42"/>
      <c r="N42" s="42">
        <v>12</v>
      </c>
      <c r="O42" s="42">
        <v>3</v>
      </c>
      <c r="P42" s="42">
        <v>4</v>
      </c>
      <c r="Q42" s="43">
        <v>11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4"/>
      <c r="V43" s="84"/>
      <c r="W43" s="84"/>
      <c r="X43" s="84"/>
      <c r="Y43" s="84"/>
    </row>
    <row r="44" spans="2:25" x14ac:dyDescent="0.25">
      <c r="B44" s="76" t="s">
        <v>68</v>
      </c>
      <c r="C44" s="98">
        <f>7+1+1+71+13+300</f>
        <v>393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33CA-C364-4803-89B3-94F7FA1C0D4A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5FB4-B731-4736-9B40-9BF7AE5B3FF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3</v>
      </c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12</v>
      </c>
      <c r="U8" s="14"/>
      <c r="V8" s="14"/>
      <c r="W8" s="14"/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/>
      <c r="X15" s="61">
        <v>0</v>
      </c>
      <c r="Y15" s="24"/>
    </row>
    <row r="16" spans="2:27" ht="18" customHeight="1" thickBot="1" x14ac:dyDescent="0.3">
      <c r="B16" s="25" t="s">
        <v>26</v>
      </c>
      <c r="C16" s="57">
        <v>1</v>
      </c>
      <c r="D16" s="58">
        <v>1</v>
      </c>
      <c r="E16" s="27"/>
      <c r="F16" s="27"/>
      <c r="G16" s="28"/>
      <c r="H16" s="28">
        <v>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12</v>
      </c>
      <c r="U16" s="28"/>
      <c r="V16" s="28"/>
      <c r="W16" s="56"/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13</v>
      </c>
      <c r="I24" s="14"/>
      <c r="J24" s="14"/>
      <c r="K24" s="14">
        <v>2</v>
      </c>
      <c r="L24" s="14">
        <v>5</v>
      </c>
      <c r="M24" s="14">
        <v>571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7</v>
      </c>
      <c r="I31" s="23"/>
      <c r="J31" s="23"/>
      <c r="K31" s="23">
        <v>2</v>
      </c>
      <c r="L31" s="23">
        <v>0</v>
      </c>
      <c r="M31" s="23">
        <v>112</v>
      </c>
      <c r="N31" s="23"/>
      <c r="O31" s="23"/>
      <c r="P31" s="23">
        <v>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6</v>
      </c>
      <c r="I32" s="28"/>
      <c r="J32" s="28"/>
      <c r="K32" s="28">
        <v>0</v>
      </c>
      <c r="L32" s="28">
        <v>5</v>
      </c>
      <c r="M32" s="28">
        <v>459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>
        <v>4</v>
      </c>
      <c r="D36" s="41"/>
      <c r="E36" s="42">
        <v>5</v>
      </c>
      <c r="F36" s="42">
        <v>305</v>
      </c>
      <c r="G36" s="42">
        <v>2</v>
      </c>
      <c r="H36" s="42">
        <v>9</v>
      </c>
      <c r="I36" s="42">
        <v>15</v>
      </c>
      <c r="J36" s="42">
        <v>1</v>
      </c>
      <c r="K36" s="42">
        <v>6</v>
      </c>
      <c r="L36" s="42">
        <v>4</v>
      </c>
      <c r="M36" s="42">
        <v>1</v>
      </c>
      <c r="N36" s="42">
        <v>12</v>
      </c>
      <c r="O36" s="42">
        <v>4</v>
      </c>
      <c r="P36" s="42"/>
      <c r="Q36" s="43">
        <v>15</v>
      </c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>
        <v>4</v>
      </c>
      <c r="D42" s="41"/>
      <c r="E42" s="42">
        <v>5</v>
      </c>
      <c r="F42" s="42">
        <v>305</v>
      </c>
      <c r="G42" s="42">
        <v>2</v>
      </c>
      <c r="H42" s="42">
        <v>9</v>
      </c>
      <c r="I42" s="42">
        <v>15</v>
      </c>
      <c r="J42" s="42">
        <v>1</v>
      </c>
      <c r="K42" s="42">
        <v>6</v>
      </c>
      <c r="L42" s="42">
        <v>4</v>
      </c>
      <c r="M42" s="42">
        <v>1</v>
      </c>
      <c r="N42" s="42">
        <v>12</v>
      </c>
      <c r="O42" s="42">
        <v>4</v>
      </c>
      <c r="P42" s="42"/>
      <c r="Q42" s="43">
        <v>15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>
        <f>1+1+6+12+1+2+6+5+459+2</f>
        <v>495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77D-7744-4A4B-B3A5-EE125B6AEBF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 t="s">
        <v>134</v>
      </c>
      <c r="D8" s="14">
        <v>1</v>
      </c>
      <c r="E8" s="14">
        <v>1</v>
      </c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6" t="s">
        <v>85</v>
      </c>
      <c r="G24" s="14"/>
      <c r="H24" s="14">
        <v>20</v>
      </c>
      <c r="I24" s="14"/>
      <c r="J24" s="14"/>
      <c r="K24" s="14"/>
      <c r="L24" s="14">
        <v>4</v>
      </c>
      <c r="M24" s="14">
        <v>405</v>
      </c>
      <c r="N24" s="14">
        <v>1</v>
      </c>
      <c r="O24" s="14"/>
      <c r="P24" s="14" t="s">
        <v>107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85</v>
      </c>
      <c r="G31" s="23"/>
      <c r="H31" s="23">
        <v>0</v>
      </c>
      <c r="I31" s="23"/>
      <c r="J31" s="23"/>
      <c r="K31" s="23"/>
      <c r="L31" s="23">
        <v>0</v>
      </c>
      <c r="M31" s="23">
        <v>128</v>
      </c>
      <c r="N31" s="23">
        <v>1</v>
      </c>
      <c r="O31" s="23"/>
      <c r="P31" s="23" t="s">
        <v>107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20</v>
      </c>
      <c r="I32" s="28"/>
      <c r="J32" s="28"/>
      <c r="K32" s="28"/>
      <c r="L32" s="28">
        <v>4</v>
      </c>
      <c r="M32" s="28">
        <v>277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309</v>
      </c>
      <c r="G36" s="42">
        <v>3</v>
      </c>
      <c r="H36" s="42">
        <v>4</v>
      </c>
      <c r="I36" s="42">
        <v>2</v>
      </c>
      <c r="J36" s="42"/>
      <c r="K36" s="42"/>
      <c r="L36" s="42"/>
      <c r="M36" s="42"/>
      <c r="N36" s="42"/>
      <c r="O36" s="42">
        <v>2</v>
      </c>
      <c r="P36" s="42">
        <v>8</v>
      </c>
      <c r="Q36" s="43">
        <v>2</v>
      </c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309</v>
      </c>
      <c r="G42" s="42">
        <v>3</v>
      </c>
      <c r="H42" s="42">
        <v>4</v>
      </c>
      <c r="I42" s="42">
        <v>2</v>
      </c>
      <c r="J42" s="42"/>
      <c r="K42" s="42"/>
      <c r="L42" s="42"/>
      <c r="M42" s="42"/>
      <c r="N42" s="42"/>
      <c r="O42" s="42">
        <v>2</v>
      </c>
      <c r="P42" s="42">
        <v>8</v>
      </c>
      <c r="Q42" s="43">
        <v>2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>
        <f>8+20+4+277</f>
        <v>309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1301-2D6B-4CE4-8D95-58F093699B97}">
  <dimension ref="B1:AA45"/>
  <sheetViews>
    <sheetView showGridLines="0" tabSelected="1" zoomScale="160" zoomScaleNormal="160" workbookViewId="0">
      <selection activeCell="I26" sqref="I2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 t="s">
        <v>96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12</v>
      </c>
      <c r="U8" s="14"/>
      <c r="V8" s="14"/>
      <c r="W8" s="14"/>
      <c r="X8" s="59">
        <v>4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 t="s">
        <v>88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/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20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12</v>
      </c>
      <c r="U16" s="28"/>
      <c r="V16" s="28"/>
      <c r="W16" s="56"/>
      <c r="X16" s="62">
        <v>4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109</v>
      </c>
      <c r="I24" s="14"/>
      <c r="J24" s="14"/>
      <c r="K24" s="14">
        <v>10</v>
      </c>
      <c r="L24" s="14">
        <v>52</v>
      </c>
      <c r="M24" s="14">
        <v>542</v>
      </c>
      <c r="N24" s="14"/>
      <c r="O24" s="14"/>
      <c r="P24" s="14" t="s">
        <v>109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0</v>
      </c>
      <c r="L31" s="23">
        <v>1</v>
      </c>
      <c r="M31" s="23">
        <v>6</v>
      </c>
      <c r="N31" s="23"/>
      <c r="O31" s="23"/>
      <c r="P31" s="23" t="s">
        <v>135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108</v>
      </c>
      <c r="I32" s="28"/>
      <c r="J32" s="28"/>
      <c r="K32" s="28">
        <v>10</v>
      </c>
      <c r="L32" s="28">
        <v>51</v>
      </c>
      <c r="M32" s="28">
        <v>536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>
        <v>2</v>
      </c>
      <c r="D36" s="41"/>
      <c r="E36" s="42">
        <v>9</v>
      </c>
      <c r="F36" s="42">
        <v>698</v>
      </c>
      <c r="G36" s="42">
        <v>1</v>
      </c>
      <c r="H36" s="42">
        <v>4</v>
      </c>
      <c r="I36" s="42">
        <v>15</v>
      </c>
      <c r="J36" s="42"/>
      <c r="K36" s="42">
        <v>6</v>
      </c>
      <c r="L36" s="42">
        <v>17</v>
      </c>
      <c r="M36" s="42">
        <v>2</v>
      </c>
      <c r="N36" s="42">
        <v>11</v>
      </c>
      <c r="O36" s="42">
        <v>15</v>
      </c>
      <c r="P36" s="42">
        <v>4</v>
      </c>
      <c r="Q36" s="43">
        <v>2</v>
      </c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>
        <v>9</v>
      </c>
      <c r="F42" s="42">
        <v>698</v>
      </c>
      <c r="G42" s="42">
        <v>1</v>
      </c>
      <c r="H42" s="42">
        <v>4</v>
      </c>
      <c r="I42" s="42">
        <v>15</v>
      </c>
      <c r="J42" s="42"/>
      <c r="K42" s="42">
        <v>6</v>
      </c>
      <c r="L42" s="42">
        <v>17</v>
      </c>
      <c r="M42" s="42">
        <v>2</v>
      </c>
      <c r="N42" s="42">
        <v>11</v>
      </c>
      <c r="O42" s="42">
        <v>15</v>
      </c>
      <c r="P42" s="42">
        <v>4</v>
      </c>
      <c r="Q42" s="43">
        <v>2</v>
      </c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>
        <f>20+12+4+1+5+108+10+51+536+3</f>
        <v>750</v>
      </c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0DE8-DED5-4F55-9FFB-A795E7A10F23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C2FC-1BA0-4E98-BFAF-10D98E17D1D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1EB2-A201-4084-9718-C519322CD74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6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F1AA-1D94-48BD-B1E8-21C6B4141EF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88DB-AC95-4CEC-9ED0-6FDE50790F7B}">
  <dimension ref="B1:AA43"/>
  <sheetViews>
    <sheetView showGridLines="0" view="pageBreakPreview" zoomScale="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7035-0425-47F5-9E94-ECB40021CCD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D1E-01A7-417D-8264-411CFDF7E90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0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6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5374-B27F-41BD-8954-13AC3C67BF5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2" t="s">
        <v>43</v>
      </c>
      <c r="C34" s="94" t="s">
        <v>21</v>
      </c>
      <c r="D34" s="94"/>
      <c r="E34" s="95"/>
      <c r="F34" s="96" t="s">
        <v>44</v>
      </c>
      <c r="G34" s="94"/>
      <c r="H34" s="95"/>
      <c r="I34" s="96" t="s">
        <v>45</v>
      </c>
      <c r="J34" s="94"/>
      <c r="K34" s="95"/>
      <c r="L34" s="96" t="s">
        <v>46</v>
      </c>
      <c r="M34" s="94"/>
      <c r="N34" s="95"/>
      <c r="O34" s="97" t="s">
        <v>47</v>
      </c>
      <c r="P34" s="97"/>
      <c r="Q34" s="97"/>
      <c r="R34" s="87" t="s">
        <v>48</v>
      </c>
      <c r="S34" s="88"/>
      <c r="T34" s="88"/>
      <c r="U34" s="89"/>
      <c r="V34" s="66"/>
      <c r="W34" s="3"/>
      <c r="X34" s="3"/>
      <c r="Y34" s="3"/>
    </row>
    <row r="35" spans="2:25" ht="18" customHeight="1" thickBot="1" x14ac:dyDescent="0.3">
      <c r="B35" s="93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0" t="s">
        <v>54</v>
      </c>
      <c r="S42" s="91"/>
      <c r="T42" s="91"/>
      <c r="U42" s="91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8"/>
      <c r="D44" s="98"/>
      <c r="E44" s="98"/>
    </row>
    <row r="45" spans="2:25" x14ac:dyDescent="0.25">
      <c r="B45" s="76" t="s">
        <v>69</v>
      </c>
      <c r="C45" s="98"/>
      <c r="D45" s="98"/>
      <c r="E45" s="98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87</vt:i4>
      </vt:variant>
    </vt:vector>
  </HeadingPairs>
  <TitlesOfParts>
    <vt:vector size="175" baseType="lpstr">
      <vt:lpstr>CSR | JUNE</vt:lpstr>
      <vt:lpstr>(01)</vt:lpstr>
      <vt:lpstr>06-01 R1</vt:lpstr>
      <vt:lpstr>06-01 R2</vt:lpstr>
      <vt:lpstr>06-01 R3</vt:lpstr>
      <vt:lpstr>(2)</vt:lpstr>
      <vt:lpstr>06-02 R1</vt:lpstr>
      <vt:lpstr>06-02 R2</vt:lpstr>
      <vt:lpstr>06-02 R3</vt:lpstr>
      <vt:lpstr>(3)</vt:lpstr>
      <vt:lpstr>06-03 R1</vt:lpstr>
      <vt:lpstr>06-03 R2 NO TRIP</vt:lpstr>
      <vt:lpstr>06-03 R3 NO TRIP</vt:lpstr>
      <vt:lpstr>(4)</vt:lpstr>
      <vt:lpstr>06-04 R1</vt:lpstr>
      <vt:lpstr>06-04 R2</vt:lpstr>
      <vt:lpstr>06-04 R3</vt:lpstr>
      <vt:lpstr>(5)</vt:lpstr>
      <vt:lpstr>06-05 R1 NO TRIP</vt:lpstr>
      <vt:lpstr>06-05 R2</vt:lpstr>
      <vt:lpstr>06-05 R3</vt:lpstr>
      <vt:lpstr>(6)</vt:lpstr>
      <vt:lpstr>06-06 R1</vt:lpstr>
      <vt:lpstr>06-06 R2</vt:lpstr>
      <vt:lpstr>06-06 R3</vt:lpstr>
      <vt:lpstr>(8)</vt:lpstr>
      <vt:lpstr>06-08 R1 NO TRIP</vt:lpstr>
      <vt:lpstr>06-08 R2</vt:lpstr>
      <vt:lpstr>06-08 R3</vt:lpstr>
      <vt:lpstr>(9)</vt:lpstr>
      <vt:lpstr>06-09 R1</vt:lpstr>
      <vt:lpstr>06-09 R2</vt:lpstr>
      <vt:lpstr>06-09 R3</vt:lpstr>
      <vt:lpstr>(10)</vt:lpstr>
      <vt:lpstr>06-10 R1</vt:lpstr>
      <vt:lpstr>06-10 R2 NO TRIP</vt:lpstr>
      <vt:lpstr>(11)</vt:lpstr>
      <vt:lpstr>06-11 R1 NO TRIP</vt:lpstr>
      <vt:lpstr>06-11 R2</vt:lpstr>
      <vt:lpstr>06-11 R3</vt:lpstr>
      <vt:lpstr>(12)</vt:lpstr>
      <vt:lpstr>06-12 R1</vt:lpstr>
      <vt:lpstr>06-12 R2</vt:lpstr>
      <vt:lpstr>06-12 R3 NO TRIP</vt:lpstr>
      <vt:lpstr>(13)</vt:lpstr>
      <vt:lpstr>06-13 R1</vt:lpstr>
      <vt:lpstr>06-13 R2</vt:lpstr>
      <vt:lpstr>06-13 R3</vt:lpstr>
      <vt:lpstr>(15)</vt:lpstr>
      <vt:lpstr>06-15 R1</vt:lpstr>
      <vt:lpstr>06-15 R2</vt:lpstr>
      <vt:lpstr>06-15 R3</vt:lpstr>
      <vt:lpstr>(16)</vt:lpstr>
      <vt:lpstr>06-16 R1</vt:lpstr>
      <vt:lpstr>06-16 R2</vt:lpstr>
      <vt:lpstr>06-16 R3</vt:lpstr>
      <vt:lpstr>(17)</vt:lpstr>
      <vt:lpstr>06-17 R1</vt:lpstr>
      <vt:lpstr>06-17 R2</vt:lpstr>
      <vt:lpstr>06-17 R3</vt:lpstr>
      <vt:lpstr>(18)</vt:lpstr>
      <vt:lpstr>06-18 R1</vt:lpstr>
      <vt:lpstr>06-18 R2</vt:lpstr>
      <vt:lpstr>06-18 R3</vt:lpstr>
      <vt:lpstr>(19)</vt:lpstr>
      <vt:lpstr>06-19 R1 NO TRIP</vt:lpstr>
      <vt:lpstr>06-19 R2</vt:lpstr>
      <vt:lpstr>06-19 R3</vt:lpstr>
      <vt:lpstr>(20)</vt:lpstr>
      <vt:lpstr>06-20 R1</vt:lpstr>
      <vt:lpstr>06-20 R2</vt:lpstr>
      <vt:lpstr>06-20 R3</vt:lpstr>
      <vt:lpstr>(22)</vt:lpstr>
      <vt:lpstr>06-22 R1</vt:lpstr>
      <vt:lpstr>06-22 R2</vt:lpstr>
      <vt:lpstr>06-22 R3</vt:lpstr>
      <vt:lpstr>(23)</vt:lpstr>
      <vt:lpstr>06-23 R1</vt:lpstr>
      <vt:lpstr>06-23 R2</vt:lpstr>
      <vt:lpstr>06-23 R3</vt:lpstr>
      <vt:lpstr>(24)</vt:lpstr>
      <vt:lpstr>06-24 R1</vt:lpstr>
      <vt:lpstr>06-24 R2</vt:lpstr>
      <vt:lpstr>06-24 R3</vt:lpstr>
      <vt:lpstr>(25)</vt:lpstr>
      <vt:lpstr>06-25 R1</vt:lpstr>
      <vt:lpstr>06-25 R2</vt:lpstr>
      <vt:lpstr>06-25 R3</vt:lpstr>
      <vt:lpstr>'(01)'!Print_Area</vt:lpstr>
      <vt:lpstr>'(10)'!Print_Area</vt:lpstr>
      <vt:lpstr>'(11)'!Print_Area</vt:lpstr>
      <vt:lpstr>'(12)'!Print_Area</vt:lpstr>
      <vt:lpstr>'(13)'!Print_Area</vt:lpstr>
      <vt:lpstr>'(15)'!Print_Area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'(22)'!Print_Area</vt:lpstr>
      <vt:lpstr>'(23)'!Print_Area</vt:lpstr>
      <vt:lpstr>'(24)'!Print_Area</vt:lpstr>
      <vt:lpstr>'(25)'!Print_Area</vt:lpstr>
      <vt:lpstr>'(3)'!Print_Area</vt:lpstr>
      <vt:lpstr>'(4)'!Print_Area</vt:lpstr>
      <vt:lpstr>'(5)'!Print_Area</vt:lpstr>
      <vt:lpstr>'(6)'!Print_Area</vt:lpstr>
      <vt:lpstr>'(8)'!Print_Area</vt:lpstr>
      <vt:lpstr>'(9)'!Print_Area</vt:lpstr>
      <vt:lpstr>'06-01 R1'!Print_Area</vt:lpstr>
      <vt:lpstr>'06-01 R2'!Print_Area</vt:lpstr>
      <vt:lpstr>'06-01 R3'!Print_Area</vt:lpstr>
      <vt:lpstr>'06-02 R1'!Print_Area</vt:lpstr>
      <vt:lpstr>'06-02 R2'!Print_Area</vt:lpstr>
      <vt:lpstr>'06-02 R3'!Print_Area</vt:lpstr>
      <vt:lpstr>'06-03 R1'!Print_Area</vt:lpstr>
      <vt:lpstr>'06-03 R2 NO TRIP'!Print_Area</vt:lpstr>
      <vt:lpstr>'06-03 R3 NO TRIP'!Print_Area</vt:lpstr>
      <vt:lpstr>'06-04 R1'!Print_Area</vt:lpstr>
      <vt:lpstr>'06-04 R2'!Print_Area</vt:lpstr>
      <vt:lpstr>'06-04 R3'!Print_Area</vt:lpstr>
      <vt:lpstr>'06-05 R1 NO TRIP'!Print_Area</vt:lpstr>
      <vt:lpstr>'06-05 R2'!Print_Area</vt:lpstr>
      <vt:lpstr>'06-05 R3'!Print_Area</vt:lpstr>
      <vt:lpstr>'06-06 R1'!Print_Area</vt:lpstr>
      <vt:lpstr>'06-06 R2'!Print_Area</vt:lpstr>
      <vt:lpstr>'06-06 R3'!Print_Area</vt:lpstr>
      <vt:lpstr>'06-08 R1 NO TRIP'!Print_Area</vt:lpstr>
      <vt:lpstr>'06-08 R2'!Print_Area</vt:lpstr>
      <vt:lpstr>'06-08 R3'!Print_Area</vt:lpstr>
      <vt:lpstr>'06-09 R1'!Print_Area</vt:lpstr>
      <vt:lpstr>'06-09 R2'!Print_Area</vt:lpstr>
      <vt:lpstr>'06-09 R3'!Print_Area</vt:lpstr>
      <vt:lpstr>'06-10 R1'!Print_Area</vt:lpstr>
      <vt:lpstr>'06-10 R2 NO TRIP'!Print_Area</vt:lpstr>
      <vt:lpstr>'06-11 R1 NO TRIP'!Print_Area</vt:lpstr>
      <vt:lpstr>'06-11 R2'!Print_Area</vt:lpstr>
      <vt:lpstr>'06-11 R3'!Print_Area</vt:lpstr>
      <vt:lpstr>'06-12 R1'!Print_Area</vt:lpstr>
      <vt:lpstr>'06-12 R2'!Print_Area</vt:lpstr>
      <vt:lpstr>'06-12 R3 NO TRIP'!Print_Area</vt:lpstr>
      <vt:lpstr>'06-13 R1'!Print_Area</vt:lpstr>
      <vt:lpstr>'06-13 R2'!Print_Area</vt:lpstr>
      <vt:lpstr>'06-13 R3'!Print_Area</vt:lpstr>
      <vt:lpstr>'06-15 R1'!Print_Area</vt:lpstr>
      <vt:lpstr>'06-15 R2'!Print_Area</vt:lpstr>
      <vt:lpstr>'06-15 R3'!Print_Area</vt:lpstr>
      <vt:lpstr>'06-16 R1'!Print_Area</vt:lpstr>
      <vt:lpstr>'06-16 R2'!Print_Area</vt:lpstr>
      <vt:lpstr>'06-16 R3'!Print_Area</vt:lpstr>
      <vt:lpstr>'06-17 R1'!Print_Area</vt:lpstr>
      <vt:lpstr>'06-17 R2'!Print_Area</vt:lpstr>
      <vt:lpstr>'06-17 R3'!Print_Area</vt:lpstr>
      <vt:lpstr>'06-18 R1'!Print_Area</vt:lpstr>
      <vt:lpstr>'06-18 R2'!Print_Area</vt:lpstr>
      <vt:lpstr>'06-18 R3'!Print_Area</vt:lpstr>
      <vt:lpstr>'06-19 R1 NO TRIP'!Print_Area</vt:lpstr>
      <vt:lpstr>'06-19 R2'!Print_Area</vt:lpstr>
      <vt:lpstr>'06-19 R3'!Print_Area</vt:lpstr>
      <vt:lpstr>'06-20 R1'!Print_Area</vt:lpstr>
      <vt:lpstr>'06-20 R2'!Print_Area</vt:lpstr>
      <vt:lpstr>'06-20 R3'!Print_Area</vt:lpstr>
      <vt:lpstr>'06-22 R1'!Print_Area</vt:lpstr>
      <vt:lpstr>'06-22 R2'!Print_Area</vt:lpstr>
      <vt:lpstr>'06-22 R3'!Print_Area</vt:lpstr>
      <vt:lpstr>'06-23 R1'!Print_Area</vt:lpstr>
      <vt:lpstr>'06-23 R2'!Print_Area</vt:lpstr>
      <vt:lpstr>'06-23 R3'!Print_Area</vt:lpstr>
      <vt:lpstr>'06-24 R1'!Print_Area</vt:lpstr>
      <vt:lpstr>'06-24 R2'!Print_Area</vt:lpstr>
      <vt:lpstr>'06-24 R3'!Print_Area</vt:lpstr>
      <vt:lpstr>'06-25 R1'!Print_Area</vt:lpstr>
      <vt:lpstr>'06-25 R2'!Print_Area</vt:lpstr>
      <vt:lpstr>'06-25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2026-05-06T00:41:18Z</cp:lastPrinted>
  <dcterms:created xsi:type="dcterms:W3CDTF">2024-09-01T22:48:10Z</dcterms:created>
  <dcterms:modified xsi:type="dcterms:W3CDTF">2026-06-24T00:30:10Z</dcterms:modified>
</cp:coreProperties>
</file>