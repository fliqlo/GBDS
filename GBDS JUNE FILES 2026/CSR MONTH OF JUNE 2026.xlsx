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JUNE FILES 2026\"/>
    </mc:Choice>
  </mc:AlternateContent>
  <xr:revisionPtr revIDLastSave="0" documentId="13_ncr:1_{8D35F04D-9378-4D3F-8FE5-E0A45817DAAA}" xr6:coauthVersionLast="45" xr6:coauthVersionMax="47" xr10:uidLastSave="{00000000-0000-0000-0000-000000000000}"/>
  <bookViews>
    <workbookView xWindow="-120" yWindow="-120" windowWidth="29040" windowHeight="15840" firstSheet="53" activeTab="61" xr2:uid="{67C3A74A-A57E-4AB5-8CD3-31B592A14032}"/>
  </bookViews>
  <sheets>
    <sheet name="CSR | JUNE" sheetId="902" r:id="rId1"/>
    <sheet name="(01)" sheetId="1703" r:id="rId2"/>
    <sheet name="06-01 R1" sheetId="1704" r:id="rId3"/>
    <sheet name="06-01 R2" sheetId="1705" r:id="rId4"/>
    <sheet name="06-01 R3" sheetId="1706" r:id="rId5"/>
    <sheet name="(2)" sheetId="1723" r:id="rId6"/>
    <sheet name="06-02 R1" sheetId="1724" r:id="rId7"/>
    <sheet name="06-02 R2" sheetId="1725" r:id="rId8"/>
    <sheet name="06-02 R3" sheetId="1726" r:id="rId9"/>
    <sheet name="(3)" sheetId="1727" r:id="rId10"/>
    <sheet name="06-03 R1" sheetId="1728" r:id="rId11"/>
    <sheet name="06-03 R2 NO TRIP" sheetId="1729" r:id="rId12"/>
    <sheet name="06-03 R3 NO TRIP" sheetId="1730" r:id="rId13"/>
    <sheet name="(4)" sheetId="1731" r:id="rId14"/>
    <sheet name="06-04 R1" sheetId="1732" r:id="rId15"/>
    <sheet name="06-04 R2" sheetId="1733" r:id="rId16"/>
    <sheet name="06-04 R3" sheetId="1734" r:id="rId17"/>
    <sheet name="(5)" sheetId="1735" r:id="rId18"/>
    <sheet name="06-05 R1 NO TRIP" sheetId="1736" r:id="rId19"/>
    <sheet name="06-05 R2" sheetId="1737" r:id="rId20"/>
    <sheet name="06-05 R3" sheetId="1738" r:id="rId21"/>
    <sheet name="(6)" sheetId="1739" r:id="rId22"/>
    <sheet name="06-06 R1" sheetId="1740" r:id="rId23"/>
    <sheet name="06-06 R2" sheetId="1741" r:id="rId24"/>
    <sheet name="06-06 R3" sheetId="1742" r:id="rId25"/>
    <sheet name="(8)" sheetId="1743" r:id="rId26"/>
    <sheet name="06-08 R1 NO TRIP" sheetId="1744" r:id="rId27"/>
    <sheet name="06-08 R2" sheetId="1745" r:id="rId28"/>
    <sheet name="06-08 R3" sheetId="1746" r:id="rId29"/>
    <sheet name="(9)" sheetId="1747" r:id="rId30"/>
    <sheet name="06-09 R1" sheetId="1748" r:id="rId31"/>
    <sheet name="06-09 R2" sheetId="1749" r:id="rId32"/>
    <sheet name="06-09 R3" sheetId="1750" r:id="rId33"/>
    <sheet name="(10)" sheetId="1751" r:id="rId34"/>
    <sheet name="06-10 R1" sheetId="1752" r:id="rId35"/>
    <sheet name="06-10 R2 NO TRIP" sheetId="1753" r:id="rId36"/>
    <sheet name="(11)" sheetId="1755" r:id="rId37"/>
    <sheet name="06-11 R1 NO TRIP" sheetId="1756" r:id="rId38"/>
    <sheet name="06-11 R2" sheetId="1757" r:id="rId39"/>
    <sheet name="06-11 R3" sheetId="1754" r:id="rId40"/>
    <sheet name="(12)" sheetId="1758" r:id="rId41"/>
    <sheet name="06-12 R1" sheetId="1759" r:id="rId42"/>
    <sheet name="06-12 R2" sheetId="1760" r:id="rId43"/>
    <sheet name="06-12 R3 NO TRIP" sheetId="1761" r:id="rId44"/>
    <sheet name="(13)" sheetId="1762" r:id="rId45"/>
    <sheet name="06-13 R1" sheetId="1763" r:id="rId46"/>
    <sheet name="06-13 R2" sheetId="1764" r:id="rId47"/>
    <sheet name="06-13 R3" sheetId="1765" r:id="rId48"/>
    <sheet name="(15)" sheetId="1766" r:id="rId49"/>
    <sheet name="06-15 R1" sheetId="1767" r:id="rId50"/>
    <sheet name="06-15 R2" sheetId="1768" r:id="rId51"/>
    <sheet name="06-15 R3" sheetId="1769" r:id="rId52"/>
    <sheet name="(16)" sheetId="1770" r:id="rId53"/>
    <sheet name="06-16 R1" sheetId="1771" r:id="rId54"/>
    <sheet name="06-16 R2" sheetId="1772" r:id="rId55"/>
    <sheet name="06-16 R3" sheetId="1773" r:id="rId56"/>
    <sheet name="(17)" sheetId="1774" r:id="rId57"/>
    <sheet name="06-17 R1" sheetId="1775" r:id="rId58"/>
    <sheet name="06-17 R2" sheetId="1776" r:id="rId59"/>
    <sheet name="06-17 R3" sheetId="1777" r:id="rId60"/>
    <sheet name="(18)" sheetId="1778" r:id="rId61"/>
    <sheet name="06-18 R1" sheetId="1779" r:id="rId62"/>
    <sheet name="06-18 R2" sheetId="1780" r:id="rId63"/>
    <sheet name="06-18 R3" sheetId="1781" r:id="rId64"/>
    <sheet name="(19)" sheetId="1782" r:id="rId65"/>
    <sheet name="06-19 R1" sheetId="1783" r:id="rId66"/>
    <sheet name="06-19 R2" sheetId="1784" r:id="rId67"/>
    <sheet name="06-19 R3" sheetId="1785" r:id="rId68"/>
    <sheet name="(20)" sheetId="1786" r:id="rId69"/>
    <sheet name="06-20 R1" sheetId="1787" r:id="rId70"/>
    <sheet name="06-20 R2" sheetId="1788" r:id="rId71"/>
    <sheet name="06-20 R3" sheetId="1789" r:id="rId72"/>
    <sheet name="(22)" sheetId="1790" r:id="rId73"/>
    <sheet name="06-22 R1" sheetId="1791" r:id="rId74"/>
    <sheet name="06-22 R2" sheetId="1792" r:id="rId75"/>
    <sheet name="06-22 R3" sheetId="1793" r:id="rId76"/>
  </sheets>
  <externalReferences>
    <externalReference r:id="rId77"/>
  </externalReferences>
  <definedNames>
    <definedName name="_xlnm.Print_Area" localSheetId="1">'(01)'!$A$1:$Z$44</definedName>
    <definedName name="_xlnm.Print_Area" localSheetId="33">'(10)'!$A$1:$Z$44</definedName>
    <definedName name="_xlnm.Print_Area" localSheetId="36">'(11)'!$A$1:$Z$44</definedName>
    <definedName name="_xlnm.Print_Area" localSheetId="40">'(12)'!$A$1:$Z$44</definedName>
    <definedName name="_xlnm.Print_Area" localSheetId="44">'(13)'!$A$1:$Z$44</definedName>
    <definedName name="_xlnm.Print_Area" localSheetId="48">'(15)'!$A$1:$Z$44</definedName>
    <definedName name="_xlnm.Print_Area" localSheetId="52">'(16)'!$A$1:$Z$44</definedName>
    <definedName name="_xlnm.Print_Area" localSheetId="56">'(17)'!$A$1:$Z$44</definedName>
    <definedName name="_xlnm.Print_Area" localSheetId="60">'(18)'!$A$1:$Z$44</definedName>
    <definedName name="_xlnm.Print_Area" localSheetId="64">'(19)'!$A$1:$Z$44</definedName>
    <definedName name="_xlnm.Print_Area" localSheetId="5">'(2)'!$A$1:$Z$44</definedName>
    <definedName name="_xlnm.Print_Area" localSheetId="68">'(20)'!$A$1:$Z$44</definedName>
    <definedName name="_xlnm.Print_Area" localSheetId="72">'(22)'!$A$1:$Z$44</definedName>
    <definedName name="_xlnm.Print_Area" localSheetId="9">'(3)'!$A$1:$Z$44</definedName>
    <definedName name="_xlnm.Print_Area" localSheetId="13">'(4)'!$A$1:$Z$44</definedName>
    <definedName name="_xlnm.Print_Area" localSheetId="17">'(5)'!$A$1:$Z$44</definedName>
    <definedName name="_xlnm.Print_Area" localSheetId="21">'(6)'!$A$1:$Z$44</definedName>
    <definedName name="_xlnm.Print_Area" localSheetId="25">'(8)'!$A$1:$Z$44</definedName>
    <definedName name="_xlnm.Print_Area" localSheetId="29">'(9)'!$A$1:$Z$44</definedName>
    <definedName name="_xlnm.Print_Area" localSheetId="2">'06-01 R1'!$A$1:$Z$43</definedName>
    <definedName name="_xlnm.Print_Area" localSheetId="3">'06-01 R2'!$A$1:$V$44</definedName>
    <definedName name="_xlnm.Print_Area" localSheetId="4">'06-01 R3'!$A$1:$V$44</definedName>
    <definedName name="_xlnm.Print_Area" localSheetId="6">'06-02 R1'!$A$1:$Z$43</definedName>
    <definedName name="_xlnm.Print_Area" localSheetId="7">'06-02 R2'!$A$1:$V$44</definedName>
    <definedName name="_xlnm.Print_Area" localSheetId="8">'06-02 R3'!$A$1:$V$44</definedName>
    <definedName name="_xlnm.Print_Area" localSheetId="10">'06-03 R1'!$A$1:$Z$43</definedName>
    <definedName name="_xlnm.Print_Area" localSheetId="11">'06-03 R2 NO TRIP'!$A$1:$V$44</definedName>
    <definedName name="_xlnm.Print_Area" localSheetId="12">'06-03 R3 NO TRIP'!$A$1:$V$44</definedName>
    <definedName name="_xlnm.Print_Area" localSheetId="14">'06-04 R1'!$A$1:$Z$43</definedName>
    <definedName name="_xlnm.Print_Area" localSheetId="15">'06-04 R2'!$A$1:$V$44</definedName>
    <definedName name="_xlnm.Print_Area" localSheetId="16">'06-04 R3'!$A$1:$V$44</definedName>
    <definedName name="_xlnm.Print_Area" localSheetId="18">'06-05 R1 NO TRIP'!$A$1:$Z$43</definedName>
    <definedName name="_xlnm.Print_Area" localSheetId="19">'06-05 R2'!$A$1:$V$44</definedName>
    <definedName name="_xlnm.Print_Area" localSheetId="20">'06-05 R3'!$A$1:$V$44</definedName>
    <definedName name="_xlnm.Print_Area" localSheetId="22">'06-06 R1'!$A$1:$Z$43</definedName>
    <definedName name="_xlnm.Print_Area" localSheetId="23">'06-06 R2'!$A$1:$V$44</definedName>
    <definedName name="_xlnm.Print_Area" localSheetId="24">'06-06 R3'!$A$1:$V$44</definedName>
    <definedName name="_xlnm.Print_Area" localSheetId="26">'06-08 R1 NO TRIP'!$A$1:$Z$43</definedName>
    <definedName name="_xlnm.Print_Area" localSheetId="27">'06-08 R2'!$A$1:$V$44</definedName>
    <definedName name="_xlnm.Print_Area" localSheetId="28">'06-08 R3'!$A$1:$V$44</definedName>
    <definedName name="_xlnm.Print_Area" localSheetId="30">'06-09 R1'!$A$1:$Z$43</definedName>
    <definedName name="_xlnm.Print_Area" localSheetId="31">'06-09 R2'!$A$1:$V$44</definedName>
    <definedName name="_xlnm.Print_Area" localSheetId="32">'06-09 R3'!$A$1:$V$44</definedName>
    <definedName name="_xlnm.Print_Area" localSheetId="34">'06-10 R1'!$A$1:$Z$43</definedName>
    <definedName name="_xlnm.Print_Area" localSheetId="35">'06-10 R2 NO TRIP'!$A$1:$V$44</definedName>
    <definedName name="_xlnm.Print_Area" localSheetId="37">'06-11 R1 NO TRIP'!$A$1:$Z$43</definedName>
    <definedName name="_xlnm.Print_Area" localSheetId="38">'06-11 R2'!$A$1:$V$44</definedName>
    <definedName name="_xlnm.Print_Area" localSheetId="39">'06-11 R3'!$A$1:$V$44</definedName>
    <definedName name="_xlnm.Print_Area" localSheetId="41">'06-12 R1'!$A$1:$Z$43</definedName>
    <definedName name="_xlnm.Print_Area" localSheetId="42">'06-12 R2'!$A$1:$V$44</definedName>
    <definedName name="_xlnm.Print_Area" localSheetId="43">'06-12 R3 NO TRIP'!$A$1:$V$44</definedName>
    <definedName name="_xlnm.Print_Area" localSheetId="45">'06-13 R1'!$A$1:$Z$43</definedName>
    <definedName name="_xlnm.Print_Area" localSheetId="46">'06-13 R2'!$A$1:$V$44</definedName>
    <definedName name="_xlnm.Print_Area" localSheetId="47">'06-13 R3'!$A$1:$V$44</definedName>
    <definedName name="_xlnm.Print_Area" localSheetId="49">'06-15 R1'!$A$1:$Z$43</definedName>
    <definedName name="_xlnm.Print_Area" localSheetId="50">'06-15 R2'!$A$1:$V$44</definedName>
    <definedName name="_xlnm.Print_Area" localSheetId="51">'06-15 R3'!$A$1:$V$44</definedName>
    <definedName name="_xlnm.Print_Area" localSheetId="53">'06-16 R1'!$A$1:$Z$43</definedName>
    <definedName name="_xlnm.Print_Area" localSheetId="54">'06-16 R2'!$A$1:$V$44</definedName>
    <definedName name="_xlnm.Print_Area" localSheetId="55">'06-16 R3'!$A$1:$V$44</definedName>
    <definedName name="_xlnm.Print_Area" localSheetId="57">'06-17 R1'!$A$1:$Z$43</definedName>
    <definedName name="_xlnm.Print_Area" localSheetId="58">'06-17 R2'!$A$1:$V$44</definedName>
    <definedName name="_xlnm.Print_Area" localSheetId="59">'06-17 R3'!$A$1:$V$44</definedName>
    <definedName name="_xlnm.Print_Area" localSheetId="61">'06-18 R1'!$A$1:$Z$43</definedName>
    <definedName name="_xlnm.Print_Area" localSheetId="62">'06-18 R2'!$A$1:$V$44</definedName>
    <definedName name="_xlnm.Print_Area" localSheetId="63">'06-18 R3'!$A$1:$V$44</definedName>
    <definedName name="_xlnm.Print_Area" localSheetId="65">'06-19 R1'!$A$1:$Z$43</definedName>
    <definedName name="_xlnm.Print_Area" localSheetId="66">'06-19 R2'!$A$1:$V$44</definedName>
    <definedName name="_xlnm.Print_Area" localSheetId="67">'06-19 R3'!$A$1:$V$44</definedName>
    <definedName name="_xlnm.Print_Area" localSheetId="69">'06-20 R1'!$A$1:$Z$43</definedName>
    <definedName name="_xlnm.Print_Area" localSheetId="70">'06-20 R2'!$A$1:$V$44</definedName>
    <definedName name="_xlnm.Print_Area" localSheetId="71">'06-20 R3'!$A$1:$V$44</definedName>
    <definedName name="_xlnm.Print_Area" localSheetId="73">'06-22 R1'!$A$1:$Z$43</definedName>
    <definedName name="_xlnm.Print_Area" localSheetId="74">'06-22 R2'!$A$1:$V$44</definedName>
    <definedName name="_xlnm.Print_Area" localSheetId="75">'06-22 R3'!$A$1:$V$44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C44" i="1781" l="1"/>
  <c r="C44" i="1779"/>
  <c r="C44" i="1780"/>
  <c r="C45" i="1777" l="1"/>
  <c r="C44" i="1777"/>
  <c r="C45" i="1775"/>
  <c r="C44" i="1775"/>
  <c r="C44" i="1771" l="1"/>
  <c r="M31" i="1771"/>
  <c r="H31" i="1771"/>
  <c r="C44" i="1773"/>
  <c r="C44" i="1772"/>
  <c r="F21" i="1793"/>
  <c r="Y19" i="1793"/>
  <c r="W19" i="1793"/>
  <c r="V19" i="1793"/>
  <c r="U19" i="1793"/>
  <c r="T19" i="1793"/>
  <c r="P19" i="1793"/>
  <c r="O19" i="1793"/>
  <c r="N19" i="1793"/>
  <c r="M19" i="1793"/>
  <c r="L19" i="1793"/>
  <c r="K19" i="1793"/>
  <c r="J19" i="1793"/>
  <c r="I19" i="1793"/>
  <c r="H19" i="1793"/>
  <c r="G19" i="1793"/>
  <c r="F19" i="1793"/>
  <c r="E19" i="1793"/>
  <c r="D19" i="1793"/>
  <c r="C19" i="1793"/>
  <c r="Y18" i="1793"/>
  <c r="W18" i="1793"/>
  <c r="V18" i="1793"/>
  <c r="U18" i="1793"/>
  <c r="T18" i="1793"/>
  <c r="P18" i="1793"/>
  <c r="O18" i="1793"/>
  <c r="N18" i="1793"/>
  <c r="M18" i="1793"/>
  <c r="L18" i="1793"/>
  <c r="K18" i="1793"/>
  <c r="J18" i="1793"/>
  <c r="I18" i="1793"/>
  <c r="H18" i="1793"/>
  <c r="G18" i="1793"/>
  <c r="F18" i="1793"/>
  <c r="E18" i="1793"/>
  <c r="D18" i="1793"/>
  <c r="C18" i="1793"/>
  <c r="Y4" i="1793"/>
  <c r="W4" i="1793"/>
  <c r="V4" i="1793"/>
  <c r="U4" i="1793"/>
  <c r="T4" i="1793"/>
  <c r="P4" i="1793"/>
  <c r="O4" i="1793"/>
  <c r="N4" i="1793"/>
  <c r="M4" i="1793"/>
  <c r="L4" i="1793"/>
  <c r="K4" i="1793"/>
  <c r="J4" i="1793"/>
  <c r="I4" i="1793"/>
  <c r="H4" i="1793"/>
  <c r="G4" i="1793"/>
  <c r="F4" i="1793"/>
  <c r="E4" i="1793"/>
  <c r="D4" i="1793"/>
  <c r="C4" i="1793"/>
  <c r="Y3" i="1793"/>
  <c r="W3" i="1793"/>
  <c r="V3" i="1793"/>
  <c r="U3" i="1793"/>
  <c r="T3" i="1793"/>
  <c r="P3" i="1793"/>
  <c r="O3" i="1793"/>
  <c r="N3" i="1793"/>
  <c r="M3" i="1793"/>
  <c r="L3" i="1793"/>
  <c r="K3" i="1793"/>
  <c r="J3" i="1793"/>
  <c r="I3" i="1793"/>
  <c r="H3" i="1793"/>
  <c r="G3" i="1793"/>
  <c r="F3" i="1793"/>
  <c r="E3" i="1793"/>
  <c r="D3" i="1793"/>
  <c r="C3" i="1793"/>
  <c r="F21" i="1792"/>
  <c r="Y19" i="1792"/>
  <c r="W19" i="1792"/>
  <c r="V19" i="1792"/>
  <c r="U19" i="1792"/>
  <c r="T19" i="1792"/>
  <c r="P19" i="1792"/>
  <c r="O19" i="1792"/>
  <c r="N19" i="1792"/>
  <c r="M19" i="1792"/>
  <c r="L19" i="1792"/>
  <c r="K19" i="1792"/>
  <c r="J19" i="1792"/>
  <c r="I19" i="1792"/>
  <c r="H19" i="1792"/>
  <c r="G19" i="1792"/>
  <c r="F19" i="1792"/>
  <c r="E19" i="1792"/>
  <c r="D19" i="1792"/>
  <c r="C19" i="1792"/>
  <c r="Y18" i="1792"/>
  <c r="W18" i="1792"/>
  <c r="V18" i="1792"/>
  <c r="U18" i="1792"/>
  <c r="T18" i="1792"/>
  <c r="P18" i="1792"/>
  <c r="O18" i="1792"/>
  <c r="N18" i="1792"/>
  <c r="M18" i="1792"/>
  <c r="L18" i="1792"/>
  <c r="K18" i="1792"/>
  <c r="J18" i="1792"/>
  <c r="I18" i="1792"/>
  <c r="H18" i="1792"/>
  <c r="G18" i="1792"/>
  <c r="F18" i="1792"/>
  <c r="E18" i="1792"/>
  <c r="D18" i="1792"/>
  <c r="C18" i="1792"/>
  <c r="Y4" i="1792"/>
  <c r="W4" i="1792"/>
  <c r="V4" i="1792"/>
  <c r="U4" i="1792"/>
  <c r="T4" i="1792"/>
  <c r="P4" i="1792"/>
  <c r="O4" i="1792"/>
  <c r="N4" i="1792"/>
  <c r="M4" i="1792"/>
  <c r="L4" i="1792"/>
  <c r="K4" i="1792"/>
  <c r="J4" i="1792"/>
  <c r="I4" i="1792"/>
  <c r="H4" i="1792"/>
  <c r="G4" i="1792"/>
  <c r="F4" i="1792"/>
  <c r="E4" i="1792"/>
  <c r="D4" i="1792"/>
  <c r="C4" i="1792"/>
  <c r="Y3" i="1792"/>
  <c r="W3" i="1792"/>
  <c r="V3" i="1792"/>
  <c r="U3" i="1792"/>
  <c r="T3" i="1792"/>
  <c r="P3" i="1792"/>
  <c r="O3" i="1792"/>
  <c r="N3" i="1792"/>
  <c r="M3" i="1792"/>
  <c r="L3" i="1792"/>
  <c r="K3" i="1792"/>
  <c r="J3" i="1792"/>
  <c r="I3" i="1792"/>
  <c r="H3" i="1792"/>
  <c r="G3" i="1792"/>
  <c r="F3" i="1792"/>
  <c r="E3" i="1792"/>
  <c r="D3" i="1792"/>
  <c r="C3" i="1792"/>
  <c r="F21" i="1791"/>
  <c r="Y19" i="1791"/>
  <c r="W19" i="1791"/>
  <c r="V19" i="1791"/>
  <c r="U19" i="1791"/>
  <c r="T19" i="1791"/>
  <c r="P19" i="1791"/>
  <c r="O19" i="1791"/>
  <c r="N19" i="1791"/>
  <c r="M19" i="1791"/>
  <c r="L19" i="1791"/>
  <c r="K19" i="1791"/>
  <c r="J19" i="1791"/>
  <c r="I19" i="1791"/>
  <c r="H19" i="1791"/>
  <c r="G19" i="1791"/>
  <c r="F19" i="1791"/>
  <c r="E19" i="1791"/>
  <c r="D19" i="1791"/>
  <c r="C19" i="1791"/>
  <c r="Y18" i="1791"/>
  <c r="W18" i="1791"/>
  <c r="V18" i="1791"/>
  <c r="U18" i="1791"/>
  <c r="T18" i="1791"/>
  <c r="P18" i="1791"/>
  <c r="O18" i="1791"/>
  <c r="N18" i="1791"/>
  <c r="M18" i="1791"/>
  <c r="L18" i="1791"/>
  <c r="K18" i="1791"/>
  <c r="J18" i="1791"/>
  <c r="I18" i="1791"/>
  <c r="H18" i="1791"/>
  <c r="G18" i="1791"/>
  <c r="F18" i="1791"/>
  <c r="E18" i="1791"/>
  <c r="D18" i="1791"/>
  <c r="C18" i="1791"/>
  <c r="Y4" i="1791"/>
  <c r="W4" i="1791"/>
  <c r="V4" i="1791"/>
  <c r="U4" i="1791"/>
  <c r="T4" i="1791"/>
  <c r="P4" i="1791"/>
  <c r="O4" i="1791"/>
  <c r="N4" i="1791"/>
  <c r="M4" i="1791"/>
  <c r="L4" i="1791"/>
  <c r="K4" i="1791"/>
  <c r="J4" i="1791"/>
  <c r="I4" i="1791"/>
  <c r="H4" i="1791"/>
  <c r="G4" i="1791"/>
  <c r="F4" i="1791"/>
  <c r="E4" i="1791"/>
  <c r="D4" i="1791"/>
  <c r="C4" i="1791"/>
  <c r="Y3" i="1791"/>
  <c r="W3" i="1791"/>
  <c r="V3" i="1791"/>
  <c r="U3" i="1791"/>
  <c r="T3" i="1791"/>
  <c r="P3" i="1791"/>
  <c r="O3" i="1791"/>
  <c r="N3" i="1791"/>
  <c r="M3" i="1791"/>
  <c r="L3" i="1791"/>
  <c r="K3" i="1791"/>
  <c r="J3" i="1791"/>
  <c r="I3" i="1791"/>
  <c r="H3" i="1791"/>
  <c r="G3" i="1791"/>
  <c r="F3" i="1791"/>
  <c r="E3" i="1791"/>
  <c r="D3" i="1791"/>
  <c r="C3" i="1791"/>
  <c r="F21" i="1790"/>
  <c r="Y19" i="1790"/>
  <c r="W19" i="1790"/>
  <c r="V19" i="1790"/>
  <c r="U19" i="1790"/>
  <c r="T19" i="1790"/>
  <c r="P19" i="1790"/>
  <c r="O19" i="1790"/>
  <c r="N19" i="1790"/>
  <c r="M19" i="1790"/>
  <c r="L19" i="1790"/>
  <c r="K19" i="1790"/>
  <c r="J19" i="1790"/>
  <c r="I19" i="1790"/>
  <c r="H19" i="1790"/>
  <c r="G19" i="1790"/>
  <c r="F19" i="1790"/>
  <c r="E19" i="1790"/>
  <c r="D19" i="1790"/>
  <c r="C19" i="1790"/>
  <c r="Y18" i="1790"/>
  <c r="W18" i="1790"/>
  <c r="V18" i="1790"/>
  <c r="U18" i="1790"/>
  <c r="T18" i="1790"/>
  <c r="P18" i="1790"/>
  <c r="O18" i="1790"/>
  <c r="N18" i="1790"/>
  <c r="M18" i="1790"/>
  <c r="L18" i="1790"/>
  <c r="K18" i="1790"/>
  <c r="J18" i="1790"/>
  <c r="I18" i="1790"/>
  <c r="H18" i="1790"/>
  <c r="G18" i="1790"/>
  <c r="F18" i="1790"/>
  <c r="E18" i="1790"/>
  <c r="D18" i="1790"/>
  <c r="C18" i="1790"/>
  <c r="Y4" i="1790"/>
  <c r="W4" i="1790"/>
  <c r="V4" i="1790"/>
  <c r="U4" i="1790"/>
  <c r="T4" i="1790"/>
  <c r="P4" i="1790"/>
  <c r="O4" i="1790"/>
  <c r="N4" i="1790"/>
  <c r="M4" i="1790"/>
  <c r="L4" i="1790"/>
  <c r="K4" i="1790"/>
  <c r="J4" i="1790"/>
  <c r="I4" i="1790"/>
  <c r="H4" i="1790"/>
  <c r="G4" i="1790"/>
  <c r="F4" i="1790"/>
  <c r="E4" i="1790"/>
  <c r="D4" i="1790"/>
  <c r="C4" i="1790"/>
  <c r="Y3" i="1790"/>
  <c r="W3" i="1790"/>
  <c r="V3" i="1790"/>
  <c r="U3" i="1790"/>
  <c r="T3" i="1790"/>
  <c r="P3" i="1790"/>
  <c r="O3" i="1790"/>
  <c r="N3" i="1790"/>
  <c r="M3" i="1790"/>
  <c r="L3" i="1790"/>
  <c r="K3" i="1790"/>
  <c r="J3" i="1790"/>
  <c r="I3" i="1790"/>
  <c r="H3" i="1790"/>
  <c r="G3" i="1790"/>
  <c r="F3" i="1790"/>
  <c r="E3" i="1790"/>
  <c r="D3" i="1790"/>
  <c r="C3" i="1790"/>
  <c r="F21" i="1789"/>
  <c r="Y19" i="1789"/>
  <c r="W19" i="1789"/>
  <c r="V19" i="1789"/>
  <c r="U19" i="1789"/>
  <c r="T19" i="1789"/>
  <c r="P19" i="1789"/>
  <c r="O19" i="1789"/>
  <c r="N19" i="1789"/>
  <c r="M19" i="1789"/>
  <c r="L19" i="1789"/>
  <c r="K19" i="1789"/>
  <c r="J19" i="1789"/>
  <c r="I19" i="1789"/>
  <c r="H19" i="1789"/>
  <c r="G19" i="1789"/>
  <c r="F19" i="1789"/>
  <c r="E19" i="1789"/>
  <c r="D19" i="1789"/>
  <c r="C19" i="1789"/>
  <c r="Y18" i="1789"/>
  <c r="W18" i="1789"/>
  <c r="V18" i="1789"/>
  <c r="U18" i="1789"/>
  <c r="T18" i="1789"/>
  <c r="P18" i="1789"/>
  <c r="O18" i="1789"/>
  <c r="N18" i="1789"/>
  <c r="M18" i="1789"/>
  <c r="L18" i="1789"/>
  <c r="K18" i="1789"/>
  <c r="J18" i="1789"/>
  <c r="I18" i="1789"/>
  <c r="H18" i="1789"/>
  <c r="G18" i="1789"/>
  <c r="F18" i="1789"/>
  <c r="E18" i="1789"/>
  <c r="D18" i="1789"/>
  <c r="C18" i="1789"/>
  <c r="Y4" i="1789"/>
  <c r="W4" i="1789"/>
  <c r="V4" i="1789"/>
  <c r="U4" i="1789"/>
  <c r="T4" i="1789"/>
  <c r="P4" i="1789"/>
  <c r="O4" i="1789"/>
  <c r="N4" i="1789"/>
  <c r="M4" i="1789"/>
  <c r="L4" i="1789"/>
  <c r="K4" i="1789"/>
  <c r="J4" i="1789"/>
  <c r="I4" i="1789"/>
  <c r="H4" i="1789"/>
  <c r="G4" i="1789"/>
  <c r="F4" i="1789"/>
  <c r="E4" i="1789"/>
  <c r="D4" i="1789"/>
  <c r="C4" i="1789"/>
  <c r="Y3" i="1789"/>
  <c r="W3" i="1789"/>
  <c r="V3" i="1789"/>
  <c r="U3" i="1789"/>
  <c r="T3" i="1789"/>
  <c r="P3" i="1789"/>
  <c r="O3" i="1789"/>
  <c r="N3" i="1789"/>
  <c r="M3" i="1789"/>
  <c r="L3" i="1789"/>
  <c r="K3" i="1789"/>
  <c r="J3" i="1789"/>
  <c r="I3" i="1789"/>
  <c r="H3" i="1789"/>
  <c r="G3" i="1789"/>
  <c r="F3" i="1789"/>
  <c r="E3" i="1789"/>
  <c r="D3" i="1789"/>
  <c r="C3" i="1789"/>
  <c r="F21" i="1788"/>
  <c r="Y19" i="1788"/>
  <c r="W19" i="1788"/>
  <c r="V19" i="1788"/>
  <c r="U19" i="1788"/>
  <c r="T19" i="1788"/>
  <c r="P19" i="1788"/>
  <c r="O19" i="1788"/>
  <c r="N19" i="1788"/>
  <c r="M19" i="1788"/>
  <c r="L19" i="1788"/>
  <c r="K19" i="1788"/>
  <c r="J19" i="1788"/>
  <c r="I19" i="1788"/>
  <c r="H19" i="1788"/>
  <c r="G19" i="1788"/>
  <c r="F19" i="1788"/>
  <c r="E19" i="1788"/>
  <c r="D19" i="1788"/>
  <c r="C19" i="1788"/>
  <c r="Y18" i="1788"/>
  <c r="W18" i="1788"/>
  <c r="V18" i="1788"/>
  <c r="U18" i="1788"/>
  <c r="T18" i="1788"/>
  <c r="P18" i="1788"/>
  <c r="O18" i="1788"/>
  <c r="N18" i="1788"/>
  <c r="M18" i="1788"/>
  <c r="L18" i="1788"/>
  <c r="K18" i="1788"/>
  <c r="J18" i="1788"/>
  <c r="I18" i="1788"/>
  <c r="H18" i="1788"/>
  <c r="G18" i="1788"/>
  <c r="F18" i="1788"/>
  <c r="E18" i="1788"/>
  <c r="D18" i="1788"/>
  <c r="C18" i="1788"/>
  <c r="Y4" i="1788"/>
  <c r="W4" i="1788"/>
  <c r="V4" i="1788"/>
  <c r="U4" i="1788"/>
  <c r="T4" i="1788"/>
  <c r="P4" i="1788"/>
  <c r="O4" i="1788"/>
  <c r="N4" i="1788"/>
  <c r="M4" i="1788"/>
  <c r="L4" i="1788"/>
  <c r="K4" i="1788"/>
  <c r="J4" i="1788"/>
  <c r="I4" i="1788"/>
  <c r="H4" i="1788"/>
  <c r="G4" i="1788"/>
  <c r="F4" i="1788"/>
  <c r="E4" i="1788"/>
  <c r="D4" i="1788"/>
  <c r="C4" i="1788"/>
  <c r="Y3" i="1788"/>
  <c r="W3" i="1788"/>
  <c r="V3" i="1788"/>
  <c r="U3" i="1788"/>
  <c r="T3" i="1788"/>
  <c r="P3" i="1788"/>
  <c r="O3" i="1788"/>
  <c r="N3" i="1788"/>
  <c r="M3" i="1788"/>
  <c r="L3" i="1788"/>
  <c r="K3" i="1788"/>
  <c r="J3" i="1788"/>
  <c r="I3" i="1788"/>
  <c r="H3" i="1788"/>
  <c r="G3" i="1788"/>
  <c r="F3" i="1788"/>
  <c r="E3" i="1788"/>
  <c r="D3" i="1788"/>
  <c r="C3" i="1788"/>
  <c r="F21" i="1787"/>
  <c r="Y19" i="1787"/>
  <c r="W19" i="1787"/>
  <c r="V19" i="1787"/>
  <c r="U19" i="1787"/>
  <c r="T19" i="1787"/>
  <c r="P19" i="1787"/>
  <c r="O19" i="1787"/>
  <c r="N19" i="1787"/>
  <c r="M19" i="1787"/>
  <c r="L19" i="1787"/>
  <c r="K19" i="1787"/>
  <c r="J19" i="1787"/>
  <c r="I19" i="1787"/>
  <c r="H19" i="1787"/>
  <c r="G19" i="1787"/>
  <c r="F19" i="1787"/>
  <c r="E19" i="1787"/>
  <c r="D19" i="1787"/>
  <c r="C19" i="1787"/>
  <c r="Y18" i="1787"/>
  <c r="W18" i="1787"/>
  <c r="V18" i="1787"/>
  <c r="U18" i="1787"/>
  <c r="T18" i="1787"/>
  <c r="P18" i="1787"/>
  <c r="O18" i="1787"/>
  <c r="N18" i="1787"/>
  <c r="M18" i="1787"/>
  <c r="L18" i="1787"/>
  <c r="K18" i="1787"/>
  <c r="J18" i="1787"/>
  <c r="I18" i="1787"/>
  <c r="H18" i="1787"/>
  <c r="G18" i="1787"/>
  <c r="F18" i="1787"/>
  <c r="E18" i="1787"/>
  <c r="D18" i="1787"/>
  <c r="C18" i="1787"/>
  <c r="Y4" i="1787"/>
  <c r="W4" i="1787"/>
  <c r="V4" i="1787"/>
  <c r="U4" i="1787"/>
  <c r="T4" i="1787"/>
  <c r="P4" i="1787"/>
  <c r="O4" i="1787"/>
  <c r="N4" i="1787"/>
  <c r="M4" i="1787"/>
  <c r="L4" i="1787"/>
  <c r="K4" i="1787"/>
  <c r="J4" i="1787"/>
  <c r="I4" i="1787"/>
  <c r="H4" i="1787"/>
  <c r="G4" i="1787"/>
  <c r="F4" i="1787"/>
  <c r="E4" i="1787"/>
  <c r="D4" i="1787"/>
  <c r="C4" i="1787"/>
  <c r="Y3" i="1787"/>
  <c r="W3" i="1787"/>
  <c r="V3" i="1787"/>
  <c r="U3" i="1787"/>
  <c r="T3" i="1787"/>
  <c r="P3" i="1787"/>
  <c r="O3" i="1787"/>
  <c r="N3" i="1787"/>
  <c r="M3" i="1787"/>
  <c r="L3" i="1787"/>
  <c r="K3" i="1787"/>
  <c r="J3" i="1787"/>
  <c r="I3" i="1787"/>
  <c r="H3" i="1787"/>
  <c r="G3" i="1787"/>
  <c r="F3" i="1787"/>
  <c r="E3" i="1787"/>
  <c r="D3" i="1787"/>
  <c r="C3" i="1787"/>
  <c r="F21" i="1786"/>
  <c r="Y19" i="1786"/>
  <c r="W19" i="1786"/>
  <c r="V19" i="1786"/>
  <c r="U19" i="1786"/>
  <c r="T19" i="1786"/>
  <c r="P19" i="1786"/>
  <c r="O19" i="1786"/>
  <c r="N19" i="1786"/>
  <c r="M19" i="1786"/>
  <c r="L19" i="1786"/>
  <c r="K19" i="1786"/>
  <c r="J19" i="1786"/>
  <c r="I19" i="1786"/>
  <c r="H19" i="1786"/>
  <c r="G19" i="1786"/>
  <c r="F19" i="1786"/>
  <c r="E19" i="1786"/>
  <c r="D19" i="1786"/>
  <c r="C19" i="1786"/>
  <c r="Y18" i="1786"/>
  <c r="W18" i="1786"/>
  <c r="V18" i="1786"/>
  <c r="U18" i="1786"/>
  <c r="T18" i="1786"/>
  <c r="P18" i="1786"/>
  <c r="O18" i="1786"/>
  <c r="N18" i="1786"/>
  <c r="M18" i="1786"/>
  <c r="L18" i="1786"/>
  <c r="K18" i="1786"/>
  <c r="J18" i="1786"/>
  <c r="I18" i="1786"/>
  <c r="H18" i="1786"/>
  <c r="G18" i="1786"/>
  <c r="F18" i="1786"/>
  <c r="E18" i="1786"/>
  <c r="D18" i="1786"/>
  <c r="C18" i="1786"/>
  <c r="Y4" i="1786"/>
  <c r="W4" i="1786"/>
  <c r="V4" i="1786"/>
  <c r="U4" i="1786"/>
  <c r="T4" i="1786"/>
  <c r="P4" i="1786"/>
  <c r="O4" i="1786"/>
  <c r="N4" i="1786"/>
  <c r="M4" i="1786"/>
  <c r="L4" i="1786"/>
  <c r="K4" i="1786"/>
  <c r="J4" i="1786"/>
  <c r="I4" i="1786"/>
  <c r="H4" i="1786"/>
  <c r="G4" i="1786"/>
  <c r="F4" i="1786"/>
  <c r="E4" i="1786"/>
  <c r="D4" i="1786"/>
  <c r="C4" i="1786"/>
  <c r="Y3" i="1786"/>
  <c r="W3" i="1786"/>
  <c r="V3" i="1786"/>
  <c r="U3" i="1786"/>
  <c r="T3" i="1786"/>
  <c r="P3" i="1786"/>
  <c r="O3" i="1786"/>
  <c r="N3" i="1786"/>
  <c r="M3" i="1786"/>
  <c r="L3" i="1786"/>
  <c r="K3" i="1786"/>
  <c r="J3" i="1786"/>
  <c r="I3" i="1786"/>
  <c r="H3" i="1786"/>
  <c r="G3" i="1786"/>
  <c r="F3" i="1786"/>
  <c r="E3" i="1786"/>
  <c r="D3" i="1786"/>
  <c r="C3" i="1786"/>
  <c r="F21" i="1785"/>
  <c r="Y19" i="1785"/>
  <c r="W19" i="1785"/>
  <c r="V19" i="1785"/>
  <c r="U19" i="1785"/>
  <c r="T19" i="1785"/>
  <c r="P19" i="1785"/>
  <c r="O19" i="1785"/>
  <c r="N19" i="1785"/>
  <c r="M19" i="1785"/>
  <c r="L19" i="1785"/>
  <c r="K19" i="1785"/>
  <c r="J19" i="1785"/>
  <c r="I19" i="1785"/>
  <c r="H19" i="1785"/>
  <c r="G19" i="1785"/>
  <c r="F19" i="1785"/>
  <c r="E19" i="1785"/>
  <c r="D19" i="1785"/>
  <c r="C19" i="1785"/>
  <c r="Y18" i="1785"/>
  <c r="W18" i="1785"/>
  <c r="V18" i="1785"/>
  <c r="U18" i="1785"/>
  <c r="T18" i="1785"/>
  <c r="P18" i="1785"/>
  <c r="O18" i="1785"/>
  <c r="N18" i="1785"/>
  <c r="M18" i="1785"/>
  <c r="L18" i="1785"/>
  <c r="K18" i="1785"/>
  <c r="J18" i="1785"/>
  <c r="I18" i="1785"/>
  <c r="H18" i="1785"/>
  <c r="G18" i="1785"/>
  <c r="F18" i="1785"/>
  <c r="E18" i="1785"/>
  <c r="D18" i="1785"/>
  <c r="C18" i="1785"/>
  <c r="Y4" i="1785"/>
  <c r="W4" i="1785"/>
  <c r="V4" i="1785"/>
  <c r="U4" i="1785"/>
  <c r="T4" i="1785"/>
  <c r="P4" i="1785"/>
  <c r="O4" i="1785"/>
  <c r="N4" i="1785"/>
  <c r="M4" i="1785"/>
  <c r="L4" i="1785"/>
  <c r="K4" i="1785"/>
  <c r="J4" i="1785"/>
  <c r="I4" i="1785"/>
  <c r="H4" i="1785"/>
  <c r="G4" i="1785"/>
  <c r="F4" i="1785"/>
  <c r="E4" i="1785"/>
  <c r="D4" i="1785"/>
  <c r="C4" i="1785"/>
  <c r="Y3" i="1785"/>
  <c r="W3" i="1785"/>
  <c r="V3" i="1785"/>
  <c r="U3" i="1785"/>
  <c r="T3" i="1785"/>
  <c r="P3" i="1785"/>
  <c r="O3" i="1785"/>
  <c r="N3" i="1785"/>
  <c r="M3" i="1785"/>
  <c r="L3" i="1785"/>
  <c r="K3" i="1785"/>
  <c r="J3" i="1785"/>
  <c r="I3" i="1785"/>
  <c r="H3" i="1785"/>
  <c r="G3" i="1785"/>
  <c r="F3" i="1785"/>
  <c r="E3" i="1785"/>
  <c r="D3" i="1785"/>
  <c r="C3" i="1785"/>
  <c r="F21" i="1784"/>
  <c r="Y19" i="1784"/>
  <c r="W19" i="1784"/>
  <c r="V19" i="1784"/>
  <c r="U19" i="1784"/>
  <c r="T19" i="1784"/>
  <c r="P19" i="1784"/>
  <c r="O19" i="1784"/>
  <c r="N19" i="1784"/>
  <c r="M19" i="1784"/>
  <c r="L19" i="1784"/>
  <c r="K19" i="1784"/>
  <c r="J19" i="1784"/>
  <c r="I19" i="1784"/>
  <c r="H19" i="1784"/>
  <c r="G19" i="1784"/>
  <c r="F19" i="1784"/>
  <c r="E19" i="1784"/>
  <c r="D19" i="1784"/>
  <c r="C19" i="1784"/>
  <c r="Y18" i="1784"/>
  <c r="W18" i="1784"/>
  <c r="V18" i="1784"/>
  <c r="U18" i="1784"/>
  <c r="T18" i="1784"/>
  <c r="P18" i="1784"/>
  <c r="O18" i="1784"/>
  <c r="N18" i="1784"/>
  <c r="M18" i="1784"/>
  <c r="L18" i="1784"/>
  <c r="K18" i="1784"/>
  <c r="J18" i="1784"/>
  <c r="I18" i="1784"/>
  <c r="H18" i="1784"/>
  <c r="G18" i="1784"/>
  <c r="F18" i="1784"/>
  <c r="E18" i="1784"/>
  <c r="D18" i="1784"/>
  <c r="C18" i="1784"/>
  <c r="Y4" i="1784"/>
  <c r="W4" i="1784"/>
  <c r="V4" i="1784"/>
  <c r="U4" i="1784"/>
  <c r="T4" i="1784"/>
  <c r="P4" i="1784"/>
  <c r="O4" i="1784"/>
  <c r="N4" i="1784"/>
  <c r="M4" i="1784"/>
  <c r="L4" i="1784"/>
  <c r="K4" i="1784"/>
  <c r="J4" i="1784"/>
  <c r="I4" i="1784"/>
  <c r="H4" i="1784"/>
  <c r="G4" i="1784"/>
  <c r="F4" i="1784"/>
  <c r="E4" i="1784"/>
  <c r="D4" i="1784"/>
  <c r="C4" i="1784"/>
  <c r="Y3" i="1784"/>
  <c r="W3" i="1784"/>
  <c r="V3" i="1784"/>
  <c r="U3" i="1784"/>
  <c r="T3" i="1784"/>
  <c r="P3" i="1784"/>
  <c r="O3" i="1784"/>
  <c r="N3" i="1784"/>
  <c r="M3" i="1784"/>
  <c r="L3" i="1784"/>
  <c r="K3" i="1784"/>
  <c r="J3" i="1784"/>
  <c r="I3" i="1784"/>
  <c r="H3" i="1784"/>
  <c r="G3" i="1784"/>
  <c r="F3" i="1784"/>
  <c r="E3" i="1784"/>
  <c r="D3" i="1784"/>
  <c r="C3" i="1784"/>
  <c r="F21" i="1783"/>
  <c r="Y19" i="1783"/>
  <c r="W19" i="1783"/>
  <c r="V19" i="1783"/>
  <c r="U19" i="1783"/>
  <c r="T19" i="1783"/>
  <c r="P19" i="1783"/>
  <c r="O19" i="1783"/>
  <c r="N19" i="1783"/>
  <c r="M19" i="1783"/>
  <c r="L19" i="1783"/>
  <c r="K19" i="1783"/>
  <c r="J19" i="1783"/>
  <c r="I19" i="1783"/>
  <c r="H19" i="1783"/>
  <c r="G19" i="1783"/>
  <c r="F19" i="1783"/>
  <c r="E19" i="1783"/>
  <c r="D19" i="1783"/>
  <c r="C19" i="1783"/>
  <c r="Y18" i="1783"/>
  <c r="W18" i="1783"/>
  <c r="V18" i="1783"/>
  <c r="U18" i="1783"/>
  <c r="T18" i="1783"/>
  <c r="P18" i="1783"/>
  <c r="O18" i="1783"/>
  <c r="N18" i="1783"/>
  <c r="M18" i="1783"/>
  <c r="L18" i="1783"/>
  <c r="K18" i="1783"/>
  <c r="J18" i="1783"/>
  <c r="I18" i="1783"/>
  <c r="H18" i="1783"/>
  <c r="G18" i="1783"/>
  <c r="F18" i="1783"/>
  <c r="E18" i="1783"/>
  <c r="D18" i="1783"/>
  <c r="C18" i="1783"/>
  <c r="Y4" i="1783"/>
  <c r="W4" i="1783"/>
  <c r="V4" i="1783"/>
  <c r="U4" i="1783"/>
  <c r="T4" i="1783"/>
  <c r="P4" i="1783"/>
  <c r="O4" i="1783"/>
  <c r="N4" i="1783"/>
  <c r="M4" i="1783"/>
  <c r="L4" i="1783"/>
  <c r="K4" i="1783"/>
  <c r="J4" i="1783"/>
  <c r="I4" i="1783"/>
  <c r="H4" i="1783"/>
  <c r="G4" i="1783"/>
  <c r="F4" i="1783"/>
  <c r="E4" i="1783"/>
  <c r="D4" i="1783"/>
  <c r="C4" i="1783"/>
  <c r="Y3" i="1783"/>
  <c r="W3" i="1783"/>
  <c r="V3" i="1783"/>
  <c r="U3" i="1783"/>
  <c r="T3" i="1783"/>
  <c r="P3" i="1783"/>
  <c r="O3" i="1783"/>
  <c r="N3" i="1783"/>
  <c r="M3" i="1783"/>
  <c r="L3" i="1783"/>
  <c r="K3" i="1783"/>
  <c r="J3" i="1783"/>
  <c r="I3" i="1783"/>
  <c r="H3" i="1783"/>
  <c r="G3" i="1783"/>
  <c r="F3" i="1783"/>
  <c r="E3" i="1783"/>
  <c r="D3" i="1783"/>
  <c r="C3" i="1783"/>
  <c r="F21" i="1782"/>
  <c r="Y19" i="1782"/>
  <c r="W19" i="1782"/>
  <c r="V19" i="1782"/>
  <c r="U19" i="1782"/>
  <c r="T19" i="1782"/>
  <c r="P19" i="1782"/>
  <c r="O19" i="1782"/>
  <c r="N19" i="1782"/>
  <c r="M19" i="1782"/>
  <c r="L19" i="1782"/>
  <c r="K19" i="1782"/>
  <c r="J19" i="1782"/>
  <c r="I19" i="1782"/>
  <c r="H19" i="1782"/>
  <c r="G19" i="1782"/>
  <c r="F19" i="1782"/>
  <c r="E19" i="1782"/>
  <c r="D19" i="1782"/>
  <c r="C19" i="1782"/>
  <c r="Y18" i="1782"/>
  <c r="W18" i="1782"/>
  <c r="V18" i="1782"/>
  <c r="U18" i="1782"/>
  <c r="T18" i="1782"/>
  <c r="P18" i="1782"/>
  <c r="O18" i="1782"/>
  <c r="N18" i="1782"/>
  <c r="M18" i="1782"/>
  <c r="L18" i="1782"/>
  <c r="K18" i="1782"/>
  <c r="J18" i="1782"/>
  <c r="I18" i="1782"/>
  <c r="H18" i="1782"/>
  <c r="G18" i="1782"/>
  <c r="F18" i="1782"/>
  <c r="E18" i="1782"/>
  <c r="D18" i="1782"/>
  <c r="C18" i="1782"/>
  <c r="Y4" i="1782"/>
  <c r="W4" i="1782"/>
  <c r="V4" i="1782"/>
  <c r="U4" i="1782"/>
  <c r="T4" i="1782"/>
  <c r="P4" i="1782"/>
  <c r="O4" i="1782"/>
  <c r="N4" i="1782"/>
  <c r="M4" i="1782"/>
  <c r="L4" i="1782"/>
  <c r="K4" i="1782"/>
  <c r="J4" i="1782"/>
  <c r="I4" i="1782"/>
  <c r="H4" i="1782"/>
  <c r="G4" i="1782"/>
  <c r="F4" i="1782"/>
  <c r="E4" i="1782"/>
  <c r="D4" i="1782"/>
  <c r="C4" i="1782"/>
  <c r="Y3" i="1782"/>
  <c r="W3" i="1782"/>
  <c r="V3" i="1782"/>
  <c r="U3" i="1782"/>
  <c r="T3" i="1782"/>
  <c r="P3" i="1782"/>
  <c r="O3" i="1782"/>
  <c r="N3" i="1782"/>
  <c r="M3" i="1782"/>
  <c r="L3" i="1782"/>
  <c r="K3" i="1782"/>
  <c r="J3" i="1782"/>
  <c r="I3" i="1782"/>
  <c r="H3" i="1782"/>
  <c r="G3" i="1782"/>
  <c r="F3" i="1782"/>
  <c r="E3" i="1782"/>
  <c r="D3" i="1782"/>
  <c r="C3" i="1782"/>
  <c r="F21" i="1781"/>
  <c r="Y19" i="1781"/>
  <c r="W19" i="1781"/>
  <c r="V19" i="1781"/>
  <c r="U19" i="1781"/>
  <c r="T19" i="1781"/>
  <c r="P19" i="1781"/>
  <c r="O19" i="1781"/>
  <c r="N19" i="1781"/>
  <c r="M19" i="1781"/>
  <c r="L19" i="1781"/>
  <c r="K19" i="1781"/>
  <c r="J19" i="1781"/>
  <c r="I19" i="1781"/>
  <c r="H19" i="1781"/>
  <c r="G19" i="1781"/>
  <c r="F19" i="1781"/>
  <c r="E19" i="1781"/>
  <c r="D19" i="1781"/>
  <c r="C19" i="1781"/>
  <c r="Y18" i="1781"/>
  <c r="W18" i="1781"/>
  <c r="V18" i="1781"/>
  <c r="U18" i="1781"/>
  <c r="T18" i="1781"/>
  <c r="P18" i="1781"/>
  <c r="O18" i="1781"/>
  <c r="N18" i="1781"/>
  <c r="M18" i="1781"/>
  <c r="L18" i="1781"/>
  <c r="K18" i="1781"/>
  <c r="J18" i="1781"/>
  <c r="I18" i="1781"/>
  <c r="H18" i="1781"/>
  <c r="G18" i="1781"/>
  <c r="F18" i="1781"/>
  <c r="E18" i="1781"/>
  <c r="D18" i="1781"/>
  <c r="C18" i="1781"/>
  <c r="Y4" i="1781"/>
  <c r="W4" i="1781"/>
  <c r="V4" i="1781"/>
  <c r="U4" i="1781"/>
  <c r="T4" i="1781"/>
  <c r="P4" i="1781"/>
  <c r="O4" i="1781"/>
  <c r="N4" i="1781"/>
  <c r="M4" i="1781"/>
  <c r="L4" i="1781"/>
  <c r="K4" i="1781"/>
  <c r="J4" i="1781"/>
  <c r="I4" i="1781"/>
  <c r="H4" i="1781"/>
  <c r="G4" i="1781"/>
  <c r="F4" i="1781"/>
  <c r="E4" i="1781"/>
  <c r="D4" i="1781"/>
  <c r="C4" i="1781"/>
  <c r="Y3" i="1781"/>
  <c r="W3" i="1781"/>
  <c r="V3" i="1781"/>
  <c r="U3" i="1781"/>
  <c r="T3" i="1781"/>
  <c r="P3" i="1781"/>
  <c r="O3" i="1781"/>
  <c r="N3" i="1781"/>
  <c r="M3" i="1781"/>
  <c r="L3" i="1781"/>
  <c r="K3" i="1781"/>
  <c r="J3" i="1781"/>
  <c r="I3" i="1781"/>
  <c r="H3" i="1781"/>
  <c r="G3" i="1781"/>
  <c r="F3" i="1781"/>
  <c r="E3" i="1781"/>
  <c r="D3" i="1781"/>
  <c r="C3" i="1781"/>
  <c r="F21" i="1780"/>
  <c r="Y19" i="1780"/>
  <c r="W19" i="1780"/>
  <c r="V19" i="1780"/>
  <c r="U19" i="1780"/>
  <c r="T19" i="1780"/>
  <c r="P19" i="1780"/>
  <c r="O19" i="1780"/>
  <c r="N19" i="1780"/>
  <c r="M19" i="1780"/>
  <c r="L19" i="1780"/>
  <c r="K19" i="1780"/>
  <c r="J19" i="1780"/>
  <c r="I19" i="1780"/>
  <c r="H19" i="1780"/>
  <c r="G19" i="1780"/>
  <c r="F19" i="1780"/>
  <c r="E19" i="1780"/>
  <c r="D19" i="1780"/>
  <c r="C19" i="1780"/>
  <c r="Y18" i="1780"/>
  <c r="W18" i="1780"/>
  <c r="V18" i="1780"/>
  <c r="U18" i="1780"/>
  <c r="T18" i="1780"/>
  <c r="P18" i="1780"/>
  <c r="O18" i="1780"/>
  <c r="N18" i="1780"/>
  <c r="M18" i="1780"/>
  <c r="L18" i="1780"/>
  <c r="K18" i="1780"/>
  <c r="J18" i="1780"/>
  <c r="I18" i="1780"/>
  <c r="H18" i="1780"/>
  <c r="G18" i="1780"/>
  <c r="F18" i="1780"/>
  <c r="E18" i="1780"/>
  <c r="D18" i="1780"/>
  <c r="C18" i="1780"/>
  <c r="Y4" i="1780"/>
  <c r="W4" i="1780"/>
  <c r="V4" i="1780"/>
  <c r="U4" i="1780"/>
  <c r="T4" i="1780"/>
  <c r="P4" i="1780"/>
  <c r="O4" i="1780"/>
  <c r="N4" i="1780"/>
  <c r="M4" i="1780"/>
  <c r="L4" i="1780"/>
  <c r="K4" i="1780"/>
  <c r="J4" i="1780"/>
  <c r="I4" i="1780"/>
  <c r="H4" i="1780"/>
  <c r="G4" i="1780"/>
  <c r="F4" i="1780"/>
  <c r="E4" i="1780"/>
  <c r="D4" i="1780"/>
  <c r="C4" i="1780"/>
  <c r="Y3" i="1780"/>
  <c r="W3" i="1780"/>
  <c r="V3" i="1780"/>
  <c r="U3" i="1780"/>
  <c r="T3" i="1780"/>
  <c r="P3" i="1780"/>
  <c r="O3" i="1780"/>
  <c r="N3" i="1780"/>
  <c r="M3" i="1780"/>
  <c r="L3" i="1780"/>
  <c r="K3" i="1780"/>
  <c r="J3" i="1780"/>
  <c r="I3" i="1780"/>
  <c r="H3" i="1780"/>
  <c r="G3" i="1780"/>
  <c r="F3" i="1780"/>
  <c r="E3" i="1780"/>
  <c r="D3" i="1780"/>
  <c r="C3" i="1780"/>
  <c r="F21" i="1779"/>
  <c r="Y19" i="1779"/>
  <c r="W19" i="1779"/>
  <c r="V19" i="1779"/>
  <c r="U19" i="1779"/>
  <c r="T19" i="1779"/>
  <c r="P19" i="1779"/>
  <c r="O19" i="1779"/>
  <c r="N19" i="1779"/>
  <c r="M19" i="1779"/>
  <c r="L19" i="1779"/>
  <c r="K19" i="1779"/>
  <c r="J19" i="1779"/>
  <c r="I19" i="1779"/>
  <c r="H19" i="1779"/>
  <c r="G19" i="1779"/>
  <c r="F19" i="1779"/>
  <c r="E19" i="1779"/>
  <c r="D19" i="1779"/>
  <c r="C19" i="1779"/>
  <c r="Y18" i="1779"/>
  <c r="W18" i="1779"/>
  <c r="V18" i="1779"/>
  <c r="U18" i="1779"/>
  <c r="T18" i="1779"/>
  <c r="P18" i="1779"/>
  <c r="O18" i="1779"/>
  <c r="N18" i="1779"/>
  <c r="M18" i="1779"/>
  <c r="L18" i="1779"/>
  <c r="K18" i="1779"/>
  <c r="J18" i="1779"/>
  <c r="I18" i="1779"/>
  <c r="H18" i="1779"/>
  <c r="G18" i="1779"/>
  <c r="F18" i="1779"/>
  <c r="E18" i="1779"/>
  <c r="D18" i="1779"/>
  <c r="C18" i="1779"/>
  <c r="Y4" i="1779"/>
  <c r="W4" i="1779"/>
  <c r="V4" i="1779"/>
  <c r="U4" i="1779"/>
  <c r="T4" i="1779"/>
  <c r="P4" i="1779"/>
  <c r="O4" i="1779"/>
  <c r="N4" i="1779"/>
  <c r="M4" i="1779"/>
  <c r="L4" i="1779"/>
  <c r="K4" i="1779"/>
  <c r="J4" i="1779"/>
  <c r="I4" i="1779"/>
  <c r="H4" i="1779"/>
  <c r="G4" i="1779"/>
  <c r="F4" i="1779"/>
  <c r="E4" i="1779"/>
  <c r="D4" i="1779"/>
  <c r="C4" i="1779"/>
  <c r="Y3" i="1779"/>
  <c r="W3" i="1779"/>
  <c r="V3" i="1779"/>
  <c r="U3" i="1779"/>
  <c r="T3" i="1779"/>
  <c r="P3" i="1779"/>
  <c r="O3" i="1779"/>
  <c r="N3" i="1779"/>
  <c r="M3" i="1779"/>
  <c r="L3" i="1779"/>
  <c r="K3" i="1779"/>
  <c r="J3" i="1779"/>
  <c r="I3" i="1779"/>
  <c r="H3" i="1779"/>
  <c r="G3" i="1779"/>
  <c r="F3" i="1779"/>
  <c r="E3" i="1779"/>
  <c r="D3" i="1779"/>
  <c r="C3" i="1779"/>
  <c r="F21" i="1778"/>
  <c r="Y19" i="1778"/>
  <c r="W19" i="1778"/>
  <c r="V19" i="1778"/>
  <c r="U19" i="1778"/>
  <c r="T19" i="1778"/>
  <c r="P19" i="1778"/>
  <c r="O19" i="1778"/>
  <c r="N19" i="1778"/>
  <c r="M19" i="1778"/>
  <c r="L19" i="1778"/>
  <c r="K19" i="1778"/>
  <c r="J19" i="1778"/>
  <c r="I19" i="1778"/>
  <c r="H19" i="1778"/>
  <c r="G19" i="1778"/>
  <c r="F19" i="1778"/>
  <c r="E19" i="1778"/>
  <c r="D19" i="1778"/>
  <c r="C19" i="1778"/>
  <c r="Y18" i="1778"/>
  <c r="W18" i="1778"/>
  <c r="V18" i="1778"/>
  <c r="U18" i="1778"/>
  <c r="T18" i="1778"/>
  <c r="P18" i="1778"/>
  <c r="O18" i="1778"/>
  <c r="N18" i="1778"/>
  <c r="M18" i="1778"/>
  <c r="L18" i="1778"/>
  <c r="K18" i="1778"/>
  <c r="J18" i="1778"/>
  <c r="I18" i="1778"/>
  <c r="H18" i="1778"/>
  <c r="G18" i="1778"/>
  <c r="F18" i="1778"/>
  <c r="E18" i="1778"/>
  <c r="D18" i="1778"/>
  <c r="C18" i="1778"/>
  <c r="Y4" i="1778"/>
  <c r="W4" i="1778"/>
  <c r="V4" i="1778"/>
  <c r="U4" i="1778"/>
  <c r="T4" i="1778"/>
  <c r="P4" i="1778"/>
  <c r="O4" i="1778"/>
  <c r="N4" i="1778"/>
  <c r="M4" i="1778"/>
  <c r="L4" i="1778"/>
  <c r="K4" i="1778"/>
  <c r="J4" i="1778"/>
  <c r="I4" i="1778"/>
  <c r="H4" i="1778"/>
  <c r="G4" i="1778"/>
  <c r="F4" i="1778"/>
  <c r="E4" i="1778"/>
  <c r="D4" i="1778"/>
  <c r="C4" i="1778"/>
  <c r="Y3" i="1778"/>
  <c r="W3" i="1778"/>
  <c r="V3" i="1778"/>
  <c r="U3" i="1778"/>
  <c r="T3" i="1778"/>
  <c r="P3" i="1778"/>
  <c r="O3" i="1778"/>
  <c r="N3" i="1778"/>
  <c r="M3" i="1778"/>
  <c r="L3" i="1778"/>
  <c r="K3" i="1778"/>
  <c r="J3" i="1778"/>
  <c r="I3" i="1778"/>
  <c r="H3" i="1778"/>
  <c r="G3" i="1778"/>
  <c r="F3" i="1778"/>
  <c r="E3" i="1778"/>
  <c r="D3" i="1778"/>
  <c r="C3" i="1778"/>
  <c r="F21" i="1777"/>
  <c r="Y19" i="1777"/>
  <c r="W19" i="1777"/>
  <c r="V19" i="1777"/>
  <c r="U19" i="1777"/>
  <c r="T19" i="1777"/>
  <c r="P19" i="1777"/>
  <c r="O19" i="1777"/>
  <c r="N19" i="1777"/>
  <c r="M19" i="1777"/>
  <c r="L19" i="1777"/>
  <c r="K19" i="1777"/>
  <c r="J19" i="1777"/>
  <c r="I19" i="1777"/>
  <c r="H19" i="1777"/>
  <c r="G19" i="1777"/>
  <c r="F19" i="1777"/>
  <c r="E19" i="1777"/>
  <c r="D19" i="1777"/>
  <c r="C19" i="1777"/>
  <c r="Y18" i="1777"/>
  <c r="W18" i="1777"/>
  <c r="V18" i="1777"/>
  <c r="U18" i="1777"/>
  <c r="T18" i="1777"/>
  <c r="P18" i="1777"/>
  <c r="O18" i="1777"/>
  <c r="N18" i="1777"/>
  <c r="M18" i="1777"/>
  <c r="L18" i="1777"/>
  <c r="K18" i="1777"/>
  <c r="J18" i="1777"/>
  <c r="I18" i="1777"/>
  <c r="H18" i="1777"/>
  <c r="G18" i="1777"/>
  <c r="F18" i="1777"/>
  <c r="E18" i="1777"/>
  <c r="D18" i="1777"/>
  <c r="C18" i="1777"/>
  <c r="Y4" i="1777"/>
  <c r="W4" i="1777"/>
  <c r="V4" i="1777"/>
  <c r="U4" i="1777"/>
  <c r="T4" i="1777"/>
  <c r="P4" i="1777"/>
  <c r="O4" i="1777"/>
  <c r="N4" i="1777"/>
  <c r="M4" i="1777"/>
  <c r="L4" i="1777"/>
  <c r="K4" i="1777"/>
  <c r="J4" i="1777"/>
  <c r="I4" i="1777"/>
  <c r="H4" i="1777"/>
  <c r="G4" i="1777"/>
  <c r="F4" i="1777"/>
  <c r="E4" i="1777"/>
  <c r="D4" i="1777"/>
  <c r="C4" i="1777"/>
  <c r="Y3" i="1777"/>
  <c r="W3" i="1777"/>
  <c r="V3" i="1777"/>
  <c r="U3" i="1777"/>
  <c r="T3" i="1777"/>
  <c r="P3" i="1777"/>
  <c r="O3" i="1777"/>
  <c r="N3" i="1777"/>
  <c r="M3" i="1777"/>
  <c r="L3" i="1777"/>
  <c r="K3" i="1777"/>
  <c r="J3" i="1777"/>
  <c r="I3" i="1777"/>
  <c r="H3" i="1777"/>
  <c r="G3" i="1777"/>
  <c r="F3" i="1777"/>
  <c r="E3" i="1777"/>
  <c r="D3" i="1777"/>
  <c r="C3" i="1777"/>
  <c r="F21" i="1776"/>
  <c r="Y19" i="1776"/>
  <c r="W19" i="1776"/>
  <c r="V19" i="1776"/>
  <c r="U19" i="1776"/>
  <c r="T19" i="1776"/>
  <c r="P19" i="1776"/>
  <c r="O19" i="1776"/>
  <c r="N19" i="1776"/>
  <c r="M19" i="1776"/>
  <c r="L19" i="1776"/>
  <c r="K19" i="1776"/>
  <c r="J19" i="1776"/>
  <c r="I19" i="1776"/>
  <c r="H19" i="1776"/>
  <c r="G19" i="1776"/>
  <c r="F19" i="1776"/>
  <c r="E19" i="1776"/>
  <c r="D19" i="1776"/>
  <c r="C19" i="1776"/>
  <c r="Y18" i="1776"/>
  <c r="W18" i="1776"/>
  <c r="V18" i="1776"/>
  <c r="U18" i="1776"/>
  <c r="T18" i="1776"/>
  <c r="P18" i="1776"/>
  <c r="O18" i="1776"/>
  <c r="N18" i="1776"/>
  <c r="M18" i="1776"/>
  <c r="L18" i="1776"/>
  <c r="K18" i="1776"/>
  <c r="J18" i="1776"/>
  <c r="I18" i="1776"/>
  <c r="H18" i="1776"/>
  <c r="G18" i="1776"/>
  <c r="F18" i="1776"/>
  <c r="E18" i="1776"/>
  <c r="D18" i="1776"/>
  <c r="C18" i="1776"/>
  <c r="Y4" i="1776"/>
  <c r="W4" i="1776"/>
  <c r="V4" i="1776"/>
  <c r="U4" i="1776"/>
  <c r="T4" i="1776"/>
  <c r="P4" i="1776"/>
  <c r="O4" i="1776"/>
  <c r="N4" i="1776"/>
  <c r="M4" i="1776"/>
  <c r="L4" i="1776"/>
  <c r="K4" i="1776"/>
  <c r="J4" i="1776"/>
  <c r="I4" i="1776"/>
  <c r="H4" i="1776"/>
  <c r="G4" i="1776"/>
  <c r="F4" i="1776"/>
  <c r="E4" i="1776"/>
  <c r="D4" i="1776"/>
  <c r="C4" i="1776"/>
  <c r="Y3" i="1776"/>
  <c r="W3" i="1776"/>
  <c r="V3" i="1776"/>
  <c r="U3" i="1776"/>
  <c r="T3" i="1776"/>
  <c r="P3" i="1776"/>
  <c r="O3" i="1776"/>
  <c r="N3" i="1776"/>
  <c r="M3" i="1776"/>
  <c r="L3" i="1776"/>
  <c r="K3" i="1776"/>
  <c r="J3" i="1776"/>
  <c r="I3" i="1776"/>
  <c r="H3" i="1776"/>
  <c r="G3" i="1776"/>
  <c r="F3" i="1776"/>
  <c r="E3" i="1776"/>
  <c r="D3" i="1776"/>
  <c r="C3" i="1776"/>
  <c r="F21" i="1775"/>
  <c r="Y19" i="1775"/>
  <c r="W19" i="1775"/>
  <c r="V19" i="1775"/>
  <c r="U19" i="1775"/>
  <c r="T19" i="1775"/>
  <c r="P19" i="1775"/>
  <c r="O19" i="1775"/>
  <c r="N19" i="1775"/>
  <c r="M19" i="1775"/>
  <c r="L19" i="1775"/>
  <c r="K19" i="1775"/>
  <c r="J19" i="1775"/>
  <c r="I19" i="1775"/>
  <c r="H19" i="1775"/>
  <c r="G19" i="1775"/>
  <c r="F19" i="1775"/>
  <c r="E19" i="1775"/>
  <c r="D19" i="1775"/>
  <c r="C19" i="1775"/>
  <c r="Y18" i="1775"/>
  <c r="W18" i="1775"/>
  <c r="V18" i="1775"/>
  <c r="U18" i="1775"/>
  <c r="T18" i="1775"/>
  <c r="P18" i="1775"/>
  <c r="O18" i="1775"/>
  <c r="N18" i="1775"/>
  <c r="M18" i="1775"/>
  <c r="L18" i="1775"/>
  <c r="K18" i="1775"/>
  <c r="J18" i="1775"/>
  <c r="I18" i="1775"/>
  <c r="H18" i="1775"/>
  <c r="G18" i="1775"/>
  <c r="F18" i="1775"/>
  <c r="E18" i="1775"/>
  <c r="D18" i="1775"/>
  <c r="C18" i="1775"/>
  <c r="Y4" i="1775"/>
  <c r="W4" i="1775"/>
  <c r="V4" i="1775"/>
  <c r="U4" i="1775"/>
  <c r="T4" i="1775"/>
  <c r="P4" i="1775"/>
  <c r="O4" i="1775"/>
  <c r="N4" i="1775"/>
  <c r="M4" i="1775"/>
  <c r="L4" i="1775"/>
  <c r="K4" i="1775"/>
  <c r="J4" i="1775"/>
  <c r="I4" i="1775"/>
  <c r="H4" i="1775"/>
  <c r="G4" i="1775"/>
  <c r="F4" i="1775"/>
  <c r="E4" i="1775"/>
  <c r="D4" i="1775"/>
  <c r="C4" i="1775"/>
  <c r="Y3" i="1775"/>
  <c r="W3" i="1775"/>
  <c r="V3" i="1775"/>
  <c r="U3" i="1775"/>
  <c r="T3" i="1775"/>
  <c r="P3" i="1775"/>
  <c r="O3" i="1775"/>
  <c r="N3" i="1775"/>
  <c r="M3" i="1775"/>
  <c r="L3" i="1775"/>
  <c r="K3" i="1775"/>
  <c r="J3" i="1775"/>
  <c r="I3" i="1775"/>
  <c r="H3" i="1775"/>
  <c r="G3" i="1775"/>
  <c r="F3" i="1775"/>
  <c r="E3" i="1775"/>
  <c r="D3" i="1775"/>
  <c r="C3" i="1775"/>
  <c r="F21" i="1774"/>
  <c r="Y19" i="1774"/>
  <c r="W19" i="1774"/>
  <c r="V19" i="1774"/>
  <c r="U19" i="1774"/>
  <c r="T19" i="1774"/>
  <c r="P19" i="1774"/>
  <c r="O19" i="1774"/>
  <c r="N19" i="1774"/>
  <c r="M19" i="1774"/>
  <c r="L19" i="1774"/>
  <c r="K19" i="1774"/>
  <c r="J19" i="1774"/>
  <c r="I19" i="1774"/>
  <c r="H19" i="1774"/>
  <c r="G19" i="1774"/>
  <c r="F19" i="1774"/>
  <c r="E19" i="1774"/>
  <c r="D19" i="1774"/>
  <c r="C19" i="1774"/>
  <c r="Y18" i="1774"/>
  <c r="W18" i="1774"/>
  <c r="V18" i="1774"/>
  <c r="U18" i="1774"/>
  <c r="T18" i="1774"/>
  <c r="P18" i="1774"/>
  <c r="O18" i="1774"/>
  <c r="N18" i="1774"/>
  <c r="M18" i="1774"/>
  <c r="L18" i="1774"/>
  <c r="K18" i="1774"/>
  <c r="J18" i="1774"/>
  <c r="I18" i="1774"/>
  <c r="H18" i="1774"/>
  <c r="G18" i="1774"/>
  <c r="F18" i="1774"/>
  <c r="E18" i="1774"/>
  <c r="D18" i="1774"/>
  <c r="C18" i="1774"/>
  <c r="Y4" i="1774"/>
  <c r="W4" i="1774"/>
  <c r="V4" i="1774"/>
  <c r="U4" i="1774"/>
  <c r="T4" i="1774"/>
  <c r="P4" i="1774"/>
  <c r="O4" i="1774"/>
  <c r="N4" i="1774"/>
  <c r="M4" i="1774"/>
  <c r="L4" i="1774"/>
  <c r="K4" i="1774"/>
  <c r="J4" i="1774"/>
  <c r="I4" i="1774"/>
  <c r="H4" i="1774"/>
  <c r="G4" i="1774"/>
  <c r="F4" i="1774"/>
  <c r="E4" i="1774"/>
  <c r="D4" i="1774"/>
  <c r="C4" i="1774"/>
  <c r="Y3" i="1774"/>
  <c r="W3" i="1774"/>
  <c r="V3" i="1774"/>
  <c r="U3" i="1774"/>
  <c r="T3" i="1774"/>
  <c r="P3" i="1774"/>
  <c r="O3" i="1774"/>
  <c r="N3" i="1774"/>
  <c r="M3" i="1774"/>
  <c r="L3" i="1774"/>
  <c r="K3" i="1774"/>
  <c r="J3" i="1774"/>
  <c r="I3" i="1774"/>
  <c r="H3" i="1774"/>
  <c r="G3" i="1774"/>
  <c r="F3" i="1774"/>
  <c r="E3" i="1774"/>
  <c r="D3" i="1774"/>
  <c r="C3" i="1774"/>
  <c r="F21" i="1773"/>
  <c r="Y19" i="1773"/>
  <c r="W19" i="1773"/>
  <c r="V19" i="1773"/>
  <c r="U19" i="1773"/>
  <c r="T19" i="1773"/>
  <c r="P19" i="1773"/>
  <c r="O19" i="1773"/>
  <c r="N19" i="1773"/>
  <c r="M19" i="1773"/>
  <c r="L19" i="1773"/>
  <c r="K19" i="1773"/>
  <c r="J19" i="1773"/>
  <c r="I19" i="1773"/>
  <c r="H19" i="1773"/>
  <c r="G19" i="1773"/>
  <c r="F19" i="1773"/>
  <c r="E19" i="1773"/>
  <c r="D19" i="1773"/>
  <c r="C19" i="1773"/>
  <c r="Y18" i="1773"/>
  <c r="W18" i="1773"/>
  <c r="V18" i="1773"/>
  <c r="U18" i="1773"/>
  <c r="T18" i="1773"/>
  <c r="P18" i="1773"/>
  <c r="O18" i="1773"/>
  <c r="N18" i="1773"/>
  <c r="M18" i="1773"/>
  <c r="L18" i="1773"/>
  <c r="K18" i="1773"/>
  <c r="J18" i="1773"/>
  <c r="I18" i="1773"/>
  <c r="H18" i="1773"/>
  <c r="G18" i="1773"/>
  <c r="F18" i="1773"/>
  <c r="E18" i="1773"/>
  <c r="D18" i="1773"/>
  <c r="C18" i="1773"/>
  <c r="Y4" i="1773"/>
  <c r="W4" i="1773"/>
  <c r="V4" i="1773"/>
  <c r="U4" i="1773"/>
  <c r="T4" i="1773"/>
  <c r="P4" i="1773"/>
  <c r="O4" i="1773"/>
  <c r="N4" i="1773"/>
  <c r="M4" i="1773"/>
  <c r="L4" i="1773"/>
  <c r="K4" i="1773"/>
  <c r="J4" i="1773"/>
  <c r="I4" i="1773"/>
  <c r="H4" i="1773"/>
  <c r="G4" i="1773"/>
  <c r="F4" i="1773"/>
  <c r="E4" i="1773"/>
  <c r="D4" i="1773"/>
  <c r="C4" i="1773"/>
  <c r="Y3" i="1773"/>
  <c r="W3" i="1773"/>
  <c r="V3" i="1773"/>
  <c r="U3" i="1773"/>
  <c r="T3" i="1773"/>
  <c r="P3" i="1773"/>
  <c r="O3" i="1773"/>
  <c r="N3" i="1773"/>
  <c r="M3" i="1773"/>
  <c r="L3" i="1773"/>
  <c r="K3" i="1773"/>
  <c r="J3" i="1773"/>
  <c r="I3" i="1773"/>
  <c r="H3" i="1773"/>
  <c r="G3" i="1773"/>
  <c r="F3" i="1773"/>
  <c r="E3" i="1773"/>
  <c r="D3" i="1773"/>
  <c r="C3" i="1773"/>
  <c r="F21" i="1772"/>
  <c r="Y19" i="1772"/>
  <c r="W19" i="1772"/>
  <c r="V19" i="1772"/>
  <c r="U19" i="1772"/>
  <c r="T19" i="1772"/>
  <c r="P19" i="1772"/>
  <c r="O19" i="1772"/>
  <c r="N19" i="1772"/>
  <c r="M19" i="1772"/>
  <c r="L19" i="1772"/>
  <c r="K19" i="1772"/>
  <c r="J19" i="1772"/>
  <c r="I19" i="1772"/>
  <c r="H19" i="1772"/>
  <c r="G19" i="1772"/>
  <c r="F19" i="1772"/>
  <c r="E19" i="1772"/>
  <c r="D19" i="1772"/>
  <c r="C19" i="1772"/>
  <c r="Y18" i="1772"/>
  <c r="W18" i="1772"/>
  <c r="V18" i="1772"/>
  <c r="U18" i="1772"/>
  <c r="T18" i="1772"/>
  <c r="P18" i="1772"/>
  <c r="O18" i="1772"/>
  <c r="N18" i="1772"/>
  <c r="M18" i="1772"/>
  <c r="L18" i="1772"/>
  <c r="K18" i="1772"/>
  <c r="J18" i="1772"/>
  <c r="I18" i="1772"/>
  <c r="H18" i="1772"/>
  <c r="G18" i="1772"/>
  <c r="F18" i="1772"/>
  <c r="E18" i="1772"/>
  <c r="D18" i="1772"/>
  <c r="C18" i="1772"/>
  <c r="Y4" i="1772"/>
  <c r="W4" i="1772"/>
  <c r="V4" i="1772"/>
  <c r="U4" i="1772"/>
  <c r="T4" i="1772"/>
  <c r="P4" i="1772"/>
  <c r="O4" i="1772"/>
  <c r="N4" i="1772"/>
  <c r="M4" i="1772"/>
  <c r="L4" i="1772"/>
  <c r="K4" i="1772"/>
  <c r="J4" i="1772"/>
  <c r="I4" i="1772"/>
  <c r="H4" i="1772"/>
  <c r="G4" i="1772"/>
  <c r="F4" i="1772"/>
  <c r="E4" i="1772"/>
  <c r="D4" i="1772"/>
  <c r="C4" i="1772"/>
  <c r="Y3" i="1772"/>
  <c r="W3" i="1772"/>
  <c r="V3" i="1772"/>
  <c r="U3" i="1772"/>
  <c r="T3" i="1772"/>
  <c r="P3" i="1772"/>
  <c r="O3" i="1772"/>
  <c r="N3" i="1772"/>
  <c r="M3" i="1772"/>
  <c r="L3" i="1772"/>
  <c r="K3" i="1772"/>
  <c r="J3" i="1772"/>
  <c r="I3" i="1772"/>
  <c r="H3" i="1772"/>
  <c r="G3" i="1772"/>
  <c r="F3" i="1772"/>
  <c r="E3" i="1772"/>
  <c r="D3" i="1772"/>
  <c r="C3" i="1772"/>
  <c r="F21" i="1771"/>
  <c r="Y19" i="1771"/>
  <c r="W19" i="1771"/>
  <c r="V19" i="1771"/>
  <c r="U19" i="1771"/>
  <c r="T19" i="1771"/>
  <c r="P19" i="1771"/>
  <c r="O19" i="1771"/>
  <c r="N19" i="1771"/>
  <c r="M19" i="1771"/>
  <c r="L19" i="1771"/>
  <c r="K19" i="1771"/>
  <c r="J19" i="1771"/>
  <c r="I19" i="1771"/>
  <c r="H19" i="1771"/>
  <c r="G19" i="1771"/>
  <c r="F19" i="1771"/>
  <c r="E19" i="1771"/>
  <c r="D19" i="1771"/>
  <c r="C19" i="1771"/>
  <c r="Y18" i="1771"/>
  <c r="W18" i="1771"/>
  <c r="V18" i="1771"/>
  <c r="U18" i="1771"/>
  <c r="T18" i="1771"/>
  <c r="P18" i="1771"/>
  <c r="O18" i="1771"/>
  <c r="N18" i="1771"/>
  <c r="M18" i="1771"/>
  <c r="L18" i="1771"/>
  <c r="K18" i="1771"/>
  <c r="J18" i="1771"/>
  <c r="I18" i="1771"/>
  <c r="H18" i="1771"/>
  <c r="G18" i="1771"/>
  <c r="F18" i="1771"/>
  <c r="E18" i="1771"/>
  <c r="D18" i="1771"/>
  <c r="C18" i="1771"/>
  <c r="Y4" i="1771"/>
  <c r="W4" i="1771"/>
  <c r="V4" i="1771"/>
  <c r="U4" i="1771"/>
  <c r="T4" i="1771"/>
  <c r="P4" i="1771"/>
  <c r="O4" i="1771"/>
  <c r="N4" i="1771"/>
  <c r="M4" i="1771"/>
  <c r="L4" i="1771"/>
  <c r="K4" i="1771"/>
  <c r="J4" i="1771"/>
  <c r="I4" i="1771"/>
  <c r="H4" i="1771"/>
  <c r="G4" i="1771"/>
  <c r="F4" i="1771"/>
  <c r="E4" i="1771"/>
  <c r="D4" i="1771"/>
  <c r="C4" i="1771"/>
  <c r="Y3" i="1771"/>
  <c r="W3" i="1771"/>
  <c r="V3" i="1771"/>
  <c r="U3" i="1771"/>
  <c r="T3" i="1771"/>
  <c r="P3" i="1771"/>
  <c r="O3" i="1771"/>
  <c r="N3" i="1771"/>
  <c r="M3" i="1771"/>
  <c r="L3" i="1771"/>
  <c r="K3" i="1771"/>
  <c r="J3" i="1771"/>
  <c r="I3" i="1771"/>
  <c r="H3" i="1771"/>
  <c r="G3" i="1771"/>
  <c r="F3" i="1771"/>
  <c r="E3" i="1771"/>
  <c r="D3" i="1771"/>
  <c r="C3" i="1771"/>
  <c r="F21" i="1770"/>
  <c r="Y19" i="1770"/>
  <c r="W19" i="1770"/>
  <c r="V19" i="1770"/>
  <c r="U19" i="1770"/>
  <c r="T19" i="1770"/>
  <c r="P19" i="1770"/>
  <c r="O19" i="1770"/>
  <c r="N19" i="1770"/>
  <c r="M19" i="1770"/>
  <c r="L19" i="1770"/>
  <c r="K19" i="1770"/>
  <c r="J19" i="1770"/>
  <c r="I19" i="1770"/>
  <c r="H19" i="1770"/>
  <c r="G19" i="1770"/>
  <c r="F19" i="1770"/>
  <c r="E19" i="1770"/>
  <c r="D19" i="1770"/>
  <c r="C19" i="1770"/>
  <c r="Y18" i="1770"/>
  <c r="W18" i="1770"/>
  <c r="V18" i="1770"/>
  <c r="U18" i="1770"/>
  <c r="T18" i="1770"/>
  <c r="P18" i="1770"/>
  <c r="O18" i="1770"/>
  <c r="N18" i="1770"/>
  <c r="M18" i="1770"/>
  <c r="L18" i="1770"/>
  <c r="K18" i="1770"/>
  <c r="J18" i="1770"/>
  <c r="I18" i="1770"/>
  <c r="H18" i="1770"/>
  <c r="G18" i="1770"/>
  <c r="F18" i="1770"/>
  <c r="E18" i="1770"/>
  <c r="D18" i="1770"/>
  <c r="C18" i="1770"/>
  <c r="Y4" i="1770"/>
  <c r="W4" i="1770"/>
  <c r="V4" i="1770"/>
  <c r="U4" i="1770"/>
  <c r="T4" i="1770"/>
  <c r="P4" i="1770"/>
  <c r="O4" i="1770"/>
  <c r="N4" i="1770"/>
  <c r="M4" i="1770"/>
  <c r="L4" i="1770"/>
  <c r="K4" i="1770"/>
  <c r="J4" i="1770"/>
  <c r="I4" i="1770"/>
  <c r="H4" i="1770"/>
  <c r="G4" i="1770"/>
  <c r="F4" i="1770"/>
  <c r="E4" i="1770"/>
  <c r="D4" i="1770"/>
  <c r="C4" i="1770"/>
  <c r="Y3" i="1770"/>
  <c r="W3" i="1770"/>
  <c r="V3" i="1770"/>
  <c r="U3" i="1770"/>
  <c r="T3" i="1770"/>
  <c r="P3" i="1770"/>
  <c r="O3" i="1770"/>
  <c r="N3" i="1770"/>
  <c r="M3" i="1770"/>
  <c r="L3" i="1770"/>
  <c r="K3" i="1770"/>
  <c r="J3" i="1770"/>
  <c r="I3" i="1770"/>
  <c r="H3" i="1770"/>
  <c r="G3" i="1770"/>
  <c r="F3" i="1770"/>
  <c r="E3" i="1770"/>
  <c r="D3" i="1770"/>
  <c r="C3" i="1770"/>
  <c r="C44" i="1769" l="1"/>
  <c r="C44" i="1768"/>
  <c r="C44" i="1767"/>
  <c r="C44" i="1759" l="1"/>
  <c r="C44" i="1760"/>
  <c r="F21" i="1769"/>
  <c r="Y19" i="1769"/>
  <c r="W19" i="1769"/>
  <c r="V19" i="1769"/>
  <c r="U19" i="1769"/>
  <c r="T19" i="1769"/>
  <c r="P19" i="1769"/>
  <c r="O19" i="1769"/>
  <c r="N19" i="1769"/>
  <c r="M19" i="1769"/>
  <c r="L19" i="1769"/>
  <c r="K19" i="1769"/>
  <c r="J19" i="1769"/>
  <c r="I19" i="1769"/>
  <c r="H19" i="1769"/>
  <c r="G19" i="1769"/>
  <c r="F19" i="1769"/>
  <c r="E19" i="1769"/>
  <c r="D19" i="1769"/>
  <c r="C19" i="1769"/>
  <c r="Y18" i="1769"/>
  <c r="W18" i="1769"/>
  <c r="V18" i="1769"/>
  <c r="U18" i="1769"/>
  <c r="T18" i="1769"/>
  <c r="P18" i="1769"/>
  <c r="O18" i="1769"/>
  <c r="N18" i="1769"/>
  <c r="M18" i="1769"/>
  <c r="L18" i="1769"/>
  <c r="K18" i="1769"/>
  <c r="J18" i="1769"/>
  <c r="I18" i="1769"/>
  <c r="H18" i="1769"/>
  <c r="G18" i="1769"/>
  <c r="F18" i="1769"/>
  <c r="E18" i="1769"/>
  <c r="D18" i="1769"/>
  <c r="C18" i="1769"/>
  <c r="Y4" i="1769"/>
  <c r="W4" i="1769"/>
  <c r="V4" i="1769"/>
  <c r="U4" i="1769"/>
  <c r="T4" i="1769"/>
  <c r="P4" i="1769"/>
  <c r="O4" i="1769"/>
  <c r="N4" i="1769"/>
  <c r="M4" i="1769"/>
  <c r="L4" i="1769"/>
  <c r="K4" i="1769"/>
  <c r="J4" i="1769"/>
  <c r="I4" i="1769"/>
  <c r="H4" i="1769"/>
  <c r="G4" i="1769"/>
  <c r="F4" i="1769"/>
  <c r="E4" i="1769"/>
  <c r="D4" i="1769"/>
  <c r="C4" i="1769"/>
  <c r="Y3" i="1769"/>
  <c r="W3" i="1769"/>
  <c r="V3" i="1769"/>
  <c r="U3" i="1769"/>
  <c r="T3" i="1769"/>
  <c r="P3" i="1769"/>
  <c r="O3" i="1769"/>
  <c r="N3" i="1769"/>
  <c r="M3" i="1769"/>
  <c r="L3" i="1769"/>
  <c r="K3" i="1769"/>
  <c r="J3" i="1769"/>
  <c r="I3" i="1769"/>
  <c r="H3" i="1769"/>
  <c r="G3" i="1769"/>
  <c r="F3" i="1769"/>
  <c r="E3" i="1769"/>
  <c r="D3" i="1769"/>
  <c r="C3" i="1769"/>
  <c r="F21" i="1768"/>
  <c r="Y19" i="1768"/>
  <c r="W19" i="1768"/>
  <c r="V19" i="1768"/>
  <c r="U19" i="1768"/>
  <c r="T19" i="1768"/>
  <c r="P19" i="1768"/>
  <c r="O19" i="1768"/>
  <c r="N19" i="1768"/>
  <c r="M19" i="1768"/>
  <c r="L19" i="1768"/>
  <c r="K19" i="1768"/>
  <c r="J19" i="1768"/>
  <c r="I19" i="1768"/>
  <c r="H19" i="1768"/>
  <c r="G19" i="1768"/>
  <c r="F19" i="1768"/>
  <c r="E19" i="1768"/>
  <c r="D19" i="1768"/>
  <c r="C19" i="1768"/>
  <c r="Y18" i="1768"/>
  <c r="W18" i="1768"/>
  <c r="V18" i="1768"/>
  <c r="U18" i="1768"/>
  <c r="T18" i="1768"/>
  <c r="P18" i="1768"/>
  <c r="O18" i="1768"/>
  <c r="N18" i="1768"/>
  <c r="M18" i="1768"/>
  <c r="L18" i="1768"/>
  <c r="K18" i="1768"/>
  <c r="J18" i="1768"/>
  <c r="I18" i="1768"/>
  <c r="H18" i="1768"/>
  <c r="G18" i="1768"/>
  <c r="F18" i="1768"/>
  <c r="E18" i="1768"/>
  <c r="D18" i="1768"/>
  <c r="C18" i="1768"/>
  <c r="Y4" i="1768"/>
  <c r="W4" i="1768"/>
  <c r="V4" i="1768"/>
  <c r="U4" i="1768"/>
  <c r="T4" i="1768"/>
  <c r="P4" i="1768"/>
  <c r="O4" i="1768"/>
  <c r="N4" i="1768"/>
  <c r="M4" i="1768"/>
  <c r="L4" i="1768"/>
  <c r="K4" i="1768"/>
  <c r="J4" i="1768"/>
  <c r="I4" i="1768"/>
  <c r="H4" i="1768"/>
  <c r="G4" i="1768"/>
  <c r="F4" i="1768"/>
  <c r="E4" i="1768"/>
  <c r="D4" i="1768"/>
  <c r="C4" i="1768"/>
  <c r="Y3" i="1768"/>
  <c r="W3" i="1768"/>
  <c r="V3" i="1768"/>
  <c r="U3" i="1768"/>
  <c r="T3" i="1768"/>
  <c r="P3" i="1768"/>
  <c r="O3" i="1768"/>
  <c r="N3" i="1768"/>
  <c r="M3" i="1768"/>
  <c r="L3" i="1768"/>
  <c r="K3" i="1768"/>
  <c r="J3" i="1768"/>
  <c r="I3" i="1768"/>
  <c r="H3" i="1768"/>
  <c r="G3" i="1768"/>
  <c r="F3" i="1768"/>
  <c r="E3" i="1768"/>
  <c r="D3" i="1768"/>
  <c r="C3" i="1768"/>
  <c r="F21" i="1767"/>
  <c r="Y19" i="1767"/>
  <c r="W19" i="1767"/>
  <c r="V19" i="1767"/>
  <c r="U19" i="1767"/>
  <c r="T19" i="1767"/>
  <c r="P19" i="1767"/>
  <c r="O19" i="1767"/>
  <c r="N19" i="1767"/>
  <c r="M19" i="1767"/>
  <c r="L19" i="1767"/>
  <c r="K19" i="1767"/>
  <c r="J19" i="1767"/>
  <c r="I19" i="1767"/>
  <c r="H19" i="1767"/>
  <c r="G19" i="1767"/>
  <c r="F19" i="1767"/>
  <c r="E19" i="1767"/>
  <c r="D19" i="1767"/>
  <c r="C19" i="1767"/>
  <c r="Y18" i="1767"/>
  <c r="W18" i="1767"/>
  <c r="V18" i="1767"/>
  <c r="U18" i="1767"/>
  <c r="T18" i="1767"/>
  <c r="P18" i="1767"/>
  <c r="O18" i="1767"/>
  <c r="N18" i="1767"/>
  <c r="M18" i="1767"/>
  <c r="L18" i="1767"/>
  <c r="K18" i="1767"/>
  <c r="J18" i="1767"/>
  <c r="I18" i="1767"/>
  <c r="H18" i="1767"/>
  <c r="G18" i="1767"/>
  <c r="F18" i="1767"/>
  <c r="E18" i="1767"/>
  <c r="D18" i="1767"/>
  <c r="C18" i="1767"/>
  <c r="Y4" i="1767"/>
  <c r="W4" i="1767"/>
  <c r="V4" i="1767"/>
  <c r="U4" i="1767"/>
  <c r="T4" i="1767"/>
  <c r="P4" i="1767"/>
  <c r="O4" i="1767"/>
  <c r="N4" i="1767"/>
  <c r="M4" i="1767"/>
  <c r="L4" i="1767"/>
  <c r="K4" i="1767"/>
  <c r="J4" i="1767"/>
  <c r="I4" i="1767"/>
  <c r="H4" i="1767"/>
  <c r="G4" i="1767"/>
  <c r="F4" i="1767"/>
  <c r="E4" i="1767"/>
  <c r="D4" i="1767"/>
  <c r="C4" i="1767"/>
  <c r="Y3" i="1767"/>
  <c r="W3" i="1767"/>
  <c r="V3" i="1767"/>
  <c r="U3" i="1767"/>
  <c r="T3" i="1767"/>
  <c r="P3" i="1767"/>
  <c r="O3" i="1767"/>
  <c r="N3" i="1767"/>
  <c r="M3" i="1767"/>
  <c r="L3" i="1767"/>
  <c r="K3" i="1767"/>
  <c r="J3" i="1767"/>
  <c r="I3" i="1767"/>
  <c r="H3" i="1767"/>
  <c r="G3" i="1767"/>
  <c r="F3" i="1767"/>
  <c r="E3" i="1767"/>
  <c r="D3" i="1767"/>
  <c r="C3" i="1767"/>
  <c r="F21" i="1766"/>
  <c r="Y19" i="1766"/>
  <c r="W19" i="1766"/>
  <c r="V19" i="1766"/>
  <c r="U19" i="1766"/>
  <c r="T19" i="1766"/>
  <c r="P19" i="1766"/>
  <c r="O19" i="1766"/>
  <c r="N19" i="1766"/>
  <c r="M19" i="1766"/>
  <c r="L19" i="1766"/>
  <c r="K19" i="1766"/>
  <c r="J19" i="1766"/>
  <c r="I19" i="1766"/>
  <c r="H19" i="1766"/>
  <c r="G19" i="1766"/>
  <c r="F19" i="1766"/>
  <c r="E19" i="1766"/>
  <c r="D19" i="1766"/>
  <c r="C19" i="1766"/>
  <c r="Y18" i="1766"/>
  <c r="W18" i="1766"/>
  <c r="V18" i="1766"/>
  <c r="U18" i="1766"/>
  <c r="T18" i="1766"/>
  <c r="P18" i="1766"/>
  <c r="O18" i="1766"/>
  <c r="N18" i="1766"/>
  <c r="M18" i="1766"/>
  <c r="L18" i="1766"/>
  <c r="K18" i="1766"/>
  <c r="J18" i="1766"/>
  <c r="I18" i="1766"/>
  <c r="H18" i="1766"/>
  <c r="G18" i="1766"/>
  <c r="F18" i="1766"/>
  <c r="E18" i="1766"/>
  <c r="D18" i="1766"/>
  <c r="C18" i="1766"/>
  <c r="Y4" i="1766"/>
  <c r="W4" i="1766"/>
  <c r="V4" i="1766"/>
  <c r="U4" i="1766"/>
  <c r="T4" i="1766"/>
  <c r="P4" i="1766"/>
  <c r="O4" i="1766"/>
  <c r="N4" i="1766"/>
  <c r="M4" i="1766"/>
  <c r="L4" i="1766"/>
  <c r="K4" i="1766"/>
  <c r="J4" i="1766"/>
  <c r="I4" i="1766"/>
  <c r="H4" i="1766"/>
  <c r="G4" i="1766"/>
  <c r="F4" i="1766"/>
  <c r="E4" i="1766"/>
  <c r="D4" i="1766"/>
  <c r="C4" i="1766"/>
  <c r="Y3" i="1766"/>
  <c r="W3" i="1766"/>
  <c r="V3" i="1766"/>
  <c r="U3" i="1766"/>
  <c r="T3" i="1766"/>
  <c r="P3" i="1766"/>
  <c r="O3" i="1766"/>
  <c r="N3" i="1766"/>
  <c r="M3" i="1766"/>
  <c r="L3" i="1766"/>
  <c r="K3" i="1766"/>
  <c r="J3" i="1766"/>
  <c r="I3" i="1766"/>
  <c r="H3" i="1766"/>
  <c r="G3" i="1766"/>
  <c r="F3" i="1766"/>
  <c r="E3" i="1766"/>
  <c r="D3" i="1766"/>
  <c r="C3" i="1766"/>
  <c r="C45" i="1754" l="1"/>
  <c r="C44" i="1754"/>
  <c r="C45" i="1757"/>
  <c r="C44" i="1757"/>
  <c r="F21" i="1765"/>
  <c r="Y19" i="1765"/>
  <c r="W19" i="1765"/>
  <c r="V19" i="1765"/>
  <c r="U19" i="1765"/>
  <c r="T19" i="1765"/>
  <c r="P19" i="1765"/>
  <c r="O19" i="1765"/>
  <c r="N19" i="1765"/>
  <c r="M19" i="1765"/>
  <c r="L19" i="1765"/>
  <c r="K19" i="1765"/>
  <c r="J19" i="1765"/>
  <c r="I19" i="1765"/>
  <c r="H19" i="1765"/>
  <c r="G19" i="1765"/>
  <c r="F19" i="1765"/>
  <c r="E19" i="1765"/>
  <c r="D19" i="1765"/>
  <c r="C19" i="1765"/>
  <c r="Y18" i="1765"/>
  <c r="W18" i="1765"/>
  <c r="V18" i="1765"/>
  <c r="U18" i="1765"/>
  <c r="T18" i="1765"/>
  <c r="P18" i="1765"/>
  <c r="O18" i="1765"/>
  <c r="N18" i="1765"/>
  <c r="M18" i="1765"/>
  <c r="L18" i="1765"/>
  <c r="K18" i="1765"/>
  <c r="J18" i="1765"/>
  <c r="I18" i="1765"/>
  <c r="H18" i="1765"/>
  <c r="G18" i="1765"/>
  <c r="F18" i="1765"/>
  <c r="E18" i="1765"/>
  <c r="D18" i="1765"/>
  <c r="C18" i="1765"/>
  <c r="Y4" i="1765"/>
  <c r="W4" i="1765"/>
  <c r="V4" i="1765"/>
  <c r="U4" i="1765"/>
  <c r="T4" i="1765"/>
  <c r="P4" i="1765"/>
  <c r="O4" i="1765"/>
  <c r="N4" i="1765"/>
  <c r="M4" i="1765"/>
  <c r="L4" i="1765"/>
  <c r="K4" i="1765"/>
  <c r="J4" i="1765"/>
  <c r="I4" i="1765"/>
  <c r="H4" i="1765"/>
  <c r="G4" i="1765"/>
  <c r="F4" i="1765"/>
  <c r="E4" i="1765"/>
  <c r="D4" i="1765"/>
  <c r="C4" i="1765"/>
  <c r="Y3" i="1765"/>
  <c r="W3" i="1765"/>
  <c r="V3" i="1765"/>
  <c r="U3" i="1765"/>
  <c r="T3" i="1765"/>
  <c r="P3" i="1765"/>
  <c r="O3" i="1765"/>
  <c r="N3" i="1765"/>
  <c r="M3" i="1765"/>
  <c r="L3" i="1765"/>
  <c r="K3" i="1765"/>
  <c r="J3" i="1765"/>
  <c r="I3" i="1765"/>
  <c r="H3" i="1765"/>
  <c r="G3" i="1765"/>
  <c r="F3" i="1765"/>
  <c r="E3" i="1765"/>
  <c r="D3" i="1765"/>
  <c r="C3" i="1765"/>
  <c r="F21" i="1764"/>
  <c r="Y19" i="1764"/>
  <c r="W19" i="1764"/>
  <c r="V19" i="1764"/>
  <c r="U19" i="1764"/>
  <c r="T19" i="1764"/>
  <c r="P19" i="1764"/>
  <c r="O19" i="1764"/>
  <c r="N19" i="1764"/>
  <c r="M19" i="1764"/>
  <c r="L19" i="1764"/>
  <c r="K19" i="1764"/>
  <c r="J19" i="1764"/>
  <c r="I19" i="1764"/>
  <c r="H19" i="1764"/>
  <c r="G19" i="1764"/>
  <c r="F19" i="1764"/>
  <c r="E19" i="1764"/>
  <c r="D19" i="1764"/>
  <c r="C19" i="1764"/>
  <c r="Y18" i="1764"/>
  <c r="W18" i="1764"/>
  <c r="V18" i="1764"/>
  <c r="U18" i="1764"/>
  <c r="T18" i="1764"/>
  <c r="P18" i="1764"/>
  <c r="O18" i="1764"/>
  <c r="N18" i="1764"/>
  <c r="M18" i="1764"/>
  <c r="L18" i="1764"/>
  <c r="K18" i="1764"/>
  <c r="J18" i="1764"/>
  <c r="I18" i="1764"/>
  <c r="H18" i="1764"/>
  <c r="G18" i="1764"/>
  <c r="F18" i="1764"/>
  <c r="E18" i="1764"/>
  <c r="D18" i="1764"/>
  <c r="C18" i="1764"/>
  <c r="Y4" i="1764"/>
  <c r="W4" i="1764"/>
  <c r="V4" i="1764"/>
  <c r="U4" i="1764"/>
  <c r="T4" i="1764"/>
  <c r="P4" i="1764"/>
  <c r="O4" i="1764"/>
  <c r="N4" i="1764"/>
  <c r="M4" i="1764"/>
  <c r="L4" i="1764"/>
  <c r="K4" i="1764"/>
  <c r="J4" i="1764"/>
  <c r="I4" i="1764"/>
  <c r="H4" i="1764"/>
  <c r="G4" i="1764"/>
  <c r="F4" i="1764"/>
  <c r="E4" i="1764"/>
  <c r="D4" i="1764"/>
  <c r="C4" i="1764"/>
  <c r="Y3" i="1764"/>
  <c r="W3" i="1764"/>
  <c r="V3" i="1764"/>
  <c r="U3" i="1764"/>
  <c r="T3" i="1764"/>
  <c r="P3" i="1764"/>
  <c r="O3" i="1764"/>
  <c r="N3" i="1764"/>
  <c r="M3" i="1764"/>
  <c r="L3" i="1764"/>
  <c r="K3" i="1764"/>
  <c r="J3" i="1764"/>
  <c r="I3" i="1764"/>
  <c r="H3" i="1764"/>
  <c r="G3" i="1764"/>
  <c r="F3" i="1764"/>
  <c r="E3" i="1764"/>
  <c r="D3" i="1764"/>
  <c r="C3" i="1764"/>
  <c r="F21" i="1763"/>
  <c r="Y19" i="1763"/>
  <c r="W19" i="1763"/>
  <c r="V19" i="1763"/>
  <c r="U19" i="1763"/>
  <c r="T19" i="1763"/>
  <c r="P19" i="1763"/>
  <c r="O19" i="1763"/>
  <c r="N19" i="1763"/>
  <c r="M19" i="1763"/>
  <c r="L19" i="1763"/>
  <c r="K19" i="1763"/>
  <c r="J19" i="1763"/>
  <c r="I19" i="1763"/>
  <c r="H19" i="1763"/>
  <c r="G19" i="1763"/>
  <c r="F19" i="1763"/>
  <c r="E19" i="1763"/>
  <c r="D19" i="1763"/>
  <c r="C19" i="1763"/>
  <c r="Y18" i="1763"/>
  <c r="W18" i="1763"/>
  <c r="V18" i="1763"/>
  <c r="U18" i="1763"/>
  <c r="T18" i="1763"/>
  <c r="P18" i="1763"/>
  <c r="O18" i="1763"/>
  <c r="N18" i="1763"/>
  <c r="M18" i="1763"/>
  <c r="L18" i="1763"/>
  <c r="K18" i="1763"/>
  <c r="J18" i="1763"/>
  <c r="I18" i="1763"/>
  <c r="H18" i="1763"/>
  <c r="G18" i="1763"/>
  <c r="F18" i="1763"/>
  <c r="E18" i="1763"/>
  <c r="D18" i="1763"/>
  <c r="C18" i="1763"/>
  <c r="Y4" i="1763"/>
  <c r="W4" i="1763"/>
  <c r="V4" i="1763"/>
  <c r="U4" i="1763"/>
  <c r="T4" i="1763"/>
  <c r="P4" i="1763"/>
  <c r="O4" i="1763"/>
  <c r="N4" i="1763"/>
  <c r="M4" i="1763"/>
  <c r="L4" i="1763"/>
  <c r="K4" i="1763"/>
  <c r="J4" i="1763"/>
  <c r="I4" i="1763"/>
  <c r="H4" i="1763"/>
  <c r="G4" i="1763"/>
  <c r="F4" i="1763"/>
  <c r="E4" i="1763"/>
  <c r="D4" i="1763"/>
  <c r="C4" i="1763"/>
  <c r="Y3" i="1763"/>
  <c r="W3" i="1763"/>
  <c r="V3" i="1763"/>
  <c r="U3" i="1763"/>
  <c r="T3" i="1763"/>
  <c r="P3" i="1763"/>
  <c r="O3" i="1763"/>
  <c r="N3" i="1763"/>
  <c r="M3" i="1763"/>
  <c r="L3" i="1763"/>
  <c r="K3" i="1763"/>
  <c r="J3" i="1763"/>
  <c r="I3" i="1763"/>
  <c r="H3" i="1763"/>
  <c r="G3" i="1763"/>
  <c r="F3" i="1763"/>
  <c r="E3" i="1763"/>
  <c r="D3" i="1763"/>
  <c r="C3" i="1763"/>
  <c r="F21" i="1762"/>
  <c r="Y19" i="1762"/>
  <c r="W19" i="1762"/>
  <c r="V19" i="1762"/>
  <c r="U19" i="1762"/>
  <c r="T19" i="1762"/>
  <c r="P19" i="1762"/>
  <c r="O19" i="1762"/>
  <c r="N19" i="1762"/>
  <c r="M19" i="1762"/>
  <c r="L19" i="1762"/>
  <c r="K19" i="1762"/>
  <c r="J19" i="1762"/>
  <c r="I19" i="1762"/>
  <c r="H19" i="1762"/>
  <c r="G19" i="1762"/>
  <c r="F19" i="1762"/>
  <c r="E19" i="1762"/>
  <c r="D19" i="1762"/>
  <c r="C19" i="1762"/>
  <c r="Y18" i="1762"/>
  <c r="W18" i="1762"/>
  <c r="V18" i="1762"/>
  <c r="U18" i="1762"/>
  <c r="T18" i="1762"/>
  <c r="P18" i="1762"/>
  <c r="O18" i="1762"/>
  <c r="N18" i="1762"/>
  <c r="M18" i="1762"/>
  <c r="L18" i="1762"/>
  <c r="K18" i="1762"/>
  <c r="J18" i="1762"/>
  <c r="I18" i="1762"/>
  <c r="H18" i="1762"/>
  <c r="G18" i="1762"/>
  <c r="F18" i="1762"/>
  <c r="E18" i="1762"/>
  <c r="D18" i="1762"/>
  <c r="C18" i="1762"/>
  <c r="Y4" i="1762"/>
  <c r="W4" i="1762"/>
  <c r="V4" i="1762"/>
  <c r="U4" i="1762"/>
  <c r="T4" i="1762"/>
  <c r="P4" i="1762"/>
  <c r="O4" i="1762"/>
  <c r="N4" i="1762"/>
  <c r="M4" i="1762"/>
  <c r="L4" i="1762"/>
  <c r="K4" i="1762"/>
  <c r="J4" i="1762"/>
  <c r="I4" i="1762"/>
  <c r="H4" i="1762"/>
  <c r="G4" i="1762"/>
  <c r="F4" i="1762"/>
  <c r="E4" i="1762"/>
  <c r="D4" i="1762"/>
  <c r="C4" i="1762"/>
  <c r="Y3" i="1762"/>
  <c r="W3" i="1762"/>
  <c r="V3" i="1762"/>
  <c r="U3" i="1762"/>
  <c r="T3" i="1762"/>
  <c r="P3" i="1762"/>
  <c r="O3" i="1762"/>
  <c r="N3" i="1762"/>
  <c r="M3" i="1762"/>
  <c r="L3" i="1762"/>
  <c r="K3" i="1762"/>
  <c r="J3" i="1762"/>
  <c r="I3" i="1762"/>
  <c r="H3" i="1762"/>
  <c r="G3" i="1762"/>
  <c r="F3" i="1762"/>
  <c r="E3" i="1762"/>
  <c r="D3" i="1762"/>
  <c r="C3" i="1762"/>
  <c r="F21" i="1761"/>
  <c r="Y19" i="1761"/>
  <c r="W19" i="1761"/>
  <c r="V19" i="1761"/>
  <c r="U19" i="1761"/>
  <c r="T19" i="1761"/>
  <c r="P19" i="1761"/>
  <c r="O19" i="1761"/>
  <c r="N19" i="1761"/>
  <c r="M19" i="1761"/>
  <c r="L19" i="1761"/>
  <c r="K19" i="1761"/>
  <c r="J19" i="1761"/>
  <c r="I19" i="1761"/>
  <c r="H19" i="1761"/>
  <c r="G19" i="1761"/>
  <c r="F19" i="1761"/>
  <c r="E19" i="1761"/>
  <c r="D19" i="1761"/>
  <c r="C19" i="1761"/>
  <c r="Y18" i="1761"/>
  <c r="W18" i="1761"/>
  <c r="V18" i="1761"/>
  <c r="U18" i="1761"/>
  <c r="T18" i="1761"/>
  <c r="P18" i="1761"/>
  <c r="O18" i="1761"/>
  <c r="N18" i="1761"/>
  <c r="M18" i="1761"/>
  <c r="L18" i="1761"/>
  <c r="K18" i="1761"/>
  <c r="J18" i="1761"/>
  <c r="I18" i="1761"/>
  <c r="H18" i="1761"/>
  <c r="G18" i="1761"/>
  <c r="F18" i="1761"/>
  <c r="E18" i="1761"/>
  <c r="D18" i="1761"/>
  <c r="C18" i="1761"/>
  <c r="Y4" i="1761"/>
  <c r="W4" i="1761"/>
  <c r="V4" i="1761"/>
  <c r="U4" i="1761"/>
  <c r="T4" i="1761"/>
  <c r="P4" i="1761"/>
  <c r="O4" i="1761"/>
  <c r="N4" i="1761"/>
  <c r="M4" i="1761"/>
  <c r="L4" i="1761"/>
  <c r="K4" i="1761"/>
  <c r="J4" i="1761"/>
  <c r="I4" i="1761"/>
  <c r="H4" i="1761"/>
  <c r="G4" i="1761"/>
  <c r="F4" i="1761"/>
  <c r="E4" i="1761"/>
  <c r="D4" i="1761"/>
  <c r="C4" i="1761"/>
  <c r="Y3" i="1761"/>
  <c r="W3" i="1761"/>
  <c r="V3" i="1761"/>
  <c r="U3" i="1761"/>
  <c r="T3" i="1761"/>
  <c r="P3" i="1761"/>
  <c r="O3" i="1761"/>
  <c r="N3" i="1761"/>
  <c r="M3" i="1761"/>
  <c r="L3" i="1761"/>
  <c r="K3" i="1761"/>
  <c r="J3" i="1761"/>
  <c r="I3" i="1761"/>
  <c r="H3" i="1761"/>
  <c r="G3" i="1761"/>
  <c r="F3" i="1761"/>
  <c r="E3" i="1761"/>
  <c r="D3" i="1761"/>
  <c r="C3" i="1761"/>
  <c r="F21" i="1760"/>
  <c r="Y19" i="1760"/>
  <c r="W19" i="1760"/>
  <c r="V19" i="1760"/>
  <c r="U19" i="1760"/>
  <c r="T19" i="1760"/>
  <c r="P19" i="1760"/>
  <c r="O19" i="1760"/>
  <c r="N19" i="1760"/>
  <c r="M19" i="1760"/>
  <c r="L19" i="1760"/>
  <c r="K19" i="1760"/>
  <c r="J19" i="1760"/>
  <c r="I19" i="1760"/>
  <c r="H19" i="1760"/>
  <c r="G19" i="1760"/>
  <c r="F19" i="1760"/>
  <c r="E19" i="1760"/>
  <c r="D19" i="1760"/>
  <c r="C19" i="1760"/>
  <c r="Y18" i="1760"/>
  <c r="W18" i="1760"/>
  <c r="V18" i="1760"/>
  <c r="U18" i="1760"/>
  <c r="T18" i="1760"/>
  <c r="P18" i="1760"/>
  <c r="O18" i="1760"/>
  <c r="N18" i="1760"/>
  <c r="M18" i="1760"/>
  <c r="L18" i="1760"/>
  <c r="K18" i="1760"/>
  <c r="J18" i="1760"/>
  <c r="I18" i="1760"/>
  <c r="H18" i="1760"/>
  <c r="G18" i="1760"/>
  <c r="F18" i="1760"/>
  <c r="E18" i="1760"/>
  <c r="D18" i="1760"/>
  <c r="C18" i="1760"/>
  <c r="Y4" i="1760"/>
  <c r="W4" i="1760"/>
  <c r="V4" i="1760"/>
  <c r="U4" i="1760"/>
  <c r="T4" i="1760"/>
  <c r="P4" i="1760"/>
  <c r="O4" i="1760"/>
  <c r="N4" i="1760"/>
  <c r="M4" i="1760"/>
  <c r="L4" i="1760"/>
  <c r="K4" i="1760"/>
  <c r="J4" i="1760"/>
  <c r="I4" i="1760"/>
  <c r="H4" i="1760"/>
  <c r="G4" i="1760"/>
  <c r="F4" i="1760"/>
  <c r="E4" i="1760"/>
  <c r="D4" i="1760"/>
  <c r="C4" i="1760"/>
  <c r="Y3" i="1760"/>
  <c r="W3" i="1760"/>
  <c r="V3" i="1760"/>
  <c r="U3" i="1760"/>
  <c r="T3" i="1760"/>
  <c r="P3" i="1760"/>
  <c r="O3" i="1760"/>
  <c r="N3" i="1760"/>
  <c r="M3" i="1760"/>
  <c r="L3" i="1760"/>
  <c r="K3" i="1760"/>
  <c r="J3" i="1760"/>
  <c r="I3" i="1760"/>
  <c r="H3" i="1760"/>
  <c r="G3" i="1760"/>
  <c r="F3" i="1760"/>
  <c r="E3" i="1760"/>
  <c r="D3" i="1760"/>
  <c r="C3" i="1760"/>
  <c r="F21" i="1759"/>
  <c r="Y19" i="1759"/>
  <c r="W19" i="1759"/>
  <c r="V19" i="1759"/>
  <c r="U19" i="1759"/>
  <c r="T19" i="1759"/>
  <c r="P19" i="1759"/>
  <c r="O19" i="1759"/>
  <c r="N19" i="1759"/>
  <c r="M19" i="1759"/>
  <c r="L19" i="1759"/>
  <c r="K19" i="1759"/>
  <c r="J19" i="1759"/>
  <c r="I19" i="1759"/>
  <c r="H19" i="1759"/>
  <c r="G19" i="1759"/>
  <c r="F19" i="1759"/>
  <c r="E19" i="1759"/>
  <c r="D19" i="1759"/>
  <c r="C19" i="1759"/>
  <c r="Y18" i="1759"/>
  <c r="W18" i="1759"/>
  <c r="V18" i="1759"/>
  <c r="U18" i="1759"/>
  <c r="T18" i="1759"/>
  <c r="P18" i="1759"/>
  <c r="O18" i="1759"/>
  <c r="N18" i="1759"/>
  <c r="M18" i="1759"/>
  <c r="L18" i="1759"/>
  <c r="K18" i="1759"/>
  <c r="J18" i="1759"/>
  <c r="I18" i="1759"/>
  <c r="H18" i="1759"/>
  <c r="G18" i="1759"/>
  <c r="F18" i="1759"/>
  <c r="E18" i="1759"/>
  <c r="D18" i="1759"/>
  <c r="C18" i="1759"/>
  <c r="Y4" i="1759"/>
  <c r="W4" i="1759"/>
  <c r="V4" i="1759"/>
  <c r="U4" i="1759"/>
  <c r="T4" i="1759"/>
  <c r="P4" i="1759"/>
  <c r="O4" i="1759"/>
  <c r="N4" i="1759"/>
  <c r="M4" i="1759"/>
  <c r="L4" i="1759"/>
  <c r="K4" i="1759"/>
  <c r="J4" i="1759"/>
  <c r="I4" i="1759"/>
  <c r="H4" i="1759"/>
  <c r="G4" i="1759"/>
  <c r="F4" i="1759"/>
  <c r="E4" i="1759"/>
  <c r="D4" i="1759"/>
  <c r="C4" i="1759"/>
  <c r="Y3" i="1759"/>
  <c r="W3" i="1759"/>
  <c r="V3" i="1759"/>
  <c r="U3" i="1759"/>
  <c r="T3" i="1759"/>
  <c r="P3" i="1759"/>
  <c r="O3" i="1759"/>
  <c r="N3" i="1759"/>
  <c r="M3" i="1759"/>
  <c r="L3" i="1759"/>
  <c r="K3" i="1759"/>
  <c r="J3" i="1759"/>
  <c r="I3" i="1759"/>
  <c r="H3" i="1759"/>
  <c r="G3" i="1759"/>
  <c r="F3" i="1759"/>
  <c r="E3" i="1759"/>
  <c r="D3" i="1759"/>
  <c r="C3" i="1759"/>
  <c r="F21" i="1758"/>
  <c r="Y19" i="1758"/>
  <c r="W19" i="1758"/>
  <c r="V19" i="1758"/>
  <c r="U19" i="1758"/>
  <c r="T19" i="1758"/>
  <c r="P19" i="1758"/>
  <c r="O19" i="1758"/>
  <c r="N19" i="1758"/>
  <c r="M19" i="1758"/>
  <c r="L19" i="1758"/>
  <c r="K19" i="1758"/>
  <c r="J19" i="1758"/>
  <c r="I19" i="1758"/>
  <c r="H19" i="1758"/>
  <c r="G19" i="1758"/>
  <c r="F19" i="1758"/>
  <c r="E19" i="1758"/>
  <c r="D19" i="1758"/>
  <c r="C19" i="1758"/>
  <c r="Y18" i="1758"/>
  <c r="W18" i="1758"/>
  <c r="V18" i="1758"/>
  <c r="U18" i="1758"/>
  <c r="T18" i="1758"/>
  <c r="P18" i="1758"/>
  <c r="O18" i="1758"/>
  <c r="N18" i="1758"/>
  <c r="M18" i="1758"/>
  <c r="L18" i="1758"/>
  <c r="K18" i="1758"/>
  <c r="J18" i="1758"/>
  <c r="I18" i="1758"/>
  <c r="H18" i="1758"/>
  <c r="G18" i="1758"/>
  <c r="F18" i="1758"/>
  <c r="E18" i="1758"/>
  <c r="D18" i="1758"/>
  <c r="C18" i="1758"/>
  <c r="Y4" i="1758"/>
  <c r="W4" i="1758"/>
  <c r="V4" i="1758"/>
  <c r="U4" i="1758"/>
  <c r="T4" i="1758"/>
  <c r="P4" i="1758"/>
  <c r="O4" i="1758"/>
  <c r="N4" i="1758"/>
  <c r="M4" i="1758"/>
  <c r="L4" i="1758"/>
  <c r="K4" i="1758"/>
  <c r="J4" i="1758"/>
  <c r="I4" i="1758"/>
  <c r="H4" i="1758"/>
  <c r="G4" i="1758"/>
  <c r="F4" i="1758"/>
  <c r="E4" i="1758"/>
  <c r="D4" i="1758"/>
  <c r="C4" i="1758"/>
  <c r="Y3" i="1758"/>
  <c r="W3" i="1758"/>
  <c r="V3" i="1758"/>
  <c r="U3" i="1758"/>
  <c r="T3" i="1758"/>
  <c r="P3" i="1758"/>
  <c r="O3" i="1758"/>
  <c r="N3" i="1758"/>
  <c r="M3" i="1758"/>
  <c r="L3" i="1758"/>
  <c r="K3" i="1758"/>
  <c r="J3" i="1758"/>
  <c r="I3" i="1758"/>
  <c r="H3" i="1758"/>
  <c r="G3" i="1758"/>
  <c r="F3" i="1758"/>
  <c r="E3" i="1758"/>
  <c r="D3" i="1758"/>
  <c r="C3" i="1758"/>
  <c r="F21" i="1757"/>
  <c r="Y19" i="1757"/>
  <c r="W19" i="1757"/>
  <c r="V19" i="1757"/>
  <c r="U19" i="1757"/>
  <c r="T19" i="1757"/>
  <c r="P19" i="1757"/>
  <c r="O19" i="1757"/>
  <c r="N19" i="1757"/>
  <c r="M19" i="1757"/>
  <c r="L19" i="1757"/>
  <c r="K19" i="1757"/>
  <c r="J19" i="1757"/>
  <c r="I19" i="1757"/>
  <c r="H19" i="1757"/>
  <c r="G19" i="1757"/>
  <c r="F19" i="1757"/>
  <c r="E19" i="1757"/>
  <c r="D19" i="1757"/>
  <c r="C19" i="1757"/>
  <c r="Y18" i="1757"/>
  <c r="W18" i="1757"/>
  <c r="V18" i="1757"/>
  <c r="U18" i="1757"/>
  <c r="T18" i="1757"/>
  <c r="P18" i="1757"/>
  <c r="O18" i="1757"/>
  <c r="N18" i="1757"/>
  <c r="M18" i="1757"/>
  <c r="L18" i="1757"/>
  <c r="K18" i="1757"/>
  <c r="J18" i="1757"/>
  <c r="I18" i="1757"/>
  <c r="H18" i="1757"/>
  <c r="G18" i="1757"/>
  <c r="F18" i="1757"/>
  <c r="E18" i="1757"/>
  <c r="D18" i="1757"/>
  <c r="C18" i="1757"/>
  <c r="Y4" i="1757"/>
  <c r="W4" i="1757"/>
  <c r="V4" i="1757"/>
  <c r="U4" i="1757"/>
  <c r="T4" i="1757"/>
  <c r="P4" i="1757"/>
  <c r="O4" i="1757"/>
  <c r="N4" i="1757"/>
  <c r="M4" i="1757"/>
  <c r="L4" i="1757"/>
  <c r="K4" i="1757"/>
  <c r="J4" i="1757"/>
  <c r="I4" i="1757"/>
  <c r="H4" i="1757"/>
  <c r="G4" i="1757"/>
  <c r="F4" i="1757"/>
  <c r="E4" i="1757"/>
  <c r="D4" i="1757"/>
  <c r="C4" i="1757"/>
  <c r="Y3" i="1757"/>
  <c r="W3" i="1757"/>
  <c r="V3" i="1757"/>
  <c r="U3" i="1757"/>
  <c r="T3" i="1757"/>
  <c r="P3" i="1757"/>
  <c r="O3" i="1757"/>
  <c r="N3" i="1757"/>
  <c r="M3" i="1757"/>
  <c r="L3" i="1757"/>
  <c r="K3" i="1757"/>
  <c r="J3" i="1757"/>
  <c r="I3" i="1757"/>
  <c r="H3" i="1757"/>
  <c r="G3" i="1757"/>
  <c r="F3" i="1757"/>
  <c r="E3" i="1757"/>
  <c r="D3" i="1757"/>
  <c r="C3" i="1757"/>
  <c r="F21" i="1756"/>
  <c r="Y19" i="1756"/>
  <c r="W19" i="1756"/>
  <c r="V19" i="1756"/>
  <c r="U19" i="1756"/>
  <c r="T19" i="1756"/>
  <c r="P19" i="1756"/>
  <c r="O19" i="1756"/>
  <c r="N19" i="1756"/>
  <c r="M19" i="1756"/>
  <c r="L19" i="1756"/>
  <c r="K19" i="1756"/>
  <c r="J19" i="1756"/>
  <c r="I19" i="1756"/>
  <c r="H19" i="1756"/>
  <c r="G19" i="1756"/>
  <c r="F19" i="1756"/>
  <c r="E19" i="1756"/>
  <c r="D19" i="1756"/>
  <c r="C19" i="1756"/>
  <c r="Y18" i="1756"/>
  <c r="W18" i="1756"/>
  <c r="V18" i="1756"/>
  <c r="U18" i="1756"/>
  <c r="T18" i="1756"/>
  <c r="P18" i="1756"/>
  <c r="O18" i="1756"/>
  <c r="N18" i="1756"/>
  <c r="M18" i="1756"/>
  <c r="L18" i="1756"/>
  <c r="K18" i="1756"/>
  <c r="J18" i="1756"/>
  <c r="I18" i="1756"/>
  <c r="H18" i="1756"/>
  <c r="G18" i="1756"/>
  <c r="F18" i="1756"/>
  <c r="E18" i="1756"/>
  <c r="D18" i="1756"/>
  <c r="C18" i="1756"/>
  <c r="Y4" i="1756"/>
  <c r="W4" i="1756"/>
  <c r="V4" i="1756"/>
  <c r="U4" i="1756"/>
  <c r="T4" i="1756"/>
  <c r="P4" i="1756"/>
  <c r="O4" i="1756"/>
  <c r="N4" i="1756"/>
  <c r="M4" i="1756"/>
  <c r="L4" i="1756"/>
  <c r="K4" i="1756"/>
  <c r="J4" i="1756"/>
  <c r="I4" i="1756"/>
  <c r="H4" i="1756"/>
  <c r="G4" i="1756"/>
  <c r="F4" i="1756"/>
  <c r="E4" i="1756"/>
  <c r="D4" i="1756"/>
  <c r="C4" i="1756"/>
  <c r="Y3" i="1756"/>
  <c r="W3" i="1756"/>
  <c r="V3" i="1756"/>
  <c r="U3" i="1756"/>
  <c r="T3" i="1756"/>
  <c r="P3" i="1756"/>
  <c r="O3" i="1756"/>
  <c r="N3" i="1756"/>
  <c r="M3" i="1756"/>
  <c r="L3" i="1756"/>
  <c r="K3" i="1756"/>
  <c r="J3" i="1756"/>
  <c r="I3" i="1756"/>
  <c r="H3" i="1756"/>
  <c r="G3" i="1756"/>
  <c r="F3" i="1756"/>
  <c r="E3" i="1756"/>
  <c r="D3" i="1756"/>
  <c r="C3" i="1756"/>
  <c r="F21" i="1755"/>
  <c r="Y19" i="1755"/>
  <c r="W19" i="1755"/>
  <c r="V19" i="1755"/>
  <c r="U19" i="1755"/>
  <c r="T19" i="1755"/>
  <c r="P19" i="1755"/>
  <c r="O19" i="1755"/>
  <c r="N19" i="1755"/>
  <c r="M19" i="1755"/>
  <c r="L19" i="1755"/>
  <c r="K19" i="1755"/>
  <c r="J19" i="1755"/>
  <c r="I19" i="1755"/>
  <c r="H19" i="1755"/>
  <c r="G19" i="1755"/>
  <c r="F19" i="1755"/>
  <c r="E19" i="1755"/>
  <c r="D19" i="1755"/>
  <c r="C19" i="1755"/>
  <c r="Y18" i="1755"/>
  <c r="W18" i="1755"/>
  <c r="V18" i="1755"/>
  <c r="U18" i="1755"/>
  <c r="T18" i="1755"/>
  <c r="P18" i="1755"/>
  <c r="O18" i="1755"/>
  <c r="N18" i="1755"/>
  <c r="M18" i="1755"/>
  <c r="L18" i="1755"/>
  <c r="K18" i="1755"/>
  <c r="J18" i="1755"/>
  <c r="I18" i="1755"/>
  <c r="H18" i="1755"/>
  <c r="G18" i="1755"/>
  <c r="F18" i="1755"/>
  <c r="E18" i="1755"/>
  <c r="D18" i="1755"/>
  <c r="C18" i="1755"/>
  <c r="Y4" i="1755"/>
  <c r="W4" i="1755"/>
  <c r="V4" i="1755"/>
  <c r="U4" i="1755"/>
  <c r="T4" i="1755"/>
  <c r="P4" i="1755"/>
  <c r="O4" i="1755"/>
  <c r="N4" i="1755"/>
  <c r="M4" i="1755"/>
  <c r="L4" i="1755"/>
  <c r="K4" i="1755"/>
  <c r="J4" i="1755"/>
  <c r="I4" i="1755"/>
  <c r="H4" i="1755"/>
  <c r="G4" i="1755"/>
  <c r="F4" i="1755"/>
  <c r="E4" i="1755"/>
  <c r="D4" i="1755"/>
  <c r="C4" i="1755"/>
  <c r="Y3" i="1755"/>
  <c r="W3" i="1755"/>
  <c r="V3" i="1755"/>
  <c r="U3" i="1755"/>
  <c r="T3" i="1755"/>
  <c r="P3" i="1755"/>
  <c r="O3" i="1755"/>
  <c r="N3" i="1755"/>
  <c r="M3" i="1755"/>
  <c r="L3" i="1755"/>
  <c r="K3" i="1755"/>
  <c r="J3" i="1755"/>
  <c r="I3" i="1755"/>
  <c r="H3" i="1755"/>
  <c r="G3" i="1755"/>
  <c r="F3" i="1755"/>
  <c r="E3" i="1755"/>
  <c r="D3" i="1755"/>
  <c r="C3" i="1755"/>
  <c r="C44" i="1752" l="1"/>
  <c r="C44" i="1749" l="1"/>
  <c r="C45" i="1748"/>
  <c r="C44" i="1748"/>
  <c r="C44" i="1746" l="1"/>
  <c r="C44" i="1745"/>
  <c r="F21" i="1754" l="1"/>
  <c r="Y19" i="1754"/>
  <c r="W19" i="1754"/>
  <c r="V19" i="1754"/>
  <c r="U19" i="1754"/>
  <c r="T19" i="1754"/>
  <c r="P19" i="1754"/>
  <c r="O19" i="1754"/>
  <c r="N19" i="1754"/>
  <c r="M19" i="1754"/>
  <c r="L19" i="1754"/>
  <c r="K19" i="1754"/>
  <c r="J19" i="1754"/>
  <c r="I19" i="1754"/>
  <c r="H19" i="1754"/>
  <c r="G19" i="1754"/>
  <c r="F19" i="1754"/>
  <c r="E19" i="1754"/>
  <c r="D19" i="1754"/>
  <c r="C19" i="1754"/>
  <c r="Y18" i="1754"/>
  <c r="W18" i="1754"/>
  <c r="V18" i="1754"/>
  <c r="U18" i="1754"/>
  <c r="T18" i="1754"/>
  <c r="P18" i="1754"/>
  <c r="O18" i="1754"/>
  <c r="N18" i="1754"/>
  <c r="M18" i="1754"/>
  <c r="L18" i="1754"/>
  <c r="K18" i="1754"/>
  <c r="J18" i="1754"/>
  <c r="I18" i="1754"/>
  <c r="H18" i="1754"/>
  <c r="G18" i="1754"/>
  <c r="F18" i="1754"/>
  <c r="E18" i="1754"/>
  <c r="D18" i="1754"/>
  <c r="C18" i="1754"/>
  <c r="Y4" i="1754"/>
  <c r="W4" i="1754"/>
  <c r="V4" i="1754"/>
  <c r="U4" i="1754"/>
  <c r="T4" i="1754"/>
  <c r="P4" i="1754"/>
  <c r="O4" i="1754"/>
  <c r="N4" i="1754"/>
  <c r="M4" i="1754"/>
  <c r="L4" i="1754"/>
  <c r="K4" i="1754"/>
  <c r="J4" i="1754"/>
  <c r="I4" i="1754"/>
  <c r="H4" i="1754"/>
  <c r="G4" i="1754"/>
  <c r="F4" i="1754"/>
  <c r="E4" i="1754"/>
  <c r="D4" i="1754"/>
  <c r="C4" i="1754"/>
  <c r="Y3" i="1754"/>
  <c r="W3" i="1754"/>
  <c r="V3" i="1754"/>
  <c r="U3" i="1754"/>
  <c r="T3" i="1754"/>
  <c r="P3" i="1754"/>
  <c r="O3" i="1754"/>
  <c r="N3" i="1754"/>
  <c r="M3" i="1754"/>
  <c r="L3" i="1754"/>
  <c r="K3" i="1754"/>
  <c r="J3" i="1754"/>
  <c r="I3" i="1754"/>
  <c r="H3" i="1754"/>
  <c r="G3" i="1754"/>
  <c r="F3" i="1754"/>
  <c r="E3" i="1754"/>
  <c r="D3" i="1754"/>
  <c r="C3" i="1754"/>
  <c r="F21" i="1753"/>
  <c r="Y19" i="1753"/>
  <c r="W19" i="1753"/>
  <c r="V19" i="1753"/>
  <c r="U19" i="1753"/>
  <c r="T19" i="1753"/>
  <c r="P19" i="1753"/>
  <c r="O19" i="1753"/>
  <c r="N19" i="1753"/>
  <c r="M19" i="1753"/>
  <c r="L19" i="1753"/>
  <c r="K19" i="1753"/>
  <c r="J19" i="1753"/>
  <c r="I19" i="1753"/>
  <c r="H19" i="1753"/>
  <c r="G19" i="1753"/>
  <c r="F19" i="1753"/>
  <c r="E19" i="1753"/>
  <c r="D19" i="1753"/>
  <c r="C19" i="1753"/>
  <c r="Y18" i="1753"/>
  <c r="W18" i="1753"/>
  <c r="V18" i="1753"/>
  <c r="U18" i="1753"/>
  <c r="T18" i="1753"/>
  <c r="P18" i="1753"/>
  <c r="O18" i="1753"/>
  <c r="N18" i="1753"/>
  <c r="M18" i="1753"/>
  <c r="L18" i="1753"/>
  <c r="K18" i="1753"/>
  <c r="J18" i="1753"/>
  <c r="I18" i="1753"/>
  <c r="H18" i="1753"/>
  <c r="G18" i="1753"/>
  <c r="F18" i="1753"/>
  <c r="E18" i="1753"/>
  <c r="D18" i="1753"/>
  <c r="C18" i="1753"/>
  <c r="Y4" i="1753"/>
  <c r="W4" i="1753"/>
  <c r="V4" i="1753"/>
  <c r="U4" i="1753"/>
  <c r="T4" i="1753"/>
  <c r="P4" i="1753"/>
  <c r="O4" i="1753"/>
  <c r="N4" i="1753"/>
  <c r="M4" i="1753"/>
  <c r="L4" i="1753"/>
  <c r="K4" i="1753"/>
  <c r="J4" i="1753"/>
  <c r="I4" i="1753"/>
  <c r="H4" i="1753"/>
  <c r="G4" i="1753"/>
  <c r="F4" i="1753"/>
  <c r="E4" i="1753"/>
  <c r="D4" i="1753"/>
  <c r="C4" i="1753"/>
  <c r="Y3" i="1753"/>
  <c r="W3" i="1753"/>
  <c r="V3" i="1753"/>
  <c r="U3" i="1753"/>
  <c r="T3" i="1753"/>
  <c r="P3" i="1753"/>
  <c r="O3" i="1753"/>
  <c r="N3" i="1753"/>
  <c r="M3" i="1753"/>
  <c r="L3" i="1753"/>
  <c r="K3" i="1753"/>
  <c r="J3" i="1753"/>
  <c r="I3" i="1753"/>
  <c r="H3" i="1753"/>
  <c r="G3" i="1753"/>
  <c r="F3" i="1753"/>
  <c r="E3" i="1753"/>
  <c r="D3" i="1753"/>
  <c r="C3" i="1753"/>
  <c r="F21" i="1752"/>
  <c r="Y19" i="1752"/>
  <c r="W19" i="1752"/>
  <c r="V19" i="1752"/>
  <c r="U19" i="1752"/>
  <c r="T19" i="1752"/>
  <c r="P19" i="1752"/>
  <c r="O19" i="1752"/>
  <c r="N19" i="1752"/>
  <c r="M19" i="1752"/>
  <c r="L19" i="1752"/>
  <c r="K19" i="1752"/>
  <c r="J19" i="1752"/>
  <c r="I19" i="1752"/>
  <c r="H19" i="1752"/>
  <c r="G19" i="1752"/>
  <c r="F19" i="1752"/>
  <c r="E19" i="1752"/>
  <c r="D19" i="1752"/>
  <c r="C19" i="1752"/>
  <c r="Y18" i="1752"/>
  <c r="W18" i="1752"/>
  <c r="V18" i="1752"/>
  <c r="U18" i="1752"/>
  <c r="T18" i="1752"/>
  <c r="P18" i="1752"/>
  <c r="O18" i="1752"/>
  <c r="N18" i="1752"/>
  <c r="M18" i="1752"/>
  <c r="L18" i="1752"/>
  <c r="K18" i="1752"/>
  <c r="J18" i="1752"/>
  <c r="I18" i="1752"/>
  <c r="H18" i="1752"/>
  <c r="G18" i="1752"/>
  <c r="F18" i="1752"/>
  <c r="E18" i="1752"/>
  <c r="D18" i="1752"/>
  <c r="C18" i="1752"/>
  <c r="Y4" i="1752"/>
  <c r="W4" i="1752"/>
  <c r="V4" i="1752"/>
  <c r="U4" i="1752"/>
  <c r="T4" i="1752"/>
  <c r="P4" i="1752"/>
  <c r="O4" i="1752"/>
  <c r="N4" i="1752"/>
  <c r="M4" i="1752"/>
  <c r="L4" i="1752"/>
  <c r="K4" i="1752"/>
  <c r="J4" i="1752"/>
  <c r="I4" i="1752"/>
  <c r="H4" i="1752"/>
  <c r="G4" i="1752"/>
  <c r="F4" i="1752"/>
  <c r="E4" i="1752"/>
  <c r="D4" i="1752"/>
  <c r="C4" i="1752"/>
  <c r="Y3" i="1752"/>
  <c r="W3" i="1752"/>
  <c r="V3" i="1752"/>
  <c r="U3" i="1752"/>
  <c r="T3" i="1752"/>
  <c r="P3" i="1752"/>
  <c r="O3" i="1752"/>
  <c r="N3" i="1752"/>
  <c r="M3" i="1752"/>
  <c r="L3" i="1752"/>
  <c r="K3" i="1752"/>
  <c r="J3" i="1752"/>
  <c r="I3" i="1752"/>
  <c r="H3" i="1752"/>
  <c r="G3" i="1752"/>
  <c r="F3" i="1752"/>
  <c r="E3" i="1752"/>
  <c r="D3" i="1752"/>
  <c r="C3" i="1752"/>
  <c r="F21" i="1751"/>
  <c r="Y19" i="1751"/>
  <c r="W19" i="1751"/>
  <c r="V19" i="1751"/>
  <c r="U19" i="1751"/>
  <c r="T19" i="1751"/>
  <c r="P19" i="1751"/>
  <c r="O19" i="1751"/>
  <c r="N19" i="1751"/>
  <c r="M19" i="1751"/>
  <c r="L19" i="1751"/>
  <c r="K19" i="1751"/>
  <c r="J19" i="1751"/>
  <c r="I19" i="1751"/>
  <c r="H19" i="1751"/>
  <c r="G19" i="1751"/>
  <c r="F19" i="1751"/>
  <c r="E19" i="1751"/>
  <c r="D19" i="1751"/>
  <c r="C19" i="1751"/>
  <c r="Y18" i="1751"/>
  <c r="W18" i="1751"/>
  <c r="V18" i="1751"/>
  <c r="U18" i="1751"/>
  <c r="T18" i="1751"/>
  <c r="P18" i="1751"/>
  <c r="O18" i="1751"/>
  <c r="N18" i="1751"/>
  <c r="M18" i="1751"/>
  <c r="L18" i="1751"/>
  <c r="K18" i="1751"/>
  <c r="J18" i="1751"/>
  <c r="I18" i="1751"/>
  <c r="H18" i="1751"/>
  <c r="G18" i="1751"/>
  <c r="F18" i="1751"/>
  <c r="E18" i="1751"/>
  <c r="D18" i="1751"/>
  <c r="C18" i="1751"/>
  <c r="Y4" i="1751"/>
  <c r="W4" i="1751"/>
  <c r="V4" i="1751"/>
  <c r="U4" i="1751"/>
  <c r="T4" i="1751"/>
  <c r="P4" i="1751"/>
  <c r="O4" i="1751"/>
  <c r="N4" i="1751"/>
  <c r="M4" i="1751"/>
  <c r="L4" i="1751"/>
  <c r="K4" i="1751"/>
  <c r="J4" i="1751"/>
  <c r="I4" i="1751"/>
  <c r="H4" i="1751"/>
  <c r="G4" i="1751"/>
  <c r="F4" i="1751"/>
  <c r="E4" i="1751"/>
  <c r="D4" i="1751"/>
  <c r="C4" i="1751"/>
  <c r="Y3" i="1751"/>
  <c r="W3" i="1751"/>
  <c r="V3" i="1751"/>
  <c r="U3" i="1751"/>
  <c r="T3" i="1751"/>
  <c r="P3" i="1751"/>
  <c r="O3" i="1751"/>
  <c r="N3" i="1751"/>
  <c r="M3" i="1751"/>
  <c r="L3" i="1751"/>
  <c r="K3" i="1751"/>
  <c r="J3" i="1751"/>
  <c r="I3" i="1751"/>
  <c r="H3" i="1751"/>
  <c r="G3" i="1751"/>
  <c r="F3" i="1751"/>
  <c r="E3" i="1751"/>
  <c r="D3" i="1751"/>
  <c r="C3" i="1751"/>
  <c r="C44" i="1750"/>
  <c r="F21" i="1750"/>
  <c r="Y19" i="1750"/>
  <c r="W19" i="1750"/>
  <c r="V19" i="1750"/>
  <c r="U19" i="1750"/>
  <c r="T19" i="1750"/>
  <c r="P19" i="1750"/>
  <c r="O19" i="1750"/>
  <c r="N19" i="1750"/>
  <c r="M19" i="1750"/>
  <c r="L19" i="1750"/>
  <c r="K19" i="1750"/>
  <c r="J19" i="1750"/>
  <c r="I19" i="1750"/>
  <c r="H19" i="1750"/>
  <c r="G19" i="1750"/>
  <c r="F19" i="1750"/>
  <c r="E19" i="1750"/>
  <c r="D19" i="1750"/>
  <c r="C19" i="1750"/>
  <c r="Y18" i="1750"/>
  <c r="W18" i="1750"/>
  <c r="V18" i="1750"/>
  <c r="U18" i="1750"/>
  <c r="T18" i="1750"/>
  <c r="P18" i="1750"/>
  <c r="O18" i="1750"/>
  <c r="N18" i="1750"/>
  <c r="M18" i="1750"/>
  <c r="L18" i="1750"/>
  <c r="K18" i="1750"/>
  <c r="J18" i="1750"/>
  <c r="I18" i="1750"/>
  <c r="H18" i="1750"/>
  <c r="G18" i="1750"/>
  <c r="F18" i="1750"/>
  <c r="E18" i="1750"/>
  <c r="D18" i="1750"/>
  <c r="C18" i="1750"/>
  <c r="Y4" i="1750"/>
  <c r="W4" i="1750"/>
  <c r="V4" i="1750"/>
  <c r="U4" i="1750"/>
  <c r="T4" i="1750"/>
  <c r="P4" i="1750"/>
  <c r="O4" i="1750"/>
  <c r="N4" i="1750"/>
  <c r="M4" i="1750"/>
  <c r="L4" i="1750"/>
  <c r="K4" i="1750"/>
  <c r="J4" i="1750"/>
  <c r="I4" i="1750"/>
  <c r="H4" i="1750"/>
  <c r="G4" i="1750"/>
  <c r="F4" i="1750"/>
  <c r="E4" i="1750"/>
  <c r="D4" i="1750"/>
  <c r="C4" i="1750"/>
  <c r="Y3" i="1750"/>
  <c r="W3" i="1750"/>
  <c r="V3" i="1750"/>
  <c r="U3" i="1750"/>
  <c r="T3" i="1750"/>
  <c r="P3" i="1750"/>
  <c r="O3" i="1750"/>
  <c r="N3" i="1750"/>
  <c r="M3" i="1750"/>
  <c r="L3" i="1750"/>
  <c r="K3" i="1750"/>
  <c r="J3" i="1750"/>
  <c r="I3" i="1750"/>
  <c r="H3" i="1750"/>
  <c r="G3" i="1750"/>
  <c r="F3" i="1750"/>
  <c r="E3" i="1750"/>
  <c r="D3" i="1750"/>
  <c r="C3" i="1750"/>
  <c r="F21" i="1749"/>
  <c r="Y19" i="1749"/>
  <c r="W19" i="1749"/>
  <c r="V19" i="1749"/>
  <c r="U19" i="1749"/>
  <c r="T19" i="1749"/>
  <c r="P19" i="1749"/>
  <c r="O19" i="1749"/>
  <c r="N19" i="1749"/>
  <c r="M19" i="1749"/>
  <c r="L19" i="1749"/>
  <c r="K19" i="1749"/>
  <c r="J19" i="1749"/>
  <c r="I19" i="1749"/>
  <c r="H19" i="1749"/>
  <c r="G19" i="1749"/>
  <c r="F19" i="1749"/>
  <c r="E19" i="1749"/>
  <c r="D19" i="1749"/>
  <c r="C19" i="1749"/>
  <c r="Y18" i="1749"/>
  <c r="W18" i="1749"/>
  <c r="V18" i="1749"/>
  <c r="U18" i="1749"/>
  <c r="T18" i="1749"/>
  <c r="P18" i="1749"/>
  <c r="O18" i="1749"/>
  <c r="N18" i="1749"/>
  <c r="M18" i="1749"/>
  <c r="L18" i="1749"/>
  <c r="K18" i="1749"/>
  <c r="J18" i="1749"/>
  <c r="I18" i="1749"/>
  <c r="H18" i="1749"/>
  <c r="G18" i="1749"/>
  <c r="F18" i="1749"/>
  <c r="E18" i="1749"/>
  <c r="D18" i="1749"/>
  <c r="C18" i="1749"/>
  <c r="Y4" i="1749"/>
  <c r="W4" i="1749"/>
  <c r="V4" i="1749"/>
  <c r="U4" i="1749"/>
  <c r="T4" i="1749"/>
  <c r="P4" i="1749"/>
  <c r="O4" i="1749"/>
  <c r="N4" i="1749"/>
  <c r="M4" i="1749"/>
  <c r="L4" i="1749"/>
  <c r="K4" i="1749"/>
  <c r="J4" i="1749"/>
  <c r="I4" i="1749"/>
  <c r="H4" i="1749"/>
  <c r="G4" i="1749"/>
  <c r="F4" i="1749"/>
  <c r="E4" i="1749"/>
  <c r="D4" i="1749"/>
  <c r="C4" i="1749"/>
  <c r="Y3" i="1749"/>
  <c r="W3" i="1749"/>
  <c r="V3" i="1749"/>
  <c r="U3" i="1749"/>
  <c r="T3" i="1749"/>
  <c r="P3" i="1749"/>
  <c r="O3" i="1749"/>
  <c r="N3" i="1749"/>
  <c r="M3" i="1749"/>
  <c r="L3" i="1749"/>
  <c r="K3" i="1749"/>
  <c r="J3" i="1749"/>
  <c r="I3" i="1749"/>
  <c r="H3" i="1749"/>
  <c r="G3" i="1749"/>
  <c r="F3" i="1749"/>
  <c r="E3" i="1749"/>
  <c r="D3" i="1749"/>
  <c r="C3" i="1749"/>
  <c r="F21" i="1748"/>
  <c r="Y19" i="1748"/>
  <c r="W19" i="1748"/>
  <c r="V19" i="1748"/>
  <c r="U19" i="1748"/>
  <c r="T19" i="1748"/>
  <c r="P19" i="1748"/>
  <c r="O19" i="1748"/>
  <c r="N19" i="1748"/>
  <c r="M19" i="1748"/>
  <c r="L19" i="1748"/>
  <c r="K19" i="1748"/>
  <c r="J19" i="1748"/>
  <c r="I19" i="1748"/>
  <c r="H19" i="1748"/>
  <c r="G19" i="1748"/>
  <c r="F19" i="1748"/>
  <c r="E19" i="1748"/>
  <c r="D19" i="1748"/>
  <c r="C19" i="1748"/>
  <c r="Y18" i="1748"/>
  <c r="W18" i="1748"/>
  <c r="V18" i="1748"/>
  <c r="U18" i="1748"/>
  <c r="T18" i="1748"/>
  <c r="P18" i="1748"/>
  <c r="O18" i="1748"/>
  <c r="N18" i="1748"/>
  <c r="M18" i="1748"/>
  <c r="L18" i="1748"/>
  <c r="K18" i="1748"/>
  <c r="J18" i="1748"/>
  <c r="I18" i="1748"/>
  <c r="H18" i="1748"/>
  <c r="G18" i="1748"/>
  <c r="F18" i="1748"/>
  <c r="E18" i="1748"/>
  <c r="D18" i="1748"/>
  <c r="C18" i="1748"/>
  <c r="Y4" i="1748"/>
  <c r="W4" i="1748"/>
  <c r="V4" i="1748"/>
  <c r="U4" i="1748"/>
  <c r="T4" i="1748"/>
  <c r="P4" i="1748"/>
  <c r="O4" i="1748"/>
  <c r="N4" i="1748"/>
  <c r="M4" i="1748"/>
  <c r="L4" i="1748"/>
  <c r="K4" i="1748"/>
  <c r="J4" i="1748"/>
  <c r="I4" i="1748"/>
  <c r="H4" i="1748"/>
  <c r="G4" i="1748"/>
  <c r="F4" i="1748"/>
  <c r="E4" i="1748"/>
  <c r="D4" i="1748"/>
  <c r="C4" i="1748"/>
  <c r="Y3" i="1748"/>
  <c r="W3" i="1748"/>
  <c r="V3" i="1748"/>
  <c r="U3" i="1748"/>
  <c r="T3" i="1748"/>
  <c r="P3" i="1748"/>
  <c r="O3" i="1748"/>
  <c r="N3" i="1748"/>
  <c r="M3" i="1748"/>
  <c r="L3" i="1748"/>
  <c r="K3" i="1748"/>
  <c r="J3" i="1748"/>
  <c r="I3" i="1748"/>
  <c r="H3" i="1748"/>
  <c r="G3" i="1748"/>
  <c r="F3" i="1748"/>
  <c r="E3" i="1748"/>
  <c r="D3" i="1748"/>
  <c r="C3" i="1748"/>
  <c r="F21" i="1747"/>
  <c r="Y19" i="1747"/>
  <c r="W19" i="1747"/>
  <c r="V19" i="1747"/>
  <c r="U19" i="1747"/>
  <c r="T19" i="1747"/>
  <c r="P19" i="1747"/>
  <c r="O19" i="1747"/>
  <c r="N19" i="1747"/>
  <c r="M19" i="1747"/>
  <c r="L19" i="1747"/>
  <c r="K19" i="1747"/>
  <c r="J19" i="1747"/>
  <c r="I19" i="1747"/>
  <c r="H19" i="1747"/>
  <c r="G19" i="1747"/>
  <c r="F19" i="1747"/>
  <c r="E19" i="1747"/>
  <c r="D19" i="1747"/>
  <c r="C19" i="1747"/>
  <c r="Y18" i="1747"/>
  <c r="W18" i="1747"/>
  <c r="V18" i="1747"/>
  <c r="U18" i="1747"/>
  <c r="T18" i="1747"/>
  <c r="P18" i="1747"/>
  <c r="O18" i="1747"/>
  <c r="N18" i="1747"/>
  <c r="M18" i="1747"/>
  <c r="L18" i="1747"/>
  <c r="K18" i="1747"/>
  <c r="J18" i="1747"/>
  <c r="I18" i="1747"/>
  <c r="H18" i="1747"/>
  <c r="G18" i="1747"/>
  <c r="F18" i="1747"/>
  <c r="E18" i="1747"/>
  <c r="D18" i="1747"/>
  <c r="C18" i="1747"/>
  <c r="Y4" i="1747"/>
  <c r="W4" i="1747"/>
  <c r="V4" i="1747"/>
  <c r="U4" i="1747"/>
  <c r="T4" i="1747"/>
  <c r="P4" i="1747"/>
  <c r="O4" i="1747"/>
  <c r="N4" i="1747"/>
  <c r="M4" i="1747"/>
  <c r="L4" i="1747"/>
  <c r="K4" i="1747"/>
  <c r="J4" i="1747"/>
  <c r="I4" i="1747"/>
  <c r="H4" i="1747"/>
  <c r="G4" i="1747"/>
  <c r="F4" i="1747"/>
  <c r="E4" i="1747"/>
  <c r="D4" i="1747"/>
  <c r="C4" i="1747"/>
  <c r="Y3" i="1747"/>
  <c r="W3" i="1747"/>
  <c r="V3" i="1747"/>
  <c r="U3" i="1747"/>
  <c r="T3" i="1747"/>
  <c r="P3" i="1747"/>
  <c r="O3" i="1747"/>
  <c r="N3" i="1747"/>
  <c r="M3" i="1747"/>
  <c r="L3" i="1747"/>
  <c r="K3" i="1747"/>
  <c r="J3" i="1747"/>
  <c r="I3" i="1747"/>
  <c r="H3" i="1747"/>
  <c r="G3" i="1747"/>
  <c r="F3" i="1747"/>
  <c r="E3" i="1747"/>
  <c r="D3" i="1747"/>
  <c r="C3" i="1747"/>
  <c r="C44" i="1738" l="1"/>
  <c r="C44" i="1737"/>
  <c r="C44" i="1734" l="1"/>
  <c r="C44" i="1733"/>
  <c r="C44" i="1732" l="1"/>
  <c r="C45" i="1728" l="1"/>
  <c r="C44" i="1728"/>
  <c r="C44" i="1726" l="1"/>
  <c r="C44" i="1725"/>
  <c r="C44" i="1724"/>
  <c r="C44" i="1706" l="1"/>
  <c r="C44" i="1705"/>
  <c r="C45" i="1704"/>
  <c r="C44" i="1704"/>
  <c r="F21" i="1746" l="1"/>
  <c r="Y19" i="1746"/>
  <c r="W19" i="1746"/>
  <c r="V19" i="1746"/>
  <c r="U19" i="1746"/>
  <c r="T19" i="1746"/>
  <c r="P19" i="1746"/>
  <c r="O19" i="1746"/>
  <c r="N19" i="1746"/>
  <c r="M19" i="1746"/>
  <c r="L19" i="1746"/>
  <c r="K19" i="1746"/>
  <c r="J19" i="1746"/>
  <c r="I19" i="1746"/>
  <c r="H19" i="1746"/>
  <c r="G19" i="1746"/>
  <c r="F19" i="1746"/>
  <c r="E19" i="1746"/>
  <c r="D19" i="1746"/>
  <c r="C19" i="1746"/>
  <c r="Y18" i="1746"/>
  <c r="W18" i="1746"/>
  <c r="V18" i="1746"/>
  <c r="U18" i="1746"/>
  <c r="T18" i="1746"/>
  <c r="P18" i="1746"/>
  <c r="O18" i="1746"/>
  <c r="N18" i="1746"/>
  <c r="M18" i="1746"/>
  <c r="L18" i="1746"/>
  <c r="K18" i="1746"/>
  <c r="J18" i="1746"/>
  <c r="I18" i="1746"/>
  <c r="H18" i="1746"/>
  <c r="G18" i="1746"/>
  <c r="F18" i="1746"/>
  <c r="E18" i="1746"/>
  <c r="D18" i="1746"/>
  <c r="C18" i="1746"/>
  <c r="Y4" i="1746"/>
  <c r="W4" i="1746"/>
  <c r="V4" i="1746"/>
  <c r="U4" i="1746"/>
  <c r="T4" i="1746"/>
  <c r="P4" i="1746"/>
  <c r="O4" i="1746"/>
  <c r="N4" i="1746"/>
  <c r="M4" i="1746"/>
  <c r="L4" i="1746"/>
  <c r="K4" i="1746"/>
  <c r="J4" i="1746"/>
  <c r="I4" i="1746"/>
  <c r="H4" i="1746"/>
  <c r="G4" i="1746"/>
  <c r="F4" i="1746"/>
  <c r="E4" i="1746"/>
  <c r="D4" i="1746"/>
  <c r="C4" i="1746"/>
  <c r="Y3" i="1746"/>
  <c r="W3" i="1746"/>
  <c r="V3" i="1746"/>
  <c r="U3" i="1746"/>
  <c r="T3" i="1746"/>
  <c r="P3" i="1746"/>
  <c r="O3" i="1746"/>
  <c r="N3" i="1746"/>
  <c r="M3" i="1746"/>
  <c r="L3" i="1746"/>
  <c r="K3" i="1746"/>
  <c r="J3" i="1746"/>
  <c r="I3" i="1746"/>
  <c r="H3" i="1746"/>
  <c r="G3" i="1746"/>
  <c r="F3" i="1746"/>
  <c r="E3" i="1746"/>
  <c r="D3" i="1746"/>
  <c r="C3" i="1746"/>
  <c r="F21" i="1745"/>
  <c r="Y19" i="1745"/>
  <c r="W19" i="1745"/>
  <c r="V19" i="1745"/>
  <c r="U19" i="1745"/>
  <c r="T19" i="1745"/>
  <c r="P19" i="1745"/>
  <c r="O19" i="1745"/>
  <c r="N19" i="1745"/>
  <c r="M19" i="1745"/>
  <c r="L19" i="1745"/>
  <c r="K19" i="1745"/>
  <c r="J19" i="1745"/>
  <c r="I19" i="1745"/>
  <c r="H19" i="1745"/>
  <c r="G19" i="1745"/>
  <c r="F19" i="1745"/>
  <c r="E19" i="1745"/>
  <c r="D19" i="1745"/>
  <c r="C19" i="1745"/>
  <c r="Y18" i="1745"/>
  <c r="W18" i="1745"/>
  <c r="V18" i="1745"/>
  <c r="U18" i="1745"/>
  <c r="T18" i="1745"/>
  <c r="P18" i="1745"/>
  <c r="O18" i="1745"/>
  <c r="N18" i="1745"/>
  <c r="M18" i="1745"/>
  <c r="L18" i="1745"/>
  <c r="K18" i="1745"/>
  <c r="J18" i="1745"/>
  <c r="I18" i="1745"/>
  <c r="H18" i="1745"/>
  <c r="G18" i="1745"/>
  <c r="F18" i="1745"/>
  <c r="E18" i="1745"/>
  <c r="D18" i="1745"/>
  <c r="C18" i="1745"/>
  <c r="Y4" i="1745"/>
  <c r="W4" i="1745"/>
  <c r="V4" i="1745"/>
  <c r="U4" i="1745"/>
  <c r="T4" i="1745"/>
  <c r="P4" i="1745"/>
  <c r="O4" i="1745"/>
  <c r="N4" i="1745"/>
  <c r="M4" i="1745"/>
  <c r="L4" i="1745"/>
  <c r="K4" i="1745"/>
  <c r="J4" i="1745"/>
  <c r="I4" i="1745"/>
  <c r="H4" i="1745"/>
  <c r="G4" i="1745"/>
  <c r="F4" i="1745"/>
  <c r="E4" i="1745"/>
  <c r="D4" i="1745"/>
  <c r="C4" i="1745"/>
  <c r="Y3" i="1745"/>
  <c r="W3" i="1745"/>
  <c r="V3" i="1745"/>
  <c r="U3" i="1745"/>
  <c r="T3" i="1745"/>
  <c r="P3" i="1745"/>
  <c r="O3" i="1745"/>
  <c r="N3" i="1745"/>
  <c r="M3" i="1745"/>
  <c r="L3" i="1745"/>
  <c r="K3" i="1745"/>
  <c r="J3" i="1745"/>
  <c r="I3" i="1745"/>
  <c r="H3" i="1745"/>
  <c r="G3" i="1745"/>
  <c r="F3" i="1745"/>
  <c r="E3" i="1745"/>
  <c r="D3" i="1745"/>
  <c r="C3" i="1745"/>
  <c r="F21" i="1744"/>
  <c r="Y19" i="1744"/>
  <c r="W19" i="1744"/>
  <c r="V19" i="1744"/>
  <c r="U19" i="1744"/>
  <c r="T19" i="1744"/>
  <c r="P19" i="1744"/>
  <c r="O19" i="1744"/>
  <c r="N19" i="1744"/>
  <c r="M19" i="1744"/>
  <c r="L19" i="1744"/>
  <c r="K19" i="1744"/>
  <c r="J19" i="1744"/>
  <c r="I19" i="1744"/>
  <c r="H19" i="1744"/>
  <c r="G19" i="1744"/>
  <c r="F19" i="1744"/>
  <c r="E19" i="1744"/>
  <c r="D19" i="1744"/>
  <c r="C19" i="1744"/>
  <c r="Y18" i="1744"/>
  <c r="W18" i="1744"/>
  <c r="V18" i="1744"/>
  <c r="U18" i="1744"/>
  <c r="T18" i="1744"/>
  <c r="P18" i="1744"/>
  <c r="O18" i="1744"/>
  <c r="N18" i="1744"/>
  <c r="M18" i="1744"/>
  <c r="L18" i="1744"/>
  <c r="K18" i="1744"/>
  <c r="J18" i="1744"/>
  <c r="I18" i="1744"/>
  <c r="H18" i="1744"/>
  <c r="G18" i="1744"/>
  <c r="F18" i="1744"/>
  <c r="E18" i="1744"/>
  <c r="D18" i="1744"/>
  <c r="C18" i="1744"/>
  <c r="Y4" i="1744"/>
  <c r="W4" i="1744"/>
  <c r="V4" i="1744"/>
  <c r="U4" i="1744"/>
  <c r="T4" i="1744"/>
  <c r="P4" i="1744"/>
  <c r="O4" i="1744"/>
  <c r="N4" i="1744"/>
  <c r="M4" i="1744"/>
  <c r="L4" i="1744"/>
  <c r="K4" i="1744"/>
  <c r="J4" i="1744"/>
  <c r="I4" i="1744"/>
  <c r="H4" i="1744"/>
  <c r="G4" i="1744"/>
  <c r="F4" i="1744"/>
  <c r="E4" i="1744"/>
  <c r="D4" i="1744"/>
  <c r="C4" i="1744"/>
  <c r="Y3" i="1744"/>
  <c r="W3" i="1744"/>
  <c r="V3" i="1744"/>
  <c r="U3" i="1744"/>
  <c r="T3" i="1744"/>
  <c r="P3" i="1744"/>
  <c r="O3" i="1744"/>
  <c r="N3" i="1744"/>
  <c r="M3" i="1744"/>
  <c r="L3" i="1744"/>
  <c r="K3" i="1744"/>
  <c r="J3" i="1744"/>
  <c r="I3" i="1744"/>
  <c r="H3" i="1744"/>
  <c r="G3" i="1744"/>
  <c r="F3" i="1744"/>
  <c r="E3" i="1744"/>
  <c r="D3" i="1744"/>
  <c r="C3" i="1744"/>
  <c r="F21" i="1743"/>
  <c r="Y19" i="1743"/>
  <c r="W19" i="1743"/>
  <c r="V19" i="1743"/>
  <c r="U19" i="1743"/>
  <c r="T19" i="1743"/>
  <c r="P19" i="1743"/>
  <c r="O19" i="1743"/>
  <c r="N19" i="1743"/>
  <c r="M19" i="1743"/>
  <c r="L19" i="1743"/>
  <c r="K19" i="1743"/>
  <c r="J19" i="1743"/>
  <c r="I19" i="1743"/>
  <c r="H19" i="1743"/>
  <c r="G19" i="1743"/>
  <c r="F19" i="1743"/>
  <c r="E19" i="1743"/>
  <c r="D19" i="1743"/>
  <c r="C19" i="1743"/>
  <c r="Y18" i="1743"/>
  <c r="W18" i="1743"/>
  <c r="V18" i="1743"/>
  <c r="U18" i="1743"/>
  <c r="T18" i="1743"/>
  <c r="P18" i="1743"/>
  <c r="O18" i="1743"/>
  <c r="N18" i="1743"/>
  <c r="M18" i="1743"/>
  <c r="L18" i="1743"/>
  <c r="K18" i="1743"/>
  <c r="J18" i="1743"/>
  <c r="I18" i="1743"/>
  <c r="H18" i="1743"/>
  <c r="G18" i="1743"/>
  <c r="F18" i="1743"/>
  <c r="E18" i="1743"/>
  <c r="D18" i="1743"/>
  <c r="C18" i="1743"/>
  <c r="Y4" i="1743"/>
  <c r="W4" i="1743"/>
  <c r="V4" i="1743"/>
  <c r="U4" i="1743"/>
  <c r="T4" i="1743"/>
  <c r="P4" i="1743"/>
  <c r="O4" i="1743"/>
  <c r="N4" i="1743"/>
  <c r="M4" i="1743"/>
  <c r="L4" i="1743"/>
  <c r="K4" i="1743"/>
  <c r="J4" i="1743"/>
  <c r="I4" i="1743"/>
  <c r="H4" i="1743"/>
  <c r="G4" i="1743"/>
  <c r="F4" i="1743"/>
  <c r="E4" i="1743"/>
  <c r="D4" i="1743"/>
  <c r="C4" i="1743"/>
  <c r="Y3" i="1743"/>
  <c r="W3" i="1743"/>
  <c r="V3" i="1743"/>
  <c r="U3" i="1743"/>
  <c r="T3" i="1743"/>
  <c r="P3" i="1743"/>
  <c r="O3" i="1743"/>
  <c r="N3" i="1743"/>
  <c r="M3" i="1743"/>
  <c r="L3" i="1743"/>
  <c r="K3" i="1743"/>
  <c r="J3" i="1743"/>
  <c r="I3" i="1743"/>
  <c r="H3" i="1743"/>
  <c r="G3" i="1743"/>
  <c r="F3" i="1743"/>
  <c r="E3" i="1743"/>
  <c r="D3" i="1743"/>
  <c r="C3" i="1743"/>
  <c r="C44" i="1742"/>
  <c r="F21" i="1742"/>
  <c r="Y19" i="1742"/>
  <c r="W19" i="1742"/>
  <c r="V19" i="1742"/>
  <c r="U19" i="1742"/>
  <c r="T19" i="1742"/>
  <c r="P19" i="1742"/>
  <c r="O19" i="1742"/>
  <c r="N19" i="1742"/>
  <c r="M19" i="1742"/>
  <c r="L19" i="1742"/>
  <c r="K19" i="1742"/>
  <c r="J19" i="1742"/>
  <c r="I19" i="1742"/>
  <c r="H19" i="1742"/>
  <c r="G19" i="1742"/>
  <c r="F19" i="1742"/>
  <c r="E19" i="1742"/>
  <c r="D19" i="1742"/>
  <c r="C19" i="1742"/>
  <c r="Y18" i="1742"/>
  <c r="W18" i="1742"/>
  <c r="V18" i="1742"/>
  <c r="U18" i="1742"/>
  <c r="T18" i="1742"/>
  <c r="P18" i="1742"/>
  <c r="O18" i="1742"/>
  <c r="N18" i="1742"/>
  <c r="M18" i="1742"/>
  <c r="L18" i="1742"/>
  <c r="K18" i="1742"/>
  <c r="J18" i="1742"/>
  <c r="I18" i="1742"/>
  <c r="H18" i="1742"/>
  <c r="G18" i="1742"/>
  <c r="F18" i="1742"/>
  <c r="E18" i="1742"/>
  <c r="D18" i="1742"/>
  <c r="C18" i="1742"/>
  <c r="Y4" i="1742"/>
  <c r="W4" i="1742"/>
  <c r="V4" i="1742"/>
  <c r="U4" i="1742"/>
  <c r="T4" i="1742"/>
  <c r="P4" i="1742"/>
  <c r="O4" i="1742"/>
  <c r="N4" i="1742"/>
  <c r="M4" i="1742"/>
  <c r="L4" i="1742"/>
  <c r="K4" i="1742"/>
  <c r="J4" i="1742"/>
  <c r="I4" i="1742"/>
  <c r="H4" i="1742"/>
  <c r="G4" i="1742"/>
  <c r="F4" i="1742"/>
  <c r="E4" i="1742"/>
  <c r="D4" i="1742"/>
  <c r="C4" i="1742"/>
  <c r="Y3" i="1742"/>
  <c r="W3" i="1742"/>
  <c r="V3" i="1742"/>
  <c r="U3" i="1742"/>
  <c r="T3" i="1742"/>
  <c r="P3" i="1742"/>
  <c r="O3" i="1742"/>
  <c r="N3" i="1742"/>
  <c r="M3" i="1742"/>
  <c r="L3" i="1742"/>
  <c r="K3" i="1742"/>
  <c r="J3" i="1742"/>
  <c r="I3" i="1742"/>
  <c r="H3" i="1742"/>
  <c r="G3" i="1742"/>
  <c r="F3" i="1742"/>
  <c r="E3" i="1742"/>
  <c r="D3" i="1742"/>
  <c r="C3" i="1742"/>
  <c r="F21" i="1741"/>
  <c r="Y19" i="1741"/>
  <c r="W19" i="1741"/>
  <c r="V19" i="1741"/>
  <c r="U19" i="1741"/>
  <c r="T19" i="1741"/>
  <c r="P19" i="1741"/>
  <c r="O19" i="1741"/>
  <c r="N19" i="1741"/>
  <c r="M19" i="1741"/>
  <c r="L19" i="1741"/>
  <c r="K19" i="1741"/>
  <c r="J19" i="1741"/>
  <c r="I19" i="1741"/>
  <c r="H19" i="1741"/>
  <c r="G19" i="1741"/>
  <c r="F19" i="1741"/>
  <c r="E19" i="1741"/>
  <c r="D19" i="1741"/>
  <c r="C19" i="1741"/>
  <c r="Y18" i="1741"/>
  <c r="W18" i="1741"/>
  <c r="V18" i="1741"/>
  <c r="U18" i="1741"/>
  <c r="T18" i="1741"/>
  <c r="P18" i="1741"/>
  <c r="O18" i="1741"/>
  <c r="N18" i="1741"/>
  <c r="M18" i="1741"/>
  <c r="L18" i="1741"/>
  <c r="K18" i="1741"/>
  <c r="J18" i="1741"/>
  <c r="I18" i="1741"/>
  <c r="H18" i="1741"/>
  <c r="G18" i="1741"/>
  <c r="F18" i="1741"/>
  <c r="E18" i="1741"/>
  <c r="D18" i="1741"/>
  <c r="C18" i="1741"/>
  <c r="Y4" i="1741"/>
  <c r="W4" i="1741"/>
  <c r="V4" i="1741"/>
  <c r="U4" i="1741"/>
  <c r="T4" i="1741"/>
  <c r="P4" i="1741"/>
  <c r="O4" i="1741"/>
  <c r="N4" i="1741"/>
  <c r="M4" i="1741"/>
  <c r="L4" i="1741"/>
  <c r="K4" i="1741"/>
  <c r="J4" i="1741"/>
  <c r="I4" i="1741"/>
  <c r="H4" i="1741"/>
  <c r="G4" i="1741"/>
  <c r="F4" i="1741"/>
  <c r="E4" i="1741"/>
  <c r="D4" i="1741"/>
  <c r="C4" i="1741"/>
  <c r="Y3" i="1741"/>
  <c r="W3" i="1741"/>
  <c r="V3" i="1741"/>
  <c r="U3" i="1741"/>
  <c r="T3" i="1741"/>
  <c r="P3" i="1741"/>
  <c r="O3" i="1741"/>
  <c r="N3" i="1741"/>
  <c r="M3" i="1741"/>
  <c r="L3" i="1741"/>
  <c r="K3" i="1741"/>
  <c r="J3" i="1741"/>
  <c r="I3" i="1741"/>
  <c r="H3" i="1741"/>
  <c r="G3" i="1741"/>
  <c r="F3" i="1741"/>
  <c r="E3" i="1741"/>
  <c r="D3" i="1741"/>
  <c r="C3" i="1741"/>
  <c r="F21" i="1740"/>
  <c r="Y19" i="1740"/>
  <c r="W19" i="1740"/>
  <c r="V19" i="1740"/>
  <c r="U19" i="1740"/>
  <c r="T19" i="1740"/>
  <c r="P19" i="1740"/>
  <c r="O19" i="1740"/>
  <c r="N19" i="1740"/>
  <c r="M19" i="1740"/>
  <c r="L19" i="1740"/>
  <c r="K19" i="1740"/>
  <c r="J19" i="1740"/>
  <c r="I19" i="1740"/>
  <c r="H19" i="1740"/>
  <c r="G19" i="1740"/>
  <c r="F19" i="1740"/>
  <c r="E19" i="1740"/>
  <c r="D19" i="1740"/>
  <c r="C19" i="1740"/>
  <c r="Y18" i="1740"/>
  <c r="W18" i="1740"/>
  <c r="V18" i="1740"/>
  <c r="U18" i="1740"/>
  <c r="T18" i="1740"/>
  <c r="P18" i="1740"/>
  <c r="O18" i="1740"/>
  <c r="N18" i="1740"/>
  <c r="M18" i="1740"/>
  <c r="L18" i="1740"/>
  <c r="K18" i="1740"/>
  <c r="J18" i="1740"/>
  <c r="I18" i="1740"/>
  <c r="H18" i="1740"/>
  <c r="G18" i="1740"/>
  <c r="F18" i="1740"/>
  <c r="E18" i="1740"/>
  <c r="D18" i="1740"/>
  <c r="C18" i="1740"/>
  <c r="Y4" i="1740"/>
  <c r="W4" i="1740"/>
  <c r="V4" i="1740"/>
  <c r="U4" i="1740"/>
  <c r="T4" i="1740"/>
  <c r="P4" i="1740"/>
  <c r="O4" i="1740"/>
  <c r="N4" i="1740"/>
  <c r="M4" i="1740"/>
  <c r="L4" i="1740"/>
  <c r="K4" i="1740"/>
  <c r="J4" i="1740"/>
  <c r="I4" i="1740"/>
  <c r="H4" i="1740"/>
  <c r="G4" i="1740"/>
  <c r="F4" i="1740"/>
  <c r="E4" i="1740"/>
  <c r="D4" i="1740"/>
  <c r="C4" i="1740"/>
  <c r="Y3" i="1740"/>
  <c r="W3" i="1740"/>
  <c r="V3" i="1740"/>
  <c r="U3" i="1740"/>
  <c r="T3" i="1740"/>
  <c r="P3" i="1740"/>
  <c r="O3" i="1740"/>
  <c r="N3" i="1740"/>
  <c r="M3" i="1740"/>
  <c r="L3" i="1740"/>
  <c r="K3" i="1740"/>
  <c r="J3" i="1740"/>
  <c r="I3" i="1740"/>
  <c r="H3" i="1740"/>
  <c r="G3" i="1740"/>
  <c r="F3" i="1740"/>
  <c r="E3" i="1740"/>
  <c r="D3" i="1740"/>
  <c r="C3" i="1740"/>
  <c r="F21" i="1739"/>
  <c r="Y19" i="1739"/>
  <c r="W19" i="1739"/>
  <c r="V19" i="1739"/>
  <c r="U19" i="1739"/>
  <c r="T19" i="1739"/>
  <c r="P19" i="1739"/>
  <c r="O19" i="1739"/>
  <c r="N19" i="1739"/>
  <c r="M19" i="1739"/>
  <c r="L19" i="1739"/>
  <c r="K19" i="1739"/>
  <c r="J19" i="1739"/>
  <c r="I19" i="1739"/>
  <c r="H19" i="1739"/>
  <c r="G19" i="1739"/>
  <c r="F19" i="1739"/>
  <c r="E19" i="1739"/>
  <c r="D19" i="1739"/>
  <c r="C19" i="1739"/>
  <c r="Y18" i="1739"/>
  <c r="W18" i="1739"/>
  <c r="V18" i="1739"/>
  <c r="U18" i="1739"/>
  <c r="T18" i="1739"/>
  <c r="P18" i="1739"/>
  <c r="O18" i="1739"/>
  <c r="N18" i="1739"/>
  <c r="M18" i="1739"/>
  <c r="L18" i="1739"/>
  <c r="K18" i="1739"/>
  <c r="J18" i="1739"/>
  <c r="I18" i="1739"/>
  <c r="H18" i="1739"/>
  <c r="G18" i="1739"/>
  <c r="F18" i="1739"/>
  <c r="E18" i="1739"/>
  <c r="D18" i="1739"/>
  <c r="C18" i="1739"/>
  <c r="Y4" i="1739"/>
  <c r="W4" i="1739"/>
  <c r="V4" i="1739"/>
  <c r="U4" i="1739"/>
  <c r="T4" i="1739"/>
  <c r="P4" i="1739"/>
  <c r="O4" i="1739"/>
  <c r="N4" i="1739"/>
  <c r="M4" i="1739"/>
  <c r="L4" i="1739"/>
  <c r="K4" i="1739"/>
  <c r="J4" i="1739"/>
  <c r="I4" i="1739"/>
  <c r="H4" i="1739"/>
  <c r="G4" i="1739"/>
  <c r="F4" i="1739"/>
  <c r="E4" i="1739"/>
  <c r="D4" i="1739"/>
  <c r="C4" i="1739"/>
  <c r="Y3" i="1739"/>
  <c r="W3" i="1739"/>
  <c r="V3" i="1739"/>
  <c r="U3" i="1739"/>
  <c r="T3" i="1739"/>
  <c r="P3" i="1739"/>
  <c r="O3" i="1739"/>
  <c r="N3" i="1739"/>
  <c r="M3" i="1739"/>
  <c r="L3" i="1739"/>
  <c r="K3" i="1739"/>
  <c r="J3" i="1739"/>
  <c r="I3" i="1739"/>
  <c r="H3" i="1739"/>
  <c r="G3" i="1739"/>
  <c r="F3" i="1739"/>
  <c r="E3" i="1739"/>
  <c r="D3" i="1739"/>
  <c r="C3" i="1739"/>
  <c r="F21" i="1738"/>
  <c r="Y19" i="1738"/>
  <c r="W19" i="1738"/>
  <c r="V19" i="1738"/>
  <c r="U19" i="1738"/>
  <c r="T19" i="1738"/>
  <c r="P19" i="1738"/>
  <c r="O19" i="1738"/>
  <c r="N19" i="1738"/>
  <c r="M19" i="1738"/>
  <c r="L19" i="1738"/>
  <c r="K19" i="1738"/>
  <c r="J19" i="1738"/>
  <c r="I19" i="1738"/>
  <c r="H19" i="1738"/>
  <c r="G19" i="1738"/>
  <c r="F19" i="1738"/>
  <c r="E19" i="1738"/>
  <c r="D19" i="1738"/>
  <c r="C19" i="1738"/>
  <c r="Y18" i="1738"/>
  <c r="W18" i="1738"/>
  <c r="V18" i="1738"/>
  <c r="U18" i="1738"/>
  <c r="T18" i="1738"/>
  <c r="P18" i="1738"/>
  <c r="O18" i="1738"/>
  <c r="N18" i="1738"/>
  <c r="M18" i="1738"/>
  <c r="L18" i="1738"/>
  <c r="K18" i="1738"/>
  <c r="J18" i="1738"/>
  <c r="I18" i="1738"/>
  <c r="H18" i="1738"/>
  <c r="G18" i="1738"/>
  <c r="F18" i="1738"/>
  <c r="E18" i="1738"/>
  <c r="D18" i="1738"/>
  <c r="C18" i="1738"/>
  <c r="Y4" i="1738"/>
  <c r="W4" i="1738"/>
  <c r="V4" i="1738"/>
  <c r="U4" i="1738"/>
  <c r="T4" i="1738"/>
  <c r="P4" i="1738"/>
  <c r="O4" i="1738"/>
  <c r="N4" i="1738"/>
  <c r="M4" i="1738"/>
  <c r="L4" i="1738"/>
  <c r="K4" i="1738"/>
  <c r="J4" i="1738"/>
  <c r="I4" i="1738"/>
  <c r="H4" i="1738"/>
  <c r="G4" i="1738"/>
  <c r="F4" i="1738"/>
  <c r="E4" i="1738"/>
  <c r="D4" i="1738"/>
  <c r="C4" i="1738"/>
  <c r="Y3" i="1738"/>
  <c r="W3" i="1738"/>
  <c r="V3" i="1738"/>
  <c r="U3" i="1738"/>
  <c r="T3" i="1738"/>
  <c r="P3" i="1738"/>
  <c r="O3" i="1738"/>
  <c r="N3" i="1738"/>
  <c r="M3" i="1738"/>
  <c r="L3" i="1738"/>
  <c r="K3" i="1738"/>
  <c r="J3" i="1738"/>
  <c r="I3" i="1738"/>
  <c r="H3" i="1738"/>
  <c r="G3" i="1738"/>
  <c r="F3" i="1738"/>
  <c r="E3" i="1738"/>
  <c r="D3" i="1738"/>
  <c r="C3" i="1738"/>
  <c r="F21" i="1737"/>
  <c r="Y19" i="1737"/>
  <c r="W19" i="1737"/>
  <c r="V19" i="1737"/>
  <c r="U19" i="1737"/>
  <c r="T19" i="1737"/>
  <c r="P19" i="1737"/>
  <c r="O19" i="1737"/>
  <c r="N19" i="1737"/>
  <c r="M19" i="1737"/>
  <c r="L19" i="1737"/>
  <c r="K19" i="1737"/>
  <c r="J19" i="1737"/>
  <c r="I19" i="1737"/>
  <c r="H19" i="1737"/>
  <c r="G19" i="1737"/>
  <c r="F19" i="1737"/>
  <c r="E19" i="1737"/>
  <c r="D19" i="1737"/>
  <c r="C19" i="1737"/>
  <c r="Y18" i="1737"/>
  <c r="W18" i="1737"/>
  <c r="V18" i="1737"/>
  <c r="U18" i="1737"/>
  <c r="T18" i="1737"/>
  <c r="P18" i="1737"/>
  <c r="O18" i="1737"/>
  <c r="N18" i="1737"/>
  <c r="M18" i="1737"/>
  <c r="L18" i="1737"/>
  <c r="K18" i="1737"/>
  <c r="J18" i="1737"/>
  <c r="I18" i="1737"/>
  <c r="H18" i="1737"/>
  <c r="G18" i="1737"/>
  <c r="F18" i="1737"/>
  <c r="E18" i="1737"/>
  <c r="D18" i="1737"/>
  <c r="C18" i="1737"/>
  <c r="Y4" i="1737"/>
  <c r="W4" i="1737"/>
  <c r="V4" i="1737"/>
  <c r="U4" i="1737"/>
  <c r="T4" i="1737"/>
  <c r="P4" i="1737"/>
  <c r="O4" i="1737"/>
  <c r="N4" i="1737"/>
  <c r="M4" i="1737"/>
  <c r="L4" i="1737"/>
  <c r="K4" i="1737"/>
  <c r="J4" i="1737"/>
  <c r="I4" i="1737"/>
  <c r="H4" i="1737"/>
  <c r="G4" i="1737"/>
  <c r="F4" i="1737"/>
  <c r="E4" i="1737"/>
  <c r="D4" i="1737"/>
  <c r="C4" i="1737"/>
  <c r="Y3" i="1737"/>
  <c r="W3" i="1737"/>
  <c r="V3" i="1737"/>
  <c r="U3" i="1737"/>
  <c r="T3" i="1737"/>
  <c r="P3" i="1737"/>
  <c r="O3" i="1737"/>
  <c r="N3" i="1737"/>
  <c r="M3" i="1737"/>
  <c r="L3" i="1737"/>
  <c r="K3" i="1737"/>
  <c r="J3" i="1737"/>
  <c r="I3" i="1737"/>
  <c r="H3" i="1737"/>
  <c r="G3" i="1737"/>
  <c r="F3" i="1737"/>
  <c r="E3" i="1737"/>
  <c r="D3" i="1737"/>
  <c r="C3" i="1737"/>
  <c r="F21" i="1736"/>
  <c r="Y19" i="1736"/>
  <c r="W19" i="1736"/>
  <c r="V19" i="1736"/>
  <c r="U19" i="1736"/>
  <c r="T19" i="1736"/>
  <c r="P19" i="1736"/>
  <c r="O19" i="1736"/>
  <c r="N19" i="1736"/>
  <c r="M19" i="1736"/>
  <c r="L19" i="1736"/>
  <c r="K19" i="1736"/>
  <c r="J19" i="1736"/>
  <c r="I19" i="1736"/>
  <c r="H19" i="1736"/>
  <c r="G19" i="1736"/>
  <c r="F19" i="1736"/>
  <c r="E19" i="1736"/>
  <c r="D19" i="1736"/>
  <c r="C19" i="1736"/>
  <c r="Y18" i="1736"/>
  <c r="W18" i="1736"/>
  <c r="V18" i="1736"/>
  <c r="U18" i="1736"/>
  <c r="T18" i="1736"/>
  <c r="P18" i="1736"/>
  <c r="O18" i="1736"/>
  <c r="N18" i="1736"/>
  <c r="M18" i="1736"/>
  <c r="L18" i="1736"/>
  <c r="K18" i="1736"/>
  <c r="J18" i="1736"/>
  <c r="I18" i="1736"/>
  <c r="H18" i="1736"/>
  <c r="G18" i="1736"/>
  <c r="F18" i="1736"/>
  <c r="E18" i="1736"/>
  <c r="D18" i="1736"/>
  <c r="C18" i="1736"/>
  <c r="Y4" i="1736"/>
  <c r="W4" i="1736"/>
  <c r="V4" i="1736"/>
  <c r="U4" i="1736"/>
  <c r="T4" i="1736"/>
  <c r="P4" i="1736"/>
  <c r="O4" i="1736"/>
  <c r="N4" i="1736"/>
  <c r="M4" i="1736"/>
  <c r="L4" i="1736"/>
  <c r="K4" i="1736"/>
  <c r="J4" i="1736"/>
  <c r="I4" i="1736"/>
  <c r="H4" i="1736"/>
  <c r="G4" i="1736"/>
  <c r="F4" i="1736"/>
  <c r="E4" i="1736"/>
  <c r="D4" i="1736"/>
  <c r="C4" i="1736"/>
  <c r="Y3" i="1736"/>
  <c r="W3" i="1736"/>
  <c r="V3" i="1736"/>
  <c r="U3" i="1736"/>
  <c r="T3" i="1736"/>
  <c r="P3" i="1736"/>
  <c r="O3" i="1736"/>
  <c r="N3" i="1736"/>
  <c r="M3" i="1736"/>
  <c r="L3" i="1736"/>
  <c r="K3" i="1736"/>
  <c r="J3" i="1736"/>
  <c r="I3" i="1736"/>
  <c r="H3" i="1736"/>
  <c r="G3" i="1736"/>
  <c r="F3" i="1736"/>
  <c r="E3" i="1736"/>
  <c r="D3" i="1736"/>
  <c r="C3" i="1736"/>
  <c r="F21" i="1735"/>
  <c r="Y19" i="1735"/>
  <c r="W19" i="1735"/>
  <c r="V19" i="1735"/>
  <c r="U19" i="1735"/>
  <c r="T19" i="1735"/>
  <c r="P19" i="1735"/>
  <c r="O19" i="1735"/>
  <c r="N19" i="1735"/>
  <c r="M19" i="1735"/>
  <c r="L19" i="1735"/>
  <c r="K19" i="1735"/>
  <c r="J19" i="1735"/>
  <c r="I19" i="1735"/>
  <c r="H19" i="1735"/>
  <c r="G19" i="1735"/>
  <c r="F19" i="1735"/>
  <c r="E19" i="1735"/>
  <c r="D19" i="1735"/>
  <c r="C19" i="1735"/>
  <c r="Y18" i="1735"/>
  <c r="W18" i="1735"/>
  <c r="V18" i="1735"/>
  <c r="U18" i="1735"/>
  <c r="T18" i="1735"/>
  <c r="P18" i="1735"/>
  <c r="O18" i="1735"/>
  <c r="N18" i="1735"/>
  <c r="M18" i="1735"/>
  <c r="L18" i="1735"/>
  <c r="K18" i="1735"/>
  <c r="J18" i="1735"/>
  <c r="I18" i="1735"/>
  <c r="H18" i="1735"/>
  <c r="G18" i="1735"/>
  <c r="F18" i="1735"/>
  <c r="E18" i="1735"/>
  <c r="D18" i="1735"/>
  <c r="C18" i="1735"/>
  <c r="Y4" i="1735"/>
  <c r="W4" i="1735"/>
  <c r="V4" i="1735"/>
  <c r="U4" i="1735"/>
  <c r="T4" i="1735"/>
  <c r="P4" i="1735"/>
  <c r="O4" i="1735"/>
  <c r="N4" i="1735"/>
  <c r="M4" i="1735"/>
  <c r="L4" i="1735"/>
  <c r="K4" i="1735"/>
  <c r="J4" i="1735"/>
  <c r="I4" i="1735"/>
  <c r="H4" i="1735"/>
  <c r="G4" i="1735"/>
  <c r="F4" i="1735"/>
  <c r="E4" i="1735"/>
  <c r="D4" i="1735"/>
  <c r="C4" i="1735"/>
  <c r="Y3" i="1735"/>
  <c r="W3" i="1735"/>
  <c r="V3" i="1735"/>
  <c r="U3" i="1735"/>
  <c r="T3" i="1735"/>
  <c r="P3" i="1735"/>
  <c r="O3" i="1735"/>
  <c r="N3" i="1735"/>
  <c r="M3" i="1735"/>
  <c r="L3" i="1735"/>
  <c r="K3" i="1735"/>
  <c r="J3" i="1735"/>
  <c r="I3" i="1735"/>
  <c r="H3" i="1735"/>
  <c r="G3" i="1735"/>
  <c r="F3" i="1735"/>
  <c r="E3" i="1735"/>
  <c r="D3" i="1735"/>
  <c r="C3" i="1735"/>
  <c r="F21" i="1734"/>
  <c r="Y19" i="1734"/>
  <c r="W19" i="1734"/>
  <c r="V19" i="1734"/>
  <c r="U19" i="1734"/>
  <c r="T19" i="1734"/>
  <c r="P19" i="1734"/>
  <c r="O19" i="1734"/>
  <c r="N19" i="1734"/>
  <c r="M19" i="1734"/>
  <c r="L19" i="1734"/>
  <c r="K19" i="1734"/>
  <c r="J19" i="1734"/>
  <c r="I19" i="1734"/>
  <c r="H19" i="1734"/>
  <c r="G19" i="1734"/>
  <c r="F19" i="1734"/>
  <c r="E19" i="1734"/>
  <c r="D19" i="1734"/>
  <c r="C19" i="1734"/>
  <c r="Y18" i="1734"/>
  <c r="W18" i="1734"/>
  <c r="V18" i="1734"/>
  <c r="U18" i="1734"/>
  <c r="T18" i="1734"/>
  <c r="P18" i="1734"/>
  <c r="O18" i="1734"/>
  <c r="N18" i="1734"/>
  <c r="M18" i="1734"/>
  <c r="L18" i="1734"/>
  <c r="K18" i="1734"/>
  <c r="J18" i="1734"/>
  <c r="I18" i="1734"/>
  <c r="H18" i="1734"/>
  <c r="G18" i="1734"/>
  <c r="F18" i="1734"/>
  <c r="E18" i="1734"/>
  <c r="D18" i="1734"/>
  <c r="C18" i="1734"/>
  <c r="Y4" i="1734"/>
  <c r="W4" i="1734"/>
  <c r="V4" i="1734"/>
  <c r="U4" i="1734"/>
  <c r="T4" i="1734"/>
  <c r="P4" i="1734"/>
  <c r="O4" i="1734"/>
  <c r="N4" i="1734"/>
  <c r="M4" i="1734"/>
  <c r="L4" i="1734"/>
  <c r="K4" i="1734"/>
  <c r="J4" i="1734"/>
  <c r="I4" i="1734"/>
  <c r="H4" i="1734"/>
  <c r="G4" i="1734"/>
  <c r="F4" i="1734"/>
  <c r="E4" i="1734"/>
  <c r="D4" i="1734"/>
  <c r="C4" i="1734"/>
  <c r="Y3" i="1734"/>
  <c r="W3" i="1734"/>
  <c r="V3" i="1734"/>
  <c r="U3" i="1734"/>
  <c r="T3" i="1734"/>
  <c r="P3" i="1734"/>
  <c r="O3" i="1734"/>
  <c r="N3" i="1734"/>
  <c r="M3" i="1734"/>
  <c r="L3" i="1734"/>
  <c r="K3" i="1734"/>
  <c r="J3" i="1734"/>
  <c r="I3" i="1734"/>
  <c r="H3" i="1734"/>
  <c r="G3" i="1734"/>
  <c r="F3" i="1734"/>
  <c r="E3" i="1734"/>
  <c r="D3" i="1734"/>
  <c r="C3" i="1734"/>
  <c r="F21" i="1733"/>
  <c r="Y19" i="1733"/>
  <c r="W19" i="1733"/>
  <c r="V19" i="1733"/>
  <c r="U19" i="1733"/>
  <c r="T19" i="1733"/>
  <c r="P19" i="1733"/>
  <c r="O19" i="1733"/>
  <c r="N19" i="1733"/>
  <c r="M19" i="1733"/>
  <c r="L19" i="1733"/>
  <c r="K19" i="1733"/>
  <c r="J19" i="1733"/>
  <c r="I19" i="1733"/>
  <c r="H19" i="1733"/>
  <c r="G19" i="1733"/>
  <c r="F19" i="1733"/>
  <c r="E19" i="1733"/>
  <c r="D19" i="1733"/>
  <c r="C19" i="1733"/>
  <c r="Y18" i="1733"/>
  <c r="W18" i="1733"/>
  <c r="V18" i="1733"/>
  <c r="U18" i="1733"/>
  <c r="T18" i="1733"/>
  <c r="P18" i="1733"/>
  <c r="O18" i="1733"/>
  <c r="N18" i="1733"/>
  <c r="M18" i="1733"/>
  <c r="L18" i="1733"/>
  <c r="K18" i="1733"/>
  <c r="J18" i="1733"/>
  <c r="I18" i="1733"/>
  <c r="H18" i="1733"/>
  <c r="G18" i="1733"/>
  <c r="F18" i="1733"/>
  <c r="E18" i="1733"/>
  <c r="D18" i="1733"/>
  <c r="C18" i="1733"/>
  <c r="Y4" i="1733"/>
  <c r="W4" i="1733"/>
  <c r="V4" i="1733"/>
  <c r="U4" i="1733"/>
  <c r="T4" i="1733"/>
  <c r="P4" i="1733"/>
  <c r="O4" i="1733"/>
  <c r="N4" i="1733"/>
  <c r="M4" i="1733"/>
  <c r="L4" i="1733"/>
  <c r="K4" i="1733"/>
  <c r="J4" i="1733"/>
  <c r="I4" i="1733"/>
  <c r="H4" i="1733"/>
  <c r="G4" i="1733"/>
  <c r="F4" i="1733"/>
  <c r="E4" i="1733"/>
  <c r="D4" i="1733"/>
  <c r="C4" i="1733"/>
  <c r="Y3" i="1733"/>
  <c r="W3" i="1733"/>
  <c r="V3" i="1733"/>
  <c r="U3" i="1733"/>
  <c r="T3" i="1733"/>
  <c r="P3" i="1733"/>
  <c r="O3" i="1733"/>
  <c r="N3" i="1733"/>
  <c r="M3" i="1733"/>
  <c r="L3" i="1733"/>
  <c r="K3" i="1733"/>
  <c r="J3" i="1733"/>
  <c r="I3" i="1733"/>
  <c r="H3" i="1733"/>
  <c r="G3" i="1733"/>
  <c r="F3" i="1733"/>
  <c r="E3" i="1733"/>
  <c r="D3" i="1733"/>
  <c r="C3" i="1733"/>
  <c r="F21" i="1732"/>
  <c r="Y19" i="1732"/>
  <c r="W19" i="1732"/>
  <c r="V19" i="1732"/>
  <c r="U19" i="1732"/>
  <c r="T19" i="1732"/>
  <c r="P19" i="1732"/>
  <c r="O19" i="1732"/>
  <c r="N19" i="1732"/>
  <c r="M19" i="1732"/>
  <c r="L19" i="1732"/>
  <c r="K19" i="1732"/>
  <c r="J19" i="1732"/>
  <c r="I19" i="1732"/>
  <c r="H19" i="1732"/>
  <c r="G19" i="1732"/>
  <c r="F19" i="1732"/>
  <c r="E19" i="1732"/>
  <c r="D19" i="1732"/>
  <c r="C19" i="1732"/>
  <c r="Y18" i="1732"/>
  <c r="W18" i="1732"/>
  <c r="V18" i="1732"/>
  <c r="U18" i="1732"/>
  <c r="T18" i="1732"/>
  <c r="P18" i="1732"/>
  <c r="O18" i="1732"/>
  <c r="N18" i="1732"/>
  <c r="M18" i="1732"/>
  <c r="L18" i="1732"/>
  <c r="K18" i="1732"/>
  <c r="J18" i="1732"/>
  <c r="I18" i="1732"/>
  <c r="H18" i="1732"/>
  <c r="G18" i="1732"/>
  <c r="F18" i="1732"/>
  <c r="E18" i="1732"/>
  <c r="D18" i="1732"/>
  <c r="C18" i="1732"/>
  <c r="Y4" i="1732"/>
  <c r="W4" i="1732"/>
  <c r="V4" i="1732"/>
  <c r="U4" i="1732"/>
  <c r="T4" i="1732"/>
  <c r="P4" i="1732"/>
  <c r="O4" i="1732"/>
  <c r="N4" i="1732"/>
  <c r="M4" i="1732"/>
  <c r="L4" i="1732"/>
  <c r="K4" i="1732"/>
  <c r="J4" i="1732"/>
  <c r="I4" i="1732"/>
  <c r="H4" i="1732"/>
  <c r="G4" i="1732"/>
  <c r="F4" i="1732"/>
  <c r="E4" i="1732"/>
  <c r="D4" i="1732"/>
  <c r="C4" i="1732"/>
  <c r="Y3" i="1732"/>
  <c r="W3" i="1732"/>
  <c r="V3" i="1732"/>
  <c r="U3" i="1732"/>
  <c r="T3" i="1732"/>
  <c r="P3" i="1732"/>
  <c r="O3" i="1732"/>
  <c r="N3" i="1732"/>
  <c r="M3" i="1732"/>
  <c r="L3" i="1732"/>
  <c r="K3" i="1732"/>
  <c r="J3" i="1732"/>
  <c r="I3" i="1732"/>
  <c r="H3" i="1732"/>
  <c r="G3" i="1732"/>
  <c r="F3" i="1732"/>
  <c r="E3" i="1732"/>
  <c r="D3" i="1732"/>
  <c r="C3" i="1732"/>
  <c r="F21" i="1731"/>
  <c r="Y19" i="1731"/>
  <c r="W19" i="1731"/>
  <c r="V19" i="1731"/>
  <c r="U19" i="1731"/>
  <c r="T19" i="1731"/>
  <c r="P19" i="1731"/>
  <c r="O19" i="1731"/>
  <c r="N19" i="1731"/>
  <c r="M19" i="1731"/>
  <c r="L19" i="1731"/>
  <c r="K19" i="1731"/>
  <c r="J19" i="1731"/>
  <c r="I19" i="1731"/>
  <c r="H19" i="1731"/>
  <c r="G19" i="1731"/>
  <c r="F19" i="1731"/>
  <c r="E19" i="1731"/>
  <c r="D19" i="1731"/>
  <c r="C19" i="1731"/>
  <c r="Y18" i="1731"/>
  <c r="W18" i="1731"/>
  <c r="V18" i="1731"/>
  <c r="U18" i="1731"/>
  <c r="T18" i="1731"/>
  <c r="P18" i="1731"/>
  <c r="O18" i="1731"/>
  <c r="N18" i="1731"/>
  <c r="M18" i="1731"/>
  <c r="L18" i="1731"/>
  <c r="K18" i="1731"/>
  <c r="J18" i="1731"/>
  <c r="I18" i="1731"/>
  <c r="H18" i="1731"/>
  <c r="G18" i="1731"/>
  <c r="F18" i="1731"/>
  <c r="E18" i="1731"/>
  <c r="D18" i="1731"/>
  <c r="C18" i="1731"/>
  <c r="Y4" i="1731"/>
  <c r="W4" i="1731"/>
  <c r="V4" i="1731"/>
  <c r="U4" i="1731"/>
  <c r="T4" i="1731"/>
  <c r="P4" i="1731"/>
  <c r="O4" i="1731"/>
  <c r="N4" i="1731"/>
  <c r="M4" i="1731"/>
  <c r="L4" i="1731"/>
  <c r="K4" i="1731"/>
  <c r="J4" i="1731"/>
  <c r="I4" i="1731"/>
  <c r="H4" i="1731"/>
  <c r="G4" i="1731"/>
  <c r="F4" i="1731"/>
  <c r="E4" i="1731"/>
  <c r="D4" i="1731"/>
  <c r="C4" i="1731"/>
  <c r="Y3" i="1731"/>
  <c r="W3" i="1731"/>
  <c r="V3" i="1731"/>
  <c r="U3" i="1731"/>
  <c r="T3" i="1731"/>
  <c r="P3" i="1731"/>
  <c r="O3" i="1731"/>
  <c r="N3" i="1731"/>
  <c r="M3" i="1731"/>
  <c r="L3" i="1731"/>
  <c r="K3" i="1731"/>
  <c r="J3" i="1731"/>
  <c r="I3" i="1731"/>
  <c r="H3" i="1731"/>
  <c r="G3" i="1731"/>
  <c r="F3" i="1731"/>
  <c r="E3" i="1731"/>
  <c r="D3" i="1731"/>
  <c r="C3" i="1731"/>
  <c r="C44" i="1730"/>
  <c r="F21" i="1730"/>
  <c r="Y19" i="1730"/>
  <c r="W19" i="1730"/>
  <c r="V19" i="1730"/>
  <c r="U19" i="1730"/>
  <c r="T19" i="1730"/>
  <c r="P19" i="1730"/>
  <c r="O19" i="1730"/>
  <c r="N19" i="1730"/>
  <c r="M19" i="1730"/>
  <c r="L19" i="1730"/>
  <c r="K19" i="1730"/>
  <c r="J19" i="1730"/>
  <c r="I19" i="1730"/>
  <c r="H19" i="1730"/>
  <c r="G19" i="1730"/>
  <c r="F19" i="1730"/>
  <c r="E19" i="1730"/>
  <c r="D19" i="1730"/>
  <c r="C19" i="1730"/>
  <c r="Y18" i="1730"/>
  <c r="W18" i="1730"/>
  <c r="V18" i="1730"/>
  <c r="U18" i="1730"/>
  <c r="T18" i="1730"/>
  <c r="P18" i="1730"/>
  <c r="O18" i="1730"/>
  <c r="N18" i="1730"/>
  <c r="M18" i="1730"/>
  <c r="L18" i="1730"/>
  <c r="K18" i="1730"/>
  <c r="J18" i="1730"/>
  <c r="I18" i="1730"/>
  <c r="H18" i="1730"/>
  <c r="G18" i="1730"/>
  <c r="F18" i="1730"/>
  <c r="E18" i="1730"/>
  <c r="D18" i="1730"/>
  <c r="C18" i="1730"/>
  <c r="Y4" i="1730"/>
  <c r="W4" i="1730"/>
  <c r="V4" i="1730"/>
  <c r="U4" i="1730"/>
  <c r="T4" i="1730"/>
  <c r="P4" i="1730"/>
  <c r="O4" i="1730"/>
  <c r="N4" i="1730"/>
  <c r="M4" i="1730"/>
  <c r="L4" i="1730"/>
  <c r="K4" i="1730"/>
  <c r="J4" i="1730"/>
  <c r="I4" i="1730"/>
  <c r="H4" i="1730"/>
  <c r="G4" i="1730"/>
  <c r="F4" i="1730"/>
  <c r="E4" i="1730"/>
  <c r="D4" i="1730"/>
  <c r="C4" i="1730"/>
  <c r="Y3" i="1730"/>
  <c r="W3" i="1730"/>
  <c r="V3" i="1730"/>
  <c r="U3" i="1730"/>
  <c r="T3" i="1730"/>
  <c r="P3" i="1730"/>
  <c r="O3" i="1730"/>
  <c r="N3" i="1730"/>
  <c r="M3" i="1730"/>
  <c r="L3" i="1730"/>
  <c r="K3" i="1730"/>
  <c r="J3" i="1730"/>
  <c r="I3" i="1730"/>
  <c r="H3" i="1730"/>
  <c r="G3" i="1730"/>
  <c r="F3" i="1730"/>
  <c r="E3" i="1730"/>
  <c r="D3" i="1730"/>
  <c r="C3" i="1730"/>
  <c r="F21" i="1729"/>
  <c r="Y19" i="1729"/>
  <c r="W19" i="1729"/>
  <c r="V19" i="1729"/>
  <c r="U19" i="1729"/>
  <c r="T19" i="1729"/>
  <c r="P19" i="1729"/>
  <c r="O19" i="1729"/>
  <c r="N19" i="1729"/>
  <c r="M19" i="1729"/>
  <c r="L19" i="1729"/>
  <c r="K19" i="1729"/>
  <c r="J19" i="1729"/>
  <c r="I19" i="1729"/>
  <c r="H19" i="1729"/>
  <c r="G19" i="1729"/>
  <c r="F19" i="1729"/>
  <c r="E19" i="1729"/>
  <c r="D19" i="1729"/>
  <c r="C19" i="1729"/>
  <c r="Y18" i="1729"/>
  <c r="W18" i="1729"/>
  <c r="V18" i="1729"/>
  <c r="U18" i="1729"/>
  <c r="T18" i="1729"/>
  <c r="P18" i="1729"/>
  <c r="O18" i="1729"/>
  <c r="N18" i="1729"/>
  <c r="M18" i="1729"/>
  <c r="L18" i="1729"/>
  <c r="K18" i="1729"/>
  <c r="J18" i="1729"/>
  <c r="I18" i="1729"/>
  <c r="H18" i="1729"/>
  <c r="G18" i="1729"/>
  <c r="F18" i="1729"/>
  <c r="E18" i="1729"/>
  <c r="D18" i="1729"/>
  <c r="C18" i="1729"/>
  <c r="Y4" i="1729"/>
  <c r="W4" i="1729"/>
  <c r="V4" i="1729"/>
  <c r="U4" i="1729"/>
  <c r="T4" i="1729"/>
  <c r="P4" i="1729"/>
  <c r="O4" i="1729"/>
  <c r="N4" i="1729"/>
  <c r="M4" i="1729"/>
  <c r="L4" i="1729"/>
  <c r="K4" i="1729"/>
  <c r="J4" i="1729"/>
  <c r="I4" i="1729"/>
  <c r="H4" i="1729"/>
  <c r="G4" i="1729"/>
  <c r="F4" i="1729"/>
  <c r="E4" i="1729"/>
  <c r="D4" i="1729"/>
  <c r="C4" i="1729"/>
  <c r="Y3" i="1729"/>
  <c r="W3" i="1729"/>
  <c r="V3" i="1729"/>
  <c r="U3" i="1729"/>
  <c r="T3" i="1729"/>
  <c r="P3" i="1729"/>
  <c r="O3" i="1729"/>
  <c r="N3" i="1729"/>
  <c r="M3" i="1729"/>
  <c r="L3" i="1729"/>
  <c r="K3" i="1729"/>
  <c r="J3" i="1729"/>
  <c r="I3" i="1729"/>
  <c r="H3" i="1729"/>
  <c r="G3" i="1729"/>
  <c r="F3" i="1729"/>
  <c r="E3" i="1729"/>
  <c r="D3" i="1729"/>
  <c r="C3" i="1729"/>
  <c r="F21" i="1728"/>
  <c r="Y19" i="1728"/>
  <c r="W19" i="1728"/>
  <c r="V19" i="1728"/>
  <c r="U19" i="1728"/>
  <c r="T19" i="1728"/>
  <c r="P19" i="1728"/>
  <c r="O19" i="1728"/>
  <c r="N19" i="1728"/>
  <c r="M19" i="1728"/>
  <c r="L19" i="1728"/>
  <c r="K19" i="1728"/>
  <c r="J19" i="1728"/>
  <c r="I19" i="1728"/>
  <c r="H19" i="1728"/>
  <c r="G19" i="1728"/>
  <c r="F19" i="1728"/>
  <c r="E19" i="1728"/>
  <c r="D19" i="1728"/>
  <c r="C19" i="1728"/>
  <c r="Y18" i="1728"/>
  <c r="W18" i="1728"/>
  <c r="V18" i="1728"/>
  <c r="U18" i="1728"/>
  <c r="T18" i="1728"/>
  <c r="P18" i="1728"/>
  <c r="O18" i="1728"/>
  <c r="N18" i="1728"/>
  <c r="M18" i="1728"/>
  <c r="L18" i="1728"/>
  <c r="K18" i="1728"/>
  <c r="J18" i="1728"/>
  <c r="I18" i="1728"/>
  <c r="H18" i="1728"/>
  <c r="G18" i="1728"/>
  <c r="F18" i="1728"/>
  <c r="E18" i="1728"/>
  <c r="D18" i="1728"/>
  <c r="C18" i="1728"/>
  <c r="Y4" i="1728"/>
  <c r="W4" i="1728"/>
  <c r="V4" i="1728"/>
  <c r="U4" i="1728"/>
  <c r="T4" i="1728"/>
  <c r="P4" i="1728"/>
  <c r="O4" i="1728"/>
  <c r="N4" i="1728"/>
  <c r="M4" i="1728"/>
  <c r="L4" i="1728"/>
  <c r="K4" i="1728"/>
  <c r="J4" i="1728"/>
  <c r="I4" i="1728"/>
  <c r="H4" i="1728"/>
  <c r="G4" i="1728"/>
  <c r="F4" i="1728"/>
  <c r="E4" i="1728"/>
  <c r="D4" i="1728"/>
  <c r="C4" i="1728"/>
  <c r="Y3" i="1728"/>
  <c r="W3" i="1728"/>
  <c r="V3" i="1728"/>
  <c r="U3" i="1728"/>
  <c r="T3" i="1728"/>
  <c r="P3" i="1728"/>
  <c r="O3" i="1728"/>
  <c r="N3" i="1728"/>
  <c r="M3" i="1728"/>
  <c r="L3" i="1728"/>
  <c r="K3" i="1728"/>
  <c r="J3" i="1728"/>
  <c r="I3" i="1728"/>
  <c r="H3" i="1728"/>
  <c r="G3" i="1728"/>
  <c r="F3" i="1728"/>
  <c r="E3" i="1728"/>
  <c r="D3" i="1728"/>
  <c r="C3" i="1728"/>
  <c r="F21" i="1727"/>
  <c r="Y19" i="1727"/>
  <c r="W19" i="1727"/>
  <c r="V19" i="1727"/>
  <c r="U19" i="1727"/>
  <c r="T19" i="1727"/>
  <c r="P19" i="1727"/>
  <c r="O19" i="1727"/>
  <c r="N19" i="1727"/>
  <c r="M19" i="1727"/>
  <c r="L19" i="1727"/>
  <c r="K19" i="1727"/>
  <c r="J19" i="1727"/>
  <c r="I19" i="1727"/>
  <c r="H19" i="1727"/>
  <c r="G19" i="1727"/>
  <c r="F19" i="1727"/>
  <c r="E19" i="1727"/>
  <c r="D19" i="1727"/>
  <c r="C19" i="1727"/>
  <c r="Y18" i="1727"/>
  <c r="W18" i="1727"/>
  <c r="V18" i="1727"/>
  <c r="U18" i="1727"/>
  <c r="T18" i="1727"/>
  <c r="P18" i="1727"/>
  <c r="O18" i="1727"/>
  <c r="N18" i="1727"/>
  <c r="M18" i="1727"/>
  <c r="L18" i="1727"/>
  <c r="K18" i="1727"/>
  <c r="J18" i="1727"/>
  <c r="I18" i="1727"/>
  <c r="H18" i="1727"/>
  <c r="G18" i="1727"/>
  <c r="F18" i="1727"/>
  <c r="E18" i="1727"/>
  <c r="D18" i="1727"/>
  <c r="C18" i="1727"/>
  <c r="Y4" i="1727"/>
  <c r="W4" i="1727"/>
  <c r="V4" i="1727"/>
  <c r="U4" i="1727"/>
  <c r="T4" i="1727"/>
  <c r="P4" i="1727"/>
  <c r="O4" i="1727"/>
  <c r="N4" i="1727"/>
  <c r="M4" i="1727"/>
  <c r="L4" i="1727"/>
  <c r="K4" i="1727"/>
  <c r="J4" i="1727"/>
  <c r="I4" i="1727"/>
  <c r="H4" i="1727"/>
  <c r="G4" i="1727"/>
  <c r="F4" i="1727"/>
  <c r="E4" i="1727"/>
  <c r="D4" i="1727"/>
  <c r="C4" i="1727"/>
  <c r="Y3" i="1727"/>
  <c r="W3" i="1727"/>
  <c r="V3" i="1727"/>
  <c r="U3" i="1727"/>
  <c r="T3" i="1727"/>
  <c r="P3" i="1727"/>
  <c r="O3" i="1727"/>
  <c r="N3" i="1727"/>
  <c r="M3" i="1727"/>
  <c r="L3" i="1727"/>
  <c r="K3" i="1727"/>
  <c r="J3" i="1727"/>
  <c r="I3" i="1727"/>
  <c r="H3" i="1727"/>
  <c r="G3" i="1727"/>
  <c r="F3" i="1727"/>
  <c r="E3" i="1727"/>
  <c r="D3" i="1727"/>
  <c r="C3" i="1727"/>
  <c r="F21" i="1726"/>
  <c r="Y19" i="1726"/>
  <c r="W19" i="1726"/>
  <c r="V19" i="1726"/>
  <c r="U19" i="1726"/>
  <c r="T19" i="1726"/>
  <c r="P19" i="1726"/>
  <c r="O19" i="1726"/>
  <c r="N19" i="1726"/>
  <c r="M19" i="1726"/>
  <c r="L19" i="1726"/>
  <c r="K19" i="1726"/>
  <c r="J19" i="1726"/>
  <c r="I19" i="1726"/>
  <c r="H19" i="1726"/>
  <c r="G19" i="1726"/>
  <c r="F19" i="1726"/>
  <c r="E19" i="1726"/>
  <c r="D19" i="1726"/>
  <c r="C19" i="1726"/>
  <c r="Y18" i="1726"/>
  <c r="W18" i="1726"/>
  <c r="V18" i="1726"/>
  <c r="U18" i="1726"/>
  <c r="T18" i="1726"/>
  <c r="P18" i="1726"/>
  <c r="O18" i="1726"/>
  <c r="N18" i="1726"/>
  <c r="M18" i="1726"/>
  <c r="L18" i="1726"/>
  <c r="K18" i="1726"/>
  <c r="J18" i="1726"/>
  <c r="I18" i="1726"/>
  <c r="H18" i="1726"/>
  <c r="G18" i="1726"/>
  <c r="F18" i="1726"/>
  <c r="E18" i="1726"/>
  <c r="D18" i="1726"/>
  <c r="C18" i="1726"/>
  <c r="Y4" i="1726"/>
  <c r="W4" i="1726"/>
  <c r="V4" i="1726"/>
  <c r="U4" i="1726"/>
  <c r="T4" i="1726"/>
  <c r="P4" i="1726"/>
  <c r="O4" i="1726"/>
  <c r="N4" i="1726"/>
  <c r="M4" i="1726"/>
  <c r="L4" i="1726"/>
  <c r="K4" i="1726"/>
  <c r="J4" i="1726"/>
  <c r="I4" i="1726"/>
  <c r="H4" i="1726"/>
  <c r="G4" i="1726"/>
  <c r="F4" i="1726"/>
  <c r="E4" i="1726"/>
  <c r="D4" i="1726"/>
  <c r="C4" i="1726"/>
  <c r="Y3" i="1726"/>
  <c r="W3" i="1726"/>
  <c r="V3" i="1726"/>
  <c r="U3" i="1726"/>
  <c r="T3" i="1726"/>
  <c r="P3" i="1726"/>
  <c r="O3" i="1726"/>
  <c r="N3" i="1726"/>
  <c r="M3" i="1726"/>
  <c r="L3" i="1726"/>
  <c r="K3" i="1726"/>
  <c r="J3" i="1726"/>
  <c r="I3" i="1726"/>
  <c r="H3" i="1726"/>
  <c r="G3" i="1726"/>
  <c r="F3" i="1726"/>
  <c r="E3" i="1726"/>
  <c r="D3" i="1726"/>
  <c r="C3" i="1726"/>
  <c r="F21" i="1725"/>
  <c r="Y19" i="1725"/>
  <c r="W19" i="1725"/>
  <c r="V19" i="1725"/>
  <c r="U19" i="1725"/>
  <c r="T19" i="1725"/>
  <c r="P19" i="1725"/>
  <c r="O19" i="1725"/>
  <c r="N19" i="1725"/>
  <c r="M19" i="1725"/>
  <c r="L19" i="1725"/>
  <c r="K19" i="1725"/>
  <c r="J19" i="1725"/>
  <c r="I19" i="1725"/>
  <c r="H19" i="1725"/>
  <c r="G19" i="1725"/>
  <c r="F19" i="1725"/>
  <c r="E19" i="1725"/>
  <c r="D19" i="1725"/>
  <c r="C19" i="1725"/>
  <c r="Y18" i="1725"/>
  <c r="W18" i="1725"/>
  <c r="V18" i="1725"/>
  <c r="U18" i="1725"/>
  <c r="T18" i="1725"/>
  <c r="P18" i="1725"/>
  <c r="O18" i="1725"/>
  <c r="N18" i="1725"/>
  <c r="M18" i="1725"/>
  <c r="L18" i="1725"/>
  <c r="K18" i="1725"/>
  <c r="J18" i="1725"/>
  <c r="I18" i="1725"/>
  <c r="H18" i="1725"/>
  <c r="G18" i="1725"/>
  <c r="F18" i="1725"/>
  <c r="E18" i="1725"/>
  <c r="D18" i="1725"/>
  <c r="C18" i="1725"/>
  <c r="Y4" i="1725"/>
  <c r="W4" i="1725"/>
  <c r="V4" i="1725"/>
  <c r="U4" i="1725"/>
  <c r="T4" i="1725"/>
  <c r="P4" i="1725"/>
  <c r="O4" i="1725"/>
  <c r="N4" i="1725"/>
  <c r="M4" i="1725"/>
  <c r="L4" i="1725"/>
  <c r="K4" i="1725"/>
  <c r="J4" i="1725"/>
  <c r="I4" i="1725"/>
  <c r="H4" i="1725"/>
  <c r="G4" i="1725"/>
  <c r="F4" i="1725"/>
  <c r="E4" i="1725"/>
  <c r="D4" i="1725"/>
  <c r="C4" i="1725"/>
  <c r="Y3" i="1725"/>
  <c r="W3" i="1725"/>
  <c r="V3" i="1725"/>
  <c r="U3" i="1725"/>
  <c r="T3" i="1725"/>
  <c r="P3" i="1725"/>
  <c r="O3" i="1725"/>
  <c r="N3" i="1725"/>
  <c r="M3" i="1725"/>
  <c r="L3" i="1725"/>
  <c r="K3" i="1725"/>
  <c r="J3" i="1725"/>
  <c r="I3" i="1725"/>
  <c r="H3" i="1725"/>
  <c r="G3" i="1725"/>
  <c r="F3" i="1725"/>
  <c r="E3" i="1725"/>
  <c r="D3" i="1725"/>
  <c r="C3" i="1725"/>
  <c r="F21" i="1724"/>
  <c r="Y19" i="1724"/>
  <c r="W19" i="1724"/>
  <c r="V19" i="1724"/>
  <c r="U19" i="1724"/>
  <c r="T19" i="1724"/>
  <c r="P19" i="1724"/>
  <c r="O19" i="1724"/>
  <c r="N19" i="1724"/>
  <c r="M19" i="1724"/>
  <c r="L19" i="1724"/>
  <c r="K19" i="1724"/>
  <c r="J19" i="1724"/>
  <c r="I19" i="1724"/>
  <c r="H19" i="1724"/>
  <c r="G19" i="1724"/>
  <c r="F19" i="1724"/>
  <c r="E19" i="1724"/>
  <c r="D19" i="1724"/>
  <c r="C19" i="1724"/>
  <c r="Y18" i="1724"/>
  <c r="W18" i="1724"/>
  <c r="V18" i="1724"/>
  <c r="U18" i="1724"/>
  <c r="T18" i="1724"/>
  <c r="P18" i="1724"/>
  <c r="O18" i="1724"/>
  <c r="N18" i="1724"/>
  <c r="M18" i="1724"/>
  <c r="L18" i="1724"/>
  <c r="K18" i="1724"/>
  <c r="J18" i="1724"/>
  <c r="I18" i="1724"/>
  <c r="H18" i="1724"/>
  <c r="G18" i="1724"/>
  <c r="F18" i="1724"/>
  <c r="E18" i="1724"/>
  <c r="D18" i="1724"/>
  <c r="C18" i="1724"/>
  <c r="Y4" i="1724"/>
  <c r="W4" i="1724"/>
  <c r="V4" i="1724"/>
  <c r="U4" i="1724"/>
  <c r="T4" i="1724"/>
  <c r="P4" i="1724"/>
  <c r="O4" i="1724"/>
  <c r="N4" i="1724"/>
  <c r="M4" i="1724"/>
  <c r="L4" i="1724"/>
  <c r="K4" i="1724"/>
  <c r="J4" i="1724"/>
  <c r="I4" i="1724"/>
  <c r="H4" i="1724"/>
  <c r="G4" i="1724"/>
  <c r="F4" i="1724"/>
  <c r="E4" i="1724"/>
  <c r="D4" i="1724"/>
  <c r="C4" i="1724"/>
  <c r="Y3" i="1724"/>
  <c r="W3" i="1724"/>
  <c r="V3" i="1724"/>
  <c r="U3" i="1724"/>
  <c r="T3" i="1724"/>
  <c r="P3" i="1724"/>
  <c r="O3" i="1724"/>
  <c r="N3" i="1724"/>
  <c r="M3" i="1724"/>
  <c r="L3" i="1724"/>
  <c r="K3" i="1724"/>
  <c r="J3" i="1724"/>
  <c r="I3" i="1724"/>
  <c r="H3" i="1724"/>
  <c r="G3" i="1724"/>
  <c r="F3" i="1724"/>
  <c r="E3" i="1724"/>
  <c r="D3" i="1724"/>
  <c r="C3" i="1724"/>
  <c r="F21" i="1723"/>
  <c r="Y19" i="1723"/>
  <c r="W19" i="1723"/>
  <c r="V19" i="1723"/>
  <c r="U19" i="1723"/>
  <c r="T19" i="1723"/>
  <c r="P19" i="1723"/>
  <c r="O19" i="1723"/>
  <c r="N19" i="1723"/>
  <c r="M19" i="1723"/>
  <c r="L19" i="1723"/>
  <c r="K19" i="1723"/>
  <c r="J19" i="1723"/>
  <c r="I19" i="1723"/>
  <c r="H19" i="1723"/>
  <c r="G19" i="1723"/>
  <c r="F19" i="1723"/>
  <c r="E19" i="1723"/>
  <c r="D19" i="1723"/>
  <c r="C19" i="1723"/>
  <c r="Y18" i="1723"/>
  <c r="W18" i="1723"/>
  <c r="V18" i="1723"/>
  <c r="U18" i="1723"/>
  <c r="T18" i="1723"/>
  <c r="P18" i="1723"/>
  <c r="O18" i="1723"/>
  <c r="N18" i="1723"/>
  <c r="M18" i="1723"/>
  <c r="L18" i="1723"/>
  <c r="K18" i="1723"/>
  <c r="J18" i="1723"/>
  <c r="I18" i="1723"/>
  <c r="H18" i="1723"/>
  <c r="G18" i="1723"/>
  <c r="F18" i="1723"/>
  <c r="E18" i="1723"/>
  <c r="D18" i="1723"/>
  <c r="C18" i="1723"/>
  <c r="Y4" i="1723"/>
  <c r="W4" i="1723"/>
  <c r="V4" i="1723"/>
  <c r="U4" i="1723"/>
  <c r="T4" i="1723"/>
  <c r="P4" i="1723"/>
  <c r="O4" i="1723"/>
  <c r="N4" i="1723"/>
  <c r="M4" i="1723"/>
  <c r="L4" i="1723"/>
  <c r="K4" i="1723"/>
  <c r="J4" i="1723"/>
  <c r="I4" i="1723"/>
  <c r="H4" i="1723"/>
  <c r="G4" i="1723"/>
  <c r="F4" i="1723"/>
  <c r="E4" i="1723"/>
  <c r="D4" i="1723"/>
  <c r="C4" i="1723"/>
  <c r="Y3" i="1723"/>
  <c r="W3" i="1723"/>
  <c r="V3" i="1723"/>
  <c r="U3" i="1723"/>
  <c r="T3" i="1723"/>
  <c r="P3" i="1723"/>
  <c r="O3" i="1723"/>
  <c r="N3" i="1723"/>
  <c r="M3" i="1723"/>
  <c r="L3" i="1723"/>
  <c r="K3" i="1723"/>
  <c r="J3" i="1723"/>
  <c r="I3" i="1723"/>
  <c r="H3" i="1723"/>
  <c r="G3" i="1723"/>
  <c r="F3" i="1723"/>
  <c r="E3" i="1723"/>
  <c r="D3" i="1723"/>
  <c r="C3" i="1723"/>
  <c r="F21" i="1706" l="1"/>
  <c r="Y19" i="1706"/>
  <c r="W19" i="1706"/>
  <c r="V19" i="1706"/>
  <c r="U19" i="1706"/>
  <c r="T19" i="1706"/>
  <c r="P19" i="1706"/>
  <c r="O19" i="1706"/>
  <c r="N19" i="1706"/>
  <c r="M19" i="1706"/>
  <c r="L19" i="1706"/>
  <c r="K19" i="1706"/>
  <c r="J19" i="1706"/>
  <c r="I19" i="1706"/>
  <c r="H19" i="1706"/>
  <c r="G19" i="1706"/>
  <c r="F19" i="1706"/>
  <c r="E19" i="1706"/>
  <c r="D19" i="1706"/>
  <c r="C19" i="1706"/>
  <c r="Y18" i="1706"/>
  <c r="W18" i="1706"/>
  <c r="V18" i="1706"/>
  <c r="U18" i="1706"/>
  <c r="T18" i="1706"/>
  <c r="P18" i="1706"/>
  <c r="O18" i="1706"/>
  <c r="N18" i="1706"/>
  <c r="M18" i="1706"/>
  <c r="L18" i="1706"/>
  <c r="K18" i="1706"/>
  <c r="J18" i="1706"/>
  <c r="I18" i="1706"/>
  <c r="H18" i="1706"/>
  <c r="G18" i="1706"/>
  <c r="F18" i="1706"/>
  <c r="E18" i="1706"/>
  <c r="D18" i="1706"/>
  <c r="C18" i="1706"/>
  <c r="Y4" i="1706"/>
  <c r="W4" i="1706"/>
  <c r="V4" i="1706"/>
  <c r="U4" i="1706"/>
  <c r="T4" i="1706"/>
  <c r="P4" i="1706"/>
  <c r="O4" i="1706"/>
  <c r="N4" i="1706"/>
  <c r="M4" i="1706"/>
  <c r="L4" i="1706"/>
  <c r="K4" i="1706"/>
  <c r="J4" i="1706"/>
  <c r="I4" i="1706"/>
  <c r="H4" i="1706"/>
  <c r="G4" i="1706"/>
  <c r="F4" i="1706"/>
  <c r="E4" i="1706"/>
  <c r="D4" i="1706"/>
  <c r="C4" i="1706"/>
  <c r="Y3" i="1706"/>
  <c r="W3" i="1706"/>
  <c r="V3" i="1706"/>
  <c r="U3" i="1706"/>
  <c r="T3" i="1706"/>
  <c r="P3" i="1706"/>
  <c r="O3" i="1706"/>
  <c r="N3" i="1706"/>
  <c r="M3" i="1706"/>
  <c r="L3" i="1706"/>
  <c r="K3" i="1706"/>
  <c r="J3" i="1706"/>
  <c r="I3" i="1706"/>
  <c r="H3" i="1706"/>
  <c r="G3" i="1706"/>
  <c r="F3" i="1706"/>
  <c r="E3" i="1706"/>
  <c r="D3" i="1706"/>
  <c r="C3" i="1706"/>
  <c r="F21" i="1705"/>
  <c r="Y19" i="1705"/>
  <c r="W19" i="1705"/>
  <c r="V19" i="1705"/>
  <c r="U19" i="1705"/>
  <c r="T19" i="1705"/>
  <c r="P19" i="1705"/>
  <c r="O19" i="1705"/>
  <c r="N19" i="1705"/>
  <c r="M19" i="1705"/>
  <c r="L19" i="1705"/>
  <c r="K19" i="1705"/>
  <c r="J19" i="1705"/>
  <c r="I19" i="1705"/>
  <c r="H19" i="1705"/>
  <c r="G19" i="1705"/>
  <c r="F19" i="1705"/>
  <c r="E19" i="1705"/>
  <c r="D19" i="1705"/>
  <c r="C19" i="1705"/>
  <c r="Y18" i="1705"/>
  <c r="W18" i="1705"/>
  <c r="V18" i="1705"/>
  <c r="U18" i="1705"/>
  <c r="T18" i="1705"/>
  <c r="P18" i="1705"/>
  <c r="O18" i="1705"/>
  <c r="N18" i="1705"/>
  <c r="M18" i="1705"/>
  <c r="L18" i="1705"/>
  <c r="K18" i="1705"/>
  <c r="J18" i="1705"/>
  <c r="I18" i="1705"/>
  <c r="H18" i="1705"/>
  <c r="G18" i="1705"/>
  <c r="F18" i="1705"/>
  <c r="E18" i="1705"/>
  <c r="D18" i="1705"/>
  <c r="C18" i="1705"/>
  <c r="Y4" i="1705"/>
  <c r="W4" i="1705"/>
  <c r="V4" i="1705"/>
  <c r="U4" i="1705"/>
  <c r="T4" i="1705"/>
  <c r="P4" i="1705"/>
  <c r="O4" i="1705"/>
  <c r="N4" i="1705"/>
  <c r="M4" i="1705"/>
  <c r="L4" i="1705"/>
  <c r="K4" i="1705"/>
  <c r="J4" i="1705"/>
  <c r="I4" i="1705"/>
  <c r="H4" i="1705"/>
  <c r="G4" i="1705"/>
  <c r="F4" i="1705"/>
  <c r="E4" i="1705"/>
  <c r="D4" i="1705"/>
  <c r="C4" i="1705"/>
  <c r="Y3" i="1705"/>
  <c r="W3" i="1705"/>
  <c r="V3" i="1705"/>
  <c r="U3" i="1705"/>
  <c r="T3" i="1705"/>
  <c r="P3" i="1705"/>
  <c r="O3" i="1705"/>
  <c r="N3" i="1705"/>
  <c r="M3" i="1705"/>
  <c r="L3" i="1705"/>
  <c r="K3" i="1705"/>
  <c r="J3" i="1705"/>
  <c r="I3" i="1705"/>
  <c r="H3" i="1705"/>
  <c r="G3" i="1705"/>
  <c r="F3" i="1705"/>
  <c r="E3" i="1705"/>
  <c r="D3" i="1705"/>
  <c r="C3" i="1705"/>
  <c r="F21" i="1704"/>
  <c r="Y19" i="1704"/>
  <c r="W19" i="1704"/>
  <c r="V19" i="1704"/>
  <c r="U19" i="1704"/>
  <c r="T19" i="1704"/>
  <c r="P19" i="1704"/>
  <c r="O19" i="1704"/>
  <c r="N19" i="1704"/>
  <c r="M19" i="1704"/>
  <c r="L19" i="1704"/>
  <c r="K19" i="1704"/>
  <c r="J19" i="1704"/>
  <c r="I19" i="1704"/>
  <c r="H19" i="1704"/>
  <c r="G19" i="1704"/>
  <c r="F19" i="1704"/>
  <c r="E19" i="1704"/>
  <c r="D19" i="1704"/>
  <c r="C19" i="1704"/>
  <c r="Y18" i="1704"/>
  <c r="W18" i="1704"/>
  <c r="V18" i="1704"/>
  <c r="U18" i="1704"/>
  <c r="T18" i="1704"/>
  <c r="P18" i="1704"/>
  <c r="O18" i="1704"/>
  <c r="N18" i="1704"/>
  <c r="M18" i="1704"/>
  <c r="L18" i="1704"/>
  <c r="K18" i="1704"/>
  <c r="J18" i="1704"/>
  <c r="I18" i="1704"/>
  <c r="H18" i="1704"/>
  <c r="G18" i="1704"/>
  <c r="F18" i="1704"/>
  <c r="E18" i="1704"/>
  <c r="D18" i="1704"/>
  <c r="C18" i="1704"/>
  <c r="Y4" i="1704"/>
  <c r="W4" i="1704"/>
  <c r="V4" i="1704"/>
  <c r="U4" i="1704"/>
  <c r="T4" i="1704"/>
  <c r="P4" i="1704"/>
  <c r="O4" i="1704"/>
  <c r="N4" i="1704"/>
  <c r="M4" i="1704"/>
  <c r="L4" i="1704"/>
  <c r="K4" i="1704"/>
  <c r="J4" i="1704"/>
  <c r="I4" i="1704"/>
  <c r="H4" i="1704"/>
  <c r="G4" i="1704"/>
  <c r="F4" i="1704"/>
  <c r="E4" i="1704"/>
  <c r="D4" i="1704"/>
  <c r="C4" i="1704"/>
  <c r="Y3" i="1704"/>
  <c r="W3" i="1704"/>
  <c r="V3" i="1704"/>
  <c r="U3" i="1704"/>
  <c r="T3" i="1704"/>
  <c r="P3" i="1704"/>
  <c r="O3" i="1704"/>
  <c r="N3" i="1704"/>
  <c r="M3" i="1704"/>
  <c r="L3" i="1704"/>
  <c r="K3" i="1704"/>
  <c r="J3" i="1704"/>
  <c r="I3" i="1704"/>
  <c r="H3" i="1704"/>
  <c r="G3" i="1704"/>
  <c r="F3" i="1704"/>
  <c r="E3" i="1704"/>
  <c r="D3" i="1704"/>
  <c r="C3" i="1704"/>
  <c r="F21" i="1703"/>
  <c r="Y19" i="1703"/>
  <c r="W19" i="1703"/>
  <c r="V19" i="1703"/>
  <c r="U19" i="1703"/>
  <c r="T19" i="1703"/>
  <c r="P19" i="1703"/>
  <c r="O19" i="1703"/>
  <c r="N19" i="1703"/>
  <c r="M19" i="1703"/>
  <c r="L19" i="1703"/>
  <c r="K19" i="1703"/>
  <c r="J19" i="1703"/>
  <c r="I19" i="1703"/>
  <c r="H19" i="1703"/>
  <c r="G19" i="1703"/>
  <c r="F19" i="1703"/>
  <c r="E19" i="1703"/>
  <c r="D19" i="1703"/>
  <c r="C19" i="1703"/>
  <c r="Y18" i="1703"/>
  <c r="W18" i="1703"/>
  <c r="V18" i="1703"/>
  <c r="U18" i="1703"/>
  <c r="T18" i="1703"/>
  <c r="P18" i="1703"/>
  <c r="O18" i="1703"/>
  <c r="N18" i="1703"/>
  <c r="M18" i="1703"/>
  <c r="L18" i="1703"/>
  <c r="K18" i="1703"/>
  <c r="J18" i="1703"/>
  <c r="I18" i="1703"/>
  <c r="H18" i="1703"/>
  <c r="G18" i="1703"/>
  <c r="F18" i="1703"/>
  <c r="E18" i="1703"/>
  <c r="D18" i="1703"/>
  <c r="C18" i="1703"/>
  <c r="Y4" i="1703"/>
  <c r="W4" i="1703"/>
  <c r="V4" i="1703"/>
  <c r="U4" i="1703"/>
  <c r="T4" i="1703"/>
  <c r="P4" i="1703"/>
  <c r="O4" i="1703"/>
  <c r="N4" i="1703"/>
  <c r="M4" i="1703"/>
  <c r="L4" i="1703"/>
  <c r="K4" i="1703"/>
  <c r="J4" i="1703"/>
  <c r="I4" i="1703"/>
  <c r="H4" i="1703"/>
  <c r="G4" i="1703"/>
  <c r="F4" i="1703"/>
  <c r="E4" i="1703"/>
  <c r="D4" i="1703"/>
  <c r="C4" i="1703"/>
  <c r="Y3" i="1703"/>
  <c r="W3" i="1703"/>
  <c r="V3" i="1703"/>
  <c r="U3" i="1703"/>
  <c r="T3" i="1703"/>
  <c r="P3" i="1703"/>
  <c r="O3" i="1703"/>
  <c r="N3" i="1703"/>
  <c r="M3" i="1703"/>
  <c r="L3" i="1703"/>
  <c r="K3" i="1703"/>
  <c r="J3" i="1703"/>
  <c r="I3" i="1703"/>
  <c r="H3" i="1703"/>
  <c r="G3" i="1703"/>
  <c r="F3" i="1703"/>
  <c r="E3" i="1703"/>
  <c r="D3" i="1703"/>
  <c r="C3" i="1703"/>
</calcChain>
</file>

<file path=xl/sharedStrings.xml><?xml version="1.0" encoding="utf-8"?>
<sst xmlns="http://schemas.openxmlformats.org/spreadsheetml/2006/main" count="6746" uniqueCount="127">
  <si>
    <t>CHECKER STOCK REPORT</t>
  </si>
  <si>
    <t>UPDATE PRICE FGS</t>
  </si>
  <si>
    <t>UPDATE PRICE CMTS</t>
  </si>
  <si>
    <t>UPDATE PRICE LS</t>
  </si>
  <si>
    <t>UPDATE PRICE LB</t>
  </si>
  <si>
    <t>ROUTE 1</t>
  </si>
  <si>
    <t>PAMB</t>
  </si>
  <si>
    <t>PAMC</t>
  </si>
  <si>
    <t>KRB</t>
  </si>
  <si>
    <t>KRC</t>
  </si>
  <si>
    <t>CBC</t>
  </si>
  <si>
    <t>SDB</t>
  </si>
  <si>
    <t>SDC</t>
  </si>
  <si>
    <t>SMLB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</si>
  <si>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</si>
  <si>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</si>
  <si>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</si>
  <si>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</si>
  <si>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</si>
  <si>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</si>
  <si>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</si>
  <si>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</si>
  <si>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</si>
  <si>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1ST LOAD</t>
  </si>
  <si>
    <t>2ND LOAD</t>
  </si>
  <si>
    <t>FGS RETURNED</t>
  </si>
  <si>
    <t>TOTAL SALES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</si>
  <si>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</si>
  <si>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</si>
  <si>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</si>
  <si>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</si>
  <si>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</si>
  <si>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</si>
  <si>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</si>
  <si>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</si>
  <si>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</si>
  <si>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</si>
  <si>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HTA</t>
  </si>
  <si>
    <t>CB</t>
  </si>
  <si>
    <t>CC</t>
  </si>
  <si>
    <t>C10C</t>
  </si>
  <si>
    <t>CIB</t>
  </si>
  <si>
    <t>CIC</t>
  </si>
  <si>
    <t>EMPTIES</t>
  </si>
  <si>
    <t>RHL/PL</t>
  </si>
  <si>
    <t>RH5</t>
  </si>
  <si>
    <t>FBA/SML/RHS</t>
  </si>
  <si>
    <t>MHT</t>
  </si>
  <si>
    <t>REMARKS</t>
  </si>
  <si>
    <t>COMPLETE</t>
  </si>
  <si>
    <t>SHELL</t>
  </si>
  <si>
    <t>BOTTLE</t>
  </si>
  <si>
    <t>RETURNED</t>
  </si>
  <si>
    <t>TOTAL</t>
  </si>
  <si>
    <t>SIGNATURE</t>
  </si>
  <si>
    <t>ROUTE 2</t>
  </si>
  <si>
    <t>ROUTE 3</t>
  </si>
  <si>
    <t>RH500C</t>
  </si>
  <si>
    <t>CBB</t>
  </si>
  <si>
    <t>CNB</t>
  </si>
  <si>
    <t>CLC</t>
  </si>
  <si>
    <t>SMZB</t>
  </si>
  <si>
    <t>SMFB</t>
  </si>
  <si>
    <t>GE320</t>
  </si>
  <si>
    <t>PP500C</t>
  </si>
  <si>
    <t>SML500C</t>
  </si>
  <si>
    <t>MGYZ</t>
  </si>
  <si>
    <t>DATE _______________________________</t>
  </si>
  <si>
    <t>TOTAL SALES:</t>
  </si>
  <si>
    <t>TOTAL BOTTLES:</t>
  </si>
  <si>
    <t>DATE ___________06/01/2026___________</t>
  </si>
  <si>
    <t>DATE ___________06/02/2026___________</t>
  </si>
  <si>
    <t>DATE ___________06/03/2026___________</t>
  </si>
  <si>
    <t>DATE ___________06/04/2026___________</t>
  </si>
  <si>
    <t>DATE ___________06/05/2026___________</t>
  </si>
  <si>
    <t>DATE ___________06/06/2026___________</t>
  </si>
  <si>
    <t>DATE ___________06/08/2026___________</t>
  </si>
  <si>
    <t>2/22B</t>
  </si>
  <si>
    <t>22B</t>
  </si>
  <si>
    <t>11/12B</t>
  </si>
  <si>
    <t>6/12B</t>
  </si>
  <si>
    <t>13/1B</t>
  </si>
  <si>
    <t>12/1B</t>
  </si>
  <si>
    <t>8/12B</t>
  </si>
  <si>
    <t>3/12B</t>
  </si>
  <si>
    <t>1/12B</t>
  </si>
  <si>
    <t>5/4B</t>
  </si>
  <si>
    <t>9/3B</t>
  </si>
  <si>
    <t>12B</t>
  </si>
  <si>
    <t>13/12B</t>
  </si>
  <si>
    <t>2/3B</t>
  </si>
  <si>
    <t>12/3B</t>
  </si>
  <si>
    <t>15/12B</t>
  </si>
  <si>
    <t>10/12B</t>
  </si>
  <si>
    <t>DATE ___________06/09/2026___________</t>
  </si>
  <si>
    <t>DATE ___________06/10/2026___________</t>
  </si>
  <si>
    <t>20/12B</t>
  </si>
  <si>
    <t>2/12b</t>
  </si>
  <si>
    <t>9/12b</t>
  </si>
  <si>
    <t>12b</t>
  </si>
  <si>
    <t>5/12b</t>
  </si>
  <si>
    <t>1/12b</t>
  </si>
  <si>
    <t>9/4b</t>
  </si>
  <si>
    <t>9/3b</t>
  </si>
  <si>
    <t>DATE ___________06/11/2026___________</t>
  </si>
  <si>
    <t>DATE ___________06/12/2026___________</t>
  </si>
  <si>
    <t>DATE ___________06/13/2026___________</t>
  </si>
  <si>
    <t>9/4B</t>
  </si>
  <si>
    <t>2/12B</t>
  </si>
  <si>
    <t>6/3B</t>
  </si>
  <si>
    <t>25/12B</t>
  </si>
  <si>
    <t>DATE ___________06/15/2026___________</t>
  </si>
  <si>
    <t>DATE ___________06/16/2026___________</t>
  </si>
  <si>
    <t>DATE ___________06/17/2026___________</t>
  </si>
  <si>
    <t>DATE ___________06/18/2026___________</t>
  </si>
  <si>
    <t>DATE ___________06/19/2026___________</t>
  </si>
  <si>
    <t>DATE ___________06/20/2026___________</t>
  </si>
  <si>
    <t>DATE ___________06/22/2026___________</t>
  </si>
  <si>
    <t>22/12B</t>
  </si>
  <si>
    <t>10/12b</t>
  </si>
  <si>
    <t>15/12b</t>
  </si>
  <si>
    <t>4/12b</t>
  </si>
  <si>
    <t>6/3b</t>
  </si>
  <si>
    <t>16/12b</t>
  </si>
  <si>
    <t>25/12b</t>
  </si>
  <si>
    <t>13/12b</t>
  </si>
  <si>
    <t>19/12b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</si>
</sst>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(* #,##0.00_);_(* \(#,##0.00\);_(* &quot;-&quot;??_);_(@_)"/>
    <numFmt numFmtId="165" formatCode="_(* #,##0.0_);_(* \(#,##0.0\);_(* &quot;-&quot;??_);_(@_)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name val="Calibri"/>
      <family val="2"/>
      <scheme val="minor"/>
    </font>
    <font>
      <sz val="1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  <font>
      <b/>
      <sz val="8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</fills>
  <borders count="42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/>
      <bottom/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indexed="64"/>
      </right>
      <top style="medium">
        <color auto="1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9" fillId="0" borderId="0"/>
  </cellStyleXfs>
  <cellXfs count="97">
    <xf numFmtId="0" fontId="0" fillId="0" borderId="0" xfId="0"/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165" fontId="6" fillId="0" borderId="0" xfId="1" applyNumberFormat="1" applyFont="1" applyFill="1" applyAlignment="1">
      <alignment vertical="center"/>
    </xf>
    <xf numFmtId="165" fontId="6" fillId="0" borderId="0" xfId="1" applyNumberFormat="1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5" xfId="0" applyFont="1" applyBorder="1" applyAlignment="1">
      <alignment horizontal="left" vertical="center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8" xfId="0" applyFont="1" applyBorder="1" applyAlignment="1" applyProtection="1">
      <alignment horizontal="center" vertical="center"/>
      <protection locked="0"/>
    </xf>
    <xf numFmtId="0" fontId="4" fillId="0" borderId="9" xfId="0" applyFont="1" applyBorder="1" applyAlignment="1">
      <alignment horizontal="left" vertical="center"/>
    </xf>
    <xf numFmtId="3" fontId="3" fillId="0" borderId="10" xfId="0" applyNumberFormat="1" applyFont="1" applyBorder="1" applyAlignment="1">
      <alignment horizontal="center" vertical="center"/>
    </xf>
    <xf numFmtId="3" fontId="3" fillId="0" borderId="11" xfId="0" applyNumberFormat="1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4" fillId="0" borderId="13" xfId="0" applyFont="1" applyBorder="1" applyAlignment="1">
      <alignment horizontal="left" vertical="center"/>
    </xf>
    <xf numFmtId="3" fontId="3" fillId="0" borderId="14" xfId="0" applyNumberFormat="1" applyFont="1" applyBorder="1" applyAlignment="1" applyProtection="1">
      <alignment horizontal="center" vertical="center"/>
      <protection locked="0"/>
    </xf>
    <xf numFmtId="3" fontId="3" fillId="0" borderId="15" xfId="0" applyNumberFormat="1" applyFont="1" applyBorder="1" applyAlignment="1" applyProtection="1">
      <alignment horizontal="center" vertical="center"/>
      <protection locked="0"/>
    </xf>
    <xf numFmtId="3" fontId="3" fillId="0" borderId="16" xfId="0" applyNumberFormat="1" applyFont="1" applyBorder="1" applyAlignment="1" applyProtection="1">
      <alignment horizontal="center" vertical="center"/>
      <protection locked="0"/>
    </xf>
    <xf numFmtId="0" fontId="4" fillId="0" borderId="17" xfId="0" applyFont="1" applyBorder="1" applyAlignment="1">
      <alignment horizontal="left" vertical="center"/>
    </xf>
    <xf numFmtId="0" fontId="4" fillId="0" borderId="14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7" fillId="0" borderId="18" xfId="0" applyFont="1" applyBorder="1" applyAlignment="1">
      <alignment horizontal="left" vertical="center"/>
    </xf>
    <xf numFmtId="164" fontId="6" fillId="0" borderId="0" xfId="2" applyFont="1" applyFill="1" applyBorder="1" applyAlignment="1">
      <alignment horizontal="center" vertical="center"/>
    </xf>
    <xf numFmtId="164" fontId="6" fillId="0" borderId="19" xfId="2" applyFont="1" applyFill="1" applyBorder="1" applyAlignment="1">
      <alignment horizontal="center" vertical="center"/>
    </xf>
    <xf numFmtId="0" fontId="6" fillId="0" borderId="20" xfId="0" applyFont="1" applyBorder="1" applyAlignment="1">
      <alignment vertical="center"/>
    </xf>
    <xf numFmtId="165" fontId="6" fillId="0" borderId="0" xfId="1" applyNumberFormat="1" applyFont="1" applyFill="1" applyBorder="1" applyAlignment="1">
      <alignment horizontal="center" vertical="center"/>
    </xf>
    <xf numFmtId="165" fontId="6" fillId="0" borderId="19" xfId="1" applyNumberFormat="1" applyFont="1" applyFill="1" applyBorder="1" applyAlignment="1">
      <alignment horizontal="center" vertical="center"/>
    </xf>
    <xf numFmtId="43" fontId="6" fillId="0" borderId="0" xfId="1" applyFont="1" applyFill="1" applyBorder="1" applyAlignment="1">
      <alignment horizontal="center" vertical="center"/>
    </xf>
    <xf numFmtId="0" fontId="4" fillId="0" borderId="1" xfId="0" applyFont="1" applyBorder="1" applyAlignment="1">
      <alignment vertical="center"/>
    </xf>
    <xf numFmtId="0" fontId="4" fillId="0" borderId="21" xfId="0" applyFont="1" applyBorder="1" applyAlignment="1">
      <alignment horizontal="left" vertical="center"/>
    </xf>
    <xf numFmtId="3" fontId="3" fillId="0" borderId="26" xfId="0" applyNumberFormat="1" applyFont="1" applyBorder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3" fontId="3" fillId="0" borderId="3" xfId="0" applyNumberFormat="1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3" fontId="3" fillId="0" borderId="2" xfId="0" applyNumberFormat="1" applyFont="1" applyBorder="1" applyAlignment="1">
      <alignment horizontal="center" vertical="center"/>
    </xf>
    <xf numFmtId="0" fontId="7" fillId="0" borderId="27" xfId="3" applyFont="1" applyBorder="1" applyAlignment="1">
      <alignment horizontal="center" vertical="center"/>
    </xf>
    <xf numFmtId="0" fontId="3" fillId="0" borderId="27" xfId="0" applyFont="1" applyBorder="1" applyAlignment="1">
      <alignment horizontal="center" vertical="center"/>
    </xf>
    <xf numFmtId="3" fontId="3" fillId="0" borderId="28" xfId="0" applyNumberFormat="1" applyFont="1" applyBorder="1" applyAlignment="1">
      <alignment horizontal="center" vertical="center"/>
    </xf>
    <xf numFmtId="0" fontId="7" fillId="0" borderId="29" xfId="3" applyFont="1" applyBorder="1" applyAlignment="1">
      <alignment horizontal="center" vertical="center"/>
    </xf>
    <xf numFmtId="3" fontId="3" fillId="0" borderId="30" xfId="0" applyNumberFormat="1" applyFont="1" applyBorder="1" applyAlignment="1">
      <alignment horizontal="center" vertical="center"/>
    </xf>
    <xf numFmtId="0" fontId="4" fillId="0" borderId="25" xfId="0" applyFont="1" applyBorder="1" applyAlignment="1">
      <alignment horizontal="left" vertical="center"/>
    </xf>
    <xf numFmtId="0" fontId="4" fillId="0" borderId="31" xfId="0" applyFont="1" applyBorder="1" applyAlignment="1">
      <alignment horizontal="left" vertical="center"/>
    </xf>
    <xf numFmtId="0" fontId="4" fillId="0" borderId="32" xfId="0" applyFont="1" applyBorder="1" applyAlignment="1">
      <alignment horizontal="left" vertical="center"/>
    </xf>
    <xf numFmtId="0" fontId="7" fillId="0" borderId="7" xfId="3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/>
    </xf>
    <xf numFmtId="3" fontId="4" fillId="0" borderId="14" xfId="0" applyNumberFormat="1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 wrapText="1"/>
    </xf>
    <xf numFmtId="0" fontId="3" fillId="0" borderId="33" xfId="0" applyFont="1" applyBorder="1" applyAlignment="1" applyProtection="1">
      <alignment horizontal="center" vertical="center"/>
      <protection locked="0"/>
    </xf>
    <xf numFmtId="0" fontId="3" fillId="0" borderId="34" xfId="0" applyFont="1" applyBorder="1" applyAlignment="1">
      <alignment horizontal="center" vertical="center"/>
    </xf>
    <xf numFmtId="3" fontId="3" fillId="0" borderId="35" xfId="0" applyNumberFormat="1" applyFont="1" applyBorder="1" applyAlignment="1" applyProtection="1">
      <alignment horizontal="center" vertical="center"/>
      <protection locked="0"/>
    </xf>
    <xf numFmtId="3" fontId="4" fillId="0" borderId="35" xfId="0" applyNumberFormat="1" applyFont="1" applyBorder="1" applyAlignment="1">
      <alignment horizontal="center" vertical="center"/>
    </xf>
    <xf numFmtId="0" fontId="4" fillId="0" borderId="35" xfId="0" applyFont="1" applyBorder="1" applyAlignment="1">
      <alignment horizontal="center" vertical="center"/>
    </xf>
    <xf numFmtId="0" fontId="3" fillId="0" borderId="36" xfId="0" applyFont="1" applyBorder="1" applyAlignment="1">
      <alignment horizontal="center" vertical="center"/>
    </xf>
    <xf numFmtId="0" fontId="3" fillId="0" borderId="37" xfId="0" applyFont="1" applyBorder="1" applyAlignment="1">
      <alignment horizontal="center" vertical="center"/>
    </xf>
    <xf numFmtId="0" fontId="4" fillId="0" borderId="20" xfId="0" applyFont="1" applyBorder="1" applyAlignment="1">
      <alignment vertical="center"/>
    </xf>
    <xf numFmtId="0" fontId="7" fillId="0" borderId="38" xfId="3" applyFont="1" applyBorder="1" applyAlignment="1">
      <alignment horizontal="center" vertical="center"/>
    </xf>
    <xf numFmtId="164" fontId="6" fillId="0" borderId="23" xfId="2" applyFont="1" applyFill="1" applyBorder="1" applyAlignment="1">
      <alignment horizontal="center" vertical="center"/>
    </xf>
    <xf numFmtId="0" fontId="7" fillId="0" borderId="40" xfId="3" applyFont="1" applyBorder="1" applyAlignment="1">
      <alignment horizontal="center" vertical="center"/>
    </xf>
    <xf numFmtId="0" fontId="7" fillId="0" borderId="39" xfId="3" applyFont="1" applyBorder="1" applyAlignment="1">
      <alignment horizontal="center" vertical="center"/>
    </xf>
    <xf numFmtId="0" fontId="4" fillId="0" borderId="39" xfId="0" applyFont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0" fontId="3" fillId="0" borderId="21" xfId="0" applyFont="1" applyBorder="1" applyAlignment="1">
      <alignment horizontal="center" vertical="center"/>
    </xf>
    <xf numFmtId="0" fontId="3" fillId="0" borderId="41" xfId="0" applyFont="1" applyBorder="1" applyAlignment="1">
      <alignment horizontal="center" vertical="center"/>
    </xf>
    <xf numFmtId="0" fontId="4" fillId="0" borderId="41" xfId="0" applyFont="1" applyBorder="1" applyAlignment="1">
      <alignment horizontal="center" vertical="center"/>
    </xf>
    <xf numFmtId="0" fontId="4" fillId="2" borderId="0" xfId="0" applyFont="1" applyFill="1" applyAlignment="1">
      <alignment vertical="center"/>
    </xf>
    <xf numFmtId="0" fontId="4" fillId="0" borderId="0" xfId="0" applyFont="1" applyAlignment="1">
      <alignment horizontal="center" vertical="center"/>
    </xf>
    <xf numFmtId="16" fontId="3" fillId="0" borderId="6" xfId="0" applyNumberFormat="1" applyFont="1" applyBorder="1" applyAlignment="1" applyProtection="1">
      <alignment horizontal="center" vertical="center"/>
      <protection locked="0"/>
    </xf>
    <xf numFmtId="0" fontId="4" fillId="0" borderId="0" xfId="0" applyFont="1" applyAlignment="1">
      <alignment horizontal="center" vertical="center"/>
    </xf>
    <xf numFmtId="49" fontId="3" fillId="0" borderId="6" xfId="0" applyNumberFormat="1" applyFont="1" applyBorder="1" applyAlignment="1" applyProtection="1">
      <alignment horizontal="center" vertical="center"/>
      <protection locked="0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4" fillId="0" borderId="24" xfId="0" applyFont="1" applyBorder="1" applyAlignment="1">
      <alignment horizontal="center" vertical="center"/>
    </xf>
    <xf numFmtId="0" fontId="4" fillId="0" borderId="20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22" xfId="0" applyFont="1" applyBorder="1" applyAlignment="1">
      <alignment horizontal="center" vertical="center"/>
    </xf>
    <xf numFmtId="0" fontId="4" fillId="0" borderId="25" xfId="0" applyFont="1" applyBorder="1" applyAlignment="1">
      <alignment horizontal="center" vertical="center"/>
    </xf>
    <xf numFmtId="0" fontId="4" fillId="0" borderId="23" xfId="3" applyFont="1" applyBorder="1" applyAlignment="1">
      <alignment horizontal="center" vertical="center"/>
    </xf>
    <xf numFmtId="0" fontId="4" fillId="0" borderId="24" xfId="3" applyFont="1" applyBorder="1" applyAlignment="1">
      <alignment horizontal="center" vertical="center"/>
    </xf>
    <xf numFmtId="0" fontId="4" fillId="0" borderId="1" xfId="3" applyFont="1" applyBorder="1" applyAlignment="1">
      <alignment horizontal="center" vertical="center"/>
    </xf>
    <xf numFmtId="0" fontId="4" fillId="0" borderId="17" xfId="3" applyFont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</cellXfs>
  <cellStyles count="4">
    <cellStyle name="Comma" xfId="1" builtinId="3"/>
    <cellStyle name="Comma 2" xfId="2" xr:uid="{38233363-A84A-45E9-A936-15838938B2C9}"/>
    <cellStyle name="Normal" xfId="0" builtinId="0"/>
    <cellStyle name="Normal 2" xfId="3" xr:uid="{C44E70A0-C100-4105-8DF8-F24B0B53F05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styles" Target="styles.xml"/><Relationship Id="rId5" Type="http://schemas.openxmlformats.org/officeDocument/2006/relationships/worksheet" Target="worksheets/sheet5.xml"/><Relationship Id="rId61" Type="http://schemas.openxmlformats.org/officeDocument/2006/relationships/worksheet" Target="worksheets/sheet61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77" Type="http://schemas.openxmlformats.org/officeDocument/2006/relationships/externalLink" Target="externalLinks/externalLink1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80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theme" Target="theme/theme1.xml"/><Relationship Id="rId8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Documents\GBDS\GBDS%20Documents\DAILY%20SALES,%20STOCK%20ISSUANCE%20AND%20RECEIP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SSR"/>
      <sheetName val="WW Monitoring"/>
      <sheetName val="Route Sales MTD"/>
      <sheetName val="Checker Stock Report"/>
      <sheetName val="Production Date"/>
      <sheetName val="RET-WS"/>
    </sheetNames>
    <sheetDataSet>
      <sheetData sheetId="0" refreshError="1">
        <row r="4">
          <cell r="B4">
            <v>1300</v>
          </cell>
          <cell r="C4">
            <v>1534</v>
          </cell>
          <cell r="D4">
            <v>1728</v>
          </cell>
          <cell r="E4">
            <v>1728</v>
          </cell>
          <cell r="F4">
            <v>1452</v>
          </cell>
          <cell r="G4">
            <v>1240</v>
          </cell>
          <cell r="H4">
            <v>1520</v>
          </cell>
          <cell r="I4">
            <v>978</v>
          </cell>
          <cell r="J4">
            <v>945</v>
          </cell>
          <cell r="K4"/>
          <cell r="L4">
            <v>1127</v>
          </cell>
          <cell r="M4">
            <v>773</v>
          </cell>
          <cell r="N4">
            <v>1038</v>
          </cell>
          <cell r="O4">
            <v>773</v>
          </cell>
          <cell r="P4">
            <v>1038</v>
          </cell>
          <cell r="Q4">
            <v>773</v>
          </cell>
          <cell r="R4">
            <v>1038</v>
          </cell>
          <cell r="S4">
            <v>792</v>
          </cell>
          <cell r="T4">
            <v>948</v>
          </cell>
        </row>
        <row r="5">
          <cell r="B5">
            <v>120</v>
          </cell>
          <cell r="C5"/>
          <cell r="D5"/>
          <cell r="E5"/>
          <cell r="F5"/>
          <cell r="G5">
            <v>120</v>
          </cell>
          <cell r="H5"/>
          <cell r="I5">
            <v>120</v>
          </cell>
          <cell r="J5">
            <v>120</v>
          </cell>
          <cell r="K5">
            <v>111</v>
          </cell>
          <cell r="L5"/>
          <cell r="M5">
            <v>120</v>
          </cell>
          <cell r="N5"/>
          <cell r="O5">
            <v>120</v>
          </cell>
          <cell r="P5"/>
          <cell r="Q5">
            <v>120</v>
          </cell>
          <cell r="R5"/>
          <cell r="S5">
            <v>120</v>
          </cell>
          <cell r="T5">
            <v>120</v>
          </cell>
        </row>
        <row r="24">
          <cell r="B24">
            <v>544</v>
          </cell>
          <cell r="C24">
            <v>1127</v>
          </cell>
          <cell r="D24">
            <v>853</v>
          </cell>
          <cell r="E24">
            <v>563</v>
          </cell>
          <cell r="F24">
            <v>575</v>
          </cell>
          <cell r="G24">
            <v>1175</v>
          </cell>
          <cell r="H24"/>
          <cell r="I24">
            <v>791</v>
          </cell>
          <cell r="J24">
            <v>1102</v>
          </cell>
          <cell r="K24">
            <v>520</v>
          </cell>
          <cell r="L24">
            <v>1142</v>
          </cell>
          <cell r="M24">
            <v>205</v>
          </cell>
          <cell r="N24">
            <v>205</v>
          </cell>
          <cell r="O24">
            <v>205</v>
          </cell>
          <cell r="P24">
            <v>500</v>
          </cell>
          <cell r="Q24">
            <v>650</v>
          </cell>
          <cell r="R24">
            <v>650</v>
          </cell>
          <cell r="S24">
            <v>500</v>
          </cell>
          <cell r="T24">
            <v>650</v>
          </cell>
        </row>
        <row r="25">
          <cell r="B25">
            <v>111</v>
          </cell>
          <cell r="C25"/>
          <cell r="D25">
            <v>120</v>
          </cell>
          <cell r="E25">
            <v>111</v>
          </cell>
          <cell r="F25">
            <v>111</v>
          </cell>
          <cell r="G25"/>
          <cell r="H25">
            <v>111</v>
          </cell>
          <cell r="I25">
            <v>120</v>
          </cell>
          <cell r="J25"/>
          <cell r="K25">
            <v>111</v>
          </cell>
          <cell r="L25"/>
          <cell r="M25">
            <v>78</v>
          </cell>
          <cell r="N25">
            <v>78</v>
          </cell>
          <cell r="O25">
            <v>78</v>
          </cell>
          <cell r="P25">
            <v>120</v>
          </cell>
          <cell r="Q25"/>
          <cell r="R25"/>
          <cell r="S25">
            <v>120</v>
          </cell>
          <cell r="T25"/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6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0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1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2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4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51392-3164-4BBB-8DB5-0BA6861E83AD}">
  <dimension ref="A1"/>
  <sheetViews>
    <sheetView workbookViewId="0">
      <selection activeCell="C45" sqref="C45:E45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969AE-F03A-4794-847E-8D722CFBA0DC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EC12A0-7D43-4720-A0E2-0B907356A537}">
  <dimension ref="B1:AA45"/>
  <sheetViews>
    <sheetView showGridLines="0" topLeftCell="A29" zoomScale="160" zoomScaleNormal="160" workbookViewId="0">
      <selection activeCell="H45" sqref="H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77</v>
      </c>
      <c r="D8" s="14"/>
      <c r="E8" s="14">
        <v>2</v>
      </c>
      <c r="F8" s="14"/>
      <c r="G8" s="14"/>
      <c r="H8" s="14">
        <v>18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10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2</v>
      </c>
      <c r="D15" s="23"/>
      <c r="E15" s="23">
        <v>0</v>
      </c>
      <c r="F15" s="23"/>
      <c r="G15" s="23"/>
      <c r="H15" s="23" t="s">
        <v>79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 t="s">
        <v>78</v>
      </c>
      <c r="D16" s="58"/>
      <c r="E16" s="27">
        <v>2</v>
      </c>
      <c r="F16" s="27"/>
      <c r="G16" s="28"/>
      <c r="H16" s="28" t="s">
        <v>80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10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12</v>
      </c>
      <c r="G24" s="14"/>
      <c r="H24" s="14" t="s">
        <v>81</v>
      </c>
      <c r="I24" s="14"/>
      <c r="J24" s="14"/>
      <c r="K24" s="14">
        <v>1</v>
      </c>
      <c r="L24" s="14">
        <v>10</v>
      </c>
      <c r="M24" s="14">
        <v>580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0</v>
      </c>
      <c r="I31" s="23"/>
      <c r="J31" s="23"/>
      <c r="K31" s="23">
        <v>1</v>
      </c>
      <c r="L31" s="23">
        <v>0</v>
      </c>
      <c r="M31" s="23">
        <v>10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10</v>
      </c>
      <c r="G32" s="28"/>
      <c r="H32" s="28" t="s">
        <v>82</v>
      </c>
      <c r="I32" s="28"/>
      <c r="J32" s="28"/>
      <c r="K32" s="28">
        <v>0</v>
      </c>
      <c r="L32" s="28">
        <v>10</v>
      </c>
      <c r="M32" s="28">
        <v>570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>
        <v>2</v>
      </c>
      <c r="D36" s="41"/>
      <c r="E36" s="42">
        <v>4</v>
      </c>
      <c r="F36" s="42">
        <v>440</v>
      </c>
      <c r="G36" s="42">
        <v>6</v>
      </c>
      <c r="H36" s="42">
        <v>1</v>
      </c>
      <c r="I36" s="42">
        <v>8</v>
      </c>
      <c r="J36" s="42">
        <v>1</v>
      </c>
      <c r="K36" s="42">
        <v>7</v>
      </c>
      <c r="L36" s="42">
        <v>14</v>
      </c>
      <c r="M36" s="42"/>
      <c r="N36" s="42"/>
      <c r="O36" s="42">
        <v>16</v>
      </c>
      <c r="P36" s="42">
        <v>26</v>
      </c>
      <c r="Q36" s="43">
        <v>19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>
        <v>2</v>
      </c>
      <c r="D42" s="41"/>
      <c r="E42" s="42">
        <v>4</v>
      </c>
      <c r="F42" s="42">
        <v>440</v>
      </c>
      <c r="G42" s="42">
        <v>6</v>
      </c>
      <c r="H42" s="42">
        <v>1</v>
      </c>
      <c r="I42" s="42">
        <v>8</v>
      </c>
      <c r="J42" s="42">
        <v>1</v>
      </c>
      <c r="K42" s="42">
        <v>7</v>
      </c>
      <c r="L42" s="42">
        <v>14</v>
      </c>
      <c r="M42" s="42"/>
      <c r="N42" s="42"/>
      <c r="O42" s="42">
        <v>16</v>
      </c>
      <c r="P42" s="42">
        <v>26</v>
      </c>
      <c r="Q42" s="43">
        <v>19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2+6+10+10+13+10+570</f>
        <v>621</v>
      </c>
      <c r="D44" s="96"/>
      <c r="E44" s="96"/>
    </row>
    <row r="45" spans="2:25" x14ac:dyDescent="0.25">
      <c r="B45" s="76" t="s">
        <v>69</v>
      </c>
      <c r="C45" s="96">
        <f>22+12+1</f>
        <v>35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AA15C6-95BA-47BF-9DC0-F22984A10E43}">
  <dimension ref="B1:AA45"/>
  <sheetViews>
    <sheetView showGridLines="0" topLeftCell="A29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8">
        <v>1</v>
      </c>
      <c r="D8" s="14"/>
      <c r="E8" s="14">
        <v>1</v>
      </c>
      <c r="F8" s="14"/>
      <c r="G8" s="14"/>
      <c r="H8" s="14">
        <v>12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2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0</v>
      </c>
      <c r="F15" s="23"/>
      <c r="G15" s="23"/>
      <c r="H15" s="23" t="s">
        <v>83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1</v>
      </c>
      <c r="X15" s="61">
        <v>1</v>
      </c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>
        <v>1</v>
      </c>
      <c r="F16" s="27"/>
      <c r="G16" s="28"/>
      <c r="H16" s="28" t="s">
        <v>84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1</v>
      </c>
      <c r="U16" s="28"/>
      <c r="V16" s="28"/>
      <c r="W16" s="56">
        <v>1</v>
      </c>
      <c r="X16" s="62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85</v>
      </c>
      <c r="G24" s="14"/>
      <c r="H24" s="14">
        <v>40</v>
      </c>
      <c r="I24" s="14"/>
      <c r="J24" s="14"/>
      <c r="K24" s="14" t="s">
        <v>85</v>
      </c>
      <c r="L24" s="14">
        <v>12</v>
      </c>
      <c r="M24" s="14">
        <v>362</v>
      </c>
      <c r="N24" s="14"/>
      <c r="O24" s="14"/>
      <c r="P24" s="14" t="s">
        <v>86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85</v>
      </c>
      <c r="G31" s="23"/>
      <c r="H31" s="23">
        <v>0</v>
      </c>
      <c r="I31" s="23"/>
      <c r="J31" s="23"/>
      <c r="K31" s="23" t="s">
        <v>85</v>
      </c>
      <c r="L31" s="23">
        <v>6</v>
      </c>
      <c r="M31" s="23">
        <v>87</v>
      </c>
      <c r="N31" s="23"/>
      <c r="O31" s="23"/>
      <c r="P31" s="23" t="s">
        <v>86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40</v>
      </c>
      <c r="I32" s="28"/>
      <c r="J32" s="28"/>
      <c r="K32" s="28">
        <v>0</v>
      </c>
      <c r="L32" s="28">
        <v>6</v>
      </c>
      <c r="M32" s="28">
        <v>275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>
        <v>4</v>
      </c>
      <c r="F36" s="42">
        <v>312</v>
      </c>
      <c r="G36" s="42">
        <v>6</v>
      </c>
      <c r="H36" s="42">
        <v>4</v>
      </c>
      <c r="I36" s="42">
        <v>4</v>
      </c>
      <c r="J36" s="42">
        <v>1</v>
      </c>
      <c r="K36" s="42">
        <v>7</v>
      </c>
      <c r="L36" s="42">
        <v>2</v>
      </c>
      <c r="M36" s="42"/>
      <c r="N36" s="42"/>
      <c r="O36" s="42">
        <v>3</v>
      </c>
      <c r="P36" s="42"/>
      <c r="Q36" s="43">
        <v>3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>
        <v>4</v>
      </c>
      <c r="F42" s="42">
        <v>312</v>
      </c>
      <c r="G42" s="42">
        <v>6</v>
      </c>
      <c r="H42" s="42">
        <v>4</v>
      </c>
      <c r="I42" s="42">
        <v>4</v>
      </c>
      <c r="J42" s="42">
        <v>1</v>
      </c>
      <c r="K42" s="42">
        <v>7</v>
      </c>
      <c r="L42" s="42">
        <v>2</v>
      </c>
      <c r="M42" s="42"/>
      <c r="N42" s="42"/>
      <c r="O42" s="42">
        <v>3</v>
      </c>
      <c r="P42" s="42"/>
      <c r="Q42" s="43">
        <v>3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1+3+1+1+40+6+275</f>
        <v>327</v>
      </c>
      <c r="D44" s="96"/>
      <c r="E44" s="96"/>
    </row>
    <row r="45" spans="2:25" x14ac:dyDescent="0.25">
      <c r="B45" s="76" t="s">
        <v>69</v>
      </c>
      <c r="C45" s="96">
        <v>12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F35EDC-BA9D-43B9-B0B5-3AF437A51AA9}">
  <dimension ref="B1:AA45"/>
  <sheetViews>
    <sheetView showGridLines="0" topLeftCell="A32" zoomScale="160" zoomScaleNormal="160" workbookViewId="0">
      <selection activeCell="H51" sqref="H51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/>
      <c r="F8" s="14"/>
      <c r="G8" s="14"/>
      <c r="H8" s="14">
        <v>15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3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/>
      <c r="F15" s="23"/>
      <c r="G15" s="23"/>
      <c r="H15" s="23">
        <v>5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>
        <v>10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2</v>
      </c>
      <c r="U16" s="28"/>
      <c r="V16" s="28"/>
      <c r="W16" s="56">
        <v>3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8</v>
      </c>
      <c r="G24" s="14"/>
      <c r="H24" s="14">
        <v>28</v>
      </c>
      <c r="I24" s="14"/>
      <c r="J24" s="14"/>
      <c r="K24" s="14"/>
      <c r="L24" s="14">
        <v>26</v>
      </c>
      <c r="M24" s="14">
        <v>547</v>
      </c>
      <c r="N24" s="14">
        <v>1</v>
      </c>
      <c r="O24" s="14"/>
      <c r="P24" s="14" t="s">
        <v>87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7</v>
      </c>
      <c r="G31" s="23"/>
      <c r="H31" s="23">
        <v>3</v>
      </c>
      <c r="I31" s="23"/>
      <c r="J31" s="23"/>
      <c r="K31" s="23"/>
      <c r="L31" s="23">
        <v>20</v>
      </c>
      <c r="M31" s="23">
        <v>240</v>
      </c>
      <c r="N31" s="23">
        <v>1</v>
      </c>
      <c r="O31" s="23"/>
      <c r="P31" s="23" t="s">
        <v>87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25</v>
      </c>
      <c r="I32" s="28"/>
      <c r="J32" s="28"/>
      <c r="K32" s="28"/>
      <c r="L32" s="28">
        <v>6</v>
      </c>
      <c r="M32" s="28">
        <v>307</v>
      </c>
      <c r="N32" s="28">
        <v>0</v>
      </c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>
        <v>506</v>
      </c>
      <c r="G36" s="42"/>
      <c r="H36" s="42">
        <v>1</v>
      </c>
      <c r="I36" s="42">
        <v>10</v>
      </c>
      <c r="J36" s="42"/>
      <c r="K36" s="42">
        <v>10</v>
      </c>
      <c r="L36" s="42">
        <v>2</v>
      </c>
      <c r="M36" s="42"/>
      <c r="N36" s="42">
        <v>1</v>
      </c>
      <c r="O36" s="42">
        <v>8</v>
      </c>
      <c r="P36" s="42">
        <v>2</v>
      </c>
      <c r="Q36" s="43">
        <v>13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506</v>
      </c>
      <c r="G42" s="42"/>
      <c r="H42" s="42">
        <v>1</v>
      </c>
      <c r="I42" s="42">
        <v>10</v>
      </c>
      <c r="J42" s="42"/>
      <c r="K42" s="42">
        <v>10</v>
      </c>
      <c r="L42" s="42">
        <v>2</v>
      </c>
      <c r="M42" s="42"/>
      <c r="N42" s="42">
        <v>1</v>
      </c>
      <c r="O42" s="42">
        <v>8</v>
      </c>
      <c r="P42" s="42">
        <v>2</v>
      </c>
      <c r="Q42" s="43">
        <v>13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6">
        <f>10+2+3+1+25+6+307</f>
        <v>354</v>
      </c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A33BC2-0CBD-4426-BD61-6B706DC16457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DE5F47-59AB-493B-A442-320F2640DB0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/>
      <c r="F8" s="14"/>
      <c r="G8" s="14"/>
      <c r="H8" s="14" t="s">
        <v>79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1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/>
      <c r="F15" s="23"/>
      <c r="G15" s="23"/>
      <c r="H15" s="23">
        <v>11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1</v>
      </c>
      <c r="X15" s="61">
        <v>1</v>
      </c>
      <c r="Y15" s="24"/>
    </row>
    <row r="16" spans="2:27" ht="18" customHeight="1" thickBot="1" x14ac:dyDescent="0.3">
      <c r="B16" s="25" t="s">
        <v>26</v>
      </c>
      <c r="C16" s="57">
        <v>1</v>
      </c>
      <c r="D16" s="58"/>
      <c r="E16" s="27"/>
      <c r="F16" s="27"/>
      <c r="G16" s="28"/>
      <c r="H16" s="28" t="s">
        <v>88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0</v>
      </c>
      <c r="X16" s="62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20</v>
      </c>
      <c r="I24" s="14"/>
      <c r="J24" s="14"/>
      <c r="K24" s="14">
        <v>1</v>
      </c>
      <c r="L24" s="14">
        <v>10</v>
      </c>
      <c r="M24" s="14">
        <v>341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9</v>
      </c>
      <c r="I31" s="23"/>
      <c r="J31" s="23"/>
      <c r="K31" s="23">
        <v>1</v>
      </c>
      <c r="L31" s="23">
        <v>8</v>
      </c>
      <c r="M31" s="23">
        <v>37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11</v>
      </c>
      <c r="I32" s="28"/>
      <c r="J32" s="28"/>
      <c r="K32" s="28">
        <v>0</v>
      </c>
      <c r="L32" s="28">
        <v>2</v>
      </c>
      <c r="M32" s="28">
        <v>304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>
        <v>23</v>
      </c>
      <c r="F36" s="42">
        <v>312</v>
      </c>
      <c r="G36" s="42">
        <v>5</v>
      </c>
      <c r="H36" s="42"/>
      <c r="I36" s="42">
        <v>2</v>
      </c>
      <c r="J36" s="42"/>
      <c r="K36" s="42"/>
      <c r="L36" s="42"/>
      <c r="M36" s="42">
        <v>2</v>
      </c>
      <c r="N36" s="42">
        <v>1</v>
      </c>
      <c r="O36" s="42">
        <v>1</v>
      </c>
      <c r="P36" s="42"/>
      <c r="Q36" s="43">
        <v>6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>
        <v>23</v>
      </c>
      <c r="F42" s="42">
        <v>312</v>
      </c>
      <c r="G42" s="42">
        <v>5</v>
      </c>
      <c r="H42" s="42"/>
      <c r="I42" s="42">
        <v>2</v>
      </c>
      <c r="J42" s="42"/>
      <c r="K42" s="42"/>
      <c r="L42" s="42"/>
      <c r="M42" s="42">
        <v>2</v>
      </c>
      <c r="N42" s="42">
        <v>1</v>
      </c>
      <c r="O42" s="42">
        <v>1</v>
      </c>
      <c r="P42" s="42"/>
      <c r="Q42" s="43">
        <v>6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6">
        <f>1+1+11+2+304</f>
        <v>319</v>
      </c>
      <c r="D44" s="96"/>
      <c r="E44" s="96"/>
    </row>
    <row r="45" spans="2:25" x14ac:dyDescent="0.25">
      <c r="B45" s="76" t="s">
        <v>69</v>
      </c>
      <c r="C45" s="96">
        <v>12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A3E215-66CC-4A35-BCAD-8530D09D33F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80">
        <v>1</v>
      </c>
      <c r="D8" s="14"/>
      <c r="E8" s="14"/>
      <c r="F8" s="14"/>
      <c r="G8" s="14"/>
      <c r="H8" s="14" t="s">
        <v>89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2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/>
      <c r="F15" s="23"/>
      <c r="G15" s="23"/>
      <c r="H15" s="23" t="s">
        <v>88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2</v>
      </c>
      <c r="X15" s="61">
        <v>1</v>
      </c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>
        <v>13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0</v>
      </c>
      <c r="X16" s="62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85</v>
      </c>
      <c r="G24" s="14"/>
      <c r="H24" s="14">
        <v>24</v>
      </c>
      <c r="I24" s="14"/>
      <c r="J24" s="14"/>
      <c r="K24" s="14" t="s">
        <v>85</v>
      </c>
      <c r="L24" s="14">
        <v>6</v>
      </c>
      <c r="M24" s="14">
        <v>411</v>
      </c>
      <c r="N24" s="14"/>
      <c r="O24" s="14"/>
      <c r="P24" s="14" t="s">
        <v>86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88</v>
      </c>
      <c r="G31" s="23"/>
      <c r="H31" s="23">
        <v>23</v>
      </c>
      <c r="I31" s="23"/>
      <c r="J31" s="23"/>
      <c r="K31" s="23" t="s">
        <v>85</v>
      </c>
      <c r="L31" s="23">
        <v>6</v>
      </c>
      <c r="M31" s="23">
        <v>81</v>
      </c>
      <c r="N31" s="23"/>
      <c r="O31" s="23"/>
      <c r="P31" s="23" t="s">
        <v>86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1</v>
      </c>
      <c r="I32" s="28"/>
      <c r="J32" s="28"/>
      <c r="K32" s="28">
        <v>0</v>
      </c>
      <c r="L32" s="28">
        <v>0</v>
      </c>
      <c r="M32" s="28">
        <v>330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334</v>
      </c>
      <c r="G36" s="42"/>
      <c r="H36" s="42"/>
      <c r="I36" s="42"/>
      <c r="J36" s="42"/>
      <c r="K36" s="42"/>
      <c r="L36" s="42"/>
      <c r="M36" s="42"/>
      <c r="N36" s="42"/>
      <c r="O36" s="42">
        <v>3</v>
      </c>
      <c r="P36" s="42">
        <v>11</v>
      </c>
      <c r="Q36" s="43">
        <v>2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334</v>
      </c>
      <c r="G42" s="42"/>
      <c r="H42" s="42"/>
      <c r="I42" s="42"/>
      <c r="J42" s="42"/>
      <c r="K42" s="42"/>
      <c r="L42" s="42"/>
      <c r="M42" s="42"/>
      <c r="N42" s="42"/>
      <c r="O42" s="42">
        <v>3</v>
      </c>
      <c r="P42" s="42">
        <v>11</v>
      </c>
      <c r="Q42" s="43">
        <v>2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6">
        <f>13+1+1+330</f>
        <v>345</v>
      </c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06B20B-6D69-4F33-8305-008179B2B35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11</v>
      </c>
      <c r="D8" s="14">
        <v>2</v>
      </c>
      <c r="E8" s="14">
        <v>5</v>
      </c>
      <c r="F8" s="14">
        <v>2</v>
      </c>
      <c r="G8" s="14">
        <v>5</v>
      </c>
      <c r="H8" s="14">
        <v>5</v>
      </c>
      <c r="I8" s="14">
        <v>1</v>
      </c>
      <c r="J8" s="14"/>
      <c r="K8" s="14">
        <v>1</v>
      </c>
      <c r="L8" s="14"/>
      <c r="M8" s="14"/>
      <c r="N8" s="14">
        <v>1</v>
      </c>
      <c r="O8" s="14">
        <v>1</v>
      </c>
      <c r="P8" s="14">
        <v>1</v>
      </c>
      <c r="Q8" s="14">
        <v>1</v>
      </c>
      <c r="R8" s="14"/>
      <c r="S8" s="14">
        <v>1</v>
      </c>
      <c r="T8" s="14"/>
      <c r="U8" s="14"/>
      <c r="V8" s="14">
        <v>2</v>
      </c>
      <c r="W8" s="14">
        <v>10</v>
      </c>
      <c r="X8" s="59">
        <v>10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>
        <v>0</v>
      </c>
      <c r="F15" s="23">
        <v>0</v>
      </c>
      <c r="G15" s="23">
        <v>0</v>
      </c>
      <c r="H15" s="23">
        <v>4</v>
      </c>
      <c r="I15" s="23">
        <v>0</v>
      </c>
      <c r="J15" s="23"/>
      <c r="K15" s="23">
        <v>0</v>
      </c>
      <c r="L15" s="23"/>
      <c r="M15" s="23"/>
      <c r="N15" s="23">
        <v>0</v>
      </c>
      <c r="O15" s="23">
        <v>0</v>
      </c>
      <c r="P15" s="23">
        <v>0</v>
      </c>
      <c r="Q15" s="23">
        <v>0</v>
      </c>
      <c r="R15" s="23"/>
      <c r="S15" s="23">
        <v>0</v>
      </c>
      <c r="T15" s="23"/>
      <c r="U15" s="23"/>
      <c r="V15" s="23">
        <v>0</v>
      </c>
      <c r="W15" s="23">
        <v>0</v>
      </c>
      <c r="X15" s="61">
        <v>0</v>
      </c>
      <c r="Y15" s="24">
        <v>0</v>
      </c>
    </row>
    <row r="16" spans="2:27" ht="18" customHeight="1" thickBot="1" x14ac:dyDescent="0.3">
      <c r="B16" s="25" t="s">
        <v>26</v>
      </c>
      <c r="C16" s="57">
        <v>10</v>
      </c>
      <c r="D16" s="58">
        <v>0</v>
      </c>
      <c r="E16" s="27">
        <v>5</v>
      </c>
      <c r="F16" s="27">
        <v>2</v>
      </c>
      <c r="G16" s="28">
        <v>5</v>
      </c>
      <c r="H16" s="28">
        <v>1</v>
      </c>
      <c r="I16" s="28">
        <v>1</v>
      </c>
      <c r="J16" s="28"/>
      <c r="K16" s="56">
        <v>1</v>
      </c>
      <c r="L16" s="28"/>
      <c r="M16" s="28"/>
      <c r="N16" s="28">
        <v>1</v>
      </c>
      <c r="O16" s="28">
        <v>1</v>
      </c>
      <c r="P16" s="28">
        <v>1</v>
      </c>
      <c r="Q16" s="28">
        <v>1</v>
      </c>
      <c r="R16" s="28"/>
      <c r="S16" s="28">
        <v>1</v>
      </c>
      <c r="T16" s="28"/>
      <c r="U16" s="28"/>
      <c r="V16" s="28">
        <v>2</v>
      </c>
      <c r="W16" s="56">
        <v>10</v>
      </c>
      <c r="X16" s="62">
        <v>10</v>
      </c>
      <c r="Y16" s="29">
        <v>2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>
        <v>2</v>
      </c>
      <c r="E24" s="14">
        <v>2</v>
      </c>
      <c r="F24" s="14">
        <v>7</v>
      </c>
      <c r="G24" s="14">
        <v>1</v>
      </c>
      <c r="H24" s="14">
        <v>102</v>
      </c>
      <c r="I24" s="14"/>
      <c r="J24" s="14"/>
      <c r="K24" s="14">
        <v>1</v>
      </c>
      <c r="L24" s="14">
        <v>20</v>
      </c>
      <c r="M24" s="14">
        <v>348</v>
      </c>
      <c r="N24" s="14">
        <v>1</v>
      </c>
      <c r="O24" s="14"/>
      <c r="P24" s="14" t="s">
        <v>91</v>
      </c>
      <c r="Q24" s="14"/>
      <c r="R24" s="14">
        <v>1</v>
      </c>
      <c r="S24" s="14"/>
      <c r="T24" s="14"/>
      <c r="U24" s="14">
        <v>1</v>
      </c>
      <c r="V24" s="14">
        <v>1</v>
      </c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>
        <v>0</v>
      </c>
      <c r="E31" s="23">
        <v>0</v>
      </c>
      <c r="F31" s="23">
        <v>7</v>
      </c>
      <c r="G31" s="23">
        <v>0</v>
      </c>
      <c r="H31" s="23">
        <v>28</v>
      </c>
      <c r="I31" s="23"/>
      <c r="J31" s="23"/>
      <c r="K31" s="23">
        <v>0</v>
      </c>
      <c r="L31" s="23">
        <v>0</v>
      </c>
      <c r="M31" s="23">
        <v>2</v>
      </c>
      <c r="N31" s="23">
        <v>0</v>
      </c>
      <c r="O31" s="23"/>
      <c r="P31" s="23" t="s">
        <v>90</v>
      </c>
      <c r="Q31" s="23"/>
      <c r="R31" s="23">
        <v>0</v>
      </c>
      <c r="S31" s="23"/>
      <c r="T31" s="23"/>
      <c r="U31" s="23">
        <v>0</v>
      </c>
      <c r="V31" s="23">
        <v>0</v>
      </c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>
        <v>2</v>
      </c>
      <c r="E32" s="27">
        <v>2</v>
      </c>
      <c r="F32" s="27">
        <v>0</v>
      </c>
      <c r="G32" s="28">
        <v>1</v>
      </c>
      <c r="H32" s="28">
        <v>74</v>
      </c>
      <c r="I32" s="28"/>
      <c r="J32" s="28"/>
      <c r="K32" s="28">
        <v>1</v>
      </c>
      <c r="L32" s="28">
        <v>20</v>
      </c>
      <c r="M32" s="28">
        <v>346</v>
      </c>
      <c r="N32" s="28">
        <v>1</v>
      </c>
      <c r="O32" s="23"/>
      <c r="P32" s="28">
        <v>10</v>
      </c>
      <c r="Q32" s="28"/>
      <c r="R32" s="28">
        <v>1</v>
      </c>
      <c r="S32" s="28"/>
      <c r="T32" s="28"/>
      <c r="U32" s="28">
        <v>1</v>
      </c>
      <c r="V32" s="28">
        <v>1</v>
      </c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>
        <v>1</v>
      </c>
      <c r="D36" s="41">
        <v>7</v>
      </c>
      <c r="E36" s="42">
        <v>11</v>
      </c>
      <c r="F36" s="42">
        <v>278</v>
      </c>
      <c r="G36" s="42">
        <v>382</v>
      </c>
      <c r="H36" s="42">
        <v>5</v>
      </c>
      <c r="I36" s="42"/>
      <c r="J36" s="42">
        <v>32</v>
      </c>
      <c r="K36" s="42">
        <v>7</v>
      </c>
      <c r="L36" s="42">
        <v>3</v>
      </c>
      <c r="M36" s="42">
        <v>69</v>
      </c>
      <c r="N36" s="42">
        <v>10</v>
      </c>
      <c r="O36" s="42"/>
      <c r="P36" s="42"/>
      <c r="Q36" s="43">
        <v>5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>
        <v>1</v>
      </c>
      <c r="D42" s="41">
        <v>7</v>
      </c>
      <c r="E42" s="42">
        <v>11</v>
      </c>
      <c r="F42" s="42">
        <v>278</v>
      </c>
      <c r="G42" s="42">
        <v>382</v>
      </c>
      <c r="H42" s="42">
        <v>5</v>
      </c>
      <c r="I42" s="42"/>
      <c r="J42" s="42">
        <v>32</v>
      </c>
      <c r="K42" s="42">
        <v>7</v>
      </c>
      <c r="L42" s="42">
        <v>3</v>
      </c>
      <c r="M42" s="42">
        <v>69</v>
      </c>
      <c r="N42" s="42">
        <v>10</v>
      </c>
      <c r="O42" s="42"/>
      <c r="P42" s="42"/>
      <c r="Q42" s="43">
        <v>5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6">
        <f>10+5+2+5+1+1+1+1+1+1+1+1+2+10+10+2+2+2+1+74+1+20+346+1+10+1+1+1</f>
        <v>514</v>
      </c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1D4C6E-2F64-42A6-9BC6-216E74DE9C43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CB9C46-9F24-48A2-861C-EE9F5C1640B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2</v>
      </c>
      <c r="E8" s="14">
        <v>1</v>
      </c>
      <c r="F8" s="14">
        <v>1</v>
      </c>
      <c r="G8" s="14"/>
      <c r="H8" s="14" t="s">
        <v>92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3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0</v>
      </c>
      <c r="E15" s="23">
        <v>0</v>
      </c>
      <c r="F15" s="23">
        <v>0</v>
      </c>
      <c r="G15" s="23"/>
      <c r="H15" s="23">
        <v>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1</v>
      </c>
      <c r="X15" s="61"/>
      <c r="Y15" s="24"/>
    </row>
    <row r="16" spans="2:27" ht="18" customHeight="1" thickBot="1" x14ac:dyDescent="0.3">
      <c r="B16" s="25" t="s">
        <v>26</v>
      </c>
      <c r="C16" s="57"/>
      <c r="D16" s="58">
        <v>2</v>
      </c>
      <c r="E16" s="27">
        <v>1</v>
      </c>
      <c r="F16" s="27">
        <v>1</v>
      </c>
      <c r="G16" s="28"/>
      <c r="H16" s="28" t="s">
        <v>89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2</v>
      </c>
      <c r="U16" s="28"/>
      <c r="V16" s="28"/>
      <c r="W16" s="56">
        <v>2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10</v>
      </c>
      <c r="I24" s="14"/>
      <c r="J24" s="14"/>
      <c r="K24" s="14">
        <v>2</v>
      </c>
      <c r="L24" s="14">
        <v>5</v>
      </c>
      <c r="M24" s="14">
        <v>443</v>
      </c>
      <c r="N24" s="14"/>
      <c r="O24" s="14"/>
      <c r="P24" s="14">
        <v>8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0</v>
      </c>
      <c r="I31" s="23"/>
      <c r="J31" s="23"/>
      <c r="K31" s="23">
        <v>1</v>
      </c>
      <c r="L31" s="23">
        <v>0</v>
      </c>
      <c r="M31" s="23">
        <v>2</v>
      </c>
      <c r="N31" s="23"/>
      <c r="O31" s="23"/>
      <c r="P31" s="23">
        <v>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10</v>
      </c>
      <c r="I32" s="28"/>
      <c r="J32" s="28"/>
      <c r="K32" s="28">
        <v>1</v>
      </c>
      <c r="L32" s="28">
        <v>5</v>
      </c>
      <c r="M32" s="28">
        <v>441</v>
      </c>
      <c r="N32" s="28"/>
      <c r="O32" s="23"/>
      <c r="P32" s="28">
        <v>2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351</v>
      </c>
      <c r="G36" s="42">
        <v>12</v>
      </c>
      <c r="H36" s="42">
        <v>3</v>
      </c>
      <c r="I36" s="42">
        <v>5</v>
      </c>
      <c r="J36" s="42"/>
      <c r="K36" s="42">
        <v>6</v>
      </c>
      <c r="L36" s="42">
        <v>8</v>
      </c>
      <c r="M36" s="42"/>
      <c r="N36" s="42"/>
      <c r="O36" s="42">
        <v>1</v>
      </c>
      <c r="P36" s="42">
        <v>7</v>
      </c>
      <c r="Q36" s="43">
        <v>11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351</v>
      </c>
      <c r="G42" s="42">
        <v>12</v>
      </c>
      <c r="H42" s="42">
        <v>3</v>
      </c>
      <c r="I42" s="42">
        <v>5</v>
      </c>
      <c r="J42" s="42"/>
      <c r="K42" s="42">
        <v>6</v>
      </c>
      <c r="L42" s="42">
        <v>8</v>
      </c>
      <c r="M42" s="42"/>
      <c r="N42" s="42"/>
      <c r="O42" s="42">
        <v>1</v>
      </c>
      <c r="P42" s="42">
        <v>7</v>
      </c>
      <c r="Q42" s="43">
        <v>11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6">
        <f>2+1+1+13+2+2+1+10+1+5+441+2</f>
        <v>481</v>
      </c>
      <c r="D44" s="96"/>
      <c r="E44" s="96"/>
    </row>
    <row r="45" spans="2:25" x14ac:dyDescent="0.25">
      <c r="B45" s="76" t="s">
        <v>69</v>
      </c>
      <c r="C45" s="96">
        <f>12</f>
        <v>12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A4A01B-B459-498C-81DF-E930F32A035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8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6"/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14C8FD-D516-459F-B1BE-E8CF39338D6A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6">
        <f>1+1+26+15+15+3+5+62+2+10+551</f>
        <v>691</v>
      </c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4CEE80-C5CB-4A0C-BFA8-EAC475B9DEA9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15AD3-CF87-4FC0-A07B-172708C3BD4F}">
  <dimension ref="B1:AA45"/>
  <sheetViews>
    <sheetView showGridLines="0" topLeftCell="A13" zoomScaleNormal="100" workbookViewId="0">
      <selection activeCell="I47" sqref="I47:J4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/>
      <c r="E8" s="14"/>
      <c r="F8" s="14"/>
      <c r="G8" s="14"/>
      <c r="H8" s="14">
        <v>21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27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/>
      <c r="F15" s="23"/>
      <c r="G15" s="23"/>
      <c r="H15" s="23" t="s">
        <v>93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1</v>
      </c>
      <c r="X15" s="61">
        <v>1</v>
      </c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 t="s">
        <v>93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26</v>
      </c>
      <c r="X16" s="62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127</v>
      </c>
      <c r="I24" s="14"/>
      <c r="J24" s="14"/>
      <c r="K24" s="14">
        <v>66</v>
      </c>
      <c r="L24" s="14">
        <v>58</v>
      </c>
      <c r="M24" s="14">
        <v>399</v>
      </c>
      <c r="N24" s="14"/>
      <c r="O24" s="14"/>
      <c r="P24" s="14">
        <v>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10</v>
      </c>
      <c r="I31" s="23"/>
      <c r="J31" s="23"/>
      <c r="K31" s="23">
        <v>1</v>
      </c>
      <c r="L31" s="23">
        <v>8</v>
      </c>
      <c r="M31" s="23">
        <v>29</v>
      </c>
      <c r="N31" s="23"/>
      <c r="O31" s="23"/>
      <c r="P31" s="23">
        <v>3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117</v>
      </c>
      <c r="I32" s="28"/>
      <c r="J32" s="28"/>
      <c r="K32" s="28">
        <v>65</v>
      </c>
      <c r="L32" s="28">
        <v>50</v>
      </c>
      <c r="M32" s="28">
        <v>370</v>
      </c>
      <c r="N32" s="28"/>
      <c r="O32" s="23"/>
      <c r="P32" s="28">
        <v>3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>
        <v>553</v>
      </c>
      <c r="G36" s="42">
        <v>7</v>
      </c>
      <c r="H36" s="42">
        <v>11</v>
      </c>
      <c r="I36" s="42">
        <v>50</v>
      </c>
      <c r="J36" s="42"/>
      <c r="K36" s="42">
        <v>9</v>
      </c>
      <c r="L36" s="42">
        <v>68</v>
      </c>
      <c r="M36" s="42"/>
      <c r="N36" s="42"/>
      <c r="O36" s="42">
        <v>12</v>
      </c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603</v>
      </c>
      <c r="G42" s="42">
        <v>7</v>
      </c>
      <c r="H42" s="42">
        <v>11</v>
      </c>
      <c r="I42" s="42">
        <v>50</v>
      </c>
      <c r="J42" s="42"/>
      <c r="K42" s="42">
        <v>9</v>
      </c>
      <c r="L42" s="42">
        <v>68</v>
      </c>
      <c r="M42" s="42"/>
      <c r="N42" s="42"/>
      <c r="O42" s="42">
        <v>12</v>
      </c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6">
        <f>10+26+117+65+50+370</f>
        <v>638</v>
      </c>
      <c r="D44" s="96"/>
      <c r="E44" s="96"/>
    </row>
    <row r="45" spans="2:25" x14ac:dyDescent="0.25">
      <c r="B45" s="76" t="s">
        <v>69</v>
      </c>
      <c r="C45" s="96">
        <v>12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47E4DF-AE31-4E9C-A25F-A39165404DB3}">
  <dimension ref="B1:AA45"/>
  <sheetViews>
    <sheetView showGridLines="0" topLeftCell="A29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80">
        <v>1</v>
      </c>
      <c r="D8" s="14"/>
      <c r="E8" s="14">
        <v>2</v>
      </c>
      <c r="F8" s="14">
        <v>2</v>
      </c>
      <c r="G8" s="14"/>
      <c r="H8" s="14">
        <v>10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2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0</v>
      </c>
      <c r="F15" s="23">
        <v>0</v>
      </c>
      <c r="G15" s="23"/>
      <c r="H15" s="23">
        <v>3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2</v>
      </c>
      <c r="X15" s="61">
        <v>1</v>
      </c>
      <c r="Y15" s="24"/>
    </row>
    <row r="16" spans="2:27" ht="18" customHeight="1" thickBot="1" x14ac:dyDescent="0.3">
      <c r="B16" s="25" t="s">
        <v>26</v>
      </c>
      <c r="C16" s="57"/>
      <c r="D16" s="58"/>
      <c r="E16" s="27">
        <v>2</v>
      </c>
      <c r="F16" s="27">
        <v>2</v>
      </c>
      <c r="G16" s="28"/>
      <c r="H16" s="28">
        <v>7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0</v>
      </c>
      <c r="X16" s="62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85</v>
      </c>
      <c r="G24" s="14"/>
      <c r="H24" s="14">
        <v>23</v>
      </c>
      <c r="I24" s="14"/>
      <c r="J24" s="14"/>
      <c r="K24" s="14" t="s">
        <v>85</v>
      </c>
      <c r="L24" s="14">
        <v>6</v>
      </c>
      <c r="M24" s="14">
        <v>387</v>
      </c>
      <c r="N24" s="14"/>
      <c r="O24" s="14"/>
      <c r="P24" s="14" t="s">
        <v>86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85</v>
      </c>
      <c r="G31" s="23"/>
      <c r="H31" s="23">
        <v>0</v>
      </c>
      <c r="I31" s="23"/>
      <c r="J31" s="23"/>
      <c r="K31" s="23" t="s">
        <v>85</v>
      </c>
      <c r="L31" s="23">
        <v>5</v>
      </c>
      <c r="M31" s="23">
        <v>90</v>
      </c>
      <c r="N31" s="23"/>
      <c r="O31" s="23"/>
      <c r="P31" s="23" t="s">
        <v>86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23</v>
      </c>
      <c r="I32" s="28"/>
      <c r="J32" s="28"/>
      <c r="K32" s="28">
        <v>0</v>
      </c>
      <c r="L32" s="28">
        <v>1</v>
      </c>
      <c r="M32" s="28">
        <v>297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>
        <v>2</v>
      </c>
      <c r="D36" s="41"/>
      <c r="E36" s="42">
        <v>1</v>
      </c>
      <c r="F36" s="42">
        <v>353</v>
      </c>
      <c r="G36" s="42">
        <v>9</v>
      </c>
      <c r="H36" s="42">
        <v>3</v>
      </c>
      <c r="I36" s="42">
        <v>5</v>
      </c>
      <c r="J36" s="42"/>
      <c r="K36" s="42">
        <v>3</v>
      </c>
      <c r="L36" s="42"/>
      <c r="M36" s="42"/>
      <c r="N36" s="42">
        <v>1</v>
      </c>
      <c r="O36" s="42">
        <v>3</v>
      </c>
      <c r="P36" s="42">
        <v>9</v>
      </c>
      <c r="Q36" s="43">
        <v>1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>
        <v>2</v>
      </c>
      <c r="D42" s="41"/>
      <c r="E42" s="42">
        <v>1</v>
      </c>
      <c r="F42" s="42">
        <v>353</v>
      </c>
      <c r="G42" s="42">
        <v>9</v>
      </c>
      <c r="H42" s="42">
        <v>3</v>
      </c>
      <c r="I42" s="42">
        <v>5</v>
      </c>
      <c r="J42" s="42"/>
      <c r="K42" s="42">
        <v>3</v>
      </c>
      <c r="L42" s="42"/>
      <c r="M42" s="42"/>
      <c r="N42" s="42">
        <v>1</v>
      </c>
      <c r="O42" s="42">
        <v>3</v>
      </c>
      <c r="P42" s="42">
        <v>9</v>
      </c>
      <c r="Q42" s="43">
        <v>1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6">
        <f>2+2+7+23+1+297</f>
        <v>332</v>
      </c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E2FF7A-A822-4FF1-91AF-A236BCA8D2C9}">
  <dimension ref="B1:AA45"/>
  <sheetViews>
    <sheetView showGridLines="0" topLeftCell="A26" zoomScale="148" zoomScaleNormal="148" workbookViewId="0">
      <selection activeCell="I50" sqref="I50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>
        <v>2</v>
      </c>
      <c r="F8" s="14">
        <v>7</v>
      </c>
      <c r="G8" s="14"/>
      <c r="H8" s="14">
        <v>24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20</v>
      </c>
      <c r="U8" s="14"/>
      <c r="V8" s="14"/>
      <c r="W8" s="14">
        <v>20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>
        <v>0</v>
      </c>
      <c r="F15" s="23">
        <v>0</v>
      </c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>
        <v>2</v>
      </c>
      <c r="F16" s="27">
        <v>7</v>
      </c>
      <c r="G16" s="28"/>
      <c r="H16" s="28">
        <v>24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20</v>
      </c>
      <c r="U16" s="28"/>
      <c r="V16" s="28"/>
      <c r="W16" s="56">
        <v>20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7</v>
      </c>
      <c r="G24" s="14"/>
      <c r="H24" s="14">
        <v>136</v>
      </c>
      <c r="I24" s="14"/>
      <c r="J24" s="14"/>
      <c r="K24" s="14">
        <v>2</v>
      </c>
      <c r="L24" s="14">
        <v>20</v>
      </c>
      <c r="M24" s="14">
        <v>541</v>
      </c>
      <c r="N24" s="14"/>
      <c r="O24" s="14"/>
      <c r="P24" s="14" t="s">
        <v>90</v>
      </c>
      <c r="Q24" s="14"/>
      <c r="R24" s="14">
        <v>1</v>
      </c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7</v>
      </c>
      <c r="G31" s="23"/>
      <c r="H31" s="23">
        <v>1</v>
      </c>
      <c r="I31" s="23"/>
      <c r="J31" s="23"/>
      <c r="K31" s="23">
        <v>2</v>
      </c>
      <c r="L31" s="23">
        <v>0</v>
      </c>
      <c r="M31" s="23">
        <v>2</v>
      </c>
      <c r="N31" s="23"/>
      <c r="O31" s="23"/>
      <c r="P31" s="23" t="s">
        <v>90</v>
      </c>
      <c r="Q31" s="23"/>
      <c r="R31" s="23">
        <v>0</v>
      </c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135</v>
      </c>
      <c r="I32" s="28"/>
      <c r="J32" s="28"/>
      <c r="K32" s="28">
        <v>0</v>
      </c>
      <c r="L32" s="28">
        <v>20</v>
      </c>
      <c r="M32" s="28">
        <v>539</v>
      </c>
      <c r="N32" s="28"/>
      <c r="O32" s="23"/>
      <c r="P32" s="28"/>
      <c r="Q32" s="28"/>
      <c r="R32" s="28">
        <v>1</v>
      </c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>
        <v>3</v>
      </c>
      <c r="D36" s="41">
        <v>1</v>
      </c>
      <c r="E36" s="42">
        <v>19</v>
      </c>
      <c r="F36" s="42">
        <v>756</v>
      </c>
      <c r="G36" s="42">
        <v>2</v>
      </c>
      <c r="H36" s="42">
        <v>5</v>
      </c>
      <c r="I36" s="42">
        <v>14</v>
      </c>
      <c r="J36" s="42">
        <v>1</v>
      </c>
      <c r="K36" s="42">
        <v>10</v>
      </c>
      <c r="L36" s="42">
        <v>13</v>
      </c>
      <c r="M36" s="42"/>
      <c r="N36" s="42">
        <v>7</v>
      </c>
      <c r="O36" s="42">
        <v>11</v>
      </c>
      <c r="P36" s="42">
        <v>24</v>
      </c>
      <c r="Q36" s="43">
        <v>14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>
        <v>3</v>
      </c>
      <c r="D42" s="41">
        <v>1</v>
      </c>
      <c r="E42" s="42">
        <v>19</v>
      </c>
      <c r="F42" s="42">
        <v>756</v>
      </c>
      <c r="G42" s="42">
        <v>2</v>
      </c>
      <c r="H42" s="42">
        <v>5</v>
      </c>
      <c r="I42" s="42">
        <v>14</v>
      </c>
      <c r="J42" s="42">
        <v>1</v>
      </c>
      <c r="K42" s="42">
        <v>10</v>
      </c>
      <c r="L42" s="42">
        <v>13</v>
      </c>
      <c r="M42" s="42"/>
      <c r="N42" s="42">
        <v>7</v>
      </c>
      <c r="O42" s="42">
        <v>11</v>
      </c>
      <c r="P42" s="42">
        <v>24</v>
      </c>
      <c r="Q42" s="43">
        <v>14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6">
        <f>2+7+24+20+20+135+20+539+1</f>
        <v>768</v>
      </c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7DF53E-872A-4D7A-B1A1-182B346307C8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B7F403-692C-4B09-9429-8E65C4E493E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6"/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FE90DD-1F00-4E93-8DAA-D242E77658AD}">
  <dimension ref="B1:AA45"/>
  <sheetViews>
    <sheetView showGridLines="0" zoomScale="160" zoomScaleNormal="160" workbookViewId="0">
      <selection activeCell="K12" sqref="K1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80">
        <v>1</v>
      </c>
      <c r="D8" s="14"/>
      <c r="E8" s="14"/>
      <c r="F8" s="14"/>
      <c r="G8" s="14"/>
      <c r="H8" s="14">
        <v>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2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/>
      <c r="F15" s="23"/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2</v>
      </c>
      <c r="X15" s="61">
        <v>1</v>
      </c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>
        <v>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0</v>
      </c>
      <c r="X16" s="62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85</v>
      </c>
      <c r="G24" s="14"/>
      <c r="H24" s="14">
        <v>30</v>
      </c>
      <c r="I24" s="14"/>
      <c r="J24" s="14"/>
      <c r="K24" s="14" t="s">
        <v>85</v>
      </c>
      <c r="L24" s="14">
        <v>5</v>
      </c>
      <c r="M24" s="14">
        <v>416</v>
      </c>
      <c r="N24" s="14"/>
      <c r="O24" s="14"/>
      <c r="P24" s="14" t="s">
        <v>86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85</v>
      </c>
      <c r="G31" s="23"/>
      <c r="H31" s="23">
        <v>24</v>
      </c>
      <c r="I31" s="23"/>
      <c r="J31" s="23"/>
      <c r="K31" s="23" t="s">
        <v>85</v>
      </c>
      <c r="L31" s="23">
        <v>1</v>
      </c>
      <c r="M31" s="23">
        <v>32</v>
      </c>
      <c r="N31" s="23"/>
      <c r="O31" s="23"/>
      <c r="P31" s="23" t="s">
        <v>86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6</v>
      </c>
      <c r="I32" s="28"/>
      <c r="J32" s="28"/>
      <c r="K32" s="28">
        <v>0</v>
      </c>
      <c r="L32" s="28">
        <v>4</v>
      </c>
      <c r="M32" s="28">
        <v>384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348</v>
      </c>
      <c r="G36" s="42">
        <v>1</v>
      </c>
      <c r="H36" s="42"/>
      <c r="I36" s="42">
        <v>2</v>
      </c>
      <c r="J36" s="42"/>
      <c r="K36" s="42"/>
      <c r="L36" s="42"/>
      <c r="M36" s="42"/>
      <c r="N36" s="42"/>
      <c r="O36" s="42">
        <v>8</v>
      </c>
      <c r="P36" s="42">
        <v>4</v>
      </c>
      <c r="Q36" s="43">
        <v>5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348</v>
      </c>
      <c r="G42" s="42">
        <v>1</v>
      </c>
      <c r="H42" s="42"/>
      <c r="I42" s="42">
        <v>2</v>
      </c>
      <c r="J42" s="42"/>
      <c r="K42" s="42"/>
      <c r="L42" s="42"/>
      <c r="M42" s="42"/>
      <c r="N42" s="42"/>
      <c r="O42" s="42">
        <v>8</v>
      </c>
      <c r="P42" s="42">
        <v>4</v>
      </c>
      <c r="Q42" s="43">
        <v>5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6">
        <f>9+6+4+384</f>
        <v>403</v>
      </c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4268F4-51B3-4F22-9977-287746C40CA8}">
  <dimension ref="B1:AA45"/>
  <sheetViews>
    <sheetView showGridLines="0" topLeftCell="D1" zoomScale="160" zoomScaleNormal="160" workbookViewId="0">
      <selection activeCell="H38" sqref="H38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/>
      <c r="F8" s="14"/>
      <c r="G8" s="14"/>
      <c r="H8" s="14">
        <v>19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4</v>
      </c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/>
      <c r="F15" s="23"/>
      <c r="G15" s="23"/>
      <c r="H15" s="23" t="s">
        <v>93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0</v>
      </c>
      <c r="X15" s="61"/>
      <c r="Y15" s="24">
        <v>0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83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2</v>
      </c>
      <c r="U16" s="28"/>
      <c r="V16" s="28"/>
      <c r="W16" s="56">
        <v>4</v>
      </c>
      <c r="X16" s="62"/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7</v>
      </c>
      <c r="G24" s="14"/>
      <c r="H24" s="14">
        <v>55</v>
      </c>
      <c r="I24" s="14"/>
      <c r="J24" s="14"/>
      <c r="K24" s="14">
        <v>2</v>
      </c>
      <c r="L24" s="14">
        <v>434</v>
      </c>
      <c r="M24" s="14"/>
      <c r="N24" s="14"/>
      <c r="O24" s="14"/>
      <c r="P24" s="14" t="s">
        <v>90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5</v>
      </c>
      <c r="G31" s="23"/>
      <c r="H31" s="23">
        <v>9</v>
      </c>
      <c r="I31" s="23"/>
      <c r="J31" s="23"/>
      <c r="K31" s="23">
        <v>2</v>
      </c>
      <c r="L31" s="23">
        <v>45</v>
      </c>
      <c r="M31" s="23"/>
      <c r="N31" s="23"/>
      <c r="O31" s="23"/>
      <c r="P31" s="23" t="s">
        <v>90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46</v>
      </c>
      <c r="I32" s="28"/>
      <c r="J32" s="28"/>
      <c r="K32" s="28">
        <v>0</v>
      </c>
      <c r="L32" s="28">
        <v>389</v>
      </c>
      <c r="M32" s="28"/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>
        <v>5</v>
      </c>
      <c r="D36" s="41">
        <v>1</v>
      </c>
      <c r="E36" s="42"/>
      <c r="F36" s="42">
        <v>421</v>
      </c>
      <c r="G36" s="42">
        <v>13</v>
      </c>
      <c r="H36" s="42">
        <v>3</v>
      </c>
      <c r="I36" s="42">
        <v>19</v>
      </c>
      <c r="J36" s="42">
        <v>1</v>
      </c>
      <c r="K36" s="42">
        <v>8</v>
      </c>
      <c r="L36" s="42">
        <v>5</v>
      </c>
      <c r="M36" s="42">
        <v>1</v>
      </c>
      <c r="N36" s="42">
        <v>5</v>
      </c>
      <c r="O36" s="42">
        <v>12</v>
      </c>
      <c r="P36" s="42"/>
      <c r="Q36" s="43">
        <v>14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>
        <v>5</v>
      </c>
      <c r="D42" s="41">
        <v>1</v>
      </c>
      <c r="E42" s="42"/>
      <c r="F42" s="42">
        <v>421</v>
      </c>
      <c r="G42" s="42">
        <v>13</v>
      </c>
      <c r="H42" s="42">
        <v>3</v>
      </c>
      <c r="I42" s="42">
        <v>19</v>
      </c>
      <c r="J42" s="42">
        <v>1</v>
      </c>
      <c r="K42" s="42">
        <v>8</v>
      </c>
      <c r="L42" s="42">
        <v>5</v>
      </c>
      <c r="M42" s="42">
        <v>1</v>
      </c>
      <c r="N42" s="42">
        <v>5</v>
      </c>
      <c r="O42" s="42">
        <v>12</v>
      </c>
      <c r="P42" s="42"/>
      <c r="Q42" s="43">
        <v>14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6">
        <f>8+2+4+1+2+46+389</f>
        <v>452</v>
      </c>
      <c r="D44" s="96"/>
      <c r="E44" s="96"/>
    </row>
    <row r="45" spans="2:25" x14ac:dyDescent="0.25">
      <c r="B45" s="76" t="s">
        <v>69</v>
      </c>
      <c r="C45" s="96">
        <v>12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77C715-DCA4-4919-B5B3-2091570DC21F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22CFB9-8166-4F1A-AE6D-6254B627312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6"/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07DBE9-AE37-475B-99FF-62BD58953DF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8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6"/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1624DB-EE41-4E0E-A137-04D6985447C4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6">
        <f>1+1+26+15+15+3+5+62+2+10+551</f>
        <v>691</v>
      </c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CC5C68-5AA5-47D0-98B6-6C910A9696B8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B9FE6F-F82C-4D73-93F1-34AE4639E24B}">
  <dimension ref="B1:AA45"/>
  <sheetViews>
    <sheetView showGridLines="0" zoomScale="160" zoomScaleNormal="160" workbookViewId="0">
      <selection activeCell="K26" sqref="K26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6"/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690652-D80F-4430-8938-AD6562E1BD08}">
  <dimension ref="B1:AA45"/>
  <sheetViews>
    <sheetView showGridLines="0" topLeftCell="A29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8">
        <v>1</v>
      </c>
      <c r="D8" s="14"/>
      <c r="E8" s="14"/>
      <c r="F8" s="14"/>
      <c r="G8" s="14"/>
      <c r="H8" s="14">
        <v>15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2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/>
      <c r="F15" s="23"/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2</v>
      </c>
      <c r="X15" s="61">
        <v>1</v>
      </c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>
        <v>15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0</v>
      </c>
      <c r="X16" s="62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85</v>
      </c>
      <c r="G24" s="14"/>
      <c r="H24" s="14">
        <v>50</v>
      </c>
      <c r="I24" s="14"/>
      <c r="J24" s="14"/>
      <c r="K24" s="14" t="s">
        <v>85</v>
      </c>
      <c r="L24" s="14">
        <v>8</v>
      </c>
      <c r="M24" s="14">
        <v>482</v>
      </c>
      <c r="N24" s="14"/>
      <c r="O24" s="14"/>
      <c r="P24" s="14" t="s">
        <v>86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85</v>
      </c>
      <c r="G31" s="23"/>
      <c r="H31" s="23">
        <v>17</v>
      </c>
      <c r="I31" s="23"/>
      <c r="J31" s="23"/>
      <c r="K31" s="23" t="s">
        <v>85</v>
      </c>
      <c r="L31" s="23">
        <v>4</v>
      </c>
      <c r="M31" s="23">
        <v>25</v>
      </c>
      <c r="N31" s="23"/>
      <c r="O31" s="23"/>
      <c r="P31" s="23" t="s">
        <v>86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33</v>
      </c>
      <c r="I32" s="28"/>
      <c r="J32" s="28"/>
      <c r="K32" s="28">
        <v>0</v>
      </c>
      <c r="L32" s="28">
        <v>4</v>
      </c>
      <c r="M32" s="28">
        <v>457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495</v>
      </c>
      <c r="G36" s="42">
        <v>1</v>
      </c>
      <c r="H36" s="42">
        <v>4</v>
      </c>
      <c r="I36" s="42">
        <v>3</v>
      </c>
      <c r="J36" s="42">
        <v>1</v>
      </c>
      <c r="K36" s="42">
        <v>8</v>
      </c>
      <c r="L36" s="42"/>
      <c r="M36" s="42"/>
      <c r="N36" s="42"/>
      <c r="O36" s="42">
        <v>2</v>
      </c>
      <c r="P36" s="42">
        <v>15</v>
      </c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495</v>
      </c>
      <c r="G42" s="42">
        <v>1</v>
      </c>
      <c r="H42" s="42">
        <v>4</v>
      </c>
      <c r="I42" s="42">
        <v>3</v>
      </c>
      <c r="J42" s="42">
        <v>1</v>
      </c>
      <c r="K42" s="42">
        <v>8</v>
      </c>
      <c r="L42" s="42"/>
      <c r="M42" s="42"/>
      <c r="N42" s="42"/>
      <c r="O42" s="42">
        <v>2</v>
      </c>
      <c r="P42" s="42">
        <v>15</v>
      </c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6">
        <f>15+33+4+457</f>
        <v>509</v>
      </c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E5F77-BD14-48DF-9B62-001800A92A58}">
  <dimension ref="B1:AA45"/>
  <sheetViews>
    <sheetView showGridLines="0" topLeftCell="A29" zoomScale="160" zoomScaleNormal="160" workbookViewId="0">
      <selection activeCell="N46" sqref="N46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/>
      <c r="F8" s="14"/>
      <c r="G8" s="14"/>
      <c r="H8" s="14" t="s">
        <v>96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5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/>
      <c r="F15" s="23"/>
      <c r="G15" s="23"/>
      <c r="H15" s="23">
        <v>10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93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1</v>
      </c>
      <c r="U16" s="28"/>
      <c r="V16" s="28"/>
      <c r="W16" s="56">
        <v>5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5</v>
      </c>
      <c r="G24" s="14"/>
      <c r="H24" s="14">
        <v>77</v>
      </c>
      <c r="I24" s="14"/>
      <c r="J24" s="14"/>
      <c r="K24" s="14">
        <v>2</v>
      </c>
      <c r="L24" s="14">
        <v>16</v>
      </c>
      <c r="M24" s="14">
        <v>477</v>
      </c>
      <c r="N24" s="14"/>
      <c r="O24" s="14"/>
      <c r="P24" s="14" t="s">
        <v>90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5</v>
      </c>
      <c r="G31" s="23"/>
      <c r="H31" s="23">
        <v>1</v>
      </c>
      <c r="I31" s="23"/>
      <c r="J31" s="23"/>
      <c r="K31" s="23">
        <v>2</v>
      </c>
      <c r="L31" s="23">
        <v>6</v>
      </c>
      <c r="M31" s="23">
        <v>61</v>
      </c>
      <c r="N31" s="23"/>
      <c r="O31" s="23"/>
      <c r="P31" s="23" t="s">
        <v>90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76</v>
      </c>
      <c r="I32" s="28"/>
      <c r="J32" s="28"/>
      <c r="K32" s="28">
        <v>0</v>
      </c>
      <c r="L32" s="28">
        <v>10</v>
      </c>
      <c r="M32" s="28">
        <v>416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>
        <v>1</v>
      </c>
      <c r="E36" s="42">
        <v>10</v>
      </c>
      <c r="F36" s="42">
        <v>467</v>
      </c>
      <c r="G36" s="42">
        <v>10</v>
      </c>
      <c r="H36" s="42">
        <v>5</v>
      </c>
      <c r="I36" s="42">
        <v>25</v>
      </c>
      <c r="J36" s="42"/>
      <c r="K36" s="42">
        <v>33</v>
      </c>
      <c r="L36" s="42">
        <v>3</v>
      </c>
      <c r="M36" s="42">
        <v>1</v>
      </c>
      <c r="N36" s="42">
        <v>8</v>
      </c>
      <c r="O36" s="42">
        <v>5</v>
      </c>
      <c r="P36" s="42">
        <v>5</v>
      </c>
      <c r="Q36" s="43">
        <v>7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>
        <v>1</v>
      </c>
      <c r="E42" s="42">
        <v>10</v>
      </c>
      <c r="F42" s="42">
        <v>467</v>
      </c>
      <c r="G42" s="42">
        <v>10</v>
      </c>
      <c r="H42" s="42">
        <v>5</v>
      </c>
      <c r="I42" s="42">
        <v>25</v>
      </c>
      <c r="J42" s="42"/>
      <c r="K42" s="42">
        <v>33</v>
      </c>
      <c r="L42" s="42">
        <v>3</v>
      </c>
      <c r="M42" s="42">
        <v>1</v>
      </c>
      <c r="N42" s="42">
        <v>8</v>
      </c>
      <c r="O42" s="42">
        <v>5</v>
      </c>
      <c r="P42" s="42">
        <v>5</v>
      </c>
      <c r="Q42" s="43">
        <v>7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6">
        <f>10+1+5+76+10+416</f>
        <v>518</v>
      </c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F98DB6-5127-49A0-88FD-A510330E25C0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1028DD-8A10-4B87-80EA-B429032AF998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/>
      <c r="E8" s="14">
        <v>2</v>
      </c>
      <c r="F8" s="14">
        <v>2</v>
      </c>
      <c r="G8" s="14"/>
      <c r="H8" s="14" t="s">
        <v>98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>
        <v>1</v>
      </c>
      <c r="T8" s="14"/>
      <c r="U8" s="14"/>
      <c r="V8" s="14"/>
      <c r="W8" s="14">
        <v>1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0</v>
      </c>
      <c r="F15" s="23">
        <v>0</v>
      </c>
      <c r="G15" s="23"/>
      <c r="H15" s="23">
        <v>7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>
        <v>1</v>
      </c>
      <c r="T15" s="23"/>
      <c r="U15" s="23"/>
      <c r="V15" s="23"/>
      <c r="W15" s="23">
        <v>0</v>
      </c>
      <c r="X15" s="61">
        <v>0</v>
      </c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>
        <v>2</v>
      </c>
      <c r="F16" s="27">
        <v>2</v>
      </c>
      <c r="G16" s="28"/>
      <c r="H16" s="28" t="s">
        <v>97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>
        <v>0</v>
      </c>
      <c r="T16" s="28"/>
      <c r="U16" s="28"/>
      <c r="V16" s="28"/>
      <c r="W16" s="56">
        <v>1</v>
      </c>
      <c r="X16" s="62">
        <v>1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21</v>
      </c>
      <c r="I24" s="14"/>
      <c r="J24" s="14"/>
      <c r="K24" s="14">
        <v>1</v>
      </c>
      <c r="L24" s="14">
        <v>9</v>
      </c>
      <c r="M24" s="14">
        <v>385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</v>
      </c>
      <c r="I31" s="23"/>
      <c r="J31" s="23"/>
      <c r="K31" s="23">
        <v>1</v>
      </c>
      <c r="L31" s="23">
        <v>0</v>
      </c>
      <c r="M31" s="23">
        <v>46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20</v>
      </c>
      <c r="I32" s="28"/>
      <c r="J32" s="28"/>
      <c r="K32" s="28">
        <v>0</v>
      </c>
      <c r="L32" s="28">
        <v>9</v>
      </c>
      <c r="M32" s="28">
        <v>339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300</v>
      </c>
      <c r="G36" s="42">
        <v>6</v>
      </c>
      <c r="H36" s="42">
        <v>2</v>
      </c>
      <c r="I36" s="42">
        <v>8</v>
      </c>
      <c r="J36" s="42">
        <v>1</v>
      </c>
      <c r="K36" s="42"/>
      <c r="L36" s="42">
        <v>2</v>
      </c>
      <c r="M36" s="42"/>
      <c r="N36" s="42"/>
      <c r="O36" s="42">
        <v>1</v>
      </c>
      <c r="P36" s="42">
        <v>2</v>
      </c>
      <c r="Q36" s="43">
        <v>21</v>
      </c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300</v>
      </c>
      <c r="G42" s="42">
        <v>6</v>
      </c>
      <c r="H42" s="42">
        <v>2</v>
      </c>
      <c r="I42" s="42">
        <v>8</v>
      </c>
      <c r="J42" s="42">
        <v>1</v>
      </c>
      <c r="K42" s="42"/>
      <c r="L42" s="42">
        <v>2</v>
      </c>
      <c r="M42" s="42"/>
      <c r="N42" s="42"/>
      <c r="O42" s="42">
        <v>1</v>
      </c>
      <c r="P42" s="42">
        <v>2</v>
      </c>
      <c r="Q42" s="43">
        <v>21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  <row r="44" spans="2:25" x14ac:dyDescent="0.25">
      <c r="B44" s="76" t="s">
        <v>68</v>
      </c>
      <c r="C44" s="96">
        <f>2+2+2+1+1+20+9+339</f>
        <v>376</v>
      </c>
      <c r="D44" s="96"/>
      <c r="E44" s="96"/>
    </row>
    <row r="45" spans="2:25" x14ac:dyDescent="0.25">
      <c r="B45" s="76" t="s">
        <v>69</v>
      </c>
      <c r="C45" s="96">
        <f>12</f>
        <v>12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CFB2E9-1DAD-41B9-8108-5761B3569BB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80">
        <v>1</v>
      </c>
      <c r="D8" s="14"/>
      <c r="E8" s="14">
        <v>3</v>
      </c>
      <c r="F8" s="14">
        <v>1</v>
      </c>
      <c r="G8" s="14"/>
      <c r="H8" s="14">
        <v>13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2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1</v>
      </c>
      <c r="F15" s="23">
        <v>0</v>
      </c>
      <c r="G15" s="23"/>
      <c r="H15" s="23">
        <v>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1</v>
      </c>
      <c r="X15" s="61">
        <v>1</v>
      </c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>
        <v>2</v>
      </c>
      <c r="F16" s="27">
        <v>1</v>
      </c>
      <c r="G16" s="28"/>
      <c r="H16" s="28">
        <v>12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1</v>
      </c>
      <c r="X16" s="62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100</v>
      </c>
      <c r="G24" s="14"/>
      <c r="H24" s="14">
        <v>50</v>
      </c>
      <c r="I24" s="14"/>
      <c r="J24" s="14"/>
      <c r="K24" s="14" t="s">
        <v>101</v>
      </c>
      <c r="L24" s="14">
        <v>4</v>
      </c>
      <c r="M24" s="14">
        <v>368</v>
      </c>
      <c r="N24" s="14"/>
      <c r="O24" s="14"/>
      <c r="P24" s="14" t="s">
        <v>102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99</v>
      </c>
      <c r="G31" s="23"/>
      <c r="H31" s="23">
        <v>0</v>
      </c>
      <c r="I31" s="23"/>
      <c r="J31" s="23"/>
      <c r="K31" s="23" t="s">
        <v>101</v>
      </c>
      <c r="L31" s="23">
        <v>1</v>
      </c>
      <c r="M31" s="23">
        <v>45</v>
      </c>
      <c r="N31" s="23"/>
      <c r="O31" s="23"/>
      <c r="P31" s="23" t="s">
        <v>102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5</v>
      </c>
      <c r="G32" s="28"/>
      <c r="H32" s="28">
        <v>50</v>
      </c>
      <c r="I32" s="28"/>
      <c r="J32" s="28"/>
      <c r="K32" s="28">
        <v>0</v>
      </c>
      <c r="L32" s="28">
        <v>3</v>
      </c>
      <c r="M32" s="28">
        <v>323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>
        <v>4</v>
      </c>
      <c r="D36" s="41"/>
      <c r="E36" s="42"/>
      <c r="F36" s="42">
        <v>386</v>
      </c>
      <c r="G36" s="42">
        <v>9</v>
      </c>
      <c r="H36" s="42">
        <v>4</v>
      </c>
      <c r="I36" s="42">
        <v>3</v>
      </c>
      <c r="J36" s="42">
        <v>1</v>
      </c>
      <c r="K36" s="42"/>
      <c r="L36" s="42">
        <v>5</v>
      </c>
      <c r="M36" s="42">
        <v>1</v>
      </c>
      <c r="N36" s="42"/>
      <c r="O36" s="42">
        <v>13</v>
      </c>
      <c r="P36" s="42">
        <v>1</v>
      </c>
      <c r="Q36" s="43">
        <v>1</v>
      </c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>
        <v>4</v>
      </c>
      <c r="D42" s="41"/>
      <c r="E42" s="42"/>
      <c r="F42" s="42">
        <v>386</v>
      </c>
      <c r="G42" s="42">
        <v>9</v>
      </c>
      <c r="H42" s="42">
        <v>4</v>
      </c>
      <c r="I42" s="42">
        <v>3</v>
      </c>
      <c r="J42" s="42">
        <v>1</v>
      </c>
      <c r="K42" s="42"/>
      <c r="L42" s="42">
        <v>5</v>
      </c>
      <c r="M42" s="42">
        <v>1</v>
      </c>
      <c r="N42" s="42"/>
      <c r="O42" s="42">
        <v>13</v>
      </c>
      <c r="P42" s="42">
        <v>1</v>
      </c>
      <c r="Q42" s="43">
        <v>1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  <row r="44" spans="2:25" x14ac:dyDescent="0.25">
      <c r="B44" s="76" t="s">
        <v>68</v>
      </c>
      <c r="C44" s="96">
        <f>2+1+12+1+5+50+3+323</f>
        <v>397</v>
      </c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C365DA-3F48-4CD6-ACFE-59473E57E51F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/>
      <c r="F8" s="14"/>
      <c r="G8" s="14"/>
      <c r="H8" s="14">
        <v>20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7</v>
      </c>
      <c r="X8" s="59">
        <v>20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/>
      <c r="F15" s="23"/>
      <c r="G15" s="23"/>
      <c r="H15" s="23">
        <v>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0</v>
      </c>
      <c r="X15" s="61">
        <v>0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>
        <v>19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7</v>
      </c>
      <c r="X16" s="62">
        <v>2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5</v>
      </c>
      <c r="G24" s="14"/>
      <c r="H24" s="14">
        <v>109</v>
      </c>
      <c r="I24" s="14"/>
      <c r="J24" s="14"/>
      <c r="K24" s="14">
        <v>2</v>
      </c>
      <c r="L24" s="14">
        <v>35</v>
      </c>
      <c r="M24" s="14">
        <v>493</v>
      </c>
      <c r="N24" s="14"/>
      <c r="O24" s="14"/>
      <c r="P24" s="14" t="s">
        <v>103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1</v>
      </c>
      <c r="I31" s="23"/>
      <c r="J31" s="23"/>
      <c r="K31" s="23">
        <v>1</v>
      </c>
      <c r="L31" s="23">
        <v>8</v>
      </c>
      <c r="M31" s="23">
        <v>3</v>
      </c>
      <c r="N31" s="23"/>
      <c r="O31" s="23"/>
      <c r="P31" s="23" t="s">
        <v>103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5</v>
      </c>
      <c r="G32" s="28"/>
      <c r="H32" s="28">
        <v>108</v>
      </c>
      <c r="I32" s="28"/>
      <c r="J32" s="28"/>
      <c r="K32" s="28">
        <v>1</v>
      </c>
      <c r="L32" s="28">
        <v>27</v>
      </c>
      <c r="M32" s="28">
        <v>490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>
        <v>1</v>
      </c>
      <c r="D36" s="41"/>
      <c r="E36" s="42">
        <v>24</v>
      </c>
      <c r="F36" s="42">
        <v>562</v>
      </c>
      <c r="G36" s="42">
        <v>1</v>
      </c>
      <c r="H36" s="42">
        <v>3</v>
      </c>
      <c r="I36" s="42">
        <v>19</v>
      </c>
      <c r="J36" s="42"/>
      <c r="K36" s="42">
        <v>8</v>
      </c>
      <c r="L36" s="42">
        <v>7</v>
      </c>
      <c r="M36" s="42">
        <v>4</v>
      </c>
      <c r="N36" s="42">
        <v>4</v>
      </c>
      <c r="O36" s="42">
        <v>14</v>
      </c>
      <c r="P36" s="42">
        <v>5</v>
      </c>
      <c r="Q36" s="43">
        <v>22</v>
      </c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>
        <v>24</v>
      </c>
      <c r="F42" s="42">
        <v>562</v>
      </c>
      <c r="G42" s="42">
        <v>1</v>
      </c>
      <c r="H42" s="42">
        <v>3</v>
      </c>
      <c r="I42" s="42">
        <v>19</v>
      </c>
      <c r="J42" s="42"/>
      <c r="K42" s="42">
        <v>8</v>
      </c>
      <c r="L42" s="42">
        <v>7</v>
      </c>
      <c r="M42" s="42">
        <v>4</v>
      </c>
      <c r="N42" s="42">
        <v>4</v>
      </c>
      <c r="O42" s="42">
        <v>14</v>
      </c>
      <c r="P42" s="42">
        <v>5</v>
      </c>
      <c r="Q42" s="43">
        <v>22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  <row r="44" spans="2:25" x14ac:dyDescent="0.25">
      <c r="B44" s="76" t="s">
        <v>68</v>
      </c>
      <c r="C44" s="96">
        <f>1+1+26+15+15+3+5+62+2+10+551</f>
        <v>691</v>
      </c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581476-46CD-40CB-AB97-62C479F8E3F5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212333-E2CF-4662-8CA0-CC82140FEBC5}">
  <dimension ref="B1:AA45"/>
  <sheetViews>
    <sheetView showGridLines="0" topLeftCell="A29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3</v>
      </c>
      <c r="D8" s="14"/>
      <c r="E8" s="14">
        <v>2</v>
      </c>
      <c r="F8" s="14">
        <v>4</v>
      </c>
      <c r="G8" s="14"/>
      <c r="H8" s="14">
        <v>7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0</v>
      </c>
      <c r="F15" s="23">
        <v>0</v>
      </c>
      <c r="G15" s="23"/>
      <c r="H15" s="23">
        <v>7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1</v>
      </c>
      <c r="X15" s="61"/>
      <c r="Y15" s="24"/>
    </row>
    <row r="16" spans="2:27" ht="18" customHeight="1" thickBot="1" x14ac:dyDescent="0.3">
      <c r="B16" s="25" t="s">
        <v>26</v>
      </c>
      <c r="C16" s="57">
        <v>2</v>
      </c>
      <c r="D16" s="58"/>
      <c r="E16" s="27">
        <v>2</v>
      </c>
      <c r="F16" s="27">
        <v>4</v>
      </c>
      <c r="G16" s="28"/>
      <c r="H16" s="28">
        <v>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1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21</v>
      </c>
      <c r="I24" s="14"/>
      <c r="J24" s="14"/>
      <c r="K24" s="14">
        <v>1</v>
      </c>
      <c r="L24" s="14">
        <v>10</v>
      </c>
      <c r="M24" s="14">
        <v>370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6</v>
      </c>
      <c r="I31" s="23"/>
      <c r="J31" s="23"/>
      <c r="K31" s="23">
        <v>1</v>
      </c>
      <c r="L31" s="23">
        <v>2</v>
      </c>
      <c r="M31" s="23">
        <v>58</v>
      </c>
      <c r="N31" s="23"/>
      <c r="O31" s="23"/>
      <c r="P31" s="23">
        <v>8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15</v>
      </c>
      <c r="I32" s="28"/>
      <c r="J32" s="28"/>
      <c r="K32" s="28">
        <v>0</v>
      </c>
      <c r="L32" s="28">
        <v>8</v>
      </c>
      <c r="M32" s="28">
        <v>312</v>
      </c>
      <c r="N32" s="28"/>
      <c r="O32" s="23"/>
      <c r="P32" s="28">
        <v>2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321</v>
      </c>
      <c r="G36" s="42">
        <v>6</v>
      </c>
      <c r="H36" s="42">
        <v>5</v>
      </c>
      <c r="I36" s="42">
        <v>9</v>
      </c>
      <c r="J36" s="42">
        <v>4</v>
      </c>
      <c r="K36" s="42">
        <v>4</v>
      </c>
      <c r="L36" s="42">
        <v>2</v>
      </c>
      <c r="M36" s="42">
        <v>1</v>
      </c>
      <c r="N36" s="42"/>
      <c r="O36" s="42"/>
      <c r="P36" s="42"/>
      <c r="Q36" s="43"/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321</v>
      </c>
      <c r="G42" s="42">
        <v>6</v>
      </c>
      <c r="H42" s="42">
        <v>5</v>
      </c>
      <c r="I42" s="42">
        <v>9</v>
      </c>
      <c r="J42" s="42">
        <v>4</v>
      </c>
      <c r="K42" s="42">
        <v>4</v>
      </c>
      <c r="L42" s="42">
        <v>2</v>
      </c>
      <c r="M42" s="42">
        <v>1</v>
      </c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  <row r="44" spans="2:25" x14ac:dyDescent="0.25">
      <c r="B44" s="76" t="s">
        <v>68</v>
      </c>
      <c r="C44" s="96">
        <f>2+2+4+1+15+8+312</f>
        <v>344</v>
      </c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85510E-BEE3-4382-9DE0-2C0BBCCEDE5A}">
  <dimension ref="B1:AA45"/>
  <sheetViews>
    <sheetView showGridLines="0" topLeftCell="A16" zoomScale="160" zoomScaleNormal="160" workbookViewId="0">
      <selection activeCell="N38" sqref="N38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8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  <row r="44" spans="2:25" x14ac:dyDescent="0.25">
      <c r="B44" s="76" t="s">
        <v>68</v>
      </c>
      <c r="C44" s="96"/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5553E1-742A-48AB-BEDC-A3BA21BED00B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2288B5-F19A-497C-A6A6-006728A3CC0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96"/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171BBD-4DAB-4F54-8CCE-B382B16ABCE5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80">
        <v>1</v>
      </c>
      <c r="D8" s="14"/>
      <c r="E8" s="14">
        <v>2</v>
      </c>
      <c r="F8" s="14"/>
      <c r="G8" s="14"/>
      <c r="H8" s="14">
        <v>16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2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0</v>
      </c>
      <c r="F15" s="23"/>
      <c r="G15" s="23"/>
      <c r="H15" s="23">
        <v>12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2</v>
      </c>
      <c r="X15" s="61">
        <v>1</v>
      </c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>
        <v>2</v>
      </c>
      <c r="F16" s="27"/>
      <c r="G16" s="28"/>
      <c r="H16" s="28" t="s">
        <v>92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0</v>
      </c>
      <c r="X16" s="62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85</v>
      </c>
      <c r="G24" s="14"/>
      <c r="H24" s="14">
        <v>108</v>
      </c>
      <c r="I24" s="14"/>
      <c r="J24" s="14"/>
      <c r="K24" s="14" t="s">
        <v>88</v>
      </c>
      <c r="L24" s="14">
        <v>6</v>
      </c>
      <c r="M24" s="14">
        <v>369</v>
      </c>
      <c r="N24" s="14"/>
      <c r="O24" s="14"/>
      <c r="P24" s="14" t="s">
        <v>107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85</v>
      </c>
      <c r="G31" s="23"/>
      <c r="H31" s="23">
        <v>0</v>
      </c>
      <c r="I31" s="23"/>
      <c r="J31" s="23"/>
      <c r="K31" s="23">
        <v>12</v>
      </c>
      <c r="L31" s="23">
        <v>6</v>
      </c>
      <c r="M31" s="23">
        <v>104</v>
      </c>
      <c r="N31" s="23"/>
      <c r="O31" s="23"/>
      <c r="P31" s="23" t="s">
        <v>107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108</v>
      </c>
      <c r="I32" s="28"/>
      <c r="J32" s="28"/>
      <c r="K32" s="28">
        <v>0</v>
      </c>
      <c r="L32" s="28">
        <v>0</v>
      </c>
      <c r="M32" s="28">
        <v>265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338</v>
      </c>
      <c r="G36" s="42">
        <v>33</v>
      </c>
      <c r="H36" s="42">
        <v>3</v>
      </c>
      <c r="I36" s="42">
        <v>3</v>
      </c>
      <c r="J36" s="42"/>
      <c r="K36" s="42"/>
      <c r="L36" s="42"/>
      <c r="M36" s="42"/>
      <c r="N36" s="42"/>
      <c r="O36" s="42">
        <v>2</v>
      </c>
      <c r="P36" s="42">
        <v>9</v>
      </c>
      <c r="Q36" s="43">
        <v>3</v>
      </c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338</v>
      </c>
      <c r="G42" s="42">
        <v>33</v>
      </c>
      <c r="H42" s="42">
        <v>3</v>
      </c>
      <c r="I42" s="42">
        <v>3</v>
      </c>
      <c r="J42" s="42"/>
      <c r="K42" s="42"/>
      <c r="L42" s="42"/>
      <c r="M42" s="42"/>
      <c r="N42" s="42"/>
      <c r="O42" s="42">
        <v>2</v>
      </c>
      <c r="P42" s="42">
        <v>9</v>
      </c>
      <c r="Q42" s="43">
        <v>3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96">
        <f>2+15+108+265</f>
        <v>390</v>
      </c>
      <c r="D44" s="96"/>
      <c r="E44" s="96"/>
    </row>
    <row r="45" spans="2:25" x14ac:dyDescent="0.25">
      <c r="B45" s="76" t="s">
        <v>69</v>
      </c>
      <c r="C45" s="96">
        <f>12</f>
        <v>12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0BCAA7-25D3-432A-B5E1-EF6BECD151C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/>
      <c r="F8" s="14"/>
      <c r="G8" s="14"/>
      <c r="H8" s="14">
        <v>16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7</v>
      </c>
      <c r="U8" s="14"/>
      <c r="V8" s="14"/>
      <c r="W8" s="14">
        <v>3</v>
      </c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/>
      <c r="F15" s="23"/>
      <c r="G15" s="23"/>
      <c r="H15" s="23" t="s">
        <v>89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>
        <v>1</v>
      </c>
      <c r="X15" s="61"/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108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5</v>
      </c>
      <c r="U16" s="28"/>
      <c r="V16" s="28"/>
      <c r="W16" s="56">
        <v>2</v>
      </c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>
        <v>54</v>
      </c>
      <c r="I24" s="14"/>
      <c r="J24" s="14"/>
      <c r="K24" s="14">
        <v>26</v>
      </c>
      <c r="L24" s="14">
        <v>15</v>
      </c>
      <c r="M24" s="14">
        <v>431</v>
      </c>
      <c r="N24" s="14"/>
      <c r="O24" s="14"/>
      <c r="P24" s="14" t="s">
        <v>87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>
        <v>1</v>
      </c>
      <c r="I31" s="23"/>
      <c r="J31" s="23"/>
      <c r="K31" s="23">
        <v>0</v>
      </c>
      <c r="L31" s="23">
        <v>4</v>
      </c>
      <c r="M31" s="23">
        <v>162</v>
      </c>
      <c r="N31" s="23"/>
      <c r="O31" s="23"/>
      <c r="P31" s="23" t="s">
        <v>109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>
        <v>53</v>
      </c>
      <c r="I32" s="28"/>
      <c r="J32" s="28"/>
      <c r="K32" s="28">
        <v>26</v>
      </c>
      <c r="L32" s="28">
        <v>11</v>
      </c>
      <c r="M32" s="28">
        <v>269</v>
      </c>
      <c r="N32" s="28"/>
      <c r="O32" s="23"/>
      <c r="P32" s="28">
        <v>3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333</v>
      </c>
      <c r="G36" s="42">
        <v>12</v>
      </c>
      <c r="H36" s="42">
        <v>3</v>
      </c>
      <c r="I36" s="42">
        <v>14</v>
      </c>
      <c r="J36" s="42">
        <v>1</v>
      </c>
      <c r="K36" s="42">
        <v>2</v>
      </c>
      <c r="L36" s="42">
        <v>33</v>
      </c>
      <c r="M36" s="42"/>
      <c r="N36" s="42">
        <v>15</v>
      </c>
      <c r="O36" s="42">
        <v>2</v>
      </c>
      <c r="P36" s="42"/>
      <c r="Q36" s="43">
        <v>16</v>
      </c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333</v>
      </c>
      <c r="G42" s="42">
        <v>12</v>
      </c>
      <c r="H42" s="42">
        <v>3</v>
      </c>
      <c r="I42" s="42">
        <v>14</v>
      </c>
      <c r="J42" s="42">
        <v>1</v>
      </c>
      <c r="K42" s="42">
        <v>2</v>
      </c>
      <c r="L42" s="42">
        <v>33</v>
      </c>
      <c r="M42" s="42"/>
      <c r="N42" s="42">
        <v>15</v>
      </c>
      <c r="O42" s="42">
        <v>2</v>
      </c>
      <c r="P42" s="42"/>
      <c r="Q42" s="43">
        <v>16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  <row r="44" spans="2:25" x14ac:dyDescent="0.25">
      <c r="B44" s="76" t="s">
        <v>68</v>
      </c>
      <c r="C44" s="96">
        <f>2+5+2+53+26+11+269+3</f>
        <v>371</v>
      </c>
      <c r="D44" s="96"/>
      <c r="E44" s="96"/>
    </row>
    <row r="45" spans="2:25" x14ac:dyDescent="0.25">
      <c r="B45" s="76" t="s">
        <v>69</v>
      </c>
      <c r="C45" s="96">
        <f>12</f>
        <v>12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42F7BD-955D-439D-A420-9D99970F2B78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321C10-082D-46CA-8D11-6C987D35F72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4</v>
      </c>
      <c r="D8" s="14">
        <v>3</v>
      </c>
      <c r="E8" s="14">
        <v>2</v>
      </c>
      <c r="F8" s="14"/>
      <c r="G8" s="14"/>
      <c r="H8" s="14">
        <v>12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>
        <v>0</v>
      </c>
      <c r="F15" s="23"/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2</v>
      </c>
      <c r="X15" s="61"/>
      <c r="Y15" s="24"/>
    </row>
    <row r="16" spans="2:27" ht="18" customHeight="1" thickBot="1" x14ac:dyDescent="0.3">
      <c r="B16" s="25" t="s">
        <v>26</v>
      </c>
      <c r="C16" s="57">
        <v>3</v>
      </c>
      <c r="D16" s="58">
        <v>1</v>
      </c>
      <c r="E16" s="27">
        <v>2</v>
      </c>
      <c r="F16" s="27"/>
      <c r="G16" s="28"/>
      <c r="H16" s="28">
        <v>12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104</v>
      </c>
      <c r="I24" s="14"/>
      <c r="J24" s="14"/>
      <c r="K24" s="14"/>
      <c r="L24" s="14">
        <v>14</v>
      </c>
      <c r="M24" s="14">
        <v>441</v>
      </c>
      <c r="N24" s="14"/>
      <c r="O24" s="14"/>
      <c r="P24" s="14">
        <v>8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</v>
      </c>
      <c r="I31" s="23"/>
      <c r="J31" s="23"/>
      <c r="K31" s="23"/>
      <c r="L31" s="23">
        <v>6</v>
      </c>
      <c r="M31" s="23">
        <v>19</v>
      </c>
      <c r="N31" s="23"/>
      <c r="O31" s="23"/>
      <c r="P31" s="23">
        <v>8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103</v>
      </c>
      <c r="I32" s="28"/>
      <c r="J32" s="28"/>
      <c r="K32" s="28"/>
      <c r="L32" s="28">
        <v>8</v>
      </c>
      <c r="M32" s="28">
        <v>422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344</v>
      </c>
      <c r="G36" s="42">
        <v>8</v>
      </c>
      <c r="H36" s="42">
        <v>3</v>
      </c>
      <c r="I36" s="42">
        <v>3</v>
      </c>
      <c r="J36" s="42">
        <v>1</v>
      </c>
      <c r="K36" s="42">
        <v>12</v>
      </c>
      <c r="L36" s="42">
        <v>2</v>
      </c>
      <c r="M36" s="42">
        <v>2</v>
      </c>
      <c r="N36" s="42">
        <v>22</v>
      </c>
      <c r="O36" s="42">
        <v>5</v>
      </c>
      <c r="P36" s="42"/>
      <c r="Q36" s="43"/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344</v>
      </c>
      <c r="G42" s="42">
        <v>8</v>
      </c>
      <c r="H42" s="42">
        <v>3</v>
      </c>
      <c r="I42" s="42">
        <v>3</v>
      </c>
      <c r="J42" s="42">
        <v>1</v>
      </c>
      <c r="K42" s="42">
        <v>12</v>
      </c>
      <c r="L42" s="42">
        <v>2</v>
      </c>
      <c r="M42" s="42">
        <v>2</v>
      </c>
      <c r="N42" s="42">
        <v>22</v>
      </c>
      <c r="O42" s="42">
        <v>5</v>
      </c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96">
        <f>3+1+2+12+103+8+422</f>
        <v>551</v>
      </c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3959D7-1134-4012-B3CD-F4E1909A914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80">
        <v>1</v>
      </c>
      <c r="D8" s="14">
        <v>1</v>
      </c>
      <c r="E8" s="14">
        <v>5</v>
      </c>
      <c r="F8" s="14"/>
      <c r="G8" s="14"/>
      <c r="H8" s="14" t="s">
        <v>93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2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0</v>
      </c>
      <c r="E15" s="23">
        <v>0</v>
      </c>
      <c r="F15" s="23"/>
      <c r="G15" s="23"/>
      <c r="H15" s="23" t="s">
        <v>88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1</v>
      </c>
      <c r="X15" s="61">
        <v>1</v>
      </c>
      <c r="Y15" s="24"/>
    </row>
    <row r="16" spans="2:27" ht="18" customHeight="1" thickBot="1" x14ac:dyDescent="0.3">
      <c r="B16" s="25" t="s">
        <v>26</v>
      </c>
      <c r="C16" s="57">
        <v>0</v>
      </c>
      <c r="D16" s="58">
        <v>1</v>
      </c>
      <c r="E16" s="27">
        <v>5</v>
      </c>
      <c r="F16" s="27"/>
      <c r="G16" s="28"/>
      <c r="H16" s="28">
        <v>10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1</v>
      </c>
      <c r="X16" s="62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>
        <v>2</v>
      </c>
      <c r="E24" s="14"/>
      <c r="F24" s="14" t="s">
        <v>85</v>
      </c>
      <c r="G24" s="14"/>
      <c r="H24" s="14">
        <v>68</v>
      </c>
      <c r="I24" s="14"/>
      <c r="J24" s="14"/>
      <c r="K24" s="14" t="s">
        <v>88</v>
      </c>
      <c r="L24" s="14">
        <v>6</v>
      </c>
      <c r="M24" s="14">
        <v>374</v>
      </c>
      <c r="N24" s="14"/>
      <c r="O24" s="14"/>
      <c r="P24" s="14" t="s">
        <v>107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>
        <v>1</v>
      </c>
      <c r="E31" s="23"/>
      <c r="F31" s="23" t="s">
        <v>85</v>
      </c>
      <c r="G31" s="23"/>
      <c r="H31" s="23">
        <v>0</v>
      </c>
      <c r="I31" s="23"/>
      <c r="J31" s="23"/>
      <c r="K31" s="23" t="s">
        <v>88</v>
      </c>
      <c r="L31" s="23">
        <v>1</v>
      </c>
      <c r="M31" s="23">
        <v>97</v>
      </c>
      <c r="N31" s="23"/>
      <c r="O31" s="23"/>
      <c r="P31" s="23" t="s">
        <v>107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>
        <v>1</v>
      </c>
      <c r="E32" s="27"/>
      <c r="F32" s="27">
        <v>0</v>
      </c>
      <c r="G32" s="28"/>
      <c r="H32" s="28">
        <v>68</v>
      </c>
      <c r="I32" s="28"/>
      <c r="J32" s="28"/>
      <c r="K32" s="28">
        <v>0</v>
      </c>
      <c r="L32" s="28">
        <v>5</v>
      </c>
      <c r="M32" s="28">
        <v>277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396</v>
      </c>
      <c r="G36" s="42">
        <v>3</v>
      </c>
      <c r="H36" s="42">
        <v>3</v>
      </c>
      <c r="I36" s="42">
        <v>6</v>
      </c>
      <c r="J36" s="42"/>
      <c r="K36" s="42">
        <v>2</v>
      </c>
      <c r="L36" s="42">
        <v>5</v>
      </c>
      <c r="M36" s="42"/>
      <c r="N36" s="42"/>
      <c r="O36" s="42">
        <v>6</v>
      </c>
      <c r="P36" s="42">
        <v>5</v>
      </c>
      <c r="Q36" s="43"/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396</v>
      </c>
      <c r="G42" s="42">
        <v>3</v>
      </c>
      <c r="H42" s="42">
        <v>3</v>
      </c>
      <c r="I42" s="42">
        <v>6</v>
      </c>
      <c r="J42" s="42"/>
      <c r="K42" s="42">
        <v>2</v>
      </c>
      <c r="L42" s="42">
        <v>5</v>
      </c>
      <c r="M42" s="42"/>
      <c r="N42" s="42"/>
      <c r="O42" s="42">
        <v>6</v>
      </c>
      <c r="P42" s="42">
        <v>5</v>
      </c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96">
        <f>1+5+10+1+1+68+5+277</f>
        <v>368</v>
      </c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B63703-5D4B-4E7C-B04F-B492E99BFDE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96"/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43FAD9-BCFD-4E00-B44C-52C5E0D94AD3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E0477-8D4A-4461-AF7A-BE48D2121ED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96"/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371EB4-3552-4D1E-9D68-907782B5CF0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8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96"/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D7AA4-CC6C-4B09-99C1-8EA5EFCBC86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96"/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072EEA-818A-45EB-B468-E5CF0BEA2122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EDB2A2-C7DE-46A1-9418-B83E20CE8A8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>
        <v>2</v>
      </c>
      <c r="F8" s="14"/>
      <c r="G8" s="14"/>
      <c r="H8" s="14">
        <v>10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>
        <v>0</v>
      </c>
      <c r="F15" s="23"/>
      <c r="G15" s="23"/>
      <c r="H15" s="23">
        <v>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2</v>
      </c>
      <c r="F16" s="27"/>
      <c r="G16" s="28"/>
      <c r="H16" s="28">
        <v>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2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117</v>
      </c>
      <c r="I24" s="14"/>
      <c r="J24" s="14"/>
      <c r="K24" s="14"/>
      <c r="L24" s="14">
        <v>6</v>
      </c>
      <c r="M24" s="14">
        <v>326</v>
      </c>
      <c r="N24" s="14"/>
      <c r="O24" s="14"/>
      <c r="P24" s="14">
        <v>8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/>
      <c r="I31" s="23"/>
      <c r="J31" s="23"/>
      <c r="K31" s="23"/>
      <c r="L31" s="23">
        <v>0</v>
      </c>
      <c r="M31" s="23">
        <v>4</v>
      </c>
      <c r="N31" s="23"/>
      <c r="O31" s="23"/>
      <c r="P31" s="23">
        <v>8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111</v>
      </c>
      <c r="I32" s="28"/>
      <c r="J32" s="28"/>
      <c r="K32" s="28"/>
      <c r="L32" s="28">
        <v>6</v>
      </c>
      <c r="M32" s="28">
        <v>322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>
        <v>9</v>
      </c>
      <c r="D36" s="41">
        <v>2</v>
      </c>
      <c r="E36" s="42">
        <v>18</v>
      </c>
      <c r="F36" s="42">
        <v>539</v>
      </c>
      <c r="G36" s="42">
        <v>21</v>
      </c>
      <c r="H36" s="42">
        <v>10</v>
      </c>
      <c r="I36" s="42">
        <v>16</v>
      </c>
      <c r="J36" s="42">
        <v>1</v>
      </c>
      <c r="K36" s="42">
        <v>17</v>
      </c>
      <c r="L36" s="42">
        <v>10</v>
      </c>
      <c r="M36" s="42"/>
      <c r="N36" s="42">
        <v>23</v>
      </c>
      <c r="O36" s="42">
        <v>24</v>
      </c>
      <c r="P36" s="42">
        <v>2</v>
      </c>
      <c r="Q36" s="43">
        <v>11</v>
      </c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>
        <v>9</v>
      </c>
      <c r="D42" s="41">
        <v>2</v>
      </c>
      <c r="E42" s="42">
        <v>18</v>
      </c>
      <c r="F42" s="42">
        <v>539</v>
      </c>
      <c r="G42" s="42">
        <v>21</v>
      </c>
      <c r="H42" s="42">
        <v>10</v>
      </c>
      <c r="I42" s="42">
        <v>16</v>
      </c>
      <c r="J42" s="42">
        <v>1</v>
      </c>
      <c r="K42" s="42">
        <v>17</v>
      </c>
      <c r="L42" s="42">
        <v>10</v>
      </c>
      <c r="M42" s="42"/>
      <c r="N42" s="42">
        <v>23</v>
      </c>
      <c r="O42" s="42">
        <v>24</v>
      </c>
      <c r="P42" s="42">
        <v>2</v>
      </c>
      <c r="Q42" s="43">
        <v>11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  <row r="44" spans="2:25" x14ac:dyDescent="0.25">
      <c r="B44" s="76" t="s">
        <v>68</v>
      </c>
      <c r="C44" s="96">
        <f>2+9+2+111+6+322</f>
        <v>452</v>
      </c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E0AF6E-4F8C-4A65-AA61-EE6E7C4CFE1F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8"/>
      <c r="D8" s="14"/>
      <c r="E8" s="14"/>
      <c r="F8" s="14"/>
      <c r="G8" s="14"/>
      <c r="H8" s="14">
        <v>15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>
        <v>3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2</v>
      </c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>
        <v>12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>
        <v>46</v>
      </c>
      <c r="I24" s="14"/>
      <c r="J24" s="14"/>
      <c r="K24" s="14">
        <v>6</v>
      </c>
      <c r="L24" s="14">
        <v>432</v>
      </c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>
        <v>40</v>
      </c>
      <c r="I31" s="23"/>
      <c r="J31" s="23"/>
      <c r="K31" s="23">
        <v>0</v>
      </c>
      <c r="L31" s="23">
        <v>53</v>
      </c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>
        <v>6</v>
      </c>
      <c r="I32" s="28"/>
      <c r="J32" s="28"/>
      <c r="K32" s="28">
        <v>6</v>
      </c>
      <c r="L32" s="28">
        <v>379</v>
      </c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395</v>
      </c>
      <c r="G36" s="42"/>
      <c r="H36" s="42"/>
      <c r="I36" s="42">
        <v>3</v>
      </c>
      <c r="J36" s="42"/>
      <c r="K36" s="42"/>
      <c r="L36" s="42"/>
      <c r="M36" s="42"/>
      <c r="N36" s="42"/>
      <c r="O36" s="42">
        <v>7</v>
      </c>
      <c r="P36" s="42">
        <v>9</v>
      </c>
      <c r="Q36" s="43"/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395</v>
      </c>
      <c r="G42" s="42"/>
      <c r="H42" s="42"/>
      <c r="I42" s="42">
        <v>3</v>
      </c>
      <c r="J42" s="42"/>
      <c r="K42" s="42"/>
      <c r="L42" s="42"/>
      <c r="M42" s="42"/>
      <c r="N42" s="42"/>
      <c r="O42" s="42">
        <v>7</v>
      </c>
      <c r="P42" s="42">
        <v>9</v>
      </c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  <row r="44" spans="2:25" x14ac:dyDescent="0.25">
      <c r="B44" s="76" t="s">
        <v>68</v>
      </c>
      <c r="C44" s="96">
        <f>12+6+6+379</f>
        <v>403</v>
      </c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4746B2-220C-4816-A795-31207816330F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>
        <v>10</v>
      </c>
      <c r="F8" s="14"/>
      <c r="G8" s="14"/>
      <c r="H8" s="14" t="s">
        <v>110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3</v>
      </c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>
        <v>0</v>
      </c>
      <c r="F15" s="23"/>
      <c r="G15" s="23"/>
      <c r="H15" s="23" t="s">
        <v>108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0</v>
      </c>
      <c r="X15" s="61"/>
      <c r="Y15" s="24">
        <v>0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10</v>
      </c>
      <c r="F16" s="27"/>
      <c r="G16" s="28"/>
      <c r="H16" s="28">
        <v>23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2</v>
      </c>
      <c r="U16" s="28"/>
      <c r="V16" s="28"/>
      <c r="W16" s="56">
        <v>3</v>
      </c>
      <c r="X16" s="62"/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>
        <v>163</v>
      </c>
      <c r="I24" s="14"/>
      <c r="J24" s="14"/>
      <c r="K24" s="14"/>
      <c r="L24" s="14">
        <v>14</v>
      </c>
      <c r="M24" s="14">
        <v>486</v>
      </c>
      <c r="N24" s="14"/>
      <c r="O24" s="14"/>
      <c r="P24" s="14" t="s">
        <v>109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>
        <v>1</v>
      </c>
      <c r="I31" s="23"/>
      <c r="J31" s="23"/>
      <c r="K31" s="23"/>
      <c r="L31" s="23">
        <v>9</v>
      </c>
      <c r="M31" s="23">
        <v>3</v>
      </c>
      <c r="N31" s="23"/>
      <c r="O31" s="23"/>
      <c r="P31" s="23" t="s">
        <v>109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>
        <v>162</v>
      </c>
      <c r="I32" s="28"/>
      <c r="J32" s="28"/>
      <c r="K32" s="28"/>
      <c r="L32" s="28">
        <v>5</v>
      </c>
      <c r="M32" s="28">
        <v>483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444</v>
      </c>
      <c r="G36" s="42"/>
      <c r="H36" s="42"/>
      <c r="I36" s="42">
        <v>10</v>
      </c>
      <c r="J36" s="42"/>
      <c r="K36" s="42"/>
      <c r="L36" s="42"/>
      <c r="M36" s="42">
        <v>4</v>
      </c>
      <c r="N36" s="42"/>
      <c r="O36" s="42">
        <v>10</v>
      </c>
      <c r="P36" s="42">
        <v>1</v>
      </c>
      <c r="Q36" s="43">
        <v>17</v>
      </c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444</v>
      </c>
      <c r="G42" s="42"/>
      <c r="H42" s="42"/>
      <c r="I42" s="42">
        <v>10</v>
      </c>
      <c r="J42" s="42"/>
      <c r="K42" s="42"/>
      <c r="L42" s="42"/>
      <c r="M42" s="42">
        <v>4</v>
      </c>
      <c r="N42" s="42"/>
      <c r="O42" s="42">
        <v>10</v>
      </c>
      <c r="P42" s="42">
        <v>1</v>
      </c>
      <c r="Q42" s="43">
        <v>17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  <row r="44" spans="2:25" x14ac:dyDescent="0.25">
      <c r="B44" s="76" t="s">
        <v>68</v>
      </c>
      <c r="C44" s="96">
        <f>10+23+2+3+1+162+5+483</f>
        <v>689</v>
      </c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ADE366-1139-401A-95E8-45B400650E3E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D1964-B423-44D7-BE1F-AD31F03C2104}">
  <dimension ref="B1:AA45"/>
  <sheetViews>
    <sheetView showGridLines="0" topLeftCell="B1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>
        <v>3</v>
      </c>
      <c r="E8" s="14"/>
      <c r="F8" s="14"/>
      <c r="G8" s="14"/>
      <c r="H8" s="14">
        <v>21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4</v>
      </c>
      <c r="U8" s="14"/>
      <c r="V8" s="14"/>
      <c r="W8" s="14"/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2</v>
      </c>
      <c r="D15" s="23">
        <v>3</v>
      </c>
      <c r="E15" s="23"/>
      <c r="F15" s="23"/>
      <c r="G15" s="23"/>
      <c r="H15" s="23">
        <v>11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/>
      <c r="X15" s="61">
        <v>0</v>
      </c>
      <c r="Y15" s="24">
        <v>0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>
        <v>10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2</v>
      </c>
      <c r="U16" s="28"/>
      <c r="V16" s="28"/>
      <c r="W16" s="56"/>
      <c r="X16" s="62">
        <v>1</v>
      </c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4</v>
      </c>
      <c r="G24" s="14"/>
      <c r="H24" s="14">
        <v>134</v>
      </c>
      <c r="I24" s="14"/>
      <c r="J24" s="14"/>
      <c r="K24" s="14"/>
      <c r="L24" s="14">
        <v>8</v>
      </c>
      <c r="M24" s="14">
        <v>599</v>
      </c>
      <c r="N24" s="14"/>
      <c r="O24" s="14"/>
      <c r="P24" s="14">
        <v>11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f>4+9</f>
        <v>13</v>
      </c>
      <c r="I31" s="23"/>
      <c r="J31" s="23"/>
      <c r="K31" s="23"/>
      <c r="L31" s="23">
        <v>0</v>
      </c>
      <c r="M31" s="23">
        <f>4+12</f>
        <v>16</v>
      </c>
      <c r="N31" s="23"/>
      <c r="O31" s="23"/>
      <c r="P31" s="23">
        <v>8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121</v>
      </c>
      <c r="I32" s="28"/>
      <c r="J32" s="28"/>
      <c r="K32" s="28"/>
      <c r="L32" s="28">
        <v>8</v>
      </c>
      <c r="M32" s="28">
        <v>583</v>
      </c>
      <c r="N32" s="28"/>
      <c r="O32" s="23"/>
      <c r="P32" s="28">
        <v>3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825</v>
      </c>
      <c r="G36" s="42">
        <v>62</v>
      </c>
      <c r="H36" s="42">
        <v>1</v>
      </c>
      <c r="I36" s="42">
        <v>18</v>
      </c>
      <c r="J36" s="42">
        <v>3</v>
      </c>
      <c r="K36" s="42">
        <v>8</v>
      </c>
      <c r="L36" s="42">
        <v>10</v>
      </c>
      <c r="M36" s="42"/>
      <c r="N36" s="42">
        <v>1</v>
      </c>
      <c r="O36" s="42">
        <v>28</v>
      </c>
      <c r="P36" s="42">
        <v>1</v>
      </c>
      <c r="Q36" s="43">
        <v>1</v>
      </c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825</v>
      </c>
      <c r="G42" s="42">
        <v>62</v>
      </c>
      <c r="H42" s="42">
        <v>1</v>
      </c>
      <c r="I42" s="42">
        <v>18</v>
      </c>
      <c r="J42" s="42">
        <v>3</v>
      </c>
      <c r="K42" s="42">
        <v>8</v>
      </c>
      <c r="L42" s="42">
        <v>10</v>
      </c>
      <c r="M42" s="42"/>
      <c r="N42" s="42">
        <v>1</v>
      </c>
      <c r="O42" s="42">
        <v>28</v>
      </c>
      <c r="P42" s="42">
        <v>1</v>
      </c>
      <c r="Q42" s="43">
        <v>1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  <row r="44" spans="2:25" x14ac:dyDescent="0.25">
      <c r="B44" s="76" t="s">
        <v>68</v>
      </c>
      <c r="C44" s="96">
        <f>10+2+1+1+2+121+8+583+3</f>
        <v>731</v>
      </c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B9417E-43DF-4473-AFE8-F3CF98D29D7E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80">
        <v>1</v>
      </c>
      <c r="D8" s="14"/>
      <c r="E8" s="14">
        <v>1</v>
      </c>
      <c r="F8" s="14"/>
      <c r="G8" s="14"/>
      <c r="H8" s="14" t="s">
        <v>89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3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1</v>
      </c>
      <c r="F15" s="23"/>
      <c r="G15" s="23"/>
      <c r="H15" s="23" t="s">
        <v>80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3</v>
      </c>
      <c r="X15" s="61">
        <v>1</v>
      </c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>
        <v>0</v>
      </c>
      <c r="F16" s="27"/>
      <c r="G16" s="28"/>
      <c r="H16" s="28">
        <v>7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0</v>
      </c>
      <c r="X16" s="62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>
        <v>1</v>
      </c>
      <c r="E24" s="14"/>
      <c r="F24" s="14" t="s">
        <v>85</v>
      </c>
      <c r="G24" s="14"/>
      <c r="H24" s="14">
        <v>30</v>
      </c>
      <c r="I24" s="14"/>
      <c r="J24" s="14"/>
      <c r="K24" s="14" t="s">
        <v>88</v>
      </c>
      <c r="L24" s="14">
        <v>7</v>
      </c>
      <c r="M24" s="14">
        <v>366</v>
      </c>
      <c r="N24" s="14"/>
      <c r="O24" s="14"/>
      <c r="P24" s="14" t="s">
        <v>107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>
        <v>1</v>
      </c>
      <c r="E31" s="23"/>
      <c r="F31" s="23" t="s">
        <v>85</v>
      </c>
      <c r="G31" s="23"/>
      <c r="H31" s="23">
        <v>26</v>
      </c>
      <c r="I31" s="23"/>
      <c r="J31" s="23"/>
      <c r="K31" s="23" t="s">
        <v>88</v>
      </c>
      <c r="L31" s="23">
        <v>0</v>
      </c>
      <c r="M31" s="23">
        <v>48</v>
      </c>
      <c r="N31" s="23"/>
      <c r="O31" s="23"/>
      <c r="P31" s="23" t="s">
        <v>107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>
        <v>0</v>
      </c>
      <c r="E32" s="27"/>
      <c r="F32" s="27">
        <v>0</v>
      </c>
      <c r="G32" s="28"/>
      <c r="H32" s="28">
        <v>4</v>
      </c>
      <c r="I32" s="28"/>
      <c r="J32" s="28"/>
      <c r="K32" s="28">
        <v>0</v>
      </c>
      <c r="L32" s="28">
        <v>7</v>
      </c>
      <c r="M32" s="28">
        <v>318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331</v>
      </c>
      <c r="G42" s="42">
        <v>5</v>
      </c>
      <c r="H42" s="42">
        <v>5</v>
      </c>
      <c r="I42" s="42">
        <v>3</v>
      </c>
      <c r="J42" s="42"/>
      <c r="K42" s="42">
        <v>8</v>
      </c>
      <c r="L42" s="42"/>
      <c r="M42" s="42"/>
      <c r="N42" s="42"/>
      <c r="O42" s="42"/>
      <c r="P42" s="42">
        <v>8</v>
      </c>
      <c r="Q42" s="43">
        <v>19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  <row r="44" spans="2:25" x14ac:dyDescent="0.25">
      <c r="B44" s="76" t="s">
        <v>68</v>
      </c>
      <c r="C44" s="96">
        <f>7+4+7+318</f>
        <v>336</v>
      </c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E7B3DE-9AAF-4F3A-9D1E-365B28A0A13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>
        <v>2</v>
      </c>
      <c r="F8" s="14"/>
      <c r="G8" s="14"/>
      <c r="H8" s="14" t="s">
        <v>118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15</v>
      </c>
      <c r="U8" s="14"/>
      <c r="V8" s="14"/>
      <c r="W8" s="14">
        <v>17</v>
      </c>
      <c r="X8" s="59">
        <v>5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>
        <v>0</v>
      </c>
      <c r="F15" s="23"/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0</v>
      </c>
      <c r="X15" s="61">
        <v>0</v>
      </c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2</v>
      </c>
      <c r="F16" s="27"/>
      <c r="G16" s="28"/>
      <c r="H16" s="28" t="s">
        <v>118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15</v>
      </c>
      <c r="U16" s="28"/>
      <c r="V16" s="28"/>
      <c r="W16" s="56">
        <v>17</v>
      </c>
      <c r="X16" s="62">
        <v>5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41</v>
      </c>
      <c r="I24" s="14"/>
      <c r="J24" s="14"/>
      <c r="K24" s="14"/>
      <c r="L24" s="14">
        <v>19</v>
      </c>
      <c r="M24" s="14">
        <v>651</v>
      </c>
      <c r="N24" s="14"/>
      <c r="O24" s="14"/>
      <c r="P24" s="14" t="s">
        <v>109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1</v>
      </c>
      <c r="I31" s="23"/>
      <c r="J31" s="23"/>
      <c r="K31" s="23"/>
      <c r="L31" s="23">
        <v>1</v>
      </c>
      <c r="M31" s="23">
        <v>3</v>
      </c>
      <c r="N31" s="23"/>
      <c r="O31" s="23"/>
      <c r="P31" s="23" t="s">
        <v>109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40</v>
      </c>
      <c r="I32" s="28"/>
      <c r="J32" s="28"/>
      <c r="K32" s="28"/>
      <c r="L32" s="28">
        <v>18</v>
      </c>
      <c r="M32" s="28">
        <v>648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>
        <v>1</v>
      </c>
      <c r="D36" s="41">
        <v>2</v>
      </c>
      <c r="E36" s="42">
        <v>34</v>
      </c>
      <c r="F36" s="42">
        <v>705</v>
      </c>
      <c r="G36" s="42"/>
      <c r="H36" s="42"/>
      <c r="I36" s="42">
        <v>15</v>
      </c>
      <c r="J36" s="42"/>
      <c r="K36" s="42">
        <v>1</v>
      </c>
      <c r="L36" s="42">
        <v>30</v>
      </c>
      <c r="M36" s="42"/>
      <c r="N36" s="42"/>
      <c r="O36" s="42">
        <v>17</v>
      </c>
      <c r="P36" s="42">
        <v>18</v>
      </c>
      <c r="Q36" s="43">
        <v>13</v>
      </c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>
        <v>1</v>
      </c>
      <c r="D42" s="41">
        <v>2</v>
      </c>
      <c r="E42" s="42">
        <v>34</v>
      </c>
      <c r="F42" s="42">
        <v>705</v>
      </c>
      <c r="G42" s="42"/>
      <c r="H42" s="42"/>
      <c r="I42" s="42">
        <v>15</v>
      </c>
      <c r="J42" s="42"/>
      <c r="K42" s="42">
        <v>1</v>
      </c>
      <c r="L42" s="42">
        <v>30</v>
      </c>
      <c r="M42" s="42"/>
      <c r="N42" s="42"/>
      <c r="O42" s="42">
        <v>17</v>
      </c>
      <c r="P42" s="42">
        <v>18</v>
      </c>
      <c r="Q42" s="43">
        <v>13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  <row r="44" spans="2:25" x14ac:dyDescent="0.25">
      <c r="B44" s="76" t="s">
        <v>68</v>
      </c>
      <c r="C44" s="96">
        <f>2+22+15+17+5+2+40+18+648</f>
        <v>769</v>
      </c>
      <c r="D44" s="96"/>
      <c r="E44" s="96"/>
    </row>
    <row r="45" spans="2:25" x14ac:dyDescent="0.25">
      <c r="B45" s="76" t="s">
        <v>69</v>
      </c>
      <c r="C45" s="96">
        <v>12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4E94FD-3617-4589-99A4-E8F1ABC1933D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6128F3-A060-4D93-BD75-B48B079CFAD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>
        <v>3</v>
      </c>
      <c r="E8" s="14"/>
      <c r="F8" s="14"/>
      <c r="G8" s="14"/>
      <c r="H8" s="14">
        <v>11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2</v>
      </c>
      <c r="D15" s="23">
        <v>3</v>
      </c>
      <c r="E15" s="23"/>
      <c r="F15" s="23"/>
      <c r="G15" s="23"/>
      <c r="H15" s="23" t="s">
        <v>100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100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13</v>
      </c>
      <c r="I24" s="14"/>
      <c r="J24" s="14"/>
      <c r="K24" s="14"/>
      <c r="L24" s="14"/>
      <c r="M24" s="14">
        <v>340</v>
      </c>
      <c r="N24" s="14"/>
      <c r="O24" s="14"/>
      <c r="P24" s="14">
        <v>8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</v>
      </c>
      <c r="I31" s="23"/>
      <c r="J31" s="23"/>
      <c r="K31" s="23"/>
      <c r="L31" s="23"/>
      <c r="M31" s="23">
        <v>5</v>
      </c>
      <c r="N31" s="23"/>
      <c r="O31" s="23"/>
      <c r="P31" s="23">
        <v>8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12</v>
      </c>
      <c r="I32" s="28"/>
      <c r="J32" s="28"/>
      <c r="K32" s="28"/>
      <c r="L32" s="28"/>
      <c r="M32" s="28">
        <v>335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340</v>
      </c>
      <c r="G36" s="42">
        <v>4</v>
      </c>
      <c r="H36" s="42">
        <v>2</v>
      </c>
      <c r="I36" s="42"/>
      <c r="J36" s="42"/>
      <c r="K36" s="42">
        <v>1</v>
      </c>
      <c r="L36" s="42"/>
      <c r="M36" s="42"/>
      <c r="N36" s="42"/>
      <c r="O36" s="42">
        <v>4</v>
      </c>
      <c r="P36" s="42">
        <v>1</v>
      </c>
      <c r="Q36" s="43">
        <v>18</v>
      </c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340</v>
      </c>
      <c r="G42" s="42">
        <v>4</v>
      </c>
      <c r="H42" s="42">
        <v>2</v>
      </c>
      <c r="I42" s="42"/>
      <c r="J42" s="42"/>
      <c r="K42" s="42">
        <v>1</v>
      </c>
      <c r="L42" s="42"/>
      <c r="M42" s="42"/>
      <c r="N42" s="42"/>
      <c r="O42" s="42">
        <v>4</v>
      </c>
      <c r="P42" s="42">
        <v>1</v>
      </c>
      <c r="Q42" s="43">
        <v>18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  <row r="44" spans="2:25" x14ac:dyDescent="0.25">
      <c r="B44" s="76" t="s">
        <v>68</v>
      </c>
      <c r="C44" s="96">
        <f>5+12+335</f>
        <v>352</v>
      </c>
      <c r="D44" s="96"/>
      <c r="E44" s="96"/>
    </row>
    <row r="45" spans="2:25" x14ac:dyDescent="0.25">
      <c r="B45" s="76" t="s">
        <v>69</v>
      </c>
      <c r="C45" s="96">
        <f>12</f>
        <v>12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53AA5-CD98-487A-B2B0-0541218FA8B5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80">
        <v>1</v>
      </c>
      <c r="D8" s="14"/>
      <c r="E8" s="14">
        <v>2</v>
      </c>
      <c r="F8" s="14"/>
      <c r="G8" s="14"/>
      <c r="H8" s="14" t="s">
        <v>119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3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0</v>
      </c>
      <c r="F15" s="23"/>
      <c r="G15" s="23"/>
      <c r="H15" s="23">
        <v>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2</v>
      </c>
      <c r="X15" s="61">
        <v>1</v>
      </c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>
        <v>2</v>
      </c>
      <c r="F16" s="27"/>
      <c r="G16" s="28"/>
      <c r="H16" s="28" t="s">
        <v>98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1</v>
      </c>
      <c r="X16" s="62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>
        <v>1</v>
      </c>
      <c r="E24" s="14"/>
      <c r="F24" s="14" t="s">
        <v>101</v>
      </c>
      <c r="G24" s="14"/>
      <c r="H24" s="14">
        <v>26</v>
      </c>
      <c r="I24" s="14"/>
      <c r="J24" s="14"/>
      <c r="K24" s="14" t="s">
        <v>99</v>
      </c>
      <c r="L24" s="14"/>
      <c r="M24" s="14">
        <v>425</v>
      </c>
      <c r="N24" s="14"/>
      <c r="O24" s="14"/>
      <c r="P24" s="14" t="s">
        <v>102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>
        <v>1</v>
      </c>
      <c r="E31" s="23"/>
      <c r="F31" s="23" t="s">
        <v>101</v>
      </c>
      <c r="G31" s="23"/>
      <c r="H31" s="23">
        <v>11</v>
      </c>
      <c r="I31" s="23"/>
      <c r="J31" s="23"/>
      <c r="K31" s="23">
        <v>0</v>
      </c>
      <c r="L31" s="23"/>
      <c r="M31" s="23">
        <v>133</v>
      </c>
      <c r="N31" s="23"/>
      <c r="O31" s="23"/>
      <c r="P31" s="23" t="s">
        <v>102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>
        <v>0</v>
      </c>
      <c r="E32" s="27"/>
      <c r="F32" s="27">
        <v>0</v>
      </c>
      <c r="G32" s="28"/>
      <c r="H32" s="28">
        <v>15</v>
      </c>
      <c r="I32" s="28"/>
      <c r="J32" s="28"/>
      <c r="K32" s="28" t="s">
        <v>99</v>
      </c>
      <c r="L32" s="28"/>
      <c r="M32" s="28">
        <v>292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309</v>
      </c>
      <c r="G36" s="42">
        <v>1</v>
      </c>
      <c r="H36" s="42">
        <v>2</v>
      </c>
      <c r="I36" s="42"/>
      <c r="J36" s="42"/>
      <c r="K36" s="42"/>
      <c r="L36" s="42">
        <v>1</v>
      </c>
      <c r="M36" s="42"/>
      <c r="N36" s="42">
        <v>13</v>
      </c>
      <c r="O36" s="42">
        <v>3</v>
      </c>
      <c r="P36" s="42">
        <v>1</v>
      </c>
      <c r="Q36" s="43">
        <v>16</v>
      </c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309</v>
      </c>
      <c r="G42" s="42">
        <v>1</v>
      </c>
      <c r="H42" s="42">
        <v>2</v>
      </c>
      <c r="I42" s="42"/>
      <c r="J42" s="42"/>
      <c r="K42" s="42"/>
      <c r="L42" s="42">
        <v>1</v>
      </c>
      <c r="M42" s="42"/>
      <c r="N42" s="42">
        <v>13</v>
      </c>
      <c r="O42" s="42">
        <v>3</v>
      </c>
      <c r="P42" s="42">
        <v>1</v>
      </c>
      <c r="Q42" s="43">
        <v>16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  <row r="44" spans="2:25" x14ac:dyDescent="0.25">
      <c r="B44" s="76" t="s">
        <v>68</v>
      </c>
      <c r="C44" s="96"/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F67332-609A-4124-B7CF-651106298046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>
        <v>2</v>
      </c>
      <c r="F8" s="14"/>
      <c r="G8" s="14"/>
      <c r="H8" s="14">
        <v>20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/>
      <c r="X8" s="59">
        <v>2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>
        <v>0</v>
      </c>
      <c r="F15" s="23"/>
      <c r="G15" s="23"/>
      <c r="H15" s="23" t="s">
        <v>121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/>
      <c r="X15" s="61">
        <v>0</v>
      </c>
      <c r="Y15" s="24">
        <v>2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2</v>
      </c>
      <c r="F16" s="27"/>
      <c r="G16" s="28"/>
      <c r="H16" s="28" t="s">
        <v>120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/>
      <c r="X16" s="62">
        <v>2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59</v>
      </c>
      <c r="I24" s="14"/>
      <c r="J24" s="14"/>
      <c r="K24" s="14">
        <v>2</v>
      </c>
      <c r="L24" s="14">
        <v>17</v>
      </c>
      <c r="M24" s="14">
        <v>543</v>
      </c>
      <c r="N24" s="14"/>
      <c r="O24" s="14"/>
      <c r="P24" s="14" t="s">
        <v>122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1</v>
      </c>
      <c r="I31" s="23"/>
      <c r="J31" s="23"/>
      <c r="K31" s="23">
        <v>1</v>
      </c>
      <c r="L31" s="23">
        <v>11</v>
      </c>
      <c r="M31" s="23">
        <v>91</v>
      </c>
      <c r="N31" s="23"/>
      <c r="O31" s="23"/>
      <c r="P31" s="23" t="s">
        <v>122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30</v>
      </c>
      <c r="G32" s="28"/>
      <c r="H32" s="28">
        <v>58</v>
      </c>
      <c r="I32" s="28"/>
      <c r="J32" s="28"/>
      <c r="K32" s="28">
        <v>1</v>
      </c>
      <c r="L32" s="28">
        <v>6</v>
      </c>
      <c r="M32" s="28">
        <v>452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>
        <v>2</v>
      </c>
      <c r="D36" s="41"/>
      <c r="E36" s="42"/>
      <c r="F36" s="42">
        <v>512</v>
      </c>
      <c r="G36" s="42">
        <v>1</v>
      </c>
      <c r="H36" s="42"/>
      <c r="I36" s="42">
        <v>7</v>
      </c>
      <c r="J36" s="42">
        <v>1</v>
      </c>
      <c r="K36" s="42">
        <v>10</v>
      </c>
      <c r="L36" s="42">
        <v>4</v>
      </c>
      <c r="M36" s="42"/>
      <c r="N36" s="42"/>
      <c r="O36" s="42">
        <v>9</v>
      </c>
      <c r="P36" s="42">
        <v>6</v>
      </c>
      <c r="Q36" s="43">
        <v>7</v>
      </c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>
        <v>2</v>
      </c>
      <c r="D42" s="41"/>
      <c r="E42" s="42"/>
      <c r="F42" s="42">
        <v>512</v>
      </c>
      <c r="G42" s="42">
        <v>1</v>
      </c>
      <c r="H42" s="42"/>
      <c r="I42" s="42">
        <v>7</v>
      </c>
      <c r="J42" s="42">
        <v>1</v>
      </c>
      <c r="K42" s="42">
        <v>10</v>
      </c>
      <c r="L42" s="42">
        <v>4</v>
      </c>
      <c r="M42" s="42"/>
      <c r="N42" s="42"/>
      <c r="O42" s="42">
        <v>9</v>
      </c>
      <c r="P42" s="42">
        <v>6</v>
      </c>
      <c r="Q42" s="43">
        <v>7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  <row r="44" spans="2:25" x14ac:dyDescent="0.25">
      <c r="B44" s="76" t="s">
        <v>68</v>
      </c>
      <c r="C44" s="96">
        <f>2+15+2+30+58+1+6+452</f>
        <v>566</v>
      </c>
      <c r="D44" s="96"/>
      <c r="E44" s="96"/>
    </row>
    <row r="45" spans="2:25" x14ac:dyDescent="0.25">
      <c r="B45" s="76" t="s">
        <v>69</v>
      </c>
      <c r="C45" s="96">
        <f>12</f>
        <v>12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1EC0DA-C694-4552-A111-62808CE8A0C2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4E03E7-AA43-4F3C-952D-2548FEE6C649}">
  <dimension ref="B1:AA45"/>
  <sheetViews>
    <sheetView showGridLines="0" tabSelected="1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>
        <v>3</v>
      </c>
      <c r="E8" s="14"/>
      <c r="F8" s="14"/>
      <c r="G8" s="14"/>
      <c r="H8" s="14" t="s">
        <v>124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2</v>
      </c>
      <c r="D15" s="23">
        <v>3</v>
      </c>
      <c r="E15" s="23"/>
      <c r="F15" s="23"/>
      <c r="G15" s="23"/>
      <c r="H15" s="23" t="s">
        <v>123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>
        <v>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</v>
      </c>
      <c r="I24" s="14"/>
      <c r="J24" s="14"/>
      <c r="K24" s="14">
        <v>70</v>
      </c>
      <c r="L24" s="14"/>
      <c r="M24" s="14">
        <v>437</v>
      </c>
      <c r="N24" s="14"/>
      <c r="O24" s="14"/>
      <c r="P24" s="14">
        <v>8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</v>
      </c>
      <c r="I31" s="23"/>
      <c r="J31" s="23"/>
      <c r="K31" s="23">
        <v>0</v>
      </c>
      <c r="L31" s="23"/>
      <c r="M31" s="23">
        <v>6</v>
      </c>
      <c r="N31" s="23"/>
      <c r="O31" s="23"/>
      <c r="P31" s="23">
        <v>8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0</v>
      </c>
      <c r="I32" s="28"/>
      <c r="J32" s="28"/>
      <c r="K32" s="28">
        <v>70</v>
      </c>
      <c r="L32" s="28"/>
      <c r="M32" s="28">
        <v>431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496</v>
      </c>
      <c r="G36" s="42">
        <v>11</v>
      </c>
      <c r="H36" s="42">
        <v>2</v>
      </c>
      <c r="I36" s="42">
        <v>2</v>
      </c>
      <c r="J36" s="42"/>
      <c r="K36" s="42">
        <v>5</v>
      </c>
      <c r="L36" s="42">
        <v>70</v>
      </c>
      <c r="M36" s="42">
        <v>2</v>
      </c>
      <c r="N36" s="42">
        <v>21</v>
      </c>
      <c r="O36" s="42">
        <v>6</v>
      </c>
      <c r="P36" s="42">
        <v>10</v>
      </c>
      <c r="Q36" s="43"/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496</v>
      </c>
      <c r="G42" s="42">
        <v>11</v>
      </c>
      <c r="H42" s="42">
        <v>2</v>
      </c>
      <c r="I42" s="42">
        <v>2</v>
      </c>
      <c r="J42" s="42"/>
      <c r="K42" s="42">
        <v>5</v>
      </c>
      <c r="L42" s="42">
        <v>70</v>
      </c>
      <c r="M42" s="42">
        <v>2</v>
      </c>
      <c r="N42" s="42">
        <v>21</v>
      </c>
      <c r="O42" s="42">
        <v>6</v>
      </c>
      <c r="P42" s="42">
        <v>10</v>
      </c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  <row r="44" spans="2:25" x14ac:dyDescent="0.25">
      <c r="B44" s="76" t="s">
        <v>68</v>
      </c>
      <c r="C44" s="96">
        <f>9+70+431</f>
        <v>510</v>
      </c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1C3EE1-6B68-4739-925D-42452C24A61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80">
        <v>1</v>
      </c>
      <c r="D8" s="14">
        <v>1</v>
      </c>
      <c r="E8" s="14">
        <v>2</v>
      </c>
      <c r="F8" s="14"/>
      <c r="G8" s="14"/>
      <c r="H8" s="14">
        <v>11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2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>
        <v>1</v>
      </c>
      <c r="F15" s="23"/>
      <c r="G15" s="23"/>
      <c r="H15" s="23">
        <v>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0</v>
      </c>
      <c r="X15" s="61">
        <v>0</v>
      </c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1</v>
      </c>
      <c r="F16" s="27"/>
      <c r="G16" s="28"/>
      <c r="H16" s="28">
        <v>10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2</v>
      </c>
      <c r="X16" s="62">
        <v>1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>
        <v>1</v>
      </c>
      <c r="E24" s="14"/>
      <c r="F24" s="14" t="s">
        <v>101</v>
      </c>
      <c r="G24" s="14"/>
      <c r="H24" s="14">
        <v>30</v>
      </c>
      <c r="I24" s="14"/>
      <c r="J24" s="14"/>
      <c r="K24" s="14">
        <v>2</v>
      </c>
      <c r="L24" s="14">
        <v>10</v>
      </c>
      <c r="M24" s="14">
        <v>347</v>
      </c>
      <c r="N24" s="14"/>
      <c r="O24" s="14"/>
      <c r="P24" s="14" t="s">
        <v>102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>
        <v>0</v>
      </c>
      <c r="E31" s="23"/>
      <c r="F31" s="23" t="s">
        <v>101</v>
      </c>
      <c r="G31" s="23"/>
      <c r="H31" s="23">
        <v>10</v>
      </c>
      <c r="I31" s="23"/>
      <c r="J31" s="23"/>
      <c r="K31" s="23">
        <v>1</v>
      </c>
      <c r="L31" s="23">
        <v>0</v>
      </c>
      <c r="M31" s="23">
        <v>85</v>
      </c>
      <c r="N31" s="23"/>
      <c r="O31" s="23"/>
      <c r="P31" s="23" t="s">
        <v>102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>
        <v>1</v>
      </c>
      <c r="E32" s="27"/>
      <c r="F32" s="27">
        <v>0</v>
      </c>
      <c r="G32" s="28"/>
      <c r="H32" s="28">
        <v>20</v>
      </c>
      <c r="I32" s="28"/>
      <c r="J32" s="28"/>
      <c r="K32" s="28">
        <v>1</v>
      </c>
      <c r="L32" s="28">
        <v>10</v>
      </c>
      <c r="M32" s="28">
        <v>262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/>
      <c r="D36" s="41"/>
      <c r="E36" s="42"/>
      <c r="F36" s="42">
        <v>279</v>
      </c>
      <c r="G36" s="42">
        <v>8</v>
      </c>
      <c r="H36" s="42">
        <v>3</v>
      </c>
      <c r="I36" s="42"/>
      <c r="J36" s="42"/>
      <c r="K36" s="42"/>
      <c r="L36" s="42">
        <v>4</v>
      </c>
      <c r="M36" s="42"/>
      <c r="N36" s="42"/>
      <c r="O36" s="42">
        <v>4</v>
      </c>
      <c r="P36" s="42">
        <v>7</v>
      </c>
      <c r="Q36" s="43">
        <v>4</v>
      </c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279</v>
      </c>
      <c r="G42" s="42">
        <v>8</v>
      </c>
      <c r="H42" s="42">
        <v>3</v>
      </c>
      <c r="I42" s="42"/>
      <c r="J42" s="42"/>
      <c r="K42" s="42"/>
      <c r="L42" s="42">
        <v>4</v>
      </c>
      <c r="M42" s="42"/>
      <c r="N42" s="42"/>
      <c r="O42" s="42">
        <v>4</v>
      </c>
      <c r="P42" s="42">
        <v>7</v>
      </c>
      <c r="Q42" s="43">
        <v>4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  <row r="44" spans="2:25" x14ac:dyDescent="0.25">
      <c r="B44" s="76" t="s">
        <v>68</v>
      </c>
      <c r="C44" s="96">
        <f>1+10+2+1+1+20+10+10+262</f>
        <v>317</v>
      </c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23D545-464F-4D8C-8669-0F19482B59F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>
        <v>2</v>
      </c>
      <c r="F8" s="14"/>
      <c r="G8" s="14"/>
      <c r="H8" s="14" t="s">
        <v>126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12</v>
      </c>
      <c r="U8" s="14"/>
      <c r="V8" s="14"/>
      <c r="W8" s="14"/>
      <c r="X8" s="59">
        <v>1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>
        <v>2</v>
      </c>
      <c r="F15" s="23"/>
      <c r="G15" s="23"/>
      <c r="H15" s="23">
        <v>6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12</v>
      </c>
      <c r="U15" s="23"/>
      <c r="V15" s="23"/>
      <c r="W15" s="23"/>
      <c r="X15" s="61">
        <v>1</v>
      </c>
      <c r="Y15" s="24">
        <v>2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0</v>
      </c>
      <c r="F16" s="27"/>
      <c r="G16" s="28"/>
      <c r="H16" s="28" t="s">
        <v>125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/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5</v>
      </c>
      <c r="G24" s="14"/>
      <c r="H24" s="14">
        <v>37</v>
      </c>
      <c r="I24" s="14"/>
      <c r="J24" s="14"/>
      <c r="K24" s="14">
        <v>2</v>
      </c>
      <c r="L24" s="14">
        <v>11</v>
      </c>
      <c r="M24" s="14">
        <v>523</v>
      </c>
      <c r="N24" s="14"/>
      <c r="O24" s="14"/>
      <c r="P24" s="14" t="s">
        <v>122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35</v>
      </c>
      <c r="I31" s="23"/>
      <c r="J31" s="23"/>
      <c r="K31" s="23">
        <v>2</v>
      </c>
      <c r="L31" s="23">
        <v>11</v>
      </c>
      <c r="M31" s="23">
        <v>3</v>
      </c>
      <c r="N31" s="23"/>
      <c r="O31" s="23"/>
      <c r="P31" s="23" t="s">
        <v>122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2</v>
      </c>
      <c r="I32" s="28"/>
      <c r="J32" s="28"/>
      <c r="K32" s="28">
        <v>0</v>
      </c>
      <c r="L32" s="28">
        <v>0</v>
      </c>
      <c r="M32" s="28">
        <v>520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548</v>
      </c>
      <c r="G36" s="42">
        <v>4</v>
      </c>
      <c r="H36" s="42">
        <v>5</v>
      </c>
      <c r="I36" s="42">
        <v>29</v>
      </c>
      <c r="J36" s="42">
        <v>1</v>
      </c>
      <c r="K36" s="42">
        <v>4</v>
      </c>
      <c r="L36" s="42">
        <v>6</v>
      </c>
      <c r="M36" s="42">
        <v>1</v>
      </c>
      <c r="N36" s="42">
        <v>5</v>
      </c>
      <c r="O36" s="42">
        <v>21</v>
      </c>
      <c r="P36" s="42">
        <v>7</v>
      </c>
      <c r="Q36" s="43">
        <v>13</v>
      </c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548</v>
      </c>
      <c r="G42" s="42">
        <v>4</v>
      </c>
      <c r="H42" s="42">
        <v>5</v>
      </c>
      <c r="I42" s="42">
        <v>29</v>
      </c>
      <c r="J42" s="42">
        <v>1</v>
      </c>
      <c r="K42" s="42">
        <v>4</v>
      </c>
      <c r="L42" s="42">
        <v>6</v>
      </c>
      <c r="M42" s="42">
        <v>1</v>
      </c>
      <c r="N42" s="42">
        <v>5</v>
      </c>
      <c r="O42" s="42">
        <v>21</v>
      </c>
      <c r="P42" s="42">
        <v>7</v>
      </c>
      <c r="Q42" s="43">
        <v>13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  <row r="44" spans="2:25" x14ac:dyDescent="0.25">
      <c r="B44" s="76" t="s">
        <v>68</v>
      </c>
      <c r="C44" s="96">
        <f>13+2+2+520</f>
        <v>537</v>
      </c>
      <c r="D44" s="96"/>
      <c r="E44" s="96"/>
    </row>
    <row r="45" spans="2:25" x14ac:dyDescent="0.25">
      <c r="B45" s="76" t="s">
        <v>69</v>
      </c>
      <c r="C45" s="96">
        <v>12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D8591C-232A-44AC-A51B-B029AE6E73BA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50DE79-E55C-45AF-956D-6E57BF19CF6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  <row r="44" spans="2:25" x14ac:dyDescent="0.25">
      <c r="B44" s="76" t="s">
        <v>68</v>
      </c>
      <c r="C44" s="96"/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BA689E-A38A-41D6-9AB9-0133BD5160E6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8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  <row r="44" spans="2:25" x14ac:dyDescent="0.25">
      <c r="B44" s="76" t="s">
        <v>68</v>
      </c>
      <c r="C44" s="96"/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A38697-0250-4F17-B8FD-FFB08399EA7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  <row r="44" spans="2:25" x14ac:dyDescent="0.25">
      <c r="B44" s="76" t="s">
        <v>68</v>
      </c>
      <c r="C44" s="96"/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E2AAC3-B933-46FB-BEC8-FC9437CD47F3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E76D3C-7485-41BB-A849-2E93FAF4C6DF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  <row r="44" spans="2:25" x14ac:dyDescent="0.25">
      <c r="B44" s="76" t="s">
        <v>68</v>
      </c>
      <c r="C44" s="96"/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7C5C00-8EA7-4987-8925-4F82E4BC3376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8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  <row r="44" spans="2:25" x14ac:dyDescent="0.25">
      <c r="B44" s="76" t="s">
        <v>68</v>
      </c>
      <c r="C44" s="96"/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FE3095-55CD-451B-8790-0E6C1038470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  <row r="44" spans="2:25" x14ac:dyDescent="0.25">
      <c r="B44" s="76" t="s">
        <v>68</v>
      </c>
      <c r="C44" s="96"/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DDCD76-39FA-4092-BA10-748AFE6507F9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11F4F5-AEC8-4F8E-AAC6-E396A65F608F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  <row r="44" spans="2:25" x14ac:dyDescent="0.25">
      <c r="B44" s="76" t="s">
        <v>68</v>
      </c>
      <c r="C44" s="96"/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585D8F-0C1E-4DAA-8803-CF0527D7B2F6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8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  <row r="44" spans="2:25" x14ac:dyDescent="0.25">
      <c r="B44" s="76" t="s">
        <v>68</v>
      </c>
      <c r="C44" s="96"/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662C53-8075-4AE2-9CE8-2FE2300B4914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  <row r="44" spans="2:25" x14ac:dyDescent="0.25">
      <c r="B44" s="76" t="s">
        <v>68</v>
      </c>
      <c r="C44" s="96"/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76</vt:i4>
      </vt:variant>
      <vt:variant>
        <vt:lpstr>Named Ranges</vt:lpstr>
      </vt:variant>
      <vt:variant>
        <vt:i4>75</vt:i4>
      </vt:variant>
    </vt:vector>
  </HeadingPairs>
  <TitlesOfParts>
    <vt:vector size="151" baseType="lpstr">
      <vt:lpstr>CSR | JUNE</vt:lpstr>
      <vt:lpstr>(01)</vt:lpstr>
      <vt:lpstr>06-01 R1</vt:lpstr>
      <vt:lpstr>06-01 R2</vt:lpstr>
      <vt:lpstr>06-01 R3</vt:lpstr>
      <vt:lpstr>(2)</vt:lpstr>
      <vt:lpstr>06-02 R1</vt:lpstr>
      <vt:lpstr>06-02 R2</vt:lpstr>
      <vt:lpstr>06-02 R3</vt:lpstr>
      <vt:lpstr>(3)</vt:lpstr>
      <vt:lpstr>06-03 R1</vt:lpstr>
      <vt:lpstr>06-03 R2 NO TRIP</vt:lpstr>
      <vt:lpstr>06-03 R3 NO TRIP</vt:lpstr>
      <vt:lpstr>(4)</vt:lpstr>
      <vt:lpstr>06-04 R1</vt:lpstr>
      <vt:lpstr>06-04 R2</vt:lpstr>
      <vt:lpstr>06-04 R3</vt:lpstr>
      <vt:lpstr>(5)</vt:lpstr>
      <vt:lpstr>06-05 R1 NO TRIP</vt:lpstr>
      <vt:lpstr>06-05 R2</vt:lpstr>
      <vt:lpstr>06-05 R3</vt:lpstr>
      <vt:lpstr>(6)</vt:lpstr>
      <vt:lpstr>06-06 R1</vt:lpstr>
      <vt:lpstr>06-06 R2</vt:lpstr>
      <vt:lpstr>06-06 R3</vt:lpstr>
      <vt:lpstr>(8)</vt:lpstr>
      <vt:lpstr>06-08 R1 NO TRIP</vt:lpstr>
      <vt:lpstr>06-08 R2</vt:lpstr>
      <vt:lpstr>06-08 R3</vt:lpstr>
      <vt:lpstr>(9)</vt:lpstr>
      <vt:lpstr>06-09 R1</vt:lpstr>
      <vt:lpstr>06-09 R2</vt:lpstr>
      <vt:lpstr>06-09 R3</vt:lpstr>
      <vt:lpstr>(10)</vt:lpstr>
      <vt:lpstr>06-10 R1</vt:lpstr>
      <vt:lpstr>06-10 R2 NO TRIP</vt:lpstr>
      <vt:lpstr>(11)</vt:lpstr>
      <vt:lpstr>06-11 R1 NO TRIP</vt:lpstr>
      <vt:lpstr>06-11 R2</vt:lpstr>
      <vt:lpstr>06-11 R3</vt:lpstr>
      <vt:lpstr>(12)</vt:lpstr>
      <vt:lpstr>06-12 R1</vt:lpstr>
      <vt:lpstr>06-12 R2</vt:lpstr>
      <vt:lpstr>06-12 R3 NO TRIP</vt:lpstr>
      <vt:lpstr>(13)</vt:lpstr>
      <vt:lpstr>06-13 R1</vt:lpstr>
      <vt:lpstr>06-13 R2</vt:lpstr>
      <vt:lpstr>06-13 R3</vt:lpstr>
      <vt:lpstr>(15)</vt:lpstr>
      <vt:lpstr>06-15 R1</vt:lpstr>
      <vt:lpstr>06-15 R2</vt:lpstr>
      <vt:lpstr>06-15 R3</vt:lpstr>
      <vt:lpstr>(16)</vt:lpstr>
      <vt:lpstr>06-16 R1</vt:lpstr>
      <vt:lpstr>06-16 R2</vt:lpstr>
      <vt:lpstr>06-16 R3</vt:lpstr>
      <vt:lpstr>(17)</vt:lpstr>
      <vt:lpstr>06-17 R1</vt:lpstr>
      <vt:lpstr>06-17 R2</vt:lpstr>
      <vt:lpstr>06-17 R3</vt:lpstr>
      <vt:lpstr>(18)</vt:lpstr>
      <vt:lpstr>06-18 R1</vt:lpstr>
      <vt:lpstr>06-18 R2</vt:lpstr>
      <vt:lpstr>06-18 R3</vt:lpstr>
      <vt:lpstr>(19)</vt:lpstr>
      <vt:lpstr>06-19 R1</vt:lpstr>
      <vt:lpstr>06-19 R2</vt:lpstr>
      <vt:lpstr>06-19 R3</vt:lpstr>
      <vt:lpstr>(20)</vt:lpstr>
      <vt:lpstr>06-20 R1</vt:lpstr>
      <vt:lpstr>06-20 R2</vt:lpstr>
      <vt:lpstr>06-20 R3</vt:lpstr>
      <vt:lpstr>(22)</vt:lpstr>
      <vt:lpstr>06-22 R1</vt:lpstr>
      <vt:lpstr>06-22 R2</vt:lpstr>
      <vt:lpstr>06-22 R3</vt:lpstr>
      <vt:lpstr>'(01)'!Print_Area</vt:lpstr>
      <vt:lpstr>'(10)'!Print_Area</vt:lpstr>
      <vt:lpstr>'(11)'!Print_Area</vt:lpstr>
      <vt:lpstr>'(12)'!Print_Area</vt:lpstr>
      <vt:lpstr>'(13)'!Print_Area</vt:lpstr>
      <vt:lpstr>'(15)'!Print_Area</vt:lpstr>
      <vt:lpstr>'(16)'!Print_Area</vt:lpstr>
      <vt:lpstr>'(17)'!Print_Area</vt:lpstr>
      <vt:lpstr>'(18)'!Print_Area</vt:lpstr>
      <vt:lpstr>'(19)'!Print_Area</vt:lpstr>
      <vt:lpstr>'(2)'!Print_Area</vt:lpstr>
      <vt:lpstr>'(20)'!Print_Area</vt:lpstr>
      <vt:lpstr>'(22)'!Print_Area</vt:lpstr>
      <vt:lpstr>'(3)'!Print_Area</vt:lpstr>
      <vt:lpstr>'(4)'!Print_Area</vt:lpstr>
      <vt:lpstr>'(5)'!Print_Area</vt:lpstr>
      <vt:lpstr>'(6)'!Print_Area</vt:lpstr>
      <vt:lpstr>'(8)'!Print_Area</vt:lpstr>
      <vt:lpstr>'(9)'!Print_Area</vt:lpstr>
      <vt:lpstr>'06-01 R1'!Print_Area</vt:lpstr>
      <vt:lpstr>'06-01 R2'!Print_Area</vt:lpstr>
      <vt:lpstr>'06-01 R3'!Print_Area</vt:lpstr>
      <vt:lpstr>'06-02 R1'!Print_Area</vt:lpstr>
      <vt:lpstr>'06-02 R2'!Print_Area</vt:lpstr>
      <vt:lpstr>'06-02 R3'!Print_Area</vt:lpstr>
      <vt:lpstr>'06-03 R1'!Print_Area</vt:lpstr>
      <vt:lpstr>'06-03 R2 NO TRIP'!Print_Area</vt:lpstr>
      <vt:lpstr>'06-03 R3 NO TRIP'!Print_Area</vt:lpstr>
      <vt:lpstr>'06-04 R1'!Print_Area</vt:lpstr>
      <vt:lpstr>'06-04 R2'!Print_Area</vt:lpstr>
      <vt:lpstr>'06-04 R3'!Print_Area</vt:lpstr>
      <vt:lpstr>'06-05 R1 NO TRIP'!Print_Area</vt:lpstr>
      <vt:lpstr>'06-05 R2'!Print_Area</vt:lpstr>
      <vt:lpstr>'06-05 R3'!Print_Area</vt:lpstr>
      <vt:lpstr>'06-06 R1'!Print_Area</vt:lpstr>
      <vt:lpstr>'06-06 R2'!Print_Area</vt:lpstr>
      <vt:lpstr>'06-06 R3'!Print_Area</vt:lpstr>
      <vt:lpstr>'06-08 R1 NO TRIP'!Print_Area</vt:lpstr>
      <vt:lpstr>'06-08 R2'!Print_Area</vt:lpstr>
      <vt:lpstr>'06-08 R3'!Print_Area</vt:lpstr>
      <vt:lpstr>'06-09 R1'!Print_Area</vt:lpstr>
      <vt:lpstr>'06-09 R2'!Print_Area</vt:lpstr>
      <vt:lpstr>'06-09 R3'!Print_Area</vt:lpstr>
      <vt:lpstr>'06-10 R1'!Print_Area</vt:lpstr>
      <vt:lpstr>'06-10 R2 NO TRIP'!Print_Area</vt:lpstr>
      <vt:lpstr>'06-11 R1 NO TRIP'!Print_Area</vt:lpstr>
      <vt:lpstr>'06-11 R2'!Print_Area</vt:lpstr>
      <vt:lpstr>'06-11 R3'!Print_Area</vt:lpstr>
      <vt:lpstr>'06-12 R1'!Print_Area</vt:lpstr>
      <vt:lpstr>'06-12 R2'!Print_Area</vt:lpstr>
      <vt:lpstr>'06-12 R3 NO TRIP'!Print_Area</vt:lpstr>
      <vt:lpstr>'06-13 R1'!Print_Area</vt:lpstr>
      <vt:lpstr>'06-13 R2'!Print_Area</vt:lpstr>
      <vt:lpstr>'06-13 R3'!Print_Area</vt:lpstr>
      <vt:lpstr>'06-15 R1'!Print_Area</vt:lpstr>
      <vt:lpstr>'06-15 R2'!Print_Area</vt:lpstr>
      <vt:lpstr>'06-15 R3'!Print_Area</vt:lpstr>
      <vt:lpstr>'06-16 R1'!Print_Area</vt:lpstr>
      <vt:lpstr>'06-16 R2'!Print_Area</vt:lpstr>
      <vt:lpstr>'06-16 R3'!Print_Area</vt:lpstr>
      <vt:lpstr>'06-17 R1'!Print_Area</vt:lpstr>
      <vt:lpstr>'06-17 R2'!Print_Area</vt:lpstr>
      <vt:lpstr>'06-17 R3'!Print_Area</vt:lpstr>
      <vt:lpstr>'06-18 R1'!Print_Area</vt:lpstr>
      <vt:lpstr>'06-18 R2'!Print_Area</vt:lpstr>
      <vt:lpstr>'06-18 R3'!Print_Area</vt:lpstr>
      <vt:lpstr>'06-19 R1'!Print_Area</vt:lpstr>
      <vt:lpstr>'06-19 R2'!Print_Area</vt:lpstr>
      <vt:lpstr>'06-19 R3'!Print_Area</vt:lpstr>
      <vt:lpstr>'06-20 R1'!Print_Area</vt:lpstr>
      <vt:lpstr>'06-20 R2'!Print_Area</vt:lpstr>
      <vt:lpstr>'06-20 R3'!Print_Area</vt:lpstr>
      <vt:lpstr>'06-22 R1'!Print_Area</vt:lpstr>
      <vt:lpstr>'06-22 R2'!Print_Area</vt:lpstr>
      <vt:lpstr>'06-22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2026-05-06T00:41:18Z</cp:lastPrinted>
  <dcterms:created xsi:type="dcterms:W3CDTF">2024-09-01T22:48:10Z</dcterms:created>
  <dcterms:modified xsi:type="dcterms:W3CDTF">2026-06-18T08:25:51Z</dcterms:modified>
</cp:coreProperties>
</file>