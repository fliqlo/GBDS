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DD685020-70DA-4C5E-A137-23FC762A0EAE}" xr6:coauthVersionLast="45" xr6:coauthVersionMax="47" xr10:uidLastSave="{00000000-0000-0000-0000-000000000000}"/>
  <bookViews>
    <workbookView xWindow="-120" yWindow="-120" windowWidth="29040" windowHeight="15840" activeTab="3" xr2:uid="{EAA847CC-C244-4239-B005-CBB8C204AC80}"/>
  </bookViews>
  <sheets>
    <sheet name="06-30-2026" sheetId="240" r:id="rId1"/>
    <sheet name="06-30-2026 (2)" sheetId="243" r:id="rId2"/>
    <sheet name="06-30-2026 (3)" sheetId="244" r:id="rId3"/>
    <sheet name="06-30-2026 (4)" sheetId="245" r:id="rId4"/>
    <sheet name="06-30-2026 (5)" sheetId="246" r:id="rId5"/>
  </sheets>
  <definedNames>
    <definedName name="_xlnm.Print_Area" localSheetId="0">'06-30-2026'!$A$1:$V$97</definedName>
    <definedName name="_xlnm.Print_Area" localSheetId="1">'06-30-2026 (2)'!$A$1:$V$97</definedName>
    <definedName name="_xlnm.Print_Area" localSheetId="2">'06-30-2026 (3)'!$A$1:$V$97</definedName>
    <definedName name="_xlnm.Print_Area" localSheetId="3">'06-30-2026 (4)'!$A$1:$V$97</definedName>
    <definedName name="_xlnm.Print_Area" localSheetId="4">'06-30-2026 (5)'!$A$1:$V$97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" i="245" l="1"/>
  <c r="F33" i="246"/>
  <c r="M79" i="246"/>
  <c r="P71" i="246"/>
  <c r="H71" i="246"/>
  <c r="Q70" i="246"/>
  <c r="P70" i="246"/>
  <c r="H70" i="246"/>
  <c r="E70" i="246"/>
  <c r="I70" i="246" s="1"/>
  <c r="Q69" i="246"/>
  <c r="P69" i="246"/>
  <c r="I69" i="246"/>
  <c r="H69" i="246"/>
  <c r="E69" i="246"/>
  <c r="AD68" i="246"/>
  <c r="AE68" i="246" s="1"/>
  <c r="AI68" i="246" s="1"/>
  <c r="Y68" i="246" s="1"/>
  <c r="AC68" i="246"/>
  <c r="AB68" i="246"/>
  <c r="Z68" i="246"/>
  <c r="X68" i="246"/>
  <c r="Q68" i="246"/>
  <c r="P68" i="246"/>
  <c r="I68" i="246"/>
  <c r="H68" i="246"/>
  <c r="E68" i="246"/>
  <c r="AE67" i="246"/>
  <c r="AI67" i="246" s="1"/>
  <c r="Y67" i="246" s="1"/>
  <c r="AD67" i="246"/>
  <c r="AC67" i="246"/>
  <c r="AB67" i="246"/>
  <c r="Z67" i="246"/>
  <c r="X67" i="246"/>
  <c r="Q67" i="246"/>
  <c r="P67" i="246"/>
  <c r="H67" i="246"/>
  <c r="E67" i="246"/>
  <c r="I67" i="246" s="1"/>
  <c r="AD66" i="246"/>
  <c r="AC66" i="246"/>
  <c r="AB66" i="246"/>
  <c r="AE66" i="246" s="1"/>
  <c r="AI66" i="246" s="1"/>
  <c r="Y66" i="246" s="1"/>
  <c r="Z66" i="246"/>
  <c r="X66" i="246"/>
  <c r="Q66" i="246"/>
  <c r="P66" i="246"/>
  <c r="H66" i="246"/>
  <c r="E66" i="246"/>
  <c r="I66" i="246" s="1"/>
  <c r="AD65" i="246"/>
  <c r="AC65" i="246"/>
  <c r="AE65" i="246" s="1"/>
  <c r="AI65" i="246" s="1"/>
  <c r="Y65" i="246" s="1"/>
  <c r="AB65" i="246"/>
  <c r="Z65" i="246"/>
  <c r="X65" i="246"/>
  <c r="Q65" i="246"/>
  <c r="P65" i="246"/>
  <c r="I65" i="246"/>
  <c r="H65" i="246"/>
  <c r="E65" i="246"/>
  <c r="AD64" i="246"/>
  <c r="AC64" i="246"/>
  <c r="AB64" i="246"/>
  <c r="AE64" i="246" s="1"/>
  <c r="AI64" i="246" s="1"/>
  <c r="Y64" i="246" s="1"/>
  <c r="Z64" i="246"/>
  <c r="X64" i="246"/>
  <c r="Q64" i="246"/>
  <c r="P64" i="246"/>
  <c r="H64" i="246"/>
  <c r="E64" i="246"/>
  <c r="I64" i="246" s="1"/>
  <c r="AD63" i="246"/>
  <c r="AC63" i="246"/>
  <c r="AB63" i="246"/>
  <c r="AE63" i="246" s="1"/>
  <c r="AI63" i="246" s="1"/>
  <c r="Y63" i="246" s="1"/>
  <c r="Z63" i="246"/>
  <c r="X63" i="246"/>
  <c r="Q63" i="246"/>
  <c r="P63" i="246"/>
  <c r="H63" i="246"/>
  <c r="E63" i="246"/>
  <c r="I63" i="246" s="1"/>
  <c r="AD62" i="246"/>
  <c r="AC62" i="246"/>
  <c r="AB62" i="246"/>
  <c r="AE62" i="246" s="1"/>
  <c r="AI62" i="246" s="1"/>
  <c r="Y62" i="246" s="1"/>
  <c r="Z62" i="246"/>
  <c r="X62" i="246"/>
  <c r="Q62" i="246"/>
  <c r="P62" i="246"/>
  <c r="H62" i="246"/>
  <c r="E62" i="246"/>
  <c r="I62" i="246" s="1"/>
  <c r="AC61" i="246"/>
  <c r="AB61" i="246"/>
  <c r="AE61" i="246" s="1"/>
  <c r="AI61" i="246" s="1"/>
  <c r="Y61" i="246" s="1"/>
  <c r="X61" i="246"/>
  <c r="Q61" i="246"/>
  <c r="P61" i="246"/>
  <c r="H61" i="246"/>
  <c r="E61" i="246"/>
  <c r="I61" i="246" s="1"/>
  <c r="AI60" i="246"/>
  <c r="AE60" i="246"/>
  <c r="Y60" i="246"/>
  <c r="X60" i="246"/>
  <c r="Q60" i="246"/>
  <c r="P60" i="246"/>
  <c r="H60" i="246"/>
  <c r="E60" i="246"/>
  <c r="I60" i="246" s="1"/>
  <c r="AC59" i="246"/>
  <c r="AB59" i="246"/>
  <c r="AE59" i="246" s="1"/>
  <c r="AI59" i="246" s="1"/>
  <c r="Y59" i="246" s="1"/>
  <c r="X59" i="246"/>
  <c r="Q59" i="246"/>
  <c r="P59" i="246"/>
  <c r="H59" i="246"/>
  <c r="E59" i="246"/>
  <c r="I59" i="246" s="1"/>
  <c r="AI58" i="246"/>
  <c r="Y58" i="246" s="1"/>
  <c r="AE58" i="246"/>
  <c r="AC58" i="246"/>
  <c r="AB58" i="246"/>
  <c r="X58" i="246"/>
  <c r="Q58" i="246"/>
  <c r="P58" i="246"/>
  <c r="I58" i="246"/>
  <c r="E58" i="246"/>
  <c r="AE57" i="246"/>
  <c r="AI57" i="246" s="1"/>
  <c r="Y57" i="246" s="1"/>
  <c r="AC57" i="246"/>
  <c r="AB57" i="246"/>
  <c r="X57" i="246"/>
  <c r="Q57" i="246"/>
  <c r="P57" i="246"/>
  <c r="H57" i="246"/>
  <c r="E57" i="246"/>
  <c r="I57" i="246" s="1"/>
  <c r="AD56" i="246"/>
  <c r="AC56" i="246"/>
  <c r="AE56" i="246" s="1"/>
  <c r="AI56" i="246" s="1"/>
  <c r="Y56" i="246" s="1"/>
  <c r="AB56" i="246"/>
  <c r="Z56" i="246"/>
  <c r="X56" i="246"/>
  <c r="Q56" i="246"/>
  <c r="P56" i="246"/>
  <c r="I56" i="246"/>
  <c r="H56" i="246"/>
  <c r="E56" i="246"/>
  <c r="AD55" i="246"/>
  <c r="AC55" i="246"/>
  <c r="AB55" i="246"/>
  <c r="AE55" i="246" s="1"/>
  <c r="AI55" i="246" s="1"/>
  <c r="Y55" i="246" s="1"/>
  <c r="Z55" i="246"/>
  <c r="X55" i="246"/>
  <c r="Q55" i="246"/>
  <c r="P55" i="246"/>
  <c r="H55" i="246"/>
  <c r="E55" i="246"/>
  <c r="I55" i="246" s="1"/>
  <c r="AI54" i="246"/>
  <c r="Y54" i="246" s="1"/>
  <c r="AE54" i="246"/>
  <c r="AD54" i="246"/>
  <c r="AC54" i="246"/>
  <c r="AB54" i="246"/>
  <c r="Z54" i="246"/>
  <c r="X54" i="246"/>
  <c r="Q54" i="246"/>
  <c r="P54" i="246"/>
  <c r="H54" i="246"/>
  <c r="E54" i="246"/>
  <c r="I54" i="246" s="1"/>
  <c r="AD53" i="246"/>
  <c r="AC53" i="246"/>
  <c r="AB53" i="246"/>
  <c r="AE53" i="246" s="1"/>
  <c r="AI53" i="246" s="1"/>
  <c r="Y53" i="246" s="1"/>
  <c r="Z53" i="246"/>
  <c r="X53" i="246"/>
  <c r="Q53" i="246"/>
  <c r="P53" i="246"/>
  <c r="H53" i="246"/>
  <c r="E53" i="246"/>
  <c r="I53" i="246" s="1"/>
  <c r="AE52" i="246"/>
  <c r="AI52" i="246" s="1"/>
  <c r="Y52" i="246" s="1"/>
  <c r="Z52" i="246"/>
  <c r="X52" i="246"/>
  <c r="Q52" i="246"/>
  <c r="P52" i="246"/>
  <c r="I52" i="246"/>
  <c r="H52" i="246"/>
  <c r="E52" i="246"/>
  <c r="AE51" i="246"/>
  <c r="AI51" i="246" s="1"/>
  <c r="Y51" i="246" s="1"/>
  <c r="AD51" i="246"/>
  <c r="AC51" i="246"/>
  <c r="AB51" i="246"/>
  <c r="Z51" i="246"/>
  <c r="X51" i="246"/>
  <c r="Q51" i="246"/>
  <c r="P51" i="246"/>
  <c r="H51" i="246"/>
  <c r="E51" i="246"/>
  <c r="I51" i="246" s="1"/>
  <c r="AD50" i="246"/>
  <c r="AC50" i="246"/>
  <c r="AB50" i="246"/>
  <c r="AE50" i="246" s="1"/>
  <c r="AI50" i="246" s="1"/>
  <c r="Y50" i="246" s="1"/>
  <c r="Z50" i="246"/>
  <c r="X50" i="246"/>
  <c r="Q50" i="246"/>
  <c r="P50" i="246"/>
  <c r="H50" i="246"/>
  <c r="E50" i="246"/>
  <c r="I50" i="246" s="1"/>
  <c r="AE49" i="246"/>
  <c r="AI49" i="246" s="1"/>
  <c r="Y49" i="246" s="1"/>
  <c r="Z49" i="246"/>
  <c r="X49" i="246"/>
  <c r="Q49" i="246"/>
  <c r="P49" i="246"/>
  <c r="I49" i="246"/>
  <c r="H49" i="246"/>
  <c r="E49" i="246"/>
  <c r="AE48" i="246"/>
  <c r="AI48" i="246" s="1"/>
  <c r="Y48" i="246" s="1"/>
  <c r="Z48" i="246"/>
  <c r="X48" i="246"/>
  <c r="Q48" i="246"/>
  <c r="P48" i="246"/>
  <c r="H48" i="246"/>
  <c r="E48" i="246"/>
  <c r="I48" i="246" s="1"/>
  <c r="AI47" i="246"/>
  <c r="Y47" i="246" s="1"/>
  <c r="AE47" i="246"/>
  <c r="Z47" i="246"/>
  <c r="X47" i="246"/>
  <c r="Q47" i="246"/>
  <c r="P47" i="246"/>
  <c r="I47" i="246"/>
  <c r="H47" i="246"/>
  <c r="E47" i="246"/>
  <c r="AD46" i="246"/>
  <c r="AC46" i="246"/>
  <c r="AB46" i="246"/>
  <c r="AE46" i="246" s="1"/>
  <c r="AI46" i="246" s="1"/>
  <c r="Y46" i="246" s="1"/>
  <c r="Z46" i="246"/>
  <c r="X46" i="246"/>
  <c r="Q46" i="246"/>
  <c r="P46" i="246"/>
  <c r="I46" i="246"/>
  <c r="H46" i="246"/>
  <c r="E46" i="246"/>
  <c r="AD45" i="246"/>
  <c r="AC45" i="246"/>
  <c r="AB45" i="246"/>
  <c r="AE45" i="246" s="1"/>
  <c r="AI45" i="246" s="1"/>
  <c r="Y45" i="246" s="1"/>
  <c r="Z45" i="246"/>
  <c r="X45" i="246"/>
  <c r="Q45" i="246"/>
  <c r="P45" i="246"/>
  <c r="H45" i="246"/>
  <c r="E45" i="246"/>
  <c r="I45" i="246" s="1"/>
  <c r="AD44" i="246"/>
  <c r="AC44" i="246"/>
  <c r="AE44" i="246" s="1"/>
  <c r="AI44" i="246" s="1"/>
  <c r="Y44" i="246" s="1"/>
  <c r="AB44" i="246"/>
  <c r="Z44" i="246"/>
  <c r="X44" i="246"/>
  <c r="Q44" i="246"/>
  <c r="P44" i="246"/>
  <c r="I44" i="246"/>
  <c r="H44" i="246"/>
  <c r="E44" i="246"/>
  <c r="AD43" i="246"/>
  <c r="AC43" i="246"/>
  <c r="AB43" i="246"/>
  <c r="AE43" i="246" s="1"/>
  <c r="AI43" i="246" s="1"/>
  <c r="Y43" i="246" s="1"/>
  <c r="Z43" i="246"/>
  <c r="X43" i="246"/>
  <c r="Q43" i="246"/>
  <c r="P43" i="246"/>
  <c r="H43" i="246"/>
  <c r="E43" i="246"/>
  <c r="I43" i="246" s="1"/>
  <c r="AE42" i="246"/>
  <c r="AI42" i="246" s="1"/>
  <c r="Y42" i="246" s="1"/>
  <c r="AD42" i="246"/>
  <c r="AC42" i="246"/>
  <c r="AB42" i="246"/>
  <c r="Z42" i="246"/>
  <c r="X42" i="246"/>
  <c r="Q42" i="246"/>
  <c r="P42" i="246"/>
  <c r="H42" i="246"/>
  <c r="E42" i="246"/>
  <c r="I42" i="246" s="1"/>
  <c r="AD41" i="246"/>
  <c r="AC41" i="246"/>
  <c r="AB41" i="246"/>
  <c r="AE41" i="246" s="1"/>
  <c r="AI41" i="246" s="1"/>
  <c r="Y41" i="246" s="1"/>
  <c r="Z41" i="246"/>
  <c r="X41" i="246"/>
  <c r="Q41" i="246"/>
  <c r="P41" i="246"/>
  <c r="H41" i="246"/>
  <c r="E41" i="246"/>
  <c r="I41" i="246" s="1"/>
  <c r="AD40" i="246"/>
  <c r="AC40" i="246"/>
  <c r="AB40" i="246"/>
  <c r="AE40" i="246" s="1"/>
  <c r="AI40" i="246" s="1"/>
  <c r="Y40" i="246" s="1"/>
  <c r="Z40" i="246"/>
  <c r="X40" i="246"/>
  <c r="Q40" i="246"/>
  <c r="P40" i="246"/>
  <c r="H40" i="246"/>
  <c r="E40" i="246"/>
  <c r="I40" i="246" s="1"/>
  <c r="AD39" i="246"/>
  <c r="AE39" i="246" s="1"/>
  <c r="AI39" i="246" s="1"/>
  <c r="Y39" i="246" s="1"/>
  <c r="AC39" i="246"/>
  <c r="AB39" i="246"/>
  <c r="Z39" i="246"/>
  <c r="X39" i="246"/>
  <c r="Q39" i="246"/>
  <c r="P39" i="246"/>
  <c r="I39" i="246"/>
  <c r="H39" i="246"/>
  <c r="E39" i="246"/>
  <c r="AE38" i="246"/>
  <c r="AI38" i="246" s="1"/>
  <c r="Y38" i="246" s="1"/>
  <c r="AD38" i="246"/>
  <c r="AC38" i="246"/>
  <c r="AB38" i="246"/>
  <c r="Z38" i="246"/>
  <c r="X38" i="246"/>
  <c r="Q38" i="246"/>
  <c r="P38" i="246"/>
  <c r="H38" i="246"/>
  <c r="E38" i="246"/>
  <c r="I38" i="246" s="1"/>
  <c r="AD37" i="246"/>
  <c r="AC37" i="246"/>
  <c r="AB37" i="246"/>
  <c r="AE37" i="246" s="1"/>
  <c r="AI37" i="246" s="1"/>
  <c r="Y37" i="246" s="1"/>
  <c r="Z37" i="246"/>
  <c r="X37" i="246"/>
  <c r="Q37" i="246"/>
  <c r="P37" i="246"/>
  <c r="H37" i="246"/>
  <c r="E37" i="246"/>
  <c r="I37" i="246" s="1"/>
  <c r="AD36" i="246"/>
  <c r="AC36" i="246"/>
  <c r="AE36" i="246" s="1"/>
  <c r="AI36" i="246" s="1"/>
  <c r="Y36" i="246" s="1"/>
  <c r="AB36" i="246"/>
  <c r="Z36" i="246"/>
  <c r="X36" i="246"/>
  <c r="Q36" i="246"/>
  <c r="P36" i="246"/>
  <c r="I36" i="246"/>
  <c r="H36" i="246"/>
  <c r="E36" i="246"/>
  <c r="AD35" i="246"/>
  <c r="AC35" i="246"/>
  <c r="AB35" i="246"/>
  <c r="AE35" i="246" s="1"/>
  <c r="AI35" i="246" s="1"/>
  <c r="Y35" i="246" s="1"/>
  <c r="Z35" i="246"/>
  <c r="X35" i="246"/>
  <c r="Q35" i="246"/>
  <c r="P35" i="246"/>
  <c r="I35" i="246"/>
  <c r="H35" i="246"/>
  <c r="E35" i="246"/>
  <c r="AE34" i="246"/>
  <c r="AI34" i="246" s="1"/>
  <c r="Y34" i="246" s="1"/>
  <c r="AD34" i="246"/>
  <c r="AC34" i="246"/>
  <c r="AB34" i="246"/>
  <c r="Z34" i="246"/>
  <c r="X34" i="246"/>
  <c r="Q34" i="246"/>
  <c r="P34" i="246"/>
  <c r="I34" i="246"/>
  <c r="H34" i="246"/>
  <c r="E34" i="246"/>
  <c r="AD33" i="246"/>
  <c r="AC33" i="246"/>
  <c r="AB33" i="246"/>
  <c r="AE33" i="246" s="1"/>
  <c r="AI33" i="246" s="1"/>
  <c r="Y33" i="246" s="1"/>
  <c r="Z33" i="246"/>
  <c r="X33" i="246"/>
  <c r="Q33" i="246"/>
  <c r="P33" i="246"/>
  <c r="H33" i="246"/>
  <c r="E33" i="246"/>
  <c r="I33" i="246" s="1"/>
  <c r="AD32" i="246"/>
  <c r="AC32" i="246"/>
  <c r="AB32" i="246"/>
  <c r="AE32" i="246" s="1"/>
  <c r="AI32" i="246" s="1"/>
  <c r="Y32" i="246" s="1"/>
  <c r="Z32" i="246"/>
  <c r="X32" i="246"/>
  <c r="Q32" i="246"/>
  <c r="P32" i="246"/>
  <c r="I32" i="246"/>
  <c r="H32" i="246"/>
  <c r="E32" i="246"/>
  <c r="AE31" i="246"/>
  <c r="AI31" i="246" s="1"/>
  <c r="Y31" i="246" s="1"/>
  <c r="Z31" i="246"/>
  <c r="X31" i="246"/>
  <c r="Q31" i="246"/>
  <c r="P31" i="246"/>
  <c r="I31" i="246"/>
  <c r="H31" i="246"/>
  <c r="E31" i="246"/>
  <c r="AD30" i="246"/>
  <c r="AC30" i="246"/>
  <c r="AB30" i="246"/>
  <c r="AE30" i="246" s="1"/>
  <c r="AI30" i="246" s="1"/>
  <c r="Y30" i="246" s="1"/>
  <c r="Z30" i="246"/>
  <c r="X30" i="246"/>
  <c r="Q30" i="246"/>
  <c r="P30" i="246"/>
  <c r="H30" i="246"/>
  <c r="E30" i="246"/>
  <c r="I30" i="246" s="1"/>
  <c r="AD29" i="246"/>
  <c r="AC29" i="246"/>
  <c r="AE29" i="246" s="1"/>
  <c r="AI29" i="246" s="1"/>
  <c r="Y29" i="246" s="1"/>
  <c r="AB29" i="246"/>
  <c r="Z29" i="246"/>
  <c r="X29" i="246"/>
  <c r="Q29" i="246"/>
  <c r="P29" i="246"/>
  <c r="I29" i="246"/>
  <c r="H29" i="246"/>
  <c r="E29" i="246"/>
  <c r="AD28" i="246"/>
  <c r="AC28" i="246"/>
  <c r="AB28" i="246"/>
  <c r="AE28" i="246" s="1"/>
  <c r="AI28" i="246" s="1"/>
  <c r="Y28" i="246" s="1"/>
  <c r="Z28" i="246"/>
  <c r="X28" i="246"/>
  <c r="Q28" i="246"/>
  <c r="P28" i="246"/>
  <c r="H28" i="246"/>
  <c r="E28" i="246"/>
  <c r="I28" i="246" s="1"/>
  <c r="AE27" i="246"/>
  <c r="AI27" i="246" s="1"/>
  <c r="Y27" i="246" s="1"/>
  <c r="AD27" i="246"/>
  <c r="AC27" i="246"/>
  <c r="AB27" i="246"/>
  <c r="Z27" i="246"/>
  <c r="X27" i="246"/>
  <c r="Q27" i="246"/>
  <c r="P27" i="246"/>
  <c r="H27" i="246"/>
  <c r="E27" i="246"/>
  <c r="I27" i="246" s="1"/>
  <c r="AD26" i="246"/>
  <c r="AC26" i="246"/>
  <c r="AB26" i="246"/>
  <c r="AE26" i="246" s="1"/>
  <c r="AI26" i="246" s="1"/>
  <c r="Y26" i="246" s="1"/>
  <c r="Z26" i="246"/>
  <c r="X26" i="246"/>
  <c r="Q26" i="246"/>
  <c r="P26" i="246"/>
  <c r="H26" i="246"/>
  <c r="E26" i="246"/>
  <c r="I26" i="246" s="1"/>
  <c r="AD25" i="246"/>
  <c r="AC25" i="246"/>
  <c r="AB25" i="246"/>
  <c r="AE25" i="246" s="1"/>
  <c r="AI25" i="246" s="1"/>
  <c r="Y25" i="246" s="1"/>
  <c r="Z25" i="246"/>
  <c r="X25" i="246"/>
  <c r="Q25" i="246"/>
  <c r="P25" i="246"/>
  <c r="H25" i="246"/>
  <c r="E25" i="246"/>
  <c r="I25" i="246" s="1"/>
  <c r="AD24" i="246"/>
  <c r="AE24" i="246" s="1"/>
  <c r="AI24" i="246" s="1"/>
  <c r="Y24" i="246" s="1"/>
  <c r="AC24" i="246"/>
  <c r="AB24" i="246"/>
  <c r="Z24" i="246"/>
  <c r="X24" i="246"/>
  <c r="Q24" i="246"/>
  <c r="P24" i="246"/>
  <c r="I24" i="246"/>
  <c r="H24" i="246"/>
  <c r="E24" i="246"/>
  <c r="AE23" i="246"/>
  <c r="AI23" i="246" s="1"/>
  <c r="Y23" i="246" s="1"/>
  <c r="AD23" i="246"/>
  <c r="AC23" i="246"/>
  <c r="AB23" i="246"/>
  <c r="Z23" i="246"/>
  <c r="X23" i="246"/>
  <c r="Q23" i="246"/>
  <c r="P23" i="246"/>
  <c r="H23" i="246"/>
  <c r="E23" i="246"/>
  <c r="I23" i="246" s="1"/>
  <c r="AI22" i="246"/>
  <c r="Y22" i="246" s="1"/>
  <c r="AE22" i="246"/>
  <c r="AD22" i="246"/>
  <c r="AC22" i="246"/>
  <c r="AB22" i="246"/>
  <c r="Z22" i="246"/>
  <c r="X22" i="246"/>
  <c r="Q22" i="246"/>
  <c r="P22" i="246"/>
  <c r="H22" i="246"/>
  <c r="E22" i="246"/>
  <c r="I22" i="246" s="1"/>
  <c r="AD21" i="246"/>
  <c r="AC21" i="246"/>
  <c r="AE21" i="246" s="1"/>
  <c r="AI21" i="246" s="1"/>
  <c r="Y21" i="246" s="1"/>
  <c r="AB21" i="246"/>
  <c r="Z21" i="246"/>
  <c r="X21" i="246"/>
  <c r="Q21" i="246"/>
  <c r="P21" i="246"/>
  <c r="I21" i="246"/>
  <c r="H21" i="246"/>
  <c r="E21" i="246"/>
  <c r="AD20" i="246"/>
  <c r="AC20" i="246"/>
  <c r="AB20" i="246"/>
  <c r="AE20" i="246" s="1"/>
  <c r="AI20" i="246" s="1"/>
  <c r="Y20" i="246" s="1"/>
  <c r="Z20" i="246"/>
  <c r="X20" i="246"/>
  <c r="Q20" i="246"/>
  <c r="P20" i="246"/>
  <c r="H20" i="246"/>
  <c r="E20" i="246"/>
  <c r="I20" i="246" s="1"/>
  <c r="AE19" i="246"/>
  <c r="AI19" i="246" s="1"/>
  <c r="Y19" i="246" s="1"/>
  <c r="AD19" i="246"/>
  <c r="AC19" i="246"/>
  <c r="AB19" i="246"/>
  <c r="Z19" i="246"/>
  <c r="X19" i="246"/>
  <c r="Q19" i="246"/>
  <c r="P19" i="246"/>
  <c r="I19" i="246"/>
  <c r="H19" i="246"/>
  <c r="E19" i="246"/>
  <c r="AD18" i="246"/>
  <c r="AC18" i="246"/>
  <c r="AB18" i="246"/>
  <c r="AE18" i="246" s="1"/>
  <c r="AI18" i="246" s="1"/>
  <c r="Y18" i="246" s="1"/>
  <c r="Z18" i="246"/>
  <c r="X18" i="246"/>
  <c r="Q18" i="246"/>
  <c r="P18" i="246"/>
  <c r="H18" i="246"/>
  <c r="E18" i="246"/>
  <c r="I18" i="246" s="1"/>
  <c r="AD17" i="246"/>
  <c r="AC17" i="246"/>
  <c r="AB17" i="246"/>
  <c r="AE17" i="246" s="1"/>
  <c r="AI17" i="246" s="1"/>
  <c r="Y17" i="246" s="1"/>
  <c r="Z17" i="246"/>
  <c r="X17" i="246"/>
  <c r="Q17" i="246"/>
  <c r="P17" i="246"/>
  <c r="I17" i="246"/>
  <c r="H17" i="246"/>
  <c r="E17" i="246"/>
  <c r="AD16" i="246"/>
  <c r="AE16" i="246" s="1"/>
  <c r="AI16" i="246" s="1"/>
  <c r="Y16" i="246" s="1"/>
  <c r="AC16" i="246"/>
  <c r="AB16" i="246"/>
  <c r="Z16" i="246"/>
  <c r="X16" i="246"/>
  <c r="Q16" i="246"/>
  <c r="P16" i="246"/>
  <c r="I16" i="246"/>
  <c r="E16" i="246"/>
  <c r="AD15" i="246"/>
  <c r="AC15" i="246"/>
  <c r="AB15" i="246"/>
  <c r="AE15" i="246" s="1"/>
  <c r="AI15" i="246" s="1"/>
  <c r="Y15" i="246" s="1"/>
  <c r="Z15" i="246"/>
  <c r="X15" i="246"/>
  <c r="Q15" i="246"/>
  <c r="P15" i="246"/>
  <c r="E15" i="246"/>
  <c r="I15" i="246" s="1"/>
  <c r="AD14" i="246"/>
  <c r="AE14" i="246" s="1"/>
  <c r="AI14" i="246" s="1"/>
  <c r="Y14" i="246" s="1"/>
  <c r="AC14" i="246"/>
  <c r="AB14" i="246"/>
  <c r="Z14" i="246"/>
  <c r="X14" i="246"/>
  <c r="Q14" i="246"/>
  <c r="O75" i="246" s="1"/>
  <c r="P14" i="246"/>
  <c r="I14" i="246"/>
  <c r="H14" i="246"/>
  <c r="E14" i="246"/>
  <c r="AD13" i="246"/>
  <c r="AC13" i="246"/>
  <c r="AE13" i="246" s="1"/>
  <c r="AI13" i="246" s="1"/>
  <c r="Y13" i="246" s="1"/>
  <c r="AB13" i="246"/>
  <c r="Z13" i="246"/>
  <c r="X13" i="246"/>
  <c r="Q13" i="246"/>
  <c r="P13" i="246"/>
  <c r="H13" i="246"/>
  <c r="E13" i="246"/>
  <c r="I13" i="246" s="1"/>
  <c r="AI12" i="246"/>
  <c r="Y12" i="246" s="1"/>
  <c r="AE12" i="246"/>
  <c r="AD12" i="246"/>
  <c r="AC12" i="246"/>
  <c r="AB12" i="246"/>
  <c r="Z12" i="246"/>
  <c r="X12" i="246"/>
  <c r="Q12" i="246"/>
  <c r="O73" i="246" s="1"/>
  <c r="P12" i="246"/>
  <c r="H12" i="246"/>
  <c r="E12" i="246"/>
  <c r="I12" i="246" s="1"/>
  <c r="T77" i="246" l="1"/>
  <c r="T75" i="246"/>
  <c r="F73" i="246"/>
  <c r="T73" i="246"/>
  <c r="T79" i="246" s="1"/>
  <c r="F75" i="246"/>
  <c r="M79" i="245"/>
  <c r="P71" i="245"/>
  <c r="H71" i="245"/>
  <c r="Q70" i="245"/>
  <c r="P70" i="245"/>
  <c r="I70" i="245"/>
  <c r="H70" i="245"/>
  <c r="E70" i="245"/>
  <c r="Q69" i="245"/>
  <c r="P69" i="245"/>
  <c r="H69" i="245"/>
  <c r="E69" i="245"/>
  <c r="I69" i="245" s="1"/>
  <c r="AD68" i="245"/>
  <c r="AC68" i="245"/>
  <c r="AB68" i="245"/>
  <c r="AE68" i="245" s="1"/>
  <c r="AI68" i="245" s="1"/>
  <c r="Y68" i="245" s="1"/>
  <c r="Z68" i="245"/>
  <c r="X68" i="245"/>
  <c r="Q68" i="245"/>
  <c r="P68" i="245"/>
  <c r="H68" i="245"/>
  <c r="E68" i="245"/>
  <c r="I68" i="245" s="1"/>
  <c r="AD67" i="245"/>
  <c r="AE67" i="245" s="1"/>
  <c r="AI67" i="245" s="1"/>
  <c r="Y67" i="245" s="1"/>
  <c r="AC67" i="245"/>
  <c r="AB67" i="245"/>
  <c r="Z67" i="245"/>
  <c r="X67" i="245"/>
  <c r="Q67" i="245"/>
  <c r="P67" i="245"/>
  <c r="H67" i="245"/>
  <c r="E67" i="245"/>
  <c r="I67" i="245" s="1"/>
  <c r="AD66" i="245"/>
  <c r="AC66" i="245"/>
  <c r="AB66" i="245"/>
  <c r="AE66" i="245" s="1"/>
  <c r="AI66" i="245" s="1"/>
  <c r="Y66" i="245" s="1"/>
  <c r="Z66" i="245"/>
  <c r="X66" i="245"/>
  <c r="Q66" i="245"/>
  <c r="P66" i="245"/>
  <c r="I66" i="245"/>
  <c r="H66" i="245"/>
  <c r="E66" i="245"/>
  <c r="AD65" i="245"/>
  <c r="AE65" i="245" s="1"/>
  <c r="AI65" i="245" s="1"/>
  <c r="Y65" i="245" s="1"/>
  <c r="AC65" i="245"/>
  <c r="AB65" i="245"/>
  <c r="Z65" i="245"/>
  <c r="X65" i="245"/>
  <c r="Q65" i="245"/>
  <c r="P65" i="245"/>
  <c r="H65" i="245"/>
  <c r="E65" i="245"/>
  <c r="I65" i="245" s="1"/>
  <c r="AD64" i="245"/>
  <c r="AC64" i="245"/>
  <c r="AE64" i="245" s="1"/>
  <c r="AI64" i="245" s="1"/>
  <c r="Y64" i="245" s="1"/>
  <c r="AB64" i="245"/>
  <c r="Z64" i="245"/>
  <c r="X64" i="245"/>
  <c r="Q64" i="245"/>
  <c r="P64" i="245"/>
  <c r="H64" i="245"/>
  <c r="E64" i="245"/>
  <c r="I64" i="245" s="1"/>
  <c r="AD63" i="245"/>
  <c r="AC63" i="245"/>
  <c r="AB63" i="245"/>
  <c r="AE63" i="245" s="1"/>
  <c r="AI63" i="245" s="1"/>
  <c r="Y63" i="245" s="1"/>
  <c r="Z63" i="245"/>
  <c r="X63" i="245"/>
  <c r="Q63" i="245"/>
  <c r="P63" i="245"/>
  <c r="H63" i="245"/>
  <c r="E63" i="245"/>
  <c r="I63" i="245" s="1"/>
  <c r="AE62" i="245"/>
  <c r="AI62" i="245" s="1"/>
  <c r="Y62" i="245" s="1"/>
  <c r="AD62" i="245"/>
  <c r="AC62" i="245"/>
  <c r="AB62" i="245"/>
  <c r="Z62" i="245"/>
  <c r="X62" i="245"/>
  <c r="Q62" i="245"/>
  <c r="P62" i="245"/>
  <c r="I62" i="245"/>
  <c r="H62" i="245"/>
  <c r="E62" i="245"/>
  <c r="AE61" i="245"/>
  <c r="AI61" i="245" s="1"/>
  <c r="Y61" i="245" s="1"/>
  <c r="AC61" i="245"/>
  <c r="AB61" i="245"/>
  <c r="X61" i="245"/>
  <c r="Q61" i="245"/>
  <c r="P61" i="245"/>
  <c r="H61" i="245"/>
  <c r="E61" i="245"/>
  <c r="I61" i="245" s="1"/>
  <c r="AE60" i="245"/>
  <c r="AI60" i="245" s="1"/>
  <c r="Y60" i="245" s="1"/>
  <c r="X60" i="245"/>
  <c r="Q60" i="245"/>
  <c r="P60" i="245"/>
  <c r="I60" i="245"/>
  <c r="H60" i="245"/>
  <c r="E60" i="245"/>
  <c r="AI59" i="245"/>
  <c r="Y59" i="245" s="1"/>
  <c r="AE59" i="245"/>
  <c r="AC59" i="245"/>
  <c r="AB59" i="245"/>
  <c r="X59" i="245"/>
  <c r="Q59" i="245"/>
  <c r="P59" i="245"/>
  <c r="H59" i="245"/>
  <c r="E59" i="245"/>
  <c r="I59" i="245" s="1"/>
  <c r="AC58" i="245"/>
  <c r="AB58" i="245"/>
  <c r="AE58" i="245" s="1"/>
  <c r="AI58" i="245" s="1"/>
  <c r="Y58" i="245" s="1"/>
  <c r="X58" i="245"/>
  <c r="Q58" i="245"/>
  <c r="P58" i="245"/>
  <c r="E58" i="245"/>
  <c r="I58" i="245" s="1"/>
  <c r="AC57" i="245"/>
  <c r="AB57" i="245"/>
  <c r="AE57" i="245" s="1"/>
  <c r="AI57" i="245" s="1"/>
  <c r="Y57" i="245" s="1"/>
  <c r="X57" i="245"/>
  <c r="Q57" i="245"/>
  <c r="P57" i="245"/>
  <c r="I57" i="245"/>
  <c r="H57" i="245"/>
  <c r="E57" i="245"/>
  <c r="AI56" i="245"/>
  <c r="Y56" i="245" s="1"/>
  <c r="AE56" i="245"/>
  <c r="AD56" i="245"/>
  <c r="AC56" i="245"/>
  <c r="AB56" i="245"/>
  <c r="Z56" i="245"/>
  <c r="X56" i="245"/>
  <c r="Q56" i="245"/>
  <c r="P56" i="245"/>
  <c r="I56" i="245"/>
  <c r="H56" i="245"/>
  <c r="E56" i="245"/>
  <c r="AD55" i="245"/>
  <c r="AC55" i="245"/>
  <c r="AB55" i="245"/>
  <c r="AE55" i="245" s="1"/>
  <c r="AI55" i="245" s="1"/>
  <c r="Y55" i="245" s="1"/>
  <c r="Z55" i="245"/>
  <c r="X55" i="245"/>
  <c r="Q55" i="245"/>
  <c r="P55" i="245"/>
  <c r="I55" i="245"/>
  <c r="H55" i="245"/>
  <c r="E55" i="245"/>
  <c r="AD54" i="245"/>
  <c r="AC54" i="245"/>
  <c r="AB54" i="245"/>
  <c r="AE54" i="245" s="1"/>
  <c r="AI54" i="245" s="1"/>
  <c r="Y54" i="245" s="1"/>
  <c r="Z54" i="245"/>
  <c r="X54" i="245"/>
  <c r="Q54" i="245"/>
  <c r="P54" i="245"/>
  <c r="H54" i="245"/>
  <c r="E54" i="245"/>
  <c r="I54" i="245" s="1"/>
  <c r="AD53" i="245"/>
  <c r="AC53" i="245"/>
  <c r="AE53" i="245" s="1"/>
  <c r="AI53" i="245" s="1"/>
  <c r="Y53" i="245" s="1"/>
  <c r="AB53" i="245"/>
  <c r="Z53" i="245"/>
  <c r="X53" i="245"/>
  <c r="Q53" i="245"/>
  <c r="P53" i="245"/>
  <c r="I53" i="245"/>
  <c r="H53" i="245"/>
  <c r="E53" i="245"/>
  <c r="AE52" i="245"/>
  <c r="AI52" i="245" s="1"/>
  <c r="Y52" i="245" s="1"/>
  <c r="Z52" i="245"/>
  <c r="X52" i="245"/>
  <c r="Q52" i="245"/>
  <c r="P52" i="245"/>
  <c r="H52" i="245"/>
  <c r="E52" i="245"/>
  <c r="I52" i="245" s="1"/>
  <c r="AD51" i="245"/>
  <c r="AE51" i="245" s="1"/>
  <c r="AI51" i="245" s="1"/>
  <c r="Y51" i="245" s="1"/>
  <c r="AC51" i="245"/>
  <c r="AB51" i="245"/>
  <c r="Z51" i="245"/>
  <c r="X51" i="245"/>
  <c r="Q51" i="245"/>
  <c r="P51" i="245"/>
  <c r="H51" i="245"/>
  <c r="E51" i="245"/>
  <c r="I51" i="245" s="1"/>
  <c r="AD50" i="245"/>
  <c r="AC50" i="245"/>
  <c r="AB50" i="245"/>
  <c r="AE50" i="245" s="1"/>
  <c r="AI50" i="245" s="1"/>
  <c r="Y50" i="245" s="1"/>
  <c r="Z50" i="245"/>
  <c r="X50" i="245"/>
  <c r="Q50" i="245"/>
  <c r="P50" i="245"/>
  <c r="I50" i="245"/>
  <c r="H50" i="245"/>
  <c r="E50" i="245"/>
  <c r="AI49" i="245"/>
  <c r="Y49" i="245" s="1"/>
  <c r="AE49" i="245"/>
  <c r="Z49" i="245"/>
  <c r="X49" i="245"/>
  <c r="Q49" i="245"/>
  <c r="P49" i="245"/>
  <c r="I49" i="245"/>
  <c r="H49" i="245"/>
  <c r="E49" i="245"/>
  <c r="AI48" i="245"/>
  <c r="AE48" i="245"/>
  <c r="Z48" i="245"/>
  <c r="Y48" i="245"/>
  <c r="X48" i="245"/>
  <c r="Q48" i="245"/>
  <c r="P48" i="245"/>
  <c r="I48" i="245"/>
  <c r="H48" i="245"/>
  <c r="E48" i="245"/>
  <c r="AE47" i="245"/>
  <c r="AI47" i="245" s="1"/>
  <c r="Y47" i="245" s="1"/>
  <c r="Z47" i="245"/>
  <c r="X47" i="245"/>
  <c r="Q47" i="245"/>
  <c r="P47" i="245"/>
  <c r="H47" i="245"/>
  <c r="E47" i="245"/>
  <c r="I47" i="245" s="1"/>
  <c r="AD46" i="245"/>
  <c r="AC46" i="245"/>
  <c r="AB46" i="245"/>
  <c r="AE46" i="245" s="1"/>
  <c r="AI46" i="245" s="1"/>
  <c r="Y46" i="245" s="1"/>
  <c r="Z46" i="245"/>
  <c r="X46" i="245"/>
  <c r="Q46" i="245"/>
  <c r="P46" i="245"/>
  <c r="I46" i="245"/>
  <c r="H46" i="245"/>
  <c r="E46" i="245"/>
  <c r="AD45" i="245"/>
  <c r="AC45" i="245"/>
  <c r="AB45" i="245"/>
  <c r="AE45" i="245" s="1"/>
  <c r="AI45" i="245" s="1"/>
  <c r="Y45" i="245" s="1"/>
  <c r="Z45" i="245"/>
  <c r="X45" i="245"/>
  <c r="Q45" i="245"/>
  <c r="P45" i="245"/>
  <c r="I45" i="245"/>
  <c r="H45" i="245"/>
  <c r="E45" i="245"/>
  <c r="AI44" i="245"/>
  <c r="Y44" i="245" s="1"/>
  <c r="AE44" i="245"/>
  <c r="AD44" i="245"/>
  <c r="AC44" i="245"/>
  <c r="AB44" i="245"/>
  <c r="Z44" i="245"/>
  <c r="X44" i="245"/>
  <c r="Q44" i="245"/>
  <c r="P44" i="245"/>
  <c r="I44" i="245"/>
  <c r="H44" i="245"/>
  <c r="E44" i="245"/>
  <c r="AD43" i="245"/>
  <c r="AC43" i="245"/>
  <c r="AE43" i="245" s="1"/>
  <c r="AI43" i="245" s="1"/>
  <c r="Y43" i="245" s="1"/>
  <c r="AB43" i="245"/>
  <c r="Z43" i="245"/>
  <c r="X43" i="245"/>
  <c r="Q43" i="245"/>
  <c r="P43" i="245"/>
  <c r="I43" i="245"/>
  <c r="H43" i="245"/>
  <c r="E43" i="245"/>
  <c r="AD42" i="245"/>
  <c r="AC42" i="245"/>
  <c r="AB42" i="245"/>
  <c r="AE42" i="245" s="1"/>
  <c r="AI42" i="245" s="1"/>
  <c r="Y42" i="245" s="1"/>
  <c r="Z42" i="245"/>
  <c r="X42" i="245"/>
  <c r="Q42" i="245"/>
  <c r="P42" i="245"/>
  <c r="H42" i="245"/>
  <c r="E42" i="245"/>
  <c r="I42" i="245" s="1"/>
  <c r="AD41" i="245"/>
  <c r="AC41" i="245"/>
  <c r="AE41" i="245" s="1"/>
  <c r="AI41" i="245" s="1"/>
  <c r="Y41" i="245" s="1"/>
  <c r="AB41" i="245"/>
  <c r="Z41" i="245"/>
  <c r="X41" i="245"/>
  <c r="Q41" i="245"/>
  <c r="P41" i="245"/>
  <c r="I41" i="245"/>
  <c r="H41" i="245"/>
  <c r="E41" i="245"/>
  <c r="AD40" i="245"/>
  <c r="AC40" i="245"/>
  <c r="AB40" i="245"/>
  <c r="AE40" i="245" s="1"/>
  <c r="AI40" i="245" s="1"/>
  <c r="Y40" i="245" s="1"/>
  <c r="Z40" i="245"/>
  <c r="X40" i="245"/>
  <c r="Q40" i="245"/>
  <c r="P40" i="245"/>
  <c r="H40" i="245"/>
  <c r="E40" i="245"/>
  <c r="I40" i="245" s="1"/>
  <c r="AD39" i="245"/>
  <c r="AC39" i="245"/>
  <c r="AB39" i="245"/>
  <c r="AE39" i="245" s="1"/>
  <c r="AI39" i="245" s="1"/>
  <c r="Y39" i="245" s="1"/>
  <c r="Z39" i="245"/>
  <c r="X39" i="245"/>
  <c r="Q39" i="245"/>
  <c r="P39" i="245"/>
  <c r="H39" i="245"/>
  <c r="E39" i="245"/>
  <c r="I39" i="245" s="1"/>
  <c r="AD38" i="245"/>
  <c r="AE38" i="245" s="1"/>
  <c r="AI38" i="245" s="1"/>
  <c r="Y38" i="245" s="1"/>
  <c r="AC38" i="245"/>
  <c r="AB38" i="245"/>
  <c r="Z38" i="245"/>
  <c r="X38" i="245"/>
  <c r="Q38" i="245"/>
  <c r="P38" i="245"/>
  <c r="H38" i="245"/>
  <c r="E38" i="245"/>
  <c r="I38" i="245" s="1"/>
  <c r="AD37" i="245"/>
  <c r="AC37" i="245"/>
  <c r="AB37" i="245"/>
  <c r="AE37" i="245" s="1"/>
  <c r="AI37" i="245" s="1"/>
  <c r="Y37" i="245" s="1"/>
  <c r="Z37" i="245"/>
  <c r="X37" i="245"/>
  <c r="Q37" i="245"/>
  <c r="P37" i="245"/>
  <c r="H37" i="245"/>
  <c r="E37" i="245"/>
  <c r="I37" i="245" s="1"/>
  <c r="AD36" i="245"/>
  <c r="AE36" i="245" s="1"/>
  <c r="AI36" i="245" s="1"/>
  <c r="Y36" i="245" s="1"/>
  <c r="AC36" i="245"/>
  <c r="AB36" i="245"/>
  <c r="Z36" i="245"/>
  <c r="X36" i="245"/>
  <c r="Q36" i="245"/>
  <c r="P36" i="245"/>
  <c r="I36" i="245"/>
  <c r="H36" i="245"/>
  <c r="E36" i="245"/>
  <c r="AD35" i="245"/>
  <c r="AC35" i="245"/>
  <c r="AE35" i="245" s="1"/>
  <c r="AI35" i="245" s="1"/>
  <c r="Y35" i="245" s="1"/>
  <c r="AB35" i="245"/>
  <c r="Z35" i="245"/>
  <c r="X35" i="245"/>
  <c r="Q35" i="245"/>
  <c r="P35" i="245"/>
  <c r="I35" i="245"/>
  <c r="H35" i="245"/>
  <c r="E35" i="245"/>
  <c r="AD34" i="245"/>
  <c r="AC34" i="245"/>
  <c r="AB34" i="245"/>
  <c r="AE34" i="245" s="1"/>
  <c r="AI34" i="245" s="1"/>
  <c r="Y34" i="245" s="1"/>
  <c r="Z34" i="245"/>
  <c r="X34" i="245"/>
  <c r="Q34" i="245"/>
  <c r="P34" i="245"/>
  <c r="H34" i="245"/>
  <c r="E34" i="245"/>
  <c r="I34" i="245" s="1"/>
  <c r="AE33" i="245"/>
  <c r="AI33" i="245" s="1"/>
  <c r="Y33" i="245" s="1"/>
  <c r="AD33" i="245"/>
  <c r="AC33" i="245"/>
  <c r="AB33" i="245"/>
  <c r="Z33" i="245"/>
  <c r="X33" i="245"/>
  <c r="Q33" i="245"/>
  <c r="P33" i="245"/>
  <c r="I33" i="245"/>
  <c r="H33" i="245"/>
  <c r="E33" i="245"/>
  <c r="AD32" i="245"/>
  <c r="AC32" i="245"/>
  <c r="AB32" i="245"/>
  <c r="AE32" i="245" s="1"/>
  <c r="AI32" i="245" s="1"/>
  <c r="Y32" i="245" s="1"/>
  <c r="Z32" i="245"/>
  <c r="X32" i="245"/>
  <c r="Q32" i="245"/>
  <c r="P32" i="245"/>
  <c r="H32" i="245"/>
  <c r="E32" i="245"/>
  <c r="I32" i="245" s="1"/>
  <c r="AE31" i="245"/>
  <c r="AI31" i="245" s="1"/>
  <c r="Y31" i="245" s="1"/>
  <c r="Z31" i="245"/>
  <c r="X31" i="245"/>
  <c r="Q31" i="245"/>
  <c r="P31" i="245"/>
  <c r="I31" i="245"/>
  <c r="H31" i="245"/>
  <c r="E31" i="245"/>
  <c r="AD30" i="245"/>
  <c r="AC30" i="245"/>
  <c r="AB30" i="245"/>
  <c r="AE30" i="245" s="1"/>
  <c r="AI30" i="245" s="1"/>
  <c r="Y30" i="245" s="1"/>
  <c r="Z30" i="245"/>
  <c r="X30" i="245"/>
  <c r="Q30" i="245"/>
  <c r="P30" i="245"/>
  <c r="H30" i="245"/>
  <c r="E30" i="245"/>
  <c r="I30" i="245" s="1"/>
  <c r="AI29" i="245"/>
  <c r="Y29" i="245" s="1"/>
  <c r="AE29" i="245"/>
  <c r="AD29" i="245"/>
  <c r="AC29" i="245"/>
  <c r="AB29" i="245"/>
  <c r="Z29" i="245"/>
  <c r="X29" i="245"/>
  <c r="Q29" i="245"/>
  <c r="P29" i="245"/>
  <c r="I29" i="245"/>
  <c r="H29" i="245"/>
  <c r="E29" i="245"/>
  <c r="AD28" i="245"/>
  <c r="AC28" i="245"/>
  <c r="AE28" i="245" s="1"/>
  <c r="AI28" i="245" s="1"/>
  <c r="Y28" i="245" s="1"/>
  <c r="AB28" i="245"/>
  <c r="Z28" i="245"/>
  <c r="X28" i="245"/>
  <c r="Q28" i="245"/>
  <c r="P28" i="245"/>
  <c r="I28" i="245"/>
  <c r="H28" i="245"/>
  <c r="E28" i="245"/>
  <c r="AD27" i="245"/>
  <c r="AC27" i="245"/>
  <c r="AB27" i="245"/>
  <c r="AE27" i="245" s="1"/>
  <c r="AI27" i="245" s="1"/>
  <c r="Y27" i="245" s="1"/>
  <c r="Z27" i="245"/>
  <c r="X27" i="245"/>
  <c r="Q27" i="245"/>
  <c r="P27" i="245"/>
  <c r="H27" i="245"/>
  <c r="E27" i="245"/>
  <c r="I27" i="245" s="1"/>
  <c r="AD26" i="245"/>
  <c r="AC26" i="245"/>
  <c r="AE26" i="245" s="1"/>
  <c r="AI26" i="245" s="1"/>
  <c r="Y26" i="245" s="1"/>
  <c r="AB26" i="245"/>
  <c r="Z26" i="245"/>
  <c r="X26" i="245"/>
  <c r="Q26" i="245"/>
  <c r="P26" i="245"/>
  <c r="I26" i="245"/>
  <c r="H26" i="245"/>
  <c r="E26" i="245"/>
  <c r="AD25" i="245"/>
  <c r="AC25" i="245"/>
  <c r="AB25" i="245"/>
  <c r="AE25" i="245" s="1"/>
  <c r="AI25" i="245" s="1"/>
  <c r="Y25" i="245" s="1"/>
  <c r="Z25" i="245"/>
  <c r="X25" i="245"/>
  <c r="Q25" i="245"/>
  <c r="P25" i="245"/>
  <c r="H25" i="245"/>
  <c r="E25" i="245"/>
  <c r="I25" i="245" s="1"/>
  <c r="AD24" i="245"/>
  <c r="AC24" i="245"/>
  <c r="AB24" i="245"/>
  <c r="AE24" i="245" s="1"/>
  <c r="AI24" i="245" s="1"/>
  <c r="Y24" i="245" s="1"/>
  <c r="Z24" i="245"/>
  <c r="X24" i="245"/>
  <c r="Q24" i="245"/>
  <c r="P24" i="245"/>
  <c r="H24" i="245"/>
  <c r="E24" i="245"/>
  <c r="I24" i="245" s="1"/>
  <c r="AD23" i="245"/>
  <c r="AE23" i="245" s="1"/>
  <c r="AI23" i="245" s="1"/>
  <c r="Y23" i="245" s="1"/>
  <c r="AC23" i="245"/>
  <c r="AB23" i="245"/>
  <c r="Z23" i="245"/>
  <c r="X23" i="245"/>
  <c r="Q23" i="245"/>
  <c r="P23" i="245"/>
  <c r="H23" i="245"/>
  <c r="E23" i="245"/>
  <c r="I23" i="245" s="1"/>
  <c r="AD22" i="245"/>
  <c r="AC22" i="245"/>
  <c r="AB22" i="245"/>
  <c r="AE22" i="245" s="1"/>
  <c r="AI22" i="245" s="1"/>
  <c r="Y22" i="245" s="1"/>
  <c r="Z22" i="245"/>
  <c r="X22" i="245"/>
  <c r="Q22" i="245"/>
  <c r="P22" i="245"/>
  <c r="I22" i="245"/>
  <c r="H22" i="245"/>
  <c r="E22" i="245"/>
  <c r="AD21" i="245"/>
  <c r="AE21" i="245" s="1"/>
  <c r="AI21" i="245" s="1"/>
  <c r="Y21" i="245" s="1"/>
  <c r="AC21" i="245"/>
  <c r="AB21" i="245"/>
  <c r="Z21" i="245"/>
  <c r="X21" i="245"/>
  <c r="Q21" i="245"/>
  <c r="P21" i="245"/>
  <c r="H21" i="245"/>
  <c r="E21" i="245"/>
  <c r="I21" i="245" s="1"/>
  <c r="AD20" i="245"/>
  <c r="AC20" i="245"/>
  <c r="AE20" i="245" s="1"/>
  <c r="AI20" i="245" s="1"/>
  <c r="Y20" i="245" s="1"/>
  <c r="AB20" i="245"/>
  <c r="Z20" i="245"/>
  <c r="X20" i="245"/>
  <c r="Q20" i="245"/>
  <c r="P20" i="245"/>
  <c r="I20" i="245"/>
  <c r="H20" i="245"/>
  <c r="E20" i="245"/>
  <c r="AD19" i="245"/>
  <c r="AC19" i="245"/>
  <c r="AB19" i="245"/>
  <c r="AE19" i="245" s="1"/>
  <c r="AI19" i="245" s="1"/>
  <c r="Y19" i="245" s="1"/>
  <c r="Z19" i="245"/>
  <c r="X19" i="245"/>
  <c r="Q19" i="245"/>
  <c r="P19" i="245"/>
  <c r="H19" i="245"/>
  <c r="E19" i="245"/>
  <c r="I19" i="245" s="1"/>
  <c r="AE18" i="245"/>
  <c r="AI18" i="245" s="1"/>
  <c r="Y18" i="245" s="1"/>
  <c r="AD18" i="245"/>
  <c r="AC18" i="245"/>
  <c r="AB18" i="245"/>
  <c r="Z18" i="245"/>
  <c r="X18" i="245"/>
  <c r="Q18" i="245"/>
  <c r="P18" i="245"/>
  <c r="I18" i="245"/>
  <c r="H18" i="245"/>
  <c r="E18" i="245"/>
  <c r="AD17" i="245"/>
  <c r="AC17" i="245"/>
  <c r="AB17" i="245"/>
  <c r="AE17" i="245" s="1"/>
  <c r="AI17" i="245" s="1"/>
  <c r="Y17" i="245" s="1"/>
  <c r="Z17" i="245"/>
  <c r="X17" i="245"/>
  <c r="Q17" i="245"/>
  <c r="P17" i="245"/>
  <c r="H17" i="245"/>
  <c r="E17" i="245"/>
  <c r="I17" i="245" s="1"/>
  <c r="AE16" i="245"/>
  <c r="AI16" i="245" s="1"/>
  <c r="Y16" i="245" s="1"/>
  <c r="AD16" i="245"/>
  <c r="AC16" i="245"/>
  <c r="AB16" i="245"/>
  <c r="Z16" i="245"/>
  <c r="X16" i="245"/>
  <c r="Q16" i="245"/>
  <c r="P16" i="245"/>
  <c r="I16" i="245"/>
  <c r="E16" i="245"/>
  <c r="AD15" i="245"/>
  <c r="AC15" i="245"/>
  <c r="AE15" i="245" s="1"/>
  <c r="AI15" i="245" s="1"/>
  <c r="Y15" i="245" s="1"/>
  <c r="AB15" i="245"/>
  <c r="Z15" i="245"/>
  <c r="X15" i="245"/>
  <c r="Q15" i="245"/>
  <c r="P15" i="245"/>
  <c r="E15" i="245"/>
  <c r="I15" i="245" s="1"/>
  <c r="AD14" i="245"/>
  <c r="AC14" i="245"/>
  <c r="AB14" i="245"/>
  <c r="AE14" i="245" s="1"/>
  <c r="AI14" i="245" s="1"/>
  <c r="Y14" i="245" s="1"/>
  <c r="Z14" i="245"/>
  <c r="X14" i="245"/>
  <c r="Q14" i="245"/>
  <c r="O75" i="245" s="1"/>
  <c r="P14" i="245"/>
  <c r="H14" i="245"/>
  <c r="E14" i="245"/>
  <c r="I14" i="245" s="1"/>
  <c r="AD13" i="245"/>
  <c r="AE13" i="245" s="1"/>
  <c r="AI13" i="245" s="1"/>
  <c r="Y13" i="245" s="1"/>
  <c r="AC13" i="245"/>
  <c r="AB13" i="245"/>
  <c r="Z13" i="245"/>
  <c r="X13" i="245"/>
  <c r="P13" i="245"/>
  <c r="H13" i="245"/>
  <c r="E13" i="245"/>
  <c r="I13" i="245" s="1"/>
  <c r="AD12" i="245"/>
  <c r="AC12" i="245"/>
  <c r="AB12" i="245"/>
  <c r="AE12" i="245" s="1"/>
  <c r="AI12" i="245" s="1"/>
  <c r="Y12" i="245" s="1"/>
  <c r="Z12" i="245"/>
  <c r="X12" i="245"/>
  <c r="Q12" i="245"/>
  <c r="O73" i="245" s="1"/>
  <c r="P12" i="245"/>
  <c r="I12" i="245"/>
  <c r="H12" i="245"/>
  <c r="E12" i="245"/>
  <c r="M79" i="244"/>
  <c r="P71" i="244"/>
  <c r="H71" i="244"/>
  <c r="Q70" i="244"/>
  <c r="P70" i="244"/>
  <c r="I70" i="244"/>
  <c r="H70" i="244"/>
  <c r="E70" i="244"/>
  <c r="Q69" i="244"/>
  <c r="P69" i="244"/>
  <c r="H69" i="244"/>
  <c r="E69" i="244"/>
  <c r="I69" i="244" s="1"/>
  <c r="AD68" i="244"/>
  <c r="AC68" i="244"/>
  <c r="AB68" i="244"/>
  <c r="AE68" i="244" s="1"/>
  <c r="AI68" i="244" s="1"/>
  <c r="Y68" i="244" s="1"/>
  <c r="Z68" i="244"/>
  <c r="X68" i="244"/>
  <c r="Q68" i="244"/>
  <c r="P68" i="244"/>
  <c r="H68" i="244"/>
  <c r="E68" i="244"/>
  <c r="I68" i="244" s="1"/>
  <c r="AD67" i="244"/>
  <c r="AC67" i="244"/>
  <c r="AB67" i="244"/>
  <c r="AE67" i="244" s="1"/>
  <c r="AI67" i="244" s="1"/>
  <c r="Y67" i="244" s="1"/>
  <c r="Z67" i="244"/>
  <c r="X67" i="244"/>
  <c r="Q67" i="244"/>
  <c r="P67" i="244"/>
  <c r="H67" i="244"/>
  <c r="E67" i="244"/>
  <c r="I67" i="244" s="1"/>
  <c r="AD66" i="244"/>
  <c r="AE66" i="244" s="1"/>
  <c r="AI66" i="244" s="1"/>
  <c r="Y66" i="244" s="1"/>
  <c r="AC66" i="244"/>
  <c r="AB66" i="244"/>
  <c r="Z66" i="244"/>
  <c r="X66" i="244"/>
  <c r="Q66" i="244"/>
  <c r="P66" i="244"/>
  <c r="I66" i="244"/>
  <c r="H66" i="244"/>
  <c r="E66" i="244"/>
  <c r="AD65" i="244"/>
  <c r="AC65" i="244"/>
  <c r="AB65" i="244"/>
  <c r="AE65" i="244" s="1"/>
  <c r="AI65" i="244" s="1"/>
  <c r="Y65" i="244" s="1"/>
  <c r="Z65" i="244"/>
  <c r="X65" i="244"/>
  <c r="Q65" i="244"/>
  <c r="P65" i="244"/>
  <c r="I65" i="244"/>
  <c r="H65" i="244"/>
  <c r="E65" i="244"/>
  <c r="AD64" i="244"/>
  <c r="AC64" i="244"/>
  <c r="AB64" i="244"/>
  <c r="AE64" i="244" s="1"/>
  <c r="AI64" i="244" s="1"/>
  <c r="Y64" i="244" s="1"/>
  <c r="Z64" i="244"/>
  <c r="X64" i="244"/>
  <c r="Q64" i="244"/>
  <c r="P64" i="244"/>
  <c r="I64" i="244"/>
  <c r="H64" i="244"/>
  <c r="E64" i="244"/>
  <c r="AD63" i="244"/>
  <c r="AC63" i="244"/>
  <c r="AE63" i="244" s="1"/>
  <c r="AI63" i="244" s="1"/>
  <c r="Y63" i="244" s="1"/>
  <c r="AB63" i="244"/>
  <c r="Z63" i="244"/>
  <c r="X63" i="244"/>
  <c r="Q63" i="244"/>
  <c r="P63" i="244"/>
  <c r="H63" i="244"/>
  <c r="E63" i="244"/>
  <c r="I63" i="244" s="1"/>
  <c r="AE62" i="244"/>
  <c r="AI62" i="244" s="1"/>
  <c r="Y62" i="244" s="1"/>
  <c r="AD62" i="244"/>
  <c r="AC62" i="244"/>
  <c r="AB62" i="244"/>
  <c r="Z62" i="244"/>
  <c r="X62" i="244"/>
  <c r="Q62" i="244"/>
  <c r="P62" i="244"/>
  <c r="I62" i="244"/>
  <c r="H62" i="244"/>
  <c r="E62" i="244"/>
  <c r="AE61" i="244"/>
  <c r="AI61" i="244" s="1"/>
  <c r="Y61" i="244" s="1"/>
  <c r="AC61" i="244"/>
  <c r="AB61" i="244"/>
  <c r="X61" i="244"/>
  <c r="Q61" i="244"/>
  <c r="P61" i="244"/>
  <c r="H61" i="244"/>
  <c r="E61" i="244"/>
  <c r="I61" i="244" s="1"/>
  <c r="AI60" i="244"/>
  <c r="AE60" i="244"/>
  <c r="Y60" i="244"/>
  <c r="X60" i="244"/>
  <c r="Q60" i="244"/>
  <c r="P60" i="244"/>
  <c r="I60" i="244"/>
  <c r="H60" i="244"/>
  <c r="E60" i="244"/>
  <c r="AC59" i="244"/>
  <c r="AE59" i="244" s="1"/>
  <c r="AI59" i="244" s="1"/>
  <c r="Y59" i="244" s="1"/>
  <c r="AB59" i="244"/>
  <c r="X59" i="244"/>
  <c r="Q59" i="244"/>
  <c r="P59" i="244"/>
  <c r="H59" i="244"/>
  <c r="E59" i="244"/>
  <c r="I59" i="244" s="1"/>
  <c r="AC58" i="244"/>
  <c r="AE58" i="244" s="1"/>
  <c r="AI58" i="244" s="1"/>
  <c r="Y58" i="244" s="1"/>
  <c r="AB58" i="244"/>
  <c r="X58" i="244"/>
  <c r="Q58" i="244"/>
  <c r="P58" i="244"/>
  <c r="I58" i="244"/>
  <c r="E58" i="244"/>
  <c r="AC57" i="244"/>
  <c r="AE57" i="244" s="1"/>
  <c r="AI57" i="244" s="1"/>
  <c r="Y57" i="244" s="1"/>
  <c r="AB57" i="244"/>
  <c r="X57" i="244"/>
  <c r="Q57" i="244"/>
  <c r="P57" i="244"/>
  <c r="I57" i="244"/>
  <c r="H57" i="244"/>
  <c r="E57" i="244"/>
  <c r="AD56" i="244"/>
  <c r="AE56" i="244" s="1"/>
  <c r="AI56" i="244" s="1"/>
  <c r="Y56" i="244" s="1"/>
  <c r="AC56" i="244"/>
  <c r="AB56" i="244"/>
  <c r="Z56" i="244"/>
  <c r="X56" i="244"/>
  <c r="Q56" i="244"/>
  <c r="P56" i="244"/>
  <c r="I56" i="244"/>
  <c r="H56" i="244"/>
  <c r="E56" i="244"/>
  <c r="AI55" i="244"/>
  <c r="Y55" i="244" s="1"/>
  <c r="AE55" i="244"/>
  <c r="AD55" i="244"/>
  <c r="AC55" i="244"/>
  <c r="AB55" i="244"/>
  <c r="Z55" i="244"/>
  <c r="X55" i="244"/>
  <c r="Q55" i="244"/>
  <c r="P55" i="244"/>
  <c r="H55" i="244"/>
  <c r="E55" i="244"/>
  <c r="I55" i="244" s="1"/>
  <c r="AD54" i="244"/>
  <c r="AC54" i="244"/>
  <c r="AB54" i="244"/>
  <c r="AE54" i="244" s="1"/>
  <c r="AI54" i="244" s="1"/>
  <c r="Y54" i="244" s="1"/>
  <c r="Z54" i="244"/>
  <c r="X54" i="244"/>
  <c r="Q54" i="244"/>
  <c r="P54" i="244"/>
  <c r="H54" i="244"/>
  <c r="E54" i="244"/>
  <c r="I54" i="244" s="1"/>
  <c r="AD53" i="244"/>
  <c r="AC53" i="244"/>
  <c r="AB53" i="244"/>
  <c r="AE53" i="244" s="1"/>
  <c r="AI53" i="244" s="1"/>
  <c r="Y53" i="244" s="1"/>
  <c r="Z53" i="244"/>
  <c r="X53" i="244"/>
  <c r="Q53" i="244"/>
  <c r="P53" i="244"/>
  <c r="I53" i="244"/>
  <c r="H53" i="244"/>
  <c r="E53" i="244"/>
  <c r="AE52" i="244"/>
  <c r="AI52" i="244" s="1"/>
  <c r="Y52" i="244" s="1"/>
  <c r="Z52" i="244"/>
  <c r="X52" i="244"/>
  <c r="Q52" i="244"/>
  <c r="P52" i="244"/>
  <c r="H52" i="244"/>
  <c r="E52" i="244"/>
  <c r="I52" i="244" s="1"/>
  <c r="AD51" i="244"/>
  <c r="AC51" i="244"/>
  <c r="AB51" i="244"/>
  <c r="AE51" i="244" s="1"/>
  <c r="AI51" i="244" s="1"/>
  <c r="Y51" i="244" s="1"/>
  <c r="Z51" i="244"/>
  <c r="X51" i="244"/>
  <c r="Q51" i="244"/>
  <c r="P51" i="244"/>
  <c r="H51" i="244"/>
  <c r="E51" i="244"/>
  <c r="I51" i="244" s="1"/>
  <c r="AD50" i="244"/>
  <c r="AE50" i="244" s="1"/>
  <c r="AI50" i="244" s="1"/>
  <c r="Y50" i="244" s="1"/>
  <c r="AC50" i="244"/>
  <c r="AB50" i="244"/>
  <c r="Z50" i="244"/>
  <c r="X50" i="244"/>
  <c r="Q50" i="244"/>
  <c r="P50" i="244"/>
  <c r="I50" i="244"/>
  <c r="H50" i="244"/>
  <c r="E50" i="244"/>
  <c r="AE49" i="244"/>
  <c r="AI49" i="244" s="1"/>
  <c r="Y49" i="244" s="1"/>
  <c r="Z49" i="244"/>
  <c r="X49" i="244"/>
  <c r="Q49" i="244"/>
  <c r="P49" i="244"/>
  <c r="I49" i="244"/>
  <c r="H49" i="244"/>
  <c r="E49" i="244"/>
  <c r="AI48" i="244"/>
  <c r="Y48" i="244" s="1"/>
  <c r="AE48" i="244"/>
  <c r="Z48" i="244"/>
  <c r="X48" i="244"/>
  <c r="Q48" i="244"/>
  <c r="P48" i="244"/>
  <c r="I48" i="244"/>
  <c r="H48" i="244"/>
  <c r="E48" i="244"/>
  <c r="AE47" i="244"/>
  <c r="AI47" i="244" s="1"/>
  <c r="Y47" i="244" s="1"/>
  <c r="Z47" i="244"/>
  <c r="X47" i="244"/>
  <c r="Q47" i="244"/>
  <c r="P47" i="244"/>
  <c r="H47" i="244"/>
  <c r="E47" i="244"/>
  <c r="I47" i="244" s="1"/>
  <c r="AD46" i="244"/>
  <c r="AC46" i="244"/>
  <c r="AB46" i="244"/>
  <c r="AE46" i="244" s="1"/>
  <c r="AI46" i="244" s="1"/>
  <c r="Y46" i="244" s="1"/>
  <c r="Z46" i="244"/>
  <c r="X46" i="244"/>
  <c r="Q46" i="244"/>
  <c r="P46" i="244"/>
  <c r="I46" i="244"/>
  <c r="H46" i="244"/>
  <c r="E46" i="244"/>
  <c r="AD45" i="244"/>
  <c r="AC45" i="244"/>
  <c r="AB45" i="244"/>
  <c r="AE45" i="244" s="1"/>
  <c r="AI45" i="244" s="1"/>
  <c r="Y45" i="244" s="1"/>
  <c r="Z45" i="244"/>
  <c r="X45" i="244"/>
  <c r="Q45" i="244"/>
  <c r="P45" i="244"/>
  <c r="I45" i="244"/>
  <c r="H45" i="244"/>
  <c r="E45" i="244"/>
  <c r="AD44" i="244"/>
  <c r="AE44" i="244" s="1"/>
  <c r="AI44" i="244" s="1"/>
  <c r="Y44" i="244" s="1"/>
  <c r="AC44" i="244"/>
  <c r="AB44" i="244"/>
  <c r="Z44" i="244"/>
  <c r="X44" i="244"/>
  <c r="Q44" i="244"/>
  <c r="P44" i="244"/>
  <c r="I44" i="244"/>
  <c r="H44" i="244"/>
  <c r="E44" i="244"/>
  <c r="AI43" i="244"/>
  <c r="Y43" i="244" s="1"/>
  <c r="AE43" i="244"/>
  <c r="AD43" i="244"/>
  <c r="AC43" i="244"/>
  <c r="AB43" i="244"/>
  <c r="Z43" i="244"/>
  <c r="X43" i="244"/>
  <c r="Q43" i="244"/>
  <c r="P43" i="244"/>
  <c r="H43" i="244"/>
  <c r="E43" i="244"/>
  <c r="I43" i="244" s="1"/>
  <c r="AD42" i="244"/>
  <c r="AC42" i="244"/>
  <c r="AB42" i="244"/>
  <c r="AE42" i="244" s="1"/>
  <c r="AI42" i="244" s="1"/>
  <c r="Y42" i="244" s="1"/>
  <c r="Z42" i="244"/>
  <c r="X42" i="244"/>
  <c r="Q42" i="244"/>
  <c r="P42" i="244"/>
  <c r="H42" i="244"/>
  <c r="E42" i="244"/>
  <c r="I42" i="244" s="1"/>
  <c r="AD41" i="244"/>
  <c r="AC41" i="244"/>
  <c r="AB41" i="244"/>
  <c r="AE41" i="244" s="1"/>
  <c r="AI41" i="244" s="1"/>
  <c r="Y41" i="244" s="1"/>
  <c r="Z41" i="244"/>
  <c r="X41" i="244"/>
  <c r="Q41" i="244"/>
  <c r="P41" i="244"/>
  <c r="I41" i="244"/>
  <c r="H41" i="244"/>
  <c r="E41" i="244"/>
  <c r="AE40" i="244"/>
  <c r="AI40" i="244" s="1"/>
  <c r="Y40" i="244" s="1"/>
  <c r="AD40" i="244"/>
  <c r="AC40" i="244"/>
  <c r="AB40" i="244"/>
  <c r="Z40" i="244"/>
  <c r="X40" i="244"/>
  <c r="Q40" i="244"/>
  <c r="P40" i="244"/>
  <c r="I40" i="244"/>
  <c r="H40" i="244"/>
  <c r="E40" i="244"/>
  <c r="AE39" i="244"/>
  <c r="AI39" i="244" s="1"/>
  <c r="Y39" i="244" s="1"/>
  <c r="AD39" i="244"/>
  <c r="AC39" i="244"/>
  <c r="AB39" i="244"/>
  <c r="Z39" i="244"/>
  <c r="X39" i="244"/>
  <c r="Q39" i="244"/>
  <c r="P39" i="244"/>
  <c r="H39" i="244"/>
  <c r="E39" i="244"/>
  <c r="I39" i="244" s="1"/>
  <c r="AD38" i="244"/>
  <c r="AC38" i="244"/>
  <c r="AB38" i="244"/>
  <c r="AE38" i="244" s="1"/>
  <c r="AI38" i="244" s="1"/>
  <c r="Y38" i="244" s="1"/>
  <c r="Z38" i="244"/>
  <c r="X38" i="244"/>
  <c r="Q38" i="244"/>
  <c r="P38" i="244"/>
  <c r="H38" i="244"/>
  <c r="E38" i="244"/>
  <c r="I38" i="244" s="1"/>
  <c r="AD37" i="244"/>
  <c r="AE37" i="244" s="1"/>
  <c r="AI37" i="244" s="1"/>
  <c r="Y37" i="244" s="1"/>
  <c r="AC37" i="244"/>
  <c r="AB37" i="244"/>
  <c r="Z37" i="244"/>
  <c r="X37" i="244"/>
  <c r="Q37" i="244"/>
  <c r="P37" i="244"/>
  <c r="I37" i="244"/>
  <c r="H37" i="244"/>
  <c r="E37" i="244"/>
  <c r="AD36" i="244"/>
  <c r="AC36" i="244"/>
  <c r="AB36" i="244"/>
  <c r="AE36" i="244" s="1"/>
  <c r="AI36" i="244" s="1"/>
  <c r="Y36" i="244" s="1"/>
  <c r="Z36" i="244"/>
  <c r="X36" i="244"/>
  <c r="Q36" i="244"/>
  <c r="P36" i="244"/>
  <c r="I36" i="244"/>
  <c r="H36" i="244"/>
  <c r="E36" i="244"/>
  <c r="AD35" i="244"/>
  <c r="AC35" i="244"/>
  <c r="AB35" i="244"/>
  <c r="AE35" i="244" s="1"/>
  <c r="AI35" i="244" s="1"/>
  <c r="Y35" i="244" s="1"/>
  <c r="Z35" i="244"/>
  <c r="X35" i="244"/>
  <c r="Q35" i="244"/>
  <c r="P35" i="244"/>
  <c r="I35" i="244"/>
  <c r="H35" i="244"/>
  <c r="E35" i="244"/>
  <c r="AD34" i="244"/>
  <c r="AC34" i="244"/>
  <c r="AE34" i="244" s="1"/>
  <c r="AI34" i="244" s="1"/>
  <c r="Y34" i="244" s="1"/>
  <c r="AB34" i="244"/>
  <c r="Z34" i="244"/>
  <c r="X34" i="244"/>
  <c r="Q34" i="244"/>
  <c r="P34" i="244"/>
  <c r="I34" i="244"/>
  <c r="H34" i="244"/>
  <c r="E34" i="244"/>
  <c r="AE33" i="244"/>
  <c r="AI33" i="244" s="1"/>
  <c r="Y33" i="244" s="1"/>
  <c r="AD33" i="244"/>
  <c r="AC33" i="244"/>
  <c r="AB33" i="244"/>
  <c r="Z33" i="244"/>
  <c r="X33" i="244"/>
  <c r="Q33" i="244"/>
  <c r="P33" i="244"/>
  <c r="I33" i="244"/>
  <c r="H33" i="244"/>
  <c r="E33" i="244"/>
  <c r="AE32" i="244"/>
  <c r="AI32" i="244" s="1"/>
  <c r="Y32" i="244" s="1"/>
  <c r="AD32" i="244"/>
  <c r="AC32" i="244"/>
  <c r="AB32" i="244"/>
  <c r="Z32" i="244"/>
  <c r="X32" i="244"/>
  <c r="Q32" i="244"/>
  <c r="P32" i="244"/>
  <c r="H32" i="244"/>
  <c r="E32" i="244"/>
  <c r="I32" i="244" s="1"/>
  <c r="AE31" i="244"/>
  <c r="AI31" i="244" s="1"/>
  <c r="Y31" i="244" s="1"/>
  <c r="Z31" i="244"/>
  <c r="X31" i="244"/>
  <c r="Q31" i="244"/>
  <c r="P31" i="244"/>
  <c r="I31" i="244"/>
  <c r="H31" i="244"/>
  <c r="E31" i="244"/>
  <c r="AD30" i="244"/>
  <c r="AC30" i="244"/>
  <c r="AB30" i="244"/>
  <c r="AE30" i="244" s="1"/>
  <c r="AI30" i="244" s="1"/>
  <c r="Y30" i="244" s="1"/>
  <c r="Z30" i="244"/>
  <c r="X30" i="244"/>
  <c r="Q30" i="244"/>
  <c r="P30" i="244"/>
  <c r="I30" i="244"/>
  <c r="H30" i="244"/>
  <c r="E30" i="244"/>
  <c r="AD29" i="244"/>
  <c r="AE29" i="244" s="1"/>
  <c r="AI29" i="244" s="1"/>
  <c r="Y29" i="244" s="1"/>
  <c r="AC29" i="244"/>
  <c r="AB29" i="244"/>
  <c r="Z29" i="244"/>
  <c r="X29" i="244"/>
  <c r="Q29" i="244"/>
  <c r="P29" i="244"/>
  <c r="I29" i="244"/>
  <c r="H29" i="244"/>
  <c r="E29" i="244"/>
  <c r="AI28" i="244"/>
  <c r="Y28" i="244" s="1"/>
  <c r="AE28" i="244"/>
  <c r="AD28" i="244"/>
  <c r="AC28" i="244"/>
  <c r="AB28" i="244"/>
  <c r="Z28" i="244"/>
  <c r="X28" i="244"/>
  <c r="Q28" i="244"/>
  <c r="P28" i="244"/>
  <c r="H28" i="244"/>
  <c r="E28" i="244"/>
  <c r="I28" i="244" s="1"/>
  <c r="AD27" i="244"/>
  <c r="AC27" i="244"/>
  <c r="AB27" i="244"/>
  <c r="AE27" i="244" s="1"/>
  <c r="AI27" i="244" s="1"/>
  <c r="Y27" i="244" s="1"/>
  <c r="Z27" i="244"/>
  <c r="X27" i="244"/>
  <c r="Q27" i="244"/>
  <c r="P27" i="244"/>
  <c r="H27" i="244"/>
  <c r="E27" i="244"/>
  <c r="I27" i="244" s="1"/>
  <c r="AD26" i="244"/>
  <c r="AC26" i="244"/>
  <c r="AB26" i="244"/>
  <c r="AE26" i="244" s="1"/>
  <c r="AI26" i="244" s="1"/>
  <c r="Y26" i="244" s="1"/>
  <c r="Z26" i="244"/>
  <c r="X26" i="244"/>
  <c r="Q26" i="244"/>
  <c r="P26" i="244"/>
  <c r="I26" i="244"/>
  <c r="H26" i="244"/>
  <c r="E26" i="244"/>
  <c r="AE25" i="244"/>
  <c r="AI25" i="244" s="1"/>
  <c r="Y25" i="244" s="1"/>
  <c r="AD25" i="244"/>
  <c r="AC25" i="244"/>
  <c r="AB25" i="244"/>
  <c r="Z25" i="244"/>
  <c r="X25" i="244"/>
  <c r="Q25" i="244"/>
  <c r="P25" i="244"/>
  <c r="I25" i="244"/>
  <c r="H25" i="244"/>
  <c r="E25" i="244"/>
  <c r="AE24" i="244"/>
  <c r="AI24" i="244" s="1"/>
  <c r="Y24" i="244" s="1"/>
  <c r="AD24" i="244"/>
  <c r="AC24" i="244"/>
  <c r="AB24" i="244"/>
  <c r="Z24" i="244"/>
  <c r="X24" i="244"/>
  <c r="Q24" i="244"/>
  <c r="P24" i="244"/>
  <c r="H24" i="244"/>
  <c r="E24" i="244"/>
  <c r="I24" i="244" s="1"/>
  <c r="AD23" i="244"/>
  <c r="AC23" i="244"/>
  <c r="AB23" i="244"/>
  <c r="AE23" i="244" s="1"/>
  <c r="AI23" i="244" s="1"/>
  <c r="Y23" i="244" s="1"/>
  <c r="Z23" i="244"/>
  <c r="X23" i="244"/>
  <c r="Q23" i="244"/>
  <c r="P23" i="244"/>
  <c r="H23" i="244"/>
  <c r="E23" i="244"/>
  <c r="I23" i="244" s="1"/>
  <c r="AD22" i="244"/>
  <c r="AC22" i="244"/>
  <c r="AE22" i="244" s="1"/>
  <c r="AI22" i="244" s="1"/>
  <c r="Y22" i="244" s="1"/>
  <c r="AB22" i="244"/>
  <c r="Z22" i="244"/>
  <c r="X22" i="244"/>
  <c r="Q22" i="244"/>
  <c r="P22" i="244"/>
  <c r="I22" i="244"/>
  <c r="H22" i="244"/>
  <c r="E22" i="244"/>
  <c r="AD21" i="244"/>
  <c r="AC21" i="244"/>
  <c r="AB21" i="244"/>
  <c r="AE21" i="244" s="1"/>
  <c r="AI21" i="244" s="1"/>
  <c r="Y21" i="244" s="1"/>
  <c r="Z21" i="244"/>
  <c r="X21" i="244"/>
  <c r="Q21" i="244"/>
  <c r="P21" i="244"/>
  <c r="I21" i="244"/>
  <c r="H21" i="244"/>
  <c r="E21" i="244"/>
  <c r="AD20" i="244"/>
  <c r="AC20" i="244"/>
  <c r="AB20" i="244"/>
  <c r="AE20" i="244" s="1"/>
  <c r="AI20" i="244" s="1"/>
  <c r="Y20" i="244" s="1"/>
  <c r="Z20" i="244"/>
  <c r="X20" i="244"/>
  <c r="Q20" i="244"/>
  <c r="P20" i="244"/>
  <c r="I20" i="244"/>
  <c r="H20" i="244"/>
  <c r="E20" i="244"/>
  <c r="AD19" i="244"/>
  <c r="AC19" i="244"/>
  <c r="AE19" i="244" s="1"/>
  <c r="AI19" i="244" s="1"/>
  <c r="Y19" i="244" s="1"/>
  <c r="AB19" i="244"/>
  <c r="Z19" i="244"/>
  <c r="X19" i="244"/>
  <c r="Q19" i="244"/>
  <c r="P19" i="244"/>
  <c r="H19" i="244"/>
  <c r="E19" i="244"/>
  <c r="I19" i="244" s="1"/>
  <c r="AE18" i="244"/>
  <c r="AI18" i="244" s="1"/>
  <c r="Y18" i="244" s="1"/>
  <c r="AD18" i="244"/>
  <c r="AC18" i="244"/>
  <c r="AB18" i="244"/>
  <c r="Z18" i="244"/>
  <c r="X18" i="244"/>
  <c r="Q18" i="244"/>
  <c r="P18" i="244"/>
  <c r="I18" i="244"/>
  <c r="H18" i="244"/>
  <c r="E18" i="244"/>
  <c r="AE17" i="244"/>
  <c r="AI17" i="244" s="1"/>
  <c r="Y17" i="244" s="1"/>
  <c r="AD17" i="244"/>
  <c r="AC17" i="244"/>
  <c r="AB17" i="244"/>
  <c r="Z17" i="244"/>
  <c r="X17" i="244"/>
  <c r="Q17" i="244"/>
  <c r="P17" i="244"/>
  <c r="H17" i="244"/>
  <c r="E17" i="244"/>
  <c r="I17" i="244" s="1"/>
  <c r="AD16" i="244"/>
  <c r="AC16" i="244"/>
  <c r="AB16" i="244"/>
  <c r="AE16" i="244" s="1"/>
  <c r="AI16" i="244" s="1"/>
  <c r="Y16" i="244" s="1"/>
  <c r="Z16" i="244"/>
  <c r="X16" i="244"/>
  <c r="Q16" i="244"/>
  <c r="P16" i="244"/>
  <c r="I16" i="244"/>
  <c r="E16" i="244"/>
  <c r="AD15" i="244"/>
  <c r="AC15" i="244"/>
  <c r="AB15" i="244"/>
  <c r="AE15" i="244" s="1"/>
  <c r="AI15" i="244" s="1"/>
  <c r="Y15" i="244" s="1"/>
  <c r="Z15" i="244"/>
  <c r="X15" i="244"/>
  <c r="Q15" i="244"/>
  <c r="P15" i="244"/>
  <c r="E15" i="244"/>
  <c r="I15" i="244" s="1"/>
  <c r="AE14" i="244"/>
  <c r="AI14" i="244" s="1"/>
  <c r="Y14" i="244" s="1"/>
  <c r="AD14" i="244"/>
  <c r="AC14" i="244"/>
  <c r="AB14" i="244"/>
  <c r="Z14" i="244"/>
  <c r="X14" i="244"/>
  <c r="Q14" i="244"/>
  <c r="O75" i="244" s="1"/>
  <c r="P14" i="244"/>
  <c r="H14" i="244"/>
  <c r="E14" i="244"/>
  <c r="I14" i="244" s="1"/>
  <c r="AD13" i="244"/>
  <c r="AC13" i="244"/>
  <c r="AB13" i="244"/>
  <c r="AE13" i="244" s="1"/>
  <c r="AI13" i="244" s="1"/>
  <c r="Y13" i="244" s="1"/>
  <c r="Z13" i="244"/>
  <c r="X13" i="244"/>
  <c r="Q13" i="244"/>
  <c r="P13" i="244"/>
  <c r="H13" i="244"/>
  <c r="E13" i="244"/>
  <c r="I13" i="244" s="1"/>
  <c r="AD12" i="244"/>
  <c r="AC12" i="244"/>
  <c r="AE12" i="244" s="1"/>
  <c r="AI12" i="244" s="1"/>
  <c r="Y12" i="244" s="1"/>
  <c r="AB12" i="244"/>
  <c r="Z12" i="244"/>
  <c r="T75" i="244" s="1"/>
  <c r="X12" i="244"/>
  <c r="T77" i="244" s="1"/>
  <c r="Q12" i="244"/>
  <c r="O73" i="244" s="1"/>
  <c r="P12" i="244"/>
  <c r="I12" i="244"/>
  <c r="H12" i="244"/>
  <c r="E12" i="244"/>
  <c r="M79" i="243"/>
  <c r="P71" i="243"/>
  <c r="H71" i="243"/>
  <c r="Q70" i="243"/>
  <c r="P70" i="243"/>
  <c r="I70" i="243"/>
  <c r="H70" i="243"/>
  <c r="E70" i="243"/>
  <c r="Q69" i="243"/>
  <c r="P69" i="243"/>
  <c r="H69" i="243"/>
  <c r="E69" i="243"/>
  <c r="I69" i="243" s="1"/>
  <c r="AD68" i="243"/>
  <c r="AC68" i="243"/>
  <c r="AB68" i="243"/>
  <c r="AE68" i="243" s="1"/>
  <c r="AI68" i="243" s="1"/>
  <c r="Y68" i="243" s="1"/>
  <c r="Z68" i="243"/>
  <c r="X68" i="243"/>
  <c r="Q68" i="243"/>
  <c r="P68" i="243"/>
  <c r="H68" i="243"/>
  <c r="E68" i="243"/>
  <c r="I68" i="243" s="1"/>
  <c r="AE67" i="243"/>
  <c r="AI67" i="243" s="1"/>
  <c r="Y67" i="243" s="1"/>
  <c r="AD67" i="243"/>
  <c r="AC67" i="243"/>
  <c r="AB67" i="243"/>
  <c r="Z67" i="243"/>
  <c r="X67" i="243"/>
  <c r="Q67" i="243"/>
  <c r="P67" i="243"/>
  <c r="H67" i="243"/>
  <c r="E67" i="243"/>
  <c r="I67" i="243" s="1"/>
  <c r="AD66" i="243"/>
  <c r="AC66" i="243"/>
  <c r="AB66" i="243"/>
  <c r="AE66" i="243" s="1"/>
  <c r="AI66" i="243" s="1"/>
  <c r="Y66" i="243" s="1"/>
  <c r="Z66" i="243"/>
  <c r="X66" i="243"/>
  <c r="Q66" i="243"/>
  <c r="P66" i="243"/>
  <c r="H66" i="243"/>
  <c r="E66" i="243"/>
  <c r="I66" i="243" s="1"/>
  <c r="AD65" i="243"/>
  <c r="AE65" i="243" s="1"/>
  <c r="AI65" i="243" s="1"/>
  <c r="Y65" i="243" s="1"/>
  <c r="AC65" i="243"/>
  <c r="AB65" i="243"/>
  <c r="Z65" i="243"/>
  <c r="X65" i="243"/>
  <c r="Q65" i="243"/>
  <c r="P65" i="243"/>
  <c r="H65" i="243"/>
  <c r="E65" i="243"/>
  <c r="I65" i="243" s="1"/>
  <c r="AD64" i="243"/>
  <c r="AC64" i="243"/>
  <c r="AE64" i="243" s="1"/>
  <c r="AI64" i="243" s="1"/>
  <c r="Y64" i="243" s="1"/>
  <c r="AB64" i="243"/>
  <c r="Z64" i="243"/>
  <c r="X64" i="243"/>
  <c r="Q64" i="243"/>
  <c r="P64" i="243"/>
  <c r="I64" i="243"/>
  <c r="H64" i="243"/>
  <c r="E64" i="243"/>
  <c r="AD63" i="243"/>
  <c r="AC63" i="243"/>
  <c r="AB63" i="243"/>
  <c r="AE63" i="243" s="1"/>
  <c r="AI63" i="243" s="1"/>
  <c r="Y63" i="243" s="1"/>
  <c r="Z63" i="243"/>
  <c r="X63" i="243"/>
  <c r="Q63" i="243"/>
  <c r="P63" i="243"/>
  <c r="H63" i="243"/>
  <c r="E63" i="243"/>
  <c r="I63" i="243" s="1"/>
  <c r="AE62" i="243"/>
  <c r="AI62" i="243" s="1"/>
  <c r="Y62" i="243" s="1"/>
  <c r="AD62" i="243"/>
  <c r="AC62" i="243"/>
  <c r="AB62" i="243"/>
  <c r="Z62" i="243"/>
  <c r="X62" i="243"/>
  <c r="Q62" i="243"/>
  <c r="P62" i="243"/>
  <c r="I62" i="243"/>
  <c r="H62" i="243"/>
  <c r="E62" i="243"/>
  <c r="AC61" i="243"/>
  <c r="AB61" i="243"/>
  <c r="AE61" i="243" s="1"/>
  <c r="AI61" i="243" s="1"/>
  <c r="Y61" i="243" s="1"/>
  <c r="X61" i="243"/>
  <c r="Q61" i="243"/>
  <c r="P61" i="243"/>
  <c r="H61" i="243"/>
  <c r="E61" i="243"/>
  <c r="I61" i="243" s="1"/>
  <c r="AE60" i="243"/>
  <c r="AI60" i="243" s="1"/>
  <c r="Y60" i="243" s="1"/>
  <c r="X60" i="243"/>
  <c r="Q60" i="243"/>
  <c r="P60" i="243"/>
  <c r="H60" i="243"/>
  <c r="E60" i="243"/>
  <c r="I60" i="243" s="1"/>
  <c r="AC59" i="243"/>
  <c r="AB59" i="243"/>
  <c r="AE59" i="243" s="1"/>
  <c r="AI59" i="243" s="1"/>
  <c r="Y59" i="243" s="1"/>
  <c r="X59" i="243"/>
  <c r="Q59" i="243"/>
  <c r="P59" i="243"/>
  <c r="H59" i="243"/>
  <c r="E59" i="243"/>
  <c r="I59" i="243" s="1"/>
  <c r="AC58" i="243"/>
  <c r="AB58" i="243"/>
  <c r="AE58" i="243" s="1"/>
  <c r="AI58" i="243" s="1"/>
  <c r="Y58" i="243" s="1"/>
  <c r="X58" i="243"/>
  <c r="Q58" i="243"/>
  <c r="P58" i="243"/>
  <c r="I58" i="243"/>
  <c r="E58" i="243"/>
  <c r="AC57" i="243"/>
  <c r="AB57" i="243"/>
  <c r="AE57" i="243" s="1"/>
  <c r="AI57" i="243" s="1"/>
  <c r="Y57" i="243" s="1"/>
  <c r="X57" i="243"/>
  <c r="Q57" i="243"/>
  <c r="P57" i="243"/>
  <c r="H57" i="243"/>
  <c r="E57" i="243"/>
  <c r="I57" i="243" s="1"/>
  <c r="AD56" i="243"/>
  <c r="AC56" i="243"/>
  <c r="AB56" i="243"/>
  <c r="AE56" i="243" s="1"/>
  <c r="AI56" i="243" s="1"/>
  <c r="Y56" i="243" s="1"/>
  <c r="Z56" i="243"/>
  <c r="X56" i="243"/>
  <c r="Q56" i="243"/>
  <c r="P56" i="243"/>
  <c r="I56" i="243"/>
  <c r="H56" i="243"/>
  <c r="E56" i="243"/>
  <c r="AD55" i="243"/>
  <c r="AC55" i="243"/>
  <c r="AE55" i="243" s="1"/>
  <c r="AI55" i="243" s="1"/>
  <c r="Y55" i="243" s="1"/>
  <c r="AB55" i="243"/>
  <c r="Z55" i="243"/>
  <c r="X55" i="243"/>
  <c r="Q55" i="243"/>
  <c r="P55" i="243"/>
  <c r="I55" i="243"/>
  <c r="H55" i="243"/>
  <c r="E55" i="243"/>
  <c r="AD54" i="243"/>
  <c r="AC54" i="243"/>
  <c r="AB54" i="243"/>
  <c r="AE54" i="243" s="1"/>
  <c r="AI54" i="243" s="1"/>
  <c r="Y54" i="243" s="1"/>
  <c r="Z54" i="243"/>
  <c r="X54" i="243"/>
  <c r="Q54" i="243"/>
  <c r="P54" i="243"/>
  <c r="H54" i="243"/>
  <c r="E54" i="243"/>
  <c r="I54" i="243" s="1"/>
  <c r="AD53" i="243"/>
  <c r="AC53" i="243"/>
  <c r="AE53" i="243" s="1"/>
  <c r="AI53" i="243" s="1"/>
  <c r="Y53" i="243" s="1"/>
  <c r="AB53" i="243"/>
  <c r="Z53" i="243"/>
  <c r="X53" i="243"/>
  <c r="Q53" i="243"/>
  <c r="P53" i="243"/>
  <c r="H53" i="243"/>
  <c r="E53" i="243"/>
  <c r="I53" i="243" s="1"/>
  <c r="AE52" i="243"/>
  <c r="AI52" i="243" s="1"/>
  <c r="Y52" i="243" s="1"/>
  <c r="Z52" i="243"/>
  <c r="X52" i="243"/>
  <c r="Q52" i="243"/>
  <c r="P52" i="243"/>
  <c r="H52" i="243"/>
  <c r="E52" i="243"/>
  <c r="I52" i="243" s="1"/>
  <c r="AD51" i="243"/>
  <c r="AE51" i="243" s="1"/>
  <c r="AI51" i="243" s="1"/>
  <c r="Y51" i="243" s="1"/>
  <c r="AC51" i="243"/>
  <c r="AB51" i="243"/>
  <c r="Z51" i="243"/>
  <c r="X51" i="243"/>
  <c r="Q51" i="243"/>
  <c r="P51" i="243"/>
  <c r="H51" i="243"/>
  <c r="E51" i="243"/>
  <c r="I51" i="243" s="1"/>
  <c r="AD50" i="243"/>
  <c r="AC50" i="243"/>
  <c r="AB50" i="243"/>
  <c r="AE50" i="243" s="1"/>
  <c r="AI50" i="243" s="1"/>
  <c r="Y50" i="243" s="1"/>
  <c r="Z50" i="243"/>
  <c r="X50" i="243"/>
  <c r="Q50" i="243"/>
  <c r="P50" i="243"/>
  <c r="H50" i="243"/>
  <c r="E50" i="243"/>
  <c r="I50" i="243" s="1"/>
  <c r="AI49" i="243"/>
  <c r="Y49" i="243" s="1"/>
  <c r="AE49" i="243"/>
  <c r="Z49" i="243"/>
  <c r="X49" i="243"/>
  <c r="Q49" i="243"/>
  <c r="P49" i="243"/>
  <c r="I49" i="243"/>
  <c r="H49" i="243"/>
  <c r="E49" i="243"/>
  <c r="AI48" i="243"/>
  <c r="AE48" i="243"/>
  <c r="Z48" i="243"/>
  <c r="Y48" i="243"/>
  <c r="X48" i="243"/>
  <c r="Q48" i="243"/>
  <c r="P48" i="243"/>
  <c r="I48" i="243"/>
  <c r="H48" i="243"/>
  <c r="E48" i="243"/>
  <c r="AI47" i="243"/>
  <c r="AE47" i="243"/>
  <c r="Z47" i="243"/>
  <c r="Y47" i="243"/>
  <c r="X47" i="243"/>
  <c r="Q47" i="243"/>
  <c r="P47" i="243"/>
  <c r="H47" i="243"/>
  <c r="E47" i="243"/>
  <c r="I47" i="243" s="1"/>
  <c r="AD46" i="243"/>
  <c r="AC46" i="243"/>
  <c r="AB46" i="243"/>
  <c r="AE46" i="243" s="1"/>
  <c r="AI46" i="243" s="1"/>
  <c r="Y46" i="243" s="1"/>
  <c r="Z46" i="243"/>
  <c r="X46" i="243"/>
  <c r="Q46" i="243"/>
  <c r="P46" i="243"/>
  <c r="I46" i="243"/>
  <c r="H46" i="243"/>
  <c r="E46" i="243"/>
  <c r="AD45" i="243"/>
  <c r="AC45" i="243"/>
  <c r="AB45" i="243"/>
  <c r="AE45" i="243" s="1"/>
  <c r="AI45" i="243" s="1"/>
  <c r="Y45" i="243" s="1"/>
  <c r="Z45" i="243"/>
  <c r="X45" i="243"/>
  <c r="Q45" i="243"/>
  <c r="P45" i="243"/>
  <c r="H45" i="243"/>
  <c r="E45" i="243"/>
  <c r="I45" i="243" s="1"/>
  <c r="AD44" i="243"/>
  <c r="AC44" i="243"/>
  <c r="AB44" i="243"/>
  <c r="AE44" i="243" s="1"/>
  <c r="AI44" i="243" s="1"/>
  <c r="Y44" i="243" s="1"/>
  <c r="Z44" i="243"/>
  <c r="X44" i="243"/>
  <c r="Q44" i="243"/>
  <c r="P44" i="243"/>
  <c r="I44" i="243"/>
  <c r="H44" i="243"/>
  <c r="E44" i="243"/>
  <c r="AD43" i="243"/>
  <c r="AC43" i="243"/>
  <c r="AE43" i="243" s="1"/>
  <c r="AI43" i="243" s="1"/>
  <c r="Y43" i="243" s="1"/>
  <c r="AB43" i="243"/>
  <c r="Z43" i="243"/>
  <c r="X43" i="243"/>
  <c r="Q43" i="243"/>
  <c r="P43" i="243"/>
  <c r="I43" i="243"/>
  <c r="H43" i="243"/>
  <c r="E43" i="243"/>
  <c r="AI42" i="243"/>
  <c r="Y42" i="243" s="1"/>
  <c r="AE42" i="243"/>
  <c r="AD42" i="243"/>
  <c r="AC42" i="243"/>
  <c r="AB42" i="243"/>
  <c r="Z42" i="243"/>
  <c r="X42" i="243"/>
  <c r="Q42" i="243"/>
  <c r="P42" i="243"/>
  <c r="H42" i="243"/>
  <c r="E42" i="243"/>
  <c r="I42" i="243" s="1"/>
  <c r="AD41" i="243"/>
  <c r="AC41" i="243"/>
  <c r="AE41" i="243" s="1"/>
  <c r="AI41" i="243" s="1"/>
  <c r="Y41" i="243" s="1"/>
  <c r="AB41" i="243"/>
  <c r="Z41" i="243"/>
  <c r="X41" i="243"/>
  <c r="Q41" i="243"/>
  <c r="P41" i="243"/>
  <c r="H41" i="243"/>
  <c r="E41" i="243"/>
  <c r="I41" i="243" s="1"/>
  <c r="AD40" i="243"/>
  <c r="AC40" i="243"/>
  <c r="AB40" i="243"/>
  <c r="AE40" i="243" s="1"/>
  <c r="AI40" i="243" s="1"/>
  <c r="Y40" i="243" s="1"/>
  <c r="Z40" i="243"/>
  <c r="X40" i="243"/>
  <c r="Q40" i="243"/>
  <c r="P40" i="243"/>
  <c r="H40" i="243"/>
  <c r="E40" i="243"/>
  <c r="I40" i="243" s="1"/>
  <c r="AD39" i="243"/>
  <c r="AC39" i="243"/>
  <c r="AB39" i="243"/>
  <c r="AE39" i="243" s="1"/>
  <c r="AI39" i="243" s="1"/>
  <c r="Y39" i="243" s="1"/>
  <c r="Z39" i="243"/>
  <c r="X39" i="243"/>
  <c r="Q39" i="243"/>
  <c r="P39" i="243"/>
  <c r="I39" i="243"/>
  <c r="H39" i="243"/>
  <c r="E39" i="243"/>
  <c r="AD38" i="243"/>
  <c r="AE38" i="243" s="1"/>
  <c r="AI38" i="243" s="1"/>
  <c r="Y38" i="243" s="1"/>
  <c r="AC38" i="243"/>
  <c r="AB38" i="243"/>
  <c r="Z38" i="243"/>
  <c r="X38" i="243"/>
  <c r="Q38" i="243"/>
  <c r="P38" i="243"/>
  <c r="H38" i="243"/>
  <c r="E38" i="243"/>
  <c r="I38" i="243" s="1"/>
  <c r="AD37" i="243"/>
  <c r="AC37" i="243"/>
  <c r="AB37" i="243"/>
  <c r="AE37" i="243" s="1"/>
  <c r="AI37" i="243" s="1"/>
  <c r="Y37" i="243" s="1"/>
  <c r="Z37" i="243"/>
  <c r="X37" i="243"/>
  <c r="Q37" i="243"/>
  <c r="P37" i="243"/>
  <c r="H37" i="243"/>
  <c r="E37" i="243"/>
  <c r="I37" i="243" s="1"/>
  <c r="AD36" i="243"/>
  <c r="AE36" i="243" s="1"/>
  <c r="AI36" i="243" s="1"/>
  <c r="Y36" i="243" s="1"/>
  <c r="AC36" i="243"/>
  <c r="AB36" i="243"/>
  <c r="Z36" i="243"/>
  <c r="X36" i="243"/>
  <c r="Q36" i="243"/>
  <c r="P36" i="243"/>
  <c r="I36" i="243"/>
  <c r="H36" i="243"/>
  <c r="E36" i="243"/>
  <c r="AD35" i="243"/>
  <c r="AC35" i="243"/>
  <c r="AE35" i="243" s="1"/>
  <c r="AI35" i="243" s="1"/>
  <c r="Y35" i="243" s="1"/>
  <c r="AB35" i="243"/>
  <c r="Z35" i="243"/>
  <c r="X35" i="243"/>
  <c r="Q35" i="243"/>
  <c r="P35" i="243"/>
  <c r="I35" i="243"/>
  <c r="H35" i="243"/>
  <c r="E35" i="243"/>
  <c r="AD34" i="243"/>
  <c r="AC34" i="243"/>
  <c r="AB34" i="243"/>
  <c r="AE34" i="243" s="1"/>
  <c r="AI34" i="243" s="1"/>
  <c r="Y34" i="243" s="1"/>
  <c r="Z34" i="243"/>
  <c r="X34" i="243"/>
  <c r="Q34" i="243"/>
  <c r="P34" i="243"/>
  <c r="H34" i="243"/>
  <c r="E34" i="243"/>
  <c r="I34" i="243" s="1"/>
  <c r="AE33" i="243"/>
  <c r="AI33" i="243" s="1"/>
  <c r="Y33" i="243" s="1"/>
  <c r="AD33" i="243"/>
  <c r="AC33" i="243"/>
  <c r="AB33" i="243"/>
  <c r="Z33" i="243"/>
  <c r="X33" i="243"/>
  <c r="Q33" i="243"/>
  <c r="P33" i="243"/>
  <c r="I33" i="243"/>
  <c r="H33" i="243"/>
  <c r="E33" i="243"/>
  <c r="AD32" i="243"/>
  <c r="AC32" i="243"/>
  <c r="AB32" i="243"/>
  <c r="AE32" i="243" s="1"/>
  <c r="AI32" i="243" s="1"/>
  <c r="Y32" i="243" s="1"/>
  <c r="Z32" i="243"/>
  <c r="X32" i="243"/>
  <c r="Q32" i="243"/>
  <c r="P32" i="243"/>
  <c r="H32" i="243"/>
  <c r="E32" i="243"/>
  <c r="I32" i="243" s="1"/>
  <c r="AE31" i="243"/>
  <c r="AI31" i="243" s="1"/>
  <c r="Y31" i="243" s="1"/>
  <c r="Z31" i="243"/>
  <c r="X31" i="243"/>
  <c r="Q31" i="243"/>
  <c r="P31" i="243"/>
  <c r="I31" i="243"/>
  <c r="H31" i="243"/>
  <c r="E31" i="243"/>
  <c r="AD30" i="243"/>
  <c r="AC30" i="243"/>
  <c r="AB30" i="243"/>
  <c r="AE30" i="243" s="1"/>
  <c r="AI30" i="243" s="1"/>
  <c r="Y30" i="243" s="1"/>
  <c r="Z30" i="243"/>
  <c r="X30" i="243"/>
  <c r="Q30" i="243"/>
  <c r="P30" i="243"/>
  <c r="H30" i="243"/>
  <c r="E30" i="243"/>
  <c r="I30" i="243" s="1"/>
  <c r="AD29" i="243"/>
  <c r="AC29" i="243"/>
  <c r="AB29" i="243"/>
  <c r="AE29" i="243" s="1"/>
  <c r="AI29" i="243" s="1"/>
  <c r="Y29" i="243" s="1"/>
  <c r="Z29" i="243"/>
  <c r="X29" i="243"/>
  <c r="Q29" i="243"/>
  <c r="P29" i="243"/>
  <c r="I29" i="243"/>
  <c r="H29" i="243"/>
  <c r="E29" i="243"/>
  <c r="AD28" i="243"/>
  <c r="AC28" i="243"/>
  <c r="AE28" i="243" s="1"/>
  <c r="AI28" i="243" s="1"/>
  <c r="Y28" i="243" s="1"/>
  <c r="AB28" i="243"/>
  <c r="Z28" i="243"/>
  <c r="X28" i="243"/>
  <c r="Q28" i="243"/>
  <c r="P28" i="243"/>
  <c r="I28" i="243"/>
  <c r="H28" i="243"/>
  <c r="E28" i="243"/>
  <c r="AD27" i="243"/>
  <c r="AC27" i="243"/>
  <c r="AB27" i="243"/>
  <c r="AE27" i="243" s="1"/>
  <c r="AI27" i="243" s="1"/>
  <c r="Y27" i="243" s="1"/>
  <c r="Z27" i="243"/>
  <c r="X27" i="243"/>
  <c r="Q27" i="243"/>
  <c r="P27" i="243"/>
  <c r="H27" i="243"/>
  <c r="E27" i="243"/>
  <c r="I27" i="243" s="1"/>
  <c r="AD26" i="243"/>
  <c r="AC26" i="243"/>
  <c r="AE26" i="243" s="1"/>
  <c r="AI26" i="243" s="1"/>
  <c r="Y26" i="243" s="1"/>
  <c r="AB26" i="243"/>
  <c r="Z26" i="243"/>
  <c r="X26" i="243"/>
  <c r="Q26" i="243"/>
  <c r="P26" i="243"/>
  <c r="H26" i="243"/>
  <c r="E26" i="243"/>
  <c r="I26" i="243" s="1"/>
  <c r="AD25" i="243"/>
  <c r="AC25" i="243"/>
  <c r="AB25" i="243"/>
  <c r="AE25" i="243" s="1"/>
  <c r="AI25" i="243" s="1"/>
  <c r="Y25" i="243" s="1"/>
  <c r="Z25" i="243"/>
  <c r="X25" i="243"/>
  <c r="Q25" i="243"/>
  <c r="P25" i="243"/>
  <c r="H25" i="243"/>
  <c r="E25" i="243"/>
  <c r="I25" i="243" s="1"/>
  <c r="AD24" i="243"/>
  <c r="AC24" i="243"/>
  <c r="AB24" i="243"/>
  <c r="AE24" i="243" s="1"/>
  <c r="AI24" i="243" s="1"/>
  <c r="Y24" i="243" s="1"/>
  <c r="Z24" i="243"/>
  <c r="X24" i="243"/>
  <c r="Q24" i="243"/>
  <c r="P24" i="243"/>
  <c r="H24" i="243"/>
  <c r="E24" i="243"/>
  <c r="I24" i="243" s="1"/>
  <c r="AD23" i="243"/>
  <c r="AE23" i="243" s="1"/>
  <c r="AI23" i="243" s="1"/>
  <c r="Y23" i="243" s="1"/>
  <c r="AC23" i="243"/>
  <c r="AB23" i="243"/>
  <c r="Z23" i="243"/>
  <c r="X23" i="243"/>
  <c r="Q23" i="243"/>
  <c r="P23" i="243"/>
  <c r="H23" i="243"/>
  <c r="E23" i="243"/>
  <c r="I23" i="243" s="1"/>
  <c r="AD22" i="243"/>
  <c r="AC22" i="243"/>
  <c r="AB22" i="243"/>
  <c r="AE22" i="243" s="1"/>
  <c r="AI22" i="243" s="1"/>
  <c r="Y22" i="243" s="1"/>
  <c r="Z22" i="243"/>
  <c r="X22" i="243"/>
  <c r="Q22" i="243"/>
  <c r="P22" i="243"/>
  <c r="H22" i="243"/>
  <c r="E22" i="243"/>
  <c r="I22" i="243" s="1"/>
  <c r="AD21" i="243"/>
  <c r="AE21" i="243" s="1"/>
  <c r="AI21" i="243" s="1"/>
  <c r="Y21" i="243" s="1"/>
  <c r="AC21" i="243"/>
  <c r="AB21" i="243"/>
  <c r="Z21" i="243"/>
  <c r="X21" i="243"/>
  <c r="Q21" i="243"/>
  <c r="P21" i="243"/>
  <c r="I21" i="243"/>
  <c r="H21" i="243"/>
  <c r="E21" i="243"/>
  <c r="AD20" i="243"/>
  <c r="AC20" i="243"/>
  <c r="AE20" i="243" s="1"/>
  <c r="AI20" i="243" s="1"/>
  <c r="Y20" i="243" s="1"/>
  <c r="AB20" i="243"/>
  <c r="Z20" i="243"/>
  <c r="X20" i="243"/>
  <c r="Q20" i="243"/>
  <c r="P20" i="243"/>
  <c r="I20" i="243"/>
  <c r="H20" i="243"/>
  <c r="E20" i="243"/>
  <c r="AD19" i="243"/>
  <c r="AC19" i="243"/>
  <c r="AB19" i="243"/>
  <c r="AE19" i="243" s="1"/>
  <c r="AI19" i="243" s="1"/>
  <c r="Y19" i="243" s="1"/>
  <c r="Z19" i="243"/>
  <c r="X19" i="243"/>
  <c r="Q19" i="243"/>
  <c r="P19" i="243"/>
  <c r="H19" i="243"/>
  <c r="E19" i="243"/>
  <c r="I19" i="243" s="1"/>
  <c r="AE18" i="243"/>
  <c r="AI18" i="243" s="1"/>
  <c r="Y18" i="243" s="1"/>
  <c r="AD18" i="243"/>
  <c r="AC18" i="243"/>
  <c r="AB18" i="243"/>
  <c r="Z18" i="243"/>
  <c r="X18" i="243"/>
  <c r="Q18" i="243"/>
  <c r="P18" i="243"/>
  <c r="I18" i="243"/>
  <c r="H18" i="243"/>
  <c r="E18" i="243"/>
  <c r="AD17" i="243"/>
  <c r="AC17" i="243"/>
  <c r="AB17" i="243"/>
  <c r="AE17" i="243" s="1"/>
  <c r="AI17" i="243" s="1"/>
  <c r="Y17" i="243" s="1"/>
  <c r="Z17" i="243"/>
  <c r="X17" i="243"/>
  <c r="Q17" i="243"/>
  <c r="P17" i="243"/>
  <c r="H17" i="243"/>
  <c r="E17" i="243"/>
  <c r="I17" i="243" s="1"/>
  <c r="AE16" i="243"/>
  <c r="AI16" i="243" s="1"/>
  <c r="Y16" i="243" s="1"/>
  <c r="AD16" i="243"/>
  <c r="AC16" i="243"/>
  <c r="AB16" i="243"/>
  <c r="Z16" i="243"/>
  <c r="X16" i="243"/>
  <c r="Q16" i="243"/>
  <c r="P16" i="243"/>
  <c r="E16" i="243"/>
  <c r="I16" i="243" s="1"/>
  <c r="AD15" i="243"/>
  <c r="AC15" i="243"/>
  <c r="AB15" i="243"/>
  <c r="AE15" i="243" s="1"/>
  <c r="AI15" i="243" s="1"/>
  <c r="Y15" i="243" s="1"/>
  <c r="Z15" i="243"/>
  <c r="X15" i="243"/>
  <c r="Q15" i="243"/>
  <c r="P15" i="243"/>
  <c r="E15" i="243"/>
  <c r="I15" i="243" s="1"/>
  <c r="AD14" i="243"/>
  <c r="AC14" i="243"/>
  <c r="AB14" i="243"/>
  <c r="AE14" i="243" s="1"/>
  <c r="AI14" i="243" s="1"/>
  <c r="Y14" i="243" s="1"/>
  <c r="Z14" i="243"/>
  <c r="X14" i="243"/>
  <c r="Q14" i="243"/>
  <c r="P14" i="243"/>
  <c r="H14" i="243"/>
  <c r="E14" i="243"/>
  <c r="I14" i="243" s="1"/>
  <c r="AD13" i="243"/>
  <c r="AE13" i="243" s="1"/>
  <c r="AI13" i="243" s="1"/>
  <c r="Y13" i="243" s="1"/>
  <c r="AC13" i="243"/>
  <c r="AB13" i="243"/>
  <c r="Z13" i="243"/>
  <c r="X13" i="243"/>
  <c r="Q13" i="243"/>
  <c r="P13" i="243"/>
  <c r="H13" i="243"/>
  <c r="E13" i="243"/>
  <c r="I13" i="243" s="1"/>
  <c r="AD12" i="243"/>
  <c r="AC12" i="243"/>
  <c r="AB12" i="243"/>
  <c r="AE12" i="243" s="1"/>
  <c r="AI12" i="243" s="1"/>
  <c r="Y12" i="243" s="1"/>
  <c r="Z12" i="243"/>
  <c r="X12" i="243"/>
  <c r="Q12" i="243"/>
  <c r="P12" i="243"/>
  <c r="H12" i="243"/>
  <c r="E12" i="243"/>
  <c r="I12" i="243" s="1"/>
  <c r="H13" i="240"/>
  <c r="T77" i="245" l="1"/>
  <c r="T75" i="245"/>
  <c r="F77" i="246"/>
  <c r="F75" i="245"/>
  <c r="F73" i="245"/>
  <c r="T73" i="245"/>
  <c r="T79" i="245" s="1"/>
  <c r="F73" i="244"/>
  <c r="F75" i="244"/>
  <c r="T73" i="244"/>
  <c r="T79" i="244" s="1"/>
  <c r="T75" i="243"/>
  <c r="T77" i="243"/>
  <c r="O73" i="243"/>
  <c r="O75" i="243"/>
  <c r="T73" i="243"/>
  <c r="F73" i="243"/>
  <c r="F75" i="243"/>
  <c r="M79" i="240"/>
  <c r="P71" i="240"/>
  <c r="H71" i="240"/>
  <c r="Q70" i="240"/>
  <c r="P70" i="240"/>
  <c r="I70" i="240"/>
  <c r="H70" i="240"/>
  <c r="E70" i="240"/>
  <c r="Q69" i="240"/>
  <c r="P69" i="240"/>
  <c r="H69" i="240"/>
  <c r="E69" i="240"/>
  <c r="I69" i="240" s="1"/>
  <c r="AD68" i="240"/>
  <c r="AC68" i="240"/>
  <c r="AB68" i="240"/>
  <c r="AE68" i="240" s="1"/>
  <c r="AI68" i="240" s="1"/>
  <c r="Y68" i="240" s="1"/>
  <c r="Z68" i="240"/>
  <c r="X68" i="240"/>
  <c r="Q68" i="240"/>
  <c r="P68" i="240"/>
  <c r="H68" i="240"/>
  <c r="E68" i="240"/>
  <c r="I68" i="240" s="1"/>
  <c r="AD67" i="240"/>
  <c r="AE67" i="240" s="1"/>
  <c r="AI67" i="240" s="1"/>
  <c r="Y67" i="240" s="1"/>
  <c r="AC67" i="240"/>
  <c r="AB67" i="240"/>
  <c r="Z67" i="240"/>
  <c r="X67" i="240"/>
  <c r="Q67" i="240"/>
  <c r="P67" i="240"/>
  <c r="H67" i="240"/>
  <c r="E67" i="240"/>
  <c r="I67" i="240" s="1"/>
  <c r="AD66" i="240"/>
  <c r="AE66" i="240" s="1"/>
  <c r="AI66" i="240" s="1"/>
  <c r="Y66" i="240" s="1"/>
  <c r="AC66" i="240"/>
  <c r="AB66" i="240"/>
  <c r="Z66" i="240"/>
  <c r="X66" i="240"/>
  <c r="Q66" i="240"/>
  <c r="P66" i="240"/>
  <c r="I66" i="240"/>
  <c r="H66" i="240"/>
  <c r="E66" i="240"/>
  <c r="AD65" i="240"/>
  <c r="AE65" i="240" s="1"/>
  <c r="AI65" i="240" s="1"/>
  <c r="Y65" i="240" s="1"/>
  <c r="AC65" i="240"/>
  <c r="AB65" i="240"/>
  <c r="Z65" i="240"/>
  <c r="X65" i="240"/>
  <c r="Q65" i="240"/>
  <c r="P65" i="240"/>
  <c r="H65" i="240"/>
  <c r="E65" i="240"/>
  <c r="I65" i="240" s="1"/>
  <c r="AD64" i="240"/>
  <c r="AC64" i="240"/>
  <c r="AB64" i="240"/>
  <c r="AE64" i="240" s="1"/>
  <c r="AI64" i="240" s="1"/>
  <c r="Y64" i="240" s="1"/>
  <c r="Z64" i="240"/>
  <c r="X64" i="240"/>
  <c r="Q64" i="240"/>
  <c r="P64" i="240"/>
  <c r="I64" i="240"/>
  <c r="H64" i="240"/>
  <c r="E64" i="240"/>
  <c r="AD63" i="240"/>
  <c r="AC63" i="240"/>
  <c r="AB63" i="240"/>
  <c r="AE63" i="240" s="1"/>
  <c r="AI63" i="240" s="1"/>
  <c r="Y63" i="240" s="1"/>
  <c r="Z63" i="240"/>
  <c r="X63" i="240"/>
  <c r="Q63" i="240"/>
  <c r="P63" i="240"/>
  <c r="I63" i="240"/>
  <c r="H63" i="240"/>
  <c r="E63" i="240"/>
  <c r="AE62" i="240"/>
  <c r="AI62" i="240" s="1"/>
  <c r="Y62" i="240" s="1"/>
  <c r="AD62" i="240"/>
  <c r="AC62" i="240"/>
  <c r="AB62" i="240"/>
  <c r="Z62" i="240"/>
  <c r="X62" i="240"/>
  <c r="Q62" i="240"/>
  <c r="P62" i="240"/>
  <c r="I62" i="240"/>
  <c r="H62" i="240"/>
  <c r="E62" i="240"/>
  <c r="AE61" i="240"/>
  <c r="AI61" i="240" s="1"/>
  <c r="Y61" i="240" s="1"/>
  <c r="AC61" i="240"/>
  <c r="AB61" i="240"/>
  <c r="X61" i="240"/>
  <c r="Q61" i="240"/>
  <c r="P61" i="240"/>
  <c r="I61" i="240"/>
  <c r="H61" i="240"/>
  <c r="E61" i="240"/>
  <c r="AI60" i="240"/>
  <c r="AE60" i="240"/>
  <c r="Y60" i="240"/>
  <c r="X60" i="240"/>
  <c r="Q60" i="240"/>
  <c r="P60" i="240"/>
  <c r="I60" i="240"/>
  <c r="H60" i="240"/>
  <c r="E60" i="240"/>
  <c r="AC59" i="240"/>
  <c r="AB59" i="240"/>
  <c r="AE59" i="240" s="1"/>
  <c r="AI59" i="240" s="1"/>
  <c r="Y59" i="240" s="1"/>
  <c r="X59" i="240"/>
  <c r="Q59" i="240"/>
  <c r="P59" i="240"/>
  <c r="H59" i="240"/>
  <c r="E59" i="240"/>
  <c r="I59" i="240" s="1"/>
  <c r="AC58" i="240"/>
  <c r="AE58" i="240" s="1"/>
  <c r="AI58" i="240" s="1"/>
  <c r="Y58" i="240" s="1"/>
  <c r="AB58" i="240"/>
  <c r="X58" i="240"/>
  <c r="Q58" i="240"/>
  <c r="P58" i="240"/>
  <c r="E58" i="240"/>
  <c r="I58" i="240" s="1"/>
  <c r="AC57" i="240"/>
  <c r="AB57" i="240"/>
  <c r="AE57" i="240" s="1"/>
  <c r="AI57" i="240" s="1"/>
  <c r="Y57" i="240" s="1"/>
  <c r="X57" i="240"/>
  <c r="Q57" i="240"/>
  <c r="P57" i="240"/>
  <c r="I57" i="240"/>
  <c r="H57" i="240"/>
  <c r="E57" i="240"/>
  <c r="AD56" i="240"/>
  <c r="AC56" i="240"/>
  <c r="AB56" i="240"/>
  <c r="AE56" i="240" s="1"/>
  <c r="AI56" i="240" s="1"/>
  <c r="Y56" i="240" s="1"/>
  <c r="Z56" i="240"/>
  <c r="X56" i="240"/>
  <c r="Q56" i="240"/>
  <c r="P56" i="240"/>
  <c r="I56" i="240"/>
  <c r="H56" i="240"/>
  <c r="E56" i="240"/>
  <c r="AD55" i="240"/>
  <c r="AC55" i="240"/>
  <c r="AB55" i="240"/>
  <c r="AE55" i="240" s="1"/>
  <c r="AI55" i="240" s="1"/>
  <c r="Y55" i="240" s="1"/>
  <c r="Z55" i="240"/>
  <c r="X55" i="240"/>
  <c r="Q55" i="240"/>
  <c r="P55" i="240"/>
  <c r="H55" i="240"/>
  <c r="E55" i="240"/>
  <c r="I55" i="240" s="1"/>
  <c r="AD54" i="240"/>
  <c r="AC54" i="240"/>
  <c r="AE54" i="240" s="1"/>
  <c r="AI54" i="240" s="1"/>
  <c r="Y54" i="240" s="1"/>
  <c r="AB54" i="240"/>
  <c r="Z54" i="240"/>
  <c r="X54" i="240"/>
  <c r="Q54" i="240"/>
  <c r="P54" i="240"/>
  <c r="I54" i="240"/>
  <c r="H54" i="240"/>
  <c r="E54" i="240"/>
  <c r="AD53" i="240"/>
  <c r="AC53" i="240"/>
  <c r="AB53" i="240"/>
  <c r="AE53" i="240" s="1"/>
  <c r="AI53" i="240" s="1"/>
  <c r="Y53" i="240" s="1"/>
  <c r="Z53" i="240"/>
  <c r="X53" i="240"/>
  <c r="Q53" i="240"/>
  <c r="P53" i="240"/>
  <c r="H53" i="240"/>
  <c r="E53" i="240"/>
  <c r="I53" i="240" s="1"/>
  <c r="AE52" i="240"/>
  <c r="AI52" i="240" s="1"/>
  <c r="Y52" i="240" s="1"/>
  <c r="Z52" i="240"/>
  <c r="X52" i="240"/>
  <c r="Q52" i="240"/>
  <c r="P52" i="240"/>
  <c r="H52" i="240"/>
  <c r="E52" i="240"/>
  <c r="I52" i="240" s="1"/>
  <c r="AD51" i="240"/>
  <c r="AE51" i="240" s="1"/>
  <c r="AI51" i="240" s="1"/>
  <c r="Y51" i="240" s="1"/>
  <c r="AC51" i="240"/>
  <c r="AB51" i="240"/>
  <c r="Z51" i="240"/>
  <c r="X51" i="240"/>
  <c r="Q51" i="240"/>
  <c r="P51" i="240"/>
  <c r="H51" i="240"/>
  <c r="E51" i="240"/>
  <c r="I51" i="240" s="1"/>
  <c r="AD50" i="240"/>
  <c r="AE50" i="240" s="1"/>
  <c r="AI50" i="240" s="1"/>
  <c r="Y50" i="240" s="1"/>
  <c r="AC50" i="240"/>
  <c r="AB50" i="240"/>
  <c r="Z50" i="240"/>
  <c r="X50" i="240"/>
  <c r="Q50" i="240"/>
  <c r="P50" i="240"/>
  <c r="I50" i="240"/>
  <c r="H50" i="240"/>
  <c r="E50" i="240"/>
  <c r="AE49" i="240"/>
  <c r="AI49" i="240" s="1"/>
  <c r="Y49" i="240" s="1"/>
  <c r="Z49" i="240"/>
  <c r="X49" i="240"/>
  <c r="Q49" i="240"/>
  <c r="P49" i="240"/>
  <c r="I49" i="240"/>
  <c r="H49" i="240"/>
  <c r="E49" i="240"/>
  <c r="AE48" i="240"/>
  <c r="AI48" i="240" s="1"/>
  <c r="Y48" i="240" s="1"/>
  <c r="Z48" i="240"/>
  <c r="X48" i="240"/>
  <c r="Q48" i="240"/>
  <c r="P48" i="240"/>
  <c r="I48" i="240"/>
  <c r="H48" i="240"/>
  <c r="E48" i="240"/>
  <c r="AE47" i="240"/>
  <c r="AI47" i="240" s="1"/>
  <c r="Y47" i="240" s="1"/>
  <c r="Z47" i="240"/>
  <c r="X47" i="240"/>
  <c r="Q47" i="240"/>
  <c r="P47" i="240"/>
  <c r="H47" i="240"/>
  <c r="E47" i="240"/>
  <c r="I47" i="240" s="1"/>
  <c r="AD46" i="240"/>
  <c r="AC46" i="240"/>
  <c r="AB46" i="240"/>
  <c r="AE46" i="240" s="1"/>
  <c r="AI46" i="240" s="1"/>
  <c r="Y46" i="240" s="1"/>
  <c r="Z46" i="240"/>
  <c r="X46" i="240"/>
  <c r="Q46" i="240"/>
  <c r="P46" i="240"/>
  <c r="I46" i="240"/>
  <c r="H46" i="240"/>
  <c r="E46" i="240"/>
  <c r="AD45" i="240"/>
  <c r="AE45" i="240" s="1"/>
  <c r="AI45" i="240" s="1"/>
  <c r="Y45" i="240" s="1"/>
  <c r="AC45" i="240"/>
  <c r="AB45" i="240"/>
  <c r="Z45" i="240"/>
  <c r="X45" i="240"/>
  <c r="Q45" i="240"/>
  <c r="P45" i="240"/>
  <c r="I45" i="240"/>
  <c r="H45" i="240"/>
  <c r="E45" i="240"/>
  <c r="AD44" i="240"/>
  <c r="AC44" i="240"/>
  <c r="AB44" i="240"/>
  <c r="AE44" i="240" s="1"/>
  <c r="AI44" i="240" s="1"/>
  <c r="Y44" i="240" s="1"/>
  <c r="Z44" i="240"/>
  <c r="X44" i="240"/>
  <c r="Q44" i="240"/>
  <c r="P44" i="240"/>
  <c r="I44" i="240"/>
  <c r="H44" i="240"/>
  <c r="E44" i="240"/>
  <c r="AD43" i="240"/>
  <c r="AC43" i="240"/>
  <c r="AE43" i="240" s="1"/>
  <c r="AI43" i="240" s="1"/>
  <c r="Y43" i="240" s="1"/>
  <c r="AB43" i="240"/>
  <c r="Z43" i="240"/>
  <c r="X43" i="240"/>
  <c r="Q43" i="240"/>
  <c r="P43" i="240"/>
  <c r="H43" i="240"/>
  <c r="E43" i="240"/>
  <c r="I43" i="240" s="1"/>
  <c r="AD42" i="240"/>
  <c r="AC42" i="240"/>
  <c r="AE42" i="240" s="1"/>
  <c r="AI42" i="240" s="1"/>
  <c r="Y42" i="240" s="1"/>
  <c r="AB42" i="240"/>
  <c r="Z42" i="240"/>
  <c r="X42" i="240"/>
  <c r="Q42" i="240"/>
  <c r="P42" i="240"/>
  <c r="I42" i="240"/>
  <c r="H42" i="240"/>
  <c r="E42" i="240"/>
  <c r="AD41" i="240"/>
  <c r="AC41" i="240"/>
  <c r="AB41" i="240"/>
  <c r="AE41" i="240" s="1"/>
  <c r="AI41" i="240" s="1"/>
  <c r="Y41" i="240" s="1"/>
  <c r="Z41" i="240"/>
  <c r="X41" i="240"/>
  <c r="Q41" i="240"/>
  <c r="P41" i="240"/>
  <c r="H41" i="240"/>
  <c r="E41" i="240"/>
  <c r="I41" i="240" s="1"/>
  <c r="AE40" i="240"/>
  <c r="AI40" i="240" s="1"/>
  <c r="Y40" i="240" s="1"/>
  <c r="AD40" i="240"/>
  <c r="AC40" i="240"/>
  <c r="AB40" i="240"/>
  <c r="Z40" i="240"/>
  <c r="X40" i="240"/>
  <c r="Q40" i="240"/>
  <c r="P40" i="240"/>
  <c r="H40" i="240"/>
  <c r="E40" i="240"/>
  <c r="I40" i="240" s="1"/>
  <c r="AD39" i="240"/>
  <c r="AC39" i="240"/>
  <c r="AB39" i="240"/>
  <c r="AE39" i="240" s="1"/>
  <c r="AI39" i="240" s="1"/>
  <c r="Y39" i="240" s="1"/>
  <c r="Z39" i="240"/>
  <c r="X39" i="240"/>
  <c r="Q39" i="240"/>
  <c r="P39" i="240"/>
  <c r="H39" i="240"/>
  <c r="E39" i="240"/>
  <c r="I39" i="240" s="1"/>
  <c r="AD38" i="240"/>
  <c r="AE38" i="240" s="1"/>
  <c r="AI38" i="240" s="1"/>
  <c r="Y38" i="240" s="1"/>
  <c r="AC38" i="240"/>
  <c r="AB38" i="240"/>
  <c r="Z38" i="240"/>
  <c r="X38" i="240"/>
  <c r="Q38" i="240"/>
  <c r="P38" i="240"/>
  <c r="H38" i="240"/>
  <c r="E38" i="240"/>
  <c r="I38" i="240" s="1"/>
  <c r="AD37" i="240"/>
  <c r="AE37" i="240" s="1"/>
  <c r="AI37" i="240" s="1"/>
  <c r="Y37" i="240" s="1"/>
  <c r="AC37" i="240"/>
  <c r="AB37" i="240"/>
  <c r="Z37" i="240"/>
  <c r="X37" i="240"/>
  <c r="Q37" i="240"/>
  <c r="P37" i="240"/>
  <c r="I37" i="240"/>
  <c r="H37" i="240"/>
  <c r="E37" i="240"/>
  <c r="AD36" i="240"/>
  <c r="AE36" i="240" s="1"/>
  <c r="AI36" i="240" s="1"/>
  <c r="Y36" i="240" s="1"/>
  <c r="AC36" i="240"/>
  <c r="AB36" i="240"/>
  <c r="Z36" i="240"/>
  <c r="X36" i="240"/>
  <c r="Q36" i="240"/>
  <c r="P36" i="240"/>
  <c r="H36" i="240"/>
  <c r="E36" i="240"/>
  <c r="I36" i="240" s="1"/>
  <c r="AD35" i="240"/>
  <c r="AC35" i="240"/>
  <c r="AB35" i="240"/>
  <c r="AE35" i="240" s="1"/>
  <c r="AI35" i="240" s="1"/>
  <c r="Y35" i="240" s="1"/>
  <c r="Z35" i="240"/>
  <c r="X35" i="240"/>
  <c r="Q35" i="240"/>
  <c r="P35" i="240"/>
  <c r="I35" i="240"/>
  <c r="H35" i="240"/>
  <c r="E35" i="240"/>
  <c r="AD34" i="240"/>
  <c r="AC34" i="240"/>
  <c r="AB34" i="240"/>
  <c r="AE34" i="240" s="1"/>
  <c r="AI34" i="240" s="1"/>
  <c r="Y34" i="240" s="1"/>
  <c r="Z34" i="240"/>
  <c r="X34" i="240"/>
  <c r="Q34" i="240"/>
  <c r="P34" i="240"/>
  <c r="I34" i="240"/>
  <c r="H34" i="240"/>
  <c r="E34" i="240"/>
  <c r="AE33" i="240"/>
  <c r="AI33" i="240" s="1"/>
  <c r="Y33" i="240" s="1"/>
  <c r="AD33" i="240"/>
  <c r="AC33" i="240"/>
  <c r="AB33" i="240"/>
  <c r="Z33" i="240"/>
  <c r="Q33" i="240"/>
  <c r="P33" i="240"/>
  <c r="I33" i="240"/>
  <c r="H33" i="240"/>
  <c r="X33" i="240"/>
  <c r="E33" i="240"/>
  <c r="AD32" i="240"/>
  <c r="AC32" i="240"/>
  <c r="AB32" i="240"/>
  <c r="AE32" i="240" s="1"/>
  <c r="AI32" i="240" s="1"/>
  <c r="Y32" i="240" s="1"/>
  <c r="Z32" i="240"/>
  <c r="X32" i="240"/>
  <c r="Q32" i="240"/>
  <c r="P32" i="240"/>
  <c r="H32" i="240"/>
  <c r="E32" i="240"/>
  <c r="I32" i="240" s="1"/>
  <c r="AI31" i="240"/>
  <c r="Y31" i="240" s="1"/>
  <c r="AE31" i="240"/>
  <c r="Z31" i="240"/>
  <c r="X31" i="240"/>
  <c r="Q31" i="240"/>
  <c r="P31" i="240"/>
  <c r="H31" i="240"/>
  <c r="E31" i="240"/>
  <c r="I31" i="240" s="1"/>
  <c r="AE30" i="240"/>
  <c r="AI30" i="240" s="1"/>
  <c r="Y30" i="240" s="1"/>
  <c r="AD30" i="240"/>
  <c r="AC30" i="240"/>
  <c r="AB30" i="240"/>
  <c r="Z30" i="240"/>
  <c r="X30" i="240"/>
  <c r="Q30" i="240"/>
  <c r="P30" i="240"/>
  <c r="H30" i="240"/>
  <c r="E30" i="240"/>
  <c r="I30" i="240" s="1"/>
  <c r="AD29" i="240"/>
  <c r="AC29" i="240"/>
  <c r="AB29" i="240"/>
  <c r="AE29" i="240" s="1"/>
  <c r="AI29" i="240" s="1"/>
  <c r="Y29" i="240" s="1"/>
  <c r="Z29" i="240"/>
  <c r="X29" i="240"/>
  <c r="Q29" i="240"/>
  <c r="P29" i="240"/>
  <c r="H29" i="240"/>
  <c r="E29" i="240"/>
  <c r="I29" i="240" s="1"/>
  <c r="AD28" i="240"/>
  <c r="AE28" i="240" s="1"/>
  <c r="AI28" i="240" s="1"/>
  <c r="Y28" i="240" s="1"/>
  <c r="AC28" i="240"/>
  <c r="AB28" i="240"/>
  <c r="Z28" i="240"/>
  <c r="X28" i="240"/>
  <c r="Q28" i="240"/>
  <c r="P28" i="240"/>
  <c r="H28" i="240"/>
  <c r="E28" i="240"/>
  <c r="I28" i="240" s="1"/>
  <c r="AD27" i="240"/>
  <c r="AE27" i="240" s="1"/>
  <c r="AI27" i="240" s="1"/>
  <c r="Y27" i="240" s="1"/>
  <c r="AC27" i="240"/>
  <c r="AB27" i="240"/>
  <c r="Z27" i="240"/>
  <c r="X27" i="240"/>
  <c r="Q27" i="240"/>
  <c r="P27" i="240"/>
  <c r="I27" i="240"/>
  <c r="H27" i="240"/>
  <c r="E27" i="240"/>
  <c r="AD26" i="240"/>
  <c r="AE26" i="240" s="1"/>
  <c r="AI26" i="240" s="1"/>
  <c r="Y26" i="240" s="1"/>
  <c r="AC26" i="240"/>
  <c r="AB26" i="240"/>
  <c r="Z26" i="240"/>
  <c r="X26" i="240"/>
  <c r="Q26" i="240"/>
  <c r="P26" i="240"/>
  <c r="H26" i="240"/>
  <c r="E26" i="240"/>
  <c r="I26" i="240" s="1"/>
  <c r="AD25" i="240"/>
  <c r="AC25" i="240"/>
  <c r="AB25" i="240"/>
  <c r="AE25" i="240" s="1"/>
  <c r="AI25" i="240" s="1"/>
  <c r="Y25" i="240" s="1"/>
  <c r="Z25" i="240"/>
  <c r="X25" i="240"/>
  <c r="Q25" i="240"/>
  <c r="P25" i="240"/>
  <c r="I25" i="240"/>
  <c r="H25" i="240"/>
  <c r="E25" i="240"/>
  <c r="AD24" i="240"/>
  <c r="AC24" i="240"/>
  <c r="AB24" i="240"/>
  <c r="AE24" i="240" s="1"/>
  <c r="AI24" i="240" s="1"/>
  <c r="Y24" i="240" s="1"/>
  <c r="Z24" i="240"/>
  <c r="X24" i="240"/>
  <c r="Q24" i="240"/>
  <c r="P24" i="240"/>
  <c r="I24" i="240"/>
  <c r="H24" i="240"/>
  <c r="E24" i="240"/>
  <c r="AE23" i="240"/>
  <c r="AI23" i="240" s="1"/>
  <c r="Y23" i="240" s="1"/>
  <c r="AD23" i="240"/>
  <c r="AC23" i="240"/>
  <c r="AB23" i="240"/>
  <c r="Z23" i="240"/>
  <c r="X23" i="240"/>
  <c r="Q23" i="240"/>
  <c r="P23" i="240"/>
  <c r="I23" i="240"/>
  <c r="H23" i="240"/>
  <c r="E23" i="240"/>
  <c r="AD22" i="240"/>
  <c r="AC22" i="240"/>
  <c r="AB22" i="240"/>
  <c r="AE22" i="240" s="1"/>
  <c r="AI22" i="240" s="1"/>
  <c r="Y22" i="240" s="1"/>
  <c r="Z22" i="240"/>
  <c r="X22" i="240"/>
  <c r="Q22" i="240"/>
  <c r="P22" i="240"/>
  <c r="I22" i="240"/>
  <c r="H22" i="240"/>
  <c r="E22" i="240"/>
  <c r="AE21" i="240"/>
  <c r="AI21" i="240" s="1"/>
  <c r="Y21" i="240" s="1"/>
  <c r="AD21" i="240"/>
  <c r="AC21" i="240"/>
  <c r="AB21" i="240"/>
  <c r="Z21" i="240"/>
  <c r="X21" i="240"/>
  <c r="Q21" i="240"/>
  <c r="P21" i="240"/>
  <c r="H21" i="240"/>
  <c r="E21" i="240"/>
  <c r="I21" i="240" s="1"/>
  <c r="AD20" i="240"/>
  <c r="AC20" i="240"/>
  <c r="AB20" i="240"/>
  <c r="AE20" i="240" s="1"/>
  <c r="AI20" i="240" s="1"/>
  <c r="Y20" i="240" s="1"/>
  <c r="Z20" i="240"/>
  <c r="X20" i="240"/>
  <c r="Q20" i="240"/>
  <c r="P20" i="240"/>
  <c r="I20" i="240"/>
  <c r="H20" i="240"/>
  <c r="E20" i="240"/>
  <c r="AD19" i="240"/>
  <c r="AE19" i="240" s="1"/>
  <c r="AI19" i="240" s="1"/>
  <c r="Y19" i="240" s="1"/>
  <c r="AC19" i="240"/>
  <c r="AB19" i="240"/>
  <c r="Z19" i="240"/>
  <c r="X19" i="240"/>
  <c r="Q19" i="240"/>
  <c r="P19" i="240"/>
  <c r="I19" i="240"/>
  <c r="H19" i="240"/>
  <c r="E19" i="240"/>
  <c r="AD18" i="240"/>
  <c r="AC18" i="240"/>
  <c r="AB18" i="240"/>
  <c r="AE18" i="240" s="1"/>
  <c r="AI18" i="240" s="1"/>
  <c r="Y18" i="240" s="1"/>
  <c r="Z18" i="240"/>
  <c r="X18" i="240"/>
  <c r="Q18" i="240"/>
  <c r="P18" i="240"/>
  <c r="I18" i="240"/>
  <c r="H18" i="240"/>
  <c r="E18" i="240"/>
  <c r="AD17" i="240"/>
  <c r="AC17" i="240"/>
  <c r="AE17" i="240" s="1"/>
  <c r="AI17" i="240" s="1"/>
  <c r="Y17" i="240" s="1"/>
  <c r="AB17" i="240"/>
  <c r="Z17" i="240"/>
  <c r="X17" i="240"/>
  <c r="Q17" i="240"/>
  <c r="P17" i="240"/>
  <c r="H17" i="240"/>
  <c r="E17" i="240"/>
  <c r="I17" i="240" s="1"/>
  <c r="AD16" i="240"/>
  <c r="AC16" i="240"/>
  <c r="AE16" i="240" s="1"/>
  <c r="AI16" i="240" s="1"/>
  <c r="Y16" i="240" s="1"/>
  <c r="AB16" i="240"/>
  <c r="Z16" i="240"/>
  <c r="X16" i="240"/>
  <c r="Q16" i="240"/>
  <c r="P16" i="240"/>
  <c r="E16" i="240"/>
  <c r="I16" i="240" s="1"/>
  <c r="AD15" i="240"/>
  <c r="AC15" i="240"/>
  <c r="AB15" i="240"/>
  <c r="AE15" i="240" s="1"/>
  <c r="AI15" i="240" s="1"/>
  <c r="Y15" i="240" s="1"/>
  <c r="Z15" i="240"/>
  <c r="X15" i="240"/>
  <c r="Q15" i="240"/>
  <c r="P15" i="240"/>
  <c r="I15" i="240"/>
  <c r="E15" i="240"/>
  <c r="AD14" i="240"/>
  <c r="AC14" i="240"/>
  <c r="AB14" i="240"/>
  <c r="AE14" i="240" s="1"/>
  <c r="AI14" i="240" s="1"/>
  <c r="Y14" i="240" s="1"/>
  <c r="Z14" i="240"/>
  <c r="X14" i="240"/>
  <c r="Q14" i="240"/>
  <c r="P14" i="240"/>
  <c r="I14" i="240"/>
  <c r="H14" i="240"/>
  <c r="E14" i="240"/>
  <c r="AE13" i="240"/>
  <c r="AI13" i="240" s="1"/>
  <c r="Y13" i="240" s="1"/>
  <c r="AD13" i="240"/>
  <c r="AC13" i="240"/>
  <c r="AB13" i="240"/>
  <c r="Z13" i="240"/>
  <c r="X13" i="240"/>
  <c r="Q13" i="240"/>
  <c r="P13" i="240"/>
  <c r="I13" i="240"/>
  <c r="E13" i="240"/>
  <c r="AE12" i="240"/>
  <c r="AI12" i="240" s="1"/>
  <c r="Y12" i="240" s="1"/>
  <c r="AD12" i="240"/>
  <c r="AC12" i="240"/>
  <c r="AB12" i="240"/>
  <c r="Z12" i="240"/>
  <c r="X12" i="240"/>
  <c r="Q12" i="240"/>
  <c r="P12" i="240"/>
  <c r="H12" i="240"/>
  <c r="E12" i="240"/>
  <c r="I12" i="240" s="1"/>
  <c r="F77" i="245" l="1"/>
  <c r="F77" i="244"/>
  <c r="T79" i="243"/>
  <c r="F77" i="243"/>
  <c r="O75" i="240"/>
  <c r="O73" i="240"/>
  <c r="F73" i="240"/>
  <c r="T77" i="240"/>
  <c r="T75" i="240"/>
  <c r="F75" i="240"/>
  <c r="T73" i="240"/>
  <c r="T79" i="240" l="1"/>
  <c r="F77" i="240" s="1"/>
</calcChain>
</file>

<file path=xl/sharedStrings.xml><?xml version="1.0" encoding="utf-8"?>
<sst xmlns="http://schemas.openxmlformats.org/spreadsheetml/2006/main" count="705" uniqueCount="134">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</sst>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1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6181-9974-4249-ACE6-97BBBEB22D26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F13" sqref="F13"/>
      <selection pane="topRight" activeCell="F14" sqref="F1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197" t="s">
        <v>130</v>
      </c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6" t="s">
        <v>1</v>
      </c>
      <c r="U2" s="7"/>
      <c r="W2" s="198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199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1"/>
      <c r="G4" s="201"/>
      <c r="H4" s="201"/>
      <c r="I4" s="201"/>
      <c r="J4" s="201"/>
      <c r="K4" s="201"/>
      <c r="L4" s="201"/>
      <c r="M4" s="201"/>
      <c r="S4" s="2" t="s">
        <v>4</v>
      </c>
      <c r="T4" s="202"/>
      <c r="U4" s="202"/>
      <c r="W4" s="200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3"/>
      <c r="G6" s="203"/>
      <c r="H6" s="203"/>
      <c r="I6" s="203"/>
      <c r="J6" s="203"/>
      <c r="K6" s="203"/>
      <c r="L6" s="203"/>
      <c r="M6" s="203"/>
      <c r="S6" s="11" t="s">
        <v>6</v>
      </c>
      <c r="T6" s="195" t="s">
        <v>7</v>
      </c>
      <c r="U6" s="12" t="s">
        <v>131</v>
      </c>
      <c r="W6" s="198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3"/>
      <c r="G7" s="203"/>
      <c r="H7" s="203"/>
      <c r="I7" s="203"/>
      <c r="J7" s="203"/>
      <c r="K7" s="203"/>
      <c r="L7" s="203"/>
      <c r="M7" s="203"/>
      <c r="N7" s="14"/>
      <c r="O7" s="14"/>
      <c r="P7" s="14"/>
      <c r="Q7" s="15"/>
      <c r="S7" s="14"/>
      <c r="T7" s="195" t="s">
        <v>11</v>
      </c>
      <c r="U7" s="12"/>
      <c r="W7" s="200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04" t="s">
        <v>14</v>
      </c>
      <c r="C9" s="207" t="s">
        <v>15</v>
      </c>
      <c r="D9" s="207" t="s">
        <v>16</v>
      </c>
      <c r="E9" s="207" t="s">
        <v>17</v>
      </c>
      <c r="F9" s="210" t="s">
        <v>18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2"/>
      <c r="S9" s="210" t="s">
        <v>19</v>
      </c>
      <c r="T9" s="211"/>
      <c r="U9" s="212"/>
      <c r="X9" s="223" t="s">
        <v>20</v>
      </c>
      <c r="Y9" s="226" t="s">
        <v>21</v>
      </c>
      <c r="Z9" s="226" t="s">
        <v>128</v>
      </c>
      <c r="AA9" s="17"/>
      <c r="AB9" s="216" t="s">
        <v>22</v>
      </c>
      <c r="AC9" s="229" t="s">
        <v>23</v>
      </c>
      <c r="AD9" s="232" t="s">
        <v>24</v>
      </c>
      <c r="AE9" s="216" t="s">
        <v>25</v>
      </c>
      <c r="AG9" s="216" t="s">
        <v>26</v>
      </c>
      <c r="AH9" s="17"/>
      <c r="AI9" s="216" t="s">
        <v>27</v>
      </c>
    </row>
    <row r="10" spans="2:35" s="16" customFormat="1" ht="20.25" customHeight="1" x14ac:dyDescent="0.25">
      <c r="B10" s="205"/>
      <c r="C10" s="208"/>
      <c r="D10" s="208"/>
      <c r="E10" s="208"/>
      <c r="F10" s="220" t="s">
        <v>28</v>
      </c>
      <c r="G10" s="220" t="s">
        <v>29</v>
      </c>
      <c r="H10" s="220" t="s">
        <v>30</v>
      </c>
      <c r="I10" s="221" t="s">
        <v>31</v>
      </c>
      <c r="J10" s="221" t="s">
        <v>32</v>
      </c>
      <c r="K10" s="221" t="s">
        <v>33</v>
      </c>
      <c r="L10" s="221" t="s">
        <v>34</v>
      </c>
      <c r="M10" s="213" t="s">
        <v>35</v>
      </c>
      <c r="N10" s="214"/>
      <c r="O10" s="214"/>
      <c r="P10" s="214"/>
      <c r="Q10" s="215"/>
      <c r="S10" s="241" t="s">
        <v>36</v>
      </c>
      <c r="T10" s="242"/>
      <c r="U10" s="243"/>
      <c r="X10" s="224"/>
      <c r="Y10" s="227"/>
      <c r="Z10" s="227"/>
      <c r="AA10" s="17"/>
      <c r="AB10" s="217"/>
      <c r="AC10" s="230"/>
      <c r="AD10" s="233"/>
      <c r="AE10" s="217"/>
      <c r="AG10" s="217"/>
      <c r="AH10" s="17"/>
      <c r="AI10" s="217"/>
    </row>
    <row r="11" spans="2:35" s="21" customFormat="1" ht="12.75" customHeight="1" thickBot="1" x14ac:dyDescent="0.3">
      <c r="B11" s="206"/>
      <c r="C11" s="209"/>
      <c r="D11" s="209"/>
      <c r="E11" s="209"/>
      <c r="F11" s="209"/>
      <c r="G11" s="209"/>
      <c r="H11" s="209"/>
      <c r="I11" s="222"/>
      <c r="J11" s="222"/>
      <c r="K11" s="222"/>
      <c r="L11" s="222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5"/>
      <c r="Y11" s="228"/>
      <c r="Z11" s="228"/>
      <c r="AA11" s="17"/>
      <c r="AB11" s="219"/>
      <c r="AC11" s="231"/>
      <c r="AD11" s="234"/>
      <c r="AE11" s="219"/>
      <c r="AG11" s="218"/>
      <c r="AH11" s="17"/>
      <c r="AI11" s="219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>
        <v>1836</v>
      </c>
      <c r="G13" s="47">
        <v>108</v>
      </c>
      <c r="H13" s="48" t="str">
        <f t="shared" ref="H13" si="3">IF(F13="","",(ROUND((F13/G13),1)&amp;" pallets"))</f>
        <v>17 pallets</v>
      </c>
      <c r="I13" s="49">
        <f t="shared" ref="I13:I70" si="4">E13*F13</f>
        <v>1345788</v>
      </c>
      <c r="J13" s="50">
        <v>111</v>
      </c>
      <c r="K13" s="50">
        <v>84</v>
      </c>
      <c r="L13" s="50">
        <v>4.5</v>
      </c>
      <c r="M13" s="51"/>
      <c r="N13" s="51">
        <v>216</v>
      </c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18144</v>
      </c>
      <c r="S13" s="54"/>
      <c r="T13" s="54"/>
      <c r="U13" s="55"/>
      <c r="X13" s="56">
        <f t="shared" ref="X13:X68" si="7">F13*C13</f>
        <v>1141992</v>
      </c>
      <c r="Y13" s="57">
        <f>F13*AI13</f>
        <v>54419.040000000001</v>
      </c>
      <c r="Z13" s="36">
        <f t="shared" ref="Z13:Z56" si="8">IF($U$6="x",(F13*3.5),"")</f>
        <v>6426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>
        <v>63</v>
      </c>
      <c r="N14" s="51">
        <v>63</v>
      </c>
      <c r="O14" s="51"/>
      <c r="P14" s="52" t="str">
        <f t="shared" si="5"/>
        <v>2 pallets</v>
      </c>
      <c r="Q14" s="53">
        <f t="shared" si="6"/>
        <v>12852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216</v>
      </c>
      <c r="N16" s="193"/>
      <c r="O16" s="51"/>
      <c r="P16" s="52" t="str">
        <f t="shared" si="5"/>
        <v>2 pallets</v>
      </c>
      <c r="Q16" s="53">
        <f t="shared" si="6"/>
        <v>23976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>
        <v>63</v>
      </c>
      <c r="N20" s="66"/>
      <c r="O20" s="51"/>
      <c r="P20" s="52" t="str">
        <f t="shared" si="5"/>
        <v>1 pallets</v>
      </c>
      <c r="Q20" s="53">
        <f t="shared" si="6"/>
        <v>7560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>
        <v>72</v>
      </c>
      <c r="N58" s="66"/>
      <c r="O58" s="51"/>
      <c r="P58" s="52" t="str">
        <f t="shared" si="5"/>
        <v>1 pallets</v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1345788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73188</v>
      </c>
      <c r="P73" s="235"/>
      <c r="Q73" s="236"/>
      <c r="R73" s="152"/>
      <c r="S73" s="159" t="s">
        <v>104</v>
      </c>
      <c r="T73" s="239">
        <f>SUM(Y12:Y68)</f>
        <v>54419.040000000001</v>
      </c>
      <c r="U73" s="24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0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55044</v>
      </c>
      <c r="P75" s="235"/>
      <c r="Q75" s="236"/>
      <c r="R75" s="152"/>
      <c r="S75" s="159" t="s">
        <v>129</v>
      </c>
      <c r="T75" s="239">
        <f>SUM(Z12:Z70)</f>
        <v>6426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1211754.96</v>
      </c>
      <c r="G77" s="235"/>
      <c r="H77" s="235"/>
      <c r="I77" s="236"/>
      <c r="J77" s="164"/>
      <c r="K77" s="164"/>
      <c r="L77" s="164"/>
      <c r="M77" s="255" t="s">
        <v>106</v>
      </c>
      <c r="N77" s="255"/>
      <c r="O77" s="168" t="s">
        <v>107</v>
      </c>
      <c r="P77" s="247"/>
      <c r="Q77" s="248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198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199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/>
      <c r="Q79" s="248"/>
      <c r="R79" s="152"/>
      <c r="S79" s="159" t="s">
        <v>112</v>
      </c>
      <c r="T79" s="239">
        <f>T77+T73+T75</f>
        <v>60845.04</v>
      </c>
      <c r="U79" s="240"/>
      <c r="V79" s="160"/>
      <c r="W79" s="20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132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133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EA3F-4DD9-4214-8857-CB1E24AEB3EF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77" sqref="F77:I77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197" t="s">
        <v>130</v>
      </c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6" t="s">
        <v>1</v>
      </c>
      <c r="U2" s="7"/>
      <c r="W2" s="198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199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1"/>
      <c r="G4" s="201"/>
      <c r="H4" s="201"/>
      <c r="I4" s="201"/>
      <c r="J4" s="201"/>
      <c r="K4" s="201"/>
      <c r="L4" s="201"/>
      <c r="M4" s="201"/>
      <c r="S4" s="2" t="s">
        <v>4</v>
      </c>
      <c r="T4" s="202"/>
      <c r="U4" s="202"/>
      <c r="W4" s="200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3"/>
      <c r="G6" s="203"/>
      <c r="H6" s="203"/>
      <c r="I6" s="203"/>
      <c r="J6" s="203"/>
      <c r="K6" s="203"/>
      <c r="L6" s="203"/>
      <c r="M6" s="203"/>
      <c r="S6" s="11" t="s">
        <v>6</v>
      </c>
      <c r="T6" s="196" t="s">
        <v>7</v>
      </c>
      <c r="U6" s="12" t="s">
        <v>131</v>
      </c>
      <c r="W6" s="198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3"/>
      <c r="G7" s="203"/>
      <c r="H7" s="203"/>
      <c r="I7" s="203"/>
      <c r="J7" s="203"/>
      <c r="K7" s="203"/>
      <c r="L7" s="203"/>
      <c r="M7" s="203"/>
      <c r="N7" s="14"/>
      <c r="O7" s="14"/>
      <c r="P7" s="14"/>
      <c r="Q7" s="15"/>
      <c r="S7" s="14"/>
      <c r="T7" s="196" t="s">
        <v>11</v>
      </c>
      <c r="U7" s="12"/>
      <c r="W7" s="200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04" t="s">
        <v>14</v>
      </c>
      <c r="C9" s="207" t="s">
        <v>15</v>
      </c>
      <c r="D9" s="207" t="s">
        <v>16</v>
      </c>
      <c r="E9" s="207" t="s">
        <v>17</v>
      </c>
      <c r="F9" s="210" t="s">
        <v>18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2"/>
      <c r="S9" s="210" t="s">
        <v>19</v>
      </c>
      <c r="T9" s="211"/>
      <c r="U9" s="212"/>
      <c r="X9" s="223" t="s">
        <v>20</v>
      </c>
      <c r="Y9" s="226" t="s">
        <v>21</v>
      </c>
      <c r="Z9" s="226" t="s">
        <v>128</v>
      </c>
      <c r="AA9" s="17"/>
      <c r="AB9" s="216" t="s">
        <v>22</v>
      </c>
      <c r="AC9" s="229" t="s">
        <v>23</v>
      </c>
      <c r="AD9" s="232" t="s">
        <v>24</v>
      </c>
      <c r="AE9" s="216" t="s">
        <v>25</v>
      </c>
      <c r="AG9" s="216" t="s">
        <v>26</v>
      </c>
      <c r="AH9" s="17"/>
      <c r="AI9" s="216" t="s">
        <v>27</v>
      </c>
    </row>
    <row r="10" spans="2:35" s="16" customFormat="1" ht="20.25" customHeight="1" x14ac:dyDescent="0.25">
      <c r="B10" s="205"/>
      <c r="C10" s="208"/>
      <c r="D10" s="208"/>
      <c r="E10" s="208"/>
      <c r="F10" s="220" t="s">
        <v>28</v>
      </c>
      <c r="G10" s="220" t="s">
        <v>29</v>
      </c>
      <c r="H10" s="220" t="s">
        <v>30</v>
      </c>
      <c r="I10" s="221" t="s">
        <v>31</v>
      </c>
      <c r="J10" s="221" t="s">
        <v>32</v>
      </c>
      <c r="K10" s="221" t="s">
        <v>33</v>
      </c>
      <c r="L10" s="221" t="s">
        <v>34</v>
      </c>
      <c r="M10" s="213" t="s">
        <v>35</v>
      </c>
      <c r="N10" s="214"/>
      <c r="O10" s="214"/>
      <c r="P10" s="214"/>
      <c r="Q10" s="215"/>
      <c r="S10" s="241" t="s">
        <v>36</v>
      </c>
      <c r="T10" s="242"/>
      <c r="U10" s="243"/>
      <c r="X10" s="224"/>
      <c r="Y10" s="227"/>
      <c r="Z10" s="227"/>
      <c r="AA10" s="17"/>
      <c r="AB10" s="217"/>
      <c r="AC10" s="230"/>
      <c r="AD10" s="233"/>
      <c r="AE10" s="217"/>
      <c r="AG10" s="217"/>
      <c r="AH10" s="17"/>
      <c r="AI10" s="217"/>
    </row>
    <row r="11" spans="2:35" s="21" customFormat="1" ht="12.75" customHeight="1" thickBot="1" x14ac:dyDescent="0.3">
      <c r="B11" s="206"/>
      <c r="C11" s="209"/>
      <c r="D11" s="209"/>
      <c r="E11" s="209"/>
      <c r="F11" s="209"/>
      <c r="G11" s="209"/>
      <c r="H11" s="209"/>
      <c r="I11" s="222"/>
      <c r="J11" s="222"/>
      <c r="K11" s="222"/>
      <c r="L11" s="222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5"/>
      <c r="Y11" s="228"/>
      <c r="Z11" s="228"/>
      <c r="AA11" s="17"/>
      <c r="AB11" s="219"/>
      <c r="AC11" s="231"/>
      <c r="AD11" s="234"/>
      <c r="AE11" s="219"/>
      <c r="AG11" s="218"/>
      <c r="AH11" s="17"/>
      <c r="AI11" s="219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1397196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0</v>
      </c>
      <c r="P73" s="235"/>
      <c r="Q73" s="236"/>
      <c r="R73" s="152"/>
      <c r="S73" s="159" t="s">
        <v>104</v>
      </c>
      <c r="T73" s="239">
        <f>SUM(Y12:Y68)</f>
        <v>54419.040000000001</v>
      </c>
      <c r="U73" s="24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1397196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0</v>
      </c>
      <c r="P75" s="235"/>
      <c r="Q75" s="236"/>
      <c r="R75" s="152"/>
      <c r="S75" s="159" t="s">
        <v>129</v>
      </c>
      <c r="T75" s="239">
        <f>SUM(Z12:Z70)</f>
        <v>6426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1336350.96</v>
      </c>
      <c r="G77" s="235"/>
      <c r="H77" s="235"/>
      <c r="I77" s="236"/>
      <c r="J77" s="164"/>
      <c r="K77" s="164"/>
      <c r="L77" s="164"/>
      <c r="M77" s="255" t="s">
        <v>106</v>
      </c>
      <c r="N77" s="255"/>
      <c r="O77" s="168" t="s">
        <v>107</v>
      </c>
      <c r="P77" s="247"/>
      <c r="Q77" s="248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198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199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/>
      <c r="Q79" s="248"/>
      <c r="R79" s="152"/>
      <c r="S79" s="159" t="s">
        <v>112</v>
      </c>
      <c r="T79" s="239">
        <f>T77+T73+T75</f>
        <v>60845.04</v>
      </c>
      <c r="U79" s="240"/>
      <c r="V79" s="160"/>
      <c r="W79" s="20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132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133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DC20-BEB5-4B33-A5FD-D66D432DC4AD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C1" activePane="topRight" state="frozen"/>
      <selection activeCell="F13" sqref="F13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197" t="s">
        <v>130</v>
      </c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6" t="s">
        <v>1</v>
      </c>
      <c r="U2" s="7"/>
      <c r="W2" s="198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199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1"/>
      <c r="G4" s="201"/>
      <c r="H4" s="201"/>
      <c r="I4" s="201"/>
      <c r="J4" s="201"/>
      <c r="K4" s="201"/>
      <c r="L4" s="201"/>
      <c r="M4" s="201"/>
      <c r="S4" s="2" t="s">
        <v>4</v>
      </c>
      <c r="T4" s="202"/>
      <c r="U4" s="202"/>
      <c r="W4" s="200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3"/>
      <c r="G6" s="203"/>
      <c r="H6" s="203"/>
      <c r="I6" s="203"/>
      <c r="J6" s="203"/>
      <c r="K6" s="203"/>
      <c r="L6" s="203"/>
      <c r="M6" s="203"/>
      <c r="S6" s="11" t="s">
        <v>6</v>
      </c>
      <c r="T6" s="196" t="s">
        <v>7</v>
      </c>
      <c r="U6" s="12" t="s">
        <v>131</v>
      </c>
      <c r="W6" s="198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3"/>
      <c r="G7" s="203"/>
      <c r="H7" s="203"/>
      <c r="I7" s="203"/>
      <c r="J7" s="203"/>
      <c r="K7" s="203"/>
      <c r="L7" s="203"/>
      <c r="M7" s="203"/>
      <c r="N7" s="14"/>
      <c r="O7" s="14"/>
      <c r="P7" s="14"/>
      <c r="Q7" s="15"/>
      <c r="S7" s="14"/>
      <c r="T7" s="196" t="s">
        <v>11</v>
      </c>
      <c r="U7" s="12"/>
      <c r="W7" s="200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04" t="s">
        <v>14</v>
      </c>
      <c r="C9" s="207" t="s">
        <v>15</v>
      </c>
      <c r="D9" s="207" t="s">
        <v>16</v>
      </c>
      <c r="E9" s="207" t="s">
        <v>17</v>
      </c>
      <c r="F9" s="210" t="s">
        <v>18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2"/>
      <c r="S9" s="210" t="s">
        <v>19</v>
      </c>
      <c r="T9" s="211"/>
      <c r="U9" s="212"/>
      <c r="X9" s="223" t="s">
        <v>20</v>
      </c>
      <c r="Y9" s="226" t="s">
        <v>21</v>
      </c>
      <c r="Z9" s="226" t="s">
        <v>128</v>
      </c>
      <c r="AA9" s="17"/>
      <c r="AB9" s="216" t="s">
        <v>22</v>
      </c>
      <c r="AC9" s="229" t="s">
        <v>23</v>
      </c>
      <c r="AD9" s="232" t="s">
        <v>24</v>
      </c>
      <c r="AE9" s="216" t="s">
        <v>25</v>
      </c>
      <c r="AG9" s="216" t="s">
        <v>26</v>
      </c>
      <c r="AH9" s="17"/>
      <c r="AI9" s="216" t="s">
        <v>27</v>
      </c>
    </row>
    <row r="10" spans="2:35" s="16" customFormat="1" ht="20.25" customHeight="1" x14ac:dyDescent="0.25">
      <c r="B10" s="205"/>
      <c r="C10" s="208"/>
      <c r="D10" s="208"/>
      <c r="E10" s="208"/>
      <c r="F10" s="220" t="s">
        <v>28</v>
      </c>
      <c r="G10" s="220" t="s">
        <v>29</v>
      </c>
      <c r="H10" s="220" t="s">
        <v>30</v>
      </c>
      <c r="I10" s="221" t="s">
        <v>31</v>
      </c>
      <c r="J10" s="221" t="s">
        <v>32</v>
      </c>
      <c r="K10" s="221" t="s">
        <v>33</v>
      </c>
      <c r="L10" s="221" t="s">
        <v>34</v>
      </c>
      <c r="M10" s="213" t="s">
        <v>35</v>
      </c>
      <c r="N10" s="214"/>
      <c r="O10" s="214"/>
      <c r="P10" s="214"/>
      <c r="Q10" s="215"/>
      <c r="S10" s="241" t="s">
        <v>36</v>
      </c>
      <c r="T10" s="242"/>
      <c r="U10" s="243"/>
      <c r="X10" s="224"/>
      <c r="Y10" s="227"/>
      <c r="Z10" s="227"/>
      <c r="AA10" s="17"/>
      <c r="AB10" s="217"/>
      <c r="AC10" s="230"/>
      <c r="AD10" s="233"/>
      <c r="AE10" s="217"/>
      <c r="AG10" s="217"/>
      <c r="AH10" s="17"/>
      <c r="AI10" s="217"/>
    </row>
    <row r="11" spans="2:35" s="21" customFormat="1" ht="12.75" customHeight="1" thickBot="1" x14ac:dyDescent="0.3">
      <c r="B11" s="206"/>
      <c r="C11" s="209"/>
      <c r="D11" s="209"/>
      <c r="E11" s="209"/>
      <c r="F11" s="209"/>
      <c r="G11" s="209"/>
      <c r="H11" s="209"/>
      <c r="I11" s="222"/>
      <c r="J11" s="222"/>
      <c r="K11" s="222"/>
      <c r="L11" s="222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5"/>
      <c r="Y11" s="228"/>
      <c r="Z11" s="228"/>
      <c r="AA11" s="17"/>
      <c r="AB11" s="219"/>
      <c r="AC11" s="231"/>
      <c r="AD11" s="234"/>
      <c r="AE11" s="219"/>
      <c r="AG11" s="218"/>
      <c r="AH11" s="17"/>
      <c r="AI11" s="219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1397196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0</v>
      </c>
      <c r="P73" s="235"/>
      <c r="Q73" s="236"/>
      <c r="R73" s="152"/>
      <c r="S73" s="159" t="s">
        <v>104</v>
      </c>
      <c r="T73" s="239">
        <f>SUM(Y12:Y68)</f>
        <v>54419.040000000001</v>
      </c>
      <c r="U73" s="24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1397196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0</v>
      </c>
      <c r="P75" s="235"/>
      <c r="Q75" s="236"/>
      <c r="R75" s="152"/>
      <c r="S75" s="159" t="s">
        <v>129</v>
      </c>
      <c r="T75" s="239">
        <f>SUM(Z12:Z70)</f>
        <v>6426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1336350.96</v>
      </c>
      <c r="G77" s="235"/>
      <c r="H77" s="235"/>
      <c r="I77" s="236"/>
      <c r="J77" s="164"/>
      <c r="K77" s="164"/>
      <c r="L77" s="164"/>
      <c r="M77" s="255" t="s">
        <v>106</v>
      </c>
      <c r="N77" s="255"/>
      <c r="O77" s="168" t="s">
        <v>107</v>
      </c>
      <c r="P77" s="247"/>
      <c r="Q77" s="248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198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199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/>
      <c r="Q79" s="248"/>
      <c r="R79" s="152"/>
      <c r="S79" s="159" t="s">
        <v>112</v>
      </c>
      <c r="T79" s="239">
        <f>T77+T73+T75</f>
        <v>60845.04</v>
      </c>
      <c r="U79" s="240"/>
      <c r="V79" s="160"/>
      <c r="W79" s="20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132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133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E508-6819-4D78-BC67-D4AE1927B51E}">
  <sheetPr>
    <tabColor rgb="FF00B050"/>
    <pageSetUpPr fitToPage="1"/>
  </sheetPr>
  <dimension ref="B1:XFA100"/>
  <sheetViews>
    <sheetView showGridLines="0" tabSelected="1" zoomScale="85" zoomScaleNormal="85" workbookViewId="0">
      <pane xSplit="2" topLeftCell="C1" activePane="topRight" state="frozen"/>
      <selection activeCell="F77" sqref="F77:I77"/>
      <selection pane="topRight" activeCell="H21" sqref="H2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23.7109375" style="3" bestFit="1" customWidth="1"/>
    <col min="10" max="10" width="17.140625" style="3" bestFit="1" customWidth="1"/>
    <col min="11" max="11" width="17.5703125" style="3" bestFit="1" customWidth="1"/>
    <col min="12" max="12" width="8.5703125" style="3" customWidth="1"/>
    <col min="13" max="13" width="18.7109375" style="2" customWidth="1"/>
    <col min="14" max="14" width="19.5703125" style="2" customWidth="1"/>
    <col min="15" max="15" width="26.28515625" style="2" bestFit="1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5" width="18.7109375" style="2" customWidth="1"/>
    <col min="26" max="26" width="24.28515625" style="2" bestFit="1" customWidth="1"/>
    <col min="27" max="27" width="5.140625" style="2" customWidth="1"/>
    <col min="28" max="28" width="19.140625" style="2" bestFit="1" customWidth="1"/>
    <col min="29" max="30" width="14.140625" style="2" customWidth="1"/>
    <col min="31" max="31" width="15.5703125" style="2" bestFit="1" customWidth="1"/>
    <col min="32" max="32" width="3.7109375" style="2" customWidth="1"/>
    <col min="33" max="33" width="14.140625" style="2" customWidth="1"/>
    <col min="34" max="34" width="3.5703125" style="2" customWidth="1"/>
    <col min="35" max="35" width="14.140625" style="2" customWidth="1"/>
    <col min="36" max="36" width="0" style="2" hidden="1" customWidth="1"/>
    <col min="37" max="16381" width="10.28515625" style="2" hidden="1"/>
    <col min="16382" max="16382" width="3.140625" style="2" customWidth="1"/>
    <col min="16383" max="16383" width="3.5703125" style="2" customWidth="1"/>
    <col min="16384" max="16384" width="6" style="2" customWidth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197" t="s">
        <v>130</v>
      </c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6" t="s">
        <v>1</v>
      </c>
      <c r="U2" s="7"/>
      <c r="W2" s="198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199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1"/>
      <c r="G4" s="201"/>
      <c r="H4" s="201"/>
      <c r="I4" s="201"/>
      <c r="J4" s="201"/>
      <c r="K4" s="201"/>
      <c r="L4" s="201"/>
      <c r="M4" s="201"/>
      <c r="S4" s="2" t="s">
        <v>4</v>
      </c>
      <c r="T4" s="202"/>
      <c r="U4" s="202"/>
      <c r="W4" s="200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3"/>
      <c r="G6" s="203"/>
      <c r="H6" s="203"/>
      <c r="I6" s="203"/>
      <c r="J6" s="203"/>
      <c r="K6" s="203"/>
      <c r="L6" s="203"/>
      <c r="M6" s="203"/>
      <c r="S6" s="11" t="s">
        <v>6</v>
      </c>
      <c r="T6" s="196" t="s">
        <v>7</v>
      </c>
      <c r="U6" s="12" t="s">
        <v>131</v>
      </c>
      <c r="W6" s="198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3"/>
      <c r="G7" s="203"/>
      <c r="H7" s="203"/>
      <c r="I7" s="203"/>
      <c r="J7" s="203"/>
      <c r="K7" s="203"/>
      <c r="L7" s="203"/>
      <c r="M7" s="203"/>
      <c r="N7" s="14"/>
      <c r="O7" s="14"/>
      <c r="P7" s="14"/>
      <c r="Q7" s="15"/>
      <c r="S7" s="14"/>
      <c r="T7" s="196" t="s">
        <v>11</v>
      </c>
      <c r="U7" s="12"/>
      <c r="W7" s="200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04" t="s">
        <v>14</v>
      </c>
      <c r="C9" s="207" t="s">
        <v>15</v>
      </c>
      <c r="D9" s="207" t="s">
        <v>16</v>
      </c>
      <c r="E9" s="207" t="s">
        <v>17</v>
      </c>
      <c r="F9" s="210" t="s">
        <v>18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2"/>
      <c r="S9" s="210" t="s">
        <v>19</v>
      </c>
      <c r="T9" s="211"/>
      <c r="U9" s="212"/>
      <c r="X9" s="223" t="s">
        <v>20</v>
      </c>
      <c r="Y9" s="226" t="s">
        <v>21</v>
      </c>
      <c r="Z9" s="226" t="s">
        <v>128</v>
      </c>
      <c r="AA9" s="17"/>
      <c r="AB9" s="216" t="s">
        <v>22</v>
      </c>
      <c r="AC9" s="229" t="s">
        <v>23</v>
      </c>
      <c r="AD9" s="232" t="s">
        <v>24</v>
      </c>
      <c r="AE9" s="216" t="s">
        <v>25</v>
      </c>
      <c r="AG9" s="216" t="s">
        <v>26</v>
      </c>
      <c r="AH9" s="17"/>
      <c r="AI9" s="216" t="s">
        <v>27</v>
      </c>
    </row>
    <row r="10" spans="2:35" s="16" customFormat="1" ht="20.25" customHeight="1" x14ac:dyDescent="0.25">
      <c r="B10" s="205"/>
      <c r="C10" s="208"/>
      <c r="D10" s="208"/>
      <c r="E10" s="208"/>
      <c r="F10" s="220" t="s">
        <v>28</v>
      </c>
      <c r="G10" s="220" t="s">
        <v>29</v>
      </c>
      <c r="H10" s="220" t="s">
        <v>30</v>
      </c>
      <c r="I10" s="221" t="s">
        <v>31</v>
      </c>
      <c r="J10" s="221" t="s">
        <v>32</v>
      </c>
      <c r="K10" s="221" t="s">
        <v>33</v>
      </c>
      <c r="L10" s="221" t="s">
        <v>34</v>
      </c>
      <c r="M10" s="213" t="s">
        <v>35</v>
      </c>
      <c r="N10" s="214"/>
      <c r="O10" s="214"/>
      <c r="P10" s="214"/>
      <c r="Q10" s="215"/>
      <c r="S10" s="241" t="s">
        <v>36</v>
      </c>
      <c r="T10" s="242"/>
      <c r="U10" s="243"/>
      <c r="X10" s="224"/>
      <c r="Y10" s="227"/>
      <c r="Z10" s="227"/>
      <c r="AA10" s="17"/>
      <c r="AB10" s="217"/>
      <c r="AC10" s="230"/>
      <c r="AD10" s="233"/>
      <c r="AE10" s="217"/>
      <c r="AG10" s="217"/>
      <c r="AH10" s="17"/>
      <c r="AI10" s="217"/>
    </row>
    <row r="11" spans="2:35" s="21" customFormat="1" ht="12.75" customHeight="1" thickBot="1" x14ac:dyDescent="0.3">
      <c r="B11" s="206"/>
      <c r="C11" s="209"/>
      <c r="D11" s="209"/>
      <c r="E11" s="209"/>
      <c r="F11" s="209"/>
      <c r="G11" s="209"/>
      <c r="H11" s="209"/>
      <c r="I11" s="222"/>
      <c r="J11" s="222"/>
      <c r="K11" s="222"/>
      <c r="L11" s="222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5"/>
      <c r="Y11" s="228"/>
      <c r="Z11" s="228"/>
      <c r="AA11" s="17"/>
      <c r="AB11" s="219"/>
      <c r="AC11" s="231"/>
      <c r="AD11" s="234"/>
      <c r="AE11" s="219"/>
      <c r="AG11" s="218"/>
      <c r="AH11" s="17"/>
      <c r="AI11" s="219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>(M1*M13)+(K13*N13)+(O13*L13)</f>
        <v>0</v>
      </c>
      <c r="S13" s="54"/>
      <c r="T13" s="54"/>
      <c r="U13" s="55"/>
      <c r="X13" s="56">
        <f t="shared" ref="X13:X68" si="6">F13*C13</f>
        <v>0</v>
      </c>
      <c r="Y13" s="57">
        <f>F13*AI13</f>
        <v>0</v>
      </c>
      <c r="Z13" s="36">
        <f t="shared" ref="Z13:Z56" si="7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8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ref="Q14:Q70" si="9">(J14*M14)+(K14*N14)+(O14*L14)</f>
        <v>0</v>
      </c>
      <c r="S14" s="54"/>
      <c r="T14" s="54"/>
      <c r="U14" s="55"/>
      <c r="X14" s="56">
        <f t="shared" si="6"/>
        <v>0</v>
      </c>
      <c r="Y14" s="57">
        <f t="shared" si="0"/>
        <v>0</v>
      </c>
      <c r="Z14" s="36">
        <f t="shared" si="7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8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9"/>
        <v>0</v>
      </c>
      <c r="S15" s="54"/>
      <c r="T15" s="54"/>
      <c r="U15" s="55"/>
      <c r="X15" s="56">
        <f t="shared" si="6"/>
        <v>0</v>
      </c>
      <c r="Y15" s="57">
        <f>F15*AI15</f>
        <v>0</v>
      </c>
      <c r="Z15" s="36">
        <f t="shared" si="7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8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50">
        <v>84</v>
      </c>
      <c r="L16" s="50">
        <v>4.5</v>
      </c>
      <c r="M16" s="51"/>
      <c r="N16" s="193"/>
      <c r="O16" s="51"/>
      <c r="P16" s="52" t="str">
        <f t="shared" si="5"/>
        <v/>
      </c>
      <c r="Q16" s="53">
        <f t="shared" si="9"/>
        <v>0</v>
      </c>
      <c r="S16" s="54"/>
      <c r="T16" s="67"/>
      <c r="U16" s="55"/>
      <c r="X16" s="56">
        <f t="shared" si="6"/>
        <v>1193400</v>
      </c>
      <c r="Y16" s="57">
        <f>F16*AI16</f>
        <v>54419.040000000001</v>
      </c>
      <c r="Z16" s="36">
        <f t="shared" si="7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8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50">
        <v>84</v>
      </c>
      <c r="L17" s="50">
        <v>4.5</v>
      </c>
      <c r="M17" s="51"/>
      <c r="N17" s="193"/>
      <c r="O17" s="51"/>
      <c r="P17" s="52" t="str">
        <f t="shared" si="5"/>
        <v/>
      </c>
      <c r="Q17" s="53">
        <f t="shared" si="9"/>
        <v>0</v>
      </c>
      <c r="S17" s="54"/>
      <c r="T17" s="67"/>
      <c r="U17" s="55"/>
      <c r="X17" s="56">
        <f t="shared" si="6"/>
        <v>0</v>
      </c>
      <c r="Y17" s="57">
        <f t="shared" si="0"/>
        <v>0</v>
      </c>
      <c r="Z17" s="36">
        <f t="shared" si="7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8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9"/>
        <v>0</v>
      </c>
      <c r="S18" s="54"/>
      <c r="T18" s="67"/>
      <c r="U18" s="55"/>
      <c r="X18" s="56">
        <f t="shared" si="6"/>
        <v>0</v>
      </c>
      <c r="Y18" s="57">
        <f t="shared" si="0"/>
        <v>0</v>
      </c>
      <c r="Z18" s="36">
        <f t="shared" si="7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8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9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7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8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9"/>
        <v>0</v>
      </c>
      <c r="S20" s="54"/>
      <c r="T20" s="67"/>
      <c r="U20" s="55"/>
      <c r="X20" s="56">
        <f t="shared" si="6"/>
        <v>0</v>
      </c>
      <c r="Y20" s="57">
        <f t="shared" si="0"/>
        <v>0</v>
      </c>
      <c r="Z20" s="36">
        <f t="shared" si="7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8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9"/>
        <v>0</v>
      </c>
      <c r="S21" s="80"/>
      <c r="T21" s="81"/>
      <c r="U21" s="82"/>
      <c r="X21" s="56">
        <f t="shared" si="6"/>
        <v>0</v>
      </c>
      <c r="Y21" s="57">
        <f t="shared" si="0"/>
        <v>0</v>
      </c>
      <c r="Z21" s="36">
        <f t="shared" si="7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8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7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9"/>
        <v>0</v>
      </c>
      <c r="S23" s="96"/>
      <c r="T23" s="97"/>
      <c r="U23" s="98"/>
      <c r="X23" s="56">
        <f t="shared" si="6"/>
        <v>0</v>
      </c>
      <c r="Y23" s="57">
        <f t="shared" si="0"/>
        <v>0</v>
      </c>
      <c r="Z23" s="36">
        <f t="shared" si="7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8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9"/>
        <v>0</v>
      </c>
      <c r="S24" s="54"/>
      <c r="T24" s="67"/>
      <c r="U24" s="55"/>
      <c r="X24" s="56">
        <f t="shared" si="6"/>
        <v>0</v>
      </c>
      <c r="Y24" s="57">
        <f t="shared" si="0"/>
        <v>0</v>
      </c>
      <c r="Z24" s="36">
        <f t="shared" si="7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8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9"/>
        <v>0</v>
      </c>
      <c r="S25" s="54"/>
      <c r="T25" s="67"/>
      <c r="U25" s="55"/>
      <c r="X25" s="56">
        <f t="shared" si="6"/>
        <v>0</v>
      </c>
      <c r="Y25" s="57">
        <f t="shared" si="0"/>
        <v>0</v>
      </c>
      <c r="Z25" s="36">
        <f t="shared" si="7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8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9"/>
        <v>0</v>
      </c>
      <c r="S26" s="54"/>
      <c r="T26" s="67"/>
      <c r="U26" s="55"/>
      <c r="X26" s="56">
        <f t="shared" si="6"/>
        <v>0</v>
      </c>
      <c r="Y26" s="57">
        <f t="shared" si="0"/>
        <v>0</v>
      </c>
      <c r="Z26" s="36">
        <f t="shared" si="7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8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9"/>
        <v>0</v>
      </c>
      <c r="S27" s="80"/>
      <c r="T27" s="81"/>
      <c r="U27" s="82"/>
      <c r="X27" s="56">
        <f t="shared" si="6"/>
        <v>0</v>
      </c>
      <c r="Y27" s="57">
        <f t="shared" si="0"/>
        <v>0</v>
      </c>
      <c r="Z27" s="36">
        <f t="shared" si="7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8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9"/>
        <v>0</v>
      </c>
      <c r="S28" s="96"/>
      <c r="T28" s="97"/>
      <c r="U28" s="98"/>
      <c r="X28" s="56">
        <f t="shared" si="6"/>
        <v>0</v>
      </c>
      <c r="Y28" s="57">
        <f t="shared" si="0"/>
        <v>0</v>
      </c>
      <c r="Z28" s="36">
        <f t="shared" si="7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8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9"/>
        <v>0</v>
      </c>
      <c r="S29" s="80"/>
      <c r="T29" s="81"/>
      <c r="U29" s="82"/>
      <c r="X29" s="56">
        <f t="shared" si="6"/>
        <v>0</v>
      </c>
      <c r="Y29" s="57">
        <f t="shared" si="0"/>
        <v>0</v>
      </c>
      <c r="Z29" s="36">
        <f t="shared" si="7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8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9"/>
        <v>0</v>
      </c>
      <c r="S30" s="96"/>
      <c r="T30" s="97"/>
      <c r="U30" s="98"/>
      <c r="X30" s="56">
        <f t="shared" si="6"/>
        <v>0</v>
      </c>
      <c r="Y30" s="57">
        <f t="shared" si="0"/>
        <v>0</v>
      </c>
      <c r="Z30" s="36">
        <f t="shared" si="7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8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9"/>
        <v>0</v>
      </c>
      <c r="S31" s="54"/>
      <c r="T31" s="67"/>
      <c r="U31" s="55"/>
      <c r="X31" s="56">
        <f t="shared" si="6"/>
        <v>0</v>
      </c>
      <c r="Y31" s="57">
        <f t="shared" si="0"/>
        <v>0</v>
      </c>
      <c r="Z31" s="36">
        <f t="shared" si="7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8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9"/>
        <v>0</v>
      </c>
      <c r="S32" s="54"/>
      <c r="T32" s="67"/>
      <c r="U32" s="55"/>
      <c r="X32" s="56">
        <f t="shared" si="6"/>
        <v>0</v>
      </c>
      <c r="Y32" s="57">
        <f t="shared" si="0"/>
        <v>0</v>
      </c>
      <c r="Z32" s="36">
        <f t="shared" si="7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8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9"/>
        <v>0</v>
      </c>
      <c r="S33" s="67"/>
      <c r="T33" s="67"/>
      <c r="U33" s="85"/>
      <c r="X33" s="56">
        <f t="shared" si="6"/>
        <v>0</v>
      </c>
      <c r="Y33" s="57">
        <f t="shared" si="0"/>
        <v>0</v>
      </c>
      <c r="Z33" s="36">
        <f t="shared" si="7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8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9"/>
        <v>0</v>
      </c>
      <c r="S34" s="67"/>
      <c r="T34" s="67"/>
      <c r="U34" s="85"/>
      <c r="X34" s="56">
        <f t="shared" si="6"/>
        <v>0</v>
      </c>
      <c r="Y34" s="57">
        <f t="shared" si="0"/>
        <v>0</v>
      </c>
      <c r="Z34" s="36">
        <f t="shared" si="7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8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9"/>
        <v>0</v>
      </c>
      <c r="S35" s="67"/>
      <c r="T35" s="67"/>
      <c r="U35" s="85"/>
      <c r="X35" s="56">
        <f t="shared" si="6"/>
        <v>0</v>
      </c>
      <c r="Y35" s="57">
        <f t="shared" si="0"/>
        <v>0</v>
      </c>
      <c r="Z35" s="36">
        <f t="shared" si="7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8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9"/>
        <v>0</v>
      </c>
      <c r="S36" s="67"/>
      <c r="T36" s="67"/>
      <c r="U36" s="85"/>
      <c r="X36" s="56">
        <f t="shared" si="6"/>
        <v>0</v>
      </c>
      <c r="Y36" s="57">
        <f t="shared" si="0"/>
        <v>0</v>
      </c>
      <c r="Z36" s="36">
        <f t="shared" si="7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8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9"/>
        <v>0</v>
      </c>
      <c r="S37" s="67"/>
      <c r="T37" s="67"/>
      <c r="U37" s="85"/>
      <c r="X37" s="56">
        <f t="shared" si="6"/>
        <v>0</v>
      </c>
      <c r="Y37" s="57">
        <f t="shared" si="0"/>
        <v>0</v>
      </c>
      <c r="Z37" s="36">
        <f t="shared" si="7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8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9"/>
        <v>0</v>
      </c>
      <c r="S38" s="81"/>
      <c r="T38" s="81"/>
      <c r="U38" s="101"/>
      <c r="X38" s="56">
        <f t="shared" si="6"/>
        <v>0</v>
      </c>
      <c r="Y38" s="57">
        <f t="shared" si="0"/>
        <v>0</v>
      </c>
      <c r="Z38" s="36">
        <f t="shared" si="7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8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9"/>
        <v>0</v>
      </c>
      <c r="S39" s="97"/>
      <c r="T39" s="97"/>
      <c r="U39" s="103"/>
      <c r="X39" s="56">
        <f t="shared" si="6"/>
        <v>0</v>
      </c>
      <c r="Y39" s="57">
        <f t="shared" si="0"/>
        <v>0</v>
      </c>
      <c r="Z39" s="36">
        <f t="shared" si="7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8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9"/>
        <v>0</v>
      </c>
      <c r="S40" s="67"/>
      <c r="T40" s="67"/>
      <c r="U40" s="85"/>
      <c r="X40" s="56">
        <f t="shared" si="6"/>
        <v>0</v>
      </c>
      <c r="Y40" s="57">
        <f t="shared" si="0"/>
        <v>0</v>
      </c>
      <c r="Z40" s="36">
        <f t="shared" si="7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8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9"/>
        <v>0</v>
      </c>
      <c r="S41" s="81"/>
      <c r="T41" s="81"/>
      <c r="U41" s="101"/>
      <c r="X41" s="56">
        <f t="shared" si="6"/>
        <v>0</v>
      </c>
      <c r="Y41" s="57">
        <f t="shared" si="0"/>
        <v>0</v>
      </c>
      <c r="Z41" s="36">
        <f t="shared" si="7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8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9"/>
        <v>0</v>
      </c>
      <c r="S42" s="97"/>
      <c r="T42" s="97"/>
      <c r="U42" s="103"/>
      <c r="X42" s="56">
        <f t="shared" si="6"/>
        <v>0</v>
      </c>
      <c r="Y42" s="57">
        <f t="shared" si="0"/>
        <v>0</v>
      </c>
      <c r="Z42" s="36">
        <f t="shared" si="7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8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9"/>
        <v>0</v>
      </c>
      <c r="S43" s="67"/>
      <c r="T43" s="67"/>
      <c r="U43" s="85"/>
      <c r="X43" s="56">
        <f t="shared" si="6"/>
        <v>0</v>
      </c>
      <c r="Y43" s="57">
        <f t="shared" si="0"/>
        <v>0</v>
      </c>
      <c r="Z43" s="36">
        <f t="shared" si="7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8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7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9"/>
        <v>0</v>
      </c>
      <c r="S45" s="67"/>
      <c r="T45" s="67"/>
      <c r="U45" s="85"/>
      <c r="X45" s="56">
        <f t="shared" si="6"/>
        <v>0</v>
      </c>
      <c r="Y45" s="57">
        <f t="shared" si="0"/>
        <v>0</v>
      </c>
      <c r="Z45" s="36">
        <f t="shared" si="7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8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9"/>
        <v>0</v>
      </c>
      <c r="S46" s="81"/>
      <c r="T46" s="81"/>
      <c r="U46" s="101"/>
      <c r="X46" s="56">
        <f t="shared" si="6"/>
        <v>0</v>
      </c>
      <c r="Y46" s="57">
        <f t="shared" si="0"/>
        <v>0</v>
      </c>
      <c r="Z46" s="36">
        <f t="shared" si="7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8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9"/>
        <v>0</v>
      </c>
      <c r="S47" s="54"/>
      <c r="T47" s="67"/>
      <c r="U47" s="85"/>
      <c r="X47" s="56">
        <f t="shared" si="6"/>
        <v>0</v>
      </c>
      <c r="Y47" s="57">
        <f t="shared" si="0"/>
        <v>0</v>
      </c>
      <c r="Z47" s="36">
        <f t="shared" si="7"/>
        <v>0</v>
      </c>
      <c r="AA47" s="37"/>
      <c r="AB47" s="58"/>
      <c r="AC47" s="59"/>
      <c r="AD47" s="59"/>
      <c r="AE47" s="60">
        <f t="shared" si="8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9"/>
        <v>0</v>
      </c>
      <c r="S48" s="54"/>
      <c r="T48" s="67"/>
      <c r="U48" s="85"/>
      <c r="X48" s="56">
        <f t="shared" si="6"/>
        <v>0</v>
      </c>
      <c r="Y48" s="57">
        <f t="shared" si="0"/>
        <v>0</v>
      </c>
      <c r="Z48" s="36">
        <f t="shared" si="7"/>
        <v>0</v>
      </c>
      <c r="AA48" s="37"/>
      <c r="AB48" s="58"/>
      <c r="AC48" s="59"/>
      <c r="AD48" s="59"/>
      <c r="AE48" s="60">
        <f t="shared" si="8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9"/>
        <v>0</v>
      </c>
      <c r="S49" s="80"/>
      <c r="T49" s="81"/>
      <c r="U49" s="101"/>
      <c r="X49" s="56">
        <f t="shared" si="6"/>
        <v>0</v>
      </c>
      <c r="Y49" s="57">
        <f t="shared" si="0"/>
        <v>0</v>
      </c>
      <c r="Z49" s="36">
        <f t="shared" si="7"/>
        <v>0</v>
      </c>
      <c r="AA49" s="37"/>
      <c r="AB49" s="58"/>
      <c r="AC49" s="59"/>
      <c r="AD49" s="59"/>
      <c r="AE49" s="60">
        <f t="shared" si="8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9"/>
        <v>0</v>
      </c>
      <c r="S50" s="54"/>
      <c r="T50" s="67"/>
      <c r="U50" s="85"/>
      <c r="X50" s="56">
        <f t="shared" si="6"/>
        <v>0</v>
      </c>
      <c r="Y50" s="57">
        <f t="shared" si="0"/>
        <v>0</v>
      </c>
      <c r="Z50" s="36">
        <f t="shared" si="7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8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9"/>
        <v>0</v>
      </c>
      <c r="S51" s="123"/>
      <c r="T51" s="123"/>
      <c r="U51" s="124"/>
      <c r="X51" s="56">
        <f t="shared" si="6"/>
        <v>0</v>
      </c>
      <c r="Y51" s="57">
        <f t="shared" si="0"/>
        <v>0</v>
      </c>
      <c r="Z51" s="36">
        <f t="shared" si="7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8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9"/>
        <v>0</v>
      </c>
      <c r="S52" s="97"/>
      <c r="T52" s="97"/>
      <c r="U52" s="103"/>
      <c r="X52" s="56">
        <f t="shared" si="6"/>
        <v>0</v>
      </c>
      <c r="Y52" s="57">
        <f t="shared" si="0"/>
        <v>0</v>
      </c>
      <c r="Z52" s="36">
        <f t="shared" si="7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8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9"/>
        <v>0</v>
      </c>
      <c r="S53" s="123"/>
      <c r="T53" s="123"/>
      <c r="U53" s="124"/>
      <c r="X53" s="56">
        <f t="shared" si="6"/>
        <v>0</v>
      </c>
      <c r="Y53" s="57">
        <f t="shared" si="0"/>
        <v>0</v>
      </c>
      <c r="Z53" s="36">
        <f t="shared" si="7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8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9"/>
        <v>0</v>
      </c>
      <c r="S54" s="123"/>
      <c r="T54" s="123"/>
      <c r="U54" s="124"/>
      <c r="X54" s="56">
        <f t="shared" si="6"/>
        <v>0</v>
      </c>
      <c r="Y54" s="57">
        <f t="shared" si="0"/>
        <v>0</v>
      </c>
      <c r="Z54" s="36">
        <f t="shared" si="7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8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9"/>
        <v>0</v>
      </c>
      <c r="S55" s="123"/>
      <c r="T55" s="123"/>
      <c r="U55" s="124"/>
      <c r="X55" s="56">
        <f t="shared" si="6"/>
        <v>0</v>
      </c>
      <c r="Y55" s="57">
        <f t="shared" si="0"/>
        <v>0</v>
      </c>
      <c r="Z55" s="36">
        <f t="shared" si="7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8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9"/>
        <v>0</v>
      </c>
      <c r="S56" s="123"/>
      <c r="T56" s="123"/>
      <c r="U56" s="124"/>
      <c r="X56" s="56">
        <f t="shared" si="6"/>
        <v>0</v>
      </c>
      <c r="Y56" s="57">
        <f t="shared" si="0"/>
        <v>0</v>
      </c>
      <c r="Z56" s="36">
        <f t="shared" si="7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8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6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8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9"/>
        <v>0</v>
      </c>
      <c r="S58" s="54"/>
      <c r="T58" s="67"/>
      <c r="U58" s="55"/>
      <c r="X58" s="56">
        <f t="shared" si="6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8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9"/>
        <v>0</v>
      </c>
      <c r="S59" s="54"/>
      <c r="T59" s="67"/>
      <c r="U59" s="55"/>
      <c r="X59" s="56">
        <f t="shared" si="6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8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9"/>
        <v>0</v>
      </c>
      <c r="S60" s="54"/>
      <c r="T60" s="67"/>
      <c r="U60" s="55"/>
      <c r="X60" s="56">
        <f t="shared" si="6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8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9"/>
        <v>0</v>
      </c>
      <c r="S61" s="80"/>
      <c r="T61" s="81"/>
      <c r="U61" s="82"/>
      <c r="X61" s="56">
        <f t="shared" si="6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8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9"/>
        <v>0</v>
      </c>
      <c r="S62" s="97"/>
      <c r="T62" s="97"/>
      <c r="U62" s="103"/>
      <c r="X62" s="56">
        <f t="shared" si="6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8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9"/>
        <v>0</v>
      </c>
      <c r="S63" s="67"/>
      <c r="T63" s="67"/>
      <c r="U63" s="103"/>
      <c r="X63" s="56">
        <f t="shared" si="6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8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9"/>
        <v>0</v>
      </c>
      <c r="S64" s="67"/>
      <c r="T64" s="67"/>
      <c r="U64" s="103"/>
      <c r="X64" s="56">
        <f t="shared" si="6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8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9"/>
        <v>0</v>
      </c>
      <c r="S65" s="67"/>
      <c r="T65" s="67"/>
      <c r="U65" s="103"/>
      <c r="X65" s="56">
        <f t="shared" si="6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8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9"/>
        <v>0</v>
      </c>
      <c r="S66" s="67"/>
      <c r="T66" s="67"/>
      <c r="U66" s="103"/>
      <c r="X66" s="56">
        <f t="shared" si="6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8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9"/>
        <v>0</v>
      </c>
      <c r="S67" s="67"/>
      <c r="T67" s="67"/>
      <c r="U67" s="103"/>
      <c r="X67" s="56">
        <f t="shared" si="6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8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9"/>
        <v>0</v>
      </c>
      <c r="S68" s="123"/>
      <c r="T68" s="123"/>
      <c r="U68" s="128"/>
      <c r="X68" s="129">
        <f t="shared" si="6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8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9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9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1397196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0</v>
      </c>
      <c r="P73" s="235"/>
      <c r="Q73" s="236"/>
      <c r="R73" s="152"/>
      <c r="S73" s="159" t="s">
        <v>104</v>
      </c>
      <c r="T73" s="239">
        <f>SUM(Y12:Y68)</f>
        <v>54419.040000000001</v>
      </c>
      <c r="U73" s="24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1397196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0</v>
      </c>
      <c r="P75" s="235"/>
      <c r="Q75" s="236"/>
      <c r="R75" s="152"/>
      <c r="S75" s="159" t="s">
        <v>129</v>
      </c>
      <c r="T75" s="239">
        <f>SUM(Z12:Z70)</f>
        <v>6426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1336350.96</v>
      </c>
      <c r="G77" s="235"/>
      <c r="H77" s="235"/>
      <c r="I77" s="236"/>
      <c r="J77" s="164"/>
      <c r="K77" s="164"/>
      <c r="L77" s="164"/>
      <c r="M77" s="255" t="s">
        <v>106</v>
      </c>
      <c r="N77" s="255"/>
      <c r="O77" s="168" t="s">
        <v>107</v>
      </c>
      <c r="P77" s="247"/>
      <c r="Q77" s="248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198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199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/>
      <c r="Q79" s="248"/>
      <c r="R79" s="152"/>
      <c r="S79" s="159" t="s">
        <v>112</v>
      </c>
      <c r="T79" s="239">
        <f>T77+T73+T75</f>
        <v>60845.04</v>
      </c>
      <c r="U79" s="240"/>
      <c r="V79" s="160"/>
      <c r="W79" s="20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132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133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BFB2-B540-48A6-B5FB-395FB70EABBC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C1" activePane="topRight" state="frozen"/>
      <selection activeCell="F77" sqref="F77:I77"/>
      <selection pane="topRight" activeCell="F29" sqref="F2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9.28515625" style="3" bestFit="1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197" t="s">
        <v>130</v>
      </c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6" t="s">
        <v>1</v>
      </c>
      <c r="U2" s="7"/>
      <c r="W2" s="198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199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1"/>
      <c r="G4" s="201"/>
      <c r="H4" s="201"/>
      <c r="I4" s="201"/>
      <c r="J4" s="201"/>
      <c r="K4" s="201"/>
      <c r="L4" s="201"/>
      <c r="M4" s="201"/>
      <c r="S4" s="2" t="s">
        <v>4</v>
      </c>
      <c r="T4" s="202"/>
      <c r="U4" s="202"/>
      <c r="W4" s="200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03"/>
      <c r="G6" s="203"/>
      <c r="H6" s="203"/>
      <c r="I6" s="203"/>
      <c r="J6" s="203"/>
      <c r="K6" s="203"/>
      <c r="L6" s="203"/>
      <c r="M6" s="203"/>
      <c r="S6" s="11" t="s">
        <v>6</v>
      </c>
      <c r="T6" s="196" t="s">
        <v>7</v>
      </c>
      <c r="U6" s="12" t="s">
        <v>131</v>
      </c>
      <c r="W6" s="198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03"/>
      <c r="G7" s="203"/>
      <c r="H7" s="203"/>
      <c r="I7" s="203"/>
      <c r="J7" s="203"/>
      <c r="K7" s="203"/>
      <c r="L7" s="203"/>
      <c r="M7" s="203"/>
      <c r="N7" s="14"/>
      <c r="O7" s="14"/>
      <c r="P7" s="14"/>
      <c r="Q7" s="15"/>
      <c r="S7" s="14"/>
      <c r="T7" s="196" t="s">
        <v>11</v>
      </c>
      <c r="U7" s="12"/>
      <c r="W7" s="200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04" t="s">
        <v>14</v>
      </c>
      <c r="C9" s="207" t="s">
        <v>15</v>
      </c>
      <c r="D9" s="207" t="s">
        <v>16</v>
      </c>
      <c r="E9" s="207" t="s">
        <v>17</v>
      </c>
      <c r="F9" s="210" t="s">
        <v>18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2"/>
      <c r="S9" s="210" t="s">
        <v>19</v>
      </c>
      <c r="T9" s="211"/>
      <c r="U9" s="212"/>
      <c r="X9" s="223" t="s">
        <v>20</v>
      </c>
      <c r="Y9" s="226" t="s">
        <v>21</v>
      </c>
      <c r="Z9" s="226" t="s">
        <v>128</v>
      </c>
      <c r="AA9" s="17"/>
      <c r="AB9" s="216" t="s">
        <v>22</v>
      </c>
      <c r="AC9" s="229" t="s">
        <v>23</v>
      </c>
      <c r="AD9" s="232" t="s">
        <v>24</v>
      </c>
      <c r="AE9" s="216" t="s">
        <v>25</v>
      </c>
      <c r="AG9" s="216" t="s">
        <v>26</v>
      </c>
      <c r="AH9" s="17"/>
      <c r="AI9" s="216" t="s">
        <v>27</v>
      </c>
    </row>
    <row r="10" spans="2:35" s="16" customFormat="1" ht="20.25" customHeight="1" x14ac:dyDescent="0.25">
      <c r="B10" s="205"/>
      <c r="C10" s="208"/>
      <c r="D10" s="208"/>
      <c r="E10" s="208"/>
      <c r="F10" s="220" t="s">
        <v>28</v>
      </c>
      <c r="G10" s="220" t="s">
        <v>29</v>
      </c>
      <c r="H10" s="220" t="s">
        <v>30</v>
      </c>
      <c r="I10" s="221" t="s">
        <v>31</v>
      </c>
      <c r="J10" s="221" t="s">
        <v>32</v>
      </c>
      <c r="K10" s="221" t="s">
        <v>33</v>
      </c>
      <c r="L10" s="221" t="s">
        <v>34</v>
      </c>
      <c r="M10" s="213" t="s">
        <v>35</v>
      </c>
      <c r="N10" s="214"/>
      <c r="O10" s="214"/>
      <c r="P10" s="214"/>
      <c r="Q10" s="215"/>
      <c r="S10" s="241" t="s">
        <v>36</v>
      </c>
      <c r="T10" s="242"/>
      <c r="U10" s="243"/>
      <c r="X10" s="224"/>
      <c r="Y10" s="227"/>
      <c r="Z10" s="227"/>
      <c r="AA10" s="17"/>
      <c r="AB10" s="217"/>
      <c r="AC10" s="230"/>
      <c r="AD10" s="233"/>
      <c r="AE10" s="217"/>
      <c r="AG10" s="217"/>
      <c r="AH10" s="17"/>
      <c r="AI10" s="217"/>
    </row>
    <row r="11" spans="2:35" s="21" customFormat="1" ht="12.75" customHeight="1" thickBot="1" x14ac:dyDescent="0.3">
      <c r="B11" s="206"/>
      <c r="C11" s="209"/>
      <c r="D11" s="209"/>
      <c r="E11" s="209"/>
      <c r="F11" s="209"/>
      <c r="G11" s="209"/>
      <c r="H11" s="209"/>
      <c r="I11" s="222"/>
      <c r="J11" s="222"/>
      <c r="K11" s="222"/>
      <c r="L11" s="222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5"/>
      <c r="Y11" s="228"/>
      <c r="Z11" s="228"/>
      <c r="AA11" s="17"/>
      <c r="AB11" s="219"/>
      <c r="AC11" s="231"/>
      <c r="AD11" s="234"/>
      <c r="AE11" s="219"/>
      <c r="AG11" s="218"/>
      <c r="AH11" s="17"/>
      <c r="AI11" s="219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>
        <v>144</v>
      </c>
      <c r="G12" s="26">
        <v>72</v>
      </c>
      <c r="H12" s="27" t="str">
        <f>IF(F12="","",(ROUND((F12/G12),1)&amp;" pallets"))</f>
        <v>2 pallets</v>
      </c>
      <c r="I12" s="28">
        <f>E12*F12</f>
        <v>148608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131328</v>
      </c>
      <c r="Y12" s="36">
        <f t="shared" ref="Y12:Y68" si="0">F12*AI12</f>
        <v>4517.28</v>
      </c>
      <c r="Z12" s="36">
        <f>IF($U$6="x",(F12*3.5),"")</f>
        <v>504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>
        <v>108</v>
      </c>
      <c r="G13" s="47">
        <v>108</v>
      </c>
      <c r="H13" s="48" t="str">
        <f t="shared" ref="H13" si="3">IF(F13="","",(ROUND((F13/G13),1)&amp;" pallets"))</f>
        <v>1 pallets</v>
      </c>
      <c r="I13" s="49">
        <f t="shared" ref="I13:I70" si="4">E13*F13</f>
        <v>79164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67176</v>
      </c>
      <c r="Y13" s="57">
        <f>F13*AI13</f>
        <v>3201.12</v>
      </c>
      <c r="Z13" s="36">
        <f t="shared" ref="Z13:Z56" si="8">IF($U$6="x",(F13*3.5),"")</f>
        <v>378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>
        <v>64</v>
      </c>
      <c r="G14" s="47">
        <v>63</v>
      </c>
      <c r="H14" s="64" t="str">
        <f>IF(F14="","",(ROUND((F14/G14),1)&amp;" pallets"))</f>
        <v>1 pallets</v>
      </c>
      <c r="I14" s="49">
        <f t="shared" si="4"/>
        <v>69952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62272</v>
      </c>
      <c r="Y14" s="57">
        <f t="shared" si="0"/>
        <v>2052.48</v>
      </c>
      <c r="Z14" s="36">
        <f t="shared" si="8"/>
        <v>224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36">
        <f t="shared" si="8"/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>
        <v>64</v>
      </c>
      <c r="G19" s="71">
        <v>63</v>
      </c>
      <c r="H19" s="72" t="str">
        <f t="shared" si="11"/>
        <v>1 pallets</v>
      </c>
      <c r="I19" s="73">
        <f t="shared" si="4"/>
        <v>74880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67200</v>
      </c>
      <c r="Y19" s="57">
        <f>F19*AI19</f>
        <v>2052.48</v>
      </c>
      <c r="Z19" s="36">
        <f t="shared" si="8"/>
        <v>224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>
        <f>4+2</f>
        <v>6</v>
      </c>
      <c r="G33" s="47">
        <v>100</v>
      </c>
      <c r="H33" s="64" t="str">
        <f t="shared" si="11"/>
        <v>0.1 pallets</v>
      </c>
      <c r="I33" s="49">
        <f t="shared" si="4"/>
        <v>10002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10002</v>
      </c>
      <c r="Y33" s="57">
        <f t="shared" si="0"/>
        <v>173.88</v>
      </c>
      <c r="Z33" s="36">
        <f t="shared" si="8"/>
        <v>21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36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36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36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36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5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382606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0</v>
      </c>
      <c r="P73" s="235"/>
      <c r="Q73" s="236"/>
      <c r="R73" s="152"/>
      <c r="S73" s="159" t="s">
        <v>104</v>
      </c>
      <c r="T73" s="239">
        <f>SUM(Y12:Y68)</f>
        <v>11997.239999999998</v>
      </c>
      <c r="U73" s="24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154834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0</v>
      </c>
      <c r="P75" s="235"/>
      <c r="Q75" s="236"/>
      <c r="R75" s="152"/>
      <c r="S75" s="159" t="s">
        <v>129</v>
      </c>
      <c r="T75" s="239">
        <f>SUM(Z12:Z70)</f>
        <v>1351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369257.76</v>
      </c>
      <c r="G77" s="235"/>
      <c r="H77" s="235"/>
      <c r="I77" s="236"/>
      <c r="J77" s="164"/>
      <c r="K77" s="164"/>
      <c r="L77" s="164"/>
      <c r="M77" s="255" t="s">
        <v>106</v>
      </c>
      <c r="N77" s="255"/>
      <c r="O77" s="168" t="s">
        <v>107</v>
      </c>
      <c r="P77" s="247"/>
      <c r="Q77" s="248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198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199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45" t="str">
        <f>IF(U6&gt;0,"",T4+30)</f>
        <v/>
      </c>
      <c r="N79" s="246"/>
      <c r="O79" s="168" t="s">
        <v>111</v>
      </c>
      <c r="P79" s="247"/>
      <c r="Q79" s="248"/>
      <c r="R79" s="152"/>
      <c r="S79" s="159" t="s">
        <v>112</v>
      </c>
      <c r="T79" s="239">
        <f>T77+T73+T75</f>
        <v>13348.239999999998</v>
      </c>
      <c r="U79" s="240"/>
      <c r="V79" s="160"/>
      <c r="W79" s="20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1" t="s">
        <v>113</v>
      </c>
      <c r="C81" s="272"/>
      <c r="D81" s="272"/>
      <c r="E81" s="272"/>
      <c r="F81" s="272"/>
      <c r="G81" s="272"/>
      <c r="H81" s="273"/>
      <c r="I81" s="280" t="s">
        <v>114</v>
      </c>
      <c r="J81" s="171"/>
      <c r="K81" s="171"/>
      <c r="L81" s="171"/>
      <c r="M81" s="282"/>
      <c r="N81" s="285" t="s">
        <v>115</v>
      </c>
      <c r="O81" s="288"/>
      <c r="P81" s="282"/>
      <c r="Q81" s="249" t="s">
        <v>116</v>
      </c>
      <c r="R81" s="250"/>
      <c r="S81" s="265"/>
      <c r="T81" s="249" t="s">
        <v>117</v>
      </c>
      <c r="U81" s="268"/>
    </row>
    <row r="82" spans="2:21" ht="15" customHeight="1" x14ac:dyDescent="0.25">
      <c r="B82" s="274"/>
      <c r="C82" s="275"/>
      <c r="D82" s="275"/>
      <c r="E82" s="275"/>
      <c r="F82" s="275"/>
      <c r="G82" s="275"/>
      <c r="H82" s="276"/>
      <c r="I82" s="262"/>
      <c r="J82" s="2"/>
      <c r="K82" s="2"/>
      <c r="L82" s="2"/>
      <c r="M82" s="283"/>
      <c r="N82" s="286"/>
      <c r="O82" s="289"/>
      <c r="P82" s="283"/>
      <c r="Q82" s="251"/>
      <c r="R82" s="252"/>
      <c r="S82" s="266"/>
      <c r="T82" s="251"/>
      <c r="U82" s="269"/>
    </row>
    <row r="83" spans="2:21" ht="15.75" customHeight="1" thickBot="1" x14ac:dyDescent="0.3">
      <c r="B83" s="277"/>
      <c r="C83" s="278"/>
      <c r="D83" s="278"/>
      <c r="E83" s="278"/>
      <c r="F83" s="278"/>
      <c r="G83" s="278"/>
      <c r="H83" s="279"/>
      <c r="I83" s="281"/>
      <c r="J83" s="172"/>
      <c r="K83" s="172"/>
      <c r="L83" s="172"/>
      <c r="M83" s="284"/>
      <c r="N83" s="287"/>
      <c r="O83" s="290"/>
      <c r="P83" s="284"/>
      <c r="Q83" s="253"/>
      <c r="R83" s="254"/>
      <c r="S83" s="267"/>
      <c r="T83" s="253"/>
      <c r="U83" s="270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56" t="s">
        <v>132</v>
      </c>
      <c r="C88" s="257"/>
      <c r="D88" s="257"/>
      <c r="E88" s="257"/>
      <c r="F88" s="257"/>
      <c r="G88" s="257"/>
      <c r="H88" s="257"/>
      <c r="I88" s="258"/>
      <c r="J88" s="185"/>
      <c r="K88" s="185"/>
      <c r="L88" s="185"/>
      <c r="M88" s="256"/>
      <c r="N88" s="257"/>
      <c r="O88" s="257"/>
      <c r="P88" s="257"/>
      <c r="Q88" s="258"/>
      <c r="R88" s="187"/>
      <c r="S88" s="188"/>
      <c r="T88" s="188"/>
      <c r="U88" s="189"/>
    </row>
    <row r="89" spans="2:21" ht="18" x14ac:dyDescent="0.25">
      <c r="B89" s="259" t="s">
        <v>122</v>
      </c>
      <c r="C89" s="260"/>
      <c r="D89" s="260"/>
      <c r="E89" s="260"/>
      <c r="F89" s="260"/>
      <c r="G89" s="260"/>
      <c r="H89" s="260"/>
      <c r="I89" s="261"/>
      <c r="M89" s="259" t="s">
        <v>122</v>
      </c>
      <c r="N89" s="260"/>
      <c r="O89" s="260"/>
      <c r="P89" s="260"/>
      <c r="Q89" s="261"/>
      <c r="R89" s="262" t="s">
        <v>123</v>
      </c>
      <c r="S89" s="263"/>
      <c r="T89" s="263"/>
      <c r="U89" s="26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56" t="s">
        <v>133</v>
      </c>
      <c r="C93" s="257"/>
      <c r="D93" s="257"/>
      <c r="E93" s="257"/>
      <c r="F93" s="257"/>
      <c r="G93" s="257"/>
      <c r="H93" s="257"/>
      <c r="I93" s="25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59" t="s">
        <v>126</v>
      </c>
      <c r="C94" s="260"/>
      <c r="D94" s="260"/>
      <c r="E94" s="260"/>
      <c r="F94" s="260"/>
      <c r="G94" s="260"/>
      <c r="H94" s="260"/>
      <c r="I94" s="261"/>
      <c r="M94" s="179"/>
      <c r="Q94" s="180"/>
      <c r="R94" s="262" t="s">
        <v>127</v>
      </c>
      <c r="S94" s="263"/>
      <c r="T94" s="263"/>
      <c r="U94" s="26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06-30-2026</vt:lpstr>
      <vt:lpstr>06-30-2026 (2)</vt:lpstr>
      <vt:lpstr>06-30-2026 (3)</vt:lpstr>
      <vt:lpstr>06-30-2026 (4)</vt:lpstr>
      <vt:lpstr>06-30-2026 (5)</vt:lpstr>
      <vt:lpstr>'06-30-2026'!Print_Area</vt:lpstr>
      <vt:lpstr>'06-30-2026 (2)'!Print_Area</vt:lpstr>
      <vt:lpstr>'06-30-2026 (3)'!Print_Area</vt:lpstr>
      <vt:lpstr>'06-30-2026 (4)'!Print_Area</vt:lpstr>
      <vt:lpstr>'06-30-2026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2026-06-30T08:01:46Z</dcterms:modified>
</cp:coreProperties>
</file>