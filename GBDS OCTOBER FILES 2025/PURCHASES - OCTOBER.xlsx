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OCTOBER FILES 2025\"/>
    </mc:Choice>
  </mc:AlternateContent>
  <xr:revisionPtr revIDLastSave="0" documentId="13_ncr:1_{D51C9921-0CE9-4CCE-A690-5558F707B8BB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SEPTEMBER" sheetId="6" r:id="rId2"/>
  </sheets>
  <definedNames>
    <definedName name="_xlnm.Print_Area" localSheetId="1">'PE, SEPTEMBER'!#REF!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I21" i="6" l="1"/>
  <c r="I20" i="6" l="1"/>
  <c r="I19" i="6" l="1"/>
  <c r="I18" i="6" l="1"/>
  <c r="I17" i="6" l="1"/>
  <c r="G17" i="6"/>
  <c r="I16" i="6" l="1"/>
  <c r="I15" i="6" l="1"/>
  <c r="I14" i="6" l="1"/>
  <c r="I13" i="6" l="1"/>
  <c r="I12" i="6" l="1"/>
  <c r="I11" i="6" l="1"/>
  <c r="I10" i="6" l="1"/>
  <c r="I9" i="6" l="1"/>
  <c r="I8" i="6" l="1"/>
  <c r="I7" i="6" l="1"/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<sst xmlns="http://schemas.openxmlformats.org/spreadsheetml/2006/main" count="251" uniqueCount="76">
  <si>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</si>
  <si>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</si>
  <si>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</si>
  <si>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</si>
  <si>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</si>
  <si>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</si>
  <si>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</si>
  <si>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</si>
  <si>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</si>
  <si>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</si>
  <si>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</si>
  <si>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</si>
  <si>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</si>
  <si>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</si>
  <si>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</si>
  <si>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</si>
  <si>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</si>
  <si>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</si>
  <si>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</si>
  <si>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</si>
  <si>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</si>
  <si>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</si>
  <si>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</si>
  <si>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</si>
  <si>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</si>
  <si>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</si>
  <si>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</si>
  <si>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</si>
  <si>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</si>
  <si>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</si>
  <si>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</si>
  <si>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</si>
  <si>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</si>
  <si>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</si>
  <si>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</si>
  <si>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</si>
  <si>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</si>
  <si>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</si>
  <si>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</si>
  <si>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</si>
  <si>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</si>
  <si>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</si>
  <si>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</si>
  <si>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</si>
  <si>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</si>
  <si>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</si>
  <si>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</si>
  <si>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</si>
  <si>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</si>
  <si>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</si>
  <si>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</si>
  <si>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</si>
  <si>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</si>
  <si>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</si>
  <si>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</si>
  <si>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</si>
  <si>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</si>
  <si>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</si>
  <si>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</si>
  <si>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</si>
  <si>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</si>
  <si>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</si>
  <si>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</si>
  <si>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</si>
  <si>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</si>
  <si>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</si>
  <si>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</si>
  <si>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</si>
  <si>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</si>
  <si>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</si>
  <si>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</si>
  <si>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</si>
  <si>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</si>
  <si>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</si>
  <si>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</si>
  <si>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OCTOBER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</si>
</sst>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2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2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164" fontId="9" fillId="2" borderId="0" xfId="0" applyNumberFormat="1" applyFont="1" applyFill="1" applyProtection="1"/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I22" sqref="I22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40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7" customWidth="1"/>
    <col min="14" max="14" width="13.140625" bestFit="1" customWidth="1"/>
    <col min="15" max="15" width="11.28515625" bestFit="1" customWidth="1"/>
  </cols>
  <sheetData>
    <row r="1" spans="1:15" x14ac:dyDescent="0.25">
      <c r="C1" s="3" t="s">
        <v>67</v>
      </c>
      <c r="D1" s="4"/>
      <c r="E1" s="4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5" t="s">
        <v>1</v>
      </c>
      <c r="D3" s="6"/>
      <c r="E3" s="6"/>
      <c r="F3" s="7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45933</v>
      </c>
      <c r="D7" s="20" t="s">
        <v>68</v>
      </c>
      <c r="E7" s="12"/>
      <c r="F7" s="20" t="s">
        <v>70</v>
      </c>
      <c r="G7" s="20">
        <v>517967448</v>
      </c>
      <c r="H7" s="20" t="s">
        <v>74</v>
      </c>
      <c r="I7" s="21">
        <f>1324098-53803.62</f>
        <v>1270294.3799999999</v>
      </c>
      <c r="K7" s="21">
        <f>M7*12</f>
        <v>136102.96928571427</v>
      </c>
      <c r="L7" s="27">
        <f>I7-K7</f>
        <v>1134191.4107142857</v>
      </c>
      <c r="M7" s="33">
        <f>I7/112</f>
        <v>11341.914107142857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>
        <v>45934</v>
      </c>
      <c r="D8" s="20" t="s">
        <v>68</v>
      </c>
      <c r="E8" s="20"/>
      <c r="F8" s="20" t="s">
        <v>70</v>
      </c>
      <c r="G8" s="20">
        <v>517970454</v>
      </c>
      <c r="H8" s="20" t="s">
        <v>74</v>
      </c>
      <c r="I8" s="21">
        <f>1353132-56255.04</f>
        <v>1296876.96</v>
      </c>
      <c r="K8" s="21">
        <f>M8*12</f>
        <v>138951.10285714286</v>
      </c>
      <c r="L8" s="27">
        <f>I8-K8</f>
        <v>1157925.857142857</v>
      </c>
      <c r="M8" s="33">
        <f t="shared" ref="M8:M26" si="0">I8/112</f>
        <v>11579.258571428571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>
        <v>45937</v>
      </c>
      <c r="D9" s="20" t="s">
        <v>68</v>
      </c>
      <c r="E9" s="20"/>
      <c r="F9" s="20" t="s">
        <v>70</v>
      </c>
      <c r="G9" s="20">
        <v>517976202</v>
      </c>
      <c r="H9" s="20" t="s">
        <v>74</v>
      </c>
      <c r="I9" s="21">
        <f>1353132-56255.04</f>
        <v>1296876.96</v>
      </c>
      <c r="K9" s="21">
        <f t="shared" ref="K9:K26" si="2">M9*12</f>
        <v>138951.10285714286</v>
      </c>
      <c r="L9" s="27">
        <f t="shared" ref="L9:L26" si="3">I9-K9</f>
        <v>1157925.857142857</v>
      </c>
      <c r="M9" s="33">
        <f t="shared" si="0"/>
        <v>11579.258571428571</v>
      </c>
    </row>
    <row r="10" spans="1:15" x14ac:dyDescent="0.25">
      <c r="A10">
        <f t="shared" si="1"/>
        <v>4</v>
      </c>
      <c r="B10" s="23">
        <f t="shared" si="1"/>
        <v>4</v>
      </c>
      <c r="C10" s="19">
        <v>45939</v>
      </c>
      <c r="D10" s="20" t="s">
        <v>68</v>
      </c>
      <c r="E10" s="20"/>
      <c r="F10" s="20" t="s">
        <v>70</v>
      </c>
      <c r="G10" s="20">
        <v>517983074</v>
      </c>
      <c r="H10" s="20" t="s">
        <v>74</v>
      </c>
      <c r="I10" s="21">
        <f>1353132-56255.04</f>
        <v>1296876.96</v>
      </c>
      <c r="K10" s="21">
        <f t="shared" si="2"/>
        <v>138951.10285714286</v>
      </c>
      <c r="L10" s="27">
        <f t="shared" si="3"/>
        <v>1157925.857142857</v>
      </c>
      <c r="M10" s="33">
        <f t="shared" si="0"/>
        <v>11579.258571428571</v>
      </c>
    </row>
    <row r="11" spans="1:15" x14ac:dyDescent="0.25">
      <c r="A11">
        <f t="shared" si="1"/>
        <v>5</v>
      </c>
      <c r="B11" s="23">
        <f t="shared" si="1"/>
        <v>5</v>
      </c>
      <c r="C11" s="19">
        <v>45945</v>
      </c>
      <c r="D11" s="20" t="s">
        <v>68</v>
      </c>
      <c r="E11" s="20"/>
      <c r="F11" s="20" t="s">
        <v>70</v>
      </c>
      <c r="G11" s="20">
        <v>518000493</v>
      </c>
      <c r="H11" s="20" t="s">
        <v>74</v>
      </c>
      <c r="I11" s="21">
        <f>1327212-56255.04</f>
        <v>1270956.96</v>
      </c>
      <c r="K11" s="21">
        <f t="shared" si="2"/>
        <v>136173.96</v>
      </c>
      <c r="L11" s="27">
        <f t="shared" si="3"/>
        <v>1134783</v>
      </c>
      <c r="M11" s="33">
        <f t="shared" si="0"/>
        <v>11347.83</v>
      </c>
    </row>
    <row r="12" spans="1:15" x14ac:dyDescent="0.25">
      <c r="A12">
        <f t="shared" si="1"/>
        <v>6</v>
      </c>
      <c r="B12" s="23">
        <f t="shared" si="1"/>
        <v>6</v>
      </c>
      <c r="C12" s="19">
        <v>45946</v>
      </c>
      <c r="D12" s="20" t="s">
        <v>68</v>
      </c>
      <c r="E12" s="20"/>
      <c r="F12" s="20" t="s">
        <v>70</v>
      </c>
      <c r="G12" s="20">
        <v>518004322</v>
      </c>
      <c r="H12" s="20" t="s">
        <v>74</v>
      </c>
      <c r="I12" s="21">
        <f>1353132-56255.04</f>
        <v>1296876.96</v>
      </c>
      <c r="K12" s="21">
        <f t="shared" si="2"/>
        <v>138951.10285714286</v>
      </c>
      <c r="L12" s="27">
        <f t="shared" si="3"/>
        <v>1157925.857142857</v>
      </c>
      <c r="M12" s="33">
        <f t="shared" si="0"/>
        <v>11579.258571428571</v>
      </c>
    </row>
    <row r="13" spans="1:15" x14ac:dyDescent="0.25">
      <c r="A13">
        <f t="shared" si="1"/>
        <v>7</v>
      </c>
      <c r="B13" s="23">
        <f t="shared" si="1"/>
        <v>7</v>
      </c>
      <c r="C13" s="19">
        <v>45947</v>
      </c>
      <c r="D13" s="20" t="s">
        <v>68</v>
      </c>
      <c r="E13" s="20"/>
      <c r="F13" s="20" t="s">
        <v>70</v>
      </c>
      <c r="G13" s="20">
        <v>518008427</v>
      </c>
      <c r="H13" s="20" t="s">
        <v>74</v>
      </c>
      <c r="I13" s="21">
        <f>1275082-213296.5</f>
        <v>1061785.5</v>
      </c>
      <c r="K13" s="21">
        <f t="shared" si="2"/>
        <v>113762.73214285716</v>
      </c>
      <c r="L13" s="27">
        <f>I13-K13</f>
        <v>948022.76785714284</v>
      </c>
      <c r="M13" s="33">
        <f>I13/112</f>
        <v>9480.2276785714294</v>
      </c>
    </row>
    <row r="14" spans="1:15" x14ac:dyDescent="0.25">
      <c r="A14">
        <f t="shared" si="1"/>
        <v>8</v>
      </c>
      <c r="B14" s="23">
        <f t="shared" si="1"/>
        <v>8</v>
      </c>
      <c r="C14" s="19">
        <v>45948</v>
      </c>
      <c r="D14" s="20" t="s">
        <v>68</v>
      </c>
      <c r="E14" s="20"/>
      <c r="F14" s="20" t="s">
        <v>70</v>
      </c>
      <c r="G14" s="20">
        <v>518012210</v>
      </c>
      <c r="H14" s="20" t="s">
        <v>74</v>
      </c>
      <c r="I14" s="38">
        <f>1383682-57013.2</f>
        <v>1326668.8</v>
      </c>
      <c r="K14" s="21">
        <f t="shared" si="2"/>
        <v>142143.08571428573</v>
      </c>
      <c r="L14" s="27">
        <f t="shared" si="3"/>
        <v>1184525.7142857143</v>
      </c>
      <c r="M14" s="33">
        <f t="shared" si="0"/>
        <v>11845.257142857143</v>
      </c>
    </row>
    <row r="15" spans="1:15" x14ac:dyDescent="0.25">
      <c r="A15">
        <f t="shared" si="1"/>
        <v>9</v>
      </c>
      <c r="B15" s="23">
        <f t="shared" si="1"/>
        <v>9</v>
      </c>
      <c r="C15" s="19">
        <v>45950</v>
      </c>
      <c r="D15" s="20" t="s">
        <v>68</v>
      </c>
      <c r="E15" s="20"/>
      <c r="F15" s="20" t="s">
        <v>70</v>
      </c>
      <c r="G15" s="20">
        <v>518014849</v>
      </c>
      <c r="H15" s="20" t="s">
        <v>74</v>
      </c>
      <c r="I15" s="21">
        <f>1353132-56255.04</f>
        <v>1296876.96</v>
      </c>
      <c r="K15" s="21">
        <f t="shared" si="2"/>
        <v>138951.10285714286</v>
      </c>
      <c r="L15" s="27">
        <f>I15-K15</f>
        <v>1157925.857142857</v>
      </c>
      <c r="M15" s="33">
        <f>I15/112</f>
        <v>11579.258571428571</v>
      </c>
    </row>
    <row r="16" spans="1:15" x14ac:dyDescent="0.25">
      <c r="A16">
        <f t="shared" si="1"/>
        <v>10</v>
      </c>
      <c r="B16" s="23">
        <f t="shared" si="1"/>
        <v>10</v>
      </c>
      <c r="C16" s="19">
        <v>45952</v>
      </c>
      <c r="D16" s="20" t="s">
        <v>68</v>
      </c>
      <c r="E16" s="20"/>
      <c r="F16" s="20" t="s">
        <v>70</v>
      </c>
      <c r="G16" s="20">
        <v>518023646</v>
      </c>
      <c r="H16" s="20" t="s">
        <v>74</v>
      </c>
      <c r="I16" s="21">
        <f>1315548-54091.84</f>
        <v>1261456.1599999999</v>
      </c>
      <c r="K16" s="21">
        <f t="shared" si="2"/>
        <v>135156.01714285713</v>
      </c>
      <c r="L16" s="27">
        <f t="shared" si="3"/>
        <v>1126300.1428571427</v>
      </c>
      <c r="M16" s="33">
        <f t="shared" si="0"/>
        <v>11263.001428571428</v>
      </c>
    </row>
    <row r="17" spans="1:13" x14ac:dyDescent="0.25">
      <c r="A17">
        <f t="shared" si="1"/>
        <v>11</v>
      </c>
      <c r="B17" s="23">
        <f t="shared" si="1"/>
        <v>11</v>
      </c>
      <c r="C17" s="19">
        <v>45955</v>
      </c>
      <c r="D17" s="20" t="s">
        <v>68</v>
      </c>
      <c r="E17" s="20"/>
      <c r="F17" s="20" t="s">
        <v>70</v>
      </c>
      <c r="G17" s="20">
        <f>518036488</f>
        <v>518036488</v>
      </c>
      <c r="H17" s="20" t="s">
        <v>74</v>
      </c>
      <c r="I17" s="21">
        <f>1353667-56750.76</f>
        <v>1296916.24</v>
      </c>
      <c r="K17" s="21">
        <f t="shared" si="2"/>
        <v>138955.31142857141</v>
      </c>
      <c r="L17" s="27">
        <f t="shared" si="3"/>
        <v>1157960.9285714286</v>
      </c>
      <c r="M17" s="33">
        <f t="shared" si="0"/>
        <v>11579.609285714285</v>
      </c>
    </row>
    <row r="18" spans="1:13" x14ac:dyDescent="0.25">
      <c r="A18">
        <f t="shared" si="1"/>
        <v>12</v>
      </c>
      <c r="B18" s="23">
        <f t="shared" si="1"/>
        <v>12</v>
      </c>
      <c r="C18" s="19">
        <v>45960</v>
      </c>
      <c r="D18" s="20" t="s">
        <v>68</v>
      </c>
      <c r="E18" s="20"/>
      <c r="F18" s="20" t="s">
        <v>70</v>
      </c>
      <c r="G18" s="20">
        <v>518055565</v>
      </c>
      <c r="H18" s="20" t="s">
        <v>74</v>
      </c>
      <c r="I18" s="21">
        <f>1284569-54342.4</f>
        <v>1230226.6000000001</v>
      </c>
      <c r="K18" s="21">
        <f t="shared" si="2"/>
        <v>131809.99285714288</v>
      </c>
      <c r="L18" s="27">
        <f t="shared" si="3"/>
        <v>1098416.6071428573</v>
      </c>
      <c r="M18" s="33">
        <f t="shared" si="0"/>
        <v>10984.166071428572</v>
      </c>
    </row>
    <row r="19" spans="1:13" x14ac:dyDescent="0.25">
      <c r="A19">
        <f t="shared" si="1"/>
        <v>13</v>
      </c>
      <c r="B19" s="23">
        <f t="shared" si="1"/>
        <v>13</v>
      </c>
      <c r="C19" s="19">
        <v>45961</v>
      </c>
      <c r="D19" s="20" t="s">
        <v>68</v>
      </c>
      <c r="E19" s="20"/>
      <c r="F19" s="20" t="s">
        <v>70</v>
      </c>
      <c r="G19" s="20">
        <v>518062443</v>
      </c>
      <c r="H19" s="20" t="s">
        <v>74</v>
      </c>
      <c r="I19" s="21">
        <f>326410-12465.8</f>
        <v>313944.2</v>
      </c>
      <c r="K19" s="21">
        <f t="shared" si="2"/>
        <v>33636.878571428577</v>
      </c>
      <c r="L19" s="27">
        <f t="shared" si="3"/>
        <v>280307.32142857142</v>
      </c>
      <c r="M19" s="33">
        <f t="shared" si="0"/>
        <v>2803.0732142857146</v>
      </c>
    </row>
    <row r="20" spans="1:13" x14ac:dyDescent="0.25">
      <c r="A20">
        <f t="shared" si="1"/>
        <v>14</v>
      </c>
      <c r="B20" s="23">
        <f t="shared" si="1"/>
        <v>14</v>
      </c>
      <c r="C20" s="19">
        <v>45961</v>
      </c>
      <c r="D20" s="20" t="s">
        <v>68</v>
      </c>
      <c r="E20" s="20"/>
      <c r="F20" s="20" t="s">
        <v>70</v>
      </c>
      <c r="G20" s="20">
        <v>518062417</v>
      </c>
      <c r="H20" s="20" t="s">
        <v>74</v>
      </c>
      <c r="I20" s="21">
        <f>294720-31077.6</f>
        <v>263642.40000000002</v>
      </c>
      <c r="K20" s="21">
        <f t="shared" si="2"/>
        <v>28247.4</v>
      </c>
      <c r="L20" s="27">
        <f t="shared" si="3"/>
        <v>235395.00000000003</v>
      </c>
      <c r="M20" s="33">
        <f t="shared" si="0"/>
        <v>2353.9500000000003</v>
      </c>
    </row>
    <row r="21" spans="1:13" x14ac:dyDescent="0.25">
      <c r="A21">
        <f t="shared" si="1"/>
        <v>15</v>
      </c>
      <c r="B21" s="23">
        <f t="shared" si="1"/>
        <v>15</v>
      </c>
      <c r="C21" s="19">
        <v>45961</v>
      </c>
      <c r="D21" s="20" t="s">
        <v>68</v>
      </c>
      <c r="E21" s="20"/>
      <c r="F21" s="20" t="s">
        <v>70</v>
      </c>
      <c r="G21" s="20">
        <v>518061959</v>
      </c>
      <c r="H21" s="20" t="s">
        <v>74</v>
      </c>
      <c r="I21" s="21">
        <f>1193940-49636.8</f>
        <v>1144303.2</v>
      </c>
      <c r="K21" s="21">
        <f t="shared" si="2"/>
        <v>122603.91428571429</v>
      </c>
      <c r="L21" s="27">
        <f t="shared" si="3"/>
        <v>1021699.2857142857</v>
      </c>
      <c r="M21" s="33">
        <f t="shared" si="0"/>
        <v>10216.992857142857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14">
        <f>SUM(I7:I31)</f>
        <v>16924579.240000002</v>
      </c>
      <c r="K32" s="14">
        <f>SUM(K7:K31)</f>
        <v>1813347.7757142857</v>
      </c>
      <c r="L32" s="14">
        <f>SUM(L7:L31)</f>
        <v>15111231.464285715</v>
      </c>
      <c r="M32" s="36">
        <f>SUM(M7:M31)</f>
        <v>151112.31464285712</v>
      </c>
    </row>
    <row r="33" spans="1:13" x14ac:dyDescent="0.25">
      <c r="G33"/>
    </row>
    <row r="34" spans="1:13" x14ac:dyDescent="0.25">
      <c r="C34" s="3" t="s">
        <v>67</v>
      </c>
      <c r="D34" s="4"/>
      <c r="E34" s="4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5" t="s">
        <v>14</v>
      </c>
      <c r="D36" s="6"/>
      <c r="E36" s="6"/>
      <c r="F36" s="7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9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9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9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9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9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9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9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9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9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9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9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9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9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9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9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9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9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9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9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9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9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1"/>
      <c r="H64" s="23"/>
      <c r="I64" s="24"/>
      <c r="K64" s="23"/>
      <c r="L64" s="23"/>
      <c r="M64" s="35"/>
    </row>
    <row r="65" spans="9:13" x14ac:dyDescent="0.25">
      <c r="I65" s="14">
        <f>SUM(I40:I64)</f>
        <v>0</v>
      </c>
      <c r="K65" s="14">
        <f>SUM(K40:K64)</f>
        <v>0</v>
      </c>
      <c r="L65" s="14">
        <f>SUM(L40:L64)</f>
        <v>0</v>
      </c>
      <c r="M65" s="36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SEPTEMBER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2025-11-03T06:33:36Z</dcterms:modified>
</cp:coreProperties>
</file>