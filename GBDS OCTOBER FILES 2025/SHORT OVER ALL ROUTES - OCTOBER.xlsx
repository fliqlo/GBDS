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OCTOBER FILES 2025\"/>
    </mc:Choice>
  </mc:AlternateContent>
  <xr:revisionPtr revIDLastSave="0" documentId="13_ncr:1_{700A873B-C517-4617-87D4-9AC4210AF3F6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OCTOBER. SRS R1" sheetId="6" r:id="rId1"/>
    <sheet name="OCTOBER, SRS R2" sheetId="12" r:id="rId2"/>
    <sheet name="OCTOBER, SRS R3" sheetId="13" r:id="rId3"/>
    <sheet name="," sheetId="14" r:id="rId4"/>
  </sheets>
  <definedNames>
    <definedName name="_xlnm.Print_Area" localSheetId="1">'OCTOBER, SRS R2'!$A$1:$F$44</definedName>
    <definedName name="_xlnm.Print_Area" localSheetId="2">'OCTOBER, SRS R3'!$A$1:$F$44</definedName>
    <definedName name="_xlnm.Print_Area" localSheetId="0">'OCTOBER. SRS R1'!$A$1:$F$44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3" i="13" l="1"/>
  <c r="E43" i="13"/>
  <c r="D43" i="13"/>
  <c r="C43" i="13"/>
  <c r="F43" i="12"/>
  <c r="E43" i="12"/>
  <c r="D43" i="12"/>
  <c r="C43" i="12"/>
  <c r="F43" i="6" l="1"/>
  <c r="E43" i="6"/>
  <c r="D43" i="6"/>
  <c r="C43" i="6"/>
</calcChain>
</file>

<file path=xl/sharedStrings.xml><?xml version="1.0" encoding="utf-8"?>
<sst xmlns="http://schemas.openxmlformats.org/spreadsheetml/2006/main" count="72" uniqueCount="17">
  <si>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</si>
  <si>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</si>
  <si>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</si>
  <si>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</si>
  <si>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</si>
  <si>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</si>
  <si>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</si>
  <si>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</si>
  <si>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</si>
  <si>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</si>
  <si>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</si>
  <si>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TOPEZ, FERMIN</t>
    </r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</si>
  <si>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</si>
  <si>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</si>
  <si>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t>OCTOBER</t>
  </si>
  <si>
    <r>
      <t>DSP:</t>
    </r>
    <r>
      <rPr>
        <b/>
        <u/>
        <sz val="11"/>
        <color theme="1"/>
        <rFont val="Times New Roman"/>
        <family val="1"/>
      </rPr>
      <t xml:space="preserve"> ESTEMARK, PORMENTO</t>
    </r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</si>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</sst>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0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4" xfId="1" applyFont="1" applyBorder="1" applyAlignment="1"/>
    <xf numFmtId="164" fontId="9" fillId="0" borderId="6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Q279"/>
  <sheetViews>
    <sheetView topLeftCell="A4" zoomScaleNormal="100" zoomScaleSheetLayoutView="100" workbookViewId="0">
      <selection activeCell="D39" sqref="D39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15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13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45931</v>
      </c>
      <c r="C10" s="12"/>
      <c r="D10" s="37" t="s">
        <v>16</v>
      </c>
      <c r="E10" s="39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45932</v>
      </c>
      <c r="C11" s="12"/>
      <c r="D11" s="15">
        <v>3663.5</v>
      </c>
      <c r="E11" s="12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45933</v>
      </c>
      <c r="C12" s="12"/>
      <c r="D12" s="37" t="s">
        <v>16</v>
      </c>
      <c r="E12" s="39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45934</v>
      </c>
      <c r="C13" s="12"/>
      <c r="D13" s="37" t="s">
        <v>16</v>
      </c>
      <c r="E13" s="39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0" t="s">
        <v>1</v>
      </c>
      <c r="C14" s="37" t="s">
        <v>1</v>
      </c>
      <c r="D14" s="38"/>
      <c r="E14" s="38"/>
      <c r="F14" s="39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45936</v>
      </c>
      <c r="C15" s="27"/>
      <c r="D15" s="15"/>
      <c r="E15" s="12">
        <v>27795.5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45937</v>
      </c>
      <c r="C16" s="27"/>
      <c r="D16" s="15">
        <v>926.25</v>
      </c>
      <c r="E16" s="12"/>
      <c r="F16" s="34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45938</v>
      </c>
      <c r="C17" s="27"/>
      <c r="D17" s="37" t="s">
        <v>16</v>
      </c>
      <c r="E17" s="39"/>
      <c r="F17" s="34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45939</v>
      </c>
      <c r="C18" s="12"/>
      <c r="D18" s="15"/>
      <c r="E18" s="12">
        <v>79</v>
      </c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45940</v>
      </c>
      <c r="C19" s="12"/>
      <c r="D19" s="37" t="s">
        <v>16</v>
      </c>
      <c r="E19" s="39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45941</v>
      </c>
      <c r="C20" s="12"/>
      <c r="D20" s="15">
        <v>687.75</v>
      </c>
      <c r="E20" s="12"/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0" t="s">
        <v>1</v>
      </c>
      <c r="C21" s="37" t="s">
        <v>1</v>
      </c>
      <c r="D21" s="38"/>
      <c r="E21" s="38"/>
      <c r="F21" s="39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45943</v>
      </c>
      <c r="C22" s="12"/>
      <c r="D22" s="15"/>
      <c r="E22" s="12">
        <v>85</v>
      </c>
      <c r="F22" s="1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45944</v>
      </c>
      <c r="C23" s="12"/>
      <c r="D23" s="15"/>
      <c r="E23" s="12">
        <v>785.13</v>
      </c>
      <c r="F23" s="11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45945</v>
      </c>
      <c r="C24" s="12"/>
      <c r="D24" s="15">
        <v>198.5</v>
      </c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45946</v>
      </c>
      <c r="C25" s="12"/>
      <c r="D25" s="37" t="s">
        <v>16</v>
      </c>
      <c r="E25" s="39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45947</v>
      </c>
      <c r="C26" s="12"/>
      <c r="D26" s="35">
        <v>1.75</v>
      </c>
      <c r="E26" s="36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45948</v>
      </c>
      <c r="C27" s="12"/>
      <c r="D27" s="15"/>
      <c r="E27" s="12">
        <v>8</v>
      </c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0" t="s">
        <v>1</v>
      </c>
      <c r="C28" s="37" t="s">
        <v>1</v>
      </c>
      <c r="D28" s="38"/>
      <c r="E28" s="38"/>
      <c r="F28" s="39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45950</v>
      </c>
      <c r="C29" s="12"/>
      <c r="D29" s="15">
        <v>1401.5</v>
      </c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45951</v>
      </c>
      <c r="C30" s="12"/>
      <c r="D30" s="15">
        <v>84</v>
      </c>
      <c r="E30" s="12"/>
      <c r="F30" s="34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45952</v>
      </c>
      <c r="C31" s="12"/>
      <c r="D31" s="37" t="s">
        <v>16</v>
      </c>
      <c r="E31" s="39"/>
      <c r="F31" s="34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45953</v>
      </c>
      <c r="C32" s="12"/>
      <c r="D32" s="15"/>
      <c r="E32" s="12">
        <v>182.5</v>
      </c>
      <c r="F32" s="34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45954</v>
      </c>
      <c r="C33" s="12"/>
      <c r="D33" s="15"/>
      <c r="E33" s="12">
        <v>507.5</v>
      </c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45955</v>
      </c>
      <c r="C34" s="13"/>
      <c r="D34" s="15">
        <v>122</v>
      </c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0" t="s">
        <v>1</v>
      </c>
      <c r="C35" s="37" t="s">
        <v>1</v>
      </c>
      <c r="D35" s="38"/>
      <c r="E35" s="38"/>
      <c r="F35" s="39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45957</v>
      </c>
      <c r="C36" s="12"/>
      <c r="D36" s="15">
        <v>5817.75</v>
      </c>
      <c r="E36" s="12"/>
      <c r="F36" s="11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45958</v>
      </c>
      <c r="C37" s="12"/>
      <c r="D37" s="15"/>
      <c r="E37" s="12">
        <v>857.75</v>
      </c>
      <c r="F37" s="11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45959</v>
      </c>
      <c r="C38" s="12"/>
      <c r="D38" s="15"/>
      <c r="E38" s="12">
        <v>80.77</v>
      </c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45960</v>
      </c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/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12903</v>
      </c>
      <c r="E43" s="18">
        <f>SUM(E10:E42)</f>
        <v>30381.15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33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11">
    <mergeCell ref="C35:F35"/>
    <mergeCell ref="C14:F14"/>
    <mergeCell ref="C21:F21"/>
    <mergeCell ref="C28:F28"/>
    <mergeCell ref="D10:E10"/>
    <mergeCell ref="D12:E12"/>
    <mergeCell ref="D13:E13"/>
    <mergeCell ref="D17:E17"/>
    <mergeCell ref="D19:E19"/>
    <mergeCell ref="D25:E25"/>
    <mergeCell ref="D31:E31"/>
  </mergeCells>
  <pageMargins left="0.7" right="0.7" top="0.75" bottom="0.75" header="0.3" footer="0.3"/>
  <pageSetup scale="9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Q279"/>
  <sheetViews>
    <sheetView topLeftCell="A4" zoomScaleNormal="100" zoomScaleSheetLayoutView="100" workbookViewId="0">
      <selection activeCell="D39" sqref="D39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13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45931</v>
      </c>
      <c r="C10" s="12"/>
      <c r="D10" s="37" t="s">
        <v>16</v>
      </c>
      <c r="E10" s="39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45932</v>
      </c>
      <c r="C11" s="12"/>
      <c r="D11" s="15">
        <v>73</v>
      </c>
      <c r="E11" s="12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45933</v>
      </c>
      <c r="C12" s="12"/>
      <c r="D12" s="15"/>
      <c r="E12" s="12">
        <v>248</v>
      </c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45934</v>
      </c>
      <c r="C13" s="12"/>
      <c r="D13" s="15">
        <v>123.25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0" t="s">
        <v>1</v>
      </c>
      <c r="C14" s="37" t="s">
        <v>1</v>
      </c>
      <c r="D14" s="38"/>
      <c r="E14" s="38"/>
      <c r="F14" s="39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45936</v>
      </c>
      <c r="C15" s="27"/>
      <c r="D15" s="15"/>
      <c r="E15" s="12">
        <v>5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45937</v>
      </c>
      <c r="C16" s="27"/>
      <c r="D16" s="37" t="s">
        <v>16</v>
      </c>
      <c r="E16" s="39"/>
      <c r="F16" s="34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45938</v>
      </c>
      <c r="C17" s="27"/>
      <c r="D17" s="37" t="s">
        <v>16</v>
      </c>
      <c r="E17" s="39"/>
      <c r="F17" s="34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45939</v>
      </c>
      <c r="C18" s="12"/>
      <c r="D18" s="15">
        <v>1370.5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45940</v>
      </c>
      <c r="C19" s="12"/>
      <c r="D19" s="15"/>
      <c r="E19" s="12">
        <v>387.63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45941</v>
      </c>
      <c r="C20" s="12"/>
      <c r="D20" s="15"/>
      <c r="E20" s="12">
        <v>7.75</v>
      </c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0" t="s">
        <v>1</v>
      </c>
      <c r="C21" s="37" t="s">
        <v>1</v>
      </c>
      <c r="D21" s="38"/>
      <c r="E21" s="38"/>
      <c r="F21" s="39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45943</v>
      </c>
      <c r="C22" s="12"/>
      <c r="D22" s="15"/>
      <c r="E22" s="12">
        <v>4047.5</v>
      </c>
      <c r="F22" s="1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45944</v>
      </c>
      <c r="C23" s="12"/>
      <c r="D23" s="15">
        <v>3936</v>
      </c>
      <c r="E23" s="12"/>
      <c r="F23" s="11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45945</v>
      </c>
      <c r="C24" s="12"/>
      <c r="D24" s="37" t="s">
        <v>16</v>
      </c>
      <c r="E24" s="39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45946</v>
      </c>
      <c r="C25" s="12"/>
      <c r="D25" s="15"/>
      <c r="E25" s="12">
        <v>4.5</v>
      </c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45947</v>
      </c>
      <c r="C26" s="12"/>
      <c r="D26" s="35">
        <v>9134.5</v>
      </c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45948</v>
      </c>
      <c r="C27" s="12"/>
      <c r="D27" s="15"/>
      <c r="E27" s="12">
        <v>3</v>
      </c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0" t="s">
        <v>1</v>
      </c>
      <c r="C28" s="37" t="s">
        <v>1</v>
      </c>
      <c r="D28" s="38"/>
      <c r="E28" s="38"/>
      <c r="F28" s="39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45950</v>
      </c>
      <c r="C29" s="12"/>
      <c r="D29" s="15"/>
      <c r="E29" s="12">
        <v>727.5</v>
      </c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45951</v>
      </c>
      <c r="C30" s="12"/>
      <c r="D30" s="15"/>
      <c r="E30" s="12">
        <v>0.75</v>
      </c>
      <c r="F30" s="34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45952</v>
      </c>
      <c r="C31" s="12"/>
      <c r="D31" s="37" t="s">
        <v>16</v>
      </c>
      <c r="E31" s="39"/>
      <c r="F31" s="34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45953</v>
      </c>
      <c r="C32" s="12"/>
      <c r="D32" s="15">
        <v>675</v>
      </c>
      <c r="E32" s="12"/>
      <c r="F32" s="34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45954</v>
      </c>
      <c r="C33" s="12"/>
      <c r="D33" s="15"/>
      <c r="E33" s="12">
        <v>42</v>
      </c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45955</v>
      </c>
      <c r="C34" s="13"/>
      <c r="D34" s="15">
        <v>49</v>
      </c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0" t="s">
        <v>1</v>
      </c>
      <c r="C35" s="37" t="s">
        <v>1</v>
      </c>
      <c r="D35" s="38"/>
      <c r="E35" s="38"/>
      <c r="F35" s="39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45957</v>
      </c>
      <c r="C36" s="12"/>
      <c r="D36" s="15">
        <v>478</v>
      </c>
      <c r="E36" s="12"/>
      <c r="F36" s="11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45958</v>
      </c>
      <c r="C37" s="12"/>
      <c r="D37" s="15">
        <v>50</v>
      </c>
      <c r="E37" s="12"/>
      <c r="F37" s="11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45959</v>
      </c>
      <c r="C38" s="12"/>
      <c r="D38" s="15">
        <v>80.77</v>
      </c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45960</v>
      </c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/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15970.02</v>
      </c>
      <c r="E43" s="18">
        <f>SUM(E10:E42)</f>
        <v>5473.63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9">
    <mergeCell ref="C14:F14"/>
    <mergeCell ref="C21:F21"/>
    <mergeCell ref="C28:F28"/>
    <mergeCell ref="C35:F35"/>
    <mergeCell ref="D10:E10"/>
    <mergeCell ref="D16:E16"/>
    <mergeCell ref="D17:E17"/>
    <mergeCell ref="D24:E24"/>
    <mergeCell ref="D31:E31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Q279"/>
  <sheetViews>
    <sheetView tabSelected="1" topLeftCell="A4" zoomScaleNormal="100" zoomScaleSheetLayoutView="100" workbookViewId="0">
      <selection activeCell="D39" sqref="D39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12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13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45931</v>
      </c>
      <c r="C10" s="12"/>
      <c r="D10" s="37" t="s">
        <v>16</v>
      </c>
      <c r="E10" s="39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45932</v>
      </c>
      <c r="C11" s="12"/>
      <c r="D11" s="15"/>
      <c r="E11" s="12">
        <v>5085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45933</v>
      </c>
      <c r="C12" s="12"/>
      <c r="D12" s="15">
        <v>170</v>
      </c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45934</v>
      </c>
      <c r="C13" s="12"/>
      <c r="D13" s="15">
        <v>7812.5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0" t="s">
        <v>1</v>
      </c>
      <c r="C14" s="37" t="s">
        <v>1</v>
      </c>
      <c r="D14" s="38"/>
      <c r="E14" s="38"/>
      <c r="F14" s="39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45936</v>
      </c>
      <c r="C15" s="27"/>
      <c r="D15" s="15">
        <v>345.75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45937</v>
      </c>
      <c r="C16" s="27"/>
      <c r="D16" s="15">
        <v>1223</v>
      </c>
      <c r="E16" s="12"/>
      <c r="F16" s="34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45938</v>
      </c>
      <c r="C17" s="27"/>
      <c r="D17" s="15"/>
      <c r="E17" s="12">
        <v>84.5</v>
      </c>
      <c r="F17" s="34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45939</v>
      </c>
      <c r="C18" s="12"/>
      <c r="D18" s="15">
        <v>255.25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45940</v>
      </c>
      <c r="C19" s="12"/>
      <c r="D19" s="15"/>
      <c r="E19" s="12">
        <v>645.25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45941</v>
      </c>
      <c r="C20" s="12"/>
      <c r="D20" s="15">
        <v>128</v>
      </c>
      <c r="E20" s="12"/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0" t="s">
        <v>1</v>
      </c>
      <c r="C21" s="37" t="s">
        <v>1</v>
      </c>
      <c r="D21" s="38"/>
      <c r="E21" s="38"/>
      <c r="F21" s="39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45943</v>
      </c>
      <c r="C22" s="12"/>
      <c r="D22" s="15"/>
      <c r="E22" s="12">
        <v>455.25</v>
      </c>
      <c r="F22" s="1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45944</v>
      </c>
      <c r="C23" s="12"/>
      <c r="D23" s="15"/>
      <c r="E23" s="12">
        <v>799.5</v>
      </c>
      <c r="F23" s="11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45945</v>
      </c>
      <c r="C24" s="12"/>
      <c r="D24" s="37" t="s">
        <v>16</v>
      </c>
      <c r="E24" s="39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45946</v>
      </c>
      <c r="C25" s="12"/>
      <c r="D25" s="15"/>
      <c r="E25" s="12">
        <v>300.5</v>
      </c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45947</v>
      </c>
      <c r="C26" s="12"/>
      <c r="D26" s="35">
        <v>85.58</v>
      </c>
      <c r="E26" s="36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45948</v>
      </c>
      <c r="C27" s="12"/>
      <c r="D27" s="15">
        <v>41.25</v>
      </c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0" t="s">
        <v>1</v>
      </c>
      <c r="C28" s="37" t="s">
        <v>1</v>
      </c>
      <c r="D28" s="38"/>
      <c r="E28" s="38"/>
      <c r="F28" s="39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45950</v>
      </c>
      <c r="C29" s="12"/>
      <c r="D29" s="15"/>
      <c r="E29" s="12">
        <v>251.5</v>
      </c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45951</v>
      </c>
      <c r="C30" s="12"/>
      <c r="D30" s="15">
        <v>445.5</v>
      </c>
      <c r="E30" s="12"/>
      <c r="F30" s="34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45952</v>
      </c>
      <c r="C31" s="12"/>
      <c r="D31" s="15">
        <v>1791.25</v>
      </c>
      <c r="E31" s="12"/>
      <c r="F31" s="34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45953</v>
      </c>
      <c r="C32" s="12"/>
      <c r="D32" s="15">
        <v>84.75</v>
      </c>
      <c r="E32" s="12"/>
      <c r="F32" s="34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45954</v>
      </c>
      <c r="C33" s="12"/>
      <c r="D33" s="15"/>
      <c r="E33" s="12">
        <v>183</v>
      </c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45955</v>
      </c>
      <c r="C34" s="13"/>
      <c r="D34" s="15">
        <v>3947.25</v>
      </c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0" t="s">
        <v>1</v>
      </c>
      <c r="C35" s="37" t="s">
        <v>1</v>
      </c>
      <c r="D35" s="38"/>
      <c r="E35" s="38"/>
      <c r="F35" s="39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45957</v>
      </c>
      <c r="C36" s="12"/>
      <c r="D36" s="15">
        <v>23259.5</v>
      </c>
      <c r="E36" s="12"/>
      <c r="F36" s="11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45958</v>
      </c>
      <c r="C37" s="12"/>
      <c r="D37" s="15">
        <v>297.5</v>
      </c>
      <c r="E37" s="12"/>
      <c r="F37" s="11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45959</v>
      </c>
      <c r="C38" s="12"/>
      <c r="D38" s="37" t="s">
        <v>16</v>
      </c>
      <c r="E38" s="39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45960</v>
      </c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/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39887.08</v>
      </c>
      <c r="E43" s="18">
        <f>SUM(E10:E42)</f>
        <v>7804.5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7">
    <mergeCell ref="D38:E38"/>
    <mergeCell ref="C14:F14"/>
    <mergeCell ref="C21:F21"/>
    <mergeCell ref="C28:F28"/>
    <mergeCell ref="C35:F35"/>
    <mergeCell ref="D10:E10"/>
    <mergeCell ref="D24:E24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OCTOBER. SRS R1</vt:lpstr>
      <vt:lpstr>OCTOBER, SRS R2</vt:lpstr>
      <vt:lpstr>OCTOBER, SRS R3</vt:lpstr>
      <vt:lpstr>,</vt:lpstr>
      <vt:lpstr>'OCTOBER, SRS R2'!Print_Area</vt:lpstr>
      <vt:lpstr>'OCTOBER, SRS R3'!Print_Area</vt:lpstr>
      <vt:lpstr>'OCTOBER. SRS R1'!Print_Area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2025-10-31T01:14:31Z</dcterms:modified>
</cp:coreProperties>
</file>