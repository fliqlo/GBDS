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E1CFD8E5-EDD7-42A2-8C10-D5BE0FDFF85C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OCTOBER. SRS R1" sheetId="6" r:id="rId1"/>
    <sheet name="OCTOBER, SRS R2" sheetId="12" r:id="rId2"/>
    <sheet name="OCTOBER, SRS R3" sheetId="13" r:id="rId3"/>
    <sheet name="," sheetId="14" r:id="rId4"/>
  </sheets>
  <definedNames>
    <definedName name="_xlnm.Print_Area" localSheetId="1">'OCTOBER, SRS R2'!$A$1:$F$44</definedName>
    <definedName name="_xlnm.Print_Area" localSheetId="2">'OCTOBER, SRS R3'!$A$1:$F$44</definedName>
    <definedName name="_xlnm.Print_Area" localSheetId="0">'OCTOBER.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F43" i="6" l="1"/>
  <c r="E43" i="6"/>
  <c r="D43" i="6"/>
  <c r="C43" i="6"/>
</calcChain>
</file>

<file path=xl/sharedStrings.xml><?xml version="1.0" encoding="utf-8"?>
<sst xmlns="http://schemas.openxmlformats.org/spreadsheetml/2006/main" count="71" uniqueCount="17">
  <si>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</si>
  <si>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</si>
  <si>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</si>
  <si>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</si>
  <si>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</si>
  <si>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</si>
  <si>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</si>
  <si>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</si>
  <si>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</si>
  <si>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</si>
  <si>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</si>
  <si>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TOPEZ, FERMIN</t>
    </r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</si>
  <si>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</si>
  <si>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</si>
  <si>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t>OCTOBER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</si>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</sst>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4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opLeftCell="A4" zoomScaleNormal="100" zoomScaleSheetLayoutView="100" workbookViewId="0">
      <selection activeCell="E38" sqref="E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3663.5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37" t="s">
        <v>16</v>
      </c>
      <c r="E12" s="39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27795.5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926.25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/>
      <c r="E18" s="12">
        <v>79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687.75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85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785.13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15">
        <v>198.5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37" t="s">
        <v>16</v>
      </c>
      <c r="E25" s="39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1.75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8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>
        <v>1401.5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84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/>
      <c r="E32" s="12">
        <v>182.5</v>
      </c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507.5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122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5817.75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/>
      <c r="E37" s="12">
        <v>857.75</v>
      </c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12903</v>
      </c>
      <c r="E43" s="18">
        <f>SUM(E10:E42)</f>
        <v>30300.38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11">
    <mergeCell ref="C35:F35"/>
    <mergeCell ref="C14:F14"/>
    <mergeCell ref="C21:F21"/>
    <mergeCell ref="C28:F28"/>
    <mergeCell ref="D10:E10"/>
    <mergeCell ref="D12:E12"/>
    <mergeCell ref="D13:E13"/>
    <mergeCell ref="D17:E17"/>
    <mergeCell ref="D19:E19"/>
    <mergeCell ref="D25:E25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topLeftCell="A4" zoomScaleNormal="100" zoomScaleSheetLayoutView="100" workbookViewId="0">
      <selection activeCell="D38" sqref="D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>
        <v>73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/>
      <c r="E12" s="12">
        <v>248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123.25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/>
      <c r="E15" s="12">
        <v>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37" t="s">
        <v>16</v>
      </c>
      <c r="E16" s="39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37" t="s">
        <v>16</v>
      </c>
      <c r="E17" s="39"/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1370.5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387.63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/>
      <c r="E20" s="12">
        <v>7.75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4047.5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>
        <v>3936</v>
      </c>
      <c r="E23" s="12"/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4.5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9134.5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/>
      <c r="E27" s="12">
        <v>3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727.5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/>
      <c r="E30" s="12">
        <v>0.75</v>
      </c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37" t="s">
        <v>16</v>
      </c>
      <c r="E31" s="39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675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42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49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478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50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15889.25</v>
      </c>
      <c r="E43" s="18">
        <f>SUM(E10:E42)</f>
        <v>5473.63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9">
    <mergeCell ref="C14:F14"/>
    <mergeCell ref="C21:F21"/>
    <mergeCell ref="C28:F28"/>
    <mergeCell ref="C35:F35"/>
    <mergeCell ref="D10:E10"/>
    <mergeCell ref="D16:E16"/>
    <mergeCell ref="D17:E17"/>
    <mergeCell ref="D24:E24"/>
    <mergeCell ref="D31:E31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topLeftCell="A4" zoomScaleNormal="100" zoomScaleSheetLayoutView="100" workbookViewId="0">
      <selection activeCell="D38" sqref="D3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12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13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45931</v>
      </c>
      <c r="C10" s="12"/>
      <c r="D10" s="37" t="s">
        <v>16</v>
      </c>
      <c r="E10" s="39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45932</v>
      </c>
      <c r="C11" s="12"/>
      <c r="D11" s="15"/>
      <c r="E11" s="12">
        <v>5085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45933</v>
      </c>
      <c r="C12" s="12"/>
      <c r="D12" s="15">
        <v>170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45934</v>
      </c>
      <c r="C13" s="12"/>
      <c r="D13" s="15">
        <v>7812.5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0" t="s">
        <v>1</v>
      </c>
      <c r="C14" s="37" t="s">
        <v>1</v>
      </c>
      <c r="D14" s="38"/>
      <c r="E14" s="38"/>
      <c r="F14" s="39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45936</v>
      </c>
      <c r="C15" s="27"/>
      <c r="D15" s="15">
        <v>345.75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45937</v>
      </c>
      <c r="C16" s="27"/>
      <c r="D16" s="15">
        <v>1223</v>
      </c>
      <c r="E16" s="12"/>
      <c r="F16" s="34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45938</v>
      </c>
      <c r="C17" s="27"/>
      <c r="D17" s="15"/>
      <c r="E17" s="12">
        <v>84.5</v>
      </c>
      <c r="F17" s="34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45939</v>
      </c>
      <c r="C18" s="12"/>
      <c r="D18" s="15">
        <v>255.25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45940</v>
      </c>
      <c r="C19" s="12"/>
      <c r="D19" s="15"/>
      <c r="E19" s="12">
        <v>645.25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45941</v>
      </c>
      <c r="C20" s="12"/>
      <c r="D20" s="15">
        <v>128</v>
      </c>
      <c r="E20" s="12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0" t="s">
        <v>1</v>
      </c>
      <c r="C21" s="37" t="s">
        <v>1</v>
      </c>
      <c r="D21" s="38"/>
      <c r="E21" s="38"/>
      <c r="F21" s="3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45943</v>
      </c>
      <c r="C22" s="12"/>
      <c r="D22" s="15"/>
      <c r="E22" s="12">
        <v>455.25</v>
      </c>
      <c r="F22" s="1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45944</v>
      </c>
      <c r="C23" s="12"/>
      <c r="D23" s="15"/>
      <c r="E23" s="12">
        <v>799.5</v>
      </c>
      <c r="F23" s="11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45945</v>
      </c>
      <c r="C24" s="12"/>
      <c r="D24" s="37" t="s">
        <v>16</v>
      </c>
      <c r="E24" s="39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45946</v>
      </c>
      <c r="C25" s="12"/>
      <c r="D25" s="15"/>
      <c r="E25" s="12">
        <v>300.5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45947</v>
      </c>
      <c r="C26" s="12"/>
      <c r="D26" s="35">
        <v>85.58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45948</v>
      </c>
      <c r="C27" s="12"/>
      <c r="D27" s="15">
        <v>41.25</v>
      </c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0" t="s">
        <v>1</v>
      </c>
      <c r="C28" s="37" t="s">
        <v>1</v>
      </c>
      <c r="D28" s="38"/>
      <c r="E28" s="38"/>
      <c r="F28" s="39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45950</v>
      </c>
      <c r="C29" s="12"/>
      <c r="D29" s="15"/>
      <c r="E29" s="12">
        <v>251.5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45951</v>
      </c>
      <c r="C30" s="12"/>
      <c r="D30" s="15">
        <v>445.5</v>
      </c>
      <c r="E30" s="12"/>
      <c r="F30" s="34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45952</v>
      </c>
      <c r="C31" s="12"/>
      <c r="D31" s="15">
        <v>1791.25</v>
      </c>
      <c r="E31" s="12"/>
      <c r="F31" s="34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45953</v>
      </c>
      <c r="C32" s="12"/>
      <c r="D32" s="15">
        <v>84.75</v>
      </c>
      <c r="E32" s="12"/>
      <c r="F32" s="34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45954</v>
      </c>
      <c r="C33" s="12"/>
      <c r="D33" s="15"/>
      <c r="E33" s="12">
        <v>183</v>
      </c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45955</v>
      </c>
      <c r="C34" s="13"/>
      <c r="D34" s="15">
        <v>3947.25</v>
      </c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0" t="s">
        <v>1</v>
      </c>
      <c r="C35" s="37" t="s">
        <v>1</v>
      </c>
      <c r="D35" s="38"/>
      <c r="E35" s="38"/>
      <c r="F35" s="39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45957</v>
      </c>
      <c r="C36" s="12"/>
      <c r="D36" s="15">
        <v>23259.5</v>
      </c>
      <c r="E36" s="12"/>
      <c r="F36" s="11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45958</v>
      </c>
      <c r="C37" s="12"/>
      <c r="D37" s="15">
        <v>297.5</v>
      </c>
      <c r="E37" s="12"/>
      <c r="F37" s="11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45959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45960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39887.08</v>
      </c>
      <c r="E43" s="18">
        <f>SUM(E10:E42)</f>
        <v>7804.5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14:F14"/>
    <mergeCell ref="C21:F21"/>
    <mergeCell ref="C28:F28"/>
    <mergeCell ref="C35:F35"/>
    <mergeCell ref="D10:E10"/>
    <mergeCell ref="D24:E2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OCTOBER. SRS R1</vt:lpstr>
      <vt:lpstr>OCTOBER, SRS R2</vt:lpstr>
      <vt:lpstr>OCTOBER, SRS R3</vt:lpstr>
      <vt:lpstr>,</vt:lpstr>
      <vt:lpstr>'OCTOBER, SRS R2'!Print_Area</vt:lpstr>
      <vt:lpstr>'OCTOBER, SRS R3'!Print_Area</vt:lpstr>
      <vt:lpstr>'OCTOBER.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2025-10-29T01:28:03Z</dcterms:modified>
</cp:coreProperties>
</file>