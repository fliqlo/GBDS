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0243B999-660B-404A-95F5-BF2D0EE294DB}" xr6:coauthVersionLast="45" xr6:coauthVersionMax="45" xr10:uidLastSave="{00000000-0000-0000-0000-000000000000}"/>
  <bookViews>
    <workbookView xWindow="810" yWindow="-120" windowWidth="28110" windowHeight="16440" tabRatio="586" xr2:uid="{1BECB66F-BB2E-4983-8F6C-4EC307945A01}"/>
  </bookViews>
  <sheets>
    <sheet name="MSIS OCTOBER" sheetId="1" r:id="rId1"/>
    <sheet name="DSIS | OC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116" i="2" l="1"/>
  <c r="V1155" i="2" s="1"/>
  <c r="P1116" i="2"/>
  <c r="S1116" i="2" s="1"/>
  <c r="V1115" i="2"/>
  <c r="U1115" i="2"/>
  <c r="P1115" i="2"/>
  <c r="P1114" i="2"/>
  <c r="P1113" i="2"/>
  <c r="S1113" i="2" s="1"/>
  <c r="W1113" i="2" s="1"/>
  <c r="P1112" i="2"/>
  <c r="S1112" i="2" s="1"/>
  <c r="AE1112" i="2"/>
  <c r="AI1112" i="2" s="1"/>
  <c r="AE1113" i="2"/>
  <c r="AE1114" i="2"/>
  <c r="AI1114" i="2" s="1"/>
  <c r="AE1115" i="2"/>
  <c r="AI1115" i="2" s="1"/>
  <c r="AE1116" i="2"/>
  <c r="AI1116" i="2"/>
  <c r="AE1117" i="2"/>
  <c r="AI1117" i="2" s="1"/>
  <c r="AE1118" i="2"/>
  <c r="AI1118" i="2"/>
  <c r="AE1119" i="2"/>
  <c r="AI1119" i="2"/>
  <c r="AE1120" i="2"/>
  <c r="AI1120" i="2"/>
  <c r="AE1121" i="2"/>
  <c r="AI1121" i="2" s="1"/>
  <c r="AE1122" i="2"/>
  <c r="AI1122" i="2"/>
  <c r="AE1123" i="2"/>
  <c r="AI1123" i="2"/>
  <c r="AE1124" i="2"/>
  <c r="AI1124" i="2"/>
  <c r="AE1125" i="2"/>
  <c r="AI1125" i="2" s="1"/>
  <c r="AE1126" i="2"/>
  <c r="AI1126" i="2"/>
  <c r="AE1127" i="2"/>
  <c r="AI1127" i="2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/>
  <c r="AE1136" i="2"/>
  <c r="AI1136" i="2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/>
  <c r="AE1143" i="2"/>
  <c r="AI1143" i="2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 s="1"/>
  <c r="AI1153" i="2"/>
  <c r="AB1155" i="2"/>
  <c r="AC1155" i="2"/>
  <c r="AD1155" i="2"/>
  <c r="AG1155" i="2"/>
  <c r="AH1155" i="2"/>
  <c r="S1115" i="2"/>
  <c r="U1155" i="2"/>
  <c r="O1113" i="2"/>
  <c r="O1114" i="2" s="1"/>
  <c r="O1115" i="2" s="1"/>
  <c r="O1116" i="2" s="1"/>
  <c r="S1114" i="2"/>
  <c r="S1117" i="2"/>
  <c r="W1117" i="2" s="1"/>
  <c r="S1118" i="2"/>
  <c r="W1118" i="2"/>
  <c r="S1119" i="2"/>
  <c r="W1119" i="2" s="1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 s="1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 s="1"/>
  <c r="S1136" i="2"/>
  <c r="W1136" i="2" s="1"/>
  <c r="S1137" i="2"/>
  <c r="W1137" i="2"/>
  <c r="S1138" i="2"/>
  <c r="W1138" i="2"/>
  <c r="S1139" i="2"/>
  <c r="W1139" i="2" s="1"/>
  <c r="S1140" i="2"/>
  <c r="W1140" i="2"/>
  <c r="S1141" i="2"/>
  <c r="W1141" i="2"/>
  <c r="S1142" i="2"/>
  <c r="W1142" i="2"/>
  <c r="S1143" i="2"/>
  <c r="W1143" i="2" s="1"/>
  <c r="S1144" i="2"/>
  <c r="W1144" i="2" s="1"/>
  <c r="S1145" i="2"/>
  <c r="W1145" i="2"/>
  <c r="S1146" i="2"/>
  <c r="W1146" i="2"/>
  <c r="S1147" i="2"/>
  <c r="W1147" i="2" s="1"/>
  <c r="S1148" i="2"/>
  <c r="W1148" i="2"/>
  <c r="S1149" i="2"/>
  <c r="W1149" i="2"/>
  <c r="S1150" i="2"/>
  <c r="W1150" i="2"/>
  <c r="W1151" i="2"/>
  <c r="S1152" i="2"/>
  <c r="W1152" i="2"/>
  <c r="W1153" i="2"/>
  <c r="Q1155" i="2"/>
  <c r="R1155" i="2"/>
  <c r="D1123" i="2"/>
  <c r="D1122" i="2"/>
  <c r="D1121" i="2"/>
  <c r="I1120" i="2"/>
  <c r="D1120" i="2"/>
  <c r="D1119" i="2"/>
  <c r="D1118" i="2"/>
  <c r="D1117" i="2"/>
  <c r="W1116" i="2" l="1"/>
  <c r="W1115" i="2"/>
  <c r="AI1113" i="2"/>
  <c r="AI1155" i="2" s="1"/>
  <c r="AE1155" i="2"/>
  <c r="P1155" i="2"/>
  <c r="W1112" i="2"/>
  <c r="S1155" i="2"/>
  <c r="W1114" i="2"/>
  <c r="D1116" i="2"/>
  <c r="D1115" i="2"/>
  <c r="G1115" i="2" s="1"/>
  <c r="K1115" i="2" s="1"/>
  <c r="D1114" i="2"/>
  <c r="D1113" i="2"/>
  <c r="D1112" i="2"/>
  <c r="D1155" i="2" s="1"/>
  <c r="G1112" i="2"/>
  <c r="C1113" i="2"/>
  <c r="C1114" i="2" s="1"/>
  <c r="C1115" i="2" s="1"/>
  <c r="C1116" i="2" s="1"/>
  <c r="C1117" i="2" s="1"/>
  <c r="C1118" i="2" s="1"/>
  <c r="C1120" i="2" s="1"/>
  <c r="C1121" i="2" s="1"/>
  <c r="C1122" i="2" s="1"/>
  <c r="C1123" i="2" s="1"/>
  <c r="G1113" i="2"/>
  <c r="K1113" i="2" s="1"/>
  <c r="G1114" i="2"/>
  <c r="K1114" i="2" s="1"/>
  <c r="G1116" i="2"/>
  <c r="K1116" i="2" s="1"/>
  <c r="G1117" i="2"/>
  <c r="K1117" i="2" s="1"/>
  <c r="G1118" i="2"/>
  <c r="K1118" i="2" s="1"/>
  <c r="G1119" i="2"/>
  <c r="K1119" i="2" s="1"/>
  <c r="G1120" i="2"/>
  <c r="K1120" i="2" s="1"/>
  <c r="G1121" i="2"/>
  <c r="K1121" i="2" s="1"/>
  <c r="G1122" i="2"/>
  <c r="K1122" i="2" s="1"/>
  <c r="I1155" i="2"/>
  <c r="G1123" i="2"/>
  <c r="K1123" i="2" s="1"/>
  <c r="G1124" i="2"/>
  <c r="K1124" i="2" s="1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 s="1"/>
  <c r="G1132" i="2"/>
  <c r="K1132" i="2" s="1"/>
  <c r="G1133" i="2"/>
  <c r="K1133" i="2"/>
  <c r="G1134" i="2"/>
  <c r="K1134" i="2" s="1"/>
  <c r="G1135" i="2"/>
  <c r="K1135" i="2"/>
  <c r="G1136" i="2"/>
  <c r="K1136" i="2"/>
  <c r="G1137" i="2"/>
  <c r="K1137" i="2"/>
  <c r="G1138" i="2"/>
  <c r="K1138" i="2"/>
  <c r="G1139" i="2"/>
  <c r="K1139" i="2" s="1"/>
  <c r="G1140" i="2"/>
  <c r="K1140" i="2" s="1"/>
  <c r="G1141" i="2"/>
  <c r="K1141" i="2"/>
  <c r="G1142" i="2"/>
  <c r="K1142" i="2" s="1"/>
  <c r="G1143" i="2"/>
  <c r="K1143" i="2"/>
  <c r="G1144" i="2"/>
  <c r="K1144" i="2"/>
  <c r="G1145" i="2"/>
  <c r="K1145" i="2"/>
  <c r="G1152" i="2"/>
  <c r="K1152" i="2"/>
  <c r="E1155" i="2"/>
  <c r="F1155" i="2"/>
  <c r="J1155" i="2"/>
  <c r="W1155" i="2" l="1"/>
  <c r="G1155" i="2"/>
  <c r="K1112" i="2"/>
  <c r="K1155" i="2" s="1"/>
  <c r="AB1059" i="2"/>
  <c r="AB1058" i="2"/>
  <c r="AE1058" i="2" s="1"/>
  <c r="AI1058" i="2" s="1"/>
  <c r="AB1057" i="2"/>
  <c r="AE1057" i="2"/>
  <c r="AA1058" i="2"/>
  <c r="AA1059" i="2"/>
  <c r="AE1059" i="2"/>
  <c r="AI1059" i="2" s="1"/>
  <c r="AE1060" i="2"/>
  <c r="AI1060" i="2" s="1"/>
  <c r="AE1061" i="2"/>
  <c r="AI1061" i="2" s="1"/>
  <c r="AE1062" i="2"/>
  <c r="AI1062" i="2" s="1"/>
  <c r="AE1063" i="2"/>
  <c r="AI1063" i="2" s="1"/>
  <c r="AE1064" i="2"/>
  <c r="AI1064" i="2"/>
  <c r="AE1065" i="2"/>
  <c r="AI1065" i="2" s="1"/>
  <c r="AE1066" i="2"/>
  <c r="AI1066" i="2"/>
  <c r="AE1067" i="2"/>
  <c r="AI1067" i="2" s="1"/>
  <c r="AE1068" i="2"/>
  <c r="AI1068" i="2" s="1"/>
  <c r="AE1069" i="2"/>
  <c r="AI1069" i="2" s="1"/>
  <c r="AE1070" i="2"/>
  <c r="AI1070" i="2"/>
  <c r="AE1071" i="2"/>
  <c r="AI1071" i="2"/>
  <c r="AE1072" i="2"/>
  <c r="AI1072" i="2"/>
  <c r="AE1073" i="2"/>
  <c r="AI1073" i="2"/>
  <c r="AE1074" i="2"/>
  <c r="AI1074" i="2"/>
  <c r="AE1075" i="2"/>
  <c r="AI1075" i="2" s="1"/>
  <c r="AE1076" i="2"/>
  <c r="AI1076" i="2" s="1"/>
  <c r="AE1077" i="2"/>
  <c r="AI1077" i="2" s="1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 s="1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/>
  <c r="AE1093" i="2"/>
  <c r="AI1093" i="2" s="1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V1100" i="2"/>
  <c r="P1073" i="2"/>
  <c r="P1072" i="2"/>
  <c r="P1071" i="2"/>
  <c r="S1071" i="2" s="1"/>
  <c r="W1071" i="2" s="1"/>
  <c r="P1070" i="2"/>
  <c r="S1070" i="2"/>
  <c r="W1070" i="2" s="1"/>
  <c r="P1069" i="2"/>
  <c r="P1068" i="2"/>
  <c r="P1067" i="2"/>
  <c r="S1067" i="2" s="1"/>
  <c r="W1067" i="2" s="1"/>
  <c r="P1066" i="2"/>
  <c r="P1065" i="2"/>
  <c r="P1064" i="2"/>
  <c r="P1063" i="2"/>
  <c r="S1063" i="2" s="1"/>
  <c r="W1063" i="2" s="1"/>
  <c r="P1062" i="2"/>
  <c r="S1062" i="2" s="1"/>
  <c r="W1062" i="2" s="1"/>
  <c r="P1061" i="2"/>
  <c r="P1060" i="2"/>
  <c r="S1060" i="2" s="1"/>
  <c r="W1060" i="2" s="1"/>
  <c r="P1059" i="2"/>
  <c r="P1058" i="2"/>
  <c r="P1057" i="2"/>
  <c r="S1057" i="2" s="1"/>
  <c r="O1058" i="2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S1058" i="2"/>
  <c r="W1058" i="2" s="1"/>
  <c r="S1059" i="2"/>
  <c r="W1059" i="2" s="1"/>
  <c r="S1061" i="2"/>
  <c r="W1061" i="2" s="1"/>
  <c r="S1064" i="2"/>
  <c r="W1064" i="2" s="1"/>
  <c r="S1065" i="2"/>
  <c r="W1065" i="2" s="1"/>
  <c r="S1066" i="2"/>
  <c r="W1066" i="2" s="1"/>
  <c r="S1068" i="2"/>
  <c r="W1068" i="2" s="1"/>
  <c r="S1069" i="2"/>
  <c r="W1069" i="2" s="1"/>
  <c r="S1072" i="2"/>
  <c r="W1072" i="2"/>
  <c r="S1073" i="2"/>
  <c r="S1074" i="2"/>
  <c r="W1074" i="2"/>
  <c r="S1075" i="2"/>
  <c r="W1075" i="2"/>
  <c r="S1076" i="2"/>
  <c r="W1076" i="2" s="1"/>
  <c r="S1077" i="2"/>
  <c r="W1077" i="2"/>
  <c r="S1078" i="2"/>
  <c r="W1078" i="2" s="1"/>
  <c r="S1079" i="2"/>
  <c r="W1079" i="2"/>
  <c r="S1080" i="2"/>
  <c r="W1080" i="2"/>
  <c r="S1081" i="2"/>
  <c r="W1081" i="2"/>
  <c r="S1082" i="2"/>
  <c r="W1082" i="2"/>
  <c r="S1083" i="2"/>
  <c r="W1083" i="2"/>
  <c r="S1084" i="2"/>
  <c r="W1084" i="2"/>
  <c r="S1085" i="2"/>
  <c r="W1085" i="2" s="1"/>
  <c r="S1086" i="2"/>
  <c r="W1086" i="2" s="1"/>
  <c r="S1087" i="2"/>
  <c r="W1087" i="2"/>
  <c r="S1088" i="2"/>
  <c r="W1088" i="2"/>
  <c r="S1089" i="2"/>
  <c r="W1089" i="2"/>
  <c r="S1090" i="2"/>
  <c r="W1090" i="2"/>
  <c r="S1091" i="2"/>
  <c r="W1091" i="2"/>
  <c r="S1092" i="2"/>
  <c r="W1092" i="2"/>
  <c r="S1093" i="2"/>
  <c r="W1093" i="2"/>
  <c r="S1094" i="2"/>
  <c r="W1094" i="2" s="1"/>
  <c r="S1095" i="2"/>
  <c r="W1095" i="2"/>
  <c r="W1096" i="2"/>
  <c r="S1097" i="2"/>
  <c r="W1097" i="2" s="1"/>
  <c r="W1098" i="2"/>
  <c r="Q1100" i="2"/>
  <c r="R1100" i="2"/>
  <c r="U1100" i="2"/>
  <c r="D1068" i="2"/>
  <c r="I1067" i="2"/>
  <c r="D1067" i="2"/>
  <c r="D1066" i="2"/>
  <c r="D1065" i="2"/>
  <c r="D1064" i="2"/>
  <c r="D1063" i="2"/>
  <c r="D1062" i="2"/>
  <c r="D1061" i="2"/>
  <c r="D1060" i="2"/>
  <c r="D1059" i="2"/>
  <c r="D1058" i="2"/>
  <c r="I1057" i="2"/>
  <c r="D1057" i="2"/>
  <c r="AI1057" i="2" l="1"/>
  <c r="AI1100" i="2" s="1"/>
  <c r="AE1100" i="2"/>
  <c r="AB1100" i="2"/>
  <c r="W1073" i="2"/>
  <c r="W1057" i="2"/>
  <c r="S1100" i="2"/>
  <c r="P1100" i="2"/>
  <c r="G1057" i="2"/>
  <c r="C1058" i="2"/>
  <c r="G1058" i="2"/>
  <c r="K1058" i="2" s="1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G1059" i="2"/>
  <c r="K1059" i="2" s="1"/>
  <c r="D1100" i="2"/>
  <c r="G1061" i="2"/>
  <c r="K1061" i="2" s="1"/>
  <c r="G1062" i="2"/>
  <c r="K1062" i="2" s="1"/>
  <c r="G1063" i="2"/>
  <c r="K1063" i="2" s="1"/>
  <c r="G1064" i="2"/>
  <c r="K1064" i="2"/>
  <c r="G1065" i="2"/>
  <c r="K1065" i="2" s="1"/>
  <c r="G1066" i="2"/>
  <c r="K1066" i="2"/>
  <c r="G1067" i="2"/>
  <c r="K1067" i="2" s="1"/>
  <c r="G1068" i="2"/>
  <c r="K1068" i="2" s="1"/>
  <c r="G1069" i="2"/>
  <c r="K1069" i="2" s="1"/>
  <c r="G1070" i="2"/>
  <c r="K1070" i="2" s="1"/>
  <c r="G1071" i="2"/>
  <c r="K1071" i="2"/>
  <c r="G1072" i="2"/>
  <c r="K1072" i="2"/>
  <c r="G1073" i="2"/>
  <c r="K1073" i="2" s="1"/>
  <c r="G1074" i="2"/>
  <c r="K1074" i="2"/>
  <c r="G1075" i="2"/>
  <c r="K1075" i="2"/>
  <c r="G1076" i="2"/>
  <c r="K1076" i="2" s="1"/>
  <c r="G1077" i="2"/>
  <c r="K1077" i="2" s="1"/>
  <c r="G1078" i="2"/>
  <c r="K1078" i="2" s="1"/>
  <c r="G1079" i="2"/>
  <c r="K1079" i="2"/>
  <c r="G1080" i="2"/>
  <c r="K1080" i="2"/>
  <c r="G1081" i="2"/>
  <c r="K1081" i="2" s="1"/>
  <c r="G1082" i="2"/>
  <c r="K1082" i="2"/>
  <c r="G1083" i="2"/>
  <c r="K1083" i="2"/>
  <c r="G1084" i="2"/>
  <c r="K1084" i="2" s="1"/>
  <c r="G1085" i="2"/>
  <c r="K1085" i="2" s="1"/>
  <c r="G1086" i="2"/>
  <c r="K1086" i="2" s="1"/>
  <c r="G1087" i="2"/>
  <c r="K1087" i="2"/>
  <c r="G1088" i="2"/>
  <c r="K1088" i="2"/>
  <c r="G1089" i="2"/>
  <c r="K1089" i="2" s="1"/>
  <c r="G1090" i="2"/>
  <c r="K1090" i="2"/>
  <c r="G1097" i="2"/>
  <c r="K1097" i="2"/>
  <c r="E1100" i="2"/>
  <c r="F1100" i="2"/>
  <c r="I1100" i="2"/>
  <c r="J1100" i="2"/>
  <c r="W1100" i="2" l="1"/>
  <c r="K1057" i="2"/>
  <c r="G1060" i="2"/>
  <c r="K1060" i="2" s="1"/>
  <c r="AB1008" i="2"/>
  <c r="AE1008" i="2" s="1"/>
  <c r="AI1008" i="2" s="1"/>
  <c r="AB1007" i="2"/>
  <c r="AE1007" i="2" s="1"/>
  <c r="AI1007" i="2" s="1"/>
  <c r="AB1006" i="2"/>
  <c r="AE1006" i="2" s="1"/>
  <c r="AI1006" i="2" s="1"/>
  <c r="AB1005" i="2"/>
  <c r="AB1004" i="2"/>
  <c r="AB1003" i="2"/>
  <c r="AB1002" i="2"/>
  <c r="AE1002" i="2"/>
  <c r="AA1003" i="2"/>
  <c r="AE1003" i="2"/>
  <c r="AI1003" i="2" s="1"/>
  <c r="AA1004" i="2"/>
  <c r="AA1005" i="2" s="1"/>
  <c r="AA1006" i="2" s="1"/>
  <c r="AA1007" i="2" s="1"/>
  <c r="AA1008" i="2" s="1"/>
  <c r="AE1004" i="2"/>
  <c r="AI1004" i="2" s="1"/>
  <c r="AE1005" i="2"/>
  <c r="AI1005" i="2" s="1"/>
  <c r="AE1009" i="2"/>
  <c r="AI1009" i="2"/>
  <c r="AE1010" i="2"/>
  <c r="AI1010" i="2" s="1"/>
  <c r="AE1011" i="2"/>
  <c r="AI1011" i="2" s="1"/>
  <c r="AE1012" i="2"/>
  <c r="AI1012" i="2" s="1"/>
  <c r="AE1013" i="2"/>
  <c r="AI1013" i="2"/>
  <c r="AE1014" i="2"/>
  <c r="AI1014" i="2" s="1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 s="1"/>
  <c r="AE1021" i="2"/>
  <c r="AI1021" i="2"/>
  <c r="AE1022" i="2"/>
  <c r="AI1022" i="2"/>
  <c r="AE1023" i="2"/>
  <c r="AI1023" i="2" s="1"/>
  <c r="AE1024" i="2"/>
  <c r="AI1024" i="2"/>
  <c r="AE1025" i="2"/>
  <c r="AI1025" i="2"/>
  <c r="AE1026" i="2"/>
  <c r="AI1026" i="2" s="1"/>
  <c r="AE1027" i="2"/>
  <c r="AI1027" i="2"/>
  <c r="AE1028" i="2"/>
  <c r="AI1028" i="2" s="1"/>
  <c r="AE1029" i="2"/>
  <c r="AI1029" i="2"/>
  <c r="AE1030" i="2"/>
  <c r="AI1030" i="2"/>
  <c r="AE1031" i="2"/>
  <c r="AI1031" i="2" s="1"/>
  <c r="AE1032" i="2"/>
  <c r="AI1032" i="2"/>
  <c r="AE1033" i="2"/>
  <c r="AI1033" i="2"/>
  <c r="AE1034" i="2"/>
  <c r="AI1034" i="2" s="1"/>
  <c r="AE1035" i="2"/>
  <c r="AI1035" i="2"/>
  <c r="AE1036" i="2"/>
  <c r="AI1036" i="2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G1045" i="2"/>
  <c r="AH1045" i="2"/>
  <c r="V1012" i="2"/>
  <c r="V1045" i="2" s="1"/>
  <c r="P1012" i="2"/>
  <c r="S1012" i="2" s="1"/>
  <c r="P1011" i="2"/>
  <c r="P1010" i="2"/>
  <c r="P1009" i="2"/>
  <c r="P1008" i="2"/>
  <c r="P1007" i="2"/>
  <c r="S1007" i="2" s="1"/>
  <c r="W1007" i="2" s="1"/>
  <c r="P1006" i="2"/>
  <c r="P1005" i="2"/>
  <c r="S1005" i="2" s="1"/>
  <c r="W1005" i="2" s="1"/>
  <c r="P1004" i="2"/>
  <c r="S1004" i="2" s="1"/>
  <c r="W1004" i="2" s="1"/>
  <c r="P1003" i="2"/>
  <c r="S1003" i="2" s="1"/>
  <c r="W1003" i="2" s="1"/>
  <c r="U1002" i="2"/>
  <c r="P1002" i="2"/>
  <c r="S1002" i="2" s="1"/>
  <c r="W1002" i="2" s="1"/>
  <c r="R1045" i="2"/>
  <c r="Q1045" i="2"/>
  <c r="W1043" i="2"/>
  <c r="S1042" i="2"/>
  <c r="W1042" i="2" s="1"/>
  <c r="W1041" i="2"/>
  <c r="S1040" i="2"/>
  <c r="W1040" i="2" s="1"/>
  <c r="W1039" i="2"/>
  <c r="S1039" i="2"/>
  <c r="S1038" i="2"/>
  <c r="W1038" i="2" s="1"/>
  <c r="W1037" i="2"/>
  <c r="S1037" i="2"/>
  <c r="S1036" i="2"/>
  <c r="W1036" i="2" s="1"/>
  <c r="W1035" i="2"/>
  <c r="S1035" i="2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W1027" i="2"/>
  <c r="S1027" i="2"/>
  <c r="S1026" i="2"/>
  <c r="W1026" i="2" s="1"/>
  <c r="S1025" i="2"/>
  <c r="W1025" i="2" s="1"/>
  <c r="S1024" i="2"/>
  <c r="W1024" i="2" s="1"/>
  <c r="S1023" i="2"/>
  <c r="W1023" i="2" s="1"/>
  <c r="S1022" i="2"/>
  <c r="W1022" i="2" s="1"/>
  <c r="W1021" i="2"/>
  <c r="S1021" i="2"/>
  <c r="S1020" i="2"/>
  <c r="W1020" i="2" s="1"/>
  <c r="W1019" i="2"/>
  <c r="S1019" i="2"/>
  <c r="S1018" i="2"/>
  <c r="W1018" i="2" s="1"/>
  <c r="S1017" i="2"/>
  <c r="W1017" i="2" s="1"/>
  <c r="S1016" i="2"/>
  <c r="W1016" i="2" s="1"/>
  <c r="S1015" i="2"/>
  <c r="W1015" i="2" s="1"/>
  <c r="S1014" i="2"/>
  <c r="W1014" i="2" s="1"/>
  <c r="S1013" i="2"/>
  <c r="W1013" i="2" s="1"/>
  <c r="S1011" i="2"/>
  <c r="W1011" i="2" s="1"/>
  <c r="S1010" i="2"/>
  <c r="W1010" i="2" s="1"/>
  <c r="S1009" i="2"/>
  <c r="W1009" i="2" s="1"/>
  <c r="S1008" i="2"/>
  <c r="W1008" i="2" s="1"/>
  <c r="S1006" i="2"/>
  <c r="W1006" i="2" s="1"/>
  <c r="O1003" i="2"/>
  <c r="O1004" i="2" s="1"/>
  <c r="O1005" i="2" s="1"/>
  <c r="O1007" i="2" s="1"/>
  <c r="O1008" i="2" s="1"/>
  <c r="O1009" i="2" s="1"/>
  <c r="O1010" i="2" s="1"/>
  <c r="O1011" i="2" s="1"/>
  <c r="O1012" i="2" s="1"/>
  <c r="D1008" i="2"/>
  <c r="D1007" i="2"/>
  <c r="D1006" i="2"/>
  <c r="G1006" i="2" s="1"/>
  <c r="K1006" i="2" s="1"/>
  <c r="D1005" i="2"/>
  <c r="G1005" i="2" s="1"/>
  <c r="K1005" i="2" s="1"/>
  <c r="D1004" i="2"/>
  <c r="G1004" i="2" s="1"/>
  <c r="K1004" i="2" s="1"/>
  <c r="J1003" i="2"/>
  <c r="J1045" i="2" s="1"/>
  <c r="I1003" i="2"/>
  <c r="I1045" i="2" s="1"/>
  <c r="D1003" i="2"/>
  <c r="D1002" i="2"/>
  <c r="C1003" i="2"/>
  <c r="F1045" i="2"/>
  <c r="E1045" i="2"/>
  <c r="G1042" i="2"/>
  <c r="K1042" i="2" s="1"/>
  <c r="G1035" i="2"/>
  <c r="K1035" i="2" s="1"/>
  <c r="K1034" i="2"/>
  <c r="G1034" i="2"/>
  <c r="G1033" i="2"/>
  <c r="K1033" i="2" s="1"/>
  <c r="K1032" i="2"/>
  <c r="G1032" i="2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K1024" i="2"/>
  <c r="G1024" i="2"/>
  <c r="G1023" i="2"/>
  <c r="K1023" i="2" s="1"/>
  <c r="G1022" i="2"/>
  <c r="K1022" i="2" s="1"/>
  <c r="K1021" i="2"/>
  <c r="G1021" i="2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G1008" i="2"/>
  <c r="K1008" i="2" s="1"/>
  <c r="G1007" i="2"/>
  <c r="K1007" i="2" s="1"/>
  <c r="C1004" i="2"/>
  <c r="C1005" i="2" s="1"/>
  <c r="C1006" i="2" s="1"/>
  <c r="C1007" i="2" s="1"/>
  <c r="C1008" i="2" s="1"/>
  <c r="G1003" i="2"/>
  <c r="G1100" i="2" l="1"/>
  <c r="K1100" i="2"/>
  <c r="AI1002" i="2"/>
  <c r="AI1045" i="2" s="1"/>
  <c r="AE1045" i="2"/>
  <c r="AB1045" i="2"/>
  <c r="W1012" i="2"/>
  <c r="U1045" i="2"/>
  <c r="P1045" i="2"/>
  <c r="W1045" i="2"/>
  <c r="S1045" i="2"/>
  <c r="D1045" i="2"/>
  <c r="K1003" i="2"/>
  <c r="G1002" i="2"/>
  <c r="AB957" i="2"/>
  <c r="AB956" i="2"/>
  <c r="AE956" i="2" s="1"/>
  <c r="AI956" i="2" s="1"/>
  <c r="AB955" i="2"/>
  <c r="AE955" i="2" s="1"/>
  <c r="AI955" i="2" s="1"/>
  <c r="AB954" i="2"/>
  <c r="AB953" i="2"/>
  <c r="AE953" i="2" s="1"/>
  <c r="AI953" i="2" s="1"/>
  <c r="AB952" i="2"/>
  <c r="AE952" i="2" s="1"/>
  <c r="AI952" i="2" s="1"/>
  <c r="AB951" i="2"/>
  <c r="AB950" i="2"/>
  <c r="AE950" i="2" s="1"/>
  <c r="AI950" i="2" s="1"/>
  <c r="AG949" i="2"/>
  <c r="AG990" i="2" s="1"/>
  <c r="AB949" i="2"/>
  <c r="AB948" i="2"/>
  <c r="AB947" i="2"/>
  <c r="AA948" i="2"/>
  <c r="AE947" i="2"/>
  <c r="AA949" i="2"/>
  <c r="AA950" i="2" s="1"/>
  <c r="AA951" i="2" s="1"/>
  <c r="AA952" i="2" s="1"/>
  <c r="AA953" i="2" s="1"/>
  <c r="AA954" i="2" s="1"/>
  <c r="AA955" i="2" s="1"/>
  <c r="AA956" i="2" s="1"/>
  <c r="AA957" i="2" s="1"/>
  <c r="AE949" i="2"/>
  <c r="AE951" i="2"/>
  <c r="AI951" i="2" s="1"/>
  <c r="AE954" i="2"/>
  <c r="AI954" i="2" s="1"/>
  <c r="AE957" i="2"/>
  <c r="AI957" i="2"/>
  <c r="AE958" i="2"/>
  <c r="AI958" i="2"/>
  <c r="AE959" i="2"/>
  <c r="AI959" i="2" s="1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/>
  <c r="AE967" i="2"/>
  <c r="AI967" i="2"/>
  <c r="AE968" i="2"/>
  <c r="AI968" i="2"/>
  <c r="AE969" i="2"/>
  <c r="AI969" i="2"/>
  <c r="AE970" i="2"/>
  <c r="AI970" i="2"/>
  <c r="AE971" i="2"/>
  <c r="AI971" i="2"/>
  <c r="AE972" i="2"/>
  <c r="AI972" i="2" s="1"/>
  <c r="AE973" i="2"/>
  <c r="AI973" i="2"/>
  <c r="AE974" i="2"/>
  <c r="AI974" i="2"/>
  <c r="AE975" i="2"/>
  <c r="AI975" i="2"/>
  <c r="AE976" i="2"/>
  <c r="AI976" i="2"/>
  <c r="AE977" i="2"/>
  <c r="AI977" i="2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G1045" i="2" l="1"/>
  <c r="K1002" i="2"/>
  <c r="K1045" i="2" s="1"/>
  <c r="AB990" i="2"/>
  <c r="AI949" i="2"/>
  <c r="AI947" i="2"/>
  <c r="AE948" i="2"/>
  <c r="AI948" i="2" s="1"/>
  <c r="AB898" i="2"/>
  <c r="AB897" i="2"/>
  <c r="AB896" i="2"/>
  <c r="AB895" i="2"/>
  <c r="AB894" i="2"/>
  <c r="AE894" i="2" s="1"/>
  <c r="AI894" i="2" s="1"/>
  <c r="AB893" i="2"/>
  <c r="AH893" i="2"/>
  <c r="AB892" i="2"/>
  <c r="AE892" i="2"/>
  <c r="AI892" i="2" s="1"/>
  <c r="AA894" i="2"/>
  <c r="AA895" i="2" s="1"/>
  <c r="AA896" i="2" s="1"/>
  <c r="AA897" i="2" s="1"/>
  <c r="AA898" i="2" s="1"/>
  <c r="AA899" i="2" s="1"/>
  <c r="AE893" i="2"/>
  <c r="AE896" i="2"/>
  <c r="AI896" i="2" s="1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 s="1"/>
  <c r="AE905" i="2"/>
  <c r="AI905" i="2" s="1"/>
  <c r="AE906" i="2"/>
  <c r="AI906" i="2" s="1"/>
  <c r="AE907" i="2"/>
  <c r="AI907" i="2" s="1"/>
  <c r="AE908" i="2"/>
  <c r="AI908" i="2" s="1"/>
  <c r="AE909" i="2"/>
  <c r="AI909" i="2" s="1"/>
  <c r="AE910" i="2"/>
  <c r="AI910" i="2"/>
  <c r="AE911" i="2"/>
  <c r="AI911" i="2"/>
  <c r="AE912" i="2"/>
  <c r="AI912" i="2" s="1"/>
  <c r="AE913" i="2"/>
  <c r="AI913" i="2" s="1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 s="1"/>
  <c r="AE921" i="2"/>
  <c r="AI921" i="2" s="1"/>
  <c r="AE922" i="2"/>
  <c r="AI922" i="2"/>
  <c r="AE923" i="2"/>
  <c r="AI923" i="2" s="1"/>
  <c r="AE924" i="2"/>
  <c r="AI924" i="2" s="1"/>
  <c r="AE925" i="2"/>
  <c r="AI925" i="2"/>
  <c r="AE926" i="2"/>
  <c r="AI926" i="2"/>
  <c r="AE927" i="2"/>
  <c r="AI927" i="2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AH935" i="2"/>
  <c r="P904" i="2"/>
  <c r="S904" i="2" s="1"/>
  <c r="W904" i="2" s="1"/>
  <c r="P903" i="2"/>
  <c r="P902" i="2"/>
  <c r="P901" i="2"/>
  <c r="P900" i="2"/>
  <c r="P899" i="2"/>
  <c r="P898" i="2"/>
  <c r="P897" i="2"/>
  <c r="U896" i="2"/>
  <c r="P896" i="2"/>
  <c r="P895" i="2"/>
  <c r="P894" i="2"/>
  <c r="P893" i="2"/>
  <c r="P892" i="2"/>
  <c r="O893" i="2"/>
  <c r="S893" i="2"/>
  <c r="W893" i="2"/>
  <c r="O894" i="2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S894" i="2"/>
  <c r="W894" i="2" s="1"/>
  <c r="S895" i="2"/>
  <c r="W895" i="2"/>
  <c r="S896" i="2"/>
  <c r="W896" i="2" s="1"/>
  <c r="S897" i="2"/>
  <c r="W897" i="2" s="1"/>
  <c r="S898" i="2"/>
  <c r="W898" i="2" s="1"/>
  <c r="S899" i="2"/>
  <c r="W899" i="2" s="1"/>
  <c r="U935" i="2"/>
  <c r="S900" i="2"/>
  <c r="W900" i="2"/>
  <c r="S901" i="2"/>
  <c r="W901" i="2" s="1"/>
  <c r="S902" i="2"/>
  <c r="W902" i="2" s="1"/>
  <c r="S903" i="2"/>
  <c r="W903" i="2" s="1"/>
  <c r="S905" i="2"/>
  <c r="W905" i="2" s="1"/>
  <c r="S906" i="2"/>
  <c r="W906" i="2" s="1"/>
  <c r="S907" i="2"/>
  <c r="W907" i="2"/>
  <c r="S908" i="2"/>
  <c r="W908" i="2"/>
  <c r="S909" i="2"/>
  <c r="W909" i="2"/>
  <c r="S910" i="2"/>
  <c r="W910" i="2"/>
  <c r="S911" i="2"/>
  <c r="W911" i="2"/>
  <c r="S912" i="2"/>
  <c r="W912" i="2"/>
  <c r="S913" i="2"/>
  <c r="W913" i="2"/>
  <c r="S914" i="2"/>
  <c r="W914" i="2"/>
  <c r="S915" i="2"/>
  <c r="W915" i="2"/>
  <c r="S916" i="2"/>
  <c r="W916" i="2"/>
  <c r="S917" i="2"/>
  <c r="W917" i="2"/>
  <c r="S918" i="2"/>
  <c r="W918" i="2"/>
  <c r="S919" i="2"/>
  <c r="W919" i="2"/>
  <c r="S920" i="2"/>
  <c r="W920" i="2"/>
  <c r="S921" i="2"/>
  <c r="W921" i="2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/>
  <c r="S929" i="2"/>
  <c r="W929" i="2"/>
  <c r="S930" i="2"/>
  <c r="W930" i="2"/>
  <c r="W931" i="2"/>
  <c r="S932" i="2"/>
  <c r="W932" i="2"/>
  <c r="W933" i="2"/>
  <c r="Q935" i="2"/>
  <c r="R935" i="2"/>
  <c r="V935" i="2"/>
  <c r="D906" i="2"/>
  <c r="G906" i="2" s="1"/>
  <c r="K906" i="2" s="1"/>
  <c r="D905" i="2"/>
  <c r="G905" i="2" s="1"/>
  <c r="K905" i="2" s="1"/>
  <c r="D904" i="2"/>
  <c r="G904" i="2" s="1"/>
  <c r="K904" i="2" s="1"/>
  <c r="D903" i="2"/>
  <c r="G903" i="2" s="1"/>
  <c r="K903" i="2" s="1"/>
  <c r="D902" i="2"/>
  <c r="I901" i="2"/>
  <c r="D901" i="2"/>
  <c r="G901" i="2" s="1"/>
  <c r="K901" i="2" s="1"/>
  <c r="D900" i="2"/>
  <c r="G900" i="2" s="1"/>
  <c r="K900" i="2" s="1"/>
  <c r="D899" i="2"/>
  <c r="D898" i="2"/>
  <c r="G898" i="2" s="1"/>
  <c r="K898" i="2" s="1"/>
  <c r="D897" i="2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K893" i="2" s="1"/>
  <c r="D892" i="2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G897" i="2"/>
  <c r="K897" i="2" s="1"/>
  <c r="G899" i="2"/>
  <c r="K899" i="2"/>
  <c r="G902" i="2"/>
  <c r="K902" i="2"/>
  <c r="G907" i="2"/>
  <c r="K907" i="2"/>
  <c r="G908" i="2"/>
  <c r="K908" i="2" s="1"/>
  <c r="G909" i="2"/>
  <c r="K909" i="2"/>
  <c r="G910" i="2"/>
  <c r="K910" i="2" s="1"/>
  <c r="G911" i="2"/>
  <c r="K911" i="2"/>
  <c r="G912" i="2"/>
  <c r="K912" i="2" s="1"/>
  <c r="G913" i="2"/>
  <c r="K913" i="2"/>
  <c r="G914" i="2"/>
  <c r="K914" i="2" s="1"/>
  <c r="G915" i="2"/>
  <c r="K915" i="2" s="1"/>
  <c r="G916" i="2"/>
  <c r="K916" i="2"/>
  <c r="G917" i="2"/>
  <c r="K917" i="2" s="1"/>
  <c r="G918" i="2"/>
  <c r="K918" i="2"/>
  <c r="G919" i="2"/>
  <c r="K919" i="2"/>
  <c r="G920" i="2"/>
  <c r="K920" i="2"/>
  <c r="G921" i="2"/>
  <c r="K921" i="2"/>
  <c r="G922" i="2"/>
  <c r="K922" i="2"/>
  <c r="G923" i="2"/>
  <c r="K923" i="2"/>
  <c r="G924" i="2"/>
  <c r="K924" i="2"/>
  <c r="G925" i="2"/>
  <c r="K925" i="2" s="1"/>
  <c r="G932" i="2"/>
  <c r="K932" i="2"/>
  <c r="E935" i="2"/>
  <c r="F935" i="2"/>
  <c r="I935" i="2"/>
  <c r="J935" i="2"/>
  <c r="AI990" i="2" l="1"/>
  <c r="AE990" i="2"/>
  <c r="AB935" i="2"/>
  <c r="AI893" i="2"/>
  <c r="AE895" i="2"/>
  <c r="AI895" i="2" s="1"/>
  <c r="AI935" i="2" s="1"/>
  <c r="P935" i="2"/>
  <c r="S892" i="2"/>
  <c r="W892" i="2" s="1"/>
  <c r="S935" i="2"/>
  <c r="W935" i="2"/>
  <c r="D935" i="2"/>
  <c r="G892" i="2"/>
  <c r="G935" i="2"/>
  <c r="K892" i="2"/>
  <c r="K935" i="2" s="1"/>
  <c r="AB847" i="2"/>
  <c r="AE847" i="2" s="1"/>
  <c r="AI847" i="2" s="1"/>
  <c r="AB846" i="2"/>
  <c r="AB845" i="2"/>
  <c r="AB844" i="2"/>
  <c r="AB843" i="2"/>
  <c r="AE843" i="2" s="1"/>
  <c r="AI843" i="2" s="1"/>
  <c r="AH842" i="2"/>
  <c r="AI842" i="2" s="1"/>
  <c r="AB842" i="2"/>
  <c r="AB841" i="2"/>
  <c r="AB840" i="2"/>
  <c r="AE840" i="2" s="1"/>
  <c r="AI840" i="2" s="1"/>
  <c r="AB839" i="2"/>
  <c r="AB838" i="2"/>
  <c r="AG837" i="2"/>
  <c r="AB837" i="2"/>
  <c r="AE837" i="2" s="1"/>
  <c r="AI837" i="2" s="1"/>
  <c r="AA839" i="2"/>
  <c r="AA840" i="2" s="1"/>
  <c r="AA841" i="2" s="1"/>
  <c r="AA842" i="2" s="1"/>
  <c r="AA843" i="2" s="1"/>
  <c r="AA844" i="2" s="1"/>
  <c r="AA845" i="2" s="1"/>
  <c r="AA846" i="2" s="1"/>
  <c r="AA847" i="2" s="1"/>
  <c r="AA838" i="2"/>
  <c r="AE838" i="2"/>
  <c r="AE839" i="2"/>
  <c r="AI839" i="2" s="1"/>
  <c r="AE841" i="2"/>
  <c r="AI841" i="2" s="1"/>
  <c r="AE842" i="2"/>
  <c r="AE844" i="2"/>
  <c r="AI844" i="2"/>
  <c r="AE845" i="2"/>
  <c r="AI845" i="2" s="1"/>
  <c r="AE846" i="2"/>
  <c r="AI846" i="2" s="1"/>
  <c r="AE848" i="2"/>
  <c r="AI848" i="2" s="1"/>
  <c r="AE849" i="2"/>
  <c r="AI849" i="2"/>
  <c r="AE850" i="2"/>
  <c r="AI850" i="2"/>
  <c r="AE851" i="2"/>
  <c r="AI851" i="2"/>
  <c r="AE852" i="2"/>
  <c r="AI852" i="2"/>
  <c r="AE853" i="2"/>
  <c r="AI853" i="2" s="1"/>
  <c r="AE854" i="2"/>
  <c r="AI854" i="2" s="1"/>
  <c r="AE855" i="2"/>
  <c r="AI855" i="2" s="1"/>
  <c r="AE856" i="2"/>
  <c r="AI856" i="2"/>
  <c r="AE857" i="2"/>
  <c r="AI857" i="2"/>
  <c r="AE858" i="2"/>
  <c r="AI858" i="2"/>
  <c r="AE859" i="2"/>
  <c r="AI859" i="2"/>
  <c r="AE860" i="2"/>
  <c r="AI860" i="2"/>
  <c r="AE861" i="2"/>
  <c r="AI861" i="2" s="1"/>
  <c r="AE862" i="2"/>
  <c r="AI862" i="2"/>
  <c r="AE863" i="2"/>
  <c r="AI863" i="2"/>
  <c r="AE864" i="2"/>
  <c r="AI864" i="2"/>
  <c r="AE865" i="2"/>
  <c r="AI865" i="2"/>
  <c r="AE866" i="2"/>
  <c r="AI866" i="2"/>
  <c r="AE867" i="2"/>
  <c r="AI867" i="2"/>
  <c r="AE868" i="2"/>
  <c r="AI868" i="2"/>
  <c r="AE869" i="2"/>
  <c r="AI869" i="2" s="1"/>
  <c r="AE870" i="2"/>
  <c r="AI870" i="2"/>
  <c r="AE871" i="2"/>
  <c r="AI871" i="2"/>
  <c r="AE872" i="2"/>
  <c r="AI872" i="2"/>
  <c r="AE873" i="2"/>
  <c r="AI873" i="2"/>
  <c r="AE874" i="2"/>
  <c r="AI874" i="2"/>
  <c r="AE875" i="2"/>
  <c r="AI875" i="2"/>
  <c r="AI876" i="2"/>
  <c r="AE877" i="2"/>
  <c r="AI877" i="2"/>
  <c r="AI878" i="2"/>
  <c r="AC880" i="2"/>
  <c r="AD880" i="2"/>
  <c r="AG880" i="2"/>
  <c r="AH880" i="2"/>
  <c r="P851" i="2"/>
  <c r="P850" i="2"/>
  <c r="P849" i="2"/>
  <c r="S849" i="2"/>
  <c r="W849" i="2" s="1"/>
  <c r="P848" i="2"/>
  <c r="S848" i="2" s="1"/>
  <c r="W848" i="2" s="1"/>
  <c r="P847" i="2"/>
  <c r="S847" i="2" s="1"/>
  <c r="W847" i="2" s="1"/>
  <c r="P846" i="2"/>
  <c r="S846" i="2" s="1"/>
  <c r="W846" i="2" s="1"/>
  <c r="P845" i="2"/>
  <c r="U844" i="2"/>
  <c r="P844" i="2"/>
  <c r="S844" i="2" s="1"/>
  <c r="W844" i="2" s="1"/>
  <c r="P843" i="2"/>
  <c r="S843" i="2" s="1"/>
  <c r="W843" i="2" s="1"/>
  <c r="P842" i="2"/>
  <c r="P841" i="2"/>
  <c r="P840" i="2"/>
  <c r="P839" i="2"/>
  <c r="S839" i="2"/>
  <c r="W839" i="2" s="1"/>
  <c r="P838" i="2"/>
  <c r="P837" i="2"/>
  <c r="O838" i="2"/>
  <c r="S838" i="2"/>
  <c r="W838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S840" i="2"/>
  <c r="W840" i="2" s="1"/>
  <c r="S841" i="2"/>
  <c r="W841" i="2" s="1"/>
  <c r="S842" i="2"/>
  <c r="W842" i="2" s="1"/>
  <c r="S845" i="2"/>
  <c r="W845" i="2" s="1"/>
  <c r="S850" i="2"/>
  <c r="W850" i="2" s="1"/>
  <c r="S851" i="2"/>
  <c r="W851" i="2" s="1"/>
  <c r="S852" i="2"/>
  <c r="W852" i="2" s="1"/>
  <c r="S853" i="2"/>
  <c r="W853" i="2" s="1"/>
  <c r="S854" i="2"/>
  <c r="W854" i="2" s="1"/>
  <c r="S855" i="2"/>
  <c r="W855" i="2" s="1"/>
  <c r="S856" i="2"/>
  <c r="W856" i="2" s="1"/>
  <c r="S857" i="2"/>
  <c r="W857" i="2" s="1"/>
  <c r="S858" i="2"/>
  <c r="W858" i="2"/>
  <c r="S859" i="2"/>
  <c r="W859" i="2" s="1"/>
  <c r="S860" i="2"/>
  <c r="W860" i="2" s="1"/>
  <c r="S861" i="2"/>
  <c r="W861" i="2"/>
  <c r="S862" i="2"/>
  <c r="W862" i="2" s="1"/>
  <c r="S863" i="2"/>
  <c r="W863" i="2" s="1"/>
  <c r="S864" i="2"/>
  <c r="W864" i="2"/>
  <c r="S865" i="2"/>
  <c r="W865" i="2"/>
  <c r="S866" i="2"/>
  <c r="W866" i="2"/>
  <c r="S867" i="2"/>
  <c r="W867" i="2" s="1"/>
  <c r="S868" i="2"/>
  <c r="W868" i="2" s="1"/>
  <c r="S869" i="2"/>
  <c r="W869" i="2"/>
  <c r="S870" i="2"/>
  <c r="W870" i="2" s="1"/>
  <c r="S871" i="2"/>
  <c r="W871" i="2"/>
  <c r="S872" i="2"/>
  <c r="W872" i="2"/>
  <c r="S873" i="2"/>
  <c r="W873" i="2"/>
  <c r="S874" i="2"/>
  <c r="W874" i="2" s="1"/>
  <c r="S875" i="2"/>
  <c r="W875" i="2" s="1"/>
  <c r="W876" i="2"/>
  <c r="S877" i="2"/>
  <c r="W877" i="2"/>
  <c r="W878" i="2"/>
  <c r="Q880" i="2"/>
  <c r="R880" i="2"/>
  <c r="U880" i="2"/>
  <c r="V880" i="2"/>
  <c r="D860" i="2"/>
  <c r="G860" i="2" s="1"/>
  <c r="K860" i="2" s="1"/>
  <c r="D859" i="2"/>
  <c r="D858" i="2"/>
  <c r="D857" i="2"/>
  <c r="D856" i="2"/>
  <c r="G856" i="2" s="1"/>
  <c r="K856" i="2" s="1"/>
  <c r="D855" i="2"/>
  <c r="D854" i="2"/>
  <c r="C859" i="2"/>
  <c r="C860" i="2" s="1"/>
  <c r="C854" i="2"/>
  <c r="C855" i="2"/>
  <c r="C856" i="2"/>
  <c r="C857" i="2" s="1"/>
  <c r="C858" i="2" s="1"/>
  <c r="D853" i="2"/>
  <c r="G853" i="2" s="1"/>
  <c r="K853" i="2" s="1"/>
  <c r="D852" i="2"/>
  <c r="G852" i="2" s="1"/>
  <c r="K852" i="2" s="1"/>
  <c r="D851" i="2"/>
  <c r="G851" i="2" s="1"/>
  <c r="K851" i="2" s="1"/>
  <c r="D850" i="2"/>
  <c r="D849" i="2"/>
  <c r="G849" i="2" s="1"/>
  <c r="K849" i="2" s="1"/>
  <c r="D848" i="2"/>
  <c r="G848" i="2" s="1"/>
  <c r="K848" i="2" s="1"/>
  <c r="D847" i="2"/>
  <c r="D846" i="2"/>
  <c r="G846" i="2" s="1"/>
  <c r="K846" i="2" s="1"/>
  <c r="D845" i="2"/>
  <c r="D844" i="2"/>
  <c r="G844" i="2" s="1"/>
  <c r="K844" i="2" s="1"/>
  <c r="D843" i="2"/>
  <c r="G843" i="2" s="1"/>
  <c r="K843" i="2" s="1"/>
  <c r="D842" i="2"/>
  <c r="G842" i="2" s="1"/>
  <c r="K842" i="2" s="1"/>
  <c r="D841" i="2"/>
  <c r="G841" i="2" s="1"/>
  <c r="K841" i="2" s="1"/>
  <c r="D840" i="2"/>
  <c r="G840" i="2" s="1"/>
  <c r="K840" i="2" s="1"/>
  <c r="D839" i="2"/>
  <c r="G839" i="2" s="1"/>
  <c r="K839" i="2" s="1"/>
  <c r="D838" i="2"/>
  <c r="G838" i="2" s="1"/>
  <c r="K838" i="2" s="1"/>
  <c r="D837" i="2"/>
  <c r="G837" i="2" s="1"/>
  <c r="K837" i="2" s="1"/>
  <c r="C839" i="2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G845" i="2"/>
  <c r="K845" i="2" s="1"/>
  <c r="G847" i="2"/>
  <c r="K847" i="2" s="1"/>
  <c r="G850" i="2"/>
  <c r="K850" i="2" s="1"/>
  <c r="G854" i="2"/>
  <c r="K854" i="2"/>
  <c r="G855" i="2"/>
  <c r="K855" i="2" s="1"/>
  <c r="G857" i="2"/>
  <c r="K857" i="2" s="1"/>
  <c r="G858" i="2"/>
  <c r="K858" i="2" s="1"/>
  <c r="G859" i="2"/>
  <c r="K859" i="2" s="1"/>
  <c r="G861" i="2"/>
  <c r="K861" i="2"/>
  <c r="G862" i="2"/>
  <c r="K862" i="2"/>
  <c r="G863" i="2"/>
  <c r="K863" i="2" s="1"/>
  <c r="G864" i="2"/>
  <c r="K864" i="2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 s="1"/>
  <c r="E880" i="2"/>
  <c r="F880" i="2"/>
  <c r="I880" i="2"/>
  <c r="J880" i="2"/>
  <c r="AE935" i="2" l="1"/>
  <c r="AE880" i="2"/>
  <c r="AI838" i="2"/>
  <c r="AI880" i="2" s="1"/>
  <c r="AB880" i="2"/>
  <c r="P880" i="2"/>
  <c r="S837" i="2"/>
  <c r="S880" i="2"/>
  <c r="W837" i="2"/>
  <c r="W880" i="2" s="1"/>
  <c r="D880" i="2"/>
  <c r="G880" i="2"/>
  <c r="K880" i="2"/>
  <c r="AG783" i="2"/>
  <c r="AB783" i="2"/>
  <c r="AE783" i="2" s="1"/>
  <c r="AI783" i="2" s="1"/>
  <c r="AH782" i="2"/>
  <c r="AH825" i="2" s="1"/>
  <c r="AG782" i="2"/>
  <c r="AB782" i="2"/>
  <c r="AE782" i="2"/>
  <c r="AA783" i="2"/>
  <c r="AE784" i="2"/>
  <c r="AI784" i="2"/>
  <c r="AE785" i="2"/>
  <c r="AI785" i="2"/>
  <c r="AE786" i="2"/>
  <c r="AI786" i="2"/>
  <c r="AE787" i="2"/>
  <c r="AI787" i="2" s="1"/>
  <c r="AE788" i="2"/>
  <c r="AI788" i="2"/>
  <c r="AE789" i="2"/>
  <c r="AI789" i="2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 s="1"/>
  <c r="AE796" i="2"/>
  <c r="AI796" i="2"/>
  <c r="AE797" i="2"/>
  <c r="AI797" i="2"/>
  <c r="AE798" i="2"/>
  <c r="AI798" i="2"/>
  <c r="AE799" i="2"/>
  <c r="AI799" i="2" s="1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 s="1"/>
  <c r="AE819" i="2"/>
  <c r="AI819" i="2"/>
  <c r="AE820" i="2"/>
  <c r="AI820" i="2"/>
  <c r="AI821" i="2"/>
  <c r="AE822" i="2"/>
  <c r="AI822" i="2"/>
  <c r="AI823" i="2"/>
  <c r="AC825" i="2"/>
  <c r="AD825" i="2"/>
  <c r="AG825" i="2"/>
  <c r="P799" i="2"/>
  <c r="P798" i="2"/>
  <c r="P797" i="2"/>
  <c r="P796" i="2"/>
  <c r="P795" i="2"/>
  <c r="P794" i="2"/>
  <c r="S794" i="2" s="1"/>
  <c r="W794" i="2" s="1"/>
  <c r="P793" i="2"/>
  <c r="S793" i="2" s="1"/>
  <c r="W793" i="2" s="1"/>
  <c r="P792" i="2"/>
  <c r="P791" i="2"/>
  <c r="S791" i="2" s="1"/>
  <c r="W791" i="2" s="1"/>
  <c r="P790" i="2"/>
  <c r="P789" i="2"/>
  <c r="P788" i="2"/>
  <c r="P787" i="2"/>
  <c r="P786" i="2"/>
  <c r="P785" i="2"/>
  <c r="P784" i="2"/>
  <c r="P783" i="2"/>
  <c r="S783" i="2" s="1"/>
  <c r="W783" i="2" s="1"/>
  <c r="P782" i="2"/>
  <c r="S782" i="2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S784" i="2"/>
  <c r="W784" i="2" s="1"/>
  <c r="S785" i="2"/>
  <c r="W785" i="2"/>
  <c r="S786" i="2"/>
  <c r="W786" i="2" s="1"/>
  <c r="S787" i="2"/>
  <c r="W787" i="2"/>
  <c r="S788" i="2"/>
  <c r="W788" i="2"/>
  <c r="S789" i="2"/>
  <c r="W789" i="2" s="1"/>
  <c r="S790" i="2"/>
  <c r="W790" i="2" s="1"/>
  <c r="S792" i="2"/>
  <c r="W792" i="2"/>
  <c r="S795" i="2"/>
  <c r="W795" i="2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/>
  <c r="S804" i="2"/>
  <c r="W804" i="2"/>
  <c r="S805" i="2"/>
  <c r="W805" i="2" s="1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/>
  <c r="S820" i="2"/>
  <c r="W820" i="2"/>
  <c r="W821" i="2"/>
  <c r="S822" i="2"/>
  <c r="W822" i="2"/>
  <c r="W823" i="2"/>
  <c r="Q825" i="2"/>
  <c r="R825" i="2"/>
  <c r="U825" i="2"/>
  <c r="V825" i="2"/>
  <c r="D798" i="2"/>
  <c r="G798" i="2" s="1"/>
  <c r="K798" i="2" s="1"/>
  <c r="D797" i="2"/>
  <c r="G797" i="2" s="1"/>
  <c r="K797" i="2" s="1"/>
  <c r="D796" i="2"/>
  <c r="D795" i="2"/>
  <c r="G795" i="2" s="1"/>
  <c r="K795" i="2" s="1"/>
  <c r="D794" i="2"/>
  <c r="D793" i="2"/>
  <c r="G793" i="2" s="1"/>
  <c r="K793" i="2" s="1"/>
  <c r="D792" i="2"/>
  <c r="D791" i="2"/>
  <c r="D790" i="2"/>
  <c r="G790" i="2" s="1"/>
  <c r="K790" i="2" s="1"/>
  <c r="D789" i="2"/>
  <c r="D788" i="2"/>
  <c r="D787" i="2"/>
  <c r="G787" i="2" s="1"/>
  <c r="K787" i="2" s="1"/>
  <c r="D786" i="2"/>
  <c r="D785" i="2"/>
  <c r="D784" i="2"/>
  <c r="G784" i="2" s="1"/>
  <c r="K784" i="2" s="1"/>
  <c r="D783" i="2"/>
  <c r="D782" i="2"/>
  <c r="G782" i="2"/>
  <c r="K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G783" i="2"/>
  <c r="K783" i="2" s="1"/>
  <c r="G785" i="2"/>
  <c r="K785" i="2" s="1"/>
  <c r="G786" i="2"/>
  <c r="K786" i="2" s="1"/>
  <c r="G788" i="2"/>
  <c r="K788" i="2" s="1"/>
  <c r="G789" i="2"/>
  <c r="K789" i="2" s="1"/>
  <c r="G791" i="2"/>
  <c r="K791" i="2" s="1"/>
  <c r="G792" i="2"/>
  <c r="K792" i="2" s="1"/>
  <c r="G794" i="2"/>
  <c r="K794" i="2" s="1"/>
  <c r="G796" i="2"/>
  <c r="K796" i="2" s="1"/>
  <c r="G799" i="2"/>
  <c r="K799" i="2" s="1"/>
  <c r="G800" i="2"/>
  <c r="K800" i="2" s="1"/>
  <c r="G801" i="2"/>
  <c r="K801" i="2" s="1"/>
  <c r="G802" i="2"/>
  <c r="K802" i="2"/>
  <c r="G803" i="2"/>
  <c r="K803" i="2"/>
  <c r="G804" i="2"/>
  <c r="K804" i="2" s="1"/>
  <c r="G805" i="2"/>
  <c r="K805" i="2" s="1"/>
  <c r="G806" i="2"/>
  <c r="K806" i="2"/>
  <c r="G807" i="2"/>
  <c r="K807" i="2"/>
  <c r="G808" i="2"/>
  <c r="K808" i="2"/>
  <c r="G809" i="2"/>
  <c r="K809" i="2"/>
  <c r="G810" i="2"/>
  <c r="K810" i="2"/>
  <c r="G811" i="2"/>
  <c r="K811" i="2"/>
  <c r="G812" i="2"/>
  <c r="K812" i="2"/>
  <c r="G813" i="2"/>
  <c r="K813" i="2" s="1"/>
  <c r="G814" i="2"/>
  <c r="K814" i="2"/>
  <c r="G815" i="2"/>
  <c r="K815" i="2"/>
  <c r="G822" i="2"/>
  <c r="K822" i="2"/>
  <c r="E825" i="2"/>
  <c r="F825" i="2"/>
  <c r="I825" i="2"/>
  <c r="J825" i="2"/>
  <c r="AE825" i="2" l="1"/>
  <c r="AB825" i="2"/>
  <c r="AI782" i="2"/>
  <c r="AI825" i="2" s="1"/>
  <c r="P825" i="2"/>
  <c r="S825" i="2"/>
  <c r="W825" i="2"/>
  <c r="K825" i="2"/>
  <c r="G825" i="2"/>
  <c r="D825" i="2"/>
  <c r="AB729" i="2"/>
  <c r="AH728" i="2"/>
  <c r="AC728" i="2"/>
  <c r="AC770" i="2" s="1"/>
  <c r="AB728" i="2"/>
  <c r="AG727" i="2"/>
  <c r="AG770" i="2" s="1"/>
  <c r="AB727" i="2"/>
  <c r="AE727" i="2" s="1"/>
  <c r="AA729" i="2"/>
  <c r="AA728" i="2"/>
  <c r="AE728" i="2"/>
  <c r="AE729" i="2"/>
  <c r="AI729" i="2" s="1"/>
  <c r="AE730" i="2"/>
  <c r="AI730" i="2" s="1"/>
  <c r="AE731" i="2"/>
  <c r="AI731" i="2"/>
  <c r="AE732" i="2"/>
  <c r="AI732" i="2" s="1"/>
  <c r="AE733" i="2"/>
  <c r="AI733" i="2" s="1"/>
  <c r="AE734" i="2"/>
  <c r="AI734" i="2"/>
  <c r="AE735" i="2"/>
  <c r="AI735" i="2" s="1"/>
  <c r="AE736" i="2"/>
  <c r="AI736" i="2" s="1"/>
  <c r="AE737" i="2"/>
  <c r="AI737" i="2" s="1"/>
  <c r="AE738" i="2"/>
  <c r="AI738" i="2"/>
  <c r="AE739" i="2"/>
  <c r="AI739" i="2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 s="1"/>
  <c r="AE746" i="2"/>
  <c r="AI746" i="2"/>
  <c r="AE747" i="2"/>
  <c r="AI747" i="2"/>
  <c r="AE748" i="2"/>
  <c r="AI748" i="2"/>
  <c r="AE749" i="2"/>
  <c r="AI749" i="2" s="1"/>
  <c r="AE750" i="2"/>
  <c r="AI750" i="2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/>
  <c r="AE757" i="2"/>
  <c r="AI757" i="2" s="1"/>
  <c r="AE758" i="2"/>
  <c r="AI758" i="2"/>
  <c r="AE759" i="2"/>
  <c r="AI759" i="2"/>
  <c r="AE760" i="2"/>
  <c r="AI760" i="2"/>
  <c r="AE761" i="2"/>
  <c r="AI761" i="2" s="1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AH770" i="2"/>
  <c r="P730" i="2"/>
  <c r="P770" i="2" s="1"/>
  <c r="P729" i="2"/>
  <c r="S729" i="2" s="1"/>
  <c r="W729" i="2" s="1"/>
  <c r="U728" i="2"/>
  <c r="P728" i="2"/>
  <c r="P727" i="2"/>
  <c r="S727" i="2"/>
  <c r="W727" i="2" s="1"/>
  <c r="O728" i="2"/>
  <c r="O729" i="2" s="1"/>
  <c r="O730" i="2" s="1"/>
  <c r="S728" i="2"/>
  <c r="W728" i="2" s="1"/>
  <c r="S731" i="2"/>
  <c r="W731" i="2" s="1"/>
  <c r="S732" i="2"/>
  <c r="W732" i="2" s="1"/>
  <c r="S733" i="2"/>
  <c r="W733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/>
  <c r="S743" i="2"/>
  <c r="W743" i="2"/>
  <c r="S744" i="2"/>
  <c r="W744" i="2" s="1"/>
  <c r="S745" i="2"/>
  <c r="W745" i="2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/>
  <c r="W766" i="2"/>
  <c r="S767" i="2"/>
  <c r="W767" i="2"/>
  <c r="W768" i="2"/>
  <c r="Q770" i="2"/>
  <c r="R770" i="2"/>
  <c r="U770" i="2"/>
  <c r="V770" i="2"/>
  <c r="D750" i="2"/>
  <c r="D749" i="2"/>
  <c r="D748" i="2"/>
  <c r="G748" i="2" s="1"/>
  <c r="K748" i="2" s="1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D741" i="2"/>
  <c r="G741" i="2" s="1"/>
  <c r="K741" i="2" s="1"/>
  <c r="D740" i="2"/>
  <c r="G740" i="2" s="1"/>
  <c r="K740" i="2" s="1"/>
  <c r="D739" i="2"/>
  <c r="D738" i="2"/>
  <c r="D737" i="2"/>
  <c r="G737" i="2"/>
  <c r="K737" i="2" s="1"/>
  <c r="D736" i="2"/>
  <c r="D735" i="2"/>
  <c r="D734" i="2"/>
  <c r="G734" i="2" s="1"/>
  <c r="K734" i="2" s="1"/>
  <c r="D733" i="2"/>
  <c r="G733" i="2" s="1"/>
  <c r="K733" i="2" s="1"/>
  <c r="D732" i="2"/>
  <c r="D731" i="2"/>
  <c r="D730" i="2"/>
  <c r="D729" i="2"/>
  <c r="G729" i="2" s="1"/>
  <c r="K729" i="2" s="1"/>
  <c r="D728" i="2"/>
  <c r="D727" i="2"/>
  <c r="C729" i="2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J770" i="2"/>
  <c r="I770" i="2"/>
  <c r="F770" i="2"/>
  <c r="E770" i="2"/>
  <c r="K767" i="2"/>
  <c r="G767" i="2"/>
  <c r="K760" i="2"/>
  <c r="G760" i="2"/>
  <c r="K759" i="2"/>
  <c r="G759" i="2"/>
  <c r="K758" i="2"/>
  <c r="G758" i="2"/>
  <c r="K757" i="2"/>
  <c r="G757" i="2"/>
  <c r="K756" i="2"/>
  <c r="G756" i="2"/>
  <c r="K755" i="2"/>
  <c r="G755" i="2"/>
  <c r="G754" i="2"/>
  <c r="K754" i="2" s="1"/>
  <c r="K753" i="2"/>
  <c r="G753" i="2"/>
  <c r="G752" i="2"/>
  <c r="K752" i="2" s="1"/>
  <c r="K751" i="2"/>
  <c r="G751" i="2"/>
  <c r="G750" i="2"/>
  <c r="K750" i="2" s="1"/>
  <c r="G749" i="2"/>
  <c r="K749" i="2" s="1"/>
  <c r="G746" i="2"/>
  <c r="K746" i="2" s="1"/>
  <c r="G745" i="2"/>
  <c r="K745" i="2" s="1"/>
  <c r="G742" i="2"/>
  <c r="K742" i="2" s="1"/>
  <c r="G739" i="2"/>
  <c r="K739" i="2" s="1"/>
  <c r="G738" i="2"/>
  <c r="K738" i="2" s="1"/>
  <c r="G736" i="2"/>
  <c r="K736" i="2" s="1"/>
  <c r="G735" i="2"/>
  <c r="K735" i="2" s="1"/>
  <c r="K732" i="2"/>
  <c r="G732" i="2"/>
  <c r="G731" i="2"/>
  <c r="K731" i="2" s="1"/>
  <c r="G730" i="2"/>
  <c r="K730" i="2" s="1"/>
  <c r="G728" i="2"/>
  <c r="K728" i="2" s="1"/>
  <c r="C728" i="2"/>
  <c r="G727" i="2"/>
  <c r="K727" i="2" s="1"/>
  <c r="AI727" i="2" l="1"/>
  <c r="AB770" i="2"/>
  <c r="AI728" i="2"/>
  <c r="AE770" i="2"/>
  <c r="S730" i="2"/>
  <c r="W730" i="2" s="1"/>
  <c r="W770" i="2" s="1"/>
  <c r="D770" i="2"/>
  <c r="K770" i="2"/>
  <c r="G770" i="2"/>
  <c r="U681" i="2"/>
  <c r="P681" i="2"/>
  <c r="P680" i="2"/>
  <c r="P679" i="2"/>
  <c r="P678" i="2"/>
  <c r="P677" i="2"/>
  <c r="P676" i="2"/>
  <c r="P675" i="2"/>
  <c r="P674" i="2"/>
  <c r="P673" i="2"/>
  <c r="S673" i="2" s="1"/>
  <c r="W673" i="2" s="1"/>
  <c r="P672" i="2"/>
  <c r="V715" i="2"/>
  <c r="U715" i="2"/>
  <c r="R715" i="2"/>
  <c r="Q715" i="2"/>
  <c r="W713" i="2"/>
  <c r="S712" i="2"/>
  <c r="W712" i="2" s="1"/>
  <c r="W711" i="2"/>
  <c r="S710" i="2"/>
  <c r="W710" i="2" s="1"/>
  <c r="S709" i="2"/>
  <c r="W709" i="2" s="1"/>
  <c r="W708" i="2"/>
  <c r="S708" i="2"/>
  <c r="W707" i="2"/>
  <c r="S707" i="2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W700" i="2"/>
  <c r="S700" i="2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W692" i="2"/>
  <c r="S692" i="2"/>
  <c r="S691" i="2"/>
  <c r="W691" i="2" s="1"/>
  <c r="S690" i="2"/>
  <c r="W690" i="2" s="1"/>
  <c r="S689" i="2"/>
  <c r="W689" i="2" s="1"/>
  <c r="S688" i="2"/>
  <c r="W688" i="2" s="1"/>
  <c r="S687" i="2"/>
  <c r="W687" i="2" s="1"/>
  <c r="S686" i="2"/>
  <c r="W686" i="2" s="1"/>
  <c r="S685" i="2"/>
  <c r="W685" i="2" s="1"/>
  <c r="S684" i="2"/>
  <c r="W684" i="2" s="1"/>
  <c r="S683" i="2"/>
  <c r="W683" i="2" s="1"/>
  <c r="S682" i="2"/>
  <c r="W682" i="2" s="1"/>
  <c r="S681" i="2"/>
  <c r="W681" i="2" s="1"/>
  <c r="S680" i="2"/>
  <c r="W680" i="2" s="1"/>
  <c r="S679" i="2"/>
  <c r="W679" i="2" s="1"/>
  <c r="S678" i="2"/>
  <c r="W678" i="2" s="1"/>
  <c r="S677" i="2"/>
  <c r="W677" i="2" s="1"/>
  <c r="S676" i="2"/>
  <c r="W676" i="2" s="1"/>
  <c r="S675" i="2"/>
  <c r="W675" i="2" s="1"/>
  <c r="S674" i="2"/>
  <c r="W674" i="2" s="1"/>
  <c r="O673" i="2"/>
  <c r="O674" i="2" s="1"/>
  <c r="O675" i="2" s="1"/>
  <c r="O676" i="2" s="1"/>
  <c r="O677" i="2" s="1"/>
  <c r="O678" i="2" s="1"/>
  <c r="O679" i="2" s="1"/>
  <c r="O680" i="2" s="1"/>
  <c r="O681" i="2" s="1"/>
  <c r="AI770" i="2" l="1"/>
  <c r="S770" i="2"/>
  <c r="P715" i="2"/>
  <c r="S672" i="2"/>
  <c r="AB673" i="2"/>
  <c r="AB672" i="2"/>
  <c r="AE672" i="2" s="1"/>
  <c r="AI672" i="2" s="1"/>
  <c r="AH715" i="2"/>
  <c r="AG715" i="2"/>
  <c r="AD715" i="2"/>
  <c r="AC715" i="2"/>
  <c r="AI713" i="2"/>
  <c r="AE712" i="2"/>
  <c r="AI712" i="2" s="1"/>
  <c r="AI711" i="2"/>
  <c r="AE710" i="2"/>
  <c r="AI710" i="2" s="1"/>
  <c r="AE709" i="2"/>
  <c r="AI709" i="2" s="1"/>
  <c r="AI708" i="2"/>
  <c r="AE708" i="2"/>
  <c r="AE707" i="2"/>
  <c r="AI707" i="2" s="1"/>
  <c r="AE706" i="2"/>
  <c r="AI706" i="2" s="1"/>
  <c r="AE705" i="2"/>
  <c r="AI705" i="2" s="1"/>
  <c r="AE704" i="2"/>
  <c r="AI704" i="2" s="1"/>
  <c r="AE703" i="2"/>
  <c r="AI703" i="2" s="1"/>
  <c r="AE702" i="2"/>
  <c r="AI702" i="2" s="1"/>
  <c r="AE701" i="2"/>
  <c r="AI701" i="2" s="1"/>
  <c r="AI700" i="2"/>
  <c r="AE700" i="2"/>
  <c r="AE699" i="2"/>
  <c r="AI699" i="2" s="1"/>
  <c r="AE698" i="2"/>
  <c r="AI698" i="2" s="1"/>
  <c r="AE697" i="2"/>
  <c r="AI697" i="2" s="1"/>
  <c r="AI696" i="2"/>
  <c r="AE696" i="2"/>
  <c r="AE695" i="2"/>
  <c r="AI695" i="2" s="1"/>
  <c r="AE694" i="2"/>
  <c r="AI694" i="2" s="1"/>
  <c r="AE693" i="2"/>
  <c r="AI693" i="2" s="1"/>
  <c r="AI692" i="2"/>
  <c r="AE692" i="2"/>
  <c r="AE691" i="2"/>
  <c r="AI691" i="2" s="1"/>
  <c r="AE690" i="2"/>
  <c r="AI690" i="2" s="1"/>
  <c r="AE689" i="2"/>
  <c r="AI689" i="2" s="1"/>
  <c r="AE688" i="2"/>
  <c r="AI688" i="2" s="1"/>
  <c r="AE687" i="2"/>
  <c r="AI687" i="2" s="1"/>
  <c r="AE686" i="2"/>
  <c r="AI686" i="2" s="1"/>
  <c r="AE685" i="2"/>
  <c r="AI685" i="2" s="1"/>
  <c r="AE684" i="2"/>
  <c r="AI684" i="2" s="1"/>
  <c r="AE683" i="2"/>
  <c r="AI683" i="2" s="1"/>
  <c r="AE682" i="2"/>
  <c r="AI682" i="2" s="1"/>
  <c r="AE681" i="2"/>
  <c r="AI681" i="2" s="1"/>
  <c r="AE680" i="2"/>
  <c r="AI680" i="2" s="1"/>
  <c r="AE679" i="2"/>
  <c r="AI679" i="2" s="1"/>
  <c r="AE678" i="2"/>
  <c r="AI678" i="2" s="1"/>
  <c r="AE677" i="2"/>
  <c r="AI677" i="2" s="1"/>
  <c r="AE676" i="2"/>
  <c r="AI676" i="2" s="1"/>
  <c r="AE675" i="2"/>
  <c r="AI675" i="2" s="1"/>
  <c r="AE674" i="2"/>
  <c r="AI674" i="2" s="1"/>
  <c r="AE673" i="2"/>
  <c r="AI673" i="2" s="1"/>
  <c r="AA673" i="2"/>
  <c r="W672" i="2" l="1"/>
  <c r="W715" i="2" s="1"/>
  <c r="S715" i="2"/>
  <c r="AI715" i="2"/>
  <c r="AB715" i="2"/>
  <c r="AE715" i="2"/>
  <c r="D618" i="2"/>
  <c r="J617" i="2"/>
  <c r="J660" i="2" s="1"/>
  <c r="I617" i="2"/>
  <c r="D617" i="2"/>
  <c r="C618" i="2"/>
  <c r="G618" i="2"/>
  <c r="K618" i="2" s="1"/>
  <c r="G619" i="2"/>
  <c r="K619" i="2" s="1"/>
  <c r="G620" i="2"/>
  <c r="K620" i="2" s="1"/>
  <c r="G621" i="2"/>
  <c r="K621" i="2" s="1"/>
  <c r="G622" i="2"/>
  <c r="K622" i="2" s="1"/>
  <c r="G623" i="2"/>
  <c r="K623" i="2"/>
  <c r="G624" i="2"/>
  <c r="K624" i="2" s="1"/>
  <c r="G625" i="2"/>
  <c r="K625" i="2" s="1"/>
  <c r="G626" i="2"/>
  <c r="K626" i="2" s="1"/>
  <c r="G627" i="2"/>
  <c r="K627" i="2" s="1"/>
  <c r="G628" i="2"/>
  <c r="G629" i="2"/>
  <c r="K629" i="2" s="1"/>
  <c r="G630" i="2"/>
  <c r="K630" i="2" s="1"/>
  <c r="G631" i="2"/>
  <c r="K631" i="2"/>
  <c r="G632" i="2"/>
  <c r="K632" i="2" s="1"/>
  <c r="G633" i="2"/>
  <c r="K633" i="2"/>
  <c r="G634" i="2"/>
  <c r="K634" i="2"/>
  <c r="G635" i="2"/>
  <c r="K635" i="2"/>
  <c r="G636" i="2"/>
  <c r="K636" i="2" s="1"/>
  <c r="G637" i="2"/>
  <c r="K637" i="2"/>
  <c r="G638" i="2"/>
  <c r="K638" i="2" s="1"/>
  <c r="G639" i="2"/>
  <c r="K639" i="2"/>
  <c r="G640" i="2"/>
  <c r="K640" i="2" s="1"/>
  <c r="G641" i="2"/>
  <c r="K641" i="2"/>
  <c r="G642" i="2"/>
  <c r="K642" i="2"/>
  <c r="G643" i="2"/>
  <c r="K643" i="2"/>
  <c r="G644" i="2"/>
  <c r="K644" i="2" s="1"/>
  <c r="G645" i="2"/>
  <c r="K645" i="2"/>
  <c r="G646" i="2"/>
  <c r="K646" i="2" s="1"/>
  <c r="G647" i="2"/>
  <c r="K647" i="2"/>
  <c r="G648" i="2"/>
  <c r="K648" i="2" s="1"/>
  <c r="G649" i="2"/>
  <c r="K649" i="2"/>
  <c r="G650" i="2"/>
  <c r="K650" i="2"/>
  <c r="G657" i="2"/>
  <c r="K657" i="2"/>
  <c r="E660" i="2"/>
  <c r="F660" i="2"/>
  <c r="I660" i="2"/>
  <c r="D660" i="2" l="1"/>
  <c r="G617" i="2"/>
  <c r="K617" i="2" s="1"/>
  <c r="K628" i="2"/>
  <c r="AB567" i="2"/>
  <c r="AE567" i="2" s="1"/>
  <c r="AI567" i="2" s="1"/>
  <c r="AB566" i="2"/>
  <c r="AB565" i="2"/>
  <c r="AB564" i="2"/>
  <c r="AB563" i="2"/>
  <c r="AE563" i="2" s="1"/>
  <c r="AB562" i="2"/>
  <c r="AE562" i="2" s="1"/>
  <c r="AI562" i="2" s="1"/>
  <c r="AA563" i="2"/>
  <c r="AA564" i="2" s="1"/>
  <c r="AA565" i="2" s="1"/>
  <c r="AA566" i="2" s="1"/>
  <c r="AA567" i="2" s="1"/>
  <c r="AH605" i="2"/>
  <c r="AE564" i="2"/>
  <c r="AI564" i="2" s="1"/>
  <c r="AE565" i="2"/>
  <c r="AI565" i="2" s="1"/>
  <c r="AG605" i="2"/>
  <c r="AE566" i="2"/>
  <c r="AI566" i="2" s="1"/>
  <c r="AE568" i="2"/>
  <c r="AI568" i="2" s="1"/>
  <c r="AE569" i="2"/>
  <c r="AI569" i="2"/>
  <c r="AE570" i="2"/>
  <c r="AI570" i="2"/>
  <c r="AE571" i="2"/>
  <c r="AI571" i="2" s="1"/>
  <c r="AE572" i="2"/>
  <c r="AI572" i="2" s="1"/>
  <c r="AE573" i="2"/>
  <c r="AI573" i="2" s="1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 s="1"/>
  <c r="AE581" i="2"/>
  <c r="AI581" i="2" s="1"/>
  <c r="AE582" i="2"/>
  <c r="AI582" i="2"/>
  <c r="AE583" i="2"/>
  <c r="AI583" i="2"/>
  <c r="AE584" i="2"/>
  <c r="AI584" i="2" s="1"/>
  <c r="AE585" i="2"/>
  <c r="AI585" i="2"/>
  <c r="AE586" i="2"/>
  <c r="AI586" i="2"/>
  <c r="AE587" i="2"/>
  <c r="AI587" i="2"/>
  <c r="AE588" i="2"/>
  <c r="AI588" i="2" s="1"/>
  <c r="AE589" i="2"/>
  <c r="AI589" i="2" s="1"/>
  <c r="AE590" i="2"/>
  <c r="AI590" i="2"/>
  <c r="AE591" i="2"/>
  <c r="AI591" i="2"/>
  <c r="AE592" i="2"/>
  <c r="AI592" i="2" s="1"/>
  <c r="AE593" i="2"/>
  <c r="AI593" i="2"/>
  <c r="AE594" i="2"/>
  <c r="AI594" i="2"/>
  <c r="AE595" i="2"/>
  <c r="AI595" i="2"/>
  <c r="AE596" i="2"/>
  <c r="AI596" i="2" s="1"/>
  <c r="AE597" i="2"/>
  <c r="AI597" i="2" s="1"/>
  <c r="AE598" i="2"/>
  <c r="AI598" i="2"/>
  <c r="AE599" i="2"/>
  <c r="AI599" i="2"/>
  <c r="AE600" i="2"/>
  <c r="AI600" i="2" s="1"/>
  <c r="AI601" i="2"/>
  <c r="AE602" i="2"/>
  <c r="AI602" i="2"/>
  <c r="AI603" i="2"/>
  <c r="AC605" i="2"/>
  <c r="AD605" i="2"/>
  <c r="P581" i="2"/>
  <c r="P580" i="2"/>
  <c r="S580" i="2" s="1"/>
  <c r="W580" i="2" s="1"/>
  <c r="P579" i="2"/>
  <c r="S579" i="2" s="1"/>
  <c r="W579" i="2" s="1"/>
  <c r="P578" i="2"/>
  <c r="S578" i="2" s="1"/>
  <c r="W578" i="2" s="1"/>
  <c r="P577" i="2"/>
  <c r="S577" i="2" s="1"/>
  <c r="W577" i="2" s="1"/>
  <c r="P576" i="2"/>
  <c r="S576" i="2" s="1"/>
  <c r="W576" i="2" s="1"/>
  <c r="P575" i="2"/>
  <c r="P574" i="2"/>
  <c r="P573" i="2"/>
  <c r="S573" i="2" s="1"/>
  <c r="W573" i="2" s="1"/>
  <c r="P572" i="2"/>
  <c r="P571" i="2"/>
  <c r="P570" i="2"/>
  <c r="P569" i="2"/>
  <c r="S569" i="2" s="1"/>
  <c r="W569" i="2" s="1"/>
  <c r="P568" i="2"/>
  <c r="P567" i="2"/>
  <c r="S567" i="2" s="1"/>
  <c r="W567" i="2" s="1"/>
  <c r="P566" i="2"/>
  <c r="P565" i="2"/>
  <c r="P564" i="2"/>
  <c r="P563" i="2"/>
  <c r="P562" i="2"/>
  <c r="O567" i="2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63" i="2"/>
  <c r="O564" i="2" s="1"/>
  <c r="O565" i="2" s="1"/>
  <c r="O566" i="2" s="1"/>
  <c r="S563" i="2"/>
  <c r="W563" i="2" s="1"/>
  <c r="S564" i="2"/>
  <c r="S565" i="2"/>
  <c r="W565" i="2" s="1"/>
  <c r="S566" i="2"/>
  <c r="W566" i="2" s="1"/>
  <c r="S568" i="2"/>
  <c r="W568" i="2" s="1"/>
  <c r="S570" i="2"/>
  <c r="W570" i="2" s="1"/>
  <c r="S571" i="2"/>
  <c r="W571" i="2" s="1"/>
  <c r="S572" i="2"/>
  <c r="W572" i="2" s="1"/>
  <c r="S574" i="2"/>
  <c r="W574" i="2" s="1"/>
  <c r="S575" i="2"/>
  <c r="W575" i="2" s="1"/>
  <c r="S581" i="2"/>
  <c r="W581" i="2" s="1"/>
  <c r="S582" i="2"/>
  <c r="W582" i="2" s="1"/>
  <c r="S583" i="2"/>
  <c r="W583" i="2"/>
  <c r="S584" i="2"/>
  <c r="W584" i="2" s="1"/>
  <c r="S585" i="2"/>
  <c r="W585" i="2"/>
  <c r="S586" i="2"/>
  <c r="W586" i="2"/>
  <c r="S587" i="2"/>
  <c r="W587" i="2" s="1"/>
  <c r="S588" i="2"/>
  <c r="W588" i="2" s="1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 s="1"/>
  <c r="S596" i="2"/>
  <c r="W596" i="2" s="1"/>
  <c r="S597" i="2"/>
  <c r="W597" i="2" s="1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V605" i="2"/>
  <c r="D575" i="2"/>
  <c r="D574" i="2"/>
  <c r="D573" i="2"/>
  <c r="D572" i="2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D565" i="2"/>
  <c r="D564" i="2"/>
  <c r="D563" i="2"/>
  <c r="D562" i="2"/>
  <c r="G562" i="2" s="1"/>
  <c r="K562" i="2" s="1"/>
  <c r="C568" i="2"/>
  <c r="C569" i="2" s="1"/>
  <c r="C570" i="2" s="1"/>
  <c r="C571" i="2" s="1"/>
  <c r="C572" i="2" s="1"/>
  <c r="C573" i="2" s="1"/>
  <c r="C574" i="2" s="1"/>
  <c r="C575" i="2" s="1"/>
  <c r="C563" i="2"/>
  <c r="C564" i="2" s="1"/>
  <c r="C565" i="2" s="1"/>
  <c r="C566" i="2" s="1"/>
  <c r="C567" i="2" s="1"/>
  <c r="G563" i="2"/>
  <c r="K563" i="2" s="1"/>
  <c r="G564" i="2"/>
  <c r="K564" i="2" s="1"/>
  <c r="G565" i="2"/>
  <c r="K565" i="2" s="1"/>
  <c r="G569" i="2"/>
  <c r="K569" i="2" s="1"/>
  <c r="G571" i="2"/>
  <c r="K571" i="2" s="1"/>
  <c r="G572" i="2"/>
  <c r="K572" i="2" s="1"/>
  <c r="G573" i="2"/>
  <c r="K573" i="2" s="1"/>
  <c r="G574" i="2"/>
  <c r="K574" i="2" s="1"/>
  <c r="G575" i="2"/>
  <c r="K575" i="2" s="1"/>
  <c r="G576" i="2"/>
  <c r="K576" i="2" s="1"/>
  <c r="G577" i="2"/>
  <c r="K577" i="2" s="1"/>
  <c r="G578" i="2"/>
  <c r="K578" i="2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/>
  <c r="G585" i="2"/>
  <c r="K585" i="2"/>
  <c r="G586" i="2"/>
  <c r="K586" i="2"/>
  <c r="G587" i="2"/>
  <c r="K587" i="2" s="1"/>
  <c r="G588" i="2"/>
  <c r="K588" i="2" s="1"/>
  <c r="G589" i="2"/>
  <c r="K589" i="2"/>
  <c r="G590" i="2"/>
  <c r="K590" i="2"/>
  <c r="G591" i="2"/>
  <c r="K591" i="2" s="1"/>
  <c r="G592" i="2"/>
  <c r="K592" i="2"/>
  <c r="G593" i="2"/>
  <c r="K593" i="2"/>
  <c r="G594" i="2"/>
  <c r="K594" i="2"/>
  <c r="G595" i="2"/>
  <c r="K595" i="2" s="1"/>
  <c r="G602" i="2"/>
  <c r="K602" i="2" s="1"/>
  <c r="E605" i="2"/>
  <c r="F605" i="2"/>
  <c r="I605" i="2"/>
  <c r="J605" i="2"/>
  <c r="G660" i="2" l="1"/>
  <c r="K660" i="2"/>
  <c r="AB605" i="2"/>
  <c r="AE605" i="2"/>
  <c r="AI563" i="2"/>
  <c r="AI605" i="2" s="1"/>
  <c r="P605" i="2"/>
  <c r="S562" i="2"/>
  <c r="W562" i="2" s="1"/>
  <c r="W564" i="2"/>
  <c r="D605" i="2"/>
  <c r="G566" i="2"/>
  <c r="K566" i="2" s="1"/>
  <c r="K605" i="2" s="1"/>
  <c r="AB511" i="2"/>
  <c r="AE511" i="2" s="1"/>
  <c r="AI511" i="2" s="1"/>
  <c r="AG510" i="2"/>
  <c r="AB510" i="2"/>
  <c r="AB509" i="2"/>
  <c r="AH508" i="2"/>
  <c r="AB508" i="2"/>
  <c r="AE508" i="2" s="1"/>
  <c r="AI508" i="2" s="1"/>
  <c r="AB507" i="2"/>
  <c r="AE507" i="2" s="1"/>
  <c r="AI507" i="2" s="1"/>
  <c r="AA509" i="2"/>
  <c r="AA510" i="2" s="1"/>
  <c r="AA511" i="2" s="1"/>
  <c r="AA508" i="2"/>
  <c r="AE509" i="2"/>
  <c r="AI509" i="2" s="1"/>
  <c r="AE510" i="2"/>
  <c r="AI510" i="2" s="1"/>
  <c r="AE512" i="2"/>
  <c r="AI512" i="2"/>
  <c r="AE513" i="2"/>
  <c r="AI513" i="2"/>
  <c r="AE514" i="2"/>
  <c r="AI514" i="2"/>
  <c r="AE515" i="2"/>
  <c r="AI515" i="2"/>
  <c r="AE516" i="2"/>
  <c r="AI516" i="2"/>
  <c r="AE517" i="2"/>
  <c r="AI517" i="2"/>
  <c r="AE518" i="2"/>
  <c r="AI518" i="2"/>
  <c r="AE519" i="2"/>
  <c r="AI519" i="2"/>
  <c r="AE520" i="2"/>
  <c r="AI520" i="2"/>
  <c r="AE521" i="2"/>
  <c r="AI521" i="2"/>
  <c r="AE522" i="2"/>
  <c r="AI522" i="2"/>
  <c r="AE523" i="2"/>
  <c r="AI523" i="2"/>
  <c r="AE524" i="2"/>
  <c r="AI524" i="2"/>
  <c r="AE525" i="2"/>
  <c r="AI525" i="2"/>
  <c r="AE526" i="2"/>
  <c r="AI526" i="2"/>
  <c r="AE527" i="2"/>
  <c r="AI527" i="2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/>
  <c r="AE544" i="2"/>
  <c r="AI544" i="2"/>
  <c r="AE545" i="2"/>
  <c r="AI545" i="2"/>
  <c r="AI546" i="2"/>
  <c r="AE547" i="2"/>
  <c r="AI547" i="2" s="1"/>
  <c r="AI548" i="2"/>
  <c r="AB550" i="2"/>
  <c r="AC550" i="2"/>
  <c r="AD550" i="2"/>
  <c r="AG550" i="2"/>
  <c r="AH550" i="2"/>
  <c r="P513" i="2"/>
  <c r="P512" i="2"/>
  <c r="P511" i="2"/>
  <c r="P510" i="2"/>
  <c r="P509" i="2"/>
  <c r="P508" i="2"/>
  <c r="P507" i="2"/>
  <c r="W605" i="2" l="1"/>
  <c r="S605" i="2"/>
  <c r="G605" i="2"/>
  <c r="AE550" i="2"/>
  <c r="AI550" i="2"/>
  <c r="S507" i="2"/>
  <c r="W507" i="2" s="1"/>
  <c r="O508" i="2"/>
  <c r="O509" i="2" s="1"/>
  <c r="O510" i="2" s="1"/>
  <c r="O511" i="2" s="1"/>
  <c r="S508" i="2"/>
  <c r="W508" i="2" s="1"/>
  <c r="S509" i="2"/>
  <c r="W509" i="2" s="1"/>
  <c r="S510" i="2"/>
  <c r="W510" i="2" s="1"/>
  <c r="S511" i="2"/>
  <c r="W511" i="2" s="1"/>
  <c r="S512" i="2"/>
  <c r="W512" i="2" s="1"/>
  <c r="S513" i="2"/>
  <c r="W513" i="2" s="1"/>
  <c r="S514" i="2"/>
  <c r="W514" i="2"/>
  <c r="S515" i="2"/>
  <c r="W515" i="2" s="1"/>
  <c r="S516" i="2"/>
  <c r="W516" i="2" s="1"/>
  <c r="S517" i="2"/>
  <c r="W517" i="2" s="1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 s="1"/>
  <c r="S526" i="2"/>
  <c r="W526" i="2"/>
  <c r="S527" i="2"/>
  <c r="W527" i="2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/>
  <c r="S535" i="2"/>
  <c r="W535" i="2"/>
  <c r="S536" i="2"/>
  <c r="W536" i="2" s="1"/>
  <c r="S537" i="2"/>
  <c r="W537" i="2" s="1"/>
  <c r="S538" i="2"/>
  <c r="W538" i="2"/>
  <c r="S539" i="2"/>
  <c r="W539" i="2" s="1"/>
  <c r="S540" i="2"/>
  <c r="W540" i="2" s="1"/>
  <c r="S541" i="2"/>
  <c r="W541" i="2" s="1"/>
  <c r="S542" i="2"/>
  <c r="W542" i="2"/>
  <c r="S543" i="2"/>
  <c r="W543" i="2"/>
  <c r="S544" i="2"/>
  <c r="W544" i="2" s="1"/>
  <c r="S545" i="2"/>
  <c r="W545" i="2" s="1"/>
  <c r="W546" i="2"/>
  <c r="S547" i="2"/>
  <c r="W547" i="2"/>
  <c r="W548" i="2"/>
  <c r="P550" i="2"/>
  <c r="Q550" i="2"/>
  <c r="R550" i="2"/>
  <c r="U550" i="2"/>
  <c r="V550" i="2"/>
  <c r="W550" i="2" l="1"/>
  <c r="S550" i="2"/>
  <c r="D527" i="2"/>
  <c r="D526" i="2"/>
  <c r="G526" i="2" s="1"/>
  <c r="K526" i="2" s="1"/>
  <c r="D525" i="2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D519" i="2"/>
  <c r="G519" i="2" s="1"/>
  <c r="K519" i="2" s="1"/>
  <c r="D518" i="2"/>
  <c r="G518" i="2" s="1"/>
  <c r="K518" i="2" s="1"/>
  <c r="D517" i="2"/>
  <c r="D516" i="2"/>
  <c r="I515" i="2"/>
  <c r="D515" i="2"/>
  <c r="G515" i="2" s="1"/>
  <c r="K515" i="2" s="1"/>
  <c r="D514" i="2"/>
  <c r="G514" i="2" s="1"/>
  <c r="K514" i="2" s="1"/>
  <c r="I513" i="2"/>
  <c r="D513" i="2"/>
  <c r="G513" i="2" s="1"/>
  <c r="K513" i="2" s="1"/>
  <c r="D512" i="2"/>
  <c r="G512" i="2" s="1"/>
  <c r="K512" i="2" s="1"/>
  <c r="D511" i="2"/>
  <c r="I510" i="2"/>
  <c r="D510" i="2"/>
  <c r="D509" i="2"/>
  <c r="D508" i="2"/>
  <c r="G508" i="2" s="1"/>
  <c r="K508" i="2" s="1"/>
  <c r="D507" i="2"/>
  <c r="G507" i="2" s="1"/>
  <c r="K507" i="2" s="1"/>
  <c r="C508" i="2"/>
  <c r="C509" i="2" s="1"/>
  <c r="C510" i="2" s="1"/>
  <c r="C511" i="2" s="1"/>
  <c r="C512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9" i="2"/>
  <c r="K509" i="2" s="1"/>
  <c r="G510" i="2"/>
  <c r="K510" i="2"/>
  <c r="G511" i="2"/>
  <c r="K511" i="2" s="1"/>
  <c r="G516" i="2"/>
  <c r="K516" i="2" s="1"/>
  <c r="G517" i="2"/>
  <c r="K517" i="2" s="1"/>
  <c r="G520" i="2"/>
  <c r="G525" i="2"/>
  <c r="K525" i="2" s="1"/>
  <c r="G527" i="2"/>
  <c r="K527" i="2" s="1"/>
  <c r="G528" i="2"/>
  <c r="K528" i="2" s="1"/>
  <c r="G529" i="2"/>
  <c r="K529" i="2" s="1"/>
  <c r="G530" i="2"/>
  <c r="K530" i="2" s="1"/>
  <c r="G531" i="2"/>
  <c r="K531" i="2" s="1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 s="1"/>
  <c r="G539" i="2"/>
  <c r="K539" i="2" s="1"/>
  <c r="G540" i="2"/>
  <c r="K540" i="2"/>
  <c r="G547" i="2"/>
  <c r="K547" i="2"/>
  <c r="E550" i="2"/>
  <c r="F550" i="2"/>
  <c r="J550" i="2"/>
  <c r="I550" i="2" l="1"/>
  <c r="K520" i="2"/>
  <c r="K550" i="2"/>
  <c r="G550" i="2"/>
  <c r="D550" i="2"/>
  <c r="P458" i="2"/>
  <c r="P457" i="2"/>
  <c r="V456" i="2"/>
  <c r="P456" i="2"/>
  <c r="P455" i="2"/>
  <c r="P454" i="2"/>
  <c r="P453" i="2"/>
  <c r="P452" i="2"/>
  <c r="U495" i="2" l="1"/>
  <c r="P495" i="2"/>
  <c r="D467" i="2"/>
  <c r="G467" i="2" s="1"/>
  <c r="K467" i="2" s="1"/>
  <c r="D466" i="2"/>
  <c r="D465" i="2"/>
  <c r="G465" i="2" s="1"/>
  <c r="K465" i="2" s="1"/>
  <c r="D464" i="2"/>
  <c r="G464" i="2" s="1"/>
  <c r="K464" i="2" s="1"/>
  <c r="I463" i="2"/>
  <c r="D463" i="2"/>
  <c r="G463" i="2" s="1"/>
  <c r="K463" i="2" s="1"/>
  <c r="D462" i="2"/>
  <c r="D461" i="2"/>
  <c r="G461" i="2" s="1"/>
  <c r="K461" i="2" s="1"/>
  <c r="I460" i="2"/>
  <c r="D460" i="2"/>
  <c r="D459" i="2"/>
  <c r="D458" i="2"/>
  <c r="G458" i="2" s="1"/>
  <c r="K458" i="2" s="1"/>
  <c r="D457" i="2"/>
  <c r="D456" i="2"/>
  <c r="D455" i="2"/>
  <c r="D454" i="2"/>
  <c r="D453" i="2"/>
  <c r="D452" i="2"/>
  <c r="AE452" i="2"/>
  <c r="AI452" i="2" s="1"/>
  <c r="AE453" i="2"/>
  <c r="AI453" i="2" s="1"/>
  <c r="AB495" i="2"/>
  <c r="AE454" i="2"/>
  <c r="AI454" i="2" s="1"/>
  <c r="AE455" i="2"/>
  <c r="AI455" i="2"/>
  <c r="AE456" i="2"/>
  <c r="AI456" i="2"/>
  <c r="AE457" i="2"/>
  <c r="AI457" i="2" s="1"/>
  <c r="AE458" i="2"/>
  <c r="AI458" i="2"/>
  <c r="AE459" i="2"/>
  <c r="AI459" i="2"/>
  <c r="AE460" i="2"/>
  <c r="AI460" i="2"/>
  <c r="AE461" i="2"/>
  <c r="AI461" i="2"/>
  <c r="AE462" i="2"/>
  <c r="AI462" i="2" s="1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 s="1"/>
  <c r="AE487" i="2"/>
  <c r="AI487" i="2"/>
  <c r="AE488" i="2"/>
  <c r="AI488" i="2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O453" i="2"/>
  <c r="O454" i="2" s="1"/>
  <c r="O455" i="2" s="1"/>
  <c r="O456" i="2" s="1"/>
  <c r="O457" i="2" s="1"/>
  <c r="S453" i="2"/>
  <c r="W453" i="2" s="1"/>
  <c r="S454" i="2"/>
  <c r="W454" i="2" s="1"/>
  <c r="S455" i="2"/>
  <c r="W455" i="2" s="1"/>
  <c r="S456" i="2"/>
  <c r="W456" i="2" s="1"/>
  <c r="S457" i="2"/>
  <c r="W457" i="2" s="1"/>
  <c r="S458" i="2"/>
  <c r="W458" i="2" s="1"/>
  <c r="S459" i="2"/>
  <c r="W459" i="2" s="1"/>
  <c r="S460" i="2"/>
  <c r="W460" i="2" s="1"/>
  <c r="S461" i="2"/>
  <c r="W461" i="2" s="1"/>
  <c r="S462" i="2"/>
  <c r="W462" i="2"/>
  <c r="S463" i="2"/>
  <c r="W463" i="2" s="1"/>
  <c r="S464" i="2"/>
  <c r="W464" i="2"/>
  <c r="S465" i="2"/>
  <c r="W465" i="2" s="1"/>
  <c r="S466" i="2"/>
  <c r="W466" i="2"/>
  <c r="S467" i="2"/>
  <c r="W467" i="2" s="1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/>
  <c r="S477" i="2"/>
  <c r="W477" i="2" s="1"/>
  <c r="S478" i="2"/>
  <c r="W478" i="2" s="1"/>
  <c r="S479" i="2"/>
  <c r="W479" i="2" s="1"/>
  <c r="S480" i="2"/>
  <c r="W480" i="2"/>
  <c r="S481" i="2"/>
  <c r="W481" i="2" s="1"/>
  <c r="S482" i="2"/>
  <c r="W482" i="2" s="1"/>
  <c r="S483" i="2"/>
  <c r="W483" i="2" s="1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 s="1"/>
  <c r="W491" i="2"/>
  <c r="S492" i="2"/>
  <c r="W492" i="2"/>
  <c r="W493" i="2"/>
  <c r="Q495" i="2"/>
  <c r="R495" i="2"/>
  <c r="V495" i="2"/>
  <c r="J495" i="2"/>
  <c r="F495" i="2"/>
  <c r="E495" i="2"/>
  <c r="G492" i="2"/>
  <c r="K492" i="2" s="1"/>
  <c r="G485" i="2"/>
  <c r="K485" i="2" s="1"/>
  <c r="G484" i="2"/>
  <c r="K484" i="2" s="1"/>
  <c r="K483" i="2"/>
  <c r="G483" i="2"/>
  <c r="G482" i="2"/>
  <c r="K482" i="2" s="1"/>
  <c r="G481" i="2"/>
  <c r="K481" i="2" s="1"/>
  <c r="G480" i="2"/>
  <c r="K480" i="2" s="1"/>
  <c r="G479" i="2"/>
  <c r="K479" i="2" s="1"/>
  <c r="G478" i="2"/>
  <c r="K478" i="2" s="1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G470" i="2"/>
  <c r="K470" i="2" s="1"/>
  <c r="G469" i="2"/>
  <c r="K469" i="2" s="1"/>
  <c r="G468" i="2"/>
  <c r="K468" i="2" s="1"/>
  <c r="G466" i="2"/>
  <c r="K466" i="2" s="1"/>
  <c r="G462" i="2"/>
  <c r="K462" i="2" s="1"/>
  <c r="G460" i="2"/>
  <c r="G459" i="2"/>
  <c r="K459" i="2" s="1"/>
  <c r="G457" i="2"/>
  <c r="K457" i="2" s="1"/>
  <c r="G456" i="2"/>
  <c r="K456" i="2" s="1"/>
  <c r="G455" i="2"/>
  <c r="K455" i="2" s="1"/>
  <c r="G454" i="2"/>
  <c r="K454" i="2" s="1"/>
  <c r="G453" i="2"/>
  <c r="K453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S452" i="2" l="1"/>
  <c r="W452" i="2" s="1"/>
  <c r="W495" i="2" s="1"/>
  <c r="I495" i="2"/>
  <c r="K460" i="2"/>
  <c r="D495" i="2"/>
  <c r="AI495" i="2"/>
  <c r="AE495" i="2"/>
  <c r="G452" i="2"/>
  <c r="AB399" i="2"/>
  <c r="AB398" i="2"/>
  <c r="AB397" i="2"/>
  <c r="AA399" i="2"/>
  <c r="AE397" i="2"/>
  <c r="AA398" i="2"/>
  <c r="AB440" i="2"/>
  <c r="AE398" i="2"/>
  <c r="AI398" i="2" s="1"/>
  <c r="AE399" i="2"/>
  <c r="AI399" i="2" s="1"/>
  <c r="AE400" i="2"/>
  <c r="AI400" i="2" s="1"/>
  <c r="AE401" i="2"/>
  <c r="AI401" i="2" s="1"/>
  <c r="AE402" i="2"/>
  <c r="AI402" i="2"/>
  <c r="AE403" i="2"/>
  <c r="AI403" i="2"/>
  <c r="AE404" i="2"/>
  <c r="AI404" i="2" s="1"/>
  <c r="AE405" i="2"/>
  <c r="AI405" i="2" s="1"/>
  <c r="AE406" i="2"/>
  <c r="AI406" i="2"/>
  <c r="AE407" i="2"/>
  <c r="AI407" i="2" s="1"/>
  <c r="AE408" i="2"/>
  <c r="AI408" i="2" s="1"/>
  <c r="AE409" i="2"/>
  <c r="AI409" i="2" s="1"/>
  <c r="AE410" i="2"/>
  <c r="AI410" i="2"/>
  <c r="AE411" i="2"/>
  <c r="AI411" i="2"/>
  <c r="AE412" i="2"/>
  <c r="AI412" i="2" s="1"/>
  <c r="AE413" i="2"/>
  <c r="AI413" i="2" s="1"/>
  <c r="AE414" i="2"/>
  <c r="AI414" i="2" s="1"/>
  <c r="AE415" i="2"/>
  <c r="AI415" i="2"/>
  <c r="AE416" i="2"/>
  <c r="AI416" i="2"/>
  <c r="AE417" i="2"/>
  <c r="AI417" i="2"/>
  <c r="AE418" i="2"/>
  <c r="AI418" i="2"/>
  <c r="AE419" i="2"/>
  <c r="AI419" i="2"/>
  <c r="AE420" i="2"/>
  <c r="AI420" i="2" s="1"/>
  <c r="AE421" i="2"/>
  <c r="AI421" i="2" s="1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/>
  <c r="AE428" i="2"/>
  <c r="AI428" i="2" s="1"/>
  <c r="AE429" i="2"/>
  <c r="AI429" i="2" s="1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/>
  <c r="AI436" i="2"/>
  <c r="AE437" i="2"/>
  <c r="AI437" i="2" s="1"/>
  <c r="AI438" i="2"/>
  <c r="AC440" i="2"/>
  <c r="AD440" i="2"/>
  <c r="AG440" i="2"/>
  <c r="AH440" i="2"/>
  <c r="P421" i="2"/>
  <c r="S421" i="2" s="1"/>
  <c r="W421" i="2" s="1"/>
  <c r="P420" i="2"/>
  <c r="P419" i="2"/>
  <c r="P418" i="2"/>
  <c r="P417" i="2"/>
  <c r="P416" i="2"/>
  <c r="S416" i="2" s="1"/>
  <c r="W416" i="2" s="1"/>
  <c r="P415" i="2"/>
  <c r="S415" i="2" s="1"/>
  <c r="W415" i="2" s="1"/>
  <c r="P414" i="2"/>
  <c r="S414" i="2" s="1"/>
  <c r="W414" i="2" s="1"/>
  <c r="P413" i="2"/>
  <c r="S413" i="2" s="1"/>
  <c r="W413" i="2" s="1"/>
  <c r="P412" i="2"/>
  <c r="S412" i="2" s="1"/>
  <c r="W412" i="2" s="1"/>
  <c r="P411" i="2"/>
  <c r="S411" i="2" s="1"/>
  <c r="W411" i="2" s="1"/>
  <c r="P410" i="2"/>
  <c r="P409" i="2"/>
  <c r="P408" i="2"/>
  <c r="P407" i="2"/>
  <c r="P406" i="2"/>
  <c r="P405" i="2"/>
  <c r="S405" i="2" s="1"/>
  <c r="W405" i="2" s="1"/>
  <c r="P404" i="2"/>
  <c r="S404" i="2" s="1"/>
  <c r="W404" i="2" s="1"/>
  <c r="P403" i="2"/>
  <c r="S403" i="2" s="1"/>
  <c r="W403" i="2" s="1"/>
  <c r="P402" i="2"/>
  <c r="S402" i="2" s="1"/>
  <c r="W402" i="2" s="1"/>
  <c r="P401" i="2"/>
  <c r="P400" i="2"/>
  <c r="S400" i="2" s="1"/>
  <c r="W400" i="2" s="1"/>
  <c r="P399" i="2"/>
  <c r="P398" i="2"/>
  <c r="S398" i="2" s="1"/>
  <c r="W398" i="2" s="1"/>
  <c r="V397" i="2"/>
  <c r="V440" i="2" s="1"/>
  <c r="U397" i="2"/>
  <c r="U440" i="2" s="1"/>
  <c r="P397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S397" i="2"/>
  <c r="W397" i="2" s="1"/>
  <c r="S399" i="2"/>
  <c r="W399" i="2" s="1"/>
  <c r="S401" i="2"/>
  <c r="W401" i="2" s="1"/>
  <c r="S406" i="2"/>
  <c r="W406" i="2"/>
  <c r="S407" i="2"/>
  <c r="W407" i="2" s="1"/>
  <c r="S408" i="2"/>
  <c r="W408" i="2" s="1"/>
  <c r="S409" i="2"/>
  <c r="W409" i="2"/>
  <c r="S410" i="2"/>
  <c r="W410" i="2" s="1"/>
  <c r="S417" i="2"/>
  <c r="W417" i="2" s="1"/>
  <c r="S418" i="2"/>
  <c r="W418" i="2" s="1"/>
  <c r="S419" i="2"/>
  <c r="W419" i="2" s="1"/>
  <c r="S420" i="2"/>
  <c r="W420" i="2" s="1"/>
  <c r="S422" i="2"/>
  <c r="W422" i="2" s="1"/>
  <c r="S423" i="2"/>
  <c r="W423" i="2"/>
  <c r="S424" i="2"/>
  <c r="W424" i="2" s="1"/>
  <c r="S425" i="2"/>
  <c r="W425" i="2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/>
  <c r="S434" i="2"/>
  <c r="W434" i="2" s="1"/>
  <c r="S435" i="2"/>
  <c r="W435" i="2"/>
  <c r="W436" i="2"/>
  <c r="S437" i="2"/>
  <c r="W437" i="2" s="1"/>
  <c r="W438" i="2"/>
  <c r="Q440" i="2"/>
  <c r="R440" i="2"/>
  <c r="S495" i="2" l="1"/>
  <c r="G495" i="2"/>
  <c r="K452" i="2"/>
  <c r="K495" i="2" s="1"/>
  <c r="AI397" i="2"/>
  <c r="AI440" i="2" s="1"/>
  <c r="AE440" i="2"/>
  <c r="W440" i="2"/>
  <c r="S440" i="2"/>
  <c r="P440" i="2"/>
  <c r="P343" i="2"/>
  <c r="S343" i="2" s="1"/>
  <c r="W343" i="2" s="1"/>
  <c r="V342" i="2"/>
  <c r="V385" i="2" s="1"/>
  <c r="U342" i="2"/>
  <c r="U385" i="2" s="1"/>
  <c r="P342" i="2"/>
  <c r="S342" i="2" s="1"/>
  <c r="R385" i="2"/>
  <c r="Q385" i="2"/>
  <c r="W383" i="2"/>
  <c r="S382" i="2"/>
  <c r="W382" i="2" s="1"/>
  <c r="W381" i="2"/>
  <c r="S380" i="2"/>
  <c r="W380" i="2" s="1"/>
  <c r="W379" i="2"/>
  <c r="S379" i="2"/>
  <c r="S378" i="2"/>
  <c r="W378" i="2" s="1"/>
  <c r="S377" i="2"/>
  <c r="W377" i="2" s="1"/>
  <c r="S376" i="2"/>
  <c r="W376" i="2" s="1"/>
  <c r="S375" i="2"/>
  <c r="W375" i="2" s="1"/>
  <c r="W374" i="2"/>
  <c r="S374" i="2"/>
  <c r="S373" i="2"/>
  <c r="W373" i="2" s="1"/>
  <c r="S372" i="2"/>
  <c r="W372" i="2" s="1"/>
  <c r="W371" i="2"/>
  <c r="S371" i="2"/>
  <c r="S370" i="2"/>
  <c r="W370" i="2" s="1"/>
  <c r="S369" i="2"/>
  <c r="W369" i="2" s="1"/>
  <c r="S368" i="2"/>
  <c r="W368" i="2" s="1"/>
  <c r="S367" i="2"/>
  <c r="W367" i="2" s="1"/>
  <c r="W366" i="2"/>
  <c r="S366" i="2"/>
  <c r="S365" i="2"/>
  <c r="W365" i="2" s="1"/>
  <c r="S364" i="2"/>
  <c r="W364" i="2" s="1"/>
  <c r="W363" i="2"/>
  <c r="S363" i="2"/>
  <c r="S362" i="2"/>
  <c r="W362" i="2" s="1"/>
  <c r="S361" i="2"/>
  <c r="W361" i="2" s="1"/>
  <c r="S360" i="2"/>
  <c r="W360" i="2" s="1"/>
  <c r="S359" i="2"/>
  <c r="W359" i="2" s="1"/>
  <c r="W358" i="2"/>
  <c r="S358" i="2"/>
  <c r="S357" i="2"/>
  <c r="W357" i="2" s="1"/>
  <c r="S356" i="2"/>
  <c r="W356" i="2" s="1"/>
  <c r="S355" i="2"/>
  <c r="W355" i="2" s="1"/>
  <c r="S354" i="2"/>
  <c r="W354" i="2" s="1"/>
  <c r="S353" i="2"/>
  <c r="W353" i="2" s="1"/>
  <c r="S352" i="2"/>
  <c r="W352" i="2" s="1"/>
  <c r="S351" i="2"/>
  <c r="W351" i="2" s="1"/>
  <c r="S350" i="2"/>
  <c r="W350" i="2" s="1"/>
  <c r="S349" i="2"/>
  <c r="W349" i="2" s="1"/>
  <c r="S348" i="2"/>
  <c r="W348" i="2" s="1"/>
  <c r="S347" i="2"/>
  <c r="W347" i="2" s="1"/>
  <c r="S346" i="2"/>
  <c r="W346" i="2" s="1"/>
  <c r="S345" i="2"/>
  <c r="W345" i="2" s="1"/>
  <c r="S344" i="2"/>
  <c r="W344" i="2" s="1"/>
  <c r="S385" i="2" l="1"/>
  <c r="W342" i="2"/>
  <c r="W385" i="2" s="1"/>
  <c r="P385" i="2"/>
  <c r="D345" i="2"/>
  <c r="G345" i="2" s="1"/>
  <c r="K345" i="2" s="1"/>
  <c r="D344" i="2"/>
  <c r="G344" i="2" s="1"/>
  <c r="K344" i="2" s="1"/>
  <c r="D343" i="2"/>
  <c r="G343" i="2"/>
  <c r="K343" i="2" s="1"/>
  <c r="D342" i="2"/>
  <c r="J385" i="2"/>
  <c r="F385" i="2"/>
  <c r="E385" i="2"/>
  <c r="K382" i="2"/>
  <c r="G382" i="2"/>
  <c r="K375" i="2"/>
  <c r="G375" i="2"/>
  <c r="G374" i="2"/>
  <c r="K374" i="2" s="1"/>
  <c r="K373" i="2"/>
  <c r="G373" i="2"/>
  <c r="K372" i="2"/>
  <c r="G372" i="2"/>
  <c r="K371" i="2"/>
  <c r="G371" i="2"/>
  <c r="G370" i="2"/>
  <c r="K370" i="2" s="1"/>
  <c r="G369" i="2"/>
  <c r="K369" i="2" s="1"/>
  <c r="I385" i="2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G352" i="2"/>
  <c r="K352" i="2" s="1"/>
  <c r="G351" i="2"/>
  <c r="K351" i="2" s="1"/>
  <c r="G350" i="2"/>
  <c r="K350" i="2" s="1"/>
  <c r="G349" i="2"/>
  <c r="K349" i="2" s="1"/>
  <c r="G348" i="2"/>
  <c r="K348" i="2" s="1"/>
  <c r="G347" i="2"/>
  <c r="K347" i="2" s="1"/>
  <c r="G346" i="2"/>
  <c r="K346" i="2" s="1"/>
  <c r="C344" i="2"/>
  <c r="C345" i="2" s="1"/>
  <c r="C343" i="2"/>
  <c r="G342" i="2"/>
  <c r="K342" i="2" s="1"/>
  <c r="D385" i="2"/>
  <c r="K385" i="2" l="1"/>
  <c r="G385" i="2"/>
  <c r="AB357" i="2"/>
  <c r="AE357" i="2" s="1"/>
  <c r="AI357" i="2" s="1"/>
  <c r="AB356" i="2"/>
  <c r="AE356" i="2" s="1"/>
  <c r="AI356" i="2" s="1"/>
  <c r="AB355" i="2"/>
  <c r="AB354" i="2"/>
  <c r="AB353" i="2"/>
  <c r="AB352" i="2"/>
  <c r="AB351" i="2"/>
  <c r="AE351" i="2" s="1"/>
  <c r="AI351" i="2" s="1"/>
  <c r="AB350" i="2"/>
  <c r="AB349" i="2"/>
  <c r="AB348" i="2"/>
  <c r="AE348" i="2"/>
  <c r="AI348" i="2" s="1"/>
  <c r="AB347" i="2"/>
  <c r="AE347" i="2" s="1"/>
  <c r="AI347" i="2" s="1"/>
  <c r="AH346" i="2"/>
  <c r="AH385" i="2" s="1"/>
  <c r="AB346" i="2"/>
  <c r="AB345" i="2"/>
  <c r="AB344" i="2"/>
  <c r="AE344" i="2" s="1"/>
  <c r="AI344" i="2" s="1"/>
  <c r="AB343" i="2"/>
  <c r="AB342" i="2"/>
  <c r="AE342" i="2"/>
  <c r="AI342" i="2" s="1"/>
  <c r="AA343" i="2"/>
  <c r="AA345" i="2" s="1"/>
  <c r="AA346" i="2" s="1"/>
  <c r="AA347" i="2" s="1"/>
  <c r="AA348" i="2" s="1"/>
  <c r="AA349" i="2" s="1"/>
  <c r="AA350" i="2" s="1"/>
  <c r="AA351" i="2" s="1"/>
  <c r="AA352" i="2" s="1"/>
  <c r="AA353" i="2" s="1"/>
  <c r="AA354" i="2" s="1"/>
  <c r="AA355" i="2" s="1"/>
  <c r="AA356" i="2" s="1"/>
  <c r="AA357" i="2" s="1"/>
  <c r="AE343" i="2"/>
  <c r="AI343" i="2" s="1"/>
  <c r="AE345" i="2"/>
  <c r="AI345" i="2" s="1"/>
  <c r="AE346" i="2"/>
  <c r="AI346" i="2" s="1"/>
  <c r="AE349" i="2"/>
  <c r="AI349" i="2" s="1"/>
  <c r="AE350" i="2"/>
  <c r="AI350" i="2" s="1"/>
  <c r="AE352" i="2"/>
  <c r="AI352" i="2" s="1"/>
  <c r="AE353" i="2"/>
  <c r="AI353" i="2" s="1"/>
  <c r="AE354" i="2"/>
  <c r="AI354" i="2" s="1"/>
  <c r="AE355" i="2"/>
  <c r="AI355" i="2" s="1"/>
  <c r="AE358" i="2"/>
  <c r="AI358" i="2" s="1"/>
  <c r="AE359" i="2"/>
  <c r="AI359" i="2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/>
  <c r="AE370" i="2"/>
  <c r="AI370" i="2"/>
  <c r="AE371" i="2"/>
  <c r="AI371" i="2" s="1"/>
  <c r="AE372" i="2"/>
  <c r="AI372" i="2"/>
  <c r="AE373" i="2"/>
  <c r="AI373" i="2" s="1"/>
  <c r="AE374" i="2"/>
  <c r="AI374" i="2"/>
  <c r="AE375" i="2"/>
  <c r="AI375" i="2"/>
  <c r="AE376" i="2"/>
  <c r="AI376" i="2"/>
  <c r="AE377" i="2"/>
  <c r="AI377" i="2"/>
  <c r="AE378" i="2"/>
  <c r="AI378" i="2"/>
  <c r="AE379" i="2"/>
  <c r="AI379" i="2" s="1"/>
  <c r="AE380" i="2"/>
  <c r="AI380" i="2"/>
  <c r="AI381" i="2"/>
  <c r="AE382" i="2"/>
  <c r="AI382" i="2"/>
  <c r="AI383" i="2"/>
  <c r="AC385" i="2"/>
  <c r="AD385" i="2"/>
  <c r="AG385" i="2"/>
  <c r="AB385" i="2" l="1"/>
  <c r="AI385" i="2"/>
  <c r="AE385" i="2"/>
  <c r="AB301" i="2"/>
  <c r="AB300" i="2"/>
  <c r="AB299" i="2"/>
  <c r="AB330" i="2" s="1"/>
  <c r="AB298" i="2"/>
  <c r="AB297" i="2"/>
  <c r="AB296" i="2"/>
  <c r="AB295" i="2"/>
  <c r="AE295" i="2" s="1"/>
  <c r="AI295" i="2" s="1"/>
  <c r="AB294" i="2"/>
  <c r="AE294" i="2" s="1"/>
  <c r="AI294" i="2" s="1"/>
  <c r="AB293" i="2"/>
  <c r="AE293" i="2" s="1"/>
  <c r="AI293" i="2" s="1"/>
  <c r="AB292" i="2"/>
  <c r="AE292" i="2" s="1"/>
  <c r="AI292" i="2" s="1"/>
  <c r="AB291" i="2"/>
  <c r="AE291" i="2" s="1"/>
  <c r="AI291" i="2" s="1"/>
  <c r="AB290" i="2"/>
  <c r="AB289" i="2"/>
  <c r="AB288" i="2"/>
  <c r="AB287" i="2"/>
  <c r="AE287" i="2" s="1"/>
  <c r="AI287" i="2" s="1"/>
  <c r="AA290" i="2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A288" i="2"/>
  <c r="AA289" i="2" s="1"/>
  <c r="AE288" i="2"/>
  <c r="AI288" i="2" s="1"/>
  <c r="AG330" i="2"/>
  <c r="AE289" i="2"/>
  <c r="AI289" i="2" s="1"/>
  <c r="AE290" i="2"/>
  <c r="AI290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/>
  <c r="AE303" i="2"/>
  <c r="AI303" i="2" s="1"/>
  <c r="AE304" i="2"/>
  <c r="AI304" i="2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H330" i="2"/>
  <c r="AI330" i="2" l="1"/>
  <c r="AE330" i="2"/>
  <c r="AB234" i="2"/>
  <c r="AG233" i="2"/>
  <c r="AG275" i="2"/>
  <c r="AB233" i="2"/>
  <c r="AE233" i="2"/>
  <c r="AB232" i="2"/>
  <c r="AB275" i="2" s="1"/>
  <c r="AE232" i="2"/>
  <c r="AI232" i="2" s="1"/>
  <c r="AA233" i="2"/>
  <c r="AA234" i="2"/>
  <c r="AE234" i="2"/>
  <c r="AI234" i="2" s="1"/>
  <c r="AE235" i="2"/>
  <c r="AE236" i="2"/>
  <c r="AI236" i="2" s="1"/>
  <c r="AE237" i="2"/>
  <c r="AI237" i="2" s="1"/>
  <c r="AH275" i="2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/>
  <c r="AE245" i="2"/>
  <c r="AI245" i="2"/>
  <c r="AE246" i="2"/>
  <c r="AI246" i="2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 s="1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 s="1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D260" i="2"/>
  <c r="G260" i="2" s="1"/>
  <c r="K260" i="2" s="1"/>
  <c r="D259" i="2"/>
  <c r="G259" i="2" s="1"/>
  <c r="K259" i="2" s="1"/>
  <c r="I258" i="2"/>
  <c r="I275" i="2" s="1"/>
  <c r="D258" i="2"/>
  <c r="G258" i="2" s="1"/>
  <c r="K258" i="2" s="1"/>
  <c r="D257" i="2"/>
  <c r="G257" i="2" s="1"/>
  <c r="K257" i="2" s="1"/>
  <c r="D256" i="2"/>
  <c r="D255" i="2"/>
  <c r="D254" i="2"/>
  <c r="D253" i="2"/>
  <c r="G253" i="2" s="1"/>
  <c r="K253" i="2" s="1"/>
  <c r="D252" i="2"/>
  <c r="G252" i="2" s="1"/>
  <c r="K252" i="2" s="1"/>
  <c r="D251" i="2"/>
  <c r="D250" i="2"/>
  <c r="D249" i="2"/>
  <c r="G249" i="2" s="1"/>
  <c r="K249" i="2" s="1"/>
  <c r="D248" i="2"/>
  <c r="G248" i="2" s="1"/>
  <c r="K248" i="2" s="1"/>
  <c r="D247" i="2"/>
  <c r="G247" i="2" s="1"/>
  <c r="K247" i="2" s="1"/>
  <c r="D246" i="2"/>
  <c r="D245" i="2"/>
  <c r="D244" i="2"/>
  <c r="D243" i="2"/>
  <c r="D242" i="2"/>
  <c r="D241" i="2"/>
  <c r="G241" i="2" s="1"/>
  <c r="K241" i="2" s="1"/>
  <c r="D240" i="2"/>
  <c r="G240" i="2" s="1"/>
  <c r="K240" i="2" s="1"/>
  <c r="D239" i="2"/>
  <c r="G239" i="2"/>
  <c r="K239" i="2" s="1"/>
  <c r="D238" i="2"/>
  <c r="G238" i="2" s="1"/>
  <c r="K238" i="2" s="1"/>
  <c r="D237" i="2"/>
  <c r="D236" i="2"/>
  <c r="G236" i="2" s="1"/>
  <c r="K236" i="2" s="1"/>
  <c r="D235" i="2"/>
  <c r="G235" i="2" s="1"/>
  <c r="K235" i="2" s="1"/>
  <c r="D234" i="2"/>
  <c r="G234" i="2" s="1"/>
  <c r="K234" i="2" s="1"/>
  <c r="D233" i="2"/>
  <c r="D232" i="2"/>
  <c r="C239" i="2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G232" i="2"/>
  <c r="K232" i="2" s="1"/>
  <c r="C233" i="2"/>
  <c r="C234" i="2" s="1"/>
  <c r="C235" i="2" s="1"/>
  <c r="C236" i="2" s="1"/>
  <c r="C237" i="2" s="1"/>
  <c r="C238" i="2" s="1"/>
  <c r="G233" i="2"/>
  <c r="K233" i="2" s="1"/>
  <c r="G237" i="2"/>
  <c r="K237" i="2" s="1"/>
  <c r="G242" i="2"/>
  <c r="K242" i="2" s="1"/>
  <c r="G243" i="2"/>
  <c r="K243" i="2" s="1"/>
  <c r="G244" i="2"/>
  <c r="K244" i="2" s="1"/>
  <c r="G245" i="2"/>
  <c r="K245" i="2" s="1"/>
  <c r="G246" i="2"/>
  <c r="K246" i="2" s="1"/>
  <c r="G250" i="2"/>
  <c r="K250" i="2" s="1"/>
  <c r="G251" i="2"/>
  <c r="K251" i="2"/>
  <c r="G254" i="2"/>
  <c r="K254" i="2" s="1"/>
  <c r="G255" i="2"/>
  <c r="K255" i="2" s="1"/>
  <c r="G256" i="2"/>
  <c r="K256" i="2" s="1"/>
  <c r="G261" i="2"/>
  <c r="K261" i="2"/>
  <c r="G262" i="2"/>
  <c r="K262" i="2"/>
  <c r="G263" i="2"/>
  <c r="K263" i="2"/>
  <c r="G264" i="2"/>
  <c r="K264" i="2" s="1"/>
  <c r="G265" i="2"/>
  <c r="K265" i="2"/>
  <c r="G272" i="2"/>
  <c r="K272" i="2"/>
  <c r="E275" i="2"/>
  <c r="F275" i="2"/>
  <c r="J275" i="2"/>
  <c r="AI233" i="2" l="1"/>
  <c r="AI235" i="2"/>
  <c r="AE275" i="2"/>
  <c r="D275" i="2"/>
  <c r="K275" i="2"/>
  <c r="G275" i="2"/>
  <c r="I193" i="2"/>
  <c r="D193" i="2"/>
  <c r="D192" i="2"/>
  <c r="I191" i="2"/>
  <c r="D191" i="2"/>
  <c r="G191" i="2" s="1"/>
  <c r="D190" i="2"/>
  <c r="D189" i="2"/>
  <c r="G189" i="2" s="1"/>
  <c r="K189" i="2" s="1"/>
  <c r="D188" i="2"/>
  <c r="D187" i="2"/>
  <c r="G187" i="2"/>
  <c r="K187" i="2" s="1"/>
  <c r="D186" i="2"/>
  <c r="D185" i="2"/>
  <c r="D184" i="2"/>
  <c r="D183" i="2"/>
  <c r="G183" i="2" s="1"/>
  <c r="K183" i="2" s="1"/>
  <c r="I182" i="2"/>
  <c r="D182" i="2"/>
  <c r="D181" i="2"/>
  <c r="G181" i="2" s="1"/>
  <c r="K181" i="2" s="1"/>
  <c r="D180" i="2"/>
  <c r="G180" i="2" s="1"/>
  <c r="K180" i="2" s="1"/>
  <c r="D179" i="2"/>
  <c r="D178" i="2"/>
  <c r="I177" i="2"/>
  <c r="D177" i="2"/>
  <c r="G177" i="2"/>
  <c r="J220" i="2"/>
  <c r="C178" i="2"/>
  <c r="G178" i="2"/>
  <c r="K178" i="2" s="1"/>
  <c r="C179" i="2"/>
  <c r="C180" i="2" s="1"/>
  <c r="C181" i="2" s="1"/>
  <c r="C182" i="2" s="1"/>
  <c r="C183" i="2" s="1"/>
  <c r="C185" i="2" s="1"/>
  <c r="C186" i="2" s="1"/>
  <c r="C187" i="2" s="1"/>
  <c r="C188" i="2" s="1"/>
  <c r="C189" i="2" s="1"/>
  <c r="C190" i="2" s="1"/>
  <c r="C191" i="2" s="1"/>
  <c r="C192" i="2" s="1"/>
  <c r="C193" i="2" s="1"/>
  <c r="G179" i="2"/>
  <c r="K179" i="2" s="1"/>
  <c r="G182" i="2"/>
  <c r="G184" i="2"/>
  <c r="K184" i="2" s="1"/>
  <c r="G185" i="2"/>
  <c r="K185" i="2" s="1"/>
  <c r="G186" i="2"/>
  <c r="K186" i="2" s="1"/>
  <c r="G188" i="2"/>
  <c r="K188" i="2" s="1"/>
  <c r="G190" i="2"/>
  <c r="K190" i="2" s="1"/>
  <c r="G192" i="2"/>
  <c r="K192" i="2" s="1"/>
  <c r="G193" i="2"/>
  <c r="K193" i="2" s="1"/>
  <c r="G194" i="2"/>
  <c r="K194" i="2" s="1"/>
  <c r="G195" i="2"/>
  <c r="K195" i="2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/>
  <c r="E220" i="2"/>
  <c r="F220" i="2"/>
  <c r="P192" i="2"/>
  <c r="P191" i="2"/>
  <c r="S191" i="2" s="1"/>
  <c r="W191" i="2" s="1"/>
  <c r="P190" i="2"/>
  <c r="P189" i="2"/>
  <c r="P188" i="2"/>
  <c r="U187" i="2"/>
  <c r="U220" i="2" s="1"/>
  <c r="P187" i="2"/>
  <c r="P186" i="2"/>
  <c r="P185" i="2"/>
  <c r="P184" i="2"/>
  <c r="P183" i="2"/>
  <c r="P182" i="2"/>
  <c r="U181" i="2"/>
  <c r="P181" i="2"/>
  <c r="S181" i="2" s="1"/>
  <c r="W181" i="2" s="1"/>
  <c r="P180" i="2"/>
  <c r="S180" i="2" s="1"/>
  <c r="W180" i="2" s="1"/>
  <c r="P179" i="2"/>
  <c r="P178" i="2"/>
  <c r="P177" i="2"/>
  <c r="V220" i="2"/>
  <c r="R220" i="2"/>
  <c r="Q220" i="2"/>
  <c r="W218" i="2"/>
  <c r="S217" i="2"/>
  <c r="W217" i="2" s="1"/>
  <c r="W216" i="2"/>
  <c r="S215" i="2"/>
  <c r="W215" i="2" s="1"/>
  <c r="S214" i="2"/>
  <c r="W214" i="2" s="1"/>
  <c r="S213" i="2"/>
  <c r="W213" i="2" s="1"/>
  <c r="W212" i="2"/>
  <c r="S212" i="2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W204" i="2"/>
  <c r="S204" i="2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0" i="2"/>
  <c r="W190" i="2" s="1"/>
  <c r="S189" i="2"/>
  <c r="W189" i="2" s="1"/>
  <c r="S188" i="2"/>
  <c r="W188" i="2" s="1"/>
  <c r="S187" i="2"/>
  <c r="S186" i="2"/>
  <c r="W186" i="2" s="1"/>
  <c r="S185" i="2"/>
  <c r="W185" i="2" s="1"/>
  <c r="S184" i="2"/>
  <c r="W184" i="2" s="1"/>
  <c r="S183" i="2"/>
  <c r="W183" i="2" s="1"/>
  <c r="S179" i="2"/>
  <c r="W179" i="2" s="1"/>
  <c r="S178" i="2"/>
  <c r="W178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S177" i="2"/>
  <c r="AH182" i="2"/>
  <c r="AB182" i="2"/>
  <c r="AB181" i="2"/>
  <c r="AB180" i="2"/>
  <c r="AB179" i="2"/>
  <c r="AA179" i="2"/>
  <c r="AA180" i="2" s="1"/>
  <c r="AA181" i="2" s="1"/>
  <c r="AA182" i="2" s="1"/>
  <c r="AB177" i="2"/>
  <c r="AG177" i="2"/>
  <c r="AI275" i="2" l="1"/>
  <c r="I220" i="2"/>
  <c r="K191" i="2"/>
  <c r="K182" i="2"/>
  <c r="D220" i="2"/>
  <c r="G220" i="2"/>
  <c r="K177" i="2"/>
  <c r="W187" i="2"/>
  <c r="P220" i="2"/>
  <c r="S182" i="2"/>
  <c r="W182" i="2" s="1"/>
  <c r="W177" i="2"/>
  <c r="AB220" i="2"/>
  <c r="AA178" i="2"/>
  <c r="AE178" i="2"/>
  <c r="AI178" i="2" s="1"/>
  <c r="AG220" i="2"/>
  <c r="AE179" i="2"/>
  <c r="AI179" i="2"/>
  <c r="AE180" i="2"/>
  <c r="AI180" i="2" s="1"/>
  <c r="AE181" i="2"/>
  <c r="AI181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/>
  <c r="AE196" i="2"/>
  <c r="AI196" i="2"/>
  <c r="AE197" i="2"/>
  <c r="AI197" i="2" s="1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/>
  <c r="AE204" i="2"/>
  <c r="AI204" i="2"/>
  <c r="AE205" i="2"/>
  <c r="AI205" i="2" s="1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/>
  <c r="AE212" i="2"/>
  <c r="AI212" i="2"/>
  <c r="AE213" i="2"/>
  <c r="AI213" i="2" s="1"/>
  <c r="AE214" i="2"/>
  <c r="AI214" i="2"/>
  <c r="AE215" i="2"/>
  <c r="AI215" i="2" s="1"/>
  <c r="AI216" i="2"/>
  <c r="AE217" i="2"/>
  <c r="AI217" i="2" s="1"/>
  <c r="AI218" i="2"/>
  <c r="AC220" i="2"/>
  <c r="AD220" i="2"/>
  <c r="AH220" i="2"/>
  <c r="K220" i="2" l="1"/>
  <c r="W220" i="2"/>
  <c r="S220" i="2"/>
  <c r="AE177" i="2"/>
  <c r="AG123" i="2"/>
  <c r="AB123" i="2"/>
  <c r="AG122" i="2"/>
  <c r="AG165" i="2" s="1"/>
  <c r="AB122" i="2"/>
  <c r="AE122" i="2" s="1"/>
  <c r="AA123" i="2"/>
  <c r="AE123" i="2"/>
  <c r="AI123" i="2" s="1"/>
  <c r="AE124" i="2"/>
  <c r="AI124" i="2" s="1"/>
  <c r="AE125" i="2"/>
  <c r="AI125" i="2" s="1"/>
  <c r="AE126" i="2"/>
  <c r="AI126" i="2"/>
  <c r="AE127" i="2"/>
  <c r="AI127" i="2"/>
  <c r="AE128" i="2"/>
  <c r="AI128" i="2" s="1"/>
  <c r="AE129" i="2"/>
  <c r="AI129" i="2"/>
  <c r="AE130" i="2"/>
  <c r="AI130" i="2" s="1"/>
  <c r="AE131" i="2"/>
  <c r="AI131" i="2"/>
  <c r="AE132" i="2"/>
  <c r="AI132" i="2"/>
  <c r="AE133" i="2"/>
  <c r="AI133" i="2" s="1"/>
  <c r="AE134" i="2"/>
  <c r="AI134" i="2" s="1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/>
  <c r="AE141" i="2"/>
  <c r="AI141" i="2" s="1"/>
  <c r="AE142" i="2"/>
  <c r="AI142" i="2"/>
  <c r="AE143" i="2"/>
  <c r="AI143" i="2"/>
  <c r="AE144" i="2"/>
  <c r="AI144" i="2" s="1"/>
  <c r="AE145" i="2"/>
  <c r="AI145" i="2" s="1"/>
  <c r="AE146" i="2"/>
  <c r="AI146" i="2" s="1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 s="1"/>
  <c r="AI161" i="2"/>
  <c r="AE162" i="2"/>
  <c r="AI162" i="2"/>
  <c r="AI163" i="2"/>
  <c r="AC165" i="2"/>
  <c r="AD165" i="2"/>
  <c r="AH165" i="2"/>
  <c r="D128" i="2"/>
  <c r="D127" i="2"/>
  <c r="G127" i="2" s="1"/>
  <c r="K127" i="2" s="1"/>
  <c r="D126" i="2"/>
  <c r="D125" i="2"/>
  <c r="D124" i="2"/>
  <c r="D123" i="2"/>
  <c r="G123" i="2" s="1"/>
  <c r="K123" i="2" s="1"/>
  <c r="J122" i="2"/>
  <c r="I122" i="2"/>
  <c r="D122" i="2"/>
  <c r="G122" i="2" s="1"/>
  <c r="C123" i="2"/>
  <c r="C124" i="2" s="1"/>
  <c r="C125" i="2" s="1"/>
  <c r="C126" i="2" s="1"/>
  <c r="C127" i="2" s="1"/>
  <c r="C128" i="2" s="1"/>
  <c r="I165" i="2"/>
  <c r="F165" i="2"/>
  <c r="E165" i="2"/>
  <c r="K162" i="2"/>
  <c r="G162" i="2"/>
  <c r="G155" i="2"/>
  <c r="K155" i="2" s="1"/>
  <c r="G154" i="2"/>
  <c r="K154" i="2" s="1"/>
  <c r="K153" i="2"/>
  <c r="G153" i="2"/>
  <c r="K152" i="2"/>
  <c r="G152" i="2"/>
  <c r="G151" i="2"/>
  <c r="K151" i="2" s="1"/>
  <c r="K150" i="2"/>
  <c r="G150" i="2"/>
  <c r="K149" i="2"/>
  <c r="G149" i="2"/>
  <c r="K148" i="2"/>
  <c r="G148" i="2"/>
  <c r="G147" i="2"/>
  <c r="K147" i="2" s="1"/>
  <c r="G146" i="2"/>
  <c r="K146" i="2" s="1"/>
  <c r="K145" i="2"/>
  <c r="G145" i="2"/>
  <c r="K144" i="2"/>
  <c r="G144" i="2"/>
  <c r="G143" i="2"/>
  <c r="K143" i="2" s="1"/>
  <c r="K142" i="2"/>
  <c r="G142" i="2"/>
  <c r="K141" i="2"/>
  <c r="G141" i="2"/>
  <c r="K140" i="2"/>
  <c r="G140" i="2"/>
  <c r="G139" i="2"/>
  <c r="K139" i="2" s="1"/>
  <c r="G138" i="2"/>
  <c r="K138" i="2" s="1"/>
  <c r="K137" i="2"/>
  <c r="G137" i="2"/>
  <c r="K136" i="2"/>
  <c r="G136" i="2"/>
  <c r="G135" i="2"/>
  <c r="K135" i="2" s="1"/>
  <c r="K134" i="2"/>
  <c r="G134" i="2"/>
  <c r="K133" i="2"/>
  <c r="G133" i="2"/>
  <c r="K132" i="2"/>
  <c r="G132" i="2"/>
  <c r="G131" i="2"/>
  <c r="K131" i="2" s="1"/>
  <c r="G130" i="2"/>
  <c r="K130" i="2" s="1"/>
  <c r="G129" i="2"/>
  <c r="K129" i="2" s="1"/>
  <c r="G128" i="2"/>
  <c r="K128" i="2" s="1"/>
  <c r="G126" i="2"/>
  <c r="K126" i="2" s="1"/>
  <c r="J165" i="2"/>
  <c r="G125" i="2"/>
  <c r="K125" i="2" s="1"/>
  <c r="G124" i="2"/>
  <c r="K124" i="2" s="1"/>
  <c r="AI177" i="2" l="1"/>
  <c r="AI220" i="2" s="1"/>
  <c r="AE220" i="2"/>
  <c r="AI122" i="2"/>
  <c r="AI165" i="2" s="1"/>
  <c r="AE165" i="2"/>
  <c r="AB165" i="2"/>
  <c r="D165" i="2"/>
  <c r="G165" i="2"/>
  <c r="K122" i="2"/>
  <c r="K165" i="2" s="1"/>
  <c r="AB71" i="2"/>
  <c r="AE71" i="2" s="1"/>
  <c r="AI71" i="2" s="1"/>
  <c r="AB70" i="2"/>
  <c r="AE70" i="2" s="1"/>
  <c r="AI70" i="2" s="1"/>
  <c r="AB69" i="2"/>
  <c r="AB68" i="2"/>
  <c r="AG67" i="2"/>
  <c r="AH110" i="2"/>
  <c r="AB67" i="2"/>
  <c r="AE67" i="2"/>
  <c r="AA68" i="2"/>
  <c r="AA69" i="2" s="1"/>
  <c r="AA70" i="2" s="1"/>
  <c r="AA71" i="2" s="1"/>
  <c r="AE68" i="2"/>
  <c r="AI68" i="2" s="1"/>
  <c r="AE69" i="2"/>
  <c r="AI69" i="2"/>
  <c r="AG110" i="2"/>
  <c r="AE72" i="2"/>
  <c r="AI72" i="2"/>
  <c r="AE73" i="2"/>
  <c r="AI73" i="2" s="1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 s="1"/>
  <c r="AI108" i="2"/>
  <c r="AC110" i="2"/>
  <c r="AD110" i="2"/>
  <c r="P73" i="2"/>
  <c r="S73" i="2" s="1"/>
  <c r="W73" i="2" s="1"/>
  <c r="P72" i="2"/>
  <c r="S72" i="2" s="1"/>
  <c r="W72" i="2" s="1"/>
  <c r="P71" i="2"/>
  <c r="S71" i="2" s="1"/>
  <c r="W71" i="2" s="1"/>
  <c r="P70" i="2"/>
  <c r="S70" i="2" s="1"/>
  <c r="W70" i="2" s="1"/>
  <c r="P69" i="2"/>
  <c r="V68" i="2"/>
  <c r="V110" i="2" s="1"/>
  <c r="U68" i="2"/>
  <c r="U110" i="2" s="1"/>
  <c r="P68" i="2"/>
  <c r="P67" i="2"/>
  <c r="P110" i="2" s="1"/>
  <c r="O69" i="2"/>
  <c r="O70" i="2" s="1"/>
  <c r="O71" i="2" s="1"/>
  <c r="O72" i="2" s="1"/>
  <c r="O73" i="2" s="1"/>
  <c r="S67" i="2"/>
  <c r="O68" i="2"/>
  <c r="S68" i="2"/>
  <c r="W68" i="2" s="1"/>
  <c r="S69" i="2"/>
  <c r="W69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 s="1"/>
  <c r="S90" i="2"/>
  <c r="W90" i="2" s="1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 s="1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AB110" i="2" l="1"/>
  <c r="AE110" i="2"/>
  <c r="AI67" i="2"/>
  <c r="AI110" i="2" s="1"/>
  <c r="S110" i="2"/>
  <c r="W67" i="2"/>
  <c r="W110" i="2" s="1"/>
  <c r="AG16" i="2"/>
  <c r="AB16" i="2"/>
  <c r="AG15" i="2"/>
  <c r="AB15" i="2"/>
  <c r="AB14" i="2"/>
  <c r="AB13" i="2"/>
  <c r="AH12" i="2"/>
  <c r="AB12" i="2"/>
  <c r="P13" i="2"/>
  <c r="U12" i="2"/>
  <c r="P12" i="2"/>
  <c r="D21" i="2"/>
  <c r="D20" i="2"/>
  <c r="D19" i="2"/>
  <c r="D18" i="2"/>
  <c r="D16" i="2"/>
  <c r="J15" i="2"/>
  <c r="D15" i="2"/>
  <c r="D14" i="2"/>
  <c r="D13" i="2"/>
  <c r="D12" i="2"/>
  <c r="D37" i="1" l="1"/>
  <c r="D38" i="1"/>
  <c r="J16" i="1"/>
  <c r="D16" i="1" s="1"/>
  <c r="J17" i="1"/>
  <c r="J18" i="1"/>
  <c r="J19" i="1"/>
  <c r="J30" i="1"/>
  <c r="D30" i="1" s="1"/>
  <c r="J31" i="1"/>
  <c r="J32" i="1"/>
  <c r="J37" i="1"/>
  <c r="J38" i="1"/>
  <c r="J39" i="1"/>
  <c r="J23" i="1" l="1"/>
  <c r="D23" i="1" s="1"/>
  <c r="J40" i="1" l="1"/>
  <c r="J36" i="1"/>
  <c r="D32" i="1"/>
  <c r="J33" i="1"/>
  <c r="D33" i="1" s="1"/>
  <c r="J34" i="1"/>
  <c r="D34" i="1" s="1"/>
  <c r="J26" i="1"/>
  <c r="D26" i="1" s="1"/>
  <c r="J27" i="1"/>
  <c r="D27" i="1" s="1"/>
  <c r="D19" i="1"/>
  <c r="J20" i="1"/>
  <c r="D20" i="1" s="1"/>
  <c r="J12" i="1"/>
  <c r="D12" i="1" s="1"/>
  <c r="J13" i="1"/>
  <c r="D13" i="1" s="1"/>
  <c r="J15" i="1"/>
  <c r="D15" i="1" s="1"/>
  <c r="D39" i="1"/>
  <c r="D40" i="1"/>
  <c r="D36" i="1"/>
  <c r="J29" i="1" l="1"/>
  <c r="D29" i="1" s="1"/>
  <c r="D31" i="1"/>
  <c r="J22" i="1"/>
  <c r="D22" i="1" s="1"/>
  <c r="A40" i="1" l="1"/>
  <c r="J10" i="1" l="1"/>
  <c r="AA13" i="2" l="1"/>
  <c r="AA14" i="2" s="1"/>
  <c r="AA15" i="2" s="1"/>
  <c r="AA16" i="2" s="1"/>
  <c r="J25" i="1" l="1"/>
  <c r="D25" i="1" s="1"/>
  <c r="J24" i="1"/>
  <c r="D24" i="1" s="1"/>
  <c r="D18" i="1"/>
  <c r="D17" i="1"/>
  <c r="A12" i="1"/>
  <c r="AD55" i="2" l="1"/>
  <c r="R55" i="2"/>
  <c r="F55" i="2"/>
  <c r="J11" i="1" l="1"/>
  <c r="D11" i="1" s="1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CE23D54-EEDA-40BE-B5C5-2D244DEB5F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
DAGAO, SIAYAN</t>
        </r>
      </text>
    </comment>
    <comment ref="O12" authorId="0" shapeId="0" xr:uid="{31A30761-3ABC-42FD-84ED-CCFFC406CF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" authorId="0" shapeId="0" xr:uid="{EEC84548-A763-41F5-90B7-37F337B12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
POB, SALUG</t>
        </r>
      </text>
    </comment>
    <comment ref="C13" authorId="0" shapeId="0" xr:uid="{1D29E61F-4D81-45C7-8BC2-25D9A13F5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3" authorId="0" shapeId="0" xr:uid="{354C4147-4F78-4A9D-A467-BDA575F064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
CALUAN, SINDANGAN</t>
        </r>
      </text>
    </comment>
    <comment ref="AA13" authorId="0" shapeId="0" xr:uid="{6A6587A2-732B-45D1-9FF5-861CE5C9C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4" authorId="0" shapeId="0" xr:uid="{8E84FDA4-75A8-498C-B0BA-59610966F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AA14" authorId="0" shapeId="0" xr:uid="{F137004E-C181-4DF7-A6FC-8EF7C8E315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5" authorId="0" shapeId="0" xr:uid="{376DC635-1751-42FF-81DB-8FD24C3A2A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AA15" authorId="0" shapeId="0" xr:uid="{166E9E33-499E-4DED-B66C-2E8D73AD8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GENITAS STORE
BAYBAY, LILOY</t>
        </r>
      </text>
    </comment>
    <comment ref="C16" authorId="0" shapeId="0" xr:uid="{07A5AA79-9089-4494-901E-B15EB7552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JEZELLEE STORE
POB, SIAYAN</t>
        </r>
      </text>
    </comment>
    <comment ref="AA16" authorId="0" shapeId="0" xr:uid="{DCE9716A-7B20-48C2-AC51-BE38425341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18" authorId="0" shapeId="0" xr:uid="{0B71CA2B-41DF-4125-B0EE-9CAB93C21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ALFORQUE</t>
        </r>
      </text>
    </comment>
    <comment ref="C19" authorId="0" shapeId="0" xr:uid="{0144739E-03A9-44B2-A397-A825163EA7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20" authorId="0" shapeId="0" xr:uid="{1ADB9D31-4438-47C9-895A-40EA7DF38C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POB, SINDANGAN</t>
        </r>
      </text>
    </comment>
    <comment ref="C21" authorId="0" shapeId="0" xr:uid="{693A3B07-1B39-48CC-B531-96764B0DA4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
POB, SINDANGAN</t>
        </r>
      </text>
    </comment>
    <comment ref="O67" authorId="0" shapeId="0" xr:uid="{84C453FE-058A-4F71-8AC4-AE7B6712EF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67" authorId="0" shapeId="0" xr:uid="{9462E072-E86A-4B1E-B442-0064FC9D85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O68" authorId="0" shapeId="0" xr:uid="{8E02C74D-63FB-4351-8F80-DA742210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
POB, BACUNGAN</t>
        </r>
      </text>
    </comment>
    <comment ref="AA68" authorId="0" shapeId="0" xr:uid="{9BA6691D-7F50-4D15-A106-CC9B94F12F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ABRION
RM, SALUG</t>
        </r>
      </text>
    </comment>
    <comment ref="O69" authorId="0" shapeId="0" xr:uid="{CC4699A4-825B-4210-8A63-B21A145B93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</t>
        </r>
      </text>
    </comment>
    <comment ref="AA69" authorId="0" shapeId="0" xr:uid="{055556A9-48D7-42A9-963A-2EC4D1D56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
POB, SALUG</t>
        </r>
      </text>
    </comment>
    <comment ref="O70" authorId="0" shapeId="0" xr:uid="{3C5DA826-E493-4A3A-B4FB-2A88F179D2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BALIKBALIK, SINDANGAN</t>
        </r>
      </text>
    </comment>
    <comment ref="AA70" authorId="0" shapeId="0" xr:uid="{E37DEDD9-BB89-44D7-9091-1DAC2433CB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71" authorId="0" shapeId="0" xr:uid="{EF17EF52-4550-4268-938C-7731739CE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</t>
        </r>
      </text>
    </comment>
    <comment ref="AA71" authorId="0" shapeId="0" xr:uid="{E5C7FDD4-275B-4CAA-82B7-DEE8E66006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72" authorId="0" shapeId="0" xr:uid="{14823878-5A0E-42B0-8A68-FA23819436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INUMAN, SINDANGAN</t>
        </r>
      </text>
    </comment>
    <comment ref="O73" authorId="0" shapeId="0" xr:uid="{D6B08CC2-1BBC-4F87-94D0-40F7C75ED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BALIKBALIK, SINDANGAN</t>
        </r>
      </text>
    </comment>
    <comment ref="C122" authorId="0" shapeId="0" xr:uid="{A1A780C1-2EB1-4229-A2CA-E2A2F2203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
GUNYAN, SIAYAN</t>
        </r>
      </text>
    </comment>
    <comment ref="AA122" authorId="0" shapeId="0" xr:uid="{6CFB11CA-1B87-4547-B401-9E7A4DC90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3" authorId="0" shapeId="0" xr:uid="{7148A1C6-C9AB-4A26-8B23-40EF3FE2B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123" authorId="0" shapeId="0" xr:uid="{954682A4-7009-4D3F-9AF6-237D53F8C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4" authorId="0" shapeId="0" xr:uid="{DC91412B-50F1-407F-BB95-B076B3500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C125" authorId="0" shapeId="0" xr:uid="{3358538D-FB0E-443F-9616-5E7F0F06C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26" authorId="0" shapeId="0" xr:uid="{193722C9-4D97-4F9D-B489-A2C9E0214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MANDIH, SINDANGAN</t>
        </r>
      </text>
    </comment>
    <comment ref="C127" authorId="0" shapeId="0" xr:uid="{E2F61D03-C0F6-4689-92E9-36D1DAD86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" authorId="0" shapeId="0" xr:uid="{E125C63A-28B1-4E61-A1B0-7FF69CF1C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BALIK-BALIK, SINDANGAN</t>
        </r>
      </text>
    </comment>
    <comment ref="C177" authorId="0" shapeId="0" xr:uid="{C39DB843-2C63-4641-80F5-D79E02915E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RMJ STORE
POB, SINDANGAN</t>
        </r>
      </text>
    </comment>
    <comment ref="O177" authorId="0" shapeId="0" xr:uid="{04007C81-200C-4651-A247-A1DB77012A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177" authorId="0" shapeId="0" xr:uid="{7CE79758-875B-4D26-AC94-02F1CA371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178" authorId="0" shapeId="0" xr:uid="{B265F6F2-D5F2-4EF3-B59C-4B477EA2A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MUTIA
DAPAON, SINDANGAN</t>
        </r>
      </text>
    </comment>
    <comment ref="O178" authorId="0" shapeId="0" xr:uid="{0206DFF9-1A9F-42DF-94B5-EA6CD6246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
POB, BACUNGAN</t>
        </r>
      </text>
    </comment>
    <comment ref="AA178" authorId="0" shapeId="0" xr:uid="{29D8F131-8E34-4F4B-92F1-979149DA4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SLP2
BACONG, SALUG</t>
        </r>
      </text>
    </comment>
    <comment ref="C179" authorId="0" shapeId="0" xr:uid="{1ED84FDA-1165-44CE-A8EA-2D11E1F46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 MORIA STORE
DAPAON, SINDANGAN</t>
        </r>
      </text>
    </comment>
    <comment ref="O179" authorId="0" shapeId="0" xr:uid="{46D51B7D-46B9-4B14-8B96-CA06F58DF0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CASTILLION STORE
POB, BACUNGAN</t>
        </r>
      </text>
    </comment>
    <comment ref="AA179" authorId="0" shapeId="0" xr:uid="{823909A9-FDB6-48A3-8DA0-50D4234455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
POB, SALUG</t>
        </r>
      </text>
    </comment>
    <comment ref="C180" authorId="0" shapeId="0" xr:uid="{0F695DE6-DDA9-4FE5-A4F4-ADB8E3FBC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RACHEL STORE
DAPAON, SINDANGAN</t>
        </r>
      </text>
    </comment>
    <comment ref="O180" authorId="0" shapeId="0" xr:uid="{AA19EF40-0B36-46AD-9CCE-55DBF0C18E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DANGGON
POB, BACUNGAN</t>
        </r>
      </text>
    </comment>
    <comment ref="AA180" authorId="0" shapeId="0" xr:uid="{83CBBFF3-10E2-49CE-AB09-187560DBAC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TIMTIM ANABELLE
POB, SALUG</t>
        </r>
      </text>
    </comment>
    <comment ref="C181" authorId="0" shapeId="0" xr:uid="{22B3FFDB-A836-4478-B64E-E912C7EB5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181" authorId="0" shapeId="0" xr:uid="{47F6A119-EE28-4C2B-ADC8-7DAA19D157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81" authorId="0" shapeId="0" xr:uid="{BED564BC-E082-4567-BE7E-91F203C05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182" authorId="0" shapeId="0" xr:uid="{66533E34-A06E-4760-BB45-4B6FC3F50B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N MINIMART
MAGSAYSAY, SINDANGAN</t>
        </r>
      </text>
    </comment>
    <comment ref="O182" authorId="0" shapeId="0" xr:uid="{E2FE85A2-2156-4059-B8BD-337A204A85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POB, TALINGA</t>
        </r>
      </text>
    </comment>
    <comment ref="AA182" authorId="0" shapeId="0" xr:uid="{91198939-508B-4803-AA75-713541AD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83" authorId="0" shapeId="0" xr:uid="{98080063-A99C-4343-BE36-8560FFBC95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VILLAESPEN STORE
DISUD, SINDANGAN</t>
        </r>
      </text>
    </comment>
    <comment ref="O183" authorId="0" shapeId="0" xr:uid="{0502219B-DE54-4622-9FD6-B61D4DBAF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 STORE
TALINGA, BACUNGAN</t>
        </r>
      </text>
    </comment>
    <comment ref="C184" authorId="0" shapeId="0" xr:uid="{21B922FB-2DDA-4C31-A2C6-7B211CE7AE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84" authorId="0" shapeId="0" xr:uid="{23D059F8-0B63-4BA0-864A-FB469A6D1F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
TALINGA, BACUNGAN</t>
        </r>
      </text>
    </comment>
    <comment ref="C185" authorId="0" shapeId="0" xr:uid="{648E6609-6047-4E78-B20C-8FD44D4276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 STORE
DISUD, SINDANGAN</t>
        </r>
      </text>
    </comment>
    <comment ref="O185" authorId="0" shapeId="0" xr:uid="{6FF48A40-FBA2-4CE9-A8F0-D3D78C049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C186" authorId="0" shapeId="0" xr:uid="{66CB530F-3ED2-4258-AA12-A318286B0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WILLS STORE
DISUD, SINDANGAN</t>
        </r>
      </text>
    </comment>
    <comment ref="O186" authorId="0" shapeId="0" xr:uid="{A9321479-3825-4F67-9CFE-95298FE60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GOSEP
POB, BACUNGAN</t>
        </r>
      </text>
    </comment>
    <comment ref="C187" authorId="0" shapeId="0" xr:uid="{62BC6065-7E8D-4659-AA7C-7521A8AED2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STORE
DISUD, SINDANGAN</t>
        </r>
      </text>
    </comment>
    <comment ref="O187" authorId="0" shapeId="0" xr:uid="{4BAD8D85-1D33-4AEF-A052-2FF2383D49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188" authorId="0" shapeId="0" xr:uid="{94DFE100-54DB-430E-B21D-AF40F3EC8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8" authorId="0" shapeId="0" xr:uid="{9C173062-2DC7-4134-9D62-52CC0F2B95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TALINGA, BACUNGAN</t>
        </r>
      </text>
    </comment>
    <comment ref="C189" authorId="0" shapeId="0" xr:uid="{1B68709B-B43B-4648-85EC-F014D58A8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STORE
POB, SINDANGAN</t>
        </r>
      </text>
    </comment>
    <comment ref="O189" authorId="0" shapeId="0" xr:uid="{23FE6247-3762-43BC-9F57-4693C0A27C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C190" authorId="0" shapeId="0" xr:uid="{C14215D7-BE49-4EB8-94B2-A40D93B0B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
POB, SINDANGAN</t>
        </r>
      </text>
    </comment>
    <comment ref="O190" authorId="0" shapeId="0" xr:uid="{C9E5A5E7-F209-4AC8-A36F-B4B5429C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STORE
MARAS, SINDANGAN</t>
        </r>
      </text>
    </comment>
    <comment ref="C191" authorId="0" shapeId="0" xr:uid="{09F52B46-8864-48A0-9ECF-92F73A4936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91" authorId="0" shapeId="0" xr:uid="{95A58CDD-4338-428A-B23C-70299B7716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
GOLEO, SINDANGAN</t>
        </r>
      </text>
    </comment>
    <comment ref="C192" authorId="0" shapeId="0" xr:uid="{0D0F5B2F-DC0D-4937-A5AE-CA78978FED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CATAYAS STORE
POB, SINDANGAN</t>
        </r>
      </text>
    </comment>
    <comment ref="O192" authorId="0" shapeId="0" xr:uid="{B577999F-1948-4617-842D-90301C593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193" authorId="0" shapeId="0" xr:uid="{3EE026BC-3E7B-4367-8122-33575742ED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32" authorId="0" shapeId="0" xr:uid="{43E9F37D-B8E7-4493-B6FE-080E5B63E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AA232" authorId="0" shapeId="0" xr:uid="{DF500D42-63DB-498C-B9D7-5F3D4094D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233" authorId="0" shapeId="0" xr:uid="{DD88F075-0608-49FC-AFD1-DC5F9862B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
PIAO, SINDANGAN</t>
        </r>
      </text>
    </comment>
    <comment ref="AA233" authorId="0" shapeId="0" xr:uid="{82E0045E-F7B7-4501-83B9-CAF14C4AB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4" authorId="0" shapeId="0" xr:uid="{81375AC0-E4AD-4FE6-88A3-B4A5FBE47E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ORILLOZA
BUYOS, SINDANGAN</t>
        </r>
      </text>
    </comment>
    <comment ref="AA234" authorId="0" shapeId="0" xr:uid="{2D82E3DC-522A-4B97-A1CE-25814CF101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ANTONIO BALASUELA
BAYBAY, LILOY</t>
        </r>
      </text>
    </comment>
    <comment ref="C235" authorId="0" shapeId="0" xr:uid="{A99BE8B3-23D9-4AAA-AFA3-0B8009B19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C236" authorId="0" shapeId="0" xr:uid="{9921356D-3706-41D9-A170-B5BB010C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 STORE
LAGAG, SINDANGAN</t>
        </r>
      </text>
    </comment>
    <comment ref="C237" authorId="0" shapeId="0" xr:uid="{C9944AFE-FC9D-4199-9578-4556AA14C7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238" authorId="0" shapeId="0" xr:uid="{8083C524-630C-4844-8319-0BE6712BB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239" authorId="0" shapeId="0" xr:uid="{F6327A84-6497-4034-B201-EF00EBD90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POB, SIAYAN</t>
        </r>
      </text>
    </comment>
    <comment ref="C240" authorId="0" shapeId="0" xr:uid="{97A5D9ED-6FB9-4D52-95DD-C046B9366C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241" authorId="0" shapeId="0" xr:uid="{8B389126-BE03-406D-8991-0C15FA2EFC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STORE
DENOYAN, SIAYAN</t>
        </r>
      </text>
    </comment>
    <comment ref="C242" authorId="0" shapeId="0" xr:uid="{2D394AD3-D28B-4856-B617-F3F8E54CE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243" authorId="0" shapeId="0" xr:uid="{ED19367E-78D6-4ED9-AFF7-02663BE0CC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C244" authorId="0" shapeId="0" xr:uid="{53A65EDF-F64F-4B68-B44D-D5E926A3AC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C245" authorId="0" shapeId="0" xr:uid="{7354823B-1F94-437D-BFB5-BAD5FB579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PAANILYAN
DENOYAN, SIAYAN</t>
        </r>
      </text>
    </comment>
    <comment ref="C246" authorId="0" shapeId="0" xr:uid="{99E419E7-B32D-4E40-B7C9-AF6967B12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C247" authorId="0" shapeId="0" xr:uid="{28F08C95-0FDA-4EB3-9245-9F78F07E4E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SAIAYAN</t>
        </r>
      </text>
    </comment>
    <comment ref="C248" authorId="0" shapeId="0" xr:uid="{502625FF-6134-481A-B309-37F540737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249" authorId="0" shapeId="0" xr:uid="{1C009102-D294-4D85-A375-5B304FBED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POB, SIAYAN</t>
        </r>
      </text>
    </comment>
    <comment ref="C250" authorId="0" shapeId="0" xr:uid="{8674B90C-092A-429F-BD81-19C9EE8583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LEONORA HUNDO
DAGAO, SIAYAN</t>
        </r>
      </text>
    </comment>
    <comment ref="C251" authorId="0" shapeId="0" xr:uid="{08878EF9-5EB6-4DD7-93C0-C4A4C67FB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DAGAO, SIAYAN</t>
        </r>
      </text>
    </comment>
    <comment ref="C252" authorId="0" shapeId="0" xr:uid="{65FAB983-ACA5-49BA-BC48-84030CDBC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DAGAO, SIAYAN</t>
        </r>
      </text>
    </comment>
    <comment ref="C253" authorId="0" shapeId="0" xr:uid="{D9829DFD-6F2B-4328-A76F-D034CA31A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254" authorId="0" shapeId="0" xr:uid="{C3A0821C-A376-4079-B9F5-7C2FFD65A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255" authorId="0" shapeId="0" xr:uid="{79A82959-6FDC-4A94-A748-5FDD19719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56" authorId="0" shapeId="0" xr:uid="{2F06F99D-E464-4DB4-A8E7-D36A639C04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257" authorId="0" shapeId="0" xr:uid="{06B0D8E9-89C8-4786-8A93-A2FCC44204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STORE
POB, SIAYAN</t>
        </r>
      </text>
    </comment>
    <comment ref="C258" authorId="0" shapeId="0" xr:uid="{14090615-7CA9-48D4-9F6D-63F08834ED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259" authorId="0" shapeId="0" xr:uid="{E143F522-72D1-49E8-BDB8-25493FE73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HABAGAT
</t>
        </r>
      </text>
    </comment>
    <comment ref="C260" authorId="0" shapeId="0" xr:uid="{5E2A212E-D4EB-45F6-B1D1-D5536D50EA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AA287" authorId="0" shapeId="0" xr:uid="{017B8324-3134-4AC1-9213-CF29F27AD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AJ
POB, SALUG</t>
        </r>
      </text>
    </comment>
    <comment ref="AA288" authorId="0" shapeId="0" xr:uid="{B909FDC8-6138-4B3B-A0AB-805991ACB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AA289" authorId="0" shapeId="0" xr:uid="{5ADA566A-4A28-4828-8EB5-8312F05EBD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ORTIZ STORE
CANAWAN, SALUG</t>
        </r>
      </text>
    </comment>
    <comment ref="AA290" authorId="0" shapeId="0" xr:uid="{EA1A6CE5-0D0F-478C-82CA-3669B785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LAGDAMO
CANAWAN, SALUG</t>
        </r>
      </text>
    </comment>
    <comment ref="AA291" authorId="0" shapeId="0" xr:uid="{8A783D9B-6BE3-48FF-B9BA-5A0119013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</t>
        </r>
      </text>
    </comment>
    <comment ref="AA292" authorId="0" shapeId="0" xr:uid="{C0A2E8FD-3989-475D-A317-8A4371462A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GALIPOSO STORE
BACONG, SALUG</t>
        </r>
      </text>
    </comment>
    <comment ref="AA293" authorId="0" shapeId="0" xr:uid="{910B8B83-7303-433E-A44C-4577CCC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PEDIWA DADAN
SANTO, SALUG
</t>
        </r>
      </text>
    </comment>
    <comment ref="AA294" authorId="0" shapeId="0" xr:uid="{130A94EF-C4CF-4365-AC7A-72B1820294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BENTOT
SANTO NIÑO, SALUG</t>
        </r>
      </text>
    </comment>
    <comment ref="AA295" authorId="0" shapeId="0" xr:uid="{B7607898-DFF9-40AA-9FD6-CFB3B220A5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REREVILLO
SANTO NIÑO, SALUG</t>
        </r>
      </text>
    </comment>
    <comment ref="AA296" authorId="0" shapeId="0" xr:uid="{8F8846E1-1D1D-46AB-8766-8B9AAF8B2E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SANTO NIÑO, SALUG</t>
        </r>
      </text>
    </comment>
    <comment ref="AA297" authorId="0" shapeId="0" xr:uid="{85851C3A-8BD3-44E1-AC5D-588361E0C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4G BAKESHOP
POB, SALUG</t>
        </r>
      </text>
    </comment>
    <comment ref="AA298" authorId="0" shapeId="0" xr:uid="{CA6469AB-6565-4AF7-B9B1-AB637D049B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JB CONVENIENCE
POB, SALUG</t>
        </r>
      </text>
    </comment>
    <comment ref="AA299" authorId="0" shapeId="0" xr:uid="{B7DE6434-E703-441E-9A99-69611BB88C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300" authorId="0" shapeId="0" xr:uid="{E1655F02-80E8-4997-B2E9-9DA9BC3D90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MAÑOZA, ZENAIDA
POB, SALUG</t>
        </r>
      </text>
    </comment>
    <comment ref="AA301" authorId="0" shapeId="0" xr:uid="{0ACD6468-D452-47F0-BE33-F54DDEB68E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
POB, SALUG</t>
        </r>
      </text>
    </comment>
    <comment ref="C342" authorId="0" shapeId="0" xr:uid="{AB342950-66EE-4E4E-B35E-C4CE5698C6E5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WENDY CAMYON
LABAKID, SINDANGAN</t>
        </r>
      </text>
    </comment>
    <comment ref="O342" authorId="0" shapeId="0" xr:uid="{178D9CE9-6A3E-47C5-9FEB-9B739C711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2" authorId="0" shapeId="0" xr:uid="{14618BC0-4F9F-4EFF-B703-6A8A1F485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343" authorId="0" shapeId="0" xr:uid="{FA22ABD9-6FB7-40DF-BE74-D05816489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AMOD
LABAKID, SINDANGAN</t>
        </r>
      </text>
    </comment>
    <comment ref="O343" authorId="0" shapeId="0" xr:uid="{F0283D39-38B8-4698-8BE4-220B519403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LANGAN
MANDIH, SINDANGAN</t>
        </r>
      </text>
    </comment>
    <comment ref="AA343" authorId="0" shapeId="0" xr:uid="{65C45567-2DEB-4413-AFBC-BC0541E68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344" authorId="0" shapeId="0" xr:uid="{A09D9BFB-AF45-4F3F-B4E4-9F4EB9E6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344" authorId="0" shapeId="0" xr:uid="{895F0791-4D4F-4EDB-9C24-66E50EA42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345" authorId="0" shapeId="0" xr:uid="{126A364F-1750-4FEA-9883-F2E26DED91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345" authorId="0" shapeId="0" xr:uid="{D55E995F-1C2C-4F19-B9B3-A2EADA04B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
DELA PAZ, LILOY</t>
        </r>
      </text>
    </comment>
    <comment ref="AA346" authorId="0" shapeId="0" xr:uid="{5FC7B20D-90C4-4D9C-8A0C-E97E52989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AA347" authorId="0" shapeId="0" xr:uid="{F6889F4A-8492-4DD9-82FE-1489395D2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8" authorId="0" shapeId="0" xr:uid="{DB05085A-8A7D-452E-BFB1-4A519F9C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9" authorId="0" shapeId="0" xr:uid="{DA870D9D-5B59-45AB-8DD2-96A16F229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ARUMBA ANALYN
VCS, LILOY</t>
        </r>
      </text>
    </comment>
    <comment ref="AA350" authorId="0" shapeId="0" xr:uid="{0BC54826-1BD9-40E0-B05B-3231819E3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
VCS, LILOY</t>
        </r>
      </text>
    </comment>
    <comment ref="AA351" authorId="0" shapeId="0" xr:uid="{A89448E2-435E-4CE5-978A-8FB8F1296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ORDONIO
LAMAO, LILOY</t>
        </r>
      </text>
    </comment>
    <comment ref="AA352" authorId="0" shapeId="0" xr:uid="{28877E7D-CB08-49BD-B00F-3C9174B5DF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ENOT
LAMAO, LILOY</t>
        </r>
      </text>
    </comment>
    <comment ref="AA353" authorId="0" shapeId="0" xr:uid="{3415B5B1-E6B2-4537-B77D-E6DDC3099B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AA354" authorId="0" shapeId="0" xr:uid="{2F7381ED-7D18-4B08-B64F-58877BF6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JESSIE
LAMAO, LILOY</t>
        </r>
      </text>
    </comment>
    <comment ref="AA355" authorId="0" shapeId="0" xr:uid="{8CBC23ED-0E31-4645-8C01-BADB17CD9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TAGUD
LAMAO, LILOY</t>
        </r>
      </text>
    </comment>
    <comment ref="AA356" authorId="0" shapeId="0" xr:uid="{2BF14C1A-B5A4-4B3A-B89E-2586DE335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CATACUTAN, CHONA
LAMAO, LILOY</t>
        </r>
      </text>
    </comment>
    <comment ref="AA357" authorId="0" shapeId="0" xr:uid="{E764469D-531C-45A4-8C5F-FE43C75CE8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ZAMSULA COLL
POB, SALUG</t>
        </r>
      </text>
    </comment>
    <comment ref="O397" authorId="0" shapeId="0" xr:uid="{FA637B0D-41FE-434F-92FD-AEB60BB85D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BACUNGAN
</t>
        </r>
      </text>
    </comment>
    <comment ref="AA397" authorId="0" shapeId="0" xr:uid="{F965B0EE-D794-458B-ABDF-37A3ADC12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RM, SALUG</t>
        </r>
      </text>
    </comment>
    <comment ref="O398" authorId="0" shapeId="0" xr:uid="{202E9CBD-1579-4EE7-85C7-6717DE82C8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BEBE STORE
DELOSUM, SIAYAN</t>
        </r>
      </text>
    </comment>
    <comment ref="AA398" authorId="0" shapeId="0" xr:uid="{5D935026-A3BB-4A46-BCDE-BAF9FFCC2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LEOVY
POB, SALUG</t>
        </r>
      </text>
    </comment>
    <comment ref="O399" authorId="0" shapeId="0" xr:uid="{D709F138-D33E-49E5-8B43-08EB7D7AA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MAINIT STORE
MANIL, BACUNGAN</t>
        </r>
      </text>
    </comment>
    <comment ref="AA399" authorId="0" shapeId="0" xr:uid="{0A5304BC-EC00-4746-BC8E-33F0B3809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
BACONG, SALUG</t>
        </r>
      </text>
    </comment>
    <comment ref="O400" authorId="0" shapeId="0" xr:uid="{E98CD969-1EFE-4AD6-B613-54B4976AA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BACUNGAN</t>
        </r>
      </text>
    </comment>
    <comment ref="O401" authorId="0" shapeId="0" xr:uid="{3AF94A84-07D2-49BC-9533-5A9D3640C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MELCA STORE
POB, BOGABONGAN</t>
        </r>
      </text>
    </comment>
    <comment ref="O402" authorId="0" shapeId="0" xr:uid="{38987980-BA1A-4BD7-AABD-8CE2397CC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BOGABONGAN, BACUNGAN</t>
        </r>
      </text>
    </comment>
    <comment ref="O403" authorId="0" shapeId="0" xr:uid="{BBEE6F1C-00D1-4555-9665-D87EF8E5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404" authorId="0" shapeId="0" xr:uid="{DC184E92-B6EB-4C8A-B04B-7BAB33B09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
BOGABONGAN, BACUNGAN</t>
        </r>
      </text>
    </comment>
    <comment ref="O405" authorId="0" shapeId="0" xr:uid="{1536C67C-A064-45E0-A4DC-E5E9FDDBB1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406" authorId="0" shapeId="0" xr:uid="{181ADCE4-33B6-47EF-B73A-6C99B19B4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PALONDOK, BACUNGAN
</t>
        </r>
      </text>
    </comment>
    <comment ref="O407" authorId="0" shapeId="0" xr:uid="{481097F4-A25D-4404-8C99-5BCB512C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RAMON MAGSAYSAY, BACUNGAN
</t>
        </r>
      </text>
    </comment>
    <comment ref="O408" authorId="0" shapeId="0" xr:uid="{E73787D9-D7DE-421A-B009-177F1F0CA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RAMON MAG SAYSAY</t>
        </r>
      </text>
    </comment>
    <comment ref="O409" authorId="0" shapeId="0" xr:uid="{10B97674-01AC-4341-B0E0-CEB00B494C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RAMON MAGSAYSAY</t>
        </r>
      </text>
    </comment>
    <comment ref="O410" authorId="0" shapeId="0" xr:uid="{F914F9F5-5D39-4662-8770-07B610BFF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NUGAS
RAMON MAGSAYSAY</t>
        </r>
      </text>
    </comment>
    <comment ref="O411" authorId="0" shapeId="0" xr:uid="{81B3029E-4439-4D6D-8205-75ED11E416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RAMON MAGSAYSAY</t>
        </r>
      </text>
    </comment>
    <comment ref="O412" authorId="0" shapeId="0" xr:uid="{60D7928E-D52B-48DA-A6DD-A92AC316F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RAMON MAGSAYSAY
</t>
        </r>
      </text>
    </comment>
    <comment ref="O413" authorId="0" shapeId="0" xr:uid="{848E563A-3BB7-4C09-BB4C-0921030D4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RADA STORE
BOGABONGAN, BACUNGAN</t>
        </r>
      </text>
    </comment>
    <comment ref="O414" authorId="0" shapeId="0" xr:uid="{DB8E7FE3-49D0-4C95-9837-B9BD1BD3A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415" authorId="0" shapeId="0" xr:uid="{3BF6D900-4BCA-42E5-82AE-0A27C214A1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RAFFOLS STORE
BOGABONGAN, BACUNGAN</t>
        </r>
      </text>
    </comment>
    <comment ref="O416" authorId="0" shapeId="0" xr:uid="{5AF883ED-2963-4F74-BCAA-C6FB7291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ASSCOCIATION
BOGABONGAN, BACUNGAN</t>
        </r>
      </text>
    </comment>
    <comment ref="O417" authorId="0" shapeId="0" xr:uid="{B59701D2-1A01-4246-BDFE-663FD9ADD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418" authorId="0" shapeId="0" xr:uid="{6D8FDBD0-3586-475B-BBB0-1F9AAD35E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419" authorId="0" shapeId="0" xr:uid="{9AD84DC8-158D-4D8D-BCB1-8AA4F6B7DF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20" authorId="0" shapeId="0" xr:uid="{A1E8D297-C365-4C6B-B7E1-86131A85D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421" authorId="0" shapeId="0" xr:uid="{A2EF32AE-CAD0-4988-88B7-8FC2CD1C3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RAMON MAGSAYSAY</t>
        </r>
      </text>
    </comment>
    <comment ref="C452" authorId="0" shapeId="0" xr:uid="{8722DEDC-A0A7-45E8-8C16-4142EEDEA4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 STORE
PIAO, SINDANGAN</t>
        </r>
      </text>
    </comment>
    <comment ref="O452" authorId="0" shapeId="0" xr:uid="{FB8C3315-DA10-4346-AA77-C0840A27A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CONCHITA
TALINGA, SINDANGAN</t>
        </r>
      </text>
    </comment>
    <comment ref="AA452" authorId="0" shapeId="0" xr:uid="{0E6D2126-0582-4224-9460-36D35D0D6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53" authorId="0" shapeId="0" xr:uid="{6757FD84-25DF-452A-9FA4-871EB2FB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3" authorId="0" shapeId="0" xr:uid="{473FF0E2-7FC7-427C-8D88-DBB336148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3" authorId="0" shapeId="0" xr:uid="{C78DEF08-491E-4F30-8D8F-1DF8E69CB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NIELVIN YSIK
TIMAN, LILOY</t>
        </r>
      </text>
    </comment>
    <comment ref="C454" authorId="0" shapeId="0" xr:uid="{5251FBC4-D53F-43AA-B6B8-19A326B52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454" authorId="0" shapeId="0" xr:uid="{C7961276-0A9F-41EF-BA15-6BCFABA6E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454" authorId="0" shapeId="0" xr:uid="{33ADEAB1-DF9B-4BCD-A51D-AA8874B1A8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5" authorId="0" shapeId="0" xr:uid="{32408120-76DB-4BC6-B642-BD549E89E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455" authorId="0" shapeId="0" xr:uid="{F618934F-B3C0-4A42-BC75-3951D9E51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456" authorId="0" shapeId="0" xr:uid="{5D883486-A33A-462C-BE22-DE19E5DD2C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 STORE
HILLSIDE, SIAYAN</t>
        </r>
      </text>
    </comment>
    <comment ref="O456" authorId="0" shapeId="0" xr:uid="{A6505FDA-2101-4248-88F7-DD0046418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VAR. STORE
MANDIH, SINDANGAN</t>
        </r>
      </text>
    </comment>
    <comment ref="C457" authorId="0" shapeId="0" xr:uid="{41592408-867A-439C-828A-49465D7A8A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57" authorId="0" shapeId="0" xr:uid="{1E5B49F9-6C57-420B-A783-242BEB289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NURGA STORE
GOLEO, SINDANGAN</t>
        </r>
      </text>
    </comment>
    <comment ref="C458" authorId="0" shapeId="0" xr:uid="{D44B8D12-9B54-4472-878D-F515194F4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
</t>
        </r>
      </text>
    </comment>
    <comment ref="O458" authorId="0" shapeId="0" xr:uid="{16CFE96B-1CE3-478C-B067-213629CA5B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459" authorId="0" shapeId="0" xr:uid="{636AB0A6-7B59-49DD-99C1-A0F729E5E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60" authorId="0" shapeId="0" xr:uid="{C0F3B853-FB6C-462B-A476-9CB2C8E85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461" authorId="0" shapeId="0" xr:uid="{FD222094-ECAD-4685-9539-F7593EDCCB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 </t>
        </r>
      </text>
    </comment>
    <comment ref="C462" authorId="0" shapeId="0" xr:uid="{0F695D59-BD1F-4C80-9FF0-D74C2E3EB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63" authorId="0" shapeId="0" xr:uid="{C9950037-4788-42AF-BE42-BF24AD012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C464" authorId="0" shapeId="0" xr:uid="{E663F907-E0E2-4A6A-B00E-83F8C6E2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65" authorId="0" shapeId="0" xr:uid="{D95DB89D-437C-45D4-9BE8-EF1C90A6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466" authorId="0" shapeId="0" xr:uid="{CD5E1360-CE64-4356-A568-27B30258D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467" authorId="0" shapeId="0" xr:uid="{78EFED8D-0B27-4BA0-AE50-1F15C491B4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507" authorId="0" shapeId="0" xr:uid="{BEE1ACCF-C426-4737-91A4-8B4A6AFE6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507" authorId="0" shapeId="0" xr:uid="{C843C621-5B72-4647-8A65-109C85E337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MARAS, SINDANGAN</t>
        </r>
      </text>
    </comment>
    <comment ref="AA507" authorId="0" shapeId="0" xr:uid="{1AAE8D94-4059-46F5-84FC-15C58FDF0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POB, SALUG</t>
        </r>
      </text>
    </comment>
    <comment ref="C508" authorId="0" shapeId="0" xr:uid="{EEA94445-B86A-41BE-8D27-95B656AD9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508" authorId="0" shapeId="0" xr:uid="{ABA3379F-CBEE-472C-A094-409CCDB582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 STORE
POB, BACUNGAN</t>
        </r>
      </text>
    </comment>
    <comment ref="AA508" authorId="0" shapeId="0" xr:uid="{FD02D2A3-0E11-4CB9-9DA1-1B2D1A551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09" authorId="0" shapeId="0" xr:uid="{BCB39A30-3B3A-447D-8920-AFF6C4C82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09" authorId="0" shapeId="0" xr:uid="{E09849E8-3E51-463A-915C-237DD808B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TALINGA, BACUNGAN</t>
        </r>
      </text>
    </comment>
    <comment ref="AA509" authorId="0" shapeId="0" xr:uid="{84F5EBD9-9435-4C04-84FE-854B606F8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510" authorId="0" shapeId="0" xr:uid="{37B1F287-0FF5-412A-99F9-87C58A968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O510" authorId="0" shapeId="0" xr:uid="{1F70A287-3F4B-488A-AEB3-345CF5C98D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
</t>
        </r>
      </text>
    </comment>
    <comment ref="AA510" authorId="0" shapeId="0" xr:uid="{CFA40CBE-B01C-45E6-BD5F-88FA4941A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11" authorId="0" shapeId="0" xr:uid="{DC56B723-702F-4B7A-AC2B-16CFCED0C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511" authorId="0" shapeId="0" xr:uid="{EF907208-5E3B-462C-8F90-D557E4058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BACUNGAN</t>
        </r>
      </text>
    </comment>
    <comment ref="AA511" authorId="0" shapeId="0" xr:uid="{3B09E998-91CD-4C46-AFBA-C2E8F0D5C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ARVIN
BACONG, SALUG</t>
        </r>
      </text>
    </comment>
    <comment ref="C512" authorId="0" shapeId="0" xr:uid="{6D409EFF-FAC2-45BE-B3F2-CEBBBA62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12" authorId="0" shapeId="0" xr:uid="{FFEDD1C1-5410-4DDF-9473-BEEBA6FB0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</t>
        </r>
      </text>
    </comment>
    <comment ref="C513" authorId="0" shapeId="0" xr:uid="{81C71809-126C-4F70-BA01-C0804BC62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513" authorId="0" shapeId="0" xr:uid="{316CC9F4-08FD-47A2-9F7F-964B5BAB7E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514" authorId="0" shapeId="0" xr:uid="{B47A0466-F140-4FF3-B1F9-6115C4BAC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
DICUYONG, SINDANGAN</t>
        </r>
      </text>
    </comment>
    <comment ref="C515" authorId="0" shapeId="0" xr:uid="{836C1BE1-0D80-4D97-A5BA-B89723C0B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JOANA STORE
DICUYONG, SINDANGAN</t>
        </r>
      </text>
    </comment>
    <comment ref="C516" authorId="0" shapeId="0" xr:uid="{D1AA519D-7BB6-4DC9-8164-9F260EDA8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C517" authorId="0" shapeId="0" xr:uid="{D77A8151-E2E5-4ECE-89B7-61D318AB8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518" authorId="0" shapeId="0" xr:uid="{E593F02E-A593-439E-ADA7-D92FDBF067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519" authorId="0" shapeId="0" xr:uid="{FB0ED8E7-9D07-46F7-8C64-810DA149D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520" authorId="0" shapeId="0" xr:uid="{A859F173-FABA-4CDB-86EA-AEEB62C1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C521" authorId="0" shapeId="0" xr:uid="{57D8DA37-ADCA-4E91-B802-F1D7CB3854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C522" authorId="0" shapeId="0" xr:uid="{843FB29D-FF0A-4E75-A854-92365328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523" authorId="0" shapeId="0" xr:uid="{08CDAD09-5401-47A4-8E32-7FDBD1A6D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524" authorId="0" shapeId="0" xr:uid="{BDCBD6F0-AC53-4E75-972F-919F6420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C525" authorId="0" shapeId="0" xr:uid="{09F2981D-D52B-41F0-8ECB-9F893A8B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STORE
DICUYONG, SINDANGAN</t>
        </r>
      </text>
    </comment>
    <comment ref="C526" authorId="0" shapeId="0" xr:uid="{FC2F9E50-602E-496E-B9CF-20A74D0D8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
LABAKID, SINDANGAN</t>
        </r>
      </text>
    </comment>
    <comment ref="C527" authorId="0" shapeId="0" xr:uid="{3B8413BF-EC62-48C3-A17E-97B3DDB78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562" authorId="0" shapeId="0" xr:uid="{03A65B97-501C-4372-B691-981595CBE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562" authorId="0" shapeId="0" xr:uid="{9ABDEEA5-0FEA-495F-9447-68393E945B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GOLEO, SINDANGAN</t>
        </r>
      </text>
    </comment>
    <comment ref="AA562" authorId="0" shapeId="0" xr:uid="{A55705E0-2C95-4CE9-A42F-3A79D06BB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563" authorId="0" shapeId="0" xr:uid="{9C6BEE2E-D851-44C3-9704-16633F2B9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563" authorId="0" shapeId="0" xr:uid="{6D7890D0-374B-4759-B80E-4FBCE7F75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563" authorId="0" shapeId="0" xr:uid="{EFEA14F1-313A-463E-8A24-8C31B8129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564" authorId="0" shapeId="0" xr:uid="{25E7BB78-5346-4789-B1E1-05C3E651F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564" authorId="0" shapeId="0" xr:uid="{10072011-58F2-404D-8CC6-3B3B160218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YOSORES STORE
TALINGA, BACUNGAN</t>
        </r>
      </text>
    </comment>
    <comment ref="AA564" authorId="0" shapeId="0" xr:uid="{FCB589E0-9DB1-4E71-AB03-B002D3C26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565" authorId="0" shapeId="0" xr:uid="{4D9D00EA-2FEE-42EF-A932-527F21E46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A53B88A7-ED6C-4A43-8D46-62C7734E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AA565" authorId="0" shapeId="0" xr:uid="{216D6F16-CCBD-4C0F-8194-BC62422B3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3E7B6175-27F9-4FE3-9E10-134E9C141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566" authorId="0" shapeId="0" xr:uid="{C423C98E-42E2-4390-B788-B27361728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566" authorId="0" shapeId="0" xr:uid="{2C4C06C5-9496-4150-A7E6-F7C50AFBB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567" authorId="0" shapeId="0" xr:uid="{C4949271-99A7-47F9-8288-51841BDE9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67" authorId="0" shapeId="0" xr:uid="{41E7AC68-9B8A-469E-9BFE-0216E4682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567" authorId="0" shapeId="0" xr:uid="{2BD24B4A-2BEA-4591-9836-233B1AA63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568" authorId="0" shapeId="0" xr:uid="{7202977A-AB1A-4223-BF2D-9D0C08E7F7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568" authorId="0" shapeId="0" xr:uid="{0394C46E-5C4C-44B8-B706-7DC14337D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569" authorId="0" shapeId="0" xr:uid="{C3B0D097-43B6-42EC-BDC4-6E1303314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69" authorId="0" shapeId="0" xr:uid="{52C934DE-35BA-4719-931F-68B9D9EC3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C570" authorId="0" shapeId="0" xr:uid="{124763F4-9F6A-4136-955A-72E8CD3CD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570" authorId="0" shapeId="0" xr:uid="{8550D615-5B6D-42FE-8B98-34F38B730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571" authorId="0" shapeId="0" xr:uid="{19749E67-4CDE-4472-9F59-050B9EB035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71" authorId="0" shapeId="0" xr:uid="{D0B98C5E-2F9F-4A38-B548-BA0BDD6DF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572" authorId="0" shapeId="0" xr:uid="{2ED1219B-185B-48DD-81A1-5D80B2F8F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
LAGAG, SINDANGAN</t>
        </r>
      </text>
    </comment>
    <comment ref="O572" authorId="0" shapeId="0" xr:uid="{02243B8D-AFDC-4F53-823A-0AF0C1B57F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ASPIRAS
MARAS, SINDANGAN</t>
        </r>
      </text>
    </comment>
    <comment ref="C573" authorId="0" shapeId="0" xr:uid="{5091131D-8C24-4521-8607-9C92BB7B7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MAGWATI STORE
LAGAG, SINDANGAN</t>
        </r>
      </text>
    </comment>
    <comment ref="O573" authorId="0" shapeId="0" xr:uid="{ED93BA5D-CD3B-42E9-8A7C-B67B846AE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C574" authorId="0" shapeId="0" xr:uid="{54B0499A-AFE6-4311-9949-B42EE6954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574" authorId="0" shapeId="0" xr:uid="{F7964411-7E89-4041-9E97-738F9E784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 STORE
INUMAN, SINDANGAN</t>
        </r>
      </text>
    </comment>
    <comment ref="C575" authorId="0" shapeId="0" xr:uid="{1BB37AD2-31CC-4669-BA4F-7EEF43489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ARGIE STORE
BUYOS, SINDANGAN</t>
        </r>
      </text>
    </comment>
    <comment ref="O575" authorId="0" shapeId="0" xr:uid="{833E1404-A241-4CE4-9B99-FB87C0CF4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HABALOT STORE
INUMAN, SINDANGAN</t>
        </r>
      </text>
    </comment>
    <comment ref="O576" authorId="0" shapeId="0" xr:uid="{1CE1C2DA-28BC-4E80-AEDD-C320DC7A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O577" authorId="0" shapeId="0" xr:uid="{BE7B5F2C-E2FC-4289-896D-B1214A853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INUMAN, SINDANGAN</t>
        </r>
      </text>
    </comment>
    <comment ref="O578" authorId="0" shapeId="0" xr:uid="{963C8CBC-FC1E-43F0-84D5-63DD20D68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 STORE
INUMAN, SINDANGAN</t>
        </r>
      </text>
    </comment>
    <comment ref="O579" authorId="0" shapeId="0" xr:uid="{8EF6D158-16AC-4A3D-8C81-6E83E04E29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580" authorId="0" shapeId="0" xr:uid="{2AC1D97C-325E-495C-ADF6-7FC3A61D7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581" authorId="0" shapeId="0" xr:uid="{42B68995-E5D1-488F-A5D1-A686D776F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BEDEJO STORE
INUMAN, SINDANGAN</t>
        </r>
      </text>
    </comment>
    <comment ref="C617" authorId="0" shapeId="0" xr:uid="{BEB6E8BF-E21C-4273-A610-6159F4F431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18" authorId="0" shapeId="0" xr:uid="{8C7E7898-93E1-474A-B89B-122AD7C1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672" authorId="0" shapeId="0" xr:uid="{A8ECB423-F01C-4075-815A-C9E6A23A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SINDANGAN</t>
        </r>
      </text>
    </comment>
    <comment ref="AA672" authorId="0" shapeId="0" xr:uid="{0B67E002-4162-4231-BD60-4FA6A213A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73" authorId="0" shapeId="0" xr:uid="{AC711614-2F16-4CEB-A8D0-83EFC49FD3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ANTANG STORE
KALAWIT, SINDANGAN
</t>
        </r>
      </text>
    </comment>
    <comment ref="AA673" authorId="0" shapeId="0" xr:uid="{A584F712-678C-4092-B1F0-93881612A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674" authorId="0" shapeId="0" xr:uid="{3D536888-6582-462A-8A19-EA64792FB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CANDIS STORE
KALAWIT, SINDANGAN</t>
        </r>
      </text>
    </comment>
    <comment ref="O675" authorId="0" shapeId="0" xr:uid="{9506F7A6-09E3-4244-ADAD-157CCF09A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
KALAWIT, SINDANGAN</t>
        </r>
      </text>
    </comment>
    <comment ref="O676" authorId="0" shapeId="0" xr:uid="{22C0B4EE-6221-4A06-88E9-9D6B3C18B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MACALISANG STORE
KALAWIT, SINDANGAN</t>
        </r>
      </text>
    </comment>
    <comment ref="O677" authorId="0" shapeId="0" xr:uid="{C8B3857C-BF72-4CCB-ACF6-E2F6617B8B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CASAMA STORE
KALAWIT, SINDANGAN</t>
        </r>
      </text>
    </comment>
    <comment ref="O678" authorId="0" shapeId="0" xr:uid="{706FAB5C-C1D3-47FD-A8C4-993C6F6134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679" authorId="0" shapeId="0" xr:uid="{DBDA6168-E640-4085-9A36-12AE3005B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ASINTISTA STORE
TINAPLN, SINDANGAN</t>
        </r>
      </text>
    </comment>
    <comment ref="O680" authorId="0" shapeId="0" xr:uid="{D2531FE6-BB2F-4F75-ABA0-F84198CB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BARILI, SINDANGAN</t>
        </r>
      </text>
    </comment>
    <comment ref="O681" authorId="0" shapeId="0" xr:uid="{F0568A49-1F6E-4E9B-9F89-1B8E9A5A9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C727" authorId="0" shapeId="0" xr:uid="{5C999C6E-5C0A-452F-98BD-A5E5E376A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727" authorId="0" shapeId="0" xr:uid="{D1AA012E-7FE9-4BC2-A3C4-7B7EB8A81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</t>
        </r>
      </text>
    </comment>
    <comment ref="AA727" authorId="0" shapeId="0" xr:uid="{CCC2AF94-1687-41CA-8609-447543DA1E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728" authorId="0" shapeId="0" xr:uid="{BEFB5E7F-11CE-4798-A6C0-503122B5A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RMT STORE
POB, SINDANGAN</t>
        </r>
      </text>
    </comment>
    <comment ref="O728" authorId="0" shapeId="0" xr:uid="{281B8C42-AE23-40AA-9DEA-B85EBF35D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POB, BACUNGAN</t>
        </r>
      </text>
    </comment>
    <comment ref="AA728" authorId="0" shapeId="0" xr:uid="{57E98A6C-BB9A-402C-A24D-37183F5D8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C729" authorId="0" shapeId="0" xr:uid="{BE213654-F245-434B-8D70-B8C67094F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STORE
POB, SINDANGAN</t>
        </r>
      </text>
    </comment>
    <comment ref="O729" authorId="0" shapeId="0" xr:uid="{421D8ABF-9809-4E2B-9A8C-28496475A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GOLEO, SINDANGAN</t>
        </r>
      </text>
    </comment>
    <comment ref="AA729" authorId="0" shapeId="0" xr:uid="{E159C4F8-D94A-48F5-B9B5-E8E6C8291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30" authorId="0" shapeId="0" xr:uid="{384FE347-F418-48A1-B5A6-1E77070E9F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POB, DISUD
</t>
        </r>
      </text>
    </comment>
    <comment ref="O730" authorId="0" shapeId="0" xr:uid="{955ADD77-9B35-4436-835A-911AD2E91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731" authorId="0" shapeId="0" xr:uid="{E6F63B7C-12C8-46B9-845A-F145B1D602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C732" authorId="0" shapeId="0" xr:uid="{9DB2E8E0-44A3-4AFD-83C5-9470DA8A8B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STORE
DISUD, SINDANGAN</t>
        </r>
      </text>
    </comment>
    <comment ref="C733" authorId="0" shapeId="0" xr:uid="{EFB6E68A-471F-420B-B8AD-9F7AE96517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734" authorId="0" shapeId="0" xr:uid="{CEE44D58-86A5-4A89-A5BD-B42248AC2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735" authorId="0" shapeId="0" xr:uid="{BB383146-34A2-4046-BC28-5F2D90BD0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736" authorId="0" shapeId="0" xr:uid="{E8C53C2C-783E-4482-994A-6B0B0D8B3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 STORE
DISUD, SINDANGAN</t>
        </r>
      </text>
    </comment>
    <comment ref="C737" authorId="0" shapeId="0" xr:uid="{71EDD8F3-CA6B-42B2-9B20-BEA548B7F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738" authorId="0" shapeId="0" xr:uid="{139DAAF9-727B-4944-93A7-C4F2F8623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
LABAKID, SINDANGAN</t>
        </r>
      </text>
    </comment>
    <comment ref="C739" authorId="0" shapeId="0" xr:uid="{91132A15-88DC-4C10-B484-B53A9B20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MIRAY ANADIO
DUMALOGDOG, SINDANGAN</t>
        </r>
      </text>
    </comment>
    <comment ref="C740" authorId="0" shapeId="0" xr:uid="{D8786695-F788-4036-AB4D-DC64FE6EF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GING-GING PETRO STORE
MAWAL, SINDANGAN</t>
        </r>
      </text>
    </comment>
    <comment ref="C741" authorId="0" shapeId="0" xr:uid="{C3CF9771-A474-449A-9106-8E1D0848B2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 ANALON
MAWAL, SINDANGAN</t>
        </r>
      </text>
    </comment>
    <comment ref="C742" authorId="0" shapeId="0" xr:uid="{A7B90A0B-1D83-4D7E-9DD2-4689239D69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ARMAN POLONIO
DUMALOGDOG, SINDANGAN</t>
        </r>
      </text>
    </comment>
    <comment ref="C743" authorId="0" shapeId="0" xr:uid="{8D5C62A9-333E-4501-B051-E702B9DF6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PEDRA SABANAL
DUMALOGDOG, SINDANGAN</t>
        </r>
      </text>
    </comment>
    <comment ref="C744" authorId="0" shapeId="0" xr:uid="{00BF0DFE-438F-4638-8478-FF6BAF751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STRELLA
DUMALOGDOG, SINDANGAN</t>
        </r>
      </text>
    </comment>
    <comment ref="C745" authorId="0" shapeId="0" xr:uid="{24F11EE2-9B61-42C8-BA5A-438EA28D4D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DICUYONG, SINDANGAN</t>
        </r>
      </text>
    </comment>
    <comment ref="C746" authorId="0" shapeId="0" xr:uid="{43B582D7-84F5-40FD-B650-5F3142B6A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LABAKID, SINDANGAN</t>
        </r>
      </text>
    </comment>
    <comment ref="C747" authorId="0" shapeId="0" xr:uid="{703E9A7C-59DC-4FB7-8FA4-843C2533E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748" authorId="0" shapeId="0" xr:uid="{11A1B82E-3190-4A19-AC88-BE2A1988A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9" authorId="0" shapeId="0" xr:uid="{68295A18-ED58-4E9F-ACFD-8086CCB36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750" authorId="0" shapeId="0" xr:uid="{F7FC2570-AA0F-4A33-98D8-74FD493A6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782" authorId="0" shapeId="0" xr:uid="{17BAA9C6-F3EC-49ED-954E-F385C141C5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</t>
        </r>
      </text>
    </comment>
    <comment ref="O782" authorId="0" shapeId="0" xr:uid="{E98D9E7C-DCBA-4B90-A60F-144D265D9C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ALBOFERA
GOLEO, SINDANGAN</t>
        </r>
      </text>
    </comment>
    <comment ref="AA782" authorId="0" shapeId="0" xr:uid="{0C132CF9-2F1A-4330-9222-2BFFD10197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83" authorId="0" shapeId="0" xr:uid="{05E18100-D27A-47B2-80D2-8CAC245BF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</t>
        </r>
      </text>
    </comment>
    <comment ref="O783" authorId="0" shapeId="0" xr:uid="{9E35C266-D3D1-4181-8E27-09734BB0D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</t>
        </r>
      </text>
    </comment>
    <comment ref="AA783" authorId="0" shapeId="0" xr:uid="{B7193E88-AE5F-4B64-B3A5-4C565507F0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84" authorId="0" shapeId="0" xr:uid="{2FE56A9F-AF93-4D9C-9CB1-D34444FDD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</t>
        </r>
      </text>
    </comment>
    <comment ref="O784" authorId="0" shapeId="0" xr:uid="{7137ECB5-C096-4542-860F-D727F6FABD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STORE
MANDIH, SINDANGAN</t>
        </r>
      </text>
    </comment>
    <comment ref="C785" authorId="0" shapeId="0" xr:uid="{F1BD56F7-AAA6-443B-9B7B-E675C024A2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TAC-AN</t>
        </r>
      </text>
    </comment>
    <comment ref="O785" authorId="0" shapeId="0" xr:uid="{F58CFD1F-720F-4F5B-B240-54DCC8F01F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86" authorId="0" shapeId="0" xr:uid="{2A93A2D7-9359-4E40-82CA-2600EFBCB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AZUCENA
POB, SIAYAN</t>
        </r>
      </text>
    </comment>
    <comment ref="O786" authorId="0" shapeId="0" xr:uid="{EDD2025E-3A8F-48D7-BEC8-274F295C9F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87" authorId="0" shapeId="0" xr:uid="{D782EB15-AD31-47A4-B4B9-C93706449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
POB, SIAYAN</t>
        </r>
      </text>
    </comment>
    <comment ref="O787" authorId="0" shapeId="0" xr:uid="{A4035CA3-A4E4-4F20-92E0-517FCFBD25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 STORE
TALINGA, BACUNGAN</t>
        </r>
      </text>
    </comment>
    <comment ref="C788" authorId="0" shapeId="0" xr:uid="{AE29A246-5F6E-4AC9-87C0-C8F4C82319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788" authorId="0" shapeId="0" xr:uid="{A8FE3F8D-C843-4116-A776-F3A91E7F0C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AKBAYAN
TALINGA, BACUNGAN</t>
        </r>
      </text>
    </comment>
    <comment ref="C789" authorId="0" shapeId="0" xr:uid="{877010B0-E822-4F3F-98EC-3CAE6C0BE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GENEBEB
POB, SIAYAN</t>
        </r>
      </text>
    </comment>
    <comment ref="O789" authorId="0" shapeId="0" xr:uid="{FD1B6577-BDC8-45DD-BFE2-95082A33D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RITCHIE
TALINGA, BACUNGAN</t>
        </r>
      </text>
    </comment>
    <comment ref="C790" authorId="0" shapeId="0" xr:uid="{32E4D2D6-E3AC-4997-9365-23C9C2182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790" authorId="0" shapeId="0" xr:uid="{B4AF86BD-6ED3-45CE-8358-29998F8FA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1" authorId="0" shapeId="0" xr:uid="{8C909674-DD4D-47EF-8310-34F87B129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791" authorId="0" shapeId="0" xr:uid="{73261DEA-C240-4F65-95E7-C9AB5B8FB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2" authorId="0" shapeId="0" xr:uid="{E0CE0FFD-2CB7-4989-A587-3522CA7AD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
POB, SIAYAN</t>
        </r>
      </text>
    </comment>
    <comment ref="O792" authorId="0" shapeId="0" xr:uid="{BAE46AA6-03AF-4577-8E3C-CF88743FC4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</t>
        </r>
      </text>
    </comment>
    <comment ref="C793" authorId="0" shapeId="0" xr:uid="{2BB420F3-3EEA-4269-90DD-AC365EFAD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VAR
POB, SIAYAN</t>
        </r>
      </text>
    </comment>
    <comment ref="O793" authorId="0" shapeId="0" xr:uid="{AAC655C2-8ADD-4EB7-B551-3C372EC0B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TA-ATA
GOLEO, SINDANGAN</t>
        </r>
      </text>
    </comment>
    <comment ref="C794" authorId="0" shapeId="0" xr:uid="{186539E6-7B3A-4DFF-8432-F67B965D6C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
POLAYO, SIAYAN</t>
        </r>
      </text>
    </comment>
    <comment ref="O794" authorId="0" shapeId="0" xr:uid="{ED330D4F-8D81-48C1-BBCC-2D50BE8D8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95" authorId="0" shapeId="0" xr:uid="{AD86D432-EB3E-489B-9FAC-C8133CD5A1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
POLAYO, SIAYAN</t>
        </r>
      </text>
    </comment>
    <comment ref="O795" authorId="0" shapeId="0" xr:uid="{9E371125-5255-46FE-AB3D-E87253CB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
GOLEO, SINDANGAN</t>
        </r>
      </text>
    </comment>
    <comment ref="C796" authorId="0" shapeId="0" xr:uid="{4F8514BF-A4D5-4258-A0B6-2E415DC8DE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O796" authorId="0" shapeId="0" xr:uid="{9BDF5937-9673-4355-BAC2-35984D3B6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YANOS
GOLEO, SINDANGAN</t>
        </r>
      </text>
    </comment>
    <comment ref="C797" authorId="0" shapeId="0" xr:uid="{05CE31AD-370D-4857-9677-AC0287CD5A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VAR. STORE
DENOYAN, SIAYAN</t>
        </r>
      </text>
    </comment>
    <comment ref="O797" authorId="0" shapeId="0" xr:uid="{65D138D2-1B49-423D-BD76-5BF1862659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PARILLA
GOLEO, SINDANGAN</t>
        </r>
      </text>
    </comment>
    <comment ref="C798" authorId="0" shapeId="0" xr:uid="{1E7498AB-5BC0-40F7-AEDC-C5753F7D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798" authorId="0" shapeId="0" xr:uid="{63645C65-8660-4F86-AAEE-6E98C65FB2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O799" authorId="0" shapeId="0" xr:uid="{09D51F31-36A0-43A4-B93F-A3278C1239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C837" authorId="0" shapeId="0" xr:uid="{95B746FD-B19D-4353-85A8-006362BED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POB, SINDANGAN</t>
        </r>
      </text>
    </comment>
    <comment ref="O837" authorId="0" shapeId="0" xr:uid="{1965D6BC-CED6-4AF8-B48D-3D223D8C8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837" authorId="0" shapeId="0" xr:uid="{6B2B202E-8678-4E3F-A305-8F79265CD1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
SANTO NIÑO, SALUG
</t>
        </r>
      </text>
    </comment>
    <comment ref="C838" authorId="0" shapeId="0" xr:uid="{AB0ED2C2-0D70-4B73-9F78-FE56AFC6FF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38" authorId="0" shapeId="0" xr:uid="{A58E88E8-610B-4805-8394-F84E8DA46F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AA838" authorId="0" shapeId="0" xr:uid="{5D7A4FC5-46F4-40BA-A650-F4B15F44F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CUEVAS, MARIO
SANTO NIÑO, SALUG</t>
        </r>
      </text>
    </comment>
    <comment ref="C839" authorId="0" shapeId="0" xr:uid="{CC1A13E3-6215-432A-9025-226C317FC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839" authorId="0" shapeId="0" xr:uid="{1C36285A-341C-4BAA-BA95-4E66CC39F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AA839" authorId="0" shapeId="0" xr:uid="{56766220-8663-44D6-99EF-301CBF6AC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DUBDUBAN
SANTO NIÑO, SALUG</t>
        </r>
      </text>
    </comment>
    <comment ref="C840" authorId="0" shapeId="0" xr:uid="{FAD601E1-7DED-4ECE-A585-292B650AE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840" authorId="0" shapeId="0" xr:uid="{E1AC36F1-DA6D-446F-A5B9-8EAA35F76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40" authorId="0" shapeId="0" xr:uid="{01B665A1-F32E-453F-9AA5-B5040A426F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
SANTO NIÑO, SALUG</t>
        </r>
      </text>
    </comment>
    <comment ref="C841" authorId="0" shapeId="0" xr:uid="{7B96D5A0-C50B-44C5-A2B3-21D5F3A8D0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
DAPAON, SINDANGAN</t>
        </r>
      </text>
    </comment>
    <comment ref="O841" authorId="0" shapeId="0" xr:uid="{0E9A067B-7806-4127-8BCB-A3217BB2C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MAWAL, BACUNGAN</t>
        </r>
      </text>
    </comment>
    <comment ref="AA841" authorId="0" shapeId="0" xr:uid="{ABBA1D2C-D2FA-42A8-AFB7-614591DA6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42" authorId="0" shapeId="0" xr:uid="{0518915C-800A-491C-AE34-15098061F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 STORE
POB, DAPAON</t>
        </r>
      </text>
    </comment>
    <comment ref="O842" authorId="0" shapeId="0" xr:uid="{277312D3-97FB-4AB1-8050-475A3D249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PAJUWAY STORE
MAWAL, BACUNGAN</t>
        </r>
      </text>
    </comment>
    <comment ref="AA842" authorId="0" shapeId="0" xr:uid="{D285DBF1-0E91-46B9-BCAE-C903835B6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843" authorId="0" shapeId="0" xr:uid="{A621F406-64EE-4764-A317-A2DC263DA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KIM ESCUADRO
RM, SINDANGAN</t>
        </r>
      </text>
    </comment>
    <comment ref="O843" authorId="0" shapeId="0" xr:uid="{5003EF9D-39A8-4E3F-9D8A-A346CC9E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AGON STORE
POB, BAUNGAN</t>
        </r>
      </text>
    </comment>
    <comment ref="AA843" authorId="0" shapeId="0" xr:uid="{68E12EC7-901D-4512-9641-C7AE0833A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
POB, SALUG</t>
        </r>
      </text>
    </comment>
    <comment ref="C844" authorId="0" shapeId="0" xr:uid="{446FCF01-40F3-407E-9F00-4C13DACF1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844" authorId="0" shapeId="0" xr:uid="{25F20BBB-3042-40F2-8E8A-555B009F4A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YASSY
TALINGA, BACUNGAN</t>
        </r>
      </text>
    </comment>
    <comment ref="AA844" authorId="0" shapeId="0" xr:uid="{F2D543CF-452A-4436-9517-19BDD0379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
</t>
        </r>
      </text>
    </comment>
    <comment ref="C845" authorId="0" shapeId="0" xr:uid="{B79FF0A2-58FE-43F2-8B7A-84DD57C72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845" authorId="0" shapeId="0" xr:uid="{4D4D6DE4-F89C-4957-97AE-862383DB5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5" authorId="0" shapeId="0" xr:uid="{6231CE58-0BFF-4CF6-AB37-D3DDA0F3E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846" authorId="0" shapeId="0" xr:uid="{266BA9E1-5FA3-4FE6-91B7-751B9FFF4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O846" authorId="0" shapeId="0" xr:uid="{2D13C583-F0C0-444B-83E1-C3F9E69F5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6" authorId="0" shapeId="0" xr:uid="{C1D63E68-97EF-4724-80C6-F7C501004B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C847" authorId="0" shapeId="0" xr:uid="{F85454DB-5560-47AE-9FD2-FE3C710B0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47" authorId="0" shapeId="0" xr:uid="{02E60EEF-40C5-4CF7-B4D4-D5B3BD37E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 TIM STORE
TALINGA, BACUNGAN</t>
        </r>
      </text>
    </comment>
    <comment ref="AA847" authorId="0" shapeId="0" xr:uid="{9E29B068-15DA-4711-A7F7-5BB84C786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APDUHAN
CANAWAN, SALUG</t>
        </r>
      </text>
    </comment>
    <comment ref="C848" authorId="0" shapeId="0" xr:uid="{1D89861C-0074-4172-A11D-081FBFB2A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848" authorId="0" shapeId="0" xr:uid="{2222B8AD-1678-4B00-98CB-E52D5AA92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STORE
MANDIH, SINDANGAN</t>
        </r>
      </text>
    </comment>
    <comment ref="C849" authorId="0" shapeId="0" xr:uid="{6344B6C9-180A-468E-832B-A2387A19C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49" authorId="0" shapeId="0" xr:uid="{71E33BAE-B902-407A-8F00-F67791D5B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CATUBAG STORE
GOLEO, SINDANGAN</t>
        </r>
      </text>
    </comment>
    <comment ref="C850" authorId="0" shapeId="0" xr:uid="{97A39082-EA4C-481A-BE01-5461DB9C01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850" authorId="0" shapeId="0" xr:uid="{44C9E532-CD57-4F42-B6E3-F8E74D3AA2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851" authorId="0" shapeId="0" xr:uid="{C3A19C08-CAEB-43AA-ABA8-665ACED0DE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O851" authorId="0" shapeId="0" xr:uid="{6BCB40AC-2744-42BD-BF5E-F9AE9555B3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CAMELLA STORE
GOLEO, SINDANGAN</t>
        </r>
      </text>
    </comment>
    <comment ref="C852" authorId="0" shapeId="0" xr:uid="{0E24B4BE-7315-44F4-BE48-AA91EA631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JANYNA STORE
POB, SINDANGAN</t>
        </r>
      </text>
    </comment>
    <comment ref="C853" authorId="0" shapeId="0" xr:uid="{02FF656F-F683-4AEF-952F-3049E02CD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854" authorId="0" shapeId="0" xr:uid="{B46DC9D7-A2E9-495A-A5E5-339E26A910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855" authorId="0" shapeId="0" xr:uid="{B85CAE68-E999-40F1-A93C-B8CBF604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856" authorId="0" shapeId="0" xr:uid="{A172A443-1E4D-4AD2-8E00-DB097503A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
LAGAG, SINDANGAN</t>
        </r>
      </text>
    </comment>
    <comment ref="C857" authorId="0" shapeId="0" xr:uid="{2DEC2E60-EDE9-49F6-8F8C-91E24AF74A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858" authorId="0" shapeId="0" xr:uid="{DEA4AC27-6E67-4E1D-8035-1D7A95432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859" authorId="0" shapeId="0" xr:uid="{BE6F13CA-C01B-4224-89C6-D35D1C8AB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860" authorId="0" shapeId="0" xr:uid="{A0039253-A798-4B2B-9A8D-5F8C4C17E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892" authorId="0" shapeId="0" xr:uid="{F06A12B3-1974-415B-803E-8F33841FF6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O892" authorId="0" shapeId="0" xr:uid="{E64F1F54-57DA-41FB-BC06-442C1ADE5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BARRIENTOS
MAWAL, BACUNGAN</t>
        </r>
      </text>
    </comment>
    <comment ref="AA892" authorId="0" shapeId="0" xr:uid="{13CD2EEC-9EC8-4F9E-8B26-AE16BCBA8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MANAWAN, SALUG</t>
        </r>
      </text>
    </comment>
    <comment ref="C893" authorId="0" shapeId="0" xr:uid="{3A76394F-595F-4B08-88E1-588126043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893" authorId="0" shapeId="0" xr:uid="{9CF49EA7-E737-4CDA-8541-ABDE4C6D5F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BAGUIOSO STORE
BACUNGAN</t>
        </r>
      </text>
    </comment>
    <comment ref="AA893" authorId="0" shapeId="0" xr:uid="{82525B37-64F5-444B-AC54-25CC7697A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STORE
BAYBAY, LILOY</t>
        </r>
      </text>
    </comment>
    <comment ref="C894" authorId="0" shapeId="0" xr:uid="{25572224-2843-4682-A2CC-599C7D6EF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
DENOYAN, SIAYAN</t>
        </r>
      </text>
    </comment>
    <comment ref="O894" authorId="0" shapeId="0" xr:uid="{97988E99-843C-48A9-98EE-36705C391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AA894" authorId="0" shapeId="0" xr:uid="{2D98DDA8-DA95-4312-80DB-A5B00845A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95" authorId="0" shapeId="0" xr:uid="{321CE0F7-2BD9-47CD-80A4-1E28CE7DC3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O895" authorId="0" shapeId="0" xr:uid="{1EC5619A-5F11-446C-9CD0-834ECB10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895" authorId="0" shapeId="0" xr:uid="{0396E499-8A66-45BD-B4A8-FAD371A63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96" authorId="0" shapeId="0" xr:uid="{D6E8D9E5-5E47-45BB-8061-161806745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PAULIBYAN
DENOYAN, SIAYAN</t>
        </r>
      </text>
    </comment>
    <comment ref="O896" authorId="0" shapeId="0" xr:uid="{30314E12-7F9C-47B4-82A7-C48CC642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 BASIA
TALINGA, BACUNGAN</t>
        </r>
      </text>
    </comment>
    <comment ref="AA896" authorId="0" shapeId="0" xr:uid="{AB6BA77E-5487-4E18-9F59-C220DF0EF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LAMAO, LILOY</t>
        </r>
      </text>
    </comment>
    <comment ref="C897" authorId="0" shapeId="0" xr:uid="{332A7BC9-24CC-4DF0-8FD4-85157A0F4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897" authorId="0" shapeId="0" xr:uid="{AE4276EE-FBB9-4DD8-B4CC-5A1B2F4478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897" authorId="0" shapeId="0" xr:uid="{1759F3EC-C6A5-4201-9C10-3E4A1B89E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RESSAN VIP
BAYBAY, LILOY</t>
        </r>
      </text>
    </comment>
    <comment ref="C898" authorId="0" shapeId="0" xr:uid="{C6AC75D3-1588-4BF9-BF6D-5DC90242FC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898" authorId="0" shapeId="0" xr:uid="{85E64070-2C55-4A20-8375-ED791EB02F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
TALINGA, BACUNGAN</t>
        </r>
      </text>
    </comment>
    <comment ref="AA898" authorId="0" shapeId="0" xr:uid="{AFD2E581-C0C7-486E-8975-8D90A212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9" authorId="0" shapeId="0" xr:uid="{ED017854-DCF6-4780-B7EB-7B17B1F10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899" authorId="0" shapeId="0" xr:uid="{922794BF-DBE1-4622-983E-5CFC365D3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AA899" authorId="0" shapeId="0" xr:uid="{A28BA717-767C-4262-A5D9-FEA416D84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900" authorId="0" shapeId="0" xr:uid="{9B7ADEED-D307-41AE-916F-506F15DE34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O900" authorId="0" shapeId="0" xr:uid="{945FAC54-C341-474B-B4EC-AA52F7B39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901" authorId="0" shapeId="0" xr:uid="{D632D381-724E-4CCD-8F97-8BDF50327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01" authorId="0" shapeId="0" xr:uid="{6D03D3D8-5454-4F7F-8DF6-E57D34183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902" authorId="0" shapeId="0" xr:uid="{CC8624D6-C25E-4673-A385-01437A959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O902" authorId="0" shapeId="0" xr:uid="{DE3AF23C-2DB8-4E25-8A75-98070BC40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C903" authorId="0" shapeId="0" xr:uid="{1B9BED9D-84EF-4787-B793-3F6DBF3DB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903" authorId="0" shapeId="0" xr:uid="{DD00CA45-BE98-455D-A712-58C5EE4FBE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
MARAS, SINDANGAN</t>
        </r>
      </text>
    </comment>
    <comment ref="C904" authorId="0" shapeId="0" xr:uid="{32E0CD44-EAD2-47E9-8648-D4CFFB9F3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04" authorId="0" shapeId="0" xr:uid="{4F5079B1-988C-45A6-BA34-2AE9BA7D7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VILLARMINO
POB, BACUNGAN</t>
        </r>
      </text>
    </comment>
    <comment ref="C905" authorId="0" shapeId="0" xr:uid="{3E86534E-B772-4A9A-8DB6-8818DF035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906" authorId="0" shapeId="0" xr:uid="{B4C7B1BC-B507-4DBB-9086-6315B8CC1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SENYA
PIAO, SINDANGAN</t>
        </r>
      </text>
    </comment>
    <comment ref="AA947" authorId="0" shapeId="0" xr:uid="{83C19E51-5568-4B6B-A026-D2944BF5E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
POB, SALUG</t>
        </r>
      </text>
    </comment>
    <comment ref="AA948" authorId="0" shapeId="0" xr:uid="{633E6613-F938-402B-A932-806D30AA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SAPIHI
POB, SALUG</t>
        </r>
      </text>
    </comment>
    <comment ref="AA949" authorId="0" shapeId="0" xr:uid="{DDD7302E-3E3A-408B-B82B-B6DB2F324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950" authorId="0" shapeId="0" xr:uid="{7CCAE769-F305-4722-87A0-009F211F5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951" authorId="0" shapeId="0" xr:uid="{AE3C7113-D613-4106-B601-14DABD37B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JINKY
POB, SALUG</t>
        </r>
      </text>
    </comment>
    <comment ref="AA952" authorId="0" shapeId="0" xr:uid="{7FC35017-6087-4153-99A5-7D9CAE84DD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AA953" authorId="0" shapeId="0" xr:uid="{5FBB44F8-9388-4601-B9A0-723FC25A5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TEQUIL BACILLA
CANAWAN, SALUG</t>
        </r>
      </text>
    </comment>
    <comment ref="AA954" authorId="0" shapeId="0" xr:uid="{6A757742-0163-47E1-99E8-50EABE228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COCKPIT
POB, SALUG</t>
        </r>
      </text>
    </comment>
    <comment ref="AA955" authorId="0" shapeId="0" xr:uid="{8EEBD5EE-7E5A-4068-A183-AB4F4199F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AA956" authorId="0" shapeId="0" xr:uid="{DC63C3C1-9FBA-4051-8621-26E04B316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BACONG, SALUG</t>
        </r>
      </text>
    </comment>
    <comment ref="AA957" authorId="0" shapeId="0" xr:uid="{25C8090E-0C79-4C3B-AB38-9529E42D7B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DINOPOL, ROLANDO
IPILAN, SALUG</t>
        </r>
      </text>
    </comment>
    <comment ref="C1002" authorId="0" shapeId="0" xr:uid="{7F4648F2-60E2-49A0-9652-4679F3727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1002" authorId="0" shapeId="0" xr:uid="{9A9879D5-C7FE-4F76-ADF0-682770073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002" authorId="0" shapeId="0" xr:uid="{B3FC90B5-FEB6-405C-8074-68CE7AA2E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003" authorId="0" shapeId="0" xr:uid="{FB14525A-4A1F-4870-B767-FB02C8B11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 STORE
GUNYAN, SIAYAN</t>
        </r>
      </text>
    </comment>
    <comment ref="O1003" authorId="0" shapeId="0" xr:uid="{ACD04463-34B1-475E-90F6-BBA703C81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003" authorId="0" shapeId="0" xr:uid="{6CB63EBC-7204-4B9F-9A0D-0373FB101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GIBANG-GIBANG
KAYOK, LILOY</t>
        </r>
      </text>
    </comment>
    <comment ref="C1004" authorId="0" shapeId="0" xr:uid="{EFEF7404-F9FD-41A6-88FA-EA967EC3D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VALENTINA ESTRELLA
MUÑOZ, SIAYAN</t>
        </r>
      </text>
    </comment>
    <comment ref="O1004" authorId="0" shapeId="0" xr:uid="{84EEFCAD-F9C2-4E87-822C-1A920B838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INUMAN, SINDANGAN</t>
        </r>
      </text>
    </comment>
    <comment ref="AA1004" authorId="0" shapeId="0" xr:uid="{C162668A-3175-4E6A-9526-F7152F930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
BAYBAY, LILOY</t>
        </r>
      </text>
    </comment>
    <comment ref="C1005" authorId="0" shapeId="0" xr:uid="{2A85881C-5B31-4A8D-9E3F-A804B7772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PANDIG STORE
MUÑOZ, SIAYAN</t>
        </r>
      </text>
    </comment>
    <comment ref="O1005" authorId="0" shapeId="0" xr:uid="{A4E6531B-3A41-466D-BEF0-EC3A56733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INUMAN, SINDANGAN</t>
        </r>
      </text>
    </comment>
    <comment ref="AA1005" authorId="0" shapeId="0" xr:uid="{5938A9C7-0E30-44A4-9055-95CBB49F6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
BAYBAY, LILOY</t>
        </r>
      </text>
    </comment>
    <comment ref="C1006" authorId="0" shapeId="0" xr:uid="{B4ED82E7-1884-45BE-A491-DCF6F1122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1006" authorId="0" shapeId="0" xr:uid="{176F5B4A-D014-4451-A735-C38A816CF9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INUMAN, SINDANGAN</t>
        </r>
      </text>
    </comment>
    <comment ref="AA1006" authorId="0" shapeId="0" xr:uid="{218A5DDE-61C2-428F-9670-2BB7A6171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
VILLA CALIXTO, LILOY</t>
        </r>
      </text>
    </comment>
    <comment ref="C1007" authorId="0" shapeId="0" xr:uid="{C61B26FA-563B-4BE7-9B01-2AAC4173C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7" authorId="0" shapeId="0" xr:uid="{17964A58-55FF-4AF9-A5B0-5659D3C26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SINDANGAN</t>
        </r>
      </text>
    </comment>
    <comment ref="AA1007" authorId="0" shapeId="0" xr:uid="{8F5F88B2-7496-4F77-A890-5F9BA0012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VILLA SUICIDAL, LILOY</t>
        </r>
      </text>
    </comment>
    <comment ref="C1008" authorId="0" shapeId="0" xr:uid="{92CF466A-F6C1-47D5-87FD-ECA17FD1D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8" authorId="0" shapeId="0" xr:uid="{3AF68031-87BB-4835-8149-82BC989E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MONDIDO STORE
TALINGA, SINDANGAN</t>
        </r>
      </text>
    </comment>
    <comment ref="AA1008" authorId="0" shapeId="0" xr:uid="{C13671F8-D83F-4B51-9D09-AC1DFF611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JAIME EATERY
BAYBAY, LILOY</t>
        </r>
      </text>
    </comment>
    <comment ref="O1009" authorId="0" shapeId="0" xr:uid="{2978C2B4-43AA-4786-9D39-B02117A83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ACULBI STORE
TALINGA, BACUNGAN</t>
        </r>
      </text>
    </comment>
    <comment ref="O1010" authorId="0" shapeId="0" xr:uid="{6D683F2C-485E-4914-A563-C0EC5ADE8B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VAR. STORE
INUMAN, SINDANGAN</t>
        </r>
      </text>
    </comment>
    <comment ref="O1011" authorId="0" shapeId="0" xr:uid="{A6D55759-7281-41D0-B3F1-354ECCE90D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STORE
INUMAN, SINDANGAN</t>
        </r>
      </text>
    </comment>
    <comment ref="O1012" authorId="0" shapeId="0" xr:uid="{DBA9075B-BCC8-4CBA-9E93-B441CF3BED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MANDIH, SINDANGAN</t>
        </r>
      </text>
    </comment>
    <comment ref="C1057" authorId="0" shapeId="0" xr:uid="{48165925-5EFD-4B1E-9617-F2503ADDE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57" authorId="0" shapeId="0" xr:uid="{295D772D-8726-44A8-80BE-83C85BF0D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NALEVA
POB, BACUNGAN</t>
        </r>
      </text>
    </comment>
    <comment ref="AA1057" authorId="0" shapeId="0" xr:uid="{4026BBD9-2232-46B5-A4E4-B46EF041B0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058" authorId="0" shapeId="0" xr:uid="{FB4F81EA-46DD-4647-B670-DA98EB9B4B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DAPAON, SINDANGAN</t>
        </r>
      </text>
    </comment>
    <comment ref="O1058" authorId="0" shapeId="0" xr:uid="{ED926495-8E1C-4E1E-992D-1286FCBC7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
MANIL, BACUNGAN</t>
        </r>
      </text>
    </comment>
    <comment ref="AA1058" authorId="0" shapeId="0" xr:uid="{33224F8C-5C1C-4B47-9EAA-E6A9EF403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059" authorId="0" shapeId="0" xr:uid="{13C85451-FF4F-4479-BB19-E7393A4D4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59" authorId="0" shapeId="0" xr:uid="{A40349E0-8DB2-469D-A52A-0A31DECEC9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
MANIL, BACUNGAN</t>
        </r>
      </text>
    </comment>
    <comment ref="AA1059" authorId="0" shapeId="0" xr:uid="{C700D6E3-E84B-47C5-BA2B-7FB81D98F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60" authorId="0" shapeId="0" xr:uid="{503FDD09-B5D2-40B6-922B-77D8E85CB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60" authorId="0" shapeId="0" xr:uid="{C4CCEFEC-C1BB-4E37-87B2-0D049E306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C1061" authorId="0" shapeId="0" xr:uid="{0118401A-15E4-4386-9742-CB87F964E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61" authorId="0" shapeId="0" xr:uid="{39744697-2E4C-4EEF-B88D-32A062727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C1062" authorId="0" shapeId="0" xr:uid="{0029908C-AED3-4B07-9F45-C65B2B6DB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62" authorId="0" shapeId="0" xr:uid="{D2B69BCD-909E-48A3-B4B0-59DD01361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1063" authorId="0" shapeId="0" xr:uid="{C5B2E80D-0C7D-477C-B9FD-EFC0E984C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063" authorId="0" shapeId="0" xr:uid="{5BF9FFDC-018C-4E4D-A5C7-3B2594DF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STORE
BOGABONGAN, BACUNGAN</t>
        </r>
      </text>
    </comment>
    <comment ref="C1064" authorId="0" shapeId="0" xr:uid="{823150C9-56F8-4DC2-998B-88BF04C08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064" authorId="0" shapeId="0" xr:uid="{90E071CC-2564-4409-A248-EBB1F4B6B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C1065" authorId="0" shapeId="0" xr:uid="{0D584C9A-579D-430F-85F6-7EB51C75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
POB, SINDANGAN</t>
        </r>
      </text>
    </comment>
    <comment ref="O1065" authorId="0" shapeId="0" xr:uid="{E3376445-34B5-4A05-BCD2-C1B019A3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JEFORD JAMEO
PALANDOK, BACUNGAN</t>
        </r>
      </text>
    </comment>
    <comment ref="C1066" authorId="0" shapeId="0" xr:uid="{006EE9DD-177F-4AEE-80FB-DAE34DDEC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O1066" authorId="0" shapeId="0" xr:uid="{9CFE2E0E-F84B-4597-ACD4-7755727D2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MAGSAYSAY, SALUG</t>
        </r>
      </text>
    </comment>
    <comment ref="C1067" authorId="0" shapeId="0" xr:uid="{614B6288-5166-4047-A8CA-FE8C15AC2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067" authorId="0" shapeId="0" xr:uid="{72F66EBD-3530-497E-8AE4-C7AAFA62C6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STORE
RM, SALUG</t>
        </r>
      </text>
    </comment>
    <comment ref="C1068" authorId="0" shapeId="0" xr:uid="{59387199-0919-4C36-A662-8F377C401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
DAPAON, SINDANGAN</t>
        </r>
      </text>
    </comment>
    <comment ref="O1068" authorId="0" shapeId="0" xr:uid="{FAB61886-08AC-464B-93A0-EAA7016C8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STORE
RM, SALUG</t>
        </r>
      </text>
    </comment>
    <comment ref="O1069" authorId="0" shapeId="0" xr:uid="{2769B180-6E8E-4ECC-9FAF-7D68E217B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070" authorId="0" shapeId="0" xr:uid="{3C2DE2FE-83B0-4D8C-A46E-8B267E254A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MANIL, BACUNGAN</t>
        </r>
      </text>
    </comment>
    <comment ref="O1071" authorId="0" shapeId="0" xr:uid="{5E71D7EE-344A-45EE-AD91-2D2FAF3A5C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RAFOLS
BOGABONGAN, BACUNGAN</t>
        </r>
      </text>
    </comment>
    <comment ref="O1072" authorId="0" shapeId="0" xr:uid="{AFDE7B85-69C7-43EA-8495-CFCE79E38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O1073" authorId="0" shapeId="0" xr:uid="{FB888EA6-194D-49AF-B376-E8A5AB06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
POB, BACUNGAN</t>
        </r>
      </text>
    </comment>
    <comment ref="C1112" authorId="0" shapeId="0" xr:uid="{921843D2-9FC4-4375-971E-DF7CBEAC2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O1112" authorId="0" shapeId="0" xr:uid="{7C34AEB1-763A-4DB6-ADF1-A8B537D9C9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112" authorId="0" shapeId="0" xr:uid="{2BAA6487-CD71-4EB1-AB0F-76EA758155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113" authorId="0" shapeId="0" xr:uid="{89F921D9-5A34-46B0-98B1-BE65DBA7D0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O1113" authorId="0" shapeId="0" xr:uid="{AAFDA351-543F-4D4A-9FA7-486ABE128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STORE
INUMAN, SINDANGAN</t>
        </r>
      </text>
    </comment>
    <comment ref="AA1113" authorId="0" shapeId="0" xr:uid="{A1429FC3-CC1F-4F2C-8855-CB28AA935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BA5EB4C-3C19-49D4-8579-24C001278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O1114" authorId="0" shapeId="0" xr:uid="{A277BCB5-B26F-48AB-A18B-DDCC7CCBCB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
INUMAN, SINDANGAN</t>
        </r>
      </text>
    </comment>
    <comment ref="AA1114" authorId="0" shapeId="0" xr:uid="{98158AFB-4A10-4785-826E-22E344A850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5" authorId="0" shapeId="0" xr:uid="{EDBE11BE-D2CE-492B-816B-F282E6202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O1115" authorId="0" shapeId="0" xr:uid="{6D7070F4-7510-4C70-B261-4FC8E46E2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ABYGAIL
INUMAN, SINDANGAN</t>
        </r>
      </text>
    </comment>
    <comment ref="AA1115" authorId="0" shapeId="0" xr:uid="{1D8E35CC-75DE-4DF6-8DF7-CCF184870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1116" authorId="0" shapeId="0" xr:uid="{823B157F-7662-4A05-A0E8-A6244DDD0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VAR. STORE
DENOYAN, SIAYAN</t>
        </r>
      </text>
    </comment>
    <comment ref="O1116" authorId="0" shapeId="0" xr:uid="{D00F3A28-886D-45BF-9D96-C6481D995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117" authorId="0" shapeId="0" xr:uid="{5DC3D7A3-21A3-472C-8925-7EC01BD4D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1118" authorId="0" shapeId="0" xr:uid="{F68B2637-8931-464F-9342-0EEBCAD5E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C1119" authorId="0" shapeId="0" xr:uid="{15C0C88E-9180-4D21-B314-7FB9C94DF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1120" authorId="0" shapeId="0" xr:uid="{BDB8382A-9EE8-401B-8376-B752C280C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121" authorId="0" shapeId="0" xr:uid="{EB994B57-A4AE-4F9C-BE4F-1EB30A0C9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MAGWATI
LAGAG, SINDANGAN</t>
        </r>
      </text>
    </comment>
    <comment ref="C1122" authorId="0" shapeId="0" xr:uid="{09AC0588-B9F5-48D5-A8F5-717C6575F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123" authorId="0" shapeId="0" xr:uid="{3750E4B0-CCC6-4C18-8D38-B2413CDF4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</commentList>
</comments>
</file>

<file path=xl/sharedStrings.xml><?xml version="1.0" encoding="utf-8"?>
<sst xmlns="http://schemas.openxmlformats.org/spreadsheetml/2006/main" count="1439" uniqueCount="99">
  <si>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</si>
  <si>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</si>
  <si>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</si>
  <si>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</si>
  <si>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</si>
  <si>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</si>
  <si>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</si>
  <si>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</si>
  <si>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</si>
  <si>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</si>
  <si>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</si>
  <si>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</si>
  <si>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</si>
  <si>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</si>
  <si>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</si>
  <si>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</si>
  <si>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</si>
  <si>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</si>
  <si>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</si>
  <si>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</si>
  <si>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</si>
  <si>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</si>
  <si>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</si>
  <si>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</si>
  <si>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</si>
  <si>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</si>
  <si>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</si>
  <si>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</si>
  <si>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</si>
  <si>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</si>
  <si>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</si>
  <si>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</si>
  <si>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</si>
  <si>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TOPEZ, FERMIN</t>
  </si>
  <si>
    <t>DANDAYO, RONNEL</t>
  </si>
  <si>
    <t>PROMO</t>
  </si>
  <si>
    <t>PORMENTO, ESTEMARK</t>
  </si>
  <si>
    <t>OCTOBER 02, 2025</t>
  </si>
  <si>
    <t>THURSDAY</t>
  </si>
  <si>
    <t>FRIDAY</t>
  </si>
  <si>
    <t>OCTOBER 03, 2025</t>
  </si>
  <si>
    <t>OCTOBER 2025</t>
  </si>
  <si>
    <t>NO TRIP</t>
  </si>
  <si>
    <t>6179-6193/6229-6230/6077-6081</t>
  </si>
  <si>
    <t>6231-6237/6082-6086</t>
  </si>
  <si>
    <t>SATURDAY</t>
  </si>
  <si>
    <t>OCTOBER 04, 2025</t>
  </si>
  <si>
    <t>MONDAY</t>
  </si>
  <si>
    <t>OCTOBER 06, 2025</t>
  </si>
  <si>
    <t>6194-6200,6301-6310/6251-6266/5839-5844</t>
  </si>
  <si>
    <t>TUESDAY</t>
  </si>
  <si>
    <t>OCTOBER 07, 2025</t>
  </si>
  <si>
    <t>WEDNESDAY</t>
  </si>
  <si>
    <t>OCTOBER 08, 2025</t>
  </si>
  <si>
    <t>OCTOBER 09, 2025</t>
  </si>
  <si>
    <t>6311-6339/6087-6089</t>
  </si>
  <si>
    <t>5845-5848,6090-6100</t>
  </si>
  <si>
    <t>6340-6343/6268,6344/5849-5850,6351-6364</t>
  </si>
  <si>
    <t>OCTOBER 10, 2025</t>
  </si>
  <si>
    <t>6269-6293/6365-6367</t>
  </si>
  <si>
    <t>OCTOBER 11, 2025</t>
  </si>
  <si>
    <t>6451-6466/6294-6299,6245/6368-6370</t>
  </si>
  <si>
    <t>OCTOBER 13, 2025</t>
  </si>
  <si>
    <t>10/13/2025</t>
  </si>
  <si>
    <t>6345-6350,6467-6480,5094/6246-6250,6300,6401/6371-6375</t>
  </si>
  <si>
    <t>OCTOBER 14, 2025</t>
  </si>
  <si>
    <t>10/14/2025</t>
  </si>
  <si>
    <t>6481-6494/6402-6421/6376-6381</t>
  </si>
  <si>
    <t>OCTOBER 15, 2025</t>
  </si>
  <si>
    <t>10/15/2025</t>
  </si>
  <si>
    <t>6238-6244/5838-5839</t>
  </si>
  <si>
    <t>6495-6496</t>
  </si>
  <si>
    <t>OCTOBER 16, 2025</t>
  </si>
  <si>
    <t>10/16/2025</t>
  </si>
  <si>
    <t>6423-6432/6382-6383/</t>
  </si>
  <si>
    <t>OCTOBER 17, 2025</t>
  </si>
  <si>
    <t>10/17/2025</t>
  </si>
  <si>
    <t>6497-6520/6433-6436/6384-6386</t>
  </si>
  <si>
    <t>OCTOBER 18, 2025</t>
  </si>
  <si>
    <t>10/18/2025</t>
  </si>
  <si>
    <t>6521-6537/6601-6618/6387-6388</t>
  </si>
  <si>
    <t>OCTOBER 20, 2025</t>
  </si>
  <si>
    <t>10/20/2025</t>
  </si>
  <si>
    <t>5097,6538-6560/6619-6633/6389-6399</t>
  </si>
  <si>
    <t>OCTOBER 21, 2025</t>
  </si>
  <si>
    <t>10/21/2025</t>
  </si>
  <si>
    <t>OCTOBER 22, 2025</t>
  </si>
  <si>
    <t>10/22/2025</t>
  </si>
  <si>
    <t>OCTOBER 23, 2025</t>
  </si>
  <si>
    <t>10/23/2025</t>
  </si>
  <si>
    <t>5098,6561-6574/6634-6646/6400,6701-6707</t>
  </si>
  <si>
    <t>/6708-6718/</t>
  </si>
  <si>
    <t>6575-6581/6647-6650,6751-6757/6719-6725</t>
  </si>
  <si>
    <t>OCTOBER 24, 2025</t>
  </si>
  <si>
    <t>10/24/2025</t>
  </si>
  <si>
    <t>6582-6593/6758-6774/6726-6728</t>
  </si>
  <si>
    <t>OCTOBER 25, 2025</t>
  </si>
  <si>
    <t>10/25/2025</t>
  </si>
  <si>
    <t>6594-6599,6600,6651-6655/6775-6779/6729-6732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</si>
</sst>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7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4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35" sqref="F35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6" t="s">
        <v>41</v>
      </c>
      <c r="B6" s="116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44" t="s">
        <v>42</v>
      </c>
      <c r="D10" s="55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1" t="s">
        <v>31</v>
      </c>
      <c r="C11" s="12" t="s">
        <v>43</v>
      </c>
      <c r="D11" s="16">
        <f t="shared" ref="D11:D38" si="1">J11</f>
        <v>891925</v>
      </c>
      <c r="F11" s="14">
        <v>377204</v>
      </c>
      <c r="G11" s="14">
        <v>144162</v>
      </c>
      <c r="H11" s="14">
        <v>370559</v>
      </c>
      <c r="I11" s="14"/>
      <c r="J11" s="17">
        <f t="shared" si="0"/>
        <v>891925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44</v>
      </c>
      <c r="D12" s="16">
        <f t="shared" si="1"/>
        <v>815796</v>
      </c>
      <c r="F12" s="14"/>
      <c r="G12" s="14">
        <v>388408</v>
      </c>
      <c r="H12" s="14">
        <v>427388</v>
      </c>
      <c r="I12" s="14"/>
      <c r="J12" s="17">
        <f t="shared" si="0"/>
        <v>815796</v>
      </c>
    </row>
    <row r="13" spans="1:10" x14ac:dyDescent="0.25">
      <c r="A13" s="10">
        <f t="shared" si="2"/>
        <v>4</v>
      </c>
      <c r="B13" s="56" t="s">
        <v>5</v>
      </c>
      <c r="C13" s="12" t="s">
        <v>70</v>
      </c>
      <c r="D13" s="16">
        <f t="shared" si="1"/>
        <v>921885</v>
      </c>
      <c r="F13" s="14">
        <v>482980</v>
      </c>
      <c r="G13" s="14"/>
      <c r="H13" s="14">
        <v>438905</v>
      </c>
      <c r="I13" s="14"/>
      <c r="J13" s="17">
        <f t="shared" si="0"/>
        <v>921885</v>
      </c>
    </row>
    <row r="14" spans="1:10" x14ac:dyDescent="0.25">
      <c r="A14" s="10">
        <f t="shared" si="2"/>
        <v>5</v>
      </c>
      <c r="B14" s="13" t="s">
        <v>6</v>
      </c>
      <c r="C14" s="44" t="s">
        <v>30</v>
      </c>
      <c r="D14" s="55" t="s">
        <v>30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49</v>
      </c>
      <c r="D15" s="16">
        <f t="shared" si="1"/>
        <v>557045</v>
      </c>
      <c r="F15" s="14">
        <v>190613</v>
      </c>
      <c r="G15" s="14">
        <v>188511.5</v>
      </c>
      <c r="H15" s="14">
        <v>177920.5</v>
      </c>
      <c r="I15" s="14"/>
      <c r="J15" s="17">
        <f t="shared" si="0"/>
        <v>557045</v>
      </c>
    </row>
    <row r="16" spans="1:10" x14ac:dyDescent="0.25">
      <c r="A16" s="10">
        <f t="shared" si="2"/>
        <v>7</v>
      </c>
      <c r="B16" s="43" t="s">
        <v>8</v>
      </c>
      <c r="C16" s="12" t="s">
        <v>55</v>
      </c>
      <c r="D16" s="16">
        <f t="shared" si="1"/>
        <v>502929.5</v>
      </c>
      <c r="F16" s="14">
        <v>292088.5</v>
      </c>
      <c r="G16" s="14"/>
      <c r="H16" s="14">
        <v>210841</v>
      </c>
      <c r="I16" s="14"/>
      <c r="J16" s="17">
        <f t="shared" si="0"/>
        <v>502929.5</v>
      </c>
    </row>
    <row r="17" spans="1:10" x14ac:dyDescent="0.25">
      <c r="A17" s="10">
        <f t="shared" si="2"/>
        <v>8</v>
      </c>
      <c r="B17" s="56" t="s">
        <v>9</v>
      </c>
      <c r="C17" s="12" t="s">
        <v>56</v>
      </c>
      <c r="D17" s="16">
        <f t="shared" si="1"/>
        <v>187860</v>
      </c>
      <c r="F17" s="14"/>
      <c r="G17" s="14"/>
      <c r="H17" s="14">
        <v>187860</v>
      </c>
      <c r="I17" s="14"/>
      <c r="J17" s="17">
        <f t="shared" si="0"/>
        <v>187860</v>
      </c>
    </row>
    <row r="18" spans="1:10" x14ac:dyDescent="0.25">
      <c r="A18" s="10">
        <f t="shared" si="2"/>
        <v>9</v>
      </c>
      <c r="B18" s="11" t="s">
        <v>31</v>
      </c>
      <c r="C18" s="12" t="s">
        <v>57</v>
      </c>
      <c r="D18" s="16">
        <f t="shared" si="1"/>
        <v>532962</v>
      </c>
      <c r="F18" s="14">
        <v>126850</v>
      </c>
      <c r="G18" s="14">
        <v>240530</v>
      </c>
      <c r="H18" s="14">
        <v>165582</v>
      </c>
      <c r="I18" s="14"/>
      <c r="J18" s="17">
        <f t="shared" si="0"/>
        <v>532962</v>
      </c>
    </row>
    <row r="19" spans="1:10" x14ac:dyDescent="0.25">
      <c r="A19" s="10">
        <f t="shared" si="2"/>
        <v>10</v>
      </c>
      <c r="B19" s="43" t="s">
        <v>4</v>
      </c>
      <c r="C19" s="12" t="s">
        <v>59</v>
      </c>
      <c r="D19" s="16">
        <f t="shared" si="1"/>
        <v>485939</v>
      </c>
      <c r="F19" s="14"/>
      <c r="G19" s="14">
        <v>317067</v>
      </c>
      <c r="H19" s="14">
        <v>168872</v>
      </c>
      <c r="I19" s="14"/>
      <c r="J19" s="17">
        <f t="shared" si="0"/>
        <v>485939</v>
      </c>
    </row>
    <row r="20" spans="1:10" x14ac:dyDescent="0.25">
      <c r="A20" s="10">
        <f t="shared" si="2"/>
        <v>11</v>
      </c>
      <c r="B20" s="56" t="s">
        <v>5</v>
      </c>
      <c r="C20" s="12" t="s">
        <v>61</v>
      </c>
      <c r="D20" s="16">
        <f t="shared" si="1"/>
        <v>833508.5</v>
      </c>
      <c r="F20" s="14">
        <v>376468</v>
      </c>
      <c r="G20" s="14">
        <v>214875</v>
      </c>
      <c r="H20" s="14">
        <v>242165.5</v>
      </c>
      <c r="I20" s="14"/>
      <c r="J20" s="17">
        <f t="shared" si="0"/>
        <v>833508.5</v>
      </c>
    </row>
    <row r="21" spans="1:10" x14ac:dyDescent="0.25">
      <c r="A21" s="10">
        <f t="shared" si="2"/>
        <v>12</v>
      </c>
      <c r="B21" s="13" t="s">
        <v>6</v>
      </c>
      <c r="C21" s="44" t="s">
        <v>30</v>
      </c>
      <c r="D21" s="55" t="s">
        <v>30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64</v>
      </c>
      <c r="D22" s="16">
        <f t="shared" si="1"/>
        <v>625584</v>
      </c>
      <c r="F22" s="14">
        <v>138199</v>
      </c>
      <c r="G22" s="14">
        <v>118499</v>
      </c>
      <c r="H22" s="14">
        <v>368886</v>
      </c>
      <c r="I22" s="14"/>
      <c r="J22" s="17">
        <f t="shared" si="0"/>
        <v>625584</v>
      </c>
    </row>
    <row r="23" spans="1:10" x14ac:dyDescent="0.25">
      <c r="A23" s="10">
        <f t="shared" si="2"/>
        <v>14</v>
      </c>
      <c r="B23" s="43" t="s">
        <v>8</v>
      </c>
      <c r="C23" s="12" t="s">
        <v>67</v>
      </c>
      <c r="D23" s="16">
        <f t="shared" si="1"/>
        <v>289011</v>
      </c>
      <c r="F23" s="14">
        <v>86892</v>
      </c>
      <c r="G23" s="14">
        <v>73802.5</v>
      </c>
      <c r="H23" s="14">
        <v>128316.5</v>
      </c>
      <c r="I23" s="14"/>
      <c r="J23" s="17">
        <f t="shared" si="0"/>
        <v>289011</v>
      </c>
    </row>
    <row r="24" spans="1:10" x14ac:dyDescent="0.25">
      <c r="A24" s="10">
        <f t="shared" si="2"/>
        <v>15</v>
      </c>
      <c r="B24" s="56" t="s">
        <v>9</v>
      </c>
      <c r="C24" s="12" t="s">
        <v>71</v>
      </c>
      <c r="D24" s="16">
        <f t="shared" si="1"/>
        <v>344375</v>
      </c>
      <c r="F24" s="14">
        <v>344375</v>
      </c>
      <c r="G24" s="14"/>
      <c r="H24" s="14"/>
      <c r="I24" s="14"/>
      <c r="J24" s="17">
        <f t="shared" si="0"/>
        <v>344375</v>
      </c>
    </row>
    <row r="25" spans="1:10" x14ac:dyDescent="0.25">
      <c r="A25" s="10">
        <f t="shared" si="2"/>
        <v>16</v>
      </c>
      <c r="B25" s="11" t="s">
        <v>31</v>
      </c>
      <c r="C25" s="12" t="s">
        <v>74</v>
      </c>
      <c r="D25" s="16">
        <f t="shared" si="1"/>
        <v>524297</v>
      </c>
      <c r="F25" s="14"/>
      <c r="G25" s="14">
        <v>265881</v>
      </c>
      <c r="H25" s="14">
        <v>258416</v>
      </c>
      <c r="I25" s="14"/>
      <c r="J25" s="17">
        <f t="shared" si="0"/>
        <v>524297</v>
      </c>
    </row>
    <row r="26" spans="1:10" x14ac:dyDescent="0.25">
      <c r="A26" s="10">
        <f t="shared" si="2"/>
        <v>17</v>
      </c>
      <c r="B26" s="43" t="s">
        <v>4</v>
      </c>
      <c r="C26" s="12" t="s">
        <v>77</v>
      </c>
      <c r="D26" s="16">
        <f t="shared" si="1"/>
        <v>736369</v>
      </c>
      <c r="F26" s="14">
        <v>197684</v>
      </c>
      <c r="G26" s="14">
        <v>180995</v>
      </c>
      <c r="H26" s="14">
        <v>357690</v>
      </c>
      <c r="I26" s="14"/>
      <c r="J26" s="17">
        <f t="shared" si="0"/>
        <v>736369</v>
      </c>
    </row>
    <row r="27" spans="1:10" x14ac:dyDescent="0.25">
      <c r="A27" s="10">
        <f t="shared" si="2"/>
        <v>18</v>
      </c>
      <c r="B27" s="56" t="s">
        <v>5</v>
      </c>
      <c r="C27" s="12" t="s">
        <v>80</v>
      </c>
      <c r="D27" s="16">
        <f t="shared" si="1"/>
        <v>564929.5</v>
      </c>
      <c r="F27" s="14">
        <v>199645</v>
      </c>
      <c r="G27" s="14">
        <v>139577.5</v>
      </c>
      <c r="H27" s="14">
        <v>225707</v>
      </c>
      <c r="I27" s="14"/>
      <c r="J27" s="17">
        <f t="shared" si="0"/>
        <v>564929.5</v>
      </c>
    </row>
    <row r="28" spans="1:10" x14ac:dyDescent="0.25">
      <c r="A28" s="10">
        <f t="shared" si="2"/>
        <v>19</v>
      </c>
      <c r="B28" s="13" t="s">
        <v>6</v>
      </c>
      <c r="C28" s="44" t="s">
        <v>30</v>
      </c>
      <c r="D28" s="55" t="s">
        <v>30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83</v>
      </c>
      <c r="D29" s="16">
        <f t="shared" si="1"/>
        <v>473649</v>
      </c>
      <c r="F29" s="14">
        <v>142002</v>
      </c>
      <c r="G29" s="14">
        <v>159348.5</v>
      </c>
      <c r="H29" s="14">
        <v>172298.5</v>
      </c>
      <c r="I29" s="14"/>
      <c r="J29" s="17">
        <f t="shared" si="0"/>
        <v>473649</v>
      </c>
    </row>
    <row r="30" spans="1:10" x14ac:dyDescent="0.25">
      <c r="A30" s="10">
        <f t="shared" si="2"/>
        <v>21</v>
      </c>
      <c r="B30" s="43" t="s">
        <v>8</v>
      </c>
      <c r="C30" s="12" t="s">
        <v>90</v>
      </c>
      <c r="D30" s="16">
        <f t="shared" si="1"/>
        <v>340995.5</v>
      </c>
      <c r="F30" s="14">
        <v>134883</v>
      </c>
      <c r="G30" s="14">
        <v>52492.5</v>
      </c>
      <c r="H30" s="14">
        <v>153620</v>
      </c>
      <c r="I30" s="14"/>
      <c r="J30" s="17">
        <f t="shared" si="0"/>
        <v>340995.5</v>
      </c>
    </row>
    <row r="31" spans="1:10" x14ac:dyDescent="0.25">
      <c r="A31" s="10">
        <f t="shared" si="2"/>
        <v>22</v>
      </c>
      <c r="B31" s="56" t="s">
        <v>9</v>
      </c>
      <c r="C31" s="12" t="s">
        <v>91</v>
      </c>
      <c r="D31" s="16">
        <f t="shared" si="1"/>
        <v>133863</v>
      </c>
      <c r="E31" s="14"/>
      <c r="F31" s="14"/>
      <c r="G31" s="14"/>
      <c r="H31" s="14">
        <v>133863</v>
      </c>
      <c r="I31" s="14"/>
      <c r="J31" s="17">
        <f t="shared" si="0"/>
        <v>133863</v>
      </c>
    </row>
    <row r="32" spans="1:10" x14ac:dyDescent="0.25">
      <c r="A32" s="10">
        <f t="shared" si="2"/>
        <v>23</v>
      </c>
      <c r="B32" s="11" t="s">
        <v>31</v>
      </c>
      <c r="C32" s="12" t="s">
        <v>92</v>
      </c>
      <c r="D32" s="16">
        <f t="shared" si="1"/>
        <v>826861.5</v>
      </c>
      <c r="E32" s="15"/>
      <c r="F32" s="15">
        <v>554062</v>
      </c>
      <c r="G32" s="14">
        <v>164064.5</v>
      </c>
      <c r="H32" s="54">
        <v>108735</v>
      </c>
      <c r="I32" s="54"/>
      <c r="J32" s="17">
        <f t="shared" si="0"/>
        <v>826861.5</v>
      </c>
    </row>
    <row r="33" spans="1:10" x14ac:dyDescent="0.25">
      <c r="A33" s="10">
        <f t="shared" si="2"/>
        <v>24</v>
      </c>
      <c r="B33" s="43" t="s">
        <v>4</v>
      </c>
      <c r="C33" s="12" t="s">
        <v>95</v>
      </c>
      <c r="D33" s="16">
        <f t="shared" si="1"/>
        <v>682801</v>
      </c>
      <c r="E33" s="15"/>
      <c r="F33" s="15">
        <v>139495</v>
      </c>
      <c r="G33" s="14">
        <v>325227</v>
      </c>
      <c r="H33" s="14">
        <v>218079</v>
      </c>
      <c r="I33" s="14"/>
      <c r="J33" s="17">
        <f t="shared" si="0"/>
        <v>682801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si="1"/>
        <v>744565.5</v>
      </c>
      <c r="E34" s="14"/>
      <c r="F34" s="15">
        <v>233993</v>
      </c>
      <c r="G34" s="14">
        <v>154451.5</v>
      </c>
      <c r="H34" s="14">
        <v>356121</v>
      </c>
      <c r="I34" s="14"/>
      <c r="J34" s="17">
        <f t="shared" si="0"/>
        <v>744565.5</v>
      </c>
    </row>
    <row r="35" spans="1:10" x14ac:dyDescent="0.25">
      <c r="A35" s="10">
        <f t="shared" si="2"/>
        <v>26</v>
      </c>
      <c r="B35" s="13" t="s">
        <v>6</v>
      </c>
      <c r="C35" s="44" t="s">
        <v>30</v>
      </c>
      <c r="D35" s="55" t="s">
        <v>30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1"/>
        <v>0</v>
      </c>
      <c r="E36" s="14"/>
      <c r="F36" s="14"/>
      <c r="G36" s="14"/>
      <c r="H36" s="14"/>
      <c r="I36" s="14"/>
      <c r="J36" s="17">
        <f t="shared" si="0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1"/>
        <v>0</v>
      </c>
      <c r="E37" s="14"/>
      <c r="F37" s="14"/>
      <c r="G37" s="14"/>
      <c r="H37" s="14"/>
      <c r="I37" s="14"/>
      <c r="J37" s="17">
        <f t="shared" si="0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1"/>
        <v>0</v>
      </c>
      <c r="E38" s="14"/>
      <c r="F38" s="14"/>
      <c r="G38" s="14"/>
      <c r="H38" s="14"/>
      <c r="I38" s="14"/>
      <c r="J38" s="17">
        <f t="shared" si="0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ref="D39:D40" si="3">J39</f>
        <v>0</v>
      </c>
      <c r="E39" s="14"/>
      <c r="F39" s="14"/>
      <c r="G39" s="14"/>
      <c r="H39" s="14"/>
      <c r="I39" s="14"/>
      <c r="J39" s="17">
        <f t="shared" si="0"/>
        <v>0</v>
      </c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3"/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7" t="s">
        <v>10</v>
      </c>
      <c r="B42" s="118"/>
      <c r="C42" s="119"/>
      <c r="D42" s="48">
        <f>SUM(D2:D39)</f>
        <v>12017151</v>
      </c>
      <c r="J42" s="49">
        <f>SUM(J10:J41)</f>
        <v>12017151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Q1103" zoomScaleNormal="100" workbookViewId="0">
      <selection activeCell="AE1155" sqref="AE115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17</v>
      </c>
      <c r="J8" s="23" t="s">
        <v>36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17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17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4" t="s">
        <v>18</v>
      </c>
      <c r="E10" s="124"/>
      <c r="F10" s="77"/>
      <c r="G10" s="27"/>
      <c r="I10" s="122" t="s">
        <v>19</v>
      </c>
      <c r="J10" s="123"/>
      <c r="K10" s="120" t="s">
        <v>20</v>
      </c>
      <c r="N10" s="25"/>
      <c r="O10" s="26"/>
      <c r="P10" s="124" t="s">
        <v>18</v>
      </c>
      <c r="Q10" s="124"/>
      <c r="R10" s="77"/>
      <c r="S10" s="27"/>
      <c r="U10" s="122" t="s">
        <v>19</v>
      </c>
      <c r="V10" s="123"/>
      <c r="W10" s="120" t="s">
        <v>20</v>
      </c>
      <c r="Z10" s="25"/>
      <c r="AA10" s="26"/>
      <c r="AB10" s="124" t="s">
        <v>18</v>
      </c>
      <c r="AC10" s="124"/>
      <c r="AD10" s="77"/>
      <c r="AE10" s="27"/>
      <c r="AG10" s="122" t="s">
        <v>19</v>
      </c>
      <c r="AH10" s="123"/>
      <c r="AI10" s="120" t="s">
        <v>20</v>
      </c>
    </row>
    <row r="11" spans="1:35" ht="30" x14ac:dyDescent="0.25">
      <c r="B11" s="28" t="s">
        <v>21</v>
      </c>
      <c r="C11" s="28" t="s">
        <v>22</v>
      </c>
      <c r="D11" s="79" t="s">
        <v>23</v>
      </c>
      <c r="E11" s="78" t="s">
        <v>24</v>
      </c>
      <c r="F11" s="80" t="s">
        <v>35</v>
      </c>
      <c r="G11" s="80" t="s">
        <v>25</v>
      </c>
      <c r="I11" s="29" t="s">
        <v>26</v>
      </c>
      <c r="J11" s="29" t="s">
        <v>27</v>
      </c>
      <c r="K11" s="121"/>
      <c r="N11" s="28" t="s">
        <v>21</v>
      </c>
      <c r="O11" s="28" t="s">
        <v>22</v>
      </c>
      <c r="P11" s="79" t="s">
        <v>23</v>
      </c>
      <c r="Q11" s="80" t="s">
        <v>24</v>
      </c>
      <c r="R11" s="80" t="s">
        <v>35</v>
      </c>
      <c r="S11" s="80" t="s">
        <v>25</v>
      </c>
      <c r="U11" s="29" t="s">
        <v>26</v>
      </c>
      <c r="V11" s="29" t="s">
        <v>27</v>
      </c>
      <c r="W11" s="121"/>
      <c r="Z11" s="28" t="s">
        <v>21</v>
      </c>
      <c r="AA11" s="28" t="s">
        <v>22</v>
      </c>
      <c r="AB11" s="79" t="s">
        <v>23</v>
      </c>
      <c r="AC11" s="80" t="s">
        <v>24</v>
      </c>
      <c r="AD11" s="80" t="s">
        <v>35</v>
      </c>
      <c r="AE11" s="80" t="s">
        <v>25</v>
      </c>
      <c r="AG11" s="29" t="s">
        <v>26</v>
      </c>
      <c r="AH11" s="29" t="s">
        <v>27</v>
      </c>
      <c r="AI11" s="121"/>
    </row>
    <row r="12" spans="1:35" x14ac:dyDescent="0.25">
      <c r="A12" s="10">
        <v>1</v>
      </c>
      <c r="B12" s="30">
        <v>45698</v>
      </c>
      <c r="C12" s="31">
        <v>6179</v>
      </c>
      <c r="D12" s="32">
        <f>626+9.5</f>
        <v>635.5</v>
      </c>
      <c r="E12" s="32"/>
      <c r="F12" s="32"/>
      <c r="G12" s="32">
        <f t="shared" ref="G12:G45" si="0">SUM(D12:E12)</f>
        <v>635.5</v>
      </c>
      <c r="H12" s="12"/>
      <c r="I12" s="12"/>
      <c r="J12" s="12"/>
      <c r="K12" s="12">
        <f t="shared" ref="K12:K45" si="1">SUM(G12:J12)</f>
        <v>635.5</v>
      </c>
      <c r="M12" s="10">
        <v>1</v>
      </c>
      <c r="N12" s="30">
        <v>45698</v>
      </c>
      <c r="O12" s="31">
        <v>6229</v>
      </c>
      <c r="P12" s="32">
        <f>106420+6140+11930+458</f>
        <v>124948</v>
      </c>
      <c r="Q12" s="32">
        <v>-1818</v>
      </c>
      <c r="R12" s="32"/>
      <c r="S12" s="32">
        <f>SUM(P12:Q12)</f>
        <v>123130</v>
      </c>
      <c r="T12" s="12"/>
      <c r="U12" s="12">
        <f>1332+810+72</f>
        <v>2214</v>
      </c>
      <c r="V12" s="12"/>
      <c r="W12" s="12">
        <f>SUM(S12:V12)</f>
        <v>125344</v>
      </c>
      <c r="Y12" s="10">
        <v>1</v>
      </c>
      <c r="Z12" s="30">
        <v>45698</v>
      </c>
      <c r="AA12" s="31">
        <v>6077</v>
      </c>
      <c r="AB12" s="32">
        <f>253530+1228+29800+1664+1145</f>
        <v>287367</v>
      </c>
      <c r="AC12" s="32"/>
      <c r="AD12" s="32"/>
      <c r="AE12" s="32">
        <f>SUM(AB12:AC12)</f>
        <v>287367</v>
      </c>
      <c r="AF12" s="12"/>
      <c r="AG12" s="12"/>
      <c r="AH12" s="12">
        <f>39849+156+240</f>
        <v>40245</v>
      </c>
      <c r="AI12" s="12">
        <f>SUM(AE12:AH12)</f>
        <v>327612</v>
      </c>
    </row>
    <row r="13" spans="1:35" x14ac:dyDescent="0.25">
      <c r="A13" s="10">
        <v>2</v>
      </c>
      <c r="B13" s="30">
        <v>45698</v>
      </c>
      <c r="C13" s="31">
        <v>6185</v>
      </c>
      <c r="D13" s="32">
        <f>21284+2980+229</f>
        <v>24493</v>
      </c>
      <c r="E13" s="32"/>
      <c r="F13" s="32"/>
      <c r="G13" s="32">
        <f t="shared" si="0"/>
        <v>24493</v>
      </c>
      <c r="H13" s="12"/>
      <c r="I13" s="12"/>
      <c r="J13" s="12"/>
      <c r="K13" s="12">
        <f t="shared" si="1"/>
        <v>24493</v>
      </c>
      <c r="M13" s="10">
        <v>2</v>
      </c>
      <c r="N13" s="30">
        <v>45698</v>
      </c>
      <c r="O13" s="31">
        <f>O12+1</f>
        <v>6230</v>
      </c>
      <c r="P13" s="32">
        <f>20032+1000</f>
        <v>21032</v>
      </c>
      <c r="Q13" s="32"/>
      <c r="R13" s="32"/>
      <c r="S13" s="32">
        <f t="shared" ref="S13:S44" si="2">SUM(P13:Q13)</f>
        <v>21032</v>
      </c>
      <c r="T13" s="12"/>
      <c r="U13" s="12"/>
      <c r="V13" s="12"/>
      <c r="W13" s="12">
        <f t="shared" ref="W13:W44" si="3">SUM(S13:V13)</f>
        <v>21032</v>
      </c>
      <c r="Y13" s="10">
        <v>2</v>
      </c>
      <c r="Z13" s="30">
        <v>45698</v>
      </c>
      <c r="AA13" s="31">
        <f>AA12+1</f>
        <v>6078</v>
      </c>
      <c r="AB13" s="32">
        <f>5008+1228+1192+95</f>
        <v>7523</v>
      </c>
      <c r="AC13" s="32"/>
      <c r="AD13" s="32"/>
      <c r="AE13" s="32">
        <f t="shared" ref="AE13:AE44" si="4">SUM(AB13:AC13)</f>
        <v>7523</v>
      </c>
      <c r="AF13" s="12"/>
      <c r="AG13" s="12"/>
      <c r="AH13" s="12"/>
      <c r="AI13" s="12">
        <f t="shared" ref="AI13:AI44" si="5">SUM(AE13:AH13)</f>
        <v>7523</v>
      </c>
    </row>
    <row r="14" spans="1:35" x14ac:dyDescent="0.25">
      <c r="A14" s="10">
        <v>3</v>
      </c>
      <c r="B14" s="30">
        <v>45698</v>
      </c>
      <c r="C14" s="31">
        <f t="shared" ref="C14:C21" si="6">C13+1</f>
        <v>6186</v>
      </c>
      <c r="D14" s="33">
        <f>26292+1788+229</f>
        <v>28309</v>
      </c>
      <c r="E14" s="33"/>
      <c r="F14" s="33"/>
      <c r="G14" s="33">
        <f t="shared" si="0"/>
        <v>28309</v>
      </c>
      <c r="H14" s="34"/>
      <c r="I14" s="34"/>
      <c r="J14" s="34"/>
      <c r="K14" s="34">
        <f t="shared" si="1"/>
        <v>28309</v>
      </c>
      <c r="M14" s="10">
        <v>3</v>
      </c>
      <c r="N14" s="30"/>
      <c r="O14" s="11" t="s">
        <v>28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45698</v>
      </c>
      <c r="AA14" s="31">
        <f t="shared" ref="AA14:AA16" si="7">AA13+1</f>
        <v>6079</v>
      </c>
      <c r="AB14" s="33">
        <f>6260+614+2980+229</f>
        <v>10083</v>
      </c>
      <c r="AC14" s="33"/>
      <c r="AD14" s="32"/>
      <c r="AE14" s="32">
        <f t="shared" si="4"/>
        <v>10083</v>
      </c>
      <c r="AF14" s="12"/>
      <c r="AG14" s="12"/>
      <c r="AH14" s="12"/>
      <c r="AI14" s="12">
        <f t="shared" si="5"/>
        <v>10083</v>
      </c>
    </row>
    <row r="15" spans="1:35" x14ac:dyDescent="0.25">
      <c r="A15" s="10">
        <v>4</v>
      </c>
      <c r="B15" s="30">
        <v>45698</v>
      </c>
      <c r="C15" s="31">
        <f t="shared" si="6"/>
        <v>6187</v>
      </c>
      <c r="D15" s="32">
        <f>141476+6140+2696+13112+832</f>
        <v>164256</v>
      </c>
      <c r="E15" s="32"/>
      <c r="F15" s="32"/>
      <c r="G15" s="32">
        <f t="shared" si="0"/>
        <v>164256</v>
      </c>
      <c r="H15" s="12"/>
      <c r="I15" s="12">
        <v>45</v>
      </c>
      <c r="J15" s="12">
        <f>-468</f>
        <v>-468</v>
      </c>
      <c r="K15" s="12">
        <f t="shared" si="1"/>
        <v>163833</v>
      </c>
      <c r="M15" s="10">
        <v>4</v>
      </c>
      <c r="N15" s="30"/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45698</v>
      </c>
      <c r="AA15" s="31">
        <f t="shared" si="7"/>
        <v>6080</v>
      </c>
      <c r="AB15" s="32">
        <f>43194+1348</f>
        <v>44542</v>
      </c>
      <c r="AC15" s="32"/>
      <c r="AD15" s="32"/>
      <c r="AE15" s="32">
        <f t="shared" si="4"/>
        <v>44542</v>
      </c>
      <c r="AF15" s="12"/>
      <c r="AG15">
        <f>222+81</f>
        <v>303</v>
      </c>
      <c r="AH15" s="12"/>
      <c r="AI15" s="12">
        <f t="shared" si="5"/>
        <v>44845</v>
      </c>
    </row>
    <row r="16" spans="1:35" x14ac:dyDescent="0.25">
      <c r="A16" s="10">
        <v>5</v>
      </c>
      <c r="B16" s="30">
        <v>45698</v>
      </c>
      <c r="C16" s="31">
        <f t="shared" si="6"/>
        <v>6188</v>
      </c>
      <c r="D16" s="32">
        <f>42568</f>
        <v>42568</v>
      </c>
      <c r="E16" s="32"/>
      <c r="F16" s="32"/>
      <c r="G16" s="32">
        <f t="shared" si="0"/>
        <v>42568</v>
      </c>
      <c r="H16" s="12"/>
      <c r="I16" s="12">
        <v>40.5</v>
      </c>
      <c r="J16" s="12"/>
      <c r="K16" s="12">
        <f t="shared" si="1"/>
        <v>42608.5</v>
      </c>
      <c r="M16" s="10">
        <v>5</v>
      </c>
      <c r="N16" s="30"/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45698</v>
      </c>
      <c r="AA16" s="31">
        <f t="shared" si="7"/>
        <v>6081</v>
      </c>
      <c r="AB16" s="32">
        <f>18780+614+1192+458</f>
        <v>21044</v>
      </c>
      <c r="AC16" s="32"/>
      <c r="AD16" s="32"/>
      <c r="AE16" s="32">
        <f t="shared" ref="AE16:AE21" si="8">SUM(AB16:AC16)</f>
        <v>21044</v>
      </c>
      <c r="AF16" s="12"/>
      <c r="AG16" s="12">
        <f>1110+156+8+18</f>
        <v>1292</v>
      </c>
      <c r="AH16" s="12"/>
      <c r="AI16" s="12">
        <f t="shared" si="5"/>
        <v>22336</v>
      </c>
    </row>
    <row r="17" spans="1:35" x14ac:dyDescent="0.25">
      <c r="A17" s="10">
        <v>6</v>
      </c>
      <c r="B17" s="30">
        <v>45698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11" t="s">
        <v>28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45698</v>
      </c>
      <c r="C18" s="31">
        <f t="shared" si="6"/>
        <v>6190</v>
      </c>
      <c r="D18" s="32">
        <f>5634+85.5</f>
        <v>5719.5</v>
      </c>
      <c r="E18" s="32"/>
      <c r="F18" s="32"/>
      <c r="G18" s="32">
        <f t="shared" si="0"/>
        <v>5719.5</v>
      </c>
      <c r="H18" s="12"/>
      <c r="I18" s="12"/>
      <c r="J18" s="12"/>
      <c r="K18" s="12">
        <f t="shared" si="1"/>
        <v>5719.5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45698</v>
      </c>
      <c r="C19" s="31">
        <f t="shared" si="6"/>
        <v>6191</v>
      </c>
      <c r="D19" s="32">
        <f>98908+916</f>
        <v>99824</v>
      </c>
      <c r="E19" s="32"/>
      <c r="F19" s="32"/>
      <c r="G19" s="32">
        <f t="shared" si="0"/>
        <v>99824</v>
      </c>
      <c r="H19" s="12"/>
      <c r="I19" s="12"/>
      <c r="J19" s="12"/>
      <c r="K19" s="12">
        <f t="shared" si="1"/>
        <v>99824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45698</v>
      </c>
      <c r="C20" s="31">
        <f t="shared" si="6"/>
        <v>6192</v>
      </c>
      <c r="D20" s="32">
        <f>6391</f>
        <v>6391</v>
      </c>
      <c r="E20" s="32"/>
      <c r="F20" s="32"/>
      <c r="G20" s="32">
        <f t="shared" si="0"/>
        <v>6391</v>
      </c>
      <c r="H20" s="12"/>
      <c r="I20" s="12"/>
      <c r="J20" s="12"/>
      <c r="K20" s="12">
        <f t="shared" si="1"/>
        <v>6391</v>
      </c>
      <c r="M20" s="10">
        <v>9</v>
      </c>
      <c r="N20" s="30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45698</v>
      </c>
      <c r="C21" s="31">
        <f t="shared" si="6"/>
        <v>6193</v>
      </c>
      <c r="D21" s="32">
        <f>5008</f>
        <v>5008</v>
      </c>
      <c r="E21" s="32"/>
      <c r="F21" s="32"/>
      <c r="G21" s="32">
        <f t="shared" si="0"/>
        <v>5008</v>
      </c>
      <c r="H21" s="12"/>
      <c r="I21" s="12"/>
      <c r="J21" s="12"/>
      <c r="K21" s="12">
        <f t="shared" si="1"/>
        <v>5008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6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377204</v>
      </c>
      <c r="E55" s="38">
        <f t="shared" ref="E55:F55" si="17">SUM(E12:E52)</f>
        <v>0</v>
      </c>
      <c r="F55" s="38">
        <f t="shared" si="17"/>
        <v>0</v>
      </c>
      <c r="G55" s="38">
        <f>SUM(G12:G54)</f>
        <v>377204</v>
      </c>
      <c r="H55" s="4"/>
      <c r="I55" s="39">
        <f>SUM(I12:I54)</f>
        <v>85.5</v>
      </c>
      <c r="J55" s="39">
        <f>SUM(J12:J54)</f>
        <v>-468</v>
      </c>
      <c r="K55" s="40">
        <f>SUM(K12:K54)</f>
        <v>376821.5</v>
      </c>
      <c r="N55" s="57"/>
      <c r="O55" s="57"/>
      <c r="P55" s="38">
        <f>SUM(P12:P54)</f>
        <v>145980</v>
      </c>
      <c r="Q55" s="38">
        <f>SUM(Q12:Q36)</f>
        <v>-1818</v>
      </c>
      <c r="R55" s="38">
        <f>SUM(R12:R36)</f>
        <v>0</v>
      </c>
      <c r="S55" s="38">
        <f>SUM(S12:S54)</f>
        <v>144162</v>
      </c>
      <c r="T55" s="4"/>
      <c r="U55" s="41">
        <f>SUM(U12:U54)</f>
        <v>2214</v>
      </c>
      <c r="V55" s="41">
        <f>SUM(V12:V36)</f>
        <v>0</v>
      </c>
      <c r="W55" s="42">
        <f>SUM(W12:W54)</f>
        <v>146376</v>
      </c>
      <c r="Z55" s="57"/>
      <c r="AA55" s="57"/>
      <c r="AB55" s="38">
        <f>SUM(AB12:AB54)</f>
        <v>370559</v>
      </c>
      <c r="AC55" s="38">
        <f>SUM(AC12:AC36)</f>
        <v>0</v>
      </c>
      <c r="AD55" s="38">
        <f>SUM(AD12:AD36)</f>
        <v>0</v>
      </c>
      <c r="AE55" s="38">
        <f>SUM(AE12:AE54)</f>
        <v>370559</v>
      </c>
      <c r="AF55" s="4"/>
      <c r="AG55" s="41">
        <f>SUM(AG12:AG54)</f>
        <v>1595</v>
      </c>
      <c r="AH55" s="41">
        <f>SUM(AH12:AH36)</f>
        <v>40245</v>
      </c>
      <c r="AI55" s="42">
        <f>SUM(AI12:AI54)</f>
        <v>412399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8"/>
      <c r="C57" s="88"/>
      <c r="D57" s="88"/>
      <c r="E57" s="88"/>
      <c r="F57" s="88"/>
      <c r="G57" s="88"/>
      <c r="H57" s="62"/>
      <c r="I57" s="62"/>
      <c r="J57" s="62"/>
      <c r="K57" s="62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8"/>
      <c r="C58" s="88"/>
      <c r="D58" s="88"/>
      <c r="E58" s="88"/>
      <c r="F58" s="88"/>
      <c r="G58" s="88"/>
      <c r="H58" s="62"/>
      <c r="I58" s="62"/>
      <c r="J58" s="62"/>
      <c r="K58" s="62"/>
      <c r="M58" t="s">
        <v>29</v>
      </c>
      <c r="N58" s="57"/>
      <c r="O58" s="57"/>
      <c r="P58" s="57"/>
      <c r="Q58" s="57"/>
      <c r="R58" s="57"/>
      <c r="S58" s="57"/>
      <c r="Y58" t="s">
        <v>29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8"/>
      <c r="C59" s="88"/>
      <c r="D59" s="88"/>
      <c r="E59" s="88"/>
      <c r="F59" s="88"/>
      <c r="G59" s="88"/>
      <c r="H59" s="62"/>
      <c r="I59" s="62"/>
      <c r="J59" s="62"/>
      <c r="K59" s="62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8"/>
      <c r="AM59" s="88"/>
      <c r="AN59" s="88"/>
      <c r="AO59" s="88"/>
      <c r="AP59" s="88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8"/>
      <c r="C60" s="88"/>
      <c r="D60" s="88"/>
      <c r="E60" s="88"/>
      <c r="F60" s="88"/>
      <c r="G60" s="88"/>
      <c r="H60" s="62"/>
      <c r="I60" s="62"/>
      <c r="J60" s="62"/>
      <c r="K60" s="62"/>
      <c r="M60" s="4" t="s">
        <v>15</v>
      </c>
      <c r="N60" s="57"/>
      <c r="O60" s="57"/>
      <c r="P60" s="57"/>
      <c r="Q60" s="57"/>
      <c r="R60" s="57"/>
      <c r="S60" s="57"/>
      <c r="Y60" s="4" t="s">
        <v>15</v>
      </c>
      <c r="Z60" s="57"/>
      <c r="AA60" s="57"/>
      <c r="AB60" s="57"/>
      <c r="AC60" s="57"/>
      <c r="AD60" s="57"/>
      <c r="AE60" s="57"/>
      <c r="AK60" s="62"/>
      <c r="AL60" s="88"/>
      <c r="AM60" s="88"/>
      <c r="AN60" s="88"/>
      <c r="AO60" s="88"/>
      <c r="AP60" s="88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8"/>
      <c r="C61" s="88"/>
      <c r="D61" s="88"/>
      <c r="E61" s="88"/>
      <c r="F61" s="88"/>
      <c r="G61" s="88"/>
      <c r="H61" s="62"/>
      <c r="I61" s="62"/>
      <c r="J61" s="62"/>
      <c r="K61" s="62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8"/>
      <c r="AM61" s="88"/>
      <c r="AN61" s="88"/>
      <c r="AO61" s="88"/>
      <c r="AP61" s="88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8"/>
      <c r="C62" s="88"/>
      <c r="D62" s="88"/>
      <c r="E62" s="88"/>
      <c r="F62" s="88"/>
      <c r="G62" s="88"/>
      <c r="H62" s="62"/>
      <c r="I62" s="88"/>
      <c r="J62" s="74"/>
      <c r="K62" s="62"/>
      <c r="M62" t="s">
        <v>39</v>
      </c>
      <c r="N62" s="57"/>
      <c r="O62" s="57"/>
      <c r="P62" s="57"/>
      <c r="Q62" s="57"/>
      <c r="R62" s="57"/>
      <c r="S62" s="57"/>
      <c r="U62" s="57" t="s">
        <v>16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16</v>
      </c>
      <c r="AH62" s="20">
        <v>3</v>
      </c>
      <c r="AK62" s="63"/>
      <c r="AL62" s="88"/>
      <c r="AM62" s="88"/>
      <c r="AN62" s="88"/>
      <c r="AO62" s="88"/>
      <c r="AP62" s="88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8"/>
      <c r="C63" s="88"/>
      <c r="D63" s="88"/>
      <c r="E63" s="88"/>
      <c r="F63" s="88"/>
      <c r="G63" s="88"/>
      <c r="H63" s="62"/>
      <c r="I63" s="65"/>
      <c r="J63" s="65"/>
      <c r="K63" s="62"/>
      <c r="M63" s="21" t="s">
        <v>40</v>
      </c>
      <c r="N63" s="20"/>
      <c r="O63" s="57"/>
      <c r="P63" s="57"/>
      <c r="Q63" s="57"/>
      <c r="R63" s="57"/>
      <c r="S63" s="57"/>
      <c r="U63" s="22" t="s">
        <v>17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17</v>
      </c>
      <c r="AH63" s="23" t="s">
        <v>34</v>
      </c>
      <c r="AI63" s="24"/>
      <c r="AK63" s="62"/>
      <c r="AL63" s="88"/>
      <c r="AM63" s="88"/>
      <c r="AN63" s="88"/>
      <c r="AO63" s="88"/>
      <c r="AP63" s="88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8"/>
      <c r="C64" s="88"/>
      <c r="D64" s="88"/>
      <c r="E64" s="88"/>
      <c r="F64" s="88"/>
      <c r="G64" s="88"/>
      <c r="H64" s="62"/>
      <c r="I64" s="62"/>
      <c r="J64" s="62"/>
      <c r="K64" s="62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8"/>
      <c r="AM64" s="88"/>
      <c r="AN64" s="88"/>
      <c r="AO64" s="88"/>
      <c r="AP64" s="88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8"/>
      <c r="D65" s="126"/>
      <c r="E65" s="126"/>
      <c r="F65" s="88"/>
      <c r="G65" s="88"/>
      <c r="H65" s="62"/>
      <c r="I65" s="126"/>
      <c r="J65" s="126"/>
      <c r="K65" s="125"/>
      <c r="N65" s="25"/>
      <c r="O65" s="26"/>
      <c r="P65" s="124" t="s">
        <v>18</v>
      </c>
      <c r="Q65" s="124"/>
      <c r="R65" s="89"/>
      <c r="S65" s="27"/>
      <c r="U65" s="122" t="s">
        <v>19</v>
      </c>
      <c r="V65" s="123"/>
      <c r="W65" s="120" t="s">
        <v>20</v>
      </c>
      <c r="Z65" s="25"/>
      <c r="AA65" s="26"/>
      <c r="AB65" s="124" t="s">
        <v>18</v>
      </c>
      <c r="AC65" s="124"/>
      <c r="AD65" s="89"/>
      <c r="AE65" s="27"/>
      <c r="AG65" s="122" t="s">
        <v>19</v>
      </c>
      <c r="AH65" s="123"/>
      <c r="AI65" s="120" t="s">
        <v>20</v>
      </c>
      <c r="AK65" s="64"/>
      <c r="AL65" s="88"/>
      <c r="AM65" s="88"/>
      <c r="AN65" s="88"/>
      <c r="AO65" s="88"/>
      <c r="AP65" s="88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8"/>
      <c r="C66" s="88"/>
      <c r="D66" s="81"/>
      <c r="E66" s="82"/>
      <c r="F66" s="83"/>
      <c r="G66" s="83"/>
      <c r="H66" s="62"/>
      <c r="I66" s="87"/>
      <c r="J66" s="87"/>
      <c r="K66" s="125"/>
      <c r="N66" s="28" t="s">
        <v>21</v>
      </c>
      <c r="O66" s="28" t="s">
        <v>22</v>
      </c>
      <c r="P66" s="79" t="s">
        <v>23</v>
      </c>
      <c r="Q66" s="80" t="s">
        <v>24</v>
      </c>
      <c r="R66" s="80" t="s">
        <v>35</v>
      </c>
      <c r="S66" s="80" t="s">
        <v>25</v>
      </c>
      <c r="U66" s="29" t="s">
        <v>26</v>
      </c>
      <c r="V66" s="29" t="s">
        <v>27</v>
      </c>
      <c r="W66" s="121"/>
      <c r="Z66" s="28" t="s">
        <v>21</v>
      </c>
      <c r="AA66" s="28" t="s">
        <v>22</v>
      </c>
      <c r="AB66" s="79" t="s">
        <v>23</v>
      </c>
      <c r="AC66" s="80" t="s">
        <v>24</v>
      </c>
      <c r="AD66" s="80" t="s">
        <v>35</v>
      </c>
      <c r="AE66" s="80" t="s">
        <v>25</v>
      </c>
      <c r="AG66" s="29" t="s">
        <v>26</v>
      </c>
      <c r="AH66" s="29" t="s">
        <v>27</v>
      </c>
      <c r="AI66" s="121"/>
      <c r="AK66" s="62"/>
      <c r="AL66" s="88"/>
      <c r="AM66" s="88"/>
      <c r="AN66" s="88"/>
      <c r="AO66" s="88"/>
      <c r="AP66" s="88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8"/>
      <c r="D67" s="60"/>
      <c r="E67" s="60"/>
      <c r="F67" s="60"/>
      <c r="G67" s="60"/>
      <c r="H67" s="61"/>
      <c r="I67" s="61"/>
      <c r="J67" s="61"/>
      <c r="K67" s="61"/>
      <c r="M67" s="10">
        <v>1</v>
      </c>
      <c r="N67" s="30">
        <v>45726</v>
      </c>
      <c r="O67" s="31">
        <v>6231</v>
      </c>
      <c r="P67" s="32">
        <f>4382</f>
        <v>4382</v>
      </c>
      <c r="Q67" s="32"/>
      <c r="R67" s="32"/>
      <c r="S67" s="32">
        <f>SUM(P67:Q67)</f>
        <v>4382</v>
      </c>
      <c r="T67" s="12"/>
      <c r="U67" s="12"/>
      <c r="V67" s="12"/>
      <c r="W67" s="12">
        <f>SUM(S67:V67)</f>
        <v>4382</v>
      </c>
      <c r="Y67" s="10">
        <v>1</v>
      </c>
      <c r="Z67" s="30">
        <v>45726</v>
      </c>
      <c r="AA67" s="31">
        <v>6082</v>
      </c>
      <c r="AB67" s="32">
        <f>626*166+596*50+674*8+832*4+229*9</f>
        <v>144497</v>
      </c>
      <c r="AC67" s="32"/>
      <c r="AD67" s="32"/>
      <c r="AE67" s="32">
        <f>SUM(AB67:AC67)</f>
        <v>144497</v>
      </c>
      <c r="AF67" s="12"/>
      <c r="AG67" s="12">
        <f>23976+702+111*8+120*4</f>
        <v>26046</v>
      </c>
      <c r="AH67" s="12"/>
      <c r="AI67" s="12">
        <f>SUM(AE67:AH67)</f>
        <v>170543</v>
      </c>
      <c r="AK67" s="62"/>
      <c r="AL67" s="65"/>
      <c r="AM67" s="88"/>
      <c r="AN67" s="126"/>
      <c r="AO67" s="126"/>
      <c r="AP67" s="88"/>
      <c r="AQ67" s="62"/>
      <c r="AR67" s="126"/>
      <c r="AS67" s="126"/>
      <c r="AT67" s="125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8"/>
      <c r="D68" s="60"/>
      <c r="E68" s="60"/>
      <c r="F68" s="60"/>
      <c r="G68" s="60"/>
      <c r="H68" s="61"/>
      <c r="I68" s="61"/>
      <c r="J68" s="61"/>
      <c r="K68" s="61"/>
      <c r="M68" s="10">
        <v>2</v>
      </c>
      <c r="N68" s="30">
        <v>45726</v>
      </c>
      <c r="O68" s="31">
        <f>O67+1</f>
        <v>6232</v>
      </c>
      <c r="P68" s="32">
        <f>338040+5267</f>
        <v>343307</v>
      </c>
      <c r="Q68" s="32">
        <v>-5067</v>
      </c>
      <c r="R68" s="32"/>
      <c r="S68" s="32">
        <f t="shared" ref="S68:S105" si="18">SUM(P68:Q68)</f>
        <v>338240</v>
      </c>
      <c r="T68" s="12"/>
      <c r="U68" s="12">
        <f>13653+1482</f>
        <v>15135</v>
      </c>
      <c r="V68" s="12">
        <f>-1092+-798</f>
        <v>-1890</v>
      </c>
      <c r="W68" s="12">
        <f t="shared" ref="W68:W108" si="19">SUM(S68:V68)</f>
        <v>351485</v>
      </c>
      <c r="Y68" s="10">
        <v>2</v>
      </c>
      <c r="Z68" s="30">
        <v>45726</v>
      </c>
      <c r="AA68" s="31">
        <f>AA67+1</f>
        <v>6083</v>
      </c>
      <c r="AB68" s="32">
        <f>3130+1228+48</f>
        <v>4406</v>
      </c>
      <c r="AC68" s="32"/>
      <c r="AD68" s="32"/>
      <c r="AE68" s="32">
        <f t="shared" ref="AE68:AE70" si="20">SUM(AB68:AC68)</f>
        <v>4406</v>
      </c>
      <c r="AF68" s="12"/>
      <c r="AG68" s="12"/>
      <c r="AH68" s="12"/>
      <c r="AI68" s="12">
        <f t="shared" ref="AI68:AI108" si="21">SUM(AE68:AH68)</f>
        <v>4406</v>
      </c>
      <c r="AK68" s="62"/>
      <c r="AL68" s="88"/>
      <c r="AM68" s="88"/>
      <c r="AN68" s="88"/>
      <c r="AO68" s="87"/>
      <c r="AP68" s="87"/>
      <c r="AQ68" s="62"/>
      <c r="AR68" s="85"/>
      <c r="AS68" s="85"/>
      <c r="AT68" s="125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8"/>
      <c r="D69" s="60"/>
      <c r="E69" s="60"/>
      <c r="F69" s="60"/>
      <c r="G69" s="60"/>
      <c r="H69" s="61"/>
      <c r="I69" s="61"/>
      <c r="J69" s="61"/>
      <c r="K69" s="61"/>
      <c r="M69" s="10">
        <v>3</v>
      </c>
      <c r="N69" s="30">
        <v>45726</v>
      </c>
      <c r="O69" s="31">
        <f t="shared" ref="O69:O73" si="22">O68+1</f>
        <v>6233</v>
      </c>
      <c r="P69" s="32">
        <f>3756+2384</f>
        <v>6140</v>
      </c>
      <c r="Q69" s="32"/>
      <c r="R69" s="32"/>
      <c r="S69" s="32">
        <f t="shared" si="18"/>
        <v>6140</v>
      </c>
      <c r="T69" s="12"/>
      <c r="U69" s="12">
        <v>444</v>
      </c>
      <c r="V69" s="12"/>
      <c r="W69" s="12">
        <f t="shared" si="19"/>
        <v>6584</v>
      </c>
      <c r="Y69" s="10">
        <v>3</v>
      </c>
      <c r="Z69" s="30">
        <v>45726</v>
      </c>
      <c r="AA69" s="31">
        <f t="shared" ref="AA69:AA71" si="23">AA68+1</f>
        <v>6084</v>
      </c>
      <c r="AB69" s="33">
        <f>67608+64368+832</f>
        <v>132808</v>
      </c>
      <c r="AC69" s="33">
        <v>-1302</v>
      </c>
      <c r="AD69" s="32"/>
      <c r="AE69" s="32">
        <f t="shared" si="20"/>
        <v>131506</v>
      </c>
      <c r="AF69" s="12"/>
      <c r="AG69" s="12"/>
      <c r="AH69" s="12">
        <v>-22755</v>
      </c>
      <c r="AI69" s="12">
        <f t="shared" si="21"/>
        <v>108751</v>
      </c>
      <c r="AK69" s="62"/>
      <c r="AL69" s="66"/>
      <c r="AM69" s="88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8"/>
      <c r="D70" s="60"/>
      <c r="E70" s="60"/>
      <c r="F70" s="60"/>
      <c r="G70" s="60"/>
      <c r="H70" s="61"/>
      <c r="I70" s="61"/>
      <c r="J70" s="61"/>
      <c r="K70" s="61"/>
      <c r="M70" s="10">
        <v>4</v>
      </c>
      <c r="N70" s="30">
        <v>45726</v>
      </c>
      <c r="O70" s="31">
        <f t="shared" si="22"/>
        <v>6234</v>
      </c>
      <c r="P70" s="32">
        <f>6260+4565</f>
        <v>10825</v>
      </c>
      <c r="Q70" s="32"/>
      <c r="R70" s="32"/>
      <c r="S70" s="32">
        <f t="shared" si="18"/>
        <v>10825</v>
      </c>
      <c r="T70" s="12"/>
      <c r="U70" s="12"/>
      <c r="V70" s="12"/>
      <c r="W70" s="12">
        <f t="shared" si="19"/>
        <v>10825</v>
      </c>
      <c r="Y70" s="10">
        <v>4</v>
      </c>
      <c r="Z70" s="30">
        <v>45726</v>
      </c>
      <c r="AA70" s="31">
        <f t="shared" si="23"/>
        <v>6085</v>
      </c>
      <c r="AB70" s="32">
        <f>93900+2456+1374</f>
        <v>97730</v>
      </c>
      <c r="AC70" s="32">
        <v>-960</v>
      </c>
      <c r="AD70" s="32"/>
      <c r="AE70" s="32">
        <f t="shared" si="20"/>
        <v>96770</v>
      </c>
      <c r="AF70" s="12"/>
      <c r="AH70" s="12"/>
      <c r="AI70" s="12">
        <f t="shared" si="21"/>
        <v>96770</v>
      </c>
      <c r="AK70" s="62"/>
      <c r="AL70" s="66"/>
      <c r="AM70" s="88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8"/>
      <c r="D71" s="60"/>
      <c r="E71" s="60"/>
      <c r="F71" s="60"/>
      <c r="G71" s="60"/>
      <c r="H71" s="61"/>
      <c r="I71" s="61"/>
      <c r="J71" s="61"/>
      <c r="K71" s="61"/>
      <c r="M71" s="10">
        <v>5</v>
      </c>
      <c r="N71" s="30">
        <v>45726</v>
      </c>
      <c r="O71" s="31">
        <f t="shared" si="22"/>
        <v>6235</v>
      </c>
      <c r="P71" s="32">
        <f>7512+114</f>
        <v>7626</v>
      </c>
      <c r="Q71" s="32"/>
      <c r="R71" s="32"/>
      <c r="S71" s="32">
        <f t="shared" si="18"/>
        <v>7626</v>
      </c>
      <c r="T71" s="12"/>
      <c r="U71" s="12"/>
      <c r="V71" s="12"/>
      <c r="W71" s="12">
        <f t="shared" si="19"/>
        <v>7626</v>
      </c>
      <c r="Y71" s="10">
        <v>5</v>
      </c>
      <c r="Z71" s="30">
        <v>45726</v>
      </c>
      <c r="AA71" s="31">
        <f t="shared" si="23"/>
        <v>6086</v>
      </c>
      <c r="AB71" s="32">
        <f>48828+1192+687</f>
        <v>50707</v>
      </c>
      <c r="AC71" s="32">
        <v>-498</v>
      </c>
      <c r="AD71" s="32"/>
      <c r="AE71" s="32">
        <f t="shared" ref="AE71:AE76" si="24">SUM(AB71:AC71)</f>
        <v>50209</v>
      </c>
      <c r="AF71" s="12"/>
      <c r="AG71" s="12"/>
      <c r="AH71" s="12"/>
      <c r="AI71" s="12">
        <f t="shared" si="21"/>
        <v>50209</v>
      </c>
      <c r="AK71" s="62"/>
      <c r="AL71" s="66"/>
      <c r="AM71" s="88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8"/>
      <c r="D72" s="60"/>
      <c r="E72" s="60"/>
      <c r="F72" s="60"/>
      <c r="G72" s="60"/>
      <c r="H72" s="61"/>
      <c r="I72" s="61"/>
      <c r="J72" s="61"/>
      <c r="K72" s="61"/>
      <c r="M72" s="10">
        <v>6</v>
      </c>
      <c r="N72" s="30">
        <v>45726</v>
      </c>
      <c r="O72" s="31">
        <f t="shared" si="22"/>
        <v>6236</v>
      </c>
      <c r="P72" s="32">
        <f>1252+19</f>
        <v>1271</v>
      </c>
      <c r="Q72" s="32"/>
      <c r="R72" s="32"/>
      <c r="S72" s="32">
        <f t="shared" si="18"/>
        <v>1271</v>
      </c>
      <c r="T72" s="12"/>
      <c r="U72" s="12"/>
      <c r="V72" s="10"/>
      <c r="W72" s="12">
        <f t="shared" si="19"/>
        <v>1271</v>
      </c>
      <c r="Y72" s="10">
        <v>6</v>
      </c>
      <c r="Z72" s="30"/>
      <c r="AA72" s="11" t="s">
        <v>28</v>
      </c>
      <c r="AB72" s="32"/>
      <c r="AC72" s="32"/>
      <c r="AD72" s="32"/>
      <c r="AE72" s="32">
        <f t="shared" si="24"/>
        <v>0</v>
      </c>
      <c r="AF72" s="12"/>
      <c r="AG72" s="12"/>
      <c r="AH72" s="10"/>
      <c r="AI72" s="12">
        <f t="shared" si="21"/>
        <v>0</v>
      </c>
      <c r="AK72" s="62"/>
      <c r="AL72" s="66"/>
      <c r="AM72" s="88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8"/>
      <c r="D73" s="60"/>
      <c r="E73" s="60"/>
      <c r="F73" s="60"/>
      <c r="G73" s="60"/>
      <c r="H73" s="61"/>
      <c r="I73" s="61"/>
      <c r="J73" s="61"/>
      <c r="K73" s="61"/>
      <c r="M73" s="10">
        <v>7</v>
      </c>
      <c r="N73" s="30">
        <v>45726</v>
      </c>
      <c r="O73" s="31">
        <f t="shared" si="22"/>
        <v>6237</v>
      </c>
      <c r="P73" s="32">
        <f>18260+1664</f>
        <v>19924</v>
      </c>
      <c r="Q73" s="32"/>
      <c r="R73" s="32"/>
      <c r="S73" s="32">
        <f t="shared" si="18"/>
        <v>19924</v>
      </c>
      <c r="T73" s="12"/>
      <c r="U73" s="12"/>
      <c r="V73" s="12"/>
      <c r="W73" s="12">
        <f t="shared" si="19"/>
        <v>19924</v>
      </c>
      <c r="Y73" s="10">
        <v>7</v>
      </c>
      <c r="Z73" s="30"/>
      <c r="AA73" s="31"/>
      <c r="AB73" s="32"/>
      <c r="AC73" s="32"/>
      <c r="AD73" s="32"/>
      <c r="AE73" s="32">
        <f t="shared" si="24"/>
        <v>0</v>
      </c>
      <c r="AF73" s="12"/>
      <c r="AG73" s="58"/>
      <c r="AH73" s="12"/>
      <c r="AI73" s="12">
        <f t="shared" si="21"/>
        <v>0</v>
      </c>
      <c r="AK73" s="62"/>
      <c r="AL73" s="66"/>
      <c r="AM73" s="88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8"/>
      <c r="D74" s="60"/>
      <c r="E74" s="60"/>
      <c r="F74" s="60"/>
      <c r="G74" s="60"/>
      <c r="H74" s="61"/>
      <c r="I74" s="61"/>
      <c r="J74" s="61"/>
      <c r="K74" s="61"/>
      <c r="M74" s="10">
        <v>8</v>
      </c>
      <c r="N74" s="30"/>
      <c r="O74" s="11" t="s">
        <v>28</v>
      </c>
      <c r="P74" s="32"/>
      <c r="Q74" s="32"/>
      <c r="R74" s="32"/>
      <c r="S74" s="32">
        <f t="shared" si="18"/>
        <v>0</v>
      </c>
      <c r="T74" s="12"/>
      <c r="U74" s="12"/>
      <c r="V74" s="12"/>
      <c r="W74" s="12">
        <f t="shared" si="19"/>
        <v>0</v>
      </c>
      <c r="Y74" s="10">
        <v>8</v>
      </c>
      <c r="Z74" s="30"/>
      <c r="AA74" s="31"/>
      <c r="AB74" s="32"/>
      <c r="AC74" s="32"/>
      <c r="AE74" s="32">
        <f t="shared" si="24"/>
        <v>0</v>
      </c>
      <c r="AF74" s="12"/>
      <c r="AG74" s="12"/>
      <c r="AH74" s="12"/>
      <c r="AI74" s="12">
        <f t="shared" si="21"/>
        <v>0</v>
      </c>
      <c r="AK74" s="62"/>
      <c r="AL74" s="66"/>
      <c r="AM74" s="88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8"/>
      <c r="D75" s="60"/>
      <c r="E75" s="60"/>
      <c r="F75" s="60"/>
      <c r="G75" s="60"/>
      <c r="H75" s="61"/>
      <c r="I75" s="61"/>
      <c r="J75" s="61"/>
      <c r="K75" s="61"/>
      <c r="M75" s="10">
        <v>9</v>
      </c>
      <c r="N75" s="30"/>
      <c r="O75" s="31"/>
      <c r="P75" s="32"/>
      <c r="Q75" s="32"/>
      <c r="R75" s="32"/>
      <c r="S75" s="32">
        <f t="shared" si="18"/>
        <v>0</v>
      </c>
      <c r="T75" s="12"/>
      <c r="U75" s="12"/>
      <c r="V75" s="12"/>
      <c r="W75" s="12">
        <f t="shared" si="19"/>
        <v>0</v>
      </c>
      <c r="Y75" s="10">
        <v>9</v>
      </c>
      <c r="Z75" s="30"/>
      <c r="AA75" s="31"/>
      <c r="AC75" s="32"/>
      <c r="AD75" s="32"/>
      <c r="AE75" s="32">
        <f t="shared" si="24"/>
        <v>0</v>
      </c>
      <c r="AF75" s="12"/>
      <c r="AH75" s="12"/>
      <c r="AI75" s="12">
        <f t="shared" si="21"/>
        <v>0</v>
      </c>
      <c r="AK75" s="62"/>
      <c r="AL75" s="66"/>
      <c r="AM75" s="88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8"/>
      <c r="D76" s="60"/>
      <c r="E76" s="60"/>
      <c r="F76" s="60"/>
      <c r="G76" s="60"/>
      <c r="H76" s="61"/>
      <c r="I76" s="61"/>
      <c r="J76" s="61"/>
      <c r="K76" s="61"/>
      <c r="M76" s="10">
        <v>10</v>
      </c>
      <c r="N76" s="30"/>
      <c r="O76" s="31"/>
      <c r="P76" s="32"/>
      <c r="Q76" s="32"/>
      <c r="R76" s="32"/>
      <c r="S76" s="32">
        <f t="shared" si="18"/>
        <v>0</v>
      </c>
      <c r="T76" s="12"/>
      <c r="U76" s="12"/>
      <c r="V76" s="12"/>
      <c r="W76" s="12">
        <f t="shared" si="19"/>
        <v>0</v>
      </c>
      <c r="Y76" s="10">
        <v>10</v>
      </c>
      <c r="Z76" s="30"/>
      <c r="AA76" s="31"/>
      <c r="AB76" s="32"/>
      <c r="AC76" s="32"/>
      <c r="AD76" s="32"/>
      <c r="AE76" s="32">
        <f t="shared" si="24"/>
        <v>0</v>
      </c>
      <c r="AF76" s="12"/>
      <c r="AG76" s="12"/>
      <c r="AH76" s="12"/>
      <c r="AI76" s="12">
        <f t="shared" si="21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8"/>
      <c r="D77" s="60"/>
      <c r="E77" s="60"/>
      <c r="F77" s="60"/>
      <c r="G77" s="60"/>
      <c r="H77" s="61"/>
      <c r="I77" s="61"/>
      <c r="J77" s="61"/>
      <c r="K77" s="61"/>
      <c r="M77" s="10">
        <v>11</v>
      </c>
      <c r="N77" s="30"/>
      <c r="P77" s="32"/>
      <c r="Q77" s="32"/>
      <c r="R77" s="32"/>
      <c r="S77" s="32">
        <f t="shared" si="18"/>
        <v>0</v>
      </c>
      <c r="T77" s="12"/>
      <c r="U77" s="12"/>
      <c r="V77" s="12"/>
      <c r="W77" s="12">
        <f t="shared" si="19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5" si="25">SUM(AB77:AC77)</f>
        <v>0</v>
      </c>
      <c r="AF77" s="12"/>
      <c r="AG77" s="12"/>
      <c r="AH77" s="12"/>
      <c r="AI77" s="12">
        <f t="shared" si="21"/>
        <v>0</v>
      </c>
      <c r="AK77" s="62"/>
      <c r="AL77" s="66"/>
      <c r="AM77" s="88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8"/>
      <c r="D78" s="60"/>
      <c r="E78" s="60"/>
      <c r="F78" s="60"/>
      <c r="G78" s="60"/>
      <c r="H78" s="61"/>
      <c r="I78" s="61"/>
      <c r="J78" s="62"/>
      <c r="K78" s="61"/>
      <c r="M78" s="10">
        <v>12</v>
      </c>
      <c r="N78" s="30"/>
      <c r="O78" s="31"/>
      <c r="P78" s="32"/>
      <c r="Q78" s="32"/>
      <c r="R78" s="32"/>
      <c r="S78" s="32">
        <f t="shared" si="18"/>
        <v>0</v>
      </c>
      <c r="T78" s="12"/>
      <c r="U78" s="12"/>
      <c r="V78" s="12"/>
      <c r="W78" s="12">
        <f t="shared" si="19"/>
        <v>0</v>
      </c>
      <c r="Y78" s="10">
        <v>12</v>
      </c>
      <c r="Z78" s="30"/>
      <c r="AA78" s="31"/>
      <c r="AB78" s="32"/>
      <c r="AC78" s="32"/>
      <c r="AD78" s="32"/>
      <c r="AE78" s="32">
        <f t="shared" si="25"/>
        <v>0</v>
      </c>
      <c r="AF78" s="12"/>
      <c r="AG78" s="12"/>
      <c r="AH78" s="12"/>
      <c r="AI78" s="12">
        <f t="shared" si="21"/>
        <v>0</v>
      </c>
      <c r="AK78" s="62"/>
      <c r="AL78" s="66"/>
      <c r="AM78" s="88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8"/>
      <c r="D79" s="60"/>
      <c r="E79" s="60"/>
      <c r="F79" s="60"/>
      <c r="G79" s="60"/>
      <c r="H79" s="61"/>
      <c r="I79" s="61"/>
      <c r="J79" s="61"/>
      <c r="K79" s="61"/>
      <c r="M79" s="10">
        <v>13</v>
      </c>
      <c r="N79" s="30"/>
      <c r="O79" s="31"/>
      <c r="P79" s="32"/>
      <c r="Q79" s="32"/>
      <c r="R79" s="32"/>
      <c r="S79" s="32">
        <f t="shared" si="18"/>
        <v>0</v>
      </c>
      <c r="T79" s="12"/>
      <c r="U79" s="12"/>
      <c r="V79" s="12"/>
      <c r="W79" s="12">
        <f t="shared" si="19"/>
        <v>0</v>
      </c>
      <c r="Y79" s="10">
        <v>13</v>
      </c>
      <c r="Z79" s="30"/>
      <c r="AA79" s="31"/>
      <c r="AB79" s="32"/>
      <c r="AC79" s="32"/>
      <c r="AD79" s="32"/>
      <c r="AE79" s="32">
        <f t="shared" si="25"/>
        <v>0</v>
      </c>
      <c r="AF79" s="12"/>
      <c r="AG79" s="12"/>
      <c r="AH79" s="12"/>
      <c r="AI79" s="12">
        <f t="shared" si="21"/>
        <v>0</v>
      </c>
      <c r="AK79" s="62"/>
      <c r="AL79" s="66"/>
      <c r="AM79" s="88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8"/>
      <c r="D80" s="60"/>
      <c r="E80" s="60"/>
      <c r="F80" s="60"/>
      <c r="G80" s="60"/>
      <c r="H80" s="61"/>
      <c r="I80" s="61"/>
      <c r="J80" s="61"/>
      <c r="K80" s="61"/>
      <c r="M80" s="10">
        <v>14</v>
      </c>
      <c r="N80" s="30"/>
      <c r="O80" s="31"/>
      <c r="P80" s="32"/>
      <c r="Q80" s="32"/>
      <c r="R80" s="32"/>
      <c r="S80" s="32">
        <f t="shared" si="18"/>
        <v>0</v>
      </c>
      <c r="T80" s="12"/>
      <c r="U80" s="12"/>
      <c r="V80" s="12"/>
      <c r="W80" s="12">
        <f t="shared" si="19"/>
        <v>0</v>
      </c>
      <c r="Y80" s="10">
        <v>14</v>
      </c>
      <c r="Z80" s="30"/>
      <c r="AA80" s="31"/>
      <c r="AB80" s="32"/>
      <c r="AC80" s="32"/>
      <c r="AD80" s="32"/>
      <c r="AE80" s="32">
        <f t="shared" si="25"/>
        <v>0</v>
      </c>
      <c r="AF80" s="12"/>
      <c r="AG80" s="12"/>
      <c r="AH80" s="12"/>
      <c r="AI80" s="12">
        <f t="shared" si="21"/>
        <v>0</v>
      </c>
      <c r="AK80" s="62"/>
      <c r="AL80" s="66"/>
      <c r="AM80" s="88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8"/>
      <c r="D81" s="60"/>
      <c r="E81" s="60"/>
      <c r="F81" s="60"/>
      <c r="G81" s="60"/>
      <c r="H81" s="61"/>
      <c r="I81" s="61"/>
      <c r="J81" s="61"/>
      <c r="K81" s="61"/>
      <c r="M81" s="10">
        <v>15</v>
      </c>
      <c r="N81" s="30"/>
      <c r="O81" s="31"/>
      <c r="P81" s="32"/>
      <c r="Q81" s="32"/>
      <c r="R81" s="32"/>
      <c r="S81" s="32">
        <f t="shared" si="18"/>
        <v>0</v>
      </c>
      <c r="T81" s="12"/>
      <c r="U81" s="12"/>
      <c r="V81" s="12"/>
      <c r="W81" s="12">
        <f t="shared" si="19"/>
        <v>0</v>
      </c>
      <c r="Y81" s="10">
        <v>15</v>
      </c>
      <c r="Z81" s="30"/>
      <c r="AA81" s="31"/>
      <c r="AB81" s="32"/>
      <c r="AC81" s="32"/>
      <c r="AD81" s="32"/>
      <c r="AE81" s="32">
        <f t="shared" si="25"/>
        <v>0</v>
      </c>
      <c r="AF81" s="12"/>
      <c r="AG81" s="12"/>
      <c r="AH81" s="12"/>
      <c r="AI81" s="12">
        <f t="shared" si="21"/>
        <v>0</v>
      </c>
      <c r="AK81" s="62"/>
      <c r="AL81" s="66"/>
      <c r="AM81" s="88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8"/>
      <c r="D82" s="60"/>
      <c r="E82" s="60"/>
      <c r="F82" s="60"/>
      <c r="G82" s="60"/>
      <c r="H82" s="61"/>
      <c r="I82" s="61"/>
      <c r="J82" s="61"/>
      <c r="K82" s="61"/>
      <c r="M82" s="10">
        <v>16</v>
      </c>
      <c r="N82" s="30"/>
      <c r="O82" s="31"/>
      <c r="P82" s="32"/>
      <c r="Q82" s="32"/>
      <c r="R82" s="32"/>
      <c r="S82" s="32">
        <f t="shared" si="18"/>
        <v>0</v>
      </c>
      <c r="T82" s="12"/>
      <c r="U82" s="12"/>
      <c r="V82" s="12"/>
      <c r="W82" s="12">
        <f t="shared" si="19"/>
        <v>0</v>
      </c>
      <c r="Y82" s="10">
        <v>16</v>
      </c>
      <c r="Z82" s="30"/>
      <c r="AB82" s="32"/>
      <c r="AC82" s="32"/>
      <c r="AD82" s="32"/>
      <c r="AE82" s="32">
        <f t="shared" si="25"/>
        <v>0</v>
      </c>
      <c r="AF82" s="12"/>
      <c r="AG82" s="12"/>
      <c r="AH82" s="12"/>
      <c r="AI82" s="12">
        <f t="shared" si="21"/>
        <v>0</v>
      </c>
      <c r="AK82" s="62"/>
      <c r="AL82" s="66"/>
      <c r="AM82" s="88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8"/>
      <c r="D83" s="60"/>
      <c r="E83" s="60"/>
      <c r="F83" s="60"/>
      <c r="G83" s="60"/>
      <c r="H83" s="61"/>
      <c r="I83" s="61"/>
      <c r="J83" s="61"/>
      <c r="K83" s="61"/>
      <c r="M83" s="10">
        <v>17</v>
      </c>
      <c r="N83" s="30"/>
      <c r="O83" s="31"/>
      <c r="P83" s="35"/>
      <c r="Q83" s="32"/>
      <c r="R83" s="32"/>
      <c r="S83" s="32">
        <f t="shared" si="18"/>
        <v>0</v>
      </c>
      <c r="T83" s="12"/>
      <c r="U83" s="12"/>
      <c r="V83" s="12"/>
      <c r="W83" s="12">
        <f t="shared" si="19"/>
        <v>0</v>
      </c>
      <c r="Y83" s="10">
        <v>17</v>
      </c>
      <c r="Z83" s="30"/>
      <c r="AA83" s="31"/>
      <c r="AB83" s="35"/>
      <c r="AC83" s="32"/>
      <c r="AD83" s="32"/>
      <c r="AE83" s="32">
        <f t="shared" si="25"/>
        <v>0</v>
      </c>
      <c r="AF83" s="12"/>
      <c r="AG83" s="12"/>
      <c r="AH83" s="12"/>
      <c r="AI83" s="12">
        <f t="shared" si="21"/>
        <v>0</v>
      </c>
      <c r="AK83" s="62"/>
      <c r="AL83" s="66"/>
      <c r="AM83" s="88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8"/>
      <c r="D84" s="60"/>
      <c r="E84" s="60"/>
      <c r="F84" s="60"/>
      <c r="G84" s="60"/>
      <c r="H84" s="61"/>
      <c r="I84" s="61"/>
      <c r="J84" s="61"/>
      <c r="K84" s="61"/>
      <c r="M84" s="10">
        <v>18</v>
      </c>
      <c r="N84" s="30"/>
      <c r="O84" s="31"/>
      <c r="P84" s="32"/>
      <c r="Q84" s="32"/>
      <c r="R84" s="32"/>
      <c r="S84" s="32">
        <f t="shared" si="18"/>
        <v>0</v>
      </c>
      <c r="T84" s="12"/>
      <c r="U84" s="12"/>
      <c r="V84" s="12"/>
      <c r="W84" s="12">
        <f t="shared" si="19"/>
        <v>0</v>
      </c>
      <c r="Y84" s="10">
        <v>18</v>
      </c>
      <c r="Z84" s="30"/>
      <c r="AA84" s="31"/>
      <c r="AB84" s="32"/>
      <c r="AC84" s="32"/>
      <c r="AD84" s="32"/>
      <c r="AE84" s="32">
        <f t="shared" si="25"/>
        <v>0</v>
      </c>
      <c r="AF84" s="12"/>
      <c r="AG84" s="12"/>
      <c r="AH84" s="12"/>
      <c r="AI84" s="12">
        <f t="shared" si="21"/>
        <v>0</v>
      </c>
      <c r="AK84" s="62"/>
      <c r="AL84" s="66"/>
      <c r="AM84" s="88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8"/>
      <c r="D85" s="60"/>
      <c r="E85" s="60"/>
      <c r="F85" s="60"/>
      <c r="G85" s="60"/>
      <c r="H85" s="61"/>
      <c r="I85" s="61"/>
      <c r="J85" s="61"/>
      <c r="K85" s="61"/>
      <c r="M85" s="10">
        <v>19</v>
      </c>
      <c r="N85" s="30"/>
      <c r="O85" s="31"/>
      <c r="P85" s="32"/>
      <c r="Q85" s="32"/>
      <c r="R85" s="32"/>
      <c r="S85" s="32">
        <f t="shared" si="18"/>
        <v>0</v>
      </c>
      <c r="T85" s="12"/>
      <c r="U85" s="12"/>
      <c r="V85" s="12"/>
      <c r="W85" s="12">
        <f t="shared" si="19"/>
        <v>0</v>
      </c>
      <c r="Y85" s="10">
        <v>19</v>
      </c>
      <c r="Z85" s="30"/>
      <c r="AA85" s="31"/>
      <c r="AB85" s="32"/>
      <c r="AC85" s="32"/>
      <c r="AD85" s="32"/>
      <c r="AE85" s="32">
        <f t="shared" si="25"/>
        <v>0</v>
      </c>
      <c r="AF85" s="12"/>
      <c r="AG85" s="12"/>
      <c r="AH85" s="12"/>
      <c r="AI85" s="12">
        <f t="shared" si="21"/>
        <v>0</v>
      </c>
      <c r="AK85" s="62"/>
      <c r="AL85" s="66"/>
      <c r="AM85" s="88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8"/>
      <c r="D86" s="60"/>
      <c r="E86" s="60"/>
      <c r="F86" s="60"/>
      <c r="G86" s="60"/>
      <c r="H86" s="61"/>
      <c r="I86" s="61"/>
      <c r="J86" s="61"/>
      <c r="K86" s="61"/>
      <c r="M86" s="10">
        <v>20</v>
      </c>
      <c r="N86" s="30"/>
      <c r="O86" s="31"/>
      <c r="P86" s="32"/>
      <c r="Q86" s="32"/>
      <c r="R86" s="32"/>
      <c r="S86" s="32">
        <f t="shared" si="18"/>
        <v>0</v>
      </c>
      <c r="T86" s="12"/>
      <c r="U86" s="12"/>
      <c r="V86" s="12"/>
      <c r="W86" s="12">
        <f t="shared" si="19"/>
        <v>0</v>
      </c>
      <c r="Y86" s="10">
        <v>20</v>
      </c>
      <c r="Z86" s="30"/>
      <c r="AB86" s="32"/>
      <c r="AC86" s="32"/>
      <c r="AD86" s="32"/>
      <c r="AE86" s="32">
        <f t="shared" si="25"/>
        <v>0</v>
      </c>
      <c r="AF86" s="12"/>
      <c r="AG86" s="12"/>
      <c r="AH86" s="12"/>
      <c r="AI86" s="12">
        <f t="shared" si="21"/>
        <v>0</v>
      </c>
      <c r="AK86" s="62"/>
      <c r="AL86" s="66"/>
      <c r="AM86" s="88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8"/>
      <c r="D87" s="60"/>
      <c r="E87" s="60"/>
      <c r="F87" s="60"/>
      <c r="G87" s="60"/>
      <c r="H87" s="62"/>
      <c r="I87" s="62"/>
      <c r="J87" s="62"/>
      <c r="K87" s="61"/>
      <c r="M87" s="10">
        <v>21</v>
      </c>
      <c r="N87" s="30"/>
      <c r="O87" s="31"/>
      <c r="P87" s="46"/>
      <c r="Q87" s="31"/>
      <c r="R87" s="31"/>
      <c r="S87" s="32">
        <f t="shared" si="18"/>
        <v>0</v>
      </c>
      <c r="T87" s="10"/>
      <c r="U87" s="10"/>
      <c r="V87" s="10"/>
      <c r="W87" s="12">
        <f t="shared" si="19"/>
        <v>0</v>
      </c>
      <c r="Y87" s="10">
        <v>21</v>
      </c>
      <c r="Z87" s="30"/>
      <c r="AA87" s="31"/>
      <c r="AB87" s="46"/>
      <c r="AC87" s="31"/>
      <c r="AD87" s="31"/>
      <c r="AE87" s="32">
        <f t="shared" si="25"/>
        <v>0</v>
      </c>
      <c r="AF87" s="10"/>
      <c r="AG87" s="10"/>
      <c r="AH87" s="10"/>
      <c r="AI87" s="12">
        <f t="shared" si="21"/>
        <v>0</v>
      </c>
      <c r="AK87" s="62"/>
      <c r="AL87" s="66"/>
      <c r="AM87" s="88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8"/>
      <c r="D88" s="60"/>
      <c r="E88" s="60"/>
      <c r="F88" s="60"/>
      <c r="G88" s="60"/>
      <c r="H88" s="62"/>
      <c r="I88" s="62"/>
      <c r="J88" s="62"/>
      <c r="K88" s="61"/>
      <c r="M88" s="10">
        <v>22</v>
      </c>
      <c r="N88" s="30"/>
      <c r="P88" s="45"/>
      <c r="Q88" s="31"/>
      <c r="R88" s="31"/>
      <c r="S88" s="32">
        <f t="shared" si="18"/>
        <v>0</v>
      </c>
      <c r="T88" s="10"/>
      <c r="U88" s="10"/>
      <c r="V88" s="10"/>
      <c r="W88" s="12">
        <f t="shared" si="19"/>
        <v>0</v>
      </c>
      <c r="Y88" s="10">
        <v>22</v>
      </c>
      <c r="Z88" s="30"/>
      <c r="AA88" s="31"/>
      <c r="AB88" s="45"/>
      <c r="AC88" s="31"/>
      <c r="AD88" s="31"/>
      <c r="AE88" s="32">
        <f t="shared" si="25"/>
        <v>0</v>
      </c>
      <c r="AF88" s="10"/>
      <c r="AG88" s="10"/>
      <c r="AH88" s="10"/>
      <c r="AI88" s="12">
        <f t="shared" si="21"/>
        <v>0</v>
      </c>
      <c r="AK88" s="62"/>
      <c r="AL88" s="66"/>
      <c r="AM88" s="88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8"/>
      <c r="D89" s="60"/>
      <c r="E89" s="60"/>
      <c r="F89" s="60"/>
      <c r="G89" s="60"/>
      <c r="H89" s="62"/>
      <c r="I89" s="62"/>
      <c r="J89" s="61"/>
      <c r="K89" s="61"/>
      <c r="M89" s="10">
        <v>23</v>
      </c>
      <c r="N89" s="30"/>
      <c r="O89" s="31"/>
      <c r="P89" s="47"/>
      <c r="S89" s="32">
        <f t="shared" si="18"/>
        <v>0</v>
      </c>
      <c r="T89" s="10"/>
      <c r="U89" s="10"/>
      <c r="V89" s="10"/>
      <c r="W89" s="12">
        <f t="shared" si="19"/>
        <v>0</v>
      </c>
      <c r="Y89" s="10">
        <v>23</v>
      </c>
      <c r="Z89" s="30"/>
      <c r="AA89" s="31"/>
      <c r="AB89" s="47"/>
      <c r="AE89" s="32">
        <f t="shared" si="25"/>
        <v>0</v>
      </c>
      <c r="AF89" s="10"/>
      <c r="AG89" s="10"/>
      <c r="AH89" s="10"/>
      <c r="AI89" s="12">
        <f t="shared" si="21"/>
        <v>0</v>
      </c>
      <c r="AK89" s="62"/>
      <c r="AL89" s="66"/>
      <c r="AM89" s="88"/>
      <c r="AN89" s="67"/>
      <c r="AO89" s="88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8"/>
      <c r="D90" s="60"/>
      <c r="E90" s="60"/>
      <c r="F90" s="60"/>
      <c r="G90" s="60"/>
      <c r="H90" s="62"/>
      <c r="I90" s="62"/>
      <c r="J90" s="62"/>
      <c r="K90" s="61"/>
      <c r="M90" s="10">
        <v>24</v>
      </c>
      <c r="N90" s="30"/>
      <c r="O90" s="11"/>
      <c r="P90" s="47"/>
      <c r="Q90" s="31"/>
      <c r="R90" s="31"/>
      <c r="S90" s="32">
        <f t="shared" si="18"/>
        <v>0</v>
      </c>
      <c r="T90" s="10"/>
      <c r="U90" s="10"/>
      <c r="V90" s="10"/>
      <c r="W90" s="12">
        <f t="shared" si="19"/>
        <v>0</v>
      </c>
      <c r="Y90" s="10">
        <v>24</v>
      </c>
      <c r="Z90" s="30"/>
      <c r="AA90" s="31"/>
      <c r="AB90" s="47"/>
      <c r="AC90" s="31"/>
      <c r="AD90" s="31"/>
      <c r="AE90" s="32">
        <f t="shared" si="25"/>
        <v>0</v>
      </c>
      <c r="AF90" s="10"/>
      <c r="AG90" s="10"/>
      <c r="AH90" s="10"/>
      <c r="AI90" s="12">
        <f t="shared" si="21"/>
        <v>0</v>
      </c>
      <c r="AK90" s="62"/>
      <c r="AL90" s="66"/>
      <c r="AM90" s="88"/>
      <c r="AN90" s="68"/>
      <c r="AO90" s="88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8"/>
      <c r="D91" s="60"/>
      <c r="E91" s="60"/>
      <c r="F91" s="60"/>
      <c r="G91" s="60"/>
      <c r="H91" s="62"/>
      <c r="I91" s="62"/>
      <c r="J91" s="62"/>
      <c r="K91" s="61"/>
      <c r="M91" s="10">
        <v>25</v>
      </c>
      <c r="N91" s="30"/>
      <c r="O91" s="31"/>
      <c r="P91" s="47"/>
      <c r="Q91" s="31"/>
      <c r="R91" s="31"/>
      <c r="S91" s="32">
        <f t="shared" si="18"/>
        <v>0</v>
      </c>
      <c r="T91" s="10"/>
      <c r="U91" s="10"/>
      <c r="V91" s="10"/>
      <c r="W91" s="12">
        <f t="shared" si="19"/>
        <v>0</v>
      </c>
      <c r="Y91" s="10">
        <v>25</v>
      </c>
      <c r="Z91" s="30"/>
      <c r="AA91" s="11"/>
      <c r="AB91" s="47"/>
      <c r="AC91" s="31"/>
      <c r="AD91" s="31"/>
      <c r="AE91" s="32">
        <f t="shared" si="25"/>
        <v>0</v>
      </c>
      <c r="AF91" s="10"/>
      <c r="AG91" s="10"/>
      <c r="AH91" s="10"/>
      <c r="AI91" s="12">
        <f t="shared" si="21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8"/>
      <c r="D92" s="60"/>
      <c r="E92" s="60"/>
      <c r="F92" s="60"/>
      <c r="G92" s="60"/>
      <c r="H92" s="62"/>
      <c r="I92" s="62"/>
      <c r="J92" s="62"/>
      <c r="K92" s="61"/>
      <c r="M92" s="10">
        <v>26</v>
      </c>
      <c r="N92" s="30"/>
      <c r="O92" s="31"/>
      <c r="P92" s="47"/>
      <c r="Q92" s="31"/>
      <c r="R92" s="31"/>
      <c r="S92" s="32">
        <f t="shared" si="18"/>
        <v>0</v>
      </c>
      <c r="T92" s="10"/>
      <c r="U92" s="10"/>
      <c r="V92" s="10"/>
      <c r="W92" s="12">
        <f t="shared" si="19"/>
        <v>0</v>
      </c>
      <c r="Y92" s="10">
        <v>26</v>
      </c>
      <c r="Z92" s="30"/>
      <c r="AB92" s="47"/>
      <c r="AC92" s="31"/>
      <c r="AD92" s="31"/>
      <c r="AE92" s="32">
        <f t="shared" si="25"/>
        <v>0</v>
      </c>
      <c r="AF92" s="10"/>
      <c r="AG92" s="10"/>
      <c r="AH92" s="10"/>
      <c r="AI92" s="12">
        <f t="shared" si="21"/>
        <v>0</v>
      </c>
      <c r="AK92" s="62"/>
      <c r="AL92" s="66"/>
      <c r="AM92" s="88"/>
      <c r="AN92" s="69"/>
      <c r="AO92" s="88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8"/>
      <c r="D93" s="60"/>
      <c r="E93" s="60"/>
      <c r="F93" s="60"/>
      <c r="G93" s="60"/>
      <c r="H93" s="62"/>
      <c r="I93" s="62"/>
      <c r="J93" s="62"/>
      <c r="K93" s="61"/>
      <c r="M93" s="10">
        <v>27</v>
      </c>
      <c r="N93" s="30"/>
      <c r="O93" s="31"/>
      <c r="P93" s="47"/>
      <c r="Q93" s="31"/>
      <c r="R93" s="31"/>
      <c r="S93" s="32">
        <f t="shared" si="18"/>
        <v>0</v>
      </c>
      <c r="T93" s="10"/>
      <c r="U93" s="10"/>
      <c r="V93" s="10"/>
      <c r="W93" s="12">
        <f t="shared" si="19"/>
        <v>0</v>
      </c>
      <c r="Y93" s="10">
        <v>27</v>
      </c>
      <c r="Z93" s="30"/>
      <c r="AA93" s="31"/>
      <c r="AB93" s="47"/>
      <c r="AC93" s="31"/>
      <c r="AD93" s="31"/>
      <c r="AE93" s="32">
        <f t="shared" si="25"/>
        <v>0</v>
      </c>
      <c r="AF93" s="10"/>
      <c r="AG93" s="10"/>
      <c r="AH93" s="10"/>
      <c r="AI93" s="12">
        <f t="shared" si="21"/>
        <v>0</v>
      </c>
      <c r="AK93" s="62"/>
      <c r="AL93" s="66"/>
      <c r="AM93" s="88"/>
      <c r="AN93" s="69"/>
      <c r="AO93" s="88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8"/>
      <c r="D94" s="60"/>
      <c r="E94" s="60"/>
      <c r="F94" s="60"/>
      <c r="G94" s="60"/>
      <c r="H94" s="62"/>
      <c r="I94" s="62"/>
      <c r="J94" s="62"/>
      <c r="K94" s="61"/>
      <c r="M94" s="10">
        <v>28</v>
      </c>
      <c r="N94" s="30"/>
      <c r="O94" s="31"/>
      <c r="P94" s="47"/>
      <c r="Q94" s="31"/>
      <c r="R94" s="31"/>
      <c r="S94" s="32">
        <f t="shared" si="18"/>
        <v>0</v>
      </c>
      <c r="T94" s="10"/>
      <c r="U94" s="10"/>
      <c r="V94" s="10"/>
      <c r="W94" s="12">
        <f t="shared" si="19"/>
        <v>0</v>
      </c>
      <c r="Y94" s="10">
        <v>28</v>
      </c>
      <c r="Z94" s="30"/>
      <c r="AA94" s="31"/>
      <c r="AB94" s="47"/>
      <c r="AC94" s="31"/>
      <c r="AD94" s="31"/>
      <c r="AE94" s="32">
        <f t="shared" si="25"/>
        <v>0</v>
      </c>
      <c r="AF94" s="10"/>
      <c r="AG94" s="10"/>
      <c r="AH94" s="10"/>
      <c r="AI94" s="12">
        <f t="shared" si="21"/>
        <v>0</v>
      </c>
      <c r="AK94" s="62"/>
      <c r="AL94" s="66"/>
      <c r="AM94" s="62"/>
      <c r="AN94" s="69"/>
      <c r="AO94" s="88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8"/>
      <c r="D95" s="60"/>
      <c r="E95" s="60"/>
      <c r="F95" s="60"/>
      <c r="G95" s="60"/>
      <c r="H95" s="62"/>
      <c r="I95" s="62"/>
      <c r="J95" s="62"/>
      <c r="K95" s="61"/>
      <c r="M95" s="10">
        <v>29</v>
      </c>
      <c r="N95" s="30"/>
      <c r="P95" s="47"/>
      <c r="Q95" s="31"/>
      <c r="R95" s="31"/>
      <c r="S95" s="32">
        <f t="shared" si="18"/>
        <v>0</v>
      </c>
      <c r="T95" s="10"/>
      <c r="U95" s="10"/>
      <c r="V95" s="10"/>
      <c r="W95" s="12">
        <f t="shared" si="19"/>
        <v>0</v>
      </c>
      <c r="Y95" s="10">
        <v>29</v>
      </c>
      <c r="Z95" s="30"/>
      <c r="AA95" s="31"/>
      <c r="AB95" s="47"/>
      <c r="AC95" s="31"/>
      <c r="AD95" s="31"/>
      <c r="AE95" s="32">
        <f t="shared" si="25"/>
        <v>0</v>
      </c>
      <c r="AF95" s="10"/>
      <c r="AG95" s="10"/>
      <c r="AH95" s="10"/>
      <c r="AI95" s="12">
        <f t="shared" si="21"/>
        <v>0</v>
      </c>
      <c r="AK95" s="62"/>
      <c r="AL95" s="66"/>
      <c r="AM95" s="88"/>
      <c r="AN95" s="69"/>
      <c r="AO95" s="88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8"/>
      <c r="D96" s="60"/>
      <c r="E96" s="60"/>
      <c r="F96" s="60"/>
      <c r="G96" s="60"/>
      <c r="H96" s="62"/>
      <c r="I96" s="62"/>
      <c r="J96" s="62"/>
      <c r="K96" s="61"/>
      <c r="M96" s="10">
        <v>30</v>
      </c>
      <c r="N96" s="30"/>
      <c r="P96" s="47"/>
      <c r="Q96" s="31"/>
      <c r="R96" s="31"/>
      <c r="S96" s="32">
        <f t="shared" si="18"/>
        <v>0</v>
      </c>
      <c r="T96" s="10"/>
      <c r="U96" s="10"/>
      <c r="V96" s="10"/>
      <c r="W96" s="12">
        <f t="shared" si="19"/>
        <v>0</v>
      </c>
      <c r="Y96" s="10">
        <v>30</v>
      </c>
      <c r="Z96" s="30"/>
      <c r="AB96" s="47"/>
      <c r="AC96" s="31"/>
      <c r="AD96" s="31"/>
      <c r="AE96" s="32">
        <f t="shared" si="25"/>
        <v>0</v>
      </c>
      <c r="AF96" s="10"/>
      <c r="AG96" s="10"/>
      <c r="AH96" s="10"/>
      <c r="AI96" s="12">
        <f t="shared" si="21"/>
        <v>0</v>
      </c>
      <c r="AK96" s="62"/>
      <c r="AL96" s="66"/>
      <c r="AM96" s="88"/>
      <c r="AN96" s="69"/>
      <c r="AO96" s="88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8"/>
      <c r="D97" s="60"/>
      <c r="E97" s="60"/>
      <c r="F97" s="60"/>
      <c r="G97" s="60"/>
      <c r="H97" s="62"/>
      <c r="I97" s="62"/>
      <c r="J97" s="62"/>
      <c r="K97" s="61"/>
      <c r="M97" s="10">
        <v>31</v>
      </c>
      <c r="N97" s="30"/>
      <c r="O97" s="31"/>
      <c r="P97" s="47"/>
      <c r="Q97" s="31"/>
      <c r="R97" s="31"/>
      <c r="S97" s="32">
        <f t="shared" si="18"/>
        <v>0</v>
      </c>
      <c r="T97" s="10"/>
      <c r="U97" s="10"/>
      <c r="V97" s="10"/>
      <c r="W97" s="12">
        <f t="shared" si="19"/>
        <v>0</v>
      </c>
      <c r="Y97" s="10">
        <v>31</v>
      </c>
      <c r="Z97" s="30"/>
      <c r="AB97" s="47"/>
      <c r="AC97" s="31"/>
      <c r="AD97" s="31"/>
      <c r="AE97" s="32">
        <f t="shared" si="25"/>
        <v>0</v>
      </c>
      <c r="AF97" s="10"/>
      <c r="AG97" s="10"/>
      <c r="AH97" s="10"/>
      <c r="AI97" s="12">
        <f t="shared" si="21"/>
        <v>0</v>
      </c>
      <c r="AK97" s="62"/>
      <c r="AL97" s="66"/>
      <c r="AM97" s="88"/>
      <c r="AN97" s="69"/>
      <c r="AO97" s="88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M98" s="10">
        <v>32</v>
      </c>
      <c r="N98" s="30"/>
      <c r="P98" s="47"/>
      <c r="Q98" s="31"/>
      <c r="R98" s="31"/>
      <c r="S98" s="32">
        <f t="shared" si="18"/>
        <v>0</v>
      </c>
      <c r="T98" s="10"/>
      <c r="U98" s="10"/>
      <c r="V98" s="10"/>
      <c r="W98" s="12">
        <f t="shared" si="19"/>
        <v>0</v>
      </c>
      <c r="Y98" s="10">
        <v>32</v>
      </c>
      <c r="Z98" s="30"/>
      <c r="AA98" s="31"/>
      <c r="AB98" s="47"/>
      <c r="AC98" s="31"/>
      <c r="AD98" s="31"/>
      <c r="AE98" s="32">
        <f t="shared" si="25"/>
        <v>0</v>
      </c>
      <c r="AF98" s="10"/>
      <c r="AG98" s="10"/>
      <c r="AH98" s="10"/>
      <c r="AI98" s="12">
        <f t="shared" si="21"/>
        <v>0</v>
      </c>
      <c r="AK98" s="62"/>
      <c r="AL98" s="66"/>
      <c r="AM98" s="88"/>
      <c r="AN98" s="69"/>
      <c r="AO98" s="88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8"/>
      <c r="D99" s="60"/>
      <c r="E99" s="60"/>
      <c r="F99" s="60"/>
      <c r="G99" s="60"/>
      <c r="H99" s="62"/>
      <c r="I99" s="62"/>
      <c r="J99" s="62"/>
      <c r="K99" s="61"/>
      <c r="M99" s="10">
        <v>33</v>
      </c>
      <c r="N99" s="30"/>
      <c r="O99" s="31"/>
      <c r="P99" s="47"/>
      <c r="Q99" s="31"/>
      <c r="R99" s="31"/>
      <c r="S99" s="32">
        <f t="shared" si="18"/>
        <v>0</v>
      </c>
      <c r="T99" s="10"/>
      <c r="U99" s="10"/>
      <c r="V99" s="10"/>
      <c r="W99" s="12">
        <f t="shared" si="19"/>
        <v>0</v>
      </c>
      <c r="Y99" s="10">
        <v>33</v>
      </c>
      <c r="Z99" s="30"/>
      <c r="AA99" s="31"/>
      <c r="AB99" s="47"/>
      <c r="AC99" s="31"/>
      <c r="AD99" s="31"/>
      <c r="AE99" s="32">
        <f t="shared" si="25"/>
        <v>0</v>
      </c>
      <c r="AF99" s="10"/>
      <c r="AG99" s="10"/>
      <c r="AH99" s="10"/>
      <c r="AI99" s="12">
        <f t="shared" si="21"/>
        <v>0</v>
      </c>
      <c r="AK99" s="62"/>
      <c r="AL99" s="66"/>
      <c r="AM99" s="88"/>
      <c r="AN99" s="69"/>
      <c r="AO99" s="88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8"/>
      <c r="D100" s="60"/>
      <c r="E100" s="60"/>
      <c r="F100" s="60"/>
      <c r="G100" s="60"/>
      <c r="H100" s="62"/>
      <c r="I100" s="62"/>
      <c r="J100" s="62"/>
      <c r="K100" s="61"/>
      <c r="M100" s="10">
        <v>34</v>
      </c>
      <c r="N100" s="30"/>
      <c r="O100" s="31"/>
      <c r="P100" s="47"/>
      <c r="Q100" s="31"/>
      <c r="R100" s="31"/>
      <c r="S100" s="32">
        <f t="shared" si="18"/>
        <v>0</v>
      </c>
      <c r="T100" s="10"/>
      <c r="U100" s="10"/>
      <c r="V100" s="10"/>
      <c r="W100" s="12">
        <f t="shared" si="19"/>
        <v>0</v>
      </c>
      <c r="Y100" s="10">
        <v>34</v>
      </c>
      <c r="Z100" s="30"/>
      <c r="AB100" s="47"/>
      <c r="AC100" s="31"/>
      <c r="AD100" s="31"/>
      <c r="AE100" s="32">
        <f t="shared" si="25"/>
        <v>0</v>
      </c>
      <c r="AF100" s="10"/>
      <c r="AG100" s="10"/>
      <c r="AH100" s="10"/>
      <c r="AI100" s="12">
        <f t="shared" si="21"/>
        <v>0</v>
      </c>
      <c r="AK100" s="62"/>
      <c r="AL100" s="66"/>
      <c r="AM100" s="88"/>
      <c r="AN100" s="69"/>
      <c r="AO100" s="88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8"/>
      <c r="D101" s="60"/>
      <c r="E101" s="60"/>
      <c r="F101" s="60"/>
      <c r="G101" s="60"/>
      <c r="H101" s="62"/>
      <c r="I101" s="62"/>
      <c r="J101" s="62"/>
      <c r="K101" s="61"/>
      <c r="M101" s="10">
        <v>35</v>
      </c>
      <c r="N101" s="30"/>
      <c r="O101" s="31"/>
      <c r="P101" s="47"/>
      <c r="Q101" s="31"/>
      <c r="R101" s="31"/>
      <c r="S101" s="32">
        <f t="shared" si="18"/>
        <v>0</v>
      </c>
      <c r="T101" s="10"/>
      <c r="U101" s="10"/>
      <c r="V101" s="10"/>
      <c r="W101" s="12">
        <f t="shared" si="19"/>
        <v>0</v>
      </c>
      <c r="Y101" s="10">
        <v>35</v>
      </c>
      <c r="Z101" s="30"/>
      <c r="AA101" s="31"/>
      <c r="AB101" s="47"/>
      <c r="AC101" s="31"/>
      <c r="AD101" s="31"/>
      <c r="AE101" s="32">
        <f t="shared" si="25"/>
        <v>0</v>
      </c>
      <c r="AF101" s="10"/>
      <c r="AG101" s="10"/>
      <c r="AH101" s="10"/>
      <c r="AI101" s="12">
        <f t="shared" si="21"/>
        <v>0</v>
      </c>
      <c r="AK101" s="62"/>
      <c r="AL101" s="66"/>
      <c r="AM101" s="88"/>
      <c r="AN101" s="69"/>
      <c r="AO101" s="88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8"/>
      <c r="D102" s="60"/>
      <c r="E102" s="60"/>
      <c r="F102" s="60"/>
      <c r="G102" s="60"/>
      <c r="H102" s="62"/>
      <c r="I102" s="62"/>
      <c r="J102" s="62"/>
      <c r="K102" s="61"/>
      <c r="M102" s="10">
        <v>36</v>
      </c>
      <c r="N102" s="30"/>
      <c r="O102" s="31"/>
      <c r="P102" s="47"/>
      <c r="Q102" s="31"/>
      <c r="R102" s="31"/>
      <c r="S102" s="32">
        <f t="shared" si="18"/>
        <v>0</v>
      </c>
      <c r="T102" s="10"/>
      <c r="U102" s="10"/>
      <c r="V102" s="10"/>
      <c r="W102" s="12">
        <f t="shared" si="19"/>
        <v>0</v>
      </c>
      <c r="Y102" s="10">
        <v>36</v>
      </c>
      <c r="Z102" s="30"/>
      <c r="AA102" s="31"/>
      <c r="AB102" s="47"/>
      <c r="AC102" s="31"/>
      <c r="AD102" s="31"/>
      <c r="AE102" s="32">
        <f t="shared" si="25"/>
        <v>0</v>
      </c>
      <c r="AF102" s="10"/>
      <c r="AG102" s="10"/>
      <c r="AH102" s="10"/>
      <c r="AI102" s="12">
        <f t="shared" si="21"/>
        <v>0</v>
      </c>
      <c r="AK102" s="62"/>
      <c r="AL102" s="66"/>
      <c r="AM102" s="88"/>
      <c r="AN102" s="69"/>
      <c r="AO102" s="88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8"/>
      <c r="D103" s="60"/>
      <c r="E103" s="60"/>
      <c r="F103" s="60"/>
      <c r="G103" s="60"/>
      <c r="H103" s="62"/>
      <c r="I103" s="62"/>
      <c r="J103" s="62"/>
      <c r="K103" s="61"/>
      <c r="M103" s="10">
        <v>37</v>
      </c>
      <c r="N103" s="30"/>
      <c r="P103" s="47"/>
      <c r="Q103" s="31"/>
      <c r="R103" s="31"/>
      <c r="S103" s="32">
        <f t="shared" si="18"/>
        <v>0</v>
      </c>
      <c r="T103" s="10"/>
      <c r="U103" s="10"/>
      <c r="V103" s="10"/>
      <c r="W103" s="12">
        <f t="shared" si="19"/>
        <v>0</v>
      </c>
      <c r="Y103" s="10">
        <v>37</v>
      </c>
      <c r="Z103" s="30"/>
      <c r="AA103" s="31"/>
      <c r="AB103" s="47"/>
      <c r="AC103" s="31"/>
      <c r="AD103" s="31"/>
      <c r="AE103" s="32">
        <f t="shared" si="25"/>
        <v>0</v>
      </c>
      <c r="AF103" s="10"/>
      <c r="AG103" s="10"/>
      <c r="AH103" s="10"/>
      <c r="AI103" s="12">
        <f t="shared" si="21"/>
        <v>0</v>
      </c>
      <c r="AK103" s="62"/>
      <c r="AL103" s="66"/>
      <c r="AM103" s="88"/>
      <c r="AN103" s="69"/>
      <c r="AO103" s="88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8"/>
      <c r="D104" s="60"/>
      <c r="E104" s="60"/>
      <c r="F104" s="60"/>
      <c r="G104" s="60"/>
      <c r="H104" s="62"/>
      <c r="I104" s="62"/>
      <c r="J104" s="62"/>
      <c r="K104" s="61"/>
      <c r="M104" s="10">
        <v>38</v>
      </c>
      <c r="N104" s="30"/>
      <c r="O104" s="31"/>
      <c r="P104" s="47"/>
      <c r="Q104" s="31"/>
      <c r="R104" s="31"/>
      <c r="S104" s="32">
        <f t="shared" si="18"/>
        <v>0</v>
      </c>
      <c r="T104" s="10"/>
      <c r="U104" s="10"/>
      <c r="V104" s="10"/>
      <c r="W104" s="12">
        <f t="shared" si="19"/>
        <v>0</v>
      </c>
      <c r="Y104" s="10">
        <v>38</v>
      </c>
      <c r="Z104" s="30"/>
      <c r="AA104" s="31"/>
      <c r="AB104" s="47"/>
      <c r="AC104" s="31"/>
      <c r="AD104" s="31"/>
      <c r="AE104" s="32">
        <f t="shared" si="25"/>
        <v>0</v>
      </c>
      <c r="AF104" s="10"/>
      <c r="AG104" s="10"/>
      <c r="AH104" s="10"/>
      <c r="AI104" s="12">
        <f t="shared" si="21"/>
        <v>0</v>
      </c>
      <c r="AK104" s="62"/>
      <c r="AL104" s="66"/>
      <c r="AM104" s="88"/>
      <c r="AN104" s="69"/>
      <c r="AO104" s="88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8"/>
      <c r="D105" s="60"/>
      <c r="E105" s="60"/>
      <c r="F105" s="60"/>
      <c r="G105" s="60"/>
      <c r="H105" s="62"/>
      <c r="I105" s="62"/>
      <c r="J105" s="62"/>
      <c r="K105" s="61"/>
      <c r="M105" s="10">
        <v>39</v>
      </c>
      <c r="N105" s="30"/>
      <c r="O105" s="31"/>
      <c r="P105" s="47"/>
      <c r="Q105" s="31"/>
      <c r="R105" s="31"/>
      <c r="S105" s="32">
        <f t="shared" si="18"/>
        <v>0</v>
      </c>
      <c r="T105" s="10"/>
      <c r="U105" s="10"/>
      <c r="V105" s="10"/>
      <c r="W105" s="12">
        <f t="shared" si="19"/>
        <v>0</v>
      </c>
      <c r="Y105" s="10">
        <v>39</v>
      </c>
      <c r="Z105" s="30"/>
      <c r="AA105" s="31"/>
      <c r="AB105" s="47"/>
      <c r="AC105" s="31"/>
      <c r="AD105" s="31"/>
      <c r="AE105" s="32">
        <f t="shared" si="25"/>
        <v>0</v>
      </c>
      <c r="AF105" s="10"/>
      <c r="AG105" s="10"/>
      <c r="AH105" s="10"/>
      <c r="AI105" s="12">
        <f t="shared" si="21"/>
        <v>0</v>
      </c>
      <c r="AK105" s="62"/>
      <c r="AL105" s="66"/>
      <c r="AM105" s="88"/>
      <c r="AN105" s="69"/>
      <c r="AO105" s="88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8"/>
      <c r="D106" s="60"/>
      <c r="E106" s="60"/>
      <c r="F106" s="60"/>
      <c r="G106" s="60"/>
      <c r="H106" s="62"/>
      <c r="I106" s="62"/>
      <c r="J106" s="62"/>
      <c r="K106" s="61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19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1"/>
        <v>0</v>
      </c>
      <c r="AK106" s="62"/>
      <c r="AL106" s="66"/>
      <c r="AM106" s="88"/>
      <c r="AN106" s="69"/>
      <c r="AO106" s="88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8"/>
      <c r="D107" s="60"/>
      <c r="E107" s="60"/>
      <c r="F107" s="60"/>
      <c r="G107" s="60"/>
      <c r="H107" s="62"/>
      <c r="I107" s="62"/>
      <c r="J107" s="62"/>
      <c r="K107" s="61"/>
      <c r="M107" s="10"/>
      <c r="N107" s="30"/>
      <c r="O107" s="31"/>
      <c r="P107" s="47"/>
      <c r="Q107" s="31"/>
      <c r="R107" s="31"/>
      <c r="S107" s="32">
        <f t="shared" ref="S107" si="26">SUM(P107:Q107)</f>
        <v>0</v>
      </c>
      <c r="T107" s="10"/>
      <c r="U107" s="10"/>
      <c r="V107" s="10"/>
      <c r="W107" s="12">
        <f t="shared" si="19"/>
        <v>0</v>
      </c>
      <c r="Y107" s="10"/>
      <c r="Z107" s="30"/>
      <c r="AA107" s="31"/>
      <c r="AB107" s="47"/>
      <c r="AC107" s="31"/>
      <c r="AD107" s="31"/>
      <c r="AE107" s="32">
        <f t="shared" ref="AE107" si="27">SUM(AB107:AC107)</f>
        <v>0</v>
      </c>
      <c r="AF107" s="10"/>
      <c r="AG107" s="10"/>
      <c r="AH107" s="10"/>
      <c r="AI107" s="12">
        <f t="shared" si="21"/>
        <v>0</v>
      </c>
      <c r="AK107" s="62"/>
      <c r="AL107" s="66"/>
      <c r="AM107" s="88"/>
      <c r="AN107" s="69"/>
      <c r="AO107" s="88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19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1"/>
        <v>0</v>
      </c>
      <c r="AK108" s="62"/>
      <c r="AL108" s="66"/>
      <c r="AM108" s="62"/>
      <c r="AN108" s="69"/>
      <c r="AO108" s="88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8"/>
      <c r="C109" s="88"/>
      <c r="D109" s="88"/>
      <c r="E109" s="88"/>
      <c r="F109" s="88"/>
      <c r="G109" s="88"/>
      <c r="H109" s="62"/>
      <c r="I109" s="62"/>
      <c r="J109" s="62"/>
      <c r="K109" s="62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8"/>
      <c r="AN109" s="69"/>
      <c r="AO109" s="88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8"/>
      <c r="C110" s="88"/>
      <c r="D110" s="70"/>
      <c r="E110" s="70"/>
      <c r="F110" s="70"/>
      <c r="G110" s="70"/>
      <c r="H110" s="63"/>
      <c r="I110" s="70"/>
      <c r="J110" s="70"/>
      <c r="K110" s="70"/>
      <c r="N110" s="57"/>
      <c r="O110" s="57"/>
      <c r="P110" s="38">
        <f>SUM(P67:P109)</f>
        <v>393475</v>
      </c>
      <c r="Q110" s="38">
        <f>SUM(Q67:Q91)</f>
        <v>-5067</v>
      </c>
      <c r="R110" s="38">
        <f>SUM(R67:R91)</f>
        <v>0</v>
      </c>
      <c r="S110" s="38">
        <f>SUM(S67:S109)</f>
        <v>388408</v>
      </c>
      <c r="T110" s="4"/>
      <c r="U110" s="41">
        <f>SUM(U67:U109)</f>
        <v>15579</v>
      </c>
      <c r="V110" s="41">
        <f>SUM(V67:V91)</f>
        <v>-1890</v>
      </c>
      <c r="W110" s="42">
        <f>SUM(W67:W109)</f>
        <v>402097</v>
      </c>
      <c r="Z110" s="57"/>
      <c r="AA110" s="57"/>
      <c r="AB110" s="38">
        <f>SUM(AB67:AB109)</f>
        <v>430148</v>
      </c>
      <c r="AC110" s="38">
        <f>SUM(AC67:AC91)</f>
        <v>-2760</v>
      </c>
      <c r="AD110" s="38">
        <f>SUM(AD67:AD91)</f>
        <v>0</v>
      </c>
      <c r="AE110" s="38">
        <f>SUM(AE67:AE109)</f>
        <v>427388</v>
      </c>
      <c r="AF110" s="4"/>
      <c r="AG110" s="41">
        <f>SUM(AG67:AG109)</f>
        <v>26046</v>
      </c>
      <c r="AH110" s="41">
        <f>SUM(AH67:AH91)</f>
        <v>-22755</v>
      </c>
      <c r="AI110" s="42">
        <f>SUM(AI67:AI109)</f>
        <v>430679</v>
      </c>
      <c r="AK110" s="62"/>
      <c r="AL110" s="88"/>
      <c r="AM110" s="88"/>
      <c r="AN110" s="88"/>
      <c r="AO110" s="88"/>
      <c r="AP110" s="88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8"/>
      <c r="AM111" s="88"/>
      <c r="AN111" s="88"/>
      <c r="AO111" s="88"/>
      <c r="AP111" s="88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8"/>
      <c r="O112" s="88"/>
      <c r="P112" s="88"/>
      <c r="Q112" s="88"/>
      <c r="R112" s="88"/>
      <c r="S112" s="88"/>
      <c r="T112" s="62"/>
      <c r="U112" s="62"/>
      <c r="V112" s="62"/>
      <c r="W112" s="62"/>
      <c r="Y112" t="s">
        <v>0</v>
      </c>
      <c r="Z112" s="57"/>
      <c r="AA112" s="57"/>
      <c r="AB112" s="57"/>
      <c r="AC112" s="57"/>
      <c r="AD112" s="57"/>
      <c r="AE112" s="57"/>
      <c r="AK112" s="62"/>
      <c r="AL112" s="88"/>
      <c r="AM112" s="88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29</v>
      </c>
      <c r="B113" s="57"/>
      <c r="C113" s="57"/>
      <c r="D113" s="57"/>
      <c r="E113" s="57"/>
      <c r="G113" s="57"/>
      <c r="M113" s="62"/>
      <c r="N113" s="88"/>
      <c r="O113" s="88"/>
      <c r="P113" s="88"/>
      <c r="Q113" s="88"/>
      <c r="R113" s="88"/>
      <c r="S113" s="88"/>
      <c r="T113" s="62"/>
      <c r="U113" s="62"/>
      <c r="V113" s="62"/>
      <c r="W113" s="62"/>
      <c r="Y113" t="s">
        <v>29</v>
      </c>
      <c r="Z113" s="57"/>
      <c r="AA113" s="57"/>
      <c r="AB113" s="57"/>
      <c r="AC113" s="57"/>
      <c r="AD113" s="57"/>
      <c r="AE113" s="57"/>
      <c r="AK113" s="62"/>
      <c r="AL113" s="88"/>
      <c r="AM113" s="88"/>
      <c r="AN113" s="72"/>
      <c r="AO113" s="88"/>
      <c r="AP113" s="88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8"/>
      <c r="O114" s="88"/>
      <c r="P114" s="88"/>
      <c r="Q114" s="88"/>
      <c r="R114" s="88"/>
      <c r="S114" s="88"/>
      <c r="T114" s="62"/>
      <c r="U114" s="62"/>
      <c r="V114" s="62"/>
      <c r="W114" s="62"/>
      <c r="Z114" s="57"/>
      <c r="AA114" s="57"/>
      <c r="AB114" s="57"/>
      <c r="AC114" s="57"/>
      <c r="AD114" s="57"/>
      <c r="AE114" s="57"/>
      <c r="AK114" s="62"/>
      <c r="AL114" s="88"/>
      <c r="AM114" s="88"/>
      <c r="AN114" s="88"/>
      <c r="AO114" s="88"/>
      <c r="AP114" s="88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15</v>
      </c>
      <c r="B115" s="57"/>
      <c r="C115" s="57"/>
      <c r="D115" s="57"/>
      <c r="E115" s="57"/>
      <c r="G115" s="57"/>
      <c r="M115" s="63"/>
      <c r="N115" s="88"/>
      <c r="O115" s="88"/>
      <c r="P115" s="88"/>
      <c r="Q115" s="88"/>
      <c r="R115" s="88"/>
      <c r="S115" s="88"/>
      <c r="T115" s="62"/>
      <c r="U115" s="62"/>
      <c r="V115" s="62"/>
      <c r="W115" s="62"/>
      <c r="Y115" s="4" t="s">
        <v>15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8"/>
      <c r="O116" s="88"/>
      <c r="P116" s="88"/>
      <c r="Q116" s="88"/>
      <c r="R116" s="88"/>
      <c r="S116" s="88"/>
      <c r="T116" s="62"/>
      <c r="U116" s="62"/>
      <c r="V116" s="62"/>
      <c r="W116" s="62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16</v>
      </c>
      <c r="J117" s="19">
        <v>1</v>
      </c>
      <c r="M117" s="62"/>
      <c r="N117" s="88"/>
      <c r="O117" s="88"/>
      <c r="P117" s="88"/>
      <c r="Q117" s="88"/>
      <c r="R117" s="88"/>
      <c r="S117" s="88"/>
      <c r="T117" s="62"/>
      <c r="U117" s="88"/>
      <c r="V117" s="74"/>
      <c r="W117" s="62"/>
      <c r="Y117" t="s">
        <v>45</v>
      </c>
      <c r="Z117" s="57"/>
      <c r="AA117" s="57"/>
      <c r="AB117" s="57"/>
      <c r="AC117" s="57"/>
      <c r="AD117" s="57"/>
      <c r="AE117" s="57"/>
      <c r="AG117" s="57" t="s">
        <v>16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17</v>
      </c>
      <c r="J118" s="23" t="s">
        <v>36</v>
      </c>
      <c r="K118" s="24"/>
      <c r="M118" s="64"/>
      <c r="N118" s="88"/>
      <c r="O118" s="88"/>
      <c r="P118" s="88"/>
      <c r="Q118" s="88"/>
      <c r="R118" s="88"/>
      <c r="S118" s="88"/>
      <c r="T118" s="62"/>
      <c r="U118" s="65"/>
      <c r="V118" s="65"/>
      <c r="W118" s="62"/>
      <c r="Y118" s="21" t="s">
        <v>46</v>
      </c>
      <c r="Z118" s="20"/>
      <c r="AA118" s="57"/>
      <c r="AB118" s="57"/>
      <c r="AC118" s="57"/>
      <c r="AD118" s="57"/>
      <c r="AE118" s="57"/>
      <c r="AG118" s="22" t="s">
        <v>17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8"/>
      <c r="O119" s="88"/>
      <c r="P119" s="88"/>
      <c r="Q119" s="88"/>
      <c r="R119" s="88"/>
      <c r="S119" s="88"/>
      <c r="T119" s="62"/>
      <c r="U119" s="62"/>
      <c r="V119" s="62"/>
      <c r="W119" s="62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4" t="s">
        <v>18</v>
      </c>
      <c r="E120" s="124"/>
      <c r="F120" s="90"/>
      <c r="G120" s="27"/>
      <c r="I120" s="122" t="s">
        <v>19</v>
      </c>
      <c r="J120" s="123"/>
      <c r="K120" s="120" t="s">
        <v>20</v>
      </c>
      <c r="M120" s="62"/>
      <c r="N120" s="65"/>
      <c r="O120" s="88"/>
      <c r="P120" s="126"/>
      <c r="Q120" s="126"/>
      <c r="R120" s="88"/>
      <c r="S120" s="88"/>
      <c r="T120" s="62"/>
      <c r="U120" s="126"/>
      <c r="V120" s="126"/>
      <c r="W120" s="125"/>
      <c r="Z120" s="25"/>
      <c r="AA120" s="26"/>
      <c r="AB120" s="124" t="s">
        <v>18</v>
      </c>
      <c r="AC120" s="124"/>
      <c r="AD120" s="90"/>
      <c r="AE120" s="27"/>
      <c r="AG120" s="122" t="s">
        <v>19</v>
      </c>
      <c r="AH120" s="123"/>
      <c r="AI120" s="120" t="s">
        <v>20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21</v>
      </c>
      <c r="C121" s="28" t="s">
        <v>22</v>
      </c>
      <c r="D121" s="79" t="s">
        <v>23</v>
      </c>
      <c r="E121" s="78" t="s">
        <v>24</v>
      </c>
      <c r="F121" s="80" t="s">
        <v>35</v>
      </c>
      <c r="G121" s="80" t="s">
        <v>25</v>
      </c>
      <c r="I121" s="29" t="s">
        <v>26</v>
      </c>
      <c r="J121" s="29" t="s">
        <v>27</v>
      </c>
      <c r="K121" s="121"/>
      <c r="M121" s="62"/>
      <c r="N121" s="88"/>
      <c r="O121" s="88"/>
      <c r="P121" s="81"/>
      <c r="Q121" s="83"/>
      <c r="R121" s="83"/>
      <c r="S121" s="83"/>
      <c r="T121" s="62"/>
      <c r="U121" s="87"/>
      <c r="V121" s="87"/>
      <c r="W121" s="125"/>
      <c r="Z121" s="28" t="s">
        <v>21</v>
      </c>
      <c r="AA121" s="28" t="s">
        <v>22</v>
      </c>
      <c r="AB121" s="79" t="s">
        <v>23</v>
      </c>
      <c r="AC121" s="80" t="s">
        <v>24</v>
      </c>
      <c r="AD121" s="80" t="s">
        <v>35</v>
      </c>
      <c r="AE121" s="80" t="s">
        <v>25</v>
      </c>
      <c r="AG121" s="29" t="s">
        <v>26</v>
      </c>
      <c r="AH121" s="29" t="s">
        <v>27</v>
      </c>
      <c r="AI121" s="121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45757</v>
      </c>
      <c r="C122" s="31">
        <v>6238</v>
      </c>
      <c r="D122" s="32">
        <f>626*540+229*20</f>
        <v>342620</v>
      </c>
      <c r="E122" s="32">
        <v>-5040</v>
      </c>
      <c r="F122" s="32"/>
      <c r="G122" s="32">
        <f t="shared" ref="G122:G155" si="28">SUM(D122:E122)</f>
        <v>337580</v>
      </c>
      <c r="H122" s="12"/>
      <c r="I122" s="12">
        <f>13320+1326</f>
        <v>14646</v>
      </c>
      <c r="J122" s="12">
        <f>-1848+-462</f>
        <v>-2310</v>
      </c>
      <c r="K122" s="12">
        <f t="shared" ref="K122:K155" si="29">SUM(G122:J122)</f>
        <v>349916</v>
      </c>
      <c r="M122" s="62"/>
      <c r="N122" s="66"/>
      <c r="O122" s="88"/>
      <c r="P122" s="60"/>
      <c r="Q122" s="60"/>
      <c r="R122" s="60"/>
      <c r="S122" s="60"/>
      <c r="T122" s="61"/>
      <c r="U122" s="61"/>
      <c r="V122" s="61"/>
      <c r="W122" s="61"/>
      <c r="Y122" s="10">
        <v>1</v>
      </c>
      <c r="Z122" s="30">
        <v>45757</v>
      </c>
      <c r="AA122" s="31">
        <v>5838</v>
      </c>
      <c r="AB122" s="32">
        <f>626*78+614+674+2980+832+458</f>
        <v>54386</v>
      </c>
      <c r="AC122" s="32"/>
      <c r="AD122" s="32"/>
      <c r="AE122" s="32">
        <f>SUM(AB122:AC122)</f>
        <v>54386</v>
      </c>
      <c r="AF122" s="12"/>
      <c r="AG122" s="12">
        <f>5550+156</f>
        <v>5706</v>
      </c>
      <c r="AH122" s="12"/>
      <c r="AI122" s="12">
        <f>SUM(AE122:AH122)</f>
        <v>60092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45757</v>
      </c>
      <c r="C123" s="31">
        <f>C122+1</f>
        <v>6239</v>
      </c>
      <c r="D123" s="32">
        <f>11268</f>
        <v>11268</v>
      </c>
      <c r="E123" s="32"/>
      <c r="F123" s="32"/>
      <c r="G123" s="32">
        <f t="shared" si="28"/>
        <v>11268</v>
      </c>
      <c r="H123" s="12"/>
      <c r="I123" s="12"/>
      <c r="J123" s="12"/>
      <c r="K123" s="12">
        <f t="shared" si="29"/>
        <v>11268</v>
      </c>
      <c r="M123" s="62"/>
      <c r="N123" s="66"/>
      <c r="O123" s="88"/>
      <c r="P123" s="60"/>
      <c r="Q123" s="60"/>
      <c r="R123" s="60"/>
      <c r="S123" s="60"/>
      <c r="T123" s="61"/>
      <c r="U123" s="61"/>
      <c r="V123" s="61"/>
      <c r="W123" s="61"/>
      <c r="Y123" s="10">
        <v>2</v>
      </c>
      <c r="Z123" s="30">
        <v>45757</v>
      </c>
      <c r="AA123" s="31">
        <f>AA122+1</f>
        <v>5839</v>
      </c>
      <c r="AB123" s="32">
        <f>626*492+614*11+596*99+852*5+832*5+229*27</f>
        <v>388353</v>
      </c>
      <c r="AC123" s="32">
        <v>-3834</v>
      </c>
      <c r="AD123" s="32"/>
      <c r="AE123" s="32">
        <f t="shared" ref="AE123:AE125" si="30">SUM(AB123:AC123)</f>
        <v>384519</v>
      </c>
      <c r="AF123" s="12"/>
      <c r="AG123" s="12">
        <f>648+270</f>
        <v>918</v>
      </c>
      <c r="AH123" s="12"/>
      <c r="AI123" s="12">
        <f t="shared" ref="AI123:AI163" si="31">SUM(AE123:AH123)</f>
        <v>385437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45757</v>
      </c>
      <c r="C124" s="31">
        <f t="shared" ref="C124:C128" si="32">C123+1</f>
        <v>6240</v>
      </c>
      <c r="D124" s="33">
        <f>626</f>
        <v>626</v>
      </c>
      <c r="E124" s="33"/>
      <c r="F124" s="33"/>
      <c r="G124" s="33">
        <f t="shared" si="28"/>
        <v>626</v>
      </c>
      <c r="H124" s="34"/>
      <c r="I124" s="34"/>
      <c r="J124" s="34"/>
      <c r="K124" s="34">
        <f t="shared" si="29"/>
        <v>626</v>
      </c>
      <c r="M124" s="62"/>
      <c r="N124" s="66"/>
      <c r="O124" s="88"/>
      <c r="P124" s="60"/>
      <c r="Q124" s="60"/>
      <c r="R124" s="60"/>
      <c r="S124" s="60"/>
      <c r="T124" s="61"/>
      <c r="U124" s="61"/>
      <c r="V124" s="61"/>
      <c r="W124" s="61"/>
      <c r="Y124" s="10">
        <v>3</v>
      </c>
      <c r="Z124" s="30"/>
      <c r="AA124" s="11" t="s">
        <v>28</v>
      </c>
      <c r="AB124" s="33"/>
      <c r="AC124" s="33"/>
      <c r="AD124" s="32"/>
      <c r="AE124" s="32">
        <f t="shared" si="30"/>
        <v>0</v>
      </c>
      <c r="AF124" s="12"/>
      <c r="AG124" s="12"/>
      <c r="AH124" s="12"/>
      <c r="AI124" s="12">
        <f t="shared" si="31"/>
        <v>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45757</v>
      </c>
      <c r="C125" s="31">
        <f t="shared" si="32"/>
        <v>6241</v>
      </c>
      <c r="D125" s="32">
        <f>1667+1175+1175+1175+12122+7800</f>
        <v>25114</v>
      </c>
      <c r="E125" s="32">
        <v>-216</v>
      </c>
      <c r="F125" s="32"/>
      <c r="G125" s="32">
        <f t="shared" si="28"/>
        <v>24898</v>
      </c>
      <c r="H125" s="12"/>
      <c r="I125" s="12"/>
      <c r="J125" s="12"/>
      <c r="K125" s="12">
        <f t="shared" si="29"/>
        <v>24898</v>
      </c>
      <c r="M125" s="62"/>
      <c r="N125" s="66"/>
      <c r="O125" s="88"/>
      <c r="P125" s="60"/>
      <c r="Q125" s="60"/>
      <c r="R125" s="60"/>
      <c r="S125" s="60"/>
      <c r="T125" s="61"/>
      <c r="U125" s="61"/>
      <c r="V125" s="61"/>
      <c r="W125" s="61"/>
      <c r="Y125" s="10">
        <v>4</v>
      </c>
      <c r="Z125" s="30"/>
      <c r="AA125" s="31"/>
      <c r="AB125" s="32"/>
      <c r="AC125" s="32"/>
      <c r="AD125" s="32"/>
      <c r="AE125" s="32">
        <f t="shared" si="30"/>
        <v>0</v>
      </c>
      <c r="AF125" s="12"/>
      <c r="AH125" s="12"/>
      <c r="AI125" s="12">
        <f t="shared" si="31"/>
        <v>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45757</v>
      </c>
      <c r="C126" s="31">
        <f t="shared" si="32"/>
        <v>6242</v>
      </c>
      <c r="D126" s="32">
        <f>62600+3070+11920+458</f>
        <v>78048</v>
      </c>
      <c r="E126" s="32"/>
      <c r="F126" s="32"/>
      <c r="G126" s="32">
        <f t="shared" si="28"/>
        <v>78048</v>
      </c>
      <c r="H126" s="12"/>
      <c r="I126" s="12"/>
      <c r="J126" s="12"/>
      <c r="K126" s="12">
        <f t="shared" si="29"/>
        <v>78048</v>
      </c>
      <c r="M126" s="62"/>
      <c r="N126" s="66"/>
      <c r="O126" s="88"/>
      <c r="P126" s="60"/>
      <c r="Q126" s="60"/>
      <c r="R126" s="60"/>
      <c r="S126" s="60"/>
      <c r="T126" s="61"/>
      <c r="U126" s="61"/>
      <c r="V126" s="61"/>
      <c r="W126" s="61"/>
      <c r="Y126" s="10">
        <v>5</v>
      </c>
      <c r="Z126" s="30"/>
      <c r="AA126" s="31"/>
      <c r="AB126" s="32"/>
      <c r="AC126" s="32"/>
      <c r="AD126" s="32"/>
      <c r="AE126" s="32">
        <f t="shared" ref="AE126:AE131" si="33">SUM(AB126:AC126)</f>
        <v>0</v>
      </c>
      <c r="AF126" s="12"/>
      <c r="AG126" s="12"/>
      <c r="AH126" s="12"/>
      <c r="AI126" s="12">
        <f t="shared" si="31"/>
        <v>0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45757</v>
      </c>
      <c r="C127" s="31">
        <f t="shared" si="32"/>
        <v>6243</v>
      </c>
      <c r="D127" s="32">
        <f>22825+2556+3015+500</f>
        <v>28896</v>
      </c>
      <c r="E127" s="32"/>
      <c r="F127" s="32"/>
      <c r="G127" s="32">
        <f t="shared" si="28"/>
        <v>28896</v>
      </c>
      <c r="H127" s="12"/>
      <c r="I127" s="12"/>
      <c r="J127" s="12"/>
      <c r="K127" s="12">
        <f t="shared" si="29"/>
        <v>28896</v>
      </c>
      <c r="M127" s="62"/>
      <c r="N127" s="66"/>
      <c r="O127" s="88"/>
      <c r="P127" s="60"/>
      <c r="Q127" s="60"/>
      <c r="R127" s="60"/>
      <c r="S127" s="60"/>
      <c r="T127" s="61"/>
      <c r="U127" s="61"/>
      <c r="V127" s="62"/>
      <c r="W127" s="61"/>
      <c r="Y127" s="10">
        <v>6</v>
      </c>
      <c r="Z127" s="30"/>
      <c r="AB127" s="32"/>
      <c r="AC127" s="32"/>
      <c r="AD127" s="32"/>
      <c r="AE127" s="32">
        <f t="shared" si="33"/>
        <v>0</v>
      </c>
      <c r="AF127" s="12"/>
      <c r="AG127" s="12"/>
      <c r="AH127" s="10"/>
      <c r="AI127" s="12">
        <f t="shared" si="31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45757</v>
      </c>
      <c r="C128" s="31">
        <f t="shared" si="32"/>
        <v>6244</v>
      </c>
      <c r="D128" s="32">
        <f>1664</f>
        <v>1664</v>
      </c>
      <c r="E128" s="32"/>
      <c r="F128" s="32"/>
      <c r="G128" s="32">
        <f t="shared" si="28"/>
        <v>1664</v>
      </c>
      <c r="H128" s="12"/>
      <c r="I128" s="12"/>
      <c r="J128" s="12"/>
      <c r="K128" s="12">
        <f t="shared" si="29"/>
        <v>1664</v>
      </c>
      <c r="M128" s="62"/>
      <c r="N128" s="66"/>
      <c r="O128" s="88"/>
      <c r="P128" s="60"/>
      <c r="Q128" s="60"/>
      <c r="R128" s="60"/>
      <c r="S128" s="60"/>
      <c r="T128" s="61"/>
      <c r="U128" s="61"/>
      <c r="V128" s="61"/>
      <c r="W128" s="61"/>
      <c r="Y128" s="10">
        <v>7</v>
      </c>
      <c r="Z128" s="30"/>
      <c r="AA128" s="31"/>
      <c r="AB128" s="32"/>
      <c r="AC128" s="32"/>
      <c r="AD128" s="32"/>
      <c r="AE128" s="32">
        <f t="shared" si="33"/>
        <v>0</v>
      </c>
      <c r="AF128" s="12"/>
      <c r="AG128" s="58"/>
      <c r="AH128" s="12"/>
      <c r="AI128" s="12">
        <f t="shared" si="31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11" t="s">
        <v>28</v>
      </c>
      <c r="D129" s="32"/>
      <c r="E129" s="32"/>
      <c r="F129" s="32"/>
      <c r="G129" s="32">
        <f t="shared" si="28"/>
        <v>0</v>
      </c>
      <c r="H129" s="12"/>
      <c r="I129" s="12"/>
      <c r="J129" s="12"/>
      <c r="K129" s="12">
        <f t="shared" si="29"/>
        <v>0</v>
      </c>
      <c r="M129" s="62"/>
      <c r="N129" s="66"/>
      <c r="O129" s="88"/>
      <c r="P129" s="60"/>
      <c r="Q129" s="60"/>
      <c r="R129" s="60"/>
      <c r="S129" s="60"/>
      <c r="T129" s="61"/>
      <c r="U129" s="61"/>
      <c r="V129" s="61"/>
      <c r="W129" s="61"/>
      <c r="Y129" s="10">
        <v>8</v>
      </c>
      <c r="Z129" s="30"/>
      <c r="AA129" s="31"/>
      <c r="AB129" s="32"/>
      <c r="AC129" s="32"/>
      <c r="AE129" s="32">
        <f t="shared" si="33"/>
        <v>0</v>
      </c>
      <c r="AF129" s="12"/>
      <c r="AG129" s="12"/>
      <c r="AH129" s="12"/>
      <c r="AI129" s="12">
        <f t="shared" si="31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31"/>
      <c r="D130" s="32"/>
      <c r="E130" s="32"/>
      <c r="F130" s="32"/>
      <c r="G130" s="32">
        <f t="shared" si="28"/>
        <v>0</v>
      </c>
      <c r="H130" s="12"/>
      <c r="I130" s="12"/>
      <c r="J130" s="12"/>
      <c r="K130" s="12">
        <f t="shared" si="29"/>
        <v>0</v>
      </c>
      <c r="M130" s="62"/>
      <c r="N130" s="66"/>
      <c r="O130" s="88"/>
      <c r="P130" s="60"/>
      <c r="Q130" s="60"/>
      <c r="R130" s="60"/>
      <c r="S130" s="60"/>
      <c r="T130" s="61"/>
      <c r="U130" s="61"/>
      <c r="V130" s="61"/>
      <c r="W130" s="61"/>
      <c r="Y130" s="10">
        <v>9</v>
      </c>
      <c r="Z130" s="30"/>
      <c r="AA130" s="31"/>
      <c r="AC130" s="32"/>
      <c r="AD130" s="32"/>
      <c r="AE130" s="32">
        <f t="shared" si="33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31"/>
      <c r="D131" s="32"/>
      <c r="E131" s="32"/>
      <c r="F131" s="32"/>
      <c r="G131" s="32">
        <f t="shared" si="28"/>
        <v>0</v>
      </c>
      <c r="H131" s="12"/>
      <c r="I131" s="12"/>
      <c r="J131" s="12"/>
      <c r="K131" s="12">
        <f t="shared" si="29"/>
        <v>0</v>
      </c>
      <c r="M131" s="62"/>
      <c r="N131" s="66"/>
      <c r="O131" s="88"/>
      <c r="P131" s="60"/>
      <c r="Q131" s="60"/>
      <c r="R131" s="60"/>
      <c r="S131" s="60"/>
      <c r="T131" s="61"/>
      <c r="U131" s="61"/>
      <c r="V131" s="61"/>
      <c r="W131" s="61"/>
      <c r="Y131" s="10">
        <v>10</v>
      </c>
      <c r="Z131" s="30"/>
      <c r="AA131" s="31"/>
      <c r="AB131" s="32"/>
      <c r="AC131" s="32"/>
      <c r="AD131" s="32"/>
      <c r="AE131" s="32">
        <f t="shared" si="33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D132" s="86"/>
      <c r="E132" s="32"/>
      <c r="F132" s="32"/>
      <c r="G132" s="32">
        <f t="shared" si="28"/>
        <v>0</v>
      </c>
      <c r="H132" s="12"/>
      <c r="I132" s="12"/>
      <c r="J132" s="12"/>
      <c r="K132" s="12">
        <f t="shared" si="29"/>
        <v>0</v>
      </c>
      <c r="M132" s="62"/>
      <c r="N132" s="66"/>
      <c r="O132" s="88"/>
      <c r="P132" s="60"/>
      <c r="Q132" s="60"/>
      <c r="R132" s="60"/>
      <c r="S132" s="60"/>
      <c r="T132" s="61"/>
      <c r="U132" s="61"/>
      <c r="V132" s="61"/>
      <c r="W132" s="61"/>
      <c r="Y132" s="10">
        <v>11</v>
      </c>
      <c r="Z132" s="30"/>
      <c r="AA132" s="31"/>
      <c r="AB132" s="32"/>
      <c r="AC132" s="32"/>
      <c r="AD132" s="32"/>
      <c r="AE132" s="32">
        <f t="shared" ref="AE132:AE160" si="34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31"/>
      <c r="D133" s="32"/>
      <c r="E133" s="32"/>
      <c r="F133" s="32"/>
      <c r="G133" s="32">
        <f t="shared" si="28"/>
        <v>0</v>
      </c>
      <c r="H133" s="12"/>
      <c r="I133" s="12"/>
      <c r="J133" s="10"/>
      <c r="K133" s="12">
        <f t="shared" si="29"/>
        <v>0</v>
      </c>
      <c r="M133" s="62"/>
      <c r="N133" s="66"/>
      <c r="O133" s="88"/>
      <c r="P133" s="60"/>
      <c r="Q133" s="60"/>
      <c r="R133" s="60"/>
      <c r="S133" s="60"/>
      <c r="T133" s="61"/>
      <c r="U133" s="61"/>
      <c r="V133" s="61"/>
      <c r="W133" s="61"/>
      <c r="Y133" s="10">
        <v>12</v>
      </c>
      <c r="Z133" s="30"/>
      <c r="AA133" s="31"/>
      <c r="AB133" s="32"/>
      <c r="AC133" s="32"/>
      <c r="AD133" s="32"/>
      <c r="AE133" s="32">
        <f t="shared" si="34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31"/>
      <c r="D134" s="32"/>
      <c r="E134" s="32"/>
      <c r="F134" s="32"/>
      <c r="G134" s="32">
        <f t="shared" si="28"/>
        <v>0</v>
      </c>
      <c r="H134" s="12"/>
      <c r="I134" s="12"/>
      <c r="J134" s="12"/>
      <c r="K134" s="12">
        <f t="shared" si="29"/>
        <v>0</v>
      </c>
      <c r="M134" s="62"/>
      <c r="N134" s="66"/>
      <c r="O134" s="88"/>
      <c r="P134" s="60"/>
      <c r="Q134" s="60"/>
      <c r="R134" s="60"/>
      <c r="S134" s="60"/>
      <c r="T134" s="61"/>
      <c r="U134" s="61"/>
      <c r="V134" s="61"/>
      <c r="W134" s="61"/>
      <c r="Y134" s="10">
        <v>13</v>
      </c>
      <c r="Z134" s="30"/>
      <c r="AA134" s="31"/>
      <c r="AB134" s="32"/>
      <c r="AC134" s="32"/>
      <c r="AD134" s="32"/>
      <c r="AE134" s="32">
        <f t="shared" si="34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31"/>
      <c r="D135" s="32"/>
      <c r="E135" s="32"/>
      <c r="F135" s="32"/>
      <c r="G135" s="32">
        <f t="shared" si="28"/>
        <v>0</v>
      </c>
      <c r="H135" s="12"/>
      <c r="I135" s="12"/>
      <c r="J135" s="12"/>
      <c r="K135" s="12">
        <f t="shared" si="29"/>
        <v>0</v>
      </c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Y135" s="10">
        <v>14</v>
      </c>
      <c r="Z135" s="30"/>
      <c r="AA135" s="31"/>
      <c r="AB135" s="32"/>
      <c r="AC135" s="32"/>
      <c r="AD135" s="32"/>
      <c r="AE135" s="32">
        <f t="shared" si="34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31"/>
      <c r="D136" s="32"/>
      <c r="E136" s="32"/>
      <c r="F136" s="32"/>
      <c r="G136" s="32">
        <f t="shared" si="28"/>
        <v>0</v>
      </c>
      <c r="H136" s="12"/>
      <c r="I136" s="12"/>
      <c r="J136" s="12"/>
      <c r="K136" s="12">
        <f t="shared" si="29"/>
        <v>0</v>
      </c>
      <c r="M136" s="62"/>
      <c r="N136" s="66"/>
      <c r="O136" s="88"/>
      <c r="P136" s="60"/>
      <c r="Q136" s="60"/>
      <c r="R136" s="60"/>
      <c r="S136" s="60"/>
      <c r="T136" s="61"/>
      <c r="U136" s="61"/>
      <c r="V136" s="61"/>
      <c r="W136" s="61"/>
      <c r="Y136" s="10">
        <v>15</v>
      </c>
      <c r="Z136" s="30"/>
      <c r="AA136" s="31"/>
      <c r="AB136" s="32"/>
      <c r="AC136" s="32"/>
      <c r="AD136" s="32"/>
      <c r="AE136" s="32">
        <f t="shared" si="34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31"/>
      <c r="D137" s="32"/>
      <c r="E137" s="32"/>
      <c r="F137" s="32"/>
      <c r="G137" s="32">
        <f t="shared" si="28"/>
        <v>0</v>
      </c>
      <c r="H137" s="12"/>
      <c r="I137" s="12"/>
      <c r="J137" s="12"/>
      <c r="K137" s="12">
        <f t="shared" si="29"/>
        <v>0</v>
      </c>
      <c r="M137" s="62"/>
      <c r="N137" s="66"/>
      <c r="O137" s="88"/>
      <c r="P137" s="60"/>
      <c r="Q137" s="60"/>
      <c r="R137" s="60"/>
      <c r="S137" s="60"/>
      <c r="T137" s="61"/>
      <c r="U137" s="61"/>
      <c r="V137" s="61"/>
      <c r="W137" s="61"/>
      <c r="Y137" s="10">
        <v>16</v>
      </c>
      <c r="Z137" s="30"/>
      <c r="AB137" s="32"/>
      <c r="AC137" s="32"/>
      <c r="AD137" s="32"/>
      <c r="AE137" s="32">
        <f t="shared" si="34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31"/>
      <c r="D138" s="32"/>
      <c r="E138" s="32"/>
      <c r="F138" s="32"/>
      <c r="G138" s="32">
        <f t="shared" si="28"/>
        <v>0</v>
      </c>
      <c r="H138" s="12"/>
      <c r="I138" s="12"/>
      <c r="J138" s="12"/>
      <c r="K138" s="12">
        <f t="shared" si="29"/>
        <v>0</v>
      </c>
      <c r="M138" s="62"/>
      <c r="N138" s="66"/>
      <c r="O138" s="88"/>
      <c r="P138" s="60"/>
      <c r="Q138" s="60"/>
      <c r="R138" s="60"/>
      <c r="S138" s="60"/>
      <c r="T138" s="61"/>
      <c r="U138" s="61"/>
      <c r="V138" s="61"/>
      <c r="W138" s="61"/>
      <c r="Y138" s="10">
        <v>17</v>
      </c>
      <c r="Z138" s="30"/>
      <c r="AA138" s="31"/>
      <c r="AB138" s="35"/>
      <c r="AC138" s="32"/>
      <c r="AD138" s="32"/>
      <c r="AE138" s="32">
        <f t="shared" si="34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31"/>
      <c r="D139" s="32"/>
      <c r="E139" s="32"/>
      <c r="F139" s="32"/>
      <c r="G139" s="32">
        <f t="shared" si="28"/>
        <v>0</v>
      </c>
      <c r="H139" s="12"/>
      <c r="I139" s="12"/>
      <c r="J139" s="12"/>
      <c r="K139" s="12">
        <f t="shared" si="29"/>
        <v>0</v>
      </c>
      <c r="M139" s="62"/>
      <c r="N139" s="66"/>
      <c r="O139" s="88"/>
      <c r="P139" s="60"/>
      <c r="Q139" s="60"/>
      <c r="R139" s="60"/>
      <c r="S139" s="60"/>
      <c r="T139" s="61"/>
      <c r="U139" s="61"/>
      <c r="V139" s="61"/>
      <c r="W139" s="61"/>
      <c r="Y139" s="10">
        <v>18</v>
      </c>
      <c r="Z139" s="30"/>
      <c r="AA139" s="31"/>
      <c r="AB139" s="32"/>
      <c r="AC139" s="32"/>
      <c r="AD139" s="32"/>
      <c r="AE139" s="32">
        <f t="shared" si="34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31"/>
      <c r="D140" s="32"/>
      <c r="E140" s="32"/>
      <c r="F140" s="32"/>
      <c r="G140" s="32">
        <f t="shared" si="28"/>
        <v>0</v>
      </c>
      <c r="H140" s="12"/>
      <c r="I140" s="12"/>
      <c r="J140" s="12"/>
      <c r="K140" s="12">
        <f t="shared" si="29"/>
        <v>0</v>
      </c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Y140" s="10">
        <v>19</v>
      </c>
      <c r="Z140" s="30"/>
      <c r="AA140" s="31"/>
      <c r="AB140" s="32"/>
      <c r="AC140" s="32"/>
      <c r="AD140" s="32"/>
      <c r="AE140" s="32">
        <f t="shared" si="34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31"/>
      <c r="D141" s="32"/>
      <c r="E141" s="32"/>
      <c r="F141" s="32"/>
      <c r="G141" s="32">
        <f t="shared" si="28"/>
        <v>0</v>
      </c>
      <c r="H141" s="12"/>
      <c r="I141" s="12"/>
      <c r="J141" s="12"/>
      <c r="K141" s="12">
        <f t="shared" si="29"/>
        <v>0</v>
      </c>
      <c r="M141" s="62"/>
      <c r="N141" s="66"/>
      <c r="O141" s="88"/>
      <c r="P141" s="60"/>
      <c r="Q141" s="60"/>
      <c r="R141" s="60"/>
      <c r="S141" s="60"/>
      <c r="T141" s="61"/>
      <c r="U141" s="61"/>
      <c r="V141" s="61"/>
      <c r="W141" s="61"/>
      <c r="Y141" s="10">
        <v>20</v>
      </c>
      <c r="Z141" s="30"/>
      <c r="AB141" s="32"/>
      <c r="AC141" s="32"/>
      <c r="AD141" s="32"/>
      <c r="AE141" s="32">
        <f t="shared" si="34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31"/>
      <c r="D142" s="32"/>
      <c r="E142" s="32"/>
      <c r="F142" s="32"/>
      <c r="G142" s="32">
        <f t="shared" si="28"/>
        <v>0</v>
      </c>
      <c r="H142" s="10"/>
      <c r="I142" s="10"/>
      <c r="J142" s="10"/>
      <c r="K142" s="12">
        <f t="shared" si="29"/>
        <v>0</v>
      </c>
      <c r="M142" s="62"/>
      <c r="N142" s="66"/>
      <c r="O142" s="62"/>
      <c r="P142" s="67"/>
      <c r="Q142" s="88"/>
      <c r="R142" s="88"/>
      <c r="S142" s="60"/>
      <c r="T142" s="62"/>
      <c r="U142" s="62"/>
      <c r="V142" s="62"/>
      <c r="W142" s="61"/>
      <c r="Y142" s="10">
        <v>21</v>
      </c>
      <c r="Z142" s="30"/>
      <c r="AA142" s="31"/>
      <c r="AB142" s="46"/>
      <c r="AC142" s="31"/>
      <c r="AD142" s="31"/>
      <c r="AE142" s="32">
        <f t="shared" si="34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31"/>
      <c r="D143" s="32"/>
      <c r="E143" s="32"/>
      <c r="F143" s="32"/>
      <c r="G143" s="32">
        <f t="shared" si="28"/>
        <v>0</v>
      </c>
      <c r="H143" s="10"/>
      <c r="I143" s="10"/>
      <c r="J143" s="10"/>
      <c r="K143" s="12">
        <f t="shared" si="29"/>
        <v>0</v>
      </c>
      <c r="M143" s="62"/>
      <c r="N143" s="66"/>
      <c r="O143" s="62"/>
      <c r="P143" s="68"/>
      <c r="Q143" s="88"/>
      <c r="R143" s="88"/>
      <c r="S143" s="60"/>
      <c r="T143" s="62"/>
      <c r="U143" s="62"/>
      <c r="V143" s="62"/>
      <c r="W143" s="61"/>
      <c r="Y143" s="10">
        <v>22</v>
      </c>
      <c r="Z143" s="30"/>
      <c r="AA143" s="31"/>
      <c r="AB143" s="45"/>
      <c r="AC143" s="31"/>
      <c r="AD143" s="31"/>
      <c r="AE143" s="32">
        <f t="shared" si="34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28"/>
        <v>0</v>
      </c>
      <c r="H144" s="10"/>
      <c r="I144" s="10"/>
      <c r="J144" s="12"/>
      <c r="K144" s="12">
        <f t="shared" si="29"/>
        <v>0</v>
      </c>
      <c r="M144" s="62"/>
      <c r="N144" s="66"/>
      <c r="O144" s="88"/>
      <c r="P144" s="69"/>
      <c r="Q144" s="62"/>
      <c r="R144" s="62"/>
      <c r="S144" s="60"/>
      <c r="T144" s="62"/>
      <c r="U144" s="62"/>
      <c r="V144" s="62"/>
      <c r="W144" s="61"/>
      <c r="Y144" s="10">
        <v>23</v>
      </c>
      <c r="Z144" s="30"/>
      <c r="AA144" s="31"/>
      <c r="AB144" s="47"/>
      <c r="AC144" s="31"/>
      <c r="AE144" s="32">
        <f t="shared" si="34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28"/>
        <v>0</v>
      </c>
      <c r="H145" s="10"/>
      <c r="I145" s="10"/>
      <c r="J145" s="10"/>
      <c r="K145" s="12">
        <f t="shared" si="29"/>
        <v>0</v>
      </c>
      <c r="M145" s="62"/>
      <c r="N145" s="66"/>
      <c r="O145" s="65"/>
      <c r="P145" s="69"/>
      <c r="Q145" s="88"/>
      <c r="R145" s="88"/>
      <c r="S145" s="60"/>
      <c r="T145" s="62"/>
      <c r="U145" s="62"/>
      <c r="V145" s="62"/>
      <c r="W145" s="61"/>
      <c r="Y145" s="10">
        <v>24</v>
      </c>
      <c r="Z145" s="30"/>
      <c r="AA145" s="31"/>
      <c r="AB145" s="47"/>
      <c r="AC145" s="31"/>
      <c r="AD145" s="31"/>
      <c r="AE145" s="32">
        <f t="shared" si="34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28"/>
        <v>0</v>
      </c>
      <c r="H146" s="10"/>
      <c r="I146" s="10"/>
      <c r="J146" s="10"/>
      <c r="K146" s="12">
        <f t="shared" si="29"/>
        <v>0</v>
      </c>
      <c r="M146" s="62"/>
      <c r="N146" s="66"/>
      <c r="O146" s="88"/>
      <c r="P146" s="69"/>
      <c r="Q146" s="88"/>
      <c r="R146" s="88"/>
      <c r="S146" s="60"/>
      <c r="T146" s="62"/>
      <c r="U146" s="62"/>
      <c r="V146" s="62"/>
      <c r="W146" s="61"/>
      <c r="Y146" s="10">
        <v>25</v>
      </c>
      <c r="Z146" s="30"/>
      <c r="AA146" s="11"/>
      <c r="AB146" s="47"/>
      <c r="AC146" s="31"/>
      <c r="AD146" s="31"/>
      <c r="AE146" s="32">
        <f t="shared" si="34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28"/>
        <v>0</v>
      </c>
      <c r="H147" s="10"/>
      <c r="I147" s="10"/>
      <c r="J147" s="10"/>
      <c r="K147" s="12">
        <f t="shared" si="29"/>
        <v>0</v>
      </c>
      <c r="M147" s="62"/>
      <c r="N147" s="66"/>
      <c r="O147" s="88"/>
      <c r="P147" s="69"/>
      <c r="Q147" s="88"/>
      <c r="R147" s="88"/>
      <c r="S147" s="60"/>
      <c r="T147" s="62"/>
      <c r="U147" s="62"/>
      <c r="V147" s="62"/>
      <c r="W147" s="61"/>
      <c r="Y147" s="10">
        <v>26</v>
      </c>
      <c r="Z147" s="30"/>
      <c r="AB147" s="47"/>
      <c r="AC147" s="31"/>
      <c r="AD147" s="31"/>
      <c r="AE147" s="32">
        <f t="shared" si="34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28"/>
        <v>0</v>
      </c>
      <c r="H148" s="10"/>
      <c r="I148" s="10"/>
      <c r="J148" s="10"/>
      <c r="K148" s="12">
        <f t="shared" si="29"/>
        <v>0</v>
      </c>
      <c r="M148" s="62"/>
      <c r="N148" s="66"/>
      <c r="O148" s="88"/>
      <c r="P148" s="69"/>
      <c r="Q148" s="88"/>
      <c r="R148" s="88"/>
      <c r="S148" s="60"/>
      <c r="T148" s="62"/>
      <c r="U148" s="62"/>
      <c r="V148" s="62"/>
      <c r="W148" s="61"/>
      <c r="Y148" s="10">
        <v>27</v>
      </c>
      <c r="Z148" s="30"/>
      <c r="AA148" s="31"/>
      <c r="AB148" s="47"/>
      <c r="AC148" s="31"/>
      <c r="AD148" s="31"/>
      <c r="AE148" s="32">
        <f t="shared" si="34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28"/>
        <v>0</v>
      </c>
      <c r="H149" s="10"/>
      <c r="I149" s="10"/>
      <c r="J149" s="10"/>
      <c r="K149" s="12">
        <f t="shared" si="29"/>
        <v>0</v>
      </c>
      <c r="M149" s="62"/>
      <c r="N149" s="66"/>
      <c r="O149" s="88"/>
      <c r="P149" s="69"/>
      <c r="Q149" s="88"/>
      <c r="R149" s="88"/>
      <c r="S149" s="60"/>
      <c r="T149" s="62"/>
      <c r="U149" s="62"/>
      <c r="V149" s="62"/>
      <c r="W149" s="61"/>
      <c r="Y149" s="10">
        <v>28</v>
      </c>
      <c r="Z149" s="30"/>
      <c r="AA149" s="31"/>
      <c r="AB149" s="47"/>
      <c r="AC149" s="31"/>
      <c r="AD149" s="31"/>
      <c r="AE149" s="32">
        <f t="shared" si="34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28"/>
        <v>0</v>
      </c>
      <c r="H150" s="10"/>
      <c r="I150" s="10"/>
      <c r="J150" s="10"/>
      <c r="K150" s="12">
        <f t="shared" si="29"/>
        <v>0</v>
      </c>
      <c r="M150" s="62"/>
      <c r="N150" s="66"/>
      <c r="O150" s="62"/>
      <c r="P150" s="69"/>
      <c r="Q150" s="88"/>
      <c r="R150" s="88"/>
      <c r="S150" s="60"/>
      <c r="T150" s="62"/>
      <c r="U150" s="62"/>
      <c r="V150" s="62"/>
      <c r="W150" s="61"/>
      <c r="Y150" s="10">
        <v>29</v>
      </c>
      <c r="Z150" s="30"/>
      <c r="AA150" s="31"/>
      <c r="AB150" s="47"/>
      <c r="AC150" s="31"/>
      <c r="AD150" s="31"/>
      <c r="AE150" s="32">
        <f t="shared" si="34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28"/>
        <v>0</v>
      </c>
      <c r="H151" s="10"/>
      <c r="I151" s="10"/>
      <c r="J151" s="10"/>
      <c r="K151" s="12">
        <f t="shared" si="29"/>
        <v>0</v>
      </c>
      <c r="M151" s="62"/>
      <c r="N151" s="66"/>
      <c r="O151" s="62"/>
      <c r="P151" s="69"/>
      <c r="Q151" s="88"/>
      <c r="R151" s="88"/>
      <c r="S151" s="60"/>
      <c r="T151" s="62"/>
      <c r="U151" s="62"/>
      <c r="V151" s="62"/>
      <c r="W151" s="61"/>
      <c r="Y151" s="10">
        <v>30</v>
      </c>
      <c r="Z151" s="30"/>
      <c r="AA151" s="31"/>
      <c r="AB151" s="47"/>
      <c r="AC151" s="31"/>
      <c r="AD151" s="31"/>
      <c r="AE151" s="32">
        <f t="shared" si="34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28"/>
        <v>0</v>
      </c>
      <c r="H152" s="10"/>
      <c r="I152" s="10"/>
      <c r="J152" s="10"/>
      <c r="K152" s="12">
        <f t="shared" si="29"/>
        <v>0</v>
      </c>
      <c r="M152" s="62"/>
      <c r="N152" s="66"/>
      <c r="O152" s="88"/>
      <c r="P152" s="69"/>
      <c r="Q152" s="88"/>
      <c r="R152" s="88"/>
      <c r="S152" s="60"/>
      <c r="T152" s="62"/>
      <c r="U152" s="62"/>
      <c r="V152" s="62"/>
      <c r="W152" s="61"/>
      <c r="Y152" s="10">
        <v>31</v>
      </c>
      <c r="Z152" s="30"/>
      <c r="AA152" s="31"/>
      <c r="AB152" s="47"/>
      <c r="AC152" s="31"/>
      <c r="AD152" s="31"/>
      <c r="AE152" s="32">
        <f t="shared" si="34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28"/>
        <v>0</v>
      </c>
      <c r="H153" s="10"/>
      <c r="I153" s="10"/>
      <c r="J153" s="10"/>
      <c r="K153" s="12">
        <f t="shared" si="29"/>
        <v>0</v>
      </c>
      <c r="M153" s="62"/>
      <c r="N153" s="66"/>
      <c r="O153" s="62"/>
      <c r="P153" s="69"/>
      <c r="Q153" s="88"/>
      <c r="R153" s="88"/>
      <c r="S153" s="60"/>
      <c r="T153" s="62"/>
      <c r="U153" s="62"/>
      <c r="V153" s="62"/>
      <c r="W153" s="61"/>
      <c r="Y153" s="10">
        <v>32</v>
      </c>
      <c r="Z153" s="30"/>
      <c r="AA153" s="31"/>
      <c r="AB153" s="47"/>
      <c r="AC153" s="31"/>
      <c r="AD153" s="31"/>
      <c r="AE153" s="32">
        <f t="shared" si="34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28"/>
        <v>0</v>
      </c>
      <c r="H154" s="10"/>
      <c r="I154" s="10"/>
      <c r="J154" s="10"/>
      <c r="K154" s="12">
        <f t="shared" si="29"/>
        <v>0</v>
      </c>
      <c r="M154" s="62"/>
      <c r="N154" s="66"/>
      <c r="O154" s="88"/>
      <c r="P154" s="69"/>
      <c r="Q154" s="88"/>
      <c r="R154" s="88"/>
      <c r="S154" s="60"/>
      <c r="T154" s="62"/>
      <c r="U154" s="62"/>
      <c r="V154" s="62"/>
      <c r="W154" s="61"/>
      <c r="Y154" s="10">
        <v>33</v>
      </c>
      <c r="Z154" s="30"/>
      <c r="AA154" s="31"/>
      <c r="AB154" s="47"/>
      <c r="AC154" s="31"/>
      <c r="AD154" s="31"/>
      <c r="AE154" s="32">
        <f t="shared" si="34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28"/>
        <v>0</v>
      </c>
      <c r="H155" s="10"/>
      <c r="I155" s="10"/>
      <c r="J155" s="10"/>
      <c r="K155" s="12">
        <f t="shared" si="29"/>
        <v>0</v>
      </c>
      <c r="M155" s="62"/>
      <c r="N155" s="66"/>
      <c r="O155" s="88"/>
      <c r="P155" s="69"/>
      <c r="Q155" s="88"/>
      <c r="R155" s="88"/>
      <c r="S155" s="60"/>
      <c r="T155" s="62"/>
      <c r="U155" s="62"/>
      <c r="V155" s="62"/>
      <c r="W155" s="61"/>
      <c r="Y155" s="10">
        <v>34</v>
      </c>
      <c r="Z155" s="30"/>
      <c r="AA155" s="31"/>
      <c r="AB155" s="47"/>
      <c r="AC155" s="31"/>
      <c r="AD155" s="31"/>
      <c r="AE155" s="32">
        <f t="shared" si="34"/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8"/>
      <c r="P156" s="69"/>
      <c r="Q156" s="88"/>
      <c r="R156" s="88"/>
      <c r="S156" s="60"/>
      <c r="T156" s="62"/>
      <c r="U156" s="62"/>
      <c r="V156" s="62"/>
      <c r="W156" s="61"/>
      <c r="Y156" s="10">
        <v>35</v>
      </c>
      <c r="Z156" s="30"/>
      <c r="AA156" s="31"/>
      <c r="AB156" s="47"/>
      <c r="AC156" s="31"/>
      <c r="AD156" s="31"/>
      <c r="AE156" s="32">
        <f t="shared" si="34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8"/>
      <c r="P157" s="69"/>
      <c r="Q157" s="88"/>
      <c r="R157" s="88"/>
      <c r="S157" s="60"/>
      <c r="T157" s="62"/>
      <c r="U157" s="62"/>
      <c r="V157" s="62"/>
      <c r="W157" s="61"/>
      <c r="Y157" s="10">
        <v>36</v>
      </c>
      <c r="Z157" s="30"/>
      <c r="AA157" s="31"/>
      <c r="AB157" s="47"/>
      <c r="AC157" s="31"/>
      <c r="AD157" s="31"/>
      <c r="AE157" s="32">
        <f t="shared" si="34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8"/>
      <c r="R158" s="88"/>
      <c r="S158" s="60"/>
      <c r="T158" s="62"/>
      <c r="U158" s="62"/>
      <c r="V158" s="62"/>
      <c r="W158" s="61"/>
      <c r="Y158" s="10">
        <v>37</v>
      </c>
      <c r="Z158" s="30"/>
      <c r="AA158" s="31"/>
      <c r="AB158" s="47"/>
      <c r="AC158" s="31"/>
      <c r="AD158" s="31"/>
      <c r="AE158" s="32">
        <f t="shared" si="34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8"/>
      <c r="P159" s="69"/>
      <c r="Q159" s="88"/>
      <c r="R159" s="88"/>
      <c r="S159" s="60"/>
      <c r="T159" s="62"/>
      <c r="U159" s="62"/>
      <c r="V159" s="62"/>
      <c r="W159" s="61"/>
      <c r="Y159" s="10">
        <v>38</v>
      </c>
      <c r="Z159" s="30"/>
      <c r="AA159" s="31"/>
      <c r="AB159" s="47"/>
      <c r="AC159" s="31"/>
      <c r="AD159" s="31"/>
      <c r="AE159" s="32">
        <f t="shared" si="34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8"/>
      <c r="P160" s="69"/>
      <c r="Q160" s="88"/>
      <c r="R160" s="88"/>
      <c r="S160" s="60"/>
      <c r="T160" s="62"/>
      <c r="U160" s="62"/>
      <c r="V160" s="62"/>
      <c r="W160" s="61"/>
      <c r="Y160" s="10">
        <v>39</v>
      </c>
      <c r="Z160" s="30"/>
      <c r="AA160" s="31"/>
      <c r="AB160" s="47"/>
      <c r="AC160" s="31"/>
      <c r="AD160" s="31"/>
      <c r="AE160" s="32">
        <f t="shared" si="34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8"/>
      <c r="R161" s="88"/>
      <c r="S161" s="60"/>
      <c r="T161" s="62"/>
      <c r="U161" s="62"/>
      <c r="V161" s="62"/>
      <c r="W161" s="61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5">SUM(D162:E162)</f>
        <v>0</v>
      </c>
      <c r="H162" s="10"/>
      <c r="I162" s="10"/>
      <c r="J162" s="10"/>
      <c r="K162" s="12">
        <f t="shared" ref="K162" si="36">SUM(G162:J162)</f>
        <v>0</v>
      </c>
      <c r="M162" s="62"/>
      <c r="N162" s="66"/>
      <c r="O162" s="88"/>
      <c r="P162" s="69"/>
      <c r="Q162" s="88"/>
      <c r="R162" s="88"/>
      <c r="S162" s="60"/>
      <c r="T162" s="62"/>
      <c r="U162" s="62"/>
      <c r="V162" s="62"/>
      <c r="W162" s="61"/>
      <c r="Y162" s="10"/>
      <c r="Z162" s="30"/>
      <c r="AA162" s="31"/>
      <c r="AB162" s="47"/>
      <c r="AC162" s="31"/>
      <c r="AD162" s="31"/>
      <c r="AE162" s="32">
        <f t="shared" ref="AE162" si="37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8"/>
      <c r="O163" s="88"/>
      <c r="P163" s="88"/>
      <c r="Q163" s="88"/>
      <c r="R163" s="88"/>
      <c r="S163" s="88"/>
      <c r="T163" s="62"/>
      <c r="U163" s="62"/>
      <c r="V163" s="62"/>
      <c r="W163" s="61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8"/>
      <c r="O164" s="88"/>
      <c r="P164" s="88"/>
      <c r="Q164" s="88"/>
      <c r="R164" s="88"/>
      <c r="S164" s="88"/>
      <c r="T164" s="62"/>
      <c r="U164" s="62"/>
      <c r="V164" s="62"/>
      <c r="W164" s="62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488236</v>
      </c>
      <c r="E165" s="38">
        <f t="shared" ref="E165:F165" si="38">SUM(E122:E162)</f>
        <v>-5256</v>
      </c>
      <c r="F165" s="38">
        <f t="shared" si="38"/>
        <v>0</v>
      </c>
      <c r="G165" s="38">
        <f>SUM(G122:G164)</f>
        <v>482980</v>
      </c>
      <c r="H165" s="4"/>
      <c r="I165" s="39">
        <f>SUM(I122:I164)</f>
        <v>14646</v>
      </c>
      <c r="J165" s="39">
        <f>SUM(J122:J164)</f>
        <v>-2310</v>
      </c>
      <c r="K165" s="40">
        <f>SUM(K122:K164)</f>
        <v>495316</v>
      </c>
      <c r="M165" s="62"/>
      <c r="N165" s="88"/>
      <c r="O165" s="88"/>
      <c r="P165" s="70"/>
      <c r="Q165" s="70"/>
      <c r="R165" s="70"/>
      <c r="S165" s="70"/>
      <c r="T165" s="63"/>
      <c r="U165" s="71"/>
      <c r="V165" s="71"/>
      <c r="W165" s="71"/>
      <c r="Z165" s="57"/>
      <c r="AA165" s="57"/>
      <c r="AB165" s="38">
        <f>SUM(AB122:AB164)</f>
        <v>442739</v>
      </c>
      <c r="AC165" s="38">
        <f>SUM(AC122:AC146)</f>
        <v>-3834</v>
      </c>
      <c r="AD165" s="38">
        <f>SUM(AD122:AD146)</f>
        <v>0</v>
      </c>
      <c r="AE165" s="38">
        <f>SUM(AE122:AE164)</f>
        <v>438905</v>
      </c>
      <c r="AF165" s="4"/>
      <c r="AG165" s="41">
        <f>SUM(AG122:AG164)</f>
        <v>6624</v>
      </c>
      <c r="AH165" s="41">
        <f>SUM(AH122:AH146)</f>
        <v>0</v>
      </c>
      <c r="AI165" s="42">
        <f>SUM(AI122:AI164)</f>
        <v>445529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29</v>
      </c>
      <c r="B168" s="57"/>
      <c r="C168" s="57"/>
      <c r="D168" s="57"/>
      <c r="E168" s="57"/>
      <c r="G168" s="57"/>
      <c r="M168" t="s">
        <v>29</v>
      </c>
      <c r="N168" s="57"/>
      <c r="O168" s="57"/>
      <c r="P168" s="57"/>
      <c r="Q168" s="57"/>
      <c r="R168" s="57"/>
      <c r="S168" s="57"/>
      <c r="Y168" t="s">
        <v>29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15</v>
      </c>
      <c r="B170" s="57"/>
      <c r="C170" s="57"/>
      <c r="D170" s="57"/>
      <c r="E170" s="57"/>
      <c r="G170" s="57"/>
      <c r="M170" s="4" t="s">
        <v>15</v>
      </c>
      <c r="N170" s="57"/>
      <c r="O170" s="57"/>
      <c r="P170" s="57"/>
      <c r="Q170" s="57"/>
      <c r="R170" s="57"/>
      <c r="S170" s="57"/>
      <c r="Y170" s="4" t="s">
        <v>15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16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16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16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17</v>
      </c>
      <c r="J173" s="23" t="s">
        <v>36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17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17</v>
      </c>
      <c r="AH173" s="23" t="s">
        <v>34</v>
      </c>
      <c r="AI173" s="24"/>
      <c r="AK173" s="62"/>
      <c r="AL173" s="88"/>
      <c r="AM173" s="88"/>
      <c r="AN173" s="88"/>
      <c r="AO173" s="88"/>
      <c r="AP173" s="88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8"/>
      <c r="AM174" s="88"/>
      <c r="AN174" s="88"/>
      <c r="AO174" s="88"/>
      <c r="AP174" s="88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4" t="s">
        <v>18</v>
      </c>
      <c r="E175" s="124"/>
      <c r="F175" s="91"/>
      <c r="G175" s="27"/>
      <c r="I175" s="122" t="s">
        <v>19</v>
      </c>
      <c r="J175" s="123"/>
      <c r="K175" s="120" t="s">
        <v>20</v>
      </c>
      <c r="N175" s="25"/>
      <c r="O175" s="26"/>
      <c r="P175" s="124" t="s">
        <v>18</v>
      </c>
      <c r="Q175" s="124"/>
      <c r="R175" s="91"/>
      <c r="S175" s="27"/>
      <c r="U175" s="122" t="s">
        <v>19</v>
      </c>
      <c r="V175" s="123"/>
      <c r="W175" s="120" t="s">
        <v>20</v>
      </c>
      <c r="Z175" s="25"/>
      <c r="AA175" s="26"/>
      <c r="AB175" s="124" t="s">
        <v>18</v>
      </c>
      <c r="AC175" s="124"/>
      <c r="AD175" s="91"/>
      <c r="AE175" s="27"/>
      <c r="AG175" s="122" t="s">
        <v>19</v>
      </c>
      <c r="AH175" s="123"/>
      <c r="AI175" s="120" t="s">
        <v>20</v>
      </c>
      <c r="AK175" s="62"/>
      <c r="AL175" s="88"/>
      <c r="AM175" s="88"/>
      <c r="AN175" s="88"/>
      <c r="AO175" s="88"/>
      <c r="AP175" s="88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21</v>
      </c>
      <c r="C176" s="28" t="s">
        <v>22</v>
      </c>
      <c r="D176" s="79" t="s">
        <v>23</v>
      </c>
      <c r="E176" s="78" t="s">
        <v>24</v>
      </c>
      <c r="F176" s="80" t="s">
        <v>35</v>
      </c>
      <c r="G176" s="80" t="s">
        <v>25</v>
      </c>
      <c r="I176" s="29" t="s">
        <v>26</v>
      </c>
      <c r="J176" s="29" t="s">
        <v>27</v>
      </c>
      <c r="K176" s="121"/>
      <c r="N176" s="28" t="s">
        <v>21</v>
      </c>
      <c r="O176" s="28" t="s">
        <v>22</v>
      </c>
      <c r="P176" s="79" t="s">
        <v>23</v>
      </c>
      <c r="Q176" s="80" t="s">
        <v>24</v>
      </c>
      <c r="R176" s="80" t="s">
        <v>35</v>
      </c>
      <c r="S176" s="80" t="s">
        <v>25</v>
      </c>
      <c r="U176" s="29" t="s">
        <v>26</v>
      </c>
      <c r="V176" s="29" t="s">
        <v>27</v>
      </c>
      <c r="W176" s="121"/>
      <c r="Z176" s="28" t="s">
        <v>21</v>
      </c>
      <c r="AA176" s="28" t="s">
        <v>22</v>
      </c>
      <c r="AB176" s="79" t="s">
        <v>23</v>
      </c>
      <c r="AC176" s="80" t="s">
        <v>24</v>
      </c>
      <c r="AD176" s="80" t="s">
        <v>35</v>
      </c>
      <c r="AE176" s="80" t="s">
        <v>25</v>
      </c>
      <c r="AG176" s="29" t="s">
        <v>26</v>
      </c>
      <c r="AH176" s="29" t="s">
        <v>27</v>
      </c>
      <c r="AI176" s="121"/>
      <c r="AK176" s="63"/>
      <c r="AL176" s="88"/>
      <c r="AM176" s="88"/>
      <c r="AN176" s="88"/>
      <c r="AO176" s="88"/>
      <c r="AP176" s="88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45818</v>
      </c>
      <c r="C177" s="31">
        <v>6194</v>
      </c>
      <c r="D177" s="32">
        <f>4382+614+832+66</f>
        <v>5894</v>
      </c>
      <c r="E177" s="32"/>
      <c r="F177" s="32"/>
      <c r="G177" s="32">
        <f t="shared" ref="G177:G210" si="39">SUM(D177:E177)</f>
        <v>5894</v>
      </c>
      <c r="H177" s="12"/>
      <c r="I177" s="12">
        <f>11+72+10+21</f>
        <v>114</v>
      </c>
      <c r="J177" s="12"/>
      <c r="K177" s="12">
        <f t="shared" ref="K177:K210" si="40">SUM(G177:J177)</f>
        <v>6008</v>
      </c>
      <c r="M177" s="10">
        <v>1</v>
      </c>
      <c r="N177" s="30">
        <v>45818</v>
      </c>
      <c r="O177" s="31">
        <v>6251</v>
      </c>
      <c r="P177" s="32">
        <f>3756+57</f>
        <v>3813</v>
      </c>
      <c r="Q177" s="32"/>
      <c r="R177" s="32"/>
      <c r="S177" s="32">
        <f>SUM(P177:Q177)</f>
        <v>3813</v>
      </c>
      <c r="T177" s="12"/>
      <c r="U177" s="12">
        <v>4.5</v>
      </c>
      <c r="V177" s="12"/>
      <c r="W177" s="12">
        <f>SUM(S177:V177)</f>
        <v>3817.5</v>
      </c>
      <c r="Y177" s="10">
        <v>1</v>
      </c>
      <c r="Z177" s="30">
        <v>45818</v>
      </c>
      <c r="AA177" s="31">
        <v>5839</v>
      </c>
      <c r="AB177" s="32">
        <f>20*626+614+595*2+852+832*3+180.5</f>
        <v>17852.5</v>
      </c>
      <c r="AC177" s="32"/>
      <c r="AD177" s="32"/>
      <c r="AE177" s="32">
        <f>SUM(AB177:AC177)</f>
        <v>17852.5</v>
      </c>
      <c r="AF177" s="12"/>
      <c r="AG177" s="12">
        <f>1110+37.5+4.5*12</f>
        <v>1201.5</v>
      </c>
      <c r="AH177" s="12"/>
      <c r="AI177" s="12">
        <f>SUM(AE177:AH177)</f>
        <v>19054</v>
      </c>
      <c r="AK177" s="62"/>
      <c r="AL177" s="88"/>
      <c r="AM177" s="88"/>
      <c r="AN177" s="88"/>
      <c r="AO177" s="88"/>
      <c r="AP177" s="88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45818</v>
      </c>
      <c r="C178" s="31">
        <f>C177+1</f>
        <v>6195</v>
      </c>
      <c r="D178" s="32">
        <f>6260</f>
        <v>6260</v>
      </c>
      <c r="E178" s="32"/>
      <c r="F178" s="32"/>
      <c r="G178" s="32">
        <f t="shared" si="39"/>
        <v>6260</v>
      </c>
      <c r="H178" s="12"/>
      <c r="I178" s="12"/>
      <c r="J178" s="12"/>
      <c r="K178" s="12">
        <f t="shared" si="40"/>
        <v>6260</v>
      </c>
      <c r="M178" s="10">
        <v>2</v>
      </c>
      <c r="N178" s="30">
        <v>45818</v>
      </c>
      <c r="O178" s="31">
        <f>O177+1</f>
        <v>6252</v>
      </c>
      <c r="P178" s="32">
        <f>1252+19</f>
        <v>1271</v>
      </c>
      <c r="Q178" s="32"/>
      <c r="R178" s="32"/>
      <c r="S178" s="32">
        <f t="shared" ref="S178:S215" si="41">SUM(P178:Q178)</f>
        <v>1271</v>
      </c>
      <c r="T178" s="12"/>
      <c r="U178" s="12"/>
      <c r="V178" s="12"/>
      <c r="W178" s="12">
        <f t="shared" ref="W178:W218" si="42">SUM(S178:V178)</f>
        <v>1271</v>
      </c>
      <c r="Y178" s="10">
        <v>2</v>
      </c>
      <c r="Z178" s="30">
        <v>45818</v>
      </c>
      <c r="AA178" s="31">
        <f>AA177+1</f>
        <v>5840</v>
      </c>
      <c r="AB178" s="32">
        <v>35004</v>
      </c>
      <c r="AC178" s="32"/>
      <c r="AD178" s="32"/>
      <c r="AE178" s="32">
        <f t="shared" ref="AE178:AE180" si="43">SUM(AB178:AC178)</f>
        <v>35004</v>
      </c>
      <c r="AF178" s="12"/>
      <c r="AG178" s="12">
        <v>1665</v>
      </c>
      <c r="AH178" s="12"/>
      <c r="AI178" s="12">
        <f t="shared" ref="AI178:AI218" si="44">SUM(AE178:AH178)</f>
        <v>36669</v>
      </c>
      <c r="AK178" s="62"/>
      <c r="AL178" s="88"/>
      <c r="AM178" s="88"/>
      <c r="AN178" s="88"/>
      <c r="AO178" s="88"/>
      <c r="AP178" s="88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45818</v>
      </c>
      <c r="C179" s="31">
        <f t="shared" ref="C179:C193" si="45">C178+1</f>
        <v>6196</v>
      </c>
      <c r="D179" s="33">
        <f>614+596+832+9.5</f>
        <v>2051.5</v>
      </c>
      <c r="E179" s="33"/>
      <c r="F179" s="33"/>
      <c r="G179" s="33">
        <f t="shared" si="39"/>
        <v>2051.5</v>
      </c>
      <c r="H179" s="34"/>
      <c r="I179" s="34">
        <v>9</v>
      </c>
      <c r="J179" s="34"/>
      <c r="K179" s="34">
        <f t="shared" si="40"/>
        <v>2060.5</v>
      </c>
      <c r="M179" s="10">
        <v>3</v>
      </c>
      <c r="N179" s="30">
        <v>45818</v>
      </c>
      <c r="O179" s="31">
        <f t="shared" ref="O179:O192" si="46">O178+1</f>
        <v>6253</v>
      </c>
      <c r="P179" s="32">
        <f>626+596+19</f>
        <v>1241</v>
      </c>
      <c r="Q179" s="32"/>
      <c r="R179" s="32"/>
      <c r="S179" s="32">
        <f t="shared" si="41"/>
        <v>1241</v>
      </c>
      <c r="T179" s="12"/>
      <c r="U179" s="12"/>
      <c r="V179" s="12"/>
      <c r="W179" s="12">
        <f t="shared" si="42"/>
        <v>1241</v>
      </c>
      <c r="Y179" s="10">
        <v>3</v>
      </c>
      <c r="Z179" s="30">
        <v>45818</v>
      </c>
      <c r="AA179" s="31">
        <f t="shared" ref="AA179:AA182" si="47">AA178+1</f>
        <v>5841</v>
      </c>
      <c r="AB179" s="33">
        <f>15650+2283+614+8940</f>
        <v>27487</v>
      </c>
      <c r="AC179" s="33"/>
      <c r="AD179" s="32"/>
      <c r="AE179" s="32">
        <f t="shared" si="43"/>
        <v>27487</v>
      </c>
      <c r="AF179" s="12"/>
      <c r="AG179" s="12"/>
      <c r="AH179" s="12"/>
      <c r="AI179" s="12">
        <f t="shared" si="44"/>
        <v>27487</v>
      </c>
      <c r="AK179" s="64"/>
      <c r="AL179" s="88"/>
      <c r="AM179" s="88"/>
      <c r="AN179" s="88"/>
      <c r="AO179" s="88"/>
      <c r="AP179" s="88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45818</v>
      </c>
      <c r="C180" s="31">
        <f t="shared" si="45"/>
        <v>6197</v>
      </c>
      <c r="D180" s="32">
        <f>1252+596+28</f>
        <v>1876</v>
      </c>
      <c r="E180" s="32"/>
      <c r="F180" s="32"/>
      <c r="G180" s="32">
        <f t="shared" si="39"/>
        <v>1876</v>
      </c>
      <c r="H180" s="12"/>
      <c r="I180" s="12"/>
      <c r="J180" s="12"/>
      <c r="K180" s="12">
        <f t="shared" si="40"/>
        <v>1876</v>
      </c>
      <c r="M180" s="10">
        <v>4</v>
      </c>
      <c r="N180" s="30">
        <v>45818</v>
      </c>
      <c r="O180" s="31">
        <f t="shared" si="46"/>
        <v>6254</v>
      </c>
      <c r="P180" s="32">
        <f>6886+1192+124</f>
        <v>8202</v>
      </c>
      <c r="Q180" s="32"/>
      <c r="R180" s="32"/>
      <c r="S180" s="32">
        <f t="shared" si="41"/>
        <v>8202</v>
      </c>
      <c r="T180" s="12"/>
      <c r="U180" s="12"/>
      <c r="V180" s="12"/>
      <c r="W180" s="12">
        <f t="shared" si="42"/>
        <v>8202</v>
      </c>
      <c r="Y180" s="10">
        <v>4</v>
      </c>
      <c r="Z180" s="30">
        <v>45818</v>
      </c>
      <c r="AA180" s="31">
        <f t="shared" si="47"/>
        <v>5842</v>
      </c>
      <c r="AB180" s="32">
        <f>15025+229</f>
        <v>15254</v>
      </c>
      <c r="AC180" s="32"/>
      <c r="AD180" s="32"/>
      <c r="AE180" s="32">
        <f t="shared" si="43"/>
        <v>15254</v>
      </c>
      <c r="AF180" s="12"/>
      <c r="AH180" s="12"/>
      <c r="AI180" s="12">
        <f t="shared" si="44"/>
        <v>15254</v>
      </c>
      <c r="AK180" s="62"/>
      <c r="AL180" s="88"/>
      <c r="AM180" s="88"/>
      <c r="AN180" s="88"/>
      <c r="AO180" s="88"/>
      <c r="AP180" s="88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45818</v>
      </c>
      <c r="C181" s="31">
        <f t="shared" si="45"/>
        <v>6198</v>
      </c>
      <c r="D181" s="32">
        <f>5008+76</f>
        <v>5084</v>
      </c>
      <c r="E181" s="32"/>
      <c r="F181" s="32"/>
      <c r="G181" s="32">
        <f t="shared" si="39"/>
        <v>5084</v>
      </c>
      <c r="H181" s="12"/>
      <c r="I181" s="12">
        <v>36</v>
      </c>
      <c r="J181" s="12"/>
      <c r="K181" s="12">
        <f t="shared" si="40"/>
        <v>5120</v>
      </c>
      <c r="M181" s="10">
        <v>5</v>
      </c>
      <c r="N181" s="30">
        <v>45818</v>
      </c>
      <c r="O181" s="31">
        <f t="shared" si="46"/>
        <v>6255</v>
      </c>
      <c r="P181" s="32">
        <f>47576+687</f>
        <v>48263</v>
      </c>
      <c r="Q181" s="32"/>
      <c r="R181" s="32"/>
      <c r="S181" s="32">
        <f t="shared" si="41"/>
        <v>48263</v>
      </c>
      <c r="T181" s="12"/>
      <c r="U181" s="12">
        <f>78+72</f>
        <v>150</v>
      </c>
      <c r="V181" s="12"/>
      <c r="W181" s="12">
        <f t="shared" si="42"/>
        <v>48413</v>
      </c>
      <c r="Y181" s="10">
        <v>5</v>
      </c>
      <c r="Z181" s="30">
        <v>45818</v>
      </c>
      <c r="AA181" s="31">
        <f t="shared" si="47"/>
        <v>5843</v>
      </c>
      <c r="AB181" s="32">
        <f>9390+3070+1788</f>
        <v>14248</v>
      </c>
      <c r="AC181" s="32"/>
      <c r="AD181" s="32"/>
      <c r="AE181" s="32">
        <f t="shared" ref="AE181:AE186" si="48">SUM(AB181:AC181)</f>
        <v>14248</v>
      </c>
      <c r="AF181" s="12"/>
      <c r="AG181" s="12"/>
      <c r="AH181" s="12"/>
      <c r="AI181" s="12">
        <f t="shared" si="44"/>
        <v>14248</v>
      </c>
      <c r="AK181" s="62"/>
      <c r="AL181" s="65"/>
      <c r="AM181" s="88"/>
      <c r="AN181" s="126"/>
      <c r="AO181" s="126"/>
      <c r="AP181" s="88"/>
      <c r="AQ181" s="62"/>
      <c r="AR181" s="126"/>
      <c r="AS181" s="126"/>
      <c r="AT181" s="12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45818</v>
      </c>
      <c r="C182" s="31">
        <f t="shared" si="45"/>
        <v>6199</v>
      </c>
      <c r="D182" s="32">
        <f>6260+614+95</f>
        <v>6969</v>
      </c>
      <c r="E182" s="32"/>
      <c r="F182" s="32"/>
      <c r="G182" s="32">
        <f t="shared" si="39"/>
        <v>6969</v>
      </c>
      <c r="H182" s="12"/>
      <c r="I182" s="12">
        <f>72+18</f>
        <v>90</v>
      </c>
      <c r="J182" s="12"/>
      <c r="K182" s="12">
        <f t="shared" si="40"/>
        <v>7059</v>
      </c>
      <c r="M182" s="10">
        <v>6</v>
      </c>
      <c r="N182" s="30">
        <v>45818</v>
      </c>
      <c r="O182" s="31">
        <f t="shared" si="46"/>
        <v>6256</v>
      </c>
      <c r="P182" s="32">
        <f>2504+614+596+47.5</f>
        <v>3761.5</v>
      </c>
      <c r="Q182" s="32"/>
      <c r="R182" s="32"/>
      <c r="S182" s="32">
        <f t="shared" si="41"/>
        <v>3761.5</v>
      </c>
      <c r="T182" s="12"/>
      <c r="U182" s="12"/>
      <c r="V182" s="10"/>
      <c r="W182" s="12">
        <f t="shared" si="42"/>
        <v>3761.5</v>
      </c>
      <c r="Y182" s="10">
        <v>6</v>
      </c>
      <c r="Z182" s="30">
        <v>45818</v>
      </c>
      <c r="AA182" s="31">
        <f t="shared" si="47"/>
        <v>5844</v>
      </c>
      <c r="AB182" s="32">
        <f>67608+1145</f>
        <v>68753</v>
      </c>
      <c r="AC182" s="32">
        <v>-678</v>
      </c>
      <c r="AD182" s="32"/>
      <c r="AE182" s="32">
        <f t="shared" si="48"/>
        <v>68075</v>
      </c>
      <c r="AF182" s="12"/>
      <c r="AG182" s="12"/>
      <c r="AH182" s="10">
        <f>-14430+-1512</f>
        <v>-15942</v>
      </c>
      <c r="AI182" s="12">
        <f t="shared" si="44"/>
        <v>52133</v>
      </c>
      <c r="AK182" s="62"/>
      <c r="AL182" s="88"/>
      <c r="AM182" s="88"/>
      <c r="AN182" s="88"/>
      <c r="AO182" s="87"/>
      <c r="AP182" s="87"/>
      <c r="AQ182" s="62"/>
      <c r="AR182" s="85"/>
      <c r="AS182" s="85"/>
      <c r="AT182" s="12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45818</v>
      </c>
      <c r="C183" s="31">
        <f t="shared" si="45"/>
        <v>6200</v>
      </c>
      <c r="D183" s="32">
        <f>3756+614+57</f>
        <v>4427</v>
      </c>
      <c r="E183" s="32"/>
      <c r="F183" s="32"/>
      <c r="G183" s="32">
        <f t="shared" si="39"/>
        <v>4427</v>
      </c>
      <c r="H183" s="12"/>
      <c r="I183" s="12"/>
      <c r="J183" s="12"/>
      <c r="K183" s="12">
        <f t="shared" si="40"/>
        <v>4427</v>
      </c>
      <c r="M183" s="10">
        <v>7</v>
      </c>
      <c r="N183" s="30">
        <v>45818</v>
      </c>
      <c r="O183" s="31">
        <f t="shared" si="46"/>
        <v>6257</v>
      </c>
      <c r="P183" s="32">
        <f>3756+57</f>
        <v>3813</v>
      </c>
      <c r="Q183" s="32"/>
      <c r="R183" s="32"/>
      <c r="S183" s="32">
        <f t="shared" si="41"/>
        <v>3813</v>
      </c>
      <c r="T183" s="12"/>
      <c r="U183" s="12"/>
      <c r="V183" s="12"/>
      <c r="W183" s="12">
        <f t="shared" si="42"/>
        <v>3813</v>
      </c>
      <c r="Y183" s="10">
        <v>7</v>
      </c>
      <c r="Z183" s="30"/>
      <c r="AA183" s="11" t="s">
        <v>28</v>
      </c>
      <c r="AB183" s="32"/>
      <c r="AC183" s="32"/>
      <c r="AD183" s="32"/>
      <c r="AE183" s="32">
        <f t="shared" si="48"/>
        <v>0</v>
      </c>
      <c r="AF183" s="12"/>
      <c r="AG183" s="58"/>
      <c r="AH183" s="12"/>
      <c r="AI183" s="12">
        <f t="shared" si="44"/>
        <v>0</v>
      </c>
      <c r="AK183" s="62"/>
      <c r="AL183" s="66"/>
      <c r="AM183" s="88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45818</v>
      </c>
      <c r="C184" s="31">
        <v>6301</v>
      </c>
      <c r="D184" s="32">
        <f>10016+1228+1788+416+180</f>
        <v>13628</v>
      </c>
      <c r="E184" s="32"/>
      <c r="F184" s="32"/>
      <c r="G184" s="32">
        <f t="shared" si="39"/>
        <v>13628</v>
      </c>
      <c r="H184" s="12"/>
      <c r="I184" s="12"/>
      <c r="J184" s="12"/>
      <c r="K184" s="12">
        <f t="shared" si="40"/>
        <v>13628</v>
      </c>
      <c r="M184" s="10">
        <v>8</v>
      </c>
      <c r="N184" s="30">
        <v>45818</v>
      </c>
      <c r="O184" s="31">
        <f t="shared" si="46"/>
        <v>6258</v>
      </c>
      <c r="P184" s="32">
        <f>5008+614+76</f>
        <v>5698</v>
      </c>
      <c r="Q184" s="32"/>
      <c r="R184" s="32"/>
      <c r="S184" s="32">
        <f t="shared" si="41"/>
        <v>5698</v>
      </c>
      <c r="T184" s="12"/>
      <c r="U184" s="12"/>
      <c r="V184" s="12"/>
      <c r="W184" s="12">
        <f t="shared" si="42"/>
        <v>5698</v>
      </c>
      <c r="Y184" s="10">
        <v>8</v>
      </c>
      <c r="Z184" s="30"/>
      <c r="AA184" s="31"/>
      <c r="AB184" s="32"/>
      <c r="AC184" s="32"/>
      <c r="AE184" s="32">
        <f t="shared" si="48"/>
        <v>0</v>
      </c>
      <c r="AF184" s="12"/>
      <c r="AG184" s="12"/>
      <c r="AH184" s="12"/>
      <c r="AI184" s="12">
        <f t="shared" si="44"/>
        <v>0</v>
      </c>
      <c r="AK184" s="62"/>
      <c r="AL184" s="66"/>
      <c r="AM184" s="88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45818</v>
      </c>
      <c r="C185" s="31">
        <f t="shared" si="45"/>
        <v>6302</v>
      </c>
      <c r="D185" s="32">
        <f>4382+1788+502+416+95</f>
        <v>7183</v>
      </c>
      <c r="E185" s="32"/>
      <c r="F185" s="32"/>
      <c r="G185" s="32">
        <f t="shared" si="39"/>
        <v>7183</v>
      </c>
      <c r="H185" s="12"/>
      <c r="I185" s="12"/>
      <c r="J185" s="12"/>
      <c r="K185" s="12">
        <f t="shared" si="40"/>
        <v>7183</v>
      </c>
      <c r="M185" s="10">
        <v>9</v>
      </c>
      <c r="N185" s="30">
        <v>45818</v>
      </c>
      <c r="O185" s="31">
        <f t="shared" si="46"/>
        <v>6259</v>
      </c>
      <c r="P185" s="32">
        <f>10016+1842+152</f>
        <v>12010</v>
      </c>
      <c r="Q185" s="32"/>
      <c r="R185" s="32"/>
      <c r="S185" s="32">
        <f t="shared" si="41"/>
        <v>12010</v>
      </c>
      <c r="T185" s="12"/>
      <c r="U185" s="12"/>
      <c r="V185" s="12"/>
      <c r="W185" s="12">
        <f t="shared" si="42"/>
        <v>12010</v>
      </c>
      <c r="Y185" s="10">
        <v>9</v>
      </c>
      <c r="Z185" s="30"/>
      <c r="AA185" s="31"/>
      <c r="AC185" s="32"/>
      <c r="AD185" s="32"/>
      <c r="AE185" s="32">
        <f t="shared" si="48"/>
        <v>0</v>
      </c>
      <c r="AF185" s="12"/>
      <c r="AH185" s="12"/>
      <c r="AI185" s="12">
        <f t="shared" si="44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45818</v>
      </c>
      <c r="C186" s="31">
        <f t="shared" si="45"/>
        <v>6303</v>
      </c>
      <c r="D186" s="32">
        <f>626+614+9.5</f>
        <v>1249.5</v>
      </c>
      <c r="E186" s="32"/>
      <c r="F186" s="32"/>
      <c r="G186" s="32">
        <f t="shared" si="39"/>
        <v>1249.5</v>
      </c>
      <c r="H186" s="12"/>
      <c r="I186" s="12"/>
      <c r="J186" s="12"/>
      <c r="K186" s="12">
        <f t="shared" si="40"/>
        <v>1249.5</v>
      </c>
      <c r="M186" s="10">
        <v>10</v>
      </c>
      <c r="N186" s="30">
        <v>45818</v>
      </c>
      <c r="O186" s="31">
        <f t="shared" si="46"/>
        <v>6260</v>
      </c>
      <c r="P186" s="32">
        <f>614</f>
        <v>614</v>
      </c>
      <c r="Q186" s="32"/>
      <c r="R186" s="32"/>
      <c r="S186" s="32">
        <f t="shared" si="41"/>
        <v>614</v>
      </c>
      <c r="T186" s="12"/>
      <c r="U186" s="12"/>
      <c r="V186" s="12"/>
      <c r="W186" s="12">
        <f t="shared" si="42"/>
        <v>614</v>
      </c>
      <c r="Y186" s="10">
        <v>10</v>
      </c>
      <c r="Z186" s="30"/>
      <c r="AA186" s="31"/>
      <c r="AB186" s="32"/>
      <c r="AC186" s="32"/>
      <c r="AD186" s="32"/>
      <c r="AE186" s="32">
        <f t="shared" si="48"/>
        <v>0</v>
      </c>
      <c r="AF186" s="12"/>
      <c r="AG186" s="12"/>
      <c r="AH186" s="12"/>
      <c r="AI186" s="12">
        <f t="shared" si="44"/>
        <v>0</v>
      </c>
      <c r="AK186" s="62"/>
      <c r="AL186" s="66"/>
      <c r="AM186" s="88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45818</v>
      </c>
      <c r="C187" s="31">
        <f t="shared" si="45"/>
        <v>6304</v>
      </c>
      <c r="D187" s="32">
        <f>614+500</f>
        <v>1114</v>
      </c>
      <c r="E187" s="32"/>
      <c r="F187" s="32"/>
      <c r="G187" s="32">
        <f t="shared" si="39"/>
        <v>1114</v>
      </c>
      <c r="H187" s="12"/>
      <c r="I187" s="12"/>
      <c r="J187" s="12"/>
      <c r="K187" s="12">
        <f t="shared" si="40"/>
        <v>1114</v>
      </c>
      <c r="M187" s="10">
        <v>11</v>
      </c>
      <c r="N187" s="30">
        <v>45818</v>
      </c>
      <c r="O187" s="31">
        <f t="shared" si="46"/>
        <v>6261</v>
      </c>
      <c r="P187" s="32">
        <f>12520+832+95</f>
        <v>13447</v>
      </c>
      <c r="Q187" s="32"/>
      <c r="R187" s="32"/>
      <c r="S187" s="32">
        <f t="shared" si="41"/>
        <v>13447</v>
      </c>
      <c r="T187" s="12"/>
      <c r="U187" s="12">
        <f>14+33</f>
        <v>47</v>
      </c>
      <c r="V187" s="12"/>
      <c r="W187" s="12">
        <f t="shared" si="42"/>
        <v>13494</v>
      </c>
      <c r="Y187" s="10">
        <v>11</v>
      </c>
      <c r="Z187" s="30"/>
      <c r="AB187" s="32"/>
      <c r="AC187" s="32"/>
      <c r="AD187" s="32"/>
      <c r="AE187" s="32">
        <f t="shared" ref="AE187:AE215" si="49">SUM(AB187:AC187)</f>
        <v>0</v>
      </c>
      <c r="AF187" s="12"/>
      <c r="AG187" s="12"/>
      <c r="AH187" s="12"/>
      <c r="AI187" s="12">
        <f t="shared" si="44"/>
        <v>0</v>
      </c>
      <c r="AK187" s="62"/>
      <c r="AL187" s="66"/>
      <c r="AM187" s="88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>
        <v>45818</v>
      </c>
      <c r="C188" s="31">
        <f t="shared" si="45"/>
        <v>6305</v>
      </c>
      <c r="D188" s="32">
        <f>3130+47</f>
        <v>3177</v>
      </c>
      <c r="E188" s="32"/>
      <c r="F188" s="32"/>
      <c r="G188" s="32">
        <f t="shared" si="39"/>
        <v>3177</v>
      </c>
      <c r="H188" s="12"/>
      <c r="I188" s="12"/>
      <c r="J188" s="10"/>
      <c r="K188" s="12">
        <f t="shared" si="40"/>
        <v>3177</v>
      </c>
      <c r="M188" s="10">
        <v>12</v>
      </c>
      <c r="N188" s="30">
        <v>45818</v>
      </c>
      <c r="O188" s="31">
        <f t="shared" si="46"/>
        <v>6262</v>
      </c>
      <c r="P188" s="32">
        <f>20658+5960+1664</f>
        <v>28282</v>
      </c>
      <c r="Q188" s="32"/>
      <c r="R188" s="32"/>
      <c r="S188" s="32">
        <f t="shared" si="41"/>
        <v>28282</v>
      </c>
      <c r="T188" s="12"/>
      <c r="U188" s="12">
        <v>555</v>
      </c>
      <c r="V188" s="12"/>
      <c r="W188" s="12">
        <f t="shared" si="42"/>
        <v>28837</v>
      </c>
      <c r="Y188" s="10">
        <v>12</v>
      </c>
      <c r="Z188" s="30"/>
      <c r="AA188" s="31"/>
      <c r="AB188" s="32"/>
      <c r="AC188" s="32"/>
      <c r="AD188" s="32"/>
      <c r="AE188" s="32">
        <f t="shared" si="49"/>
        <v>0</v>
      </c>
      <c r="AF188" s="12"/>
      <c r="AG188" s="12"/>
      <c r="AH188" s="12"/>
      <c r="AI188" s="12">
        <f t="shared" si="44"/>
        <v>0</v>
      </c>
      <c r="AK188" s="62"/>
      <c r="AL188" s="66"/>
      <c r="AM188" s="88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>
        <v>45818</v>
      </c>
      <c r="C189" s="31">
        <f t="shared" si="45"/>
        <v>6306</v>
      </c>
      <c r="D189" s="32">
        <f>1252+596+28</f>
        <v>1876</v>
      </c>
      <c r="E189" s="32"/>
      <c r="F189" s="32"/>
      <c r="G189" s="32">
        <f t="shared" si="39"/>
        <v>1876</v>
      </c>
      <c r="H189" s="12"/>
      <c r="I189" s="12">
        <v>9</v>
      </c>
      <c r="J189" s="12"/>
      <c r="K189" s="12">
        <f t="shared" si="40"/>
        <v>1885</v>
      </c>
      <c r="M189" s="10">
        <v>13</v>
      </c>
      <c r="N189" s="30">
        <v>45818</v>
      </c>
      <c r="O189" s="31">
        <f t="shared" si="46"/>
        <v>6263</v>
      </c>
      <c r="P189" s="32">
        <f>1878+28.5</f>
        <v>1906.5</v>
      </c>
      <c r="Q189" s="32"/>
      <c r="R189" s="32"/>
      <c r="S189" s="32">
        <f t="shared" si="41"/>
        <v>1906.5</v>
      </c>
      <c r="T189" s="12"/>
      <c r="U189" s="12"/>
      <c r="V189" s="12"/>
      <c r="W189" s="12">
        <f t="shared" si="42"/>
        <v>1906.5</v>
      </c>
      <c r="Y189" s="10">
        <v>13</v>
      </c>
      <c r="Z189" s="30"/>
      <c r="AA189" s="31"/>
      <c r="AB189" s="32"/>
      <c r="AC189" s="32"/>
      <c r="AD189" s="32"/>
      <c r="AE189" s="32">
        <f t="shared" si="49"/>
        <v>0</v>
      </c>
      <c r="AF189" s="12"/>
      <c r="AG189" s="12"/>
      <c r="AH189" s="12"/>
      <c r="AI189" s="12">
        <f t="shared" si="44"/>
        <v>0</v>
      </c>
      <c r="AK189" s="62"/>
      <c r="AL189" s="66"/>
      <c r="AM189" s="88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>
        <v>45818</v>
      </c>
      <c r="C190" s="31">
        <f t="shared" si="45"/>
        <v>6307</v>
      </c>
      <c r="D190" s="32">
        <f>41942+1228</f>
        <v>43170</v>
      </c>
      <c r="E190" s="32"/>
      <c r="F190" s="32"/>
      <c r="G190" s="32">
        <f t="shared" si="39"/>
        <v>43170</v>
      </c>
      <c r="H190" s="12"/>
      <c r="I190" s="12">
        <v>108</v>
      </c>
      <c r="J190" s="12"/>
      <c r="K190" s="12">
        <f t="shared" si="40"/>
        <v>43278</v>
      </c>
      <c r="M190" s="10">
        <v>14</v>
      </c>
      <c r="N190" s="30">
        <v>45818</v>
      </c>
      <c r="O190" s="31">
        <f t="shared" si="46"/>
        <v>6264</v>
      </c>
      <c r="P190" s="32">
        <f>1878+28.5</f>
        <v>1906.5</v>
      </c>
      <c r="Q190" s="32"/>
      <c r="R190" s="32"/>
      <c r="S190" s="32">
        <f t="shared" si="41"/>
        <v>1906.5</v>
      </c>
      <c r="T190" s="12"/>
      <c r="U190" s="12"/>
      <c r="V190" s="12"/>
      <c r="W190" s="12">
        <f t="shared" si="42"/>
        <v>1906.5</v>
      </c>
      <c r="Y190" s="10">
        <v>14</v>
      </c>
      <c r="Z190" s="30"/>
      <c r="AA190" s="31"/>
      <c r="AB190" s="32"/>
      <c r="AC190" s="32"/>
      <c r="AD190" s="32"/>
      <c r="AE190" s="32">
        <f t="shared" si="49"/>
        <v>0</v>
      </c>
      <c r="AF190" s="12"/>
      <c r="AG190" s="12"/>
      <c r="AH190" s="12"/>
      <c r="AI190" s="12">
        <f t="shared" si="44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>
        <v>45818</v>
      </c>
      <c r="C191" s="31">
        <f t="shared" si="45"/>
        <v>6308</v>
      </c>
      <c r="D191" s="32">
        <f>2504+1348+456+1192+852+416+38</f>
        <v>6806</v>
      </c>
      <c r="E191" s="32"/>
      <c r="F191" s="32"/>
      <c r="G191" s="32">
        <f t="shared" si="39"/>
        <v>6806</v>
      </c>
      <c r="H191" s="12"/>
      <c r="I191" s="12">
        <f>135+36</f>
        <v>171</v>
      </c>
      <c r="J191" s="12"/>
      <c r="K191" s="12">
        <f t="shared" si="40"/>
        <v>6977</v>
      </c>
      <c r="M191" s="10">
        <v>15</v>
      </c>
      <c r="N191" s="30">
        <v>45818</v>
      </c>
      <c r="O191" s="31">
        <f t="shared" si="46"/>
        <v>6265</v>
      </c>
      <c r="P191" s="32">
        <f>1300</f>
        <v>1300</v>
      </c>
      <c r="Q191" s="32"/>
      <c r="R191" s="32"/>
      <c r="S191" s="32">
        <f t="shared" si="41"/>
        <v>1300</v>
      </c>
      <c r="T191" s="12"/>
      <c r="U191" s="12"/>
      <c r="V191" s="12"/>
      <c r="W191" s="12">
        <f t="shared" si="42"/>
        <v>1300</v>
      </c>
      <c r="Y191" s="10">
        <v>15</v>
      </c>
      <c r="Z191" s="30"/>
      <c r="AA191" s="31"/>
      <c r="AB191" s="32"/>
      <c r="AC191" s="32"/>
      <c r="AD191" s="32"/>
      <c r="AE191" s="32">
        <f t="shared" si="49"/>
        <v>0</v>
      </c>
      <c r="AF191" s="12"/>
      <c r="AG191" s="12"/>
      <c r="AH191" s="12"/>
      <c r="AI191" s="12">
        <f t="shared" si="44"/>
        <v>0</v>
      </c>
      <c r="AK191" s="62"/>
      <c r="AL191" s="66"/>
      <c r="AM191" s="88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>
        <v>45818</v>
      </c>
      <c r="C192" s="31">
        <f t="shared" si="45"/>
        <v>6309</v>
      </c>
      <c r="D192" s="32">
        <f>6260+596+104</f>
        <v>6960</v>
      </c>
      <c r="E192" s="32"/>
      <c r="F192" s="32"/>
      <c r="G192" s="32">
        <f t="shared" si="39"/>
        <v>6960</v>
      </c>
      <c r="H192" s="12"/>
      <c r="I192" s="12"/>
      <c r="J192" s="12"/>
      <c r="K192" s="12">
        <f t="shared" si="40"/>
        <v>6960</v>
      </c>
      <c r="M192" s="10">
        <v>16</v>
      </c>
      <c r="N192" s="30">
        <v>45818</v>
      </c>
      <c r="O192" s="31">
        <f t="shared" si="46"/>
        <v>6266</v>
      </c>
      <c r="P192" s="32">
        <f>48828+4172+687</f>
        <v>53687</v>
      </c>
      <c r="Q192" s="32">
        <v>-704</v>
      </c>
      <c r="R192" s="32"/>
      <c r="S192" s="32">
        <f t="shared" si="41"/>
        <v>52983</v>
      </c>
      <c r="T192" s="12"/>
      <c r="U192" s="12"/>
      <c r="V192" s="12"/>
      <c r="W192" s="12">
        <f t="shared" si="42"/>
        <v>52983</v>
      </c>
      <c r="Y192" s="10">
        <v>16</v>
      </c>
      <c r="Z192" s="30"/>
      <c r="AB192" s="32"/>
      <c r="AC192" s="32"/>
      <c r="AD192" s="32"/>
      <c r="AE192" s="32">
        <f t="shared" si="49"/>
        <v>0</v>
      </c>
      <c r="AF192" s="12"/>
      <c r="AG192" s="12"/>
      <c r="AH192" s="12"/>
      <c r="AI192" s="12">
        <f t="shared" si="44"/>
        <v>0</v>
      </c>
      <c r="AK192" s="62"/>
      <c r="AL192" s="66"/>
      <c r="AM192" s="88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>
        <v>45818</v>
      </c>
      <c r="C193" s="31">
        <f t="shared" si="45"/>
        <v>6310</v>
      </c>
      <c r="D193" s="32">
        <f>62600+1842+2739+1192+3370+1145</f>
        <v>72888</v>
      </c>
      <c r="E193" s="32"/>
      <c r="F193" s="32"/>
      <c r="G193" s="32">
        <f t="shared" si="39"/>
        <v>72888</v>
      </c>
      <c r="H193" s="12"/>
      <c r="I193" s="12">
        <f>312+22</f>
        <v>334</v>
      </c>
      <c r="J193" s="12"/>
      <c r="K193" s="12">
        <f t="shared" si="40"/>
        <v>73222</v>
      </c>
      <c r="M193" s="10">
        <v>17</v>
      </c>
      <c r="N193" s="30"/>
      <c r="O193" s="11" t="s">
        <v>28</v>
      </c>
      <c r="P193" s="35"/>
      <c r="Q193" s="32"/>
      <c r="R193" s="32"/>
      <c r="S193" s="32">
        <f t="shared" si="41"/>
        <v>0</v>
      </c>
      <c r="T193" s="12"/>
      <c r="U193" s="12"/>
      <c r="V193" s="12"/>
      <c r="W193" s="12">
        <f t="shared" si="42"/>
        <v>0</v>
      </c>
      <c r="Y193" s="10">
        <v>17</v>
      </c>
      <c r="Z193" s="30"/>
      <c r="AA193" s="31"/>
      <c r="AB193" s="35"/>
      <c r="AC193" s="32"/>
      <c r="AD193" s="32"/>
      <c r="AE193" s="32">
        <f t="shared" si="49"/>
        <v>0</v>
      </c>
      <c r="AF193" s="12"/>
      <c r="AG193" s="12"/>
      <c r="AH193" s="12"/>
      <c r="AI193" s="12">
        <f t="shared" si="44"/>
        <v>0</v>
      </c>
      <c r="AK193" s="62"/>
      <c r="AL193" s="66"/>
      <c r="AM193" s="88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11" t="s">
        <v>28</v>
      </c>
      <c r="D194" s="32"/>
      <c r="E194" s="32"/>
      <c r="F194" s="32"/>
      <c r="G194" s="32">
        <f t="shared" si="39"/>
        <v>0</v>
      </c>
      <c r="H194" s="12"/>
      <c r="I194" s="12"/>
      <c r="J194" s="12"/>
      <c r="K194" s="12">
        <f t="shared" si="40"/>
        <v>0</v>
      </c>
      <c r="M194" s="10">
        <v>18</v>
      </c>
      <c r="N194" s="30"/>
      <c r="O194" s="31"/>
      <c r="P194" s="32"/>
      <c r="Q194" s="32"/>
      <c r="R194" s="32"/>
      <c r="S194" s="32">
        <f t="shared" si="41"/>
        <v>0</v>
      </c>
      <c r="T194" s="12"/>
      <c r="U194" s="12"/>
      <c r="V194" s="12"/>
      <c r="W194" s="12">
        <f t="shared" si="42"/>
        <v>0</v>
      </c>
      <c r="Y194" s="10">
        <v>18</v>
      </c>
      <c r="Z194" s="30"/>
      <c r="AA194" s="31"/>
      <c r="AB194" s="32"/>
      <c r="AC194" s="32"/>
      <c r="AD194" s="32"/>
      <c r="AE194" s="32">
        <f t="shared" si="49"/>
        <v>0</v>
      </c>
      <c r="AF194" s="12"/>
      <c r="AG194" s="12"/>
      <c r="AH194" s="12"/>
      <c r="AI194" s="12">
        <f t="shared" si="44"/>
        <v>0</v>
      </c>
      <c r="AK194" s="62"/>
      <c r="AL194" s="66"/>
      <c r="AM194" s="88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31"/>
      <c r="D195" s="32"/>
      <c r="E195" s="32"/>
      <c r="F195" s="32"/>
      <c r="G195" s="32">
        <f t="shared" si="39"/>
        <v>0</v>
      </c>
      <c r="H195" s="12"/>
      <c r="I195" s="12"/>
      <c r="J195" s="12"/>
      <c r="K195" s="12">
        <f t="shared" si="40"/>
        <v>0</v>
      </c>
      <c r="M195" s="10">
        <v>19</v>
      </c>
      <c r="N195" s="30"/>
      <c r="O195" s="31"/>
      <c r="P195" s="32"/>
      <c r="Q195" s="32"/>
      <c r="R195" s="32"/>
      <c r="S195" s="32">
        <f t="shared" si="41"/>
        <v>0</v>
      </c>
      <c r="T195" s="12"/>
      <c r="U195" s="12"/>
      <c r="V195" s="12"/>
      <c r="W195" s="12">
        <f t="shared" si="42"/>
        <v>0</v>
      </c>
      <c r="Y195" s="10">
        <v>19</v>
      </c>
      <c r="Z195" s="30"/>
      <c r="AA195" s="31"/>
      <c r="AB195" s="32"/>
      <c r="AC195" s="32"/>
      <c r="AD195" s="32"/>
      <c r="AE195" s="32">
        <f t="shared" si="49"/>
        <v>0</v>
      </c>
      <c r="AF195" s="12"/>
      <c r="AG195" s="12"/>
      <c r="AH195" s="12"/>
      <c r="AI195" s="12">
        <f t="shared" si="44"/>
        <v>0</v>
      </c>
      <c r="AK195" s="62"/>
      <c r="AL195" s="66"/>
      <c r="AM195" s="88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D196" s="32"/>
      <c r="E196" s="32"/>
      <c r="F196" s="32"/>
      <c r="G196" s="32">
        <f t="shared" si="39"/>
        <v>0</v>
      </c>
      <c r="H196" s="12"/>
      <c r="I196" s="12"/>
      <c r="J196" s="12"/>
      <c r="K196" s="12">
        <f t="shared" si="40"/>
        <v>0</v>
      </c>
      <c r="M196" s="10">
        <v>20</v>
      </c>
      <c r="N196" s="30"/>
      <c r="O196" s="31"/>
      <c r="P196" s="32"/>
      <c r="Q196" s="32"/>
      <c r="R196" s="32"/>
      <c r="S196" s="32">
        <f t="shared" si="41"/>
        <v>0</v>
      </c>
      <c r="T196" s="12"/>
      <c r="U196" s="12"/>
      <c r="V196" s="12"/>
      <c r="W196" s="12">
        <f t="shared" si="42"/>
        <v>0</v>
      </c>
      <c r="Y196" s="10">
        <v>20</v>
      </c>
      <c r="Z196" s="30"/>
      <c r="AB196" s="32"/>
      <c r="AC196" s="32"/>
      <c r="AD196" s="32"/>
      <c r="AE196" s="32">
        <f t="shared" si="49"/>
        <v>0</v>
      </c>
      <c r="AF196" s="12"/>
      <c r="AG196" s="12"/>
      <c r="AH196" s="12"/>
      <c r="AI196" s="12">
        <f t="shared" si="44"/>
        <v>0</v>
      </c>
      <c r="AK196" s="62"/>
      <c r="AL196" s="66"/>
      <c r="AM196" s="88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31"/>
      <c r="D197" s="32"/>
      <c r="E197" s="32"/>
      <c r="F197" s="32"/>
      <c r="G197" s="32">
        <f t="shared" si="39"/>
        <v>0</v>
      </c>
      <c r="H197" s="10"/>
      <c r="I197" s="10"/>
      <c r="J197" s="10"/>
      <c r="K197" s="12">
        <f t="shared" si="40"/>
        <v>0</v>
      </c>
      <c r="M197" s="10">
        <v>21</v>
      </c>
      <c r="N197" s="30"/>
      <c r="O197" s="31"/>
      <c r="P197" s="46"/>
      <c r="Q197" s="31"/>
      <c r="R197" s="31"/>
      <c r="S197" s="32">
        <f t="shared" si="41"/>
        <v>0</v>
      </c>
      <c r="T197" s="10"/>
      <c r="U197" s="10"/>
      <c r="V197" s="10"/>
      <c r="W197" s="12">
        <f t="shared" si="42"/>
        <v>0</v>
      </c>
      <c r="Y197" s="10">
        <v>21</v>
      </c>
      <c r="Z197" s="30"/>
      <c r="AA197" s="31"/>
      <c r="AB197" s="46"/>
      <c r="AC197" s="31"/>
      <c r="AD197" s="31"/>
      <c r="AE197" s="32">
        <f t="shared" si="49"/>
        <v>0</v>
      </c>
      <c r="AF197" s="10"/>
      <c r="AG197" s="10"/>
      <c r="AH197" s="10"/>
      <c r="AI197" s="12">
        <f t="shared" si="44"/>
        <v>0</v>
      </c>
      <c r="AK197" s="62"/>
      <c r="AL197" s="66"/>
      <c r="AM197" s="88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31"/>
      <c r="D198" s="32"/>
      <c r="E198" s="32"/>
      <c r="F198" s="32"/>
      <c r="G198" s="32">
        <f t="shared" si="39"/>
        <v>0</v>
      </c>
      <c r="H198" s="10"/>
      <c r="I198" s="10"/>
      <c r="J198" s="10"/>
      <c r="K198" s="12">
        <f t="shared" si="40"/>
        <v>0</v>
      </c>
      <c r="M198" s="10">
        <v>22</v>
      </c>
      <c r="N198" s="30"/>
      <c r="O198" s="31"/>
      <c r="P198" s="45"/>
      <c r="Q198" s="31"/>
      <c r="R198" s="31"/>
      <c r="S198" s="32">
        <f t="shared" si="41"/>
        <v>0</v>
      </c>
      <c r="T198" s="10"/>
      <c r="U198" s="10"/>
      <c r="V198" s="10"/>
      <c r="W198" s="12">
        <f t="shared" si="42"/>
        <v>0</v>
      </c>
      <c r="Y198" s="10">
        <v>22</v>
      </c>
      <c r="Z198" s="30"/>
      <c r="AA198" s="31"/>
      <c r="AB198" s="45"/>
      <c r="AC198" s="31"/>
      <c r="AD198" s="31"/>
      <c r="AE198" s="32">
        <f t="shared" si="49"/>
        <v>0</v>
      </c>
      <c r="AF198" s="10"/>
      <c r="AG198" s="10"/>
      <c r="AH198" s="10"/>
      <c r="AI198" s="12">
        <f t="shared" si="44"/>
        <v>0</v>
      </c>
      <c r="AK198" s="62"/>
      <c r="AL198" s="66"/>
      <c r="AM198" s="88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57"/>
      <c r="D199" s="32"/>
      <c r="E199" s="32"/>
      <c r="F199" s="32"/>
      <c r="G199" s="32">
        <f t="shared" si="39"/>
        <v>0</v>
      </c>
      <c r="H199" s="10"/>
      <c r="I199" s="10"/>
      <c r="J199" s="12"/>
      <c r="K199" s="12">
        <f t="shared" si="40"/>
        <v>0</v>
      </c>
      <c r="M199" s="10">
        <v>23</v>
      </c>
      <c r="N199" s="30"/>
      <c r="O199" s="31"/>
      <c r="P199" s="47"/>
      <c r="Q199" s="31"/>
      <c r="S199" s="32">
        <f t="shared" si="41"/>
        <v>0</v>
      </c>
      <c r="T199" s="10"/>
      <c r="U199" s="10"/>
      <c r="V199" s="10"/>
      <c r="W199" s="12">
        <f t="shared" si="42"/>
        <v>0</v>
      </c>
      <c r="Y199" s="10">
        <v>23</v>
      </c>
      <c r="Z199" s="30"/>
      <c r="AA199" s="31"/>
      <c r="AB199" s="47"/>
      <c r="AE199" s="32">
        <f t="shared" si="49"/>
        <v>0</v>
      </c>
      <c r="AF199" s="10"/>
      <c r="AG199" s="10"/>
      <c r="AH199" s="10"/>
      <c r="AI199" s="12">
        <f t="shared" si="44"/>
        <v>0</v>
      </c>
      <c r="AK199" s="62"/>
      <c r="AL199" s="66"/>
      <c r="AM199" s="88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31"/>
      <c r="D200" s="32"/>
      <c r="E200" s="32"/>
      <c r="F200" s="32"/>
      <c r="G200" s="32">
        <f t="shared" si="39"/>
        <v>0</v>
      </c>
      <c r="H200" s="10"/>
      <c r="I200" s="10"/>
      <c r="J200" s="10"/>
      <c r="K200" s="12">
        <f t="shared" si="40"/>
        <v>0</v>
      </c>
      <c r="M200" s="10">
        <v>24</v>
      </c>
      <c r="N200" s="30"/>
      <c r="O200" s="31"/>
      <c r="P200" s="47"/>
      <c r="Q200" s="31"/>
      <c r="R200" s="31"/>
      <c r="S200" s="32">
        <f t="shared" si="41"/>
        <v>0</v>
      </c>
      <c r="T200" s="10"/>
      <c r="U200" s="10"/>
      <c r="V200" s="10"/>
      <c r="W200" s="12">
        <f t="shared" si="42"/>
        <v>0</v>
      </c>
      <c r="Y200" s="10">
        <v>24</v>
      </c>
      <c r="Z200" s="30"/>
      <c r="AA200" s="31"/>
      <c r="AB200" s="47"/>
      <c r="AC200" s="31"/>
      <c r="AD200" s="31"/>
      <c r="AE200" s="32">
        <f t="shared" si="49"/>
        <v>0</v>
      </c>
      <c r="AF200" s="10"/>
      <c r="AG200" s="10"/>
      <c r="AH200" s="10"/>
      <c r="AI200" s="12">
        <f t="shared" si="44"/>
        <v>0</v>
      </c>
      <c r="AK200" s="62"/>
      <c r="AL200" s="66"/>
      <c r="AM200" s="88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31"/>
      <c r="D201" s="32"/>
      <c r="E201" s="32"/>
      <c r="F201" s="32"/>
      <c r="G201" s="32">
        <f t="shared" si="39"/>
        <v>0</v>
      </c>
      <c r="H201" s="10"/>
      <c r="I201" s="10"/>
      <c r="J201" s="10"/>
      <c r="K201" s="12">
        <f t="shared" si="40"/>
        <v>0</v>
      </c>
      <c r="M201" s="10">
        <v>25</v>
      </c>
      <c r="N201" s="30"/>
      <c r="O201" s="31"/>
      <c r="P201" s="47"/>
      <c r="Q201" s="31"/>
      <c r="R201" s="31"/>
      <c r="S201" s="32">
        <f t="shared" si="41"/>
        <v>0</v>
      </c>
      <c r="T201" s="10"/>
      <c r="U201" s="10"/>
      <c r="V201" s="10"/>
      <c r="W201" s="12">
        <f t="shared" si="42"/>
        <v>0</v>
      </c>
      <c r="Y201" s="10">
        <v>25</v>
      </c>
      <c r="Z201" s="30"/>
      <c r="AA201" s="11"/>
      <c r="AB201" s="47"/>
      <c r="AC201" s="31"/>
      <c r="AD201" s="31"/>
      <c r="AE201" s="32">
        <f t="shared" si="49"/>
        <v>0</v>
      </c>
      <c r="AF201" s="10"/>
      <c r="AG201" s="10"/>
      <c r="AH201" s="10"/>
      <c r="AI201" s="12">
        <f t="shared" si="44"/>
        <v>0</v>
      </c>
      <c r="AK201" s="62"/>
      <c r="AL201" s="66"/>
      <c r="AM201" s="88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11"/>
      <c r="D202" s="32"/>
      <c r="E202" s="32"/>
      <c r="F202" s="32"/>
      <c r="G202" s="32">
        <f t="shared" si="39"/>
        <v>0</v>
      </c>
      <c r="H202" s="10"/>
      <c r="I202" s="10"/>
      <c r="J202" s="10"/>
      <c r="K202" s="12">
        <f t="shared" si="40"/>
        <v>0</v>
      </c>
      <c r="M202" s="10">
        <v>26</v>
      </c>
      <c r="N202" s="30"/>
      <c r="O202" s="31"/>
      <c r="P202" s="47"/>
      <c r="Q202" s="31"/>
      <c r="R202" s="31"/>
      <c r="S202" s="32">
        <f t="shared" si="41"/>
        <v>0</v>
      </c>
      <c r="T202" s="10"/>
      <c r="U202" s="10"/>
      <c r="V202" s="10"/>
      <c r="W202" s="12">
        <f t="shared" si="42"/>
        <v>0</v>
      </c>
      <c r="Y202" s="10">
        <v>26</v>
      </c>
      <c r="Z202" s="30"/>
      <c r="AB202" s="47"/>
      <c r="AC202" s="31"/>
      <c r="AD202" s="31"/>
      <c r="AE202" s="32">
        <f t="shared" si="49"/>
        <v>0</v>
      </c>
      <c r="AF202" s="10"/>
      <c r="AG202" s="10"/>
      <c r="AH202" s="10"/>
      <c r="AI202" s="12">
        <f t="shared" si="44"/>
        <v>0</v>
      </c>
      <c r="AK202" s="62"/>
      <c r="AL202" s="66"/>
      <c r="AM202" s="88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57"/>
      <c r="D203" s="32"/>
      <c r="E203" s="32"/>
      <c r="F203" s="32"/>
      <c r="G203" s="32">
        <f t="shared" si="39"/>
        <v>0</v>
      </c>
      <c r="H203" s="10"/>
      <c r="I203" s="10"/>
      <c r="J203" s="10"/>
      <c r="K203" s="12">
        <f t="shared" si="40"/>
        <v>0</v>
      </c>
      <c r="M203" s="10">
        <v>27</v>
      </c>
      <c r="N203" s="30"/>
      <c r="O203" s="31"/>
      <c r="P203" s="47"/>
      <c r="Q203" s="31"/>
      <c r="R203" s="31"/>
      <c r="S203" s="32">
        <f t="shared" si="41"/>
        <v>0</v>
      </c>
      <c r="T203" s="10"/>
      <c r="U203" s="10"/>
      <c r="V203" s="10"/>
      <c r="W203" s="12">
        <f t="shared" si="42"/>
        <v>0</v>
      </c>
      <c r="Y203" s="10">
        <v>27</v>
      </c>
      <c r="Z203" s="30"/>
      <c r="AA203" s="31"/>
      <c r="AB203" s="47"/>
      <c r="AC203" s="31"/>
      <c r="AD203" s="31"/>
      <c r="AE203" s="32">
        <f t="shared" si="49"/>
        <v>0</v>
      </c>
      <c r="AF203" s="10"/>
      <c r="AG203" s="10"/>
      <c r="AH203" s="10"/>
      <c r="AI203" s="12">
        <f t="shared" si="44"/>
        <v>0</v>
      </c>
      <c r="AK203" s="62"/>
      <c r="AL203" s="66"/>
      <c r="AM203" s="88"/>
      <c r="AN203" s="67"/>
      <c r="AO203" s="88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31"/>
      <c r="D204" s="32"/>
      <c r="E204" s="32"/>
      <c r="F204" s="32"/>
      <c r="G204" s="32">
        <f t="shared" si="39"/>
        <v>0</v>
      </c>
      <c r="H204" s="10"/>
      <c r="I204" s="10"/>
      <c r="J204" s="10"/>
      <c r="K204" s="12">
        <f t="shared" si="40"/>
        <v>0</v>
      </c>
      <c r="M204" s="10">
        <v>28</v>
      </c>
      <c r="N204" s="30"/>
      <c r="O204" s="31"/>
      <c r="P204" s="47"/>
      <c r="Q204" s="31"/>
      <c r="R204" s="31"/>
      <c r="S204" s="32">
        <f t="shared" si="41"/>
        <v>0</v>
      </c>
      <c r="T204" s="10"/>
      <c r="U204" s="10"/>
      <c r="V204" s="10"/>
      <c r="W204" s="12">
        <f t="shared" si="42"/>
        <v>0</v>
      </c>
      <c r="Y204" s="10">
        <v>28</v>
      </c>
      <c r="Z204" s="30"/>
      <c r="AA204" s="31"/>
      <c r="AB204" s="47"/>
      <c r="AC204" s="31"/>
      <c r="AD204" s="31"/>
      <c r="AE204" s="32">
        <f t="shared" si="49"/>
        <v>0</v>
      </c>
      <c r="AF204" s="10"/>
      <c r="AG204" s="10"/>
      <c r="AH204" s="10"/>
      <c r="AI204" s="12">
        <f t="shared" si="44"/>
        <v>0</v>
      </c>
      <c r="AK204" s="62"/>
      <c r="AL204" s="66"/>
      <c r="AM204" s="88"/>
      <c r="AN204" s="68"/>
      <c r="AO204" s="88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31"/>
      <c r="D205" s="32"/>
      <c r="E205" s="32"/>
      <c r="F205" s="32"/>
      <c r="G205" s="32">
        <f t="shared" si="39"/>
        <v>0</v>
      </c>
      <c r="H205" s="10"/>
      <c r="I205" s="10"/>
      <c r="J205" s="10"/>
      <c r="K205" s="12">
        <f t="shared" si="40"/>
        <v>0</v>
      </c>
      <c r="M205" s="10">
        <v>29</v>
      </c>
      <c r="N205" s="30"/>
      <c r="O205" s="31"/>
      <c r="P205" s="47"/>
      <c r="Q205" s="31"/>
      <c r="R205" s="31"/>
      <c r="S205" s="32">
        <f t="shared" si="41"/>
        <v>0</v>
      </c>
      <c r="T205" s="10"/>
      <c r="U205" s="10"/>
      <c r="V205" s="10"/>
      <c r="W205" s="12">
        <f t="shared" si="42"/>
        <v>0</v>
      </c>
      <c r="Y205" s="10">
        <v>29</v>
      </c>
      <c r="Z205" s="30"/>
      <c r="AA205" s="31"/>
      <c r="AB205" s="47"/>
      <c r="AC205" s="31"/>
      <c r="AD205" s="31"/>
      <c r="AE205" s="32">
        <f t="shared" si="49"/>
        <v>0</v>
      </c>
      <c r="AF205" s="10"/>
      <c r="AG205" s="10"/>
      <c r="AH205" s="10"/>
      <c r="AI205" s="12">
        <f t="shared" si="44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57"/>
      <c r="D206" s="32"/>
      <c r="E206" s="32"/>
      <c r="F206" s="32"/>
      <c r="G206" s="32">
        <f t="shared" si="39"/>
        <v>0</v>
      </c>
      <c r="H206" s="10"/>
      <c r="I206" s="10"/>
      <c r="J206" s="10"/>
      <c r="K206" s="12">
        <f t="shared" si="40"/>
        <v>0</v>
      </c>
      <c r="M206" s="10">
        <v>30</v>
      </c>
      <c r="N206" s="30"/>
      <c r="O206" s="31"/>
      <c r="P206" s="47"/>
      <c r="Q206" s="31"/>
      <c r="R206" s="31"/>
      <c r="S206" s="32">
        <f t="shared" si="41"/>
        <v>0</v>
      </c>
      <c r="T206" s="10"/>
      <c r="U206" s="10"/>
      <c r="V206" s="10"/>
      <c r="W206" s="12">
        <f t="shared" si="42"/>
        <v>0</v>
      </c>
      <c r="Y206" s="10">
        <v>30</v>
      </c>
      <c r="Z206" s="30"/>
      <c r="AB206" s="47"/>
      <c r="AC206" s="31"/>
      <c r="AD206" s="31"/>
      <c r="AE206" s="32">
        <f t="shared" si="49"/>
        <v>0</v>
      </c>
      <c r="AF206" s="10"/>
      <c r="AG206" s="10"/>
      <c r="AH206" s="10"/>
      <c r="AI206" s="12">
        <f t="shared" si="44"/>
        <v>0</v>
      </c>
      <c r="AK206" s="62"/>
      <c r="AL206" s="66"/>
      <c r="AM206" s="88"/>
      <c r="AN206" s="69"/>
      <c r="AO206" s="88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57"/>
      <c r="D207" s="32"/>
      <c r="E207" s="32"/>
      <c r="F207" s="32"/>
      <c r="G207" s="32">
        <f t="shared" si="39"/>
        <v>0</v>
      </c>
      <c r="H207" s="10"/>
      <c r="I207" s="10"/>
      <c r="J207" s="10"/>
      <c r="K207" s="12">
        <f t="shared" si="40"/>
        <v>0</v>
      </c>
      <c r="M207" s="10">
        <v>31</v>
      </c>
      <c r="N207" s="30"/>
      <c r="O207" s="31"/>
      <c r="P207" s="47"/>
      <c r="Q207" s="31"/>
      <c r="R207" s="31"/>
      <c r="S207" s="32">
        <f t="shared" si="41"/>
        <v>0</v>
      </c>
      <c r="T207" s="10"/>
      <c r="U207" s="10"/>
      <c r="V207" s="10"/>
      <c r="W207" s="12">
        <f t="shared" si="42"/>
        <v>0</v>
      </c>
      <c r="Y207" s="10">
        <v>31</v>
      </c>
      <c r="Z207" s="30"/>
      <c r="AB207" s="47"/>
      <c r="AC207" s="31"/>
      <c r="AD207" s="31"/>
      <c r="AE207" s="32">
        <f t="shared" si="49"/>
        <v>0</v>
      </c>
      <c r="AF207" s="10"/>
      <c r="AG207" s="10"/>
      <c r="AH207" s="10"/>
      <c r="AI207" s="12">
        <f t="shared" si="44"/>
        <v>0</v>
      </c>
      <c r="AK207" s="62"/>
      <c r="AL207" s="66"/>
      <c r="AM207" s="88"/>
      <c r="AN207" s="69"/>
      <c r="AO207" s="88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31"/>
      <c r="D208" s="32"/>
      <c r="E208" s="32"/>
      <c r="F208" s="32"/>
      <c r="G208" s="32">
        <f t="shared" si="39"/>
        <v>0</v>
      </c>
      <c r="H208" s="10"/>
      <c r="I208" s="10"/>
      <c r="J208" s="10"/>
      <c r="K208" s="12">
        <f t="shared" si="40"/>
        <v>0</v>
      </c>
      <c r="M208" s="10">
        <v>32</v>
      </c>
      <c r="N208" s="30"/>
      <c r="O208" s="31"/>
      <c r="P208" s="47"/>
      <c r="Q208" s="31"/>
      <c r="R208" s="31"/>
      <c r="S208" s="32">
        <f t="shared" si="41"/>
        <v>0</v>
      </c>
      <c r="T208" s="10"/>
      <c r="U208" s="10"/>
      <c r="V208" s="10"/>
      <c r="W208" s="12">
        <f t="shared" si="42"/>
        <v>0</v>
      </c>
      <c r="Y208" s="10">
        <v>32</v>
      </c>
      <c r="Z208" s="30"/>
      <c r="AA208" s="31"/>
      <c r="AB208" s="47"/>
      <c r="AC208" s="31"/>
      <c r="AD208" s="31"/>
      <c r="AE208" s="32">
        <f t="shared" si="49"/>
        <v>0</v>
      </c>
      <c r="AF208" s="10"/>
      <c r="AG208" s="10"/>
      <c r="AH208" s="10"/>
      <c r="AI208" s="12">
        <f t="shared" si="44"/>
        <v>0</v>
      </c>
      <c r="AK208" s="62"/>
      <c r="AL208" s="66"/>
      <c r="AM208" s="62"/>
      <c r="AN208" s="69"/>
      <c r="AO208" s="88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57"/>
      <c r="D209" s="32"/>
      <c r="E209" s="32"/>
      <c r="F209" s="32"/>
      <c r="G209" s="32">
        <f t="shared" si="39"/>
        <v>0</v>
      </c>
      <c r="H209" s="10"/>
      <c r="I209" s="10"/>
      <c r="J209" s="10"/>
      <c r="K209" s="12">
        <f t="shared" si="40"/>
        <v>0</v>
      </c>
      <c r="M209" s="10">
        <v>33</v>
      </c>
      <c r="N209" s="30"/>
      <c r="O209" s="31"/>
      <c r="P209" s="47"/>
      <c r="Q209" s="31"/>
      <c r="R209" s="31"/>
      <c r="S209" s="32">
        <f t="shared" si="41"/>
        <v>0</v>
      </c>
      <c r="T209" s="10"/>
      <c r="U209" s="10"/>
      <c r="V209" s="10"/>
      <c r="W209" s="12">
        <f t="shared" si="42"/>
        <v>0</v>
      </c>
      <c r="Y209" s="10">
        <v>33</v>
      </c>
      <c r="Z209" s="30"/>
      <c r="AA209" s="31"/>
      <c r="AB209" s="47"/>
      <c r="AC209" s="31"/>
      <c r="AD209" s="31"/>
      <c r="AE209" s="32">
        <f t="shared" si="49"/>
        <v>0</v>
      </c>
      <c r="AF209" s="10"/>
      <c r="AG209" s="10"/>
      <c r="AH209" s="10"/>
      <c r="AI209" s="12">
        <f t="shared" si="44"/>
        <v>0</v>
      </c>
      <c r="AK209" s="62"/>
      <c r="AL209" s="66"/>
      <c r="AM209" s="88"/>
      <c r="AN209" s="69"/>
      <c r="AO209" s="88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57"/>
      <c r="D210" s="32"/>
      <c r="E210" s="32"/>
      <c r="F210" s="32"/>
      <c r="G210" s="32">
        <f t="shared" si="39"/>
        <v>0</v>
      </c>
      <c r="H210" s="10"/>
      <c r="I210" s="10"/>
      <c r="J210" s="10"/>
      <c r="K210" s="12">
        <f t="shared" si="40"/>
        <v>0</v>
      </c>
      <c r="M210" s="10">
        <v>34</v>
      </c>
      <c r="N210" s="30"/>
      <c r="O210" s="31"/>
      <c r="P210" s="47"/>
      <c r="Q210" s="31"/>
      <c r="R210" s="31"/>
      <c r="S210" s="32">
        <f t="shared" si="41"/>
        <v>0</v>
      </c>
      <c r="T210" s="10"/>
      <c r="U210" s="10"/>
      <c r="V210" s="10"/>
      <c r="W210" s="12">
        <f t="shared" si="42"/>
        <v>0</v>
      </c>
      <c r="Y210" s="10">
        <v>34</v>
      </c>
      <c r="Z210" s="30"/>
      <c r="AB210" s="47"/>
      <c r="AC210" s="31"/>
      <c r="AD210" s="31"/>
      <c r="AE210" s="32">
        <f t="shared" si="49"/>
        <v>0</v>
      </c>
      <c r="AF210" s="10"/>
      <c r="AG210" s="10"/>
      <c r="AH210" s="10"/>
      <c r="AI210" s="12">
        <f t="shared" si="44"/>
        <v>0</v>
      </c>
      <c r="AK210" s="62"/>
      <c r="AL210" s="66"/>
      <c r="AM210" s="88"/>
      <c r="AN210" s="69"/>
      <c r="AO210" s="88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1"/>
        <v>0</v>
      </c>
      <c r="T211" s="10"/>
      <c r="U211" s="10"/>
      <c r="V211" s="10"/>
      <c r="W211" s="12">
        <f t="shared" si="42"/>
        <v>0</v>
      </c>
      <c r="Y211" s="10">
        <v>35</v>
      </c>
      <c r="Z211" s="30"/>
      <c r="AA211" s="31"/>
      <c r="AB211" s="47"/>
      <c r="AC211" s="31"/>
      <c r="AD211" s="31"/>
      <c r="AE211" s="32">
        <f t="shared" si="49"/>
        <v>0</v>
      </c>
      <c r="AF211" s="10"/>
      <c r="AG211" s="10"/>
      <c r="AH211" s="10"/>
      <c r="AI211" s="12">
        <f t="shared" si="44"/>
        <v>0</v>
      </c>
      <c r="AK211" s="62"/>
      <c r="AL211" s="66"/>
      <c r="AM211" s="88"/>
      <c r="AN211" s="69"/>
      <c r="AO211" s="88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1"/>
        <v>0</v>
      </c>
      <c r="T212" s="10"/>
      <c r="U212" s="10"/>
      <c r="V212" s="10"/>
      <c r="W212" s="12">
        <f t="shared" si="42"/>
        <v>0</v>
      </c>
      <c r="Y212" s="10">
        <v>36</v>
      </c>
      <c r="Z212" s="30"/>
      <c r="AA212" s="31"/>
      <c r="AB212" s="47"/>
      <c r="AC212" s="31"/>
      <c r="AD212" s="31"/>
      <c r="AE212" s="32">
        <f t="shared" si="49"/>
        <v>0</v>
      </c>
      <c r="AF212" s="10"/>
      <c r="AG212" s="10"/>
      <c r="AH212" s="10"/>
      <c r="AI212" s="12">
        <f t="shared" si="44"/>
        <v>0</v>
      </c>
      <c r="AK212" s="62"/>
      <c r="AL212" s="66"/>
      <c r="AM212" s="88"/>
      <c r="AN212" s="69"/>
      <c r="AO212" s="88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1"/>
        <v>0</v>
      </c>
      <c r="T213" s="10"/>
      <c r="U213" s="10"/>
      <c r="V213" s="10"/>
      <c r="W213" s="12">
        <f t="shared" si="42"/>
        <v>0</v>
      </c>
      <c r="Y213" s="10">
        <v>37</v>
      </c>
      <c r="Z213" s="30"/>
      <c r="AA213" s="31"/>
      <c r="AB213" s="47"/>
      <c r="AC213" s="31"/>
      <c r="AD213" s="31"/>
      <c r="AE213" s="32">
        <f t="shared" si="49"/>
        <v>0</v>
      </c>
      <c r="AF213" s="10"/>
      <c r="AG213" s="10"/>
      <c r="AH213" s="10"/>
      <c r="AI213" s="12">
        <f t="shared" si="44"/>
        <v>0</v>
      </c>
      <c r="AK213" s="62"/>
      <c r="AL213" s="66"/>
      <c r="AM213" s="88"/>
      <c r="AN213" s="69"/>
      <c r="AO213" s="88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1"/>
        <v>0</v>
      </c>
      <c r="T214" s="10"/>
      <c r="U214" s="10"/>
      <c r="V214" s="10"/>
      <c r="W214" s="12">
        <f t="shared" si="42"/>
        <v>0</v>
      </c>
      <c r="Y214" s="10">
        <v>38</v>
      </c>
      <c r="Z214" s="30"/>
      <c r="AA214" s="31"/>
      <c r="AB214" s="47"/>
      <c r="AC214" s="31"/>
      <c r="AD214" s="31"/>
      <c r="AE214" s="32">
        <f t="shared" si="49"/>
        <v>0</v>
      </c>
      <c r="AF214" s="10"/>
      <c r="AG214" s="10"/>
      <c r="AH214" s="10"/>
      <c r="AI214" s="12">
        <f t="shared" si="44"/>
        <v>0</v>
      </c>
      <c r="AK214" s="62"/>
      <c r="AL214" s="66"/>
      <c r="AM214" s="88"/>
      <c r="AN214" s="69"/>
      <c r="AO214" s="88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1"/>
        <v>0</v>
      </c>
      <c r="T215" s="10"/>
      <c r="U215" s="10"/>
      <c r="V215" s="10"/>
      <c r="W215" s="12">
        <f t="shared" si="42"/>
        <v>0</v>
      </c>
      <c r="Y215" s="10">
        <v>39</v>
      </c>
      <c r="Z215" s="30"/>
      <c r="AA215" s="31"/>
      <c r="AB215" s="47"/>
      <c r="AC215" s="31"/>
      <c r="AD215" s="31"/>
      <c r="AE215" s="32">
        <f t="shared" si="49"/>
        <v>0</v>
      </c>
      <c r="AF215" s="10"/>
      <c r="AG215" s="10"/>
      <c r="AH215" s="10"/>
      <c r="AI215" s="12">
        <f t="shared" si="44"/>
        <v>0</v>
      </c>
      <c r="AK215" s="62"/>
      <c r="AL215" s="66"/>
      <c r="AM215" s="88"/>
      <c r="AN215" s="69"/>
      <c r="AO215" s="88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2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44"/>
        <v>0</v>
      </c>
      <c r="AK216" s="62"/>
      <c r="AL216" s="66"/>
      <c r="AM216" s="88"/>
      <c r="AN216" s="69"/>
      <c r="AO216" s="88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0">SUM(D217:E217)</f>
        <v>0</v>
      </c>
      <c r="H217" s="10"/>
      <c r="I217" s="10"/>
      <c r="J217" s="10"/>
      <c r="K217" s="12">
        <f t="shared" ref="K217" si="51">SUM(G217:J217)</f>
        <v>0</v>
      </c>
      <c r="M217" s="10"/>
      <c r="N217" s="30"/>
      <c r="O217" s="31"/>
      <c r="P217" s="47"/>
      <c r="Q217" s="31"/>
      <c r="R217" s="31"/>
      <c r="S217" s="32">
        <f t="shared" ref="S217" si="52">SUM(P217:Q217)</f>
        <v>0</v>
      </c>
      <c r="T217" s="10"/>
      <c r="U217" s="10"/>
      <c r="V217" s="10"/>
      <c r="W217" s="12">
        <f t="shared" si="42"/>
        <v>0</v>
      </c>
      <c r="Y217" s="10"/>
      <c r="Z217" s="30"/>
      <c r="AA217" s="31"/>
      <c r="AB217" s="47"/>
      <c r="AC217" s="31"/>
      <c r="AD217" s="31"/>
      <c r="AE217" s="32">
        <f t="shared" ref="AE217" si="53">SUM(AB217:AC217)</f>
        <v>0</v>
      </c>
      <c r="AF217" s="10"/>
      <c r="AG217" s="10"/>
      <c r="AH217" s="10"/>
      <c r="AI217" s="12">
        <f t="shared" si="44"/>
        <v>0</v>
      </c>
      <c r="AK217" s="62"/>
      <c r="AL217" s="66"/>
      <c r="AM217" s="88"/>
      <c r="AN217" s="69"/>
      <c r="AO217" s="88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2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44"/>
        <v>0</v>
      </c>
      <c r="AK218" s="62"/>
      <c r="AL218" s="66"/>
      <c r="AM218" s="88"/>
      <c r="AN218" s="69"/>
      <c r="AO218" s="88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8"/>
      <c r="AN219" s="69"/>
      <c r="AO219" s="88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190613</v>
      </c>
      <c r="E220" s="38">
        <f t="shared" ref="E220:F220" si="54">SUM(E177:E217)</f>
        <v>0</v>
      </c>
      <c r="F220" s="38">
        <f t="shared" si="54"/>
        <v>0</v>
      </c>
      <c r="G220" s="38">
        <f>SUM(G177:G219)</f>
        <v>190613</v>
      </c>
      <c r="H220" s="4"/>
      <c r="I220" s="39">
        <f>SUM(I177:I219)</f>
        <v>871</v>
      </c>
      <c r="J220" s="39">
        <f>SUM(J177:J219)</f>
        <v>0</v>
      </c>
      <c r="K220" s="40">
        <f>SUM(K177:K219)</f>
        <v>191484</v>
      </c>
      <c r="N220" s="57"/>
      <c r="O220" s="57"/>
      <c r="P220" s="38">
        <f>SUM(P177:P219)</f>
        <v>189215.5</v>
      </c>
      <c r="Q220" s="38">
        <f>SUM(Q177:Q201)</f>
        <v>-704</v>
      </c>
      <c r="R220" s="38">
        <f>SUM(R177:R201)</f>
        <v>0</v>
      </c>
      <c r="S220" s="38">
        <f>SUM(S177:S219)</f>
        <v>188511.5</v>
      </c>
      <c r="T220" s="4"/>
      <c r="U220" s="41">
        <f>SUM(U177:U219)</f>
        <v>756.5</v>
      </c>
      <c r="V220" s="41">
        <f>SUM(V177:V201)</f>
        <v>0</v>
      </c>
      <c r="W220" s="42">
        <f>SUM(W177:W219)</f>
        <v>189268</v>
      </c>
      <c r="Z220" s="57"/>
      <c r="AA220" s="57"/>
      <c r="AB220" s="38">
        <f>SUM(AB177:AB219)</f>
        <v>178598.5</v>
      </c>
      <c r="AC220" s="38">
        <f>SUM(AC177:AC201)</f>
        <v>-678</v>
      </c>
      <c r="AD220" s="38">
        <f>SUM(AD177:AD201)</f>
        <v>0</v>
      </c>
      <c r="AE220" s="38">
        <f>SUM(AE177:AE219)</f>
        <v>177920.5</v>
      </c>
      <c r="AF220" s="4"/>
      <c r="AG220" s="41">
        <f>SUM(AG177:AG219)</f>
        <v>2866.5</v>
      </c>
      <c r="AH220" s="41">
        <f>SUM(AH177:AH201)</f>
        <v>-15942</v>
      </c>
      <c r="AI220" s="42">
        <f>SUM(AI177:AI219)</f>
        <v>164845</v>
      </c>
      <c r="AK220" s="62"/>
      <c r="AL220" s="66"/>
      <c r="AM220" s="88"/>
      <c r="AN220" s="69"/>
      <c r="AO220" s="88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8"/>
      <c r="AN221" s="69"/>
      <c r="AO221" s="88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8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29</v>
      </c>
      <c r="B223" s="57"/>
      <c r="C223" s="57"/>
      <c r="D223" s="57"/>
      <c r="E223" s="57"/>
      <c r="G223" s="57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29</v>
      </c>
      <c r="Z223" s="57"/>
      <c r="AA223" s="57"/>
      <c r="AB223" s="57"/>
      <c r="AC223" s="57"/>
      <c r="AD223" s="57"/>
      <c r="AE223" s="57"/>
      <c r="AK223" s="62"/>
      <c r="AL223" s="66"/>
      <c r="AM223" s="88"/>
      <c r="AN223" s="69"/>
      <c r="AO223" s="88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8"/>
      <c r="AM224" s="88"/>
      <c r="AN224" s="88"/>
      <c r="AO224" s="88"/>
      <c r="AP224" s="88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15</v>
      </c>
      <c r="B225" s="57"/>
      <c r="C225" s="57"/>
      <c r="D225" s="57"/>
      <c r="E225" s="57"/>
      <c r="G225" s="57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15</v>
      </c>
      <c r="Z225" s="57"/>
      <c r="AA225" s="57"/>
      <c r="AB225" s="57"/>
      <c r="AC225" s="57"/>
      <c r="AD225" s="57"/>
      <c r="AE225" s="57"/>
      <c r="AK225" s="62"/>
      <c r="AL225" s="88"/>
      <c r="AM225" s="88"/>
      <c r="AN225" s="88"/>
      <c r="AO225" s="88"/>
      <c r="AP225" s="88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8"/>
      <c r="AM226" s="88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16</v>
      </c>
      <c r="J227" s="19">
        <v>1</v>
      </c>
      <c r="M227" s="62"/>
      <c r="N227" s="88"/>
      <c r="O227" s="88"/>
      <c r="P227" s="88"/>
      <c r="Q227" s="88"/>
      <c r="R227" s="88"/>
      <c r="S227" s="88"/>
      <c r="T227" s="62"/>
      <c r="U227" s="88"/>
      <c r="V227" s="74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16</v>
      </c>
      <c r="AH227" s="20">
        <v>3</v>
      </c>
      <c r="AK227" s="62"/>
      <c r="AL227" s="88"/>
      <c r="AM227" s="88"/>
      <c r="AN227" s="72"/>
      <c r="AO227" s="88"/>
      <c r="AP227" s="88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17</v>
      </c>
      <c r="J228" s="23" t="s">
        <v>36</v>
      </c>
      <c r="K228" s="24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17</v>
      </c>
      <c r="AH228" s="23" t="s">
        <v>34</v>
      </c>
      <c r="AI228" s="24"/>
      <c r="AK228" s="62"/>
      <c r="AL228" s="88"/>
      <c r="AM228" s="88"/>
      <c r="AN228" s="88"/>
      <c r="AO228" s="88"/>
      <c r="AP228" s="88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4" t="s">
        <v>18</v>
      </c>
      <c r="E230" s="124"/>
      <c r="F230" s="92"/>
      <c r="G230" s="27"/>
      <c r="I230" s="122" t="s">
        <v>19</v>
      </c>
      <c r="J230" s="123"/>
      <c r="K230" s="120" t="s">
        <v>20</v>
      </c>
      <c r="M230" s="62"/>
      <c r="N230" s="65"/>
      <c r="O230" s="88"/>
      <c r="P230" s="126"/>
      <c r="Q230" s="126"/>
      <c r="R230" s="88"/>
      <c r="S230" s="88"/>
      <c r="T230" s="62"/>
      <c r="U230" s="126"/>
      <c r="V230" s="126"/>
      <c r="W230" s="125"/>
      <c r="Z230" s="25"/>
      <c r="AA230" s="26"/>
      <c r="AB230" s="124" t="s">
        <v>18</v>
      </c>
      <c r="AC230" s="124"/>
      <c r="AD230" s="92"/>
      <c r="AE230" s="27"/>
      <c r="AG230" s="122" t="s">
        <v>19</v>
      </c>
      <c r="AH230" s="123"/>
      <c r="AI230" s="120" t="s">
        <v>20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21</v>
      </c>
      <c r="C231" s="28" t="s">
        <v>22</v>
      </c>
      <c r="D231" s="79" t="s">
        <v>23</v>
      </c>
      <c r="E231" s="78" t="s">
        <v>24</v>
      </c>
      <c r="F231" s="80" t="s">
        <v>35</v>
      </c>
      <c r="G231" s="80" t="s">
        <v>25</v>
      </c>
      <c r="I231" s="29" t="s">
        <v>26</v>
      </c>
      <c r="J231" s="29" t="s">
        <v>27</v>
      </c>
      <c r="K231" s="121"/>
      <c r="M231" s="62"/>
      <c r="N231" s="88"/>
      <c r="O231" s="88"/>
      <c r="P231" s="81"/>
      <c r="Q231" s="83"/>
      <c r="R231" s="83"/>
      <c r="S231" s="83"/>
      <c r="T231" s="62"/>
      <c r="U231" s="87"/>
      <c r="V231" s="87"/>
      <c r="W231" s="125"/>
      <c r="Z231" s="28" t="s">
        <v>21</v>
      </c>
      <c r="AA231" s="28" t="s">
        <v>22</v>
      </c>
      <c r="AB231" s="79" t="s">
        <v>23</v>
      </c>
      <c r="AC231" s="80" t="s">
        <v>24</v>
      </c>
      <c r="AD231" s="80" t="s">
        <v>35</v>
      </c>
      <c r="AE231" s="80" t="s">
        <v>25</v>
      </c>
      <c r="AG231" s="29" t="s">
        <v>26</v>
      </c>
      <c r="AH231" s="29" t="s">
        <v>27</v>
      </c>
      <c r="AI231" s="121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45848</v>
      </c>
      <c r="C232" s="31">
        <v>6311</v>
      </c>
      <c r="D232" s="32">
        <f>5634+614+1788+852</f>
        <v>8888</v>
      </c>
      <c r="E232" s="32"/>
      <c r="F232" s="32"/>
      <c r="G232" s="32">
        <f t="shared" ref="G232:G265" si="55">SUM(D232:E232)</f>
        <v>8888</v>
      </c>
      <c r="H232" s="12"/>
      <c r="I232" s="12"/>
      <c r="J232" s="12"/>
      <c r="K232" s="12">
        <f t="shared" ref="K232:K265" si="56">SUM(G232:J232)</f>
        <v>8888</v>
      </c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45848</v>
      </c>
      <c r="AA232" s="31">
        <v>6087</v>
      </c>
      <c r="AB232" s="32">
        <f>31300+4160+458+2600</f>
        <v>38518</v>
      </c>
      <c r="AC232" s="32">
        <v>-366</v>
      </c>
      <c r="AD232" s="32"/>
      <c r="AE232" s="32">
        <f>SUM(AB232:AC232)</f>
        <v>38152</v>
      </c>
      <c r="AF232" s="12"/>
      <c r="AG232" s="12"/>
      <c r="AH232" s="12">
        <v>-5550</v>
      </c>
      <c r="AI232" s="12">
        <f>SUM(AE232:AH232)</f>
        <v>32602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45848</v>
      </c>
      <c r="C233" s="31">
        <f>C232+1</f>
        <v>6312</v>
      </c>
      <c r="D233" s="32">
        <f>3756+596+67</f>
        <v>4419</v>
      </c>
      <c r="E233" s="32"/>
      <c r="F233" s="32"/>
      <c r="G233" s="32">
        <f t="shared" si="55"/>
        <v>4419</v>
      </c>
      <c r="H233" s="12"/>
      <c r="I233" s="12"/>
      <c r="J233" s="12"/>
      <c r="K233" s="12">
        <f t="shared" si="56"/>
        <v>4419</v>
      </c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45848</v>
      </c>
      <c r="AA233" s="31">
        <f>AA232+1</f>
        <v>6088</v>
      </c>
      <c r="AB233" s="32">
        <f>626*200+614*8+596*20+852*2+229*9</f>
        <v>145797</v>
      </c>
      <c r="AC233" s="32"/>
      <c r="AD233" s="32"/>
      <c r="AE233" s="32">
        <f t="shared" ref="AE233:AE241" si="57">SUM(AB233:AC233)</f>
        <v>145797</v>
      </c>
      <c r="AF233" s="12"/>
      <c r="AG233" s="12">
        <f>240+702+25308</f>
        <v>26250</v>
      </c>
      <c r="AH233" s="12"/>
      <c r="AI233" s="12">
        <f t="shared" ref="AI233:AI273" si="58">SUM(AE233:AH233)</f>
        <v>172047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45848</v>
      </c>
      <c r="C234" s="31">
        <f t="shared" ref="C234:C260" si="59">C233+1</f>
        <v>6313</v>
      </c>
      <c r="D234" s="33">
        <f>626+596+19</f>
        <v>1241</v>
      </c>
      <c r="E234" s="33"/>
      <c r="F234" s="33"/>
      <c r="G234" s="33">
        <f t="shared" si="55"/>
        <v>1241</v>
      </c>
      <c r="H234" s="34"/>
      <c r="I234" s="34"/>
      <c r="J234" s="34"/>
      <c r="K234" s="34">
        <f t="shared" si="56"/>
        <v>1241</v>
      </c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45848</v>
      </c>
      <c r="AA234" s="31">
        <f t="shared" ref="AA234" si="60">AA233+1</f>
        <v>6089</v>
      </c>
      <c r="AB234" s="33">
        <f>18780+2980+2010+1664+458+1000</f>
        <v>26892</v>
      </c>
      <c r="AC234" s="33"/>
      <c r="AD234" s="32"/>
      <c r="AE234" s="32">
        <f t="shared" si="57"/>
        <v>26892</v>
      </c>
      <c r="AF234" s="12"/>
      <c r="AG234" s="12"/>
      <c r="AH234" s="12"/>
      <c r="AI234" s="12">
        <f t="shared" si="58"/>
        <v>26892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45848</v>
      </c>
      <c r="C235" s="31">
        <f t="shared" si="59"/>
        <v>6314</v>
      </c>
      <c r="D235" s="32">
        <f>6260+95</f>
        <v>6355</v>
      </c>
      <c r="E235" s="32"/>
      <c r="F235" s="32"/>
      <c r="G235" s="32">
        <f t="shared" si="55"/>
        <v>6355</v>
      </c>
      <c r="H235" s="12"/>
      <c r="I235" s="12"/>
      <c r="J235" s="12"/>
      <c r="K235" s="12">
        <f t="shared" si="56"/>
        <v>6355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/>
      <c r="AA235" s="11" t="s">
        <v>28</v>
      </c>
      <c r="AB235" s="32"/>
      <c r="AC235" s="32"/>
      <c r="AD235" s="32"/>
      <c r="AE235" s="32">
        <f t="shared" si="57"/>
        <v>0</v>
      </c>
      <c r="AF235" s="12"/>
      <c r="AH235" s="12"/>
      <c r="AI235" s="12">
        <f t="shared" si="58"/>
        <v>0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45848</v>
      </c>
      <c r="C236" s="31">
        <f t="shared" si="59"/>
        <v>6315</v>
      </c>
      <c r="D236" s="32">
        <f>1878+614+1788+57</f>
        <v>4337</v>
      </c>
      <c r="E236" s="32"/>
      <c r="F236" s="32"/>
      <c r="G236" s="32">
        <f t="shared" si="55"/>
        <v>4337</v>
      </c>
      <c r="H236" s="12"/>
      <c r="I236" s="12"/>
      <c r="J236" s="12"/>
      <c r="K236" s="12">
        <f t="shared" si="56"/>
        <v>4337</v>
      </c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/>
      <c r="AA236" s="31"/>
      <c r="AB236" s="32"/>
      <c r="AC236" s="32"/>
      <c r="AD236" s="32"/>
      <c r="AE236" s="32">
        <f t="shared" si="57"/>
        <v>0</v>
      </c>
      <c r="AF236" s="12"/>
      <c r="AG236" s="12"/>
      <c r="AH236" s="12"/>
      <c r="AI236" s="12">
        <f t="shared" si="58"/>
        <v>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45848</v>
      </c>
      <c r="C237" s="31">
        <f t="shared" si="59"/>
        <v>6316</v>
      </c>
      <c r="D237" s="32">
        <f>1878+28</f>
        <v>1906</v>
      </c>
      <c r="E237" s="32"/>
      <c r="F237" s="32"/>
      <c r="G237" s="32">
        <f t="shared" si="55"/>
        <v>1906</v>
      </c>
      <c r="H237" s="12"/>
      <c r="I237" s="12"/>
      <c r="J237" s="12"/>
      <c r="K237" s="12">
        <f t="shared" si="56"/>
        <v>1906</v>
      </c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31"/>
      <c r="AB237" s="32"/>
      <c r="AC237" s="32"/>
      <c r="AD237" s="32"/>
      <c r="AE237" s="32">
        <f t="shared" si="57"/>
        <v>0</v>
      </c>
      <c r="AF237" s="12"/>
      <c r="AG237" s="12"/>
      <c r="AH237" s="10"/>
      <c r="AI237" s="12">
        <f t="shared" si="5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45848</v>
      </c>
      <c r="C238" s="31">
        <f t="shared" si="59"/>
        <v>6317</v>
      </c>
      <c r="D238" s="32">
        <f>18780+229</f>
        <v>19009</v>
      </c>
      <c r="E238" s="32"/>
      <c r="F238" s="32"/>
      <c r="G238" s="32">
        <f t="shared" si="55"/>
        <v>19009</v>
      </c>
      <c r="H238" s="12"/>
      <c r="I238" s="12"/>
      <c r="J238" s="12"/>
      <c r="K238" s="12">
        <f t="shared" si="56"/>
        <v>19009</v>
      </c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B238" s="32"/>
      <c r="AC238" s="32"/>
      <c r="AD238" s="32"/>
      <c r="AE238" s="32">
        <f t="shared" si="57"/>
        <v>0</v>
      </c>
      <c r="AF238" s="12"/>
      <c r="AG238" s="58"/>
      <c r="AH238" s="12"/>
      <c r="AI238" s="12">
        <f t="shared" si="5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45848</v>
      </c>
      <c r="C239" s="31">
        <f t="shared" si="59"/>
        <v>6318</v>
      </c>
      <c r="D239" s="32">
        <f>12520+229</f>
        <v>12749</v>
      </c>
      <c r="E239" s="32"/>
      <c r="F239" s="32"/>
      <c r="G239" s="32">
        <f t="shared" si="55"/>
        <v>12749</v>
      </c>
      <c r="H239" s="12"/>
      <c r="I239" s="12"/>
      <c r="J239" s="12"/>
      <c r="K239" s="12">
        <f t="shared" si="56"/>
        <v>12749</v>
      </c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57"/>
        <v>0</v>
      </c>
      <c r="AF239" s="12"/>
      <c r="AG239" s="12"/>
      <c r="AH239" s="12"/>
      <c r="AI239" s="12">
        <f t="shared" si="5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45848</v>
      </c>
      <c r="C240" s="31">
        <f t="shared" si="59"/>
        <v>6319</v>
      </c>
      <c r="D240" s="32">
        <f>3756+57</f>
        <v>3813</v>
      </c>
      <c r="E240" s="32"/>
      <c r="F240" s="32"/>
      <c r="G240" s="32">
        <f t="shared" si="55"/>
        <v>3813</v>
      </c>
      <c r="H240" s="12"/>
      <c r="I240" s="12"/>
      <c r="J240" s="12"/>
      <c r="K240" s="12">
        <f t="shared" si="56"/>
        <v>3813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57"/>
        <v>0</v>
      </c>
      <c r="AF240" s="12"/>
      <c r="AH240" s="12"/>
      <c r="AI240" s="12">
        <f t="shared" si="5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45848</v>
      </c>
      <c r="C241" s="31">
        <f t="shared" si="59"/>
        <v>6320</v>
      </c>
      <c r="D241" s="32">
        <f>2504+38</f>
        <v>2542</v>
      </c>
      <c r="E241" s="32"/>
      <c r="F241" s="32"/>
      <c r="G241" s="32">
        <f t="shared" si="55"/>
        <v>2542</v>
      </c>
      <c r="H241" s="12"/>
      <c r="I241" s="12"/>
      <c r="J241" s="12"/>
      <c r="K241" s="12">
        <f t="shared" si="56"/>
        <v>2542</v>
      </c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57"/>
        <v>0</v>
      </c>
      <c r="AF241" s="12"/>
      <c r="AG241" s="12"/>
      <c r="AH241" s="12"/>
      <c r="AI241" s="12">
        <f t="shared" si="5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45848</v>
      </c>
      <c r="C242" s="31">
        <f t="shared" si="59"/>
        <v>6321</v>
      </c>
      <c r="D242" s="32">
        <f>2504+596+47</f>
        <v>3147</v>
      </c>
      <c r="E242" s="32"/>
      <c r="F242" s="32"/>
      <c r="G242" s="32">
        <f t="shared" si="55"/>
        <v>3147</v>
      </c>
      <c r="H242" s="12"/>
      <c r="I242" s="12"/>
      <c r="J242" s="12"/>
      <c r="K242" s="12">
        <f t="shared" si="56"/>
        <v>3147</v>
      </c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70" si="61">SUM(AB242:AC242)</f>
        <v>0</v>
      </c>
      <c r="AF242" s="12"/>
      <c r="AG242" s="12"/>
      <c r="AH242" s="12"/>
      <c r="AI242" s="12">
        <f t="shared" si="5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45848</v>
      </c>
      <c r="C243" s="31">
        <f t="shared" si="59"/>
        <v>6322</v>
      </c>
      <c r="D243" s="32">
        <f>1878+28</f>
        <v>1906</v>
      </c>
      <c r="E243" s="32"/>
      <c r="F243" s="32"/>
      <c r="G243" s="32">
        <f t="shared" si="55"/>
        <v>1906</v>
      </c>
      <c r="H243" s="12"/>
      <c r="I243" s="12"/>
      <c r="J243" s="10"/>
      <c r="K243" s="12">
        <f t="shared" si="56"/>
        <v>1906</v>
      </c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61"/>
        <v>0</v>
      </c>
      <c r="AF243" s="12"/>
      <c r="AG243" s="12"/>
      <c r="AH243" s="12"/>
      <c r="AI243" s="12">
        <f t="shared" si="5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45848</v>
      </c>
      <c r="C244" s="31">
        <f t="shared" si="59"/>
        <v>6323</v>
      </c>
      <c r="D244" s="32">
        <f>1252+19</f>
        <v>1271</v>
      </c>
      <c r="E244" s="32"/>
      <c r="F244" s="32"/>
      <c r="G244" s="32">
        <f t="shared" si="55"/>
        <v>1271</v>
      </c>
      <c r="H244" s="12"/>
      <c r="I244" s="12"/>
      <c r="J244" s="12"/>
      <c r="K244" s="12">
        <f t="shared" si="56"/>
        <v>1271</v>
      </c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61"/>
        <v>0</v>
      </c>
      <c r="AF244" s="12"/>
      <c r="AG244" s="12"/>
      <c r="AH244" s="12"/>
      <c r="AI244" s="12">
        <f t="shared" si="5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45848</v>
      </c>
      <c r="C245" s="31">
        <f t="shared" si="59"/>
        <v>6324</v>
      </c>
      <c r="D245" s="32">
        <f>6260+95</f>
        <v>6355</v>
      </c>
      <c r="E245" s="32"/>
      <c r="F245" s="32"/>
      <c r="G245" s="32">
        <f t="shared" si="55"/>
        <v>6355</v>
      </c>
      <c r="H245" s="12"/>
      <c r="I245" s="12"/>
      <c r="J245" s="12"/>
      <c r="K245" s="12">
        <f t="shared" si="56"/>
        <v>6355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61"/>
        <v>0</v>
      </c>
      <c r="AF245" s="12"/>
      <c r="AG245" s="12"/>
      <c r="AH245" s="12"/>
      <c r="AI245" s="12">
        <f t="shared" si="5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45848</v>
      </c>
      <c r="C246" s="31">
        <f t="shared" si="59"/>
        <v>6325</v>
      </c>
      <c r="D246" s="32">
        <f>9390+142</f>
        <v>9532</v>
      </c>
      <c r="E246" s="32"/>
      <c r="F246" s="32"/>
      <c r="G246" s="32">
        <f t="shared" si="55"/>
        <v>9532</v>
      </c>
      <c r="H246" s="12"/>
      <c r="I246" s="12"/>
      <c r="J246" s="12"/>
      <c r="K246" s="12">
        <f t="shared" si="56"/>
        <v>9532</v>
      </c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61"/>
        <v>0</v>
      </c>
      <c r="AF246" s="12"/>
      <c r="AG246" s="12"/>
      <c r="AH246" s="12"/>
      <c r="AI246" s="12">
        <f t="shared" si="5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45848</v>
      </c>
      <c r="C247" s="31">
        <f t="shared" si="59"/>
        <v>6326</v>
      </c>
      <c r="D247" s="32">
        <f>4382+66</f>
        <v>4448</v>
      </c>
      <c r="E247" s="32"/>
      <c r="F247" s="32"/>
      <c r="G247" s="32">
        <f t="shared" si="55"/>
        <v>4448</v>
      </c>
      <c r="H247" s="12"/>
      <c r="I247" s="12"/>
      <c r="J247" s="12"/>
      <c r="K247" s="12">
        <f t="shared" si="56"/>
        <v>4448</v>
      </c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61"/>
        <v>0</v>
      </c>
      <c r="AF247" s="12"/>
      <c r="AG247" s="12"/>
      <c r="AH247" s="12"/>
      <c r="AI247" s="12">
        <f t="shared" si="5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45848</v>
      </c>
      <c r="C248" s="31">
        <f t="shared" si="59"/>
        <v>6327</v>
      </c>
      <c r="D248" s="32">
        <f>15024+229</f>
        <v>15253</v>
      </c>
      <c r="E248" s="32"/>
      <c r="F248" s="32"/>
      <c r="G248" s="32">
        <f t="shared" si="55"/>
        <v>15253</v>
      </c>
      <c r="H248" s="12"/>
      <c r="I248" s="12">
        <v>9</v>
      </c>
      <c r="J248" s="12"/>
      <c r="K248" s="12">
        <f t="shared" si="56"/>
        <v>15262</v>
      </c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61"/>
        <v>0</v>
      </c>
      <c r="AF248" s="12"/>
      <c r="AG248" s="12"/>
      <c r="AH248" s="12"/>
      <c r="AI248" s="12">
        <f t="shared" si="5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>
        <v>45848</v>
      </c>
      <c r="C249" s="31">
        <f t="shared" si="59"/>
        <v>6328</v>
      </c>
      <c r="D249" s="32">
        <f>24414+229</f>
        <v>24643</v>
      </c>
      <c r="E249" s="32"/>
      <c r="F249" s="32"/>
      <c r="G249" s="32">
        <f t="shared" si="55"/>
        <v>24643</v>
      </c>
      <c r="H249" s="12"/>
      <c r="I249" s="12">
        <v>54</v>
      </c>
      <c r="J249" s="12"/>
      <c r="K249" s="12">
        <f t="shared" si="56"/>
        <v>24697</v>
      </c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61"/>
        <v>0</v>
      </c>
      <c r="AF249" s="12"/>
      <c r="AG249" s="12"/>
      <c r="AH249" s="12"/>
      <c r="AI249" s="12">
        <f t="shared" si="5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>
        <v>45848</v>
      </c>
      <c r="C250" s="31">
        <f t="shared" si="59"/>
        <v>6329</v>
      </c>
      <c r="D250" s="32">
        <f>2504+614+38</f>
        <v>3156</v>
      </c>
      <c r="E250" s="32"/>
      <c r="F250" s="32"/>
      <c r="G250" s="32">
        <f t="shared" si="55"/>
        <v>3156</v>
      </c>
      <c r="H250" s="12"/>
      <c r="I250" s="12">
        <v>4</v>
      </c>
      <c r="J250" s="12"/>
      <c r="K250" s="12">
        <f t="shared" si="56"/>
        <v>3160</v>
      </c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61"/>
        <v>0</v>
      </c>
      <c r="AF250" s="12"/>
      <c r="AG250" s="12"/>
      <c r="AH250" s="12"/>
      <c r="AI250" s="12">
        <f t="shared" si="5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>
        <v>45848</v>
      </c>
      <c r="C251" s="31">
        <f t="shared" si="59"/>
        <v>6330</v>
      </c>
      <c r="D251" s="32">
        <f>1252+19</f>
        <v>1271</v>
      </c>
      <c r="E251" s="32"/>
      <c r="F251" s="32"/>
      <c r="G251" s="32">
        <f t="shared" si="55"/>
        <v>1271</v>
      </c>
      <c r="H251" s="12"/>
      <c r="I251" s="12"/>
      <c r="J251" s="12"/>
      <c r="K251" s="12">
        <f t="shared" si="56"/>
        <v>1271</v>
      </c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61"/>
        <v>0</v>
      </c>
      <c r="AF251" s="12"/>
      <c r="AG251" s="12"/>
      <c r="AH251" s="12"/>
      <c r="AI251" s="12">
        <f t="shared" si="5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>
        <v>45848</v>
      </c>
      <c r="C252" s="31">
        <f t="shared" si="59"/>
        <v>6331</v>
      </c>
      <c r="D252" s="32">
        <f>626*62+674*2</f>
        <v>40160</v>
      </c>
      <c r="E252" s="32"/>
      <c r="F252" s="32"/>
      <c r="G252" s="32">
        <f t="shared" si="55"/>
        <v>40160</v>
      </c>
      <c r="H252" s="10"/>
      <c r="I252" s="10"/>
      <c r="J252" s="10"/>
      <c r="K252" s="12">
        <f t="shared" si="56"/>
        <v>40160</v>
      </c>
      <c r="M252" s="62"/>
      <c r="N252" s="66"/>
      <c r="O252" s="88"/>
      <c r="P252" s="67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61"/>
        <v>0</v>
      </c>
      <c r="AF252" s="10"/>
      <c r="AG252" s="10"/>
      <c r="AH252" s="10"/>
      <c r="AI252" s="12">
        <f t="shared" si="5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>
        <v>45848</v>
      </c>
      <c r="C253" s="31">
        <f t="shared" si="59"/>
        <v>6332</v>
      </c>
      <c r="D253" s="32">
        <f>5008+76</f>
        <v>5084</v>
      </c>
      <c r="E253" s="32"/>
      <c r="F253" s="32"/>
      <c r="G253" s="32">
        <f t="shared" si="55"/>
        <v>5084</v>
      </c>
      <c r="H253" s="10"/>
      <c r="I253" s="10"/>
      <c r="J253" s="10"/>
      <c r="K253" s="12">
        <f t="shared" si="56"/>
        <v>5084</v>
      </c>
      <c r="M253" s="62"/>
      <c r="N253" s="66"/>
      <c r="O253" s="88"/>
      <c r="P253" s="68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61"/>
        <v>0</v>
      </c>
      <c r="AF253" s="10"/>
      <c r="AG253" s="10"/>
      <c r="AH253" s="10"/>
      <c r="AI253" s="12">
        <f t="shared" si="5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>
        <v>45848</v>
      </c>
      <c r="C254" s="31">
        <f t="shared" si="59"/>
        <v>6333</v>
      </c>
      <c r="D254" s="32">
        <f>20032+2696+2384</f>
        <v>25112</v>
      </c>
      <c r="E254" s="32"/>
      <c r="F254" s="32"/>
      <c r="G254" s="32">
        <f t="shared" si="55"/>
        <v>25112</v>
      </c>
      <c r="H254" s="10"/>
      <c r="I254" s="10">
        <v>1443</v>
      </c>
      <c r="J254" s="12"/>
      <c r="K254" s="12">
        <f t="shared" si="56"/>
        <v>26555</v>
      </c>
      <c r="M254" s="62"/>
      <c r="N254" s="66"/>
      <c r="O254" s="88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61"/>
        <v>0</v>
      </c>
      <c r="AF254" s="10"/>
      <c r="AG254" s="10"/>
      <c r="AH254" s="10"/>
      <c r="AI254" s="12">
        <f t="shared" si="5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>
        <v>45848</v>
      </c>
      <c r="C255" s="31">
        <f t="shared" si="59"/>
        <v>6334</v>
      </c>
      <c r="D255" s="32">
        <f>5008+76</f>
        <v>5084</v>
      </c>
      <c r="E255" s="32"/>
      <c r="F255" s="32"/>
      <c r="G255" s="32">
        <f t="shared" si="55"/>
        <v>5084</v>
      </c>
      <c r="H255" s="10"/>
      <c r="I255" s="10">
        <v>27</v>
      </c>
      <c r="J255" s="10"/>
      <c r="K255" s="12">
        <f t="shared" si="56"/>
        <v>5111</v>
      </c>
      <c r="M255" s="62"/>
      <c r="N255" s="66"/>
      <c r="O255" s="88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61"/>
        <v>0</v>
      </c>
      <c r="AF255" s="10"/>
      <c r="AG255" s="10"/>
      <c r="AH255" s="10"/>
      <c r="AI255" s="12">
        <f t="shared" si="5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>
        <v>45848</v>
      </c>
      <c r="C256" s="31">
        <f t="shared" si="59"/>
        <v>6335</v>
      </c>
      <c r="D256" s="32">
        <f>18780+229</f>
        <v>19009</v>
      </c>
      <c r="E256" s="32"/>
      <c r="F256" s="32"/>
      <c r="G256" s="32">
        <f t="shared" si="55"/>
        <v>19009</v>
      </c>
      <c r="H256" s="10"/>
      <c r="I256" s="10">
        <v>243</v>
      </c>
      <c r="J256" s="10"/>
      <c r="K256" s="12">
        <f t="shared" si="56"/>
        <v>19252</v>
      </c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61"/>
        <v>0</v>
      </c>
      <c r="AF256" s="10"/>
      <c r="AG256" s="10"/>
      <c r="AH256" s="10"/>
      <c r="AI256" s="12">
        <f t="shared" si="5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>
        <v>45848</v>
      </c>
      <c r="C257" s="31">
        <f t="shared" si="59"/>
        <v>6336</v>
      </c>
      <c r="D257" s="32">
        <f>852+1005+1000</f>
        <v>2857</v>
      </c>
      <c r="E257" s="32"/>
      <c r="F257" s="32"/>
      <c r="G257" s="32">
        <f t="shared" si="55"/>
        <v>2857</v>
      </c>
      <c r="H257" s="10"/>
      <c r="I257" s="10"/>
      <c r="J257" s="10"/>
      <c r="K257" s="12">
        <f t="shared" si="56"/>
        <v>2857</v>
      </c>
      <c r="M257" s="62"/>
      <c r="N257" s="66"/>
      <c r="O257" s="88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61"/>
        <v>0</v>
      </c>
      <c r="AF257" s="10"/>
      <c r="AG257" s="10"/>
      <c r="AH257" s="10"/>
      <c r="AI257" s="12">
        <f t="shared" si="5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>
        <v>45848</v>
      </c>
      <c r="C258" s="31">
        <f t="shared" si="59"/>
        <v>6337</v>
      </c>
      <c r="D258" s="32">
        <f>40690+1842+7748</f>
        <v>50280</v>
      </c>
      <c r="E258" s="32"/>
      <c r="F258" s="32"/>
      <c r="G258" s="32">
        <f t="shared" si="55"/>
        <v>50280</v>
      </c>
      <c r="H258" s="10"/>
      <c r="I258" s="10">
        <f>1443+81</f>
        <v>1524</v>
      </c>
      <c r="J258" s="10"/>
      <c r="K258" s="12">
        <f t="shared" si="56"/>
        <v>51804</v>
      </c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61"/>
        <v>0</v>
      </c>
      <c r="AF258" s="10"/>
      <c r="AG258" s="10"/>
      <c r="AH258" s="10"/>
      <c r="AI258" s="12">
        <f t="shared" si="5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>
        <v>45848</v>
      </c>
      <c r="C259" s="31">
        <f t="shared" si="59"/>
        <v>6338</v>
      </c>
      <c r="D259" s="32">
        <f>3756+57</f>
        <v>3813</v>
      </c>
      <c r="E259" s="32"/>
      <c r="F259" s="32"/>
      <c r="G259" s="32">
        <f t="shared" si="55"/>
        <v>3813</v>
      </c>
      <c r="H259" s="10"/>
      <c r="I259" s="10"/>
      <c r="J259" s="10"/>
      <c r="K259" s="12">
        <f t="shared" si="56"/>
        <v>3813</v>
      </c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61"/>
        <v>0</v>
      </c>
      <c r="AF259" s="10"/>
      <c r="AG259" s="10"/>
      <c r="AH259" s="10"/>
      <c r="AI259" s="12">
        <f t="shared" si="5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>
        <v>45848</v>
      </c>
      <c r="C260" s="31">
        <f t="shared" si="59"/>
        <v>6339</v>
      </c>
      <c r="D260" s="32">
        <f>4382+66.5</f>
        <v>4448.5</v>
      </c>
      <c r="E260" s="32"/>
      <c r="F260" s="32"/>
      <c r="G260" s="32">
        <f t="shared" si="55"/>
        <v>4448.5</v>
      </c>
      <c r="H260" s="10"/>
      <c r="I260" s="10"/>
      <c r="J260" s="10"/>
      <c r="K260" s="12">
        <f t="shared" si="56"/>
        <v>4448.5</v>
      </c>
      <c r="M260" s="62"/>
      <c r="N260" s="66"/>
      <c r="O260" s="62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61"/>
        <v>0</v>
      </c>
      <c r="AF260" s="10"/>
      <c r="AG260" s="10"/>
      <c r="AH260" s="10"/>
      <c r="AI260" s="12">
        <f t="shared" si="5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11" t="s">
        <v>28</v>
      </c>
      <c r="D261" s="32"/>
      <c r="E261" s="32"/>
      <c r="F261" s="32"/>
      <c r="G261" s="32">
        <f t="shared" si="55"/>
        <v>0</v>
      </c>
      <c r="H261" s="10"/>
      <c r="I261" s="10"/>
      <c r="J261" s="10"/>
      <c r="K261" s="12">
        <f t="shared" si="56"/>
        <v>0</v>
      </c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B261" s="47"/>
      <c r="AC261" s="31"/>
      <c r="AD261" s="31"/>
      <c r="AE261" s="32">
        <f t="shared" si="61"/>
        <v>0</v>
      </c>
      <c r="AF261" s="10"/>
      <c r="AG261" s="10"/>
      <c r="AH261" s="10"/>
      <c r="AI261" s="12">
        <f t="shared" si="5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55"/>
        <v>0</v>
      </c>
      <c r="H262" s="10"/>
      <c r="I262" s="10"/>
      <c r="J262" s="10"/>
      <c r="K262" s="12">
        <f t="shared" si="56"/>
        <v>0</v>
      </c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B262" s="47"/>
      <c r="AC262" s="31"/>
      <c r="AD262" s="31"/>
      <c r="AE262" s="32">
        <f t="shared" si="61"/>
        <v>0</v>
      </c>
      <c r="AF262" s="10"/>
      <c r="AG262" s="10"/>
      <c r="AH262" s="10"/>
      <c r="AI262" s="12">
        <f t="shared" si="5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55"/>
        <v>0</v>
      </c>
      <c r="H263" s="10"/>
      <c r="I263" s="10"/>
      <c r="J263" s="10"/>
      <c r="K263" s="12">
        <f t="shared" si="56"/>
        <v>0</v>
      </c>
      <c r="M263" s="62"/>
      <c r="N263" s="66"/>
      <c r="O263" s="62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61"/>
        <v>0</v>
      </c>
      <c r="AF263" s="10"/>
      <c r="AG263" s="10"/>
      <c r="AH263" s="10"/>
      <c r="AI263" s="12">
        <f t="shared" si="5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55"/>
        <v>0</v>
      </c>
      <c r="H264" s="10"/>
      <c r="I264" s="10"/>
      <c r="J264" s="10"/>
      <c r="K264" s="12">
        <f t="shared" si="56"/>
        <v>0</v>
      </c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61"/>
        <v>0</v>
      </c>
      <c r="AF264" s="10"/>
      <c r="AG264" s="10"/>
      <c r="AH264" s="10"/>
      <c r="AI264" s="12">
        <f t="shared" si="5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55"/>
        <v>0</v>
      </c>
      <c r="H265" s="10"/>
      <c r="I265" s="10"/>
      <c r="J265" s="10"/>
      <c r="K265" s="12">
        <f t="shared" si="56"/>
        <v>0</v>
      </c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61"/>
        <v>0</v>
      </c>
      <c r="AF265" s="10"/>
      <c r="AG265" s="10"/>
      <c r="AH265" s="10"/>
      <c r="AI265" s="12">
        <f t="shared" si="5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61"/>
        <v>0</v>
      </c>
      <c r="AF266" s="10"/>
      <c r="AG266" s="10"/>
      <c r="AH266" s="10"/>
      <c r="AI266" s="12">
        <f t="shared" si="5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61"/>
        <v>0</v>
      </c>
      <c r="AF267" s="10"/>
      <c r="AG267" s="10"/>
      <c r="AH267" s="10"/>
      <c r="AI267" s="12">
        <f t="shared" si="5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61"/>
        <v>0</v>
      </c>
      <c r="AF268" s="10"/>
      <c r="AG268" s="10"/>
      <c r="AH268" s="10"/>
      <c r="AI268" s="12">
        <f t="shared" si="5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61"/>
        <v>0</v>
      </c>
      <c r="AF269" s="10"/>
      <c r="AG269" s="10"/>
      <c r="AH269" s="10"/>
      <c r="AI269" s="12">
        <f t="shared" si="5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61"/>
        <v>0</v>
      </c>
      <c r="AF270" s="10"/>
      <c r="AG270" s="10"/>
      <c r="AH270" s="10"/>
      <c r="AI270" s="12">
        <f t="shared" si="5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5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62">SUM(D272:E272)</f>
        <v>0</v>
      </c>
      <c r="H272" s="10"/>
      <c r="I272" s="10"/>
      <c r="J272" s="10"/>
      <c r="K272" s="12">
        <f t="shared" ref="K272" si="63">SUM(G272:J272)</f>
        <v>0</v>
      </c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64">SUM(AB272:AC272)</f>
        <v>0</v>
      </c>
      <c r="AF272" s="10"/>
      <c r="AG272" s="10"/>
      <c r="AH272" s="10"/>
      <c r="AI272" s="12">
        <f t="shared" si="5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5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292088.5</v>
      </c>
      <c r="E275" s="38">
        <f t="shared" ref="E275:F275" si="65">SUM(E232:E272)</f>
        <v>0</v>
      </c>
      <c r="F275" s="38">
        <f t="shared" si="65"/>
        <v>0</v>
      </c>
      <c r="G275" s="38">
        <f>SUM(G232:G274)</f>
        <v>292088.5</v>
      </c>
      <c r="H275" s="4"/>
      <c r="I275" s="39">
        <f>SUM(I232:I274)</f>
        <v>3304</v>
      </c>
      <c r="J275" s="39">
        <f>SUM(J232:J274)</f>
        <v>0</v>
      </c>
      <c r="K275" s="40">
        <f>SUM(K232:K274)</f>
        <v>295392.5</v>
      </c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211207</v>
      </c>
      <c r="AC275" s="38">
        <f>SUM(AC232:AC256)</f>
        <v>-366</v>
      </c>
      <c r="AD275" s="38">
        <f>SUM(AD232:AD256)</f>
        <v>0</v>
      </c>
      <c r="AE275" s="38">
        <f>SUM(AE232:AE274)</f>
        <v>210841</v>
      </c>
      <c r="AF275" s="4"/>
      <c r="AG275" s="41">
        <f>SUM(AG232:AG274)</f>
        <v>26250</v>
      </c>
      <c r="AH275" s="41">
        <f>SUM(AH232:AH256)</f>
        <v>-5550</v>
      </c>
      <c r="AI275" s="42">
        <f>SUM(AI232:AI274)</f>
        <v>231541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8"/>
      <c r="C277" s="88"/>
      <c r="D277" s="88"/>
      <c r="E277" s="88"/>
      <c r="F277" s="88"/>
      <c r="G277" s="88"/>
      <c r="H277" s="62"/>
      <c r="I277" s="62"/>
      <c r="J277" s="62"/>
      <c r="K277" s="62"/>
      <c r="L277" s="62"/>
      <c r="M277" s="62"/>
      <c r="N277" s="88"/>
      <c r="O277" s="88"/>
      <c r="P277" s="88"/>
      <c r="Q277" s="88"/>
      <c r="R277" s="88"/>
      <c r="S277" s="88"/>
      <c r="T277" s="62"/>
      <c r="U277" s="62"/>
      <c r="V277" s="62"/>
      <c r="W277" s="62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8"/>
      <c r="C278" s="88"/>
      <c r="D278" s="88"/>
      <c r="E278" s="88"/>
      <c r="F278" s="88"/>
      <c r="G278" s="88"/>
      <c r="H278" s="62"/>
      <c r="I278" s="62"/>
      <c r="J278" s="62"/>
      <c r="K278" s="62"/>
      <c r="L278" s="62"/>
      <c r="M278" s="62"/>
      <c r="N278" s="88"/>
      <c r="O278" s="88"/>
      <c r="P278" s="88"/>
      <c r="Q278" s="88"/>
      <c r="R278" s="88"/>
      <c r="S278" s="88"/>
      <c r="T278" s="62"/>
      <c r="U278" s="62"/>
      <c r="V278" s="62"/>
      <c r="W278" s="62"/>
      <c r="Y278" t="s">
        <v>29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8"/>
      <c r="C279" s="88"/>
      <c r="D279" s="88"/>
      <c r="E279" s="88"/>
      <c r="F279" s="88"/>
      <c r="G279" s="88"/>
      <c r="H279" s="62"/>
      <c r="I279" s="62"/>
      <c r="J279" s="62"/>
      <c r="K279" s="62"/>
      <c r="L279" s="62"/>
      <c r="M279" s="62"/>
      <c r="N279" s="88"/>
      <c r="O279" s="88"/>
      <c r="P279" s="88"/>
      <c r="Q279" s="88"/>
      <c r="R279" s="88"/>
      <c r="S279" s="88"/>
      <c r="T279" s="62"/>
      <c r="U279" s="62"/>
      <c r="V279" s="62"/>
      <c r="W279" s="62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8"/>
      <c r="C280" s="88"/>
      <c r="D280" s="88"/>
      <c r="E280" s="88"/>
      <c r="F280" s="88"/>
      <c r="G280" s="88"/>
      <c r="H280" s="62"/>
      <c r="I280" s="62"/>
      <c r="J280" s="62"/>
      <c r="K280" s="62"/>
      <c r="L280" s="62"/>
      <c r="M280" s="63"/>
      <c r="N280" s="88"/>
      <c r="O280" s="88"/>
      <c r="P280" s="88"/>
      <c r="Q280" s="88"/>
      <c r="R280" s="88"/>
      <c r="S280" s="88"/>
      <c r="T280" s="62"/>
      <c r="U280" s="62"/>
      <c r="V280" s="62"/>
      <c r="W280" s="62"/>
      <c r="Y280" s="4" t="s">
        <v>15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8"/>
      <c r="C281" s="88"/>
      <c r="D281" s="88"/>
      <c r="E281" s="88"/>
      <c r="F281" s="88"/>
      <c r="G281" s="88"/>
      <c r="H281" s="62"/>
      <c r="I281" s="62"/>
      <c r="J281" s="62"/>
      <c r="K281" s="62"/>
      <c r="L281" s="62"/>
      <c r="M281" s="62"/>
      <c r="N281" s="88"/>
      <c r="O281" s="88"/>
      <c r="P281" s="88"/>
      <c r="Q281" s="88"/>
      <c r="R281" s="88"/>
      <c r="S281" s="88"/>
      <c r="T281" s="62"/>
      <c r="U281" s="62"/>
      <c r="V281" s="62"/>
      <c r="W281" s="62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8"/>
      <c r="C282" s="88"/>
      <c r="D282" s="88"/>
      <c r="E282" s="88"/>
      <c r="F282" s="88"/>
      <c r="G282" s="88"/>
      <c r="H282" s="62"/>
      <c r="I282" s="88"/>
      <c r="J282" s="74"/>
      <c r="K282" s="62"/>
      <c r="L282" s="62"/>
      <c r="M282" s="62"/>
      <c r="N282" s="88"/>
      <c r="O282" s="88"/>
      <c r="P282" s="88"/>
      <c r="Q282" s="88"/>
      <c r="R282" s="88"/>
      <c r="S282" s="88"/>
      <c r="T282" s="62"/>
      <c r="U282" s="88"/>
      <c r="V282" s="74"/>
      <c r="W282" s="62"/>
      <c r="Y282" t="s">
        <v>52</v>
      </c>
      <c r="Z282" s="57"/>
      <c r="AA282" s="57"/>
      <c r="AB282" s="57"/>
      <c r="AC282" s="57"/>
      <c r="AD282" s="57"/>
      <c r="AE282" s="57"/>
      <c r="AG282" s="57" t="s">
        <v>16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8"/>
      <c r="C283" s="88"/>
      <c r="D283" s="88"/>
      <c r="E283" s="88"/>
      <c r="F283" s="88"/>
      <c r="G283" s="88"/>
      <c r="H283" s="62"/>
      <c r="I283" s="65"/>
      <c r="J283" s="65"/>
      <c r="K283" s="62"/>
      <c r="L283" s="62"/>
      <c r="M283" s="64"/>
      <c r="N283" s="88"/>
      <c r="O283" s="88"/>
      <c r="P283" s="88"/>
      <c r="Q283" s="88"/>
      <c r="R283" s="88"/>
      <c r="S283" s="88"/>
      <c r="T283" s="62"/>
      <c r="U283" s="65"/>
      <c r="V283" s="65"/>
      <c r="W283" s="62"/>
      <c r="Y283" s="21" t="s">
        <v>53</v>
      </c>
      <c r="Z283" s="20"/>
      <c r="AA283" s="57"/>
      <c r="AB283" s="57"/>
      <c r="AC283" s="57"/>
      <c r="AD283" s="57"/>
      <c r="AE283" s="57"/>
      <c r="AG283" s="22" t="s">
        <v>17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8"/>
      <c r="C284" s="88"/>
      <c r="D284" s="88"/>
      <c r="E284" s="88"/>
      <c r="F284" s="88"/>
      <c r="G284" s="88"/>
      <c r="H284" s="62"/>
      <c r="I284" s="62"/>
      <c r="J284" s="62"/>
      <c r="K284" s="62"/>
      <c r="L284" s="62"/>
      <c r="M284" s="62"/>
      <c r="N284" s="88"/>
      <c r="O284" s="88"/>
      <c r="P284" s="88"/>
      <c r="Q284" s="88"/>
      <c r="R284" s="88"/>
      <c r="S284" s="88"/>
      <c r="T284" s="62"/>
      <c r="U284" s="62"/>
      <c r="V284" s="62"/>
      <c r="W284" s="62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8"/>
      <c r="D285" s="126"/>
      <c r="E285" s="126"/>
      <c r="F285" s="88"/>
      <c r="G285" s="88"/>
      <c r="H285" s="62"/>
      <c r="I285" s="126"/>
      <c r="J285" s="126"/>
      <c r="K285" s="125"/>
      <c r="L285" s="62"/>
      <c r="M285" s="62"/>
      <c r="N285" s="65"/>
      <c r="O285" s="88"/>
      <c r="P285" s="126"/>
      <c r="Q285" s="126"/>
      <c r="R285" s="88"/>
      <c r="S285" s="88"/>
      <c r="T285" s="62"/>
      <c r="U285" s="126"/>
      <c r="V285" s="126"/>
      <c r="W285" s="125"/>
      <c r="Z285" s="25"/>
      <c r="AA285" s="26"/>
      <c r="AB285" s="124" t="s">
        <v>18</v>
      </c>
      <c r="AC285" s="124"/>
      <c r="AD285" s="93"/>
      <c r="AE285" s="27"/>
      <c r="AG285" s="122" t="s">
        <v>19</v>
      </c>
      <c r="AH285" s="123"/>
      <c r="AI285" s="120" t="s">
        <v>20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8"/>
      <c r="C286" s="88"/>
      <c r="D286" s="81"/>
      <c r="E286" s="82"/>
      <c r="F286" s="83"/>
      <c r="G286" s="83"/>
      <c r="H286" s="62"/>
      <c r="I286" s="87"/>
      <c r="J286" s="87"/>
      <c r="K286" s="125"/>
      <c r="L286" s="62"/>
      <c r="M286" s="62"/>
      <c r="N286" s="88"/>
      <c r="O286" s="88"/>
      <c r="P286" s="81"/>
      <c r="Q286" s="83"/>
      <c r="R286" s="83"/>
      <c r="S286" s="83"/>
      <c r="T286" s="62"/>
      <c r="U286" s="87"/>
      <c r="V286" s="87"/>
      <c r="W286" s="125"/>
      <c r="Z286" s="28" t="s">
        <v>21</v>
      </c>
      <c r="AA286" s="28" t="s">
        <v>22</v>
      </c>
      <c r="AB286" s="79" t="s">
        <v>23</v>
      </c>
      <c r="AC286" s="80" t="s">
        <v>24</v>
      </c>
      <c r="AD286" s="80" t="s">
        <v>35</v>
      </c>
      <c r="AE286" s="80" t="s">
        <v>25</v>
      </c>
      <c r="AG286" s="29" t="s">
        <v>26</v>
      </c>
      <c r="AH286" s="29" t="s">
        <v>27</v>
      </c>
      <c r="AI286" s="121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8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8"/>
      <c r="P287" s="60"/>
      <c r="Q287" s="60"/>
      <c r="R287" s="60"/>
      <c r="S287" s="60"/>
      <c r="T287" s="61"/>
      <c r="U287" s="61"/>
      <c r="V287" s="61"/>
      <c r="W287" s="61"/>
      <c r="Y287" s="10">
        <v>1</v>
      </c>
      <c r="Z287" s="30">
        <v>45879</v>
      </c>
      <c r="AA287" s="31">
        <v>5845</v>
      </c>
      <c r="AB287" s="32">
        <f>8764+1842+2384+229</f>
        <v>13219</v>
      </c>
      <c r="AC287" s="32"/>
      <c r="AD287" s="32"/>
      <c r="AE287" s="32">
        <f>SUM(AB287:AC287)</f>
        <v>13219</v>
      </c>
      <c r="AF287" s="12"/>
      <c r="AG287" s="12"/>
      <c r="AH287" s="12"/>
      <c r="AI287" s="12">
        <f>SUM(AE287:AH287)</f>
        <v>13219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8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8"/>
      <c r="P288" s="60"/>
      <c r="Q288" s="60"/>
      <c r="R288" s="60"/>
      <c r="S288" s="60"/>
      <c r="T288" s="61"/>
      <c r="U288" s="61"/>
      <c r="V288" s="61"/>
      <c r="W288" s="61"/>
      <c r="Y288" s="10">
        <v>2</v>
      </c>
      <c r="Z288" s="30">
        <v>45879</v>
      </c>
      <c r="AA288" s="31">
        <f>AA287+1</f>
        <v>5846</v>
      </c>
      <c r="AB288" s="32">
        <f>6260+95</f>
        <v>6355</v>
      </c>
      <c r="AC288" s="32"/>
      <c r="AD288" s="32"/>
      <c r="AE288" s="32">
        <f t="shared" ref="AE288:AE296" si="66">SUM(AB288:AC288)</f>
        <v>6355</v>
      </c>
      <c r="AF288" s="12"/>
      <c r="AG288" s="12"/>
      <c r="AH288" s="12"/>
      <c r="AI288" s="12">
        <f t="shared" ref="AI288:AI328" si="67">SUM(AE288:AH288)</f>
        <v>6355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8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8"/>
      <c r="P289" s="60"/>
      <c r="Q289" s="60"/>
      <c r="R289" s="60"/>
      <c r="S289" s="60"/>
      <c r="T289" s="61"/>
      <c r="U289" s="61"/>
      <c r="V289" s="61"/>
      <c r="W289" s="61"/>
      <c r="Y289" s="10">
        <v>3</v>
      </c>
      <c r="Z289" s="30">
        <v>45879</v>
      </c>
      <c r="AA289" s="31">
        <f t="shared" ref="AA289:AA301" si="68">AA288+1</f>
        <v>5847</v>
      </c>
      <c r="AB289" s="33">
        <f>12520+1192+229</f>
        <v>13941</v>
      </c>
      <c r="AC289" s="33"/>
      <c r="AD289" s="32"/>
      <c r="AE289" s="32">
        <f t="shared" si="66"/>
        <v>13941</v>
      </c>
      <c r="AF289" s="12"/>
      <c r="AG289" s="12"/>
      <c r="AH289" s="12"/>
      <c r="AI289" s="12">
        <f t="shared" si="67"/>
        <v>13941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8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8"/>
      <c r="P290" s="60"/>
      <c r="Q290" s="60"/>
      <c r="R290" s="60"/>
      <c r="S290" s="60"/>
      <c r="T290" s="61"/>
      <c r="U290" s="61"/>
      <c r="V290" s="61"/>
      <c r="W290" s="61"/>
      <c r="Y290" s="10">
        <v>4</v>
      </c>
      <c r="Z290" s="30">
        <v>45879</v>
      </c>
      <c r="AA290" s="31">
        <f t="shared" si="68"/>
        <v>5848</v>
      </c>
      <c r="AB290" s="32">
        <f>626+596</f>
        <v>1222</v>
      </c>
      <c r="AC290" s="32"/>
      <c r="AD290" s="32"/>
      <c r="AE290" s="32">
        <f t="shared" si="66"/>
        <v>1222</v>
      </c>
      <c r="AF290" s="12"/>
      <c r="AH290" s="12"/>
      <c r="AI290" s="12">
        <f t="shared" si="67"/>
        <v>1222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8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8"/>
      <c r="P291" s="60"/>
      <c r="Q291" s="60"/>
      <c r="R291" s="60"/>
      <c r="S291" s="60"/>
      <c r="T291" s="61"/>
      <c r="U291" s="61"/>
      <c r="V291" s="61"/>
      <c r="W291" s="61"/>
      <c r="Y291" s="10">
        <v>5</v>
      </c>
      <c r="Z291" s="30">
        <v>45879</v>
      </c>
      <c r="AA291" s="31">
        <v>6090</v>
      </c>
      <c r="AB291" s="32">
        <f>3130+614+852+47.5</f>
        <v>4643.5</v>
      </c>
      <c r="AC291" s="32"/>
      <c r="AD291" s="32"/>
      <c r="AE291" s="32">
        <f t="shared" si="66"/>
        <v>4643.5</v>
      </c>
      <c r="AF291" s="12"/>
      <c r="AG291" s="12"/>
      <c r="AH291" s="12"/>
      <c r="AI291" s="12">
        <f t="shared" si="67"/>
        <v>4643.5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8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8"/>
      <c r="P292" s="60"/>
      <c r="Q292" s="60"/>
      <c r="R292" s="60"/>
      <c r="S292" s="60"/>
      <c r="T292" s="61"/>
      <c r="U292" s="61"/>
      <c r="V292" s="62"/>
      <c r="W292" s="61"/>
      <c r="Y292" s="10">
        <v>6</v>
      </c>
      <c r="Z292" s="30">
        <v>45879</v>
      </c>
      <c r="AA292" s="31">
        <f t="shared" si="68"/>
        <v>6091</v>
      </c>
      <c r="AB292" s="32">
        <f>1878+1788+57</f>
        <v>3723</v>
      </c>
      <c r="AC292" s="32"/>
      <c r="AD292" s="32"/>
      <c r="AE292" s="32">
        <f t="shared" si="66"/>
        <v>3723</v>
      </c>
      <c r="AF292" s="12"/>
      <c r="AG292" s="12"/>
      <c r="AH292" s="10"/>
      <c r="AI292" s="12">
        <f t="shared" si="67"/>
        <v>3723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8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8"/>
      <c r="P293" s="60"/>
      <c r="Q293" s="60"/>
      <c r="R293" s="60"/>
      <c r="S293" s="60"/>
      <c r="T293" s="61"/>
      <c r="U293" s="61"/>
      <c r="V293" s="61"/>
      <c r="W293" s="61"/>
      <c r="Y293" s="10">
        <v>7</v>
      </c>
      <c r="Z293" s="30">
        <v>45879</v>
      </c>
      <c r="AA293" s="31">
        <f t="shared" si="68"/>
        <v>6092</v>
      </c>
      <c r="AB293" s="32">
        <f>10642+1192+9.5*17</f>
        <v>11995.5</v>
      </c>
      <c r="AC293" s="32"/>
      <c r="AD293" s="32"/>
      <c r="AE293" s="32">
        <f t="shared" si="66"/>
        <v>11995.5</v>
      </c>
      <c r="AF293" s="12"/>
      <c r="AG293" s="58">
        <v>54</v>
      </c>
      <c r="AH293" s="12"/>
      <c r="AI293" s="12">
        <f t="shared" si="67"/>
        <v>12049.5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8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8"/>
      <c r="P294" s="60"/>
      <c r="Q294" s="60"/>
      <c r="R294" s="60"/>
      <c r="S294" s="60"/>
      <c r="T294" s="61"/>
      <c r="U294" s="61"/>
      <c r="V294" s="61"/>
      <c r="W294" s="61"/>
      <c r="Y294" s="10">
        <v>8</v>
      </c>
      <c r="Z294" s="30">
        <v>45879</v>
      </c>
      <c r="AA294" s="31">
        <f t="shared" si="68"/>
        <v>6093</v>
      </c>
      <c r="AB294" s="32">
        <f>3130+614+1192+1348</f>
        <v>6284</v>
      </c>
      <c r="AC294" s="32"/>
      <c r="AE294" s="32">
        <f t="shared" si="66"/>
        <v>6284</v>
      </c>
      <c r="AF294" s="12"/>
      <c r="AG294" s="12"/>
      <c r="AH294" s="12"/>
      <c r="AI294" s="12">
        <f t="shared" si="67"/>
        <v>6284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8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8"/>
      <c r="P295" s="60"/>
      <c r="Q295" s="60"/>
      <c r="R295" s="60"/>
      <c r="S295" s="60"/>
      <c r="T295" s="61"/>
      <c r="U295" s="61"/>
      <c r="V295" s="61"/>
      <c r="W295" s="61"/>
      <c r="Y295" s="10">
        <v>9</v>
      </c>
      <c r="Z295" s="30">
        <v>45879</v>
      </c>
      <c r="AA295" s="31">
        <f t="shared" si="68"/>
        <v>6094</v>
      </c>
      <c r="AB295" s="95">
        <f>12520+2384+229</f>
        <v>15133</v>
      </c>
      <c r="AC295" s="32"/>
      <c r="AD295" s="32"/>
      <c r="AE295" s="32">
        <f t="shared" si="66"/>
        <v>15133</v>
      </c>
      <c r="AF295" s="12"/>
      <c r="AH295" s="12"/>
      <c r="AI295" s="12">
        <f t="shared" si="67"/>
        <v>15133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8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8"/>
      <c r="P296" s="60"/>
      <c r="Q296" s="60"/>
      <c r="R296" s="60"/>
      <c r="S296" s="60"/>
      <c r="T296" s="61"/>
      <c r="U296" s="61"/>
      <c r="V296" s="61"/>
      <c r="W296" s="61"/>
      <c r="Y296" s="10">
        <v>10</v>
      </c>
      <c r="Z296" s="30">
        <v>45879</v>
      </c>
      <c r="AA296" s="31">
        <f t="shared" si="68"/>
        <v>6095</v>
      </c>
      <c r="AB296" s="32">
        <f>626+596+674*3</f>
        <v>3244</v>
      </c>
      <c r="AC296" s="32"/>
      <c r="AD296" s="32"/>
      <c r="AE296" s="32">
        <f t="shared" si="66"/>
        <v>3244</v>
      </c>
      <c r="AF296" s="12"/>
      <c r="AG296" s="12"/>
      <c r="AH296" s="12"/>
      <c r="AI296" s="12">
        <f t="shared" si="67"/>
        <v>3244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8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8"/>
      <c r="P297" s="60"/>
      <c r="Q297" s="60"/>
      <c r="R297" s="60"/>
      <c r="S297" s="60"/>
      <c r="T297" s="61"/>
      <c r="U297" s="61"/>
      <c r="V297" s="61"/>
      <c r="W297" s="61"/>
      <c r="Y297" s="10">
        <v>11</v>
      </c>
      <c r="Z297" s="30">
        <v>45879</v>
      </c>
      <c r="AA297" s="31">
        <f t="shared" si="68"/>
        <v>6096</v>
      </c>
      <c r="AB297" s="32">
        <f>6260+1842+1192+114</f>
        <v>9408</v>
      </c>
      <c r="AC297" s="32"/>
      <c r="AD297" s="32"/>
      <c r="AE297" s="32">
        <f t="shared" ref="AE297:AE325" si="69">SUM(AB297:AC297)</f>
        <v>9408</v>
      </c>
      <c r="AF297" s="12"/>
      <c r="AG297" s="12">
        <v>27</v>
      </c>
      <c r="AH297" s="12"/>
      <c r="AI297" s="12">
        <f t="shared" si="67"/>
        <v>9435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8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8"/>
      <c r="P298" s="60"/>
      <c r="Q298" s="60"/>
      <c r="R298" s="60"/>
      <c r="S298" s="60"/>
      <c r="T298" s="61"/>
      <c r="U298" s="61"/>
      <c r="V298" s="61"/>
      <c r="W298" s="61"/>
      <c r="Y298" s="10">
        <v>12</v>
      </c>
      <c r="Z298" s="30">
        <v>45879</v>
      </c>
      <c r="AA298" s="31">
        <f t="shared" si="68"/>
        <v>6097</v>
      </c>
      <c r="AB298" s="32">
        <f>10016+1228+5960+229</f>
        <v>17433</v>
      </c>
      <c r="AC298" s="32"/>
      <c r="AD298" s="32"/>
      <c r="AE298" s="32">
        <f t="shared" si="69"/>
        <v>17433</v>
      </c>
      <c r="AF298" s="12"/>
      <c r="AG298" s="12"/>
      <c r="AH298" s="12"/>
      <c r="AI298" s="12">
        <f t="shared" si="67"/>
        <v>17433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Y299" s="10">
        <v>13</v>
      </c>
      <c r="Z299" s="30">
        <v>45879</v>
      </c>
      <c r="AA299" s="31">
        <f t="shared" si="68"/>
        <v>6098</v>
      </c>
      <c r="AB299" s="32">
        <f>62600+1704+1664+916</f>
        <v>66884</v>
      </c>
      <c r="AC299" s="32">
        <v>-648</v>
      </c>
      <c r="AD299" s="32"/>
      <c r="AE299" s="32">
        <f t="shared" si="69"/>
        <v>66236</v>
      </c>
      <c r="AF299" s="12"/>
      <c r="AG299" s="12"/>
      <c r="AH299" s="12"/>
      <c r="AI299" s="12">
        <f t="shared" si="67"/>
        <v>66236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8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8"/>
      <c r="P300" s="60"/>
      <c r="Q300" s="60"/>
      <c r="R300" s="60"/>
      <c r="S300" s="60"/>
      <c r="T300" s="61"/>
      <c r="U300" s="61"/>
      <c r="V300" s="61"/>
      <c r="W300" s="61"/>
      <c r="Y300" s="10">
        <v>14</v>
      </c>
      <c r="Z300" s="30">
        <v>45879</v>
      </c>
      <c r="AA300" s="31">
        <f t="shared" si="68"/>
        <v>6099</v>
      </c>
      <c r="AB300" s="32">
        <f>6886+1228+674</f>
        <v>8788</v>
      </c>
      <c r="AC300" s="32"/>
      <c r="AD300" s="32"/>
      <c r="AE300" s="32">
        <f t="shared" si="69"/>
        <v>8788</v>
      </c>
      <c r="AF300" s="12"/>
      <c r="AG300" s="12"/>
      <c r="AH300" s="12"/>
      <c r="AI300" s="12">
        <f t="shared" si="67"/>
        <v>8788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8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8"/>
      <c r="P301" s="60"/>
      <c r="Q301" s="60"/>
      <c r="R301" s="60"/>
      <c r="S301" s="60"/>
      <c r="T301" s="61"/>
      <c r="U301" s="61"/>
      <c r="V301" s="61"/>
      <c r="W301" s="61"/>
      <c r="Y301" s="10">
        <v>15</v>
      </c>
      <c r="Z301" s="30">
        <v>45879</v>
      </c>
      <c r="AA301" s="31">
        <f t="shared" si="68"/>
        <v>6100</v>
      </c>
      <c r="AB301" s="32">
        <f>3756+2384+95</f>
        <v>6235</v>
      </c>
      <c r="AC301" s="32"/>
      <c r="AD301" s="32"/>
      <c r="AE301" s="32">
        <f t="shared" si="69"/>
        <v>6235</v>
      </c>
      <c r="AF301" s="12"/>
      <c r="AG301" s="12">
        <v>94.5</v>
      </c>
      <c r="AH301" s="12"/>
      <c r="AI301" s="12">
        <f t="shared" si="67"/>
        <v>6329.5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8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8"/>
      <c r="P302" s="60"/>
      <c r="Q302" s="60"/>
      <c r="R302" s="60"/>
      <c r="S302" s="60"/>
      <c r="T302" s="61"/>
      <c r="U302" s="61"/>
      <c r="V302" s="61"/>
      <c r="W302" s="61"/>
      <c r="Y302" s="10">
        <v>16</v>
      </c>
      <c r="Z302" s="30"/>
      <c r="AA302" s="11" t="s">
        <v>28</v>
      </c>
      <c r="AB302" s="32"/>
      <c r="AC302" s="32"/>
      <c r="AD302" s="32"/>
      <c r="AE302" s="32">
        <f t="shared" si="69"/>
        <v>0</v>
      </c>
      <c r="AF302" s="12"/>
      <c r="AG302" s="12"/>
      <c r="AH302" s="12"/>
      <c r="AI302" s="12">
        <f t="shared" si="67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8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8"/>
      <c r="P303" s="60"/>
      <c r="Q303" s="60"/>
      <c r="R303" s="60"/>
      <c r="S303" s="60"/>
      <c r="T303" s="61"/>
      <c r="U303" s="61"/>
      <c r="V303" s="61"/>
      <c r="W303" s="61"/>
      <c r="Y303" s="10">
        <v>17</v>
      </c>
      <c r="Z303" s="30"/>
      <c r="AA303" s="31"/>
      <c r="AB303" s="35"/>
      <c r="AC303" s="32"/>
      <c r="AD303" s="32"/>
      <c r="AE303" s="32">
        <f t="shared" si="69"/>
        <v>0</v>
      </c>
      <c r="AF303" s="12"/>
      <c r="AG303" s="12"/>
      <c r="AH303" s="12"/>
      <c r="AI303" s="12">
        <f t="shared" si="67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8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8"/>
      <c r="P304" s="60"/>
      <c r="Q304" s="60"/>
      <c r="R304" s="60"/>
      <c r="S304" s="60"/>
      <c r="T304" s="61"/>
      <c r="U304" s="61"/>
      <c r="V304" s="61"/>
      <c r="W304" s="61"/>
      <c r="Y304" s="10">
        <v>18</v>
      </c>
      <c r="Z304" s="30"/>
      <c r="AA304" s="31"/>
      <c r="AB304" s="32"/>
      <c r="AC304" s="32"/>
      <c r="AD304" s="32"/>
      <c r="AE304" s="32">
        <f t="shared" si="69"/>
        <v>0</v>
      </c>
      <c r="AF304" s="12"/>
      <c r="AG304" s="12"/>
      <c r="AH304" s="12"/>
      <c r="AI304" s="12">
        <f t="shared" si="67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8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8"/>
      <c r="P305" s="60"/>
      <c r="Q305" s="60"/>
      <c r="R305" s="60"/>
      <c r="S305" s="60"/>
      <c r="T305" s="61"/>
      <c r="U305" s="61"/>
      <c r="V305" s="61"/>
      <c r="W305" s="61"/>
      <c r="Y305" s="10">
        <v>19</v>
      </c>
      <c r="Z305" s="30"/>
      <c r="AA305" s="31"/>
      <c r="AB305" s="32"/>
      <c r="AC305" s="32"/>
      <c r="AD305" s="32"/>
      <c r="AE305" s="32">
        <f t="shared" si="69"/>
        <v>0</v>
      </c>
      <c r="AF305" s="12"/>
      <c r="AG305" s="12"/>
      <c r="AH305" s="12"/>
      <c r="AI305" s="12">
        <f t="shared" si="67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8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8"/>
      <c r="P306" s="60"/>
      <c r="Q306" s="60"/>
      <c r="R306" s="60"/>
      <c r="S306" s="60"/>
      <c r="T306" s="61"/>
      <c r="U306" s="61"/>
      <c r="V306" s="61"/>
      <c r="W306" s="61"/>
      <c r="Y306" s="10">
        <v>20</v>
      </c>
      <c r="Z306" s="30"/>
      <c r="AA306" s="31"/>
      <c r="AB306" s="32"/>
      <c r="AC306" s="32"/>
      <c r="AD306" s="32"/>
      <c r="AE306" s="32">
        <f t="shared" si="69"/>
        <v>0</v>
      </c>
      <c r="AF306" s="12"/>
      <c r="AG306" s="12"/>
      <c r="AH306" s="12"/>
      <c r="AI306" s="12">
        <f t="shared" si="67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8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8"/>
      <c r="R307" s="88"/>
      <c r="S307" s="60"/>
      <c r="T307" s="62"/>
      <c r="U307" s="62"/>
      <c r="V307" s="62"/>
      <c r="W307" s="61"/>
      <c r="Y307" s="10">
        <v>21</v>
      </c>
      <c r="Z307" s="30"/>
      <c r="AB307" s="46"/>
      <c r="AC307" s="31"/>
      <c r="AD307" s="31"/>
      <c r="AE307" s="32">
        <f t="shared" si="69"/>
        <v>0</v>
      </c>
      <c r="AF307" s="10"/>
      <c r="AG307" s="10"/>
      <c r="AH307" s="10"/>
      <c r="AI307" s="12">
        <f t="shared" si="67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8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8"/>
      <c r="P308" s="68"/>
      <c r="Q308" s="88"/>
      <c r="R308" s="88"/>
      <c r="S308" s="60"/>
      <c r="T308" s="62"/>
      <c r="U308" s="62"/>
      <c r="V308" s="62"/>
      <c r="W308" s="61"/>
      <c r="Y308" s="10">
        <v>22</v>
      </c>
      <c r="Z308" s="30"/>
      <c r="AA308" s="31"/>
      <c r="AB308" s="45"/>
      <c r="AC308" s="31"/>
      <c r="AD308" s="31"/>
      <c r="AE308" s="32">
        <f t="shared" si="69"/>
        <v>0</v>
      </c>
      <c r="AF308" s="10"/>
      <c r="AG308" s="10"/>
      <c r="AH308" s="10"/>
      <c r="AI308" s="12">
        <f t="shared" si="67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8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8"/>
      <c r="P309" s="69"/>
      <c r="Q309" s="62"/>
      <c r="R309" s="62"/>
      <c r="S309" s="60"/>
      <c r="T309" s="62"/>
      <c r="U309" s="62"/>
      <c r="V309" s="62"/>
      <c r="W309" s="61"/>
      <c r="Y309" s="10">
        <v>23</v>
      </c>
      <c r="Z309" s="30"/>
      <c r="AA309" s="31"/>
      <c r="AB309" s="47"/>
      <c r="AE309" s="32">
        <f t="shared" si="69"/>
        <v>0</v>
      </c>
      <c r="AF309" s="10"/>
      <c r="AG309" s="10"/>
      <c r="AH309" s="10"/>
      <c r="AI309" s="12">
        <f t="shared" si="67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8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8"/>
      <c r="P310" s="69"/>
      <c r="Q310" s="88"/>
      <c r="R310" s="88"/>
      <c r="S310" s="60"/>
      <c r="T310" s="62"/>
      <c r="U310" s="62"/>
      <c r="V310" s="62"/>
      <c r="W310" s="61"/>
      <c r="Y310" s="10">
        <v>24</v>
      </c>
      <c r="Z310" s="30"/>
      <c r="AA310" s="31"/>
      <c r="AB310" s="47"/>
      <c r="AC310" s="31"/>
      <c r="AD310" s="31"/>
      <c r="AE310" s="32">
        <f t="shared" si="69"/>
        <v>0</v>
      </c>
      <c r="AF310" s="10"/>
      <c r="AG310" s="10"/>
      <c r="AH310" s="10"/>
      <c r="AI310" s="12">
        <f t="shared" si="67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8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8"/>
      <c r="P311" s="69"/>
      <c r="Q311" s="88"/>
      <c r="R311" s="88"/>
      <c r="S311" s="60"/>
      <c r="T311" s="62"/>
      <c r="U311" s="62"/>
      <c r="V311" s="62"/>
      <c r="W311" s="61"/>
      <c r="Y311" s="10">
        <v>25</v>
      </c>
      <c r="Z311" s="30"/>
      <c r="AA311" s="11"/>
      <c r="AB311" s="47"/>
      <c r="AC311" s="31"/>
      <c r="AD311" s="31"/>
      <c r="AE311" s="32">
        <f t="shared" si="69"/>
        <v>0</v>
      </c>
      <c r="AF311" s="10"/>
      <c r="AG311" s="10"/>
      <c r="AH311" s="10"/>
      <c r="AI311" s="12">
        <f t="shared" si="67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8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8"/>
      <c r="P312" s="69"/>
      <c r="Q312" s="88"/>
      <c r="R312" s="88"/>
      <c r="S312" s="60"/>
      <c r="T312" s="62"/>
      <c r="U312" s="62"/>
      <c r="V312" s="62"/>
      <c r="W312" s="61"/>
      <c r="Y312" s="10">
        <v>26</v>
      </c>
      <c r="Z312" s="30"/>
      <c r="AB312" s="47"/>
      <c r="AC312" s="31"/>
      <c r="AD312" s="31"/>
      <c r="AE312" s="32">
        <f t="shared" si="69"/>
        <v>0</v>
      </c>
      <c r="AF312" s="10"/>
      <c r="AG312" s="10"/>
      <c r="AH312" s="10"/>
      <c r="AI312" s="12">
        <f t="shared" si="67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8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8"/>
      <c r="P313" s="69"/>
      <c r="Q313" s="88"/>
      <c r="R313" s="88"/>
      <c r="S313" s="60"/>
      <c r="T313" s="62"/>
      <c r="U313" s="62"/>
      <c r="V313" s="62"/>
      <c r="W313" s="61"/>
      <c r="Y313" s="10">
        <v>27</v>
      </c>
      <c r="Z313" s="30"/>
      <c r="AA313" s="31"/>
      <c r="AB313" s="47"/>
      <c r="AC313" s="31"/>
      <c r="AD313" s="31"/>
      <c r="AE313" s="32">
        <f t="shared" si="69"/>
        <v>0</v>
      </c>
      <c r="AF313" s="10"/>
      <c r="AG313" s="10"/>
      <c r="AH313" s="10"/>
      <c r="AI313" s="12">
        <f t="shared" si="67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8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8"/>
      <c r="P314" s="69"/>
      <c r="Q314" s="88"/>
      <c r="R314" s="88"/>
      <c r="S314" s="60"/>
      <c r="T314" s="62"/>
      <c r="U314" s="62"/>
      <c r="V314" s="62"/>
      <c r="W314" s="61"/>
      <c r="Y314" s="10">
        <v>28</v>
      </c>
      <c r="Z314" s="30"/>
      <c r="AA314" s="31"/>
      <c r="AB314" s="47"/>
      <c r="AC314" s="31"/>
      <c r="AD314" s="31"/>
      <c r="AE314" s="32">
        <f t="shared" si="69"/>
        <v>0</v>
      </c>
      <c r="AF314" s="10"/>
      <c r="AG314" s="10"/>
      <c r="AH314" s="10"/>
      <c r="AI314" s="12">
        <f t="shared" si="67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8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8"/>
      <c r="R315" s="88"/>
      <c r="S315" s="60"/>
      <c r="T315" s="62"/>
      <c r="U315" s="62"/>
      <c r="V315" s="62"/>
      <c r="W315" s="61"/>
      <c r="Y315" s="10">
        <v>29</v>
      </c>
      <c r="Z315" s="30"/>
      <c r="AA315" s="31"/>
      <c r="AB315" s="47"/>
      <c r="AC315" s="31"/>
      <c r="AD315" s="31"/>
      <c r="AE315" s="32">
        <f t="shared" si="69"/>
        <v>0</v>
      </c>
      <c r="AF315" s="10"/>
      <c r="AG315" s="10"/>
      <c r="AH315" s="10"/>
      <c r="AI315" s="12">
        <f t="shared" si="67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8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8"/>
      <c r="R316" s="88"/>
      <c r="S316" s="60"/>
      <c r="T316" s="62"/>
      <c r="U316" s="62"/>
      <c r="V316" s="62"/>
      <c r="W316" s="61"/>
      <c r="Y316" s="10">
        <v>30</v>
      </c>
      <c r="Z316" s="30"/>
      <c r="AB316" s="47"/>
      <c r="AC316" s="31"/>
      <c r="AD316" s="31"/>
      <c r="AE316" s="32">
        <f t="shared" si="69"/>
        <v>0</v>
      </c>
      <c r="AF316" s="10"/>
      <c r="AG316" s="10"/>
      <c r="AH316" s="10"/>
      <c r="AI316" s="12">
        <f t="shared" si="67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8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8"/>
      <c r="P317" s="69"/>
      <c r="Q317" s="88"/>
      <c r="R317" s="88"/>
      <c r="S317" s="60"/>
      <c r="T317" s="62"/>
      <c r="U317" s="62"/>
      <c r="V317" s="62"/>
      <c r="W317" s="61"/>
      <c r="Y317" s="10">
        <v>31</v>
      </c>
      <c r="Z317" s="30"/>
      <c r="AB317" s="47"/>
      <c r="AC317" s="31"/>
      <c r="AD317" s="31"/>
      <c r="AE317" s="32">
        <f t="shared" si="69"/>
        <v>0</v>
      </c>
      <c r="AF317" s="10"/>
      <c r="AG317" s="10"/>
      <c r="AH317" s="10"/>
      <c r="AI317" s="12">
        <f t="shared" si="67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8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8"/>
      <c r="R318" s="88"/>
      <c r="S318" s="60"/>
      <c r="T318" s="62"/>
      <c r="U318" s="62"/>
      <c r="V318" s="62"/>
      <c r="W318" s="61"/>
      <c r="Y318" s="10">
        <v>32</v>
      </c>
      <c r="Z318" s="30"/>
      <c r="AA318" s="31"/>
      <c r="AB318" s="47"/>
      <c r="AC318" s="31"/>
      <c r="AD318" s="31"/>
      <c r="AE318" s="32">
        <f t="shared" si="69"/>
        <v>0</v>
      </c>
      <c r="AF318" s="10"/>
      <c r="AG318" s="10"/>
      <c r="AH318" s="10"/>
      <c r="AI318" s="12">
        <f t="shared" si="67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8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8"/>
      <c r="P319" s="69"/>
      <c r="Q319" s="88"/>
      <c r="R319" s="88"/>
      <c r="S319" s="60"/>
      <c r="T319" s="62"/>
      <c r="U319" s="62"/>
      <c r="V319" s="62"/>
      <c r="W319" s="61"/>
      <c r="Y319" s="10">
        <v>33</v>
      </c>
      <c r="Z319" s="30"/>
      <c r="AA319" s="31"/>
      <c r="AB319" s="47"/>
      <c r="AC319" s="31"/>
      <c r="AD319" s="31"/>
      <c r="AE319" s="32">
        <f t="shared" si="69"/>
        <v>0</v>
      </c>
      <c r="AF319" s="10"/>
      <c r="AG319" s="10"/>
      <c r="AH319" s="10"/>
      <c r="AI319" s="12">
        <f t="shared" si="67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8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8"/>
      <c r="P320" s="69"/>
      <c r="Q320" s="88"/>
      <c r="R320" s="88"/>
      <c r="S320" s="60"/>
      <c r="T320" s="62"/>
      <c r="U320" s="62"/>
      <c r="V320" s="62"/>
      <c r="W320" s="61"/>
      <c r="Y320" s="10">
        <v>34</v>
      </c>
      <c r="Z320" s="30"/>
      <c r="AB320" s="47"/>
      <c r="AC320" s="31"/>
      <c r="AD320" s="31"/>
      <c r="AE320" s="32">
        <f t="shared" si="69"/>
        <v>0</v>
      </c>
      <c r="AF320" s="10"/>
      <c r="AG320" s="10"/>
      <c r="AH320" s="10"/>
      <c r="AI320" s="12">
        <f t="shared" si="67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8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8"/>
      <c r="P321" s="69"/>
      <c r="Q321" s="88"/>
      <c r="R321" s="88"/>
      <c r="S321" s="60"/>
      <c r="T321" s="62"/>
      <c r="U321" s="62"/>
      <c r="V321" s="62"/>
      <c r="W321" s="61"/>
      <c r="Y321" s="10">
        <v>35</v>
      </c>
      <c r="Z321" s="30"/>
      <c r="AA321" s="31"/>
      <c r="AB321" s="47"/>
      <c r="AC321" s="31"/>
      <c r="AD321" s="31"/>
      <c r="AE321" s="32">
        <f t="shared" si="69"/>
        <v>0</v>
      </c>
      <c r="AF321" s="10"/>
      <c r="AG321" s="10"/>
      <c r="AH321" s="10"/>
      <c r="AI321" s="12">
        <f t="shared" si="67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8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8"/>
      <c r="P322" s="69"/>
      <c r="Q322" s="88"/>
      <c r="R322" s="88"/>
      <c r="S322" s="60"/>
      <c r="T322" s="62"/>
      <c r="U322" s="62"/>
      <c r="V322" s="62"/>
      <c r="W322" s="61"/>
      <c r="Y322" s="10">
        <v>36</v>
      </c>
      <c r="Z322" s="30"/>
      <c r="AA322" s="31"/>
      <c r="AB322" s="47"/>
      <c r="AC322" s="31"/>
      <c r="AD322" s="31"/>
      <c r="AE322" s="32">
        <f t="shared" si="69"/>
        <v>0</v>
      </c>
      <c r="AF322" s="10"/>
      <c r="AG322" s="10"/>
      <c r="AH322" s="10"/>
      <c r="AI322" s="12">
        <f t="shared" si="67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8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8"/>
      <c r="R323" s="88"/>
      <c r="S323" s="60"/>
      <c r="T323" s="62"/>
      <c r="U323" s="62"/>
      <c r="V323" s="62"/>
      <c r="W323" s="61"/>
      <c r="Y323" s="10">
        <v>37</v>
      </c>
      <c r="Z323" s="30"/>
      <c r="AA323" s="31"/>
      <c r="AB323" s="47"/>
      <c r="AC323" s="31"/>
      <c r="AD323" s="31"/>
      <c r="AE323" s="32">
        <f t="shared" si="69"/>
        <v>0</v>
      </c>
      <c r="AF323" s="10"/>
      <c r="AG323" s="10"/>
      <c r="AH323" s="10"/>
      <c r="AI323" s="12">
        <f t="shared" si="67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8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8"/>
      <c r="P324" s="69"/>
      <c r="Q324" s="88"/>
      <c r="R324" s="88"/>
      <c r="S324" s="60"/>
      <c r="T324" s="62"/>
      <c r="U324" s="62"/>
      <c r="V324" s="62"/>
      <c r="W324" s="61"/>
      <c r="Y324" s="10">
        <v>38</v>
      </c>
      <c r="Z324" s="30"/>
      <c r="AA324" s="31"/>
      <c r="AB324" s="47"/>
      <c r="AC324" s="31"/>
      <c r="AD324" s="31"/>
      <c r="AE324" s="32">
        <f t="shared" si="69"/>
        <v>0</v>
      </c>
      <c r="AF324" s="10"/>
      <c r="AG324" s="10"/>
      <c r="AH324" s="10"/>
      <c r="AI324" s="12">
        <f t="shared" si="67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8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8"/>
      <c r="P325" s="69"/>
      <c r="Q325" s="88"/>
      <c r="R325" s="88"/>
      <c r="S325" s="60"/>
      <c r="T325" s="62"/>
      <c r="U325" s="62"/>
      <c r="V325" s="62"/>
      <c r="W325" s="61"/>
      <c r="Y325" s="10">
        <v>39</v>
      </c>
      <c r="Z325" s="30"/>
      <c r="AA325" s="31"/>
      <c r="AB325" s="47"/>
      <c r="AC325" s="31"/>
      <c r="AD325" s="31"/>
      <c r="AE325" s="32">
        <f t="shared" si="69"/>
        <v>0</v>
      </c>
      <c r="AF325" s="10"/>
      <c r="AG325" s="10"/>
      <c r="AH325" s="10"/>
      <c r="AI325" s="12">
        <f t="shared" si="67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8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8"/>
      <c r="R326" s="88"/>
      <c r="S326" s="60"/>
      <c r="T326" s="62"/>
      <c r="U326" s="62"/>
      <c r="V326" s="62"/>
      <c r="W326" s="61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67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8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8"/>
      <c r="P327" s="69"/>
      <c r="Q327" s="88"/>
      <c r="R327" s="88"/>
      <c r="S327" s="60"/>
      <c r="T327" s="62"/>
      <c r="U327" s="62"/>
      <c r="V327" s="62"/>
      <c r="W327" s="61"/>
      <c r="Y327" s="10"/>
      <c r="Z327" s="30"/>
      <c r="AA327" s="31"/>
      <c r="AB327" s="47"/>
      <c r="AC327" s="31"/>
      <c r="AD327" s="31"/>
      <c r="AE327" s="32">
        <f t="shared" ref="AE327" si="70">SUM(AB327:AC327)</f>
        <v>0</v>
      </c>
      <c r="AF327" s="10"/>
      <c r="AG327" s="10"/>
      <c r="AH327" s="10"/>
      <c r="AI327" s="12">
        <f t="shared" si="67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8"/>
      <c r="O328" s="88"/>
      <c r="P328" s="88"/>
      <c r="Q328" s="88"/>
      <c r="R328" s="88"/>
      <c r="S328" s="88"/>
      <c r="T328" s="62"/>
      <c r="U328" s="62"/>
      <c r="V328" s="62"/>
      <c r="W328" s="61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67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8"/>
      <c r="C329" s="88"/>
      <c r="D329" s="88"/>
      <c r="E329" s="88"/>
      <c r="F329" s="88"/>
      <c r="G329" s="88"/>
      <c r="H329" s="62"/>
      <c r="I329" s="62"/>
      <c r="J329" s="62"/>
      <c r="K329" s="62"/>
      <c r="L329" s="62"/>
      <c r="M329" s="62"/>
      <c r="N329" s="88"/>
      <c r="O329" s="88"/>
      <c r="P329" s="88"/>
      <c r="Q329" s="88"/>
      <c r="R329" s="88"/>
      <c r="S329" s="88"/>
      <c r="T329" s="62"/>
      <c r="U329" s="62"/>
      <c r="V329" s="62"/>
      <c r="W329" s="62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8"/>
      <c r="C330" s="88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8"/>
      <c r="O330" s="88"/>
      <c r="P330" s="70"/>
      <c r="Q330" s="70"/>
      <c r="R330" s="70"/>
      <c r="S330" s="70"/>
      <c r="T330" s="63"/>
      <c r="U330" s="71"/>
      <c r="V330" s="71"/>
      <c r="W330" s="71"/>
      <c r="Z330" s="57"/>
      <c r="AA330" s="57"/>
      <c r="AB330" s="38">
        <f>SUM(AB287:AB329)</f>
        <v>188508</v>
      </c>
      <c r="AC330" s="38">
        <f>SUM(AC287:AC311)</f>
        <v>-648</v>
      </c>
      <c r="AD330" s="38">
        <f>SUM(AD287:AD311)</f>
        <v>0</v>
      </c>
      <c r="AE330" s="38">
        <f>SUM(AE287:AE329)</f>
        <v>187860</v>
      </c>
      <c r="AF330" s="4"/>
      <c r="AG330" s="41">
        <f>SUM(AG287:AG329)</f>
        <v>175.5</v>
      </c>
      <c r="AH330" s="41">
        <f>SUM(AH287:AH311)</f>
        <v>0</v>
      </c>
      <c r="AI330" s="42">
        <f>SUM(AI287:AI329)</f>
        <v>188035.5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29</v>
      </c>
      <c r="B333" s="57"/>
      <c r="C333" s="57"/>
      <c r="D333" s="57"/>
      <c r="E333" s="57"/>
      <c r="G333" s="57"/>
      <c r="M333" t="s">
        <v>29</v>
      </c>
      <c r="N333" s="57"/>
      <c r="O333" s="57"/>
      <c r="P333" s="57"/>
      <c r="Q333" s="57"/>
      <c r="R333" s="57"/>
      <c r="S333" s="57"/>
      <c r="Y333" t="s">
        <v>29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15</v>
      </c>
      <c r="B335" s="57"/>
      <c r="C335" s="57"/>
      <c r="D335" s="57"/>
      <c r="E335" s="57"/>
      <c r="G335" s="57"/>
      <c r="M335" s="4" t="s">
        <v>15</v>
      </c>
      <c r="N335" s="57"/>
      <c r="O335" s="57"/>
      <c r="P335" s="57"/>
      <c r="Q335" s="57"/>
      <c r="R335" s="57"/>
      <c r="S335" s="57"/>
      <c r="Y335" s="4" t="s">
        <v>15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38</v>
      </c>
      <c r="B337" s="57"/>
      <c r="C337" s="57"/>
      <c r="D337" s="57"/>
      <c r="E337" s="57"/>
      <c r="G337" s="57"/>
      <c r="I337" s="57" t="s">
        <v>16</v>
      </c>
      <c r="J337" s="19">
        <v>1</v>
      </c>
      <c r="M337" t="s">
        <v>38</v>
      </c>
      <c r="N337" s="57"/>
      <c r="O337" s="57"/>
      <c r="P337" s="57"/>
      <c r="Q337" s="57"/>
      <c r="R337" s="57"/>
      <c r="S337" s="57"/>
      <c r="U337" s="57" t="s">
        <v>16</v>
      </c>
      <c r="V337" s="19">
        <v>2</v>
      </c>
      <c r="Y337" t="s">
        <v>38</v>
      </c>
      <c r="Z337" s="57"/>
      <c r="AA337" s="57"/>
      <c r="AB337" s="57"/>
      <c r="AC337" s="57"/>
      <c r="AD337" s="57"/>
      <c r="AE337" s="57"/>
      <c r="AG337" s="57" t="s">
        <v>16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17</v>
      </c>
      <c r="J338" s="23" t="s">
        <v>36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17</v>
      </c>
      <c r="V338" s="23" t="s">
        <v>33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17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4" t="s">
        <v>18</v>
      </c>
      <c r="E340" s="124"/>
      <c r="F340" s="96"/>
      <c r="G340" s="27"/>
      <c r="I340" s="122" t="s">
        <v>19</v>
      </c>
      <c r="J340" s="123"/>
      <c r="K340" s="120" t="s">
        <v>20</v>
      </c>
      <c r="N340" s="25"/>
      <c r="O340" s="26"/>
      <c r="P340" s="124" t="s">
        <v>18</v>
      </c>
      <c r="Q340" s="124"/>
      <c r="R340" s="96"/>
      <c r="S340" s="27"/>
      <c r="U340" s="122" t="s">
        <v>19</v>
      </c>
      <c r="V340" s="123"/>
      <c r="W340" s="120" t="s">
        <v>20</v>
      </c>
      <c r="Z340" s="25"/>
      <c r="AA340" s="26"/>
      <c r="AB340" s="124" t="s">
        <v>18</v>
      </c>
      <c r="AC340" s="124"/>
      <c r="AD340" s="94"/>
      <c r="AE340" s="27"/>
      <c r="AG340" s="122" t="s">
        <v>19</v>
      </c>
      <c r="AH340" s="123"/>
      <c r="AI340" s="120" t="s">
        <v>20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21</v>
      </c>
      <c r="C341" s="28" t="s">
        <v>22</v>
      </c>
      <c r="D341" s="79" t="s">
        <v>23</v>
      </c>
      <c r="E341" s="78" t="s">
        <v>24</v>
      </c>
      <c r="F341" s="80" t="s">
        <v>35</v>
      </c>
      <c r="G341" s="80" t="s">
        <v>25</v>
      </c>
      <c r="I341" s="29" t="s">
        <v>26</v>
      </c>
      <c r="J341" s="29" t="s">
        <v>27</v>
      </c>
      <c r="K341" s="121"/>
      <c r="N341" s="28" t="s">
        <v>21</v>
      </c>
      <c r="O341" s="28" t="s">
        <v>22</v>
      </c>
      <c r="P341" s="79" t="s">
        <v>23</v>
      </c>
      <c r="Q341" s="80" t="s">
        <v>24</v>
      </c>
      <c r="R341" s="80" t="s">
        <v>35</v>
      </c>
      <c r="S341" s="80" t="s">
        <v>25</v>
      </c>
      <c r="U341" s="29" t="s">
        <v>26</v>
      </c>
      <c r="V341" s="29" t="s">
        <v>27</v>
      </c>
      <c r="W341" s="121"/>
      <c r="Z341" s="28" t="s">
        <v>21</v>
      </c>
      <c r="AA341" s="28" t="s">
        <v>22</v>
      </c>
      <c r="AB341" s="79" t="s">
        <v>23</v>
      </c>
      <c r="AC341" s="80" t="s">
        <v>24</v>
      </c>
      <c r="AD341" s="80" t="s">
        <v>35</v>
      </c>
      <c r="AE341" s="80" t="s">
        <v>25</v>
      </c>
      <c r="AG341" s="29" t="s">
        <v>26</v>
      </c>
      <c r="AH341" s="29" t="s">
        <v>27</v>
      </c>
      <c r="AI341" s="121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45910</v>
      </c>
      <c r="C342" s="31">
        <v>6340</v>
      </c>
      <c r="D342" s="32">
        <f>11268+614+1788+199</f>
        <v>13869</v>
      </c>
      <c r="E342" s="32"/>
      <c r="F342" s="32"/>
      <c r="G342" s="32">
        <f t="shared" ref="G342:G375" si="71">SUM(D342:E342)</f>
        <v>13869</v>
      </c>
      <c r="H342" s="12"/>
      <c r="I342" s="12"/>
      <c r="J342" s="12"/>
      <c r="K342" s="12">
        <f t="shared" ref="K342:K375" si="72">SUM(G342:J342)</f>
        <v>13869</v>
      </c>
      <c r="M342" s="10">
        <v>1</v>
      </c>
      <c r="N342" s="30">
        <v>45910</v>
      </c>
      <c r="O342" s="31">
        <v>6268</v>
      </c>
      <c r="P342" s="32">
        <f>202824+3070+29800+4160+3435</f>
        <v>243289</v>
      </c>
      <c r="Q342" s="32">
        <v>-3591</v>
      </c>
      <c r="R342" s="32"/>
      <c r="S342" s="32">
        <f>SUM(P342:Q342)</f>
        <v>239698</v>
      </c>
      <c r="T342" s="12"/>
      <c r="U342" s="12">
        <f>600+7659+1092</f>
        <v>9351</v>
      </c>
      <c r="V342" s="12">
        <f>-336+-210</f>
        <v>-546</v>
      </c>
      <c r="W342" s="12">
        <f>SUM(S342:V342)</f>
        <v>248503</v>
      </c>
      <c r="Y342" s="10">
        <v>1</v>
      </c>
      <c r="Z342" s="30">
        <v>45910</v>
      </c>
      <c r="AA342" s="31">
        <v>5849</v>
      </c>
      <c r="AB342" s="32">
        <f>614</f>
        <v>614</v>
      </c>
      <c r="AC342" s="32"/>
      <c r="AD342" s="32"/>
      <c r="AE342" s="32">
        <f>SUM(AB342:AC342)</f>
        <v>614</v>
      </c>
      <c r="AF342" s="12"/>
      <c r="AG342" s="12"/>
      <c r="AH342" s="12"/>
      <c r="AI342" s="12">
        <f>SUM(AE342:AH342)</f>
        <v>614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45910</v>
      </c>
      <c r="C343" s="31">
        <f>C342+1</f>
        <v>6341</v>
      </c>
      <c r="D343" s="32">
        <f>9390+142</f>
        <v>9532</v>
      </c>
      <c r="E343" s="32"/>
      <c r="F343" s="32"/>
      <c r="G343" s="32">
        <f t="shared" si="71"/>
        <v>9532</v>
      </c>
      <c r="H343" s="12"/>
      <c r="I343" s="12"/>
      <c r="J343" s="12"/>
      <c r="K343" s="12">
        <f t="shared" si="72"/>
        <v>9532</v>
      </c>
      <c r="M343" s="10">
        <v>2</v>
      </c>
      <c r="N343" s="30">
        <v>45910</v>
      </c>
      <c r="O343" s="31">
        <v>6344</v>
      </c>
      <c r="P343" s="32">
        <f>832</f>
        <v>832</v>
      </c>
      <c r="Q343" s="32"/>
      <c r="R343" s="32"/>
      <c r="S343" s="32">
        <f t="shared" ref="S343:S380" si="73">SUM(P343:Q343)</f>
        <v>832</v>
      </c>
      <c r="T343" s="12"/>
      <c r="U343" s="12"/>
      <c r="V343" s="12"/>
      <c r="W343" s="12">
        <f t="shared" ref="W343:W383" si="74">SUM(S343:V343)</f>
        <v>832</v>
      </c>
      <c r="Y343" s="10">
        <v>2</v>
      </c>
      <c r="Z343" s="30">
        <v>45910</v>
      </c>
      <c r="AA343" s="31">
        <f>AA342+1</f>
        <v>5850</v>
      </c>
      <c r="AB343" s="32">
        <f>832</f>
        <v>832</v>
      </c>
      <c r="AC343" s="32"/>
      <c r="AD343" s="32"/>
      <c r="AE343" s="32">
        <f t="shared" ref="AE343:AE351" si="75">SUM(AB343:AC343)</f>
        <v>832</v>
      </c>
      <c r="AF343" s="12"/>
      <c r="AG343" s="12"/>
      <c r="AH343" s="12"/>
      <c r="AI343" s="12">
        <f t="shared" ref="AI343:AI383" si="76">SUM(AE343:AH343)</f>
        <v>832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45910</v>
      </c>
      <c r="C344" s="31">
        <f t="shared" ref="C344:C345" si="77">C343+1</f>
        <v>6342</v>
      </c>
      <c r="D344" s="33">
        <f>10016+3576+832+209</f>
        <v>14633</v>
      </c>
      <c r="E344" s="33"/>
      <c r="F344" s="33"/>
      <c r="G344" s="33">
        <f t="shared" si="71"/>
        <v>14633</v>
      </c>
      <c r="H344" s="34"/>
      <c r="I344" s="34">
        <v>58.5</v>
      </c>
      <c r="J344" s="34"/>
      <c r="K344" s="34">
        <f t="shared" si="72"/>
        <v>14691.5</v>
      </c>
      <c r="M344" s="10">
        <v>3</v>
      </c>
      <c r="N344" s="30"/>
      <c r="O344" s="11" t="s">
        <v>28</v>
      </c>
      <c r="P344" s="32"/>
      <c r="Q344" s="32"/>
      <c r="R344" s="32"/>
      <c r="S344" s="32">
        <f t="shared" si="73"/>
        <v>0</v>
      </c>
      <c r="T344" s="12"/>
      <c r="U344" s="12"/>
      <c r="V344" s="12"/>
      <c r="W344" s="12">
        <f t="shared" si="74"/>
        <v>0</v>
      </c>
      <c r="Y344" s="10">
        <v>3</v>
      </c>
      <c r="Z344" s="30">
        <v>45910</v>
      </c>
      <c r="AA344" s="31">
        <v>6351</v>
      </c>
      <c r="AB344" s="33">
        <f>6260+614+95</f>
        <v>6969</v>
      </c>
      <c r="AC344" s="33"/>
      <c r="AD344" s="32"/>
      <c r="AE344" s="32">
        <f t="shared" si="75"/>
        <v>6969</v>
      </c>
      <c r="AF344" s="12"/>
      <c r="AG344" s="12"/>
      <c r="AH344" s="12"/>
      <c r="AI344" s="12">
        <f t="shared" si="76"/>
        <v>6969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45910</v>
      </c>
      <c r="C345" s="31">
        <f t="shared" si="77"/>
        <v>6343</v>
      </c>
      <c r="D345" s="32">
        <f>89518+458</f>
        <v>89976</v>
      </c>
      <c r="E345" s="32">
        <v>-1160</v>
      </c>
      <c r="F345" s="32"/>
      <c r="G345" s="32">
        <f t="shared" si="71"/>
        <v>88816</v>
      </c>
      <c r="H345" s="12"/>
      <c r="I345" s="12">
        <v>49.5</v>
      </c>
      <c r="J345" s="12"/>
      <c r="K345" s="12">
        <f t="shared" si="72"/>
        <v>88865.5</v>
      </c>
      <c r="M345" s="10">
        <v>4</v>
      </c>
      <c r="N345" s="30"/>
      <c r="O345" s="31"/>
      <c r="P345" s="32"/>
      <c r="Q345" s="32"/>
      <c r="R345" s="32"/>
      <c r="S345" s="32">
        <f t="shared" si="73"/>
        <v>0</v>
      </c>
      <c r="T345" s="12"/>
      <c r="U345" s="12"/>
      <c r="V345" s="12"/>
      <c r="W345" s="12">
        <f t="shared" si="74"/>
        <v>0</v>
      </c>
      <c r="Y345" s="10">
        <v>4</v>
      </c>
      <c r="Z345" s="30">
        <v>45910</v>
      </c>
      <c r="AA345" s="31">
        <f t="shared" ref="AA345:AA357" si="78">AA344+1</f>
        <v>6352</v>
      </c>
      <c r="AB345" s="32">
        <f>21910+3070+5960+458</f>
        <v>31398</v>
      </c>
      <c r="AC345" s="32"/>
      <c r="AD345" s="32"/>
      <c r="AE345" s="32">
        <f t="shared" si="75"/>
        <v>31398</v>
      </c>
      <c r="AF345" s="12"/>
      <c r="AH345" s="12"/>
      <c r="AI345" s="12">
        <f t="shared" si="76"/>
        <v>31398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11" t="s">
        <v>28</v>
      </c>
      <c r="D346" s="32"/>
      <c r="E346" s="32"/>
      <c r="F346" s="32"/>
      <c r="G346" s="32">
        <f t="shared" si="71"/>
        <v>0</v>
      </c>
      <c r="H346" s="12"/>
      <c r="I346" s="12"/>
      <c r="J346" s="12"/>
      <c r="K346" s="12">
        <f t="shared" si="72"/>
        <v>0</v>
      </c>
      <c r="M346" s="10">
        <v>5</v>
      </c>
      <c r="N346" s="30"/>
      <c r="O346" s="31"/>
      <c r="P346" s="32"/>
      <c r="Q346" s="32"/>
      <c r="R346" s="32"/>
      <c r="S346" s="32">
        <f t="shared" si="73"/>
        <v>0</v>
      </c>
      <c r="T346" s="12"/>
      <c r="U346" s="12"/>
      <c r="V346" s="12"/>
      <c r="W346" s="12">
        <f t="shared" si="74"/>
        <v>0</v>
      </c>
      <c r="Y346" s="10">
        <v>5</v>
      </c>
      <c r="Z346" s="30">
        <v>45910</v>
      </c>
      <c r="AA346" s="31">
        <f t="shared" si="78"/>
        <v>6353</v>
      </c>
      <c r="AB346" s="32">
        <f>31300+11020+458</f>
        <v>42778</v>
      </c>
      <c r="AC346" s="32">
        <v>-372</v>
      </c>
      <c r="AD346" s="32"/>
      <c r="AE346" s="32">
        <f t="shared" si="75"/>
        <v>42406</v>
      </c>
      <c r="AF346" s="12"/>
      <c r="AG346" s="12"/>
      <c r="AH346" s="12">
        <f>-4884+-588</f>
        <v>-5472</v>
      </c>
      <c r="AI346" s="12">
        <f t="shared" si="76"/>
        <v>36934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31"/>
      <c r="D347" s="32"/>
      <c r="E347" s="32"/>
      <c r="F347" s="32"/>
      <c r="G347" s="32">
        <f t="shared" si="71"/>
        <v>0</v>
      </c>
      <c r="H347" s="12"/>
      <c r="I347" s="12"/>
      <c r="J347" s="12"/>
      <c r="K347" s="12">
        <f t="shared" si="72"/>
        <v>0</v>
      </c>
      <c r="M347" s="10">
        <v>6</v>
      </c>
      <c r="N347" s="30"/>
      <c r="O347" s="31"/>
      <c r="P347" s="32"/>
      <c r="Q347" s="32"/>
      <c r="R347" s="32"/>
      <c r="S347" s="32">
        <f t="shared" si="73"/>
        <v>0</v>
      </c>
      <c r="T347" s="12"/>
      <c r="U347" s="12"/>
      <c r="V347" s="10"/>
      <c r="W347" s="12">
        <f t="shared" si="74"/>
        <v>0</v>
      </c>
      <c r="Y347" s="10">
        <v>6</v>
      </c>
      <c r="Z347" s="30">
        <v>45910</v>
      </c>
      <c r="AA347" s="31">
        <f t="shared" si="78"/>
        <v>6354</v>
      </c>
      <c r="AB347" s="32">
        <f>8138+1842+3572+229</f>
        <v>13781</v>
      </c>
      <c r="AC347" s="32"/>
      <c r="AD347" s="32"/>
      <c r="AE347" s="32">
        <f t="shared" si="75"/>
        <v>13781</v>
      </c>
      <c r="AF347" s="12"/>
      <c r="AG347" s="12"/>
      <c r="AH347" s="10"/>
      <c r="AI347" s="12">
        <f t="shared" si="76"/>
        <v>13781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31"/>
      <c r="D348" s="32"/>
      <c r="E348" s="32"/>
      <c r="F348" s="32"/>
      <c r="G348" s="32">
        <f t="shared" si="71"/>
        <v>0</v>
      </c>
      <c r="H348" s="12"/>
      <c r="I348" s="12"/>
      <c r="J348" s="12"/>
      <c r="K348" s="12">
        <f t="shared" si="72"/>
        <v>0</v>
      </c>
      <c r="M348" s="10">
        <v>7</v>
      </c>
      <c r="N348" s="30"/>
      <c r="O348" s="31"/>
      <c r="P348" s="32"/>
      <c r="Q348" s="32"/>
      <c r="R348" s="32"/>
      <c r="S348" s="32">
        <f t="shared" si="73"/>
        <v>0</v>
      </c>
      <c r="T348" s="12"/>
      <c r="U348" s="12"/>
      <c r="V348" s="12"/>
      <c r="W348" s="12">
        <f t="shared" si="74"/>
        <v>0</v>
      </c>
      <c r="Y348" s="10">
        <v>7</v>
      </c>
      <c r="Z348" s="30">
        <v>45910</v>
      </c>
      <c r="AA348" s="31">
        <f t="shared" si="78"/>
        <v>6355</v>
      </c>
      <c r="AB348" s="32">
        <f>3756+2384</f>
        <v>6140</v>
      </c>
      <c r="AC348" s="32"/>
      <c r="AD348" s="32"/>
      <c r="AE348" s="32">
        <f t="shared" si="75"/>
        <v>6140</v>
      </c>
      <c r="AF348" s="12"/>
      <c r="AG348" s="58"/>
      <c r="AH348" s="12"/>
      <c r="AI348" s="12">
        <f t="shared" si="76"/>
        <v>6140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71"/>
        <v>0</v>
      </c>
      <c r="H349" s="12"/>
      <c r="I349" s="12"/>
      <c r="J349" s="12"/>
      <c r="K349" s="12">
        <f t="shared" si="72"/>
        <v>0</v>
      </c>
      <c r="M349" s="10">
        <v>8</v>
      </c>
      <c r="N349" s="30"/>
      <c r="O349" s="31"/>
      <c r="P349" s="32"/>
      <c r="Q349" s="32"/>
      <c r="R349" s="32"/>
      <c r="S349" s="32">
        <f t="shared" si="73"/>
        <v>0</v>
      </c>
      <c r="T349" s="12"/>
      <c r="U349" s="12"/>
      <c r="V349" s="12"/>
      <c r="W349" s="12">
        <f t="shared" si="74"/>
        <v>0</v>
      </c>
      <c r="Y349" s="10">
        <v>8</v>
      </c>
      <c r="Z349" s="30">
        <v>45910</v>
      </c>
      <c r="AA349" s="31">
        <f t="shared" si="78"/>
        <v>6356</v>
      </c>
      <c r="AB349" s="32">
        <f>9390+1192+161.5</f>
        <v>10743.5</v>
      </c>
      <c r="AC349" s="32"/>
      <c r="AE349" s="32">
        <f t="shared" si="75"/>
        <v>10743.5</v>
      </c>
      <c r="AF349" s="12"/>
      <c r="AG349" s="12"/>
      <c r="AH349" s="12"/>
      <c r="AI349" s="12">
        <f t="shared" si="76"/>
        <v>10743.5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31"/>
      <c r="D350" s="32"/>
      <c r="E350" s="32"/>
      <c r="F350" s="32"/>
      <c r="G350" s="32">
        <f t="shared" si="71"/>
        <v>0</v>
      </c>
      <c r="H350" s="12"/>
      <c r="I350" s="12"/>
      <c r="J350" s="12"/>
      <c r="K350" s="12">
        <f t="shared" si="72"/>
        <v>0</v>
      </c>
      <c r="M350" s="10">
        <v>9</v>
      </c>
      <c r="N350" s="30"/>
      <c r="O350" s="31"/>
      <c r="P350" s="32"/>
      <c r="Q350" s="32"/>
      <c r="R350" s="32"/>
      <c r="S350" s="32">
        <f t="shared" si="73"/>
        <v>0</v>
      </c>
      <c r="T350" s="12"/>
      <c r="U350" s="12"/>
      <c r="V350" s="12"/>
      <c r="W350" s="12">
        <f t="shared" si="74"/>
        <v>0</v>
      </c>
      <c r="Y350" s="10">
        <v>9</v>
      </c>
      <c r="Z350" s="30">
        <v>45910</v>
      </c>
      <c r="AA350" s="31">
        <f t="shared" si="78"/>
        <v>6357</v>
      </c>
      <c r="AB350" s="95">
        <f>13772+209</f>
        <v>13981</v>
      </c>
      <c r="AC350" s="32"/>
      <c r="AD350" s="32"/>
      <c r="AE350" s="32">
        <f t="shared" si="75"/>
        <v>13981</v>
      </c>
      <c r="AF350" s="12"/>
      <c r="AG350">
        <v>336</v>
      </c>
      <c r="AH350" s="12"/>
      <c r="AI350" s="12">
        <f t="shared" si="76"/>
        <v>14317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31"/>
      <c r="D351" s="32"/>
      <c r="E351" s="32"/>
      <c r="F351" s="32"/>
      <c r="G351" s="32">
        <f t="shared" si="71"/>
        <v>0</v>
      </c>
      <c r="H351" s="12"/>
      <c r="I351" s="12"/>
      <c r="J351" s="12"/>
      <c r="K351" s="12">
        <f t="shared" si="72"/>
        <v>0</v>
      </c>
      <c r="M351" s="10">
        <v>10</v>
      </c>
      <c r="N351" s="30"/>
      <c r="O351" s="31"/>
      <c r="P351" s="32"/>
      <c r="Q351" s="32"/>
      <c r="R351" s="32"/>
      <c r="S351" s="32">
        <f t="shared" si="73"/>
        <v>0</v>
      </c>
      <c r="T351" s="12"/>
      <c r="U351" s="12"/>
      <c r="V351" s="12"/>
      <c r="W351" s="12">
        <f t="shared" si="74"/>
        <v>0</v>
      </c>
      <c r="Y351" s="10">
        <v>10</v>
      </c>
      <c r="Z351" s="30">
        <v>45910</v>
      </c>
      <c r="AA351" s="31">
        <f t="shared" si="78"/>
        <v>6358</v>
      </c>
      <c r="AB351" s="32">
        <f>3756+3576+114</f>
        <v>7446</v>
      </c>
      <c r="AC351" s="32"/>
      <c r="AD351" s="32"/>
      <c r="AE351" s="32">
        <f t="shared" si="75"/>
        <v>7446</v>
      </c>
      <c r="AF351" s="12"/>
      <c r="AG351" s="12"/>
      <c r="AH351" s="12"/>
      <c r="AI351" s="12">
        <f t="shared" si="76"/>
        <v>7446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31"/>
      <c r="D352" s="32"/>
      <c r="E352" s="32"/>
      <c r="F352" s="32"/>
      <c r="G352" s="32">
        <f t="shared" si="71"/>
        <v>0</v>
      </c>
      <c r="H352" s="12"/>
      <c r="I352" s="12"/>
      <c r="J352" s="12"/>
      <c r="K352" s="12">
        <f t="shared" si="72"/>
        <v>0</v>
      </c>
      <c r="M352" s="10">
        <v>11</v>
      </c>
      <c r="N352" s="30"/>
      <c r="O352" s="31"/>
      <c r="P352" s="32"/>
      <c r="Q352" s="32"/>
      <c r="R352" s="32"/>
      <c r="S352" s="32">
        <f t="shared" si="73"/>
        <v>0</v>
      </c>
      <c r="T352" s="12"/>
      <c r="U352" s="12"/>
      <c r="V352" s="12"/>
      <c r="W352" s="12">
        <f t="shared" si="74"/>
        <v>0</v>
      </c>
      <c r="Y352" s="10">
        <v>11</v>
      </c>
      <c r="Z352" s="30">
        <v>45910</v>
      </c>
      <c r="AA352" s="31">
        <f t="shared" si="78"/>
        <v>6359</v>
      </c>
      <c r="AB352" s="32">
        <f>626*19+596*3+190</f>
        <v>13872</v>
      </c>
      <c r="AC352" s="32"/>
      <c r="AD352" s="32"/>
      <c r="AE352" s="32">
        <f t="shared" ref="AE352:AE380" si="79">SUM(AB352:AC352)</f>
        <v>13872</v>
      </c>
      <c r="AF352" s="12"/>
      <c r="AG352" s="12"/>
      <c r="AH352" s="12"/>
      <c r="AI352" s="12">
        <f t="shared" si="76"/>
        <v>13872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31"/>
      <c r="D353" s="32"/>
      <c r="E353" s="32"/>
      <c r="F353" s="32"/>
      <c r="G353" s="32">
        <f t="shared" si="71"/>
        <v>0</v>
      </c>
      <c r="H353" s="12"/>
      <c r="I353" s="12"/>
      <c r="J353" s="10"/>
      <c r="K353" s="12">
        <f t="shared" si="72"/>
        <v>0</v>
      </c>
      <c r="M353" s="10">
        <v>12</v>
      </c>
      <c r="N353" s="30"/>
      <c r="O353" s="31"/>
      <c r="P353" s="32"/>
      <c r="Q353" s="32"/>
      <c r="R353" s="32"/>
      <c r="S353" s="32">
        <f t="shared" si="73"/>
        <v>0</v>
      </c>
      <c r="T353" s="12"/>
      <c r="U353" s="12"/>
      <c r="V353" s="12"/>
      <c r="W353" s="12">
        <f t="shared" si="74"/>
        <v>0</v>
      </c>
      <c r="Y353" s="10">
        <v>12</v>
      </c>
      <c r="Z353" s="30">
        <v>45910</v>
      </c>
      <c r="AA353" s="31">
        <f t="shared" si="78"/>
        <v>6360</v>
      </c>
      <c r="AB353" s="32">
        <f>3130+1228+596+57</f>
        <v>5011</v>
      </c>
      <c r="AC353" s="32"/>
      <c r="AD353" s="32"/>
      <c r="AE353" s="32">
        <f t="shared" si="79"/>
        <v>5011</v>
      </c>
      <c r="AF353" s="12"/>
      <c r="AG353" s="12"/>
      <c r="AH353" s="12"/>
      <c r="AI353" s="12">
        <f t="shared" si="76"/>
        <v>5011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31"/>
      <c r="D354" s="32"/>
      <c r="E354" s="32"/>
      <c r="F354" s="32"/>
      <c r="G354" s="32">
        <f t="shared" si="71"/>
        <v>0</v>
      </c>
      <c r="H354" s="12"/>
      <c r="I354" s="12"/>
      <c r="J354" s="12"/>
      <c r="K354" s="12">
        <f t="shared" si="72"/>
        <v>0</v>
      </c>
      <c r="M354" s="10">
        <v>13</v>
      </c>
      <c r="N354" s="30"/>
      <c r="O354" s="31"/>
      <c r="P354" s="32"/>
      <c r="Q354" s="32"/>
      <c r="R354" s="32"/>
      <c r="S354" s="32">
        <f t="shared" si="73"/>
        <v>0</v>
      </c>
      <c r="T354" s="12"/>
      <c r="U354" s="12"/>
      <c r="V354" s="12"/>
      <c r="W354" s="12">
        <f t="shared" si="74"/>
        <v>0</v>
      </c>
      <c r="Y354" s="10">
        <v>13</v>
      </c>
      <c r="Z354" s="30">
        <v>45910</v>
      </c>
      <c r="AA354" s="31">
        <f t="shared" si="78"/>
        <v>6361</v>
      </c>
      <c r="AB354" s="32">
        <f>2504+614+38</f>
        <v>3156</v>
      </c>
      <c r="AC354" s="32"/>
      <c r="AD354" s="32"/>
      <c r="AE354" s="32">
        <f t="shared" si="79"/>
        <v>3156</v>
      </c>
      <c r="AF354" s="12"/>
      <c r="AG354" s="12"/>
      <c r="AH354" s="12"/>
      <c r="AI354" s="12">
        <f t="shared" si="76"/>
        <v>3156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31"/>
      <c r="D355" s="32"/>
      <c r="E355" s="32"/>
      <c r="F355" s="32"/>
      <c r="G355" s="32">
        <f t="shared" si="71"/>
        <v>0</v>
      </c>
      <c r="H355" s="12"/>
      <c r="I355" s="12"/>
      <c r="J355" s="12"/>
      <c r="K355" s="12">
        <f t="shared" si="72"/>
        <v>0</v>
      </c>
      <c r="M355" s="10">
        <v>14</v>
      </c>
      <c r="N355" s="30"/>
      <c r="O355" s="31"/>
      <c r="P355" s="32"/>
      <c r="Q355" s="32"/>
      <c r="R355" s="32"/>
      <c r="S355" s="32">
        <f t="shared" si="73"/>
        <v>0</v>
      </c>
      <c r="T355" s="12"/>
      <c r="U355" s="12"/>
      <c r="V355" s="12"/>
      <c r="W355" s="12">
        <f t="shared" si="74"/>
        <v>0</v>
      </c>
      <c r="Y355" s="10">
        <v>14</v>
      </c>
      <c r="Z355" s="30">
        <v>45910</v>
      </c>
      <c r="AA355" s="31">
        <f t="shared" si="78"/>
        <v>6362</v>
      </c>
      <c r="AB355" s="32">
        <f>5634+1192+104.5</f>
        <v>6930.5</v>
      </c>
      <c r="AC355" s="32"/>
      <c r="AD355" s="32"/>
      <c r="AE355" s="32">
        <f t="shared" si="79"/>
        <v>6930.5</v>
      </c>
      <c r="AF355" s="12"/>
      <c r="AG355" s="12"/>
      <c r="AH355" s="12"/>
      <c r="AI355" s="12">
        <f t="shared" si="76"/>
        <v>6930.5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31"/>
      <c r="D356" s="32"/>
      <c r="E356" s="32"/>
      <c r="F356" s="32"/>
      <c r="G356" s="32">
        <f t="shared" si="71"/>
        <v>0</v>
      </c>
      <c r="H356" s="12"/>
      <c r="I356" s="12"/>
      <c r="J356" s="12"/>
      <c r="K356" s="12">
        <f t="shared" si="72"/>
        <v>0</v>
      </c>
      <c r="M356" s="10">
        <v>15</v>
      </c>
      <c r="N356" s="30"/>
      <c r="O356" s="31"/>
      <c r="P356" s="32"/>
      <c r="Q356" s="32"/>
      <c r="R356" s="32"/>
      <c r="S356" s="32">
        <f t="shared" si="73"/>
        <v>0</v>
      </c>
      <c r="T356" s="12"/>
      <c r="U356" s="12"/>
      <c r="V356" s="12"/>
      <c r="W356" s="12">
        <f t="shared" si="74"/>
        <v>0</v>
      </c>
      <c r="Y356" s="10">
        <v>15</v>
      </c>
      <c r="Z356" s="30">
        <v>45910</v>
      </c>
      <c r="AA356" s="31">
        <f t="shared" si="78"/>
        <v>6363</v>
      </c>
      <c r="AB356" s="32">
        <f>626+596+832+19</f>
        <v>2073</v>
      </c>
      <c r="AC356" s="32"/>
      <c r="AD356" s="32"/>
      <c r="AE356" s="32">
        <f t="shared" si="79"/>
        <v>2073</v>
      </c>
      <c r="AF356" s="12"/>
      <c r="AG356" s="12"/>
      <c r="AH356" s="12"/>
      <c r="AI356" s="12">
        <f t="shared" si="76"/>
        <v>2073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31"/>
      <c r="D357" s="32"/>
      <c r="E357" s="32"/>
      <c r="F357" s="32"/>
      <c r="G357" s="32">
        <f t="shared" si="71"/>
        <v>0</v>
      </c>
      <c r="H357" s="12"/>
      <c r="I357" s="12"/>
      <c r="J357" s="12"/>
      <c r="K357" s="12">
        <f t="shared" si="72"/>
        <v>0</v>
      </c>
      <c r="M357" s="10">
        <v>16</v>
      </c>
      <c r="N357" s="30"/>
      <c r="O357" s="31"/>
      <c r="P357" s="32"/>
      <c r="Q357" s="32"/>
      <c r="R357" s="32"/>
      <c r="S357" s="32">
        <f t="shared" si="73"/>
        <v>0</v>
      </c>
      <c r="T357" s="12"/>
      <c r="U357" s="12"/>
      <c r="V357" s="12"/>
      <c r="W357" s="12">
        <f t="shared" si="74"/>
        <v>0</v>
      </c>
      <c r="Y357" s="10">
        <v>16</v>
      </c>
      <c r="Z357" s="30">
        <v>45910</v>
      </c>
      <c r="AA357" s="31">
        <f t="shared" si="78"/>
        <v>6364</v>
      </c>
      <c r="AB357" s="32">
        <f>229</f>
        <v>229</v>
      </c>
      <c r="AC357" s="32"/>
      <c r="AD357" s="32"/>
      <c r="AE357" s="32">
        <f t="shared" si="79"/>
        <v>229</v>
      </c>
      <c r="AF357" s="12"/>
      <c r="AG357" s="12"/>
      <c r="AH357" s="12"/>
      <c r="AI357" s="12">
        <f t="shared" si="76"/>
        <v>229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31"/>
      <c r="D358" s="32"/>
      <c r="E358" s="32"/>
      <c r="F358" s="32"/>
      <c r="G358" s="32">
        <f t="shared" si="71"/>
        <v>0</v>
      </c>
      <c r="H358" s="12"/>
      <c r="I358" s="12"/>
      <c r="J358" s="12"/>
      <c r="K358" s="12">
        <f t="shared" si="72"/>
        <v>0</v>
      </c>
      <c r="M358" s="10">
        <v>17</v>
      </c>
      <c r="N358" s="30"/>
      <c r="O358" s="11"/>
      <c r="P358" s="35"/>
      <c r="Q358" s="32"/>
      <c r="R358" s="32"/>
      <c r="S358" s="32">
        <f t="shared" si="73"/>
        <v>0</v>
      </c>
      <c r="T358" s="12"/>
      <c r="U358" s="12"/>
      <c r="V358" s="12"/>
      <c r="W358" s="12">
        <f t="shared" si="74"/>
        <v>0</v>
      </c>
      <c r="Y358" s="10">
        <v>17</v>
      </c>
      <c r="Z358" s="30"/>
      <c r="AA358" s="11" t="s">
        <v>28</v>
      </c>
      <c r="AB358" s="35"/>
      <c r="AC358" s="32"/>
      <c r="AD358" s="32"/>
      <c r="AE358" s="32">
        <f t="shared" si="79"/>
        <v>0</v>
      </c>
      <c r="AF358" s="12"/>
      <c r="AG358" s="12"/>
      <c r="AH358" s="12"/>
      <c r="AI358" s="12">
        <f t="shared" si="76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31"/>
      <c r="D359" s="32"/>
      <c r="E359" s="32"/>
      <c r="F359" s="32"/>
      <c r="G359" s="32">
        <f t="shared" si="71"/>
        <v>0</v>
      </c>
      <c r="H359" s="12"/>
      <c r="I359" s="12"/>
      <c r="J359" s="12"/>
      <c r="K359" s="12">
        <f t="shared" si="72"/>
        <v>0</v>
      </c>
      <c r="M359" s="10">
        <v>18</v>
      </c>
      <c r="N359" s="30"/>
      <c r="O359" s="31"/>
      <c r="P359" s="32"/>
      <c r="Q359" s="32"/>
      <c r="R359" s="32"/>
      <c r="S359" s="32">
        <f t="shared" si="73"/>
        <v>0</v>
      </c>
      <c r="T359" s="12"/>
      <c r="U359" s="12"/>
      <c r="V359" s="12"/>
      <c r="W359" s="12">
        <f t="shared" si="74"/>
        <v>0</v>
      </c>
      <c r="Y359" s="10">
        <v>18</v>
      </c>
      <c r="Z359" s="30"/>
      <c r="AA359" s="31"/>
      <c r="AB359" s="32"/>
      <c r="AC359" s="32"/>
      <c r="AD359" s="32"/>
      <c r="AE359" s="32">
        <f t="shared" si="79"/>
        <v>0</v>
      </c>
      <c r="AF359" s="12"/>
      <c r="AG359" s="12"/>
      <c r="AH359" s="12"/>
      <c r="AI359" s="12">
        <f t="shared" si="76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31"/>
      <c r="D360" s="32"/>
      <c r="E360" s="32"/>
      <c r="F360" s="32"/>
      <c r="G360" s="32">
        <f t="shared" si="71"/>
        <v>0</v>
      </c>
      <c r="H360" s="12"/>
      <c r="I360" s="12"/>
      <c r="J360" s="12"/>
      <c r="K360" s="12">
        <f t="shared" si="72"/>
        <v>0</v>
      </c>
      <c r="M360" s="10">
        <v>19</v>
      </c>
      <c r="N360" s="30"/>
      <c r="O360" s="31"/>
      <c r="P360" s="32"/>
      <c r="Q360" s="32"/>
      <c r="R360" s="32"/>
      <c r="S360" s="32">
        <f t="shared" si="73"/>
        <v>0</v>
      </c>
      <c r="T360" s="12"/>
      <c r="U360" s="12"/>
      <c r="V360" s="12"/>
      <c r="W360" s="12">
        <f t="shared" si="74"/>
        <v>0</v>
      </c>
      <c r="Y360" s="10">
        <v>19</v>
      </c>
      <c r="Z360" s="30"/>
      <c r="AA360" s="31"/>
      <c r="AB360" s="32"/>
      <c r="AC360" s="32"/>
      <c r="AD360" s="32"/>
      <c r="AE360" s="32">
        <f t="shared" si="79"/>
        <v>0</v>
      </c>
      <c r="AF360" s="12"/>
      <c r="AG360" s="12"/>
      <c r="AH360" s="12"/>
      <c r="AI360" s="12">
        <f t="shared" si="76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31"/>
      <c r="D361" s="32"/>
      <c r="E361" s="32"/>
      <c r="F361" s="32"/>
      <c r="G361" s="32">
        <f t="shared" si="71"/>
        <v>0</v>
      </c>
      <c r="H361" s="12"/>
      <c r="I361" s="12"/>
      <c r="J361" s="12"/>
      <c r="K361" s="12">
        <f t="shared" si="72"/>
        <v>0</v>
      </c>
      <c r="M361" s="10">
        <v>20</v>
      </c>
      <c r="N361" s="30"/>
      <c r="O361" s="31"/>
      <c r="P361" s="32"/>
      <c r="Q361" s="32"/>
      <c r="R361" s="32"/>
      <c r="S361" s="32">
        <f t="shared" si="73"/>
        <v>0</v>
      </c>
      <c r="T361" s="12"/>
      <c r="U361" s="12"/>
      <c r="V361" s="12"/>
      <c r="W361" s="12">
        <f t="shared" si="74"/>
        <v>0</v>
      </c>
      <c r="Y361" s="10">
        <v>20</v>
      </c>
      <c r="Z361" s="30"/>
      <c r="AA361" s="31"/>
      <c r="AB361" s="32"/>
      <c r="AC361" s="32"/>
      <c r="AD361" s="32"/>
      <c r="AE361" s="32">
        <f t="shared" si="79"/>
        <v>0</v>
      </c>
      <c r="AF361" s="12"/>
      <c r="AG361" s="12"/>
      <c r="AH361" s="12"/>
      <c r="AI361" s="12">
        <f t="shared" si="76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31"/>
      <c r="D362" s="32"/>
      <c r="E362" s="32"/>
      <c r="F362" s="32"/>
      <c r="G362" s="32">
        <f t="shared" si="71"/>
        <v>0</v>
      </c>
      <c r="H362" s="10"/>
      <c r="I362" s="10"/>
      <c r="J362" s="10"/>
      <c r="K362" s="12">
        <f t="shared" si="72"/>
        <v>0</v>
      </c>
      <c r="M362" s="10">
        <v>21</v>
      </c>
      <c r="N362" s="30"/>
      <c r="O362" s="31"/>
      <c r="P362" s="46"/>
      <c r="Q362" s="31"/>
      <c r="R362" s="31"/>
      <c r="S362" s="32">
        <f t="shared" si="73"/>
        <v>0</v>
      </c>
      <c r="T362" s="10"/>
      <c r="U362" s="10"/>
      <c r="V362" s="10"/>
      <c r="W362" s="12">
        <f t="shared" si="74"/>
        <v>0</v>
      </c>
      <c r="Y362" s="10">
        <v>21</v>
      </c>
      <c r="Z362" s="30"/>
      <c r="AA362" s="31"/>
      <c r="AB362" s="46"/>
      <c r="AC362" s="31"/>
      <c r="AD362" s="31"/>
      <c r="AE362" s="32">
        <f t="shared" si="79"/>
        <v>0</v>
      </c>
      <c r="AF362" s="10"/>
      <c r="AG362" s="10"/>
      <c r="AH362" s="10"/>
      <c r="AI362" s="12">
        <f t="shared" si="76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31"/>
      <c r="D363" s="32"/>
      <c r="E363" s="32"/>
      <c r="F363" s="32"/>
      <c r="G363" s="32">
        <f t="shared" si="71"/>
        <v>0</v>
      </c>
      <c r="H363" s="10"/>
      <c r="I363" s="10"/>
      <c r="J363" s="10"/>
      <c r="K363" s="12">
        <f t="shared" si="72"/>
        <v>0</v>
      </c>
      <c r="M363" s="10">
        <v>22</v>
      </c>
      <c r="N363" s="30"/>
      <c r="O363" s="31"/>
      <c r="P363" s="45"/>
      <c r="Q363" s="31"/>
      <c r="R363" s="31"/>
      <c r="S363" s="32">
        <f t="shared" si="73"/>
        <v>0</v>
      </c>
      <c r="T363" s="10"/>
      <c r="U363" s="10"/>
      <c r="V363" s="10"/>
      <c r="W363" s="12">
        <f t="shared" si="74"/>
        <v>0</v>
      </c>
      <c r="Y363" s="10">
        <v>22</v>
      </c>
      <c r="Z363" s="30"/>
      <c r="AA363" s="31"/>
      <c r="AB363" s="45"/>
      <c r="AC363" s="31"/>
      <c r="AD363" s="31"/>
      <c r="AE363" s="32">
        <f t="shared" si="79"/>
        <v>0</v>
      </c>
      <c r="AF363" s="10"/>
      <c r="AG363" s="10"/>
      <c r="AH363" s="10"/>
      <c r="AI363" s="12">
        <f t="shared" si="76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31"/>
      <c r="D364" s="32"/>
      <c r="E364" s="32"/>
      <c r="F364" s="32"/>
      <c r="G364" s="32">
        <f t="shared" si="71"/>
        <v>0</v>
      </c>
      <c r="H364" s="10"/>
      <c r="I364" s="10"/>
      <c r="J364" s="12"/>
      <c r="K364" s="12">
        <f t="shared" si="72"/>
        <v>0</v>
      </c>
      <c r="M364" s="10">
        <v>23</v>
      </c>
      <c r="N364" s="30"/>
      <c r="O364" s="31"/>
      <c r="P364" s="47"/>
      <c r="Q364" s="31"/>
      <c r="S364" s="32">
        <f t="shared" si="73"/>
        <v>0</v>
      </c>
      <c r="T364" s="10"/>
      <c r="U364" s="10"/>
      <c r="V364" s="10"/>
      <c r="W364" s="12">
        <f t="shared" si="74"/>
        <v>0</v>
      </c>
      <c r="Y364" s="10">
        <v>23</v>
      </c>
      <c r="Z364" s="30"/>
      <c r="AA364" s="31"/>
      <c r="AB364" s="47"/>
      <c r="AE364" s="32">
        <f t="shared" si="79"/>
        <v>0</v>
      </c>
      <c r="AF364" s="10"/>
      <c r="AG364" s="10"/>
      <c r="AH364" s="10"/>
      <c r="AI364" s="12">
        <f t="shared" si="76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71"/>
        <v>0</v>
      </c>
      <c r="H365" s="10"/>
      <c r="I365" s="10"/>
      <c r="J365" s="10"/>
      <c r="K365" s="12">
        <f t="shared" si="72"/>
        <v>0</v>
      </c>
      <c r="M365" s="10">
        <v>24</v>
      </c>
      <c r="N365" s="30"/>
      <c r="O365" s="31"/>
      <c r="P365" s="47"/>
      <c r="Q365" s="31"/>
      <c r="R365" s="31"/>
      <c r="S365" s="32">
        <f t="shared" si="73"/>
        <v>0</v>
      </c>
      <c r="T365" s="10"/>
      <c r="U365" s="10"/>
      <c r="V365" s="10"/>
      <c r="W365" s="12">
        <f t="shared" si="74"/>
        <v>0</v>
      </c>
      <c r="Y365" s="10">
        <v>24</v>
      </c>
      <c r="Z365" s="30"/>
      <c r="AA365" s="31"/>
      <c r="AB365" s="47"/>
      <c r="AC365" s="31"/>
      <c r="AD365" s="31"/>
      <c r="AE365" s="32">
        <f t="shared" si="79"/>
        <v>0</v>
      </c>
      <c r="AF365" s="10"/>
      <c r="AG365" s="10"/>
      <c r="AH365" s="10"/>
      <c r="AI365" s="12">
        <f t="shared" si="76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71"/>
        <v>0</v>
      </c>
      <c r="H366" s="10"/>
      <c r="I366" s="10"/>
      <c r="J366" s="10"/>
      <c r="K366" s="12">
        <f t="shared" si="72"/>
        <v>0</v>
      </c>
      <c r="M366" s="10">
        <v>25</v>
      </c>
      <c r="N366" s="30"/>
      <c r="O366" s="31"/>
      <c r="P366" s="47"/>
      <c r="Q366" s="31"/>
      <c r="R366" s="31"/>
      <c r="S366" s="32">
        <f t="shared" si="73"/>
        <v>0</v>
      </c>
      <c r="T366" s="10"/>
      <c r="U366" s="10"/>
      <c r="V366" s="10"/>
      <c r="W366" s="12">
        <f t="shared" si="74"/>
        <v>0</v>
      </c>
      <c r="Y366" s="10">
        <v>25</v>
      </c>
      <c r="Z366" s="30"/>
      <c r="AA366" s="31"/>
      <c r="AB366" s="47"/>
      <c r="AC366" s="31"/>
      <c r="AD366" s="31"/>
      <c r="AE366" s="32">
        <f t="shared" si="79"/>
        <v>0</v>
      </c>
      <c r="AF366" s="10"/>
      <c r="AG366" s="10"/>
      <c r="AH366" s="10"/>
      <c r="AI366" s="12">
        <f t="shared" si="76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31"/>
      <c r="D367" s="32"/>
      <c r="E367" s="32"/>
      <c r="F367" s="32"/>
      <c r="G367" s="32">
        <f t="shared" si="71"/>
        <v>0</v>
      </c>
      <c r="H367" s="10"/>
      <c r="I367" s="10"/>
      <c r="J367" s="10"/>
      <c r="K367" s="12">
        <f t="shared" si="72"/>
        <v>0</v>
      </c>
      <c r="M367" s="10">
        <v>26</v>
      </c>
      <c r="N367" s="30"/>
      <c r="O367" s="31"/>
      <c r="P367" s="47"/>
      <c r="Q367" s="31"/>
      <c r="R367" s="31"/>
      <c r="S367" s="32">
        <f t="shared" si="73"/>
        <v>0</v>
      </c>
      <c r="T367" s="10"/>
      <c r="U367" s="10"/>
      <c r="V367" s="10"/>
      <c r="W367" s="12">
        <f t="shared" si="74"/>
        <v>0</v>
      </c>
      <c r="Y367" s="10">
        <v>26</v>
      </c>
      <c r="Z367" s="30"/>
      <c r="AA367" s="31"/>
      <c r="AB367" s="47"/>
      <c r="AC367" s="31"/>
      <c r="AD367" s="31"/>
      <c r="AE367" s="32">
        <f t="shared" si="79"/>
        <v>0</v>
      </c>
      <c r="AF367" s="10"/>
      <c r="AG367" s="10"/>
      <c r="AH367" s="10"/>
      <c r="AI367" s="12">
        <f t="shared" si="76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31"/>
      <c r="D368" s="32"/>
      <c r="E368" s="32"/>
      <c r="F368" s="32"/>
      <c r="G368" s="32">
        <f t="shared" si="71"/>
        <v>0</v>
      </c>
      <c r="H368" s="10"/>
      <c r="I368" s="10"/>
      <c r="J368" s="10"/>
      <c r="K368" s="12">
        <f t="shared" si="72"/>
        <v>0</v>
      </c>
      <c r="M368" s="10">
        <v>27</v>
      </c>
      <c r="N368" s="30"/>
      <c r="O368" s="31"/>
      <c r="P368" s="47"/>
      <c r="Q368" s="31"/>
      <c r="R368" s="31"/>
      <c r="S368" s="32">
        <f t="shared" si="73"/>
        <v>0</v>
      </c>
      <c r="T368" s="10"/>
      <c r="U368" s="10"/>
      <c r="V368" s="10"/>
      <c r="W368" s="12">
        <f t="shared" si="74"/>
        <v>0</v>
      </c>
      <c r="Y368" s="10">
        <v>27</v>
      </c>
      <c r="Z368" s="30"/>
      <c r="AA368" s="31"/>
      <c r="AB368" s="47"/>
      <c r="AC368" s="31"/>
      <c r="AD368" s="31"/>
      <c r="AE368" s="32">
        <f t="shared" si="79"/>
        <v>0</v>
      </c>
      <c r="AF368" s="10"/>
      <c r="AG368" s="10"/>
      <c r="AH368" s="10"/>
      <c r="AI368" s="12">
        <f t="shared" si="76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71"/>
        <v>0</v>
      </c>
      <c r="H369" s="10"/>
      <c r="I369" s="10"/>
      <c r="J369" s="10"/>
      <c r="K369" s="12">
        <f t="shared" si="72"/>
        <v>0</v>
      </c>
      <c r="M369" s="10">
        <v>28</v>
      </c>
      <c r="N369" s="30"/>
      <c r="O369" s="31"/>
      <c r="P369" s="47"/>
      <c r="Q369" s="31"/>
      <c r="R369" s="31"/>
      <c r="S369" s="32">
        <f t="shared" si="73"/>
        <v>0</v>
      </c>
      <c r="T369" s="10"/>
      <c r="U369" s="10"/>
      <c r="V369" s="10"/>
      <c r="W369" s="12">
        <f t="shared" si="74"/>
        <v>0</v>
      </c>
      <c r="Y369" s="10">
        <v>28</v>
      </c>
      <c r="Z369" s="30"/>
      <c r="AA369" s="31"/>
      <c r="AB369" s="47"/>
      <c r="AC369" s="31"/>
      <c r="AD369" s="31"/>
      <c r="AE369" s="32">
        <f t="shared" si="79"/>
        <v>0</v>
      </c>
      <c r="AF369" s="10"/>
      <c r="AG369" s="10"/>
      <c r="AH369" s="10"/>
      <c r="AI369" s="12">
        <f t="shared" si="76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71"/>
        <v>0</v>
      </c>
      <c r="H370" s="10"/>
      <c r="I370" s="10"/>
      <c r="J370" s="10"/>
      <c r="K370" s="12">
        <f t="shared" si="72"/>
        <v>0</v>
      </c>
      <c r="M370" s="10">
        <v>29</v>
      </c>
      <c r="N370" s="30"/>
      <c r="O370" s="31"/>
      <c r="P370" s="47"/>
      <c r="Q370" s="31"/>
      <c r="R370" s="31"/>
      <c r="S370" s="32">
        <f t="shared" si="73"/>
        <v>0</v>
      </c>
      <c r="T370" s="10"/>
      <c r="U370" s="10"/>
      <c r="V370" s="10"/>
      <c r="W370" s="12">
        <f t="shared" si="74"/>
        <v>0</v>
      </c>
      <c r="Y370" s="10">
        <v>29</v>
      </c>
      <c r="Z370" s="30"/>
      <c r="AA370" s="31"/>
      <c r="AB370" s="47"/>
      <c r="AC370" s="31"/>
      <c r="AD370" s="31"/>
      <c r="AE370" s="32">
        <f t="shared" si="79"/>
        <v>0</v>
      </c>
      <c r="AF370" s="10"/>
      <c r="AG370" s="10"/>
      <c r="AH370" s="10"/>
      <c r="AI370" s="12">
        <f t="shared" si="76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11"/>
      <c r="D371" s="32"/>
      <c r="E371" s="32"/>
      <c r="F371" s="32"/>
      <c r="G371" s="32">
        <f t="shared" si="71"/>
        <v>0</v>
      </c>
      <c r="H371" s="10"/>
      <c r="I371" s="10"/>
      <c r="J371" s="10"/>
      <c r="K371" s="12">
        <f t="shared" si="72"/>
        <v>0</v>
      </c>
      <c r="M371" s="10">
        <v>30</v>
      </c>
      <c r="N371" s="30"/>
      <c r="O371" s="31"/>
      <c r="P371" s="47"/>
      <c r="Q371" s="31"/>
      <c r="R371" s="31"/>
      <c r="S371" s="32">
        <f t="shared" si="73"/>
        <v>0</v>
      </c>
      <c r="T371" s="10"/>
      <c r="U371" s="10"/>
      <c r="V371" s="10"/>
      <c r="W371" s="12">
        <f t="shared" si="74"/>
        <v>0</v>
      </c>
      <c r="Y371" s="10">
        <v>30</v>
      </c>
      <c r="Z371" s="30"/>
      <c r="AB371" s="47"/>
      <c r="AC371" s="31"/>
      <c r="AD371" s="31"/>
      <c r="AE371" s="32">
        <f t="shared" si="79"/>
        <v>0</v>
      </c>
      <c r="AF371" s="10"/>
      <c r="AG371" s="10"/>
      <c r="AH371" s="10"/>
      <c r="AI371" s="12">
        <f t="shared" si="76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71"/>
        <v>0</v>
      </c>
      <c r="H372" s="10"/>
      <c r="I372" s="10"/>
      <c r="J372" s="10"/>
      <c r="K372" s="12">
        <f t="shared" si="72"/>
        <v>0</v>
      </c>
      <c r="M372" s="10">
        <v>31</v>
      </c>
      <c r="N372" s="30"/>
      <c r="O372" s="31"/>
      <c r="P372" s="47"/>
      <c r="Q372" s="31"/>
      <c r="R372" s="31"/>
      <c r="S372" s="32">
        <f t="shared" si="73"/>
        <v>0</v>
      </c>
      <c r="T372" s="10"/>
      <c r="U372" s="10"/>
      <c r="V372" s="10"/>
      <c r="W372" s="12">
        <f t="shared" si="74"/>
        <v>0</v>
      </c>
      <c r="Y372" s="10">
        <v>31</v>
      </c>
      <c r="Z372" s="30"/>
      <c r="AB372" s="47"/>
      <c r="AC372" s="31"/>
      <c r="AD372" s="31"/>
      <c r="AE372" s="32">
        <f t="shared" si="79"/>
        <v>0</v>
      </c>
      <c r="AF372" s="10"/>
      <c r="AG372" s="10"/>
      <c r="AH372" s="10"/>
      <c r="AI372" s="12">
        <f t="shared" si="76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71"/>
        <v>0</v>
      </c>
      <c r="H373" s="10"/>
      <c r="I373" s="10"/>
      <c r="J373" s="10"/>
      <c r="K373" s="12">
        <f t="shared" si="72"/>
        <v>0</v>
      </c>
      <c r="M373" s="10">
        <v>32</v>
      </c>
      <c r="N373" s="30"/>
      <c r="O373" s="31"/>
      <c r="P373" s="47"/>
      <c r="Q373" s="31"/>
      <c r="R373" s="31"/>
      <c r="S373" s="32">
        <f t="shared" si="73"/>
        <v>0</v>
      </c>
      <c r="T373" s="10"/>
      <c r="U373" s="10"/>
      <c r="V373" s="10"/>
      <c r="W373" s="12">
        <f t="shared" si="74"/>
        <v>0</v>
      </c>
      <c r="Y373" s="10">
        <v>32</v>
      </c>
      <c r="Z373" s="30"/>
      <c r="AA373" s="31"/>
      <c r="AB373" s="47"/>
      <c r="AC373" s="31"/>
      <c r="AD373" s="31"/>
      <c r="AE373" s="32">
        <f t="shared" si="79"/>
        <v>0</v>
      </c>
      <c r="AF373" s="10"/>
      <c r="AG373" s="10"/>
      <c r="AH373" s="10"/>
      <c r="AI373" s="12">
        <f t="shared" si="76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71"/>
        <v>0</v>
      </c>
      <c r="H374" s="10"/>
      <c r="I374" s="10"/>
      <c r="J374" s="10"/>
      <c r="K374" s="12">
        <f t="shared" si="72"/>
        <v>0</v>
      </c>
      <c r="M374" s="10">
        <v>33</v>
      </c>
      <c r="N374" s="30"/>
      <c r="O374" s="31"/>
      <c r="P374" s="47"/>
      <c r="Q374" s="31"/>
      <c r="R374" s="31"/>
      <c r="S374" s="32">
        <f t="shared" si="73"/>
        <v>0</v>
      </c>
      <c r="T374" s="10"/>
      <c r="U374" s="10"/>
      <c r="V374" s="10"/>
      <c r="W374" s="12">
        <f t="shared" si="74"/>
        <v>0</v>
      </c>
      <c r="Y374" s="10">
        <v>33</v>
      </c>
      <c r="Z374" s="30"/>
      <c r="AA374" s="31"/>
      <c r="AB374" s="47"/>
      <c r="AC374" s="31"/>
      <c r="AD374" s="31"/>
      <c r="AE374" s="32">
        <f t="shared" si="79"/>
        <v>0</v>
      </c>
      <c r="AF374" s="10"/>
      <c r="AG374" s="10"/>
      <c r="AH374" s="10"/>
      <c r="AI374" s="12">
        <f t="shared" si="76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71"/>
        <v>0</v>
      </c>
      <c r="H375" s="10"/>
      <c r="I375" s="10"/>
      <c r="J375" s="10"/>
      <c r="K375" s="12">
        <f t="shared" si="72"/>
        <v>0</v>
      </c>
      <c r="M375" s="10">
        <v>34</v>
      </c>
      <c r="N375" s="30"/>
      <c r="O375" s="31"/>
      <c r="P375" s="47"/>
      <c r="Q375" s="31"/>
      <c r="R375" s="31"/>
      <c r="S375" s="32">
        <f t="shared" si="73"/>
        <v>0</v>
      </c>
      <c r="T375" s="10"/>
      <c r="U375" s="10"/>
      <c r="V375" s="10"/>
      <c r="W375" s="12">
        <f t="shared" si="74"/>
        <v>0</v>
      </c>
      <c r="Y375" s="10">
        <v>34</v>
      </c>
      <c r="Z375" s="30"/>
      <c r="AB375" s="47"/>
      <c r="AC375" s="31"/>
      <c r="AD375" s="31"/>
      <c r="AE375" s="32">
        <f t="shared" si="79"/>
        <v>0</v>
      </c>
      <c r="AF375" s="10"/>
      <c r="AG375" s="10"/>
      <c r="AH375" s="10"/>
      <c r="AI375" s="12">
        <f t="shared" si="76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73"/>
        <v>0</v>
      </c>
      <c r="T376" s="10"/>
      <c r="U376" s="10"/>
      <c r="V376" s="10"/>
      <c r="W376" s="12">
        <f t="shared" si="74"/>
        <v>0</v>
      </c>
      <c r="Y376" s="10">
        <v>35</v>
      </c>
      <c r="Z376" s="30"/>
      <c r="AA376" s="31"/>
      <c r="AB376" s="47"/>
      <c r="AC376" s="31"/>
      <c r="AD376" s="31"/>
      <c r="AE376" s="32">
        <f t="shared" si="79"/>
        <v>0</v>
      </c>
      <c r="AF376" s="10"/>
      <c r="AG376" s="10"/>
      <c r="AH376" s="10"/>
      <c r="AI376" s="12">
        <f t="shared" si="7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73"/>
        <v>0</v>
      </c>
      <c r="T377" s="10"/>
      <c r="U377" s="10"/>
      <c r="V377" s="10"/>
      <c r="W377" s="12">
        <f t="shared" si="74"/>
        <v>0</v>
      </c>
      <c r="Y377" s="10">
        <v>36</v>
      </c>
      <c r="Z377" s="30"/>
      <c r="AA377" s="31"/>
      <c r="AB377" s="47"/>
      <c r="AC377" s="31"/>
      <c r="AD377" s="31"/>
      <c r="AE377" s="32">
        <f t="shared" si="79"/>
        <v>0</v>
      </c>
      <c r="AF377" s="10"/>
      <c r="AG377" s="10"/>
      <c r="AH377" s="10"/>
      <c r="AI377" s="12">
        <f t="shared" si="7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73"/>
        <v>0</v>
      </c>
      <c r="T378" s="10"/>
      <c r="U378" s="10"/>
      <c r="V378" s="10"/>
      <c r="W378" s="12">
        <f t="shared" si="74"/>
        <v>0</v>
      </c>
      <c r="Y378" s="10">
        <v>37</v>
      </c>
      <c r="Z378" s="30"/>
      <c r="AA378" s="31"/>
      <c r="AB378" s="47"/>
      <c r="AC378" s="31"/>
      <c r="AD378" s="31"/>
      <c r="AE378" s="32">
        <f t="shared" si="79"/>
        <v>0</v>
      </c>
      <c r="AF378" s="10"/>
      <c r="AG378" s="10"/>
      <c r="AH378" s="10"/>
      <c r="AI378" s="12">
        <f t="shared" si="7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73"/>
        <v>0</v>
      </c>
      <c r="T379" s="10"/>
      <c r="U379" s="10"/>
      <c r="V379" s="10"/>
      <c r="W379" s="12">
        <f t="shared" si="74"/>
        <v>0</v>
      </c>
      <c r="Y379" s="10">
        <v>38</v>
      </c>
      <c r="Z379" s="30"/>
      <c r="AA379" s="31"/>
      <c r="AB379" s="47"/>
      <c r="AC379" s="31"/>
      <c r="AD379" s="31"/>
      <c r="AE379" s="32">
        <f t="shared" si="79"/>
        <v>0</v>
      </c>
      <c r="AF379" s="10"/>
      <c r="AG379" s="10"/>
      <c r="AH379" s="10"/>
      <c r="AI379" s="12">
        <f t="shared" si="7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73"/>
        <v>0</v>
      </c>
      <c r="T380" s="10"/>
      <c r="U380" s="10"/>
      <c r="V380" s="10"/>
      <c r="W380" s="12">
        <f t="shared" si="74"/>
        <v>0</v>
      </c>
      <c r="Y380" s="10">
        <v>39</v>
      </c>
      <c r="Z380" s="30"/>
      <c r="AA380" s="31"/>
      <c r="AB380" s="47"/>
      <c r="AC380" s="31"/>
      <c r="AD380" s="31"/>
      <c r="AE380" s="32">
        <f t="shared" si="79"/>
        <v>0</v>
      </c>
      <c r="AF380" s="10"/>
      <c r="AG380" s="10"/>
      <c r="AH380" s="10"/>
      <c r="AI380" s="12">
        <f t="shared" si="7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74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7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80">SUM(D382:E382)</f>
        <v>0</v>
      </c>
      <c r="H382" s="10"/>
      <c r="I382" s="10"/>
      <c r="J382" s="10"/>
      <c r="K382" s="12">
        <f t="shared" ref="K382" si="81">SUM(G382:J382)</f>
        <v>0</v>
      </c>
      <c r="M382" s="10"/>
      <c r="N382" s="30"/>
      <c r="O382" s="31"/>
      <c r="P382" s="47"/>
      <c r="Q382" s="31"/>
      <c r="R382" s="31"/>
      <c r="S382" s="32">
        <f t="shared" ref="S382" si="82">SUM(P382:Q382)</f>
        <v>0</v>
      </c>
      <c r="T382" s="10"/>
      <c r="U382" s="10"/>
      <c r="V382" s="10"/>
      <c r="W382" s="12">
        <f t="shared" si="74"/>
        <v>0</v>
      </c>
      <c r="Y382" s="10"/>
      <c r="Z382" s="30"/>
      <c r="AA382" s="31"/>
      <c r="AB382" s="47"/>
      <c r="AC382" s="31"/>
      <c r="AD382" s="31"/>
      <c r="AE382" s="32">
        <f t="shared" ref="AE382" si="83">SUM(AB382:AC382)</f>
        <v>0</v>
      </c>
      <c r="AF382" s="10"/>
      <c r="AG382" s="10"/>
      <c r="AH382" s="10"/>
      <c r="AI382" s="12">
        <f t="shared" si="7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74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7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128010</v>
      </c>
      <c r="E385" s="38">
        <f t="shared" ref="E385:F385" si="84">SUM(E342:E382)</f>
        <v>-1160</v>
      </c>
      <c r="F385" s="38">
        <f t="shared" si="84"/>
        <v>0</v>
      </c>
      <c r="G385" s="38">
        <f>SUM(G342:G384)</f>
        <v>126850</v>
      </c>
      <c r="H385" s="4"/>
      <c r="I385" s="39">
        <f>SUM(I342:I384)</f>
        <v>108</v>
      </c>
      <c r="J385" s="39">
        <f>SUM(J342:J384)</f>
        <v>0</v>
      </c>
      <c r="K385" s="40">
        <f>SUM(K342:K384)</f>
        <v>126958</v>
      </c>
      <c r="N385" s="57"/>
      <c r="O385" s="57"/>
      <c r="P385" s="38">
        <f>SUM(P342:P384)</f>
        <v>244121</v>
      </c>
      <c r="Q385" s="38">
        <f>SUM(Q342:Q366)</f>
        <v>-3591</v>
      </c>
      <c r="R385" s="38">
        <f>SUM(R342:R366)</f>
        <v>0</v>
      </c>
      <c r="S385" s="38">
        <f>SUM(S342:S384)</f>
        <v>240530</v>
      </c>
      <c r="T385" s="4"/>
      <c r="U385" s="41">
        <f>SUM(U342:U384)</f>
        <v>9351</v>
      </c>
      <c r="V385" s="41">
        <f>SUM(V342:V366)</f>
        <v>-546</v>
      </c>
      <c r="W385" s="42">
        <f>SUM(W342:W384)</f>
        <v>249335</v>
      </c>
      <c r="Z385" s="57"/>
      <c r="AA385" s="57"/>
      <c r="AB385" s="38">
        <f>SUM(AB342:AB384)</f>
        <v>165954</v>
      </c>
      <c r="AC385" s="38">
        <f>SUM(AC342:AC366)</f>
        <v>-372</v>
      </c>
      <c r="AD385" s="38">
        <f>SUM(AD342:AD366)</f>
        <v>0</v>
      </c>
      <c r="AE385" s="38">
        <f>SUM(AE342:AE384)</f>
        <v>165582</v>
      </c>
      <c r="AF385" s="4"/>
      <c r="AG385" s="41">
        <f>SUM(AG342:AG384)</f>
        <v>336</v>
      </c>
      <c r="AH385" s="41">
        <f>SUM(AH342:AH366)</f>
        <v>-5472</v>
      </c>
      <c r="AI385" s="42">
        <f>SUM(AI342:AI384)</f>
        <v>160446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8"/>
      <c r="C387" s="88"/>
      <c r="D387" s="88"/>
      <c r="E387" s="88"/>
      <c r="F387" s="88"/>
      <c r="G387" s="88"/>
      <c r="H387" s="62"/>
      <c r="I387" s="62"/>
      <c r="J387" s="62"/>
      <c r="K387" s="62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8"/>
      <c r="C388" s="88"/>
      <c r="D388" s="88"/>
      <c r="E388" s="88"/>
      <c r="F388" s="88"/>
      <c r="G388" s="88"/>
      <c r="H388" s="62"/>
      <c r="I388" s="62"/>
      <c r="J388" s="62"/>
      <c r="K388" s="62"/>
      <c r="M388" t="s">
        <v>29</v>
      </c>
      <c r="N388" s="57"/>
      <c r="O388" s="57"/>
      <c r="P388" s="57"/>
      <c r="Q388" s="57"/>
      <c r="R388" s="57"/>
      <c r="S388" s="57"/>
      <c r="Y388" t="s">
        <v>29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8"/>
      <c r="C389" s="88"/>
      <c r="D389" s="88"/>
      <c r="E389" s="88"/>
      <c r="F389" s="88"/>
      <c r="G389" s="88"/>
      <c r="H389" s="62"/>
      <c r="I389" s="62"/>
      <c r="J389" s="62"/>
      <c r="K389" s="62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8"/>
      <c r="C390" s="88"/>
      <c r="D390" s="88"/>
      <c r="E390" s="88"/>
      <c r="F390" s="88"/>
      <c r="G390" s="88"/>
      <c r="H390" s="62"/>
      <c r="I390" s="62"/>
      <c r="J390" s="62"/>
      <c r="K390" s="62"/>
      <c r="M390" s="4" t="s">
        <v>15</v>
      </c>
      <c r="N390" s="57"/>
      <c r="O390" s="57"/>
      <c r="P390" s="57"/>
      <c r="Q390" s="57"/>
      <c r="R390" s="57"/>
      <c r="S390" s="57"/>
      <c r="Y390" s="4" t="s">
        <v>15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8"/>
      <c r="C391" s="88"/>
      <c r="D391" s="88"/>
      <c r="E391" s="88"/>
      <c r="F391" s="88"/>
      <c r="G391" s="88"/>
      <c r="H391" s="62"/>
      <c r="I391" s="62"/>
      <c r="J391" s="62"/>
      <c r="K391" s="62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8"/>
      <c r="C392" s="88"/>
      <c r="D392" s="88"/>
      <c r="E392" s="88"/>
      <c r="F392" s="88"/>
      <c r="G392" s="88"/>
      <c r="H392" s="62"/>
      <c r="I392" s="88"/>
      <c r="J392" s="74"/>
      <c r="K392" s="62"/>
      <c r="M392" t="s">
        <v>39</v>
      </c>
      <c r="N392" s="57"/>
      <c r="O392" s="57"/>
      <c r="P392" s="57"/>
      <c r="Q392" s="57"/>
      <c r="R392" s="57"/>
      <c r="S392" s="57"/>
      <c r="U392" s="57" t="s">
        <v>16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16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8"/>
      <c r="C393" s="88"/>
      <c r="D393" s="88"/>
      <c r="E393" s="88"/>
      <c r="F393" s="88"/>
      <c r="G393" s="88"/>
      <c r="H393" s="62"/>
      <c r="I393" s="65"/>
      <c r="J393" s="65"/>
      <c r="K393" s="62"/>
      <c r="M393" s="21" t="s">
        <v>58</v>
      </c>
      <c r="N393" s="20"/>
      <c r="O393" s="57"/>
      <c r="P393" s="57"/>
      <c r="Q393" s="57"/>
      <c r="R393" s="57"/>
      <c r="S393" s="57"/>
      <c r="U393" s="22" t="s">
        <v>17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17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8"/>
      <c r="C394" s="88"/>
      <c r="D394" s="88"/>
      <c r="E394" s="88"/>
      <c r="F394" s="88"/>
      <c r="G394" s="88"/>
      <c r="H394" s="62"/>
      <c r="I394" s="62"/>
      <c r="J394" s="62"/>
      <c r="K394" s="62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8"/>
      <c r="D395" s="126"/>
      <c r="E395" s="126"/>
      <c r="F395" s="88"/>
      <c r="G395" s="88"/>
      <c r="H395" s="62"/>
      <c r="I395" s="126"/>
      <c r="J395" s="126"/>
      <c r="K395" s="125"/>
      <c r="N395" s="25"/>
      <c r="O395" s="26"/>
      <c r="P395" s="124" t="s">
        <v>18</v>
      </c>
      <c r="Q395" s="124"/>
      <c r="R395" s="97"/>
      <c r="S395" s="27"/>
      <c r="U395" s="122" t="s">
        <v>19</v>
      </c>
      <c r="V395" s="123"/>
      <c r="W395" s="120" t="s">
        <v>20</v>
      </c>
      <c r="Z395" s="25"/>
      <c r="AA395" s="26"/>
      <c r="AB395" s="124" t="s">
        <v>18</v>
      </c>
      <c r="AC395" s="124"/>
      <c r="AD395" s="97"/>
      <c r="AE395" s="27"/>
      <c r="AG395" s="122" t="s">
        <v>19</v>
      </c>
      <c r="AH395" s="123"/>
      <c r="AI395" s="120" t="s">
        <v>20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8"/>
      <c r="C396" s="88"/>
      <c r="D396" s="81"/>
      <c r="E396" s="82"/>
      <c r="F396" s="83"/>
      <c r="G396" s="83"/>
      <c r="H396" s="62"/>
      <c r="I396" s="87"/>
      <c r="J396" s="87"/>
      <c r="K396" s="125"/>
      <c r="N396" s="28" t="s">
        <v>21</v>
      </c>
      <c r="O396" s="28" t="s">
        <v>22</v>
      </c>
      <c r="P396" s="79" t="s">
        <v>23</v>
      </c>
      <c r="Q396" s="80" t="s">
        <v>24</v>
      </c>
      <c r="R396" s="80" t="s">
        <v>35</v>
      </c>
      <c r="S396" s="80" t="s">
        <v>25</v>
      </c>
      <c r="U396" s="29" t="s">
        <v>26</v>
      </c>
      <c r="V396" s="29" t="s">
        <v>27</v>
      </c>
      <c r="W396" s="121"/>
      <c r="Z396" s="28" t="s">
        <v>21</v>
      </c>
      <c r="AA396" s="28" t="s">
        <v>22</v>
      </c>
      <c r="AB396" s="79" t="s">
        <v>23</v>
      </c>
      <c r="AC396" s="80" t="s">
        <v>24</v>
      </c>
      <c r="AD396" s="80" t="s">
        <v>35</v>
      </c>
      <c r="AE396" s="80" t="s">
        <v>25</v>
      </c>
      <c r="AG396" s="29" t="s">
        <v>26</v>
      </c>
      <c r="AH396" s="29" t="s">
        <v>27</v>
      </c>
      <c r="AI396" s="121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8"/>
      <c r="D397" s="60"/>
      <c r="E397" s="60"/>
      <c r="F397" s="60"/>
      <c r="G397" s="60"/>
      <c r="H397" s="61"/>
      <c r="I397" s="61"/>
      <c r="J397" s="61"/>
      <c r="K397" s="61"/>
      <c r="M397" s="10">
        <v>1</v>
      </c>
      <c r="N397" s="30">
        <v>45940</v>
      </c>
      <c r="O397" s="31">
        <v>6269</v>
      </c>
      <c r="P397" s="32">
        <f>626*200+1175+29800+2290+1300</f>
        <v>159765</v>
      </c>
      <c r="Q397" s="32">
        <v>-2367</v>
      </c>
      <c r="R397" s="32"/>
      <c r="S397" s="32">
        <f>SUM(P397:Q397)</f>
        <v>157398</v>
      </c>
      <c r="T397" s="12"/>
      <c r="U397" s="12">
        <f>7104+156</f>
        <v>7260</v>
      </c>
      <c r="V397" s="12">
        <f>-120+-84*3+-84</f>
        <v>-456</v>
      </c>
      <c r="W397" s="12">
        <f>SUM(S397:V397)</f>
        <v>164202</v>
      </c>
      <c r="Y397" s="10">
        <v>1</v>
      </c>
      <c r="Z397" s="30">
        <v>45940</v>
      </c>
      <c r="AA397" s="31">
        <v>6365</v>
      </c>
      <c r="AB397" s="32">
        <f>67608+64368+3328</f>
        <v>135304</v>
      </c>
      <c r="AC397" s="32">
        <v>-1320</v>
      </c>
      <c r="AD397" s="32"/>
      <c r="AE397" s="32">
        <f>SUM(AB397:AC397)</f>
        <v>133984</v>
      </c>
      <c r="AF397" s="12"/>
      <c r="AG397" s="12"/>
      <c r="AH397" s="12"/>
      <c r="AI397" s="12">
        <f>SUM(AE397:AH397)</f>
        <v>133984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8"/>
      <c r="D398" s="60"/>
      <c r="E398" s="60"/>
      <c r="F398" s="60"/>
      <c r="G398" s="60"/>
      <c r="H398" s="61"/>
      <c r="I398" s="61"/>
      <c r="J398" s="61"/>
      <c r="K398" s="61"/>
      <c r="M398" s="10">
        <v>2</v>
      </c>
      <c r="N398" s="30">
        <v>45940</v>
      </c>
      <c r="O398" s="31">
        <f>O397+1</f>
        <v>6270</v>
      </c>
      <c r="P398" s="32">
        <f>1252+614+19</f>
        <v>1885</v>
      </c>
      <c r="Q398" s="32"/>
      <c r="R398" s="32"/>
      <c r="S398" s="32">
        <f t="shared" ref="S398:S435" si="85">SUM(P398:Q398)</f>
        <v>1885</v>
      </c>
      <c r="T398" s="12"/>
      <c r="U398" s="12">
        <v>2.25</v>
      </c>
      <c r="V398" s="12"/>
      <c r="W398" s="12">
        <f t="shared" ref="W398:W438" si="86">SUM(S398:V398)</f>
        <v>1887.25</v>
      </c>
      <c r="Y398" s="10">
        <v>2</v>
      </c>
      <c r="Z398" s="30">
        <v>45940</v>
      </c>
      <c r="AA398" s="31">
        <f>AA397+1</f>
        <v>6366</v>
      </c>
      <c r="AB398" s="32">
        <f>626*43+458</f>
        <v>27376</v>
      </c>
      <c r="AC398" s="32"/>
      <c r="AD398" s="32"/>
      <c r="AE398" s="32">
        <f t="shared" ref="AE398:AE406" si="87">SUM(AB398:AC398)</f>
        <v>27376</v>
      </c>
      <c r="AF398" s="12"/>
      <c r="AG398" s="12"/>
      <c r="AH398" s="12"/>
      <c r="AI398" s="12">
        <f t="shared" ref="AI398:AI438" si="88">SUM(AE398:AH398)</f>
        <v>27376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8"/>
      <c r="D399" s="60"/>
      <c r="E399" s="60"/>
      <c r="F399" s="60"/>
      <c r="G399" s="60"/>
      <c r="H399" s="61"/>
      <c r="I399" s="61"/>
      <c r="J399" s="61"/>
      <c r="K399" s="61"/>
      <c r="M399" s="10">
        <v>3</v>
      </c>
      <c r="N399" s="30">
        <v>45940</v>
      </c>
      <c r="O399" s="31">
        <f t="shared" ref="O399:O421" si="89">O398+1</f>
        <v>6271</v>
      </c>
      <c r="P399" s="32">
        <f>1878+596</f>
        <v>2474</v>
      </c>
      <c r="Q399" s="32"/>
      <c r="R399" s="32"/>
      <c r="S399" s="32">
        <f t="shared" si="85"/>
        <v>2474</v>
      </c>
      <c r="T399" s="12"/>
      <c r="U399" s="12"/>
      <c r="V399" s="12"/>
      <c r="W399" s="12">
        <f t="shared" si="86"/>
        <v>2474</v>
      </c>
      <c r="Y399" s="10">
        <v>3</v>
      </c>
      <c r="Z399" s="30">
        <v>45940</v>
      </c>
      <c r="AA399" s="31">
        <f t="shared" ref="AA399" si="90">AA398+1</f>
        <v>6367</v>
      </c>
      <c r="AB399" s="33">
        <f>7512</f>
        <v>7512</v>
      </c>
      <c r="AC399" s="33"/>
      <c r="AD399" s="32"/>
      <c r="AE399" s="32">
        <f t="shared" si="87"/>
        <v>7512</v>
      </c>
      <c r="AF399" s="12"/>
      <c r="AG399" s="12"/>
      <c r="AH399" s="12">
        <v>-1998</v>
      </c>
      <c r="AI399" s="12">
        <f t="shared" si="88"/>
        <v>5514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8"/>
      <c r="D400" s="60"/>
      <c r="E400" s="60"/>
      <c r="F400" s="60"/>
      <c r="G400" s="60"/>
      <c r="H400" s="61"/>
      <c r="I400" s="61"/>
      <c r="J400" s="61"/>
      <c r="K400" s="61"/>
      <c r="M400" s="10">
        <v>4</v>
      </c>
      <c r="N400" s="30">
        <v>45940</v>
      </c>
      <c r="O400" s="31">
        <f t="shared" si="89"/>
        <v>6272</v>
      </c>
      <c r="P400" s="32">
        <f>626+9.5</f>
        <v>635.5</v>
      </c>
      <c r="Q400" s="32"/>
      <c r="R400" s="32"/>
      <c r="S400" s="32">
        <f t="shared" si="85"/>
        <v>635.5</v>
      </c>
      <c r="T400" s="12"/>
      <c r="U400" s="12"/>
      <c r="V400" s="12"/>
      <c r="W400" s="12">
        <f t="shared" si="86"/>
        <v>635.5</v>
      </c>
      <c r="Y400" s="10">
        <v>4</v>
      </c>
      <c r="Z400" s="30"/>
      <c r="AA400" s="11" t="s">
        <v>28</v>
      </c>
      <c r="AB400" s="32"/>
      <c r="AC400" s="32"/>
      <c r="AD400" s="32"/>
      <c r="AE400" s="32">
        <f t="shared" si="87"/>
        <v>0</v>
      </c>
      <c r="AF400" s="12"/>
      <c r="AH400" s="12"/>
      <c r="AI400" s="12">
        <f t="shared" si="88"/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8"/>
      <c r="D401" s="60"/>
      <c r="E401" s="60"/>
      <c r="F401" s="60"/>
      <c r="G401" s="60"/>
      <c r="H401" s="61"/>
      <c r="I401" s="61"/>
      <c r="J401" s="61"/>
      <c r="K401" s="61"/>
      <c r="M401" s="10">
        <v>5</v>
      </c>
      <c r="N401" s="30">
        <v>45940</v>
      </c>
      <c r="O401" s="31">
        <f t="shared" si="89"/>
        <v>6273</v>
      </c>
      <c r="P401" s="32">
        <f>626*2+19</f>
        <v>1271</v>
      </c>
      <c r="Q401" s="32"/>
      <c r="R401" s="32"/>
      <c r="S401" s="32">
        <f t="shared" si="85"/>
        <v>1271</v>
      </c>
      <c r="T401" s="12"/>
      <c r="U401" s="12"/>
      <c r="V401" s="12"/>
      <c r="W401" s="12">
        <f t="shared" si="86"/>
        <v>1271</v>
      </c>
      <c r="Y401" s="10">
        <v>5</v>
      </c>
      <c r="Z401" s="30"/>
      <c r="AA401" s="31"/>
      <c r="AB401" s="32"/>
      <c r="AC401" s="32"/>
      <c r="AD401" s="32"/>
      <c r="AE401" s="32">
        <f t="shared" si="87"/>
        <v>0</v>
      </c>
      <c r="AF401" s="12"/>
      <c r="AG401" s="12"/>
      <c r="AH401" s="12"/>
      <c r="AI401" s="12">
        <f t="shared" si="8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8"/>
      <c r="D402" s="60"/>
      <c r="E402" s="60"/>
      <c r="F402" s="60"/>
      <c r="G402" s="60"/>
      <c r="H402" s="61"/>
      <c r="I402" s="61"/>
      <c r="J402" s="61"/>
      <c r="K402" s="61"/>
      <c r="M402" s="10">
        <v>6</v>
      </c>
      <c r="N402" s="30">
        <v>45940</v>
      </c>
      <c r="O402" s="31">
        <f t="shared" si="89"/>
        <v>6274</v>
      </c>
      <c r="P402" s="32">
        <f>626+9.5</f>
        <v>635.5</v>
      </c>
      <c r="Q402" s="32"/>
      <c r="R402" s="32"/>
      <c r="S402" s="32">
        <f t="shared" si="85"/>
        <v>635.5</v>
      </c>
      <c r="T402" s="12"/>
      <c r="U402" s="12"/>
      <c r="V402" s="10"/>
      <c r="W402" s="12">
        <f t="shared" si="86"/>
        <v>635.5</v>
      </c>
      <c r="Y402" s="10">
        <v>6</v>
      </c>
      <c r="Z402" s="30"/>
      <c r="AA402" s="31"/>
      <c r="AB402" s="32"/>
      <c r="AC402" s="32"/>
      <c r="AD402" s="32"/>
      <c r="AE402" s="32">
        <f t="shared" si="87"/>
        <v>0</v>
      </c>
      <c r="AF402" s="12"/>
      <c r="AG402" s="12"/>
      <c r="AH402" s="10"/>
      <c r="AI402" s="12">
        <f t="shared" si="8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M403" s="10">
        <v>7</v>
      </c>
      <c r="N403" s="30">
        <v>45940</v>
      </c>
      <c r="O403" s="31">
        <f t="shared" si="89"/>
        <v>6275</v>
      </c>
      <c r="P403" s="32">
        <f>1252+596+28.5</f>
        <v>1876.5</v>
      </c>
      <c r="Q403" s="32"/>
      <c r="R403" s="32"/>
      <c r="S403" s="32">
        <f t="shared" si="85"/>
        <v>1876.5</v>
      </c>
      <c r="T403" s="12"/>
      <c r="U403" s="12">
        <v>5</v>
      </c>
      <c r="V403" s="12"/>
      <c r="W403" s="12">
        <f t="shared" si="86"/>
        <v>1881.5</v>
      </c>
      <c r="Y403" s="10">
        <v>7</v>
      </c>
      <c r="Z403" s="30"/>
      <c r="AA403" s="31"/>
      <c r="AB403" s="32"/>
      <c r="AC403" s="32"/>
      <c r="AD403" s="32"/>
      <c r="AE403" s="32">
        <f t="shared" si="87"/>
        <v>0</v>
      </c>
      <c r="AF403" s="12"/>
      <c r="AG403" s="58"/>
      <c r="AH403" s="12"/>
      <c r="AI403" s="12">
        <f t="shared" si="8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8"/>
      <c r="D404" s="60"/>
      <c r="E404" s="60"/>
      <c r="F404" s="60"/>
      <c r="G404" s="60"/>
      <c r="H404" s="61"/>
      <c r="I404" s="61"/>
      <c r="J404" s="61"/>
      <c r="K404" s="61"/>
      <c r="M404" s="10">
        <v>8</v>
      </c>
      <c r="N404" s="30">
        <v>45940</v>
      </c>
      <c r="O404" s="31">
        <f t="shared" si="89"/>
        <v>6276</v>
      </c>
      <c r="P404" s="32">
        <f>3756+596+66.5</f>
        <v>4418.5</v>
      </c>
      <c r="Q404" s="32"/>
      <c r="R404" s="32"/>
      <c r="S404" s="32">
        <f t="shared" si="85"/>
        <v>4418.5</v>
      </c>
      <c r="T404" s="12"/>
      <c r="U404" s="12"/>
      <c r="V404" s="12"/>
      <c r="W404" s="12">
        <f t="shared" si="86"/>
        <v>4418.5</v>
      </c>
      <c r="Y404" s="10">
        <v>8</v>
      </c>
      <c r="Z404" s="30"/>
      <c r="AA404" s="31"/>
      <c r="AB404" s="32"/>
      <c r="AC404" s="32"/>
      <c r="AE404" s="32">
        <f t="shared" si="87"/>
        <v>0</v>
      </c>
      <c r="AF404" s="12"/>
      <c r="AG404" s="12"/>
      <c r="AH404" s="12"/>
      <c r="AI404" s="12">
        <f t="shared" si="8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8"/>
      <c r="D405" s="60"/>
      <c r="E405" s="60"/>
      <c r="F405" s="60"/>
      <c r="G405" s="60"/>
      <c r="H405" s="61"/>
      <c r="I405" s="61"/>
      <c r="J405" s="61"/>
      <c r="K405" s="61"/>
      <c r="M405" s="10">
        <v>9</v>
      </c>
      <c r="N405" s="30">
        <v>45940</v>
      </c>
      <c r="O405" s="31">
        <f t="shared" si="89"/>
        <v>6277</v>
      </c>
      <c r="P405" s="32">
        <f>1878+28.5</f>
        <v>1906.5</v>
      </c>
      <c r="Q405" s="32"/>
      <c r="R405" s="32"/>
      <c r="S405" s="32">
        <f t="shared" si="85"/>
        <v>1906.5</v>
      </c>
      <c r="T405" s="12"/>
      <c r="U405" s="12"/>
      <c r="V405" s="12"/>
      <c r="W405" s="12">
        <f t="shared" si="86"/>
        <v>1906.5</v>
      </c>
      <c r="Y405" s="10">
        <v>9</v>
      </c>
      <c r="Z405" s="30"/>
      <c r="AA405" s="31"/>
      <c r="AB405" s="95"/>
      <c r="AC405" s="32"/>
      <c r="AD405" s="32"/>
      <c r="AE405" s="32">
        <f t="shared" si="87"/>
        <v>0</v>
      </c>
      <c r="AF405" s="12"/>
      <c r="AH405" s="12"/>
      <c r="AI405" s="12">
        <f t="shared" si="8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8"/>
      <c r="D406" s="60"/>
      <c r="E406" s="60"/>
      <c r="F406" s="60"/>
      <c r="G406" s="60"/>
      <c r="H406" s="61"/>
      <c r="I406" s="61"/>
      <c r="J406" s="61"/>
      <c r="K406" s="61"/>
      <c r="M406" s="10">
        <v>10</v>
      </c>
      <c r="N406" s="30">
        <v>45940</v>
      </c>
      <c r="O406" s="31">
        <f t="shared" si="89"/>
        <v>6278</v>
      </c>
      <c r="P406" s="32">
        <f>1878+614+832+28.5</f>
        <v>3352.5</v>
      </c>
      <c r="Q406" s="32"/>
      <c r="R406" s="32"/>
      <c r="S406" s="32">
        <f t="shared" si="85"/>
        <v>3352.5</v>
      </c>
      <c r="T406" s="12"/>
      <c r="U406" s="12"/>
      <c r="V406" s="12"/>
      <c r="W406" s="12">
        <f t="shared" si="86"/>
        <v>3352.5</v>
      </c>
      <c r="Y406" s="10">
        <v>10</v>
      </c>
      <c r="Z406" s="30"/>
      <c r="AA406" s="31"/>
      <c r="AB406" s="32"/>
      <c r="AC406" s="32"/>
      <c r="AD406" s="32"/>
      <c r="AE406" s="32">
        <f t="shared" si="87"/>
        <v>0</v>
      </c>
      <c r="AF406" s="12"/>
      <c r="AG406" s="12"/>
      <c r="AH406" s="12"/>
      <c r="AI406" s="12">
        <f t="shared" si="8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8"/>
      <c r="D407" s="60"/>
      <c r="E407" s="60"/>
      <c r="F407" s="60"/>
      <c r="G407" s="60"/>
      <c r="H407" s="61"/>
      <c r="I407" s="61"/>
      <c r="J407" s="61"/>
      <c r="K407" s="61"/>
      <c r="M407" s="10">
        <v>11</v>
      </c>
      <c r="N407" s="30">
        <v>45940</v>
      </c>
      <c r="O407" s="31">
        <f t="shared" si="89"/>
        <v>6279</v>
      </c>
      <c r="P407" s="32">
        <f>2504+614+596</f>
        <v>3714</v>
      </c>
      <c r="Q407" s="32"/>
      <c r="R407" s="32"/>
      <c r="S407" s="32">
        <f t="shared" si="85"/>
        <v>3714</v>
      </c>
      <c r="T407" s="12"/>
      <c r="U407" s="12"/>
      <c r="V407" s="12"/>
      <c r="W407" s="12">
        <f t="shared" si="86"/>
        <v>3714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91">SUM(AB407:AC407)</f>
        <v>0</v>
      </c>
      <c r="AF407" s="12"/>
      <c r="AG407" s="12"/>
      <c r="AH407" s="12"/>
      <c r="AI407" s="12">
        <f t="shared" si="8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8"/>
      <c r="D408" s="60"/>
      <c r="E408" s="60"/>
      <c r="F408" s="60"/>
      <c r="G408" s="60"/>
      <c r="H408" s="61"/>
      <c r="I408" s="61"/>
      <c r="J408" s="62"/>
      <c r="K408" s="61"/>
      <c r="M408" s="10">
        <v>12</v>
      </c>
      <c r="N408" s="30">
        <v>45940</v>
      </c>
      <c r="O408" s="31">
        <f t="shared" si="89"/>
        <v>6280</v>
      </c>
      <c r="P408" s="32">
        <f>626*53+458</f>
        <v>33636</v>
      </c>
      <c r="Q408" s="32"/>
      <c r="R408" s="32"/>
      <c r="S408" s="32">
        <f t="shared" si="85"/>
        <v>33636</v>
      </c>
      <c r="T408" s="12"/>
      <c r="U408" s="12">
        <v>72</v>
      </c>
      <c r="V408" s="12"/>
      <c r="W408" s="12">
        <f t="shared" si="86"/>
        <v>33708</v>
      </c>
      <c r="Y408" s="10">
        <v>12</v>
      </c>
      <c r="Z408" s="30"/>
      <c r="AA408" s="31"/>
      <c r="AB408" s="32"/>
      <c r="AC408" s="32"/>
      <c r="AD408" s="32"/>
      <c r="AE408" s="32">
        <f t="shared" si="91"/>
        <v>0</v>
      </c>
      <c r="AF408" s="12"/>
      <c r="AG408" s="12"/>
      <c r="AH408" s="12"/>
      <c r="AI408" s="12">
        <f t="shared" si="8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8"/>
      <c r="D409" s="60"/>
      <c r="E409" s="60"/>
      <c r="F409" s="60"/>
      <c r="G409" s="60"/>
      <c r="H409" s="61"/>
      <c r="I409" s="61"/>
      <c r="J409" s="61"/>
      <c r="K409" s="61"/>
      <c r="M409" s="10">
        <v>13</v>
      </c>
      <c r="N409" s="30">
        <v>45940</v>
      </c>
      <c r="O409" s="31">
        <f t="shared" si="89"/>
        <v>6281</v>
      </c>
      <c r="P409" s="32">
        <f>1878+614+28.5</f>
        <v>2520.5</v>
      </c>
      <c r="Q409" s="32"/>
      <c r="R409" s="32"/>
      <c r="S409" s="32">
        <f t="shared" si="85"/>
        <v>2520.5</v>
      </c>
      <c r="T409" s="12"/>
      <c r="U409" s="12"/>
      <c r="V409" s="12"/>
      <c r="W409" s="12">
        <f t="shared" si="86"/>
        <v>2520.5</v>
      </c>
      <c r="Y409" s="10">
        <v>13</v>
      </c>
      <c r="Z409" s="30"/>
      <c r="AA409" s="31"/>
      <c r="AB409" s="32"/>
      <c r="AC409" s="32"/>
      <c r="AD409" s="32"/>
      <c r="AE409" s="32">
        <f t="shared" si="91"/>
        <v>0</v>
      </c>
      <c r="AF409" s="12"/>
      <c r="AG409" s="12"/>
      <c r="AH409" s="12"/>
      <c r="AI409" s="12">
        <f t="shared" si="8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8"/>
      <c r="D410" s="60"/>
      <c r="E410" s="60"/>
      <c r="F410" s="60"/>
      <c r="G410" s="60"/>
      <c r="H410" s="61"/>
      <c r="I410" s="61"/>
      <c r="J410" s="61"/>
      <c r="K410" s="61"/>
      <c r="M410" s="10">
        <v>14</v>
      </c>
      <c r="N410" s="30">
        <v>45940</v>
      </c>
      <c r="O410" s="31">
        <f t="shared" si="89"/>
        <v>6282</v>
      </c>
      <c r="P410" s="32">
        <f>1192+19</f>
        <v>1211</v>
      </c>
      <c r="Q410" s="32"/>
      <c r="R410" s="32"/>
      <c r="S410" s="32">
        <f t="shared" si="85"/>
        <v>1211</v>
      </c>
      <c r="T410" s="12"/>
      <c r="U410" s="12"/>
      <c r="V410" s="12"/>
      <c r="W410" s="12">
        <f t="shared" si="86"/>
        <v>1211</v>
      </c>
      <c r="Y410" s="10">
        <v>14</v>
      </c>
      <c r="Z410" s="30"/>
      <c r="AA410" s="31"/>
      <c r="AB410" s="32"/>
      <c r="AC410" s="32"/>
      <c r="AD410" s="32"/>
      <c r="AE410" s="32">
        <f t="shared" si="91"/>
        <v>0</v>
      </c>
      <c r="AF410" s="12"/>
      <c r="AG410" s="12"/>
      <c r="AH410" s="12"/>
      <c r="AI410" s="12">
        <f t="shared" si="8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8"/>
      <c r="D411" s="60"/>
      <c r="E411" s="60"/>
      <c r="F411" s="60"/>
      <c r="G411" s="60"/>
      <c r="H411" s="61"/>
      <c r="I411" s="61"/>
      <c r="J411" s="61"/>
      <c r="K411" s="61"/>
      <c r="M411" s="10">
        <v>15</v>
      </c>
      <c r="N411" s="30">
        <v>45940</v>
      </c>
      <c r="O411" s="31">
        <f t="shared" si="89"/>
        <v>6283</v>
      </c>
      <c r="P411" s="32">
        <f>3756+57</f>
        <v>3813</v>
      </c>
      <c r="Q411" s="32"/>
      <c r="R411" s="32"/>
      <c r="S411" s="32">
        <f t="shared" si="85"/>
        <v>3813</v>
      </c>
      <c r="T411" s="12"/>
      <c r="U411" s="12"/>
      <c r="V411" s="12"/>
      <c r="W411" s="12">
        <f t="shared" si="86"/>
        <v>3813</v>
      </c>
      <c r="Y411" s="10">
        <v>15</v>
      </c>
      <c r="Z411" s="30"/>
      <c r="AA411" s="31"/>
      <c r="AB411" s="32"/>
      <c r="AC411" s="32"/>
      <c r="AD411" s="32"/>
      <c r="AE411" s="32">
        <f t="shared" si="91"/>
        <v>0</v>
      </c>
      <c r="AF411" s="12"/>
      <c r="AG411" s="12"/>
      <c r="AH411" s="12"/>
      <c r="AI411" s="12">
        <f t="shared" si="8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8"/>
      <c r="D412" s="60"/>
      <c r="E412" s="60"/>
      <c r="F412" s="60"/>
      <c r="G412" s="60"/>
      <c r="H412" s="61"/>
      <c r="I412" s="61"/>
      <c r="J412" s="61"/>
      <c r="K412" s="61"/>
      <c r="M412" s="10">
        <v>16</v>
      </c>
      <c r="N412" s="30">
        <v>45940</v>
      </c>
      <c r="O412" s="31">
        <f t="shared" si="89"/>
        <v>6284</v>
      </c>
      <c r="P412" s="32">
        <f>2504+38</f>
        <v>2542</v>
      </c>
      <c r="Q412" s="32"/>
      <c r="R412" s="32"/>
      <c r="S412" s="32">
        <f t="shared" si="85"/>
        <v>2542</v>
      </c>
      <c r="T412" s="12"/>
      <c r="U412" s="12"/>
      <c r="V412" s="12"/>
      <c r="W412" s="12">
        <f t="shared" si="86"/>
        <v>2542</v>
      </c>
      <c r="Y412" s="10">
        <v>16</v>
      </c>
      <c r="Z412" s="30"/>
      <c r="AA412" s="31"/>
      <c r="AB412" s="32"/>
      <c r="AC412" s="32"/>
      <c r="AD412" s="32"/>
      <c r="AE412" s="32">
        <f t="shared" si="91"/>
        <v>0</v>
      </c>
      <c r="AF412" s="12"/>
      <c r="AG412" s="12"/>
      <c r="AH412" s="12"/>
      <c r="AI412" s="12">
        <f t="shared" si="8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8"/>
      <c r="D413" s="60"/>
      <c r="E413" s="60"/>
      <c r="F413" s="60"/>
      <c r="G413" s="60"/>
      <c r="H413" s="61"/>
      <c r="I413" s="61"/>
      <c r="J413" s="61"/>
      <c r="K413" s="61"/>
      <c r="M413" s="10">
        <v>17</v>
      </c>
      <c r="N413" s="30">
        <v>45940</v>
      </c>
      <c r="O413" s="31">
        <f t="shared" si="89"/>
        <v>6285</v>
      </c>
      <c r="P413" s="35">
        <f>1788+28.5</f>
        <v>1816.5</v>
      </c>
      <c r="Q413" s="32"/>
      <c r="R413" s="32"/>
      <c r="S413" s="32">
        <f t="shared" si="85"/>
        <v>1816.5</v>
      </c>
      <c r="T413" s="12"/>
      <c r="U413" s="12"/>
      <c r="V413" s="12"/>
      <c r="W413" s="12">
        <f t="shared" si="86"/>
        <v>1816.5</v>
      </c>
      <c r="Y413" s="10">
        <v>17</v>
      </c>
      <c r="Z413" s="30"/>
      <c r="AB413" s="35"/>
      <c r="AC413" s="32"/>
      <c r="AD413" s="32"/>
      <c r="AE413" s="32">
        <f t="shared" si="91"/>
        <v>0</v>
      </c>
      <c r="AF413" s="12"/>
      <c r="AG413" s="12"/>
      <c r="AH413" s="12"/>
      <c r="AI413" s="12">
        <f t="shared" si="8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8"/>
      <c r="D414" s="60"/>
      <c r="E414" s="60"/>
      <c r="F414" s="60"/>
      <c r="G414" s="60"/>
      <c r="H414" s="61"/>
      <c r="I414" s="61"/>
      <c r="J414" s="61"/>
      <c r="K414" s="61"/>
      <c r="M414" s="10">
        <v>18</v>
      </c>
      <c r="N414" s="30">
        <v>45940</v>
      </c>
      <c r="O414" s="31">
        <f t="shared" si="89"/>
        <v>6286</v>
      </c>
      <c r="P414" s="32">
        <f>9390</f>
        <v>9390</v>
      </c>
      <c r="Q414" s="32"/>
      <c r="R414" s="32"/>
      <c r="S414" s="32">
        <f t="shared" si="85"/>
        <v>9390</v>
      </c>
      <c r="T414" s="12"/>
      <c r="U414" s="12">
        <v>4.5</v>
      </c>
      <c r="V414" s="12"/>
      <c r="W414" s="12">
        <f t="shared" si="86"/>
        <v>9394.5</v>
      </c>
      <c r="Y414" s="10">
        <v>18</v>
      </c>
      <c r="Z414" s="30"/>
      <c r="AA414" s="31"/>
      <c r="AB414" s="32"/>
      <c r="AC414" s="32"/>
      <c r="AD414" s="32"/>
      <c r="AE414" s="32">
        <f t="shared" si="91"/>
        <v>0</v>
      </c>
      <c r="AF414" s="12"/>
      <c r="AG414" s="12"/>
      <c r="AH414" s="12"/>
      <c r="AI414" s="12">
        <f t="shared" si="8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8"/>
      <c r="D415" s="60"/>
      <c r="E415" s="60"/>
      <c r="F415" s="60"/>
      <c r="G415" s="60"/>
      <c r="H415" s="61"/>
      <c r="I415" s="61"/>
      <c r="J415" s="61"/>
      <c r="K415" s="61"/>
      <c r="M415" s="10">
        <v>19</v>
      </c>
      <c r="N415" s="30">
        <v>45940</v>
      </c>
      <c r="O415" s="31">
        <f t="shared" si="89"/>
        <v>6287</v>
      </c>
      <c r="P415" s="32">
        <f>626*2+19</f>
        <v>1271</v>
      </c>
      <c r="Q415" s="32"/>
      <c r="R415" s="32"/>
      <c r="S415" s="32">
        <f t="shared" si="85"/>
        <v>1271</v>
      </c>
      <c r="T415" s="12"/>
      <c r="U415" s="12"/>
      <c r="V415" s="12"/>
      <c r="W415" s="12">
        <f t="shared" si="86"/>
        <v>1271</v>
      </c>
      <c r="Y415" s="10">
        <v>19</v>
      </c>
      <c r="Z415" s="30"/>
      <c r="AA415" s="31"/>
      <c r="AB415" s="32"/>
      <c r="AC415" s="32"/>
      <c r="AD415" s="32"/>
      <c r="AE415" s="32">
        <f t="shared" si="91"/>
        <v>0</v>
      </c>
      <c r="AF415" s="12"/>
      <c r="AG415" s="12"/>
      <c r="AH415" s="12"/>
      <c r="AI415" s="12">
        <f t="shared" si="8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8"/>
      <c r="D416" s="60"/>
      <c r="E416" s="60"/>
      <c r="F416" s="60"/>
      <c r="G416" s="60"/>
      <c r="H416" s="61"/>
      <c r="I416" s="61"/>
      <c r="J416" s="61"/>
      <c r="K416" s="61"/>
      <c r="M416" s="10">
        <v>20</v>
      </c>
      <c r="N416" s="30">
        <v>45940</v>
      </c>
      <c r="O416" s="31">
        <f t="shared" si="89"/>
        <v>6288</v>
      </c>
      <c r="P416" s="32">
        <f>4382+596+852+76</f>
        <v>5906</v>
      </c>
      <c r="Q416" s="32"/>
      <c r="R416" s="32"/>
      <c r="S416" s="32">
        <f t="shared" si="85"/>
        <v>5906</v>
      </c>
      <c r="T416" s="12"/>
      <c r="U416" s="12"/>
      <c r="V416" s="12"/>
      <c r="W416" s="12">
        <f t="shared" si="86"/>
        <v>5906</v>
      </c>
      <c r="Y416" s="10">
        <v>20</v>
      </c>
      <c r="Z416" s="30"/>
      <c r="AA416" s="31"/>
      <c r="AB416" s="32"/>
      <c r="AC416" s="32"/>
      <c r="AD416" s="32"/>
      <c r="AE416" s="32">
        <f t="shared" si="91"/>
        <v>0</v>
      </c>
      <c r="AF416" s="12"/>
      <c r="AG416" s="12"/>
      <c r="AH416" s="12"/>
      <c r="AI416" s="12">
        <f t="shared" si="8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8"/>
      <c r="D417" s="60"/>
      <c r="E417" s="60"/>
      <c r="F417" s="60"/>
      <c r="G417" s="60"/>
      <c r="H417" s="62"/>
      <c r="I417" s="62"/>
      <c r="J417" s="62"/>
      <c r="K417" s="61"/>
      <c r="M417" s="10">
        <v>21</v>
      </c>
      <c r="N417" s="30">
        <v>45940</v>
      </c>
      <c r="O417" s="31">
        <f t="shared" si="89"/>
        <v>6289</v>
      </c>
      <c r="P417" s="46">
        <f>4382</f>
        <v>4382</v>
      </c>
      <c r="Q417" s="31"/>
      <c r="R417" s="31"/>
      <c r="S417" s="32">
        <f t="shared" si="85"/>
        <v>4382</v>
      </c>
      <c r="T417" s="10"/>
      <c r="U417" s="10"/>
      <c r="V417" s="10"/>
      <c r="W417" s="12">
        <f t="shared" si="86"/>
        <v>4382</v>
      </c>
      <c r="Y417" s="10">
        <v>21</v>
      </c>
      <c r="Z417" s="30"/>
      <c r="AA417" s="31"/>
      <c r="AB417" s="46"/>
      <c r="AC417" s="31"/>
      <c r="AD417" s="31"/>
      <c r="AE417" s="32">
        <f t="shared" si="91"/>
        <v>0</v>
      </c>
      <c r="AF417" s="10"/>
      <c r="AG417" s="10"/>
      <c r="AH417" s="10"/>
      <c r="AI417" s="12">
        <f t="shared" si="8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8"/>
      <c r="D418" s="60"/>
      <c r="E418" s="60"/>
      <c r="F418" s="60"/>
      <c r="G418" s="60"/>
      <c r="H418" s="62"/>
      <c r="I418" s="62"/>
      <c r="J418" s="62"/>
      <c r="K418" s="61"/>
      <c r="M418" s="10">
        <v>22</v>
      </c>
      <c r="N418" s="30">
        <v>45940</v>
      </c>
      <c r="O418" s="31">
        <f t="shared" si="89"/>
        <v>6290</v>
      </c>
      <c r="P418" s="45">
        <f>5008+614+1192+95</f>
        <v>6909</v>
      </c>
      <c r="Q418" s="31"/>
      <c r="R418" s="31"/>
      <c r="S418" s="32">
        <f t="shared" si="85"/>
        <v>6909</v>
      </c>
      <c r="T418" s="10"/>
      <c r="U418" s="10">
        <v>45</v>
      </c>
      <c r="V418" s="10"/>
      <c r="W418" s="12">
        <f t="shared" si="86"/>
        <v>6954</v>
      </c>
      <c r="Y418" s="10">
        <v>22</v>
      </c>
      <c r="Z418" s="30"/>
      <c r="AA418" s="31"/>
      <c r="AB418" s="45"/>
      <c r="AC418" s="31"/>
      <c r="AD418" s="31"/>
      <c r="AE418" s="32">
        <f t="shared" si="91"/>
        <v>0</v>
      </c>
      <c r="AF418" s="10"/>
      <c r="AG418" s="10"/>
      <c r="AH418" s="10"/>
      <c r="AI418" s="12">
        <f t="shared" si="8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8"/>
      <c r="D419" s="60"/>
      <c r="E419" s="60"/>
      <c r="F419" s="60"/>
      <c r="G419" s="60"/>
      <c r="H419" s="62"/>
      <c r="I419" s="62"/>
      <c r="J419" s="61"/>
      <c r="K419" s="61"/>
      <c r="M419" s="10">
        <v>23</v>
      </c>
      <c r="N419" s="30">
        <v>45940</v>
      </c>
      <c r="O419" s="31">
        <f t="shared" si="89"/>
        <v>6291</v>
      </c>
      <c r="P419" s="47">
        <f>3756+57</f>
        <v>3813</v>
      </c>
      <c r="Q419" s="31"/>
      <c r="S419" s="32">
        <f t="shared" si="85"/>
        <v>3813</v>
      </c>
      <c r="T419" s="10"/>
      <c r="U419" s="10">
        <v>9</v>
      </c>
      <c r="V419" s="10"/>
      <c r="W419" s="12">
        <f t="shared" si="86"/>
        <v>3822</v>
      </c>
      <c r="Y419" s="10">
        <v>23</v>
      </c>
      <c r="Z419" s="30"/>
      <c r="AA419" s="31"/>
      <c r="AB419" s="47"/>
      <c r="AE419" s="32">
        <f t="shared" si="91"/>
        <v>0</v>
      </c>
      <c r="AF419" s="10"/>
      <c r="AG419" s="10"/>
      <c r="AH419" s="10"/>
      <c r="AI419" s="12">
        <f t="shared" si="8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8"/>
      <c r="D420" s="60"/>
      <c r="E420" s="60"/>
      <c r="F420" s="60"/>
      <c r="G420" s="60"/>
      <c r="H420" s="62"/>
      <c r="I420" s="62"/>
      <c r="J420" s="62"/>
      <c r="K420" s="61"/>
      <c r="M420" s="10">
        <v>24</v>
      </c>
      <c r="N420" s="30">
        <v>45940</v>
      </c>
      <c r="O420" s="31">
        <f t="shared" si="89"/>
        <v>6292</v>
      </c>
      <c r="P420" s="47">
        <f>3756+614</f>
        <v>4370</v>
      </c>
      <c r="Q420" s="31"/>
      <c r="R420" s="31"/>
      <c r="S420" s="32">
        <f t="shared" si="85"/>
        <v>4370</v>
      </c>
      <c r="T420" s="10"/>
      <c r="U420" s="10">
        <v>6.75</v>
      </c>
      <c r="V420" s="10"/>
      <c r="W420" s="12">
        <f t="shared" si="86"/>
        <v>4376.75</v>
      </c>
      <c r="Y420" s="10">
        <v>24</v>
      </c>
      <c r="Z420" s="30"/>
      <c r="AA420" s="31"/>
      <c r="AB420" s="47"/>
      <c r="AC420" s="31"/>
      <c r="AD420" s="31"/>
      <c r="AE420" s="32">
        <f t="shared" si="91"/>
        <v>0</v>
      </c>
      <c r="AF420" s="10"/>
      <c r="AG420" s="10"/>
      <c r="AH420" s="10"/>
      <c r="AI420" s="12">
        <f t="shared" si="8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8"/>
      <c r="D421" s="60"/>
      <c r="E421" s="60"/>
      <c r="F421" s="60"/>
      <c r="G421" s="60"/>
      <c r="H421" s="62"/>
      <c r="I421" s="62"/>
      <c r="J421" s="62"/>
      <c r="K421" s="61"/>
      <c r="M421" s="10">
        <v>25</v>
      </c>
      <c r="N421" s="30">
        <v>45940</v>
      </c>
      <c r="O421" s="31">
        <f t="shared" si="89"/>
        <v>6293</v>
      </c>
      <c r="P421" s="47">
        <f>47576+8344</f>
        <v>55920</v>
      </c>
      <c r="Q421" s="31"/>
      <c r="R421" s="31"/>
      <c r="S421" s="32">
        <f t="shared" si="85"/>
        <v>55920</v>
      </c>
      <c r="T421" s="10"/>
      <c r="U421" s="10"/>
      <c r="V421" s="10"/>
      <c r="W421" s="12">
        <f t="shared" si="86"/>
        <v>55920</v>
      </c>
      <c r="Y421" s="10">
        <v>25</v>
      </c>
      <c r="Z421" s="30"/>
      <c r="AA421" s="31"/>
      <c r="AB421" s="47"/>
      <c r="AC421" s="31"/>
      <c r="AD421" s="31"/>
      <c r="AE421" s="32">
        <f t="shared" si="91"/>
        <v>0</v>
      </c>
      <c r="AF421" s="10"/>
      <c r="AG421" s="10"/>
      <c r="AH421" s="10"/>
      <c r="AI421" s="12">
        <f t="shared" si="8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8"/>
      <c r="D422" s="60"/>
      <c r="E422" s="60"/>
      <c r="F422" s="60"/>
      <c r="G422" s="60"/>
      <c r="H422" s="62"/>
      <c r="I422" s="62"/>
      <c r="J422" s="62"/>
      <c r="K422" s="61"/>
      <c r="M422" s="10">
        <v>26</v>
      </c>
      <c r="N422" s="30"/>
      <c r="O422" s="11" t="s">
        <v>28</v>
      </c>
      <c r="P422" s="47"/>
      <c r="Q422" s="31"/>
      <c r="R422" s="31"/>
      <c r="S422" s="32">
        <f t="shared" si="85"/>
        <v>0</v>
      </c>
      <c r="T422" s="10"/>
      <c r="U422" s="10"/>
      <c r="V422" s="10"/>
      <c r="W422" s="12">
        <f t="shared" si="8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91"/>
        <v>0</v>
      </c>
      <c r="AF422" s="10"/>
      <c r="AG422" s="10"/>
      <c r="AH422" s="10"/>
      <c r="AI422" s="12">
        <f t="shared" si="8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8"/>
      <c r="D423" s="60"/>
      <c r="E423" s="60"/>
      <c r="F423" s="60"/>
      <c r="G423" s="60"/>
      <c r="H423" s="62"/>
      <c r="I423" s="62"/>
      <c r="J423" s="62"/>
      <c r="K423" s="61"/>
      <c r="M423" s="10">
        <v>27</v>
      </c>
      <c r="N423" s="30"/>
      <c r="O423" s="31"/>
      <c r="P423" s="47"/>
      <c r="Q423" s="31"/>
      <c r="R423" s="31"/>
      <c r="S423" s="32">
        <f t="shared" si="85"/>
        <v>0</v>
      </c>
      <c r="T423" s="10"/>
      <c r="U423" s="10"/>
      <c r="V423" s="10"/>
      <c r="W423" s="12">
        <f t="shared" si="8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91"/>
        <v>0</v>
      </c>
      <c r="AF423" s="10"/>
      <c r="AG423" s="10"/>
      <c r="AH423" s="10"/>
      <c r="AI423" s="12">
        <f t="shared" si="8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8"/>
      <c r="D424" s="60"/>
      <c r="E424" s="60"/>
      <c r="F424" s="60"/>
      <c r="G424" s="60"/>
      <c r="H424" s="62"/>
      <c r="I424" s="62"/>
      <c r="J424" s="62"/>
      <c r="K424" s="61"/>
      <c r="M424" s="10">
        <v>28</v>
      </c>
      <c r="N424" s="30"/>
      <c r="O424" s="31"/>
      <c r="P424" s="47"/>
      <c r="Q424" s="31"/>
      <c r="R424" s="31"/>
      <c r="S424" s="32">
        <f t="shared" si="85"/>
        <v>0</v>
      </c>
      <c r="T424" s="10"/>
      <c r="U424" s="10"/>
      <c r="V424" s="10"/>
      <c r="W424" s="12">
        <f t="shared" si="8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91"/>
        <v>0</v>
      </c>
      <c r="AF424" s="10"/>
      <c r="AG424" s="10"/>
      <c r="AH424" s="10"/>
      <c r="AI424" s="12">
        <f t="shared" si="8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8"/>
      <c r="D425" s="60"/>
      <c r="E425" s="60"/>
      <c r="F425" s="60"/>
      <c r="G425" s="60"/>
      <c r="H425" s="62"/>
      <c r="I425" s="62"/>
      <c r="J425" s="62"/>
      <c r="K425" s="61"/>
      <c r="M425" s="10">
        <v>29</v>
      </c>
      <c r="N425" s="30"/>
      <c r="O425" s="31"/>
      <c r="P425" s="47"/>
      <c r="Q425" s="31"/>
      <c r="R425" s="31"/>
      <c r="S425" s="32">
        <f t="shared" si="85"/>
        <v>0</v>
      </c>
      <c r="T425" s="10"/>
      <c r="U425" s="10"/>
      <c r="V425" s="10"/>
      <c r="W425" s="12">
        <f t="shared" si="8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91"/>
        <v>0</v>
      </c>
      <c r="AF425" s="10"/>
      <c r="AG425" s="10"/>
      <c r="AH425" s="10"/>
      <c r="AI425" s="12">
        <f t="shared" si="8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8"/>
      <c r="D426" s="60"/>
      <c r="E426" s="60"/>
      <c r="F426" s="60"/>
      <c r="G426" s="60"/>
      <c r="H426" s="62"/>
      <c r="I426" s="62"/>
      <c r="J426" s="62"/>
      <c r="K426" s="61"/>
      <c r="M426" s="10">
        <v>30</v>
      </c>
      <c r="N426" s="30"/>
      <c r="P426" s="47"/>
      <c r="Q426" s="31"/>
      <c r="R426" s="31"/>
      <c r="S426" s="32">
        <f t="shared" si="85"/>
        <v>0</v>
      </c>
      <c r="T426" s="10"/>
      <c r="U426" s="10"/>
      <c r="V426" s="10"/>
      <c r="W426" s="12">
        <f t="shared" si="8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91"/>
        <v>0</v>
      </c>
      <c r="AF426" s="10"/>
      <c r="AG426" s="10"/>
      <c r="AH426" s="10"/>
      <c r="AI426" s="12">
        <f t="shared" si="8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8"/>
      <c r="D427" s="60"/>
      <c r="E427" s="60"/>
      <c r="F427" s="60"/>
      <c r="G427" s="60"/>
      <c r="H427" s="62"/>
      <c r="I427" s="62"/>
      <c r="J427" s="62"/>
      <c r="K427" s="61"/>
      <c r="M427" s="10">
        <v>31</v>
      </c>
      <c r="N427" s="30"/>
      <c r="O427" s="31"/>
      <c r="P427" s="47"/>
      <c r="Q427" s="31"/>
      <c r="R427" s="31"/>
      <c r="S427" s="32">
        <f t="shared" si="85"/>
        <v>0</v>
      </c>
      <c r="T427" s="10"/>
      <c r="U427" s="10"/>
      <c r="V427" s="10"/>
      <c r="W427" s="12">
        <f t="shared" si="8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91"/>
        <v>0</v>
      </c>
      <c r="AF427" s="10"/>
      <c r="AG427" s="10"/>
      <c r="AH427" s="10"/>
      <c r="AI427" s="12">
        <f t="shared" si="8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8"/>
      <c r="D428" s="60"/>
      <c r="E428" s="60"/>
      <c r="F428" s="60"/>
      <c r="G428" s="60"/>
      <c r="H428" s="62"/>
      <c r="I428" s="62"/>
      <c r="J428" s="62"/>
      <c r="K428" s="61"/>
      <c r="M428" s="10">
        <v>32</v>
      </c>
      <c r="N428" s="30"/>
      <c r="O428" s="31"/>
      <c r="P428" s="47"/>
      <c r="Q428" s="31"/>
      <c r="R428" s="31"/>
      <c r="S428" s="32">
        <f t="shared" si="85"/>
        <v>0</v>
      </c>
      <c r="T428" s="10"/>
      <c r="U428" s="10"/>
      <c r="V428" s="10"/>
      <c r="W428" s="12">
        <f t="shared" si="8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91"/>
        <v>0</v>
      </c>
      <c r="AF428" s="10"/>
      <c r="AG428" s="10"/>
      <c r="AH428" s="10"/>
      <c r="AI428" s="12">
        <f t="shared" si="8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8"/>
      <c r="D429" s="60"/>
      <c r="E429" s="60"/>
      <c r="F429" s="60"/>
      <c r="G429" s="60"/>
      <c r="H429" s="62"/>
      <c r="I429" s="62"/>
      <c r="J429" s="62"/>
      <c r="K429" s="61"/>
      <c r="M429" s="10">
        <v>33</v>
      </c>
      <c r="N429" s="30"/>
      <c r="O429" s="31"/>
      <c r="P429" s="47"/>
      <c r="Q429" s="31"/>
      <c r="R429" s="31"/>
      <c r="S429" s="32">
        <f t="shared" si="85"/>
        <v>0</v>
      </c>
      <c r="T429" s="10"/>
      <c r="U429" s="10"/>
      <c r="V429" s="10"/>
      <c r="W429" s="12">
        <f t="shared" si="8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91"/>
        <v>0</v>
      </c>
      <c r="AF429" s="10"/>
      <c r="AG429" s="10"/>
      <c r="AH429" s="10"/>
      <c r="AI429" s="12">
        <f t="shared" si="8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8"/>
      <c r="D430" s="60"/>
      <c r="E430" s="60"/>
      <c r="F430" s="60"/>
      <c r="G430" s="60"/>
      <c r="H430" s="62"/>
      <c r="I430" s="62"/>
      <c r="J430" s="62"/>
      <c r="K430" s="61"/>
      <c r="M430" s="10">
        <v>34</v>
      </c>
      <c r="N430" s="30"/>
      <c r="O430" s="31"/>
      <c r="P430" s="47"/>
      <c r="Q430" s="31"/>
      <c r="R430" s="31"/>
      <c r="S430" s="32">
        <f t="shared" si="85"/>
        <v>0</v>
      </c>
      <c r="T430" s="10"/>
      <c r="U430" s="10"/>
      <c r="V430" s="10"/>
      <c r="W430" s="12">
        <f t="shared" si="86"/>
        <v>0</v>
      </c>
      <c r="Y430" s="10">
        <v>34</v>
      </c>
      <c r="Z430" s="30"/>
      <c r="AA430" s="31"/>
      <c r="AB430" s="47"/>
      <c r="AC430" s="31"/>
      <c r="AD430" s="31"/>
      <c r="AE430" s="32">
        <f t="shared" si="91"/>
        <v>0</v>
      </c>
      <c r="AF430" s="10"/>
      <c r="AG430" s="10"/>
      <c r="AH430" s="10"/>
      <c r="AI430" s="12">
        <f t="shared" si="88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8"/>
      <c r="D431" s="60"/>
      <c r="E431" s="60"/>
      <c r="F431" s="60"/>
      <c r="G431" s="60"/>
      <c r="H431" s="62"/>
      <c r="I431" s="62"/>
      <c r="J431" s="62"/>
      <c r="K431" s="61"/>
      <c r="M431" s="10">
        <v>35</v>
      </c>
      <c r="N431" s="30"/>
      <c r="O431" s="31"/>
      <c r="P431" s="47"/>
      <c r="Q431" s="31"/>
      <c r="R431" s="31"/>
      <c r="S431" s="32">
        <f t="shared" si="85"/>
        <v>0</v>
      </c>
      <c r="T431" s="10"/>
      <c r="U431" s="10"/>
      <c r="V431" s="10"/>
      <c r="W431" s="12">
        <f t="shared" si="8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91"/>
        <v>0</v>
      </c>
      <c r="AF431" s="10"/>
      <c r="AG431" s="10"/>
      <c r="AH431" s="10"/>
      <c r="AI431" s="12">
        <f t="shared" si="88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8"/>
      <c r="D432" s="60"/>
      <c r="E432" s="60"/>
      <c r="F432" s="60"/>
      <c r="G432" s="60"/>
      <c r="H432" s="62"/>
      <c r="I432" s="62"/>
      <c r="J432" s="62"/>
      <c r="K432" s="61"/>
      <c r="M432" s="10">
        <v>36</v>
      </c>
      <c r="N432" s="30"/>
      <c r="O432" s="31"/>
      <c r="P432" s="47"/>
      <c r="Q432" s="31"/>
      <c r="R432" s="31"/>
      <c r="S432" s="32">
        <f t="shared" si="85"/>
        <v>0</v>
      </c>
      <c r="T432" s="10"/>
      <c r="U432" s="10"/>
      <c r="V432" s="10"/>
      <c r="W432" s="12">
        <f t="shared" si="8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91"/>
        <v>0</v>
      </c>
      <c r="AF432" s="10"/>
      <c r="AG432" s="10"/>
      <c r="AH432" s="10"/>
      <c r="AI432" s="12">
        <f t="shared" si="88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8"/>
      <c r="D433" s="60"/>
      <c r="E433" s="60"/>
      <c r="F433" s="60"/>
      <c r="G433" s="60"/>
      <c r="H433" s="62"/>
      <c r="I433" s="62"/>
      <c r="J433" s="62"/>
      <c r="K433" s="61"/>
      <c r="M433" s="10">
        <v>37</v>
      </c>
      <c r="N433" s="30"/>
      <c r="P433" s="47"/>
      <c r="Q433" s="31"/>
      <c r="R433" s="31"/>
      <c r="S433" s="32">
        <f t="shared" si="85"/>
        <v>0</v>
      </c>
      <c r="T433" s="10"/>
      <c r="U433" s="10"/>
      <c r="V433" s="10"/>
      <c r="W433" s="12">
        <f t="shared" si="8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91"/>
        <v>0</v>
      </c>
      <c r="AF433" s="10"/>
      <c r="AG433" s="10"/>
      <c r="AH433" s="10"/>
      <c r="AI433" s="12">
        <f t="shared" si="88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8"/>
      <c r="D434" s="60"/>
      <c r="E434" s="60"/>
      <c r="F434" s="60"/>
      <c r="G434" s="60"/>
      <c r="H434" s="62"/>
      <c r="I434" s="62"/>
      <c r="J434" s="62"/>
      <c r="K434" s="61"/>
      <c r="M434" s="10">
        <v>38</v>
      </c>
      <c r="N434" s="30"/>
      <c r="O434" s="31"/>
      <c r="P434" s="47"/>
      <c r="Q434" s="31"/>
      <c r="R434" s="31"/>
      <c r="S434" s="32">
        <f t="shared" si="85"/>
        <v>0</v>
      </c>
      <c r="T434" s="10"/>
      <c r="U434" s="10"/>
      <c r="V434" s="10"/>
      <c r="W434" s="12">
        <f t="shared" si="8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91"/>
        <v>0</v>
      </c>
      <c r="AF434" s="10"/>
      <c r="AG434" s="10"/>
      <c r="AH434" s="10"/>
      <c r="AI434" s="12">
        <f t="shared" si="88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8"/>
      <c r="D435" s="60"/>
      <c r="E435" s="60"/>
      <c r="F435" s="60"/>
      <c r="G435" s="60"/>
      <c r="H435" s="62"/>
      <c r="I435" s="62"/>
      <c r="J435" s="62"/>
      <c r="K435" s="61"/>
      <c r="M435" s="10">
        <v>39</v>
      </c>
      <c r="N435" s="30"/>
      <c r="O435" s="31"/>
      <c r="P435" s="47"/>
      <c r="Q435" s="31"/>
      <c r="R435" s="31"/>
      <c r="S435" s="32">
        <f t="shared" si="85"/>
        <v>0</v>
      </c>
      <c r="T435" s="10"/>
      <c r="U435" s="10"/>
      <c r="V435" s="10"/>
      <c r="W435" s="12">
        <f t="shared" si="8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91"/>
        <v>0</v>
      </c>
      <c r="AF435" s="10"/>
      <c r="AG435" s="10"/>
      <c r="AH435" s="10"/>
      <c r="AI435" s="12">
        <f t="shared" si="88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8"/>
      <c r="D436" s="60"/>
      <c r="E436" s="60"/>
      <c r="F436" s="60"/>
      <c r="G436" s="60"/>
      <c r="H436" s="62"/>
      <c r="I436" s="62"/>
      <c r="J436" s="62"/>
      <c r="K436" s="61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8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88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8"/>
      <c r="D437" s="60"/>
      <c r="E437" s="60"/>
      <c r="F437" s="60"/>
      <c r="G437" s="60"/>
      <c r="H437" s="62"/>
      <c r="I437" s="62"/>
      <c r="J437" s="62"/>
      <c r="K437" s="61"/>
      <c r="M437" s="10"/>
      <c r="N437" s="30"/>
      <c r="O437" s="31"/>
      <c r="P437" s="47"/>
      <c r="Q437" s="31"/>
      <c r="R437" s="31"/>
      <c r="S437" s="32">
        <f t="shared" ref="S437" si="92">SUM(P437:Q437)</f>
        <v>0</v>
      </c>
      <c r="T437" s="10"/>
      <c r="U437" s="10"/>
      <c r="V437" s="10"/>
      <c r="W437" s="12">
        <f t="shared" si="86"/>
        <v>0</v>
      </c>
      <c r="Y437" s="10"/>
      <c r="Z437" s="30"/>
      <c r="AA437" s="31"/>
      <c r="AB437" s="47"/>
      <c r="AC437" s="31"/>
      <c r="AD437" s="31"/>
      <c r="AE437" s="32">
        <f t="shared" ref="AE437" si="93">SUM(AB437:AC437)</f>
        <v>0</v>
      </c>
      <c r="AF437" s="10"/>
      <c r="AG437" s="10"/>
      <c r="AH437" s="10"/>
      <c r="AI437" s="12">
        <f t="shared" si="88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8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88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8"/>
      <c r="C439" s="88"/>
      <c r="D439" s="88"/>
      <c r="E439" s="88"/>
      <c r="F439" s="88"/>
      <c r="G439" s="88"/>
      <c r="H439" s="62"/>
      <c r="I439" s="62"/>
      <c r="J439" s="62"/>
      <c r="K439" s="62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8"/>
      <c r="C440" s="88"/>
      <c r="D440" s="70"/>
      <c r="E440" s="70"/>
      <c r="F440" s="70"/>
      <c r="G440" s="70"/>
      <c r="H440" s="63"/>
      <c r="I440" s="70"/>
      <c r="J440" s="70"/>
      <c r="K440" s="70"/>
      <c r="N440" s="57"/>
      <c r="O440" s="57"/>
      <c r="P440" s="38">
        <f>SUM(P397:P439)</f>
        <v>319434</v>
      </c>
      <c r="Q440" s="38">
        <f>SUM(Q397:Q421)</f>
        <v>-2367</v>
      </c>
      <c r="R440" s="38">
        <f>SUM(R397:R421)</f>
        <v>0</v>
      </c>
      <c r="S440" s="38">
        <f>SUM(S397:S439)</f>
        <v>317067</v>
      </c>
      <c r="T440" s="4"/>
      <c r="U440" s="41">
        <f>SUM(U397:U439)</f>
        <v>7404.5</v>
      </c>
      <c r="V440" s="41">
        <f>SUM(V397:V421)</f>
        <v>-456</v>
      </c>
      <c r="W440" s="42">
        <f>SUM(W397:W439)</f>
        <v>324015.5</v>
      </c>
      <c r="Z440" s="57"/>
      <c r="AA440" s="57"/>
      <c r="AB440" s="38">
        <f>SUM(AB397:AB439)</f>
        <v>170192</v>
      </c>
      <c r="AC440" s="38">
        <f>SUM(AC397:AC421)</f>
        <v>-1320</v>
      </c>
      <c r="AD440" s="38">
        <f>SUM(AD397:AD421)</f>
        <v>0</v>
      </c>
      <c r="AE440" s="38">
        <f>SUM(AE397:AE439)</f>
        <v>168872</v>
      </c>
      <c r="AF440" s="4"/>
      <c r="AG440" s="41">
        <f>SUM(AG397:AG439)</f>
        <v>0</v>
      </c>
      <c r="AH440" s="41">
        <f>SUM(AH397:AH421)</f>
        <v>-1998</v>
      </c>
      <c r="AI440" s="42">
        <f>SUM(AI397:AI439)</f>
        <v>166874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29</v>
      </c>
      <c r="B443" s="57"/>
      <c r="C443" s="57"/>
      <c r="D443" s="57"/>
      <c r="E443" s="57"/>
      <c r="G443" s="57"/>
      <c r="M443" t="s">
        <v>29</v>
      </c>
      <c r="N443" s="57"/>
      <c r="O443" s="57"/>
      <c r="P443" s="57"/>
      <c r="Q443" s="57"/>
      <c r="R443" s="57"/>
      <c r="S443" s="57"/>
      <c r="Y443" t="s">
        <v>29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15</v>
      </c>
      <c r="B445" s="57"/>
      <c r="C445" s="57"/>
      <c r="D445" s="57"/>
      <c r="E445" s="57"/>
      <c r="G445" s="57"/>
      <c r="M445" s="4" t="s">
        <v>15</v>
      </c>
      <c r="N445" s="57"/>
      <c r="O445" s="57"/>
      <c r="P445" s="57"/>
      <c r="Q445" s="57"/>
      <c r="R445" s="57"/>
      <c r="S445" s="57"/>
      <c r="Y445" s="4" t="s">
        <v>15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16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16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16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17</v>
      </c>
      <c r="J448" s="23" t="s">
        <v>36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17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17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4" t="s">
        <v>18</v>
      </c>
      <c r="E450" s="124"/>
      <c r="F450" s="98"/>
      <c r="G450" s="27"/>
      <c r="I450" s="122" t="s">
        <v>19</v>
      </c>
      <c r="J450" s="123"/>
      <c r="K450" s="120" t="s">
        <v>20</v>
      </c>
      <c r="N450" s="25"/>
      <c r="O450" s="26"/>
      <c r="P450" s="124" t="s">
        <v>18</v>
      </c>
      <c r="Q450" s="124"/>
      <c r="R450" s="98"/>
      <c r="S450" s="27"/>
      <c r="U450" s="122" t="s">
        <v>19</v>
      </c>
      <c r="V450" s="123"/>
      <c r="W450" s="120" t="s">
        <v>20</v>
      </c>
      <c r="Z450" s="25"/>
      <c r="AA450" s="26"/>
      <c r="AB450" s="124" t="s">
        <v>18</v>
      </c>
      <c r="AC450" s="124"/>
      <c r="AD450" s="98"/>
      <c r="AE450" s="27"/>
      <c r="AG450" s="122" t="s">
        <v>19</v>
      </c>
      <c r="AH450" s="123"/>
      <c r="AI450" s="120" t="s">
        <v>20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21</v>
      </c>
      <c r="C451" s="28" t="s">
        <v>22</v>
      </c>
      <c r="D451" s="79" t="s">
        <v>23</v>
      </c>
      <c r="E451" s="78" t="s">
        <v>24</v>
      </c>
      <c r="F451" s="80" t="s">
        <v>35</v>
      </c>
      <c r="G451" s="80" t="s">
        <v>25</v>
      </c>
      <c r="I451" s="29" t="s">
        <v>26</v>
      </c>
      <c r="J451" s="29" t="s">
        <v>27</v>
      </c>
      <c r="K451" s="121"/>
      <c r="N451" s="28" t="s">
        <v>21</v>
      </c>
      <c r="O451" s="28" t="s">
        <v>22</v>
      </c>
      <c r="P451" s="79" t="s">
        <v>23</v>
      </c>
      <c r="Q451" s="80" t="s">
        <v>24</v>
      </c>
      <c r="R451" s="80" t="s">
        <v>35</v>
      </c>
      <c r="S451" s="80" t="s">
        <v>25</v>
      </c>
      <c r="U451" s="29" t="s">
        <v>26</v>
      </c>
      <c r="V451" s="29" t="s">
        <v>27</v>
      </c>
      <c r="W451" s="121"/>
      <c r="Z451" s="28" t="s">
        <v>21</v>
      </c>
      <c r="AA451" s="28" t="s">
        <v>22</v>
      </c>
      <c r="AB451" s="79" t="s">
        <v>23</v>
      </c>
      <c r="AC451" s="80" t="s">
        <v>24</v>
      </c>
      <c r="AD451" s="80" t="s">
        <v>35</v>
      </c>
      <c r="AE451" s="80" t="s">
        <v>25</v>
      </c>
      <c r="AG451" s="29" t="s">
        <v>26</v>
      </c>
      <c r="AH451" s="29" t="s">
        <v>27</v>
      </c>
      <c r="AI451" s="121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45971</v>
      </c>
      <c r="C452" s="31">
        <v>6451</v>
      </c>
      <c r="D452" s="32">
        <f>1878+596+38</f>
        <v>2512</v>
      </c>
      <c r="E452" s="32"/>
      <c r="F452" s="32"/>
      <c r="G452" s="32">
        <f t="shared" ref="G452:G485" si="94">SUM(D452:E452)</f>
        <v>2512</v>
      </c>
      <c r="H452" s="12"/>
      <c r="I452" s="12"/>
      <c r="J452" s="12"/>
      <c r="K452" s="12">
        <f t="shared" ref="K452:K485" si="95">SUM(G452:J452)</f>
        <v>2512</v>
      </c>
      <c r="M452" s="10">
        <v>1</v>
      </c>
      <c r="N452" s="30">
        <v>45971</v>
      </c>
      <c r="O452" s="31">
        <v>6294</v>
      </c>
      <c r="P452" s="32">
        <f>7512+2384</f>
        <v>9896</v>
      </c>
      <c r="Q452" s="32"/>
      <c r="R452" s="32"/>
      <c r="S452" s="32">
        <f>SUM(P452:Q452)</f>
        <v>9896</v>
      </c>
      <c r="T452" s="12"/>
      <c r="U452" s="12"/>
      <c r="V452" s="12"/>
      <c r="W452" s="12">
        <f>SUM(S452:V452)</f>
        <v>9896</v>
      </c>
      <c r="Y452" s="10">
        <v>1</v>
      </c>
      <c r="Z452" s="30">
        <v>45971</v>
      </c>
      <c r="AA452" s="31">
        <v>6368</v>
      </c>
      <c r="AB452" s="32">
        <v>60381</v>
      </c>
      <c r="AC452" s="32"/>
      <c r="AD452" s="32"/>
      <c r="AE452" s="32">
        <f>SUM(AB452:AC452)</f>
        <v>60381</v>
      </c>
      <c r="AF452" s="12"/>
      <c r="AG452" s="12">
        <v>5628</v>
      </c>
      <c r="AH452" s="12"/>
      <c r="AI452" s="12">
        <f>SUM(AE452:AH452)</f>
        <v>66009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45971</v>
      </c>
      <c r="C453" s="31">
        <f>C452+1</f>
        <v>6452</v>
      </c>
      <c r="D453" s="32">
        <f>3576+57</f>
        <v>3633</v>
      </c>
      <c r="E453" s="32"/>
      <c r="F453" s="32"/>
      <c r="G453" s="32">
        <f t="shared" si="94"/>
        <v>3633</v>
      </c>
      <c r="H453" s="12"/>
      <c r="I453" s="12"/>
      <c r="J453" s="12"/>
      <c r="K453" s="12">
        <f t="shared" si="95"/>
        <v>3633</v>
      </c>
      <c r="M453" s="10">
        <v>2</v>
      </c>
      <c r="N453" s="30">
        <v>45971</v>
      </c>
      <c r="O453" s="31">
        <f>O452+1</f>
        <v>6295</v>
      </c>
      <c r="P453" s="32">
        <f>2504+1228+596+674</f>
        <v>5002</v>
      </c>
      <c r="Q453" s="32"/>
      <c r="R453" s="32"/>
      <c r="S453" s="32">
        <f t="shared" ref="S453:S490" si="96">SUM(P453:Q453)</f>
        <v>5002</v>
      </c>
      <c r="T453" s="12"/>
      <c r="U453" s="12"/>
      <c r="V453" s="12"/>
      <c r="W453" s="12">
        <f t="shared" ref="W453:W493" si="97">SUM(S453:V453)</f>
        <v>5002</v>
      </c>
      <c r="Y453" s="10">
        <v>2</v>
      </c>
      <c r="Z453" s="30">
        <v>45971</v>
      </c>
      <c r="AA453" s="31">
        <v>6369</v>
      </c>
      <c r="AB453" s="32">
        <v>1876.5</v>
      </c>
      <c r="AC453" s="32"/>
      <c r="AD453" s="32"/>
      <c r="AE453" s="32">
        <f t="shared" ref="AE453:AE461" si="98">SUM(AB453:AC453)</f>
        <v>1876.5</v>
      </c>
      <c r="AF453" s="12"/>
      <c r="AG453" s="12"/>
      <c r="AH453" s="12"/>
      <c r="AI453" s="12">
        <f t="shared" ref="AI453:AI493" si="99">SUM(AE453:AH453)</f>
        <v>1876.5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45971</v>
      </c>
      <c r="C454" s="31">
        <f t="shared" ref="C454:C467" si="100">C453+1</f>
        <v>6453</v>
      </c>
      <c r="D454" s="33">
        <f>1878+28</f>
        <v>1906</v>
      </c>
      <c r="E454" s="33"/>
      <c r="F454" s="33"/>
      <c r="G454" s="33">
        <f t="shared" si="94"/>
        <v>1906</v>
      </c>
      <c r="H454" s="34"/>
      <c r="I454" s="34"/>
      <c r="J454" s="34"/>
      <c r="K454" s="34">
        <f t="shared" si="95"/>
        <v>1906</v>
      </c>
      <c r="M454" s="10">
        <v>3</v>
      </c>
      <c r="N454" s="30">
        <v>45971</v>
      </c>
      <c r="O454" s="31">
        <f t="shared" ref="O454:O457" si="101">O453+1</f>
        <v>6296</v>
      </c>
      <c r="P454" s="32">
        <f>1252+614+19</f>
        <v>1885</v>
      </c>
      <c r="Q454" s="32"/>
      <c r="R454" s="32"/>
      <c r="S454" s="32">
        <f t="shared" si="96"/>
        <v>1885</v>
      </c>
      <c r="T454" s="12"/>
      <c r="U454" s="12"/>
      <c r="V454" s="12"/>
      <c r="W454" s="12">
        <f t="shared" si="97"/>
        <v>1885</v>
      </c>
      <c r="Y454" s="10">
        <v>3</v>
      </c>
      <c r="Z454" s="30">
        <v>45971</v>
      </c>
      <c r="AA454" s="31">
        <v>6370</v>
      </c>
      <c r="AB454" s="33">
        <v>181696</v>
      </c>
      <c r="AC454" s="33">
        <v>-1788</v>
      </c>
      <c r="AD454" s="32"/>
      <c r="AE454" s="32">
        <f t="shared" si="98"/>
        <v>179908</v>
      </c>
      <c r="AF454" s="12"/>
      <c r="AG454" s="12">
        <v>408</v>
      </c>
      <c r="AH454" s="12"/>
      <c r="AI454" s="12">
        <f t="shared" si="99"/>
        <v>180316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45971</v>
      </c>
      <c r="C455" s="31">
        <f t="shared" si="100"/>
        <v>6454</v>
      </c>
      <c r="D455" s="32">
        <f>3756+614</f>
        <v>4370</v>
      </c>
      <c r="E455" s="32"/>
      <c r="F455" s="32"/>
      <c r="G455" s="32">
        <f t="shared" si="94"/>
        <v>4370</v>
      </c>
      <c r="H455" s="12"/>
      <c r="I455" s="12"/>
      <c r="J455" s="12"/>
      <c r="K455" s="12">
        <f t="shared" si="95"/>
        <v>4370</v>
      </c>
      <c r="M455" s="10">
        <v>4</v>
      </c>
      <c r="N455" s="30">
        <v>45971</v>
      </c>
      <c r="O455" s="31">
        <f t="shared" si="101"/>
        <v>6297</v>
      </c>
      <c r="P455" s="32">
        <f>4382</f>
        <v>4382</v>
      </c>
      <c r="Q455" s="32"/>
      <c r="R455" s="32"/>
      <c r="S455" s="32">
        <f t="shared" si="96"/>
        <v>4382</v>
      </c>
      <c r="T455" s="12"/>
      <c r="U455" s="12">
        <v>9</v>
      </c>
      <c r="V455" s="12"/>
      <c r="W455" s="12">
        <f t="shared" si="97"/>
        <v>4391</v>
      </c>
      <c r="Y455" s="10">
        <v>4</v>
      </c>
      <c r="Z455" s="30"/>
      <c r="AA455" s="11" t="s">
        <v>28</v>
      </c>
      <c r="AB455" s="32"/>
      <c r="AC455" s="32"/>
      <c r="AD455" s="32"/>
      <c r="AE455" s="32">
        <f t="shared" si="98"/>
        <v>0</v>
      </c>
      <c r="AF455" s="12"/>
      <c r="AH455" s="12"/>
      <c r="AI455" s="12">
        <f t="shared" si="99"/>
        <v>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45971</v>
      </c>
      <c r="C456" s="31">
        <f t="shared" si="100"/>
        <v>6455</v>
      </c>
      <c r="D456" s="32">
        <f>15650+4172+832+229</f>
        <v>20883</v>
      </c>
      <c r="E456" s="32"/>
      <c r="F456" s="32"/>
      <c r="G456" s="32">
        <f t="shared" si="94"/>
        <v>20883</v>
      </c>
      <c r="H456" s="12"/>
      <c r="I456" s="12"/>
      <c r="J456" s="12"/>
      <c r="K456" s="12">
        <f t="shared" si="95"/>
        <v>20883</v>
      </c>
      <c r="M456" s="10">
        <v>5</v>
      </c>
      <c r="N456" s="30">
        <v>45971</v>
      </c>
      <c r="O456" s="31">
        <f t="shared" si="101"/>
        <v>6298</v>
      </c>
      <c r="P456" s="32">
        <f>135216+229*6</f>
        <v>136590</v>
      </c>
      <c r="Q456" s="32">
        <v>-1998</v>
      </c>
      <c r="R456" s="32"/>
      <c r="S456" s="32">
        <f t="shared" si="96"/>
        <v>134592</v>
      </c>
      <c r="T456" s="12"/>
      <c r="U456" s="12">
        <v>156</v>
      </c>
      <c r="V456" s="12">
        <f>-9546+-252</f>
        <v>-9798</v>
      </c>
      <c r="W456" s="12">
        <f t="shared" si="97"/>
        <v>124950</v>
      </c>
      <c r="Y456" s="10">
        <v>5</v>
      </c>
      <c r="Z456" s="30"/>
      <c r="AA456" s="31"/>
      <c r="AB456" s="32"/>
      <c r="AC456" s="32"/>
      <c r="AD456" s="32"/>
      <c r="AE456" s="32">
        <f t="shared" si="98"/>
        <v>0</v>
      </c>
      <c r="AF456" s="12"/>
      <c r="AG456" s="12"/>
      <c r="AH456" s="12"/>
      <c r="AI456" s="12">
        <f t="shared" si="99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45971</v>
      </c>
      <c r="C457" s="31">
        <f t="shared" si="100"/>
        <v>6456</v>
      </c>
      <c r="D457" s="32">
        <f>15650+2980</f>
        <v>18630</v>
      </c>
      <c r="E457" s="32"/>
      <c r="F457" s="32"/>
      <c r="G457" s="32">
        <f t="shared" si="94"/>
        <v>18630</v>
      </c>
      <c r="H457" s="12"/>
      <c r="I457" s="12"/>
      <c r="J457" s="12"/>
      <c r="K457" s="12">
        <f t="shared" si="95"/>
        <v>18630</v>
      </c>
      <c r="M457" s="10">
        <v>6</v>
      </c>
      <c r="N457" s="30">
        <v>45971</v>
      </c>
      <c r="O457" s="31">
        <f t="shared" si="101"/>
        <v>6299</v>
      </c>
      <c r="P457" s="32">
        <f>229</f>
        <v>229</v>
      </c>
      <c r="Q457" s="32"/>
      <c r="R457" s="32"/>
      <c r="S457" s="32">
        <f t="shared" si="96"/>
        <v>229</v>
      </c>
      <c r="T457" s="12"/>
      <c r="U457" s="12"/>
      <c r="V457" s="10"/>
      <c r="W457" s="12">
        <f t="shared" si="97"/>
        <v>229</v>
      </c>
      <c r="Y457" s="10">
        <v>6</v>
      </c>
      <c r="Z457" s="30"/>
      <c r="AA457" s="31"/>
      <c r="AB457" s="32"/>
      <c r="AC457" s="32"/>
      <c r="AD457" s="32"/>
      <c r="AE457" s="32">
        <f t="shared" si="98"/>
        <v>0</v>
      </c>
      <c r="AF457" s="12"/>
      <c r="AG457" s="12"/>
      <c r="AH457" s="10"/>
      <c r="AI457" s="12">
        <f t="shared" si="9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45971</v>
      </c>
      <c r="C458" s="31">
        <f t="shared" si="100"/>
        <v>6457</v>
      </c>
      <c r="D458" s="32">
        <f>8138+1348+2384+852+500</f>
        <v>13222</v>
      </c>
      <c r="E458" s="32"/>
      <c r="F458" s="32"/>
      <c r="G458" s="32">
        <f t="shared" si="94"/>
        <v>13222</v>
      </c>
      <c r="H458" s="12"/>
      <c r="I458" s="12">
        <v>12</v>
      </c>
      <c r="J458" s="12"/>
      <c r="K458" s="12">
        <f t="shared" si="95"/>
        <v>13234</v>
      </c>
      <c r="M458" s="10">
        <v>7</v>
      </c>
      <c r="N458" s="30">
        <v>45971</v>
      </c>
      <c r="O458" s="31">
        <v>6245</v>
      </c>
      <c r="P458" s="32">
        <f>40690+3070+14900+229</f>
        <v>58889</v>
      </c>
      <c r="Q458" s="32"/>
      <c r="R458" s="32"/>
      <c r="S458" s="32">
        <f t="shared" si="96"/>
        <v>58889</v>
      </c>
      <c r="T458" s="12"/>
      <c r="U458" s="12"/>
      <c r="V458" s="12"/>
      <c r="W458" s="12">
        <f t="shared" si="97"/>
        <v>58889</v>
      </c>
      <c r="Y458" s="10">
        <v>7</v>
      </c>
      <c r="Z458" s="30"/>
      <c r="AA458" s="31"/>
      <c r="AB458" s="32"/>
      <c r="AC458" s="32"/>
      <c r="AD458" s="32"/>
      <c r="AE458" s="32">
        <f t="shared" si="98"/>
        <v>0</v>
      </c>
      <c r="AF458" s="12"/>
      <c r="AG458" s="58"/>
      <c r="AH458" s="12"/>
      <c r="AI458" s="12">
        <f t="shared" si="9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45971</v>
      </c>
      <c r="C459" s="31">
        <f t="shared" si="100"/>
        <v>6458</v>
      </c>
      <c r="D459" s="32">
        <f>18780+1228+2384</f>
        <v>22392</v>
      </c>
      <c r="E459" s="32"/>
      <c r="F459" s="32"/>
      <c r="G459" s="32">
        <f t="shared" si="94"/>
        <v>22392</v>
      </c>
      <c r="H459" s="12"/>
      <c r="I459" s="12"/>
      <c r="J459" s="12"/>
      <c r="K459" s="12">
        <f t="shared" si="95"/>
        <v>22392</v>
      </c>
      <c r="M459" s="10">
        <v>8</v>
      </c>
      <c r="N459" s="30"/>
      <c r="O459" s="11" t="s">
        <v>28</v>
      </c>
      <c r="P459" s="32"/>
      <c r="Q459" s="32"/>
      <c r="R459" s="32"/>
      <c r="S459" s="32">
        <f t="shared" si="96"/>
        <v>0</v>
      </c>
      <c r="T459" s="12"/>
      <c r="U459" s="12"/>
      <c r="V459" s="12"/>
      <c r="W459" s="12">
        <f t="shared" si="97"/>
        <v>0</v>
      </c>
      <c r="Y459" s="10">
        <v>8</v>
      </c>
      <c r="Z459" s="30"/>
      <c r="AA459" s="31"/>
      <c r="AB459" s="32"/>
      <c r="AC459" s="32"/>
      <c r="AE459" s="32">
        <f t="shared" si="98"/>
        <v>0</v>
      </c>
      <c r="AF459" s="12"/>
      <c r="AG459" s="12"/>
      <c r="AH459" s="12"/>
      <c r="AI459" s="12">
        <f t="shared" si="9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45971</v>
      </c>
      <c r="C460" s="31">
        <f t="shared" si="100"/>
        <v>6459</v>
      </c>
      <c r="D460" s="32">
        <f>58218+5960+229+650</f>
        <v>65057</v>
      </c>
      <c r="E460" s="32"/>
      <c r="F460" s="32"/>
      <c r="G460" s="32">
        <f t="shared" si="94"/>
        <v>65057</v>
      </c>
      <c r="H460" s="12"/>
      <c r="I460" s="12">
        <f>252+4.5</f>
        <v>256.5</v>
      </c>
      <c r="J460" s="12">
        <v>-234</v>
      </c>
      <c r="K460" s="12">
        <f t="shared" si="95"/>
        <v>65079.5</v>
      </c>
      <c r="M460" s="10">
        <v>9</v>
      </c>
      <c r="N460" s="30"/>
      <c r="O460" s="31"/>
      <c r="P460" s="32"/>
      <c r="Q460" s="32"/>
      <c r="R460" s="32"/>
      <c r="S460" s="32">
        <f t="shared" si="96"/>
        <v>0</v>
      </c>
      <c r="T460" s="12"/>
      <c r="U460" s="12"/>
      <c r="V460" s="12"/>
      <c r="W460" s="12">
        <f t="shared" si="97"/>
        <v>0</v>
      </c>
      <c r="Y460" s="10">
        <v>9</v>
      </c>
      <c r="Z460" s="30"/>
      <c r="AA460" s="31"/>
      <c r="AB460" s="95"/>
      <c r="AC460" s="32"/>
      <c r="AD460" s="32"/>
      <c r="AE460" s="32">
        <f t="shared" si="98"/>
        <v>0</v>
      </c>
      <c r="AF460" s="12"/>
      <c r="AH460" s="12"/>
      <c r="AI460" s="12">
        <f t="shared" si="9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45971</v>
      </c>
      <c r="C461" s="31">
        <f t="shared" si="100"/>
        <v>6460</v>
      </c>
      <c r="D461" s="32">
        <f>1252+19</f>
        <v>1271</v>
      </c>
      <c r="E461" s="32"/>
      <c r="F461" s="32"/>
      <c r="G461" s="32">
        <f t="shared" si="94"/>
        <v>1271</v>
      </c>
      <c r="H461" s="12"/>
      <c r="I461" s="12"/>
      <c r="J461" s="12"/>
      <c r="K461" s="12">
        <f t="shared" si="95"/>
        <v>1271</v>
      </c>
      <c r="M461" s="10">
        <v>10</v>
      </c>
      <c r="N461" s="30"/>
      <c r="O461" s="31"/>
      <c r="P461" s="32"/>
      <c r="Q461" s="32"/>
      <c r="R461" s="32"/>
      <c r="S461" s="32">
        <f t="shared" si="96"/>
        <v>0</v>
      </c>
      <c r="T461" s="12"/>
      <c r="U461" s="12"/>
      <c r="V461" s="12"/>
      <c r="W461" s="12">
        <f t="shared" si="9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98"/>
        <v>0</v>
      </c>
      <c r="AF461" s="12"/>
      <c r="AG461" s="12"/>
      <c r="AH461" s="12"/>
      <c r="AI461" s="12">
        <f t="shared" si="9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45971</v>
      </c>
      <c r="C462" s="31">
        <f t="shared" si="100"/>
        <v>6461</v>
      </c>
      <c r="D462" s="32">
        <f>10642+161</f>
        <v>10803</v>
      </c>
      <c r="E462" s="32"/>
      <c r="F462" s="32"/>
      <c r="G462" s="32">
        <f t="shared" si="94"/>
        <v>10803</v>
      </c>
      <c r="H462" s="12"/>
      <c r="I462" s="12">
        <v>13</v>
      </c>
      <c r="J462" s="12"/>
      <c r="K462" s="12">
        <f t="shared" si="95"/>
        <v>10816</v>
      </c>
      <c r="M462" s="10">
        <v>11</v>
      </c>
      <c r="N462" s="30"/>
      <c r="O462" s="31"/>
      <c r="P462" s="32"/>
      <c r="Q462" s="32"/>
      <c r="R462" s="32"/>
      <c r="S462" s="32">
        <f t="shared" si="96"/>
        <v>0</v>
      </c>
      <c r="T462" s="12"/>
      <c r="U462" s="12"/>
      <c r="V462" s="12"/>
      <c r="W462" s="12">
        <f t="shared" si="97"/>
        <v>0</v>
      </c>
      <c r="Y462" s="10">
        <v>11</v>
      </c>
      <c r="Z462" s="30"/>
      <c r="AB462" s="32"/>
      <c r="AC462" s="32"/>
      <c r="AD462" s="32"/>
      <c r="AE462" s="32">
        <f t="shared" ref="AE462:AE490" si="102">SUM(AB462:AC462)</f>
        <v>0</v>
      </c>
      <c r="AF462" s="12"/>
      <c r="AG462" s="12"/>
      <c r="AH462" s="12"/>
      <c r="AI462" s="12">
        <f t="shared" si="9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45971</v>
      </c>
      <c r="C463" s="31">
        <f t="shared" si="100"/>
        <v>6462</v>
      </c>
      <c r="D463" s="32">
        <f>18780+229</f>
        <v>19009</v>
      </c>
      <c r="E463" s="32"/>
      <c r="F463" s="32"/>
      <c r="G463" s="32">
        <f t="shared" si="94"/>
        <v>19009</v>
      </c>
      <c r="H463" s="12"/>
      <c r="I463" s="12">
        <f>2220+13.5</f>
        <v>2233.5</v>
      </c>
      <c r="J463" s="10"/>
      <c r="K463" s="12">
        <f t="shared" si="95"/>
        <v>21242.5</v>
      </c>
      <c r="M463" s="10">
        <v>12</v>
      </c>
      <c r="N463" s="30"/>
      <c r="O463" s="31"/>
      <c r="P463" s="32"/>
      <c r="Q463" s="32"/>
      <c r="R463" s="32"/>
      <c r="S463" s="32">
        <f t="shared" si="96"/>
        <v>0</v>
      </c>
      <c r="T463" s="12"/>
      <c r="U463" s="12"/>
      <c r="V463" s="12"/>
      <c r="W463" s="12">
        <f t="shared" si="9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02"/>
        <v>0</v>
      </c>
      <c r="AF463" s="12"/>
      <c r="AG463" s="12"/>
      <c r="AH463" s="12"/>
      <c r="AI463" s="12">
        <f t="shared" si="9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45971</v>
      </c>
      <c r="C464" s="31">
        <f t="shared" si="100"/>
        <v>6463</v>
      </c>
      <c r="D464" s="32">
        <f>8138</f>
        <v>8138</v>
      </c>
      <c r="E464" s="32"/>
      <c r="F464" s="32"/>
      <c r="G464" s="32">
        <f t="shared" si="94"/>
        <v>8138</v>
      </c>
      <c r="H464" s="12"/>
      <c r="I464" s="12">
        <v>31</v>
      </c>
      <c r="J464" s="12"/>
      <c r="K464" s="12">
        <f t="shared" si="95"/>
        <v>8169</v>
      </c>
      <c r="M464" s="10">
        <v>13</v>
      </c>
      <c r="N464" s="30"/>
      <c r="O464" s="31"/>
      <c r="P464" s="32"/>
      <c r="Q464" s="32"/>
      <c r="R464" s="32"/>
      <c r="S464" s="32">
        <f t="shared" si="96"/>
        <v>0</v>
      </c>
      <c r="T464" s="12"/>
      <c r="U464" s="12"/>
      <c r="V464" s="12"/>
      <c r="W464" s="12">
        <f t="shared" si="9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02"/>
        <v>0</v>
      </c>
      <c r="AF464" s="12"/>
      <c r="AG464" s="12"/>
      <c r="AH464" s="12"/>
      <c r="AI464" s="12">
        <f t="shared" si="9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45971</v>
      </c>
      <c r="C465" s="31">
        <f t="shared" si="100"/>
        <v>6464</v>
      </c>
      <c r="D465" s="32">
        <f>134590+11920+916</f>
        <v>147426</v>
      </c>
      <c r="E465" s="32"/>
      <c r="F465" s="32"/>
      <c r="G465" s="32">
        <f t="shared" si="94"/>
        <v>147426</v>
      </c>
      <c r="H465" s="12"/>
      <c r="I465" s="12">
        <v>6105</v>
      </c>
      <c r="J465" s="12"/>
      <c r="K465" s="12">
        <f t="shared" si="95"/>
        <v>153531</v>
      </c>
      <c r="M465" s="10">
        <v>14</v>
      </c>
      <c r="N465" s="30"/>
      <c r="O465" s="31"/>
      <c r="P465" s="32"/>
      <c r="Q465" s="32"/>
      <c r="R465" s="32"/>
      <c r="S465" s="32">
        <f t="shared" si="96"/>
        <v>0</v>
      </c>
      <c r="T465" s="12"/>
      <c r="U465" s="12"/>
      <c r="V465" s="12"/>
      <c r="W465" s="12">
        <f t="shared" si="9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02"/>
        <v>0</v>
      </c>
      <c r="AF465" s="12"/>
      <c r="AG465" s="12"/>
      <c r="AH465" s="12"/>
      <c r="AI465" s="12">
        <f t="shared" si="9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45971</v>
      </c>
      <c r="C466" s="31">
        <f t="shared" si="100"/>
        <v>6465</v>
      </c>
      <c r="D466" s="32">
        <f>4382+66</f>
        <v>4448</v>
      </c>
      <c r="E466" s="32"/>
      <c r="F466" s="32"/>
      <c r="G466" s="32">
        <f t="shared" si="94"/>
        <v>4448</v>
      </c>
      <c r="H466" s="12"/>
      <c r="I466" s="12"/>
      <c r="J466" s="12"/>
      <c r="K466" s="12">
        <f t="shared" si="95"/>
        <v>4448</v>
      </c>
      <c r="M466" s="10">
        <v>15</v>
      </c>
      <c r="N466" s="30"/>
      <c r="O466" s="31"/>
      <c r="P466" s="32"/>
      <c r="Q466" s="32"/>
      <c r="R466" s="32"/>
      <c r="S466" s="32">
        <f t="shared" si="96"/>
        <v>0</v>
      </c>
      <c r="T466" s="12"/>
      <c r="U466" s="12"/>
      <c r="V466" s="12"/>
      <c r="W466" s="12">
        <f t="shared" si="9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02"/>
        <v>0</v>
      </c>
      <c r="AF466" s="12"/>
      <c r="AG466" s="12"/>
      <c r="AH466" s="12"/>
      <c r="AI466" s="12">
        <f t="shared" si="9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45971</v>
      </c>
      <c r="C467" s="31">
        <f t="shared" si="100"/>
        <v>6466</v>
      </c>
      <c r="D467" s="32">
        <f>27390+1704+2010+1664</f>
        <v>32768</v>
      </c>
      <c r="E467" s="32"/>
      <c r="F467" s="32"/>
      <c r="G467" s="32">
        <f t="shared" si="94"/>
        <v>32768</v>
      </c>
      <c r="H467" s="12"/>
      <c r="I467" s="12"/>
      <c r="J467" s="12"/>
      <c r="K467" s="12">
        <f t="shared" si="95"/>
        <v>32768</v>
      </c>
      <c r="M467" s="10">
        <v>16</v>
      </c>
      <c r="N467" s="30"/>
      <c r="O467" s="31"/>
      <c r="P467" s="32"/>
      <c r="Q467" s="32"/>
      <c r="R467" s="32"/>
      <c r="S467" s="32">
        <f t="shared" si="96"/>
        <v>0</v>
      </c>
      <c r="T467" s="12"/>
      <c r="U467" s="12"/>
      <c r="V467" s="12"/>
      <c r="W467" s="12">
        <f t="shared" si="9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02"/>
        <v>0</v>
      </c>
      <c r="AF467" s="12"/>
      <c r="AG467" s="12"/>
      <c r="AH467" s="12"/>
      <c r="AI467" s="12">
        <f t="shared" si="9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11" t="s">
        <v>28</v>
      </c>
      <c r="D468" s="32"/>
      <c r="E468" s="32"/>
      <c r="F468" s="32"/>
      <c r="G468" s="32">
        <f t="shared" si="94"/>
        <v>0</v>
      </c>
      <c r="H468" s="12"/>
      <c r="I468" s="12"/>
      <c r="J468" s="12"/>
      <c r="K468" s="12">
        <f t="shared" si="95"/>
        <v>0</v>
      </c>
      <c r="M468" s="10">
        <v>17</v>
      </c>
      <c r="N468" s="30"/>
      <c r="O468" s="31"/>
      <c r="P468" s="35"/>
      <c r="Q468" s="32"/>
      <c r="R468" s="32"/>
      <c r="S468" s="32">
        <f t="shared" si="96"/>
        <v>0</v>
      </c>
      <c r="T468" s="12"/>
      <c r="U468" s="12"/>
      <c r="V468" s="12"/>
      <c r="W468" s="12">
        <f t="shared" si="97"/>
        <v>0</v>
      </c>
      <c r="Y468" s="10">
        <v>17</v>
      </c>
      <c r="Z468" s="30"/>
      <c r="AB468" s="35"/>
      <c r="AC468" s="32"/>
      <c r="AD468" s="32"/>
      <c r="AE468" s="32">
        <f t="shared" si="102"/>
        <v>0</v>
      </c>
      <c r="AF468" s="12"/>
      <c r="AG468" s="12"/>
      <c r="AH468" s="12"/>
      <c r="AI468" s="12">
        <f t="shared" si="9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94"/>
        <v>0</v>
      </c>
      <c r="H469" s="12"/>
      <c r="I469" s="12"/>
      <c r="J469" s="12"/>
      <c r="K469" s="12">
        <f t="shared" si="95"/>
        <v>0</v>
      </c>
      <c r="M469" s="10">
        <v>18</v>
      </c>
      <c r="N469" s="30"/>
      <c r="O469" s="31"/>
      <c r="P469" s="32"/>
      <c r="Q469" s="32"/>
      <c r="R469" s="32"/>
      <c r="S469" s="32">
        <f t="shared" si="96"/>
        <v>0</v>
      </c>
      <c r="T469" s="12"/>
      <c r="U469" s="12"/>
      <c r="V469" s="12"/>
      <c r="W469" s="12">
        <f t="shared" si="9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02"/>
        <v>0</v>
      </c>
      <c r="AF469" s="12"/>
      <c r="AG469" s="12"/>
      <c r="AH469" s="12"/>
      <c r="AI469" s="12">
        <f t="shared" si="9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94"/>
        <v>0</v>
      </c>
      <c r="H470" s="12"/>
      <c r="I470" s="12"/>
      <c r="J470" s="12"/>
      <c r="K470" s="12">
        <f t="shared" si="95"/>
        <v>0</v>
      </c>
      <c r="M470" s="10">
        <v>19</v>
      </c>
      <c r="N470" s="30"/>
      <c r="P470" s="32"/>
      <c r="Q470" s="32"/>
      <c r="R470" s="32"/>
      <c r="S470" s="32">
        <f t="shared" si="96"/>
        <v>0</v>
      </c>
      <c r="T470" s="12"/>
      <c r="U470" s="12"/>
      <c r="V470" s="12"/>
      <c r="W470" s="12">
        <f t="shared" si="9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02"/>
        <v>0</v>
      </c>
      <c r="AF470" s="12"/>
      <c r="AG470" s="12"/>
      <c r="AH470" s="12"/>
      <c r="AI470" s="12">
        <f t="shared" si="9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94"/>
        <v>0</v>
      </c>
      <c r="H471" s="12"/>
      <c r="I471" s="12"/>
      <c r="J471" s="12"/>
      <c r="K471" s="12">
        <f t="shared" si="95"/>
        <v>0</v>
      </c>
      <c r="M471" s="10">
        <v>20</v>
      </c>
      <c r="N471" s="30"/>
      <c r="O471" s="31"/>
      <c r="P471" s="32"/>
      <c r="Q471" s="32"/>
      <c r="R471" s="32"/>
      <c r="S471" s="32">
        <f t="shared" si="96"/>
        <v>0</v>
      </c>
      <c r="T471" s="12"/>
      <c r="U471" s="12"/>
      <c r="V471" s="12"/>
      <c r="W471" s="12">
        <f t="shared" si="9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02"/>
        <v>0</v>
      </c>
      <c r="AF471" s="12"/>
      <c r="AG471" s="12"/>
      <c r="AH471" s="12"/>
      <c r="AI471" s="12">
        <f t="shared" si="9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94"/>
        <v>0</v>
      </c>
      <c r="H472" s="10"/>
      <c r="I472" s="10"/>
      <c r="J472" s="10"/>
      <c r="K472" s="12">
        <f t="shared" si="95"/>
        <v>0</v>
      </c>
      <c r="M472" s="10">
        <v>21</v>
      </c>
      <c r="N472" s="30"/>
      <c r="O472" s="31"/>
      <c r="P472" s="46"/>
      <c r="Q472" s="31"/>
      <c r="R472" s="31"/>
      <c r="S472" s="32">
        <f t="shared" si="96"/>
        <v>0</v>
      </c>
      <c r="T472" s="10"/>
      <c r="U472" s="10"/>
      <c r="V472" s="10"/>
      <c r="W472" s="12">
        <f t="shared" si="9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02"/>
        <v>0</v>
      </c>
      <c r="AF472" s="10"/>
      <c r="AG472" s="10"/>
      <c r="AH472" s="10"/>
      <c r="AI472" s="12">
        <f t="shared" si="9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31"/>
      <c r="D473" s="32"/>
      <c r="E473" s="32"/>
      <c r="F473" s="32"/>
      <c r="G473" s="32">
        <f t="shared" si="94"/>
        <v>0</v>
      </c>
      <c r="H473" s="10"/>
      <c r="I473" s="10"/>
      <c r="J473" s="10"/>
      <c r="K473" s="12">
        <f t="shared" si="95"/>
        <v>0</v>
      </c>
      <c r="M473" s="10">
        <v>22</v>
      </c>
      <c r="N473" s="30"/>
      <c r="O473" s="31"/>
      <c r="P473" s="45"/>
      <c r="Q473" s="31"/>
      <c r="R473" s="31"/>
      <c r="S473" s="32">
        <f t="shared" si="96"/>
        <v>0</v>
      </c>
      <c r="T473" s="10"/>
      <c r="U473" s="10"/>
      <c r="V473" s="10"/>
      <c r="W473" s="12">
        <f t="shared" si="9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02"/>
        <v>0</v>
      </c>
      <c r="AF473" s="10"/>
      <c r="AG473" s="10"/>
      <c r="AH473" s="10"/>
      <c r="AI473" s="12">
        <f t="shared" si="9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94"/>
        <v>0</v>
      </c>
      <c r="H474" s="10"/>
      <c r="I474" s="10"/>
      <c r="J474" s="12"/>
      <c r="K474" s="12">
        <f t="shared" si="95"/>
        <v>0</v>
      </c>
      <c r="M474" s="10">
        <v>23</v>
      </c>
      <c r="N474" s="30"/>
      <c r="O474" s="31"/>
      <c r="P474" s="47"/>
      <c r="Q474" s="31"/>
      <c r="S474" s="32">
        <f t="shared" si="96"/>
        <v>0</v>
      </c>
      <c r="T474" s="10"/>
      <c r="U474" s="10"/>
      <c r="V474" s="10"/>
      <c r="W474" s="12">
        <f t="shared" si="97"/>
        <v>0</v>
      </c>
      <c r="Y474" s="10">
        <v>23</v>
      </c>
      <c r="Z474" s="30"/>
      <c r="AA474" s="31"/>
      <c r="AB474" s="47"/>
      <c r="AE474" s="32">
        <f t="shared" si="102"/>
        <v>0</v>
      </c>
      <c r="AF474" s="10"/>
      <c r="AG474" s="10"/>
      <c r="AH474" s="10"/>
      <c r="AI474" s="12">
        <f t="shared" si="9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94"/>
        <v>0</v>
      </c>
      <c r="H475" s="10"/>
      <c r="I475" s="10"/>
      <c r="J475" s="10"/>
      <c r="K475" s="12">
        <f t="shared" si="95"/>
        <v>0</v>
      </c>
      <c r="M475" s="10">
        <v>24</v>
      </c>
      <c r="N475" s="30"/>
      <c r="O475" s="31"/>
      <c r="P475" s="47"/>
      <c r="Q475" s="31"/>
      <c r="R475" s="31"/>
      <c r="S475" s="32">
        <f t="shared" si="96"/>
        <v>0</v>
      </c>
      <c r="T475" s="10"/>
      <c r="U475" s="10"/>
      <c r="V475" s="10"/>
      <c r="W475" s="12">
        <f t="shared" si="9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02"/>
        <v>0</v>
      </c>
      <c r="AF475" s="10"/>
      <c r="AG475" s="10"/>
      <c r="AH475" s="10"/>
      <c r="AI475" s="12">
        <f t="shared" si="9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94"/>
        <v>0</v>
      </c>
      <c r="H476" s="10"/>
      <c r="I476" s="10"/>
      <c r="J476" s="10"/>
      <c r="K476" s="12">
        <f t="shared" si="95"/>
        <v>0</v>
      </c>
      <c r="M476" s="10">
        <v>25</v>
      </c>
      <c r="N476" s="30"/>
      <c r="O476" s="31"/>
      <c r="P476" s="47"/>
      <c r="Q476" s="31"/>
      <c r="R476" s="31"/>
      <c r="S476" s="32">
        <f t="shared" si="96"/>
        <v>0</v>
      </c>
      <c r="T476" s="10"/>
      <c r="U476" s="10"/>
      <c r="V476" s="10"/>
      <c r="W476" s="12">
        <f t="shared" si="9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02"/>
        <v>0</v>
      </c>
      <c r="AF476" s="10"/>
      <c r="AG476" s="10"/>
      <c r="AH476" s="10"/>
      <c r="AI476" s="12">
        <f t="shared" si="9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94"/>
        <v>0</v>
      </c>
      <c r="H477" s="10"/>
      <c r="I477" s="10"/>
      <c r="J477" s="10"/>
      <c r="K477" s="12">
        <f t="shared" si="95"/>
        <v>0</v>
      </c>
      <c r="M477" s="10">
        <v>26</v>
      </c>
      <c r="N477" s="30"/>
      <c r="P477" s="47"/>
      <c r="Q477" s="31"/>
      <c r="R477" s="31"/>
      <c r="S477" s="32">
        <f t="shared" si="96"/>
        <v>0</v>
      </c>
      <c r="T477" s="10"/>
      <c r="U477" s="10"/>
      <c r="V477" s="10"/>
      <c r="W477" s="12">
        <f t="shared" si="9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02"/>
        <v>0</v>
      </c>
      <c r="AF477" s="10"/>
      <c r="AG477" s="10"/>
      <c r="AH477" s="10"/>
      <c r="AI477" s="12">
        <f t="shared" si="9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94"/>
        <v>0</v>
      </c>
      <c r="H478" s="10"/>
      <c r="I478" s="10"/>
      <c r="J478" s="10"/>
      <c r="K478" s="12">
        <f t="shared" si="95"/>
        <v>0</v>
      </c>
      <c r="M478" s="10">
        <v>27</v>
      </c>
      <c r="N478" s="30"/>
      <c r="O478" s="31"/>
      <c r="P478" s="47"/>
      <c r="Q478" s="31"/>
      <c r="R478" s="31"/>
      <c r="S478" s="32">
        <f t="shared" si="96"/>
        <v>0</v>
      </c>
      <c r="T478" s="10"/>
      <c r="U478" s="10"/>
      <c r="V478" s="10"/>
      <c r="W478" s="12">
        <f t="shared" si="9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02"/>
        <v>0</v>
      </c>
      <c r="AF478" s="10"/>
      <c r="AG478" s="10"/>
      <c r="AH478" s="10"/>
      <c r="AI478" s="12">
        <f t="shared" si="9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D479" s="32"/>
      <c r="E479" s="32"/>
      <c r="F479" s="32"/>
      <c r="G479" s="32">
        <f t="shared" si="94"/>
        <v>0</v>
      </c>
      <c r="H479" s="10"/>
      <c r="I479" s="10"/>
      <c r="J479" s="10"/>
      <c r="K479" s="12">
        <f t="shared" si="95"/>
        <v>0</v>
      </c>
      <c r="M479" s="10">
        <v>28</v>
      </c>
      <c r="N479" s="30"/>
      <c r="O479" s="31"/>
      <c r="P479" s="47"/>
      <c r="Q479" s="31"/>
      <c r="R479" s="31"/>
      <c r="S479" s="32">
        <f t="shared" si="96"/>
        <v>0</v>
      </c>
      <c r="T479" s="10"/>
      <c r="U479" s="10"/>
      <c r="V479" s="10"/>
      <c r="W479" s="12">
        <f t="shared" si="9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02"/>
        <v>0</v>
      </c>
      <c r="AF479" s="10"/>
      <c r="AG479" s="10"/>
      <c r="AH479" s="10"/>
      <c r="AI479" s="12">
        <f t="shared" si="9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31"/>
      <c r="D480" s="32"/>
      <c r="E480" s="32"/>
      <c r="F480" s="32"/>
      <c r="G480" s="32">
        <f t="shared" si="94"/>
        <v>0</v>
      </c>
      <c r="H480" s="10"/>
      <c r="I480" s="10"/>
      <c r="J480" s="10"/>
      <c r="K480" s="12">
        <f t="shared" si="95"/>
        <v>0</v>
      </c>
      <c r="M480" s="10">
        <v>29</v>
      </c>
      <c r="N480" s="30"/>
      <c r="O480" s="31"/>
      <c r="P480" s="47"/>
      <c r="Q480" s="31"/>
      <c r="R480" s="31"/>
      <c r="S480" s="32">
        <f t="shared" si="96"/>
        <v>0</v>
      </c>
      <c r="T480" s="10"/>
      <c r="U480" s="10"/>
      <c r="V480" s="10"/>
      <c r="W480" s="12">
        <f t="shared" si="9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02"/>
        <v>0</v>
      </c>
      <c r="AF480" s="10"/>
      <c r="AG480" s="10"/>
      <c r="AH480" s="10"/>
      <c r="AI480" s="12">
        <f t="shared" si="9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11"/>
      <c r="D481" s="32"/>
      <c r="E481" s="32"/>
      <c r="F481" s="32"/>
      <c r="G481" s="32">
        <f t="shared" si="94"/>
        <v>0</v>
      </c>
      <c r="H481" s="10"/>
      <c r="I481" s="10"/>
      <c r="J481" s="10"/>
      <c r="K481" s="12">
        <f t="shared" si="95"/>
        <v>0</v>
      </c>
      <c r="M481" s="10">
        <v>30</v>
      </c>
      <c r="N481" s="30"/>
      <c r="P481" s="47"/>
      <c r="Q481" s="31"/>
      <c r="R481" s="31"/>
      <c r="S481" s="32">
        <f t="shared" si="96"/>
        <v>0</v>
      </c>
      <c r="T481" s="10"/>
      <c r="U481" s="10"/>
      <c r="V481" s="10"/>
      <c r="W481" s="12">
        <f t="shared" si="9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02"/>
        <v>0</v>
      </c>
      <c r="AF481" s="10"/>
      <c r="AG481" s="10"/>
      <c r="AH481" s="10"/>
      <c r="AI481" s="12">
        <f t="shared" si="9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57"/>
      <c r="D482" s="32"/>
      <c r="E482" s="32"/>
      <c r="F482" s="32"/>
      <c r="G482" s="32">
        <f t="shared" si="94"/>
        <v>0</v>
      </c>
      <c r="H482" s="10"/>
      <c r="I482" s="10"/>
      <c r="J482" s="10"/>
      <c r="K482" s="12">
        <f t="shared" si="95"/>
        <v>0</v>
      </c>
      <c r="M482" s="10">
        <v>31</v>
      </c>
      <c r="N482" s="30"/>
      <c r="O482" s="31"/>
      <c r="P482" s="47"/>
      <c r="Q482" s="31"/>
      <c r="R482" s="31"/>
      <c r="S482" s="32">
        <f t="shared" si="96"/>
        <v>0</v>
      </c>
      <c r="T482" s="10"/>
      <c r="U482" s="10"/>
      <c r="V482" s="10"/>
      <c r="W482" s="12">
        <f t="shared" si="9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02"/>
        <v>0</v>
      </c>
      <c r="AF482" s="10"/>
      <c r="AG482" s="10"/>
      <c r="AH482" s="10"/>
      <c r="AI482" s="12">
        <f t="shared" si="9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31"/>
      <c r="D483" s="32"/>
      <c r="E483" s="32"/>
      <c r="F483" s="32"/>
      <c r="G483" s="32">
        <f t="shared" si="94"/>
        <v>0</v>
      </c>
      <c r="H483" s="10"/>
      <c r="I483" s="10"/>
      <c r="J483" s="10"/>
      <c r="K483" s="12">
        <f t="shared" si="95"/>
        <v>0</v>
      </c>
      <c r="M483" s="10">
        <v>32</v>
      </c>
      <c r="N483" s="30"/>
      <c r="O483" s="31"/>
      <c r="P483" s="47"/>
      <c r="Q483" s="31"/>
      <c r="R483" s="31"/>
      <c r="S483" s="32">
        <f t="shared" si="96"/>
        <v>0</v>
      </c>
      <c r="T483" s="10"/>
      <c r="U483" s="10"/>
      <c r="V483" s="10"/>
      <c r="W483" s="12">
        <f t="shared" si="9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02"/>
        <v>0</v>
      </c>
      <c r="AF483" s="10"/>
      <c r="AG483" s="10"/>
      <c r="AH483" s="10"/>
      <c r="AI483" s="12">
        <f t="shared" si="9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57"/>
      <c r="D484" s="32"/>
      <c r="E484" s="32"/>
      <c r="F484" s="32"/>
      <c r="G484" s="32">
        <f t="shared" si="94"/>
        <v>0</v>
      </c>
      <c r="H484" s="10"/>
      <c r="I484" s="10"/>
      <c r="J484" s="10"/>
      <c r="K484" s="12">
        <f t="shared" si="95"/>
        <v>0</v>
      </c>
      <c r="M484" s="10">
        <v>33</v>
      </c>
      <c r="N484" s="30"/>
      <c r="O484" s="31"/>
      <c r="P484" s="47"/>
      <c r="Q484" s="31"/>
      <c r="R484" s="31"/>
      <c r="S484" s="32">
        <f t="shared" si="96"/>
        <v>0</v>
      </c>
      <c r="T484" s="10"/>
      <c r="U484" s="10"/>
      <c r="V484" s="10"/>
      <c r="W484" s="12">
        <f t="shared" si="9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02"/>
        <v>0</v>
      </c>
      <c r="AF484" s="10"/>
      <c r="AG484" s="10"/>
      <c r="AH484" s="10"/>
      <c r="AI484" s="12">
        <f t="shared" si="9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57"/>
      <c r="D485" s="32"/>
      <c r="E485" s="32"/>
      <c r="F485" s="32"/>
      <c r="G485" s="32">
        <f t="shared" si="94"/>
        <v>0</v>
      </c>
      <c r="H485" s="10"/>
      <c r="I485" s="10"/>
      <c r="J485" s="10"/>
      <c r="K485" s="12">
        <f t="shared" si="95"/>
        <v>0</v>
      </c>
      <c r="M485" s="10">
        <v>34</v>
      </c>
      <c r="N485" s="30"/>
      <c r="O485" s="31"/>
      <c r="P485" s="47"/>
      <c r="Q485" s="31"/>
      <c r="R485" s="31"/>
      <c r="S485" s="32">
        <f t="shared" si="96"/>
        <v>0</v>
      </c>
      <c r="T485" s="10"/>
      <c r="U485" s="10"/>
      <c r="V485" s="10"/>
      <c r="W485" s="12">
        <f t="shared" si="97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02"/>
        <v>0</v>
      </c>
      <c r="AF485" s="10"/>
      <c r="AG485" s="10"/>
      <c r="AH485" s="10"/>
      <c r="AI485" s="12">
        <f t="shared" si="9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96"/>
        <v>0</v>
      </c>
      <c r="T486" s="10"/>
      <c r="U486" s="10"/>
      <c r="V486" s="10"/>
      <c r="W486" s="12">
        <f t="shared" si="9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02"/>
        <v>0</v>
      </c>
      <c r="AF486" s="10"/>
      <c r="AG486" s="10"/>
      <c r="AH486" s="10"/>
      <c r="AI486" s="12">
        <f t="shared" si="9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96"/>
        <v>0</v>
      </c>
      <c r="T487" s="10"/>
      <c r="U487" s="10"/>
      <c r="V487" s="10"/>
      <c r="W487" s="12">
        <f t="shared" si="9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02"/>
        <v>0</v>
      </c>
      <c r="AF487" s="10"/>
      <c r="AG487" s="10"/>
      <c r="AH487" s="10"/>
      <c r="AI487" s="12">
        <f t="shared" si="9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96"/>
        <v>0</v>
      </c>
      <c r="T488" s="10"/>
      <c r="U488" s="10"/>
      <c r="V488" s="10"/>
      <c r="W488" s="12">
        <f t="shared" si="9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02"/>
        <v>0</v>
      </c>
      <c r="AF488" s="10"/>
      <c r="AG488" s="10"/>
      <c r="AH488" s="10"/>
      <c r="AI488" s="12">
        <f t="shared" si="9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96"/>
        <v>0</v>
      </c>
      <c r="T489" s="10"/>
      <c r="U489" s="10"/>
      <c r="V489" s="10"/>
      <c r="W489" s="12">
        <f t="shared" si="9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02"/>
        <v>0</v>
      </c>
      <c r="AF489" s="10"/>
      <c r="AG489" s="10"/>
      <c r="AH489" s="10"/>
      <c r="AI489" s="12">
        <f t="shared" si="9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96"/>
        <v>0</v>
      </c>
      <c r="T490" s="10"/>
      <c r="U490" s="10"/>
      <c r="V490" s="10"/>
      <c r="W490" s="12">
        <f t="shared" si="9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02"/>
        <v>0</v>
      </c>
      <c r="AF490" s="10"/>
      <c r="AG490" s="10"/>
      <c r="AH490" s="10"/>
      <c r="AI490" s="12">
        <f t="shared" si="9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9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9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03">SUM(D492:E492)</f>
        <v>0</v>
      </c>
      <c r="H492" s="10"/>
      <c r="I492" s="10"/>
      <c r="J492" s="10"/>
      <c r="K492" s="12">
        <f t="shared" ref="K492" si="104">SUM(G492:J492)</f>
        <v>0</v>
      </c>
      <c r="M492" s="10"/>
      <c r="N492" s="30"/>
      <c r="O492" s="31"/>
      <c r="P492" s="47"/>
      <c r="Q492" s="31"/>
      <c r="R492" s="31"/>
      <c r="S492" s="32">
        <f t="shared" ref="S492" si="105">SUM(P492:Q492)</f>
        <v>0</v>
      </c>
      <c r="T492" s="10"/>
      <c r="U492" s="10"/>
      <c r="V492" s="10"/>
      <c r="W492" s="12">
        <f t="shared" si="97"/>
        <v>0</v>
      </c>
      <c r="Y492" s="10"/>
      <c r="Z492" s="30"/>
      <c r="AA492" s="31"/>
      <c r="AB492" s="47"/>
      <c r="AC492" s="31"/>
      <c r="AD492" s="31"/>
      <c r="AE492" s="32">
        <f t="shared" ref="AE492" si="106">SUM(AB492:AC492)</f>
        <v>0</v>
      </c>
      <c r="AF492" s="10"/>
      <c r="AG492" s="10"/>
      <c r="AH492" s="10"/>
      <c r="AI492" s="12">
        <f t="shared" si="9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9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9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376468</v>
      </c>
      <c r="E495" s="38">
        <f t="shared" ref="E495:F495" si="107">SUM(E452:E492)</f>
        <v>0</v>
      </c>
      <c r="F495" s="38">
        <f t="shared" si="107"/>
        <v>0</v>
      </c>
      <c r="G495" s="38">
        <f>SUM(G452:G494)</f>
        <v>376468</v>
      </c>
      <c r="H495" s="4"/>
      <c r="I495" s="39">
        <f>SUM(I452:I494)</f>
        <v>8651</v>
      </c>
      <c r="J495" s="39">
        <f>SUM(J452:J494)</f>
        <v>-234</v>
      </c>
      <c r="K495" s="40">
        <f>SUM(K452:K494)</f>
        <v>384885</v>
      </c>
      <c r="N495" s="57"/>
      <c r="O495" s="57"/>
      <c r="P495" s="38">
        <f>SUM(P452:P494)</f>
        <v>216873</v>
      </c>
      <c r="Q495" s="38">
        <f>SUM(Q452:Q476)</f>
        <v>-1998</v>
      </c>
      <c r="R495" s="38">
        <f>SUM(R452:R476)</f>
        <v>0</v>
      </c>
      <c r="S495" s="38">
        <f>SUM(S452:S494)</f>
        <v>214875</v>
      </c>
      <c r="T495" s="4"/>
      <c r="U495" s="41">
        <f>SUM(U452:U494)</f>
        <v>165</v>
      </c>
      <c r="V495" s="41">
        <f>SUM(V452:V476)</f>
        <v>-9798</v>
      </c>
      <c r="W495" s="42">
        <f>SUM(W452:W494)</f>
        <v>205242</v>
      </c>
      <c r="Z495" s="57"/>
      <c r="AA495" s="57"/>
      <c r="AB495" s="38">
        <f>SUM(AB452:AB494)</f>
        <v>243953.5</v>
      </c>
      <c r="AC495" s="38">
        <f>SUM(AC452:AC476)</f>
        <v>-1788</v>
      </c>
      <c r="AD495" s="38">
        <f>SUM(AD452:AD476)</f>
        <v>0</v>
      </c>
      <c r="AE495" s="38">
        <f>SUM(AE452:AE494)</f>
        <v>242165.5</v>
      </c>
      <c r="AF495" s="4"/>
      <c r="AG495" s="41">
        <f>SUM(AG452:AG494)</f>
        <v>6036</v>
      </c>
      <c r="AH495" s="41">
        <f>SUM(AH452:AH476)</f>
        <v>0</v>
      </c>
      <c r="AI495" s="42">
        <f>SUM(AI452:AI494)</f>
        <v>248201.5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29</v>
      </c>
      <c r="B498" s="57"/>
      <c r="C498" s="57"/>
      <c r="D498" s="57"/>
      <c r="E498" s="57"/>
      <c r="G498" s="57"/>
      <c r="M498" t="s">
        <v>29</v>
      </c>
      <c r="N498" s="57"/>
      <c r="O498" s="57"/>
      <c r="P498" s="57"/>
      <c r="Q498" s="57"/>
      <c r="R498" s="57"/>
      <c r="S498" s="57"/>
      <c r="Y498" t="s">
        <v>29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15</v>
      </c>
      <c r="B500" s="57"/>
      <c r="C500" s="57"/>
      <c r="D500" s="57"/>
      <c r="E500" s="57"/>
      <c r="G500" s="57"/>
      <c r="M500" s="4" t="s">
        <v>15</v>
      </c>
      <c r="N500" s="57"/>
      <c r="O500" s="57"/>
      <c r="P500" s="57"/>
      <c r="Q500" s="57"/>
      <c r="R500" s="57"/>
      <c r="S500" s="57"/>
      <c r="Y500" s="4" t="s">
        <v>15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16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16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16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17</v>
      </c>
      <c r="J503" s="23" t="s">
        <v>36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17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17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4" t="s">
        <v>18</v>
      </c>
      <c r="E505" s="124"/>
      <c r="F505" s="99"/>
      <c r="G505" s="27"/>
      <c r="I505" s="122" t="s">
        <v>19</v>
      </c>
      <c r="J505" s="123"/>
      <c r="K505" s="120" t="s">
        <v>20</v>
      </c>
      <c r="N505" s="25"/>
      <c r="O505" s="26"/>
      <c r="P505" s="124" t="s">
        <v>18</v>
      </c>
      <c r="Q505" s="124"/>
      <c r="R505" s="100"/>
      <c r="S505" s="27"/>
      <c r="U505" s="122" t="s">
        <v>19</v>
      </c>
      <c r="V505" s="123"/>
      <c r="W505" s="120" t="s">
        <v>20</v>
      </c>
      <c r="Z505" s="25"/>
      <c r="AA505" s="26"/>
      <c r="AB505" s="124" t="s">
        <v>18</v>
      </c>
      <c r="AC505" s="124"/>
      <c r="AD505" s="101"/>
      <c r="AE505" s="27"/>
      <c r="AG505" s="122" t="s">
        <v>19</v>
      </c>
      <c r="AH505" s="123"/>
      <c r="AI505" s="120" t="s">
        <v>20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21</v>
      </c>
      <c r="C506" s="28" t="s">
        <v>22</v>
      </c>
      <c r="D506" s="79" t="s">
        <v>23</v>
      </c>
      <c r="E506" s="78" t="s">
        <v>24</v>
      </c>
      <c r="F506" s="80" t="s">
        <v>35</v>
      </c>
      <c r="G506" s="80" t="s">
        <v>25</v>
      </c>
      <c r="I506" s="29" t="s">
        <v>26</v>
      </c>
      <c r="J506" s="29" t="s">
        <v>27</v>
      </c>
      <c r="K506" s="121"/>
      <c r="N506" s="28" t="s">
        <v>21</v>
      </c>
      <c r="O506" s="28" t="s">
        <v>22</v>
      </c>
      <c r="P506" s="79" t="s">
        <v>23</v>
      </c>
      <c r="Q506" s="80" t="s">
        <v>24</v>
      </c>
      <c r="R506" s="80" t="s">
        <v>35</v>
      </c>
      <c r="S506" s="80" t="s">
        <v>25</v>
      </c>
      <c r="U506" s="29" t="s">
        <v>26</v>
      </c>
      <c r="V506" s="29" t="s">
        <v>27</v>
      </c>
      <c r="W506" s="121"/>
      <c r="Z506" s="28" t="s">
        <v>21</v>
      </c>
      <c r="AA506" s="28" t="s">
        <v>22</v>
      </c>
      <c r="AB506" s="79" t="s">
        <v>23</v>
      </c>
      <c r="AC506" s="80" t="s">
        <v>24</v>
      </c>
      <c r="AD506" s="80" t="s">
        <v>35</v>
      </c>
      <c r="AE506" s="80" t="s">
        <v>25</v>
      </c>
      <c r="AG506" s="29" t="s">
        <v>26</v>
      </c>
      <c r="AH506" s="29" t="s">
        <v>27</v>
      </c>
      <c r="AI506" s="121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63</v>
      </c>
      <c r="C507" s="31">
        <v>6345</v>
      </c>
      <c r="D507" s="32">
        <f>37560+1228+4172</f>
        <v>42960</v>
      </c>
      <c r="E507" s="32"/>
      <c r="F507" s="32"/>
      <c r="G507" s="32">
        <f t="shared" ref="G507:G540" si="108">SUM(D507:E507)</f>
        <v>42960</v>
      </c>
      <c r="H507" s="12"/>
      <c r="I507" s="12">
        <v>270</v>
      </c>
      <c r="J507" s="12"/>
      <c r="K507" s="12">
        <f t="shared" ref="K507:K540" si="109">SUM(G507:J507)</f>
        <v>43230</v>
      </c>
      <c r="M507" s="10">
        <v>1</v>
      </c>
      <c r="N507" s="30" t="s">
        <v>63</v>
      </c>
      <c r="O507" s="31">
        <v>6246</v>
      </c>
      <c r="P507" s="32">
        <f>8138+596+687</f>
        <v>9421</v>
      </c>
      <c r="Q507" s="32"/>
      <c r="R507" s="32"/>
      <c r="S507" s="32">
        <f>SUM(P507:Q507)</f>
        <v>9421</v>
      </c>
      <c r="T507" s="12"/>
      <c r="U507" s="12"/>
      <c r="V507" s="12"/>
      <c r="W507" s="12">
        <f>SUM(S507:V507)</f>
        <v>9421</v>
      </c>
      <c r="Y507" s="10">
        <v>1</v>
      </c>
      <c r="Z507" s="30">
        <v>45971</v>
      </c>
      <c r="AA507" s="31">
        <v>6371</v>
      </c>
      <c r="AB507" s="32">
        <f>7512+5960+458</f>
        <v>13930</v>
      </c>
      <c r="AC507" s="32"/>
      <c r="AD507" s="32"/>
      <c r="AE507" s="32">
        <f>SUM(AB507:AC507)</f>
        <v>13930</v>
      </c>
      <c r="AF507" s="12"/>
      <c r="AG507" s="12"/>
      <c r="AH507" s="12">
        <v>-888</v>
      </c>
      <c r="AI507" s="12">
        <f>SUM(AE507:AH507)</f>
        <v>13042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63</v>
      </c>
      <c r="C508" s="31">
        <f>C507+1</f>
        <v>6346</v>
      </c>
      <c r="D508" s="32">
        <f>626+614+9.5</f>
        <v>1249.5</v>
      </c>
      <c r="E508" s="32"/>
      <c r="F508" s="32"/>
      <c r="G508" s="32">
        <f t="shared" si="108"/>
        <v>1249.5</v>
      </c>
      <c r="H508" s="12"/>
      <c r="I508" s="12"/>
      <c r="J508" s="12"/>
      <c r="K508" s="12">
        <f t="shared" si="109"/>
        <v>1249.5</v>
      </c>
      <c r="M508" s="10">
        <v>2</v>
      </c>
      <c r="N508" s="30" t="s">
        <v>63</v>
      </c>
      <c r="O508" s="31">
        <f>O507+1</f>
        <v>6247</v>
      </c>
      <c r="P508" s="32">
        <f>3756+1192+76</f>
        <v>5024</v>
      </c>
      <c r="Q508" s="32"/>
      <c r="R508" s="32"/>
      <c r="S508" s="32">
        <f t="shared" ref="S508:S545" si="110">SUM(P508:Q508)</f>
        <v>5024</v>
      </c>
      <c r="T508" s="12"/>
      <c r="U508" s="12"/>
      <c r="V508" s="12"/>
      <c r="W508" s="12">
        <f t="shared" ref="W508:W548" si="111">SUM(S508:V508)</f>
        <v>5024</v>
      </c>
      <c r="Y508" s="10">
        <v>2</v>
      </c>
      <c r="Z508" s="30">
        <v>45971</v>
      </c>
      <c r="AA508" s="31">
        <f>AA507+1</f>
        <v>6372</v>
      </c>
      <c r="AB508" s="32">
        <f>56340+11052+2980+1664+916</f>
        <v>72952</v>
      </c>
      <c r="AC508" s="32">
        <v>-714</v>
      </c>
      <c r="AD508" s="32"/>
      <c r="AE508" s="32">
        <f t="shared" ref="AE508:AE516" si="112">SUM(AB508:AC508)</f>
        <v>72238</v>
      </c>
      <c r="AF508" s="12"/>
      <c r="AG508" s="12"/>
      <c r="AH508" s="12">
        <f>-444+-780</f>
        <v>-1224</v>
      </c>
      <c r="AI508" s="12">
        <f t="shared" ref="AI508:AI548" si="113">SUM(AE508:AH508)</f>
        <v>71014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63</v>
      </c>
      <c r="C509" s="31">
        <f t="shared" ref="C509:C526" si="114">C508+1</f>
        <v>6347</v>
      </c>
      <c r="D509" s="33">
        <f>1878+1228+674+852+832+28+500</f>
        <v>5992</v>
      </c>
      <c r="E509" s="33"/>
      <c r="F509" s="33"/>
      <c r="G509" s="33">
        <f t="shared" si="108"/>
        <v>5992</v>
      </c>
      <c r="H509" s="34"/>
      <c r="I509" s="34"/>
      <c r="J509" s="34"/>
      <c r="K509" s="34">
        <f t="shared" si="109"/>
        <v>5992</v>
      </c>
      <c r="M509" s="10">
        <v>3</v>
      </c>
      <c r="N509" s="30" t="s">
        <v>63</v>
      </c>
      <c r="O509" s="31">
        <f t="shared" ref="O509:O511" si="115">O508+1</f>
        <v>6248</v>
      </c>
      <c r="P509" s="32">
        <f>3130</f>
        <v>3130</v>
      </c>
      <c r="Q509" s="32"/>
      <c r="R509" s="32"/>
      <c r="S509" s="32">
        <f t="shared" si="110"/>
        <v>3130</v>
      </c>
      <c r="T509" s="12"/>
      <c r="U509" s="12"/>
      <c r="V509" s="12"/>
      <c r="W509" s="12">
        <f t="shared" si="111"/>
        <v>3130</v>
      </c>
      <c r="Y509" s="10">
        <v>3</v>
      </c>
      <c r="Z509" s="30">
        <v>45971</v>
      </c>
      <c r="AA509" s="31">
        <f t="shared" ref="AA509:AA511" si="116">AA508+1</f>
        <v>6373</v>
      </c>
      <c r="AB509" s="33">
        <f>31300+1228+14900+832+687+1300</f>
        <v>50247</v>
      </c>
      <c r="AC509" s="33">
        <v>-498</v>
      </c>
      <c r="AD509" s="32"/>
      <c r="AE509" s="32">
        <f t="shared" si="112"/>
        <v>49749</v>
      </c>
      <c r="AF509" s="12"/>
      <c r="AG509" s="12"/>
      <c r="AH509" s="12"/>
      <c r="AI509" s="12">
        <f t="shared" si="113"/>
        <v>49749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63</v>
      </c>
      <c r="C510" s="31">
        <f t="shared" si="114"/>
        <v>6348</v>
      </c>
      <c r="D510" s="32">
        <f>6260+1228+596+104</f>
        <v>8188</v>
      </c>
      <c r="E510" s="32"/>
      <c r="F510" s="32"/>
      <c r="G510" s="32">
        <f t="shared" si="108"/>
        <v>8188</v>
      </c>
      <c r="H510" s="12"/>
      <c r="I510" s="12">
        <f>13+139.5</f>
        <v>152.5</v>
      </c>
      <c r="J510" s="12"/>
      <c r="K510" s="12">
        <f t="shared" si="109"/>
        <v>8340.5</v>
      </c>
      <c r="M510" s="10">
        <v>4</v>
      </c>
      <c r="N510" s="30" t="s">
        <v>63</v>
      </c>
      <c r="O510" s="31">
        <f t="shared" si="115"/>
        <v>6249</v>
      </c>
      <c r="P510" s="32">
        <f>15650+1788+229</f>
        <v>17667</v>
      </c>
      <c r="Q510" s="32"/>
      <c r="R510" s="32"/>
      <c r="S510" s="32">
        <f t="shared" si="110"/>
        <v>17667</v>
      </c>
      <c r="T510" s="12"/>
      <c r="U510" s="12"/>
      <c r="V510" s="12"/>
      <c r="W510" s="12">
        <f t="shared" si="111"/>
        <v>17667</v>
      </c>
      <c r="Y510" s="10">
        <v>4</v>
      </c>
      <c r="Z510" s="30">
        <v>45971</v>
      </c>
      <c r="AA510" s="31">
        <f t="shared" si="116"/>
        <v>6374</v>
      </c>
      <c r="AB510" s="32">
        <f>161508+57216+2977</f>
        <v>221701</v>
      </c>
      <c r="AC510" s="32"/>
      <c r="AD510" s="32"/>
      <c r="AE510" s="32">
        <f t="shared" si="112"/>
        <v>221701</v>
      </c>
      <c r="AF510" s="12"/>
      <c r="AG510">
        <f>15762+180</f>
        <v>15942</v>
      </c>
      <c r="AH510" s="12"/>
      <c r="AI510" s="12">
        <f t="shared" si="113"/>
        <v>237643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63</v>
      </c>
      <c r="C511" s="31">
        <f t="shared" si="114"/>
        <v>6349</v>
      </c>
      <c r="D511" s="32">
        <f>2504+1788+66</f>
        <v>4358</v>
      </c>
      <c r="E511" s="32"/>
      <c r="F511" s="32"/>
      <c r="G511" s="32">
        <f t="shared" si="108"/>
        <v>4358</v>
      </c>
      <c r="H511" s="12"/>
      <c r="I511" s="12"/>
      <c r="J511" s="12"/>
      <c r="K511" s="12">
        <f t="shared" si="109"/>
        <v>4358</v>
      </c>
      <c r="M511" s="10">
        <v>5</v>
      </c>
      <c r="N511" s="30" t="s">
        <v>63</v>
      </c>
      <c r="O511" s="31">
        <f t="shared" si="115"/>
        <v>6250</v>
      </c>
      <c r="P511" s="32">
        <f>1878+1788+832+57</f>
        <v>4555</v>
      </c>
      <c r="Q511" s="32"/>
      <c r="R511" s="32"/>
      <c r="S511" s="32">
        <f t="shared" si="110"/>
        <v>4555</v>
      </c>
      <c r="T511" s="12"/>
      <c r="U511" s="12"/>
      <c r="V511" s="12"/>
      <c r="W511" s="12">
        <f t="shared" si="111"/>
        <v>4555</v>
      </c>
      <c r="Y511" s="10">
        <v>5</v>
      </c>
      <c r="Z511" s="30">
        <v>45971</v>
      </c>
      <c r="AA511" s="31">
        <f t="shared" si="116"/>
        <v>6375</v>
      </c>
      <c r="AB511" s="32">
        <f>11268</f>
        <v>11268</v>
      </c>
      <c r="AC511" s="32"/>
      <c r="AD511" s="32"/>
      <c r="AE511" s="32">
        <f t="shared" si="112"/>
        <v>11268</v>
      </c>
      <c r="AF511" s="12"/>
      <c r="AG511" s="12">
        <v>85.5</v>
      </c>
      <c r="AH511" s="12"/>
      <c r="AI511" s="12">
        <f t="shared" si="113"/>
        <v>11353.5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63</v>
      </c>
      <c r="C512" s="31">
        <f t="shared" si="114"/>
        <v>6350</v>
      </c>
      <c r="D512" s="32">
        <f>5008+614+416+76</f>
        <v>6114</v>
      </c>
      <c r="E512" s="32"/>
      <c r="F512" s="32"/>
      <c r="G512" s="32">
        <f t="shared" si="108"/>
        <v>6114</v>
      </c>
      <c r="H512" s="12"/>
      <c r="I512" s="12"/>
      <c r="J512" s="12"/>
      <c r="K512" s="12">
        <f t="shared" si="109"/>
        <v>6114</v>
      </c>
      <c r="M512" s="10">
        <v>6</v>
      </c>
      <c r="N512" s="30" t="s">
        <v>63</v>
      </c>
      <c r="O512" s="31">
        <v>6300</v>
      </c>
      <c r="P512" s="32">
        <f>626*27</f>
        <v>16902</v>
      </c>
      <c r="Q512" s="32"/>
      <c r="R512" s="32"/>
      <c r="S512" s="32">
        <f t="shared" si="110"/>
        <v>16902</v>
      </c>
      <c r="T512" s="12"/>
      <c r="U512" s="12"/>
      <c r="V512" s="10"/>
      <c r="W512" s="12">
        <f t="shared" si="111"/>
        <v>16902</v>
      </c>
      <c r="Y512" s="10">
        <v>6</v>
      </c>
      <c r="Z512" s="30"/>
      <c r="AA512" s="11" t="s">
        <v>28</v>
      </c>
      <c r="AB512" s="32"/>
      <c r="AC512" s="32"/>
      <c r="AD512" s="32"/>
      <c r="AE512" s="32">
        <f t="shared" si="112"/>
        <v>0</v>
      </c>
      <c r="AF512" s="12"/>
      <c r="AG512" s="12"/>
      <c r="AH512" s="10"/>
      <c r="AI512" s="12">
        <f t="shared" si="113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63</v>
      </c>
      <c r="C513" s="31">
        <v>6467</v>
      </c>
      <c r="D513" s="32">
        <f>5634+1005+1175+85.5+650</f>
        <v>8549.5</v>
      </c>
      <c r="E513" s="32"/>
      <c r="F513" s="32"/>
      <c r="G513" s="32">
        <f t="shared" si="108"/>
        <v>8549.5</v>
      </c>
      <c r="H513" s="12"/>
      <c r="I513" s="12">
        <f>13.5+12</f>
        <v>25.5</v>
      </c>
      <c r="J513" s="12"/>
      <c r="K513" s="12">
        <f t="shared" si="109"/>
        <v>8575</v>
      </c>
      <c r="M513" s="10">
        <v>7</v>
      </c>
      <c r="N513" s="30" t="s">
        <v>63</v>
      </c>
      <c r="O513" s="31">
        <v>6401</v>
      </c>
      <c r="P513" s="32">
        <f>626*100</f>
        <v>62600</v>
      </c>
      <c r="Q513" s="32">
        <v>-800</v>
      </c>
      <c r="R513" s="32"/>
      <c r="S513" s="32">
        <f t="shared" si="110"/>
        <v>61800</v>
      </c>
      <c r="T513" s="12"/>
      <c r="U513" s="12"/>
      <c r="V513" s="12"/>
      <c r="W513" s="12">
        <f t="shared" si="111"/>
        <v>61800</v>
      </c>
      <c r="Y513" s="10">
        <v>7</v>
      </c>
      <c r="Z513" s="30"/>
      <c r="AA513" s="31"/>
      <c r="AB513" s="32"/>
      <c r="AC513" s="32"/>
      <c r="AD513" s="32"/>
      <c r="AE513" s="32">
        <f t="shared" si="112"/>
        <v>0</v>
      </c>
      <c r="AF513" s="12"/>
      <c r="AG513" s="58"/>
      <c r="AH513" s="12"/>
      <c r="AI513" s="12">
        <f t="shared" si="113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63</v>
      </c>
      <c r="C514" s="31">
        <f t="shared" si="114"/>
        <v>6468</v>
      </c>
      <c r="D514" s="32">
        <f>6260+614+2384</f>
        <v>9258</v>
      </c>
      <c r="E514" s="32"/>
      <c r="F514" s="32"/>
      <c r="G514" s="32">
        <f t="shared" si="108"/>
        <v>9258</v>
      </c>
      <c r="H514" s="12"/>
      <c r="I514" s="12"/>
      <c r="J514" s="12"/>
      <c r="K514" s="12">
        <f t="shared" si="109"/>
        <v>9258</v>
      </c>
      <c r="M514" s="10">
        <v>8</v>
      </c>
      <c r="N514" s="30"/>
      <c r="O514" s="11" t="s">
        <v>28</v>
      </c>
      <c r="P514" s="32"/>
      <c r="Q514" s="32"/>
      <c r="R514" s="32"/>
      <c r="S514" s="32">
        <f t="shared" si="110"/>
        <v>0</v>
      </c>
      <c r="T514" s="12"/>
      <c r="U514" s="12"/>
      <c r="V514" s="12"/>
      <c r="W514" s="12">
        <f t="shared" si="111"/>
        <v>0</v>
      </c>
      <c r="Y514" s="10">
        <v>8</v>
      </c>
      <c r="Z514" s="30"/>
      <c r="AA514" s="31"/>
      <c r="AB514" s="32"/>
      <c r="AC514" s="32"/>
      <c r="AE514" s="32">
        <f t="shared" si="112"/>
        <v>0</v>
      </c>
      <c r="AF514" s="12"/>
      <c r="AG514" s="12"/>
      <c r="AH514" s="12"/>
      <c r="AI514" s="12">
        <f t="shared" si="113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63</v>
      </c>
      <c r="C515" s="31">
        <f t="shared" si="114"/>
        <v>6469</v>
      </c>
      <c r="D515" s="32">
        <f>3756+57</f>
        <v>3813</v>
      </c>
      <c r="E515" s="32"/>
      <c r="F515" s="32"/>
      <c r="G515" s="32">
        <f t="shared" si="108"/>
        <v>3813</v>
      </c>
      <c r="H515" s="12"/>
      <c r="I515" s="12">
        <f>3</f>
        <v>3</v>
      </c>
      <c r="J515" s="12"/>
      <c r="K515" s="12">
        <f t="shared" si="109"/>
        <v>3816</v>
      </c>
      <c r="M515" s="10">
        <v>9</v>
      </c>
      <c r="N515" s="30"/>
      <c r="O515" s="31"/>
      <c r="P515" s="32"/>
      <c r="Q515" s="32"/>
      <c r="R515" s="32"/>
      <c r="S515" s="32">
        <f t="shared" si="110"/>
        <v>0</v>
      </c>
      <c r="T515" s="12"/>
      <c r="U515" s="12"/>
      <c r="V515" s="12"/>
      <c r="W515" s="12">
        <f t="shared" si="111"/>
        <v>0</v>
      </c>
      <c r="Y515" s="10">
        <v>9</v>
      </c>
      <c r="Z515" s="30"/>
      <c r="AA515" s="31"/>
      <c r="AB515" s="95"/>
      <c r="AC515" s="32"/>
      <c r="AD515" s="32"/>
      <c r="AE515" s="32">
        <f t="shared" si="112"/>
        <v>0</v>
      </c>
      <c r="AF515" s="12"/>
      <c r="AH515" s="12"/>
      <c r="AI515" s="12">
        <f t="shared" si="113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63</v>
      </c>
      <c r="C516" s="31">
        <f t="shared" si="114"/>
        <v>6470</v>
      </c>
      <c r="D516" s="32">
        <f>3756+57</f>
        <v>3813</v>
      </c>
      <c r="E516" s="32"/>
      <c r="F516" s="32"/>
      <c r="G516" s="32">
        <f t="shared" si="108"/>
        <v>3813</v>
      </c>
      <c r="H516" s="12"/>
      <c r="I516" s="12"/>
      <c r="J516" s="12"/>
      <c r="K516" s="12">
        <f t="shared" si="109"/>
        <v>3813</v>
      </c>
      <c r="M516" s="10">
        <v>10</v>
      </c>
      <c r="N516" s="30"/>
      <c r="O516" s="31"/>
      <c r="P516" s="32"/>
      <c r="Q516" s="32"/>
      <c r="R516" s="32"/>
      <c r="S516" s="32">
        <f t="shared" si="110"/>
        <v>0</v>
      </c>
      <c r="T516" s="12"/>
      <c r="U516" s="12"/>
      <c r="V516" s="12"/>
      <c r="W516" s="12">
        <f t="shared" si="111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12"/>
        <v>0</v>
      </c>
      <c r="AF516" s="12"/>
      <c r="AG516" s="12"/>
      <c r="AH516" s="12"/>
      <c r="AI516" s="12">
        <f t="shared" si="113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63</v>
      </c>
      <c r="C517" s="31">
        <f t="shared" si="114"/>
        <v>6471</v>
      </c>
      <c r="D517" s="32">
        <f>2504+38</f>
        <v>2542</v>
      </c>
      <c r="E517" s="32"/>
      <c r="F517" s="32"/>
      <c r="G517" s="32">
        <f t="shared" si="108"/>
        <v>2542</v>
      </c>
      <c r="H517" s="12"/>
      <c r="I517" s="12"/>
      <c r="J517" s="12"/>
      <c r="K517" s="12">
        <f t="shared" si="109"/>
        <v>2542</v>
      </c>
      <c r="M517" s="10">
        <v>11</v>
      </c>
      <c r="N517" s="30"/>
      <c r="O517" s="31"/>
      <c r="P517" s="32"/>
      <c r="Q517" s="32"/>
      <c r="R517" s="32"/>
      <c r="S517" s="32">
        <f t="shared" si="110"/>
        <v>0</v>
      </c>
      <c r="T517" s="12"/>
      <c r="U517" s="12"/>
      <c r="V517" s="12"/>
      <c r="W517" s="12">
        <f t="shared" si="111"/>
        <v>0</v>
      </c>
      <c r="Y517" s="10">
        <v>11</v>
      </c>
      <c r="Z517" s="30"/>
      <c r="AB517" s="32"/>
      <c r="AC517" s="32"/>
      <c r="AD517" s="32"/>
      <c r="AE517" s="32">
        <f t="shared" ref="AE517:AE545" si="117">SUM(AB517:AC517)</f>
        <v>0</v>
      </c>
      <c r="AF517" s="12"/>
      <c r="AG517" s="12"/>
      <c r="AH517" s="12"/>
      <c r="AI517" s="12">
        <f t="shared" si="113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63</v>
      </c>
      <c r="C518" s="31">
        <f t="shared" si="114"/>
        <v>6472</v>
      </c>
      <c r="D518" s="32">
        <f>626+614+596+19</f>
        <v>1855</v>
      </c>
      <c r="E518" s="32"/>
      <c r="F518" s="32"/>
      <c r="G518" s="32">
        <f t="shared" si="108"/>
        <v>1855</v>
      </c>
      <c r="H518" s="12"/>
      <c r="I518" s="12"/>
      <c r="J518" s="10"/>
      <c r="K518" s="12">
        <f t="shared" si="109"/>
        <v>1855</v>
      </c>
      <c r="M518" s="10">
        <v>12</v>
      </c>
      <c r="N518" s="30"/>
      <c r="O518" s="31"/>
      <c r="P518" s="32"/>
      <c r="Q518" s="32"/>
      <c r="R518" s="32"/>
      <c r="S518" s="32">
        <f t="shared" si="110"/>
        <v>0</v>
      </c>
      <c r="T518" s="12"/>
      <c r="U518" s="12"/>
      <c r="V518" s="12"/>
      <c r="W518" s="12">
        <f t="shared" si="11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17"/>
        <v>0</v>
      </c>
      <c r="AF518" s="12"/>
      <c r="AG518" s="12"/>
      <c r="AH518" s="12"/>
      <c r="AI518" s="12">
        <f t="shared" si="113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63</v>
      </c>
      <c r="C519" s="31">
        <f t="shared" si="114"/>
        <v>6473</v>
      </c>
      <c r="D519" s="32">
        <f>1252+614</f>
        <v>1866</v>
      </c>
      <c r="E519" s="32"/>
      <c r="F519" s="32"/>
      <c r="G519" s="32">
        <f t="shared" si="108"/>
        <v>1866</v>
      </c>
      <c r="H519" s="12"/>
      <c r="I519" s="12"/>
      <c r="J519" s="12"/>
      <c r="K519" s="12">
        <f t="shared" si="109"/>
        <v>1866</v>
      </c>
      <c r="M519" s="10">
        <v>13</v>
      </c>
      <c r="N519" s="30"/>
      <c r="O519" s="31"/>
      <c r="P519" s="32"/>
      <c r="Q519" s="32"/>
      <c r="R519" s="32"/>
      <c r="S519" s="32">
        <f t="shared" si="110"/>
        <v>0</v>
      </c>
      <c r="T519" s="12"/>
      <c r="U519" s="12"/>
      <c r="V519" s="12"/>
      <c r="W519" s="12">
        <f t="shared" si="11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17"/>
        <v>0</v>
      </c>
      <c r="AF519" s="12"/>
      <c r="AG519" s="12"/>
      <c r="AH519" s="12"/>
      <c r="AI519" s="12">
        <f t="shared" si="113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63</v>
      </c>
      <c r="C520" s="31">
        <f t="shared" si="114"/>
        <v>6474</v>
      </c>
      <c r="D520" s="32">
        <f>6260+1192+114</f>
        <v>7566</v>
      </c>
      <c r="E520" s="32"/>
      <c r="F520" s="32"/>
      <c r="G520" s="32">
        <f t="shared" si="108"/>
        <v>7566</v>
      </c>
      <c r="H520" s="12"/>
      <c r="I520" s="12">
        <f>99+18</f>
        <v>117</v>
      </c>
      <c r="J520" s="12"/>
      <c r="K520" s="12">
        <f t="shared" si="109"/>
        <v>7683</v>
      </c>
      <c r="M520" s="10">
        <v>14</v>
      </c>
      <c r="N520" s="30"/>
      <c r="O520" s="31"/>
      <c r="P520" s="32"/>
      <c r="Q520" s="32"/>
      <c r="R520" s="32"/>
      <c r="S520" s="32">
        <f t="shared" si="110"/>
        <v>0</v>
      </c>
      <c r="T520" s="12"/>
      <c r="U520" s="12"/>
      <c r="V520" s="12"/>
      <c r="W520" s="12">
        <f t="shared" si="11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17"/>
        <v>0</v>
      </c>
      <c r="AF520" s="12"/>
      <c r="AG520" s="12"/>
      <c r="AH520" s="12"/>
      <c r="AI520" s="12">
        <f t="shared" si="113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63</v>
      </c>
      <c r="C521" s="31">
        <f t="shared" si="114"/>
        <v>6475</v>
      </c>
      <c r="D521" s="32">
        <f>2504+596+852+48</f>
        <v>4000</v>
      </c>
      <c r="E521" s="32"/>
      <c r="F521" s="32"/>
      <c r="G521" s="32">
        <f t="shared" si="108"/>
        <v>4000</v>
      </c>
      <c r="H521" s="12"/>
      <c r="I521" s="12"/>
      <c r="J521" s="12"/>
      <c r="K521" s="12">
        <f t="shared" si="109"/>
        <v>4000</v>
      </c>
      <c r="M521" s="10">
        <v>15</v>
      </c>
      <c r="N521" s="30"/>
      <c r="O521" s="31"/>
      <c r="P521" s="32"/>
      <c r="Q521" s="32"/>
      <c r="R521" s="32"/>
      <c r="S521" s="32">
        <f t="shared" si="110"/>
        <v>0</v>
      </c>
      <c r="T521" s="12"/>
      <c r="U521" s="12"/>
      <c r="V521" s="12"/>
      <c r="W521" s="12">
        <f t="shared" si="11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17"/>
        <v>0</v>
      </c>
      <c r="AF521" s="12"/>
      <c r="AG521" s="12"/>
      <c r="AH521" s="12"/>
      <c r="AI521" s="12">
        <f t="shared" si="113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63</v>
      </c>
      <c r="C522" s="31">
        <f t="shared" si="114"/>
        <v>6476</v>
      </c>
      <c r="D522" s="32">
        <f>1832</f>
        <v>1832</v>
      </c>
      <c r="E522" s="32"/>
      <c r="F522" s="32"/>
      <c r="G522" s="32">
        <f t="shared" si="108"/>
        <v>1832</v>
      </c>
      <c r="H522" s="12"/>
      <c r="I522" s="12"/>
      <c r="J522" s="12"/>
      <c r="K522" s="12">
        <f t="shared" si="109"/>
        <v>1832</v>
      </c>
      <c r="M522" s="10">
        <v>16</v>
      </c>
      <c r="N522" s="30"/>
      <c r="O522" s="31"/>
      <c r="P522" s="32"/>
      <c r="Q522" s="32"/>
      <c r="R522" s="32"/>
      <c r="S522" s="32">
        <f t="shared" si="110"/>
        <v>0</v>
      </c>
      <c r="T522" s="12"/>
      <c r="U522" s="12"/>
      <c r="V522" s="12"/>
      <c r="W522" s="12">
        <f t="shared" si="111"/>
        <v>0</v>
      </c>
      <c r="Y522" s="10">
        <v>16</v>
      </c>
      <c r="Z522" s="30"/>
      <c r="AB522" s="32"/>
      <c r="AC522" s="32"/>
      <c r="AD522" s="32"/>
      <c r="AE522" s="32">
        <f t="shared" si="117"/>
        <v>0</v>
      </c>
      <c r="AF522" s="12"/>
      <c r="AG522" s="12"/>
      <c r="AH522" s="12"/>
      <c r="AI522" s="12">
        <f t="shared" si="113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63</v>
      </c>
      <c r="C523" s="31">
        <f t="shared" si="114"/>
        <v>6477</v>
      </c>
      <c r="D523" s="32">
        <f>1878+28</f>
        <v>1906</v>
      </c>
      <c r="E523" s="32"/>
      <c r="F523" s="32"/>
      <c r="G523" s="32">
        <f t="shared" si="108"/>
        <v>1906</v>
      </c>
      <c r="H523" s="12"/>
      <c r="I523" s="12"/>
      <c r="J523" s="12"/>
      <c r="K523" s="12">
        <f t="shared" si="109"/>
        <v>1906</v>
      </c>
      <c r="M523" s="10">
        <v>17</v>
      </c>
      <c r="N523" s="30"/>
      <c r="P523" s="35"/>
      <c r="Q523" s="32"/>
      <c r="R523" s="32"/>
      <c r="S523" s="32">
        <f t="shared" si="110"/>
        <v>0</v>
      </c>
      <c r="T523" s="12"/>
      <c r="U523" s="12"/>
      <c r="V523" s="12"/>
      <c r="W523" s="12">
        <f t="shared" si="111"/>
        <v>0</v>
      </c>
      <c r="Y523" s="10">
        <v>17</v>
      </c>
      <c r="Z523" s="30"/>
      <c r="AB523" s="35"/>
      <c r="AC523" s="32"/>
      <c r="AD523" s="32"/>
      <c r="AE523" s="32">
        <f t="shared" si="117"/>
        <v>0</v>
      </c>
      <c r="AF523" s="12"/>
      <c r="AG523" s="12"/>
      <c r="AH523" s="12"/>
      <c r="AI523" s="12">
        <f t="shared" si="113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63</v>
      </c>
      <c r="C524" s="31">
        <f t="shared" si="114"/>
        <v>6478</v>
      </c>
      <c r="D524" s="32">
        <f>5634</f>
        <v>5634</v>
      </c>
      <c r="E524" s="32"/>
      <c r="F524" s="32"/>
      <c r="G524" s="32">
        <f t="shared" si="108"/>
        <v>5634</v>
      </c>
      <c r="H524" s="12"/>
      <c r="I524" s="12"/>
      <c r="J524" s="12"/>
      <c r="K524" s="12">
        <f t="shared" si="109"/>
        <v>5634</v>
      </c>
      <c r="M524" s="10">
        <v>18</v>
      </c>
      <c r="N524" s="30"/>
      <c r="O524" s="31"/>
      <c r="P524" s="32"/>
      <c r="Q524" s="32"/>
      <c r="R524" s="32"/>
      <c r="S524" s="32">
        <f t="shared" si="110"/>
        <v>0</v>
      </c>
      <c r="T524" s="12"/>
      <c r="U524" s="12"/>
      <c r="V524" s="12"/>
      <c r="W524" s="12">
        <f t="shared" si="11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17"/>
        <v>0</v>
      </c>
      <c r="AF524" s="12"/>
      <c r="AG524" s="12"/>
      <c r="AH524" s="12"/>
      <c r="AI524" s="12">
        <f t="shared" si="113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63</v>
      </c>
      <c r="C525" s="31">
        <f t="shared" si="114"/>
        <v>6479</v>
      </c>
      <c r="D525" s="32">
        <f>3130+596+57</f>
        <v>3783</v>
      </c>
      <c r="E525" s="32"/>
      <c r="F525" s="32"/>
      <c r="G525" s="32">
        <f t="shared" si="108"/>
        <v>3783</v>
      </c>
      <c r="H525" s="12"/>
      <c r="I525" s="12">
        <v>13</v>
      </c>
      <c r="J525" s="12"/>
      <c r="K525" s="12">
        <f t="shared" si="109"/>
        <v>3796</v>
      </c>
      <c r="M525" s="10">
        <v>19</v>
      </c>
      <c r="N525" s="30"/>
      <c r="P525" s="32"/>
      <c r="Q525" s="32"/>
      <c r="R525" s="32"/>
      <c r="S525" s="32">
        <f t="shared" si="110"/>
        <v>0</v>
      </c>
      <c r="T525" s="12"/>
      <c r="U525" s="12"/>
      <c r="V525" s="12"/>
      <c r="W525" s="12">
        <f t="shared" si="11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17"/>
        <v>0</v>
      </c>
      <c r="AF525" s="12"/>
      <c r="AG525" s="12"/>
      <c r="AH525" s="12"/>
      <c r="AI525" s="12">
        <f t="shared" si="113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63</v>
      </c>
      <c r="C526" s="31">
        <f t="shared" si="114"/>
        <v>6480</v>
      </c>
      <c r="D526" s="32">
        <f>11268+171</f>
        <v>11439</v>
      </c>
      <c r="E526" s="32"/>
      <c r="F526" s="32"/>
      <c r="G526" s="32">
        <f t="shared" si="108"/>
        <v>11439</v>
      </c>
      <c r="H526" s="12"/>
      <c r="I526" s="12"/>
      <c r="J526" s="12"/>
      <c r="K526" s="12">
        <f t="shared" si="109"/>
        <v>11439</v>
      </c>
      <c r="M526" s="10">
        <v>20</v>
      </c>
      <c r="N526" s="30"/>
      <c r="O526" s="31"/>
      <c r="P526" s="32"/>
      <c r="Q526" s="32"/>
      <c r="R526" s="32"/>
      <c r="S526" s="32">
        <f t="shared" si="110"/>
        <v>0</v>
      </c>
      <c r="T526" s="12"/>
      <c r="U526" s="12"/>
      <c r="V526" s="12"/>
      <c r="W526" s="12">
        <f t="shared" si="111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17"/>
        <v>0</v>
      </c>
      <c r="AF526" s="12"/>
      <c r="AG526" s="12"/>
      <c r="AH526" s="12"/>
      <c r="AI526" s="12">
        <f t="shared" si="113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 t="s">
        <v>63</v>
      </c>
      <c r="C527" s="31">
        <v>5094</v>
      </c>
      <c r="D527" s="32">
        <f>1252+229</f>
        <v>1481</v>
      </c>
      <c r="E527" s="32"/>
      <c r="F527" s="32"/>
      <c r="G527" s="32">
        <f t="shared" si="108"/>
        <v>1481</v>
      </c>
      <c r="H527" s="10"/>
      <c r="I527" s="10"/>
      <c r="J527" s="10"/>
      <c r="K527" s="12">
        <f t="shared" si="109"/>
        <v>1481</v>
      </c>
      <c r="M527" s="10">
        <v>21</v>
      </c>
      <c r="N527" s="30"/>
      <c r="O527" s="31"/>
      <c r="P527" s="46"/>
      <c r="Q527" s="31"/>
      <c r="R527" s="31"/>
      <c r="S527" s="32">
        <f t="shared" si="110"/>
        <v>0</v>
      </c>
      <c r="T527" s="10"/>
      <c r="U527" s="10"/>
      <c r="V527" s="10"/>
      <c r="W527" s="12">
        <f t="shared" si="11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17"/>
        <v>0</v>
      </c>
      <c r="AF527" s="10"/>
      <c r="AG527" s="10"/>
      <c r="AH527" s="10"/>
      <c r="AI527" s="12">
        <f t="shared" si="113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11" t="s">
        <v>28</v>
      </c>
      <c r="D528" s="32"/>
      <c r="E528" s="32"/>
      <c r="F528" s="32"/>
      <c r="G528" s="32">
        <f t="shared" si="108"/>
        <v>0</v>
      </c>
      <c r="H528" s="10"/>
      <c r="I528" s="10"/>
      <c r="J528" s="10"/>
      <c r="K528" s="12">
        <f t="shared" si="109"/>
        <v>0</v>
      </c>
      <c r="M528" s="10">
        <v>22</v>
      </c>
      <c r="N528" s="30"/>
      <c r="O528" s="31"/>
      <c r="P528" s="45"/>
      <c r="Q528" s="31"/>
      <c r="R528" s="31"/>
      <c r="S528" s="32">
        <f t="shared" si="110"/>
        <v>0</v>
      </c>
      <c r="T528" s="10"/>
      <c r="U528" s="10"/>
      <c r="V528" s="10"/>
      <c r="W528" s="12">
        <f t="shared" si="11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17"/>
        <v>0</v>
      </c>
      <c r="AF528" s="10"/>
      <c r="AG528" s="10"/>
      <c r="AH528" s="10"/>
      <c r="AI528" s="12">
        <f t="shared" si="113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08"/>
        <v>0</v>
      </c>
      <c r="H529" s="10"/>
      <c r="I529" s="10"/>
      <c r="J529" s="12"/>
      <c r="K529" s="12">
        <f t="shared" si="109"/>
        <v>0</v>
      </c>
      <c r="M529" s="10">
        <v>23</v>
      </c>
      <c r="N529" s="30"/>
      <c r="O529" s="31"/>
      <c r="P529" s="47"/>
      <c r="Q529" s="31"/>
      <c r="S529" s="32">
        <f t="shared" si="110"/>
        <v>0</v>
      </c>
      <c r="T529" s="10"/>
      <c r="U529" s="10"/>
      <c r="V529" s="10"/>
      <c r="W529" s="12">
        <f t="shared" si="111"/>
        <v>0</v>
      </c>
      <c r="Y529" s="10">
        <v>23</v>
      </c>
      <c r="Z529" s="30"/>
      <c r="AA529" s="31"/>
      <c r="AB529" s="47"/>
      <c r="AE529" s="32">
        <f t="shared" si="117"/>
        <v>0</v>
      </c>
      <c r="AF529" s="10"/>
      <c r="AG529" s="10"/>
      <c r="AH529" s="10"/>
      <c r="AI529" s="12">
        <f t="shared" si="113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08"/>
        <v>0</v>
      </c>
      <c r="H530" s="10"/>
      <c r="I530" s="10"/>
      <c r="J530" s="10"/>
      <c r="K530" s="12">
        <f t="shared" si="109"/>
        <v>0</v>
      </c>
      <c r="M530" s="10">
        <v>24</v>
      </c>
      <c r="N530" s="30"/>
      <c r="O530" s="31"/>
      <c r="P530" s="47"/>
      <c r="Q530" s="31"/>
      <c r="R530" s="31"/>
      <c r="S530" s="32">
        <f t="shared" si="110"/>
        <v>0</v>
      </c>
      <c r="T530" s="10"/>
      <c r="U530" s="10"/>
      <c r="V530" s="10"/>
      <c r="W530" s="12">
        <f t="shared" si="11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17"/>
        <v>0</v>
      </c>
      <c r="AF530" s="10"/>
      <c r="AG530" s="10"/>
      <c r="AH530" s="10"/>
      <c r="AI530" s="12">
        <f t="shared" si="113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08"/>
        <v>0</v>
      </c>
      <c r="H531" s="10"/>
      <c r="I531" s="10"/>
      <c r="J531" s="10"/>
      <c r="K531" s="12">
        <f t="shared" si="109"/>
        <v>0</v>
      </c>
      <c r="M531" s="10">
        <v>25</v>
      </c>
      <c r="N531" s="30"/>
      <c r="O531" s="31"/>
      <c r="P531" s="47"/>
      <c r="Q531" s="31"/>
      <c r="R531" s="31"/>
      <c r="S531" s="32">
        <f t="shared" si="110"/>
        <v>0</v>
      </c>
      <c r="T531" s="10"/>
      <c r="U531" s="10"/>
      <c r="V531" s="10"/>
      <c r="W531" s="12">
        <f t="shared" si="11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17"/>
        <v>0</v>
      </c>
      <c r="AF531" s="10"/>
      <c r="AG531" s="10"/>
      <c r="AH531" s="10"/>
      <c r="AI531" s="12">
        <f t="shared" si="113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08"/>
        <v>0</v>
      </c>
      <c r="H532" s="10"/>
      <c r="I532" s="10"/>
      <c r="J532" s="10"/>
      <c r="K532" s="12">
        <f t="shared" si="109"/>
        <v>0</v>
      </c>
      <c r="M532" s="10">
        <v>26</v>
      </c>
      <c r="N532" s="30"/>
      <c r="P532" s="47"/>
      <c r="Q532" s="31"/>
      <c r="R532" s="31"/>
      <c r="S532" s="32">
        <f t="shared" si="110"/>
        <v>0</v>
      </c>
      <c r="T532" s="10"/>
      <c r="U532" s="10"/>
      <c r="V532" s="10"/>
      <c r="W532" s="12">
        <f t="shared" si="11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17"/>
        <v>0</v>
      </c>
      <c r="AF532" s="10"/>
      <c r="AG532" s="10"/>
      <c r="AH532" s="10"/>
      <c r="AI532" s="12">
        <f t="shared" si="113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08"/>
        <v>0</v>
      </c>
      <c r="H533" s="10"/>
      <c r="I533" s="10"/>
      <c r="J533" s="10"/>
      <c r="K533" s="12">
        <f t="shared" si="109"/>
        <v>0</v>
      </c>
      <c r="M533" s="10">
        <v>27</v>
      </c>
      <c r="N533" s="30"/>
      <c r="O533" s="31"/>
      <c r="P533" s="47"/>
      <c r="Q533" s="31"/>
      <c r="R533" s="31"/>
      <c r="S533" s="32">
        <f t="shared" si="110"/>
        <v>0</v>
      </c>
      <c r="T533" s="10"/>
      <c r="U533" s="10"/>
      <c r="V533" s="10"/>
      <c r="W533" s="12">
        <f t="shared" si="11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17"/>
        <v>0</v>
      </c>
      <c r="AF533" s="10"/>
      <c r="AG533" s="10"/>
      <c r="AH533" s="10"/>
      <c r="AI533" s="12">
        <f t="shared" si="113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57"/>
      <c r="D534" s="32"/>
      <c r="E534" s="32"/>
      <c r="F534" s="32"/>
      <c r="G534" s="32">
        <f t="shared" si="108"/>
        <v>0</v>
      </c>
      <c r="H534" s="10"/>
      <c r="I534" s="10"/>
      <c r="J534" s="10"/>
      <c r="K534" s="12">
        <f t="shared" si="109"/>
        <v>0</v>
      </c>
      <c r="M534" s="10">
        <v>28</v>
      </c>
      <c r="N534" s="30"/>
      <c r="O534" s="31"/>
      <c r="P534" s="47"/>
      <c r="Q534" s="31"/>
      <c r="R534" s="31"/>
      <c r="S534" s="32">
        <f t="shared" si="110"/>
        <v>0</v>
      </c>
      <c r="T534" s="10"/>
      <c r="U534" s="10"/>
      <c r="V534" s="10"/>
      <c r="W534" s="12">
        <f t="shared" si="11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17"/>
        <v>0</v>
      </c>
      <c r="AF534" s="10"/>
      <c r="AG534" s="10"/>
      <c r="AH534" s="10"/>
      <c r="AI534" s="12">
        <f t="shared" si="113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08"/>
        <v>0</v>
      </c>
      <c r="H535" s="10"/>
      <c r="I535" s="10"/>
      <c r="J535" s="10"/>
      <c r="K535" s="12">
        <f t="shared" si="109"/>
        <v>0</v>
      </c>
      <c r="M535" s="10">
        <v>29</v>
      </c>
      <c r="N535" s="30"/>
      <c r="O535" s="31"/>
      <c r="P535" s="47"/>
      <c r="Q535" s="31"/>
      <c r="R535" s="31"/>
      <c r="S535" s="32">
        <f t="shared" si="110"/>
        <v>0</v>
      </c>
      <c r="T535" s="10"/>
      <c r="U535" s="10"/>
      <c r="V535" s="10"/>
      <c r="W535" s="12">
        <f t="shared" si="11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17"/>
        <v>0</v>
      </c>
      <c r="AF535" s="10"/>
      <c r="AG535" s="10"/>
      <c r="AH535" s="10"/>
      <c r="AI535" s="12">
        <f t="shared" si="113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11"/>
      <c r="D536" s="32"/>
      <c r="E536" s="32"/>
      <c r="F536" s="32"/>
      <c r="G536" s="32">
        <f t="shared" si="108"/>
        <v>0</v>
      </c>
      <c r="H536" s="10"/>
      <c r="I536" s="10"/>
      <c r="J536" s="10"/>
      <c r="K536" s="12">
        <f t="shared" si="109"/>
        <v>0</v>
      </c>
      <c r="M536" s="10">
        <v>30</v>
      </c>
      <c r="N536" s="30"/>
      <c r="P536" s="47"/>
      <c r="Q536" s="31"/>
      <c r="R536" s="31"/>
      <c r="S536" s="32">
        <f t="shared" si="110"/>
        <v>0</v>
      </c>
      <c r="T536" s="10"/>
      <c r="U536" s="10"/>
      <c r="V536" s="10"/>
      <c r="W536" s="12">
        <f t="shared" si="11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17"/>
        <v>0</v>
      </c>
      <c r="AF536" s="10"/>
      <c r="AG536" s="10"/>
      <c r="AH536" s="10"/>
      <c r="AI536" s="12">
        <f t="shared" si="113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08"/>
        <v>0</v>
      </c>
      <c r="H537" s="10"/>
      <c r="I537" s="10"/>
      <c r="J537" s="10"/>
      <c r="K537" s="12">
        <f t="shared" si="109"/>
        <v>0</v>
      </c>
      <c r="M537" s="10">
        <v>31</v>
      </c>
      <c r="N537" s="30"/>
      <c r="O537" s="31"/>
      <c r="P537" s="47"/>
      <c r="Q537" s="31"/>
      <c r="R537" s="31"/>
      <c r="S537" s="32">
        <f t="shared" si="110"/>
        <v>0</v>
      </c>
      <c r="T537" s="10"/>
      <c r="U537" s="10"/>
      <c r="V537" s="10"/>
      <c r="W537" s="12">
        <f t="shared" si="11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17"/>
        <v>0</v>
      </c>
      <c r="AF537" s="10"/>
      <c r="AG537" s="10"/>
      <c r="AH537" s="10"/>
      <c r="AI537" s="12">
        <f t="shared" si="113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08"/>
        <v>0</v>
      </c>
      <c r="H538" s="10"/>
      <c r="I538" s="10"/>
      <c r="J538" s="10"/>
      <c r="K538" s="12">
        <f t="shared" si="109"/>
        <v>0</v>
      </c>
      <c r="M538" s="10">
        <v>32</v>
      </c>
      <c r="N538" s="30"/>
      <c r="O538" s="31"/>
      <c r="P538" s="47"/>
      <c r="Q538" s="31"/>
      <c r="R538" s="31"/>
      <c r="S538" s="32">
        <f t="shared" si="110"/>
        <v>0</v>
      </c>
      <c r="T538" s="10"/>
      <c r="U538" s="10"/>
      <c r="V538" s="10"/>
      <c r="W538" s="12">
        <f t="shared" si="11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17"/>
        <v>0</v>
      </c>
      <c r="AF538" s="10"/>
      <c r="AG538" s="10"/>
      <c r="AH538" s="10"/>
      <c r="AI538" s="12">
        <f t="shared" si="113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08"/>
        <v>0</v>
      </c>
      <c r="H539" s="10"/>
      <c r="I539" s="10"/>
      <c r="J539" s="10"/>
      <c r="K539" s="12">
        <f t="shared" si="109"/>
        <v>0</v>
      </c>
      <c r="M539" s="10">
        <v>33</v>
      </c>
      <c r="N539" s="30"/>
      <c r="O539" s="31"/>
      <c r="P539" s="47"/>
      <c r="Q539" s="31"/>
      <c r="R539" s="31"/>
      <c r="S539" s="32">
        <f t="shared" si="110"/>
        <v>0</v>
      </c>
      <c r="T539" s="10"/>
      <c r="U539" s="10"/>
      <c r="V539" s="10"/>
      <c r="W539" s="12">
        <f t="shared" si="11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17"/>
        <v>0</v>
      </c>
      <c r="AF539" s="10"/>
      <c r="AG539" s="10"/>
      <c r="AH539" s="10"/>
      <c r="AI539" s="12">
        <f t="shared" si="113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08"/>
        <v>0</v>
      </c>
      <c r="H540" s="10"/>
      <c r="I540" s="10"/>
      <c r="J540" s="10"/>
      <c r="K540" s="12">
        <f t="shared" si="109"/>
        <v>0</v>
      </c>
      <c r="M540" s="10">
        <v>34</v>
      </c>
      <c r="N540" s="30"/>
      <c r="O540" s="31"/>
      <c r="P540" s="47"/>
      <c r="Q540" s="31"/>
      <c r="R540" s="31"/>
      <c r="S540" s="32">
        <f t="shared" si="110"/>
        <v>0</v>
      </c>
      <c r="T540" s="10"/>
      <c r="U540" s="10"/>
      <c r="V540" s="10"/>
      <c r="W540" s="12">
        <f t="shared" si="11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17"/>
        <v>0</v>
      </c>
      <c r="AF540" s="10"/>
      <c r="AG540" s="10"/>
      <c r="AH540" s="10"/>
      <c r="AI540" s="12">
        <f t="shared" si="113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10"/>
        <v>0</v>
      </c>
      <c r="T541" s="10"/>
      <c r="U541" s="10"/>
      <c r="V541" s="10"/>
      <c r="W541" s="12">
        <f t="shared" si="11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17"/>
        <v>0</v>
      </c>
      <c r="AF541" s="10"/>
      <c r="AG541" s="10"/>
      <c r="AH541" s="10"/>
      <c r="AI541" s="12">
        <f t="shared" si="113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10"/>
        <v>0</v>
      </c>
      <c r="T542" s="10"/>
      <c r="U542" s="10"/>
      <c r="V542" s="10"/>
      <c r="W542" s="12">
        <f t="shared" si="11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17"/>
        <v>0</v>
      </c>
      <c r="AF542" s="10"/>
      <c r="AG542" s="10"/>
      <c r="AH542" s="10"/>
      <c r="AI542" s="12">
        <f t="shared" si="113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10"/>
        <v>0</v>
      </c>
      <c r="T543" s="10"/>
      <c r="U543" s="10"/>
      <c r="V543" s="10"/>
      <c r="W543" s="12">
        <f t="shared" si="11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17"/>
        <v>0</v>
      </c>
      <c r="AF543" s="10"/>
      <c r="AG543" s="10"/>
      <c r="AH543" s="10"/>
      <c r="AI543" s="12">
        <f t="shared" si="113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10"/>
        <v>0</v>
      </c>
      <c r="T544" s="10"/>
      <c r="U544" s="10"/>
      <c r="V544" s="10"/>
      <c r="W544" s="12">
        <f t="shared" si="11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17"/>
        <v>0</v>
      </c>
      <c r="AF544" s="10"/>
      <c r="AG544" s="10"/>
      <c r="AH544" s="10"/>
      <c r="AI544" s="12">
        <f t="shared" si="113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10"/>
        <v>0</v>
      </c>
      <c r="T545" s="10"/>
      <c r="U545" s="10"/>
      <c r="V545" s="10"/>
      <c r="W545" s="12">
        <f t="shared" si="11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17"/>
        <v>0</v>
      </c>
      <c r="AF545" s="10"/>
      <c r="AG545" s="10"/>
      <c r="AH545" s="10"/>
      <c r="AI545" s="12">
        <f t="shared" si="113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1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13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18">SUM(D547:E547)</f>
        <v>0</v>
      </c>
      <c r="H547" s="10"/>
      <c r="I547" s="10"/>
      <c r="J547" s="10"/>
      <c r="K547" s="12">
        <f t="shared" ref="K547" si="119">SUM(G547:J547)</f>
        <v>0</v>
      </c>
      <c r="M547" s="10"/>
      <c r="N547" s="30"/>
      <c r="O547" s="31"/>
      <c r="P547" s="47"/>
      <c r="Q547" s="31"/>
      <c r="R547" s="31"/>
      <c r="S547" s="32">
        <f t="shared" ref="S547" si="120">SUM(P547:Q547)</f>
        <v>0</v>
      </c>
      <c r="T547" s="10"/>
      <c r="U547" s="10"/>
      <c r="V547" s="10"/>
      <c r="W547" s="12">
        <f t="shared" si="111"/>
        <v>0</v>
      </c>
      <c r="Y547" s="10"/>
      <c r="Z547" s="30"/>
      <c r="AA547" s="31"/>
      <c r="AB547" s="47"/>
      <c r="AC547" s="31"/>
      <c r="AD547" s="31"/>
      <c r="AE547" s="32">
        <f t="shared" ref="AE547" si="121">SUM(AB547:AC547)</f>
        <v>0</v>
      </c>
      <c r="AF547" s="10"/>
      <c r="AG547" s="10"/>
      <c r="AH547" s="10"/>
      <c r="AI547" s="12">
        <f t="shared" si="113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1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13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138199</v>
      </c>
      <c r="E550" s="38">
        <f t="shared" ref="E550:F550" si="122">SUM(E507:E547)</f>
        <v>0</v>
      </c>
      <c r="F550" s="38">
        <f t="shared" si="122"/>
        <v>0</v>
      </c>
      <c r="G550" s="38">
        <f>SUM(G507:G549)</f>
        <v>138199</v>
      </c>
      <c r="H550" s="4"/>
      <c r="I550" s="39">
        <f>SUM(I507:I549)</f>
        <v>581</v>
      </c>
      <c r="J550" s="39">
        <f>SUM(J507:J549)</f>
        <v>0</v>
      </c>
      <c r="K550" s="40">
        <f>SUM(K507:K549)</f>
        <v>138780</v>
      </c>
      <c r="N550" s="57"/>
      <c r="O550" s="57"/>
      <c r="P550" s="38">
        <f>SUM(P507:P549)</f>
        <v>119299</v>
      </c>
      <c r="Q550" s="38">
        <f>SUM(Q507:Q531)</f>
        <v>-800</v>
      </c>
      <c r="R550" s="38">
        <f>SUM(R507:R531)</f>
        <v>0</v>
      </c>
      <c r="S550" s="38">
        <f>SUM(S507:S549)</f>
        <v>118499</v>
      </c>
      <c r="T550" s="4"/>
      <c r="U550" s="41">
        <f>SUM(U507:U549)</f>
        <v>0</v>
      </c>
      <c r="V550" s="41">
        <f>SUM(V507:V531)</f>
        <v>0</v>
      </c>
      <c r="W550" s="42">
        <f>SUM(W507:W549)</f>
        <v>118499</v>
      </c>
      <c r="Z550" s="57"/>
      <c r="AA550" s="57"/>
      <c r="AB550" s="38">
        <f>SUM(AB507:AB549)</f>
        <v>370098</v>
      </c>
      <c r="AC550" s="38">
        <f>SUM(AC507:AC531)</f>
        <v>-1212</v>
      </c>
      <c r="AD550" s="38">
        <f>SUM(AD507:AD531)</f>
        <v>0</v>
      </c>
      <c r="AE550" s="38">
        <f>SUM(AE507:AE549)</f>
        <v>368886</v>
      </c>
      <c r="AF550" s="4"/>
      <c r="AG550" s="41">
        <f>SUM(AG507:AG549)</f>
        <v>16027.5</v>
      </c>
      <c r="AH550" s="41">
        <f>SUM(AH507:AH531)</f>
        <v>-2112</v>
      </c>
      <c r="AI550" s="42">
        <f>SUM(AI507:AI549)</f>
        <v>382801.5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29</v>
      </c>
      <c r="B553" s="57"/>
      <c r="C553" s="57"/>
      <c r="D553" s="57"/>
      <c r="E553" s="57"/>
      <c r="G553" s="57"/>
      <c r="M553" t="s">
        <v>29</v>
      </c>
      <c r="N553" s="57"/>
      <c r="O553" s="57"/>
      <c r="P553" s="57"/>
      <c r="Q553" s="57"/>
      <c r="R553" s="57"/>
      <c r="S553" s="57"/>
      <c r="Y553" t="s">
        <v>29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15</v>
      </c>
      <c r="B555" s="57"/>
      <c r="C555" s="57"/>
      <c r="D555" s="57"/>
      <c r="E555" s="57"/>
      <c r="G555" s="57"/>
      <c r="M555" s="4" t="s">
        <v>15</v>
      </c>
      <c r="N555" s="57"/>
      <c r="O555" s="57"/>
      <c r="P555" s="57"/>
      <c r="Q555" s="57"/>
      <c r="R555" s="57"/>
      <c r="S555" s="57"/>
      <c r="Y555" s="4" t="s">
        <v>15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16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16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16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17</v>
      </c>
      <c r="J558" s="23" t="s">
        <v>36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17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17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4" t="s">
        <v>18</v>
      </c>
      <c r="E560" s="124"/>
      <c r="F560" s="102"/>
      <c r="G560" s="27"/>
      <c r="I560" s="122" t="s">
        <v>19</v>
      </c>
      <c r="J560" s="123"/>
      <c r="K560" s="120" t="s">
        <v>20</v>
      </c>
      <c r="N560" s="25"/>
      <c r="O560" s="26"/>
      <c r="P560" s="124" t="s">
        <v>18</v>
      </c>
      <c r="Q560" s="124"/>
      <c r="R560" s="102"/>
      <c r="S560" s="27"/>
      <c r="U560" s="122" t="s">
        <v>19</v>
      </c>
      <c r="V560" s="123"/>
      <c r="W560" s="120" t="s">
        <v>20</v>
      </c>
      <c r="Z560" s="25"/>
      <c r="AA560" s="26"/>
      <c r="AB560" s="124" t="s">
        <v>18</v>
      </c>
      <c r="AC560" s="124"/>
      <c r="AD560" s="102"/>
      <c r="AE560" s="27"/>
      <c r="AG560" s="122" t="s">
        <v>19</v>
      </c>
      <c r="AH560" s="123"/>
      <c r="AI560" s="120" t="s">
        <v>20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21</v>
      </c>
      <c r="C561" s="28" t="s">
        <v>22</v>
      </c>
      <c r="D561" s="79" t="s">
        <v>23</v>
      </c>
      <c r="E561" s="78" t="s">
        <v>24</v>
      </c>
      <c r="F561" s="80" t="s">
        <v>35</v>
      </c>
      <c r="G561" s="80" t="s">
        <v>25</v>
      </c>
      <c r="I561" s="29" t="s">
        <v>26</v>
      </c>
      <c r="J561" s="29" t="s">
        <v>27</v>
      </c>
      <c r="K561" s="121"/>
      <c r="N561" s="28" t="s">
        <v>21</v>
      </c>
      <c r="O561" s="28" t="s">
        <v>22</v>
      </c>
      <c r="P561" s="79" t="s">
        <v>23</v>
      </c>
      <c r="Q561" s="80" t="s">
        <v>24</v>
      </c>
      <c r="R561" s="80" t="s">
        <v>35</v>
      </c>
      <c r="S561" s="80" t="s">
        <v>25</v>
      </c>
      <c r="U561" s="29" t="s">
        <v>26</v>
      </c>
      <c r="V561" s="29" t="s">
        <v>27</v>
      </c>
      <c r="W561" s="121"/>
      <c r="Z561" s="28" t="s">
        <v>21</v>
      </c>
      <c r="AA561" s="28" t="s">
        <v>22</v>
      </c>
      <c r="AB561" s="79" t="s">
        <v>23</v>
      </c>
      <c r="AC561" s="80" t="s">
        <v>24</v>
      </c>
      <c r="AD561" s="80" t="s">
        <v>35</v>
      </c>
      <c r="AE561" s="80" t="s">
        <v>25</v>
      </c>
      <c r="AG561" s="29" t="s">
        <v>26</v>
      </c>
      <c r="AH561" s="29" t="s">
        <v>27</v>
      </c>
      <c r="AI561" s="121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31">
        <v>6481</v>
      </c>
      <c r="D562" s="32">
        <f>1878+28</f>
        <v>1906</v>
      </c>
      <c r="E562" s="32"/>
      <c r="F562" s="32"/>
      <c r="G562" s="32">
        <f t="shared" ref="G562:G595" si="123">SUM(D562:E562)</f>
        <v>1906</v>
      </c>
      <c r="H562" s="12"/>
      <c r="I562" s="12">
        <v>18</v>
      </c>
      <c r="J562" s="12"/>
      <c r="K562" s="12">
        <f t="shared" ref="K562:K595" si="124">SUM(G562:J562)</f>
        <v>1924</v>
      </c>
      <c r="M562" s="10">
        <v>1</v>
      </c>
      <c r="N562" s="30" t="s">
        <v>66</v>
      </c>
      <c r="O562" s="31">
        <v>6402</v>
      </c>
      <c r="P562" s="32">
        <f>626*4+38</f>
        <v>2542</v>
      </c>
      <c r="Q562" s="32"/>
      <c r="R562" s="32"/>
      <c r="S562" s="32">
        <f>SUM(P562:Q562)</f>
        <v>2542</v>
      </c>
      <c r="T562" s="12"/>
      <c r="U562" s="12"/>
      <c r="V562" s="12"/>
      <c r="W562" s="12">
        <f>SUM(S562:V562)</f>
        <v>2542</v>
      </c>
      <c r="Y562" s="10">
        <v>1</v>
      </c>
      <c r="Z562" s="30" t="s">
        <v>66</v>
      </c>
      <c r="AA562" s="31">
        <v>6376</v>
      </c>
      <c r="AB562" s="32">
        <f>15024+1842+1192+229</f>
        <v>18287</v>
      </c>
      <c r="AC562" s="32"/>
      <c r="AD562" s="32"/>
      <c r="AE562" s="32">
        <f>SUM(AB562:AC562)</f>
        <v>18287</v>
      </c>
      <c r="AF562" s="12"/>
      <c r="AG562" s="12"/>
      <c r="AH562" s="12"/>
      <c r="AI562" s="12">
        <f>SUM(AE562:AH562)</f>
        <v>18287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31">
        <f>C562+1</f>
        <v>6482</v>
      </c>
      <c r="D563" s="32">
        <f>6886+2980+152</f>
        <v>10018</v>
      </c>
      <c r="E563" s="32"/>
      <c r="F563" s="32"/>
      <c r="G563" s="32">
        <f t="shared" si="123"/>
        <v>10018</v>
      </c>
      <c r="H563" s="12"/>
      <c r="I563" s="12"/>
      <c r="J563" s="12"/>
      <c r="K563" s="12">
        <f t="shared" si="124"/>
        <v>10018</v>
      </c>
      <c r="M563" s="10">
        <v>2</v>
      </c>
      <c r="N563" s="30" t="s">
        <v>66</v>
      </c>
      <c r="O563" s="31">
        <f>O562+1</f>
        <v>6403</v>
      </c>
      <c r="P563" s="32">
        <f>6260+1192+114</f>
        <v>7566</v>
      </c>
      <c r="Q563" s="32"/>
      <c r="R563" s="32"/>
      <c r="S563" s="32">
        <f t="shared" ref="S563:S600" si="125">SUM(P563:Q563)</f>
        <v>7566</v>
      </c>
      <c r="T563" s="12"/>
      <c r="U563" s="12"/>
      <c r="V563" s="12"/>
      <c r="W563" s="12">
        <f t="shared" ref="W563:W603" si="126">SUM(S563:V563)</f>
        <v>7566</v>
      </c>
      <c r="Y563" s="10">
        <v>2</v>
      </c>
      <c r="Z563" s="30" t="s">
        <v>66</v>
      </c>
      <c r="AA563" s="31">
        <f>AA562+1</f>
        <v>6377</v>
      </c>
      <c r="AB563" s="32">
        <f>12520+3070+8940+229</f>
        <v>24759</v>
      </c>
      <c r="AC563" s="32"/>
      <c r="AD563" s="32"/>
      <c r="AE563" s="32">
        <f t="shared" ref="AE563:AE571" si="127">SUM(AB563:AC563)</f>
        <v>24759</v>
      </c>
      <c r="AF563" s="12"/>
      <c r="AG563" s="12"/>
      <c r="AH563" s="12"/>
      <c r="AI563" s="12">
        <f t="shared" ref="AI563:AI603" si="128">SUM(AE563:AH563)</f>
        <v>24759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31">
        <f t="shared" ref="C564:C575" si="129">C563+1</f>
        <v>6483</v>
      </c>
      <c r="D564" s="33">
        <f>3756</f>
        <v>3756</v>
      </c>
      <c r="E564" s="33"/>
      <c r="F564" s="33"/>
      <c r="G564" s="33">
        <f t="shared" si="123"/>
        <v>3756</v>
      </c>
      <c r="H564" s="34"/>
      <c r="I564" s="34">
        <v>4.5</v>
      </c>
      <c r="J564" s="34"/>
      <c r="K564" s="34">
        <f t="shared" si="124"/>
        <v>3760.5</v>
      </c>
      <c r="M564" s="10">
        <v>3</v>
      </c>
      <c r="N564" s="30" t="s">
        <v>66</v>
      </c>
      <c r="O564" s="31">
        <f t="shared" ref="O564:O581" si="130">O563+1</f>
        <v>6404</v>
      </c>
      <c r="P564" s="32">
        <f>1252+596+28.5</f>
        <v>1876.5</v>
      </c>
      <c r="Q564" s="32"/>
      <c r="R564" s="32"/>
      <c r="S564" s="32">
        <f t="shared" si="125"/>
        <v>1876.5</v>
      </c>
      <c r="T564" s="12"/>
      <c r="U564" s="12">
        <v>5</v>
      </c>
      <c r="V564" s="12"/>
      <c r="W564" s="12">
        <f t="shared" si="126"/>
        <v>1881.5</v>
      </c>
      <c r="Y564" s="10">
        <v>3</v>
      </c>
      <c r="Z564" s="30" t="s">
        <v>66</v>
      </c>
      <c r="AA564" s="31">
        <f t="shared" ref="AA564:AA567" si="131">AA563+1</f>
        <v>6378</v>
      </c>
      <c r="AB564" s="33">
        <f>626*50+458</f>
        <v>31758</v>
      </c>
      <c r="AC564" s="33">
        <v>-312</v>
      </c>
      <c r="AD564" s="32"/>
      <c r="AE564" s="32">
        <f t="shared" si="127"/>
        <v>31446</v>
      </c>
      <c r="AF564" s="12"/>
      <c r="AG564" s="12"/>
      <c r="AH564" s="12">
        <v>-4551</v>
      </c>
      <c r="AI564" s="12">
        <f t="shared" si="128"/>
        <v>26895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31">
        <f t="shared" si="129"/>
        <v>6484</v>
      </c>
      <c r="D565" s="32">
        <f>3130+1348</f>
        <v>4478</v>
      </c>
      <c r="E565" s="32"/>
      <c r="F565" s="32"/>
      <c r="G565" s="32">
        <f t="shared" si="123"/>
        <v>4478</v>
      </c>
      <c r="H565" s="12"/>
      <c r="I565" s="12"/>
      <c r="J565" s="12"/>
      <c r="K565" s="12">
        <f t="shared" si="124"/>
        <v>4478</v>
      </c>
      <c r="M565" s="10">
        <v>4</v>
      </c>
      <c r="N565" s="30" t="s">
        <v>66</v>
      </c>
      <c r="O565" s="31">
        <f t="shared" si="130"/>
        <v>6405</v>
      </c>
      <c r="P565" s="32">
        <f>4382+832+66.5</f>
        <v>5280.5</v>
      </c>
      <c r="Q565" s="32"/>
      <c r="R565" s="32"/>
      <c r="S565" s="32">
        <f t="shared" si="125"/>
        <v>5280.5</v>
      </c>
      <c r="T565" s="12"/>
      <c r="U565" s="12">
        <v>45</v>
      </c>
      <c r="V565" s="12"/>
      <c r="W565" s="12">
        <f t="shared" si="126"/>
        <v>5325.5</v>
      </c>
      <c r="Y565" s="10">
        <v>4</v>
      </c>
      <c r="Z565" s="30" t="s">
        <v>66</v>
      </c>
      <c r="AA565" s="31">
        <f t="shared" si="131"/>
        <v>6379</v>
      </c>
      <c r="AB565" s="32">
        <f>18780+614*10+5960+458</f>
        <v>31338</v>
      </c>
      <c r="AC565" s="32">
        <v>-312</v>
      </c>
      <c r="AD565" s="32"/>
      <c r="AE565" s="32">
        <f t="shared" si="127"/>
        <v>31026</v>
      </c>
      <c r="AF565" s="12"/>
      <c r="AH565" s="12"/>
      <c r="AI565" s="12">
        <f t="shared" si="128"/>
        <v>31026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31">
        <f t="shared" si="129"/>
        <v>6485</v>
      </c>
      <c r="D566" s="32">
        <f>1248+500</f>
        <v>1748</v>
      </c>
      <c r="E566" s="32"/>
      <c r="F566" s="32"/>
      <c r="G566" s="32">
        <f t="shared" si="123"/>
        <v>1748</v>
      </c>
      <c r="H566" s="12"/>
      <c r="I566" s="12"/>
      <c r="J566" s="12"/>
      <c r="K566" s="12">
        <f t="shared" si="124"/>
        <v>1748</v>
      </c>
      <c r="M566" s="10">
        <v>5</v>
      </c>
      <c r="N566" s="30" t="s">
        <v>66</v>
      </c>
      <c r="O566" s="31">
        <f t="shared" si="130"/>
        <v>6406</v>
      </c>
      <c r="P566" s="32">
        <f>7512+1192+133</f>
        <v>8837</v>
      </c>
      <c r="Q566" s="32"/>
      <c r="R566" s="32"/>
      <c r="S566" s="32">
        <f t="shared" si="125"/>
        <v>8837</v>
      </c>
      <c r="T566" s="12"/>
      <c r="U566" s="12">
        <v>18</v>
      </c>
      <c r="V566" s="12"/>
      <c r="W566" s="12">
        <f t="shared" si="126"/>
        <v>8855</v>
      </c>
      <c r="Y566" s="10">
        <v>5</v>
      </c>
      <c r="Z566" s="30" t="s">
        <v>66</v>
      </c>
      <c r="AA566" s="31">
        <f t="shared" si="131"/>
        <v>6380</v>
      </c>
      <c r="AB566" s="32">
        <f>14398+229</f>
        <v>14627</v>
      </c>
      <c r="AC566" s="32"/>
      <c r="AD566" s="32"/>
      <c r="AE566" s="32">
        <f t="shared" si="127"/>
        <v>14627</v>
      </c>
      <c r="AF566" s="12"/>
      <c r="AG566" s="12"/>
      <c r="AH566" s="12"/>
      <c r="AI566" s="12">
        <f t="shared" si="128"/>
        <v>14627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31">
        <f t="shared" si="129"/>
        <v>6486</v>
      </c>
      <c r="D567" s="32">
        <f>15650+2980+369+500</f>
        <v>19499</v>
      </c>
      <c r="E567" s="32"/>
      <c r="F567" s="32"/>
      <c r="G567" s="32">
        <f t="shared" si="123"/>
        <v>19499</v>
      </c>
      <c r="H567" s="12"/>
      <c r="I567" s="12"/>
      <c r="J567" s="12"/>
      <c r="K567" s="12">
        <f t="shared" si="124"/>
        <v>19499</v>
      </c>
      <c r="M567" s="10">
        <v>6</v>
      </c>
      <c r="N567" s="30" t="s">
        <v>66</v>
      </c>
      <c r="O567" s="31">
        <f t="shared" si="130"/>
        <v>6407</v>
      </c>
      <c r="P567" s="32">
        <f>4382+1788+95</f>
        <v>6265</v>
      </c>
      <c r="Q567" s="32"/>
      <c r="R567" s="32"/>
      <c r="S567" s="32">
        <f t="shared" si="125"/>
        <v>6265</v>
      </c>
      <c r="T567" s="12"/>
      <c r="U567" s="12"/>
      <c r="V567" s="10"/>
      <c r="W567" s="12">
        <f t="shared" si="126"/>
        <v>6265</v>
      </c>
      <c r="Y567" s="10">
        <v>6</v>
      </c>
      <c r="Z567" s="30" t="s">
        <v>66</v>
      </c>
      <c r="AA567" s="31">
        <f t="shared" si="131"/>
        <v>6381</v>
      </c>
      <c r="AB567" s="32">
        <f>6260+1788+123.5</f>
        <v>8171.5</v>
      </c>
      <c r="AC567" s="32"/>
      <c r="AD567" s="32"/>
      <c r="AE567" s="32">
        <f t="shared" si="127"/>
        <v>8171.5</v>
      </c>
      <c r="AF567" s="12"/>
      <c r="AG567" s="12"/>
      <c r="AH567" s="10"/>
      <c r="AI567" s="12">
        <f t="shared" si="128"/>
        <v>8171.5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31">
        <f t="shared" si="129"/>
        <v>6487</v>
      </c>
      <c r="D568" s="32">
        <f>31300+229</f>
        <v>31529</v>
      </c>
      <c r="E568" s="32"/>
      <c r="F568" s="32"/>
      <c r="G568" s="32">
        <f t="shared" si="123"/>
        <v>31529</v>
      </c>
      <c r="H568" s="12"/>
      <c r="I568" s="12">
        <v>1554</v>
      </c>
      <c r="J568" s="12"/>
      <c r="K568" s="12">
        <f t="shared" si="124"/>
        <v>33083</v>
      </c>
      <c r="M568" s="10">
        <v>7</v>
      </c>
      <c r="N568" s="30" t="s">
        <v>66</v>
      </c>
      <c r="O568" s="31">
        <f t="shared" si="130"/>
        <v>6408</v>
      </c>
      <c r="P568" s="32">
        <f>5008+596+85.5</f>
        <v>5689.5</v>
      </c>
      <c r="Q568" s="32"/>
      <c r="R568" s="32"/>
      <c r="S568" s="32">
        <f t="shared" si="125"/>
        <v>5689.5</v>
      </c>
      <c r="T568" s="12"/>
      <c r="U568" s="12"/>
      <c r="V568" s="12"/>
      <c r="W568" s="12">
        <f t="shared" si="126"/>
        <v>5689.5</v>
      </c>
      <c r="Y568" s="10">
        <v>7</v>
      </c>
      <c r="Z568" s="30"/>
      <c r="AA568" s="11" t="s">
        <v>28</v>
      </c>
      <c r="AB568" s="32"/>
      <c r="AC568" s="32"/>
      <c r="AD568" s="32"/>
      <c r="AE568" s="32">
        <f t="shared" si="127"/>
        <v>0</v>
      </c>
      <c r="AF568" s="12"/>
      <c r="AG568" s="58"/>
      <c r="AH568" s="12"/>
      <c r="AI568" s="12">
        <f t="shared" si="128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66</v>
      </c>
      <c r="C569" s="31">
        <f t="shared" si="129"/>
        <v>6488</v>
      </c>
      <c r="D569" s="32">
        <f>1252+19</f>
        <v>1271</v>
      </c>
      <c r="E569" s="32"/>
      <c r="F569" s="32"/>
      <c r="G569" s="32">
        <f t="shared" si="123"/>
        <v>1271</v>
      </c>
      <c r="H569" s="12"/>
      <c r="I569" s="12">
        <v>4.5</v>
      </c>
      <c r="J569" s="12"/>
      <c r="K569" s="12">
        <f t="shared" si="124"/>
        <v>1275.5</v>
      </c>
      <c r="M569" s="10">
        <v>8</v>
      </c>
      <c r="N569" s="30" t="s">
        <v>66</v>
      </c>
      <c r="O569" s="31">
        <f t="shared" si="130"/>
        <v>6409</v>
      </c>
      <c r="P569" s="32">
        <f>626+596+19</f>
        <v>1241</v>
      </c>
      <c r="Q569" s="32"/>
      <c r="R569" s="32"/>
      <c r="S569" s="32">
        <f t="shared" si="125"/>
        <v>1241</v>
      </c>
      <c r="T569" s="12"/>
      <c r="U569" s="12"/>
      <c r="V569" s="12"/>
      <c r="W569" s="12">
        <f t="shared" si="126"/>
        <v>1241</v>
      </c>
      <c r="Y569" s="10">
        <v>8</v>
      </c>
      <c r="Z569" s="30"/>
      <c r="AA569" s="31"/>
      <c r="AB569" s="32"/>
      <c r="AC569" s="32"/>
      <c r="AE569" s="32">
        <f t="shared" si="127"/>
        <v>0</v>
      </c>
      <c r="AF569" s="12"/>
      <c r="AG569" s="12"/>
      <c r="AH569" s="12"/>
      <c r="AI569" s="12">
        <f t="shared" si="128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66</v>
      </c>
      <c r="C570" s="31">
        <f t="shared" si="129"/>
        <v>6489</v>
      </c>
      <c r="D570" s="32">
        <f>1878+28</f>
        <v>1906</v>
      </c>
      <c r="E570" s="32"/>
      <c r="F570" s="32"/>
      <c r="G570" s="32">
        <f t="shared" si="123"/>
        <v>1906</v>
      </c>
      <c r="H570" s="12"/>
      <c r="I570" s="12"/>
      <c r="J570" s="12"/>
      <c r="K570" s="12">
        <f t="shared" si="124"/>
        <v>1906</v>
      </c>
      <c r="M570" s="10">
        <v>9</v>
      </c>
      <c r="N570" s="30" t="s">
        <v>66</v>
      </c>
      <c r="O570" s="31">
        <f t="shared" si="130"/>
        <v>6410</v>
      </c>
      <c r="P570" s="32">
        <f>2504+1192+503+57+500</f>
        <v>4756</v>
      </c>
      <c r="Q570" s="32"/>
      <c r="R570" s="32"/>
      <c r="S570" s="32">
        <f t="shared" si="125"/>
        <v>4756</v>
      </c>
      <c r="T570" s="12"/>
      <c r="U570" s="12"/>
      <c r="V570" s="12"/>
      <c r="W570" s="12">
        <f t="shared" si="126"/>
        <v>4756</v>
      </c>
      <c r="Y570" s="10">
        <v>9</v>
      </c>
      <c r="Z570" s="30"/>
      <c r="AA570" s="31"/>
      <c r="AB570" s="95"/>
      <c r="AC570" s="32"/>
      <c r="AD570" s="32"/>
      <c r="AE570" s="32">
        <f t="shared" si="127"/>
        <v>0</v>
      </c>
      <c r="AF570" s="12"/>
      <c r="AH570" s="12"/>
      <c r="AI570" s="12">
        <f t="shared" si="128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66</v>
      </c>
      <c r="C571" s="31">
        <f t="shared" si="129"/>
        <v>6490</v>
      </c>
      <c r="D571" s="32">
        <f>1878+28</f>
        <v>1906</v>
      </c>
      <c r="E571" s="32"/>
      <c r="F571" s="32"/>
      <c r="G571" s="32">
        <f t="shared" si="123"/>
        <v>1906</v>
      </c>
      <c r="H571" s="12"/>
      <c r="I571" s="12">
        <f>4.5+9</f>
        <v>13.5</v>
      </c>
      <c r="J571" s="12"/>
      <c r="K571" s="12">
        <f t="shared" si="124"/>
        <v>1919.5</v>
      </c>
      <c r="M571" s="10">
        <v>10</v>
      </c>
      <c r="N571" s="30" t="s">
        <v>66</v>
      </c>
      <c r="O571" s="31">
        <f t="shared" si="130"/>
        <v>6411</v>
      </c>
      <c r="P571" s="32">
        <f>1252+19</f>
        <v>1271</v>
      </c>
      <c r="Q571" s="32"/>
      <c r="R571" s="32"/>
      <c r="S571" s="32">
        <f t="shared" si="125"/>
        <v>1271</v>
      </c>
      <c r="T571" s="12"/>
      <c r="U571" s="12"/>
      <c r="V571" s="12"/>
      <c r="W571" s="12">
        <f t="shared" si="126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27"/>
        <v>0</v>
      </c>
      <c r="AF571" s="12"/>
      <c r="AG571" s="12"/>
      <c r="AH571" s="12"/>
      <c r="AI571" s="12">
        <f t="shared" si="128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66</v>
      </c>
      <c r="C572" s="31">
        <f t="shared" si="129"/>
        <v>6491</v>
      </c>
      <c r="D572" s="32">
        <f>1252+19</f>
        <v>1271</v>
      </c>
      <c r="E572" s="32"/>
      <c r="F572" s="32"/>
      <c r="G572" s="32">
        <f t="shared" si="123"/>
        <v>1271</v>
      </c>
      <c r="H572" s="12"/>
      <c r="I572" s="12"/>
      <c r="J572" s="12"/>
      <c r="K572" s="12">
        <f t="shared" si="124"/>
        <v>1271</v>
      </c>
      <c r="M572" s="10">
        <v>11</v>
      </c>
      <c r="N572" s="30" t="s">
        <v>66</v>
      </c>
      <c r="O572" s="31">
        <f t="shared" si="130"/>
        <v>6412</v>
      </c>
      <c r="P572" s="32">
        <f>3130+596+57</f>
        <v>3783</v>
      </c>
      <c r="Q572" s="32"/>
      <c r="R572" s="32"/>
      <c r="S572" s="32">
        <f t="shared" si="125"/>
        <v>3783</v>
      </c>
      <c r="T572" s="12"/>
      <c r="U572" s="12"/>
      <c r="V572" s="12"/>
      <c r="W572" s="12">
        <f t="shared" si="126"/>
        <v>3783</v>
      </c>
      <c r="Y572" s="10">
        <v>11</v>
      </c>
      <c r="Z572" s="30"/>
      <c r="AB572" s="32"/>
      <c r="AC572" s="32"/>
      <c r="AD572" s="32"/>
      <c r="AE572" s="32">
        <f t="shared" ref="AE572:AE600" si="132">SUM(AB572:AC572)</f>
        <v>0</v>
      </c>
      <c r="AF572" s="12"/>
      <c r="AG572" s="12"/>
      <c r="AH572" s="12"/>
      <c r="AI572" s="12">
        <f t="shared" si="128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66</v>
      </c>
      <c r="C573" s="31">
        <f t="shared" si="129"/>
        <v>6492</v>
      </c>
      <c r="D573" s="32">
        <f>2504+38</f>
        <v>2542</v>
      </c>
      <c r="E573" s="32"/>
      <c r="F573" s="32"/>
      <c r="G573" s="32">
        <f t="shared" si="123"/>
        <v>2542</v>
      </c>
      <c r="H573" s="12"/>
      <c r="I573" s="12"/>
      <c r="J573" s="10"/>
      <c r="K573" s="12">
        <f t="shared" si="124"/>
        <v>2542</v>
      </c>
      <c r="M573" s="10">
        <v>12</v>
      </c>
      <c r="N573" s="30" t="s">
        <v>66</v>
      </c>
      <c r="O573" s="31">
        <f t="shared" si="130"/>
        <v>6413</v>
      </c>
      <c r="P573" s="32">
        <f>1878+28.5</f>
        <v>1906.5</v>
      </c>
      <c r="Q573" s="32"/>
      <c r="R573" s="32"/>
      <c r="S573" s="32">
        <f t="shared" si="125"/>
        <v>1906.5</v>
      </c>
      <c r="T573" s="12"/>
      <c r="U573" s="12"/>
      <c r="V573" s="12"/>
      <c r="W573" s="12">
        <f t="shared" si="126"/>
        <v>1906.5</v>
      </c>
      <c r="Y573" s="10">
        <v>12</v>
      </c>
      <c r="Z573" s="30"/>
      <c r="AA573" s="31"/>
      <c r="AB573" s="32"/>
      <c r="AC573" s="32"/>
      <c r="AD573" s="32"/>
      <c r="AE573" s="32">
        <f t="shared" si="132"/>
        <v>0</v>
      </c>
      <c r="AF573" s="12"/>
      <c r="AG573" s="12"/>
      <c r="AH573" s="12"/>
      <c r="AI573" s="12">
        <f t="shared" si="128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66</v>
      </c>
      <c r="C574" s="31">
        <f t="shared" si="129"/>
        <v>6493</v>
      </c>
      <c r="D574" s="32">
        <f>2504+614+38</f>
        <v>3156</v>
      </c>
      <c r="E574" s="32"/>
      <c r="F574" s="32"/>
      <c r="G574" s="32">
        <f t="shared" si="123"/>
        <v>3156</v>
      </c>
      <c r="H574" s="12"/>
      <c r="I574" s="12">
        <v>9</v>
      </c>
      <c r="J574" s="12"/>
      <c r="K574" s="12">
        <f t="shared" si="124"/>
        <v>3165</v>
      </c>
      <c r="M574" s="10">
        <v>13</v>
      </c>
      <c r="N574" s="30" t="s">
        <v>66</v>
      </c>
      <c r="O574" s="31">
        <f t="shared" si="130"/>
        <v>6414</v>
      </c>
      <c r="P574" s="32">
        <f>626+9.5</f>
        <v>635.5</v>
      </c>
      <c r="Q574" s="32"/>
      <c r="R574" s="32"/>
      <c r="S574" s="32">
        <f t="shared" si="125"/>
        <v>635.5</v>
      </c>
      <c r="T574" s="12"/>
      <c r="U574" s="12"/>
      <c r="V574" s="12"/>
      <c r="W574" s="12">
        <f t="shared" si="126"/>
        <v>635.5</v>
      </c>
      <c r="Y574" s="10">
        <v>13</v>
      </c>
      <c r="Z574" s="30"/>
      <c r="AA574" s="31"/>
      <c r="AB574" s="32"/>
      <c r="AC574" s="32"/>
      <c r="AD574" s="32"/>
      <c r="AE574" s="32">
        <f t="shared" si="132"/>
        <v>0</v>
      </c>
      <c r="AF574" s="12"/>
      <c r="AG574" s="12"/>
      <c r="AH574" s="12"/>
      <c r="AI574" s="12">
        <f t="shared" si="128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66</v>
      </c>
      <c r="C575" s="31">
        <f t="shared" si="129"/>
        <v>6494</v>
      </c>
      <c r="D575" s="32">
        <f>1878+28</f>
        <v>1906</v>
      </c>
      <c r="E575" s="32"/>
      <c r="F575" s="32"/>
      <c r="G575" s="32">
        <f t="shared" si="123"/>
        <v>1906</v>
      </c>
      <c r="H575" s="12"/>
      <c r="I575" s="12"/>
      <c r="J575" s="12"/>
      <c r="K575" s="12">
        <f t="shared" si="124"/>
        <v>1906</v>
      </c>
      <c r="M575" s="10">
        <v>14</v>
      </c>
      <c r="N575" s="30" t="s">
        <v>66</v>
      </c>
      <c r="O575" s="31">
        <f t="shared" si="130"/>
        <v>6415</v>
      </c>
      <c r="P575" s="32">
        <f>2504+38</f>
        <v>2542</v>
      </c>
      <c r="Q575" s="32"/>
      <c r="R575" s="32"/>
      <c r="S575" s="32">
        <f t="shared" si="125"/>
        <v>2542</v>
      </c>
      <c r="T575" s="12"/>
      <c r="U575" s="12"/>
      <c r="V575" s="12"/>
      <c r="W575" s="12">
        <f t="shared" si="126"/>
        <v>2542</v>
      </c>
      <c r="Y575" s="10">
        <v>14</v>
      </c>
      <c r="Z575" s="30"/>
      <c r="AA575" s="31"/>
      <c r="AB575" s="32"/>
      <c r="AC575" s="32"/>
      <c r="AD575" s="32"/>
      <c r="AE575" s="32">
        <f t="shared" si="132"/>
        <v>0</v>
      </c>
      <c r="AF575" s="12"/>
      <c r="AG575" s="12"/>
      <c r="AH575" s="12"/>
      <c r="AI575" s="12">
        <f t="shared" si="128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11" t="s">
        <v>28</v>
      </c>
      <c r="D576" s="32"/>
      <c r="E576" s="32"/>
      <c r="F576" s="32"/>
      <c r="G576" s="32">
        <f t="shared" si="123"/>
        <v>0</v>
      </c>
      <c r="H576" s="12"/>
      <c r="I576" s="12"/>
      <c r="J576" s="12"/>
      <c r="K576" s="12">
        <f t="shared" si="124"/>
        <v>0</v>
      </c>
      <c r="M576" s="10">
        <v>15</v>
      </c>
      <c r="N576" s="30" t="s">
        <v>66</v>
      </c>
      <c r="O576" s="31">
        <f t="shared" si="130"/>
        <v>6416</v>
      </c>
      <c r="P576" s="32">
        <f>2504+38</f>
        <v>2542</v>
      </c>
      <c r="Q576" s="32"/>
      <c r="R576" s="32"/>
      <c r="S576" s="32">
        <f t="shared" si="125"/>
        <v>2542</v>
      </c>
      <c r="T576" s="12"/>
      <c r="U576" s="12"/>
      <c r="V576" s="12"/>
      <c r="W576" s="12">
        <f t="shared" si="126"/>
        <v>2542</v>
      </c>
      <c r="Y576" s="10">
        <v>15</v>
      </c>
      <c r="Z576" s="30"/>
      <c r="AA576" s="31"/>
      <c r="AB576" s="32"/>
      <c r="AC576" s="32"/>
      <c r="AD576" s="32"/>
      <c r="AE576" s="32">
        <f t="shared" si="132"/>
        <v>0</v>
      </c>
      <c r="AF576" s="12"/>
      <c r="AG576" s="12"/>
      <c r="AH576" s="12"/>
      <c r="AI576" s="12">
        <f t="shared" si="128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31"/>
      <c r="D577" s="32"/>
      <c r="E577" s="32"/>
      <c r="F577" s="32"/>
      <c r="G577" s="32">
        <f t="shared" si="123"/>
        <v>0</v>
      </c>
      <c r="H577" s="12"/>
      <c r="I577" s="12"/>
      <c r="J577" s="12"/>
      <c r="K577" s="12">
        <f t="shared" si="124"/>
        <v>0</v>
      </c>
      <c r="M577" s="10">
        <v>16</v>
      </c>
      <c r="N577" s="30" t="s">
        <v>66</v>
      </c>
      <c r="O577" s="31">
        <f t="shared" si="130"/>
        <v>6417</v>
      </c>
      <c r="P577" s="32">
        <f>2504+38</f>
        <v>2542</v>
      </c>
      <c r="Q577" s="32"/>
      <c r="R577" s="32"/>
      <c r="S577" s="32">
        <f t="shared" si="125"/>
        <v>2542</v>
      </c>
      <c r="T577" s="12"/>
      <c r="U577" s="12"/>
      <c r="V577" s="12"/>
      <c r="W577" s="12">
        <f t="shared" si="126"/>
        <v>2542</v>
      </c>
      <c r="Y577" s="10">
        <v>16</v>
      </c>
      <c r="Z577" s="30"/>
      <c r="AA577" s="31"/>
      <c r="AB577" s="32"/>
      <c r="AC577" s="32"/>
      <c r="AD577" s="32"/>
      <c r="AE577" s="32">
        <f t="shared" si="132"/>
        <v>0</v>
      </c>
      <c r="AF577" s="12"/>
      <c r="AG577" s="12"/>
      <c r="AH577" s="12"/>
      <c r="AI577" s="12">
        <f t="shared" si="128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23"/>
        <v>0</v>
      </c>
      <c r="H578" s="12"/>
      <c r="I578" s="12"/>
      <c r="J578" s="12"/>
      <c r="K578" s="12">
        <f t="shared" si="124"/>
        <v>0</v>
      </c>
      <c r="M578" s="10">
        <v>17</v>
      </c>
      <c r="N578" s="30" t="s">
        <v>66</v>
      </c>
      <c r="O578" s="31">
        <f t="shared" si="130"/>
        <v>6418</v>
      </c>
      <c r="P578" s="35">
        <f>2504+38</f>
        <v>2542</v>
      </c>
      <c r="Q578" s="32"/>
      <c r="R578" s="32"/>
      <c r="S578" s="32">
        <f t="shared" si="125"/>
        <v>2542</v>
      </c>
      <c r="T578" s="12"/>
      <c r="U578" s="12"/>
      <c r="V578" s="12"/>
      <c r="W578" s="12">
        <f t="shared" si="126"/>
        <v>2542</v>
      </c>
      <c r="Y578" s="10">
        <v>17</v>
      </c>
      <c r="Z578" s="30"/>
      <c r="AA578" s="31"/>
      <c r="AB578" s="35"/>
      <c r="AC578" s="32"/>
      <c r="AD578" s="32"/>
      <c r="AE578" s="32">
        <f t="shared" si="132"/>
        <v>0</v>
      </c>
      <c r="AF578" s="12"/>
      <c r="AG578" s="12"/>
      <c r="AH578" s="12"/>
      <c r="AI578" s="12">
        <f t="shared" si="128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23"/>
        <v>0</v>
      </c>
      <c r="H579" s="12"/>
      <c r="I579" s="12"/>
      <c r="J579" s="12"/>
      <c r="K579" s="12">
        <f t="shared" si="124"/>
        <v>0</v>
      </c>
      <c r="M579" s="10">
        <v>18</v>
      </c>
      <c r="N579" s="30" t="s">
        <v>66</v>
      </c>
      <c r="O579" s="31">
        <f t="shared" si="130"/>
        <v>6419</v>
      </c>
      <c r="P579" s="32">
        <f>7512+1788+143</f>
        <v>9443</v>
      </c>
      <c r="Q579" s="32"/>
      <c r="R579" s="32"/>
      <c r="S579" s="32">
        <f t="shared" si="125"/>
        <v>9443</v>
      </c>
      <c r="T579" s="12"/>
      <c r="U579" s="12"/>
      <c r="V579" s="12"/>
      <c r="W579" s="12">
        <f t="shared" si="126"/>
        <v>9443</v>
      </c>
      <c r="Y579" s="10">
        <v>18</v>
      </c>
      <c r="Z579" s="30"/>
      <c r="AA579" s="31"/>
      <c r="AB579" s="32"/>
      <c r="AC579" s="32"/>
      <c r="AD579" s="32"/>
      <c r="AE579" s="32">
        <f t="shared" si="132"/>
        <v>0</v>
      </c>
      <c r="AF579" s="12"/>
      <c r="AG579" s="12"/>
      <c r="AH579" s="12"/>
      <c r="AI579" s="12">
        <f t="shared" si="128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23"/>
        <v>0</v>
      </c>
      <c r="H580" s="12"/>
      <c r="I580" s="12"/>
      <c r="J580" s="12"/>
      <c r="K580" s="12">
        <f t="shared" si="124"/>
        <v>0</v>
      </c>
      <c r="M580" s="10">
        <v>19</v>
      </c>
      <c r="N580" s="30" t="s">
        <v>66</v>
      </c>
      <c r="O580" s="31">
        <f t="shared" si="130"/>
        <v>6420</v>
      </c>
      <c r="P580" s="32">
        <f>1252+19</f>
        <v>1271</v>
      </c>
      <c r="Q580" s="32"/>
      <c r="R580" s="32"/>
      <c r="S580" s="32">
        <f t="shared" si="125"/>
        <v>1271</v>
      </c>
      <c r="T580" s="12"/>
      <c r="U580" s="12"/>
      <c r="V580" s="12"/>
      <c r="W580" s="12">
        <f t="shared" si="126"/>
        <v>1271</v>
      </c>
      <c r="Y580" s="10">
        <v>19</v>
      </c>
      <c r="Z580" s="30"/>
      <c r="AA580" s="31"/>
      <c r="AB580" s="32"/>
      <c r="AC580" s="32"/>
      <c r="AD580" s="32"/>
      <c r="AE580" s="32">
        <f t="shared" si="132"/>
        <v>0</v>
      </c>
      <c r="AF580" s="12"/>
      <c r="AG580" s="12"/>
      <c r="AH580" s="12"/>
      <c r="AI580" s="12">
        <f t="shared" si="128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23"/>
        <v>0</v>
      </c>
      <c r="H581" s="12"/>
      <c r="I581" s="12"/>
      <c r="J581" s="12"/>
      <c r="K581" s="12">
        <f t="shared" si="124"/>
        <v>0</v>
      </c>
      <c r="M581" s="10">
        <v>20</v>
      </c>
      <c r="N581" s="30" t="s">
        <v>66</v>
      </c>
      <c r="O581" s="31">
        <f t="shared" si="130"/>
        <v>6421</v>
      </c>
      <c r="P581" s="32">
        <f>1252+19</f>
        <v>1271</v>
      </c>
      <c r="Q581" s="32"/>
      <c r="R581" s="32"/>
      <c r="S581" s="32">
        <f t="shared" si="125"/>
        <v>1271</v>
      </c>
      <c r="T581" s="12"/>
      <c r="U581" s="12"/>
      <c r="V581" s="12"/>
      <c r="W581" s="12">
        <f t="shared" si="126"/>
        <v>1271</v>
      </c>
      <c r="Y581" s="10">
        <v>20</v>
      </c>
      <c r="Z581" s="30"/>
      <c r="AA581" s="31"/>
      <c r="AB581" s="32"/>
      <c r="AC581" s="32"/>
      <c r="AD581" s="32"/>
      <c r="AE581" s="32">
        <f t="shared" si="132"/>
        <v>0</v>
      </c>
      <c r="AF581" s="12"/>
      <c r="AG581" s="12"/>
      <c r="AH581" s="12"/>
      <c r="AI581" s="12">
        <f t="shared" si="128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23"/>
        <v>0</v>
      </c>
      <c r="H582" s="10"/>
      <c r="I582" s="10"/>
      <c r="J582" s="10"/>
      <c r="K582" s="12">
        <f t="shared" si="124"/>
        <v>0</v>
      </c>
      <c r="M582" s="10">
        <v>21</v>
      </c>
      <c r="N582" s="30"/>
      <c r="O582" s="11" t="s">
        <v>28</v>
      </c>
      <c r="P582" s="46"/>
      <c r="Q582" s="31"/>
      <c r="R582" s="31"/>
      <c r="S582" s="32">
        <f t="shared" si="125"/>
        <v>0</v>
      </c>
      <c r="T582" s="10"/>
      <c r="U582" s="10"/>
      <c r="V582" s="10"/>
      <c r="W582" s="12">
        <f t="shared" si="126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32"/>
        <v>0</v>
      </c>
      <c r="AF582" s="10"/>
      <c r="AG582" s="10"/>
      <c r="AH582" s="10"/>
      <c r="AI582" s="12">
        <f t="shared" si="128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D583" s="32"/>
      <c r="E583" s="32"/>
      <c r="F583" s="32"/>
      <c r="G583" s="32">
        <f t="shared" si="123"/>
        <v>0</v>
      </c>
      <c r="H583" s="10"/>
      <c r="I583" s="10"/>
      <c r="J583" s="10"/>
      <c r="K583" s="12">
        <f t="shared" si="124"/>
        <v>0</v>
      </c>
      <c r="M583" s="10">
        <v>22</v>
      </c>
      <c r="N583" s="30"/>
      <c r="O583" s="31"/>
      <c r="P583" s="45"/>
      <c r="Q583" s="31"/>
      <c r="R583" s="31"/>
      <c r="S583" s="32">
        <f t="shared" si="125"/>
        <v>0</v>
      </c>
      <c r="T583" s="10"/>
      <c r="U583" s="10"/>
      <c r="V583" s="10"/>
      <c r="W583" s="12">
        <f t="shared" si="126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32"/>
        <v>0</v>
      </c>
      <c r="AF583" s="10"/>
      <c r="AG583" s="10"/>
      <c r="AH583" s="10"/>
      <c r="AI583" s="12">
        <f t="shared" si="128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23"/>
        <v>0</v>
      </c>
      <c r="H584" s="10"/>
      <c r="I584" s="10"/>
      <c r="J584" s="12"/>
      <c r="K584" s="12">
        <f t="shared" si="124"/>
        <v>0</v>
      </c>
      <c r="M584" s="10">
        <v>23</v>
      </c>
      <c r="N584" s="30"/>
      <c r="O584" s="31"/>
      <c r="P584" s="47"/>
      <c r="Q584" s="31"/>
      <c r="S584" s="32">
        <f t="shared" si="125"/>
        <v>0</v>
      </c>
      <c r="T584" s="10"/>
      <c r="U584" s="10"/>
      <c r="V584" s="10"/>
      <c r="W584" s="12">
        <f t="shared" si="126"/>
        <v>0</v>
      </c>
      <c r="Y584" s="10">
        <v>23</v>
      </c>
      <c r="Z584" s="30"/>
      <c r="AA584" s="31"/>
      <c r="AB584" s="47"/>
      <c r="AE584" s="32">
        <f t="shared" si="132"/>
        <v>0</v>
      </c>
      <c r="AF584" s="10"/>
      <c r="AG584" s="10"/>
      <c r="AH584" s="10"/>
      <c r="AI584" s="12">
        <f t="shared" si="128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23"/>
        <v>0</v>
      </c>
      <c r="H585" s="10"/>
      <c r="I585" s="10"/>
      <c r="J585" s="10"/>
      <c r="K585" s="12">
        <f t="shared" si="124"/>
        <v>0</v>
      </c>
      <c r="M585" s="10">
        <v>24</v>
      </c>
      <c r="N585" s="30"/>
      <c r="O585" s="31"/>
      <c r="P585" s="47"/>
      <c r="Q585" s="31"/>
      <c r="R585" s="31"/>
      <c r="S585" s="32">
        <f t="shared" si="125"/>
        <v>0</v>
      </c>
      <c r="T585" s="10"/>
      <c r="U585" s="10"/>
      <c r="V585" s="10"/>
      <c r="W585" s="12">
        <f t="shared" si="126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32"/>
        <v>0</v>
      </c>
      <c r="AF585" s="10"/>
      <c r="AG585" s="10"/>
      <c r="AH585" s="10"/>
      <c r="AI585" s="12">
        <f t="shared" si="128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23"/>
        <v>0</v>
      </c>
      <c r="H586" s="10"/>
      <c r="I586" s="10"/>
      <c r="J586" s="10"/>
      <c r="K586" s="12">
        <f t="shared" si="124"/>
        <v>0</v>
      </c>
      <c r="M586" s="10">
        <v>25</v>
      </c>
      <c r="N586" s="30"/>
      <c r="O586" s="31"/>
      <c r="P586" s="47"/>
      <c r="Q586" s="31"/>
      <c r="R586" s="31"/>
      <c r="S586" s="32">
        <f t="shared" si="125"/>
        <v>0</v>
      </c>
      <c r="T586" s="10"/>
      <c r="U586" s="10"/>
      <c r="V586" s="10"/>
      <c r="W586" s="12">
        <f t="shared" si="126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32"/>
        <v>0</v>
      </c>
      <c r="AF586" s="10"/>
      <c r="AG586" s="10"/>
      <c r="AH586" s="10"/>
      <c r="AI586" s="12">
        <f t="shared" si="128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31"/>
      <c r="D587" s="32"/>
      <c r="E587" s="32"/>
      <c r="F587" s="32"/>
      <c r="G587" s="32">
        <f t="shared" si="123"/>
        <v>0</v>
      </c>
      <c r="H587" s="10"/>
      <c r="I587" s="10"/>
      <c r="J587" s="10"/>
      <c r="K587" s="12">
        <f t="shared" si="124"/>
        <v>0</v>
      </c>
      <c r="M587" s="10">
        <v>26</v>
      </c>
      <c r="N587" s="30"/>
      <c r="P587" s="47"/>
      <c r="Q587" s="31"/>
      <c r="R587" s="31"/>
      <c r="S587" s="32">
        <f t="shared" si="125"/>
        <v>0</v>
      </c>
      <c r="T587" s="10"/>
      <c r="U587" s="10"/>
      <c r="V587" s="10"/>
      <c r="W587" s="12">
        <f t="shared" si="126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32"/>
        <v>0</v>
      </c>
      <c r="AF587" s="10"/>
      <c r="AG587" s="10"/>
      <c r="AH587" s="10"/>
      <c r="AI587" s="12">
        <f t="shared" si="128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31"/>
      <c r="D588" s="32"/>
      <c r="E588" s="32"/>
      <c r="F588" s="32"/>
      <c r="G588" s="32">
        <f t="shared" si="123"/>
        <v>0</v>
      </c>
      <c r="H588" s="10"/>
      <c r="I588" s="10"/>
      <c r="J588" s="10"/>
      <c r="K588" s="12">
        <f t="shared" si="124"/>
        <v>0</v>
      </c>
      <c r="M588" s="10">
        <v>27</v>
      </c>
      <c r="N588" s="30"/>
      <c r="O588" s="31"/>
      <c r="P588" s="47"/>
      <c r="Q588" s="31"/>
      <c r="R588" s="31"/>
      <c r="S588" s="32">
        <f t="shared" si="125"/>
        <v>0</v>
      </c>
      <c r="T588" s="10"/>
      <c r="U588" s="10"/>
      <c r="V588" s="10"/>
      <c r="W588" s="12">
        <f t="shared" si="126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32"/>
        <v>0</v>
      </c>
      <c r="AF588" s="10"/>
      <c r="AG588" s="10"/>
      <c r="AH588" s="10"/>
      <c r="AI588" s="12">
        <f t="shared" si="128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57"/>
      <c r="D589" s="32"/>
      <c r="E589" s="32"/>
      <c r="F589" s="32"/>
      <c r="G589" s="32">
        <f t="shared" si="123"/>
        <v>0</v>
      </c>
      <c r="H589" s="10"/>
      <c r="I589" s="10"/>
      <c r="J589" s="10"/>
      <c r="K589" s="12">
        <f t="shared" si="124"/>
        <v>0</v>
      </c>
      <c r="M589" s="10">
        <v>28</v>
      </c>
      <c r="N589" s="30"/>
      <c r="O589" s="31"/>
      <c r="P589" s="47"/>
      <c r="Q589" s="31"/>
      <c r="R589" s="31"/>
      <c r="S589" s="32">
        <f t="shared" si="125"/>
        <v>0</v>
      </c>
      <c r="T589" s="10"/>
      <c r="U589" s="10"/>
      <c r="V589" s="10"/>
      <c r="W589" s="12">
        <f t="shared" si="126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32"/>
        <v>0</v>
      </c>
      <c r="AF589" s="10"/>
      <c r="AG589" s="10"/>
      <c r="AH589" s="10"/>
      <c r="AI589" s="12">
        <f t="shared" si="128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23"/>
        <v>0</v>
      </c>
      <c r="H590" s="10"/>
      <c r="I590" s="10"/>
      <c r="J590" s="10"/>
      <c r="K590" s="12">
        <f t="shared" si="124"/>
        <v>0</v>
      </c>
      <c r="M590" s="10">
        <v>29</v>
      </c>
      <c r="N590" s="30"/>
      <c r="O590" s="31"/>
      <c r="P590" s="47"/>
      <c r="Q590" s="31"/>
      <c r="R590" s="31"/>
      <c r="S590" s="32">
        <f t="shared" si="125"/>
        <v>0</v>
      </c>
      <c r="T590" s="10"/>
      <c r="U590" s="10"/>
      <c r="V590" s="10"/>
      <c r="W590" s="12">
        <f t="shared" si="126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32"/>
        <v>0</v>
      </c>
      <c r="AF590" s="10"/>
      <c r="AG590" s="10"/>
      <c r="AH590" s="10"/>
      <c r="AI590" s="12">
        <f t="shared" si="128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11"/>
      <c r="D591" s="32"/>
      <c r="E591" s="32"/>
      <c r="F591" s="32"/>
      <c r="G591" s="32">
        <f t="shared" si="123"/>
        <v>0</v>
      </c>
      <c r="H591" s="10"/>
      <c r="I591" s="10"/>
      <c r="J591" s="10"/>
      <c r="K591" s="12">
        <f t="shared" si="124"/>
        <v>0</v>
      </c>
      <c r="M591" s="10">
        <v>30</v>
      </c>
      <c r="N591" s="30"/>
      <c r="P591" s="47"/>
      <c r="Q591" s="31"/>
      <c r="R591" s="31"/>
      <c r="S591" s="32">
        <f t="shared" si="125"/>
        <v>0</v>
      </c>
      <c r="T591" s="10"/>
      <c r="U591" s="10"/>
      <c r="V591" s="10"/>
      <c r="W591" s="12">
        <f t="shared" si="126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32"/>
        <v>0</v>
      </c>
      <c r="AF591" s="10"/>
      <c r="AG591" s="10"/>
      <c r="AH591" s="10"/>
      <c r="AI591" s="12">
        <f t="shared" si="128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23"/>
        <v>0</v>
      </c>
      <c r="H592" s="10"/>
      <c r="I592" s="10"/>
      <c r="J592" s="10"/>
      <c r="K592" s="12">
        <f t="shared" si="124"/>
        <v>0</v>
      </c>
      <c r="M592" s="10">
        <v>31</v>
      </c>
      <c r="N592" s="30"/>
      <c r="O592" s="31"/>
      <c r="P592" s="47"/>
      <c r="Q592" s="31"/>
      <c r="R592" s="31"/>
      <c r="S592" s="32">
        <f t="shared" si="125"/>
        <v>0</v>
      </c>
      <c r="T592" s="10"/>
      <c r="U592" s="10"/>
      <c r="V592" s="10"/>
      <c r="W592" s="12">
        <f t="shared" si="126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32"/>
        <v>0</v>
      </c>
      <c r="AF592" s="10"/>
      <c r="AG592" s="10"/>
      <c r="AH592" s="10"/>
      <c r="AI592" s="12">
        <f t="shared" si="128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11"/>
      <c r="D593" s="32"/>
      <c r="E593" s="32"/>
      <c r="F593" s="32"/>
      <c r="G593" s="32">
        <f t="shared" si="123"/>
        <v>0</v>
      </c>
      <c r="H593" s="10"/>
      <c r="I593" s="10"/>
      <c r="J593" s="10"/>
      <c r="K593" s="12">
        <f t="shared" si="124"/>
        <v>0</v>
      </c>
      <c r="M593" s="10">
        <v>32</v>
      </c>
      <c r="N593" s="30"/>
      <c r="O593" s="31"/>
      <c r="P593" s="47"/>
      <c r="Q593" s="31"/>
      <c r="R593" s="31"/>
      <c r="S593" s="32">
        <f t="shared" si="125"/>
        <v>0</v>
      </c>
      <c r="T593" s="10"/>
      <c r="U593" s="10"/>
      <c r="V593" s="10"/>
      <c r="W593" s="12">
        <f t="shared" si="126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32"/>
        <v>0</v>
      </c>
      <c r="AF593" s="10"/>
      <c r="AG593" s="10"/>
      <c r="AH593" s="10"/>
      <c r="AI593" s="12">
        <f t="shared" si="128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11"/>
      <c r="D594" s="32"/>
      <c r="E594" s="32"/>
      <c r="F594" s="32"/>
      <c r="G594" s="32">
        <f t="shared" si="123"/>
        <v>0</v>
      </c>
      <c r="H594" s="10"/>
      <c r="I594" s="10"/>
      <c r="J594" s="10"/>
      <c r="K594" s="12">
        <f t="shared" si="124"/>
        <v>0</v>
      </c>
      <c r="M594" s="10">
        <v>33</v>
      </c>
      <c r="N594" s="30"/>
      <c r="O594" s="31"/>
      <c r="P594" s="47"/>
      <c r="Q594" s="31"/>
      <c r="R594" s="31"/>
      <c r="S594" s="32">
        <f t="shared" si="125"/>
        <v>0</v>
      </c>
      <c r="T594" s="10"/>
      <c r="U594" s="10"/>
      <c r="V594" s="10"/>
      <c r="W594" s="12">
        <f t="shared" si="126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32"/>
        <v>0</v>
      </c>
      <c r="AF594" s="10"/>
      <c r="AG594" s="10"/>
      <c r="AH594" s="10"/>
      <c r="AI594" s="12">
        <f t="shared" si="128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11"/>
      <c r="D595" s="32"/>
      <c r="E595" s="32"/>
      <c r="F595" s="32"/>
      <c r="G595" s="32">
        <f t="shared" si="123"/>
        <v>0</v>
      </c>
      <c r="H595" s="10"/>
      <c r="I595" s="10"/>
      <c r="J595" s="10"/>
      <c r="K595" s="12">
        <f t="shared" si="124"/>
        <v>0</v>
      </c>
      <c r="M595" s="10">
        <v>34</v>
      </c>
      <c r="N595" s="30"/>
      <c r="O595" s="31"/>
      <c r="P595" s="47"/>
      <c r="Q595" s="31"/>
      <c r="R595" s="31"/>
      <c r="S595" s="32">
        <f t="shared" si="125"/>
        <v>0</v>
      </c>
      <c r="T595" s="10"/>
      <c r="U595" s="10"/>
      <c r="V595" s="10"/>
      <c r="W595" s="12">
        <f t="shared" si="126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32"/>
        <v>0</v>
      </c>
      <c r="AF595" s="10"/>
      <c r="AG595" s="10"/>
      <c r="AH595" s="10"/>
      <c r="AI595" s="12">
        <f t="shared" si="128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1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25"/>
        <v>0</v>
      </c>
      <c r="T596" s="10"/>
      <c r="U596" s="10"/>
      <c r="V596" s="10"/>
      <c r="W596" s="12">
        <f t="shared" si="126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32"/>
        <v>0</v>
      </c>
      <c r="AF596" s="10"/>
      <c r="AG596" s="10"/>
      <c r="AH596" s="10"/>
      <c r="AI596" s="12">
        <f t="shared" si="128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1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25"/>
        <v>0</v>
      </c>
      <c r="T597" s="10"/>
      <c r="U597" s="10"/>
      <c r="V597" s="10"/>
      <c r="W597" s="12">
        <f t="shared" si="126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32"/>
        <v>0</v>
      </c>
      <c r="AF597" s="10"/>
      <c r="AG597" s="10"/>
      <c r="AH597" s="10"/>
      <c r="AI597" s="12">
        <f t="shared" si="128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1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25"/>
        <v>0</v>
      </c>
      <c r="T598" s="10"/>
      <c r="U598" s="10"/>
      <c r="V598" s="10"/>
      <c r="W598" s="12">
        <f t="shared" si="126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32"/>
        <v>0</v>
      </c>
      <c r="AF598" s="10"/>
      <c r="AG598" s="10"/>
      <c r="AH598" s="10"/>
      <c r="AI598" s="12">
        <f t="shared" si="128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25"/>
        <v>0</v>
      </c>
      <c r="T599" s="10"/>
      <c r="U599" s="10"/>
      <c r="V599" s="10"/>
      <c r="W599" s="12">
        <f t="shared" si="126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32"/>
        <v>0</v>
      </c>
      <c r="AF599" s="10"/>
      <c r="AG599" s="10"/>
      <c r="AH599" s="10"/>
      <c r="AI599" s="12">
        <f t="shared" si="128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25"/>
        <v>0</v>
      </c>
      <c r="T600" s="10"/>
      <c r="U600" s="10"/>
      <c r="V600" s="10"/>
      <c r="W600" s="12">
        <f t="shared" si="126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32"/>
        <v>0</v>
      </c>
      <c r="AF600" s="10"/>
      <c r="AG600" s="10"/>
      <c r="AH600" s="10"/>
      <c r="AI600" s="12">
        <f t="shared" si="128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26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28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33">SUM(D602:E602)</f>
        <v>0</v>
      </c>
      <c r="H602" s="10"/>
      <c r="I602" s="10"/>
      <c r="J602" s="10"/>
      <c r="K602" s="12">
        <f t="shared" ref="K602" si="134">SUM(G602:J602)</f>
        <v>0</v>
      </c>
      <c r="M602" s="10"/>
      <c r="N602" s="30"/>
      <c r="O602" s="31"/>
      <c r="P602" s="47"/>
      <c r="Q602" s="31"/>
      <c r="R602" s="31"/>
      <c r="S602" s="32">
        <f t="shared" ref="S602" si="135">SUM(P602:Q602)</f>
        <v>0</v>
      </c>
      <c r="T602" s="10"/>
      <c r="U602" s="10"/>
      <c r="V602" s="10"/>
      <c r="W602" s="12">
        <f t="shared" si="126"/>
        <v>0</v>
      </c>
      <c r="Y602" s="10"/>
      <c r="Z602" s="30"/>
      <c r="AA602" s="31"/>
      <c r="AB602" s="47"/>
      <c r="AC602" s="31"/>
      <c r="AD602" s="31"/>
      <c r="AE602" s="32">
        <f t="shared" ref="AE602" si="136">SUM(AB602:AC602)</f>
        <v>0</v>
      </c>
      <c r="AF602" s="10"/>
      <c r="AG602" s="10"/>
      <c r="AH602" s="10"/>
      <c r="AI602" s="12">
        <f t="shared" si="128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26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28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86892</v>
      </c>
      <c r="E605" s="38">
        <f t="shared" ref="E605:F605" si="137">SUM(E562:E602)</f>
        <v>0</v>
      </c>
      <c r="F605" s="38">
        <f t="shared" si="137"/>
        <v>0</v>
      </c>
      <c r="G605" s="38">
        <f>SUM(G562:G604)</f>
        <v>86892</v>
      </c>
      <c r="H605" s="4"/>
      <c r="I605" s="39">
        <f>SUM(I562:I604)</f>
        <v>1603.5</v>
      </c>
      <c r="J605" s="39">
        <f>SUM(J562:J604)</f>
        <v>0</v>
      </c>
      <c r="K605" s="40">
        <f>SUM(K562:K604)</f>
        <v>88495.5</v>
      </c>
      <c r="N605" s="57"/>
      <c r="O605" s="57"/>
      <c r="P605" s="38">
        <f>SUM(P562:P604)</f>
        <v>73802.5</v>
      </c>
      <c r="Q605" s="38">
        <f>SUM(Q562:Q586)</f>
        <v>0</v>
      </c>
      <c r="R605" s="38">
        <f>SUM(R562:R586)</f>
        <v>0</v>
      </c>
      <c r="S605" s="38">
        <f>SUM(S562:S604)</f>
        <v>73802.5</v>
      </c>
      <c r="T605" s="4"/>
      <c r="U605" s="41">
        <f>SUM(U562:U604)</f>
        <v>68</v>
      </c>
      <c r="V605" s="41">
        <f>SUM(V562:V586)</f>
        <v>0</v>
      </c>
      <c r="W605" s="42">
        <f>SUM(W562:W604)</f>
        <v>73870.5</v>
      </c>
      <c r="Z605" s="57"/>
      <c r="AA605" s="57"/>
      <c r="AB605" s="38">
        <f>SUM(AB562:AB604)</f>
        <v>128940.5</v>
      </c>
      <c r="AC605" s="38">
        <f>SUM(AC562:AC586)</f>
        <v>-624</v>
      </c>
      <c r="AD605" s="38">
        <f>SUM(AD562:AD586)</f>
        <v>0</v>
      </c>
      <c r="AE605" s="38">
        <f>SUM(AE562:AE604)</f>
        <v>128316.5</v>
      </c>
      <c r="AF605" s="4"/>
      <c r="AG605" s="41">
        <f>SUM(AG562:AG604)</f>
        <v>0</v>
      </c>
      <c r="AH605" s="41">
        <f>SUM(AH562:AH586)</f>
        <v>-4551</v>
      </c>
      <c r="AI605" s="42">
        <f>SUM(AI562:AI604)</f>
        <v>123765.5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8"/>
      <c r="O607" s="88"/>
      <c r="P607" s="88"/>
      <c r="Q607" s="88"/>
      <c r="R607" s="88"/>
      <c r="S607" s="88"/>
      <c r="T607" s="62"/>
      <c r="U607" s="62"/>
      <c r="V607" s="62"/>
      <c r="W607" s="62"/>
      <c r="X607" s="62"/>
      <c r="Y607" s="62"/>
      <c r="Z607" s="105"/>
      <c r="AA607" s="105"/>
      <c r="AB607" s="105"/>
      <c r="AC607" s="105"/>
      <c r="AD607" s="105"/>
      <c r="AE607" s="105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29</v>
      </c>
      <c r="B608" s="57"/>
      <c r="C608" s="57"/>
      <c r="D608" s="57"/>
      <c r="E608" s="57"/>
      <c r="G608" s="57"/>
      <c r="M608" s="62"/>
      <c r="N608" s="88"/>
      <c r="O608" s="88"/>
      <c r="P608" s="88"/>
      <c r="Q608" s="88"/>
      <c r="R608" s="88"/>
      <c r="S608" s="88"/>
      <c r="T608" s="62"/>
      <c r="U608" s="62"/>
      <c r="V608" s="62"/>
      <c r="W608" s="62"/>
      <c r="X608" s="62"/>
      <c r="Y608" s="62"/>
      <c r="Z608" s="105"/>
      <c r="AA608" s="105"/>
      <c r="AB608" s="105"/>
      <c r="AC608" s="105"/>
      <c r="AD608" s="105"/>
      <c r="AE608" s="105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8"/>
      <c r="O609" s="88"/>
      <c r="P609" s="88"/>
      <c r="Q609" s="88"/>
      <c r="R609" s="88"/>
      <c r="S609" s="88"/>
      <c r="T609" s="62"/>
      <c r="U609" s="62"/>
      <c r="V609" s="62"/>
      <c r="W609" s="62"/>
      <c r="X609" s="62"/>
      <c r="Y609" s="62"/>
      <c r="Z609" s="105"/>
      <c r="AA609" s="105"/>
      <c r="AB609" s="105"/>
      <c r="AC609" s="105"/>
      <c r="AD609" s="105"/>
      <c r="AE609" s="105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15</v>
      </c>
      <c r="B610" s="57"/>
      <c r="C610" s="57"/>
      <c r="D610" s="57"/>
      <c r="E610" s="57"/>
      <c r="G610" s="57"/>
      <c r="M610" s="63"/>
      <c r="N610" s="88"/>
      <c r="O610" s="88"/>
      <c r="P610" s="88"/>
      <c r="Q610" s="88"/>
      <c r="R610" s="88"/>
      <c r="S610" s="88"/>
      <c r="T610" s="62"/>
      <c r="U610" s="62"/>
      <c r="V610" s="62"/>
      <c r="W610" s="62"/>
      <c r="X610" s="62"/>
      <c r="Y610" s="63"/>
      <c r="Z610" s="105"/>
      <c r="AA610" s="105"/>
      <c r="AB610" s="105"/>
      <c r="AC610" s="105"/>
      <c r="AD610" s="105"/>
      <c r="AE610" s="105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8"/>
      <c r="O611" s="88"/>
      <c r="P611" s="88"/>
      <c r="Q611" s="88"/>
      <c r="R611" s="88"/>
      <c r="S611" s="88"/>
      <c r="T611" s="62"/>
      <c r="U611" s="62"/>
      <c r="V611" s="62"/>
      <c r="W611" s="62"/>
      <c r="X611" s="62"/>
      <c r="Y611" s="62"/>
      <c r="Z611" s="105"/>
      <c r="AA611" s="105"/>
      <c r="AB611" s="105"/>
      <c r="AC611" s="105"/>
      <c r="AD611" s="105"/>
      <c r="AE611" s="105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52</v>
      </c>
      <c r="B612" s="57"/>
      <c r="C612" s="57"/>
      <c r="D612" s="57"/>
      <c r="E612" s="57"/>
      <c r="G612" s="57"/>
      <c r="I612" s="57" t="s">
        <v>16</v>
      </c>
      <c r="J612" s="19">
        <v>1</v>
      </c>
      <c r="M612" s="62"/>
      <c r="N612" s="88"/>
      <c r="O612" s="88"/>
      <c r="P612" s="88"/>
      <c r="Q612" s="88"/>
      <c r="R612" s="88"/>
      <c r="S612" s="88"/>
      <c r="T612" s="62"/>
      <c r="U612" s="88"/>
      <c r="V612" s="74"/>
      <c r="W612" s="62"/>
      <c r="X612" s="62"/>
      <c r="Y612" s="62"/>
      <c r="Z612" s="105"/>
      <c r="AA612" s="105"/>
      <c r="AB612" s="105"/>
      <c r="AC612" s="105"/>
      <c r="AD612" s="105"/>
      <c r="AE612" s="105"/>
      <c r="AF612" s="62"/>
      <c r="AG612" s="105"/>
      <c r="AH612" s="105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17</v>
      </c>
      <c r="J613" s="23" t="s">
        <v>36</v>
      </c>
      <c r="K613" s="24"/>
      <c r="M613" s="64"/>
      <c r="N613" s="88"/>
      <c r="O613" s="88"/>
      <c r="P613" s="88"/>
      <c r="Q613" s="88"/>
      <c r="R613" s="88"/>
      <c r="S613" s="88"/>
      <c r="T613" s="62"/>
      <c r="U613" s="65"/>
      <c r="V613" s="65"/>
      <c r="W613" s="62"/>
      <c r="X613" s="62"/>
      <c r="Y613" s="64"/>
      <c r="Z613" s="105"/>
      <c r="AA613" s="105"/>
      <c r="AB613" s="105"/>
      <c r="AC613" s="105"/>
      <c r="AD613" s="105"/>
      <c r="AE613" s="105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8"/>
      <c r="O614" s="88"/>
      <c r="P614" s="88"/>
      <c r="Q614" s="88"/>
      <c r="R614" s="88"/>
      <c r="S614" s="88"/>
      <c r="T614" s="62"/>
      <c r="U614" s="62"/>
      <c r="V614" s="62"/>
      <c r="W614" s="62"/>
      <c r="X614" s="62"/>
      <c r="Y614" s="62"/>
      <c r="Z614" s="105"/>
      <c r="AA614" s="105"/>
      <c r="AB614" s="105"/>
      <c r="AC614" s="105"/>
      <c r="AD614" s="105"/>
      <c r="AE614" s="105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4" t="s">
        <v>18</v>
      </c>
      <c r="E615" s="124"/>
      <c r="F615" s="103"/>
      <c r="G615" s="27"/>
      <c r="I615" s="122" t="s">
        <v>19</v>
      </c>
      <c r="J615" s="123"/>
      <c r="K615" s="120" t="s">
        <v>20</v>
      </c>
      <c r="M615" s="62"/>
      <c r="N615" s="65"/>
      <c r="O615" s="88"/>
      <c r="P615" s="126"/>
      <c r="Q615" s="126"/>
      <c r="R615" s="88"/>
      <c r="S615" s="88"/>
      <c r="T615" s="62"/>
      <c r="U615" s="126"/>
      <c r="V615" s="126"/>
      <c r="W615" s="125"/>
      <c r="X615" s="62"/>
      <c r="Y615" s="62"/>
      <c r="Z615" s="65"/>
      <c r="AA615" s="105"/>
      <c r="AB615" s="126"/>
      <c r="AC615" s="126"/>
      <c r="AD615" s="105"/>
      <c r="AE615" s="105"/>
      <c r="AF615" s="62"/>
      <c r="AG615" s="126"/>
      <c r="AH615" s="126"/>
      <c r="AI615" s="12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21</v>
      </c>
      <c r="C616" s="28" t="s">
        <v>22</v>
      </c>
      <c r="D616" s="79" t="s">
        <v>23</v>
      </c>
      <c r="E616" s="78" t="s">
        <v>24</v>
      </c>
      <c r="F616" s="80" t="s">
        <v>35</v>
      </c>
      <c r="G616" s="80" t="s">
        <v>25</v>
      </c>
      <c r="I616" s="29" t="s">
        <v>26</v>
      </c>
      <c r="J616" s="29" t="s">
        <v>27</v>
      </c>
      <c r="K616" s="121"/>
      <c r="M616" s="62"/>
      <c r="N616" s="88"/>
      <c r="O616" s="88"/>
      <c r="P616" s="81"/>
      <c r="Q616" s="83"/>
      <c r="R616" s="83"/>
      <c r="S616" s="83"/>
      <c r="T616" s="62"/>
      <c r="U616" s="87"/>
      <c r="V616" s="87"/>
      <c r="W616" s="125"/>
      <c r="X616" s="62"/>
      <c r="Y616" s="62"/>
      <c r="Z616" s="105"/>
      <c r="AA616" s="105"/>
      <c r="AB616" s="81"/>
      <c r="AC616" s="83"/>
      <c r="AD616" s="83"/>
      <c r="AE616" s="83"/>
      <c r="AF616" s="62"/>
      <c r="AG616" s="104"/>
      <c r="AH616" s="104"/>
      <c r="AI616" s="12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31">
        <v>6495</v>
      </c>
      <c r="D617" s="32">
        <f>626*540+229*22</f>
        <v>343078</v>
      </c>
      <c r="E617" s="32">
        <v>-5058</v>
      </c>
      <c r="F617" s="32"/>
      <c r="G617" s="32">
        <f t="shared" ref="G617:G650" si="138">SUM(D617:E617)</f>
        <v>338020</v>
      </c>
      <c r="H617" s="12"/>
      <c r="I617" s="12">
        <f>40293+1170</f>
        <v>41463</v>
      </c>
      <c r="J617" s="12">
        <f>-120+-168</f>
        <v>-288</v>
      </c>
      <c r="K617" s="12">
        <f t="shared" ref="K617:K650" si="139">SUM(G617:J617)</f>
        <v>379195</v>
      </c>
      <c r="M617" s="62"/>
      <c r="N617" s="66"/>
      <c r="O617" s="88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105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31">
        <f>C617+1</f>
        <v>6496</v>
      </c>
      <c r="D618" s="32">
        <f>6260+95</f>
        <v>6355</v>
      </c>
      <c r="E618" s="32"/>
      <c r="F618" s="32"/>
      <c r="G618" s="32">
        <f t="shared" si="138"/>
        <v>6355</v>
      </c>
      <c r="H618" s="12"/>
      <c r="I618" s="12"/>
      <c r="J618" s="12"/>
      <c r="K618" s="12">
        <f t="shared" si="139"/>
        <v>6355</v>
      </c>
      <c r="M618" s="62"/>
      <c r="N618" s="66"/>
      <c r="O618" s="88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105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/>
      <c r="C619" s="11" t="s">
        <v>28</v>
      </c>
      <c r="D619" s="33"/>
      <c r="E619" s="33"/>
      <c r="F619" s="33"/>
      <c r="G619" s="33">
        <f t="shared" si="138"/>
        <v>0</v>
      </c>
      <c r="H619" s="34"/>
      <c r="I619" s="34"/>
      <c r="J619" s="34"/>
      <c r="K619" s="34">
        <f t="shared" si="139"/>
        <v>0</v>
      </c>
      <c r="M619" s="62"/>
      <c r="N619" s="66"/>
      <c r="O619" s="88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105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31"/>
      <c r="D620" s="32"/>
      <c r="E620" s="32"/>
      <c r="F620" s="32"/>
      <c r="G620" s="32">
        <f t="shared" si="138"/>
        <v>0</v>
      </c>
      <c r="H620" s="12"/>
      <c r="I620" s="12"/>
      <c r="J620" s="12"/>
      <c r="K620" s="12">
        <f t="shared" si="139"/>
        <v>0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10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38"/>
        <v>0</v>
      </c>
      <c r="H621" s="12"/>
      <c r="I621" s="12"/>
      <c r="J621" s="12"/>
      <c r="K621" s="12">
        <f t="shared" si="139"/>
        <v>0</v>
      </c>
      <c r="M621" s="62"/>
      <c r="N621" s="66"/>
      <c r="O621" s="88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10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38"/>
        <v>0</v>
      </c>
      <c r="H622" s="12"/>
      <c r="I622" s="12"/>
      <c r="J622" s="12"/>
      <c r="K622" s="12">
        <f t="shared" si="139"/>
        <v>0</v>
      </c>
      <c r="M622" s="62"/>
      <c r="N622" s="66"/>
      <c r="O622" s="88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10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38"/>
        <v>0</v>
      </c>
      <c r="H623" s="12"/>
      <c r="I623" s="12"/>
      <c r="J623" s="12"/>
      <c r="K623" s="12">
        <f t="shared" si="139"/>
        <v>0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105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38"/>
        <v>0</v>
      </c>
      <c r="H624" s="12"/>
      <c r="I624" s="12"/>
      <c r="J624" s="12"/>
      <c r="K624" s="12">
        <f t="shared" si="139"/>
        <v>0</v>
      </c>
      <c r="M624" s="62"/>
      <c r="N624" s="66"/>
      <c r="O624" s="88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38"/>
        <v>0</v>
      </c>
      <c r="H625" s="12"/>
      <c r="I625" s="12"/>
      <c r="J625" s="12"/>
      <c r="K625" s="12">
        <f t="shared" si="139"/>
        <v>0</v>
      </c>
      <c r="M625" s="62"/>
      <c r="N625" s="66"/>
      <c r="O625" s="88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105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38"/>
        <v>0</v>
      </c>
      <c r="H626" s="12"/>
      <c r="I626" s="12"/>
      <c r="J626" s="12"/>
      <c r="K626" s="12">
        <f t="shared" si="139"/>
        <v>0</v>
      </c>
      <c r="M626" s="62"/>
      <c r="N626" s="66"/>
      <c r="O626" s="88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10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31"/>
      <c r="D627" s="32"/>
      <c r="E627" s="32"/>
      <c r="F627" s="32"/>
      <c r="G627" s="32">
        <f t="shared" si="138"/>
        <v>0</v>
      </c>
      <c r="H627" s="12"/>
      <c r="I627" s="12"/>
      <c r="J627" s="12"/>
      <c r="K627" s="12">
        <f t="shared" si="139"/>
        <v>0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105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38"/>
        <v>0</v>
      </c>
      <c r="H628" s="12"/>
      <c r="I628" s="12"/>
      <c r="J628" s="10"/>
      <c r="K628" s="12">
        <f t="shared" si="139"/>
        <v>0</v>
      </c>
      <c r="M628" s="62"/>
      <c r="N628" s="66"/>
      <c r="O628" s="88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105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31"/>
      <c r="D629" s="32"/>
      <c r="E629" s="32"/>
      <c r="F629" s="32"/>
      <c r="G629" s="32">
        <f t="shared" si="138"/>
        <v>0</v>
      </c>
      <c r="H629" s="12"/>
      <c r="I629" s="12"/>
      <c r="J629" s="12"/>
      <c r="K629" s="12">
        <f t="shared" si="139"/>
        <v>0</v>
      </c>
      <c r="M629" s="62"/>
      <c r="N629" s="66"/>
      <c r="O629" s="88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105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38"/>
        <v>0</v>
      </c>
      <c r="H630" s="12"/>
      <c r="I630" s="12"/>
      <c r="J630" s="12"/>
      <c r="K630" s="12">
        <f t="shared" si="139"/>
        <v>0</v>
      </c>
      <c r="M630" s="62"/>
      <c r="N630" s="66"/>
      <c r="O630" s="88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105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D631" s="32"/>
      <c r="E631" s="32"/>
      <c r="F631" s="32"/>
      <c r="G631" s="32">
        <f t="shared" si="138"/>
        <v>0</v>
      </c>
      <c r="H631" s="12"/>
      <c r="I631" s="12"/>
      <c r="J631" s="12"/>
      <c r="K631" s="12">
        <f t="shared" si="139"/>
        <v>0</v>
      </c>
      <c r="M631" s="62"/>
      <c r="N631" s="66"/>
      <c r="O631" s="88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38"/>
        <v>0</v>
      </c>
      <c r="H632" s="12"/>
      <c r="I632" s="12"/>
      <c r="J632" s="12"/>
      <c r="K632" s="12">
        <f t="shared" si="139"/>
        <v>0</v>
      </c>
      <c r="M632" s="62"/>
      <c r="N632" s="66"/>
      <c r="O632" s="88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10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38"/>
        <v>0</v>
      </c>
      <c r="H633" s="12"/>
      <c r="I633" s="12"/>
      <c r="J633" s="12"/>
      <c r="K633" s="12">
        <f t="shared" si="139"/>
        <v>0</v>
      </c>
      <c r="M633" s="62"/>
      <c r="N633" s="66"/>
      <c r="O633" s="88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105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38"/>
        <v>0</v>
      </c>
      <c r="H634" s="12"/>
      <c r="I634" s="12"/>
      <c r="J634" s="12"/>
      <c r="K634" s="12">
        <f t="shared" si="139"/>
        <v>0</v>
      </c>
      <c r="M634" s="62"/>
      <c r="N634" s="66"/>
      <c r="O634" s="88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105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38"/>
        <v>0</v>
      </c>
      <c r="H635" s="12"/>
      <c r="I635" s="12"/>
      <c r="J635" s="12"/>
      <c r="K635" s="12">
        <f t="shared" si="139"/>
        <v>0</v>
      </c>
      <c r="M635" s="62"/>
      <c r="N635" s="66"/>
      <c r="O635" s="88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105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38"/>
        <v>0</v>
      </c>
      <c r="H636" s="12"/>
      <c r="I636" s="12"/>
      <c r="J636" s="12"/>
      <c r="K636" s="12">
        <f t="shared" si="139"/>
        <v>0</v>
      </c>
      <c r="M636" s="62"/>
      <c r="N636" s="66"/>
      <c r="O636" s="88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105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38"/>
        <v>0</v>
      </c>
      <c r="H637" s="10"/>
      <c r="I637" s="10"/>
      <c r="J637" s="10"/>
      <c r="K637" s="12">
        <f t="shared" si="139"/>
        <v>0</v>
      </c>
      <c r="M637" s="62"/>
      <c r="N637" s="66"/>
      <c r="O637" s="88"/>
      <c r="P637" s="67"/>
      <c r="Q637" s="88"/>
      <c r="R637" s="88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105"/>
      <c r="AD637" s="105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38"/>
        <v>0</v>
      </c>
      <c r="H638" s="10"/>
      <c r="I638" s="10"/>
      <c r="J638" s="10"/>
      <c r="K638" s="12">
        <f t="shared" si="139"/>
        <v>0</v>
      </c>
      <c r="M638" s="62"/>
      <c r="N638" s="66"/>
      <c r="O638" s="88"/>
      <c r="P638" s="68"/>
      <c r="Q638" s="88"/>
      <c r="R638" s="88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105"/>
      <c r="AD638" s="105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38"/>
        <v>0</v>
      </c>
      <c r="H639" s="10"/>
      <c r="I639" s="10"/>
      <c r="J639" s="12"/>
      <c r="K639" s="12">
        <f t="shared" si="139"/>
        <v>0</v>
      </c>
      <c r="M639" s="62"/>
      <c r="N639" s="66"/>
      <c r="O639" s="88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105"/>
      <c r="AB639" s="69"/>
      <c r="AC639" s="105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38"/>
        <v>0</v>
      </c>
      <c r="H640" s="10"/>
      <c r="I640" s="10"/>
      <c r="J640" s="10"/>
      <c r="K640" s="12">
        <f t="shared" si="139"/>
        <v>0</v>
      </c>
      <c r="M640" s="62"/>
      <c r="N640" s="66"/>
      <c r="O640" s="88"/>
      <c r="P640" s="69"/>
      <c r="Q640" s="88"/>
      <c r="R640" s="88"/>
      <c r="S640" s="60"/>
      <c r="T640" s="62"/>
      <c r="U640" s="62"/>
      <c r="V640" s="62"/>
      <c r="W640" s="61"/>
      <c r="X640" s="62"/>
      <c r="Y640" s="62"/>
      <c r="Z640" s="66"/>
      <c r="AA640" s="105"/>
      <c r="AB640" s="69"/>
      <c r="AC640" s="105"/>
      <c r="AD640" s="105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38"/>
        <v>0</v>
      </c>
      <c r="H641" s="10"/>
      <c r="I641" s="10"/>
      <c r="J641" s="10"/>
      <c r="K641" s="12">
        <f t="shared" si="139"/>
        <v>0</v>
      </c>
      <c r="M641" s="62"/>
      <c r="N641" s="66"/>
      <c r="O641" s="88"/>
      <c r="P641" s="69"/>
      <c r="Q641" s="88"/>
      <c r="R641" s="88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105"/>
      <c r="AD641" s="105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38"/>
        <v>0</v>
      </c>
      <c r="H642" s="10"/>
      <c r="I642" s="10"/>
      <c r="J642" s="10"/>
      <c r="K642" s="12">
        <f t="shared" si="139"/>
        <v>0</v>
      </c>
      <c r="M642" s="62"/>
      <c r="N642" s="66"/>
      <c r="O642" s="88"/>
      <c r="P642" s="69"/>
      <c r="Q642" s="88"/>
      <c r="R642" s="88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105"/>
      <c r="AD642" s="105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38"/>
        <v>0</v>
      </c>
      <c r="H643" s="10"/>
      <c r="I643" s="10"/>
      <c r="J643" s="10"/>
      <c r="K643" s="12">
        <f t="shared" si="139"/>
        <v>0</v>
      </c>
      <c r="M643" s="62"/>
      <c r="N643" s="66"/>
      <c r="O643" s="88"/>
      <c r="P643" s="69"/>
      <c r="Q643" s="88"/>
      <c r="R643" s="88"/>
      <c r="S643" s="60"/>
      <c r="T643" s="62"/>
      <c r="U643" s="62"/>
      <c r="V643" s="62"/>
      <c r="W643" s="61"/>
      <c r="X643" s="62"/>
      <c r="Y643" s="62"/>
      <c r="Z643" s="66"/>
      <c r="AA643" s="105"/>
      <c r="AB643" s="69"/>
      <c r="AC643" s="105"/>
      <c r="AD643" s="105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57"/>
      <c r="D644" s="32"/>
      <c r="E644" s="32"/>
      <c r="F644" s="32"/>
      <c r="G644" s="32">
        <f t="shared" si="138"/>
        <v>0</v>
      </c>
      <c r="H644" s="10"/>
      <c r="I644" s="10"/>
      <c r="J644" s="10"/>
      <c r="K644" s="12">
        <f t="shared" si="139"/>
        <v>0</v>
      </c>
      <c r="M644" s="62"/>
      <c r="N644" s="66"/>
      <c r="O644" s="88"/>
      <c r="P644" s="69"/>
      <c r="Q644" s="88"/>
      <c r="R644" s="88"/>
      <c r="S644" s="60"/>
      <c r="T644" s="62"/>
      <c r="U644" s="62"/>
      <c r="V644" s="62"/>
      <c r="W644" s="61"/>
      <c r="X644" s="62"/>
      <c r="Y644" s="62"/>
      <c r="Z644" s="66"/>
      <c r="AA644" s="105"/>
      <c r="AB644" s="69"/>
      <c r="AC644" s="105"/>
      <c r="AD644" s="105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38"/>
        <v>0</v>
      </c>
      <c r="H645" s="10"/>
      <c r="I645" s="10"/>
      <c r="J645" s="10"/>
      <c r="K645" s="12">
        <f t="shared" si="139"/>
        <v>0</v>
      </c>
      <c r="M645" s="62"/>
      <c r="N645" s="66"/>
      <c r="O645" s="62"/>
      <c r="P645" s="69"/>
      <c r="Q645" s="88"/>
      <c r="R645" s="88"/>
      <c r="S645" s="60"/>
      <c r="T645" s="62"/>
      <c r="U645" s="62"/>
      <c r="V645" s="62"/>
      <c r="W645" s="61"/>
      <c r="X645" s="62"/>
      <c r="Y645" s="62"/>
      <c r="Z645" s="66"/>
      <c r="AA645" s="105"/>
      <c r="AB645" s="69"/>
      <c r="AC645" s="105"/>
      <c r="AD645" s="105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11"/>
      <c r="D646" s="32"/>
      <c r="E646" s="32"/>
      <c r="F646" s="32"/>
      <c r="G646" s="32">
        <f t="shared" si="138"/>
        <v>0</v>
      </c>
      <c r="H646" s="10"/>
      <c r="I646" s="10"/>
      <c r="J646" s="10"/>
      <c r="K646" s="12">
        <f t="shared" si="139"/>
        <v>0</v>
      </c>
      <c r="M646" s="62"/>
      <c r="N646" s="66"/>
      <c r="O646" s="62"/>
      <c r="P646" s="69"/>
      <c r="Q646" s="88"/>
      <c r="R646" s="88"/>
      <c r="S646" s="60"/>
      <c r="T646" s="62"/>
      <c r="U646" s="62"/>
      <c r="V646" s="62"/>
      <c r="W646" s="61"/>
      <c r="X646" s="62"/>
      <c r="Y646" s="62"/>
      <c r="Z646" s="66"/>
      <c r="AA646" s="105"/>
      <c r="AB646" s="69"/>
      <c r="AC646" s="105"/>
      <c r="AD646" s="105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38"/>
        <v>0</v>
      </c>
      <c r="H647" s="10"/>
      <c r="I647" s="10"/>
      <c r="J647" s="10"/>
      <c r="K647" s="12">
        <f t="shared" si="139"/>
        <v>0</v>
      </c>
      <c r="M647" s="62"/>
      <c r="N647" s="66"/>
      <c r="O647" s="88"/>
      <c r="P647" s="69"/>
      <c r="Q647" s="88"/>
      <c r="R647" s="88"/>
      <c r="S647" s="60"/>
      <c r="T647" s="62"/>
      <c r="U647" s="62"/>
      <c r="V647" s="62"/>
      <c r="W647" s="61"/>
      <c r="X647" s="62"/>
      <c r="Y647" s="62"/>
      <c r="Z647" s="66"/>
      <c r="AA647" s="105"/>
      <c r="AB647" s="69"/>
      <c r="AC647" s="105"/>
      <c r="AD647" s="105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11"/>
      <c r="D648" s="32"/>
      <c r="E648" s="32"/>
      <c r="F648" s="32"/>
      <c r="G648" s="32">
        <f t="shared" si="138"/>
        <v>0</v>
      </c>
      <c r="H648" s="10"/>
      <c r="I648" s="10"/>
      <c r="J648" s="10"/>
      <c r="K648" s="12">
        <f t="shared" si="139"/>
        <v>0</v>
      </c>
      <c r="M648" s="62"/>
      <c r="N648" s="66"/>
      <c r="O648" s="62"/>
      <c r="P648" s="69"/>
      <c r="Q648" s="88"/>
      <c r="R648" s="88"/>
      <c r="S648" s="60"/>
      <c r="T648" s="62"/>
      <c r="U648" s="62"/>
      <c r="V648" s="62"/>
      <c r="W648" s="61"/>
      <c r="X648" s="62"/>
      <c r="Y648" s="62"/>
      <c r="Z648" s="66"/>
      <c r="AA648" s="105"/>
      <c r="AB648" s="69"/>
      <c r="AC648" s="105"/>
      <c r="AD648" s="105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11"/>
      <c r="D649" s="32"/>
      <c r="E649" s="32"/>
      <c r="F649" s="32"/>
      <c r="G649" s="32">
        <f t="shared" si="138"/>
        <v>0</v>
      </c>
      <c r="H649" s="10"/>
      <c r="I649" s="10"/>
      <c r="J649" s="10"/>
      <c r="K649" s="12">
        <f t="shared" si="139"/>
        <v>0</v>
      </c>
      <c r="M649" s="62"/>
      <c r="N649" s="66"/>
      <c r="O649" s="88"/>
      <c r="P649" s="69"/>
      <c r="Q649" s="88"/>
      <c r="R649" s="88"/>
      <c r="S649" s="60"/>
      <c r="T649" s="62"/>
      <c r="U649" s="62"/>
      <c r="V649" s="62"/>
      <c r="W649" s="61"/>
      <c r="X649" s="62"/>
      <c r="Y649" s="62"/>
      <c r="Z649" s="66"/>
      <c r="AA649" s="105"/>
      <c r="AB649" s="69"/>
      <c r="AC649" s="105"/>
      <c r="AD649" s="105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11"/>
      <c r="D650" s="32"/>
      <c r="E650" s="32"/>
      <c r="F650" s="32"/>
      <c r="G650" s="32">
        <f t="shared" si="138"/>
        <v>0</v>
      </c>
      <c r="H650" s="10"/>
      <c r="I650" s="10"/>
      <c r="J650" s="10"/>
      <c r="K650" s="12">
        <f t="shared" si="139"/>
        <v>0</v>
      </c>
      <c r="M650" s="62"/>
      <c r="N650" s="66"/>
      <c r="O650" s="88"/>
      <c r="P650" s="69"/>
      <c r="Q650" s="88"/>
      <c r="R650" s="88"/>
      <c r="S650" s="60"/>
      <c r="T650" s="62"/>
      <c r="U650" s="62"/>
      <c r="V650" s="62"/>
      <c r="W650" s="61"/>
      <c r="X650" s="62"/>
      <c r="Y650" s="62"/>
      <c r="Z650" s="66"/>
      <c r="AA650" s="105"/>
      <c r="AB650" s="69"/>
      <c r="AC650" s="105"/>
      <c r="AD650" s="105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1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8"/>
      <c r="P651" s="69"/>
      <c r="Q651" s="88"/>
      <c r="R651" s="88"/>
      <c r="S651" s="60"/>
      <c r="T651" s="62"/>
      <c r="U651" s="62"/>
      <c r="V651" s="62"/>
      <c r="W651" s="61"/>
      <c r="X651" s="62"/>
      <c r="Y651" s="62"/>
      <c r="Z651" s="66"/>
      <c r="AA651" s="105"/>
      <c r="AB651" s="69"/>
      <c r="AC651" s="105"/>
      <c r="AD651" s="105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1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8"/>
      <c r="P652" s="69"/>
      <c r="Q652" s="88"/>
      <c r="R652" s="88"/>
      <c r="S652" s="60"/>
      <c r="T652" s="62"/>
      <c r="U652" s="62"/>
      <c r="V652" s="62"/>
      <c r="W652" s="61"/>
      <c r="X652" s="62"/>
      <c r="Y652" s="62"/>
      <c r="Z652" s="66"/>
      <c r="AA652" s="105"/>
      <c r="AB652" s="69"/>
      <c r="AC652" s="105"/>
      <c r="AD652" s="105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1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8"/>
      <c r="R653" s="88"/>
      <c r="S653" s="60"/>
      <c r="T653" s="62"/>
      <c r="U653" s="62"/>
      <c r="V653" s="62"/>
      <c r="W653" s="61"/>
      <c r="X653" s="62"/>
      <c r="Y653" s="62"/>
      <c r="Z653" s="66"/>
      <c r="AA653" s="105"/>
      <c r="AB653" s="69"/>
      <c r="AC653" s="105"/>
      <c r="AD653" s="105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8"/>
      <c r="P654" s="69"/>
      <c r="Q654" s="88"/>
      <c r="R654" s="88"/>
      <c r="S654" s="60"/>
      <c r="T654" s="62"/>
      <c r="U654" s="62"/>
      <c r="V654" s="62"/>
      <c r="W654" s="61"/>
      <c r="X654" s="62"/>
      <c r="Y654" s="62"/>
      <c r="Z654" s="66"/>
      <c r="AA654" s="105"/>
      <c r="AB654" s="69"/>
      <c r="AC654" s="105"/>
      <c r="AD654" s="105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8"/>
      <c r="P655" s="69"/>
      <c r="Q655" s="88"/>
      <c r="R655" s="88"/>
      <c r="S655" s="60"/>
      <c r="T655" s="62"/>
      <c r="U655" s="62"/>
      <c r="V655" s="62"/>
      <c r="W655" s="61"/>
      <c r="X655" s="62"/>
      <c r="Y655" s="62"/>
      <c r="Z655" s="66"/>
      <c r="AA655" s="105"/>
      <c r="AB655" s="69"/>
      <c r="AC655" s="105"/>
      <c r="AD655" s="105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8"/>
      <c r="R656" s="88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105"/>
      <c r="AD656" s="105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40">SUM(D657:E657)</f>
        <v>0</v>
      </c>
      <c r="H657" s="10"/>
      <c r="I657" s="10"/>
      <c r="J657" s="10"/>
      <c r="K657" s="12">
        <f t="shared" ref="K657" si="141">SUM(G657:J657)</f>
        <v>0</v>
      </c>
      <c r="M657" s="62"/>
      <c r="N657" s="66"/>
      <c r="O657" s="88"/>
      <c r="P657" s="69"/>
      <c r="Q657" s="88"/>
      <c r="R657" s="88"/>
      <c r="S657" s="60"/>
      <c r="T657" s="62"/>
      <c r="U657" s="62"/>
      <c r="V657" s="62"/>
      <c r="W657" s="61"/>
      <c r="X657" s="62"/>
      <c r="Y657" s="62"/>
      <c r="Z657" s="66"/>
      <c r="AA657" s="105"/>
      <c r="AB657" s="69"/>
      <c r="AC657" s="105"/>
      <c r="AD657" s="105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8"/>
      <c r="O658" s="88"/>
      <c r="P658" s="88"/>
      <c r="Q658" s="88"/>
      <c r="R658" s="88"/>
      <c r="S658" s="88"/>
      <c r="T658" s="62"/>
      <c r="U658" s="62"/>
      <c r="V658" s="62"/>
      <c r="W658" s="61"/>
      <c r="X658" s="62"/>
      <c r="Y658" s="62"/>
      <c r="Z658" s="105"/>
      <c r="AA658" s="105"/>
      <c r="AB658" s="105"/>
      <c r="AC658" s="105"/>
      <c r="AD658" s="105"/>
      <c r="AE658" s="105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8"/>
      <c r="O659" s="88"/>
      <c r="P659" s="88"/>
      <c r="Q659" s="88"/>
      <c r="R659" s="88"/>
      <c r="S659" s="88"/>
      <c r="T659" s="62"/>
      <c r="U659" s="62"/>
      <c r="V659" s="62"/>
      <c r="W659" s="62"/>
      <c r="X659" s="62"/>
      <c r="Y659" s="62"/>
      <c r="Z659" s="105"/>
      <c r="AA659" s="105"/>
      <c r="AB659" s="105"/>
      <c r="AC659" s="105"/>
      <c r="AD659" s="105"/>
      <c r="AE659" s="105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349433</v>
      </c>
      <c r="E660" s="38">
        <f t="shared" ref="E660:F660" si="142">SUM(E617:E657)</f>
        <v>-5058</v>
      </c>
      <c r="F660" s="38">
        <f t="shared" si="142"/>
        <v>0</v>
      </c>
      <c r="G660" s="38">
        <f>SUM(G617:G659)</f>
        <v>344375</v>
      </c>
      <c r="H660" s="4"/>
      <c r="I660" s="39">
        <f>SUM(I617:I659)</f>
        <v>41463</v>
      </c>
      <c r="J660" s="39">
        <f>SUM(J617:J659)</f>
        <v>-288</v>
      </c>
      <c r="K660" s="40">
        <f>SUM(K617:K659)</f>
        <v>385550</v>
      </c>
      <c r="M660" s="62"/>
      <c r="N660" s="88"/>
      <c r="O660" s="88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105"/>
      <c r="AA660" s="105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8"/>
      <c r="C662" s="88"/>
      <c r="D662" s="88"/>
      <c r="E662" s="88"/>
      <c r="F662" s="88"/>
      <c r="G662" s="88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8"/>
      <c r="C663" s="88"/>
      <c r="D663" s="88"/>
      <c r="E663" s="88"/>
      <c r="F663" s="88"/>
      <c r="G663" s="88"/>
      <c r="H663" s="62"/>
      <c r="I663" s="62"/>
      <c r="J663" s="62"/>
      <c r="K663" s="62"/>
      <c r="M663" t="s">
        <v>29</v>
      </c>
      <c r="N663" s="57"/>
      <c r="O663" s="57"/>
      <c r="P663" s="57"/>
      <c r="Q663" s="57"/>
      <c r="R663" s="57"/>
      <c r="S663" s="57"/>
      <c r="Y663" t="s">
        <v>29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8"/>
      <c r="C664" s="88"/>
      <c r="D664" s="88"/>
      <c r="E664" s="88"/>
      <c r="F664" s="88"/>
      <c r="G664" s="88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8"/>
      <c r="C665" s="88"/>
      <c r="D665" s="88"/>
      <c r="E665" s="88"/>
      <c r="F665" s="88"/>
      <c r="G665" s="88"/>
      <c r="H665" s="62"/>
      <c r="I665" s="62"/>
      <c r="J665" s="62"/>
      <c r="K665" s="62"/>
      <c r="M665" s="4" t="s">
        <v>15</v>
      </c>
      <c r="N665" s="57"/>
      <c r="O665" s="57"/>
      <c r="P665" s="57"/>
      <c r="Q665" s="57"/>
      <c r="R665" s="57"/>
      <c r="S665" s="57"/>
      <c r="Y665" s="4" t="s">
        <v>15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8"/>
      <c r="C666" s="88"/>
      <c r="D666" s="88"/>
      <c r="E666" s="88"/>
      <c r="F666" s="88"/>
      <c r="G666" s="88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8"/>
      <c r="C667" s="88"/>
      <c r="D667" s="88"/>
      <c r="E667" s="88"/>
      <c r="F667" s="88"/>
      <c r="G667" s="88"/>
      <c r="H667" s="62"/>
      <c r="I667" s="88"/>
      <c r="J667" s="74"/>
      <c r="K667" s="62"/>
      <c r="M667" t="s">
        <v>38</v>
      </c>
      <c r="N667" s="57"/>
      <c r="O667" s="57"/>
      <c r="P667" s="57"/>
      <c r="Q667" s="57"/>
      <c r="R667" s="57"/>
      <c r="S667" s="57"/>
      <c r="U667" s="57" t="s">
        <v>16</v>
      </c>
      <c r="V667" s="19">
        <v>2</v>
      </c>
      <c r="Y667" t="s">
        <v>38</v>
      </c>
      <c r="Z667" s="57"/>
      <c r="AA667" s="57"/>
      <c r="AB667" s="57"/>
      <c r="AC667" s="57"/>
      <c r="AD667" s="57"/>
      <c r="AE667" s="57"/>
      <c r="AG667" s="57" t="s">
        <v>16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8"/>
      <c r="C668" s="88"/>
      <c r="D668" s="88"/>
      <c r="E668" s="88"/>
      <c r="F668" s="88"/>
      <c r="G668" s="88"/>
      <c r="H668" s="62"/>
      <c r="I668" s="65"/>
      <c r="J668" s="65"/>
      <c r="K668" s="62"/>
      <c r="M668" s="21" t="s">
        <v>72</v>
      </c>
      <c r="N668" s="20"/>
      <c r="O668" s="57"/>
      <c r="P668" s="57"/>
      <c r="Q668" s="57"/>
      <c r="R668" s="57"/>
      <c r="S668" s="57"/>
      <c r="U668" s="22" t="s">
        <v>17</v>
      </c>
      <c r="V668" s="23" t="s">
        <v>33</v>
      </c>
      <c r="W668" s="24"/>
      <c r="Y668" s="21" t="s">
        <v>72</v>
      </c>
      <c r="Z668" s="20"/>
      <c r="AA668" s="57"/>
      <c r="AB668" s="57"/>
      <c r="AC668" s="57"/>
      <c r="AD668" s="57"/>
      <c r="AE668" s="57"/>
      <c r="AG668" s="22" t="s">
        <v>17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8"/>
      <c r="C669" s="88"/>
      <c r="D669" s="88"/>
      <c r="E669" s="88"/>
      <c r="F669" s="88"/>
      <c r="G669" s="88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8"/>
      <c r="D670" s="126"/>
      <c r="E670" s="126"/>
      <c r="F670" s="88"/>
      <c r="G670" s="88"/>
      <c r="H670" s="62"/>
      <c r="I670" s="126"/>
      <c r="J670" s="126"/>
      <c r="K670" s="125"/>
      <c r="N670" s="25"/>
      <c r="O670" s="26"/>
      <c r="P670" s="124" t="s">
        <v>18</v>
      </c>
      <c r="Q670" s="124"/>
      <c r="R670" s="107"/>
      <c r="S670" s="27"/>
      <c r="U670" s="122" t="s">
        <v>19</v>
      </c>
      <c r="V670" s="123"/>
      <c r="W670" s="120" t="s">
        <v>20</v>
      </c>
      <c r="Z670" s="25"/>
      <c r="AA670" s="26"/>
      <c r="AB670" s="124" t="s">
        <v>18</v>
      </c>
      <c r="AC670" s="124"/>
      <c r="AD670" s="106"/>
      <c r="AE670" s="27"/>
      <c r="AG670" s="122" t="s">
        <v>19</v>
      </c>
      <c r="AH670" s="123"/>
      <c r="AI670" s="120" t="s">
        <v>20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8"/>
      <c r="C671" s="88"/>
      <c r="D671" s="81"/>
      <c r="E671" s="82"/>
      <c r="F671" s="83"/>
      <c r="G671" s="83"/>
      <c r="H671" s="62"/>
      <c r="I671" s="87"/>
      <c r="J671" s="87"/>
      <c r="K671" s="125"/>
      <c r="N671" s="28" t="s">
        <v>21</v>
      </c>
      <c r="O671" s="28" t="s">
        <v>22</v>
      </c>
      <c r="P671" s="79" t="s">
        <v>23</v>
      </c>
      <c r="Q671" s="80" t="s">
        <v>24</v>
      </c>
      <c r="R671" s="80" t="s">
        <v>35</v>
      </c>
      <c r="S671" s="80" t="s">
        <v>25</v>
      </c>
      <c r="U671" s="29" t="s">
        <v>26</v>
      </c>
      <c r="V671" s="29" t="s">
        <v>27</v>
      </c>
      <c r="W671" s="121"/>
      <c r="Z671" s="28" t="s">
        <v>21</v>
      </c>
      <c r="AA671" s="28" t="s">
        <v>22</v>
      </c>
      <c r="AB671" s="79" t="s">
        <v>23</v>
      </c>
      <c r="AC671" s="80" t="s">
        <v>24</v>
      </c>
      <c r="AD671" s="80" t="s">
        <v>35</v>
      </c>
      <c r="AE671" s="80" t="s">
        <v>25</v>
      </c>
      <c r="AG671" s="29" t="s">
        <v>26</v>
      </c>
      <c r="AH671" s="29" t="s">
        <v>27</v>
      </c>
      <c r="AI671" s="121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8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73</v>
      </c>
      <c r="O672" s="31">
        <v>6423</v>
      </c>
      <c r="P672" s="32">
        <f>626+596+19</f>
        <v>1241</v>
      </c>
      <c r="Q672" s="32"/>
      <c r="R672" s="32"/>
      <c r="S672" s="32">
        <f>SUM(P672:Q672)</f>
        <v>1241</v>
      </c>
      <c r="T672" s="12"/>
      <c r="U672" s="12"/>
      <c r="V672" s="12"/>
      <c r="W672" s="12">
        <f>SUM(S672:V672)</f>
        <v>1241</v>
      </c>
      <c r="Y672" s="10">
        <v>1</v>
      </c>
      <c r="Z672" s="30" t="s">
        <v>73</v>
      </c>
      <c r="AA672" s="31">
        <v>6382</v>
      </c>
      <c r="AB672" s="32">
        <f>626*275+614*5+674*3+596*10+852+1005+832*2+229*5+500</f>
        <v>188368</v>
      </c>
      <c r="AC672" s="32"/>
      <c r="AD672" s="32"/>
      <c r="AE672" s="32">
        <f>SUM(AB672:AC672)</f>
        <v>188368</v>
      </c>
      <c r="AF672" s="12"/>
      <c r="AG672" s="12">
        <v>34068</v>
      </c>
      <c r="AH672" s="12"/>
      <c r="AI672" s="12">
        <f>SUM(AE672:AH672)</f>
        <v>222436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8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73</v>
      </c>
      <c r="O673" s="31">
        <f>O672+1</f>
        <v>6424</v>
      </c>
      <c r="P673" s="32">
        <f>1252+19</f>
        <v>1271</v>
      </c>
      <c r="Q673" s="32"/>
      <c r="R673" s="32"/>
      <c r="S673" s="32">
        <f t="shared" ref="S673:S710" si="143">SUM(P673:Q673)</f>
        <v>1271</v>
      </c>
      <c r="T673" s="12"/>
      <c r="U673" s="12"/>
      <c r="V673" s="12"/>
      <c r="W673" s="12">
        <f t="shared" ref="W673:W713" si="144">SUM(S673:V673)</f>
        <v>1271</v>
      </c>
      <c r="Y673" s="10">
        <v>2</v>
      </c>
      <c r="Z673" s="30" t="s">
        <v>73</v>
      </c>
      <c r="AA673" s="31">
        <f>AA672+1</f>
        <v>6383</v>
      </c>
      <c r="AB673" s="32">
        <f>626*80+614*10+626*20+850+458</f>
        <v>70048</v>
      </c>
      <c r="AC673" s="32"/>
      <c r="AD673" s="32"/>
      <c r="AE673" s="32">
        <f t="shared" ref="AE673:AE681" si="145">SUM(AB673:AC673)</f>
        <v>70048</v>
      </c>
      <c r="AF673" s="12"/>
      <c r="AG673" s="12">
        <v>5550</v>
      </c>
      <c r="AH673" s="12">
        <v>-120</v>
      </c>
      <c r="AI673" s="12">
        <f t="shared" ref="AI673:AI713" si="146">SUM(AE673:AH673)</f>
        <v>75478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8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73</v>
      </c>
      <c r="O674" s="31">
        <f t="shared" ref="O674:O681" si="147">O673+1</f>
        <v>6425</v>
      </c>
      <c r="P674" s="32">
        <f>3756+10132+229</f>
        <v>14117</v>
      </c>
      <c r="Q674" s="32"/>
      <c r="R674" s="32"/>
      <c r="S674" s="32">
        <f t="shared" si="143"/>
        <v>14117</v>
      </c>
      <c r="T674" s="12"/>
      <c r="U674" s="12"/>
      <c r="V674" s="12"/>
      <c r="W674" s="12">
        <f t="shared" si="144"/>
        <v>14117</v>
      </c>
      <c r="Y674" s="10">
        <v>3</v>
      </c>
      <c r="Z674" s="30"/>
      <c r="AA674" s="11" t="s">
        <v>28</v>
      </c>
      <c r="AB674" s="33"/>
      <c r="AC674" s="33"/>
      <c r="AD674" s="32"/>
      <c r="AE674" s="32">
        <f t="shared" si="145"/>
        <v>0</v>
      </c>
      <c r="AF674" s="12"/>
      <c r="AG674" s="12"/>
      <c r="AH674" s="12"/>
      <c r="AI674" s="12">
        <f t="shared" si="146"/>
        <v>0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8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 t="s">
        <v>73</v>
      </c>
      <c r="O675" s="31">
        <f t="shared" si="147"/>
        <v>6426</v>
      </c>
      <c r="P675" s="32">
        <f>1252+19</f>
        <v>1271</v>
      </c>
      <c r="Q675" s="32"/>
      <c r="R675" s="32"/>
      <c r="S675" s="32">
        <f t="shared" si="143"/>
        <v>1271</v>
      </c>
      <c r="T675" s="12"/>
      <c r="U675" s="12"/>
      <c r="V675" s="12"/>
      <c r="W675" s="12">
        <f t="shared" si="144"/>
        <v>1271</v>
      </c>
      <c r="Y675" s="10">
        <v>4</v>
      </c>
      <c r="Z675" s="30"/>
      <c r="AA675" s="31"/>
      <c r="AB675" s="32"/>
      <c r="AC675" s="32"/>
      <c r="AD675" s="32"/>
      <c r="AE675" s="32">
        <f t="shared" si="145"/>
        <v>0</v>
      </c>
      <c r="AF675" s="12"/>
      <c r="AH675" s="12"/>
      <c r="AI675" s="12">
        <f t="shared" si="146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8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 t="s">
        <v>73</v>
      </c>
      <c r="O676" s="31">
        <f t="shared" si="147"/>
        <v>6427</v>
      </c>
      <c r="P676" s="32">
        <f>596*11</f>
        <v>6556</v>
      </c>
      <c r="Q676" s="32"/>
      <c r="R676" s="32"/>
      <c r="S676" s="32">
        <f t="shared" si="143"/>
        <v>6556</v>
      </c>
      <c r="T676" s="12"/>
      <c r="U676" s="12"/>
      <c r="V676" s="12"/>
      <c r="W676" s="12">
        <f t="shared" si="144"/>
        <v>6556</v>
      </c>
      <c r="Y676" s="10">
        <v>5</v>
      </c>
      <c r="Z676" s="30"/>
      <c r="AA676" s="31"/>
      <c r="AB676" s="32"/>
      <c r="AC676" s="32"/>
      <c r="AD676" s="32"/>
      <c r="AE676" s="32">
        <f t="shared" si="145"/>
        <v>0</v>
      </c>
      <c r="AF676" s="12"/>
      <c r="AG676" s="12"/>
      <c r="AH676" s="12"/>
      <c r="AI676" s="12">
        <f t="shared" si="146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8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 t="s">
        <v>73</v>
      </c>
      <c r="O677" s="31">
        <f t="shared" si="147"/>
        <v>6428</v>
      </c>
      <c r="P677" s="32">
        <f>1878+28.5</f>
        <v>1906.5</v>
      </c>
      <c r="Q677" s="32"/>
      <c r="R677" s="32"/>
      <c r="S677" s="32">
        <f t="shared" si="143"/>
        <v>1906.5</v>
      </c>
      <c r="T677" s="12"/>
      <c r="U677" s="12"/>
      <c r="V677" s="10"/>
      <c r="W677" s="12">
        <f t="shared" si="144"/>
        <v>1906.5</v>
      </c>
      <c r="Y677" s="10">
        <v>6</v>
      </c>
      <c r="Z677" s="30"/>
      <c r="AA677" s="31"/>
      <c r="AB677" s="32"/>
      <c r="AC677" s="32"/>
      <c r="AD677" s="32"/>
      <c r="AE677" s="32">
        <f t="shared" si="145"/>
        <v>0</v>
      </c>
      <c r="AF677" s="12"/>
      <c r="AG677" s="12"/>
      <c r="AH677" s="10"/>
      <c r="AI677" s="12">
        <f t="shared" si="146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8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 t="s">
        <v>73</v>
      </c>
      <c r="O678" s="31">
        <f t="shared" si="147"/>
        <v>6429</v>
      </c>
      <c r="P678" s="32">
        <f>1252+596+28.5</f>
        <v>1876.5</v>
      </c>
      <c r="Q678" s="32"/>
      <c r="R678" s="32"/>
      <c r="S678" s="32">
        <f t="shared" si="143"/>
        <v>1876.5</v>
      </c>
      <c r="T678" s="12"/>
      <c r="U678" s="12"/>
      <c r="V678" s="12"/>
      <c r="W678" s="12">
        <f t="shared" si="144"/>
        <v>1876.5</v>
      </c>
      <c r="Y678" s="10">
        <v>7</v>
      </c>
      <c r="Z678" s="30"/>
      <c r="AB678" s="32"/>
      <c r="AC678" s="32"/>
      <c r="AD678" s="32"/>
      <c r="AE678" s="32">
        <f t="shared" si="145"/>
        <v>0</v>
      </c>
      <c r="AF678" s="12"/>
      <c r="AG678" s="58"/>
      <c r="AH678" s="12"/>
      <c r="AI678" s="12">
        <f t="shared" si="146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8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 t="s">
        <v>73</v>
      </c>
      <c r="O679" s="31">
        <f t="shared" si="147"/>
        <v>6430</v>
      </c>
      <c r="P679" s="32">
        <f>1878+28.5</f>
        <v>1906.5</v>
      </c>
      <c r="Q679" s="32"/>
      <c r="R679" s="32"/>
      <c r="S679" s="32">
        <f t="shared" si="143"/>
        <v>1906.5</v>
      </c>
      <c r="T679" s="12"/>
      <c r="U679" s="12"/>
      <c r="V679" s="12"/>
      <c r="W679" s="12">
        <f t="shared" si="144"/>
        <v>1906.5</v>
      </c>
      <c r="Y679" s="10">
        <v>8</v>
      </c>
      <c r="Z679" s="30"/>
      <c r="AA679" s="31"/>
      <c r="AB679" s="32"/>
      <c r="AC679" s="32"/>
      <c r="AE679" s="32">
        <f t="shared" si="145"/>
        <v>0</v>
      </c>
      <c r="AF679" s="12"/>
      <c r="AG679" s="12"/>
      <c r="AH679" s="12"/>
      <c r="AI679" s="12">
        <f t="shared" si="146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8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 t="s">
        <v>73</v>
      </c>
      <c r="O680" s="31">
        <f t="shared" si="147"/>
        <v>6431</v>
      </c>
      <c r="P680" s="32">
        <f>626*5+47.5</f>
        <v>3177.5</v>
      </c>
      <c r="Q680" s="32"/>
      <c r="R680" s="32"/>
      <c r="S680" s="32">
        <f t="shared" si="143"/>
        <v>3177.5</v>
      </c>
      <c r="T680" s="12"/>
      <c r="U680" s="12"/>
      <c r="V680" s="12"/>
      <c r="W680" s="12">
        <f t="shared" si="144"/>
        <v>3177.5</v>
      </c>
      <c r="Y680" s="10">
        <v>9</v>
      </c>
      <c r="Z680" s="30"/>
      <c r="AA680" s="31"/>
      <c r="AB680" s="95"/>
      <c r="AC680" s="32"/>
      <c r="AD680" s="32"/>
      <c r="AE680" s="32">
        <f t="shared" si="145"/>
        <v>0</v>
      </c>
      <c r="AF680" s="12"/>
      <c r="AH680" s="12"/>
      <c r="AI680" s="12">
        <f t="shared" si="146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8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 t="s">
        <v>73</v>
      </c>
      <c r="O681" s="31">
        <f t="shared" si="147"/>
        <v>6432</v>
      </c>
      <c r="P681" s="32">
        <f>626*324+596*50+229*15</f>
        <v>236059</v>
      </c>
      <c r="Q681" s="32">
        <v>-3501</v>
      </c>
      <c r="R681" s="32"/>
      <c r="S681" s="32">
        <f t="shared" si="143"/>
        <v>232558</v>
      </c>
      <c r="T681" s="12"/>
      <c r="U681" s="12">
        <f>88*111+78*12</f>
        <v>10704</v>
      </c>
      <c r="V681" s="12">
        <v>-672</v>
      </c>
      <c r="W681" s="12">
        <f t="shared" si="144"/>
        <v>242590</v>
      </c>
      <c r="Y681" s="10">
        <v>10</v>
      </c>
      <c r="Z681" s="30"/>
      <c r="AA681" s="31"/>
      <c r="AB681" s="32"/>
      <c r="AC681" s="32"/>
      <c r="AD681" s="32"/>
      <c r="AE681" s="32">
        <f t="shared" si="145"/>
        <v>0</v>
      </c>
      <c r="AF681" s="12"/>
      <c r="AG681" s="12"/>
      <c r="AH681" s="12"/>
      <c r="AI681" s="12">
        <f t="shared" si="146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8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O682" s="11" t="s">
        <v>28</v>
      </c>
      <c r="P682" s="32"/>
      <c r="Q682" s="32"/>
      <c r="R682" s="32"/>
      <c r="S682" s="32">
        <f t="shared" si="143"/>
        <v>0</v>
      </c>
      <c r="T682" s="12"/>
      <c r="U682" s="12"/>
      <c r="V682" s="12"/>
      <c r="W682" s="12">
        <f t="shared" si="144"/>
        <v>0</v>
      </c>
      <c r="Y682" s="10">
        <v>11</v>
      </c>
      <c r="Z682" s="30"/>
      <c r="AB682" s="32"/>
      <c r="AC682" s="32"/>
      <c r="AD682" s="32"/>
      <c r="AE682" s="32">
        <f t="shared" ref="AE682:AE710" si="148">SUM(AB682:AC682)</f>
        <v>0</v>
      </c>
      <c r="AF682" s="12"/>
      <c r="AG682" s="12"/>
      <c r="AH682" s="12"/>
      <c r="AI682" s="12">
        <f t="shared" si="146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8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43"/>
        <v>0</v>
      </c>
      <c r="T683" s="12"/>
      <c r="U683" s="12"/>
      <c r="V683" s="12"/>
      <c r="W683" s="12">
        <f t="shared" si="144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48"/>
        <v>0</v>
      </c>
      <c r="AF683" s="12"/>
      <c r="AG683" s="12"/>
      <c r="AH683" s="12"/>
      <c r="AI683" s="12">
        <f t="shared" si="146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8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43"/>
        <v>0</v>
      </c>
      <c r="T684" s="12"/>
      <c r="U684" s="12"/>
      <c r="V684" s="12"/>
      <c r="W684" s="12">
        <f t="shared" si="144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48"/>
        <v>0</v>
      </c>
      <c r="AF684" s="12"/>
      <c r="AG684" s="12"/>
      <c r="AH684" s="12"/>
      <c r="AI684" s="12">
        <f t="shared" si="146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8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43"/>
        <v>0</v>
      </c>
      <c r="T685" s="12"/>
      <c r="U685" s="12"/>
      <c r="V685" s="12"/>
      <c r="W685" s="12">
        <f t="shared" si="144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48"/>
        <v>0</v>
      </c>
      <c r="AF685" s="12"/>
      <c r="AG685" s="12"/>
      <c r="AH685" s="12"/>
      <c r="AI685" s="12">
        <f t="shared" si="146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8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43"/>
        <v>0</v>
      </c>
      <c r="T686" s="12"/>
      <c r="U686" s="12"/>
      <c r="V686" s="12"/>
      <c r="W686" s="12">
        <f t="shared" si="144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48"/>
        <v>0</v>
      </c>
      <c r="AF686" s="12"/>
      <c r="AG686" s="12"/>
      <c r="AH686" s="12"/>
      <c r="AI686" s="12">
        <f t="shared" si="146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8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43"/>
        <v>0</v>
      </c>
      <c r="T687" s="12"/>
      <c r="U687" s="12"/>
      <c r="V687" s="12"/>
      <c r="W687" s="12">
        <f t="shared" si="144"/>
        <v>0</v>
      </c>
      <c r="Y687" s="10">
        <v>16</v>
      </c>
      <c r="Z687" s="30"/>
      <c r="AA687" s="31"/>
      <c r="AB687" s="32"/>
      <c r="AC687" s="32"/>
      <c r="AD687" s="32"/>
      <c r="AE687" s="32">
        <f t="shared" si="148"/>
        <v>0</v>
      </c>
      <c r="AF687" s="12"/>
      <c r="AG687" s="12"/>
      <c r="AH687" s="12"/>
      <c r="AI687" s="12">
        <f t="shared" si="146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8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O688" s="31"/>
      <c r="P688" s="35"/>
      <c r="Q688" s="32"/>
      <c r="R688" s="32"/>
      <c r="S688" s="32">
        <f t="shared" si="143"/>
        <v>0</v>
      </c>
      <c r="T688" s="12"/>
      <c r="U688" s="12"/>
      <c r="V688" s="12"/>
      <c r="W688" s="12">
        <f t="shared" si="144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48"/>
        <v>0</v>
      </c>
      <c r="AF688" s="12"/>
      <c r="AG688" s="12"/>
      <c r="AH688" s="12"/>
      <c r="AI688" s="12">
        <f t="shared" si="146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8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31"/>
      <c r="P689" s="32"/>
      <c r="Q689" s="32"/>
      <c r="R689" s="32"/>
      <c r="S689" s="32">
        <f t="shared" si="143"/>
        <v>0</v>
      </c>
      <c r="T689" s="12"/>
      <c r="U689" s="12"/>
      <c r="V689" s="12"/>
      <c r="W689" s="12">
        <f t="shared" si="144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48"/>
        <v>0</v>
      </c>
      <c r="AF689" s="12"/>
      <c r="AG689" s="12"/>
      <c r="AH689" s="12"/>
      <c r="AI689" s="12">
        <f t="shared" si="146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8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43"/>
        <v>0</v>
      </c>
      <c r="T690" s="12"/>
      <c r="U690" s="12"/>
      <c r="V690" s="12"/>
      <c r="W690" s="12">
        <f t="shared" si="144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48"/>
        <v>0</v>
      </c>
      <c r="AF690" s="12"/>
      <c r="AG690" s="12"/>
      <c r="AH690" s="12"/>
      <c r="AI690" s="12">
        <f t="shared" si="146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8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O691" s="31"/>
      <c r="P691" s="32"/>
      <c r="Q691" s="32"/>
      <c r="R691" s="32"/>
      <c r="S691" s="32">
        <f t="shared" si="143"/>
        <v>0</v>
      </c>
      <c r="T691" s="12"/>
      <c r="U691" s="12"/>
      <c r="V691" s="12"/>
      <c r="W691" s="12">
        <f t="shared" si="144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48"/>
        <v>0</v>
      </c>
      <c r="AF691" s="12"/>
      <c r="AG691" s="12"/>
      <c r="AH691" s="12"/>
      <c r="AI691" s="12">
        <f t="shared" si="146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8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P692" s="46"/>
      <c r="Q692" s="31"/>
      <c r="R692" s="31"/>
      <c r="S692" s="32">
        <f t="shared" si="143"/>
        <v>0</v>
      </c>
      <c r="T692" s="10"/>
      <c r="U692" s="10"/>
      <c r="V692" s="10"/>
      <c r="W692" s="12">
        <f t="shared" si="144"/>
        <v>0</v>
      </c>
      <c r="Y692" s="10">
        <v>21</v>
      </c>
      <c r="Z692" s="30"/>
      <c r="AB692" s="46"/>
      <c r="AC692" s="31"/>
      <c r="AD692" s="31"/>
      <c r="AE692" s="32">
        <f t="shared" si="148"/>
        <v>0</v>
      </c>
      <c r="AF692" s="10"/>
      <c r="AG692" s="10"/>
      <c r="AH692" s="10"/>
      <c r="AI692" s="12">
        <f t="shared" si="146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8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43"/>
        <v>0</v>
      </c>
      <c r="T693" s="10"/>
      <c r="U693" s="10"/>
      <c r="V693" s="10"/>
      <c r="W693" s="12">
        <f t="shared" si="144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48"/>
        <v>0</v>
      </c>
      <c r="AF693" s="10"/>
      <c r="AG693" s="10"/>
      <c r="AH693" s="10"/>
      <c r="AI693" s="12">
        <f t="shared" si="146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31"/>
      <c r="S694" s="32">
        <f t="shared" si="143"/>
        <v>0</v>
      </c>
      <c r="T694" s="10"/>
      <c r="U694" s="10"/>
      <c r="V694" s="10"/>
      <c r="W694" s="12">
        <f t="shared" si="144"/>
        <v>0</v>
      </c>
      <c r="Y694" s="10">
        <v>23</v>
      </c>
      <c r="Z694" s="30"/>
      <c r="AA694" s="31"/>
      <c r="AB694" s="47"/>
      <c r="AE694" s="32">
        <f t="shared" si="148"/>
        <v>0</v>
      </c>
      <c r="AF694" s="10"/>
      <c r="AG694" s="10"/>
      <c r="AH694" s="10"/>
      <c r="AI694" s="12">
        <f t="shared" si="146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8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43"/>
        <v>0</v>
      </c>
      <c r="T695" s="10"/>
      <c r="U695" s="10"/>
      <c r="V695" s="10"/>
      <c r="W695" s="12">
        <f t="shared" si="144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48"/>
        <v>0</v>
      </c>
      <c r="AF695" s="10"/>
      <c r="AG695" s="10"/>
      <c r="AH695" s="10"/>
      <c r="AI695" s="12">
        <f t="shared" si="146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8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43"/>
        <v>0</v>
      </c>
      <c r="T696" s="10"/>
      <c r="U696" s="10"/>
      <c r="V696" s="10"/>
      <c r="W696" s="12">
        <f t="shared" si="144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48"/>
        <v>0</v>
      </c>
      <c r="AF696" s="10"/>
      <c r="AG696" s="10"/>
      <c r="AH696" s="10"/>
      <c r="AI696" s="12">
        <f t="shared" si="146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8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P697" s="47"/>
      <c r="Q697" s="31"/>
      <c r="R697" s="31"/>
      <c r="S697" s="32">
        <f t="shared" si="143"/>
        <v>0</v>
      </c>
      <c r="T697" s="10"/>
      <c r="U697" s="10"/>
      <c r="V697" s="10"/>
      <c r="W697" s="12">
        <f t="shared" si="144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48"/>
        <v>0</v>
      </c>
      <c r="AF697" s="10"/>
      <c r="AG697" s="10"/>
      <c r="AH697" s="10"/>
      <c r="AI697" s="12">
        <f t="shared" si="146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8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43"/>
        <v>0</v>
      </c>
      <c r="T698" s="10"/>
      <c r="U698" s="10"/>
      <c r="V698" s="10"/>
      <c r="W698" s="12">
        <f t="shared" si="144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48"/>
        <v>0</v>
      </c>
      <c r="AF698" s="10"/>
      <c r="AG698" s="10"/>
      <c r="AH698" s="10"/>
      <c r="AI698" s="12">
        <f t="shared" si="146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8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43"/>
        <v>0</v>
      </c>
      <c r="T699" s="10"/>
      <c r="U699" s="10"/>
      <c r="V699" s="10"/>
      <c r="W699" s="12">
        <f t="shared" si="144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48"/>
        <v>0</v>
      </c>
      <c r="AF699" s="10"/>
      <c r="AG699" s="10"/>
      <c r="AH699" s="10"/>
      <c r="AI699" s="12">
        <f t="shared" si="146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8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43"/>
        <v>0</v>
      </c>
      <c r="T700" s="10"/>
      <c r="U700" s="10"/>
      <c r="V700" s="10"/>
      <c r="W700" s="12">
        <f t="shared" si="144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48"/>
        <v>0</v>
      </c>
      <c r="AF700" s="10"/>
      <c r="AG700" s="10"/>
      <c r="AH700" s="10"/>
      <c r="AI700" s="12">
        <f t="shared" si="146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8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P701" s="47"/>
      <c r="Q701" s="31"/>
      <c r="R701" s="31"/>
      <c r="S701" s="32">
        <f t="shared" si="143"/>
        <v>0</v>
      </c>
      <c r="T701" s="10"/>
      <c r="U701" s="10"/>
      <c r="V701" s="10"/>
      <c r="W701" s="12">
        <f t="shared" si="144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48"/>
        <v>0</v>
      </c>
      <c r="AF701" s="10"/>
      <c r="AG701" s="10"/>
      <c r="AH701" s="10"/>
      <c r="AI701" s="12">
        <f t="shared" si="146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8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43"/>
        <v>0</v>
      </c>
      <c r="T702" s="10"/>
      <c r="U702" s="10"/>
      <c r="V702" s="10"/>
      <c r="W702" s="12">
        <f t="shared" si="144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48"/>
        <v>0</v>
      </c>
      <c r="AF702" s="10"/>
      <c r="AG702" s="10"/>
      <c r="AH702" s="10"/>
      <c r="AI702" s="12">
        <f t="shared" si="146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8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43"/>
        <v>0</v>
      </c>
      <c r="T703" s="10"/>
      <c r="U703" s="10"/>
      <c r="V703" s="10"/>
      <c r="W703" s="12">
        <f t="shared" si="144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48"/>
        <v>0</v>
      </c>
      <c r="AF703" s="10"/>
      <c r="AG703" s="10"/>
      <c r="AH703" s="10"/>
      <c r="AI703" s="12">
        <f t="shared" si="146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8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43"/>
        <v>0</v>
      </c>
      <c r="T704" s="10"/>
      <c r="U704" s="10"/>
      <c r="V704" s="10"/>
      <c r="W704" s="12">
        <f t="shared" si="144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48"/>
        <v>0</v>
      </c>
      <c r="AF704" s="10"/>
      <c r="AG704" s="10"/>
      <c r="AH704" s="10"/>
      <c r="AI704" s="12">
        <f t="shared" si="146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8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43"/>
        <v>0</v>
      </c>
      <c r="T705" s="10"/>
      <c r="U705" s="10"/>
      <c r="V705" s="10"/>
      <c r="W705" s="12">
        <f t="shared" si="144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48"/>
        <v>0</v>
      </c>
      <c r="AF705" s="10"/>
      <c r="AG705" s="10"/>
      <c r="AH705" s="10"/>
      <c r="AI705" s="12">
        <f t="shared" si="146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8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43"/>
        <v>0</v>
      </c>
      <c r="T706" s="10"/>
      <c r="U706" s="10"/>
      <c r="V706" s="10"/>
      <c r="W706" s="12">
        <f t="shared" si="144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48"/>
        <v>0</v>
      </c>
      <c r="AF706" s="10"/>
      <c r="AG706" s="10"/>
      <c r="AH706" s="10"/>
      <c r="AI706" s="12">
        <f t="shared" si="146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8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43"/>
        <v>0</v>
      </c>
      <c r="T707" s="10"/>
      <c r="U707" s="10"/>
      <c r="V707" s="10"/>
      <c r="W707" s="12">
        <f t="shared" si="144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48"/>
        <v>0</v>
      </c>
      <c r="AF707" s="10"/>
      <c r="AG707" s="10"/>
      <c r="AH707" s="10"/>
      <c r="AI707" s="12">
        <f t="shared" si="146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8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43"/>
        <v>0</v>
      </c>
      <c r="T708" s="10"/>
      <c r="U708" s="10"/>
      <c r="V708" s="10"/>
      <c r="W708" s="12">
        <f t="shared" si="144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48"/>
        <v>0</v>
      </c>
      <c r="AF708" s="10"/>
      <c r="AG708" s="10"/>
      <c r="AH708" s="10"/>
      <c r="AI708" s="12">
        <f t="shared" si="146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8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43"/>
        <v>0</v>
      </c>
      <c r="T709" s="10"/>
      <c r="U709" s="10"/>
      <c r="V709" s="10"/>
      <c r="W709" s="12">
        <f t="shared" si="144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48"/>
        <v>0</v>
      </c>
      <c r="AF709" s="10"/>
      <c r="AG709" s="10"/>
      <c r="AH709" s="10"/>
      <c r="AI709" s="12">
        <f t="shared" si="146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8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43"/>
        <v>0</v>
      </c>
      <c r="T710" s="10"/>
      <c r="U710" s="10"/>
      <c r="V710" s="10"/>
      <c r="W710" s="12">
        <f t="shared" si="144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48"/>
        <v>0</v>
      </c>
      <c r="AF710" s="10"/>
      <c r="AG710" s="10"/>
      <c r="AH710" s="10"/>
      <c r="AI710" s="12">
        <f t="shared" si="146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8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44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46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8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49">SUM(P712:Q712)</f>
        <v>0</v>
      </c>
      <c r="T712" s="10"/>
      <c r="U712" s="10"/>
      <c r="V712" s="10"/>
      <c r="W712" s="12">
        <f t="shared" si="144"/>
        <v>0</v>
      </c>
      <c r="Y712" s="10"/>
      <c r="Z712" s="30"/>
      <c r="AA712" s="31"/>
      <c r="AB712" s="47"/>
      <c r="AC712" s="31"/>
      <c r="AD712" s="31"/>
      <c r="AE712" s="32">
        <f t="shared" ref="AE712" si="150">SUM(AB712:AC712)</f>
        <v>0</v>
      </c>
      <c r="AF712" s="10"/>
      <c r="AG712" s="10"/>
      <c r="AH712" s="10"/>
      <c r="AI712" s="12">
        <f t="shared" si="146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44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46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8"/>
      <c r="C714" s="88"/>
      <c r="D714" s="88"/>
      <c r="E714" s="88"/>
      <c r="F714" s="88"/>
      <c r="G714" s="88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8"/>
      <c r="C715" s="88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269382</v>
      </c>
      <c r="Q715" s="38">
        <f>SUM(Q672:Q696)</f>
        <v>-3501</v>
      </c>
      <c r="R715" s="38">
        <f>SUM(R672:R696)</f>
        <v>0</v>
      </c>
      <c r="S715" s="38">
        <f>SUM(S672:S714)</f>
        <v>265881</v>
      </c>
      <c r="T715" s="4"/>
      <c r="U715" s="41">
        <f>SUM(U672:U714)</f>
        <v>10704</v>
      </c>
      <c r="V715" s="41">
        <f>SUM(V672:V696)</f>
        <v>-672</v>
      </c>
      <c r="W715" s="42">
        <f>SUM(W672:W714)</f>
        <v>275913</v>
      </c>
      <c r="Z715" s="57"/>
      <c r="AA715" s="57"/>
      <c r="AB715" s="38">
        <f>SUM(AB672:AB714)</f>
        <v>258416</v>
      </c>
      <c r="AC715" s="38">
        <f>SUM(AC672:AC696)</f>
        <v>0</v>
      </c>
      <c r="AD715" s="38">
        <f>SUM(AD672:AD696)</f>
        <v>0</v>
      </c>
      <c r="AE715" s="38">
        <f>SUM(AE672:AE714)</f>
        <v>258416</v>
      </c>
      <c r="AF715" s="4"/>
      <c r="AG715" s="41">
        <f>SUM(AG672:AG714)</f>
        <v>39618</v>
      </c>
      <c r="AH715" s="41">
        <f>SUM(AH672:AH696)</f>
        <v>-120</v>
      </c>
      <c r="AI715" s="42">
        <f>SUM(AI672:AI714)</f>
        <v>297914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29</v>
      </c>
      <c r="B718" s="57"/>
      <c r="C718" s="57"/>
      <c r="D718" s="57"/>
      <c r="E718" s="57"/>
      <c r="G718" s="57"/>
      <c r="M718" t="s">
        <v>29</v>
      </c>
      <c r="N718" s="57"/>
      <c r="O718" s="57"/>
      <c r="P718" s="57"/>
      <c r="Q718" s="57"/>
      <c r="R718" s="57"/>
      <c r="S718" s="57"/>
      <c r="Y718" t="s">
        <v>29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15</v>
      </c>
      <c r="B720" s="57"/>
      <c r="C720" s="57"/>
      <c r="D720" s="57"/>
      <c r="E720" s="57"/>
      <c r="G720" s="57"/>
      <c r="M720" s="4" t="s">
        <v>15</v>
      </c>
      <c r="N720" s="57"/>
      <c r="O720" s="57"/>
      <c r="P720" s="57"/>
      <c r="Q720" s="57"/>
      <c r="R720" s="57"/>
      <c r="S720" s="57"/>
      <c r="Y720" s="4" t="s">
        <v>15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16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16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16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75</v>
      </c>
      <c r="B723" s="20"/>
      <c r="C723" s="57"/>
      <c r="D723" s="57"/>
      <c r="E723" s="57"/>
      <c r="G723" s="57"/>
      <c r="I723" s="22" t="s">
        <v>17</v>
      </c>
      <c r="J723" s="23" t="s">
        <v>36</v>
      </c>
      <c r="K723" s="24"/>
      <c r="M723" s="21" t="s">
        <v>75</v>
      </c>
      <c r="N723" s="20"/>
      <c r="O723" s="57"/>
      <c r="P723" s="57"/>
      <c r="Q723" s="57"/>
      <c r="R723" s="57"/>
      <c r="S723" s="57"/>
      <c r="U723" s="22" t="s">
        <v>17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17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4" t="s">
        <v>18</v>
      </c>
      <c r="E725" s="124"/>
      <c r="F725" s="108"/>
      <c r="G725" s="27"/>
      <c r="I725" s="122" t="s">
        <v>19</v>
      </c>
      <c r="J725" s="123"/>
      <c r="K725" s="120" t="s">
        <v>20</v>
      </c>
      <c r="N725" s="25"/>
      <c r="O725" s="26"/>
      <c r="P725" s="124" t="s">
        <v>18</v>
      </c>
      <c r="Q725" s="124"/>
      <c r="R725" s="108"/>
      <c r="S725" s="27"/>
      <c r="U725" s="122" t="s">
        <v>19</v>
      </c>
      <c r="V725" s="123"/>
      <c r="W725" s="120" t="s">
        <v>20</v>
      </c>
      <c r="Z725" s="25"/>
      <c r="AA725" s="26"/>
      <c r="AB725" s="124" t="s">
        <v>18</v>
      </c>
      <c r="AC725" s="124"/>
      <c r="AD725" s="108"/>
      <c r="AE725" s="27"/>
      <c r="AG725" s="122" t="s">
        <v>19</v>
      </c>
      <c r="AH725" s="123"/>
      <c r="AI725" s="120" t="s">
        <v>20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21</v>
      </c>
      <c r="C726" s="28" t="s">
        <v>22</v>
      </c>
      <c r="D726" s="79" t="s">
        <v>23</v>
      </c>
      <c r="E726" s="78" t="s">
        <v>24</v>
      </c>
      <c r="F726" s="80" t="s">
        <v>35</v>
      </c>
      <c r="G726" s="80" t="s">
        <v>25</v>
      </c>
      <c r="I726" s="29" t="s">
        <v>26</v>
      </c>
      <c r="J726" s="29" t="s">
        <v>27</v>
      </c>
      <c r="K726" s="121"/>
      <c r="N726" s="28" t="s">
        <v>21</v>
      </c>
      <c r="O726" s="28" t="s">
        <v>22</v>
      </c>
      <c r="P726" s="79" t="s">
        <v>23</v>
      </c>
      <c r="Q726" s="80" t="s">
        <v>24</v>
      </c>
      <c r="R726" s="80" t="s">
        <v>35</v>
      </c>
      <c r="S726" s="80" t="s">
        <v>25</v>
      </c>
      <c r="U726" s="29" t="s">
        <v>26</v>
      </c>
      <c r="V726" s="29" t="s">
        <v>27</v>
      </c>
      <c r="W726" s="121"/>
      <c r="Z726" s="28" t="s">
        <v>21</v>
      </c>
      <c r="AA726" s="28" t="s">
        <v>22</v>
      </c>
      <c r="AB726" s="79" t="s">
        <v>23</v>
      </c>
      <c r="AC726" s="80" t="s">
        <v>24</v>
      </c>
      <c r="AD726" s="80" t="s">
        <v>35</v>
      </c>
      <c r="AE726" s="80" t="s">
        <v>25</v>
      </c>
      <c r="AG726" s="29" t="s">
        <v>26</v>
      </c>
      <c r="AH726" s="29" t="s">
        <v>27</v>
      </c>
      <c r="AI726" s="121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76</v>
      </c>
      <c r="C727" s="31">
        <v>6497</v>
      </c>
      <c r="D727" s="32">
        <f>1878+614+913+596+674+1300+9.5*4+500</f>
        <v>6513</v>
      </c>
      <c r="E727" s="32"/>
      <c r="F727" s="32"/>
      <c r="G727" s="32">
        <f t="shared" ref="G727:G760" si="151">SUM(D727:E727)</f>
        <v>6513</v>
      </c>
      <c r="H727" s="12"/>
      <c r="I727" s="12">
        <v>33</v>
      </c>
      <c r="J727" s="12"/>
      <c r="K727" s="12">
        <f t="shared" ref="K727:K760" si="152">SUM(G727:J727)</f>
        <v>6546</v>
      </c>
      <c r="M727" s="10">
        <v>1</v>
      </c>
      <c r="N727" s="30" t="s">
        <v>76</v>
      </c>
      <c r="O727" s="31">
        <v>6433</v>
      </c>
      <c r="P727" s="32">
        <f>3756+57</f>
        <v>3813</v>
      </c>
      <c r="Q727" s="32"/>
      <c r="R727" s="32"/>
      <c r="S727" s="32">
        <f>SUM(P727:Q727)</f>
        <v>3813</v>
      </c>
      <c r="T727" s="12"/>
      <c r="U727" s="12">
        <v>4.5</v>
      </c>
      <c r="V727" s="12"/>
      <c r="W727" s="12">
        <f>SUM(S727:V727)</f>
        <v>3817.5</v>
      </c>
      <c r="Y727" s="10">
        <v>1</v>
      </c>
      <c r="Z727" s="30" t="s">
        <v>76</v>
      </c>
      <c r="AA727" s="31">
        <v>6384</v>
      </c>
      <c r="AB727" s="32">
        <f>626*295+20*614+596*30+832*3+229*4</f>
        <v>218242</v>
      </c>
      <c r="AC727" s="32"/>
      <c r="AD727" s="32"/>
      <c r="AE727" s="32">
        <f>SUM(AB727:AC727)</f>
        <v>218242</v>
      </c>
      <c r="AF727" s="12"/>
      <c r="AG727" s="12">
        <f>240+36852+78</f>
        <v>37170</v>
      </c>
      <c r="AH727" s="12"/>
      <c r="AI727" s="12">
        <f>SUM(AE727:AH727)</f>
        <v>255412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76</v>
      </c>
      <c r="C728" s="31">
        <f>C727+1</f>
        <v>6498</v>
      </c>
      <c r="D728" s="32">
        <f>2504+614+38</f>
        <v>3156</v>
      </c>
      <c r="E728" s="32"/>
      <c r="F728" s="32"/>
      <c r="G728" s="32">
        <f t="shared" si="151"/>
        <v>3156</v>
      </c>
      <c r="H728" s="12"/>
      <c r="I728" s="12">
        <v>27</v>
      </c>
      <c r="J728" s="12"/>
      <c r="K728" s="12">
        <f t="shared" si="152"/>
        <v>3183</v>
      </c>
      <c r="M728" s="10">
        <v>2</v>
      </c>
      <c r="N728" s="30" t="s">
        <v>76</v>
      </c>
      <c r="O728" s="31">
        <f>O727+1</f>
        <v>6434</v>
      </c>
      <c r="P728" s="32">
        <f>135216+2061</f>
        <v>137277</v>
      </c>
      <c r="Q728" s="32">
        <v>-2025</v>
      </c>
      <c r="R728" s="32"/>
      <c r="S728" s="32">
        <f t="shared" ref="S728:S765" si="153">SUM(P728:Q728)</f>
        <v>135252</v>
      </c>
      <c r="T728" s="12"/>
      <c r="U728" s="12">
        <f>19980+702</f>
        <v>20682</v>
      </c>
      <c r="V728" s="12"/>
      <c r="W728" s="12">
        <f t="shared" ref="W728:W768" si="154">SUM(S728:V728)</f>
        <v>155934</v>
      </c>
      <c r="Y728" s="10">
        <v>2</v>
      </c>
      <c r="Z728" s="30" t="s">
        <v>76</v>
      </c>
      <c r="AA728" s="31">
        <f>AA727+1</f>
        <v>6385</v>
      </c>
      <c r="AB728" s="32">
        <f>135216+4718</f>
        <v>139934</v>
      </c>
      <c r="AC728" s="32">
        <f>-223*6</f>
        <v>-1338</v>
      </c>
      <c r="AD728" s="32"/>
      <c r="AE728" s="32">
        <f t="shared" ref="AE728:AE736" si="155">SUM(AB728:AC728)</f>
        <v>138596</v>
      </c>
      <c r="AF728" s="12"/>
      <c r="AG728" s="12"/>
      <c r="AH728" s="12">
        <f>-1092+-924</f>
        <v>-2016</v>
      </c>
      <c r="AI728" s="12">
        <f t="shared" ref="AI728:AI768" si="156">SUM(AE728:AH728)</f>
        <v>136580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76</v>
      </c>
      <c r="C729" s="31">
        <f t="shared" ref="C729:C750" si="157">C728+1</f>
        <v>6499</v>
      </c>
      <c r="D729" s="33">
        <f>3756+1788</f>
        <v>5544</v>
      </c>
      <c r="E729" s="33"/>
      <c r="F729" s="33"/>
      <c r="G729" s="33">
        <f t="shared" si="151"/>
        <v>5544</v>
      </c>
      <c r="H729" s="34"/>
      <c r="I729" s="34"/>
      <c r="J729" s="34"/>
      <c r="K729" s="34">
        <f t="shared" si="152"/>
        <v>5544</v>
      </c>
      <c r="M729" s="10">
        <v>3</v>
      </c>
      <c r="N729" s="30" t="s">
        <v>76</v>
      </c>
      <c r="O729" s="31">
        <f t="shared" ref="O729:O730" si="158">O728+1</f>
        <v>6435</v>
      </c>
      <c r="P729" s="32">
        <f>626+614</f>
        <v>1240</v>
      </c>
      <c r="Q729" s="32"/>
      <c r="R729" s="32"/>
      <c r="S729" s="32">
        <f t="shared" si="153"/>
        <v>1240</v>
      </c>
      <c r="T729" s="12"/>
      <c r="U729" s="12"/>
      <c r="V729" s="12"/>
      <c r="W729" s="12">
        <f t="shared" si="154"/>
        <v>1240</v>
      </c>
      <c r="Y729" s="10">
        <v>3</v>
      </c>
      <c r="Z729" s="30" t="s">
        <v>76</v>
      </c>
      <c r="AA729" s="31">
        <f t="shared" ref="AA729" si="159">AA728+1</f>
        <v>6386</v>
      </c>
      <c r="AB729" s="33">
        <f>852</f>
        <v>852</v>
      </c>
      <c r="AC729" s="33"/>
      <c r="AD729" s="32"/>
      <c r="AE729" s="32">
        <f t="shared" si="155"/>
        <v>852</v>
      </c>
      <c r="AF729" s="12"/>
      <c r="AG729" s="12"/>
      <c r="AH729" s="12"/>
      <c r="AI729" s="12">
        <f t="shared" si="156"/>
        <v>852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76</v>
      </c>
      <c r="C730" s="31">
        <f t="shared" si="157"/>
        <v>6500</v>
      </c>
      <c r="D730" s="32">
        <f>1252+1192+38</f>
        <v>2482</v>
      </c>
      <c r="E730" s="32"/>
      <c r="F730" s="32"/>
      <c r="G730" s="32">
        <f t="shared" si="151"/>
        <v>2482</v>
      </c>
      <c r="H730" s="12"/>
      <c r="I730" s="12"/>
      <c r="J730" s="12"/>
      <c r="K730" s="12">
        <f t="shared" si="152"/>
        <v>2482</v>
      </c>
      <c r="M730" s="10">
        <v>4</v>
      </c>
      <c r="N730" s="30" t="s">
        <v>76</v>
      </c>
      <c r="O730" s="31">
        <f t="shared" si="158"/>
        <v>6436</v>
      </c>
      <c r="P730" s="32">
        <f>626*65</f>
        <v>40690</v>
      </c>
      <c r="Q730" s="32"/>
      <c r="R730" s="32"/>
      <c r="S730" s="32">
        <f t="shared" si="153"/>
        <v>40690</v>
      </c>
      <c r="T730" s="12"/>
      <c r="U730" s="12"/>
      <c r="V730" s="12"/>
      <c r="W730" s="12">
        <f t="shared" si="154"/>
        <v>40690</v>
      </c>
      <c r="Y730" s="10">
        <v>4</v>
      </c>
      <c r="Z730" s="30"/>
      <c r="AA730" s="11" t="s">
        <v>28</v>
      </c>
      <c r="AB730" s="32"/>
      <c r="AC730" s="32"/>
      <c r="AD730" s="32"/>
      <c r="AE730" s="32">
        <f t="shared" si="155"/>
        <v>0</v>
      </c>
      <c r="AF730" s="12"/>
      <c r="AH730" s="12"/>
      <c r="AI730" s="12">
        <f t="shared" si="156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76</v>
      </c>
      <c r="C731" s="31">
        <f t="shared" si="157"/>
        <v>6501</v>
      </c>
      <c r="D731" s="32">
        <f>6886+1228+1192+124</f>
        <v>9430</v>
      </c>
      <c r="E731" s="32"/>
      <c r="F731" s="32"/>
      <c r="G731" s="32">
        <f t="shared" si="151"/>
        <v>9430</v>
      </c>
      <c r="H731" s="12"/>
      <c r="I731" s="12"/>
      <c r="J731" s="12"/>
      <c r="K731" s="12">
        <f t="shared" si="152"/>
        <v>9430</v>
      </c>
      <c r="M731" s="10">
        <v>5</v>
      </c>
      <c r="N731" s="30"/>
      <c r="O731" s="11" t="s">
        <v>28</v>
      </c>
      <c r="P731" s="32"/>
      <c r="Q731" s="32"/>
      <c r="R731" s="32"/>
      <c r="S731" s="32">
        <f t="shared" si="153"/>
        <v>0</v>
      </c>
      <c r="T731" s="12"/>
      <c r="U731" s="12"/>
      <c r="V731" s="12"/>
      <c r="W731" s="12">
        <f t="shared" si="154"/>
        <v>0</v>
      </c>
      <c r="Y731" s="10">
        <v>5</v>
      </c>
      <c r="Z731" s="30"/>
      <c r="AA731" s="31"/>
      <c r="AB731" s="32"/>
      <c r="AC731" s="32"/>
      <c r="AD731" s="32"/>
      <c r="AE731" s="32">
        <f t="shared" si="155"/>
        <v>0</v>
      </c>
      <c r="AF731" s="12"/>
      <c r="AG731" s="12"/>
      <c r="AH731" s="12"/>
      <c r="AI731" s="12">
        <f t="shared" si="156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76</v>
      </c>
      <c r="C732" s="31">
        <f t="shared" si="157"/>
        <v>6502</v>
      </c>
      <c r="D732" s="32">
        <f>1878+28+250</f>
        <v>2156</v>
      </c>
      <c r="E732" s="32"/>
      <c r="F732" s="32"/>
      <c r="G732" s="32">
        <f t="shared" si="151"/>
        <v>2156</v>
      </c>
      <c r="H732" s="12"/>
      <c r="I732" s="12"/>
      <c r="J732" s="12"/>
      <c r="K732" s="12">
        <f t="shared" si="152"/>
        <v>2156</v>
      </c>
      <c r="M732" s="10">
        <v>6</v>
      </c>
      <c r="N732" s="30"/>
      <c r="O732" s="31"/>
      <c r="P732" s="32"/>
      <c r="Q732" s="32"/>
      <c r="R732" s="32"/>
      <c r="S732" s="32">
        <f t="shared" si="153"/>
        <v>0</v>
      </c>
      <c r="T732" s="12"/>
      <c r="U732" s="12"/>
      <c r="V732" s="10"/>
      <c r="W732" s="12">
        <f t="shared" si="154"/>
        <v>0</v>
      </c>
      <c r="Y732" s="10">
        <v>6</v>
      </c>
      <c r="Z732" s="30"/>
      <c r="AA732" s="31"/>
      <c r="AB732" s="32"/>
      <c r="AC732" s="32"/>
      <c r="AD732" s="32"/>
      <c r="AE732" s="32">
        <f t="shared" si="155"/>
        <v>0</v>
      </c>
      <c r="AF732" s="12"/>
      <c r="AG732" s="12"/>
      <c r="AH732" s="10"/>
      <c r="AI732" s="12">
        <f t="shared" si="156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76</v>
      </c>
      <c r="C733" s="31">
        <f t="shared" si="157"/>
        <v>6503</v>
      </c>
      <c r="D733" s="32">
        <f>1252+614+19</f>
        <v>1885</v>
      </c>
      <c r="E733" s="32"/>
      <c r="F733" s="32"/>
      <c r="G733" s="32">
        <f t="shared" si="151"/>
        <v>1885</v>
      </c>
      <c r="H733" s="12"/>
      <c r="I733" s="12"/>
      <c r="J733" s="12"/>
      <c r="K733" s="12">
        <f t="shared" si="152"/>
        <v>1885</v>
      </c>
      <c r="M733" s="10">
        <v>7</v>
      </c>
      <c r="N733" s="30"/>
      <c r="O733" s="31"/>
      <c r="P733" s="32"/>
      <c r="Q733" s="32"/>
      <c r="R733" s="32"/>
      <c r="S733" s="32">
        <f t="shared" si="153"/>
        <v>0</v>
      </c>
      <c r="T733" s="12"/>
      <c r="U733" s="12"/>
      <c r="V733" s="12"/>
      <c r="W733" s="12">
        <f t="shared" si="154"/>
        <v>0</v>
      </c>
      <c r="Y733" s="10">
        <v>7</v>
      </c>
      <c r="Z733" s="30"/>
      <c r="AA733" s="31"/>
      <c r="AB733" s="32"/>
      <c r="AC733" s="32"/>
      <c r="AD733" s="32"/>
      <c r="AE733" s="32">
        <f t="shared" si="155"/>
        <v>0</v>
      </c>
      <c r="AF733" s="12"/>
      <c r="AG733" s="58"/>
      <c r="AH733" s="12"/>
      <c r="AI733" s="12">
        <f t="shared" si="156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76</v>
      </c>
      <c r="C734" s="31">
        <f t="shared" si="157"/>
        <v>6504</v>
      </c>
      <c r="D734" s="32">
        <f>1878+28</f>
        <v>1906</v>
      </c>
      <c r="E734" s="32"/>
      <c r="F734" s="32"/>
      <c r="G734" s="32">
        <f t="shared" si="151"/>
        <v>1906</v>
      </c>
      <c r="H734" s="12"/>
      <c r="I734" s="12"/>
      <c r="J734" s="12"/>
      <c r="K734" s="12">
        <f t="shared" si="152"/>
        <v>1906</v>
      </c>
      <c r="M734" s="10">
        <v>8</v>
      </c>
      <c r="N734" s="30"/>
      <c r="O734" s="31"/>
      <c r="P734" s="32"/>
      <c r="Q734" s="32"/>
      <c r="R734" s="32"/>
      <c r="S734" s="32">
        <f t="shared" si="153"/>
        <v>0</v>
      </c>
      <c r="T734" s="12"/>
      <c r="U734" s="12"/>
      <c r="V734" s="12"/>
      <c r="W734" s="12">
        <f t="shared" si="154"/>
        <v>0</v>
      </c>
      <c r="Y734" s="10">
        <v>8</v>
      </c>
      <c r="Z734" s="30"/>
      <c r="AA734" s="31"/>
      <c r="AB734" s="32"/>
      <c r="AC734" s="32"/>
      <c r="AE734" s="32">
        <f t="shared" si="155"/>
        <v>0</v>
      </c>
      <c r="AF734" s="12"/>
      <c r="AG734" s="12"/>
      <c r="AH734" s="12"/>
      <c r="AI734" s="12">
        <f t="shared" si="156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76</v>
      </c>
      <c r="C735" s="31">
        <f t="shared" si="157"/>
        <v>6505</v>
      </c>
      <c r="D735" s="32">
        <f>1878+28</f>
        <v>1906</v>
      </c>
      <c r="E735" s="32"/>
      <c r="F735" s="32"/>
      <c r="G735" s="32">
        <f t="shared" si="151"/>
        <v>1906</v>
      </c>
      <c r="H735" s="12"/>
      <c r="I735" s="12"/>
      <c r="J735" s="12"/>
      <c r="K735" s="12">
        <f t="shared" si="152"/>
        <v>1906</v>
      </c>
      <c r="M735" s="10">
        <v>9</v>
      </c>
      <c r="N735" s="30"/>
      <c r="O735" s="31"/>
      <c r="P735" s="32"/>
      <c r="Q735" s="32"/>
      <c r="R735" s="32"/>
      <c r="S735" s="32">
        <f t="shared" si="153"/>
        <v>0</v>
      </c>
      <c r="T735" s="12"/>
      <c r="U735" s="12"/>
      <c r="V735" s="12"/>
      <c r="W735" s="12">
        <f t="shared" si="154"/>
        <v>0</v>
      </c>
      <c r="Y735" s="10">
        <v>9</v>
      </c>
      <c r="Z735" s="30"/>
      <c r="AA735" s="31"/>
      <c r="AB735" s="95"/>
      <c r="AC735" s="32"/>
      <c r="AD735" s="32"/>
      <c r="AE735" s="32">
        <f t="shared" si="155"/>
        <v>0</v>
      </c>
      <c r="AF735" s="12"/>
      <c r="AH735" s="12"/>
      <c r="AI735" s="12">
        <f t="shared" si="156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76</v>
      </c>
      <c r="C736" s="31">
        <f t="shared" si="157"/>
        <v>6506</v>
      </c>
      <c r="D736" s="32">
        <f>1228</f>
        <v>1228</v>
      </c>
      <c r="E736" s="32"/>
      <c r="F736" s="32"/>
      <c r="G736" s="32">
        <f t="shared" si="151"/>
        <v>1228</v>
      </c>
      <c r="H736" s="12"/>
      <c r="I736" s="12"/>
      <c r="J736" s="12"/>
      <c r="K736" s="12">
        <f t="shared" si="152"/>
        <v>1228</v>
      </c>
      <c r="M736" s="10">
        <v>10</v>
      </c>
      <c r="N736" s="30"/>
      <c r="O736" s="31"/>
      <c r="P736" s="32"/>
      <c r="Q736" s="32"/>
      <c r="R736" s="32"/>
      <c r="S736" s="32">
        <f t="shared" si="153"/>
        <v>0</v>
      </c>
      <c r="T736" s="12"/>
      <c r="U736" s="12"/>
      <c r="V736" s="12"/>
      <c r="W736" s="12">
        <f t="shared" si="15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55"/>
        <v>0</v>
      </c>
      <c r="AF736" s="12"/>
      <c r="AG736" s="12"/>
      <c r="AH736" s="12"/>
      <c r="AI736" s="12">
        <f t="shared" si="156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76</v>
      </c>
      <c r="C737" s="31">
        <f t="shared" si="157"/>
        <v>6507</v>
      </c>
      <c r="D737" s="32">
        <f>73868+614*4+6740+5960+1582+2010+2496+1374</f>
        <v>96486</v>
      </c>
      <c r="E737" s="32"/>
      <c r="F737" s="32"/>
      <c r="G737" s="32">
        <f t="shared" si="151"/>
        <v>96486</v>
      </c>
      <c r="H737" s="12"/>
      <c r="I737" s="12">
        <v>222</v>
      </c>
      <c r="J737" s="12"/>
      <c r="K737" s="12">
        <f t="shared" si="152"/>
        <v>96708</v>
      </c>
      <c r="M737" s="10">
        <v>11</v>
      </c>
      <c r="N737" s="30"/>
      <c r="O737" s="31"/>
      <c r="P737" s="32"/>
      <c r="Q737" s="32"/>
      <c r="R737" s="32"/>
      <c r="S737" s="32">
        <f t="shared" si="153"/>
        <v>0</v>
      </c>
      <c r="T737" s="12"/>
      <c r="U737" s="12"/>
      <c r="V737" s="12"/>
      <c r="W737" s="12">
        <f t="shared" si="154"/>
        <v>0</v>
      </c>
      <c r="Y737" s="10">
        <v>11</v>
      </c>
      <c r="Z737" s="30"/>
      <c r="AA737" s="31"/>
      <c r="AB737" s="32"/>
      <c r="AC737" s="32"/>
      <c r="AD737" s="32"/>
      <c r="AE737" s="32">
        <f t="shared" ref="AE737:AE765" si="160">SUM(AB737:AC737)</f>
        <v>0</v>
      </c>
      <c r="AF737" s="12"/>
      <c r="AG737" s="12"/>
      <c r="AH737" s="12"/>
      <c r="AI737" s="12">
        <f t="shared" si="156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76</v>
      </c>
      <c r="C738" s="31">
        <f t="shared" si="157"/>
        <v>6508</v>
      </c>
      <c r="D738" s="32">
        <f>2504+38</f>
        <v>2542</v>
      </c>
      <c r="E738" s="32"/>
      <c r="F738" s="32"/>
      <c r="G738" s="32">
        <f t="shared" si="151"/>
        <v>2542</v>
      </c>
      <c r="H738" s="12"/>
      <c r="I738" s="12"/>
      <c r="J738" s="10"/>
      <c r="K738" s="12">
        <f t="shared" si="152"/>
        <v>2542</v>
      </c>
      <c r="M738" s="10">
        <v>12</v>
      </c>
      <c r="N738" s="30"/>
      <c r="O738" s="31"/>
      <c r="P738" s="32"/>
      <c r="Q738" s="32"/>
      <c r="R738" s="32"/>
      <c r="S738" s="32">
        <f t="shared" si="153"/>
        <v>0</v>
      </c>
      <c r="T738" s="12"/>
      <c r="U738" s="12"/>
      <c r="V738" s="12"/>
      <c r="W738" s="12">
        <f t="shared" si="15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60"/>
        <v>0</v>
      </c>
      <c r="AF738" s="12"/>
      <c r="AG738" s="12"/>
      <c r="AH738" s="12"/>
      <c r="AI738" s="12">
        <f t="shared" si="156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76</v>
      </c>
      <c r="C739" s="31">
        <f t="shared" si="157"/>
        <v>6509</v>
      </c>
      <c r="D739" s="32">
        <f>1878+28</f>
        <v>1906</v>
      </c>
      <c r="E739" s="32"/>
      <c r="F739" s="32"/>
      <c r="G739" s="32">
        <f t="shared" si="151"/>
        <v>1906</v>
      </c>
      <c r="H739" s="12"/>
      <c r="I739" s="12"/>
      <c r="J739" s="12"/>
      <c r="K739" s="12">
        <f t="shared" si="152"/>
        <v>1906</v>
      </c>
      <c r="M739" s="10">
        <v>13</v>
      </c>
      <c r="N739" s="30"/>
      <c r="O739" s="31"/>
      <c r="P739" s="32"/>
      <c r="Q739" s="32"/>
      <c r="R739" s="32"/>
      <c r="S739" s="32">
        <f t="shared" si="153"/>
        <v>0</v>
      </c>
      <c r="T739" s="12"/>
      <c r="U739" s="12"/>
      <c r="V739" s="12"/>
      <c r="W739" s="12">
        <f t="shared" si="15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60"/>
        <v>0</v>
      </c>
      <c r="AF739" s="12"/>
      <c r="AG739" s="12"/>
      <c r="AH739" s="12"/>
      <c r="AI739" s="12">
        <f t="shared" si="156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76</v>
      </c>
      <c r="C740" s="31">
        <f t="shared" si="157"/>
        <v>6510</v>
      </c>
      <c r="D740" s="32">
        <f>1252+1192+38</f>
        <v>2482</v>
      </c>
      <c r="E740" s="32"/>
      <c r="F740" s="32"/>
      <c r="G740" s="32">
        <f t="shared" si="151"/>
        <v>2482</v>
      </c>
      <c r="H740" s="12"/>
      <c r="I740" s="12"/>
      <c r="J740" s="12"/>
      <c r="K740" s="12">
        <f t="shared" si="152"/>
        <v>2482</v>
      </c>
      <c r="M740" s="10">
        <v>14</v>
      </c>
      <c r="N740" s="30"/>
      <c r="O740" s="31"/>
      <c r="P740" s="32"/>
      <c r="Q740" s="32"/>
      <c r="R740" s="32"/>
      <c r="S740" s="32">
        <f t="shared" si="153"/>
        <v>0</v>
      </c>
      <c r="T740" s="12"/>
      <c r="U740" s="12"/>
      <c r="V740" s="12"/>
      <c r="W740" s="12">
        <f t="shared" si="15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60"/>
        <v>0</v>
      </c>
      <c r="AF740" s="12"/>
      <c r="AG740" s="12"/>
      <c r="AH740" s="12"/>
      <c r="AI740" s="12">
        <f t="shared" si="156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76</v>
      </c>
      <c r="C741" s="31">
        <f t="shared" si="157"/>
        <v>6511</v>
      </c>
      <c r="D741" s="32">
        <f>1252+596+28</f>
        <v>1876</v>
      </c>
      <c r="E741" s="32"/>
      <c r="F741" s="32"/>
      <c r="G741" s="32">
        <f t="shared" si="151"/>
        <v>1876</v>
      </c>
      <c r="H741" s="12"/>
      <c r="I741" s="12"/>
      <c r="J741" s="12"/>
      <c r="K741" s="12">
        <f t="shared" si="152"/>
        <v>1876</v>
      </c>
      <c r="M741" s="10">
        <v>15</v>
      </c>
      <c r="N741" s="30"/>
      <c r="O741" s="31"/>
      <c r="P741" s="32"/>
      <c r="Q741" s="32"/>
      <c r="R741" s="32"/>
      <c r="S741" s="32">
        <f t="shared" si="153"/>
        <v>0</v>
      </c>
      <c r="T741" s="12"/>
      <c r="U741" s="12"/>
      <c r="V741" s="12"/>
      <c r="W741" s="12">
        <f t="shared" si="15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60"/>
        <v>0</v>
      </c>
      <c r="AF741" s="12"/>
      <c r="AG741" s="12"/>
      <c r="AH741" s="12"/>
      <c r="AI741" s="12">
        <f t="shared" si="156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76</v>
      </c>
      <c r="C742" s="31">
        <f t="shared" si="157"/>
        <v>6512</v>
      </c>
      <c r="D742" s="32">
        <f>3130+48</f>
        <v>3178</v>
      </c>
      <c r="E742" s="32"/>
      <c r="F742" s="32"/>
      <c r="G742" s="32">
        <f t="shared" si="151"/>
        <v>3178</v>
      </c>
      <c r="H742" s="12"/>
      <c r="I742" s="12"/>
      <c r="J742" s="12"/>
      <c r="K742" s="12">
        <f t="shared" si="152"/>
        <v>3178</v>
      </c>
      <c r="M742" s="10">
        <v>16</v>
      </c>
      <c r="N742" s="30"/>
      <c r="O742" s="31"/>
      <c r="P742" s="32"/>
      <c r="Q742" s="32"/>
      <c r="R742" s="32"/>
      <c r="S742" s="32">
        <f t="shared" si="153"/>
        <v>0</v>
      </c>
      <c r="T742" s="12"/>
      <c r="U742" s="12"/>
      <c r="V742" s="12"/>
      <c r="W742" s="12">
        <f t="shared" si="154"/>
        <v>0</v>
      </c>
      <c r="Y742" s="10">
        <v>16</v>
      </c>
      <c r="Z742" s="30"/>
      <c r="AA742" s="31"/>
      <c r="AB742" s="32"/>
      <c r="AC742" s="32"/>
      <c r="AD742" s="32"/>
      <c r="AE742" s="32">
        <f t="shared" si="160"/>
        <v>0</v>
      </c>
      <c r="AF742" s="12"/>
      <c r="AG742" s="12"/>
      <c r="AH742" s="12"/>
      <c r="AI742" s="12">
        <f t="shared" si="156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76</v>
      </c>
      <c r="C743" s="31">
        <f t="shared" si="157"/>
        <v>6513</v>
      </c>
      <c r="D743" s="32">
        <f>1252+19</f>
        <v>1271</v>
      </c>
      <c r="E743" s="32"/>
      <c r="F743" s="32"/>
      <c r="G743" s="32">
        <f t="shared" si="151"/>
        <v>1271</v>
      </c>
      <c r="H743" s="12"/>
      <c r="I743" s="12"/>
      <c r="J743" s="12"/>
      <c r="K743" s="12">
        <f t="shared" si="152"/>
        <v>1271</v>
      </c>
      <c r="M743" s="10">
        <v>17</v>
      </c>
      <c r="N743" s="30"/>
      <c r="O743" s="31"/>
      <c r="P743" s="35"/>
      <c r="Q743" s="32"/>
      <c r="R743" s="32"/>
      <c r="S743" s="32">
        <f t="shared" si="153"/>
        <v>0</v>
      </c>
      <c r="T743" s="12"/>
      <c r="U743" s="12"/>
      <c r="V743" s="12"/>
      <c r="W743" s="12">
        <f t="shared" si="15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60"/>
        <v>0</v>
      </c>
      <c r="AF743" s="12"/>
      <c r="AG743" s="12"/>
      <c r="AH743" s="12"/>
      <c r="AI743" s="12">
        <f t="shared" si="156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76</v>
      </c>
      <c r="C744" s="31">
        <f t="shared" si="157"/>
        <v>6514</v>
      </c>
      <c r="D744" s="32">
        <f>1252+19</f>
        <v>1271</v>
      </c>
      <c r="E744" s="32"/>
      <c r="F744" s="32"/>
      <c r="G744" s="32">
        <f t="shared" si="151"/>
        <v>1271</v>
      </c>
      <c r="H744" s="12"/>
      <c r="I744" s="12"/>
      <c r="J744" s="12"/>
      <c r="K744" s="12">
        <f t="shared" si="152"/>
        <v>1271</v>
      </c>
      <c r="M744" s="10">
        <v>18</v>
      </c>
      <c r="N744" s="30"/>
      <c r="O744" s="31"/>
      <c r="P744" s="32"/>
      <c r="Q744" s="32"/>
      <c r="R744" s="32"/>
      <c r="S744" s="32">
        <f t="shared" si="153"/>
        <v>0</v>
      </c>
      <c r="T744" s="12"/>
      <c r="U744" s="12"/>
      <c r="V744" s="12"/>
      <c r="W744" s="12">
        <f t="shared" si="154"/>
        <v>0</v>
      </c>
      <c r="Y744" s="10">
        <v>18</v>
      </c>
      <c r="Z744" s="30"/>
      <c r="AB744" s="32"/>
      <c r="AC744" s="32"/>
      <c r="AD744" s="32"/>
      <c r="AE744" s="32">
        <f t="shared" si="160"/>
        <v>0</v>
      </c>
      <c r="AF744" s="12"/>
      <c r="AG744" s="12"/>
      <c r="AH744" s="12"/>
      <c r="AI744" s="12">
        <f t="shared" si="156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76</v>
      </c>
      <c r="C745" s="31">
        <f t="shared" si="157"/>
        <v>6515</v>
      </c>
      <c r="D745" s="32">
        <f>3756+1228+1192+76</f>
        <v>6252</v>
      </c>
      <c r="E745" s="32"/>
      <c r="F745" s="32"/>
      <c r="G745" s="32">
        <f t="shared" si="151"/>
        <v>6252</v>
      </c>
      <c r="H745" s="12"/>
      <c r="I745" s="12"/>
      <c r="J745" s="12"/>
      <c r="K745" s="12">
        <f t="shared" si="152"/>
        <v>6252</v>
      </c>
      <c r="M745" s="10">
        <v>19</v>
      </c>
      <c r="N745" s="30"/>
      <c r="O745" s="31"/>
      <c r="P745" s="32"/>
      <c r="Q745" s="32"/>
      <c r="R745" s="32"/>
      <c r="S745" s="32">
        <f t="shared" si="153"/>
        <v>0</v>
      </c>
      <c r="T745" s="12"/>
      <c r="U745" s="12"/>
      <c r="V745" s="12"/>
      <c r="W745" s="12">
        <f t="shared" si="15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60"/>
        <v>0</v>
      </c>
      <c r="AF745" s="12"/>
      <c r="AG745" s="12"/>
      <c r="AH745" s="12"/>
      <c r="AI745" s="12">
        <f t="shared" si="156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76</v>
      </c>
      <c r="C746" s="31">
        <f t="shared" si="157"/>
        <v>6516</v>
      </c>
      <c r="D746" s="32">
        <f>1252+596+28</f>
        <v>1876</v>
      </c>
      <c r="E746" s="32"/>
      <c r="F746" s="32"/>
      <c r="G746" s="32">
        <f t="shared" si="151"/>
        <v>1876</v>
      </c>
      <c r="H746" s="12"/>
      <c r="I746" s="12"/>
      <c r="J746" s="12"/>
      <c r="K746" s="12">
        <f t="shared" si="152"/>
        <v>1876</v>
      </c>
      <c r="M746" s="10">
        <v>20</v>
      </c>
      <c r="N746" s="30"/>
      <c r="O746" s="31"/>
      <c r="P746" s="32"/>
      <c r="Q746" s="32"/>
      <c r="R746" s="32"/>
      <c r="S746" s="32">
        <f t="shared" si="153"/>
        <v>0</v>
      </c>
      <c r="T746" s="12"/>
      <c r="U746" s="12"/>
      <c r="V746" s="12"/>
      <c r="W746" s="12">
        <f t="shared" si="15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160"/>
        <v>0</v>
      </c>
      <c r="AF746" s="12"/>
      <c r="AG746" s="12"/>
      <c r="AH746" s="12"/>
      <c r="AI746" s="12">
        <f t="shared" si="156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76</v>
      </c>
      <c r="C747" s="31">
        <f t="shared" si="157"/>
        <v>6517</v>
      </c>
      <c r="D747" s="32">
        <f>6260+95</f>
        <v>6355</v>
      </c>
      <c r="E747" s="32"/>
      <c r="F747" s="32"/>
      <c r="G747" s="32">
        <f t="shared" si="151"/>
        <v>6355</v>
      </c>
      <c r="H747" s="10"/>
      <c r="I747" s="10"/>
      <c r="J747" s="10"/>
      <c r="K747" s="12">
        <f t="shared" si="152"/>
        <v>6355</v>
      </c>
      <c r="M747" s="10">
        <v>21</v>
      </c>
      <c r="N747" s="30"/>
      <c r="P747" s="46"/>
      <c r="Q747" s="31"/>
      <c r="R747" s="31"/>
      <c r="S747" s="32">
        <f t="shared" si="153"/>
        <v>0</v>
      </c>
      <c r="T747" s="10"/>
      <c r="U747" s="10"/>
      <c r="V747" s="10"/>
      <c r="W747" s="12">
        <f t="shared" si="154"/>
        <v>0</v>
      </c>
      <c r="Y747" s="10">
        <v>21</v>
      </c>
      <c r="Z747" s="30"/>
      <c r="AB747" s="46"/>
      <c r="AC747" s="31"/>
      <c r="AD747" s="31"/>
      <c r="AE747" s="32">
        <f t="shared" si="160"/>
        <v>0</v>
      </c>
      <c r="AF747" s="10"/>
      <c r="AG747" s="10"/>
      <c r="AH747" s="10"/>
      <c r="AI747" s="12">
        <f t="shared" si="156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76</v>
      </c>
      <c r="C748" s="31">
        <f t="shared" si="157"/>
        <v>6518</v>
      </c>
      <c r="D748" s="32">
        <f>18260+1005+832</f>
        <v>20097</v>
      </c>
      <c r="E748" s="32"/>
      <c r="F748" s="32"/>
      <c r="G748" s="32">
        <f t="shared" si="151"/>
        <v>20097</v>
      </c>
      <c r="H748" s="10"/>
      <c r="I748" s="10"/>
      <c r="J748" s="10"/>
      <c r="K748" s="12">
        <f t="shared" si="152"/>
        <v>20097</v>
      </c>
      <c r="M748" s="10">
        <v>22</v>
      </c>
      <c r="N748" s="30"/>
      <c r="O748" s="31"/>
      <c r="P748" s="45"/>
      <c r="Q748" s="31"/>
      <c r="R748" s="31"/>
      <c r="S748" s="32">
        <f t="shared" si="153"/>
        <v>0</v>
      </c>
      <c r="T748" s="10"/>
      <c r="U748" s="10"/>
      <c r="V748" s="10"/>
      <c r="W748" s="12">
        <f t="shared" si="15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60"/>
        <v>0</v>
      </c>
      <c r="AF748" s="10"/>
      <c r="AG748" s="10"/>
      <c r="AH748" s="10"/>
      <c r="AI748" s="12">
        <f t="shared" si="156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 t="s">
        <v>76</v>
      </c>
      <c r="C749" s="31">
        <f t="shared" si="157"/>
        <v>6519</v>
      </c>
      <c r="D749" s="32">
        <f>6260+7304</f>
        <v>13564</v>
      </c>
      <c r="E749" s="32"/>
      <c r="F749" s="32"/>
      <c r="G749" s="32">
        <f t="shared" si="151"/>
        <v>13564</v>
      </c>
      <c r="H749" s="10"/>
      <c r="I749" s="10"/>
      <c r="J749" s="12"/>
      <c r="K749" s="12">
        <f t="shared" si="152"/>
        <v>13564</v>
      </c>
      <c r="M749" s="10">
        <v>23</v>
      </c>
      <c r="N749" s="30"/>
      <c r="O749" s="31"/>
      <c r="P749" s="47"/>
      <c r="Q749" s="31"/>
      <c r="S749" s="32">
        <f t="shared" si="153"/>
        <v>0</v>
      </c>
      <c r="T749" s="10"/>
      <c r="U749" s="10"/>
      <c r="V749" s="10"/>
      <c r="W749" s="12">
        <f t="shared" si="154"/>
        <v>0</v>
      </c>
      <c r="Y749" s="10">
        <v>23</v>
      </c>
      <c r="Z749" s="30"/>
      <c r="AA749" s="31"/>
      <c r="AB749" s="47"/>
      <c r="AE749" s="32">
        <f t="shared" si="160"/>
        <v>0</v>
      </c>
      <c r="AF749" s="10"/>
      <c r="AG749" s="10"/>
      <c r="AH749" s="10"/>
      <c r="AI749" s="12">
        <f t="shared" si="156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 t="s">
        <v>76</v>
      </c>
      <c r="C750" s="31">
        <f t="shared" si="157"/>
        <v>6520</v>
      </c>
      <c r="D750" s="32">
        <f>1878+416+28</f>
        <v>2322</v>
      </c>
      <c r="E750" s="32"/>
      <c r="F750" s="32"/>
      <c r="G750" s="32">
        <f t="shared" si="151"/>
        <v>2322</v>
      </c>
      <c r="H750" s="10"/>
      <c r="I750" s="10"/>
      <c r="J750" s="10"/>
      <c r="K750" s="12">
        <f t="shared" si="152"/>
        <v>2322</v>
      </c>
      <c r="M750" s="10">
        <v>24</v>
      </c>
      <c r="N750" s="30"/>
      <c r="O750" s="31"/>
      <c r="P750" s="47"/>
      <c r="Q750" s="31"/>
      <c r="R750" s="31"/>
      <c r="S750" s="32">
        <f t="shared" si="153"/>
        <v>0</v>
      </c>
      <c r="T750" s="10"/>
      <c r="U750" s="10"/>
      <c r="V750" s="10"/>
      <c r="W750" s="12">
        <f t="shared" si="15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60"/>
        <v>0</v>
      </c>
      <c r="AF750" s="10"/>
      <c r="AG750" s="10"/>
      <c r="AH750" s="10"/>
      <c r="AI750" s="12">
        <f t="shared" si="156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 t="s">
        <v>28</v>
      </c>
      <c r="D751" s="32"/>
      <c r="E751" s="32"/>
      <c r="F751" s="32"/>
      <c r="G751" s="32">
        <f t="shared" si="151"/>
        <v>0</v>
      </c>
      <c r="H751" s="10"/>
      <c r="I751" s="10"/>
      <c r="J751" s="10"/>
      <c r="K751" s="12">
        <f t="shared" si="152"/>
        <v>0</v>
      </c>
      <c r="M751" s="10">
        <v>25</v>
      </c>
      <c r="N751" s="30"/>
      <c r="O751" s="31"/>
      <c r="P751" s="47"/>
      <c r="Q751" s="31"/>
      <c r="R751" s="31"/>
      <c r="S751" s="32">
        <f t="shared" si="153"/>
        <v>0</v>
      </c>
      <c r="T751" s="10"/>
      <c r="U751" s="10"/>
      <c r="V751" s="10"/>
      <c r="W751" s="12">
        <f t="shared" si="15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60"/>
        <v>0</v>
      </c>
      <c r="AF751" s="10"/>
      <c r="AG751" s="10"/>
      <c r="AH751" s="10"/>
      <c r="AI751" s="12">
        <f t="shared" si="156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151"/>
        <v>0</v>
      </c>
      <c r="H752" s="10"/>
      <c r="I752" s="10"/>
      <c r="J752" s="10"/>
      <c r="K752" s="12">
        <f t="shared" si="152"/>
        <v>0</v>
      </c>
      <c r="M752" s="10">
        <v>26</v>
      </c>
      <c r="N752" s="30"/>
      <c r="P752" s="47"/>
      <c r="Q752" s="31"/>
      <c r="R752" s="31"/>
      <c r="S752" s="32">
        <f t="shared" si="153"/>
        <v>0</v>
      </c>
      <c r="T752" s="10"/>
      <c r="U752" s="10"/>
      <c r="V752" s="10"/>
      <c r="W752" s="12">
        <f t="shared" si="15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60"/>
        <v>0</v>
      </c>
      <c r="AF752" s="10"/>
      <c r="AG752" s="10"/>
      <c r="AH752" s="10"/>
      <c r="AI752" s="12">
        <f t="shared" si="156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151"/>
        <v>0</v>
      </c>
      <c r="H753" s="10"/>
      <c r="I753" s="10"/>
      <c r="J753" s="10"/>
      <c r="K753" s="12">
        <f t="shared" si="152"/>
        <v>0</v>
      </c>
      <c r="M753" s="10">
        <v>27</v>
      </c>
      <c r="N753" s="30"/>
      <c r="O753" s="31"/>
      <c r="P753" s="47"/>
      <c r="Q753" s="31"/>
      <c r="R753" s="31"/>
      <c r="S753" s="32">
        <f t="shared" si="153"/>
        <v>0</v>
      </c>
      <c r="T753" s="10"/>
      <c r="U753" s="10"/>
      <c r="V753" s="10"/>
      <c r="W753" s="12">
        <f t="shared" si="15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60"/>
        <v>0</v>
      </c>
      <c r="AF753" s="10"/>
      <c r="AG753" s="10"/>
      <c r="AH753" s="10"/>
      <c r="AI753" s="12">
        <f t="shared" si="156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57"/>
      <c r="D754" s="32"/>
      <c r="E754" s="32"/>
      <c r="F754" s="32"/>
      <c r="G754" s="32">
        <f t="shared" si="151"/>
        <v>0</v>
      </c>
      <c r="H754" s="10"/>
      <c r="I754" s="10"/>
      <c r="J754" s="10"/>
      <c r="K754" s="12">
        <f t="shared" si="152"/>
        <v>0</v>
      </c>
      <c r="M754" s="10">
        <v>28</v>
      </c>
      <c r="N754" s="30"/>
      <c r="O754" s="31"/>
      <c r="P754" s="47"/>
      <c r="Q754" s="31"/>
      <c r="R754" s="31"/>
      <c r="S754" s="32">
        <f t="shared" si="153"/>
        <v>0</v>
      </c>
      <c r="T754" s="10"/>
      <c r="U754" s="10"/>
      <c r="V754" s="10"/>
      <c r="W754" s="12">
        <f t="shared" si="15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60"/>
        <v>0</v>
      </c>
      <c r="AF754" s="10"/>
      <c r="AG754" s="10"/>
      <c r="AH754" s="10"/>
      <c r="AI754" s="12">
        <f t="shared" si="156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D755" s="32"/>
      <c r="E755" s="32"/>
      <c r="F755" s="32"/>
      <c r="G755" s="32">
        <f t="shared" si="151"/>
        <v>0</v>
      </c>
      <c r="H755" s="10"/>
      <c r="I755" s="10"/>
      <c r="J755" s="10"/>
      <c r="K755" s="12">
        <f t="shared" si="152"/>
        <v>0</v>
      </c>
      <c r="M755" s="10">
        <v>29</v>
      </c>
      <c r="N755" s="30"/>
      <c r="O755" s="31"/>
      <c r="P755" s="47"/>
      <c r="Q755" s="31"/>
      <c r="R755" s="31"/>
      <c r="S755" s="32">
        <f t="shared" si="153"/>
        <v>0</v>
      </c>
      <c r="T755" s="10"/>
      <c r="U755" s="10"/>
      <c r="V755" s="10"/>
      <c r="W755" s="12">
        <f t="shared" si="15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60"/>
        <v>0</v>
      </c>
      <c r="AF755" s="10"/>
      <c r="AG755" s="10"/>
      <c r="AH755" s="10"/>
      <c r="AI755" s="12">
        <f t="shared" si="156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11"/>
      <c r="D756" s="32"/>
      <c r="E756" s="32"/>
      <c r="F756" s="32"/>
      <c r="G756" s="32">
        <f t="shared" si="151"/>
        <v>0</v>
      </c>
      <c r="H756" s="10"/>
      <c r="I756" s="10"/>
      <c r="J756" s="10"/>
      <c r="K756" s="12">
        <f t="shared" si="152"/>
        <v>0</v>
      </c>
      <c r="M756" s="10">
        <v>30</v>
      </c>
      <c r="N756" s="30"/>
      <c r="P756" s="47"/>
      <c r="Q756" s="31"/>
      <c r="R756" s="31"/>
      <c r="S756" s="32">
        <f t="shared" si="153"/>
        <v>0</v>
      </c>
      <c r="T756" s="10"/>
      <c r="U756" s="10"/>
      <c r="V756" s="10"/>
      <c r="W756" s="12">
        <f t="shared" si="15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60"/>
        <v>0</v>
      </c>
      <c r="AF756" s="10"/>
      <c r="AG756" s="10"/>
      <c r="AH756" s="10"/>
      <c r="AI756" s="12">
        <f t="shared" si="156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151"/>
        <v>0</v>
      </c>
      <c r="H757" s="10"/>
      <c r="I757" s="10"/>
      <c r="J757" s="10"/>
      <c r="K757" s="12">
        <f t="shared" si="152"/>
        <v>0</v>
      </c>
      <c r="M757" s="10">
        <v>31</v>
      </c>
      <c r="N757" s="30"/>
      <c r="O757" s="31"/>
      <c r="P757" s="47"/>
      <c r="Q757" s="31"/>
      <c r="R757" s="31"/>
      <c r="S757" s="32">
        <f t="shared" si="153"/>
        <v>0</v>
      </c>
      <c r="T757" s="10"/>
      <c r="U757" s="10"/>
      <c r="V757" s="10"/>
      <c r="W757" s="12">
        <f t="shared" si="15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60"/>
        <v>0</v>
      </c>
      <c r="AF757" s="10"/>
      <c r="AG757" s="10"/>
      <c r="AH757" s="10"/>
      <c r="AI757" s="12">
        <f t="shared" si="156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11"/>
      <c r="D758" s="32"/>
      <c r="E758" s="32"/>
      <c r="F758" s="32"/>
      <c r="G758" s="32">
        <f t="shared" si="151"/>
        <v>0</v>
      </c>
      <c r="H758" s="10"/>
      <c r="I758" s="10"/>
      <c r="J758" s="10"/>
      <c r="K758" s="12">
        <f t="shared" si="152"/>
        <v>0</v>
      </c>
      <c r="M758" s="10">
        <v>32</v>
      </c>
      <c r="N758" s="30"/>
      <c r="O758" s="31"/>
      <c r="P758" s="47"/>
      <c r="Q758" s="31"/>
      <c r="R758" s="31"/>
      <c r="S758" s="32">
        <f t="shared" si="153"/>
        <v>0</v>
      </c>
      <c r="T758" s="10"/>
      <c r="U758" s="10"/>
      <c r="V758" s="10"/>
      <c r="W758" s="12">
        <f t="shared" si="15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60"/>
        <v>0</v>
      </c>
      <c r="AF758" s="10"/>
      <c r="AG758" s="10"/>
      <c r="AH758" s="10"/>
      <c r="AI758" s="12">
        <f t="shared" si="156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11"/>
      <c r="D759" s="32"/>
      <c r="E759" s="32"/>
      <c r="F759" s="32"/>
      <c r="G759" s="32">
        <f t="shared" si="151"/>
        <v>0</v>
      </c>
      <c r="H759" s="10"/>
      <c r="I759" s="10"/>
      <c r="J759" s="10"/>
      <c r="K759" s="12">
        <f t="shared" si="152"/>
        <v>0</v>
      </c>
      <c r="M759" s="10">
        <v>33</v>
      </c>
      <c r="N759" s="30"/>
      <c r="O759" s="31"/>
      <c r="P759" s="47"/>
      <c r="Q759" s="31"/>
      <c r="R759" s="31"/>
      <c r="S759" s="32">
        <f t="shared" si="153"/>
        <v>0</v>
      </c>
      <c r="T759" s="10"/>
      <c r="U759" s="10"/>
      <c r="V759" s="10"/>
      <c r="W759" s="12">
        <f t="shared" si="15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60"/>
        <v>0</v>
      </c>
      <c r="AF759" s="10"/>
      <c r="AG759" s="10"/>
      <c r="AH759" s="10"/>
      <c r="AI759" s="12">
        <f t="shared" si="156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11"/>
      <c r="D760" s="32"/>
      <c r="E760" s="32"/>
      <c r="F760" s="32"/>
      <c r="G760" s="32">
        <f t="shared" si="151"/>
        <v>0</v>
      </c>
      <c r="H760" s="10"/>
      <c r="I760" s="10"/>
      <c r="J760" s="10"/>
      <c r="K760" s="12">
        <f t="shared" si="152"/>
        <v>0</v>
      </c>
      <c r="M760" s="10">
        <v>34</v>
      </c>
      <c r="N760" s="30"/>
      <c r="O760" s="31"/>
      <c r="P760" s="47"/>
      <c r="Q760" s="31"/>
      <c r="R760" s="31"/>
      <c r="S760" s="32">
        <f t="shared" si="153"/>
        <v>0</v>
      </c>
      <c r="T760" s="10"/>
      <c r="U760" s="10"/>
      <c r="V760" s="10"/>
      <c r="W760" s="12">
        <f t="shared" si="15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60"/>
        <v>0</v>
      </c>
      <c r="AF760" s="10"/>
      <c r="AG760" s="10"/>
      <c r="AH760" s="10"/>
      <c r="AI760" s="12">
        <f t="shared" si="156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1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53"/>
        <v>0</v>
      </c>
      <c r="T761" s="10"/>
      <c r="U761" s="10"/>
      <c r="V761" s="10"/>
      <c r="W761" s="12">
        <f t="shared" si="15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60"/>
        <v>0</v>
      </c>
      <c r="AF761" s="10"/>
      <c r="AG761" s="10"/>
      <c r="AH761" s="10"/>
      <c r="AI761" s="12">
        <f t="shared" si="156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1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53"/>
        <v>0</v>
      </c>
      <c r="T762" s="10"/>
      <c r="U762" s="10"/>
      <c r="V762" s="10"/>
      <c r="W762" s="12">
        <f t="shared" si="15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60"/>
        <v>0</v>
      </c>
      <c r="AF762" s="10"/>
      <c r="AG762" s="10"/>
      <c r="AH762" s="10"/>
      <c r="AI762" s="12">
        <f t="shared" si="156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1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53"/>
        <v>0</v>
      </c>
      <c r="T763" s="10"/>
      <c r="U763" s="10"/>
      <c r="V763" s="10"/>
      <c r="W763" s="12">
        <f t="shared" si="15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60"/>
        <v>0</v>
      </c>
      <c r="AF763" s="10"/>
      <c r="AG763" s="10"/>
      <c r="AH763" s="10"/>
      <c r="AI763" s="12">
        <f t="shared" si="156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53"/>
        <v>0</v>
      </c>
      <c r="T764" s="10"/>
      <c r="U764" s="10"/>
      <c r="V764" s="10"/>
      <c r="W764" s="12">
        <f t="shared" si="15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60"/>
        <v>0</v>
      </c>
      <c r="AF764" s="10"/>
      <c r="AG764" s="10"/>
      <c r="AH764" s="10"/>
      <c r="AI764" s="12">
        <f t="shared" si="156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53"/>
        <v>0</v>
      </c>
      <c r="T765" s="10"/>
      <c r="U765" s="10"/>
      <c r="V765" s="10"/>
      <c r="W765" s="12">
        <f t="shared" si="15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60"/>
        <v>0</v>
      </c>
      <c r="AF765" s="10"/>
      <c r="AG765" s="10"/>
      <c r="AH765" s="10"/>
      <c r="AI765" s="12">
        <f t="shared" si="156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5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56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61">SUM(D767:E767)</f>
        <v>0</v>
      </c>
      <c r="H767" s="10"/>
      <c r="I767" s="10"/>
      <c r="J767" s="10"/>
      <c r="K767" s="12">
        <f t="shared" ref="K767" si="162">SUM(G767:J767)</f>
        <v>0</v>
      </c>
      <c r="M767" s="10"/>
      <c r="N767" s="30"/>
      <c r="O767" s="31"/>
      <c r="P767" s="47"/>
      <c r="Q767" s="31"/>
      <c r="R767" s="31"/>
      <c r="S767" s="32">
        <f t="shared" ref="S767" si="163">SUM(P767:Q767)</f>
        <v>0</v>
      </c>
      <c r="T767" s="10"/>
      <c r="U767" s="10"/>
      <c r="V767" s="10"/>
      <c r="W767" s="12">
        <f t="shared" si="154"/>
        <v>0</v>
      </c>
      <c r="Y767" s="10"/>
      <c r="Z767" s="30"/>
      <c r="AA767" s="31"/>
      <c r="AB767" s="47"/>
      <c r="AC767" s="31"/>
      <c r="AD767" s="31"/>
      <c r="AE767" s="32">
        <f t="shared" ref="AE767" si="164">SUM(AB767:AC767)</f>
        <v>0</v>
      </c>
      <c r="AF767" s="10"/>
      <c r="AG767" s="10"/>
      <c r="AH767" s="10"/>
      <c r="AI767" s="12">
        <f t="shared" si="156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5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56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197684</v>
      </c>
      <c r="E770" s="38">
        <f t="shared" ref="E770:F770" si="165">SUM(E727:E767)</f>
        <v>0</v>
      </c>
      <c r="F770" s="38">
        <f t="shared" si="165"/>
        <v>0</v>
      </c>
      <c r="G770" s="38">
        <f>SUM(G727:G769)</f>
        <v>197684</v>
      </c>
      <c r="H770" s="4"/>
      <c r="I770" s="39">
        <f>SUM(I727:I769)</f>
        <v>282</v>
      </c>
      <c r="J770" s="39">
        <f>SUM(J727:J769)</f>
        <v>0</v>
      </c>
      <c r="K770" s="40">
        <f>SUM(K727:K769)</f>
        <v>197966</v>
      </c>
      <c r="N770" s="57"/>
      <c r="O770" s="57"/>
      <c r="P770" s="38">
        <f>SUM(P727:P769)</f>
        <v>183020</v>
      </c>
      <c r="Q770" s="38">
        <f>SUM(Q727:Q751)</f>
        <v>-2025</v>
      </c>
      <c r="R770" s="38">
        <f>SUM(R727:R751)</f>
        <v>0</v>
      </c>
      <c r="S770" s="38">
        <f>SUM(S727:S769)</f>
        <v>180995</v>
      </c>
      <c r="T770" s="4"/>
      <c r="U770" s="41">
        <f>SUM(U727:U769)</f>
        <v>20686.5</v>
      </c>
      <c r="V770" s="41">
        <f>SUM(V727:V751)</f>
        <v>0</v>
      </c>
      <c r="W770" s="42">
        <f>SUM(W727:W769)</f>
        <v>201681.5</v>
      </c>
      <c r="Z770" s="57"/>
      <c r="AA770" s="57"/>
      <c r="AB770" s="38">
        <f>SUM(AB727:AB769)</f>
        <v>359028</v>
      </c>
      <c r="AC770" s="38">
        <f>SUM(AC727:AC751)</f>
        <v>-1338</v>
      </c>
      <c r="AD770" s="38">
        <f>SUM(AD727:AD751)</f>
        <v>0</v>
      </c>
      <c r="AE770" s="38">
        <f>SUM(AE727:AE769)</f>
        <v>357690</v>
      </c>
      <c r="AF770" s="4"/>
      <c r="AG770" s="41">
        <f>SUM(AG727:AG769)</f>
        <v>37170</v>
      </c>
      <c r="AH770" s="41">
        <f>SUM(AH727:AH751)</f>
        <v>-2016</v>
      </c>
      <c r="AI770" s="42">
        <f>SUM(AI727:AI769)</f>
        <v>392844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29</v>
      </c>
      <c r="B773" s="57"/>
      <c r="C773" s="57"/>
      <c r="D773" s="57"/>
      <c r="E773" s="57"/>
      <c r="G773" s="57"/>
      <c r="M773" t="s">
        <v>29</v>
      </c>
      <c r="N773" s="57"/>
      <c r="O773" s="57"/>
      <c r="P773" s="57"/>
      <c r="Q773" s="57"/>
      <c r="R773" s="57"/>
      <c r="S773" s="57"/>
      <c r="Y773" t="s">
        <v>29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15</v>
      </c>
      <c r="B775" s="57"/>
      <c r="C775" s="57"/>
      <c r="D775" s="57"/>
      <c r="E775" s="57"/>
      <c r="G775" s="57"/>
      <c r="M775" s="4" t="s">
        <v>15</v>
      </c>
      <c r="N775" s="57"/>
      <c r="O775" s="57"/>
      <c r="P775" s="57"/>
      <c r="Q775" s="57"/>
      <c r="R775" s="57"/>
      <c r="S775" s="57"/>
      <c r="Y775" s="4" t="s">
        <v>15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16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16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16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78</v>
      </c>
      <c r="B778" s="20"/>
      <c r="C778" s="57"/>
      <c r="D778" s="57"/>
      <c r="E778" s="57"/>
      <c r="G778" s="57"/>
      <c r="I778" s="22" t="s">
        <v>17</v>
      </c>
      <c r="J778" s="23" t="s">
        <v>36</v>
      </c>
      <c r="K778" s="24"/>
      <c r="M778" s="21" t="s">
        <v>78</v>
      </c>
      <c r="N778" s="20"/>
      <c r="O778" s="57"/>
      <c r="P778" s="57"/>
      <c r="Q778" s="57"/>
      <c r="R778" s="57"/>
      <c r="S778" s="57"/>
      <c r="U778" s="22" t="s">
        <v>17</v>
      </c>
      <c r="V778" s="23" t="s">
        <v>33</v>
      </c>
      <c r="W778" s="24"/>
      <c r="Y778" s="21" t="s">
        <v>78</v>
      </c>
      <c r="Z778" s="20"/>
      <c r="AA778" s="57"/>
      <c r="AB778" s="57"/>
      <c r="AC778" s="57"/>
      <c r="AD778" s="57"/>
      <c r="AE778" s="57"/>
      <c r="AG778" s="22" t="s">
        <v>17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4" t="s">
        <v>18</v>
      </c>
      <c r="E780" s="124"/>
      <c r="F780" s="109"/>
      <c r="G780" s="27"/>
      <c r="I780" s="122" t="s">
        <v>19</v>
      </c>
      <c r="J780" s="123"/>
      <c r="K780" s="120" t="s">
        <v>20</v>
      </c>
      <c r="N780" s="25"/>
      <c r="O780" s="26"/>
      <c r="P780" s="124" t="s">
        <v>18</v>
      </c>
      <c r="Q780" s="124"/>
      <c r="R780" s="109"/>
      <c r="S780" s="27"/>
      <c r="U780" s="122" t="s">
        <v>19</v>
      </c>
      <c r="V780" s="123"/>
      <c r="W780" s="120" t="s">
        <v>20</v>
      </c>
      <c r="Z780" s="25"/>
      <c r="AA780" s="26"/>
      <c r="AB780" s="124" t="s">
        <v>18</v>
      </c>
      <c r="AC780" s="124"/>
      <c r="AD780" s="109"/>
      <c r="AE780" s="27"/>
      <c r="AG780" s="122" t="s">
        <v>19</v>
      </c>
      <c r="AH780" s="123"/>
      <c r="AI780" s="120" t="s">
        <v>20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21</v>
      </c>
      <c r="C781" s="28" t="s">
        <v>22</v>
      </c>
      <c r="D781" s="79" t="s">
        <v>23</v>
      </c>
      <c r="E781" s="78" t="s">
        <v>24</v>
      </c>
      <c r="F781" s="80" t="s">
        <v>35</v>
      </c>
      <c r="G781" s="80" t="s">
        <v>25</v>
      </c>
      <c r="I781" s="29" t="s">
        <v>26</v>
      </c>
      <c r="J781" s="29" t="s">
        <v>27</v>
      </c>
      <c r="K781" s="121"/>
      <c r="N781" s="28" t="s">
        <v>21</v>
      </c>
      <c r="O781" s="28" t="s">
        <v>22</v>
      </c>
      <c r="P781" s="79" t="s">
        <v>23</v>
      </c>
      <c r="Q781" s="80" t="s">
        <v>24</v>
      </c>
      <c r="R781" s="80" t="s">
        <v>35</v>
      </c>
      <c r="S781" s="80" t="s">
        <v>25</v>
      </c>
      <c r="U781" s="29" t="s">
        <v>26</v>
      </c>
      <c r="V781" s="29" t="s">
        <v>27</v>
      </c>
      <c r="W781" s="121"/>
      <c r="Z781" s="28" t="s">
        <v>21</v>
      </c>
      <c r="AA781" s="28" t="s">
        <v>22</v>
      </c>
      <c r="AB781" s="79" t="s">
        <v>23</v>
      </c>
      <c r="AC781" s="80" t="s">
        <v>24</v>
      </c>
      <c r="AD781" s="80" t="s">
        <v>35</v>
      </c>
      <c r="AE781" s="80" t="s">
        <v>25</v>
      </c>
      <c r="AG781" s="29" t="s">
        <v>26</v>
      </c>
      <c r="AH781" s="29" t="s">
        <v>27</v>
      </c>
      <c r="AI781" s="121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79</v>
      </c>
      <c r="C782" s="31">
        <v>6521</v>
      </c>
      <c r="D782" s="32">
        <f>3756+596+66.5</f>
        <v>4418.5</v>
      </c>
      <c r="E782" s="32"/>
      <c r="F782" s="32"/>
      <c r="G782" s="32">
        <f t="shared" ref="G782:G815" si="166">SUM(D782:E782)</f>
        <v>4418.5</v>
      </c>
      <c r="H782" s="12"/>
      <c r="I782" s="12"/>
      <c r="J782" s="12"/>
      <c r="K782" s="12">
        <f t="shared" ref="K782:K815" si="167">SUM(G782:J782)</f>
        <v>4418.5</v>
      </c>
      <c r="M782" s="10">
        <v>1</v>
      </c>
      <c r="N782" s="30" t="s">
        <v>79</v>
      </c>
      <c r="O782" s="31">
        <v>6601</v>
      </c>
      <c r="P782" s="32">
        <f>1878+614</f>
        <v>2492</v>
      </c>
      <c r="Q782" s="32"/>
      <c r="R782" s="32"/>
      <c r="S782" s="32">
        <f>SUM(P782:Q782)</f>
        <v>2492</v>
      </c>
      <c r="T782" s="12"/>
      <c r="U782" s="12"/>
      <c r="V782" s="12"/>
      <c r="W782" s="12">
        <f>SUM(S782:V782)</f>
        <v>2492</v>
      </c>
      <c r="Y782" s="10">
        <v>1</v>
      </c>
      <c r="Z782" s="30" t="s">
        <v>79</v>
      </c>
      <c r="AA782" s="31">
        <v>6387</v>
      </c>
      <c r="AB782" s="32">
        <f>31300+11920+852+1664+458</f>
        <v>46194</v>
      </c>
      <c r="AC782" s="32">
        <v>-450</v>
      </c>
      <c r="AD782" s="32"/>
      <c r="AE782" s="32">
        <f>SUM(AB782:AC782)</f>
        <v>45744</v>
      </c>
      <c r="AF782" s="12"/>
      <c r="AG782" s="12">
        <f>240+486</f>
        <v>726</v>
      </c>
      <c r="AH782" s="12">
        <f>-420+-168</f>
        <v>-588</v>
      </c>
      <c r="AI782" s="12">
        <f>SUM(AE782:AH782)</f>
        <v>45882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79</v>
      </c>
      <c r="C783" s="31">
        <f>C782+1</f>
        <v>6522</v>
      </c>
      <c r="D783" s="32">
        <f>10016+152</f>
        <v>10168</v>
      </c>
      <c r="E783" s="32"/>
      <c r="F783" s="32"/>
      <c r="G783" s="32">
        <f t="shared" si="166"/>
        <v>10168</v>
      </c>
      <c r="H783" s="12"/>
      <c r="I783" s="12"/>
      <c r="J783" s="12"/>
      <c r="K783" s="12">
        <f t="shared" si="167"/>
        <v>10168</v>
      </c>
      <c r="M783" s="10">
        <v>2</v>
      </c>
      <c r="N783" s="30" t="s">
        <v>79</v>
      </c>
      <c r="O783" s="31">
        <f>O782+1</f>
        <v>6602</v>
      </c>
      <c r="P783" s="32">
        <f>626*90+614*8+596*20+832*2+229*3</f>
        <v>75523</v>
      </c>
      <c r="Q783" s="32"/>
      <c r="R783" s="32"/>
      <c r="S783" s="32">
        <f t="shared" ref="S783:S820" si="168">SUM(P783:Q783)</f>
        <v>75523</v>
      </c>
      <c r="T783" s="12"/>
      <c r="U783" s="12"/>
      <c r="V783" s="12"/>
      <c r="W783" s="12">
        <f t="shared" ref="W783:W823" si="169">SUM(S783:V783)</f>
        <v>75523</v>
      </c>
      <c r="Y783" s="10">
        <v>2</v>
      </c>
      <c r="Z783" s="30" t="s">
        <v>79</v>
      </c>
      <c r="AA783" s="31">
        <f>AA782+1</f>
        <v>6388</v>
      </c>
      <c r="AB783" s="32">
        <f>626*250+614*5+596*33+229*11</f>
        <v>181757</v>
      </c>
      <c r="AC783" s="32">
        <v>-1794</v>
      </c>
      <c r="AD783" s="32"/>
      <c r="AE783" s="32">
        <f t="shared" ref="AE783:AE791" si="170">SUM(AB783:AC783)</f>
        <v>179963</v>
      </c>
      <c r="AF783" s="12"/>
      <c r="AG783" s="12">
        <f>312+180</f>
        <v>492</v>
      </c>
      <c r="AH783" s="12"/>
      <c r="AI783" s="12">
        <f t="shared" ref="AI783:AI823" si="171">SUM(AE783:AH783)</f>
        <v>180455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79</v>
      </c>
      <c r="C784" s="31">
        <f t="shared" ref="C784:C798" si="172">C783+1</f>
        <v>6523</v>
      </c>
      <c r="D784" s="33">
        <f>2504+38</f>
        <v>2542</v>
      </c>
      <c r="E784" s="33"/>
      <c r="F784" s="33"/>
      <c r="G784" s="33">
        <f t="shared" si="166"/>
        <v>2542</v>
      </c>
      <c r="H784" s="34"/>
      <c r="I784" s="34"/>
      <c r="J784" s="34"/>
      <c r="K784" s="34">
        <f t="shared" si="167"/>
        <v>2542</v>
      </c>
      <c r="M784" s="10">
        <v>3</v>
      </c>
      <c r="N784" s="30" t="s">
        <v>79</v>
      </c>
      <c r="O784" s="31">
        <f t="shared" ref="O784:O799" si="173">O783+1</f>
        <v>6603</v>
      </c>
      <c r="P784" s="32">
        <f>626</f>
        <v>626</v>
      </c>
      <c r="Q784" s="32"/>
      <c r="R784" s="32"/>
      <c r="S784" s="32">
        <f t="shared" si="168"/>
        <v>626</v>
      </c>
      <c r="T784" s="12"/>
      <c r="U784" s="12"/>
      <c r="V784" s="12"/>
      <c r="W784" s="12">
        <f t="shared" si="169"/>
        <v>626</v>
      </c>
      <c r="Y784" s="10">
        <v>3</v>
      </c>
      <c r="Z784" s="30"/>
      <c r="AA784" s="11" t="s">
        <v>28</v>
      </c>
      <c r="AB784" s="33"/>
      <c r="AC784" s="33"/>
      <c r="AD784" s="32"/>
      <c r="AE784" s="32">
        <f t="shared" si="170"/>
        <v>0</v>
      </c>
      <c r="AF784" s="12"/>
      <c r="AG784" s="12"/>
      <c r="AH784" s="12"/>
      <c r="AI784" s="12">
        <f t="shared" si="171"/>
        <v>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79</v>
      </c>
      <c r="C785" s="31">
        <f t="shared" si="172"/>
        <v>6524</v>
      </c>
      <c r="D785" s="32">
        <f>2504+596</f>
        <v>3100</v>
      </c>
      <c r="E785" s="32"/>
      <c r="F785" s="32"/>
      <c r="G785" s="32">
        <f t="shared" si="166"/>
        <v>3100</v>
      </c>
      <c r="H785" s="12"/>
      <c r="I785" s="12">
        <v>13.5</v>
      </c>
      <c r="J785" s="12"/>
      <c r="K785" s="12">
        <f t="shared" si="167"/>
        <v>3113.5</v>
      </c>
      <c r="M785" s="10">
        <v>4</v>
      </c>
      <c r="N785" s="30" t="s">
        <v>79</v>
      </c>
      <c r="O785" s="31">
        <f t="shared" si="173"/>
        <v>6604</v>
      </c>
      <c r="P785" s="32">
        <f>6886+9.5*11</f>
        <v>6990.5</v>
      </c>
      <c r="Q785" s="32"/>
      <c r="R785" s="32"/>
      <c r="S785" s="32">
        <f t="shared" si="168"/>
        <v>6990.5</v>
      </c>
      <c r="T785" s="12"/>
      <c r="U785" s="12"/>
      <c r="V785" s="12"/>
      <c r="W785" s="12">
        <f t="shared" si="169"/>
        <v>6990.5</v>
      </c>
      <c r="Y785" s="10">
        <v>4</v>
      </c>
      <c r="Z785" s="30"/>
      <c r="AA785" s="31"/>
      <c r="AB785" s="32"/>
      <c r="AC785" s="32"/>
      <c r="AD785" s="32"/>
      <c r="AE785" s="32">
        <f t="shared" si="170"/>
        <v>0</v>
      </c>
      <c r="AF785" s="12"/>
      <c r="AH785" s="12"/>
      <c r="AI785" s="12">
        <f t="shared" si="171"/>
        <v>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79</v>
      </c>
      <c r="C786" s="31">
        <f t="shared" si="172"/>
        <v>6525</v>
      </c>
      <c r="D786" s="32">
        <f>3756+2980+104.5</f>
        <v>6840.5</v>
      </c>
      <c r="E786" s="32"/>
      <c r="F786" s="32"/>
      <c r="G786" s="32">
        <f t="shared" si="166"/>
        <v>6840.5</v>
      </c>
      <c r="H786" s="12"/>
      <c r="I786" s="12"/>
      <c r="J786" s="12"/>
      <c r="K786" s="12">
        <f t="shared" si="167"/>
        <v>6840.5</v>
      </c>
      <c r="M786" s="10">
        <v>5</v>
      </c>
      <c r="N786" s="30" t="s">
        <v>79</v>
      </c>
      <c r="O786" s="31">
        <f t="shared" si="173"/>
        <v>6605</v>
      </c>
      <c r="P786" s="32">
        <f>626*20+596*10+229</f>
        <v>18709</v>
      </c>
      <c r="Q786" s="32"/>
      <c r="R786" s="32"/>
      <c r="S786" s="32">
        <f t="shared" si="168"/>
        <v>18709</v>
      </c>
      <c r="T786" s="12"/>
      <c r="U786" s="12"/>
      <c r="V786" s="12"/>
      <c r="W786" s="12">
        <f t="shared" si="169"/>
        <v>18709</v>
      </c>
      <c r="Y786" s="10">
        <v>5</v>
      </c>
      <c r="Z786" s="30"/>
      <c r="AA786" s="31"/>
      <c r="AB786" s="32"/>
      <c r="AC786" s="32"/>
      <c r="AD786" s="32"/>
      <c r="AE786" s="32">
        <f t="shared" si="170"/>
        <v>0</v>
      </c>
      <c r="AF786" s="12"/>
      <c r="AG786" s="12"/>
      <c r="AH786" s="12"/>
      <c r="AI786" s="12">
        <f t="shared" si="171"/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79</v>
      </c>
      <c r="C787" s="31">
        <f t="shared" si="172"/>
        <v>6526</v>
      </c>
      <c r="D787" s="32">
        <f>6260+95</f>
        <v>6355</v>
      </c>
      <c r="E787" s="32"/>
      <c r="F787" s="32"/>
      <c r="G787" s="32">
        <f t="shared" si="166"/>
        <v>6355</v>
      </c>
      <c r="H787" s="12"/>
      <c r="I787" s="12">
        <v>18</v>
      </c>
      <c r="J787" s="12"/>
      <c r="K787" s="12">
        <f t="shared" si="167"/>
        <v>6373</v>
      </c>
      <c r="M787" s="10">
        <v>6</v>
      </c>
      <c r="N787" s="30" t="s">
        <v>79</v>
      </c>
      <c r="O787" s="31">
        <f t="shared" si="173"/>
        <v>6606</v>
      </c>
      <c r="P787" s="32">
        <f>626+9.5</f>
        <v>635.5</v>
      </c>
      <c r="Q787" s="32"/>
      <c r="R787" s="32"/>
      <c r="S787" s="32">
        <f t="shared" si="168"/>
        <v>635.5</v>
      </c>
      <c r="T787" s="12"/>
      <c r="U787" s="12"/>
      <c r="V787" s="10"/>
      <c r="W787" s="12">
        <f t="shared" si="169"/>
        <v>635.5</v>
      </c>
      <c r="Y787" s="10">
        <v>6</v>
      </c>
      <c r="Z787" s="30"/>
      <c r="AA787" s="31"/>
      <c r="AB787" s="32"/>
      <c r="AC787" s="32"/>
      <c r="AD787" s="32"/>
      <c r="AE787" s="32">
        <f t="shared" si="170"/>
        <v>0</v>
      </c>
      <c r="AF787" s="12"/>
      <c r="AG787" s="12"/>
      <c r="AH787" s="10"/>
      <c r="AI787" s="12">
        <f t="shared" si="171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79</v>
      </c>
      <c r="C788" s="31">
        <f t="shared" si="172"/>
        <v>6527</v>
      </c>
      <c r="D788" s="32">
        <f>37560+205</f>
        <v>37765</v>
      </c>
      <c r="E788" s="32"/>
      <c r="F788" s="32"/>
      <c r="G788" s="32">
        <f t="shared" si="166"/>
        <v>37765</v>
      </c>
      <c r="H788" s="12"/>
      <c r="I788" s="12"/>
      <c r="J788" s="12"/>
      <c r="K788" s="12">
        <f t="shared" si="167"/>
        <v>37765</v>
      </c>
      <c r="M788" s="10">
        <v>7</v>
      </c>
      <c r="N788" s="30" t="s">
        <v>79</v>
      </c>
      <c r="O788" s="31">
        <f t="shared" si="173"/>
        <v>6607</v>
      </c>
      <c r="P788" s="32">
        <f>1252+19</f>
        <v>1271</v>
      </c>
      <c r="Q788" s="32"/>
      <c r="R788" s="32"/>
      <c r="S788" s="32">
        <f t="shared" si="168"/>
        <v>1271</v>
      </c>
      <c r="T788" s="12"/>
      <c r="U788" s="12"/>
      <c r="V788" s="12"/>
      <c r="W788" s="12">
        <f t="shared" si="169"/>
        <v>1271</v>
      </c>
      <c r="Y788" s="10">
        <v>7</v>
      </c>
      <c r="Z788" s="30"/>
      <c r="AA788" s="31"/>
      <c r="AB788" s="32"/>
      <c r="AC788" s="32"/>
      <c r="AD788" s="32"/>
      <c r="AE788" s="32">
        <f t="shared" si="170"/>
        <v>0</v>
      </c>
      <c r="AF788" s="12"/>
      <c r="AG788" s="58"/>
      <c r="AH788" s="12"/>
      <c r="AI788" s="12">
        <f t="shared" si="171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79</v>
      </c>
      <c r="C789" s="31">
        <f t="shared" si="172"/>
        <v>6528</v>
      </c>
      <c r="D789" s="32">
        <f>6260+674</f>
        <v>6934</v>
      </c>
      <c r="E789" s="32"/>
      <c r="F789" s="32"/>
      <c r="G789" s="32">
        <f t="shared" si="166"/>
        <v>6934</v>
      </c>
      <c r="H789" s="12"/>
      <c r="I789" s="12"/>
      <c r="J789" s="12"/>
      <c r="K789" s="12">
        <f t="shared" si="167"/>
        <v>6934</v>
      </c>
      <c r="M789" s="10">
        <v>8</v>
      </c>
      <c r="N789" s="30" t="s">
        <v>79</v>
      </c>
      <c r="O789" s="31">
        <f t="shared" si="173"/>
        <v>6608</v>
      </c>
      <c r="P789" s="32">
        <f>1878+28.5</f>
        <v>1906.5</v>
      </c>
      <c r="Q789" s="32"/>
      <c r="R789" s="32"/>
      <c r="S789" s="32">
        <f t="shared" si="168"/>
        <v>1906.5</v>
      </c>
      <c r="T789" s="12"/>
      <c r="U789" s="12">
        <v>4.5</v>
      </c>
      <c r="V789" s="12"/>
      <c r="W789" s="12">
        <f t="shared" si="169"/>
        <v>1911</v>
      </c>
      <c r="Y789" s="10">
        <v>8</v>
      </c>
      <c r="Z789" s="30"/>
      <c r="AA789" s="31"/>
      <c r="AB789" s="32"/>
      <c r="AC789" s="32"/>
      <c r="AE789" s="32">
        <f t="shared" si="170"/>
        <v>0</v>
      </c>
      <c r="AF789" s="12"/>
      <c r="AG789" s="12"/>
      <c r="AH789" s="12"/>
      <c r="AI789" s="12">
        <f t="shared" si="171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79</v>
      </c>
      <c r="C790" s="31">
        <f t="shared" si="172"/>
        <v>6529</v>
      </c>
      <c r="D790" s="32">
        <f>7382+66.5</f>
        <v>7448.5</v>
      </c>
      <c r="E790" s="32"/>
      <c r="F790" s="32"/>
      <c r="G790" s="32">
        <f t="shared" si="166"/>
        <v>7448.5</v>
      </c>
      <c r="H790" s="12"/>
      <c r="I790" s="12"/>
      <c r="J790" s="12"/>
      <c r="K790" s="12">
        <f t="shared" si="167"/>
        <v>7448.5</v>
      </c>
      <c r="M790" s="10">
        <v>9</v>
      </c>
      <c r="N790" s="30" t="s">
        <v>79</v>
      </c>
      <c r="O790" s="31">
        <f t="shared" si="173"/>
        <v>6609</v>
      </c>
      <c r="P790" s="32">
        <f>4382+66.5</f>
        <v>4448.5</v>
      </c>
      <c r="Q790" s="32"/>
      <c r="R790" s="32"/>
      <c r="S790" s="32">
        <f t="shared" si="168"/>
        <v>4448.5</v>
      </c>
      <c r="T790" s="12"/>
      <c r="U790" s="12"/>
      <c r="V790" s="12"/>
      <c r="W790" s="12">
        <f t="shared" si="169"/>
        <v>4448.5</v>
      </c>
      <c r="Y790" s="10">
        <v>9</v>
      </c>
      <c r="Z790" s="30"/>
      <c r="AA790" s="31"/>
      <c r="AB790" s="95"/>
      <c r="AC790" s="32"/>
      <c r="AD790" s="32"/>
      <c r="AE790" s="32">
        <f t="shared" si="170"/>
        <v>0</v>
      </c>
      <c r="AF790" s="12"/>
      <c r="AH790" s="12"/>
      <c r="AI790" s="12">
        <f t="shared" si="171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79</v>
      </c>
      <c r="C791" s="31">
        <f t="shared" si="172"/>
        <v>6530</v>
      </c>
      <c r="D791" s="32">
        <f>6260+1228+4172+852+674</f>
        <v>13186</v>
      </c>
      <c r="E791" s="32"/>
      <c r="F791" s="32"/>
      <c r="G791" s="32">
        <f t="shared" si="166"/>
        <v>13186</v>
      </c>
      <c r="H791" s="12"/>
      <c r="I791" s="12">
        <v>108</v>
      </c>
      <c r="J791" s="12"/>
      <c r="K791" s="12">
        <f t="shared" si="167"/>
        <v>13294</v>
      </c>
      <c r="M791" s="10">
        <v>10</v>
      </c>
      <c r="N791" s="30" t="s">
        <v>79</v>
      </c>
      <c r="O791" s="31">
        <f t="shared" si="173"/>
        <v>6610</v>
      </c>
      <c r="P791" s="32">
        <f>626</f>
        <v>626</v>
      </c>
      <c r="Q791" s="32"/>
      <c r="R791" s="32"/>
      <c r="S791" s="32">
        <f t="shared" si="168"/>
        <v>626</v>
      </c>
      <c r="T791" s="12"/>
      <c r="U791" s="12"/>
      <c r="V791" s="12"/>
      <c r="W791" s="12">
        <f t="shared" si="169"/>
        <v>626</v>
      </c>
      <c r="Y791" s="10">
        <v>10</v>
      </c>
      <c r="Z791" s="30"/>
      <c r="AA791" s="31"/>
      <c r="AB791" s="32"/>
      <c r="AC791" s="32"/>
      <c r="AD791" s="32"/>
      <c r="AE791" s="32">
        <f t="shared" si="170"/>
        <v>0</v>
      </c>
      <c r="AF791" s="12"/>
      <c r="AG791" s="12"/>
      <c r="AH791" s="12"/>
      <c r="AI791" s="12">
        <f t="shared" si="171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79</v>
      </c>
      <c r="C792" s="31">
        <f t="shared" si="172"/>
        <v>6531</v>
      </c>
      <c r="D792" s="32">
        <f>10642</f>
        <v>10642</v>
      </c>
      <c r="E792" s="32"/>
      <c r="F792" s="32"/>
      <c r="G792" s="32">
        <f t="shared" si="166"/>
        <v>10642</v>
      </c>
      <c r="H792" s="12"/>
      <c r="I792" s="12"/>
      <c r="J792" s="12"/>
      <c r="K792" s="12">
        <f t="shared" si="167"/>
        <v>10642</v>
      </c>
      <c r="M792" s="10">
        <v>11</v>
      </c>
      <c r="N792" s="30" t="s">
        <v>79</v>
      </c>
      <c r="O792" s="31">
        <f t="shared" si="173"/>
        <v>6611</v>
      </c>
      <c r="P792" s="32">
        <f>1878+596+38</f>
        <v>2512</v>
      </c>
      <c r="Q792" s="32"/>
      <c r="R792" s="32"/>
      <c r="S792" s="32">
        <f t="shared" si="168"/>
        <v>2512</v>
      </c>
      <c r="T792" s="12"/>
      <c r="U792" s="12">
        <v>3</v>
      </c>
      <c r="V792" s="12"/>
      <c r="W792" s="12">
        <f t="shared" si="169"/>
        <v>2515</v>
      </c>
      <c r="Y792" s="10">
        <v>11</v>
      </c>
      <c r="Z792" s="30"/>
      <c r="AA792" s="31"/>
      <c r="AB792" s="32"/>
      <c r="AC792" s="32"/>
      <c r="AD792" s="32"/>
      <c r="AE792" s="32">
        <f t="shared" ref="AE792:AE820" si="174">SUM(AB792:AC792)</f>
        <v>0</v>
      </c>
      <c r="AF792" s="12"/>
      <c r="AG792" s="12"/>
      <c r="AH792" s="12"/>
      <c r="AI792" s="12">
        <f t="shared" si="171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 t="s">
        <v>79</v>
      </c>
      <c r="C793" s="31">
        <f t="shared" si="172"/>
        <v>6532</v>
      </c>
      <c r="D793" s="32">
        <f>38812+1228+5960</f>
        <v>46000</v>
      </c>
      <c r="E793" s="32"/>
      <c r="F793" s="32"/>
      <c r="G793" s="32">
        <f t="shared" si="166"/>
        <v>46000</v>
      </c>
      <c r="H793" s="12"/>
      <c r="I793" s="12">
        <v>54</v>
      </c>
      <c r="J793" s="10"/>
      <c r="K793" s="12">
        <f t="shared" si="167"/>
        <v>46054</v>
      </c>
      <c r="M793" s="10">
        <v>12</v>
      </c>
      <c r="N793" s="30" t="s">
        <v>79</v>
      </c>
      <c r="O793" s="31">
        <f t="shared" si="173"/>
        <v>6612</v>
      </c>
      <c r="P793" s="32">
        <f>626*7+614+596+9.5*8</f>
        <v>5668</v>
      </c>
      <c r="Q793" s="32"/>
      <c r="R793" s="32"/>
      <c r="S793" s="32">
        <f t="shared" si="168"/>
        <v>5668</v>
      </c>
      <c r="T793" s="12"/>
      <c r="U793" s="12"/>
      <c r="V793" s="12"/>
      <c r="W793" s="12">
        <f t="shared" si="169"/>
        <v>5668</v>
      </c>
      <c r="Y793" s="10">
        <v>12</v>
      </c>
      <c r="Z793" s="30"/>
      <c r="AA793" s="31"/>
      <c r="AB793" s="32"/>
      <c r="AC793" s="32"/>
      <c r="AD793" s="32"/>
      <c r="AE793" s="32">
        <f t="shared" si="174"/>
        <v>0</v>
      </c>
      <c r="AF793" s="12"/>
      <c r="AG793" s="12"/>
      <c r="AH793" s="12"/>
      <c r="AI793" s="12">
        <f t="shared" si="171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 t="s">
        <v>79</v>
      </c>
      <c r="C794" s="31">
        <f t="shared" si="172"/>
        <v>6533</v>
      </c>
      <c r="D794" s="32">
        <f>5008+76</f>
        <v>5084</v>
      </c>
      <c r="E794" s="32"/>
      <c r="F794" s="32"/>
      <c r="G794" s="32">
        <f t="shared" si="166"/>
        <v>5084</v>
      </c>
      <c r="H794" s="12"/>
      <c r="I794" s="12"/>
      <c r="J794" s="12"/>
      <c r="K794" s="12">
        <f t="shared" si="167"/>
        <v>5084</v>
      </c>
      <c r="M794" s="10">
        <v>13</v>
      </c>
      <c r="N794" s="30" t="s">
        <v>79</v>
      </c>
      <c r="O794" s="31">
        <f t="shared" si="173"/>
        <v>6613</v>
      </c>
      <c r="P794" s="32">
        <f>5634+614+596+95</f>
        <v>6939</v>
      </c>
      <c r="Q794" s="32"/>
      <c r="R794" s="32"/>
      <c r="S794" s="32">
        <f t="shared" si="168"/>
        <v>6939</v>
      </c>
      <c r="T794" s="12"/>
      <c r="U794" s="12"/>
      <c r="V794" s="12"/>
      <c r="W794" s="12">
        <f t="shared" si="169"/>
        <v>6939</v>
      </c>
      <c r="Y794" s="10">
        <v>13</v>
      </c>
      <c r="Z794" s="30"/>
      <c r="AA794" s="31"/>
      <c r="AB794" s="32"/>
      <c r="AC794" s="32"/>
      <c r="AD794" s="32"/>
      <c r="AE794" s="32">
        <f t="shared" si="174"/>
        <v>0</v>
      </c>
      <c r="AF794" s="12"/>
      <c r="AG794" s="12"/>
      <c r="AH794" s="12"/>
      <c r="AI794" s="12">
        <f t="shared" si="171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 t="s">
        <v>79</v>
      </c>
      <c r="C795" s="31">
        <f t="shared" si="172"/>
        <v>6534</v>
      </c>
      <c r="D795" s="32">
        <f>1878+28.5</f>
        <v>1906.5</v>
      </c>
      <c r="E795" s="32"/>
      <c r="F795" s="32"/>
      <c r="G795" s="32">
        <f t="shared" si="166"/>
        <v>1906.5</v>
      </c>
      <c r="H795" s="12"/>
      <c r="I795" s="12"/>
      <c r="J795" s="12"/>
      <c r="K795" s="12">
        <f t="shared" si="167"/>
        <v>1906.5</v>
      </c>
      <c r="M795" s="10">
        <v>14</v>
      </c>
      <c r="N795" s="30" t="s">
        <v>79</v>
      </c>
      <c r="O795" s="31">
        <f t="shared" si="173"/>
        <v>6614</v>
      </c>
      <c r="P795" s="32">
        <f>1878+28.5</f>
        <v>1906.5</v>
      </c>
      <c r="Q795" s="32"/>
      <c r="R795" s="32"/>
      <c r="S795" s="32">
        <f t="shared" si="168"/>
        <v>1906.5</v>
      </c>
      <c r="T795" s="12"/>
      <c r="U795" s="12"/>
      <c r="V795" s="12"/>
      <c r="W795" s="12">
        <f t="shared" si="169"/>
        <v>1906.5</v>
      </c>
      <c r="Y795" s="10">
        <v>14</v>
      </c>
      <c r="Z795" s="30"/>
      <c r="AA795" s="31"/>
      <c r="AB795" s="32"/>
      <c r="AC795" s="32"/>
      <c r="AD795" s="32"/>
      <c r="AE795" s="32">
        <f t="shared" si="174"/>
        <v>0</v>
      </c>
      <c r="AF795" s="12"/>
      <c r="AG795" s="12"/>
      <c r="AH795" s="12"/>
      <c r="AI795" s="12">
        <f t="shared" si="171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 t="s">
        <v>79</v>
      </c>
      <c r="C796" s="31">
        <f t="shared" si="172"/>
        <v>6535</v>
      </c>
      <c r="D796" s="32">
        <f>1878+614+596+47.5</f>
        <v>3135.5</v>
      </c>
      <c r="E796" s="32"/>
      <c r="F796" s="32"/>
      <c r="G796" s="32">
        <f t="shared" si="166"/>
        <v>3135.5</v>
      </c>
      <c r="H796" s="12"/>
      <c r="I796" s="12"/>
      <c r="J796" s="12"/>
      <c r="K796" s="12">
        <f t="shared" si="167"/>
        <v>3135.5</v>
      </c>
      <c r="M796" s="10">
        <v>15</v>
      </c>
      <c r="N796" s="30" t="s">
        <v>79</v>
      </c>
      <c r="O796" s="31">
        <f t="shared" si="173"/>
        <v>6615</v>
      </c>
      <c r="P796" s="32">
        <f>1252+19+500</f>
        <v>1771</v>
      </c>
      <c r="Q796" s="32"/>
      <c r="R796" s="32"/>
      <c r="S796" s="32">
        <f t="shared" si="168"/>
        <v>1771</v>
      </c>
      <c r="T796" s="12"/>
      <c r="U796" s="12"/>
      <c r="V796" s="12"/>
      <c r="W796" s="12">
        <f t="shared" si="169"/>
        <v>1771</v>
      </c>
      <c r="Y796" s="10">
        <v>15</v>
      </c>
      <c r="Z796" s="30"/>
      <c r="AA796" s="31"/>
      <c r="AB796" s="32"/>
      <c r="AC796" s="32"/>
      <c r="AD796" s="32"/>
      <c r="AE796" s="32">
        <f t="shared" si="174"/>
        <v>0</v>
      </c>
      <c r="AF796" s="12"/>
      <c r="AG796" s="12"/>
      <c r="AH796" s="12"/>
      <c r="AI796" s="12">
        <f t="shared" si="171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 t="s">
        <v>79</v>
      </c>
      <c r="C797" s="31">
        <f t="shared" si="172"/>
        <v>6536</v>
      </c>
      <c r="D797" s="32">
        <f>3130+9.5*5</f>
        <v>3177.5</v>
      </c>
      <c r="E797" s="32"/>
      <c r="F797" s="32"/>
      <c r="G797" s="32">
        <f t="shared" si="166"/>
        <v>3177.5</v>
      </c>
      <c r="H797" s="12"/>
      <c r="I797" s="12"/>
      <c r="J797" s="12"/>
      <c r="K797" s="12">
        <f t="shared" si="167"/>
        <v>3177.5</v>
      </c>
      <c r="M797" s="10">
        <v>16</v>
      </c>
      <c r="N797" s="30" t="s">
        <v>79</v>
      </c>
      <c r="O797" s="31">
        <f t="shared" si="173"/>
        <v>6616</v>
      </c>
      <c r="P797" s="32">
        <f>626+596+19</f>
        <v>1241</v>
      </c>
      <c r="Q797" s="32"/>
      <c r="R797" s="32"/>
      <c r="S797" s="32">
        <f t="shared" si="168"/>
        <v>1241</v>
      </c>
      <c r="T797" s="12"/>
      <c r="U797" s="12"/>
      <c r="V797" s="12"/>
      <c r="W797" s="12">
        <f t="shared" si="169"/>
        <v>1241</v>
      </c>
      <c r="Y797" s="10">
        <v>16</v>
      </c>
      <c r="Z797" s="30"/>
      <c r="AA797" s="31"/>
      <c r="AB797" s="32"/>
      <c r="AC797" s="32"/>
      <c r="AD797" s="32"/>
      <c r="AE797" s="32">
        <f t="shared" si="174"/>
        <v>0</v>
      </c>
      <c r="AF797" s="12"/>
      <c r="AG797" s="12"/>
      <c r="AH797" s="12"/>
      <c r="AI797" s="12">
        <f t="shared" si="171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 t="s">
        <v>79</v>
      </c>
      <c r="C798" s="31">
        <f t="shared" si="172"/>
        <v>6537</v>
      </c>
      <c r="D798" s="32">
        <f>25564+1704+2010+1664</f>
        <v>30942</v>
      </c>
      <c r="E798" s="32"/>
      <c r="F798" s="32"/>
      <c r="G798" s="32">
        <f t="shared" si="166"/>
        <v>30942</v>
      </c>
      <c r="H798" s="12"/>
      <c r="I798" s="12"/>
      <c r="J798" s="12"/>
      <c r="K798" s="12">
        <f t="shared" si="167"/>
        <v>30942</v>
      </c>
      <c r="M798" s="10">
        <v>17</v>
      </c>
      <c r="N798" s="30" t="s">
        <v>79</v>
      </c>
      <c r="O798" s="31">
        <f t="shared" si="173"/>
        <v>6617</v>
      </c>
      <c r="P798" s="35">
        <f>3130+47.5</f>
        <v>3177.5</v>
      </c>
      <c r="Q798" s="32"/>
      <c r="R798" s="32"/>
      <c r="S798" s="32">
        <f t="shared" si="168"/>
        <v>3177.5</v>
      </c>
      <c r="T798" s="12"/>
      <c r="U798" s="12"/>
      <c r="V798" s="12"/>
      <c r="W798" s="12">
        <f t="shared" si="169"/>
        <v>3177.5</v>
      </c>
      <c r="Y798" s="10">
        <v>17</v>
      </c>
      <c r="Z798" s="30"/>
      <c r="AA798" s="31"/>
      <c r="AB798" s="35"/>
      <c r="AC798" s="32"/>
      <c r="AD798" s="32"/>
      <c r="AE798" s="32">
        <f t="shared" si="174"/>
        <v>0</v>
      </c>
      <c r="AF798" s="12"/>
      <c r="AG798" s="12"/>
      <c r="AH798" s="12"/>
      <c r="AI798" s="12">
        <f t="shared" si="171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11" t="s">
        <v>28</v>
      </c>
      <c r="D799" s="32"/>
      <c r="E799" s="32"/>
      <c r="F799" s="32"/>
      <c r="G799" s="32">
        <f t="shared" si="166"/>
        <v>0</v>
      </c>
      <c r="H799" s="12"/>
      <c r="I799" s="12"/>
      <c r="J799" s="12"/>
      <c r="K799" s="12">
        <f t="shared" si="167"/>
        <v>0</v>
      </c>
      <c r="M799" s="10">
        <v>18</v>
      </c>
      <c r="N799" s="30" t="s">
        <v>79</v>
      </c>
      <c r="O799" s="31">
        <f t="shared" si="173"/>
        <v>6618</v>
      </c>
      <c r="P799" s="32">
        <f>1878+1228+28.5</f>
        <v>3134.5</v>
      </c>
      <c r="Q799" s="32"/>
      <c r="R799" s="32"/>
      <c r="S799" s="32">
        <f t="shared" si="168"/>
        <v>3134.5</v>
      </c>
      <c r="T799" s="12"/>
      <c r="U799" s="12"/>
      <c r="V799" s="12"/>
      <c r="W799" s="12">
        <f t="shared" si="169"/>
        <v>3134.5</v>
      </c>
      <c r="Y799" s="10">
        <v>18</v>
      </c>
      <c r="Z799" s="30"/>
      <c r="AB799" s="32"/>
      <c r="AC799" s="32"/>
      <c r="AD799" s="32"/>
      <c r="AE799" s="32">
        <f t="shared" si="174"/>
        <v>0</v>
      </c>
      <c r="AF799" s="12"/>
      <c r="AG799" s="12"/>
      <c r="AH799" s="12"/>
      <c r="AI799" s="12">
        <f t="shared" si="171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166"/>
        <v>0</v>
      </c>
      <c r="H800" s="12"/>
      <c r="I800" s="12"/>
      <c r="J800" s="12"/>
      <c r="K800" s="12">
        <f t="shared" si="167"/>
        <v>0</v>
      </c>
      <c r="M800" s="10">
        <v>19</v>
      </c>
      <c r="N800" s="30"/>
      <c r="O800" s="11" t="s">
        <v>28</v>
      </c>
      <c r="P800" s="32"/>
      <c r="Q800" s="32"/>
      <c r="R800" s="32"/>
      <c r="S800" s="32">
        <f t="shared" si="168"/>
        <v>0</v>
      </c>
      <c r="T800" s="12"/>
      <c r="U800" s="12"/>
      <c r="V800" s="12"/>
      <c r="W800" s="12">
        <f t="shared" si="16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174"/>
        <v>0</v>
      </c>
      <c r="AF800" s="12"/>
      <c r="AG800" s="12"/>
      <c r="AH800" s="12"/>
      <c r="AI800" s="12">
        <f t="shared" si="171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166"/>
        <v>0</v>
      </c>
      <c r="H801" s="12"/>
      <c r="I801" s="12"/>
      <c r="J801" s="12"/>
      <c r="K801" s="12">
        <f t="shared" si="167"/>
        <v>0</v>
      </c>
      <c r="M801" s="10">
        <v>20</v>
      </c>
      <c r="N801" s="30"/>
      <c r="O801" s="31"/>
      <c r="P801" s="32"/>
      <c r="Q801" s="32"/>
      <c r="R801" s="32"/>
      <c r="S801" s="32">
        <f t="shared" si="168"/>
        <v>0</v>
      </c>
      <c r="T801" s="12"/>
      <c r="U801" s="12"/>
      <c r="V801" s="12"/>
      <c r="W801" s="12">
        <f t="shared" si="16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174"/>
        <v>0</v>
      </c>
      <c r="AF801" s="12"/>
      <c r="AG801" s="12"/>
      <c r="AH801" s="12"/>
      <c r="AI801" s="12">
        <f t="shared" si="171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166"/>
        <v>0</v>
      </c>
      <c r="H802" s="10"/>
      <c r="I802" s="10"/>
      <c r="J802" s="10"/>
      <c r="K802" s="12">
        <f t="shared" si="167"/>
        <v>0</v>
      </c>
      <c r="M802" s="10">
        <v>21</v>
      </c>
      <c r="N802" s="30"/>
      <c r="P802" s="46"/>
      <c r="Q802" s="31"/>
      <c r="R802" s="31"/>
      <c r="S802" s="32">
        <f t="shared" si="168"/>
        <v>0</v>
      </c>
      <c r="T802" s="10"/>
      <c r="U802" s="10"/>
      <c r="V802" s="10"/>
      <c r="W802" s="12">
        <f t="shared" si="169"/>
        <v>0</v>
      </c>
      <c r="Y802" s="10">
        <v>21</v>
      </c>
      <c r="Z802" s="30"/>
      <c r="AB802" s="46"/>
      <c r="AC802" s="31"/>
      <c r="AD802" s="31"/>
      <c r="AE802" s="32">
        <f t="shared" si="174"/>
        <v>0</v>
      </c>
      <c r="AF802" s="10"/>
      <c r="AG802" s="10"/>
      <c r="AH802" s="10"/>
      <c r="AI802" s="12">
        <f t="shared" si="171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166"/>
        <v>0</v>
      </c>
      <c r="H803" s="10"/>
      <c r="I803" s="10"/>
      <c r="J803" s="10"/>
      <c r="K803" s="12">
        <f t="shared" si="167"/>
        <v>0</v>
      </c>
      <c r="M803" s="10">
        <v>22</v>
      </c>
      <c r="N803" s="30"/>
      <c r="O803" s="31"/>
      <c r="P803" s="45"/>
      <c r="Q803" s="31"/>
      <c r="R803" s="31"/>
      <c r="S803" s="32">
        <f t="shared" si="168"/>
        <v>0</v>
      </c>
      <c r="T803" s="10"/>
      <c r="U803" s="10"/>
      <c r="V803" s="10"/>
      <c r="W803" s="12">
        <f t="shared" si="16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174"/>
        <v>0</v>
      </c>
      <c r="AF803" s="10"/>
      <c r="AG803" s="10"/>
      <c r="AH803" s="10"/>
      <c r="AI803" s="12">
        <f t="shared" si="171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166"/>
        <v>0</v>
      </c>
      <c r="H804" s="10"/>
      <c r="I804" s="10"/>
      <c r="J804" s="12"/>
      <c r="K804" s="12">
        <f t="shared" si="167"/>
        <v>0</v>
      </c>
      <c r="M804" s="10">
        <v>23</v>
      </c>
      <c r="N804" s="30"/>
      <c r="O804" s="31"/>
      <c r="P804" s="47"/>
      <c r="Q804" s="31"/>
      <c r="S804" s="32">
        <f t="shared" si="168"/>
        <v>0</v>
      </c>
      <c r="T804" s="10"/>
      <c r="U804" s="10"/>
      <c r="V804" s="10"/>
      <c r="W804" s="12">
        <f t="shared" si="169"/>
        <v>0</v>
      </c>
      <c r="Y804" s="10">
        <v>23</v>
      </c>
      <c r="Z804" s="30"/>
      <c r="AA804" s="31"/>
      <c r="AB804" s="47"/>
      <c r="AE804" s="32">
        <f t="shared" si="174"/>
        <v>0</v>
      </c>
      <c r="AF804" s="10"/>
      <c r="AG804" s="10"/>
      <c r="AH804" s="10"/>
      <c r="AI804" s="12">
        <f t="shared" si="171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166"/>
        <v>0</v>
      </c>
      <c r="H805" s="10"/>
      <c r="I805" s="10"/>
      <c r="J805" s="10"/>
      <c r="K805" s="12">
        <f t="shared" si="167"/>
        <v>0</v>
      </c>
      <c r="M805" s="10">
        <v>24</v>
      </c>
      <c r="N805" s="30"/>
      <c r="O805" s="31"/>
      <c r="P805" s="47"/>
      <c r="Q805" s="31"/>
      <c r="R805" s="31"/>
      <c r="S805" s="32">
        <f t="shared" si="168"/>
        <v>0</v>
      </c>
      <c r="T805" s="10"/>
      <c r="U805" s="10"/>
      <c r="V805" s="10"/>
      <c r="W805" s="12">
        <f t="shared" si="16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174"/>
        <v>0</v>
      </c>
      <c r="AF805" s="10"/>
      <c r="AG805" s="10"/>
      <c r="AH805" s="10"/>
      <c r="AI805" s="12">
        <f t="shared" si="171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D806" s="32"/>
      <c r="E806" s="32"/>
      <c r="F806" s="32"/>
      <c r="G806" s="32">
        <f t="shared" si="166"/>
        <v>0</v>
      </c>
      <c r="H806" s="10"/>
      <c r="I806" s="10"/>
      <c r="J806" s="10"/>
      <c r="K806" s="12">
        <f t="shared" si="167"/>
        <v>0</v>
      </c>
      <c r="M806" s="10">
        <v>25</v>
      </c>
      <c r="N806" s="30"/>
      <c r="O806" s="31"/>
      <c r="P806" s="47"/>
      <c r="Q806" s="31"/>
      <c r="R806" s="31"/>
      <c r="S806" s="32">
        <f t="shared" si="168"/>
        <v>0</v>
      </c>
      <c r="T806" s="10"/>
      <c r="U806" s="10"/>
      <c r="V806" s="10"/>
      <c r="W806" s="12">
        <f t="shared" si="16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174"/>
        <v>0</v>
      </c>
      <c r="AF806" s="10"/>
      <c r="AG806" s="10"/>
      <c r="AH806" s="10"/>
      <c r="AI806" s="12">
        <f t="shared" si="171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166"/>
        <v>0</v>
      </c>
      <c r="H807" s="10"/>
      <c r="I807" s="10"/>
      <c r="J807" s="10"/>
      <c r="K807" s="12">
        <f t="shared" si="167"/>
        <v>0</v>
      </c>
      <c r="M807" s="10">
        <v>26</v>
      </c>
      <c r="N807" s="30"/>
      <c r="P807" s="47"/>
      <c r="Q807" s="31"/>
      <c r="R807" s="31"/>
      <c r="S807" s="32">
        <f t="shared" si="168"/>
        <v>0</v>
      </c>
      <c r="T807" s="10"/>
      <c r="U807" s="10"/>
      <c r="V807" s="10"/>
      <c r="W807" s="12">
        <f t="shared" si="16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174"/>
        <v>0</v>
      </c>
      <c r="AF807" s="10"/>
      <c r="AG807" s="10"/>
      <c r="AH807" s="10"/>
      <c r="AI807" s="12">
        <f t="shared" si="171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166"/>
        <v>0</v>
      </c>
      <c r="H808" s="10"/>
      <c r="I808" s="10"/>
      <c r="J808" s="10"/>
      <c r="K808" s="12">
        <f t="shared" si="167"/>
        <v>0</v>
      </c>
      <c r="M808" s="10">
        <v>27</v>
      </c>
      <c r="N808" s="30"/>
      <c r="O808" s="31"/>
      <c r="P808" s="47"/>
      <c r="Q808" s="31"/>
      <c r="R808" s="31"/>
      <c r="S808" s="32">
        <f t="shared" si="168"/>
        <v>0</v>
      </c>
      <c r="T808" s="10"/>
      <c r="U808" s="10"/>
      <c r="V808" s="10"/>
      <c r="W808" s="12">
        <f t="shared" si="16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174"/>
        <v>0</v>
      </c>
      <c r="AF808" s="10"/>
      <c r="AG808" s="10"/>
      <c r="AH808" s="10"/>
      <c r="AI808" s="12">
        <f t="shared" si="171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57"/>
      <c r="D809" s="32"/>
      <c r="E809" s="32"/>
      <c r="F809" s="32"/>
      <c r="G809" s="32">
        <f t="shared" si="166"/>
        <v>0</v>
      </c>
      <c r="H809" s="10"/>
      <c r="I809" s="10"/>
      <c r="J809" s="10"/>
      <c r="K809" s="12">
        <f t="shared" si="167"/>
        <v>0</v>
      </c>
      <c r="M809" s="10">
        <v>28</v>
      </c>
      <c r="N809" s="30"/>
      <c r="O809" s="31"/>
      <c r="P809" s="47"/>
      <c r="Q809" s="31"/>
      <c r="R809" s="31"/>
      <c r="S809" s="32">
        <f t="shared" si="168"/>
        <v>0</v>
      </c>
      <c r="T809" s="10"/>
      <c r="U809" s="10"/>
      <c r="V809" s="10"/>
      <c r="W809" s="12">
        <f t="shared" si="16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174"/>
        <v>0</v>
      </c>
      <c r="AF809" s="10"/>
      <c r="AG809" s="10"/>
      <c r="AH809" s="10"/>
      <c r="AI809" s="12">
        <f t="shared" si="171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57"/>
      <c r="D810" s="32"/>
      <c r="E810" s="32"/>
      <c r="F810" s="32"/>
      <c r="G810" s="32">
        <f t="shared" si="166"/>
        <v>0</v>
      </c>
      <c r="H810" s="10"/>
      <c r="I810" s="10"/>
      <c r="J810" s="10"/>
      <c r="K810" s="12">
        <f t="shared" si="167"/>
        <v>0</v>
      </c>
      <c r="M810" s="10">
        <v>29</v>
      </c>
      <c r="N810" s="30"/>
      <c r="O810" s="31"/>
      <c r="P810" s="47"/>
      <c r="Q810" s="31"/>
      <c r="R810" s="31"/>
      <c r="S810" s="32">
        <f t="shared" si="168"/>
        <v>0</v>
      </c>
      <c r="T810" s="10"/>
      <c r="U810" s="10"/>
      <c r="V810" s="10"/>
      <c r="W810" s="12">
        <f t="shared" si="16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174"/>
        <v>0</v>
      </c>
      <c r="AF810" s="10"/>
      <c r="AG810" s="10"/>
      <c r="AH810" s="10"/>
      <c r="AI810" s="12">
        <f t="shared" si="171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11"/>
      <c r="D811" s="32"/>
      <c r="E811" s="32"/>
      <c r="F811" s="32"/>
      <c r="G811" s="32">
        <f t="shared" si="166"/>
        <v>0</v>
      </c>
      <c r="H811" s="10"/>
      <c r="I811" s="10"/>
      <c r="J811" s="10"/>
      <c r="K811" s="12">
        <f t="shared" si="167"/>
        <v>0</v>
      </c>
      <c r="M811" s="10">
        <v>30</v>
      </c>
      <c r="N811" s="30"/>
      <c r="P811" s="47"/>
      <c r="Q811" s="31"/>
      <c r="R811" s="31"/>
      <c r="S811" s="32">
        <f t="shared" si="168"/>
        <v>0</v>
      </c>
      <c r="T811" s="10"/>
      <c r="U811" s="10"/>
      <c r="V811" s="10"/>
      <c r="W811" s="12">
        <f t="shared" si="16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174"/>
        <v>0</v>
      </c>
      <c r="AF811" s="10"/>
      <c r="AG811" s="10"/>
      <c r="AH811" s="10"/>
      <c r="AI811" s="12">
        <f t="shared" si="171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166"/>
        <v>0</v>
      </c>
      <c r="H812" s="10"/>
      <c r="I812" s="10"/>
      <c r="J812" s="10"/>
      <c r="K812" s="12">
        <f t="shared" si="167"/>
        <v>0</v>
      </c>
      <c r="M812" s="10">
        <v>31</v>
      </c>
      <c r="N812" s="30"/>
      <c r="O812" s="31"/>
      <c r="P812" s="47"/>
      <c r="Q812" s="31"/>
      <c r="R812" s="31"/>
      <c r="S812" s="32">
        <f t="shared" si="168"/>
        <v>0</v>
      </c>
      <c r="T812" s="10"/>
      <c r="U812" s="10"/>
      <c r="V812" s="10"/>
      <c r="W812" s="12">
        <f t="shared" si="16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174"/>
        <v>0</v>
      </c>
      <c r="AF812" s="10"/>
      <c r="AG812" s="10"/>
      <c r="AH812" s="10"/>
      <c r="AI812" s="12">
        <f t="shared" si="171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11"/>
      <c r="D813" s="32"/>
      <c r="E813" s="32"/>
      <c r="F813" s="32"/>
      <c r="G813" s="32">
        <f t="shared" si="166"/>
        <v>0</v>
      </c>
      <c r="H813" s="10"/>
      <c r="I813" s="10"/>
      <c r="J813" s="10"/>
      <c r="K813" s="12">
        <f t="shared" si="167"/>
        <v>0</v>
      </c>
      <c r="M813" s="10">
        <v>32</v>
      </c>
      <c r="N813" s="30"/>
      <c r="O813" s="31"/>
      <c r="P813" s="47"/>
      <c r="Q813" s="31"/>
      <c r="R813" s="31"/>
      <c r="S813" s="32">
        <f t="shared" si="168"/>
        <v>0</v>
      </c>
      <c r="T813" s="10"/>
      <c r="U813" s="10"/>
      <c r="V813" s="10"/>
      <c r="W813" s="12">
        <f t="shared" si="16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174"/>
        <v>0</v>
      </c>
      <c r="AF813" s="10"/>
      <c r="AG813" s="10"/>
      <c r="AH813" s="10"/>
      <c r="AI813" s="12">
        <f t="shared" si="171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11"/>
      <c r="D814" s="32"/>
      <c r="E814" s="32"/>
      <c r="F814" s="32"/>
      <c r="G814" s="32">
        <f t="shared" si="166"/>
        <v>0</v>
      </c>
      <c r="H814" s="10"/>
      <c r="I814" s="10"/>
      <c r="J814" s="10"/>
      <c r="K814" s="12">
        <f t="shared" si="167"/>
        <v>0</v>
      </c>
      <c r="M814" s="10">
        <v>33</v>
      </c>
      <c r="N814" s="30"/>
      <c r="O814" s="31"/>
      <c r="P814" s="47"/>
      <c r="Q814" s="31"/>
      <c r="R814" s="31"/>
      <c r="S814" s="32">
        <f t="shared" si="168"/>
        <v>0</v>
      </c>
      <c r="T814" s="10"/>
      <c r="U814" s="10"/>
      <c r="V814" s="10"/>
      <c r="W814" s="12">
        <f t="shared" si="16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174"/>
        <v>0</v>
      </c>
      <c r="AF814" s="10"/>
      <c r="AG814" s="10"/>
      <c r="AH814" s="10"/>
      <c r="AI814" s="12">
        <f t="shared" si="171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11"/>
      <c r="D815" s="32"/>
      <c r="E815" s="32"/>
      <c r="F815" s="32"/>
      <c r="G815" s="32">
        <f t="shared" si="166"/>
        <v>0</v>
      </c>
      <c r="H815" s="10"/>
      <c r="I815" s="10"/>
      <c r="J815" s="10"/>
      <c r="K815" s="12">
        <f t="shared" si="167"/>
        <v>0</v>
      </c>
      <c r="M815" s="10">
        <v>34</v>
      </c>
      <c r="N815" s="30"/>
      <c r="O815" s="31"/>
      <c r="P815" s="47"/>
      <c r="Q815" s="31"/>
      <c r="R815" s="31"/>
      <c r="S815" s="32">
        <f t="shared" si="168"/>
        <v>0</v>
      </c>
      <c r="T815" s="10"/>
      <c r="U815" s="10"/>
      <c r="V815" s="10"/>
      <c r="W815" s="12">
        <f t="shared" si="16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174"/>
        <v>0</v>
      </c>
      <c r="AF815" s="10"/>
      <c r="AG815" s="10"/>
      <c r="AH815" s="10"/>
      <c r="AI815" s="12">
        <f t="shared" si="171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1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168"/>
        <v>0</v>
      </c>
      <c r="T816" s="10"/>
      <c r="U816" s="10"/>
      <c r="V816" s="10"/>
      <c r="W816" s="12">
        <f t="shared" si="16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174"/>
        <v>0</v>
      </c>
      <c r="AF816" s="10"/>
      <c r="AG816" s="10"/>
      <c r="AH816" s="10"/>
      <c r="AI816" s="12">
        <f t="shared" si="171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1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168"/>
        <v>0</v>
      </c>
      <c r="T817" s="10"/>
      <c r="U817" s="10"/>
      <c r="V817" s="10"/>
      <c r="W817" s="12">
        <f t="shared" si="16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174"/>
        <v>0</v>
      </c>
      <c r="AF817" s="10"/>
      <c r="AG817" s="10"/>
      <c r="AH817" s="10"/>
      <c r="AI817" s="12">
        <f t="shared" si="171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1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168"/>
        <v>0</v>
      </c>
      <c r="T818" s="10"/>
      <c r="U818" s="10"/>
      <c r="V818" s="10"/>
      <c r="W818" s="12">
        <f t="shared" si="16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174"/>
        <v>0</v>
      </c>
      <c r="AF818" s="10"/>
      <c r="AG818" s="10"/>
      <c r="AH818" s="10"/>
      <c r="AI818" s="12">
        <f t="shared" si="171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168"/>
        <v>0</v>
      </c>
      <c r="T819" s="10"/>
      <c r="U819" s="10"/>
      <c r="V819" s="10"/>
      <c r="W819" s="12">
        <f t="shared" si="16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174"/>
        <v>0</v>
      </c>
      <c r="AF819" s="10"/>
      <c r="AG819" s="10"/>
      <c r="AH819" s="10"/>
      <c r="AI819" s="12">
        <f t="shared" si="171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168"/>
        <v>0</v>
      </c>
      <c r="T820" s="10"/>
      <c r="U820" s="10"/>
      <c r="V820" s="10"/>
      <c r="W820" s="12">
        <f t="shared" si="16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174"/>
        <v>0</v>
      </c>
      <c r="AF820" s="10"/>
      <c r="AG820" s="10"/>
      <c r="AH820" s="10"/>
      <c r="AI820" s="12">
        <f t="shared" si="171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16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171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175">SUM(D822:E822)</f>
        <v>0</v>
      </c>
      <c r="H822" s="10"/>
      <c r="I822" s="10"/>
      <c r="J822" s="10"/>
      <c r="K822" s="12">
        <f t="shared" ref="K822" si="176">SUM(G822:J822)</f>
        <v>0</v>
      </c>
      <c r="M822" s="10"/>
      <c r="N822" s="30"/>
      <c r="O822" s="31"/>
      <c r="P822" s="47"/>
      <c r="Q822" s="31"/>
      <c r="R822" s="31"/>
      <c r="S822" s="32">
        <f t="shared" ref="S822" si="177">SUM(P822:Q822)</f>
        <v>0</v>
      </c>
      <c r="T822" s="10"/>
      <c r="U822" s="10"/>
      <c r="V822" s="10"/>
      <c r="W822" s="12">
        <f t="shared" si="169"/>
        <v>0</v>
      </c>
      <c r="Y822" s="10"/>
      <c r="Z822" s="30"/>
      <c r="AA822" s="31"/>
      <c r="AB822" s="47"/>
      <c r="AC822" s="31"/>
      <c r="AD822" s="31"/>
      <c r="AE822" s="32">
        <f t="shared" ref="AE822" si="178">SUM(AB822:AC822)</f>
        <v>0</v>
      </c>
      <c r="AF822" s="10"/>
      <c r="AG822" s="10"/>
      <c r="AH822" s="10"/>
      <c r="AI822" s="12">
        <f t="shared" si="171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16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171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199645</v>
      </c>
      <c r="E825" s="38">
        <f t="shared" ref="E825:F825" si="179">SUM(E782:E822)</f>
        <v>0</v>
      </c>
      <c r="F825" s="38">
        <f t="shared" si="179"/>
        <v>0</v>
      </c>
      <c r="G825" s="38">
        <f>SUM(G782:G824)</f>
        <v>199645</v>
      </c>
      <c r="H825" s="4"/>
      <c r="I825" s="39">
        <f>SUM(I782:I824)</f>
        <v>193.5</v>
      </c>
      <c r="J825" s="39">
        <f>SUM(J782:J824)</f>
        <v>0</v>
      </c>
      <c r="K825" s="40">
        <f>SUM(K782:K824)</f>
        <v>199838.5</v>
      </c>
      <c r="N825" s="57"/>
      <c r="O825" s="57"/>
      <c r="P825" s="38">
        <f>SUM(P782:P824)</f>
        <v>139577.5</v>
      </c>
      <c r="Q825" s="38">
        <f>SUM(Q782:Q806)</f>
        <v>0</v>
      </c>
      <c r="R825" s="38">
        <f>SUM(R782:R806)</f>
        <v>0</v>
      </c>
      <c r="S825" s="38">
        <f>SUM(S782:S824)</f>
        <v>139577.5</v>
      </c>
      <c r="T825" s="4"/>
      <c r="U825" s="41">
        <f>SUM(U782:U824)</f>
        <v>7.5</v>
      </c>
      <c r="V825" s="41">
        <f>SUM(V782:V806)</f>
        <v>0</v>
      </c>
      <c r="W825" s="42">
        <f>SUM(W782:W824)</f>
        <v>139585</v>
      </c>
      <c r="Z825" s="57"/>
      <c r="AA825" s="57"/>
      <c r="AB825" s="38">
        <f>SUM(AB782:AB824)</f>
        <v>227951</v>
      </c>
      <c r="AC825" s="38">
        <f>SUM(AC782:AC806)</f>
        <v>-2244</v>
      </c>
      <c r="AD825" s="38">
        <f>SUM(AD782:AD806)</f>
        <v>0</v>
      </c>
      <c r="AE825" s="38">
        <f>SUM(AE782:AE824)</f>
        <v>225707</v>
      </c>
      <c r="AF825" s="4"/>
      <c r="AG825" s="41">
        <f>SUM(AG782:AG824)</f>
        <v>1218</v>
      </c>
      <c r="AH825" s="41">
        <f>SUM(AH782:AH806)</f>
        <v>-588</v>
      </c>
      <c r="AI825" s="42">
        <f>SUM(AI782:AI824)</f>
        <v>226337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29</v>
      </c>
      <c r="B828" s="57"/>
      <c r="C828" s="57"/>
      <c r="D828" s="57"/>
      <c r="E828" s="57"/>
      <c r="G828" s="57"/>
      <c r="M828" t="s">
        <v>29</v>
      </c>
      <c r="N828" s="57"/>
      <c r="O828" s="57"/>
      <c r="P828" s="57"/>
      <c r="Q828" s="57"/>
      <c r="R828" s="57"/>
      <c r="S828" s="57"/>
      <c r="Y828" t="s">
        <v>29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15</v>
      </c>
      <c r="B830" s="57"/>
      <c r="C830" s="57"/>
      <c r="D830" s="57"/>
      <c r="E830" s="57"/>
      <c r="G830" s="57"/>
      <c r="M830" s="4" t="s">
        <v>15</v>
      </c>
      <c r="N830" s="57"/>
      <c r="O830" s="57"/>
      <c r="P830" s="57"/>
      <c r="Q830" s="57"/>
      <c r="R830" s="57"/>
      <c r="S830" s="57"/>
      <c r="Y830" s="4" t="s">
        <v>15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16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16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16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81</v>
      </c>
      <c r="B833" s="20"/>
      <c r="C833" s="57"/>
      <c r="D833" s="57"/>
      <c r="E833" s="57"/>
      <c r="G833" s="57"/>
      <c r="I833" s="22" t="s">
        <v>17</v>
      </c>
      <c r="J833" s="23" t="s">
        <v>36</v>
      </c>
      <c r="K833" s="24"/>
      <c r="M833" s="21" t="s">
        <v>81</v>
      </c>
      <c r="N833" s="20"/>
      <c r="O833" s="57"/>
      <c r="P833" s="57"/>
      <c r="Q833" s="57"/>
      <c r="R833" s="57"/>
      <c r="S833" s="57"/>
      <c r="U833" s="22" t="s">
        <v>17</v>
      </c>
      <c r="V833" s="23" t="s">
        <v>33</v>
      </c>
      <c r="W833" s="24"/>
      <c r="Y833" s="21" t="s">
        <v>81</v>
      </c>
      <c r="Z833" s="20"/>
      <c r="AA833" s="57"/>
      <c r="AB833" s="57"/>
      <c r="AC833" s="57"/>
      <c r="AD833" s="57"/>
      <c r="AE833" s="57"/>
      <c r="AG833" s="22" t="s">
        <v>17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4" t="s">
        <v>18</v>
      </c>
      <c r="E835" s="124"/>
      <c r="F835" s="110"/>
      <c r="G835" s="27"/>
      <c r="I835" s="122" t="s">
        <v>19</v>
      </c>
      <c r="J835" s="123"/>
      <c r="K835" s="120" t="s">
        <v>20</v>
      </c>
      <c r="N835" s="25"/>
      <c r="O835" s="26"/>
      <c r="P835" s="124" t="s">
        <v>18</v>
      </c>
      <c r="Q835" s="124"/>
      <c r="R835" s="110"/>
      <c r="S835" s="27"/>
      <c r="U835" s="122" t="s">
        <v>19</v>
      </c>
      <c r="V835" s="123"/>
      <c r="W835" s="120" t="s">
        <v>20</v>
      </c>
      <c r="Z835" s="25"/>
      <c r="AA835" s="26"/>
      <c r="AB835" s="124" t="s">
        <v>18</v>
      </c>
      <c r="AC835" s="124"/>
      <c r="AD835" s="110"/>
      <c r="AE835" s="27"/>
      <c r="AG835" s="122" t="s">
        <v>19</v>
      </c>
      <c r="AH835" s="123"/>
      <c r="AI835" s="120" t="s">
        <v>20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21</v>
      </c>
      <c r="C836" s="28" t="s">
        <v>22</v>
      </c>
      <c r="D836" s="79" t="s">
        <v>23</v>
      </c>
      <c r="E836" s="78" t="s">
        <v>24</v>
      </c>
      <c r="F836" s="80" t="s">
        <v>35</v>
      </c>
      <c r="G836" s="80" t="s">
        <v>25</v>
      </c>
      <c r="I836" s="29" t="s">
        <v>26</v>
      </c>
      <c r="J836" s="29" t="s">
        <v>27</v>
      </c>
      <c r="K836" s="121"/>
      <c r="N836" s="28" t="s">
        <v>21</v>
      </c>
      <c r="O836" s="28" t="s">
        <v>22</v>
      </c>
      <c r="P836" s="79" t="s">
        <v>23</v>
      </c>
      <c r="Q836" s="80" t="s">
        <v>24</v>
      </c>
      <c r="R836" s="80" t="s">
        <v>35</v>
      </c>
      <c r="S836" s="80" t="s">
        <v>25</v>
      </c>
      <c r="U836" s="29" t="s">
        <v>26</v>
      </c>
      <c r="V836" s="29" t="s">
        <v>27</v>
      </c>
      <c r="W836" s="121"/>
      <c r="Z836" s="28" t="s">
        <v>21</v>
      </c>
      <c r="AA836" s="28" t="s">
        <v>22</v>
      </c>
      <c r="AB836" s="79" t="s">
        <v>23</v>
      </c>
      <c r="AC836" s="80" t="s">
        <v>24</v>
      </c>
      <c r="AD836" s="80" t="s">
        <v>35</v>
      </c>
      <c r="AE836" s="80" t="s">
        <v>25</v>
      </c>
      <c r="AG836" s="29" t="s">
        <v>26</v>
      </c>
      <c r="AH836" s="29" t="s">
        <v>27</v>
      </c>
      <c r="AI836" s="121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82</v>
      </c>
      <c r="C837" s="31">
        <v>5097</v>
      </c>
      <c r="D837" s="32">
        <f>626*3+9.5*3</f>
        <v>1906.5</v>
      </c>
      <c r="E837" s="32"/>
      <c r="F837" s="32"/>
      <c r="G837" s="32">
        <f t="shared" ref="G837:G870" si="180">SUM(D837:E837)</f>
        <v>1906.5</v>
      </c>
      <c r="H837" s="12"/>
      <c r="I837" s="12"/>
      <c r="J837" s="12"/>
      <c r="K837" s="12">
        <f t="shared" ref="K837:K870" si="181">SUM(G837:J837)</f>
        <v>1906.5</v>
      </c>
      <c r="M837" s="10">
        <v>1</v>
      </c>
      <c r="N837" s="30" t="s">
        <v>82</v>
      </c>
      <c r="O837" s="31">
        <v>6619</v>
      </c>
      <c r="P837" s="32">
        <f>626*4+596+47.5</f>
        <v>3147.5</v>
      </c>
      <c r="Q837" s="32"/>
      <c r="R837" s="32"/>
      <c r="S837" s="32">
        <f>SUM(P837:Q837)</f>
        <v>3147.5</v>
      </c>
      <c r="T837" s="12"/>
      <c r="U837" s="12"/>
      <c r="V837" s="12"/>
      <c r="W837" s="12">
        <f>SUM(S837:V837)</f>
        <v>3147.5</v>
      </c>
      <c r="Y837" s="10">
        <v>1</v>
      </c>
      <c r="Z837" s="30" t="s">
        <v>82</v>
      </c>
      <c r="AA837" s="31">
        <v>6389</v>
      </c>
      <c r="AB837" s="32">
        <f>31300+614+5960</f>
        <v>37874</v>
      </c>
      <c r="AC837" s="32"/>
      <c r="AD837" s="32"/>
      <c r="AE837" s="32">
        <f>SUM(AB837:AC837)</f>
        <v>37874</v>
      </c>
      <c r="AF837" s="12"/>
      <c r="AG837" s="12">
        <f>5328+135</f>
        <v>5463</v>
      </c>
      <c r="AH837" s="12"/>
      <c r="AI837" s="12">
        <f>SUM(AE837:AH837)</f>
        <v>43337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82</v>
      </c>
      <c r="C838" s="31">
        <v>6538</v>
      </c>
      <c r="D838" s="32">
        <f>39438+1842+4172</f>
        <v>45452</v>
      </c>
      <c r="E838" s="32"/>
      <c r="F838" s="32"/>
      <c r="G838" s="32">
        <f t="shared" si="180"/>
        <v>45452</v>
      </c>
      <c r="H838" s="12"/>
      <c r="I838" s="12"/>
      <c r="J838" s="12"/>
      <c r="K838" s="12">
        <f t="shared" si="181"/>
        <v>45452</v>
      </c>
      <c r="M838" s="10">
        <v>2</v>
      </c>
      <c r="N838" s="30" t="s">
        <v>82</v>
      </c>
      <c r="O838" s="31">
        <f>O837+1</f>
        <v>6620</v>
      </c>
      <c r="P838" s="32">
        <f>2504+9.5*4</f>
        <v>2542</v>
      </c>
      <c r="Q838" s="32"/>
      <c r="R838" s="32"/>
      <c r="S838" s="32">
        <f t="shared" ref="S838:S875" si="182">SUM(P838:Q838)</f>
        <v>2542</v>
      </c>
      <c r="T838" s="12"/>
      <c r="U838" s="12"/>
      <c r="V838" s="12"/>
      <c r="W838" s="12">
        <f t="shared" ref="W838:W878" si="183">SUM(S838:V838)</f>
        <v>2542</v>
      </c>
      <c r="Y838" s="10">
        <v>2</v>
      </c>
      <c r="Z838" s="30" t="s">
        <v>82</v>
      </c>
      <c r="AA838" s="31">
        <f>AA837+1</f>
        <v>6390</v>
      </c>
      <c r="AB838" s="32">
        <f>1252+596+28.5</f>
        <v>1876.5</v>
      </c>
      <c r="AC838" s="32"/>
      <c r="AD838" s="32"/>
      <c r="AE838" s="32">
        <f t="shared" ref="AE838:AE846" si="184">SUM(AB838:AC838)</f>
        <v>1876.5</v>
      </c>
      <c r="AF838" s="12"/>
      <c r="AG838" s="12">
        <v>22.5</v>
      </c>
      <c r="AH838" s="12"/>
      <c r="AI838" s="12">
        <f t="shared" ref="AI838:AI878" si="185">SUM(AE838:AH838)</f>
        <v>1899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82</v>
      </c>
      <c r="C839" s="31">
        <f t="shared" ref="C839:C860" si="186">C838+1</f>
        <v>6539</v>
      </c>
      <c r="D839" s="33">
        <f>2504+1228+913+596+674+48</f>
        <v>5963</v>
      </c>
      <c r="E839" s="33"/>
      <c r="F839" s="33"/>
      <c r="G839" s="33">
        <f t="shared" si="180"/>
        <v>5963</v>
      </c>
      <c r="H839" s="34"/>
      <c r="I839" s="34">
        <v>162</v>
      </c>
      <c r="J839" s="34"/>
      <c r="K839" s="34">
        <f t="shared" si="181"/>
        <v>6125</v>
      </c>
      <c r="M839" s="10">
        <v>3</v>
      </c>
      <c r="N839" s="30" t="s">
        <v>82</v>
      </c>
      <c r="O839" s="31">
        <f t="shared" ref="O839:O851" si="187">O838+1</f>
        <v>6621</v>
      </c>
      <c r="P839" s="32">
        <f>635.5</f>
        <v>635.5</v>
      </c>
      <c r="Q839" s="32"/>
      <c r="R839" s="32"/>
      <c r="S839" s="32">
        <f t="shared" si="182"/>
        <v>635.5</v>
      </c>
      <c r="T839" s="12"/>
      <c r="U839" s="12"/>
      <c r="V839" s="12"/>
      <c r="W839" s="12">
        <f t="shared" si="183"/>
        <v>635.5</v>
      </c>
      <c r="Y839" s="10">
        <v>3</v>
      </c>
      <c r="Z839" s="30" t="s">
        <v>82</v>
      </c>
      <c r="AA839" s="31">
        <f t="shared" ref="AA839:AA847" si="188">AA838+1</f>
        <v>6391</v>
      </c>
      <c r="AB839" s="33">
        <f>6260+95</f>
        <v>6355</v>
      </c>
      <c r="AC839" s="33"/>
      <c r="AD839" s="32"/>
      <c r="AE839" s="32">
        <f t="shared" si="184"/>
        <v>6355</v>
      </c>
      <c r="AF839" s="12"/>
      <c r="AG839" s="12">
        <v>40.5</v>
      </c>
      <c r="AH839" s="12"/>
      <c r="AI839" s="12">
        <f t="shared" si="185"/>
        <v>6395.5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82</v>
      </c>
      <c r="C840" s="31">
        <f t="shared" si="186"/>
        <v>6540</v>
      </c>
      <c r="D840" s="32">
        <f>1252+19</f>
        <v>1271</v>
      </c>
      <c r="E840" s="32"/>
      <c r="F840" s="32"/>
      <c r="G840" s="32">
        <f t="shared" si="180"/>
        <v>1271</v>
      </c>
      <c r="H840" s="12"/>
      <c r="I840" s="12"/>
      <c r="J840" s="12"/>
      <c r="K840" s="12">
        <f t="shared" si="181"/>
        <v>1271</v>
      </c>
      <c r="M840" s="10">
        <v>4</v>
      </c>
      <c r="N840" s="30" t="s">
        <v>82</v>
      </c>
      <c r="O840" s="31">
        <f t="shared" si="187"/>
        <v>6622</v>
      </c>
      <c r="P840" s="32">
        <f>110*626+2*229</f>
        <v>69318</v>
      </c>
      <c r="Q840" s="32">
        <v>-896</v>
      </c>
      <c r="R840" s="32"/>
      <c r="S840" s="32">
        <f t="shared" si="182"/>
        <v>68422</v>
      </c>
      <c r="T840" s="12"/>
      <c r="U840" s="12">
        <v>72</v>
      </c>
      <c r="V840" s="12"/>
      <c r="W840" s="12">
        <f t="shared" si="183"/>
        <v>68494</v>
      </c>
      <c r="Y840" s="10">
        <v>4</v>
      </c>
      <c r="Z840" s="30" t="s">
        <v>82</v>
      </c>
      <c r="AA840" s="31">
        <f t="shared" si="188"/>
        <v>6392</v>
      </c>
      <c r="AB840" s="32">
        <f>626+9.5</f>
        <v>635.5</v>
      </c>
      <c r="AC840" s="32"/>
      <c r="AD840" s="32"/>
      <c r="AE840" s="32">
        <f t="shared" si="184"/>
        <v>635.5</v>
      </c>
      <c r="AF840" s="12"/>
      <c r="AH840" s="12"/>
      <c r="AI840" s="12">
        <f t="shared" si="185"/>
        <v>635.5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82</v>
      </c>
      <c r="C841" s="31">
        <f t="shared" si="186"/>
        <v>6541</v>
      </c>
      <c r="D841" s="32">
        <f>1252+19</f>
        <v>1271</v>
      </c>
      <c r="E841" s="32"/>
      <c r="F841" s="32"/>
      <c r="G841" s="32">
        <f t="shared" si="180"/>
        <v>1271</v>
      </c>
      <c r="H841" s="12"/>
      <c r="I841" s="12"/>
      <c r="J841" s="12"/>
      <c r="K841" s="12">
        <f t="shared" si="181"/>
        <v>1271</v>
      </c>
      <c r="M841" s="10">
        <v>5</v>
      </c>
      <c r="N841" s="30" t="s">
        <v>82</v>
      </c>
      <c r="O841" s="31">
        <f t="shared" si="187"/>
        <v>6623</v>
      </c>
      <c r="P841" s="32">
        <f>1252+19</f>
        <v>1271</v>
      </c>
      <c r="Q841" s="32"/>
      <c r="R841" s="32"/>
      <c r="S841" s="32">
        <f t="shared" si="182"/>
        <v>1271</v>
      </c>
      <c r="T841" s="12"/>
      <c r="U841" s="12"/>
      <c r="V841" s="12"/>
      <c r="W841" s="12">
        <f t="shared" si="183"/>
        <v>1271</v>
      </c>
      <c r="Y841" s="10">
        <v>5</v>
      </c>
      <c r="Z841" s="30" t="s">
        <v>82</v>
      </c>
      <c r="AA841" s="31">
        <f t="shared" si="188"/>
        <v>6393</v>
      </c>
      <c r="AB841" s="32">
        <f>4382+674+596+9.5*8</f>
        <v>5728</v>
      </c>
      <c r="AC841" s="32"/>
      <c r="AD841" s="32"/>
      <c r="AE841" s="32">
        <f t="shared" si="184"/>
        <v>5728</v>
      </c>
      <c r="AF841" s="12"/>
      <c r="AG841" s="12"/>
      <c r="AH841" s="12"/>
      <c r="AI841" s="12">
        <f t="shared" si="185"/>
        <v>5728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82</v>
      </c>
      <c r="C842" s="31">
        <f t="shared" si="186"/>
        <v>6542</v>
      </c>
      <c r="D842" s="32">
        <f>2504+614+596+48</f>
        <v>3762</v>
      </c>
      <c r="E842" s="32"/>
      <c r="F842" s="32"/>
      <c r="G842" s="32">
        <f t="shared" si="180"/>
        <v>3762</v>
      </c>
      <c r="H842" s="12"/>
      <c r="I842" s="12"/>
      <c r="J842" s="12"/>
      <c r="K842" s="12">
        <f t="shared" si="181"/>
        <v>3762</v>
      </c>
      <c r="M842" s="10">
        <v>6</v>
      </c>
      <c r="N842" s="30" t="s">
        <v>82</v>
      </c>
      <c r="O842" s="31">
        <f t="shared" si="187"/>
        <v>6624</v>
      </c>
      <c r="P842" s="32">
        <f>8764+1192+152</f>
        <v>10108</v>
      </c>
      <c r="Q842" s="32"/>
      <c r="R842" s="32"/>
      <c r="S842" s="32">
        <f t="shared" si="182"/>
        <v>10108</v>
      </c>
      <c r="T842" s="12"/>
      <c r="U842" s="12"/>
      <c r="V842" s="10"/>
      <c r="W842" s="12">
        <f t="shared" si="183"/>
        <v>10108</v>
      </c>
      <c r="Y842" s="10">
        <v>6</v>
      </c>
      <c r="Z842" s="30" t="s">
        <v>82</v>
      </c>
      <c r="AA842" s="31">
        <f t="shared" si="188"/>
        <v>6394</v>
      </c>
      <c r="AB842" s="32">
        <f>14398+1228+229</f>
        <v>15855</v>
      </c>
      <c r="AC842" s="32"/>
      <c r="AD842" s="32"/>
      <c r="AE842" s="32">
        <f t="shared" si="184"/>
        <v>15855</v>
      </c>
      <c r="AF842" s="12"/>
      <c r="AG842" s="12">
        <v>103.5</v>
      </c>
      <c r="AH842" s="10">
        <f>-156</f>
        <v>-156</v>
      </c>
      <c r="AI842" s="12">
        <f t="shared" si="185"/>
        <v>15802.5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82</v>
      </c>
      <c r="C843" s="31">
        <f t="shared" si="186"/>
        <v>6543</v>
      </c>
      <c r="D843" s="32">
        <f>3130+614+48</f>
        <v>3792</v>
      </c>
      <c r="E843" s="32"/>
      <c r="F843" s="32"/>
      <c r="G843" s="32">
        <f t="shared" si="180"/>
        <v>3792</v>
      </c>
      <c r="H843" s="12"/>
      <c r="I843" s="12"/>
      <c r="J843" s="12"/>
      <c r="K843" s="12">
        <f t="shared" si="181"/>
        <v>3792</v>
      </c>
      <c r="M843" s="10">
        <v>7</v>
      </c>
      <c r="N843" s="30" t="s">
        <v>82</v>
      </c>
      <c r="O843" s="31">
        <f t="shared" si="187"/>
        <v>6625</v>
      </c>
      <c r="P843" s="32">
        <f>626*20+596*10+229*2</f>
        <v>18938</v>
      </c>
      <c r="Q843" s="32"/>
      <c r="R843" s="32"/>
      <c r="S843" s="32">
        <f t="shared" si="182"/>
        <v>18938</v>
      </c>
      <c r="T843" s="12"/>
      <c r="U843" s="12">
        <v>156</v>
      </c>
      <c r="V843" s="12"/>
      <c r="W843" s="12">
        <f t="shared" si="183"/>
        <v>19094</v>
      </c>
      <c r="Y843" s="10">
        <v>7</v>
      </c>
      <c r="Z843" s="30" t="s">
        <v>82</v>
      </c>
      <c r="AA843" s="31">
        <f t="shared" si="188"/>
        <v>6395</v>
      </c>
      <c r="AB843" s="32">
        <f>6260+4768+852</f>
        <v>11880</v>
      </c>
      <c r="AC843" s="32"/>
      <c r="AD843" s="32"/>
      <c r="AE843" s="32">
        <f t="shared" si="184"/>
        <v>11880</v>
      </c>
      <c r="AF843" s="12"/>
      <c r="AG843" s="58"/>
      <c r="AH843" s="12"/>
      <c r="AI843" s="12">
        <f t="shared" si="185"/>
        <v>11880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82</v>
      </c>
      <c r="C844" s="31">
        <f t="shared" si="186"/>
        <v>6544</v>
      </c>
      <c r="D844" s="32">
        <f>1252+19</f>
        <v>1271</v>
      </c>
      <c r="E844" s="32"/>
      <c r="F844" s="32"/>
      <c r="G844" s="32">
        <f t="shared" si="180"/>
        <v>1271</v>
      </c>
      <c r="H844" s="12"/>
      <c r="I844" s="12"/>
      <c r="J844" s="12"/>
      <c r="K844" s="12">
        <f t="shared" si="181"/>
        <v>1271</v>
      </c>
      <c r="M844" s="10">
        <v>8</v>
      </c>
      <c r="N844" s="30" t="s">
        <v>82</v>
      </c>
      <c r="O844" s="31">
        <f t="shared" si="187"/>
        <v>6626</v>
      </c>
      <c r="P844" s="32">
        <f>626*19+832+650</f>
        <v>13376</v>
      </c>
      <c r="Q844" s="32"/>
      <c r="R844" s="32"/>
      <c r="S844" s="32">
        <f t="shared" si="182"/>
        <v>13376</v>
      </c>
      <c r="T844" s="12"/>
      <c r="U844" s="12">
        <f>49.5</f>
        <v>49.5</v>
      </c>
      <c r="V844" s="12"/>
      <c r="W844" s="12">
        <f t="shared" si="183"/>
        <v>13425.5</v>
      </c>
      <c r="Y844" s="10">
        <v>8</v>
      </c>
      <c r="Z844" s="30" t="s">
        <v>82</v>
      </c>
      <c r="AA844" s="31">
        <f t="shared" si="188"/>
        <v>6396</v>
      </c>
      <c r="AB844" s="32">
        <f>9750</f>
        <v>9750</v>
      </c>
      <c r="AC844" s="32"/>
      <c r="AE844" s="32">
        <f t="shared" si="184"/>
        <v>9750</v>
      </c>
      <c r="AF844" s="12"/>
      <c r="AG844" s="12"/>
      <c r="AH844" s="12"/>
      <c r="AI844" s="12">
        <f t="shared" si="185"/>
        <v>9750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82</v>
      </c>
      <c r="C845" s="31">
        <f t="shared" si="186"/>
        <v>6545</v>
      </c>
      <c r="D845" s="32">
        <f>3756+614+596+67</f>
        <v>5033</v>
      </c>
      <c r="E845" s="32"/>
      <c r="F845" s="32"/>
      <c r="G845" s="32">
        <f t="shared" si="180"/>
        <v>5033</v>
      </c>
      <c r="H845" s="12"/>
      <c r="I845" s="12">
        <v>33</v>
      </c>
      <c r="J845" s="12"/>
      <c r="K845" s="12">
        <f t="shared" si="181"/>
        <v>5066</v>
      </c>
      <c r="M845" s="10">
        <v>9</v>
      </c>
      <c r="N845" s="30" t="s">
        <v>82</v>
      </c>
      <c r="O845" s="31">
        <f t="shared" si="187"/>
        <v>6627</v>
      </c>
      <c r="P845" s="32">
        <f>19406+614+832+229</f>
        <v>21081</v>
      </c>
      <c r="Q845" s="32"/>
      <c r="R845" s="32"/>
      <c r="S845" s="32">
        <f t="shared" si="182"/>
        <v>21081</v>
      </c>
      <c r="T845" s="12"/>
      <c r="U845" s="12">
        <v>36</v>
      </c>
      <c r="V845" s="12"/>
      <c r="W845" s="12">
        <f t="shared" si="183"/>
        <v>21117</v>
      </c>
      <c r="Y845" s="10">
        <v>9</v>
      </c>
      <c r="Z845" s="30" t="s">
        <v>82</v>
      </c>
      <c r="AA845" s="31">
        <f t="shared" si="188"/>
        <v>6397</v>
      </c>
      <c r="AB845" s="95">
        <f>626*77+596*23+852+832*2+229*4</f>
        <v>65342</v>
      </c>
      <c r="AC845" s="32">
        <v>-642</v>
      </c>
      <c r="AD845" s="32"/>
      <c r="AE845" s="32">
        <f t="shared" si="184"/>
        <v>64700</v>
      </c>
      <c r="AF845" s="12"/>
      <c r="AH845" s="12"/>
      <c r="AI845" s="12">
        <f t="shared" si="185"/>
        <v>64700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82</v>
      </c>
      <c r="C846" s="31">
        <f t="shared" si="186"/>
        <v>6546</v>
      </c>
      <c r="D846" s="32">
        <f>6260+95</f>
        <v>6355</v>
      </c>
      <c r="E846" s="32"/>
      <c r="F846" s="32"/>
      <c r="G846" s="32">
        <f t="shared" si="180"/>
        <v>6355</v>
      </c>
      <c r="H846" s="12"/>
      <c r="I846" s="12"/>
      <c r="J846" s="12"/>
      <c r="K846" s="12">
        <f t="shared" si="181"/>
        <v>6355</v>
      </c>
      <c r="M846" s="10">
        <v>10</v>
      </c>
      <c r="N846" s="30" t="s">
        <v>82</v>
      </c>
      <c r="O846" s="31">
        <f t="shared" si="187"/>
        <v>6628</v>
      </c>
      <c r="P846" s="32">
        <f>500</f>
        <v>500</v>
      </c>
      <c r="Q846" s="32"/>
      <c r="R846" s="32"/>
      <c r="S846" s="32">
        <f t="shared" si="182"/>
        <v>500</v>
      </c>
      <c r="T846" s="12"/>
      <c r="U846" s="12"/>
      <c r="V846" s="12"/>
      <c r="W846" s="12">
        <f t="shared" si="183"/>
        <v>500</v>
      </c>
      <c r="Y846" s="10">
        <v>10</v>
      </c>
      <c r="Z846" s="30" t="s">
        <v>82</v>
      </c>
      <c r="AA846" s="31">
        <f t="shared" si="188"/>
        <v>6398</v>
      </c>
      <c r="AB846" s="32">
        <f>6886+614+104.5</f>
        <v>7604.5</v>
      </c>
      <c r="AC846" s="32"/>
      <c r="AD846" s="32"/>
      <c r="AE846" s="32">
        <f t="shared" si="184"/>
        <v>7604.5</v>
      </c>
      <c r="AF846" s="12"/>
      <c r="AG846" s="12"/>
      <c r="AH846" s="12"/>
      <c r="AI846" s="12">
        <f t="shared" si="185"/>
        <v>7604.5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82</v>
      </c>
      <c r="C847" s="31">
        <f t="shared" si="186"/>
        <v>6547</v>
      </c>
      <c r="D847" s="32">
        <f>2504+614+596+48</f>
        <v>3762</v>
      </c>
      <c r="E847" s="32"/>
      <c r="F847" s="32"/>
      <c r="G847" s="32">
        <f t="shared" si="180"/>
        <v>3762</v>
      </c>
      <c r="H847" s="12"/>
      <c r="I847" s="12">
        <v>4.5</v>
      </c>
      <c r="J847" s="12"/>
      <c r="K847" s="12">
        <f t="shared" si="181"/>
        <v>3766.5</v>
      </c>
      <c r="M847" s="10">
        <v>11</v>
      </c>
      <c r="N847" s="30" t="s">
        <v>82</v>
      </c>
      <c r="O847" s="31">
        <f t="shared" si="187"/>
        <v>6629</v>
      </c>
      <c r="P847" s="32">
        <f>3756+596+66.5+229</f>
        <v>4647.5</v>
      </c>
      <c r="Q847" s="32"/>
      <c r="R847" s="32"/>
      <c r="S847" s="32">
        <f t="shared" si="182"/>
        <v>4647.5</v>
      </c>
      <c r="T847" s="12"/>
      <c r="U847" s="12"/>
      <c r="V847" s="12"/>
      <c r="W847" s="12">
        <f t="shared" si="183"/>
        <v>4647.5</v>
      </c>
      <c r="Y847" s="10">
        <v>11</v>
      </c>
      <c r="Z847" s="30" t="s">
        <v>82</v>
      </c>
      <c r="AA847" s="31">
        <f t="shared" si="188"/>
        <v>6399</v>
      </c>
      <c r="AB847" s="32">
        <f>9390+650</f>
        <v>10040</v>
      </c>
      <c r="AC847" s="32"/>
      <c r="AD847" s="32"/>
      <c r="AE847" s="32">
        <f t="shared" ref="AE847:AE875" si="189">SUM(AB847:AC847)</f>
        <v>10040</v>
      </c>
      <c r="AF847" s="12"/>
      <c r="AG847" s="12"/>
      <c r="AH847" s="12"/>
      <c r="AI847" s="12">
        <f t="shared" si="185"/>
        <v>10040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82</v>
      </c>
      <c r="C848" s="31">
        <f t="shared" si="186"/>
        <v>6548</v>
      </c>
      <c r="D848" s="32">
        <f>626+614+9.5</f>
        <v>1249.5</v>
      </c>
      <c r="E848" s="32"/>
      <c r="F848" s="32"/>
      <c r="G848" s="32">
        <f t="shared" si="180"/>
        <v>1249.5</v>
      </c>
      <c r="H848" s="12"/>
      <c r="I848" s="12"/>
      <c r="J848" s="10"/>
      <c r="K848" s="12">
        <f t="shared" si="181"/>
        <v>1249.5</v>
      </c>
      <c r="M848" s="10">
        <v>12</v>
      </c>
      <c r="N848" s="30" t="s">
        <v>82</v>
      </c>
      <c r="O848" s="31">
        <f t="shared" si="187"/>
        <v>6630</v>
      </c>
      <c r="P848" s="32">
        <f>7512+1788+142.5</f>
        <v>9442.5</v>
      </c>
      <c r="Q848" s="32"/>
      <c r="R848" s="32"/>
      <c r="S848" s="32">
        <f t="shared" si="182"/>
        <v>9442.5</v>
      </c>
      <c r="T848" s="12"/>
      <c r="U848" s="12"/>
      <c r="V848" s="12"/>
      <c r="W848" s="12">
        <f t="shared" si="183"/>
        <v>9442.5</v>
      </c>
      <c r="Y848" s="10">
        <v>12</v>
      </c>
      <c r="Z848" s="30"/>
      <c r="AA848" s="11" t="s">
        <v>28</v>
      </c>
      <c r="AB848" s="32"/>
      <c r="AC848" s="32"/>
      <c r="AD848" s="32"/>
      <c r="AE848" s="32">
        <f t="shared" si="189"/>
        <v>0</v>
      </c>
      <c r="AF848" s="12"/>
      <c r="AG848" s="12"/>
      <c r="AH848" s="12"/>
      <c r="AI848" s="12">
        <f t="shared" si="18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82</v>
      </c>
      <c r="C849" s="31">
        <f t="shared" si="186"/>
        <v>6549</v>
      </c>
      <c r="D849" s="32">
        <f>614</f>
        <v>614</v>
      </c>
      <c r="E849" s="32"/>
      <c r="F849" s="32"/>
      <c r="G849" s="32">
        <f t="shared" si="180"/>
        <v>614</v>
      </c>
      <c r="H849" s="12"/>
      <c r="I849" s="12"/>
      <c r="J849" s="12"/>
      <c r="K849" s="12">
        <f t="shared" si="181"/>
        <v>614</v>
      </c>
      <c r="M849" s="10">
        <v>13</v>
      </c>
      <c r="N849" s="30" t="s">
        <v>82</v>
      </c>
      <c r="O849" s="31">
        <f t="shared" si="187"/>
        <v>6631</v>
      </c>
      <c r="P849" s="32">
        <f>626+614+9.5</f>
        <v>1249.5</v>
      </c>
      <c r="Q849" s="32"/>
      <c r="R849" s="32"/>
      <c r="S849" s="32">
        <f t="shared" si="182"/>
        <v>1249.5</v>
      </c>
      <c r="T849" s="12"/>
      <c r="U849" s="12"/>
      <c r="V849" s="12"/>
      <c r="W849" s="12">
        <f t="shared" si="183"/>
        <v>1249.5</v>
      </c>
      <c r="Y849" s="10">
        <v>13</v>
      </c>
      <c r="Z849" s="30"/>
      <c r="AA849" s="31"/>
      <c r="AB849" s="32"/>
      <c r="AC849" s="32"/>
      <c r="AD849" s="32"/>
      <c r="AE849" s="32">
        <f t="shared" si="189"/>
        <v>0</v>
      </c>
      <c r="AF849" s="12"/>
      <c r="AG849" s="12"/>
      <c r="AH849" s="12"/>
      <c r="AI849" s="12">
        <f t="shared" si="18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82</v>
      </c>
      <c r="C850" s="31">
        <f t="shared" si="186"/>
        <v>6550</v>
      </c>
      <c r="D850" s="32">
        <f>1878+596</f>
        <v>2474</v>
      </c>
      <c r="E850" s="32"/>
      <c r="F850" s="32"/>
      <c r="G850" s="32">
        <f t="shared" si="180"/>
        <v>2474</v>
      </c>
      <c r="H850" s="12"/>
      <c r="I850" s="12"/>
      <c r="J850" s="12"/>
      <c r="K850" s="12">
        <f t="shared" si="181"/>
        <v>2474</v>
      </c>
      <c r="M850" s="10">
        <v>14</v>
      </c>
      <c r="N850" s="30" t="s">
        <v>82</v>
      </c>
      <c r="O850" s="31">
        <f t="shared" si="187"/>
        <v>6632</v>
      </c>
      <c r="P850" s="32">
        <f>2504+614+38</f>
        <v>3156</v>
      </c>
      <c r="Q850" s="32"/>
      <c r="R850" s="32"/>
      <c r="S850" s="32">
        <f t="shared" si="182"/>
        <v>3156</v>
      </c>
      <c r="T850" s="12"/>
      <c r="U850" s="12">
        <v>13.5</v>
      </c>
      <c r="V850" s="12"/>
      <c r="W850" s="12">
        <f t="shared" si="183"/>
        <v>3169.5</v>
      </c>
      <c r="Y850" s="10">
        <v>14</v>
      </c>
      <c r="Z850" s="30"/>
      <c r="AA850" s="31"/>
      <c r="AB850" s="32"/>
      <c r="AC850" s="32"/>
      <c r="AD850" s="32"/>
      <c r="AE850" s="32">
        <f t="shared" si="189"/>
        <v>0</v>
      </c>
      <c r="AF850" s="12"/>
      <c r="AG850" s="12"/>
      <c r="AH850" s="12"/>
      <c r="AI850" s="12">
        <f t="shared" si="18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82</v>
      </c>
      <c r="C851" s="31">
        <f t="shared" si="186"/>
        <v>6551</v>
      </c>
      <c r="D851" s="32">
        <f>4382+1842+596+832+67</f>
        <v>7719</v>
      </c>
      <c r="E851" s="32"/>
      <c r="F851" s="32"/>
      <c r="G851" s="32">
        <f t="shared" si="180"/>
        <v>7719</v>
      </c>
      <c r="H851" s="12"/>
      <c r="I851" s="12">
        <v>49.5</v>
      </c>
      <c r="J851" s="12"/>
      <c r="K851" s="12">
        <f t="shared" si="181"/>
        <v>7768.5</v>
      </c>
      <c r="M851" s="10">
        <v>15</v>
      </c>
      <c r="N851" s="30" t="s">
        <v>82</v>
      </c>
      <c r="O851" s="31">
        <f t="shared" si="187"/>
        <v>6633</v>
      </c>
      <c r="P851" s="32">
        <f>832</f>
        <v>832</v>
      </c>
      <c r="Q851" s="32"/>
      <c r="R851" s="32"/>
      <c r="S851" s="32">
        <f t="shared" si="182"/>
        <v>832</v>
      </c>
      <c r="T851" s="12"/>
      <c r="U851" s="12"/>
      <c r="V851" s="12"/>
      <c r="W851" s="12">
        <f t="shared" si="183"/>
        <v>832</v>
      </c>
      <c r="Y851" s="10">
        <v>15</v>
      </c>
      <c r="Z851" s="30"/>
      <c r="AA851" s="31"/>
      <c r="AB851" s="32"/>
      <c r="AC851" s="32"/>
      <c r="AD851" s="32"/>
      <c r="AE851" s="32">
        <f t="shared" si="189"/>
        <v>0</v>
      </c>
      <c r="AF851" s="12"/>
      <c r="AG851" s="12"/>
      <c r="AH851" s="12"/>
      <c r="AI851" s="12">
        <f t="shared" si="18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82</v>
      </c>
      <c r="C852" s="31">
        <f t="shared" si="186"/>
        <v>6552</v>
      </c>
      <c r="D852" s="32">
        <f>1878+614+28</f>
        <v>2520</v>
      </c>
      <c r="E852" s="32"/>
      <c r="F852" s="32"/>
      <c r="G852" s="32">
        <f t="shared" si="180"/>
        <v>2520</v>
      </c>
      <c r="H852" s="12"/>
      <c r="I852" s="12">
        <v>27</v>
      </c>
      <c r="J852" s="12"/>
      <c r="K852" s="12">
        <f t="shared" si="181"/>
        <v>2547</v>
      </c>
      <c r="M852" s="10">
        <v>16</v>
      </c>
      <c r="N852" s="30"/>
      <c r="O852" s="11" t="s">
        <v>28</v>
      </c>
      <c r="P852" s="32"/>
      <c r="Q852" s="32"/>
      <c r="R852" s="32"/>
      <c r="S852" s="32">
        <f t="shared" si="182"/>
        <v>0</v>
      </c>
      <c r="T852" s="12"/>
      <c r="U852" s="12"/>
      <c r="V852" s="12"/>
      <c r="W852" s="12">
        <f t="shared" si="183"/>
        <v>0</v>
      </c>
      <c r="Y852" s="10">
        <v>16</v>
      </c>
      <c r="Z852" s="30"/>
      <c r="AA852" s="31"/>
      <c r="AB852" s="32"/>
      <c r="AC852" s="32"/>
      <c r="AD852" s="32"/>
      <c r="AE852" s="32">
        <f t="shared" si="189"/>
        <v>0</v>
      </c>
      <c r="AF852" s="12"/>
      <c r="AG852" s="12"/>
      <c r="AH852" s="12"/>
      <c r="AI852" s="12">
        <f t="shared" si="18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82</v>
      </c>
      <c r="C853" s="31">
        <f t="shared" si="186"/>
        <v>6553</v>
      </c>
      <c r="D853" s="32">
        <f>2504+596+48</f>
        <v>3148</v>
      </c>
      <c r="E853" s="32"/>
      <c r="F853" s="32"/>
      <c r="G853" s="32">
        <f t="shared" si="180"/>
        <v>3148</v>
      </c>
      <c r="H853" s="12"/>
      <c r="I853" s="12"/>
      <c r="J853" s="12"/>
      <c r="K853" s="12">
        <f t="shared" si="181"/>
        <v>3148</v>
      </c>
      <c r="M853" s="10">
        <v>17</v>
      </c>
      <c r="N853" s="30"/>
      <c r="O853" s="31"/>
      <c r="P853" s="35"/>
      <c r="Q853" s="32"/>
      <c r="R853" s="32"/>
      <c r="S853" s="32">
        <f t="shared" si="182"/>
        <v>0</v>
      </c>
      <c r="T853" s="12"/>
      <c r="U853" s="12"/>
      <c r="V853" s="12"/>
      <c r="W853" s="12">
        <f t="shared" si="183"/>
        <v>0</v>
      </c>
      <c r="Y853" s="10">
        <v>17</v>
      </c>
      <c r="Z853" s="30"/>
      <c r="AA853" s="31"/>
      <c r="AB853" s="35"/>
      <c r="AC853" s="32"/>
      <c r="AD853" s="32"/>
      <c r="AE853" s="32">
        <f t="shared" si="189"/>
        <v>0</v>
      </c>
      <c r="AF853" s="12"/>
      <c r="AG853" s="12"/>
      <c r="AH853" s="12"/>
      <c r="AI853" s="12">
        <f t="shared" si="18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 t="s">
        <v>82</v>
      </c>
      <c r="C854" s="31">
        <f t="shared" si="186"/>
        <v>6554</v>
      </c>
      <c r="D854" s="32">
        <f>10642</f>
        <v>10642</v>
      </c>
      <c r="E854" s="32"/>
      <c r="F854" s="32"/>
      <c r="G854" s="32">
        <f t="shared" si="180"/>
        <v>10642</v>
      </c>
      <c r="H854" s="12"/>
      <c r="I854" s="12"/>
      <c r="J854" s="12"/>
      <c r="K854" s="12">
        <f t="shared" si="181"/>
        <v>10642</v>
      </c>
      <c r="M854" s="10">
        <v>18</v>
      </c>
      <c r="N854" s="30"/>
      <c r="O854" s="31"/>
      <c r="P854" s="32"/>
      <c r="Q854" s="32"/>
      <c r="R854" s="32"/>
      <c r="S854" s="32">
        <f t="shared" si="182"/>
        <v>0</v>
      </c>
      <c r="T854" s="12"/>
      <c r="U854" s="12"/>
      <c r="V854" s="12"/>
      <c r="W854" s="12">
        <f t="shared" si="183"/>
        <v>0</v>
      </c>
      <c r="Y854" s="10">
        <v>18</v>
      </c>
      <c r="Z854" s="30"/>
      <c r="AA854" s="31"/>
      <c r="AB854" s="32"/>
      <c r="AC854" s="32"/>
      <c r="AD854" s="32"/>
      <c r="AE854" s="32">
        <f t="shared" si="189"/>
        <v>0</v>
      </c>
      <c r="AF854" s="12"/>
      <c r="AG854" s="12"/>
      <c r="AH854" s="12"/>
      <c r="AI854" s="12">
        <f t="shared" si="18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 t="s">
        <v>82</v>
      </c>
      <c r="C855" s="31">
        <f t="shared" si="186"/>
        <v>6555</v>
      </c>
      <c r="D855" s="32">
        <f>6260+596</f>
        <v>6856</v>
      </c>
      <c r="E855" s="32"/>
      <c r="F855" s="32"/>
      <c r="G855" s="32">
        <f t="shared" si="180"/>
        <v>6856</v>
      </c>
      <c r="H855" s="12"/>
      <c r="I855" s="12"/>
      <c r="J855" s="12"/>
      <c r="K855" s="12">
        <f t="shared" si="181"/>
        <v>6856</v>
      </c>
      <c r="M855" s="10">
        <v>19</v>
      </c>
      <c r="N855" s="30"/>
      <c r="P855" s="32"/>
      <c r="Q855" s="32"/>
      <c r="R855" s="32"/>
      <c r="S855" s="32">
        <f t="shared" si="182"/>
        <v>0</v>
      </c>
      <c r="T855" s="12"/>
      <c r="U855" s="12"/>
      <c r="V855" s="12"/>
      <c r="W855" s="12">
        <f t="shared" si="183"/>
        <v>0</v>
      </c>
      <c r="Y855" s="10">
        <v>19</v>
      </c>
      <c r="Z855" s="30"/>
      <c r="AA855" s="31"/>
      <c r="AB855" s="32"/>
      <c r="AC855" s="32"/>
      <c r="AD855" s="32"/>
      <c r="AE855" s="32">
        <f t="shared" si="189"/>
        <v>0</v>
      </c>
      <c r="AF855" s="12"/>
      <c r="AG855" s="12"/>
      <c r="AH855" s="12"/>
      <c r="AI855" s="12">
        <f t="shared" si="18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 t="s">
        <v>82</v>
      </c>
      <c r="C856" s="31">
        <f t="shared" si="186"/>
        <v>6556</v>
      </c>
      <c r="D856" s="32">
        <f>3130+48</f>
        <v>3178</v>
      </c>
      <c r="E856" s="32"/>
      <c r="F856" s="32"/>
      <c r="G856" s="32">
        <f t="shared" si="180"/>
        <v>3178</v>
      </c>
      <c r="H856" s="12"/>
      <c r="I856" s="12"/>
      <c r="J856" s="12"/>
      <c r="K856" s="12">
        <f t="shared" si="181"/>
        <v>3178</v>
      </c>
      <c r="M856" s="10">
        <v>20</v>
      </c>
      <c r="N856" s="30"/>
      <c r="O856" s="31"/>
      <c r="P856" s="32"/>
      <c r="Q856" s="32"/>
      <c r="R856" s="32"/>
      <c r="S856" s="32">
        <f t="shared" si="182"/>
        <v>0</v>
      </c>
      <c r="T856" s="12"/>
      <c r="U856" s="12"/>
      <c r="V856" s="12"/>
      <c r="W856" s="12">
        <f t="shared" si="183"/>
        <v>0</v>
      </c>
      <c r="Y856" s="10">
        <v>20</v>
      </c>
      <c r="Z856" s="30"/>
      <c r="AB856" s="32"/>
      <c r="AC856" s="32"/>
      <c r="AD856" s="32"/>
      <c r="AE856" s="32">
        <f t="shared" si="189"/>
        <v>0</v>
      </c>
      <c r="AF856" s="12"/>
      <c r="AG856" s="12"/>
      <c r="AH856" s="12"/>
      <c r="AI856" s="12">
        <f t="shared" si="18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 t="s">
        <v>82</v>
      </c>
      <c r="C857" s="31">
        <f t="shared" si="186"/>
        <v>6557</v>
      </c>
      <c r="D857" s="32">
        <f>1252+19</f>
        <v>1271</v>
      </c>
      <c r="E857" s="32"/>
      <c r="F857" s="32"/>
      <c r="G857" s="32">
        <f t="shared" si="180"/>
        <v>1271</v>
      </c>
      <c r="H857" s="10"/>
      <c r="I857" s="10"/>
      <c r="J857" s="10"/>
      <c r="K857" s="12">
        <f t="shared" si="181"/>
        <v>1271</v>
      </c>
      <c r="M857" s="10">
        <v>21</v>
      </c>
      <c r="N857" s="30"/>
      <c r="P857" s="46"/>
      <c r="Q857" s="31"/>
      <c r="R857" s="31"/>
      <c r="S857" s="32">
        <f t="shared" si="182"/>
        <v>0</v>
      </c>
      <c r="T857" s="10"/>
      <c r="U857" s="10"/>
      <c r="V857" s="10"/>
      <c r="W857" s="12">
        <f t="shared" si="183"/>
        <v>0</v>
      </c>
      <c r="Y857" s="10">
        <v>21</v>
      </c>
      <c r="Z857" s="30"/>
      <c r="AB857" s="46"/>
      <c r="AC857" s="31"/>
      <c r="AD857" s="31"/>
      <c r="AE857" s="32">
        <f t="shared" si="189"/>
        <v>0</v>
      </c>
      <c r="AF857" s="10"/>
      <c r="AG857" s="10"/>
      <c r="AH857" s="10"/>
      <c r="AI857" s="12">
        <f t="shared" si="18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 t="s">
        <v>82</v>
      </c>
      <c r="C858" s="31">
        <f t="shared" si="186"/>
        <v>6558</v>
      </c>
      <c r="D858" s="32">
        <f>6260+832+95</f>
        <v>7187</v>
      </c>
      <c r="E858" s="32"/>
      <c r="F858" s="32"/>
      <c r="G858" s="32">
        <f t="shared" si="180"/>
        <v>7187</v>
      </c>
      <c r="H858" s="10"/>
      <c r="I858" s="10"/>
      <c r="J858" s="10"/>
      <c r="K858" s="12">
        <f t="shared" si="181"/>
        <v>7187</v>
      </c>
      <c r="M858" s="10">
        <v>22</v>
      </c>
      <c r="N858" s="30"/>
      <c r="O858" s="31"/>
      <c r="P858" s="45"/>
      <c r="Q858" s="31"/>
      <c r="R858" s="31"/>
      <c r="S858" s="32">
        <f t="shared" si="182"/>
        <v>0</v>
      </c>
      <c r="T858" s="10"/>
      <c r="U858" s="10"/>
      <c r="V858" s="10"/>
      <c r="W858" s="12">
        <f t="shared" si="183"/>
        <v>0</v>
      </c>
      <c r="Y858" s="10">
        <v>22</v>
      </c>
      <c r="Z858" s="30"/>
      <c r="AA858" s="31"/>
      <c r="AB858" s="45"/>
      <c r="AC858" s="31"/>
      <c r="AD858" s="31"/>
      <c r="AE858" s="32">
        <f t="shared" si="189"/>
        <v>0</v>
      </c>
      <c r="AF858" s="10"/>
      <c r="AG858" s="10"/>
      <c r="AH858" s="10"/>
      <c r="AI858" s="12">
        <f t="shared" si="18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 t="s">
        <v>82</v>
      </c>
      <c r="C859" s="31">
        <f t="shared" si="186"/>
        <v>6559</v>
      </c>
      <c r="D859" s="32">
        <f>6260+3576+1175+1102</f>
        <v>12113</v>
      </c>
      <c r="E859" s="32"/>
      <c r="F859" s="32"/>
      <c r="G859" s="32">
        <f t="shared" si="180"/>
        <v>12113</v>
      </c>
      <c r="H859" s="10"/>
      <c r="I859" s="10"/>
      <c r="J859" s="12"/>
      <c r="K859" s="12">
        <f t="shared" si="181"/>
        <v>12113</v>
      </c>
      <c r="M859" s="10">
        <v>23</v>
      </c>
      <c r="N859" s="30"/>
      <c r="O859" s="31"/>
      <c r="P859" s="47"/>
      <c r="Q859" s="31"/>
      <c r="S859" s="32">
        <f t="shared" si="182"/>
        <v>0</v>
      </c>
      <c r="T859" s="10"/>
      <c r="U859" s="10"/>
      <c r="V859" s="10"/>
      <c r="W859" s="12">
        <f t="shared" si="183"/>
        <v>0</v>
      </c>
      <c r="Y859" s="10">
        <v>23</v>
      </c>
      <c r="Z859" s="30"/>
      <c r="AA859" s="31"/>
      <c r="AB859" s="47"/>
      <c r="AE859" s="32">
        <f t="shared" si="189"/>
        <v>0</v>
      </c>
      <c r="AF859" s="10"/>
      <c r="AG859" s="10"/>
      <c r="AH859" s="10"/>
      <c r="AI859" s="12">
        <f t="shared" si="18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 t="s">
        <v>82</v>
      </c>
      <c r="C860" s="31">
        <f t="shared" si="186"/>
        <v>6560</v>
      </c>
      <c r="D860" s="32">
        <f>2504+38+650</f>
        <v>3192</v>
      </c>
      <c r="E860" s="32"/>
      <c r="F860" s="32"/>
      <c r="G860" s="32">
        <f t="shared" si="180"/>
        <v>3192</v>
      </c>
      <c r="H860" s="10"/>
      <c r="I860" s="10"/>
      <c r="J860" s="10"/>
      <c r="K860" s="12">
        <f t="shared" si="181"/>
        <v>3192</v>
      </c>
      <c r="M860" s="10">
        <v>24</v>
      </c>
      <c r="N860" s="30"/>
      <c r="O860" s="31"/>
      <c r="P860" s="47"/>
      <c r="Q860" s="31"/>
      <c r="R860" s="31"/>
      <c r="S860" s="32">
        <f t="shared" si="182"/>
        <v>0</v>
      </c>
      <c r="T860" s="10"/>
      <c r="U860" s="10"/>
      <c r="V860" s="10"/>
      <c r="W860" s="12">
        <f t="shared" si="183"/>
        <v>0</v>
      </c>
      <c r="Y860" s="10">
        <v>24</v>
      </c>
      <c r="Z860" s="30"/>
      <c r="AA860" s="31"/>
      <c r="AB860" s="47"/>
      <c r="AC860" s="31"/>
      <c r="AD860" s="31"/>
      <c r="AE860" s="32">
        <f t="shared" si="189"/>
        <v>0</v>
      </c>
      <c r="AF860" s="10"/>
      <c r="AG860" s="10"/>
      <c r="AH860" s="10"/>
      <c r="AI860" s="12">
        <f t="shared" si="18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11" t="s">
        <v>28</v>
      </c>
      <c r="D861" s="32"/>
      <c r="E861" s="32"/>
      <c r="F861" s="32"/>
      <c r="G861" s="32">
        <f t="shared" si="180"/>
        <v>0</v>
      </c>
      <c r="H861" s="10"/>
      <c r="I861" s="10"/>
      <c r="J861" s="10"/>
      <c r="K861" s="12">
        <f t="shared" si="181"/>
        <v>0</v>
      </c>
      <c r="M861" s="10">
        <v>25</v>
      </c>
      <c r="N861" s="30"/>
      <c r="O861" s="31"/>
      <c r="P861" s="47"/>
      <c r="Q861" s="31"/>
      <c r="R861" s="31"/>
      <c r="S861" s="32">
        <f t="shared" si="182"/>
        <v>0</v>
      </c>
      <c r="T861" s="10"/>
      <c r="U861" s="10"/>
      <c r="V861" s="10"/>
      <c r="W861" s="12">
        <f t="shared" si="183"/>
        <v>0</v>
      </c>
      <c r="Y861" s="10">
        <v>25</v>
      </c>
      <c r="Z861" s="30"/>
      <c r="AA861" s="31"/>
      <c r="AB861" s="47"/>
      <c r="AC861" s="31"/>
      <c r="AD861" s="31"/>
      <c r="AE861" s="32">
        <f t="shared" si="189"/>
        <v>0</v>
      </c>
      <c r="AF861" s="10"/>
      <c r="AG861" s="10"/>
      <c r="AH861" s="10"/>
      <c r="AI861" s="12">
        <f t="shared" si="18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180"/>
        <v>0</v>
      </c>
      <c r="H862" s="10"/>
      <c r="I862" s="10"/>
      <c r="J862" s="10"/>
      <c r="K862" s="12">
        <f t="shared" si="181"/>
        <v>0</v>
      </c>
      <c r="M862" s="10">
        <v>26</v>
      </c>
      <c r="N862" s="30"/>
      <c r="P862" s="47"/>
      <c r="Q862" s="31"/>
      <c r="R862" s="31"/>
      <c r="S862" s="32">
        <f t="shared" si="182"/>
        <v>0</v>
      </c>
      <c r="T862" s="10"/>
      <c r="U862" s="10"/>
      <c r="V862" s="10"/>
      <c r="W862" s="12">
        <f t="shared" si="183"/>
        <v>0</v>
      </c>
      <c r="Y862" s="10">
        <v>26</v>
      </c>
      <c r="Z862" s="30"/>
      <c r="AA862" s="31"/>
      <c r="AB862" s="47"/>
      <c r="AC862" s="31"/>
      <c r="AD862" s="31"/>
      <c r="AE862" s="32">
        <f t="shared" si="189"/>
        <v>0</v>
      </c>
      <c r="AF862" s="10"/>
      <c r="AG862" s="10"/>
      <c r="AH862" s="10"/>
      <c r="AI862" s="12">
        <f t="shared" si="18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180"/>
        <v>0</v>
      </c>
      <c r="H863" s="10"/>
      <c r="I863" s="10"/>
      <c r="J863" s="10"/>
      <c r="K863" s="12">
        <f t="shared" si="181"/>
        <v>0</v>
      </c>
      <c r="M863" s="10">
        <v>27</v>
      </c>
      <c r="N863" s="30"/>
      <c r="O863" s="31"/>
      <c r="P863" s="47"/>
      <c r="Q863" s="31"/>
      <c r="R863" s="31"/>
      <c r="S863" s="32">
        <f t="shared" si="182"/>
        <v>0</v>
      </c>
      <c r="T863" s="10"/>
      <c r="U863" s="10"/>
      <c r="V863" s="10"/>
      <c r="W863" s="12">
        <f t="shared" si="183"/>
        <v>0</v>
      </c>
      <c r="Y863" s="10">
        <v>27</v>
      </c>
      <c r="Z863" s="30"/>
      <c r="AA863" s="31"/>
      <c r="AB863" s="47"/>
      <c r="AC863" s="31"/>
      <c r="AD863" s="31"/>
      <c r="AE863" s="32">
        <f t="shared" si="189"/>
        <v>0</v>
      </c>
      <c r="AF863" s="10"/>
      <c r="AG863" s="10"/>
      <c r="AH863" s="10"/>
      <c r="AI863" s="12">
        <f t="shared" si="18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57"/>
      <c r="D864" s="32"/>
      <c r="E864" s="32"/>
      <c r="F864" s="32"/>
      <c r="G864" s="32">
        <f t="shared" si="180"/>
        <v>0</v>
      </c>
      <c r="H864" s="10"/>
      <c r="I864" s="10"/>
      <c r="J864" s="10"/>
      <c r="K864" s="12">
        <f t="shared" si="181"/>
        <v>0</v>
      </c>
      <c r="M864" s="10">
        <v>28</v>
      </c>
      <c r="N864" s="30"/>
      <c r="O864" s="31"/>
      <c r="P864" s="47"/>
      <c r="Q864" s="31"/>
      <c r="R864" s="31"/>
      <c r="S864" s="32">
        <f t="shared" si="182"/>
        <v>0</v>
      </c>
      <c r="T864" s="10"/>
      <c r="U864" s="10"/>
      <c r="V864" s="10"/>
      <c r="W864" s="12">
        <f t="shared" si="183"/>
        <v>0</v>
      </c>
      <c r="Y864" s="10">
        <v>28</v>
      </c>
      <c r="Z864" s="30"/>
      <c r="AA864" s="31"/>
      <c r="AB864" s="47"/>
      <c r="AC864" s="31"/>
      <c r="AD864" s="31"/>
      <c r="AE864" s="32">
        <f t="shared" si="189"/>
        <v>0</v>
      </c>
      <c r="AF864" s="10"/>
      <c r="AG864" s="10"/>
      <c r="AH864" s="10"/>
      <c r="AI864" s="12">
        <f t="shared" si="18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57"/>
      <c r="D865" s="32"/>
      <c r="E865" s="32"/>
      <c r="F865" s="32"/>
      <c r="G865" s="32">
        <f t="shared" si="180"/>
        <v>0</v>
      </c>
      <c r="H865" s="10"/>
      <c r="I865" s="10"/>
      <c r="J865" s="10"/>
      <c r="K865" s="12">
        <f t="shared" si="181"/>
        <v>0</v>
      </c>
      <c r="M865" s="10">
        <v>29</v>
      </c>
      <c r="N865" s="30"/>
      <c r="O865" s="31"/>
      <c r="P865" s="47"/>
      <c r="Q865" s="31"/>
      <c r="R865" s="31"/>
      <c r="S865" s="32">
        <f t="shared" si="182"/>
        <v>0</v>
      </c>
      <c r="T865" s="10"/>
      <c r="U865" s="10"/>
      <c r="V865" s="10"/>
      <c r="W865" s="12">
        <f t="shared" si="183"/>
        <v>0</v>
      </c>
      <c r="Y865" s="10">
        <v>29</v>
      </c>
      <c r="Z865" s="30"/>
      <c r="AA865" s="31"/>
      <c r="AB865" s="47"/>
      <c r="AC865" s="31"/>
      <c r="AD865" s="31"/>
      <c r="AE865" s="32">
        <f t="shared" si="189"/>
        <v>0</v>
      </c>
      <c r="AF865" s="10"/>
      <c r="AG865" s="10"/>
      <c r="AH865" s="10"/>
      <c r="AI865" s="12">
        <f t="shared" si="18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11"/>
      <c r="D866" s="32"/>
      <c r="E866" s="32"/>
      <c r="F866" s="32"/>
      <c r="G866" s="32">
        <f t="shared" si="180"/>
        <v>0</v>
      </c>
      <c r="H866" s="10"/>
      <c r="I866" s="10"/>
      <c r="J866" s="10"/>
      <c r="K866" s="12">
        <f t="shared" si="181"/>
        <v>0</v>
      </c>
      <c r="M866" s="10">
        <v>30</v>
      </c>
      <c r="N866" s="30"/>
      <c r="P866" s="47"/>
      <c r="Q866" s="31"/>
      <c r="R866" s="31"/>
      <c r="S866" s="32">
        <f t="shared" si="182"/>
        <v>0</v>
      </c>
      <c r="T866" s="10"/>
      <c r="U866" s="10"/>
      <c r="V866" s="10"/>
      <c r="W866" s="12">
        <f t="shared" si="183"/>
        <v>0</v>
      </c>
      <c r="Y866" s="10">
        <v>30</v>
      </c>
      <c r="Z866" s="30"/>
      <c r="AA866" s="31"/>
      <c r="AB866" s="47"/>
      <c r="AC866" s="31"/>
      <c r="AD866" s="31"/>
      <c r="AE866" s="32">
        <f t="shared" si="189"/>
        <v>0</v>
      </c>
      <c r="AF866" s="10"/>
      <c r="AG866" s="10"/>
      <c r="AH866" s="10"/>
      <c r="AI866" s="12">
        <f t="shared" si="18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180"/>
        <v>0</v>
      </c>
      <c r="H867" s="10"/>
      <c r="I867" s="10"/>
      <c r="J867" s="10"/>
      <c r="K867" s="12">
        <f t="shared" si="181"/>
        <v>0</v>
      </c>
      <c r="M867" s="10">
        <v>31</v>
      </c>
      <c r="N867" s="30"/>
      <c r="O867" s="31"/>
      <c r="P867" s="47"/>
      <c r="Q867" s="31"/>
      <c r="R867" s="31"/>
      <c r="S867" s="32">
        <f t="shared" si="182"/>
        <v>0</v>
      </c>
      <c r="T867" s="10"/>
      <c r="U867" s="10"/>
      <c r="V867" s="10"/>
      <c r="W867" s="12">
        <f t="shared" si="183"/>
        <v>0</v>
      </c>
      <c r="Y867" s="10">
        <v>31</v>
      </c>
      <c r="Z867" s="30"/>
      <c r="AA867" s="31"/>
      <c r="AB867" s="47"/>
      <c r="AC867" s="31"/>
      <c r="AD867" s="31"/>
      <c r="AE867" s="32">
        <f t="shared" si="189"/>
        <v>0</v>
      </c>
      <c r="AF867" s="10"/>
      <c r="AG867" s="10"/>
      <c r="AH867" s="10"/>
      <c r="AI867" s="12">
        <f t="shared" si="18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11"/>
      <c r="D868" s="32"/>
      <c r="E868" s="32"/>
      <c r="F868" s="32"/>
      <c r="G868" s="32">
        <f t="shared" si="180"/>
        <v>0</v>
      </c>
      <c r="H868" s="10"/>
      <c r="I868" s="10"/>
      <c r="J868" s="10"/>
      <c r="K868" s="12">
        <f t="shared" si="181"/>
        <v>0</v>
      </c>
      <c r="M868" s="10">
        <v>32</v>
      </c>
      <c r="N868" s="30"/>
      <c r="O868" s="31"/>
      <c r="P868" s="47"/>
      <c r="Q868" s="31"/>
      <c r="R868" s="31"/>
      <c r="S868" s="32">
        <f t="shared" si="182"/>
        <v>0</v>
      </c>
      <c r="T868" s="10"/>
      <c r="U868" s="10"/>
      <c r="V868" s="10"/>
      <c r="W868" s="12">
        <f t="shared" si="183"/>
        <v>0</v>
      </c>
      <c r="Y868" s="10">
        <v>32</v>
      </c>
      <c r="Z868" s="30"/>
      <c r="AA868" s="31"/>
      <c r="AB868" s="47"/>
      <c r="AC868" s="31"/>
      <c r="AD868" s="31"/>
      <c r="AE868" s="32">
        <f t="shared" si="189"/>
        <v>0</v>
      </c>
      <c r="AF868" s="10"/>
      <c r="AG868" s="10"/>
      <c r="AH868" s="10"/>
      <c r="AI868" s="12">
        <f t="shared" si="18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11"/>
      <c r="D869" s="32"/>
      <c r="E869" s="32"/>
      <c r="F869" s="32"/>
      <c r="G869" s="32">
        <f t="shared" si="180"/>
        <v>0</v>
      </c>
      <c r="H869" s="10"/>
      <c r="I869" s="10"/>
      <c r="J869" s="10"/>
      <c r="K869" s="12">
        <f t="shared" si="181"/>
        <v>0</v>
      </c>
      <c r="M869" s="10">
        <v>33</v>
      </c>
      <c r="N869" s="30"/>
      <c r="O869" s="31"/>
      <c r="P869" s="47"/>
      <c r="Q869" s="31"/>
      <c r="R869" s="31"/>
      <c r="S869" s="32">
        <f t="shared" si="182"/>
        <v>0</v>
      </c>
      <c r="T869" s="10"/>
      <c r="U869" s="10"/>
      <c r="V869" s="10"/>
      <c r="W869" s="12">
        <f t="shared" si="183"/>
        <v>0</v>
      </c>
      <c r="Y869" s="10">
        <v>33</v>
      </c>
      <c r="Z869" s="30"/>
      <c r="AA869" s="31"/>
      <c r="AB869" s="47"/>
      <c r="AC869" s="31"/>
      <c r="AD869" s="31"/>
      <c r="AE869" s="32">
        <f t="shared" si="189"/>
        <v>0</v>
      </c>
      <c r="AF869" s="10"/>
      <c r="AG869" s="10"/>
      <c r="AH869" s="10"/>
      <c r="AI869" s="12">
        <f t="shared" si="18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11"/>
      <c r="D870" s="32"/>
      <c r="E870" s="32"/>
      <c r="F870" s="32"/>
      <c r="G870" s="32">
        <f t="shared" si="180"/>
        <v>0</v>
      </c>
      <c r="H870" s="10"/>
      <c r="I870" s="10"/>
      <c r="J870" s="10"/>
      <c r="K870" s="12">
        <f t="shared" si="181"/>
        <v>0</v>
      </c>
      <c r="M870" s="10">
        <v>34</v>
      </c>
      <c r="N870" s="30"/>
      <c r="O870" s="31"/>
      <c r="P870" s="47"/>
      <c r="Q870" s="31"/>
      <c r="R870" s="31"/>
      <c r="S870" s="32">
        <f t="shared" si="182"/>
        <v>0</v>
      </c>
      <c r="T870" s="10"/>
      <c r="U870" s="10"/>
      <c r="V870" s="10"/>
      <c r="W870" s="12">
        <f t="shared" si="183"/>
        <v>0</v>
      </c>
      <c r="Y870" s="10">
        <v>34</v>
      </c>
      <c r="Z870" s="30"/>
      <c r="AA870" s="31"/>
      <c r="AB870" s="47"/>
      <c r="AC870" s="31"/>
      <c r="AD870" s="31"/>
      <c r="AE870" s="32">
        <f t="shared" si="189"/>
        <v>0</v>
      </c>
      <c r="AF870" s="10"/>
      <c r="AG870" s="10"/>
      <c r="AH870" s="10"/>
      <c r="AI870" s="12">
        <f t="shared" si="18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1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182"/>
        <v>0</v>
      </c>
      <c r="T871" s="10"/>
      <c r="U871" s="10"/>
      <c r="V871" s="10"/>
      <c r="W871" s="12">
        <f t="shared" si="183"/>
        <v>0</v>
      </c>
      <c r="Y871" s="10">
        <v>35</v>
      </c>
      <c r="Z871" s="30"/>
      <c r="AA871" s="31"/>
      <c r="AB871" s="47"/>
      <c r="AC871" s="31"/>
      <c r="AD871" s="31"/>
      <c r="AE871" s="32">
        <f t="shared" si="189"/>
        <v>0</v>
      </c>
      <c r="AF871" s="10"/>
      <c r="AG871" s="10"/>
      <c r="AH871" s="10"/>
      <c r="AI871" s="12">
        <f t="shared" si="18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1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182"/>
        <v>0</v>
      </c>
      <c r="T872" s="10"/>
      <c r="U872" s="10"/>
      <c r="V872" s="10"/>
      <c r="W872" s="12">
        <f t="shared" si="183"/>
        <v>0</v>
      </c>
      <c r="Y872" s="10">
        <v>36</v>
      </c>
      <c r="Z872" s="30"/>
      <c r="AA872" s="31"/>
      <c r="AB872" s="47"/>
      <c r="AC872" s="31"/>
      <c r="AD872" s="31"/>
      <c r="AE872" s="32">
        <f t="shared" si="189"/>
        <v>0</v>
      </c>
      <c r="AF872" s="10"/>
      <c r="AG872" s="10"/>
      <c r="AH872" s="10"/>
      <c r="AI872" s="12">
        <f t="shared" si="18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1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182"/>
        <v>0</v>
      </c>
      <c r="T873" s="10"/>
      <c r="U873" s="10"/>
      <c r="V873" s="10"/>
      <c r="W873" s="12">
        <f t="shared" si="183"/>
        <v>0</v>
      </c>
      <c r="Y873" s="10">
        <v>37</v>
      </c>
      <c r="Z873" s="30"/>
      <c r="AA873" s="31"/>
      <c r="AB873" s="47"/>
      <c r="AC873" s="31"/>
      <c r="AD873" s="31"/>
      <c r="AE873" s="32">
        <f t="shared" si="189"/>
        <v>0</v>
      </c>
      <c r="AF873" s="10"/>
      <c r="AG873" s="10"/>
      <c r="AH873" s="10"/>
      <c r="AI873" s="12">
        <f t="shared" si="18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182"/>
        <v>0</v>
      </c>
      <c r="T874" s="10"/>
      <c r="U874" s="10"/>
      <c r="V874" s="10"/>
      <c r="W874" s="12">
        <f t="shared" si="183"/>
        <v>0</v>
      </c>
      <c r="Y874" s="10">
        <v>38</v>
      </c>
      <c r="Z874" s="30"/>
      <c r="AA874" s="31"/>
      <c r="AB874" s="47"/>
      <c r="AC874" s="31"/>
      <c r="AD874" s="31"/>
      <c r="AE874" s="32">
        <f t="shared" si="189"/>
        <v>0</v>
      </c>
      <c r="AF874" s="10"/>
      <c r="AG874" s="10"/>
      <c r="AH874" s="10"/>
      <c r="AI874" s="12">
        <f t="shared" si="18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182"/>
        <v>0</v>
      </c>
      <c r="T875" s="10"/>
      <c r="U875" s="10"/>
      <c r="V875" s="10"/>
      <c r="W875" s="12">
        <f t="shared" si="183"/>
        <v>0</v>
      </c>
      <c r="Y875" s="10">
        <v>39</v>
      </c>
      <c r="Z875" s="30"/>
      <c r="AA875" s="31"/>
      <c r="AB875" s="47"/>
      <c r="AC875" s="31"/>
      <c r="AD875" s="31"/>
      <c r="AE875" s="32">
        <f t="shared" si="189"/>
        <v>0</v>
      </c>
      <c r="AF875" s="10"/>
      <c r="AG875" s="10"/>
      <c r="AH875" s="10"/>
      <c r="AI875" s="12">
        <f t="shared" si="18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183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18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190">SUM(D877:E877)</f>
        <v>0</v>
      </c>
      <c r="H877" s="10"/>
      <c r="I877" s="10"/>
      <c r="J877" s="10"/>
      <c r="K877" s="12">
        <f t="shared" ref="K877" si="191">SUM(G877:J877)</f>
        <v>0</v>
      </c>
      <c r="M877" s="10"/>
      <c r="N877" s="30"/>
      <c r="O877" s="31"/>
      <c r="P877" s="47"/>
      <c r="Q877" s="31"/>
      <c r="R877" s="31"/>
      <c r="S877" s="32">
        <f t="shared" ref="S877" si="192">SUM(P877:Q877)</f>
        <v>0</v>
      </c>
      <c r="T877" s="10"/>
      <c r="U877" s="10"/>
      <c r="V877" s="10"/>
      <c r="W877" s="12">
        <f t="shared" si="183"/>
        <v>0</v>
      </c>
      <c r="Y877" s="10"/>
      <c r="Z877" s="30"/>
      <c r="AA877" s="31"/>
      <c r="AB877" s="47"/>
      <c r="AC877" s="31"/>
      <c r="AD877" s="31"/>
      <c r="AE877" s="32">
        <f t="shared" ref="AE877" si="193">SUM(AB877:AC877)</f>
        <v>0</v>
      </c>
      <c r="AF877" s="10"/>
      <c r="AG877" s="10"/>
      <c r="AH877" s="10"/>
      <c r="AI877" s="12">
        <f t="shared" si="18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183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18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142002</v>
      </c>
      <c r="E880" s="38">
        <f t="shared" ref="E880:F880" si="194">SUM(E837:E877)</f>
        <v>0</v>
      </c>
      <c r="F880" s="38">
        <f t="shared" si="194"/>
        <v>0</v>
      </c>
      <c r="G880" s="38">
        <f>SUM(G837:G879)</f>
        <v>142002</v>
      </c>
      <c r="H880" s="4"/>
      <c r="I880" s="39">
        <f>SUM(I837:I879)</f>
        <v>276</v>
      </c>
      <c r="J880" s="39">
        <f>SUM(J837:J879)</f>
        <v>0</v>
      </c>
      <c r="K880" s="40">
        <f>SUM(K837:K879)</f>
        <v>142278</v>
      </c>
      <c r="N880" s="57"/>
      <c r="O880" s="57"/>
      <c r="P880" s="38">
        <f>SUM(P837:P879)</f>
        <v>160244.5</v>
      </c>
      <c r="Q880" s="38">
        <f>SUM(Q837:Q861)</f>
        <v>-896</v>
      </c>
      <c r="R880" s="38">
        <f>SUM(R837:R861)</f>
        <v>0</v>
      </c>
      <c r="S880" s="38">
        <f>SUM(S837:S879)</f>
        <v>159348.5</v>
      </c>
      <c r="T880" s="4"/>
      <c r="U880" s="41">
        <f>SUM(U837:U879)</f>
        <v>327</v>
      </c>
      <c r="V880" s="41">
        <f>SUM(V837:V861)</f>
        <v>0</v>
      </c>
      <c r="W880" s="42">
        <f>SUM(W837:W879)</f>
        <v>159675.5</v>
      </c>
      <c r="Z880" s="57"/>
      <c r="AA880" s="57"/>
      <c r="AB880" s="38">
        <f>SUM(AB837:AB879)</f>
        <v>172940.5</v>
      </c>
      <c r="AC880" s="38">
        <f>SUM(AC837:AC861)</f>
        <v>-642</v>
      </c>
      <c r="AD880" s="38">
        <f>SUM(AD837:AD861)</f>
        <v>0</v>
      </c>
      <c r="AE880" s="38">
        <f>SUM(AE837:AE879)</f>
        <v>172298.5</v>
      </c>
      <c r="AF880" s="4"/>
      <c r="AG880" s="41">
        <f>SUM(AG837:AG879)</f>
        <v>5629.5</v>
      </c>
      <c r="AH880" s="41">
        <f>SUM(AH837:AH861)</f>
        <v>-156</v>
      </c>
      <c r="AI880" s="42">
        <f>SUM(AI837:AI879)</f>
        <v>177772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29</v>
      </c>
      <c r="B883" s="57"/>
      <c r="C883" s="57"/>
      <c r="D883" s="57"/>
      <c r="E883" s="57"/>
      <c r="G883" s="57"/>
      <c r="M883" t="s">
        <v>29</v>
      </c>
      <c r="N883" s="57"/>
      <c r="O883" s="57"/>
      <c r="P883" s="57"/>
      <c r="Q883" s="57"/>
      <c r="R883" s="57"/>
      <c r="S883" s="57"/>
      <c r="Y883" t="s">
        <v>29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15</v>
      </c>
      <c r="B885" s="57"/>
      <c r="C885" s="57"/>
      <c r="D885" s="57"/>
      <c r="E885" s="57"/>
      <c r="G885" s="57"/>
      <c r="M885" s="4" t="s">
        <v>15</v>
      </c>
      <c r="N885" s="57"/>
      <c r="O885" s="57"/>
      <c r="P885" s="57"/>
      <c r="Q885" s="57"/>
      <c r="R885" s="57"/>
      <c r="S885" s="57"/>
      <c r="Y885" s="4" t="s">
        <v>15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16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16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16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84</v>
      </c>
      <c r="B888" s="20"/>
      <c r="C888" s="57"/>
      <c r="D888" s="57"/>
      <c r="E888" s="57"/>
      <c r="G888" s="57"/>
      <c r="I888" s="22" t="s">
        <v>17</v>
      </c>
      <c r="J888" s="23" t="s">
        <v>36</v>
      </c>
      <c r="K888" s="24"/>
      <c r="M888" s="21" t="s">
        <v>84</v>
      </c>
      <c r="N888" s="20"/>
      <c r="O888" s="57"/>
      <c r="P888" s="57"/>
      <c r="Q888" s="57"/>
      <c r="R888" s="57"/>
      <c r="S888" s="57"/>
      <c r="U888" s="22" t="s">
        <v>17</v>
      </c>
      <c r="V888" s="23" t="s">
        <v>33</v>
      </c>
      <c r="W888" s="24"/>
      <c r="Y888" s="21" t="s">
        <v>84</v>
      </c>
      <c r="Z888" s="20"/>
      <c r="AA888" s="57"/>
      <c r="AB888" s="57"/>
      <c r="AC888" s="57"/>
      <c r="AD888" s="57"/>
      <c r="AE888" s="57"/>
      <c r="AG888" s="22" t="s">
        <v>17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4" t="s">
        <v>18</v>
      </c>
      <c r="E890" s="124"/>
      <c r="F890" s="111"/>
      <c r="G890" s="27"/>
      <c r="I890" s="122" t="s">
        <v>19</v>
      </c>
      <c r="J890" s="123"/>
      <c r="K890" s="120" t="s">
        <v>20</v>
      </c>
      <c r="N890" s="25"/>
      <c r="O890" s="26"/>
      <c r="P890" s="124" t="s">
        <v>18</v>
      </c>
      <c r="Q890" s="124"/>
      <c r="R890" s="111"/>
      <c r="S890" s="27"/>
      <c r="U890" s="122" t="s">
        <v>19</v>
      </c>
      <c r="V890" s="123"/>
      <c r="W890" s="120" t="s">
        <v>20</v>
      </c>
      <c r="Z890" s="25"/>
      <c r="AA890" s="26"/>
      <c r="AB890" s="124" t="s">
        <v>18</v>
      </c>
      <c r="AC890" s="124"/>
      <c r="AD890" s="111"/>
      <c r="AE890" s="27"/>
      <c r="AG890" s="122" t="s">
        <v>19</v>
      </c>
      <c r="AH890" s="123"/>
      <c r="AI890" s="120" t="s">
        <v>20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21</v>
      </c>
      <c r="C891" s="28" t="s">
        <v>22</v>
      </c>
      <c r="D891" s="79" t="s">
        <v>23</v>
      </c>
      <c r="E891" s="78" t="s">
        <v>24</v>
      </c>
      <c r="F891" s="80" t="s">
        <v>35</v>
      </c>
      <c r="G891" s="80" t="s">
        <v>25</v>
      </c>
      <c r="I891" s="29" t="s">
        <v>26</v>
      </c>
      <c r="J891" s="29" t="s">
        <v>27</v>
      </c>
      <c r="K891" s="121"/>
      <c r="N891" s="28" t="s">
        <v>21</v>
      </c>
      <c r="O891" s="28" t="s">
        <v>22</v>
      </c>
      <c r="P891" s="79" t="s">
        <v>23</v>
      </c>
      <c r="Q891" s="80" t="s">
        <v>24</v>
      </c>
      <c r="R891" s="80" t="s">
        <v>35</v>
      </c>
      <c r="S891" s="80" t="s">
        <v>25</v>
      </c>
      <c r="U891" s="29" t="s">
        <v>26</v>
      </c>
      <c r="V891" s="29" t="s">
        <v>27</v>
      </c>
      <c r="W891" s="121"/>
      <c r="Z891" s="28" t="s">
        <v>21</v>
      </c>
      <c r="AA891" s="28" t="s">
        <v>22</v>
      </c>
      <c r="AB891" s="79" t="s">
        <v>23</v>
      </c>
      <c r="AC891" s="80" t="s">
        <v>24</v>
      </c>
      <c r="AD891" s="80" t="s">
        <v>35</v>
      </c>
      <c r="AE891" s="80" t="s">
        <v>25</v>
      </c>
      <c r="AG891" s="29" t="s">
        <v>26</v>
      </c>
      <c r="AH891" s="29" t="s">
        <v>27</v>
      </c>
      <c r="AI891" s="121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85</v>
      </c>
      <c r="C892" s="31">
        <v>5098</v>
      </c>
      <c r="D892" s="32">
        <f>614</f>
        <v>614</v>
      </c>
      <c r="E892" s="32"/>
      <c r="F892" s="32"/>
      <c r="G892" s="32">
        <f t="shared" ref="G892:G925" si="195">SUM(D892:E892)</f>
        <v>614</v>
      </c>
      <c r="H892" s="12"/>
      <c r="I892" s="12"/>
      <c r="J892" s="12"/>
      <c r="K892" s="12">
        <f t="shared" ref="K892:K925" si="196">SUM(G892:J892)</f>
        <v>614</v>
      </c>
      <c r="M892" s="10">
        <v>1</v>
      </c>
      <c r="N892" s="30" t="s">
        <v>85</v>
      </c>
      <c r="O892" s="31">
        <v>6634</v>
      </c>
      <c r="P892" s="32">
        <f>626*14+596*2+152</f>
        <v>10108</v>
      </c>
      <c r="Q892" s="32"/>
      <c r="R892" s="32"/>
      <c r="S892" s="32">
        <f>SUM(P892:Q892)</f>
        <v>10108</v>
      </c>
      <c r="T892" s="12"/>
      <c r="U892" s="12"/>
      <c r="V892" s="12"/>
      <c r="W892" s="12">
        <f>SUM(S892:V892)</f>
        <v>10108</v>
      </c>
      <c r="Y892" s="10">
        <v>1</v>
      </c>
      <c r="Z892" s="30" t="s">
        <v>85</v>
      </c>
      <c r="AA892" s="31">
        <v>6400</v>
      </c>
      <c r="AB892" s="32">
        <f>6260+2980</f>
        <v>9240</v>
      </c>
      <c r="AC892" s="32"/>
      <c r="AD892" s="32"/>
      <c r="AE892" s="32">
        <f>SUM(AB892:AC892)</f>
        <v>9240</v>
      </c>
      <c r="AF892" s="12"/>
      <c r="AG892" s="12"/>
      <c r="AH892" s="12"/>
      <c r="AI892" s="12">
        <f>SUM(AE892:AH892)</f>
        <v>9240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85</v>
      </c>
      <c r="C893" s="31">
        <v>6561</v>
      </c>
      <c r="D893" s="32">
        <f>31300+11920+229</f>
        <v>43449</v>
      </c>
      <c r="E893" s="32"/>
      <c r="F893" s="32"/>
      <c r="G893" s="32">
        <f t="shared" si="195"/>
        <v>43449</v>
      </c>
      <c r="H893" s="12"/>
      <c r="I893" s="12"/>
      <c r="J893" s="12"/>
      <c r="K893" s="12">
        <f t="shared" si="196"/>
        <v>43449</v>
      </c>
      <c r="M893" s="10">
        <v>2</v>
      </c>
      <c r="N893" s="30" t="s">
        <v>85</v>
      </c>
      <c r="O893" s="31">
        <f>O892+1</f>
        <v>6635</v>
      </c>
      <c r="P893" s="32">
        <f>1878+28.5</f>
        <v>1906.5</v>
      </c>
      <c r="Q893" s="32"/>
      <c r="R893" s="32"/>
      <c r="S893" s="32">
        <f t="shared" ref="S893:S930" si="197">SUM(P893:Q893)</f>
        <v>1906.5</v>
      </c>
      <c r="T893" s="12"/>
      <c r="U893" s="12"/>
      <c r="V893" s="12"/>
      <c r="W893" s="12">
        <f t="shared" ref="W893:W933" si="198">SUM(S893:V893)</f>
        <v>1906.5</v>
      </c>
      <c r="Y893" s="10">
        <v>2</v>
      </c>
      <c r="Z893" s="30" t="s">
        <v>85</v>
      </c>
      <c r="AA893" s="31">
        <v>6701</v>
      </c>
      <c r="AB893" s="32">
        <f>31300+458</f>
        <v>31758</v>
      </c>
      <c r="AC893" s="32">
        <v>-312</v>
      </c>
      <c r="AD893" s="32"/>
      <c r="AE893" s="32">
        <f t="shared" ref="AE893:AE901" si="199">SUM(AB893:AC893)</f>
        <v>31446</v>
      </c>
      <c r="AF893" s="12"/>
      <c r="AG893" s="12">
        <v>78</v>
      </c>
      <c r="AH893" s="12">
        <f>-1332+-420</f>
        <v>-1752</v>
      </c>
      <c r="AI893" s="12">
        <f t="shared" ref="AI893:AI933" si="200">SUM(AE893:AH893)</f>
        <v>29772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85</v>
      </c>
      <c r="C894" s="31">
        <f t="shared" ref="C894:C906" si="201">C893+1</f>
        <v>6562</v>
      </c>
      <c r="D894" s="33">
        <f>1878+596+38</f>
        <v>2512</v>
      </c>
      <c r="E894" s="33"/>
      <c r="F894" s="33"/>
      <c r="G894" s="33">
        <f t="shared" si="195"/>
        <v>2512</v>
      </c>
      <c r="H894" s="34"/>
      <c r="I894" s="34"/>
      <c r="J894" s="34"/>
      <c r="K894" s="34">
        <f t="shared" si="196"/>
        <v>2512</v>
      </c>
      <c r="M894" s="10">
        <v>3</v>
      </c>
      <c r="N894" s="30" t="s">
        <v>85</v>
      </c>
      <c r="O894" s="31">
        <f t="shared" ref="O894:O904" si="202">O893+1</f>
        <v>6636</v>
      </c>
      <c r="P894" s="32">
        <f>3130+47.5</f>
        <v>3177.5</v>
      </c>
      <c r="Q894" s="32"/>
      <c r="R894" s="32"/>
      <c r="S894" s="32">
        <f t="shared" si="197"/>
        <v>3177.5</v>
      </c>
      <c r="T894" s="12"/>
      <c r="U894" s="12">
        <v>18</v>
      </c>
      <c r="V894" s="12"/>
      <c r="W894" s="12">
        <f t="shared" si="198"/>
        <v>3195.5</v>
      </c>
      <c r="Y894" s="10">
        <v>3</v>
      </c>
      <c r="Z894" s="30" t="s">
        <v>85</v>
      </c>
      <c r="AA894" s="31">
        <f t="shared" ref="AA894:AA899" si="203">AA893+1</f>
        <v>6702</v>
      </c>
      <c r="AB894" s="33">
        <f>5008+1228+596+76</f>
        <v>6908</v>
      </c>
      <c r="AC894" s="33"/>
      <c r="AD894" s="32"/>
      <c r="AE894" s="32">
        <f t="shared" si="199"/>
        <v>6908</v>
      </c>
      <c r="AF894" s="12"/>
      <c r="AG894" s="12"/>
      <c r="AH894" s="12"/>
      <c r="AI894" s="12">
        <f t="shared" si="200"/>
        <v>6908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85</v>
      </c>
      <c r="C895" s="31">
        <f t="shared" si="201"/>
        <v>6563</v>
      </c>
      <c r="D895" s="32">
        <f>1878+28</f>
        <v>1906</v>
      </c>
      <c r="E895" s="32"/>
      <c r="F895" s="32"/>
      <c r="G895" s="32">
        <f t="shared" si="195"/>
        <v>1906</v>
      </c>
      <c r="H895" s="12"/>
      <c r="I895" s="12"/>
      <c r="J895" s="12"/>
      <c r="K895" s="12">
        <f t="shared" si="196"/>
        <v>1906</v>
      </c>
      <c r="M895" s="10">
        <v>4</v>
      </c>
      <c r="N895" s="30" t="s">
        <v>85</v>
      </c>
      <c r="O895" s="31">
        <f t="shared" si="202"/>
        <v>6637</v>
      </c>
      <c r="P895" s="32">
        <f>5008+76</f>
        <v>5084</v>
      </c>
      <c r="Q895" s="32"/>
      <c r="R895" s="32"/>
      <c r="S895" s="32">
        <f t="shared" si="197"/>
        <v>5084</v>
      </c>
      <c r="T895" s="12"/>
      <c r="U895" s="12">
        <v>18</v>
      </c>
      <c r="V895" s="12"/>
      <c r="W895" s="12">
        <f t="shared" si="198"/>
        <v>5102</v>
      </c>
      <c r="Y895" s="10">
        <v>4</v>
      </c>
      <c r="Z895" s="30" t="s">
        <v>85</v>
      </c>
      <c r="AA895" s="31">
        <f t="shared" si="203"/>
        <v>6703</v>
      </c>
      <c r="AB895" s="32">
        <f>3756+614+1192+76</f>
        <v>5638</v>
      </c>
      <c r="AC895" s="32"/>
      <c r="AD895" s="32"/>
      <c r="AE895" s="32">
        <f t="shared" si="199"/>
        <v>5638</v>
      </c>
      <c r="AF895" s="12"/>
      <c r="AH895" s="12"/>
      <c r="AI895" s="12">
        <f t="shared" si="200"/>
        <v>5638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85</v>
      </c>
      <c r="C896" s="31">
        <f t="shared" si="201"/>
        <v>6564</v>
      </c>
      <c r="D896" s="32">
        <f>3756+57</f>
        <v>3813</v>
      </c>
      <c r="E896" s="32"/>
      <c r="F896" s="32"/>
      <c r="G896" s="32">
        <f t="shared" si="195"/>
        <v>3813</v>
      </c>
      <c r="H896" s="12"/>
      <c r="I896" s="12"/>
      <c r="J896" s="12"/>
      <c r="K896" s="12">
        <f t="shared" si="196"/>
        <v>3813</v>
      </c>
      <c r="M896" s="10">
        <v>5</v>
      </c>
      <c r="N896" s="30" t="s">
        <v>85</v>
      </c>
      <c r="O896" s="31">
        <f t="shared" si="202"/>
        <v>6638</v>
      </c>
      <c r="P896" s="32">
        <f>5008+76</f>
        <v>5084</v>
      </c>
      <c r="Q896" s="32"/>
      <c r="R896" s="32"/>
      <c r="S896" s="32">
        <f t="shared" si="197"/>
        <v>5084</v>
      </c>
      <c r="T896" s="12"/>
      <c r="U896" s="12">
        <f>9.5+10.5</f>
        <v>20</v>
      </c>
      <c r="V896" s="12"/>
      <c r="W896" s="12">
        <f t="shared" si="198"/>
        <v>5104</v>
      </c>
      <c r="Y896" s="10">
        <v>5</v>
      </c>
      <c r="Z896" s="30" t="s">
        <v>85</v>
      </c>
      <c r="AA896" s="31">
        <f t="shared" si="203"/>
        <v>6704</v>
      </c>
      <c r="AB896" s="32">
        <f>626*9+596+86</f>
        <v>6316</v>
      </c>
      <c r="AC896" s="32"/>
      <c r="AD896" s="32"/>
      <c r="AE896" s="32">
        <f t="shared" si="199"/>
        <v>6316</v>
      </c>
      <c r="AF896" s="12"/>
      <c r="AG896" s="12"/>
      <c r="AH896" s="12"/>
      <c r="AI896" s="12">
        <f t="shared" si="200"/>
        <v>6316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85</v>
      </c>
      <c r="C897" s="31">
        <f t="shared" si="201"/>
        <v>6565</v>
      </c>
      <c r="D897" s="32">
        <f>19406+229</f>
        <v>19635</v>
      </c>
      <c r="E897" s="32"/>
      <c r="F897" s="32"/>
      <c r="G897" s="32">
        <f t="shared" si="195"/>
        <v>19635</v>
      </c>
      <c r="H897" s="12"/>
      <c r="I897" s="12"/>
      <c r="J897" s="12"/>
      <c r="K897" s="12">
        <f t="shared" si="196"/>
        <v>19635</v>
      </c>
      <c r="M897" s="10">
        <v>6</v>
      </c>
      <c r="N897" s="30" t="s">
        <v>85</v>
      </c>
      <c r="O897" s="31">
        <f t="shared" si="202"/>
        <v>6639</v>
      </c>
      <c r="P897" s="32">
        <f>6260+95</f>
        <v>6355</v>
      </c>
      <c r="Q897" s="32"/>
      <c r="R897" s="32"/>
      <c r="S897" s="32">
        <f t="shared" si="197"/>
        <v>6355</v>
      </c>
      <c r="T897" s="12"/>
      <c r="U897" s="12"/>
      <c r="V897" s="10"/>
      <c r="W897" s="12">
        <f t="shared" si="198"/>
        <v>6355</v>
      </c>
      <c r="Y897" s="10">
        <v>6</v>
      </c>
      <c r="Z897" s="30" t="s">
        <v>85</v>
      </c>
      <c r="AA897" s="31">
        <f t="shared" si="203"/>
        <v>6705</v>
      </c>
      <c r="AB897" s="32">
        <f>15650+1826+2980+852+1664+458</f>
        <v>23430</v>
      </c>
      <c r="AC897" s="32"/>
      <c r="AD897" s="32"/>
      <c r="AE897" s="32">
        <f t="shared" si="199"/>
        <v>23430</v>
      </c>
      <c r="AF897" s="12"/>
      <c r="AG897" s="12">
        <v>68</v>
      </c>
      <c r="AH897" s="10"/>
      <c r="AI897" s="12">
        <f t="shared" si="200"/>
        <v>23498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85</v>
      </c>
      <c r="C898" s="31">
        <f t="shared" si="201"/>
        <v>6566</v>
      </c>
      <c r="D898" s="32">
        <f>6260+1192</f>
        <v>7452</v>
      </c>
      <c r="E898" s="32"/>
      <c r="F898" s="32"/>
      <c r="G898" s="32">
        <f t="shared" si="195"/>
        <v>7452</v>
      </c>
      <c r="H898" s="12"/>
      <c r="I898" s="12"/>
      <c r="J898" s="12"/>
      <c r="K898" s="12">
        <f t="shared" si="196"/>
        <v>7452</v>
      </c>
      <c r="M898" s="10">
        <v>7</v>
      </c>
      <c r="N898" s="30" t="s">
        <v>85</v>
      </c>
      <c r="O898" s="31">
        <f t="shared" si="202"/>
        <v>6640</v>
      </c>
      <c r="P898" s="32">
        <f>614+596+9.5</f>
        <v>1219.5</v>
      </c>
      <c r="Q898" s="32"/>
      <c r="R898" s="32"/>
      <c r="S898" s="32">
        <f t="shared" si="197"/>
        <v>1219.5</v>
      </c>
      <c r="T898" s="12"/>
      <c r="U898" s="12"/>
      <c r="V898" s="12"/>
      <c r="W898" s="12">
        <f t="shared" si="198"/>
        <v>1219.5</v>
      </c>
      <c r="Y898" s="10">
        <v>7</v>
      </c>
      <c r="Z898" s="30" t="s">
        <v>85</v>
      </c>
      <c r="AA898" s="31">
        <f t="shared" si="203"/>
        <v>6706</v>
      </c>
      <c r="AB898" s="32">
        <f>62600+3370+916</f>
        <v>66886</v>
      </c>
      <c r="AC898" s="32"/>
      <c r="AD898" s="32"/>
      <c r="AE898" s="32">
        <f t="shared" si="199"/>
        <v>66886</v>
      </c>
      <c r="AF898" s="12"/>
      <c r="AG898" s="58"/>
      <c r="AH898" s="12">
        <v>-7770</v>
      </c>
      <c r="AI898" s="12">
        <f t="shared" si="200"/>
        <v>59116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85</v>
      </c>
      <c r="C899" s="31">
        <f t="shared" si="201"/>
        <v>6567</v>
      </c>
      <c r="D899" s="32">
        <f>626*9+674</f>
        <v>6308</v>
      </c>
      <c r="E899" s="32"/>
      <c r="F899" s="32"/>
      <c r="G899" s="32">
        <f t="shared" si="195"/>
        <v>6308</v>
      </c>
      <c r="H899" s="12"/>
      <c r="I899" s="12"/>
      <c r="J899" s="12"/>
      <c r="K899" s="12">
        <f t="shared" si="196"/>
        <v>6308</v>
      </c>
      <c r="M899" s="10">
        <v>8</v>
      </c>
      <c r="N899" s="30" t="s">
        <v>85</v>
      </c>
      <c r="O899" s="31">
        <f t="shared" si="202"/>
        <v>6641</v>
      </c>
      <c r="P899" s="32">
        <f>1252+596+28.5</f>
        <v>1876.5</v>
      </c>
      <c r="Q899" s="32"/>
      <c r="R899" s="32"/>
      <c r="S899" s="32">
        <f t="shared" si="197"/>
        <v>1876.5</v>
      </c>
      <c r="T899" s="12"/>
      <c r="U899" s="12"/>
      <c r="V899" s="12"/>
      <c r="W899" s="12">
        <f t="shared" si="198"/>
        <v>1876.5</v>
      </c>
      <c r="Y899" s="10">
        <v>8</v>
      </c>
      <c r="Z899" s="30" t="s">
        <v>85</v>
      </c>
      <c r="AA899" s="31">
        <f t="shared" si="203"/>
        <v>6707</v>
      </c>
      <c r="AB899" s="32">
        <v>3756</v>
      </c>
      <c r="AC899" s="32"/>
      <c r="AE899" s="32">
        <f t="shared" si="199"/>
        <v>3756</v>
      </c>
      <c r="AF899" s="12"/>
      <c r="AG899" s="12"/>
      <c r="AH899" s="12"/>
      <c r="AI899" s="12">
        <f t="shared" si="200"/>
        <v>3756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85</v>
      </c>
      <c r="C900" s="31">
        <f t="shared" si="201"/>
        <v>6568</v>
      </c>
      <c r="D900" s="32">
        <f>2504+38</f>
        <v>2542</v>
      </c>
      <c r="E900" s="32"/>
      <c r="F900" s="32"/>
      <c r="G900" s="32">
        <f t="shared" si="195"/>
        <v>2542</v>
      </c>
      <c r="H900" s="12"/>
      <c r="I900" s="12"/>
      <c r="J900" s="12"/>
      <c r="K900" s="12">
        <f t="shared" si="196"/>
        <v>2542</v>
      </c>
      <c r="M900" s="10">
        <v>9</v>
      </c>
      <c r="N900" s="30" t="s">
        <v>85</v>
      </c>
      <c r="O900" s="31">
        <f t="shared" si="202"/>
        <v>6642</v>
      </c>
      <c r="P900" s="32">
        <f>1252+19</f>
        <v>1271</v>
      </c>
      <c r="Q900" s="32"/>
      <c r="R900" s="32"/>
      <c r="S900" s="32">
        <f t="shared" si="197"/>
        <v>1271</v>
      </c>
      <c r="T900" s="12"/>
      <c r="U900" s="12"/>
      <c r="V900" s="12"/>
      <c r="W900" s="12">
        <f t="shared" si="198"/>
        <v>1271</v>
      </c>
      <c r="Y900" s="10">
        <v>9</v>
      </c>
      <c r="Z900" s="30"/>
      <c r="AA900" s="11" t="s">
        <v>28</v>
      </c>
      <c r="AB900" s="95"/>
      <c r="AC900" s="32"/>
      <c r="AD900" s="32"/>
      <c r="AE900" s="32">
        <f t="shared" si="199"/>
        <v>0</v>
      </c>
      <c r="AF900" s="12"/>
      <c r="AH900" s="12"/>
      <c r="AI900" s="12">
        <f t="shared" si="200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85</v>
      </c>
      <c r="C901" s="31">
        <f t="shared" si="201"/>
        <v>6569</v>
      </c>
      <c r="D901" s="32">
        <f>31926+913</f>
        <v>32839</v>
      </c>
      <c r="E901" s="32"/>
      <c r="F901" s="32"/>
      <c r="G901" s="32">
        <f t="shared" si="195"/>
        <v>32839</v>
      </c>
      <c r="H901" s="12"/>
      <c r="I901" s="12">
        <f>99+20</f>
        <v>119</v>
      </c>
      <c r="J901" s="12"/>
      <c r="K901" s="12">
        <f t="shared" si="196"/>
        <v>32958</v>
      </c>
      <c r="M901" s="10">
        <v>10</v>
      </c>
      <c r="N901" s="30" t="s">
        <v>85</v>
      </c>
      <c r="O901" s="31">
        <f t="shared" si="202"/>
        <v>6643</v>
      </c>
      <c r="P901" s="32">
        <f>1228+596+9.5</f>
        <v>1833.5</v>
      </c>
      <c r="Q901" s="32"/>
      <c r="R901" s="32"/>
      <c r="S901" s="32">
        <f t="shared" si="197"/>
        <v>1833.5</v>
      </c>
      <c r="T901" s="12"/>
      <c r="U901" s="12">
        <v>40.5</v>
      </c>
      <c r="V901" s="12"/>
      <c r="W901" s="12">
        <f t="shared" si="198"/>
        <v>1874</v>
      </c>
      <c r="Y901" s="10">
        <v>10</v>
      </c>
      <c r="Z901" s="30"/>
      <c r="AA901" s="31"/>
      <c r="AB901" s="32"/>
      <c r="AC901" s="32"/>
      <c r="AD901" s="32"/>
      <c r="AE901" s="32">
        <f t="shared" si="199"/>
        <v>0</v>
      </c>
      <c r="AF901" s="12"/>
      <c r="AG901" s="12"/>
      <c r="AH901" s="12"/>
      <c r="AI901" s="12">
        <f t="shared" si="200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85</v>
      </c>
      <c r="C902" s="31">
        <f t="shared" si="201"/>
        <v>6570</v>
      </c>
      <c r="D902" s="32">
        <f>1252+19</f>
        <v>1271</v>
      </c>
      <c r="E902" s="32"/>
      <c r="F902" s="32"/>
      <c r="G902" s="32">
        <f t="shared" si="195"/>
        <v>1271</v>
      </c>
      <c r="H902" s="12"/>
      <c r="I902" s="12"/>
      <c r="J902" s="12"/>
      <c r="K902" s="12">
        <f t="shared" si="196"/>
        <v>1271</v>
      </c>
      <c r="M902" s="10">
        <v>11</v>
      </c>
      <c r="N902" s="30" t="s">
        <v>85</v>
      </c>
      <c r="O902" s="31">
        <f t="shared" si="202"/>
        <v>6644</v>
      </c>
      <c r="P902" s="32">
        <f>8138+596+133</f>
        <v>8867</v>
      </c>
      <c r="Q902" s="32"/>
      <c r="R902" s="32"/>
      <c r="S902" s="32">
        <f t="shared" si="197"/>
        <v>8867</v>
      </c>
      <c r="T902" s="12"/>
      <c r="U902" s="12"/>
      <c r="V902" s="12"/>
      <c r="W902" s="12">
        <f t="shared" si="198"/>
        <v>8867</v>
      </c>
      <c r="Y902" s="10">
        <v>11</v>
      </c>
      <c r="Z902" s="30"/>
      <c r="AA902" s="31"/>
      <c r="AB902" s="32"/>
      <c r="AC902" s="32"/>
      <c r="AD902" s="32"/>
      <c r="AE902" s="32">
        <f t="shared" ref="AE902:AE930" si="204">SUM(AB902:AC902)</f>
        <v>0</v>
      </c>
      <c r="AF902" s="12"/>
      <c r="AG902" s="12"/>
      <c r="AH902" s="12"/>
      <c r="AI902" s="12">
        <f t="shared" si="200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85</v>
      </c>
      <c r="C903" s="31">
        <f t="shared" si="201"/>
        <v>6571</v>
      </c>
      <c r="D903" s="32">
        <f>1878+28</f>
        <v>1906</v>
      </c>
      <c r="E903" s="32"/>
      <c r="F903" s="32"/>
      <c r="G903" s="32">
        <f t="shared" si="195"/>
        <v>1906</v>
      </c>
      <c r="H903" s="12"/>
      <c r="I903" s="12"/>
      <c r="J903" s="10"/>
      <c r="K903" s="12">
        <f t="shared" si="196"/>
        <v>1906</v>
      </c>
      <c r="M903" s="10">
        <v>12</v>
      </c>
      <c r="N903" s="30" t="s">
        <v>85</v>
      </c>
      <c r="O903" s="31">
        <f t="shared" si="202"/>
        <v>6645</v>
      </c>
      <c r="P903" s="32">
        <f>4382+66.5</f>
        <v>4448.5</v>
      </c>
      <c r="Q903" s="32"/>
      <c r="R903" s="32"/>
      <c r="S903" s="32">
        <f t="shared" si="197"/>
        <v>4448.5</v>
      </c>
      <c r="T903" s="12"/>
      <c r="U903" s="12"/>
      <c r="V903" s="12">
        <v>-9</v>
      </c>
      <c r="W903" s="12">
        <f t="shared" si="198"/>
        <v>4439.5</v>
      </c>
      <c r="Y903" s="10">
        <v>12</v>
      </c>
      <c r="Z903" s="30"/>
      <c r="AB903" s="32"/>
      <c r="AC903" s="32"/>
      <c r="AD903" s="32"/>
      <c r="AE903" s="32">
        <f t="shared" si="204"/>
        <v>0</v>
      </c>
      <c r="AF903" s="12"/>
      <c r="AG903" s="12"/>
      <c r="AH903" s="12"/>
      <c r="AI903" s="12">
        <f t="shared" si="200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 t="s">
        <v>85</v>
      </c>
      <c r="C904" s="31">
        <f t="shared" si="201"/>
        <v>6572</v>
      </c>
      <c r="D904" s="32">
        <f>2504+596+48</f>
        <v>3148</v>
      </c>
      <c r="E904" s="32"/>
      <c r="F904" s="32"/>
      <c r="G904" s="32">
        <f t="shared" si="195"/>
        <v>3148</v>
      </c>
      <c r="H904" s="12"/>
      <c r="I904" s="12"/>
      <c r="J904" s="12"/>
      <c r="K904" s="12">
        <f t="shared" si="196"/>
        <v>3148</v>
      </c>
      <c r="M904" s="10">
        <v>13</v>
      </c>
      <c r="N904" s="30" t="s">
        <v>85</v>
      </c>
      <c r="O904" s="31">
        <f t="shared" si="202"/>
        <v>6646</v>
      </c>
      <c r="P904" s="32">
        <f>626*2+9.5</f>
        <v>1261.5</v>
      </c>
      <c r="Q904" s="32"/>
      <c r="R904" s="32"/>
      <c r="S904" s="32">
        <f t="shared" si="197"/>
        <v>1261.5</v>
      </c>
      <c r="T904" s="12"/>
      <c r="U904" s="12"/>
      <c r="V904" s="12"/>
      <c r="W904" s="12">
        <f t="shared" si="198"/>
        <v>1261.5</v>
      </c>
      <c r="Y904" s="10">
        <v>13</v>
      </c>
      <c r="Z904" s="30"/>
      <c r="AA904" s="31"/>
      <c r="AB904" s="32"/>
      <c r="AC904" s="32"/>
      <c r="AD904" s="32"/>
      <c r="AE904" s="32">
        <f t="shared" si="204"/>
        <v>0</v>
      </c>
      <c r="AF904" s="12"/>
      <c r="AG904" s="12"/>
      <c r="AH904" s="12"/>
      <c r="AI904" s="12">
        <f t="shared" si="200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 t="s">
        <v>85</v>
      </c>
      <c r="C905" s="31">
        <f t="shared" si="201"/>
        <v>6573</v>
      </c>
      <c r="D905" s="32">
        <f>1878+614+1192+48</f>
        <v>3732</v>
      </c>
      <c r="E905" s="32"/>
      <c r="F905" s="32"/>
      <c r="G905" s="32">
        <f t="shared" si="195"/>
        <v>3732</v>
      </c>
      <c r="H905" s="12"/>
      <c r="I905" s="12"/>
      <c r="J905" s="12"/>
      <c r="K905" s="12">
        <f t="shared" si="196"/>
        <v>3732</v>
      </c>
      <c r="M905" s="10">
        <v>14</v>
      </c>
      <c r="N905" s="30"/>
      <c r="O905" s="11" t="s">
        <v>28</v>
      </c>
      <c r="P905" s="32"/>
      <c r="Q905" s="32"/>
      <c r="R905" s="32"/>
      <c r="S905" s="32">
        <f t="shared" si="197"/>
        <v>0</v>
      </c>
      <c r="T905" s="12"/>
      <c r="U905" s="12"/>
      <c r="V905" s="12"/>
      <c r="W905" s="12">
        <f t="shared" si="198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04"/>
        <v>0</v>
      </c>
      <c r="AF905" s="12"/>
      <c r="AG905" s="12"/>
      <c r="AH905" s="12"/>
      <c r="AI905" s="12">
        <f t="shared" si="200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 t="s">
        <v>85</v>
      </c>
      <c r="C906" s="31">
        <f t="shared" si="201"/>
        <v>6574</v>
      </c>
      <c r="D906" s="32">
        <f>3756</f>
        <v>3756</v>
      </c>
      <c r="E906" s="32"/>
      <c r="F906" s="32"/>
      <c r="G906" s="32">
        <f t="shared" si="195"/>
        <v>3756</v>
      </c>
      <c r="H906" s="12"/>
      <c r="I906" s="12"/>
      <c r="J906" s="12"/>
      <c r="K906" s="12">
        <f t="shared" si="196"/>
        <v>3756</v>
      </c>
      <c r="M906" s="10">
        <v>15</v>
      </c>
      <c r="N906" s="30"/>
      <c r="O906" s="31"/>
      <c r="P906" s="32"/>
      <c r="Q906" s="32"/>
      <c r="R906" s="32"/>
      <c r="S906" s="32">
        <f t="shared" si="197"/>
        <v>0</v>
      </c>
      <c r="T906" s="12"/>
      <c r="U906" s="12"/>
      <c r="V906" s="12"/>
      <c r="W906" s="12">
        <f t="shared" si="198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04"/>
        <v>0</v>
      </c>
      <c r="AF906" s="12"/>
      <c r="AG906" s="12"/>
      <c r="AH906" s="12"/>
      <c r="AI906" s="12">
        <f t="shared" si="200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 t="s">
        <v>28</v>
      </c>
      <c r="D907" s="32"/>
      <c r="E907" s="32"/>
      <c r="F907" s="32"/>
      <c r="G907" s="32">
        <f t="shared" si="195"/>
        <v>0</v>
      </c>
      <c r="H907" s="12"/>
      <c r="I907" s="12"/>
      <c r="J907" s="12"/>
      <c r="K907" s="12">
        <f t="shared" si="196"/>
        <v>0</v>
      </c>
      <c r="M907" s="10">
        <v>16</v>
      </c>
      <c r="N907" s="30"/>
      <c r="P907" s="32"/>
      <c r="Q907" s="32"/>
      <c r="R907" s="32"/>
      <c r="S907" s="32">
        <f t="shared" si="197"/>
        <v>0</v>
      </c>
      <c r="T907" s="12"/>
      <c r="U907" s="12"/>
      <c r="V907" s="12"/>
      <c r="W907" s="12">
        <f t="shared" si="198"/>
        <v>0</v>
      </c>
      <c r="Y907" s="10">
        <v>16</v>
      </c>
      <c r="Z907" s="30"/>
      <c r="AB907" s="32"/>
      <c r="AC907" s="32"/>
      <c r="AD907" s="32"/>
      <c r="AE907" s="32">
        <f t="shared" si="204"/>
        <v>0</v>
      </c>
      <c r="AF907" s="12"/>
      <c r="AG907" s="12"/>
      <c r="AH907" s="12"/>
      <c r="AI907" s="12">
        <f t="shared" si="200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195"/>
        <v>0</v>
      </c>
      <c r="H908" s="12"/>
      <c r="I908" s="12"/>
      <c r="J908" s="12"/>
      <c r="K908" s="12">
        <f t="shared" si="196"/>
        <v>0</v>
      </c>
      <c r="M908" s="10">
        <v>17</v>
      </c>
      <c r="N908" s="30"/>
      <c r="O908" s="31"/>
      <c r="P908" s="35"/>
      <c r="Q908" s="32"/>
      <c r="R908" s="32"/>
      <c r="S908" s="32">
        <f t="shared" si="197"/>
        <v>0</v>
      </c>
      <c r="T908" s="12"/>
      <c r="U908" s="12"/>
      <c r="V908" s="12"/>
      <c r="W908" s="12">
        <f t="shared" si="198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04"/>
        <v>0</v>
      </c>
      <c r="AF908" s="12"/>
      <c r="AG908" s="12"/>
      <c r="AH908" s="12"/>
      <c r="AI908" s="12">
        <f t="shared" si="200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195"/>
        <v>0</v>
      </c>
      <c r="H909" s="12"/>
      <c r="I909" s="12"/>
      <c r="J909" s="12"/>
      <c r="K909" s="12">
        <f t="shared" si="196"/>
        <v>0</v>
      </c>
      <c r="M909" s="10">
        <v>18</v>
      </c>
      <c r="N909" s="30"/>
      <c r="O909" s="31"/>
      <c r="P909" s="32"/>
      <c r="Q909" s="32"/>
      <c r="R909" s="32"/>
      <c r="S909" s="32">
        <f t="shared" si="197"/>
        <v>0</v>
      </c>
      <c r="T909" s="12"/>
      <c r="U909" s="12"/>
      <c r="V909" s="12"/>
      <c r="W909" s="12">
        <f t="shared" si="198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04"/>
        <v>0</v>
      </c>
      <c r="AF909" s="12"/>
      <c r="AG909" s="12"/>
      <c r="AH909" s="12"/>
      <c r="AI909" s="12">
        <f t="shared" si="200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195"/>
        <v>0</v>
      </c>
      <c r="H910" s="12"/>
      <c r="I910" s="12"/>
      <c r="J910" s="12"/>
      <c r="K910" s="12">
        <f t="shared" si="196"/>
        <v>0</v>
      </c>
      <c r="M910" s="10">
        <v>19</v>
      </c>
      <c r="N910" s="30"/>
      <c r="P910" s="32"/>
      <c r="Q910" s="32"/>
      <c r="R910" s="32"/>
      <c r="S910" s="32">
        <f t="shared" si="197"/>
        <v>0</v>
      </c>
      <c r="T910" s="12"/>
      <c r="U910" s="12"/>
      <c r="V910" s="12"/>
      <c r="W910" s="12">
        <f t="shared" si="198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04"/>
        <v>0</v>
      </c>
      <c r="AF910" s="12"/>
      <c r="AG910" s="12"/>
      <c r="AH910" s="12"/>
      <c r="AI910" s="12">
        <f t="shared" si="200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195"/>
        <v>0</v>
      </c>
      <c r="H911" s="12"/>
      <c r="I911" s="12"/>
      <c r="J911" s="12"/>
      <c r="K911" s="12">
        <f t="shared" si="196"/>
        <v>0</v>
      </c>
      <c r="M911" s="10">
        <v>20</v>
      </c>
      <c r="N911" s="30"/>
      <c r="O911" s="31"/>
      <c r="P911" s="32"/>
      <c r="Q911" s="32"/>
      <c r="R911" s="32"/>
      <c r="S911" s="32">
        <f t="shared" si="197"/>
        <v>0</v>
      </c>
      <c r="T911" s="12"/>
      <c r="U911" s="12"/>
      <c r="V911" s="12"/>
      <c r="W911" s="12">
        <f t="shared" si="198"/>
        <v>0</v>
      </c>
      <c r="Y911" s="10">
        <v>20</v>
      </c>
      <c r="Z911" s="30"/>
      <c r="AB911" s="32"/>
      <c r="AC911" s="32"/>
      <c r="AD911" s="32"/>
      <c r="AE911" s="32">
        <f t="shared" si="204"/>
        <v>0</v>
      </c>
      <c r="AF911" s="12"/>
      <c r="AG911" s="12"/>
      <c r="AH911" s="12"/>
      <c r="AI911" s="12">
        <f t="shared" si="200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31"/>
      <c r="D912" s="32"/>
      <c r="E912" s="32"/>
      <c r="F912" s="32"/>
      <c r="G912" s="32">
        <f t="shared" si="195"/>
        <v>0</v>
      </c>
      <c r="H912" s="10"/>
      <c r="I912" s="10"/>
      <c r="J912" s="10"/>
      <c r="K912" s="12">
        <f t="shared" si="196"/>
        <v>0</v>
      </c>
      <c r="M912" s="10">
        <v>21</v>
      </c>
      <c r="N912" s="30"/>
      <c r="P912" s="46"/>
      <c r="Q912" s="31"/>
      <c r="R912" s="31"/>
      <c r="S912" s="32">
        <f t="shared" si="197"/>
        <v>0</v>
      </c>
      <c r="T912" s="10"/>
      <c r="U912" s="10"/>
      <c r="V912" s="10"/>
      <c r="W912" s="12">
        <f t="shared" si="198"/>
        <v>0</v>
      </c>
      <c r="Y912" s="10">
        <v>21</v>
      </c>
      <c r="Z912" s="30"/>
      <c r="AB912" s="46"/>
      <c r="AC912" s="31"/>
      <c r="AD912" s="31"/>
      <c r="AE912" s="32">
        <f t="shared" si="204"/>
        <v>0</v>
      </c>
      <c r="AF912" s="10"/>
      <c r="AG912" s="10"/>
      <c r="AH912" s="10"/>
      <c r="AI912" s="12">
        <f t="shared" si="200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195"/>
        <v>0</v>
      </c>
      <c r="H913" s="10"/>
      <c r="I913" s="10"/>
      <c r="J913" s="10"/>
      <c r="K913" s="12">
        <f t="shared" si="196"/>
        <v>0</v>
      </c>
      <c r="M913" s="10">
        <v>22</v>
      </c>
      <c r="N913" s="30"/>
      <c r="O913" s="31"/>
      <c r="P913" s="45"/>
      <c r="Q913" s="31"/>
      <c r="R913" s="31"/>
      <c r="S913" s="32">
        <f t="shared" si="197"/>
        <v>0</v>
      </c>
      <c r="T913" s="10"/>
      <c r="U913" s="10"/>
      <c r="V913" s="10"/>
      <c r="W913" s="12">
        <f t="shared" si="198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04"/>
        <v>0</v>
      </c>
      <c r="AF913" s="10"/>
      <c r="AG913" s="10"/>
      <c r="AH913" s="10"/>
      <c r="AI913" s="12">
        <f t="shared" si="200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195"/>
        <v>0</v>
      </c>
      <c r="H914" s="10"/>
      <c r="I914" s="10"/>
      <c r="J914" s="12"/>
      <c r="K914" s="12">
        <f t="shared" si="196"/>
        <v>0</v>
      </c>
      <c r="M914" s="10">
        <v>23</v>
      </c>
      <c r="N914" s="30"/>
      <c r="O914" s="31"/>
      <c r="P914" s="47"/>
      <c r="Q914" s="31"/>
      <c r="S914" s="32">
        <f t="shared" si="197"/>
        <v>0</v>
      </c>
      <c r="T914" s="10"/>
      <c r="U914" s="10"/>
      <c r="V914" s="10"/>
      <c r="W914" s="12">
        <f t="shared" si="198"/>
        <v>0</v>
      </c>
      <c r="Y914" s="10">
        <v>23</v>
      </c>
      <c r="Z914" s="30"/>
      <c r="AA914" s="31"/>
      <c r="AB914" s="47"/>
      <c r="AE914" s="32">
        <f t="shared" si="204"/>
        <v>0</v>
      </c>
      <c r="AF914" s="10"/>
      <c r="AG914" s="10"/>
      <c r="AH914" s="10"/>
      <c r="AI914" s="12">
        <f t="shared" si="200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195"/>
        <v>0</v>
      </c>
      <c r="H915" s="10"/>
      <c r="I915" s="10"/>
      <c r="J915" s="10"/>
      <c r="K915" s="12">
        <f t="shared" si="196"/>
        <v>0</v>
      </c>
      <c r="M915" s="10">
        <v>24</v>
      </c>
      <c r="N915" s="30"/>
      <c r="O915" s="31"/>
      <c r="P915" s="47"/>
      <c r="Q915" s="31"/>
      <c r="R915" s="31"/>
      <c r="S915" s="32">
        <f t="shared" si="197"/>
        <v>0</v>
      </c>
      <c r="T915" s="10"/>
      <c r="U915" s="10"/>
      <c r="V915" s="10"/>
      <c r="W915" s="12">
        <f t="shared" si="198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04"/>
        <v>0</v>
      </c>
      <c r="AF915" s="10"/>
      <c r="AG915" s="10"/>
      <c r="AH915" s="10"/>
      <c r="AI915" s="12">
        <f t="shared" si="200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D916" s="32"/>
      <c r="E916" s="32"/>
      <c r="F916" s="32"/>
      <c r="G916" s="32">
        <f t="shared" si="195"/>
        <v>0</v>
      </c>
      <c r="H916" s="10"/>
      <c r="I916" s="10"/>
      <c r="J916" s="10"/>
      <c r="K916" s="12">
        <f t="shared" si="196"/>
        <v>0</v>
      </c>
      <c r="M916" s="10">
        <v>25</v>
      </c>
      <c r="N916" s="30"/>
      <c r="O916" s="31"/>
      <c r="P916" s="47"/>
      <c r="Q916" s="31"/>
      <c r="R916" s="31"/>
      <c r="S916" s="32">
        <f t="shared" si="197"/>
        <v>0</v>
      </c>
      <c r="T916" s="10"/>
      <c r="U916" s="10"/>
      <c r="V916" s="10"/>
      <c r="W916" s="12">
        <f t="shared" si="198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04"/>
        <v>0</v>
      </c>
      <c r="AF916" s="10"/>
      <c r="AG916" s="10"/>
      <c r="AH916" s="10"/>
      <c r="AI916" s="12">
        <f t="shared" si="200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195"/>
        <v>0</v>
      </c>
      <c r="H917" s="10"/>
      <c r="I917" s="10"/>
      <c r="J917" s="10"/>
      <c r="K917" s="12">
        <f t="shared" si="196"/>
        <v>0</v>
      </c>
      <c r="M917" s="10">
        <v>26</v>
      </c>
      <c r="N917" s="30"/>
      <c r="P917" s="47"/>
      <c r="Q917" s="31"/>
      <c r="R917" s="31"/>
      <c r="S917" s="32">
        <f t="shared" si="197"/>
        <v>0</v>
      </c>
      <c r="T917" s="10"/>
      <c r="U917" s="10"/>
      <c r="V917" s="10"/>
      <c r="W917" s="12">
        <f t="shared" si="198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04"/>
        <v>0</v>
      </c>
      <c r="AF917" s="10"/>
      <c r="AG917" s="10"/>
      <c r="AH917" s="10"/>
      <c r="AI917" s="12">
        <f t="shared" si="200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195"/>
        <v>0</v>
      </c>
      <c r="H918" s="10"/>
      <c r="I918" s="10"/>
      <c r="J918" s="10"/>
      <c r="K918" s="12">
        <f t="shared" si="196"/>
        <v>0</v>
      </c>
      <c r="M918" s="10">
        <v>27</v>
      </c>
      <c r="N918" s="30"/>
      <c r="O918" s="31"/>
      <c r="P918" s="47"/>
      <c r="Q918" s="31"/>
      <c r="R918" s="31"/>
      <c r="S918" s="32">
        <f t="shared" si="197"/>
        <v>0</v>
      </c>
      <c r="T918" s="10"/>
      <c r="U918" s="10"/>
      <c r="V918" s="10"/>
      <c r="W918" s="12">
        <f t="shared" si="198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04"/>
        <v>0</v>
      </c>
      <c r="AF918" s="10"/>
      <c r="AG918" s="10"/>
      <c r="AH918" s="10"/>
      <c r="AI918" s="12">
        <f t="shared" si="200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57"/>
      <c r="D919" s="32"/>
      <c r="E919" s="32"/>
      <c r="F919" s="32"/>
      <c r="G919" s="32">
        <f t="shared" si="195"/>
        <v>0</v>
      </c>
      <c r="H919" s="10"/>
      <c r="I919" s="10"/>
      <c r="J919" s="10"/>
      <c r="K919" s="12">
        <f t="shared" si="196"/>
        <v>0</v>
      </c>
      <c r="M919" s="10">
        <v>28</v>
      </c>
      <c r="N919" s="30"/>
      <c r="O919" s="31"/>
      <c r="P919" s="47"/>
      <c r="Q919" s="31"/>
      <c r="R919" s="31"/>
      <c r="S919" s="32">
        <f t="shared" si="197"/>
        <v>0</v>
      </c>
      <c r="T919" s="10"/>
      <c r="U919" s="10"/>
      <c r="V919" s="10"/>
      <c r="W919" s="12">
        <f t="shared" si="198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04"/>
        <v>0</v>
      </c>
      <c r="AF919" s="10"/>
      <c r="AG919" s="10"/>
      <c r="AH919" s="10"/>
      <c r="AI919" s="12">
        <f t="shared" si="200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57"/>
      <c r="D920" s="32"/>
      <c r="E920" s="32"/>
      <c r="F920" s="32"/>
      <c r="G920" s="32">
        <f t="shared" si="195"/>
        <v>0</v>
      </c>
      <c r="H920" s="10"/>
      <c r="I920" s="10"/>
      <c r="J920" s="10"/>
      <c r="K920" s="12">
        <f t="shared" si="196"/>
        <v>0</v>
      </c>
      <c r="M920" s="10">
        <v>29</v>
      </c>
      <c r="N920" s="30"/>
      <c r="O920" s="31"/>
      <c r="P920" s="47"/>
      <c r="Q920" s="31"/>
      <c r="R920" s="31"/>
      <c r="S920" s="32">
        <f t="shared" si="197"/>
        <v>0</v>
      </c>
      <c r="T920" s="10"/>
      <c r="U920" s="10"/>
      <c r="V920" s="10"/>
      <c r="W920" s="12">
        <f t="shared" si="198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04"/>
        <v>0</v>
      </c>
      <c r="AF920" s="10"/>
      <c r="AG920" s="10"/>
      <c r="AH920" s="10"/>
      <c r="AI920" s="12">
        <f t="shared" si="200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11"/>
      <c r="D921" s="32"/>
      <c r="E921" s="32"/>
      <c r="F921" s="32"/>
      <c r="G921" s="32">
        <f t="shared" si="195"/>
        <v>0</v>
      </c>
      <c r="H921" s="10"/>
      <c r="I921" s="10"/>
      <c r="J921" s="10"/>
      <c r="K921" s="12">
        <f t="shared" si="196"/>
        <v>0</v>
      </c>
      <c r="M921" s="10">
        <v>30</v>
      </c>
      <c r="N921" s="30"/>
      <c r="P921" s="47"/>
      <c r="Q921" s="31"/>
      <c r="R921" s="31"/>
      <c r="S921" s="32">
        <f t="shared" si="197"/>
        <v>0</v>
      </c>
      <c r="T921" s="10"/>
      <c r="U921" s="10"/>
      <c r="V921" s="10"/>
      <c r="W921" s="12">
        <f t="shared" si="198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04"/>
        <v>0</v>
      </c>
      <c r="AF921" s="10"/>
      <c r="AG921" s="10"/>
      <c r="AH921" s="10"/>
      <c r="AI921" s="12">
        <f t="shared" si="200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195"/>
        <v>0</v>
      </c>
      <c r="H922" s="10"/>
      <c r="I922" s="10"/>
      <c r="J922" s="10"/>
      <c r="K922" s="12">
        <f t="shared" si="196"/>
        <v>0</v>
      </c>
      <c r="M922" s="10">
        <v>31</v>
      </c>
      <c r="N922" s="30"/>
      <c r="O922" s="31"/>
      <c r="P922" s="47"/>
      <c r="Q922" s="31"/>
      <c r="R922" s="31"/>
      <c r="S922" s="32">
        <f t="shared" si="197"/>
        <v>0</v>
      </c>
      <c r="T922" s="10"/>
      <c r="U922" s="10"/>
      <c r="V922" s="10"/>
      <c r="W922" s="12">
        <f t="shared" si="198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04"/>
        <v>0</v>
      </c>
      <c r="AF922" s="10"/>
      <c r="AG922" s="10"/>
      <c r="AH922" s="10"/>
      <c r="AI922" s="12">
        <f t="shared" si="200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11"/>
      <c r="D923" s="32"/>
      <c r="E923" s="32"/>
      <c r="F923" s="32"/>
      <c r="G923" s="32">
        <f t="shared" si="195"/>
        <v>0</v>
      </c>
      <c r="H923" s="10"/>
      <c r="I923" s="10"/>
      <c r="J923" s="10"/>
      <c r="K923" s="12">
        <f t="shared" si="196"/>
        <v>0</v>
      </c>
      <c r="M923" s="10">
        <v>32</v>
      </c>
      <c r="N923" s="30"/>
      <c r="O923" s="31"/>
      <c r="P923" s="47"/>
      <c r="Q923" s="31"/>
      <c r="R923" s="31"/>
      <c r="S923" s="32">
        <f t="shared" si="197"/>
        <v>0</v>
      </c>
      <c r="T923" s="10"/>
      <c r="U923" s="10"/>
      <c r="V923" s="10"/>
      <c r="W923" s="12">
        <f t="shared" si="198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04"/>
        <v>0</v>
      </c>
      <c r="AF923" s="10"/>
      <c r="AG923" s="10"/>
      <c r="AH923" s="10"/>
      <c r="AI923" s="12">
        <f t="shared" si="200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11"/>
      <c r="D924" s="32"/>
      <c r="E924" s="32"/>
      <c r="F924" s="32"/>
      <c r="G924" s="32">
        <f t="shared" si="195"/>
        <v>0</v>
      </c>
      <c r="H924" s="10"/>
      <c r="I924" s="10"/>
      <c r="J924" s="10"/>
      <c r="K924" s="12">
        <f t="shared" si="196"/>
        <v>0</v>
      </c>
      <c r="M924" s="10">
        <v>33</v>
      </c>
      <c r="N924" s="30"/>
      <c r="O924" s="31"/>
      <c r="P924" s="47"/>
      <c r="Q924" s="31"/>
      <c r="R924" s="31"/>
      <c r="S924" s="32">
        <f t="shared" si="197"/>
        <v>0</v>
      </c>
      <c r="T924" s="10"/>
      <c r="U924" s="10"/>
      <c r="V924" s="10"/>
      <c r="W924" s="12">
        <f t="shared" si="198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04"/>
        <v>0</v>
      </c>
      <c r="AF924" s="10"/>
      <c r="AG924" s="10"/>
      <c r="AH924" s="10"/>
      <c r="AI924" s="12">
        <f t="shared" si="200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11"/>
      <c r="D925" s="32"/>
      <c r="E925" s="32"/>
      <c r="F925" s="32"/>
      <c r="G925" s="32">
        <f t="shared" si="195"/>
        <v>0</v>
      </c>
      <c r="H925" s="10"/>
      <c r="I925" s="10"/>
      <c r="J925" s="10"/>
      <c r="K925" s="12">
        <f t="shared" si="196"/>
        <v>0</v>
      </c>
      <c r="M925" s="10">
        <v>34</v>
      </c>
      <c r="N925" s="30"/>
      <c r="O925" s="31"/>
      <c r="P925" s="47"/>
      <c r="Q925" s="31"/>
      <c r="R925" s="31"/>
      <c r="S925" s="32">
        <f t="shared" si="197"/>
        <v>0</v>
      </c>
      <c r="T925" s="10"/>
      <c r="U925" s="10"/>
      <c r="V925" s="10"/>
      <c r="W925" s="12">
        <f t="shared" si="198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04"/>
        <v>0</v>
      </c>
      <c r="AF925" s="10"/>
      <c r="AG925" s="10"/>
      <c r="AH925" s="10"/>
      <c r="AI925" s="12">
        <f t="shared" si="200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1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197"/>
        <v>0</v>
      </c>
      <c r="T926" s="10"/>
      <c r="U926" s="10"/>
      <c r="V926" s="10"/>
      <c r="W926" s="12">
        <f t="shared" si="198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04"/>
        <v>0</v>
      </c>
      <c r="AF926" s="10"/>
      <c r="AG926" s="10"/>
      <c r="AH926" s="10"/>
      <c r="AI926" s="12">
        <f t="shared" si="200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1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197"/>
        <v>0</v>
      </c>
      <c r="T927" s="10"/>
      <c r="U927" s="10"/>
      <c r="V927" s="10"/>
      <c r="W927" s="12">
        <f t="shared" si="198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04"/>
        <v>0</v>
      </c>
      <c r="AF927" s="10"/>
      <c r="AG927" s="10"/>
      <c r="AH927" s="10"/>
      <c r="AI927" s="12">
        <f t="shared" si="200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1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197"/>
        <v>0</v>
      </c>
      <c r="T928" s="10"/>
      <c r="U928" s="10"/>
      <c r="V928" s="10"/>
      <c r="W928" s="12">
        <f t="shared" si="198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04"/>
        <v>0</v>
      </c>
      <c r="AF928" s="10"/>
      <c r="AG928" s="10"/>
      <c r="AH928" s="10"/>
      <c r="AI928" s="12">
        <f t="shared" si="200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197"/>
        <v>0</v>
      </c>
      <c r="T929" s="10"/>
      <c r="U929" s="10"/>
      <c r="V929" s="10"/>
      <c r="W929" s="12">
        <f t="shared" si="198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04"/>
        <v>0</v>
      </c>
      <c r="AF929" s="10"/>
      <c r="AG929" s="10"/>
      <c r="AH929" s="10"/>
      <c r="AI929" s="12">
        <f t="shared" si="200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197"/>
        <v>0</v>
      </c>
      <c r="T930" s="10"/>
      <c r="U930" s="10"/>
      <c r="V930" s="10"/>
      <c r="W930" s="12">
        <f t="shared" si="198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04"/>
        <v>0</v>
      </c>
      <c r="AF930" s="10"/>
      <c r="AG930" s="10"/>
      <c r="AH930" s="10"/>
      <c r="AI930" s="12">
        <f t="shared" si="200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198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00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05">SUM(D932:E932)</f>
        <v>0</v>
      </c>
      <c r="H932" s="10"/>
      <c r="I932" s="10"/>
      <c r="J932" s="10"/>
      <c r="K932" s="12">
        <f t="shared" ref="K932" si="206">SUM(G932:J932)</f>
        <v>0</v>
      </c>
      <c r="M932" s="10"/>
      <c r="N932" s="30"/>
      <c r="O932" s="31"/>
      <c r="P932" s="47"/>
      <c r="Q932" s="31"/>
      <c r="R932" s="31"/>
      <c r="S932" s="32">
        <f t="shared" ref="S932" si="207">SUM(P932:Q932)</f>
        <v>0</v>
      </c>
      <c r="T932" s="10"/>
      <c r="U932" s="10"/>
      <c r="V932" s="10"/>
      <c r="W932" s="12">
        <f t="shared" si="198"/>
        <v>0</v>
      </c>
      <c r="Y932" s="10"/>
      <c r="Z932" s="30"/>
      <c r="AA932" s="31"/>
      <c r="AB932" s="47"/>
      <c r="AC932" s="31"/>
      <c r="AD932" s="31"/>
      <c r="AE932" s="32">
        <f t="shared" ref="AE932" si="208">SUM(AB932:AC932)</f>
        <v>0</v>
      </c>
      <c r="AF932" s="10"/>
      <c r="AG932" s="10"/>
      <c r="AH932" s="10"/>
      <c r="AI932" s="12">
        <f t="shared" si="200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198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00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134883</v>
      </c>
      <c r="E935" s="38">
        <f t="shared" ref="E935:F935" si="209">SUM(E892:E932)</f>
        <v>0</v>
      </c>
      <c r="F935" s="38">
        <f t="shared" si="209"/>
        <v>0</v>
      </c>
      <c r="G935" s="38">
        <f>SUM(G892:G934)</f>
        <v>134883</v>
      </c>
      <c r="H935" s="4"/>
      <c r="I935" s="39">
        <f>SUM(I892:I934)</f>
        <v>119</v>
      </c>
      <c r="J935" s="39">
        <f>SUM(J892:J934)</f>
        <v>0</v>
      </c>
      <c r="K935" s="40">
        <f>SUM(K892:K934)</f>
        <v>135002</v>
      </c>
      <c r="N935" s="57"/>
      <c r="O935" s="57"/>
      <c r="P935" s="38">
        <f>SUM(P892:P934)</f>
        <v>52492.5</v>
      </c>
      <c r="Q935" s="38">
        <f>SUM(Q892:Q916)</f>
        <v>0</v>
      </c>
      <c r="R935" s="38">
        <f>SUM(R892:R916)</f>
        <v>0</v>
      </c>
      <c r="S935" s="38">
        <f>SUM(S892:S934)</f>
        <v>52492.5</v>
      </c>
      <c r="T935" s="4"/>
      <c r="U935" s="41">
        <f>SUM(U892:U934)</f>
        <v>96.5</v>
      </c>
      <c r="V935" s="41">
        <f>SUM(V892:V916)</f>
        <v>-9</v>
      </c>
      <c r="W935" s="42">
        <f>SUM(W892:W934)</f>
        <v>52580</v>
      </c>
      <c r="Z935" s="57"/>
      <c r="AA935" s="57"/>
      <c r="AB935" s="38">
        <f>SUM(AB892:AB934)</f>
        <v>153932</v>
      </c>
      <c r="AC935" s="38">
        <f>SUM(AC892:AC916)</f>
        <v>-312</v>
      </c>
      <c r="AD935" s="38">
        <f>SUM(AD892:AD916)</f>
        <v>0</v>
      </c>
      <c r="AE935" s="38">
        <f>SUM(AE892:AE934)</f>
        <v>153620</v>
      </c>
      <c r="AF935" s="4"/>
      <c r="AG935" s="41">
        <f>SUM(AG892:AG934)</f>
        <v>146</v>
      </c>
      <c r="AH935" s="41">
        <f>SUM(AH892:AH916)</f>
        <v>-9522</v>
      </c>
      <c r="AI935" s="42">
        <f>SUM(AI892:AI934)</f>
        <v>144244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8"/>
      <c r="AM937" s="88"/>
      <c r="AN937" s="88"/>
      <c r="AO937" s="88"/>
      <c r="AP937" s="88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Y938" t="s">
        <v>29</v>
      </c>
      <c r="Z938" s="57"/>
      <c r="AA938" s="57"/>
      <c r="AB938" s="57"/>
      <c r="AC938" s="57"/>
      <c r="AD938" s="57"/>
      <c r="AE938" s="57"/>
      <c r="AK938" s="62"/>
      <c r="AL938" s="88"/>
      <c r="AM938" s="88"/>
      <c r="AN938" s="88"/>
      <c r="AO938" s="88"/>
      <c r="AP938" s="88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8"/>
      <c r="AM939" s="88"/>
      <c r="AN939" s="88"/>
      <c r="AO939" s="88"/>
      <c r="AP939" s="88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Y940" s="4" t="s">
        <v>15</v>
      </c>
      <c r="Z940" s="57"/>
      <c r="AA940" s="57"/>
      <c r="AB940" s="57"/>
      <c r="AC940" s="57"/>
      <c r="AD940" s="57"/>
      <c r="AE940" s="57"/>
      <c r="AK940" s="63"/>
      <c r="AL940" s="88"/>
      <c r="AM940" s="88"/>
      <c r="AN940" s="88"/>
      <c r="AO940" s="88"/>
      <c r="AP940" s="88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8"/>
      <c r="AM941" s="88"/>
      <c r="AN941" s="88"/>
      <c r="AO941" s="88"/>
      <c r="AP941" s="88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4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4"/>
      <c r="W942" s="62"/>
      <c r="Y942" t="s">
        <v>52</v>
      </c>
      <c r="Z942" s="57"/>
      <c r="AA942" s="57"/>
      <c r="AB942" s="57"/>
      <c r="AC942" s="57"/>
      <c r="AD942" s="57"/>
      <c r="AE942" s="57"/>
      <c r="AG942" s="57" t="s">
        <v>16</v>
      </c>
      <c r="AH942" s="20">
        <v>3</v>
      </c>
      <c r="AK942" s="62"/>
      <c r="AL942" s="88"/>
      <c r="AM942" s="88"/>
      <c r="AN942" s="88"/>
      <c r="AO942" s="88"/>
      <c r="AP942" s="88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Y943" s="21" t="s">
        <v>86</v>
      </c>
      <c r="Z943" s="20"/>
      <c r="AA943" s="57"/>
      <c r="AB943" s="57"/>
      <c r="AC943" s="57"/>
      <c r="AD943" s="57"/>
      <c r="AE943" s="57"/>
      <c r="AG943" s="22" t="s">
        <v>17</v>
      </c>
      <c r="AH943" s="23" t="s">
        <v>34</v>
      </c>
      <c r="AI943" s="24"/>
      <c r="AK943" s="64"/>
      <c r="AL943" s="88"/>
      <c r="AM943" s="88"/>
      <c r="AN943" s="88"/>
      <c r="AO943" s="88"/>
      <c r="AP943" s="88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8"/>
      <c r="AM944" s="88"/>
      <c r="AN944" s="88"/>
      <c r="AO944" s="88"/>
      <c r="AP944" s="88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26"/>
      <c r="E945" s="126"/>
      <c r="F945" s="88"/>
      <c r="G945" s="88"/>
      <c r="H945" s="62"/>
      <c r="I945" s="126"/>
      <c r="J945" s="126"/>
      <c r="K945" s="125"/>
      <c r="L945" s="62"/>
      <c r="M945" s="62"/>
      <c r="N945" s="65"/>
      <c r="O945" s="88"/>
      <c r="P945" s="126"/>
      <c r="Q945" s="126"/>
      <c r="R945" s="88"/>
      <c r="S945" s="88"/>
      <c r="T945" s="62"/>
      <c r="U945" s="126"/>
      <c r="V945" s="126"/>
      <c r="W945" s="125"/>
      <c r="Z945" s="25"/>
      <c r="AA945" s="26"/>
      <c r="AB945" s="124" t="s">
        <v>18</v>
      </c>
      <c r="AC945" s="124"/>
      <c r="AD945" s="112"/>
      <c r="AE945" s="27"/>
      <c r="AG945" s="122" t="s">
        <v>19</v>
      </c>
      <c r="AH945" s="123"/>
      <c r="AI945" s="120" t="s">
        <v>20</v>
      </c>
      <c r="AK945" s="62"/>
      <c r="AL945" s="65"/>
      <c r="AM945" s="88"/>
      <c r="AN945" s="126"/>
      <c r="AO945" s="126"/>
      <c r="AP945" s="88"/>
      <c r="AQ945" s="84"/>
      <c r="AR945" s="62"/>
      <c r="AS945" s="126"/>
      <c r="AT945" s="126"/>
      <c r="AU945" s="125"/>
      <c r="AV945" s="62"/>
      <c r="AW945" s="62"/>
      <c r="AX945" s="62"/>
      <c r="AY945" s="62"/>
      <c r="AZ945" s="62"/>
    </row>
    <row r="946" spans="1:52" ht="30" x14ac:dyDescent="0.25">
      <c r="A946" s="62"/>
      <c r="B946" s="88"/>
      <c r="C946" s="88"/>
      <c r="D946" s="81"/>
      <c r="E946" s="82"/>
      <c r="F946" s="83"/>
      <c r="G946" s="83"/>
      <c r="H946" s="62"/>
      <c r="I946" s="87"/>
      <c r="J946" s="87"/>
      <c r="K946" s="125"/>
      <c r="L946" s="62"/>
      <c r="M946" s="62"/>
      <c r="N946" s="88"/>
      <c r="O946" s="88"/>
      <c r="P946" s="81"/>
      <c r="Q946" s="83"/>
      <c r="R946" s="83"/>
      <c r="S946" s="83"/>
      <c r="T946" s="62"/>
      <c r="U946" s="87"/>
      <c r="V946" s="87"/>
      <c r="W946" s="125"/>
      <c r="Z946" s="28" t="s">
        <v>21</v>
      </c>
      <c r="AA946" s="28" t="s">
        <v>22</v>
      </c>
      <c r="AB946" s="79" t="s">
        <v>23</v>
      </c>
      <c r="AC946" s="80" t="s">
        <v>24</v>
      </c>
      <c r="AD946" s="80" t="s">
        <v>35</v>
      </c>
      <c r="AE946" s="80" t="s">
        <v>25</v>
      </c>
      <c r="AG946" s="29" t="s">
        <v>26</v>
      </c>
      <c r="AH946" s="29" t="s">
        <v>27</v>
      </c>
      <c r="AI946" s="121"/>
      <c r="AK946" s="62"/>
      <c r="AL946" s="88"/>
      <c r="AM946" s="88"/>
      <c r="AN946" s="81"/>
      <c r="AO946" s="83"/>
      <c r="AP946" s="83"/>
      <c r="AQ946" s="83"/>
      <c r="AR946" s="62"/>
      <c r="AS946" s="85"/>
      <c r="AT946" s="85"/>
      <c r="AU946" s="12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8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87</v>
      </c>
      <c r="AA947" s="31">
        <v>6708</v>
      </c>
      <c r="AB947" s="32">
        <f>229*2</f>
        <v>458</v>
      </c>
      <c r="AC947" s="32"/>
      <c r="AD947" s="32"/>
      <c r="AE947" s="32">
        <f>SUM(AB947:AC947)</f>
        <v>458</v>
      </c>
      <c r="AF947" s="12"/>
      <c r="AG947" s="12"/>
      <c r="AH947" s="12"/>
      <c r="AI947" s="12">
        <f>SUM(AE947:AH947)</f>
        <v>458</v>
      </c>
      <c r="AK947" s="62"/>
      <c r="AL947" s="66"/>
      <c r="AM947" s="88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8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87</v>
      </c>
      <c r="AA948" s="31">
        <f>AA947+1</f>
        <v>6709</v>
      </c>
      <c r="AB948" s="32">
        <f>15024+1788+229</f>
        <v>17041</v>
      </c>
      <c r="AC948" s="32"/>
      <c r="AD948" s="32"/>
      <c r="AE948" s="32">
        <f t="shared" ref="AE948:AE956" si="210">SUM(AB948:AC948)</f>
        <v>17041</v>
      </c>
      <c r="AF948" s="12"/>
      <c r="AG948" s="12"/>
      <c r="AH948" s="12"/>
      <c r="AI948" s="12">
        <f t="shared" ref="AI948:AI988" si="211">SUM(AE948:AH948)</f>
        <v>17041</v>
      </c>
      <c r="AK948" s="62"/>
      <c r="AL948" s="66"/>
      <c r="AM948" s="88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8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87</v>
      </c>
      <c r="AA949" s="31">
        <f t="shared" ref="AA949:AA957" si="212">AA948+1</f>
        <v>6710</v>
      </c>
      <c r="AB949" s="33">
        <f>626*19+614*5+674+596*5+229</f>
        <v>18847</v>
      </c>
      <c r="AC949" s="33"/>
      <c r="AD949" s="32"/>
      <c r="AE949" s="32">
        <f t="shared" si="210"/>
        <v>18847</v>
      </c>
      <c r="AF949" s="12"/>
      <c r="AG949" s="12">
        <f>405+15</f>
        <v>420</v>
      </c>
      <c r="AH949" s="12"/>
      <c r="AI949" s="12">
        <f t="shared" si="211"/>
        <v>19267</v>
      </c>
      <c r="AK949" s="62"/>
      <c r="AL949" s="66"/>
      <c r="AM949" s="88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8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87</v>
      </c>
      <c r="AA950" s="31">
        <f t="shared" si="212"/>
        <v>6711</v>
      </c>
      <c r="AB950" s="32">
        <f>12520+3070+674+3576+832+229</f>
        <v>20901</v>
      </c>
      <c r="AC950" s="32"/>
      <c r="AD950" s="32"/>
      <c r="AE950" s="32">
        <f t="shared" si="210"/>
        <v>20901</v>
      </c>
      <c r="AF950" s="12"/>
      <c r="AG950">
        <v>270</v>
      </c>
      <c r="AH950" s="12"/>
      <c r="AI950" s="12">
        <f t="shared" si="211"/>
        <v>21171</v>
      </c>
      <c r="AK950" s="62"/>
      <c r="AL950" s="66"/>
      <c r="AM950" s="88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8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87</v>
      </c>
      <c r="AA951" s="31">
        <f t="shared" si="212"/>
        <v>6712</v>
      </c>
      <c r="AB951" s="32">
        <f>5634+3070+2739</f>
        <v>11443</v>
      </c>
      <c r="AC951" s="32"/>
      <c r="AD951" s="32"/>
      <c r="AE951" s="32">
        <f t="shared" si="210"/>
        <v>11443</v>
      </c>
      <c r="AF951" s="12"/>
      <c r="AG951" s="12"/>
      <c r="AH951" s="12"/>
      <c r="AI951" s="12">
        <f t="shared" si="211"/>
        <v>11443</v>
      </c>
      <c r="AK951" s="62"/>
      <c r="AL951" s="66"/>
      <c r="AM951" s="88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8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8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87</v>
      </c>
      <c r="AA952" s="31">
        <f t="shared" si="212"/>
        <v>6713</v>
      </c>
      <c r="AB952" s="32">
        <f>9390+2980+229</f>
        <v>12599</v>
      </c>
      <c r="AC952" s="32"/>
      <c r="AD952" s="32"/>
      <c r="AE952" s="32">
        <f t="shared" si="210"/>
        <v>12599</v>
      </c>
      <c r="AF952" s="12"/>
      <c r="AG952" s="12"/>
      <c r="AH952" s="10"/>
      <c r="AI952" s="12">
        <f t="shared" si="211"/>
        <v>12599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8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87</v>
      </c>
      <c r="AA953" s="31">
        <f t="shared" si="212"/>
        <v>6714</v>
      </c>
      <c r="AB953" s="32">
        <f>626*10+614+1192+114</f>
        <v>8180</v>
      </c>
      <c r="AC953" s="32"/>
      <c r="AD953" s="32"/>
      <c r="AE953" s="32">
        <f t="shared" si="210"/>
        <v>8180</v>
      </c>
      <c r="AF953" s="12"/>
      <c r="AG953" s="58"/>
      <c r="AH953" s="12"/>
      <c r="AI953" s="12">
        <f t="shared" si="211"/>
        <v>8180</v>
      </c>
      <c r="AK953" s="62"/>
      <c r="AL953" s="66"/>
      <c r="AM953" s="88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8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 t="s">
        <v>87</v>
      </c>
      <c r="AA954" s="31">
        <f t="shared" si="212"/>
        <v>6715</v>
      </c>
      <c r="AB954" s="32">
        <f>1252+19</f>
        <v>1271</v>
      </c>
      <c r="AC954" s="32"/>
      <c r="AE954" s="32">
        <f t="shared" si="210"/>
        <v>1271</v>
      </c>
      <c r="AF954" s="12"/>
      <c r="AG954" s="12"/>
      <c r="AH954" s="12"/>
      <c r="AI954" s="12">
        <f t="shared" si="211"/>
        <v>1271</v>
      </c>
      <c r="AK954" s="62"/>
      <c r="AL954" s="66"/>
      <c r="AM954" s="88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8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 t="s">
        <v>87</v>
      </c>
      <c r="AA955" s="31">
        <f t="shared" si="212"/>
        <v>6716</v>
      </c>
      <c r="AB955" s="95">
        <f>674</f>
        <v>674</v>
      </c>
      <c r="AC955" s="32"/>
      <c r="AD955" s="32"/>
      <c r="AE955" s="32">
        <f t="shared" si="210"/>
        <v>674</v>
      </c>
      <c r="AF955" s="12"/>
      <c r="AH955" s="12"/>
      <c r="AI955" s="12">
        <f t="shared" si="211"/>
        <v>674</v>
      </c>
      <c r="AK955" s="62"/>
      <c r="AL955" s="66"/>
      <c r="AM955" s="88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8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 t="s">
        <v>87</v>
      </c>
      <c r="AA956" s="31">
        <f t="shared" si="212"/>
        <v>6717</v>
      </c>
      <c r="AB956" s="32">
        <f>5634+2980+133+500</f>
        <v>9247</v>
      </c>
      <c r="AC956" s="32"/>
      <c r="AD956" s="32"/>
      <c r="AE956" s="32">
        <f t="shared" si="210"/>
        <v>9247</v>
      </c>
      <c r="AF956" s="12"/>
      <c r="AG956" s="12"/>
      <c r="AH956" s="12"/>
      <c r="AI956" s="12">
        <f t="shared" si="211"/>
        <v>9247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8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 t="s">
        <v>87</v>
      </c>
      <c r="AA957" s="31">
        <f t="shared" si="212"/>
        <v>6718</v>
      </c>
      <c r="AB957" s="32">
        <f>32552+650</f>
        <v>33202</v>
      </c>
      <c r="AC957" s="32"/>
      <c r="AD957" s="32"/>
      <c r="AE957" s="32">
        <f t="shared" ref="AE957:AE985" si="213">SUM(AB957:AC957)</f>
        <v>33202</v>
      </c>
      <c r="AF957" s="12"/>
      <c r="AG957" s="12"/>
      <c r="AH957" s="12"/>
      <c r="AI957" s="12">
        <f t="shared" si="211"/>
        <v>33202</v>
      </c>
      <c r="AK957" s="62"/>
      <c r="AL957" s="66"/>
      <c r="AM957" s="88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8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11" t="s">
        <v>28</v>
      </c>
      <c r="AB958" s="32"/>
      <c r="AC958" s="32"/>
      <c r="AD958" s="32"/>
      <c r="AE958" s="32">
        <f t="shared" si="213"/>
        <v>0</v>
      </c>
      <c r="AF958" s="12"/>
      <c r="AG958" s="12"/>
      <c r="AH958" s="12"/>
      <c r="AI958" s="12">
        <f t="shared" si="211"/>
        <v>0</v>
      </c>
      <c r="AK958" s="62"/>
      <c r="AL958" s="66"/>
      <c r="AM958" s="88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8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13"/>
        <v>0</v>
      </c>
      <c r="AF959" s="12"/>
      <c r="AG959" s="12"/>
      <c r="AH959" s="12"/>
      <c r="AI959" s="12">
        <f t="shared" si="211"/>
        <v>0</v>
      </c>
      <c r="AK959" s="62"/>
      <c r="AL959" s="66"/>
      <c r="AM959" s="88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8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13"/>
        <v>0</v>
      </c>
      <c r="AF960" s="12"/>
      <c r="AG960" s="12"/>
      <c r="AH960" s="12"/>
      <c r="AI960" s="12">
        <f t="shared" si="211"/>
        <v>0</v>
      </c>
      <c r="AK960" s="62"/>
      <c r="AL960" s="66"/>
      <c r="AM960" s="88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13"/>
        <v>0</v>
      </c>
      <c r="AF961" s="12"/>
      <c r="AG961" s="12"/>
      <c r="AH961" s="12"/>
      <c r="AI961" s="12">
        <f t="shared" si="211"/>
        <v>0</v>
      </c>
      <c r="AK961" s="62"/>
      <c r="AL961" s="66"/>
      <c r="AM961" s="88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Z962" s="30"/>
      <c r="AA962" s="31"/>
      <c r="AB962" s="32"/>
      <c r="AC962" s="32"/>
      <c r="AD962" s="32"/>
      <c r="AE962" s="32">
        <f t="shared" si="213"/>
        <v>0</v>
      </c>
      <c r="AF962" s="12"/>
      <c r="AG962" s="12"/>
      <c r="AH962" s="12"/>
      <c r="AI962" s="12">
        <f t="shared" si="211"/>
        <v>0</v>
      </c>
      <c r="AK962" s="62"/>
      <c r="AL962" s="66"/>
      <c r="AM962" s="88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8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13"/>
        <v>0</v>
      </c>
      <c r="AF963" s="12"/>
      <c r="AG963" s="12"/>
      <c r="AH963" s="12"/>
      <c r="AI963" s="12">
        <f t="shared" si="211"/>
        <v>0</v>
      </c>
      <c r="AK963" s="62"/>
      <c r="AL963" s="66"/>
      <c r="AM963" s="88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8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13"/>
        <v>0</v>
      </c>
      <c r="AF964" s="12"/>
      <c r="AG964" s="12"/>
      <c r="AH964" s="12"/>
      <c r="AI964" s="12">
        <f t="shared" si="211"/>
        <v>0</v>
      </c>
      <c r="AK964" s="62"/>
      <c r="AL964" s="66"/>
      <c r="AM964" s="88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8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13"/>
        <v>0</v>
      </c>
      <c r="AF965" s="12"/>
      <c r="AG965" s="12"/>
      <c r="AH965" s="12"/>
      <c r="AI965" s="12">
        <f t="shared" si="211"/>
        <v>0</v>
      </c>
      <c r="AK965" s="62"/>
      <c r="AL965" s="66"/>
      <c r="AM965" s="88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8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13"/>
        <v>0</v>
      </c>
      <c r="AF966" s="12"/>
      <c r="AG966" s="12"/>
      <c r="AH966" s="12"/>
      <c r="AI966" s="12">
        <f t="shared" si="211"/>
        <v>0</v>
      </c>
      <c r="AK966" s="62"/>
      <c r="AL966" s="66"/>
      <c r="AM966" s="88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8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67"/>
      <c r="Q967" s="60"/>
      <c r="R967" s="88"/>
      <c r="S967" s="60"/>
      <c r="T967" s="62"/>
      <c r="U967" s="62"/>
      <c r="V967" s="62"/>
      <c r="W967" s="61"/>
      <c r="Y967" s="10">
        <v>21</v>
      </c>
      <c r="Z967" s="30"/>
      <c r="AB967" s="46"/>
      <c r="AC967" s="31"/>
      <c r="AD967" s="31"/>
      <c r="AE967" s="32">
        <f t="shared" si="213"/>
        <v>0</v>
      </c>
      <c r="AF967" s="10"/>
      <c r="AG967" s="10"/>
      <c r="AH967" s="10"/>
      <c r="AI967" s="12">
        <f t="shared" si="211"/>
        <v>0</v>
      </c>
      <c r="AK967" s="62"/>
      <c r="AL967" s="66"/>
      <c r="AM967" s="88"/>
      <c r="AN967" s="67"/>
      <c r="AO967" s="88"/>
      <c r="AP967" s="88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8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8"/>
      <c r="P968" s="68"/>
      <c r="Q968" s="60"/>
      <c r="R968" s="88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13"/>
        <v>0</v>
      </c>
      <c r="AF968" s="10"/>
      <c r="AG968" s="10"/>
      <c r="AH968" s="10"/>
      <c r="AI968" s="12">
        <f t="shared" si="211"/>
        <v>0</v>
      </c>
      <c r="AK968" s="62"/>
      <c r="AL968" s="66"/>
      <c r="AM968" s="88"/>
      <c r="AN968" s="68"/>
      <c r="AO968" s="88"/>
      <c r="AP968" s="88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8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60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E969" s="32">
        <f t="shared" si="213"/>
        <v>0</v>
      </c>
      <c r="AF969" s="10"/>
      <c r="AG969" s="10"/>
      <c r="AH969" s="10"/>
      <c r="AI969" s="12">
        <f t="shared" si="211"/>
        <v>0</v>
      </c>
      <c r="AK969" s="62"/>
      <c r="AL969" s="66"/>
      <c r="AM969" s="88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8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8"/>
      <c r="P970" s="69"/>
      <c r="Q970" s="60"/>
      <c r="R970" s="88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13"/>
        <v>0</v>
      </c>
      <c r="AF970" s="10"/>
      <c r="AG970" s="10"/>
      <c r="AH970" s="10"/>
      <c r="AI970" s="12">
        <f t="shared" si="211"/>
        <v>0</v>
      </c>
      <c r="AK970" s="62"/>
      <c r="AL970" s="66"/>
      <c r="AM970" s="88"/>
      <c r="AN970" s="69"/>
      <c r="AO970" s="88"/>
      <c r="AP970" s="88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8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60"/>
      <c r="R971" s="88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13"/>
        <v>0</v>
      </c>
      <c r="AF971" s="10"/>
      <c r="AG971" s="10"/>
      <c r="AH971" s="10"/>
      <c r="AI971" s="12">
        <f t="shared" si="211"/>
        <v>0</v>
      </c>
      <c r="AK971" s="62"/>
      <c r="AL971" s="66"/>
      <c r="AM971" s="88"/>
      <c r="AN971" s="69"/>
      <c r="AO971" s="88"/>
      <c r="AP971" s="88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8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8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13"/>
        <v>0</v>
      </c>
      <c r="AF972" s="10"/>
      <c r="AG972" s="10"/>
      <c r="AH972" s="10"/>
      <c r="AI972" s="12">
        <f t="shared" si="211"/>
        <v>0</v>
      </c>
      <c r="AK972" s="62"/>
      <c r="AL972" s="66"/>
      <c r="AM972" s="88"/>
      <c r="AN972" s="69"/>
      <c r="AO972" s="88"/>
      <c r="AP972" s="88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8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13"/>
        <v>0</v>
      </c>
      <c r="AF973" s="10"/>
      <c r="AG973" s="10"/>
      <c r="AH973" s="10"/>
      <c r="AI973" s="12">
        <f t="shared" si="211"/>
        <v>0</v>
      </c>
      <c r="AK973" s="62"/>
      <c r="AL973" s="66"/>
      <c r="AM973" s="88"/>
      <c r="AN973" s="69"/>
      <c r="AO973" s="88"/>
      <c r="AP973" s="88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13"/>
        <v>0</v>
      </c>
      <c r="AF974" s="10"/>
      <c r="AG974" s="10"/>
      <c r="AH974" s="10"/>
      <c r="AI974" s="12">
        <f t="shared" si="211"/>
        <v>0</v>
      </c>
      <c r="AK974" s="62"/>
      <c r="AL974" s="66"/>
      <c r="AM974" s="88"/>
      <c r="AN974" s="69"/>
      <c r="AO974" s="88"/>
      <c r="AP974" s="88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8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13"/>
        <v>0</v>
      </c>
      <c r="AF975" s="10"/>
      <c r="AG975" s="10"/>
      <c r="AH975" s="10"/>
      <c r="AI975" s="12">
        <f t="shared" si="211"/>
        <v>0</v>
      </c>
      <c r="AK975" s="62"/>
      <c r="AL975" s="66"/>
      <c r="AM975" s="88"/>
      <c r="AN975" s="69"/>
      <c r="AO975" s="88"/>
      <c r="AP975" s="88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8"/>
      <c r="P976" s="69"/>
      <c r="Q976" s="88"/>
      <c r="R976" s="88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13"/>
        <v>0</v>
      </c>
      <c r="AF976" s="10"/>
      <c r="AG976" s="10"/>
      <c r="AH976" s="10"/>
      <c r="AI976" s="12">
        <f t="shared" si="211"/>
        <v>0</v>
      </c>
      <c r="AK976" s="62"/>
      <c r="AL976" s="66"/>
      <c r="AM976" s="88"/>
      <c r="AN976" s="69"/>
      <c r="AO976" s="88"/>
      <c r="AP976" s="88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8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13"/>
        <v>0</v>
      </c>
      <c r="AF977" s="10"/>
      <c r="AG977" s="10"/>
      <c r="AH977" s="10"/>
      <c r="AI977" s="12">
        <f t="shared" si="211"/>
        <v>0</v>
      </c>
      <c r="AK977" s="62"/>
      <c r="AL977" s="66"/>
      <c r="AM977" s="62"/>
      <c r="AN977" s="69"/>
      <c r="AO977" s="88"/>
      <c r="AP977" s="88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8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13"/>
        <v>0</v>
      </c>
      <c r="AF978" s="10"/>
      <c r="AG978" s="10"/>
      <c r="AH978" s="10"/>
      <c r="AI978" s="12">
        <f t="shared" si="211"/>
        <v>0</v>
      </c>
      <c r="AK978" s="62"/>
      <c r="AL978" s="66"/>
      <c r="AM978" s="88"/>
      <c r="AN978" s="69"/>
      <c r="AO978" s="88"/>
      <c r="AP978" s="88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8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13"/>
        <v>0</v>
      </c>
      <c r="AF979" s="10"/>
      <c r="AG979" s="10"/>
      <c r="AH979" s="10"/>
      <c r="AI979" s="12">
        <f t="shared" si="211"/>
        <v>0</v>
      </c>
      <c r="AK979" s="62"/>
      <c r="AL979" s="66"/>
      <c r="AM979" s="88"/>
      <c r="AN979" s="69"/>
      <c r="AO979" s="88"/>
      <c r="AP979" s="88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8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13"/>
        <v>0</v>
      </c>
      <c r="AF980" s="10"/>
      <c r="AG980" s="10"/>
      <c r="AH980" s="10"/>
      <c r="AI980" s="12">
        <f t="shared" si="211"/>
        <v>0</v>
      </c>
      <c r="AK980" s="62"/>
      <c r="AL980" s="66"/>
      <c r="AM980" s="62"/>
      <c r="AN980" s="69"/>
      <c r="AO980" s="88"/>
      <c r="AP980" s="88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8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13"/>
        <v>0</v>
      </c>
      <c r="AF981" s="10"/>
      <c r="AG981" s="10"/>
      <c r="AH981" s="10"/>
      <c r="AI981" s="12">
        <f t="shared" si="211"/>
        <v>0</v>
      </c>
      <c r="AK981" s="62"/>
      <c r="AL981" s="66"/>
      <c r="AM981" s="88"/>
      <c r="AN981" s="69"/>
      <c r="AO981" s="88"/>
      <c r="AP981" s="88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8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13"/>
        <v>0</v>
      </c>
      <c r="AF982" s="10"/>
      <c r="AG982" s="10"/>
      <c r="AH982" s="10"/>
      <c r="AI982" s="12">
        <f t="shared" si="211"/>
        <v>0</v>
      </c>
      <c r="AK982" s="62"/>
      <c r="AL982" s="66"/>
      <c r="AM982" s="88"/>
      <c r="AN982" s="69"/>
      <c r="AO982" s="88"/>
      <c r="AP982" s="88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13"/>
        <v>0</v>
      </c>
      <c r="AF983" s="10"/>
      <c r="AG983" s="10"/>
      <c r="AH983" s="10"/>
      <c r="AI983" s="12">
        <f t="shared" si="211"/>
        <v>0</v>
      </c>
      <c r="AK983" s="62"/>
      <c r="AL983" s="66"/>
      <c r="AM983" s="88"/>
      <c r="AN983" s="69"/>
      <c r="AO983" s="88"/>
      <c r="AP983" s="88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13"/>
        <v>0</v>
      </c>
      <c r="AF984" s="10"/>
      <c r="AG984" s="10"/>
      <c r="AH984" s="10"/>
      <c r="AI984" s="12">
        <f t="shared" si="211"/>
        <v>0</v>
      </c>
      <c r="AK984" s="62"/>
      <c r="AL984" s="66"/>
      <c r="AM984" s="88"/>
      <c r="AN984" s="69"/>
      <c r="AO984" s="88"/>
      <c r="AP984" s="88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13"/>
        <v>0</v>
      </c>
      <c r="AF985" s="10"/>
      <c r="AG985" s="10"/>
      <c r="AH985" s="10"/>
      <c r="AI985" s="12">
        <f t="shared" si="211"/>
        <v>0</v>
      </c>
      <c r="AK985" s="62"/>
      <c r="AL985" s="66"/>
      <c r="AM985" s="88"/>
      <c r="AN985" s="69"/>
      <c r="AO985" s="88"/>
      <c r="AP985" s="88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11"/>
        <v>0</v>
      </c>
      <c r="AK986" s="62"/>
      <c r="AL986" s="66"/>
      <c r="AM986" s="62"/>
      <c r="AN986" s="69"/>
      <c r="AO986" s="88"/>
      <c r="AP986" s="88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14">SUM(AB987:AC987)</f>
        <v>0</v>
      </c>
      <c r="AF987" s="10"/>
      <c r="AG987" s="10"/>
      <c r="AH987" s="10"/>
      <c r="AI987" s="12">
        <f t="shared" si="211"/>
        <v>0</v>
      </c>
      <c r="AK987" s="62"/>
      <c r="AL987" s="66"/>
      <c r="AM987" s="88"/>
      <c r="AN987" s="69"/>
      <c r="AO987" s="88"/>
      <c r="AP987" s="88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11"/>
        <v>0</v>
      </c>
      <c r="AK988" s="62"/>
      <c r="AL988" s="88"/>
      <c r="AM988" s="88"/>
      <c r="AN988" s="88"/>
      <c r="AO988" s="88"/>
      <c r="AP988" s="88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8"/>
      <c r="AM989" s="88"/>
      <c r="AN989" s="88"/>
      <c r="AO989" s="88"/>
      <c r="AP989" s="88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133863</v>
      </c>
      <c r="AC990" s="38">
        <f>SUM(AC947:AC971)</f>
        <v>0</v>
      </c>
      <c r="AD990" s="38">
        <f>SUM(AD947:AD971)</f>
        <v>0</v>
      </c>
      <c r="AE990" s="38">
        <f>SUM(AE947:AE989)</f>
        <v>133863</v>
      </c>
      <c r="AF990" s="4"/>
      <c r="AG990" s="41">
        <f>SUM(AG947:AG989)</f>
        <v>690</v>
      </c>
      <c r="AH990" s="41">
        <f>SUM(AH947:AH971)</f>
        <v>0</v>
      </c>
      <c r="AI990" s="42">
        <f>SUM(AI947:AI989)</f>
        <v>134553</v>
      </c>
      <c r="AK990" s="62"/>
      <c r="AL990" s="88"/>
      <c r="AM990" s="88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29</v>
      </c>
      <c r="B993" s="57"/>
      <c r="C993" s="57"/>
      <c r="D993" s="57"/>
      <c r="E993" s="57"/>
      <c r="G993" s="57"/>
      <c r="M993" t="s">
        <v>29</v>
      </c>
      <c r="N993" s="57"/>
      <c r="O993" s="57"/>
      <c r="P993" s="57"/>
      <c r="Q993" s="57"/>
      <c r="R993" s="57"/>
      <c r="S993" s="57"/>
      <c r="Y993" t="s">
        <v>29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15</v>
      </c>
      <c r="B995" s="57"/>
      <c r="C995" s="57"/>
      <c r="D995" s="57"/>
      <c r="E995" s="57"/>
      <c r="G995" s="57"/>
      <c r="M995" s="4" t="s">
        <v>15</v>
      </c>
      <c r="N995" s="57"/>
      <c r="O995" s="57"/>
      <c r="P995" s="57"/>
      <c r="Q995" s="57"/>
      <c r="R995" s="57"/>
      <c r="S995" s="57"/>
      <c r="Y995" s="4" t="s">
        <v>15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38</v>
      </c>
      <c r="B997" s="57"/>
      <c r="C997" s="57"/>
      <c r="D997" s="57"/>
      <c r="E997" s="57"/>
      <c r="G997" s="57"/>
      <c r="I997" s="57" t="s">
        <v>16</v>
      </c>
      <c r="J997" s="19">
        <v>1</v>
      </c>
      <c r="M997" t="s">
        <v>38</v>
      </c>
      <c r="N997" s="57"/>
      <c r="O997" s="57"/>
      <c r="P997" s="57"/>
      <c r="Q997" s="57"/>
      <c r="R997" s="57"/>
      <c r="S997" s="57"/>
      <c r="U997" s="57" t="s">
        <v>16</v>
      </c>
      <c r="V997" s="19">
        <v>2</v>
      </c>
      <c r="Y997" t="s">
        <v>38</v>
      </c>
      <c r="Z997" s="57"/>
      <c r="AA997" s="57"/>
      <c r="AB997" s="57"/>
      <c r="AC997" s="57"/>
      <c r="AD997" s="57"/>
      <c r="AE997" s="57"/>
      <c r="AG997" s="57" t="s">
        <v>16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88</v>
      </c>
      <c r="B998" s="20"/>
      <c r="C998" s="57"/>
      <c r="D998" s="57"/>
      <c r="E998" s="57"/>
      <c r="G998" s="57"/>
      <c r="I998" s="22" t="s">
        <v>17</v>
      </c>
      <c r="J998" s="23" t="s">
        <v>36</v>
      </c>
      <c r="K998" s="24"/>
      <c r="M998" s="21" t="s">
        <v>88</v>
      </c>
      <c r="N998" s="20"/>
      <c r="O998" s="57"/>
      <c r="P998" s="57"/>
      <c r="Q998" s="57"/>
      <c r="R998" s="57"/>
      <c r="S998" s="57"/>
      <c r="U998" s="22" t="s">
        <v>17</v>
      </c>
      <c r="V998" s="23" t="s">
        <v>33</v>
      </c>
      <c r="W998" s="24"/>
      <c r="Y998" s="21" t="s">
        <v>88</v>
      </c>
      <c r="Z998" s="20"/>
      <c r="AA998" s="57"/>
      <c r="AB998" s="57"/>
      <c r="AC998" s="57"/>
      <c r="AD998" s="57"/>
      <c r="AE998" s="57"/>
      <c r="AG998" s="22" t="s">
        <v>17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4" t="s">
        <v>18</v>
      </c>
      <c r="E1000" s="124"/>
      <c r="F1000" s="113"/>
      <c r="G1000" s="27"/>
      <c r="I1000" s="122" t="s">
        <v>19</v>
      </c>
      <c r="J1000" s="123"/>
      <c r="K1000" s="120" t="s">
        <v>20</v>
      </c>
      <c r="N1000" s="25"/>
      <c r="O1000" s="26"/>
      <c r="P1000" s="124" t="s">
        <v>18</v>
      </c>
      <c r="Q1000" s="124"/>
      <c r="R1000" s="113"/>
      <c r="S1000" s="27"/>
      <c r="U1000" s="122" t="s">
        <v>19</v>
      </c>
      <c r="V1000" s="123"/>
      <c r="W1000" s="120" t="s">
        <v>20</v>
      </c>
      <c r="Z1000" s="25"/>
      <c r="AA1000" s="26"/>
      <c r="AB1000" s="124" t="s">
        <v>18</v>
      </c>
      <c r="AC1000" s="124"/>
      <c r="AD1000" s="113"/>
      <c r="AE1000" s="27"/>
      <c r="AG1000" s="122" t="s">
        <v>19</v>
      </c>
      <c r="AH1000" s="123"/>
      <c r="AI1000" s="120" t="s">
        <v>20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21</v>
      </c>
      <c r="C1001" s="28" t="s">
        <v>22</v>
      </c>
      <c r="D1001" s="79" t="s">
        <v>23</v>
      </c>
      <c r="E1001" s="78" t="s">
        <v>24</v>
      </c>
      <c r="F1001" s="80" t="s">
        <v>35</v>
      </c>
      <c r="G1001" s="80" t="s">
        <v>25</v>
      </c>
      <c r="I1001" s="29" t="s">
        <v>26</v>
      </c>
      <c r="J1001" s="29" t="s">
        <v>27</v>
      </c>
      <c r="K1001" s="121"/>
      <c r="N1001" s="28" t="s">
        <v>21</v>
      </c>
      <c r="O1001" s="28" t="s">
        <v>22</v>
      </c>
      <c r="P1001" s="79" t="s">
        <v>23</v>
      </c>
      <c r="Q1001" s="80" t="s">
        <v>24</v>
      </c>
      <c r="R1001" s="80" t="s">
        <v>35</v>
      </c>
      <c r="S1001" s="80" t="s">
        <v>25</v>
      </c>
      <c r="U1001" s="29" t="s">
        <v>26</v>
      </c>
      <c r="V1001" s="29" t="s">
        <v>27</v>
      </c>
      <c r="W1001" s="121"/>
      <c r="Z1001" s="28" t="s">
        <v>21</v>
      </c>
      <c r="AA1001" s="28" t="s">
        <v>22</v>
      </c>
      <c r="AB1001" s="79" t="s">
        <v>23</v>
      </c>
      <c r="AC1001" s="80" t="s">
        <v>24</v>
      </c>
      <c r="AD1001" s="80" t="s">
        <v>35</v>
      </c>
      <c r="AE1001" s="80" t="s">
        <v>25</v>
      </c>
      <c r="AG1001" s="29" t="s">
        <v>26</v>
      </c>
      <c r="AH1001" s="29" t="s">
        <v>27</v>
      </c>
      <c r="AI1001" s="121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89</v>
      </c>
      <c r="C1002" s="31">
        <v>6575</v>
      </c>
      <c r="D1002" s="32">
        <f>3756+596+67</f>
        <v>4419</v>
      </c>
      <c r="E1002" s="32"/>
      <c r="F1002" s="32"/>
      <c r="G1002" s="32">
        <f t="shared" ref="G1002:G1035" si="215">SUM(D1002:E1002)</f>
        <v>4419</v>
      </c>
      <c r="H1002" s="12"/>
      <c r="I1002" s="12"/>
      <c r="J1002" s="12">
        <v>-111</v>
      </c>
      <c r="K1002" s="12">
        <f t="shared" ref="K1002:K1035" si="216">SUM(G1002:J1002)</f>
        <v>4308</v>
      </c>
      <c r="M1002" s="10">
        <v>1</v>
      </c>
      <c r="N1002" s="30" t="s">
        <v>89</v>
      </c>
      <c r="O1002" s="31">
        <v>6647</v>
      </c>
      <c r="P1002" s="32">
        <f>1878+614+28.5</f>
        <v>2520.5</v>
      </c>
      <c r="Q1002" s="32"/>
      <c r="R1002" s="32"/>
      <c r="S1002" s="32">
        <f>SUM(P1002:Q1002)</f>
        <v>2520.5</v>
      </c>
      <c r="T1002" s="12"/>
      <c r="U1002" s="12">
        <f>4.5*2</f>
        <v>9</v>
      </c>
      <c r="V1002" s="12"/>
      <c r="W1002" s="12">
        <f>SUM(S1002:V1002)</f>
        <v>2529.5</v>
      </c>
      <c r="Y1002" s="10">
        <v>1</v>
      </c>
      <c r="Z1002" s="30" t="s">
        <v>89</v>
      </c>
      <c r="AA1002" s="31">
        <v>6719</v>
      </c>
      <c r="AB1002" s="32">
        <f>37560+458</f>
        <v>38018</v>
      </c>
      <c r="AC1002" s="32">
        <v>-372</v>
      </c>
      <c r="AD1002" s="32"/>
      <c r="AE1002" s="32">
        <f>SUM(AB1002:AC1002)</f>
        <v>37646</v>
      </c>
      <c r="AF1002" s="12"/>
      <c r="AG1002" s="12"/>
      <c r="AH1002" s="12">
        <v>-11211</v>
      </c>
      <c r="AI1002" s="12">
        <f>SUM(AE1002:AH1002)</f>
        <v>26435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89</v>
      </c>
      <c r="C1003" s="31">
        <f>C1002+1</f>
        <v>6576</v>
      </c>
      <c r="D1003" s="32">
        <f>438200+29800+7099</f>
        <v>475099</v>
      </c>
      <c r="E1003" s="32">
        <v>-7029</v>
      </c>
      <c r="F1003" s="32"/>
      <c r="G1003" s="32">
        <f t="shared" si="215"/>
        <v>468070</v>
      </c>
      <c r="H1003" s="12"/>
      <c r="I1003" s="12">
        <f>20757+2106</f>
        <v>22863</v>
      </c>
      <c r="J1003" s="12">
        <f>-240+-390+-1344</f>
        <v>-1974</v>
      </c>
      <c r="K1003" s="12">
        <f t="shared" si="216"/>
        <v>488959</v>
      </c>
      <c r="M1003" s="10">
        <v>2</v>
      </c>
      <c r="N1003" s="30" t="s">
        <v>89</v>
      </c>
      <c r="O1003" s="31">
        <f>O1002+1</f>
        <v>6648</v>
      </c>
      <c r="P1003" s="32">
        <f>3756+614+57</f>
        <v>4427</v>
      </c>
      <c r="Q1003" s="32"/>
      <c r="R1003" s="32"/>
      <c r="S1003" s="32">
        <f t="shared" ref="S1003:S1040" si="217">SUM(P1003:Q1003)</f>
        <v>4427</v>
      </c>
      <c r="T1003" s="12"/>
      <c r="U1003" s="12"/>
      <c r="V1003" s="12"/>
      <c r="W1003" s="12">
        <f t="shared" ref="W1003:W1043" si="218">SUM(S1003:V1003)</f>
        <v>4427</v>
      </c>
      <c r="Y1003" s="10">
        <v>2</v>
      </c>
      <c r="Z1003" s="30" t="s">
        <v>89</v>
      </c>
      <c r="AA1003" s="31">
        <f>AA1002+1</f>
        <v>6720</v>
      </c>
      <c r="AB1003" s="32">
        <f>6260+2980+142.5</f>
        <v>9382.5</v>
      </c>
      <c r="AC1003" s="32"/>
      <c r="AD1003" s="32"/>
      <c r="AE1003" s="32">
        <f t="shared" ref="AE1003:AE1011" si="219">SUM(AB1003:AC1003)</f>
        <v>9382.5</v>
      </c>
      <c r="AF1003" s="12"/>
      <c r="AG1003" s="12"/>
      <c r="AH1003" s="12"/>
      <c r="AI1003" s="12">
        <f t="shared" ref="AI1003:AI1043" si="220">SUM(AE1003:AH1003)</f>
        <v>9382.5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89</v>
      </c>
      <c r="C1004" s="31">
        <f t="shared" ref="C1004:C1008" si="221">C1003+1</f>
        <v>6577</v>
      </c>
      <c r="D1004" s="33">
        <f>6260+95</f>
        <v>6355</v>
      </c>
      <c r="E1004" s="33"/>
      <c r="F1004" s="33"/>
      <c r="G1004" s="33">
        <f t="shared" si="215"/>
        <v>6355</v>
      </c>
      <c r="H1004" s="34"/>
      <c r="I1004" s="34"/>
      <c r="J1004" s="34">
        <v>-222</v>
      </c>
      <c r="K1004" s="34">
        <f t="shared" si="216"/>
        <v>6133</v>
      </c>
      <c r="M1004" s="10">
        <v>3</v>
      </c>
      <c r="N1004" s="30" t="s">
        <v>89</v>
      </c>
      <c r="O1004" s="31">
        <f t="shared" ref="O1004:O1012" si="222">O1003+1</f>
        <v>6649</v>
      </c>
      <c r="P1004" s="32">
        <f>1252+19</f>
        <v>1271</v>
      </c>
      <c r="Q1004" s="32"/>
      <c r="R1004" s="32"/>
      <c r="S1004" s="32">
        <f t="shared" si="217"/>
        <v>1271</v>
      </c>
      <c r="T1004" s="12"/>
      <c r="U1004" s="12"/>
      <c r="V1004" s="12"/>
      <c r="W1004" s="12">
        <f t="shared" si="218"/>
        <v>1271</v>
      </c>
      <c r="Y1004" s="10">
        <v>3</v>
      </c>
      <c r="Z1004" s="30" t="s">
        <v>89</v>
      </c>
      <c r="AA1004" s="31">
        <f t="shared" ref="AA1004:AA1008" si="223">AA1003+1</f>
        <v>6721</v>
      </c>
      <c r="AB1004" s="33">
        <f>37560+3070+674</f>
        <v>41304</v>
      </c>
      <c r="AC1004" s="33"/>
      <c r="AD1004" s="32"/>
      <c r="AE1004" s="32">
        <f t="shared" si="219"/>
        <v>41304</v>
      </c>
      <c r="AF1004" s="12"/>
      <c r="AG1004" s="12"/>
      <c r="AH1004" s="12"/>
      <c r="AI1004" s="12">
        <f t="shared" si="220"/>
        <v>41304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89</v>
      </c>
      <c r="C1005" s="31">
        <f t="shared" si="221"/>
        <v>6578</v>
      </c>
      <c r="D1005" s="32">
        <f>4382+67</f>
        <v>4449</v>
      </c>
      <c r="E1005" s="32"/>
      <c r="F1005" s="32"/>
      <c r="G1005" s="32">
        <f t="shared" si="215"/>
        <v>4449</v>
      </c>
      <c r="H1005" s="12"/>
      <c r="I1005" s="12"/>
      <c r="J1005" s="12"/>
      <c r="K1005" s="12">
        <f t="shared" si="216"/>
        <v>4449</v>
      </c>
      <c r="M1005" s="10">
        <v>4</v>
      </c>
      <c r="N1005" s="30" t="s">
        <v>89</v>
      </c>
      <c r="O1005" s="31">
        <f t="shared" si="222"/>
        <v>6650</v>
      </c>
      <c r="P1005" s="32">
        <f>3756+2384+95</f>
        <v>6235</v>
      </c>
      <c r="Q1005" s="32"/>
      <c r="R1005" s="32"/>
      <c r="S1005" s="32">
        <f t="shared" si="217"/>
        <v>6235</v>
      </c>
      <c r="T1005" s="12"/>
      <c r="U1005" s="12"/>
      <c r="V1005" s="12"/>
      <c r="W1005" s="12">
        <f t="shared" si="218"/>
        <v>6235</v>
      </c>
      <c r="Y1005" s="10">
        <v>4</v>
      </c>
      <c r="Z1005" s="30" t="s">
        <v>89</v>
      </c>
      <c r="AA1005" s="31">
        <f t="shared" si="223"/>
        <v>6722</v>
      </c>
      <c r="AB1005" s="32">
        <f>1842</f>
        <v>1842</v>
      </c>
      <c r="AC1005" s="32"/>
      <c r="AD1005" s="32"/>
      <c r="AE1005" s="32">
        <f t="shared" si="219"/>
        <v>1842</v>
      </c>
      <c r="AF1005" s="12"/>
      <c r="AH1005" s="12"/>
      <c r="AI1005" s="12">
        <f t="shared" si="220"/>
        <v>1842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89</v>
      </c>
      <c r="C1006" s="31">
        <f t="shared" si="221"/>
        <v>6579</v>
      </c>
      <c r="D1006" s="32">
        <f>7512+614+1192+143</f>
        <v>9461</v>
      </c>
      <c r="E1006" s="32"/>
      <c r="F1006" s="32"/>
      <c r="G1006" s="32">
        <f t="shared" si="215"/>
        <v>9461</v>
      </c>
      <c r="H1006" s="12"/>
      <c r="I1006" s="12"/>
      <c r="J1006" s="12">
        <v>-222</v>
      </c>
      <c r="K1006" s="12">
        <f t="shared" si="216"/>
        <v>9239</v>
      </c>
      <c r="M1006" s="10">
        <v>5</v>
      </c>
      <c r="N1006" s="30" t="s">
        <v>89</v>
      </c>
      <c r="O1006" s="31">
        <v>6751</v>
      </c>
      <c r="P1006" s="32">
        <f>1878+596+38</f>
        <v>2512</v>
      </c>
      <c r="Q1006" s="32"/>
      <c r="R1006" s="32"/>
      <c r="S1006" s="32">
        <f t="shared" si="217"/>
        <v>2512</v>
      </c>
      <c r="T1006" s="12"/>
      <c r="U1006" s="12"/>
      <c r="V1006" s="12"/>
      <c r="W1006" s="12">
        <f t="shared" si="218"/>
        <v>2512</v>
      </c>
      <c r="Y1006" s="10">
        <v>5</v>
      </c>
      <c r="Z1006" s="30" t="s">
        <v>89</v>
      </c>
      <c r="AA1006" s="31">
        <f t="shared" si="223"/>
        <v>6723</v>
      </c>
      <c r="AB1006" s="32">
        <f>6260+1228+1192+2556+114</f>
        <v>11350</v>
      </c>
      <c r="AC1006" s="32"/>
      <c r="AD1006" s="32"/>
      <c r="AE1006" s="32">
        <f t="shared" si="219"/>
        <v>11350</v>
      </c>
      <c r="AF1006" s="12"/>
      <c r="AG1006" s="12">
        <v>58.5</v>
      </c>
      <c r="AH1006" s="12"/>
      <c r="AI1006" s="12">
        <f t="shared" si="220"/>
        <v>11408.5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89</v>
      </c>
      <c r="C1007" s="31">
        <f t="shared" si="221"/>
        <v>6580</v>
      </c>
      <c r="D1007" s="32">
        <f>27390+1704+1664</f>
        <v>30758</v>
      </c>
      <c r="E1007" s="32"/>
      <c r="F1007" s="32"/>
      <c r="G1007" s="32">
        <f t="shared" si="215"/>
        <v>30758</v>
      </c>
      <c r="H1007" s="12"/>
      <c r="I1007" s="12"/>
      <c r="J1007" s="12"/>
      <c r="K1007" s="12">
        <f t="shared" si="216"/>
        <v>30758</v>
      </c>
      <c r="M1007" s="10">
        <v>6</v>
      </c>
      <c r="N1007" s="30" t="s">
        <v>89</v>
      </c>
      <c r="O1007" s="31">
        <f t="shared" si="222"/>
        <v>6752</v>
      </c>
      <c r="P1007" s="32">
        <f>1878+28.5</f>
        <v>1906.5</v>
      </c>
      <c r="Q1007" s="32"/>
      <c r="R1007" s="32"/>
      <c r="S1007" s="32">
        <f t="shared" si="217"/>
        <v>1906.5</v>
      </c>
      <c r="T1007" s="12"/>
      <c r="U1007" s="12"/>
      <c r="V1007" s="10"/>
      <c r="W1007" s="12">
        <f t="shared" si="218"/>
        <v>1906.5</v>
      </c>
      <c r="Y1007" s="10">
        <v>6</v>
      </c>
      <c r="Z1007" s="30" t="s">
        <v>89</v>
      </c>
      <c r="AA1007" s="31">
        <f t="shared" si="223"/>
        <v>6724</v>
      </c>
      <c r="AB1007" s="32">
        <f>3130+47.5</f>
        <v>3177.5</v>
      </c>
      <c r="AC1007" s="32"/>
      <c r="AD1007" s="32"/>
      <c r="AE1007" s="32">
        <f t="shared" si="219"/>
        <v>3177.5</v>
      </c>
      <c r="AF1007" s="12"/>
      <c r="AG1007" s="12"/>
      <c r="AH1007" s="10"/>
      <c r="AI1007" s="12">
        <f t="shared" si="220"/>
        <v>3177.5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89</v>
      </c>
      <c r="C1008" s="31">
        <f t="shared" si="221"/>
        <v>6581</v>
      </c>
      <c r="D1008" s="32">
        <f>30550</f>
        <v>30550</v>
      </c>
      <c r="E1008" s="32"/>
      <c r="F1008" s="32"/>
      <c r="G1008" s="32">
        <f t="shared" si="215"/>
        <v>30550</v>
      </c>
      <c r="H1008" s="12"/>
      <c r="I1008" s="12"/>
      <c r="J1008" s="12"/>
      <c r="K1008" s="12">
        <f t="shared" si="216"/>
        <v>30550</v>
      </c>
      <c r="M1008" s="10">
        <v>7</v>
      </c>
      <c r="N1008" s="30" t="s">
        <v>89</v>
      </c>
      <c r="O1008" s="31">
        <f t="shared" si="222"/>
        <v>6753</v>
      </c>
      <c r="P1008" s="32">
        <f>1252+1192+38</f>
        <v>2482</v>
      </c>
      <c r="Q1008" s="32"/>
      <c r="R1008" s="32"/>
      <c r="S1008" s="32">
        <f t="shared" si="217"/>
        <v>2482</v>
      </c>
      <c r="T1008" s="12"/>
      <c r="U1008" s="12"/>
      <c r="V1008" s="12"/>
      <c r="W1008" s="12">
        <f t="shared" si="218"/>
        <v>2482</v>
      </c>
      <c r="Y1008" s="10">
        <v>7</v>
      </c>
      <c r="Z1008" s="30" t="s">
        <v>89</v>
      </c>
      <c r="AA1008" s="31">
        <f t="shared" si="223"/>
        <v>6725</v>
      </c>
      <c r="AB1008" s="32">
        <f>3130+674+229</f>
        <v>4033</v>
      </c>
      <c r="AC1008" s="32"/>
      <c r="AD1008" s="32"/>
      <c r="AE1008" s="32">
        <f t="shared" si="219"/>
        <v>4033</v>
      </c>
      <c r="AF1008" s="12"/>
      <c r="AG1008" s="58"/>
      <c r="AH1008" s="12"/>
      <c r="AI1008" s="12">
        <f t="shared" si="220"/>
        <v>4033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28</v>
      </c>
      <c r="D1009" s="32"/>
      <c r="E1009" s="32"/>
      <c r="F1009" s="32"/>
      <c r="G1009" s="32">
        <f t="shared" si="215"/>
        <v>0</v>
      </c>
      <c r="H1009" s="12"/>
      <c r="I1009" s="12"/>
      <c r="J1009" s="12"/>
      <c r="K1009" s="12">
        <f t="shared" si="216"/>
        <v>0</v>
      </c>
      <c r="M1009" s="10">
        <v>8</v>
      </c>
      <c r="N1009" s="30" t="s">
        <v>89</v>
      </c>
      <c r="O1009" s="31">
        <f t="shared" si="222"/>
        <v>6754</v>
      </c>
      <c r="P1009" s="32">
        <f>674</f>
        <v>674</v>
      </c>
      <c r="Q1009" s="32"/>
      <c r="R1009" s="32"/>
      <c r="S1009" s="32">
        <f t="shared" si="217"/>
        <v>674</v>
      </c>
      <c r="T1009" s="12"/>
      <c r="U1009" s="12"/>
      <c r="V1009" s="12"/>
      <c r="W1009" s="12">
        <f t="shared" si="218"/>
        <v>674</v>
      </c>
      <c r="Y1009" s="10">
        <v>8</v>
      </c>
      <c r="Z1009" s="30"/>
      <c r="AA1009" s="11" t="s">
        <v>28</v>
      </c>
      <c r="AB1009" s="32"/>
      <c r="AC1009" s="32"/>
      <c r="AE1009" s="32">
        <f t="shared" si="219"/>
        <v>0</v>
      </c>
      <c r="AF1009" s="12"/>
      <c r="AG1009" s="12"/>
      <c r="AH1009" s="12"/>
      <c r="AI1009" s="12">
        <f t="shared" si="220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31"/>
      <c r="D1010" s="32"/>
      <c r="E1010" s="32"/>
      <c r="F1010" s="32"/>
      <c r="G1010" s="32">
        <f t="shared" si="215"/>
        <v>0</v>
      </c>
      <c r="H1010" s="12"/>
      <c r="I1010" s="12"/>
      <c r="J1010" s="12"/>
      <c r="K1010" s="12">
        <f t="shared" si="216"/>
        <v>0</v>
      </c>
      <c r="M1010" s="10">
        <v>9</v>
      </c>
      <c r="N1010" s="30" t="s">
        <v>89</v>
      </c>
      <c r="O1010" s="31">
        <f t="shared" si="222"/>
        <v>6755</v>
      </c>
      <c r="P1010" s="32">
        <f>5634+85.5+674</f>
        <v>6393.5</v>
      </c>
      <c r="Q1010" s="32"/>
      <c r="R1010" s="32"/>
      <c r="S1010" s="32">
        <f t="shared" si="217"/>
        <v>6393.5</v>
      </c>
      <c r="T1010" s="12"/>
      <c r="U1010" s="12">
        <v>36</v>
      </c>
      <c r="V1010" s="12"/>
      <c r="W1010" s="12">
        <f t="shared" si="218"/>
        <v>6429.5</v>
      </c>
      <c r="Y1010" s="10">
        <v>9</v>
      </c>
      <c r="Z1010" s="30"/>
      <c r="AA1010" s="31"/>
      <c r="AB1010" s="95"/>
      <c r="AC1010" s="32"/>
      <c r="AD1010" s="32"/>
      <c r="AE1010" s="32">
        <f t="shared" si="219"/>
        <v>0</v>
      </c>
      <c r="AF1010" s="12"/>
      <c r="AH1010" s="12"/>
      <c r="AI1010" s="12">
        <f t="shared" si="220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31"/>
      <c r="D1011" s="32"/>
      <c r="E1011" s="32"/>
      <c r="F1011" s="32"/>
      <c r="G1011" s="32">
        <f t="shared" si="215"/>
        <v>0</v>
      </c>
      <c r="H1011" s="12"/>
      <c r="I1011" s="12"/>
      <c r="J1011" s="12"/>
      <c r="K1011" s="12">
        <f t="shared" si="216"/>
        <v>0</v>
      </c>
      <c r="M1011" s="10">
        <v>10</v>
      </c>
      <c r="N1011" s="30" t="s">
        <v>89</v>
      </c>
      <c r="O1011" s="31">
        <f t="shared" si="222"/>
        <v>6756</v>
      </c>
      <c r="P1011" s="32">
        <f>1252+19</f>
        <v>1271</v>
      </c>
      <c r="Q1011" s="32"/>
      <c r="R1011" s="32"/>
      <c r="S1011" s="32">
        <f t="shared" si="217"/>
        <v>1271</v>
      </c>
      <c r="T1011" s="12"/>
      <c r="U1011" s="12"/>
      <c r="V1011" s="12"/>
      <c r="W1011" s="12">
        <f t="shared" si="218"/>
        <v>1271</v>
      </c>
      <c r="Y1011" s="10">
        <v>10</v>
      </c>
      <c r="Z1011" s="30"/>
      <c r="AA1011" s="31"/>
      <c r="AB1011" s="32"/>
      <c r="AC1011" s="32"/>
      <c r="AD1011" s="32"/>
      <c r="AE1011" s="32">
        <f t="shared" si="219"/>
        <v>0</v>
      </c>
      <c r="AF1011" s="12"/>
      <c r="AG1011" s="12"/>
      <c r="AH1011" s="12"/>
      <c r="AI1011" s="12">
        <f t="shared" si="220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31"/>
      <c r="D1012" s="32"/>
      <c r="E1012" s="32"/>
      <c r="F1012" s="32"/>
      <c r="G1012" s="32">
        <f t="shared" si="215"/>
        <v>0</v>
      </c>
      <c r="H1012" s="12"/>
      <c r="I1012" s="12"/>
      <c r="J1012" s="12"/>
      <c r="K1012" s="12">
        <f t="shared" si="216"/>
        <v>0</v>
      </c>
      <c r="M1012" s="10">
        <v>11</v>
      </c>
      <c r="N1012" s="30" t="s">
        <v>89</v>
      </c>
      <c r="O1012" s="31">
        <f t="shared" si="222"/>
        <v>6757</v>
      </c>
      <c r="P1012" s="32">
        <f>135216+229*5</f>
        <v>136361</v>
      </c>
      <c r="Q1012" s="32">
        <v>-1989</v>
      </c>
      <c r="R1012" s="32"/>
      <c r="S1012" s="32">
        <f t="shared" si="217"/>
        <v>134372</v>
      </c>
      <c r="T1012" s="12"/>
      <c r="U1012" s="12">
        <v>234</v>
      </c>
      <c r="V1012" s="12">
        <f>-15984+-294+-336</f>
        <v>-16614</v>
      </c>
      <c r="W1012" s="12">
        <f t="shared" si="218"/>
        <v>117992</v>
      </c>
      <c r="Y1012" s="10">
        <v>11</v>
      </c>
      <c r="Z1012" s="30"/>
      <c r="AA1012" s="31"/>
      <c r="AB1012" s="32"/>
      <c r="AC1012" s="32"/>
      <c r="AD1012" s="32"/>
      <c r="AE1012" s="32">
        <f t="shared" ref="AE1012:AE1040" si="224">SUM(AB1012:AC1012)</f>
        <v>0</v>
      </c>
      <c r="AF1012" s="12"/>
      <c r="AG1012" s="12"/>
      <c r="AH1012" s="12"/>
      <c r="AI1012" s="12">
        <f t="shared" si="220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31"/>
      <c r="D1013" s="32"/>
      <c r="E1013" s="32"/>
      <c r="F1013" s="32"/>
      <c r="G1013" s="32">
        <f t="shared" si="215"/>
        <v>0</v>
      </c>
      <c r="H1013" s="12"/>
      <c r="I1013" s="12"/>
      <c r="J1013" s="10"/>
      <c r="K1013" s="12">
        <f t="shared" si="216"/>
        <v>0</v>
      </c>
      <c r="M1013" s="10">
        <v>12</v>
      </c>
      <c r="N1013" s="30"/>
      <c r="O1013" s="11" t="s">
        <v>28</v>
      </c>
      <c r="P1013" s="32"/>
      <c r="Q1013" s="32"/>
      <c r="R1013" s="32"/>
      <c r="S1013" s="32">
        <f t="shared" si="217"/>
        <v>0</v>
      </c>
      <c r="T1013" s="12"/>
      <c r="U1013" s="12"/>
      <c r="V1013" s="12"/>
      <c r="W1013" s="12">
        <f t="shared" si="218"/>
        <v>0</v>
      </c>
      <c r="Y1013" s="10">
        <v>12</v>
      </c>
      <c r="Z1013" s="30"/>
      <c r="AB1013" s="32"/>
      <c r="AC1013" s="32"/>
      <c r="AD1013" s="32"/>
      <c r="AE1013" s="32">
        <f t="shared" si="224"/>
        <v>0</v>
      </c>
      <c r="AF1013" s="12"/>
      <c r="AG1013" s="12"/>
      <c r="AH1013" s="12"/>
      <c r="AI1013" s="12">
        <f t="shared" si="220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31"/>
      <c r="D1014" s="32"/>
      <c r="E1014" s="32"/>
      <c r="F1014" s="32"/>
      <c r="G1014" s="32">
        <f t="shared" si="215"/>
        <v>0</v>
      </c>
      <c r="H1014" s="12"/>
      <c r="I1014" s="12"/>
      <c r="J1014" s="12"/>
      <c r="K1014" s="12">
        <f t="shared" si="216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17"/>
        <v>0</v>
      </c>
      <c r="T1014" s="12"/>
      <c r="U1014" s="12"/>
      <c r="V1014" s="12"/>
      <c r="W1014" s="12">
        <f t="shared" si="218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24"/>
        <v>0</v>
      </c>
      <c r="AF1014" s="12"/>
      <c r="AG1014" s="12"/>
      <c r="AH1014" s="12"/>
      <c r="AI1014" s="12">
        <f t="shared" si="220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31"/>
      <c r="D1015" s="32"/>
      <c r="E1015" s="32"/>
      <c r="F1015" s="32"/>
      <c r="G1015" s="32">
        <f t="shared" si="215"/>
        <v>0</v>
      </c>
      <c r="H1015" s="12"/>
      <c r="I1015" s="12"/>
      <c r="J1015" s="12"/>
      <c r="K1015" s="12">
        <f t="shared" si="216"/>
        <v>0</v>
      </c>
      <c r="M1015" s="10">
        <v>14</v>
      </c>
      <c r="N1015" s="30"/>
      <c r="P1015" s="32"/>
      <c r="Q1015" s="32"/>
      <c r="R1015" s="32"/>
      <c r="S1015" s="32">
        <f t="shared" si="217"/>
        <v>0</v>
      </c>
      <c r="T1015" s="12"/>
      <c r="U1015" s="12"/>
      <c r="V1015" s="12"/>
      <c r="W1015" s="12">
        <f t="shared" si="218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24"/>
        <v>0</v>
      </c>
      <c r="AF1015" s="12"/>
      <c r="AG1015" s="12"/>
      <c r="AH1015" s="12"/>
      <c r="AI1015" s="12">
        <f t="shared" si="220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31"/>
      <c r="D1016" s="32"/>
      <c r="E1016" s="32"/>
      <c r="F1016" s="32"/>
      <c r="G1016" s="32">
        <f t="shared" si="215"/>
        <v>0</v>
      </c>
      <c r="H1016" s="12"/>
      <c r="I1016" s="12"/>
      <c r="J1016" s="12"/>
      <c r="K1016" s="12">
        <f t="shared" si="216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17"/>
        <v>0</v>
      </c>
      <c r="T1016" s="12"/>
      <c r="U1016" s="12"/>
      <c r="V1016" s="12"/>
      <c r="W1016" s="12">
        <f t="shared" si="218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24"/>
        <v>0</v>
      </c>
      <c r="AF1016" s="12"/>
      <c r="AG1016" s="12"/>
      <c r="AH1016" s="12"/>
      <c r="AI1016" s="12">
        <f t="shared" si="220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D1017" s="32"/>
      <c r="E1017" s="32"/>
      <c r="F1017" s="32"/>
      <c r="G1017" s="32">
        <f t="shared" si="215"/>
        <v>0</v>
      </c>
      <c r="H1017" s="12"/>
      <c r="I1017" s="12"/>
      <c r="J1017" s="12"/>
      <c r="K1017" s="12">
        <f t="shared" si="216"/>
        <v>0</v>
      </c>
      <c r="M1017" s="10">
        <v>16</v>
      </c>
      <c r="N1017" s="30"/>
      <c r="P1017" s="32"/>
      <c r="Q1017" s="32"/>
      <c r="R1017" s="32"/>
      <c r="S1017" s="32">
        <f t="shared" si="217"/>
        <v>0</v>
      </c>
      <c r="T1017" s="12"/>
      <c r="U1017" s="12"/>
      <c r="V1017" s="12"/>
      <c r="W1017" s="12">
        <f t="shared" si="218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24"/>
        <v>0</v>
      </c>
      <c r="AF1017" s="12"/>
      <c r="AG1017" s="12"/>
      <c r="AH1017" s="12"/>
      <c r="AI1017" s="12">
        <f t="shared" si="220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15"/>
        <v>0</v>
      </c>
      <c r="H1018" s="12"/>
      <c r="I1018" s="12"/>
      <c r="J1018" s="12"/>
      <c r="K1018" s="12">
        <f t="shared" si="216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17"/>
        <v>0</v>
      </c>
      <c r="T1018" s="12"/>
      <c r="U1018" s="12"/>
      <c r="V1018" s="12"/>
      <c r="W1018" s="12">
        <f t="shared" si="218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24"/>
        <v>0</v>
      </c>
      <c r="AF1018" s="12"/>
      <c r="AG1018" s="12"/>
      <c r="AH1018" s="12"/>
      <c r="AI1018" s="12">
        <f t="shared" si="220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15"/>
        <v>0</v>
      </c>
      <c r="H1019" s="12"/>
      <c r="I1019" s="12"/>
      <c r="J1019" s="12"/>
      <c r="K1019" s="12">
        <f t="shared" si="216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17"/>
        <v>0</v>
      </c>
      <c r="T1019" s="12"/>
      <c r="U1019" s="12"/>
      <c r="V1019" s="12"/>
      <c r="W1019" s="12">
        <f t="shared" si="218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24"/>
        <v>0</v>
      </c>
      <c r="AF1019" s="12"/>
      <c r="AG1019" s="12"/>
      <c r="AH1019" s="12"/>
      <c r="AI1019" s="12">
        <f t="shared" si="220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15"/>
        <v>0</v>
      </c>
      <c r="H1020" s="12"/>
      <c r="I1020" s="12"/>
      <c r="J1020" s="12"/>
      <c r="K1020" s="12">
        <f t="shared" si="216"/>
        <v>0</v>
      </c>
      <c r="M1020" s="10">
        <v>19</v>
      </c>
      <c r="N1020" s="30"/>
      <c r="P1020" s="32"/>
      <c r="Q1020" s="32"/>
      <c r="R1020" s="32"/>
      <c r="S1020" s="32">
        <f t="shared" si="217"/>
        <v>0</v>
      </c>
      <c r="T1020" s="12"/>
      <c r="U1020" s="12"/>
      <c r="V1020" s="12"/>
      <c r="W1020" s="12">
        <f t="shared" si="218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24"/>
        <v>0</v>
      </c>
      <c r="AF1020" s="12"/>
      <c r="AG1020" s="12"/>
      <c r="AH1020" s="12"/>
      <c r="AI1020" s="12">
        <f t="shared" si="220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15"/>
        <v>0</v>
      </c>
      <c r="H1021" s="12"/>
      <c r="I1021" s="12"/>
      <c r="J1021" s="12"/>
      <c r="K1021" s="12">
        <f t="shared" si="216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17"/>
        <v>0</v>
      </c>
      <c r="T1021" s="12"/>
      <c r="U1021" s="12"/>
      <c r="V1021" s="12"/>
      <c r="W1021" s="12">
        <f t="shared" si="218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24"/>
        <v>0</v>
      </c>
      <c r="AF1021" s="12"/>
      <c r="AG1021" s="12"/>
      <c r="AH1021" s="12"/>
      <c r="AI1021" s="12">
        <f t="shared" si="220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15"/>
        <v>0</v>
      </c>
      <c r="H1022" s="10"/>
      <c r="I1022" s="10"/>
      <c r="J1022" s="10"/>
      <c r="K1022" s="12">
        <f t="shared" si="216"/>
        <v>0</v>
      </c>
      <c r="M1022" s="10">
        <v>21</v>
      </c>
      <c r="N1022" s="30"/>
      <c r="P1022" s="46"/>
      <c r="Q1022" s="31"/>
      <c r="R1022" s="31"/>
      <c r="S1022" s="32">
        <f t="shared" si="217"/>
        <v>0</v>
      </c>
      <c r="T1022" s="10"/>
      <c r="U1022" s="10"/>
      <c r="V1022" s="10"/>
      <c r="W1022" s="12">
        <f t="shared" si="218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24"/>
        <v>0</v>
      </c>
      <c r="AF1022" s="10"/>
      <c r="AG1022" s="10"/>
      <c r="AH1022" s="10"/>
      <c r="AI1022" s="12">
        <f t="shared" si="220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15"/>
        <v>0</v>
      </c>
      <c r="H1023" s="10"/>
      <c r="I1023" s="10"/>
      <c r="J1023" s="10"/>
      <c r="K1023" s="12">
        <f t="shared" si="216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17"/>
        <v>0</v>
      </c>
      <c r="T1023" s="10"/>
      <c r="U1023" s="10"/>
      <c r="V1023" s="10"/>
      <c r="W1023" s="12">
        <f t="shared" si="218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24"/>
        <v>0</v>
      </c>
      <c r="AF1023" s="10"/>
      <c r="AG1023" s="10"/>
      <c r="AH1023" s="10"/>
      <c r="AI1023" s="12">
        <f t="shared" si="220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31"/>
      <c r="D1024" s="32"/>
      <c r="E1024" s="32"/>
      <c r="F1024" s="32"/>
      <c r="G1024" s="32">
        <f t="shared" si="215"/>
        <v>0</v>
      </c>
      <c r="H1024" s="10"/>
      <c r="I1024" s="10"/>
      <c r="J1024" s="12"/>
      <c r="K1024" s="12">
        <f t="shared" si="216"/>
        <v>0</v>
      </c>
      <c r="M1024" s="10">
        <v>23</v>
      </c>
      <c r="N1024" s="30"/>
      <c r="O1024" s="31"/>
      <c r="P1024" s="47"/>
      <c r="Q1024" s="31"/>
      <c r="S1024" s="32">
        <f t="shared" si="217"/>
        <v>0</v>
      </c>
      <c r="T1024" s="10"/>
      <c r="U1024" s="10"/>
      <c r="V1024" s="10"/>
      <c r="W1024" s="12">
        <f t="shared" si="218"/>
        <v>0</v>
      </c>
      <c r="Y1024" s="10">
        <v>23</v>
      </c>
      <c r="Z1024" s="30"/>
      <c r="AA1024" s="31"/>
      <c r="AB1024" s="47"/>
      <c r="AE1024" s="32">
        <f t="shared" si="224"/>
        <v>0</v>
      </c>
      <c r="AF1024" s="10"/>
      <c r="AG1024" s="10"/>
      <c r="AH1024" s="10"/>
      <c r="AI1024" s="12">
        <f t="shared" si="220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15"/>
        <v>0</v>
      </c>
      <c r="H1025" s="10"/>
      <c r="I1025" s="10"/>
      <c r="J1025" s="10"/>
      <c r="K1025" s="12">
        <f t="shared" si="216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17"/>
        <v>0</v>
      </c>
      <c r="T1025" s="10"/>
      <c r="U1025" s="10"/>
      <c r="V1025" s="10"/>
      <c r="W1025" s="12">
        <f t="shared" si="218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24"/>
        <v>0</v>
      </c>
      <c r="AF1025" s="10"/>
      <c r="AG1025" s="10"/>
      <c r="AH1025" s="10"/>
      <c r="AI1025" s="12">
        <f t="shared" si="220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57"/>
      <c r="D1026" s="32"/>
      <c r="E1026" s="32"/>
      <c r="F1026" s="32"/>
      <c r="G1026" s="32">
        <f t="shared" si="215"/>
        <v>0</v>
      </c>
      <c r="H1026" s="10"/>
      <c r="I1026" s="10"/>
      <c r="J1026" s="10"/>
      <c r="K1026" s="12">
        <f t="shared" si="216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17"/>
        <v>0</v>
      </c>
      <c r="T1026" s="10"/>
      <c r="U1026" s="10"/>
      <c r="V1026" s="10"/>
      <c r="W1026" s="12">
        <f t="shared" si="218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24"/>
        <v>0</v>
      </c>
      <c r="AF1026" s="10"/>
      <c r="AG1026" s="10"/>
      <c r="AH1026" s="10"/>
      <c r="AI1026" s="12">
        <f t="shared" si="220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15"/>
        <v>0</v>
      </c>
      <c r="H1027" s="10"/>
      <c r="I1027" s="10"/>
      <c r="J1027" s="10"/>
      <c r="K1027" s="12">
        <f t="shared" si="216"/>
        <v>0</v>
      </c>
      <c r="M1027" s="10">
        <v>26</v>
      </c>
      <c r="N1027" s="30"/>
      <c r="P1027" s="47"/>
      <c r="Q1027" s="31"/>
      <c r="R1027" s="31"/>
      <c r="S1027" s="32">
        <f t="shared" si="217"/>
        <v>0</v>
      </c>
      <c r="T1027" s="10"/>
      <c r="U1027" s="10"/>
      <c r="V1027" s="10"/>
      <c r="W1027" s="12">
        <f t="shared" si="218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24"/>
        <v>0</v>
      </c>
      <c r="AF1027" s="10"/>
      <c r="AG1027" s="10"/>
      <c r="AH1027" s="10"/>
      <c r="AI1027" s="12">
        <f t="shared" si="220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15"/>
        <v>0</v>
      </c>
      <c r="H1028" s="10"/>
      <c r="I1028" s="10"/>
      <c r="J1028" s="10"/>
      <c r="K1028" s="12">
        <f t="shared" si="216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17"/>
        <v>0</v>
      </c>
      <c r="T1028" s="10"/>
      <c r="U1028" s="10"/>
      <c r="V1028" s="10"/>
      <c r="W1028" s="12">
        <f t="shared" si="218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24"/>
        <v>0</v>
      </c>
      <c r="AF1028" s="10"/>
      <c r="AG1028" s="10"/>
      <c r="AH1028" s="10"/>
      <c r="AI1028" s="12">
        <f t="shared" si="220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57"/>
      <c r="D1029" s="32"/>
      <c r="E1029" s="32"/>
      <c r="F1029" s="32"/>
      <c r="G1029" s="32">
        <f t="shared" si="215"/>
        <v>0</v>
      </c>
      <c r="H1029" s="10"/>
      <c r="I1029" s="10"/>
      <c r="J1029" s="10"/>
      <c r="K1029" s="12">
        <f t="shared" si="216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17"/>
        <v>0</v>
      </c>
      <c r="T1029" s="10"/>
      <c r="U1029" s="10"/>
      <c r="V1029" s="10"/>
      <c r="W1029" s="12">
        <f t="shared" si="218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24"/>
        <v>0</v>
      </c>
      <c r="AF1029" s="10"/>
      <c r="AG1029" s="10"/>
      <c r="AH1029" s="10"/>
      <c r="AI1029" s="12">
        <f t="shared" si="220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57"/>
      <c r="D1030" s="32"/>
      <c r="E1030" s="32"/>
      <c r="F1030" s="32"/>
      <c r="G1030" s="32">
        <f t="shared" si="215"/>
        <v>0</v>
      </c>
      <c r="H1030" s="10"/>
      <c r="I1030" s="10"/>
      <c r="J1030" s="10"/>
      <c r="K1030" s="12">
        <f t="shared" si="216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17"/>
        <v>0</v>
      </c>
      <c r="T1030" s="10"/>
      <c r="U1030" s="10"/>
      <c r="V1030" s="10"/>
      <c r="W1030" s="12">
        <f t="shared" si="218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24"/>
        <v>0</v>
      </c>
      <c r="AF1030" s="10"/>
      <c r="AG1030" s="10"/>
      <c r="AH1030" s="10"/>
      <c r="AI1030" s="12">
        <f t="shared" si="220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11"/>
      <c r="D1031" s="32"/>
      <c r="E1031" s="32"/>
      <c r="F1031" s="32"/>
      <c r="G1031" s="32">
        <f t="shared" si="215"/>
        <v>0</v>
      </c>
      <c r="H1031" s="10"/>
      <c r="I1031" s="10"/>
      <c r="J1031" s="10"/>
      <c r="K1031" s="12">
        <f t="shared" si="216"/>
        <v>0</v>
      </c>
      <c r="M1031" s="10">
        <v>30</v>
      </c>
      <c r="N1031" s="30"/>
      <c r="P1031" s="47"/>
      <c r="Q1031" s="31"/>
      <c r="R1031" s="31"/>
      <c r="S1031" s="32">
        <f t="shared" si="217"/>
        <v>0</v>
      </c>
      <c r="T1031" s="10"/>
      <c r="U1031" s="10"/>
      <c r="V1031" s="10"/>
      <c r="W1031" s="12">
        <f t="shared" si="218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24"/>
        <v>0</v>
      </c>
      <c r="AF1031" s="10"/>
      <c r="AG1031" s="10"/>
      <c r="AH1031" s="10"/>
      <c r="AI1031" s="12">
        <f t="shared" si="220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15"/>
        <v>0</v>
      </c>
      <c r="H1032" s="10"/>
      <c r="I1032" s="10"/>
      <c r="J1032" s="10"/>
      <c r="K1032" s="12">
        <f t="shared" si="216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17"/>
        <v>0</v>
      </c>
      <c r="T1032" s="10"/>
      <c r="U1032" s="10"/>
      <c r="V1032" s="10"/>
      <c r="W1032" s="12">
        <f t="shared" si="218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24"/>
        <v>0</v>
      </c>
      <c r="AF1032" s="10"/>
      <c r="AG1032" s="10"/>
      <c r="AH1032" s="10"/>
      <c r="AI1032" s="12">
        <f t="shared" si="220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11"/>
      <c r="D1033" s="32"/>
      <c r="E1033" s="32"/>
      <c r="F1033" s="32"/>
      <c r="G1033" s="32">
        <f t="shared" si="215"/>
        <v>0</v>
      </c>
      <c r="H1033" s="10"/>
      <c r="I1033" s="10"/>
      <c r="J1033" s="10"/>
      <c r="K1033" s="12">
        <f t="shared" si="216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17"/>
        <v>0</v>
      </c>
      <c r="T1033" s="10"/>
      <c r="U1033" s="10"/>
      <c r="V1033" s="10"/>
      <c r="W1033" s="12">
        <f t="shared" si="218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24"/>
        <v>0</v>
      </c>
      <c r="AF1033" s="10"/>
      <c r="AG1033" s="10"/>
      <c r="AH1033" s="10"/>
      <c r="AI1033" s="12">
        <f t="shared" si="220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11"/>
      <c r="D1034" s="32"/>
      <c r="E1034" s="32"/>
      <c r="F1034" s="32"/>
      <c r="G1034" s="32">
        <f t="shared" si="215"/>
        <v>0</v>
      </c>
      <c r="H1034" s="10"/>
      <c r="I1034" s="10"/>
      <c r="J1034" s="10"/>
      <c r="K1034" s="12">
        <f t="shared" si="216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17"/>
        <v>0</v>
      </c>
      <c r="T1034" s="10"/>
      <c r="U1034" s="10"/>
      <c r="V1034" s="10"/>
      <c r="W1034" s="12">
        <f t="shared" si="218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24"/>
        <v>0</v>
      </c>
      <c r="AF1034" s="10"/>
      <c r="AG1034" s="10"/>
      <c r="AH1034" s="10"/>
      <c r="AI1034" s="12">
        <f t="shared" si="220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11"/>
      <c r="D1035" s="32"/>
      <c r="E1035" s="32"/>
      <c r="F1035" s="32"/>
      <c r="G1035" s="32">
        <f t="shared" si="215"/>
        <v>0</v>
      </c>
      <c r="H1035" s="10"/>
      <c r="I1035" s="10"/>
      <c r="J1035" s="10"/>
      <c r="K1035" s="12">
        <f t="shared" si="216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17"/>
        <v>0</v>
      </c>
      <c r="T1035" s="10"/>
      <c r="U1035" s="10"/>
      <c r="V1035" s="10"/>
      <c r="W1035" s="12">
        <f t="shared" si="218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24"/>
        <v>0</v>
      </c>
      <c r="AF1035" s="10"/>
      <c r="AG1035" s="10"/>
      <c r="AH1035" s="10"/>
      <c r="AI1035" s="12">
        <f t="shared" si="220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1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17"/>
        <v>0</v>
      </c>
      <c r="T1036" s="10"/>
      <c r="U1036" s="10"/>
      <c r="V1036" s="10"/>
      <c r="W1036" s="12">
        <f t="shared" si="218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24"/>
        <v>0</v>
      </c>
      <c r="AF1036" s="10"/>
      <c r="AG1036" s="10"/>
      <c r="AH1036" s="10"/>
      <c r="AI1036" s="12">
        <f t="shared" si="220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1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17"/>
        <v>0</v>
      </c>
      <c r="T1037" s="10"/>
      <c r="U1037" s="10"/>
      <c r="V1037" s="10"/>
      <c r="W1037" s="12">
        <f t="shared" si="218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24"/>
        <v>0</v>
      </c>
      <c r="AF1037" s="10"/>
      <c r="AG1037" s="10"/>
      <c r="AH1037" s="10"/>
      <c r="AI1037" s="12">
        <f t="shared" si="220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1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17"/>
        <v>0</v>
      </c>
      <c r="T1038" s="10"/>
      <c r="U1038" s="10"/>
      <c r="V1038" s="10"/>
      <c r="W1038" s="12">
        <f t="shared" si="218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24"/>
        <v>0</v>
      </c>
      <c r="AF1038" s="10"/>
      <c r="AG1038" s="10"/>
      <c r="AH1038" s="10"/>
      <c r="AI1038" s="12">
        <f t="shared" si="220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17"/>
        <v>0</v>
      </c>
      <c r="T1039" s="10"/>
      <c r="U1039" s="10"/>
      <c r="V1039" s="10"/>
      <c r="W1039" s="12">
        <f t="shared" si="218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24"/>
        <v>0</v>
      </c>
      <c r="AF1039" s="10"/>
      <c r="AG1039" s="10"/>
      <c r="AH1039" s="10"/>
      <c r="AI1039" s="12">
        <f t="shared" si="220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17"/>
        <v>0</v>
      </c>
      <c r="T1040" s="10"/>
      <c r="U1040" s="10"/>
      <c r="V1040" s="10"/>
      <c r="W1040" s="12">
        <f t="shared" si="218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24"/>
        <v>0</v>
      </c>
      <c r="AF1040" s="10"/>
      <c r="AG1040" s="10"/>
      <c r="AH1040" s="10"/>
      <c r="AI1040" s="12">
        <f t="shared" si="220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18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20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25">SUM(D1042:E1042)</f>
        <v>0</v>
      </c>
      <c r="H1042" s="10"/>
      <c r="I1042" s="10"/>
      <c r="J1042" s="10"/>
      <c r="K1042" s="12">
        <f t="shared" ref="K1042" si="226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27">SUM(P1042:Q1042)</f>
        <v>0</v>
      </c>
      <c r="T1042" s="10"/>
      <c r="U1042" s="10"/>
      <c r="V1042" s="10"/>
      <c r="W1042" s="12">
        <f t="shared" si="218"/>
        <v>0</v>
      </c>
      <c r="Y1042" s="10"/>
      <c r="Z1042" s="30"/>
      <c r="AA1042" s="31"/>
      <c r="AB1042" s="47"/>
      <c r="AC1042" s="31"/>
      <c r="AD1042" s="31"/>
      <c r="AE1042" s="32">
        <f t="shared" ref="AE1042" si="228">SUM(AB1042:AC1042)</f>
        <v>0</v>
      </c>
      <c r="AF1042" s="10"/>
      <c r="AG1042" s="10"/>
      <c r="AH1042" s="10"/>
      <c r="AI1042" s="12">
        <f t="shared" si="220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18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20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561091</v>
      </c>
      <c r="E1045" s="38">
        <f t="shared" ref="E1045:F1045" si="229">SUM(E1002:E1042)</f>
        <v>-7029</v>
      </c>
      <c r="F1045" s="38">
        <f t="shared" si="229"/>
        <v>0</v>
      </c>
      <c r="G1045" s="38">
        <f>SUM(G1002:G1044)</f>
        <v>554062</v>
      </c>
      <c r="H1045" s="4"/>
      <c r="I1045" s="39">
        <f>SUM(I1002:I1044)</f>
        <v>22863</v>
      </c>
      <c r="J1045" s="39">
        <f>SUM(J1002:J1044)</f>
        <v>-2529</v>
      </c>
      <c r="K1045" s="40">
        <f>SUM(K1002:K1044)</f>
        <v>574396</v>
      </c>
      <c r="N1045" s="57"/>
      <c r="O1045" s="57"/>
      <c r="P1045" s="38">
        <f>SUM(P1002:P1044)</f>
        <v>166053.5</v>
      </c>
      <c r="Q1045" s="38">
        <f>SUM(Q1002:Q1026)</f>
        <v>-1989</v>
      </c>
      <c r="R1045" s="38">
        <f>SUM(R1002:R1026)</f>
        <v>0</v>
      </c>
      <c r="S1045" s="38">
        <f>SUM(S1002:S1044)</f>
        <v>164064.5</v>
      </c>
      <c r="T1045" s="4"/>
      <c r="U1045" s="41">
        <f>SUM(U1002:U1044)</f>
        <v>279</v>
      </c>
      <c r="V1045" s="41">
        <f>SUM(V1002:V1026)</f>
        <v>-16614</v>
      </c>
      <c r="W1045" s="42">
        <f>SUM(W1002:W1044)</f>
        <v>147729.5</v>
      </c>
      <c r="Z1045" s="57"/>
      <c r="AA1045" s="57"/>
      <c r="AB1045" s="38">
        <f>SUM(AB1002:AB1044)</f>
        <v>109107</v>
      </c>
      <c r="AC1045" s="38">
        <f>SUM(AC1002:AC1026)</f>
        <v>-372</v>
      </c>
      <c r="AD1045" s="38">
        <f>SUM(AD1002:AD1026)</f>
        <v>0</v>
      </c>
      <c r="AE1045" s="38">
        <f>SUM(AE1002:AE1044)</f>
        <v>108735</v>
      </c>
      <c r="AF1045" s="4"/>
      <c r="AG1045" s="41">
        <f>SUM(AG1002:AG1044)</f>
        <v>58.5</v>
      </c>
      <c r="AH1045" s="41">
        <f>SUM(AH1002:AH1026)</f>
        <v>-11211</v>
      </c>
      <c r="AI1045" s="42">
        <f>SUM(AI1002:AI1044)</f>
        <v>97582.5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29</v>
      </c>
      <c r="B1048" s="57"/>
      <c r="C1048" s="57"/>
      <c r="D1048" s="57"/>
      <c r="E1048" s="57"/>
      <c r="G1048" s="57"/>
      <c r="M1048" t="s">
        <v>29</v>
      </c>
      <c r="N1048" s="57"/>
      <c r="O1048" s="57"/>
      <c r="P1048" s="57"/>
      <c r="Q1048" s="57"/>
      <c r="R1048" s="57"/>
      <c r="S1048" s="57"/>
      <c r="Y1048" t="s">
        <v>29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15</v>
      </c>
      <c r="B1050" s="57"/>
      <c r="C1050" s="57"/>
      <c r="D1050" s="57"/>
      <c r="E1050" s="57"/>
      <c r="G1050" s="57"/>
      <c r="M1050" s="4" t="s">
        <v>15</v>
      </c>
      <c r="N1050" s="57"/>
      <c r="O1050" s="57"/>
      <c r="P1050" s="57"/>
      <c r="Q1050" s="57"/>
      <c r="R1050" s="57"/>
      <c r="S1050" s="57"/>
      <c r="Y1050" s="4" t="s">
        <v>15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16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16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16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17</v>
      </c>
      <c r="J1053" s="23" t="s">
        <v>36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17</v>
      </c>
      <c r="V1053" s="23" t="s">
        <v>33</v>
      </c>
      <c r="W1053" s="24"/>
      <c r="Y1053" s="21" t="s">
        <v>93</v>
      </c>
      <c r="Z1053" s="20"/>
      <c r="AA1053" s="57"/>
      <c r="AB1053" s="57"/>
      <c r="AC1053" s="57"/>
      <c r="AD1053" s="57"/>
      <c r="AE1053" s="57"/>
      <c r="AG1053" s="22" t="s">
        <v>17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4" t="s">
        <v>18</v>
      </c>
      <c r="E1055" s="124"/>
      <c r="F1055" s="114"/>
      <c r="G1055" s="27"/>
      <c r="I1055" s="122" t="s">
        <v>19</v>
      </c>
      <c r="J1055" s="123"/>
      <c r="K1055" s="120" t="s">
        <v>20</v>
      </c>
      <c r="N1055" s="25"/>
      <c r="O1055" s="26"/>
      <c r="P1055" s="124" t="s">
        <v>18</v>
      </c>
      <c r="Q1055" s="124"/>
      <c r="R1055" s="114"/>
      <c r="S1055" s="27"/>
      <c r="U1055" s="122" t="s">
        <v>19</v>
      </c>
      <c r="V1055" s="123"/>
      <c r="W1055" s="120" t="s">
        <v>20</v>
      </c>
      <c r="Z1055" s="25"/>
      <c r="AA1055" s="26"/>
      <c r="AB1055" s="124" t="s">
        <v>18</v>
      </c>
      <c r="AC1055" s="124"/>
      <c r="AD1055" s="114"/>
      <c r="AE1055" s="27"/>
      <c r="AG1055" s="122" t="s">
        <v>19</v>
      </c>
      <c r="AH1055" s="123"/>
      <c r="AI1055" s="120" t="s">
        <v>20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21</v>
      </c>
      <c r="C1056" s="28" t="s">
        <v>22</v>
      </c>
      <c r="D1056" s="79" t="s">
        <v>23</v>
      </c>
      <c r="E1056" s="78" t="s">
        <v>24</v>
      </c>
      <c r="F1056" s="80" t="s">
        <v>35</v>
      </c>
      <c r="G1056" s="80" t="s">
        <v>25</v>
      </c>
      <c r="I1056" s="29" t="s">
        <v>26</v>
      </c>
      <c r="J1056" s="29" t="s">
        <v>27</v>
      </c>
      <c r="K1056" s="121"/>
      <c r="N1056" s="28" t="s">
        <v>21</v>
      </c>
      <c r="O1056" s="28" t="s">
        <v>22</v>
      </c>
      <c r="P1056" s="79" t="s">
        <v>23</v>
      </c>
      <c r="Q1056" s="80" t="s">
        <v>24</v>
      </c>
      <c r="R1056" s="80" t="s">
        <v>35</v>
      </c>
      <c r="S1056" s="80" t="s">
        <v>25</v>
      </c>
      <c r="U1056" s="29" t="s">
        <v>26</v>
      </c>
      <c r="V1056" s="29" t="s">
        <v>27</v>
      </c>
      <c r="W1056" s="121"/>
      <c r="Z1056" s="28" t="s">
        <v>21</v>
      </c>
      <c r="AA1056" s="28" t="s">
        <v>22</v>
      </c>
      <c r="AB1056" s="79" t="s">
        <v>23</v>
      </c>
      <c r="AC1056" s="80" t="s">
        <v>24</v>
      </c>
      <c r="AD1056" s="80" t="s">
        <v>35</v>
      </c>
      <c r="AE1056" s="80" t="s">
        <v>25</v>
      </c>
      <c r="AG1056" s="29" t="s">
        <v>26</v>
      </c>
      <c r="AH1056" s="29" t="s">
        <v>27</v>
      </c>
      <c r="AI1056" s="121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31">
        <v>6582</v>
      </c>
      <c r="D1057" s="32">
        <f>3756+1228+913+596+502+416+66.5</f>
        <v>7477.5</v>
      </c>
      <c r="E1057" s="32"/>
      <c r="F1057" s="32"/>
      <c r="G1057" s="32">
        <f t="shared" ref="G1057:G1090" si="230">SUM(D1057:E1057)</f>
        <v>7477.5</v>
      </c>
      <c r="H1057" s="12"/>
      <c r="I1057" s="12">
        <f>207</f>
        <v>207</v>
      </c>
      <c r="J1057" s="12"/>
      <c r="K1057" s="12">
        <f t="shared" ref="K1057:K1090" si="231">SUM(G1057:J1057)</f>
        <v>7684.5</v>
      </c>
      <c r="M1057" s="10">
        <v>1</v>
      </c>
      <c r="N1057" s="30" t="s">
        <v>94</v>
      </c>
      <c r="O1057" s="31">
        <v>6758</v>
      </c>
      <c r="P1057" s="32">
        <f>626+596+19</f>
        <v>1241</v>
      </c>
      <c r="Q1057" s="32"/>
      <c r="R1057" s="32"/>
      <c r="S1057" s="32">
        <f>SUM(P1057:Q1057)</f>
        <v>1241</v>
      </c>
      <c r="T1057" s="12"/>
      <c r="U1057" s="12"/>
      <c r="V1057" s="12"/>
      <c r="W1057" s="12">
        <f>SUM(S1057:V1057)</f>
        <v>1241</v>
      </c>
      <c r="Y1057" s="10">
        <v>1</v>
      </c>
      <c r="Z1057" s="30" t="s">
        <v>94</v>
      </c>
      <c r="AA1057" s="31">
        <v>6726</v>
      </c>
      <c r="AB1057" s="32">
        <f>62600+12280+916</f>
        <v>75796</v>
      </c>
      <c r="AC1057" s="32">
        <v>-744</v>
      </c>
      <c r="AD1057" s="32"/>
      <c r="AE1057" s="32">
        <f>SUM(AB1057:AC1057)</f>
        <v>75052</v>
      </c>
      <c r="AF1057" s="12"/>
      <c r="AG1057" s="12"/>
      <c r="AH1057" s="12">
        <v>-1887</v>
      </c>
      <c r="AI1057" s="12">
        <f>SUM(AE1057:AH1057)</f>
        <v>73165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31">
        <f>C1057+1</f>
        <v>6583</v>
      </c>
      <c r="D1058" s="32">
        <f>3130+614+48</f>
        <v>3792</v>
      </c>
      <c r="E1058" s="32"/>
      <c r="F1058" s="32"/>
      <c r="G1058" s="32">
        <f t="shared" si="230"/>
        <v>3792</v>
      </c>
      <c r="H1058" s="12"/>
      <c r="I1058" s="12">
        <v>22</v>
      </c>
      <c r="J1058" s="12"/>
      <c r="K1058" s="12">
        <f t="shared" si="231"/>
        <v>3814</v>
      </c>
      <c r="M1058" s="10">
        <v>2</v>
      </c>
      <c r="N1058" s="30" t="s">
        <v>94</v>
      </c>
      <c r="O1058" s="31">
        <f>O1057+1</f>
        <v>6759</v>
      </c>
      <c r="P1058" s="32">
        <f>1878+596+38</f>
        <v>2512</v>
      </c>
      <c r="Q1058" s="32"/>
      <c r="R1058" s="32"/>
      <c r="S1058" s="32">
        <f t="shared" ref="S1058:S1095" si="232">SUM(P1058:Q1058)</f>
        <v>2512</v>
      </c>
      <c r="T1058" s="12"/>
      <c r="U1058" s="12"/>
      <c r="V1058" s="12"/>
      <c r="W1058" s="12">
        <f t="shared" ref="W1058:W1098" si="233">SUM(S1058:V1058)</f>
        <v>2512</v>
      </c>
      <c r="Y1058" s="10">
        <v>2</v>
      </c>
      <c r="Z1058" s="30" t="s">
        <v>94</v>
      </c>
      <c r="AA1058" s="31">
        <f>AA1057+1</f>
        <v>6727</v>
      </c>
      <c r="AB1058" s="32">
        <f>67608+64368+1704+2496+2061</f>
        <v>138237</v>
      </c>
      <c r="AC1058" s="32">
        <v>-1380</v>
      </c>
      <c r="AD1058" s="32"/>
      <c r="AE1058" s="32">
        <f t="shared" ref="AE1058:AE1066" si="234">SUM(AB1058:AC1058)</f>
        <v>136857</v>
      </c>
      <c r="AF1058" s="12"/>
      <c r="AG1058" s="12"/>
      <c r="AH1058" s="12"/>
      <c r="AI1058" s="12">
        <f t="shared" ref="AI1058:AI1098" si="235">SUM(AE1058:AH1058)</f>
        <v>136857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31">
        <f t="shared" ref="C1059:C1068" si="236">C1058+1</f>
        <v>6584</v>
      </c>
      <c r="D1059" s="33">
        <f>5008+76</f>
        <v>5084</v>
      </c>
      <c r="E1059" s="33"/>
      <c r="F1059" s="33"/>
      <c r="G1059" s="33">
        <f t="shared" si="230"/>
        <v>5084</v>
      </c>
      <c r="H1059" s="34"/>
      <c r="I1059" s="34"/>
      <c r="J1059" s="34">
        <v>-111</v>
      </c>
      <c r="K1059" s="34">
        <f t="shared" si="231"/>
        <v>4973</v>
      </c>
      <c r="M1059" s="10">
        <v>3</v>
      </c>
      <c r="N1059" s="30" t="s">
        <v>94</v>
      </c>
      <c r="O1059" s="31">
        <f t="shared" ref="O1059:O1073" si="237">O1058+1</f>
        <v>6760</v>
      </c>
      <c r="P1059" s="32">
        <f>1252+1192+38</f>
        <v>2482</v>
      </c>
      <c r="Q1059" s="32"/>
      <c r="R1059" s="32"/>
      <c r="S1059" s="32">
        <f t="shared" si="232"/>
        <v>2482</v>
      </c>
      <c r="T1059" s="12"/>
      <c r="U1059" s="12"/>
      <c r="V1059" s="12"/>
      <c r="W1059" s="12">
        <f t="shared" si="233"/>
        <v>2482</v>
      </c>
      <c r="Y1059" s="10">
        <v>3</v>
      </c>
      <c r="Z1059" s="30" t="s">
        <v>94</v>
      </c>
      <c r="AA1059" s="31">
        <f t="shared" ref="AA1059" si="238">AA1058+1</f>
        <v>6728</v>
      </c>
      <c r="AB1059" s="33">
        <f>4382+1788</f>
        <v>6170</v>
      </c>
      <c r="AC1059" s="33"/>
      <c r="AD1059" s="32"/>
      <c r="AE1059" s="32">
        <f t="shared" si="234"/>
        <v>6170</v>
      </c>
      <c r="AF1059" s="12"/>
      <c r="AG1059" s="12"/>
      <c r="AH1059" s="12"/>
      <c r="AI1059" s="12">
        <f t="shared" si="235"/>
        <v>6170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31">
        <f t="shared" si="236"/>
        <v>6585</v>
      </c>
      <c r="D1060" s="32">
        <f>1252+1192+38</f>
        <v>2482</v>
      </c>
      <c r="E1060" s="32"/>
      <c r="F1060" s="32"/>
      <c r="G1060" s="32">
        <f t="shared" si="230"/>
        <v>2482</v>
      </c>
      <c r="H1060" s="12"/>
      <c r="I1060" s="12"/>
      <c r="J1060" s="12"/>
      <c r="K1060" s="12">
        <f t="shared" si="231"/>
        <v>2482</v>
      </c>
      <c r="M1060" s="10">
        <v>4</v>
      </c>
      <c r="N1060" s="30" t="s">
        <v>94</v>
      </c>
      <c r="O1060" s="31">
        <f t="shared" si="237"/>
        <v>6761</v>
      </c>
      <c r="P1060" s="32">
        <f>2504+614+38</f>
        <v>3156</v>
      </c>
      <c r="Q1060" s="32"/>
      <c r="R1060" s="32"/>
      <c r="S1060" s="32">
        <f t="shared" si="232"/>
        <v>3156</v>
      </c>
      <c r="T1060" s="12"/>
      <c r="U1060" s="12"/>
      <c r="V1060" s="12"/>
      <c r="W1060" s="12">
        <f t="shared" si="233"/>
        <v>3156</v>
      </c>
      <c r="Y1060" s="10">
        <v>4</v>
      </c>
      <c r="Z1060" s="30"/>
      <c r="AA1060" s="11" t="s">
        <v>28</v>
      </c>
      <c r="AB1060" s="32"/>
      <c r="AC1060" s="32"/>
      <c r="AD1060" s="32"/>
      <c r="AE1060" s="32">
        <f t="shared" si="234"/>
        <v>0</v>
      </c>
      <c r="AF1060" s="12"/>
      <c r="AH1060" s="12"/>
      <c r="AI1060" s="12">
        <f t="shared" si="235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31">
        <f t="shared" si="236"/>
        <v>6586</v>
      </c>
      <c r="D1061" s="32">
        <f>2504+38</f>
        <v>2542</v>
      </c>
      <c r="E1061" s="32"/>
      <c r="F1061" s="32"/>
      <c r="G1061" s="32">
        <f t="shared" si="230"/>
        <v>2542</v>
      </c>
      <c r="H1061" s="12"/>
      <c r="I1061" s="12"/>
      <c r="J1061" s="12"/>
      <c r="K1061" s="12">
        <f t="shared" si="231"/>
        <v>2542</v>
      </c>
      <c r="M1061" s="10">
        <v>5</v>
      </c>
      <c r="N1061" s="30" t="s">
        <v>94</v>
      </c>
      <c r="O1061" s="31">
        <f t="shared" si="237"/>
        <v>6762</v>
      </c>
      <c r="P1061" s="32">
        <f>3130+596+57</f>
        <v>3783</v>
      </c>
      <c r="Q1061" s="32"/>
      <c r="R1061" s="32"/>
      <c r="S1061" s="32">
        <f t="shared" si="232"/>
        <v>3783</v>
      </c>
      <c r="T1061" s="12"/>
      <c r="U1061" s="12"/>
      <c r="V1061" s="12"/>
      <c r="W1061" s="12">
        <f t="shared" si="233"/>
        <v>3783</v>
      </c>
      <c r="Y1061" s="10">
        <v>5</v>
      </c>
      <c r="Z1061" s="30"/>
      <c r="AA1061" s="31"/>
      <c r="AB1061" s="32"/>
      <c r="AC1061" s="32"/>
      <c r="AD1061" s="32"/>
      <c r="AE1061" s="32">
        <f t="shared" si="234"/>
        <v>0</v>
      </c>
      <c r="AF1061" s="12"/>
      <c r="AG1061" s="12"/>
      <c r="AH1061" s="12"/>
      <c r="AI1061" s="12">
        <f t="shared" si="235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31">
        <f t="shared" si="236"/>
        <v>6587</v>
      </c>
      <c r="D1062" s="32">
        <f>2504+38</f>
        <v>2542</v>
      </c>
      <c r="E1062" s="32"/>
      <c r="F1062" s="32"/>
      <c r="G1062" s="32">
        <f t="shared" si="230"/>
        <v>2542</v>
      </c>
      <c r="H1062" s="12"/>
      <c r="I1062" s="12"/>
      <c r="J1062" s="12"/>
      <c r="K1062" s="12">
        <f t="shared" si="231"/>
        <v>2542</v>
      </c>
      <c r="M1062" s="10">
        <v>6</v>
      </c>
      <c r="N1062" s="30" t="s">
        <v>94</v>
      </c>
      <c r="O1062" s="31">
        <f t="shared" si="237"/>
        <v>6763</v>
      </c>
      <c r="P1062" s="32">
        <f>1878+596+38</f>
        <v>2512</v>
      </c>
      <c r="Q1062" s="32"/>
      <c r="R1062" s="32"/>
      <c r="S1062" s="32">
        <f t="shared" si="232"/>
        <v>2512</v>
      </c>
      <c r="T1062" s="12"/>
      <c r="U1062" s="12"/>
      <c r="V1062" s="10"/>
      <c r="W1062" s="12">
        <f t="shared" si="233"/>
        <v>2512</v>
      </c>
      <c r="Y1062" s="10">
        <v>6</v>
      </c>
      <c r="Z1062" s="30"/>
      <c r="AA1062" s="31"/>
      <c r="AB1062" s="32"/>
      <c r="AC1062" s="32"/>
      <c r="AD1062" s="32"/>
      <c r="AE1062" s="32">
        <f t="shared" si="234"/>
        <v>0</v>
      </c>
      <c r="AF1062" s="12"/>
      <c r="AG1062" s="12"/>
      <c r="AH1062" s="10"/>
      <c r="AI1062" s="12">
        <f t="shared" si="235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94</v>
      </c>
      <c r="C1063" s="31">
        <f t="shared" si="236"/>
        <v>6588</v>
      </c>
      <c r="D1063" s="32">
        <f>626*3+9.5*3</f>
        <v>1906.5</v>
      </c>
      <c r="E1063" s="32"/>
      <c r="F1063" s="32"/>
      <c r="G1063" s="32">
        <f t="shared" si="230"/>
        <v>1906.5</v>
      </c>
      <c r="H1063" s="12"/>
      <c r="I1063" s="12"/>
      <c r="J1063" s="12"/>
      <c r="K1063" s="12">
        <f t="shared" si="231"/>
        <v>1906.5</v>
      </c>
      <c r="M1063" s="10">
        <v>7</v>
      </c>
      <c r="N1063" s="30" t="s">
        <v>94</v>
      </c>
      <c r="O1063" s="31">
        <f t="shared" si="237"/>
        <v>6764</v>
      </c>
      <c r="P1063" s="32">
        <f>1252+19</f>
        <v>1271</v>
      </c>
      <c r="Q1063" s="32"/>
      <c r="R1063" s="32"/>
      <c r="S1063" s="32">
        <f t="shared" si="232"/>
        <v>1271</v>
      </c>
      <c r="T1063" s="12"/>
      <c r="U1063" s="12"/>
      <c r="V1063" s="12"/>
      <c r="W1063" s="12">
        <f t="shared" si="233"/>
        <v>1271</v>
      </c>
      <c r="Y1063" s="10">
        <v>7</v>
      </c>
      <c r="Z1063" s="30"/>
      <c r="AA1063" s="31"/>
      <c r="AB1063" s="32"/>
      <c r="AC1063" s="32"/>
      <c r="AD1063" s="32"/>
      <c r="AE1063" s="32">
        <f t="shared" si="234"/>
        <v>0</v>
      </c>
      <c r="AF1063" s="12"/>
      <c r="AG1063" s="58"/>
      <c r="AH1063" s="12"/>
      <c r="AI1063" s="12">
        <f t="shared" si="235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94</v>
      </c>
      <c r="C1064" s="31">
        <f t="shared" si="236"/>
        <v>6589</v>
      </c>
      <c r="D1064" s="32">
        <f>3756+3652</f>
        <v>7408</v>
      </c>
      <c r="E1064" s="32"/>
      <c r="F1064" s="32"/>
      <c r="G1064" s="32">
        <f t="shared" si="230"/>
        <v>7408</v>
      </c>
      <c r="H1064" s="12"/>
      <c r="I1064" s="12"/>
      <c r="J1064" s="12"/>
      <c r="K1064" s="12">
        <f t="shared" si="231"/>
        <v>7408</v>
      </c>
      <c r="M1064" s="10">
        <v>8</v>
      </c>
      <c r="N1064" s="30" t="s">
        <v>94</v>
      </c>
      <c r="O1064" s="31">
        <f t="shared" si="237"/>
        <v>6765</v>
      </c>
      <c r="P1064" s="32">
        <f>626+596+19</f>
        <v>1241</v>
      </c>
      <c r="Q1064" s="32"/>
      <c r="R1064" s="32"/>
      <c r="S1064" s="32">
        <f t="shared" si="232"/>
        <v>1241</v>
      </c>
      <c r="T1064" s="12"/>
      <c r="U1064" s="12"/>
      <c r="V1064" s="12"/>
      <c r="W1064" s="12">
        <f t="shared" si="233"/>
        <v>1241</v>
      </c>
      <c r="Y1064" s="10">
        <v>8</v>
      </c>
      <c r="Z1064" s="30"/>
      <c r="AB1064" s="32"/>
      <c r="AC1064" s="32"/>
      <c r="AE1064" s="32">
        <f t="shared" si="234"/>
        <v>0</v>
      </c>
      <c r="AF1064" s="12"/>
      <c r="AG1064" s="12"/>
      <c r="AH1064" s="12"/>
      <c r="AI1064" s="12">
        <f t="shared" si="235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94</v>
      </c>
      <c r="C1065" s="31">
        <f t="shared" si="236"/>
        <v>6590</v>
      </c>
      <c r="D1065" s="32">
        <f>6260+5960</f>
        <v>12220</v>
      </c>
      <c r="E1065" s="32"/>
      <c r="F1065" s="32"/>
      <c r="G1065" s="32">
        <f t="shared" si="230"/>
        <v>12220</v>
      </c>
      <c r="H1065" s="12"/>
      <c r="I1065" s="12">
        <v>108</v>
      </c>
      <c r="J1065" s="12"/>
      <c r="K1065" s="12">
        <f t="shared" si="231"/>
        <v>12328</v>
      </c>
      <c r="M1065" s="10">
        <v>9</v>
      </c>
      <c r="N1065" s="30" t="s">
        <v>94</v>
      </c>
      <c r="O1065" s="31">
        <f t="shared" si="237"/>
        <v>6766</v>
      </c>
      <c r="P1065" s="32">
        <f>2504+38</f>
        <v>2542</v>
      </c>
      <c r="Q1065" s="32"/>
      <c r="R1065" s="32"/>
      <c r="S1065" s="32">
        <f t="shared" si="232"/>
        <v>2542</v>
      </c>
      <c r="T1065" s="12"/>
      <c r="U1065" s="12"/>
      <c r="V1065" s="12">
        <v>-222</v>
      </c>
      <c r="W1065" s="12">
        <f t="shared" si="233"/>
        <v>2320</v>
      </c>
      <c r="Y1065" s="10">
        <v>9</v>
      </c>
      <c r="Z1065" s="30"/>
      <c r="AA1065" s="31"/>
      <c r="AB1065" s="95"/>
      <c r="AC1065" s="32"/>
      <c r="AD1065" s="32"/>
      <c r="AE1065" s="32">
        <f t="shared" si="234"/>
        <v>0</v>
      </c>
      <c r="AF1065" s="12"/>
      <c r="AH1065" s="12"/>
      <c r="AI1065" s="12">
        <f t="shared" si="23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94</v>
      </c>
      <c r="C1066" s="31">
        <f t="shared" si="236"/>
        <v>6591</v>
      </c>
      <c r="D1066" s="32">
        <f>674+1175</f>
        <v>1849</v>
      </c>
      <c r="E1066" s="32"/>
      <c r="F1066" s="32"/>
      <c r="G1066" s="32">
        <f t="shared" si="230"/>
        <v>1849</v>
      </c>
      <c r="H1066" s="12"/>
      <c r="I1066" s="12"/>
      <c r="J1066" s="12"/>
      <c r="K1066" s="12">
        <f t="shared" si="231"/>
        <v>1849</v>
      </c>
      <c r="M1066" s="10">
        <v>10</v>
      </c>
      <c r="N1066" s="30" t="s">
        <v>94</v>
      </c>
      <c r="O1066" s="31">
        <f t="shared" si="237"/>
        <v>6767</v>
      </c>
      <c r="P1066" s="32">
        <f>25040+8940+452+650</f>
        <v>35082</v>
      </c>
      <c r="Q1066" s="32"/>
      <c r="R1066" s="32"/>
      <c r="S1066" s="32">
        <f t="shared" si="232"/>
        <v>35082</v>
      </c>
      <c r="T1066" s="12"/>
      <c r="U1066" s="12">
        <v>72</v>
      </c>
      <c r="V1066" s="12"/>
      <c r="W1066" s="12">
        <f t="shared" si="233"/>
        <v>35154</v>
      </c>
      <c r="Y1066" s="10">
        <v>10</v>
      </c>
      <c r="Z1066" s="30"/>
      <c r="AA1066" s="31"/>
      <c r="AB1066" s="32"/>
      <c r="AC1066" s="32"/>
      <c r="AD1066" s="32"/>
      <c r="AE1066" s="32">
        <f t="shared" si="234"/>
        <v>0</v>
      </c>
      <c r="AF1066" s="12"/>
      <c r="AG1066" s="12"/>
      <c r="AH1066" s="12"/>
      <c r="AI1066" s="12">
        <f t="shared" si="23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94</v>
      </c>
      <c r="C1067" s="31">
        <f t="shared" si="236"/>
        <v>6592</v>
      </c>
      <c r="D1067" s="32">
        <f>76372+4298+2980+852+832+1145+500</f>
        <v>86979</v>
      </c>
      <c r="E1067" s="32"/>
      <c r="F1067" s="32"/>
      <c r="G1067" s="32">
        <f t="shared" si="230"/>
        <v>86979</v>
      </c>
      <c r="H1067" s="12"/>
      <c r="I1067" s="12">
        <f>555+78</f>
        <v>633</v>
      </c>
      <c r="J1067" s="12"/>
      <c r="K1067" s="12">
        <f t="shared" si="231"/>
        <v>87612</v>
      </c>
      <c r="M1067" s="10">
        <v>11</v>
      </c>
      <c r="N1067" s="30" t="s">
        <v>94</v>
      </c>
      <c r="O1067" s="31">
        <f t="shared" si="237"/>
        <v>6768</v>
      </c>
      <c r="P1067" s="32">
        <f>37560+6140+5960</f>
        <v>49660</v>
      </c>
      <c r="Q1067" s="32"/>
      <c r="R1067" s="32"/>
      <c r="S1067" s="32">
        <f t="shared" si="232"/>
        <v>49660</v>
      </c>
      <c r="T1067" s="12"/>
      <c r="U1067" s="12"/>
      <c r="V1067" s="12"/>
      <c r="W1067" s="12">
        <f t="shared" si="233"/>
        <v>49660</v>
      </c>
      <c r="Y1067" s="10">
        <v>11</v>
      </c>
      <c r="Z1067" s="30"/>
      <c r="AB1067" s="32"/>
      <c r="AC1067" s="32"/>
      <c r="AD1067" s="32"/>
      <c r="AE1067" s="32">
        <f t="shared" ref="AE1067:AE1095" si="239">SUM(AB1067:AC1067)</f>
        <v>0</v>
      </c>
      <c r="AF1067" s="12"/>
      <c r="AG1067" s="12"/>
      <c r="AH1067" s="12"/>
      <c r="AI1067" s="12">
        <f t="shared" si="23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94</v>
      </c>
      <c r="C1068" s="31">
        <f t="shared" si="236"/>
        <v>6593</v>
      </c>
      <c r="D1068" s="32">
        <f>3756+1228+229</f>
        <v>5213</v>
      </c>
      <c r="E1068" s="32"/>
      <c r="F1068" s="32"/>
      <c r="G1068" s="32">
        <f t="shared" si="230"/>
        <v>5213</v>
      </c>
      <c r="H1068" s="12"/>
      <c r="I1068" s="12"/>
      <c r="J1068" s="10"/>
      <c r="K1068" s="12">
        <f t="shared" si="231"/>
        <v>5213</v>
      </c>
      <c r="M1068" s="10">
        <v>12</v>
      </c>
      <c r="N1068" s="30" t="s">
        <v>94</v>
      </c>
      <c r="O1068" s="31">
        <f t="shared" si="237"/>
        <v>6769</v>
      </c>
      <c r="P1068" s="32">
        <f>626+9.5</f>
        <v>635.5</v>
      </c>
      <c r="Q1068" s="32"/>
      <c r="R1068" s="32"/>
      <c r="S1068" s="32">
        <f t="shared" si="232"/>
        <v>635.5</v>
      </c>
      <c r="T1068" s="12"/>
      <c r="U1068" s="12"/>
      <c r="V1068" s="12"/>
      <c r="W1068" s="12">
        <f t="shared" si="233"/>
        <v>635.5</v>
      </c>
      <c r="Y1068" s="10">
        <v>12</v>
      </c>
      <c r="Z1068" s="30"/>
      <c r="AB1068" s="32"/>
      <c r="AC1068" s="32"/>
      <c r="AD1068" s="32"/>
      <c r="AE1068" s="32">
        <f t="shared" si="239"/>
        <v>0</v>
      </c>
      <c r="AF1068" s="12"/>
      <c r="AG1068" s="12"/>
      <c r="AH1068" s="12"/>
      <c r="AI1068" s="12">
        <f t="shared" si="23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11" t="s">
        <v>28</v>
      </c>
      <c r="D1069" s="32"/>
      <c r="E1069" s="32"/>
      <c r="F1069" s="32"/>
      <c r="G1069" s="32">
        <f t="shared" si="230"/>
        <v>0</v>
      </c>
      <c r="H1069" s="12"/>
      <c r="I1069" s="12"/>
      <c r="J1069" s="12"/>
      <c r="K1069" s="12">
        <f t="shared" si="231"/>
        <v>0</v>
      </c>
      <c r="M1069" s="10">
        <v>13</v>
      </c>
      <c r="N1069" s="30" t="s">
        <v>94</v>
      </c>
      <c r="O1069" s="31">
        <f t="shared" si="237"/>
        <v>6770</v>
      </c>
      <c r="P1069" s="32">
        <f>1878+28.5</f>
        <v>1906.5</v>
      </c>
      <c r="Q1069" s="32"/>
      <c r="R1069" s="32"/>
      <c r="S1069" s="32">
        <f t="shared" si="232"/>
        <v>1906.5</v>
      </c>
      <c r="T1069" s="12"/>
      <c r="U1069" s="12"/>
      <c r="V1069" s="12"/>
      <c r="W1069" s="12">
        <f t="shared" si="233"/>
        <v>1906.5</v>
      </c>
      <c r="Y1069" s="10">
        <v>13</v>
      </c>
      <c r="Z1069" s="30"/>
      <c r="AA1069" s="31"/>
      <c r="AB1069" s="32"/>
      <c r="AC1069" s="32"/>
      <c r="AD1069" s="32"/>
      <c r="AE1069" s="32">
        <f t="shared" si="239"/>
        <v>0</v>
      </c>
      <c r="AF1069" s="12"/>
      <c r="AG1069" s="12"/>
      <c r="AH1069" s="12"/>
      <c r="AI1069" s="12">
        <f t="shared" si="23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30"/>
        <v>0</v>
      </c>
      <c r="H1070" s="12"/>
      <c r="I1070" s="12"/>
      <c r="J1070" s="12"/>
      <c r="K1070" s="12">
        <f t="shared" si="231"/>
        <v>0</v>
      </c>
      <c r="M1070" s="10">
        <v>14</v>
      </c>
      <c r="N1070" s="30" t="s">
        <v>94</v>
      </c>
      <c r="O1070" s="31">
        <f t="shared" si="237"/>
        <v>6771</v>
      </c>
      <c r="P1070" s="32">
        <f>626*10+95</f>
        <v>6355</v>
      </c>
      <c r="Q1070" s="32"/>
      <c r="R1070" s="32"/>
      <c r="S1070" s="32">
        <f t="shared" si="232"/>
        <v>6355</v>
      </c>
      <c r="T1070" s="12"/>
      <c r="U1070" s="12">
        <v>13.5</v>
      </c>
      <c r="V1070" s="12"/>
      <c r="W1070" s="12">
        <f t="shared" si="233"/>
        <v>6368.5</v>
      </c>
      <c r="Y1070" s="10">
        <v>14</v>
      </c>
      <c r="Z1070" s="30"/>
      <c r="AA1070" s="31"/>
      <c r="AB1070" s="32"/>
      <c r="AC1070" s="32"/>
      <c r="AD1070" s="32"/>
      <c r="AE1070" s="32">
        <f t="shared" si="239"/>
        <v>0</v>
      </c>
      <c r="AF1070" s="12"/>
      <c r="AG1070" s="12"/>
      <c r="AH1070" s="12"/>
      <c r="AI1070" s="12">
        <f t="shared" si="23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30"/>
        <v>0</v>
      </c>
      <c r="H1071" s="12"/>
      <c r="I1071" s="12"/>
      <c r="J1071" s="12"/>
      <c r="K1071" s="12">
        <f t="shared" si="231"/>
        <v>0</v>
      </c>
      <c r="M1071" s="10">
        <v>15</v>
      </c>
      <c r="N1071" s="30" t="s">
        <v>94</v>
      </c>
      <c r="O1071" s="31">
        <f t="shared" si="237"/>
        <v>6772</v>
      </c>
      <c r="P1071" s="32">
        <f>1252+9.5*2</f>
        <v>1271</v>
      </c>
      <c r="Q1071" s="32"/>
      <c r="R1071" s="32"/>
      <c r="S1071" s="32">
        <f t="shared" si="232"/>
        <v>1271</v>
      </c>
      <c r="T1071" s="12"/>
      <c r="U1071" s="12"/>
      <c r="V1071" s="12"/>
      <c r="W1071" s="12">
        <f t="shared" si="233"/>
        <v>1271</v>
      </c>
      <c r="Y1071" s="10">
        <v>15</v>
      </c>
      <c r="Z1071" s="30"/>
      <c r="AA1071" s="31"/>
      <c r="AB1071" s="32"/>
      <c r="AC1071" s="32"/>
      <c r="AD1071" s="32"/>
      <c r="AE1071" s="32">
        <f t="shared" si="239"/>
        <v>0</v>
      </c>
      <c r="AF1071" s="12"/>
      <c r="AG1071" s="12"/>
      <c r="AH1071" s="12"/>
      <c r="AI1071" s="12">
        <f t="shared" si="23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30"/>
        <v>0</v>
      </c>
      <c r="H1072" s="12"/>
      <c r="I1072" s="12"/>
      <c r="J1072" s="12"/>
      <c r="K1072" s="12">
        <f t="shared" si="231"/>
        <v>0</v>
      </c>
      <c r="M1072" s="10">
        <v>16</v>
      </c>
      <c r="N1072" s="30" t="s">
        <v>94</v>
      </c>
      <c r="O1072" s="31">
        <f t="shared" si="237"/>
        <v>6773</v>
      </c>
      <c r="P1072" s="32">
        <f>46324+8344+687</f>
        <v>55355</v>
      </c>
      <c r="Q1072" s="32">
        <v>-728</v>
      </c>
      <c r="R1072" s="32"/>
      <c r="S1072" s="32">
        <f t="shared" si="232"/>
        <v>54627</v>
      </c>
      <c r="T1072" s="12"/>
      <c r="U1072" s="12">
        <v>234</v>
      </c>
      <c r="V1072" s="12"/>
      <c r="W1072" s="12">
        <f t="shared" si="233"/>
        <v>54861</v>
      </c>
      <c r="Y1072" s="10">
        <v>16</v>
      </c>
      <c r="Z1072" s="30"/>
      <c r="AA1072" s="31"/>
      <c r="AB1072" s="32"/>
      <c r="AC1072" s="32"/>
      <c r="AD1072" s="32"/>
      <c r="AE1072" s="32">
        <f t="shared" si="239"/>
        <v>0</v>
      </c>
      <c r="AF1072" s="12"/>
      <c r="AG1072" s="12"/>
      <c r="AH1072" s="12"/>
      <c r="AI1072" s="12">
        <f t="shared" si="23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30"/>
        <v>0</v>
      </c>
      <c r="H1073" s="12"/>
      <c r="I1073" s="12"/>
      <c r="J1073" s="12"/>
      <c r="K1073" s="12">
        <f t="shared" si="231"/>
        <v>0</v>
      </c>
      <c r="M1073" s="10">
        <v>17</v>
      </c>
      <c r="N1073" s="30" t="s">
        <v>94</v>
      </c>
      <c r="O1073" s="31">
        <f t="shared" si="237"/>
        <v>6774</v>
      </c>
      <c r="P1073" s="35">
        <f>125200+29800+229*10</f>
        <v>157290</v>
      </c>
      <c r="Q1073" s="32">
        <v>-2340</v>
      </c>
      <c r="R1073" s="32"/>
      <c r="S1073" s="32">
        <f t="shared" si="232"/>
        <v>154950</v>
      </c>
      <c r="T1073" s="12"/>
      <c r="U1073" s="12">
        <v>166</v>
      </c>
      <c r="V1073" s="12">
        <v>-100</v>
      </c>
      <c r="W1073" s="12">
        <f t="shared" si="233"/>
        <v>155016</v>
      </c>
      <c r="Y1073" s="10">
        <v>17</v>
      </c>
      <c r="Z1073" s="30"/>
      <c r="AA1073" s="31"/>
      <c r="AB1073" s="35"/>
      <c r="AC1073" s="32"/>
      <c r="AD1073" s="32"/>
      <c r="AE1073" s="32">
        <f t="shared" si="239"/>
        <v>0</v>
      </c>
      <c r="AF1073" s="12"/>
      <c r="AG1073" s="12"/>
      <c r="AH1073" s="12"/>
      <c r="AI1073" s="12">
        <f t="shared" si="23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30"/>
        <v>0</v>
      </c>
      <c r="H1074" s="12"/>
      <c r="I1074" s="12"/>
      <c r="J1074" s="12"/>
      <c r="K1074" s="12">
        <f t="shared" si="231"/>
        <v>0</v>
      </c>
      <c r="M1074" s="10">
        <v>18</v>
      </c>
      <c r="N1074" s="30"/>
      <c r="O1074" s="11" t="s">
        <v>28</v>
      </c>
      <c r="P1074" s="32"/>
      <c r="Q1074" s="32"/>
      <c r="R1074" s="32"/>
      <c r="S1074" s="32">
        <f t="shared" si="232"/>
        <v>0</v>
      </c>
      <c r="T1074" s="12"/>
      <c r="U1074" s="12"/>
      <c r="V1074" s="12"/>
      <c r="W1074" s="12">
        <f t="shared" si="233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39"/>
        <v>0</v>
      </c>
      <c r="AF1074" s="12"/>
      <c r="AG1074" s="12"/>
      <c r="AH1074" s="12"/>
      <c r="AI1074" s="12">
        <f t="shared" si="23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30"/>
        <v>0</v>
      </c>
      <c r="H1075" s="12"/>
      <c r="I1075" s="12"/>
      <c r="J1075" s="12"/>
      <c r="K1075" s="12">
        <f t="shared" si="231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32"/>
        <v>0</v>
      </c>
      <c r="T1075" s="12"/>
      <c r="U1075" s="12"/>
      <c r="V1075" s="12"/>
      <c r="W1075" s="12">
        <f t="shared" si="233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39"/>
        <v>0</v>
      </c>
      <c r="AF1075" s="12"/>
      <c r="AG1075" s="12"/>
      <c r="AH1075" s="12"/>
      <c r="AI1075" s="12">
        <f t="shared" si="23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30"/>
        <v>0</v>
      </c>
      <c r="H1076" s="12"/>
      <c r="I1076" s="12"/>
      <c r="J1076" s="12"/>
      <c r="K1076" s="12">
        <f t="shared" si="231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32"/>
        <v>0</v>
      </c>
      <c r="T1076" s="12"/>
      <c r="U1076" s="12"/>
      <c r="V1076" s="12"/>
      <c r="W1076" s="12">
        <f t="shared" si="233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39"/>
        <v>0</v>
      </c>
      <c r="AF1076" s="12"/>
      <c r="AG1076" s="12"/>
      <c r="AH1076" s="12"/>
      <c r="AI1076" s="12">
        <f t="shared" si="23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230"/>
        <v>0</v>
      </c>
      <c r="H1077" s="10"/>
      <c r="I1077" s="10"/>
      <c r="J1077" s="10"/>
      <c r="K1077" s="12">
        <f t="shared" si="231"/>
        <v>0</v>
      </c>
      <c r="M1077" s="10">
        <v>21</v>
      </c>
      <c r="N1077" s="30"/>
      <c r="P1077" s="46"/>
      <c r="Q1077" s="31"/>
      <c r="R1077" s="31"/>
      <c r="S1077" s="32">
        <f t="shared" si="232"/>
        <v>0</v>
      </c>
      <c r="T1077" s="10"/>
      <c r="U1077" s="10"/>
      <c r="V1077" s="10"/>
      <c r="W1077" s="12">
        <f t="shared" si="233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239"/>
        <v>0</v>
      </c>
      <c r="AF1077" s="10"/>
      <c r="AG1077" s="10"/>
      <c r="AH1077" s="10"/>
      <c r="AI1077" s="12">
        <f t="shared" si="23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30"/>
        <v>0</v>
      </c>
      <c r="H1078" s="10"/>
      <c r="I1078" s="10"/>
      <c r="J1078" s="10"/>
      <c r="K1078" s="12">
        <f t="shared" si="231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32"/>
        <v>0</v>
      </c>
      <c r="T1078" s="10"/>
      <c r="U1078" s="10"/>
      <c r="V1078" s="10"/>
      <c r="W1078" s="12">
        <f t="shared" si="233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39"/>
        <v>0</v>
      </c>
      <c r="AF1078" s="10"/>
      <c r="AG1078" s="10"/>
      <c r="AH1078" s="10"/>
      <c r="AI1078" s="12">
        <f t="shared" si="23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30"/>
        <v>0</v>
      </c>
      <c r="H1079" s="10"/>
      <c r="I1079" s="10"/>
      <c r="J1079" s="12"/>
      <c r="K1079" s="12">
        <f t="shared" si="231"/>
        <v>0</v>
      </c>
      <c r="M1079" s="10">
        <v>23</v>
      </c>
      <c r="N1079" s="30"/>
      <c r="O1079" s="31"/>
      <c r="P1079" s="47"/>
      <c r="Q1079" s="31"/>
      <c r="S1079" s="32">
        <f t="shared" si="232"/>
        <v>0</v>
      </c>
      <c r="T1079" s="10"/>
      <c r="U1079" s="10"/>
      <c r="V1079" s="10"/>
      <c r="W1079" s="12">
        <f t="shared" si="233"/>
        <v>0</v>
      </c>
      <c r="Y1079" s="10">
        <v>23</v>
      </c>
      <c r="Z1079" s="30"/>
      <c r="AA1079" s="31"/>
      <c r="AB1079" s="47"/>
      <c r="AE1079" s="32">
        <f t="shared" si="239"/>
        <v>0</v>
      </c>
      <c r="AF1079" s="10"/>
      <c r="AG1079" s="10"/>
      <c r="AH1079" s="10"/>
      <c r="AI1079" s="12">
        <f t="shared" si="23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30"/>
        <v>0</v>
      </c>
      <c r="H1080" s="10"/>
      <c r="I1080" s="10"/>
      <c r="J1080" s="10"/>
      <c r="K1080" s="12">
        <f t="shared" si="231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32"/>
        <v>0</v>
      </c>
      <c r="T1080" s="10"/>
      <c r="U1080" s="10"/>
      <c r="V1080" s="10"/>
      <c r="W1080" s="12">
        <f t="shared" si="233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39"/>
        <v>0</v>
      </c>
      <c r="AF1080" s="10"/>
      <c r="AG1080" s="10"/>
      <c r="AH1080" s="10"/>
      <c r="AI1080" s="12">
        <f t="shared" si="23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57"/>
      <c r="D1081" s="32"/>
      <c r="E1081" s="32"/>
      <c r="F1081" s="32"/>
      <c r="G1081" s="32">
        <f t="shared" si="230"/>
        <v>0</v>
      </c>
      <c r="H1081" s="10"/>
      <c r="I1081" s="10"/>
      <c r="J1081" s="10"/>
      <c r="K1081" s="12">
        <f t="shared" si="231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32"/>
        <v>0</v>
      </c>
      <c r="T1081" s="10"/>
      <c r="U1081" s="10"/>
      <c r="V1081" s="10"/>
      <c r="W1081" s="12">
        <f t="shared" si="233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39"/>
        <v>0</v>
      </c>
      <c r="AF1081" s="10"/>
      <c r="AG1081" s="10"/>
      <c r="AH1081" s="10"/>
      <c r="AI1081" s="12">
        <f t="shared" si="23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30"/>
        <v>0</v>
      </c>
      <c r="H1082" s="10"/>
      <c r="I1082" s="10"/>
      <c r="J1082" s="10"/>
      <c r="K1082" s="12">
        <f t="shared" si="231"/>
        <v>0</v>
      </c>
      <c r="M1082" s="10">
        <v>26</v>
      </c>
      <c r="N1082" s="30"/>
      <c r="P1082" s="47"/>
      <c r="Q1082" s="31"/>
      <c r="R1082" s="31"/>
      <c r="S1082" s="32">
        <f t="shared" si="232"/>
        <v>0</v>
      </c>
      <c r="T1082" s="10"/>
      <c r="U1082" s="10"/>
      <c r="V1082" s="10"/>
      <c r="W1082" s="12">
        <f t="shared" si="233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39"/>
        <v>0</v>
      </c>
      <c r="AF1082" s="10"/>
      <c r="AG1082" s="10"/>
      <c r="AH1082" s="10"/>
      <c r="AI1082" s="12">
        <f t="shared" si="23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30"/>
        <v>0</v>
      </c>
      <c r="H1083" s="10"/>
      <c r="I1083" s="10"/>
      <c r="J1083" s="10"/>
      <c r="K1083" s="12">
        <f t="shared" si="231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32"/>
        <v>0</v>
      </c>
      <c r="T1083" s="10"/>
      <c r="U1083" s="10"/>
      <c r="V1083" s="10"/>
      <c r="W1083" s="12">
        <f t="shared" si="233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39"/>
        <v>0</v>
      </c>
      <c r="AF1083" s="10"/>
      <c r="AG1083" s="10"/>
      <c r="AH1083" s="10"/>
      <c r="AI1083" s="12">
        <f t="shared" si="23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57"/>
      <c r="D1084" s="32"/>
      <c r="E1084" s="32"/>
      <c r="F1084" s="32"/>
      <c r="G1084" s="32">
        <f t="shared" si="230"/>
        <v>0</v>
      </c>
      <c r="H1084" s="10"/>
      <c r="I1084" s="10"/>
      <c r="J1084" s="10"/>
      <c r="K1084" s="12">
        <f t="shared" si="231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32"/>
        <v>0</v>
      </c>
      <c r="T1084" s="10"/>
      <c r="U1084" s="10"/>
      <c r="V1084" s="10"/>
      <c r="W1084" s="12">
        <f t="shared" si="233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39"/>
        <v>0</v>
      </c>
      <c r="AF1084" s="10"/>
      <c r="AG1084" s="10"/>
      <c r="AH1084" s="10"/>
      <c r="AI1084" s="12">
        <f t="shared" si="23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57"/>
      <c r="D1085" s="32"/>
      <c r="E1085" s="32"/>
      <c r="F1085" s="32"/>
      <c r="G1085" s="32">
        <f t="shared" si="230"/>
        <v>0</v>
      </c>
      <c r="H1085" s="10"/>
      <c r="I1085" s="10"/>
      <c r="J1085" s="10"/>
      <c r="K1085" s="12">
        <f t="shared" si="231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32"/>
        <v>0</v>
      </c>
      <c r="T1085" s="10"/>
      <c r="U1085" s="10"/>
      <c r="V1085" s="10"/>
      <c r="W1085" s="12">
        <f t="shared" si="233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39"/>
        <v>0</v>
      </c>
      <c r="AF1085" s="10"/>
      <c r="AG1085" s="10"/>
      <c r="AH1085" s="10"/>
      <c r="AI1085" s="12">
        <f t="shared" si="23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11"/>
      <c r="D1086" s="32"/>
      <c r="E1086" s="32"/>
      <c r="F1086" s="32"/>
      <c r="G1086" s="32">
        <f t="shared" si="230"/>
        <v>0</v>
      </c>
      <c r="H1086" s="10"/>
      <c r="I1086" s="10"/>
      <c r="J1086" s="10"/>
      <c r="K1086" s="12">
        <f t="shared" si="231"/>
        <v>0</v>
      </c>
      <c r="M1086" s="10">
        <v>30</v>
      </c>
      <c r="N1086" s="30"/>
      <c r="P1086" s="47"/>
      <c r="Q1086" s="31"/>
      <c r="R1086" s="31"/>
      <c r="S1086" s="32">
        <f t="shared" si="232"/>
        <v>0</v>
      </c>
      <c r="T1086" s="10"/>
      <c r="U1086" s="10"/>
      <c r="V1086" s="10"/>
      <c r="W1086" s="12">
        <f t="shared" si="233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39"/>
        <v>0</v>
      </c>
      <c r="AF1086" s="10"/>
      <c r="AG1086" s="10"/>
      <c r="AH1086" s="10"/>
      <c r="AI1086" s="12">
        <f t="shared" si="23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30"/>
        <v>0</v>
      </c>
      <c r="H1087" s="10"/>
      <c r="I1087" s="10"/>
      <c r="J1087" s="10"/>
      <c r="K1087" s="12">
        <f t="shared" si="231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32"/>
        <v>0</v>
      </c>
      <c r="T1087" s="10"/>
      <c r="U1087" s="10"/>
      <c r="V1087" s="10"/>
      <c r="W1087" s="12">
        <f t="shared" si="233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39"/>
        <v>0</v>
      </c>
      <c r="AF1087" s="10"/>
      <c r="AG1087" s="10"/>
      <c r="AH1087" s="10"/>
      <c r="AI1087" s="12">
        <f t="shared" si="23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11"/>
      <c r="D1088" s="32"/>
      <c r="E1088" s="32"/>
      <c r="F1088" s="32"/>
      <c r="G1088" s="32">
        <f t="shared" si="230"/>
        <v>0</v>
      </c>
      <c r="H1088" s="10"/>
      <c r="I1088" s="10"/>
      <c r="J1088" s="10"/>
      <c r="K1088" s="12">
        <f t="shared" si="231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32"/>
        <v>0</v>
      </c>
      <c r="T1088" s="10"/>
      <c r="U1088" s="10"/>
      <c r="V1088" s="10"/>
      <c r="W1088" s="12">
        <f t="shared" si="233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39"/>
        <v>0</v>
      </c>
      <c r="AF1088" s="10"/>
      <c r="AG1088" s="10"/>
      <c r="AH1088" s="10"/>
      <c r="AI1088" s="12">
        <f t="shared" si="23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11"/>
      <c r="D1089" s="32"/>
      <c r="E1089" s="32"/>
      <c r="F1089" s="32"/>
      <c r="G1089" s="32">
        <f t="shared" si="230"/>
        <v>0</v>
      </c>
      <c r="H1089" s="10"/>
      <c r="I1089" s="10"/>
      <c r="J1089" s="10"/>
      <c r="K1089" s="12">
        <f t="shared" si="231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32"/>
        <v>0</v>
      </c>
      <c r="T1089" s="10"/>
      <c r="U1089" s="10"/>
      <c r="V1089" s="10"/>
      <c r="W1089" s="12">
        <f t="shared" si="233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39"/>
        <v>0</v>
      </c>
      <c r="AF1089" s="10"/>
      <c r="AG1089" s="10"/>
      <c r="AH1089" s="10"/>
      <c r="AI1089" s="12">
        <f t="shared" si="23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11"/>
      <c r="D1090" s="32"/>
      <c r="E1090" s="32"/>
      <c r="F1090" s="32"/>
      <c r="G1090" s="32">
        <f t="shared" si="230"/>
        <v>0</v>
      </c>
      <c r="H1090" s="10"/>
      <c r="I1090" s="10"/>
      <c r="J1090" s="10"/>
      <c r="K1090" s="12">
        <f t="shared" si="231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32"/>
        <v>0</v>
      </c>
      <c r="T1090" s="10"/>
      <c r="U1090" s="10"/>
      <c r="V1090" s="10"/>
      <c r="W1090" s="12">
        <f t="shared" si="233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39"/>
        <v>0</v>
      </c>
      <c r="AF1090" s="10"/>
      <c r="AG1090" s="10"/>
      <c r="AH1090" s="10"/>
      <c r="AI1090" s="12">
        <f t="shared" si="23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1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32"/>
        <v>0</v>
      </c>
      <c r="T1091" s="10"/>
      <c r="U1091" s="10"/>
      <c r="V1091" s="10"/>
      <c r="W1091" s="12">
        <f t="shared" si="233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39"/>
        <v>0</v>
      </c>
      <c r="AF1091" s="10"/>
      <c r="AG1091" s="10"/>
      <c r="AH1091" s="10"/>
      <c r="AI1091" s="12">
        <f t="shared" si="23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1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32"/>
        <v>0</v>
      </c>
      <c r="T1092" s="10"/>
      <c r="U1092" s="10"/>
      <c r="V1092" s="10"/>
      <c r="W1092" s="12">
        <f t="shared" si="233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39"/>
        <v>0</v>
      </c>
      <c r="AF1092" s="10"/>
      <c r="AG1092" s="10"/>
      <c r="AH1092" s="10"/>
      <c r="AI1092" s="12">
        <f t="shared" si="23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1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32"/>
        <v>0</v>
      </c>
      <c r="T1093" s="10"/>
      <c r="U1093" s="10"/>
      <c r="V1093" s="10"/>
      <c r="W1093" s="12">
        <f t="shared" si="233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39"/>
        <v>0</v>
      </c>
      <c r="AF1093" s="10"/>
      <c r="AG1093" s="10"/>
      <c r="AH1093" s="10"/>
      <c r="AI1093" s="12">
        <f t="shared" si="23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32"/>
        <v>0</v>
      </c>
      <c r="T1094" s="10"/>
      <c r="U1094" s="10"/>
      <c r="V1094" s="10"/>
      <c r="W1094" s="12">
        <f t="shared" si="233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39"/>
        <v>0</v>
      </c>
      <c r="AF1094" s="10"/>
      <c r="AG1094" s="10"/>
      <c r="AH1094" s="10"/>
      <c r="AI1094" s="12">
        <f t="shared" si="23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32"/>
        <v>0</v>
      </c>
      <c r="T1095" s="10"/>
      <c r="U1095" s="10"/>
      <c r="V1095" s="10"/>
      <c r="W1095" s="12">
        <f t="shared" si="233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39"/>
        <v>0</v>
      </c>
      <c r="AF1095" s="10"/>
      <c r="AG1095" s="10"/>
      <c r="AH1095" s="10"/>
      <c r="AI1095" s="12">
        <f t="shared" si="23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33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3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40">SUM(D1097:E1097)</f>
        <v>0</v>
      </c>
      <c r="H1097" s="10"/>
      <c r="I1097" s="10"/>
      <c r="J1097" s="10"/>
      <c r="K1097" s="12">
        <f t="shared" ref="K1097" si="24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42">SUM(P1097:Q1097)</f>
        <v>0</v>
      </c>
      <c r="T1097" s="10"/>
      <c r="U1097" s="10"/>
      <c r="V1097" s="10"/>
      <c r="W1097" s="12">
        <f t="shared" si="233"/>
        <v>0</v>
      </c>
      <c r="Y1097" s="10"/>
      <c r="Z1097" s="30"/>
      <c r="AA1097" s="31"/>
      <c r="AB1097" s="47"/>
      <c r="AC1097" s="31"/>
      <c r="AD1097" s="31"/>
      <c r="AE1097" s="32">
        <f t="shared" ref="AE1097" si="243">SUM(AB1097:AC1097)</f>
        <v>0</v>
      </c>
      <c r="AF1097" s="10"/>
      <c r="AG1097" s="10"/>
      <c r="AH1097" s="10"/>
      <c r="AI1097" s="12">
        <f t="shared" si="23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33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3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139495</v>
      </c>
      <c r="E1100" s="38">
        <f t="shared" ref="E1100:F1100" si="244">SUM(E1057:E1097)</f>
        <v>0</v>
      </c>
      <c r="F1100" s="38">
        <f t="shared" si="244"/>
        <v>0</v>
      </c>
      <c r="G1100" s="38">
        <f>SUM(G1057:G1099)</f>
        <v>139495</v>
      </c>
      <c r="H1100" s="4"/>
      <c r="I1100" s="39">
        <f>SUM(I1057:I1099)</f>
        <v>970</v>
      </c>
      <c r="J1100" s="39">
        <f>SUM(J1057:J1099)</f>
        <v>-111</v>
      </c>
      <c r="K1100" s="40">
        <f>SUM(K1057:K1099)</f>
        <v>140354</v>
      </c>
      <c r="N1100" s="57"/>
      <c r="O1100" s="57"/>
      <c r="P1100" s="38">
        <f>SUM(P1057:P1099)</f>
        <v>328295</v>
      </c>
      <c r="Q1100" s="38">
        <f>SUM(Q1057:Q1081)</f>
        <v>-3068</v>
      </c>
      <c r="R1100" s="38">
        <f>SUM(R1057:R1081)</f>
        <v>0</v>
      </c>
      <c r="S1100" s="38">
        <f>SUM(S1057:S1099)</f>
        <v>325227</v>
      </c>
      <c r="T1100" s="4"/>
      <c r="U1100" s="41">
        <f>SUM(U1057:U1099)</f>
        <v>485.5</v>
      </c>
      <c r="V1100" s="41">
        <f>SUM(V1057:V1081)</f>
        <v>-322</v>
      </c>
      <c r="W1100" s="42">
        <f>SUM(W1057:W1099)</f>
        <v>325390.5</v>
      </c>
      <c r="Z1100" s="57"/>
      <c r="AA1100" s="57"/>
      <c r="AB1100" s="38">
        <f>SUM(AB1057:AB1099)</f>
        <v>220203</v>
      </c>
      <c r="AC1100" s="38">
        <f>SUM(AC1057:AC1081)</f>
        <v>-2124</v>
      </c>
      <c r="AD1100" s="38">
        <f>SUM(AD1057:AD1081)</f>
        <v>0</v>
      </c>
      <c r="AE1100" s="38">
        <f>SUM(AE1057:AE1099)</f>
        <v>218079</v>
      </c>
      <c r="AF1100" s="4"/>
      <c r="AG1100" s="41">
        <f>SUM(AG1057:AG1099)</f>
        <v>0</v>
      </c>
      <c r="AH1100" s="41">
        <f>SUM(AH1057:AH1081)</f>
        <v>-1887</v>
      </c>
      <c r="AI1100" s="42">
        <f>SUM(AI1057:AI1099)</f>
        <v>216192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29</v>
      </c>
      <c r="B1103" s="57"/>
      <c r="C1103" s="57"/>
      <c r="D1103" s="57"/>
      <c r="E1103" s="57"/>
      <c r="G1103" s="57"/>
      <c r="M1103" t="s">
        <v>29</v>
      </c>
      <c r="N1103" s="57"/>
      <c r="O1103" s="57"/>
      <c r="P1103" s="57"/>
      <c r="Q1103" s="57"/>
      <c r="R1103" s="57"/>
      <c r="S1103" s="57"/>
      <c r="Y1103" t="s">
        <v>29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15</v>
      </c>
      <c r="B1105" s="57"/>
      <c r="C1105" s="57"/>
      <c r="D1105" s="57"/>
      <c r="E1105" s="57"/>
      <c r="G1105" s="57"/>
      <c r="M1105" s="4" t="s">
        <v>15</v>
      </c>
      <c r="N1105" s="57"/>
      <c r="O1105" s="57"/>
      <c r="P1105" s="57"/>
      <c r="Q1105" s="57"/>
      <c r="R1105" s="57"/>
      <c r="S1105" s="57"/>
      <c r="Y1105" s="4" t="s">
        <v>15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16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16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16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17</v>
      </c>
      <c r="J1108" s="23" t="s">
        <v>36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17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17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4" t="s">
        <v>18</v>
      </c>
      <c r="E1110" s="124"/>
      <c r="F1110" s="115"/>
      <c r="G1110" s="27"/>
      <c r="I1110" s="122" t="s">
        <v>19</v>
      </c>
      <c r="J1110" s="123"/>
      <c r="K1110" s="120" t="s">
        <v>20</v>
      </c>
      <c r="N1110" s="25"/>
      <c r="O1110" s="26"/>
      <c r="P1110" s="124" t="s">
        <v>18</v>
      </c>
      <c r="Q1110" s="124"/>
      <c r="R1110" s="115"/>
      <c r="S1110" s="27"/>
      <c r="U1110" s="122" t="s">
        <v>19</v>
      </c>
      <c r="V1110" s="123"/>
      <c r="W1110" s="120" t="s">
        <v>20</v>
      </c>
      <c r="Z1110" s="25"/>
      <c r="AA1110" s="26"/>
      <c r="AB1110" s="124" t="s">
        <v>18</v>
      </c>
      <c r="AC1110" s="124"/>
      <c r="AD1110" s="115"/>
      <c r="AE1110" s="27"/>
      <c r="AG1110" s="122" t="s">
        <v>19</v>
      </c>
      <c r="AH1110" s="123"/>
      <c r="AI1110" s="120" t="s">
        <v>20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21</v>
      </c>
      <c r="C1111" s="28" t="s">
        <v>22</v>
      </c>
      <c r="D1111" s="79" t="s">
        <v>23</v>
      </c>
      <c r="E1111" s="78" t="s">
        <v>24</v>
      </c>
      <c r="F1111" s="80" t="s">
        <v>35</v>
      </c>
      <c r="G1111" s="80" t="s">
        <v>25</v>
      </c>
      <c r="I1111" s="29" t="s">
        <v>26</v>
      </c>
      <c r="J1111" s="29" t="s">
        <v>27</v>
      </c>
      <c r="K1111" s="121"/>
      <c r="N1111" s="28" t="s">
        <v>21</v>
      </c>
      <c r="O1111" s="28" t="s">
        <v>22</v>
      </c>
      <c r="P1111" s="79" t="s">
        <v>23</v>
      </c>
      <c r="Q1111" s="80" t="s">
        <v>24</v>
      </c>
      <c r="R1111" s="80" t="s">
        <v>35</v>
      </c>
      <c r="S1111" s="80" t="s">
        <v>25</v>
      </c>
      <c r="U1111" s="29" t="s">
        <v>26</v>
      </c>
      <c r="V1111" s="29" t="s">
        <v>27</v>
      </c>
      <c r="W1111" s="121"/>
      <c r="Z1111" s="28" t="s">
        <v>21</v>
      </c>
      <c r="AA1111" s="28" t="s">
        <v>22</v>
      </c>
      <c r="AB1111" s="79" t="s">
        <v>23</v>
      </c>
      <c r="AC1111" s="80" t="s">
        <v>24</v>
      </c>
      <c r="AD1111" s="80" t="s">
        <v>35</v>
      </c>
      <c r="AE1111" s="80" t="s">
        <v>25</v>
      </c>
      <c r="AG1111" s="29" t="s">
        <v>26</v>
      </c>
      <c r="AH1111" s="29" t="s">
        <v>27</v>
      </c>
      <c r="AI1111" s="121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31">
        <v>6594</v>
      </c>
      <c r="D1112" s="32">
        <f>500+1300</f>
        <v>1800</v>
      </c>
      <c r="E1112" s="32"/>
      <c r="F1112" s="32"/>
      <c r="G1112" s="32">
        <f t="shared" ref="G1112:G1156" si="245">SUM(D1112:E1112)</f>
        <v>1800</v>
      </c>
      <c r="H1112" s="12"/>
      <c r="I1112" s="12"/>
      <c r="J1112" s="12"/>
      <c r="K1112" s="12">
        <f t="shared" ref="K1112:K1156" si="246">SUM(G1112:J1112)</f>
        <v>1800</v>
      </c>
      <c r="M1112" s="10">
        <v>1</v>
      </c>
      <c r="N1112" s="30" t="s">
        <v>97</v>
      </c>
      <c r="O1112" s="31">
        <v>6775</v>
      </c>
      <c r="P1112" s="32">
        <f>6260+614+596+104.5+650</f>
        <v>8224.5</v>
      </c>
      <c r="Q1112" s="32"/>
      <c r="R1112" s="32"/>
      <c r="S1112" s="32">
        <f>SUM(P1112:Q1112)</f>
        <v>8224.5</v>
      </c>
      <c r="T1112" s="12"/>
      <c r="U1112" s="12"/>
      <c r="V1112" s="12"/>
      <c r="W1112" s="12">
        <f>SUM(S1112:V1112)</f>
        <v>8224.5</v>
      </c>
      <c r="Y1112" s="10">
        <v>1</v>
      </c>
      <c r="Z1112" s="30" t="s">
        <v>97</v>
      </c>
      <c r="AA1112" s="31">
        <v>6729</v>
      </c>
      <c r="AB1112" s="32">
        <v>63748</v>
      </c>
      <c r="AC1112" s="32">
        <v>-630</v>
      </c>
      <c r="AD1112" s="32"/>
      <c r="AE1112" s="32">
        <f>SUM(AB1112:AC1112)</f>
        <v>63118</v>
      </c>
      <c r="AF1112" s="12"/>
      <c r="AG1112" s="12"/>
      <c r="AH1112" s="12">
        <v>-4641</v>
      </c>
      <c r="AI1112" s="12">
        <f>SUM(AE1112:AH1112)</f>
        <v>58477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31">
        <f>C1112+1</f>
        <v>6595</v>
      </c>
      <c r="D1113" s="32">
        <f>21910+2980+229</f>
        <v>25119</v>
      </c>
      <c r="E1113" s="32"/>
      <c r="F1113" s="32"/>
      <c r="G1113" s="32">
        <f t="shared" si="245"/>
        <v>25119</v>
      </c>
      <c r="H1113" s="12"/>
      <c r="I1113" s="12"/>
      <c r="J1113" s="12"/>
      <c r="K1113" s="12">
        <f t="shared" si="246"/>
        <v>25119</v>
      </c>
      <c r="M1113" s="10">
        <v>2</v>
      </c>
      <c r="N1113" s="30" t="s">
        <v>97</v>
      </c>
      <c r="O1113" s="31">
        <f>O1112+1</f>
        <v>6776</v>
      </c>
      <c r="P1113" s="32">
        <f>7512+1192</f>
        <v>8704</v>
      </c>
      <c r="Q1113" s="32"/>
      <c r="R1113" s="32"/>
      <c r="S1113" s="32">
        <f t="shared" ref="S1113:S1156" si="247">SUM(P1113:Q1113)</f>
        <v>8704</v>
      </c>
      <c r="T1113" s="12"/>
      <c r="U1113" s="12"/>
      <c r="V1113" s="12"/>
      <c r="W1113" s="12">
        <f t="shared" ref="W1113:W1156" si="248">SUM(S1113:V1113)</f>
        <v>8704</v>
      </c>
      <c r="Y1113" s="10">
        <v>2</v>
      </c>
      <c r="Z1113" s="30" t="s">
        <v>97</v>
      </c>
      <c r="AA1113" s="31">
        <v>6730</v>
      </c>
      <c r="AB1113" s="32">
        <v>280720</v>
      </c>
      <c r="AC1113" s="32">
        <v>-2508</v>
      </c>
      <c r="AD1113" s="32"/>
      <c r="AE1113" s="32">
        <f t="shared" ref="AE1113:AE1156" si="249">SUM(AB1113:AC1113)</f>
        <v>278212</v>
      </c>
      <c r="AF1113" s="12"/>
      <c r="AG1113" s="12">
        <v>672</v>
      </c>
      <c r="AH1113" s="12"/>
      <c r="AI1113" s="12">
        <f t="shared" ref="AI1113:AI1156" si="250">SUM(AE1113:AH1113)</f>
        <v>278884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31">
        <f t="shared" ref="C1114:C1123" si="251">C1113+1</f>
        <v>6596</v>
      </c>
      <c r="D1114" s="33">
        <f>31300+229</f>
        <v>31529</v>
      </c>
      <c r="E1114" s="33"/>
      <c r="F1114" s="33"/>
      <c r="G1114" s="33">
        <f t="shared" si="245"/>
        <v>31529</v>
      </c>
      <c r="H1114" s="34"/>
      <c r="I1114" s="34"/>
      <c r="J1114" s="34"/>
      <c r="K1114" s="34">
        <f t="shared" si="246"/>
        <v>31529</v>
      </c>
      <c r="M1114" s="10">
        <v>3</v>
      </c>
      <c r="N1114" s="30" t="s">
        <v>97</v>
      </c>
      <c r="O1114" s="31">
        <f t="shared" ref="O1114:O1131" si="252">O1113+1</f>
        <v>6777</v>
      </c>
      <c r="P1114" s="32">
        <f>1878+596+38</f>
        <v>2512</v>
      </c>
      <c r="Q1114" s="32"/>
      <c r="R1114" s="32"/>
      <c r="S1114" s="32">
        <f t="shared" si="247"/>
        <v>2512</v>
      </c>
      <c r="T1114" s="12"/>
      <c r="U1114" s="12"/>
      <c r="V1114" s="12"/>
      <c r="W1114" s="12">
        <f t="shared" si="248"/>
        <v>2512</v>
      </c>
      <c r="Y1114" s="10">
        <v>3</v>
      </c>
      <c r="Z1114" s="30" t="s">
        <v>97</v>
      </c>
      <c r="AA1114" s="31">
        <v>6731</v>
      </c>
      <c r="AB1114" s="33">
        <v>650</v>
      </c>
      <c r="AC1114" s="33"/>
      <c r="AD1114" s="32"/>
      <c r="AE1114" s="32">
        <f t="shared" si="249"/>
        <v>650</v>
      </c>
      <c r="AF1114" s="12"/>
      <c r="AG1114" s="12"/>
      <c r="AH1114" s="12"/>
      <c r="AI1114" s="12">
        <f t="shared" si="250"/>
        <v>650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31">
        <f t="shared" si="251"/>
        <v>6597</v>
      </c>
      <c r="D1115" s="32">
        <f>1252+614+19</f>
        <v>1885</v>
      </c>
      <c r="E1115" s="32"/>
      <c r="F1115" s="32"/>
      <c r="G1115" s="32">
        <f t="shared" si="245"/>
        <v>1885</v>
      </c>
      <c r="H1115" s="12"/>
      <c r="I1115" s="12"/>
      <c r="J1115" s="12"/>
      <c r="K1115" s="12">
        <f t="shared" si="246"/>
        <v>1885</v>
      </c>
      <c r="M1115" s="10">
        <v>4</v>
      </c>
      <c r="N1115" s="30" t="s">
        <v>97</v>
      </c>
      <c r="O1115" s="31">
        <f t="shared" si="252"/>
        <v>6778</v>
      </c>
      <c r="P1115" s="32">
        <f>4382+229</f>
        <v>4611</v>
      </c>
      <c r="Q1115" s="32"/>
      <c r="R1115" s="32"/>
      <c r="S1115" s="32">
        <f t="shared" si="247"/>
        <v>4611</v>
      </c>
      <c r="T1115" s="12"/>
      <c r="U1115" s="12">
        <f>9.5</f>
        <v>9.5</v>
      </c>
      <c r="V1115" s="12">
        <f>-222</f>
        <v>-222</v>
      </c>
      <c r="W1115" s="12">
        <f t="shared" si="248"/>
        <v>4398.5</v>
      </c>
      <c r="Y1115" s="10">
        <v>4</v>
      </c>
      <c r="Z1115" s="30" t="s">
        <v>97</v>
      </c>
      <c r="AA1115" s="31">
        <v>6732</v>
      </c>
      <c r="AB1115" s="32">
        <v>14141</v>
      </c>
      <c r="AC1115" s="32"/>
      <c r="AD1115" s="32"/>
      <c r="AE1115" s="32">
        <f t="shared" si="249"/>
        <v>14141</v>
      </c>
      <c r="AF1115" s="12"/>
      <c r="AH1115" s="12">
        <v>-444</v>
      </c>
      <c r="AI1115" s="12">
        <f t="shared" si="250"/>
        <v>13697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31">
        <f t="shared" si="251"/>
        <v>6598</v>
      </c>
      <c r="D1116" s="32">
        <f>2504+38</f>
        <v>2542</v>
      </c>
      <c r="E1116" s="32"/>
      <c r="F1116" s="32"/>
      <c r="G1116" s="32">
        <f t="shared" si="245"/>
        <v>2542</v>
      </c>
      <c r="H1116" s="12"/>
      <c r="I1116" s="12"/>
      <c r="J1116" s="12"/>
      <c r="K1116" s="12">
        <f t="shared" si="246"/>
        <v>2542</v>
      </c>
      <c r="M1116" s="10">
        <v>5</v>
      </c>
      <c r="N1116" s="30" t="s">
        <v>97</v>
      </c>
      <c r="O1116" s="31">
        <f t="shared" si="252"/>
        <v>6779</v>
      </c>
      <c r="P1116" s="32">
        <f>112680+3070+5960+1704+2010+1664+1603+1950+1667</f>
        <v>132308</v>
      </c>
      <c r="Q1116" s="32">
        <v>-1908</v>
      </c>
      <c r="R1116" s="32"/>
      <c r="S1116" s="32">
        <f t="shared" si="247"/>
        <v>130400</v>
      </c>
      <c r="T1116" s="12"/>
      <c r="U1116" s="12">
        <v>144</v>
      </c>
      <c r="V1116" s="12">
        <f>-6105</f>
        <v>-6105</v>
      </c>
      <c r="W1116" s="12">
        <f t="shared" si="248"/>
        <v>124439</v>
      </c>
      <c r="Y1116" s="10">
        <v>5</v>
      </c>
      <c r="Z1116" s="30"/>
      <c r="AA1116" s="11" t="s">
        <v>28</v>
      </c>
      <c r="AB1116" s="32"/>
      <c r="AC1116" s="32"/>
      <c r="AD1116" s="32"/>
      <c r="AE1116" s="32">
        <f t="shared" si="249"/>
        <v>0</v>
      </c>
      <c r="AF1116" s="12"/>
      <c r="AG1116" s="12"/>
      <c r="AH1116" s="12"/>
      <c r="AI1116" s="12">
        <f t="shared" si="250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31">
        <f t="shared" si="251"/>
        <v>6599</v>
      </c>
      <c r="D1117" s="32">
        <f>28170+4912+832+229</f>
        <v>34143</v>
      </c>
      <c r="E1117" s="32"/>
      <c r="F1117" s="32"/>
      <c r="G1117" s="32">
        <f t="shared" si="245"/>
        <v>34143</v>
      </c>
      <c r="H1117" s="12"/>
      <c r="I1117" s="12"/>
      <c r="J1117" s="12">
        <v>-85</v>
      </c>
      <c r="K1117" s="12">
        <f t="shared" si="246"/>
        <v>34058</v>
      </c>
      <c r="M1117" s="10">
        <v>6</v>
      </c>
      <c r="N1117" s="30"/>
      <c r="O1117" s="11" t="s">
        <v>28</v>
      </c>
      <c r="P1117" s="32"/>
      <c r="Q1117" s="32"/>
      <c r="R1117" s="32"/>
      <c r="S1117" s="32">
        <f t="shared" si="247"/>
        <v>0</v>
      </c>
      <c r="T1117" s="12"/>
      <c r="U1117" s="12"/>
      <c r="V1117" s="10"/>
      <c r="W1117" s="12">
        <f t="shared" si="248"/>
        <v>0</v>
      </c>
      <c r="Y1117" s="10">
        <v>6</v>
      </c>
      <c r="Z1117" s="30"/>
      <c r="AA1117" s="31"/>
      <c r="AB1117" s="32"/>
      <c r="AC1117" s="32"/>
      <c r="AD1117" s="32"/>
      <c r="AE1117" s="32">
        <f t="shared" si="249"/>
        <v>0</v>
      </c>
      <c r="AF1117" s="12"/>
      <c r="AG1117" s="12"/>
      <c r="AH1117" s="10"/>
      <c r="AI1117" s="12">
        <f t="shared" si="250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31">
        <f t="shared" si="251"/>
        <v>6600</v>
      </c>
      <c r="D1118" s="32">
        <f>18780+3576+832+500</f>
        <v>23688</v>
      </c>
      <c r="E1118" s="32"/>
      <c r="F1118" s="32"/>
      <c r="G1118" s="32">
        <f t="shared" si="245"/>
        <v>23688</v>
      </c>
      <c r="H1118" s="12"/>
      <c r="I1118" s="12"/>
      <c r="J1118" s="12"/>
      <c r="K1118" s="12">
        <f t="shared" si="246"/>
        <v>23688</v>
      </c>
      <c r="M1118" s="10">
        <v>7</v>
      </c>
      <c r="N1118" s="30"/>
      <c r="O1118" s="31"/>
      <c r="P1118" s="32"/>
      <c r="Q1118" s="32"/>
      <c r="R1118" s="32"/>
      <c r="S1118" s="32">
        <f t="shared" si="247"/>
        <v>0</v>
      </c>
      <c r="T1118" s="12"/>
      <c r="U1118" s="12"/>
      <c r="V1118" s="12"/>
      <c r="W1118" s="12">
        <f t="shared" si="248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249"/>
        <v>0</v>
      </c>
      <c r="AF1118" s="12"/>
      <c r="AG1118" s="58"/>
      <c r="AH1118" s="12"/>
      <c r="AI1118" s="12">
        <f t="shared" si="250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31">
        <v>6651</v>
      </c>
      <c r="D1119" s="32">
        <f>1878+596+38</f>
        <v>2512</v>
      </c>
      <c r="E1119" s="32"/>
      <c r="F1119" s="32"/>
      <c r="G1119" s="32">
        <f t="shared" si="245"/>
        <v>2512</v>
      </c>
      <c r="H1119" s="12"/>
      <c r="I1119" s="12"/>
      <c r="J1119" s="12"/>
      <c r="K1119" s="12">
        <f t="shared" si="246"/>
        <v>2512</v>
      </c>
      <c r="M1119" s="10">
        <v>8</v>
      </c>
      <c r="N1119" s="30"/>
      <c r="O1119" s="31"/>
      <c r="P1119" s="32"/>
      <c r="Q1119" s="32"/>
      <c r="R1119" s="32"/>
      <c r="S1119" s="32">
        <f t="shared" si="247"/>
        <v>0</v>
      </c>
      <c r="T1119" s="12"/>
      <c r="U1119" s="12"/>
      <c r="V1119" s="12"/>
      <c r="W1119" s="12">
        <f t="shared" si="248"/>
        <v>0</v>
      </c>
      <c r="Y1119" s="10">
        <v>8</v>
      </c>
      <c r="Z1119" s="30"/>
      <c r="AB1119" s="32"/>
      <c r="AC1119" s="32"/>
      <c r="AE1119" s="32">
        <f t="shared" si="249"/>
        <v>0</v>
      </c>
      <c r="AF1119" s="12"/>
      <c r="AG1119" s="12"/>
      <c r="AH1119" s="12"/>
      <c r="AI1119" s="12">
        <f t="shared" si="25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31">
        <f t="shared" si="251"/>
        <v>6652</v>
      </c>
      <c r="D1120" s="32">
        <f>28170+2980</f>
        <v>31150</v>
      </c>
      <c r="E1120" s="32"/>
      <c r="F1120" s="32"/>
      <c r="G1120" s="32">
        <f t="shared" si="245"/>
        <v>31150</v>
      </c>
      <c r="H1120" s="12"/>
      <c r="I1120" s="12">
        <f>444+49</f>
        <v>493</v>
      </c>
      <c r="J1120" s="12"/>
      <c r="K1120" s="12">
        <f t="shared" si="246"/>
        <v>31643</v>
      </c>
      <c r="M1120" s="10">
        <v>9</v>
      </c>
      <c r="N1120" s="30"/>
      <c r="O1120" s="31"/>
      <c r="P1120" s="32"/>
      <c r="Q1120" s="32"/>
      <c r="R1120" s="32"/>
      <c r="S1120" s="32">
        <f t="shared" si="247"/>
        <v>0</v>
      </c>
      <c r="T1120" s="12"/>
      <c r="U1120" s="12"/>
      <c r="V1120" s="12"/>
      <c r="W1120" s="12">
        <f t="shared" si="248"/>
        <v>0</v>
      </c>
      <c r="Y1120" s="10">
        <v>9</v>
      </c>
      <c r="Z1120" s="30"/>
      <c r="AA1120" s="31"/>
      <c r="AB1120" s="95"/>
      <c r="AC1120" s="32"/>
      <c r="AD1120" s="32"/>
      <c r="AE1120" s="32">
        <f t="shared" si="249"/>
        <v>0</v>
      </c>
      <c r="AF1120" s="12"/>
      <c r="AH1120" s="12"/>
      <c r="AI1120" s="12">
        <f t="shared" si="25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31">
        <f t="shared" si="251"/>
        <v>6653</v>
      </c>
      <c r="D1121" s="32">
        <f>626*4+38</f>
        <v>2542</v>
      </c>
      <c r="E1121" s="32"/>
      <c r="F1121" s="32"/>
      <c r="G1121" s="32">
        <f t="shared" si="245"/>
        <v>2542</v>
      </c>
      <c r="H1121" s="12"/>
      <c r="I1121" s="12"/>
      <c r="J1121" s="12"/>
      <c r="K1121" s="12">
        <f t="shared" si="246"/>
        <v>2542</v>
      </c>
      <c r="M1121" s="10">
        <v>10</v>
      </c>
      <c r="N1121" s="30"/>
      <c r="O1121" s="31"/>
      <c r="P1121" s="32"/>
      <c r="Q1121" s="32"/>
      <c r="R1121" s="32"/>
      <c r="S1121" s="32">
        <f t="shared" si="247"/>
        <v>0</v>
      </c>
      <c r="T1121" s="12"/>
      <c r="U1121" s="12"/>
      <c r="V1121" s="12"/>
      <c r="W1121" s="12">
        <f t="shared" si="24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249"/>
        <v>0</v>
      </c>
      <c r="AF1121" s="12"/>
      <c r="AG1121" s="12"/>
      <c r="AH1121" s="12"/>
      <c r="AI1121" s="12">
        <f t="shared" si="25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31">
        <f t="shared" si="251"/>
        <v>6654</v>
      </c>
      <c r="D1122" s="32">
        <f>45650+8520+10050+8320+500</f>
        <v>73040</v>
      </c>
      <c r="E1122" s="32"/>
      <c r="F1122" s="32"/>
      <c r="G1122" s="32">
        <f t="shared" si="245"/>
        <v>73040</v>
      </c>
      <c r="H1122" s="12"/>
      <c r="I1122" s="12">
        <v>5640</v>
      </c>
      <c r="J1122" s="12"/>
      <c r="K1122" s="12">
        <f t="shared" si="246"/>
        <v>78680</v>
      </c>
      <c r="M1122" s="10">
        <v>11</v>
      </c>
      <c r="N1122" s="30"/>
      <c r="P1122" s="32"/>
      <c r="Q1122" s="32"/>
      <c r="R1122" s="32"/>
      <c r="S1122" s="32">
        <f t="shared" si="247"/>
        <v>0</v>
      </c>
      <c r="T1122" s="12"/>
      <c r="U1122" s="12"/>
      <c r="V1122" s="12"/>
      <c r="W1122" s="12">
        <f t="shared" si="248"/>
        <v>0</v>
      </c>
      <c r="Y1122" s="10">
        <v>11</v>
      </c>
      <c r="Z1122" s="30"/>
      <c r="AB1122" s="32"/>
      <c r="AC1122" s="32"/>
      <c r="AD1122" s="32"/>
      <c r="AE1122" s="32">
        <f t="shared" si="249"/>
        <v>0</v>
      </c>
      <c r="AF1122" s="12"/>
      <c r="AG1122" s="12"/>
      <c r="AH1122" s="12"/>
      <c r="AI1122" s="12">
        <f t="shared" si="25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31">
        <f t="shared" si="251"/>
        <v>6655</v>
      </c>
      <c r="D1123" s="32">
        <f>3130+913</f>
        <v>4043</v>
      </c>
      <c r="E1123" s="32"/>
      <c r="F1123" s="32"/>
      <c r="G1123" s="32">
        <f t="shared" si="245"/>
        <v>4043</v>
      </c>
      <c r="H1123" s="12"/>
      <c r="I1123" s="12"/>
      <c r="J1123" s="10"/>
      <c r="K1123" s="12">
        <f t="shared" si="246"/>
        <v>4043</v>
      </c>
      <c r="M1123" s="10">
        <v>12</v>
      </c>
      <c r="N1123" s="30"/>
      <c r="O1123" s="31"/>
      <c r="P1123" s="32"/>
      <c r="Q1123" s="32"/>
      <c r="R1123" s="32"/>
      <c r="S1123" s="32">
        <f t="shared" si="247"/>
        <v>0</v>
      </c>
      <c r="T1123" s="12"/>
      <c r="U1123" s="12"/>
      <c r="V1123" s="12"/>
      <c r="W1123" s="12">
        <f t="shared" si="248"/>
        <v>0</v>
      </c>
      <c r="Y1123" s="10">
        <v>12</v>
      </c>
      <c r="Z1123" s="30"/>
      <c r="AB1123" s="32"/>
      <c r="AC1123" s="32"/>
      <c r="AD1123" s="32"/>
      <c r="AE1123" s="32">
        <f t="shared" si="249"/>
        <v>0</v>
      </c>
      <c r="AF1123" s="12"/>
      <c r="AG1123" s="12"/>
      <c r="AH1123" s="12"/>
      <c r="AI1123" s="12">
        <f t="shared" si="25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28</v>
      </c>
      <c r="D1124" s="32"/>
      <c r="E1124" s="32"/>
      <c r="F1124" s="32"/>
      <c r="G1124" s="32">
        <f t="shared" si="245"/>
        <v>0</v>
      </c>
      <c r="H1124" s="12"/>
      <c r="I1124" s="12"/>
      <c r="J1124" s="12"/>
      <c r="K1124" s="12">
        <f t="shared" si="24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47"/>
        <v>0</v>
      </c>
      <c r="T1124" s="12"/>
      <c r="U1124" s="12"/>
      <c r="V1124" s="12"/>
      <c r="W1124" s="12">
        <f t="shared" si="24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49"/>
        <v>0</v>
      </c>
      <c r="AF1124" s="12"/>
      <c r="AG1124" s="12"/>
      <c r="AH1124" s="12"/>
      <c r="AI1124" s="12">
        <f t="shared" si="25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45"/>
        <v>0</v>
      </c>
      <c r="H1125" s="12"/>
      <c r="I1125" s="12"/>
      <c r="J1125" s="12"/>
      <c r="K1125" s="12">
        <f t="shared" si="24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47"/>
        <v>0</v>
      </c>
      <c r="T1125" s="12"/>
      <c r="U1125" s="12"/>
      <c r="V1125" s="12"/>
      <c r="W1125" s="12">
        <f t="shared" si="24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49"/>
        <v>0</v>
      </c>
      <c r="AF1125" s="12"/>
      <c r="AG1125" s="12"/>
      <c r="AH1125" s="12"/>
      <c r="AI1125" s="12">
        <f t="shared" si="25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45"/>
        <v>0</v>
      </c>
      <c r="H1126" s="12"/>
      <c r="I1126" s="12"/>
      <c r="J1126" s="12"/>
      <c r="K1126" s="12">
        <f t="shared" si="24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47"/>
        <v>0</v>
      </c>
      <c r="T1126" s="12"/>
      <c r="U1126" s="12"/>
      <c r="V1126" s="12"/>
      <c r="W1126" s="12">
        <f t="shared" si="24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49"/>
        <v>0</v>
      </c>
      <c r="AF1126" s="12"/>
      <c r="AG1126" s="12"/>
      <c r="AH1126" s="12"/>
      <c r="AI1126" s="12">
        <f t="shared" si="25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57"/>
      <c r="D1127" s="32"/>
      <c r="E1127" s="32"/>
      <c r="F1127" s="32"/>
      <c r="G1127" s="32">
        <f t="shared" si="245"/>
        <v>0</v>
      </c>
      <c r="H1127" s="12"/>
      <c r="I1127" s="12"/>
      <c r="J1127" s="12"/>
      <c r="K1127" s="12">
        <f t="shared" si="24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47"/>
        <v>0</v>
      </c>
      <c r="T1127" s="12"/>
      <c r="U1127" s="12"/>
      <c r="V1127" s="12"/>
      <c r="W1127" s="12">
        <f t="shared" si="248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49"/>
        <v>0</v>
      </c>
      <c r="AF1127" s="12"/>
      <c r="AG1127" s="12"/>
      <c r="AH1127" s="12"/>
      <c r="AI1127" s="12">
        <f t="shared" si="25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45"/>
        <v>0</v>
      </c>
      <c r="H1128" s="12"/>
      <c r="I1128" s="12"/>
      <c r="J1128" s="12"/>
      <c r="K1128" s="12">
        <f t="shared" si="24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47"/>
        <v>0</v>
      </c>
      <c r="T1128" s="12"/>
      <c r="U1128" s="12"/>
      <c r="V1128" s="12"/>
      <c r="W1128" s="12">
        <f t="shared" si="24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49"/>
        <v>0</v>
      </c>
      <c r="AF1128" s="12"/>
      <c r="AG1128" s="12"/>
      <c r="AH1128" s="12"/>
      <c r="AI1128" s="12">
        <f t="shared" si="25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45"/>
        <v>0</v>
      </c>
      <c r="H1129" s="12"/>
      <c r="I1129" s="12"/>
      <c r="J1129" s="12"/>
      <c r="K1129" s="12">
        <f t="shared" si="24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47"/>
        <v>0</v>
      </c>
      <c r="T1129" s="12"/>
      <c r="U1129" s="12"/>
      <c r="V1129" s="12"/>
      <c r="W1129" s="12">
        <f t="shared" si="24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49"/>
        <v>0</v>
      </c>
      <c r="AF1129" s="12"/>
      <c r="AG1129" s="12"/>
      <c r="AH1129" s="12"/>
      <c r="AI1129" s="12">
        <f t="shared" si="25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45"/>
        <v>0</v>
      </c>
      <c r="H1130" s="12"/>
      <c r="I1130" s="12"/>
      <c r="J1130" s="12"/>
      <c r="K1130" s="12">
        <f t="shared" si="24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47"/>
        <v>0</v>
      </c>
      <c r="T1130" s="12"/>
      <c r="U1130" s="12"/>
      <c r="V1130" s="12"/>
      <c r="W1130" s="12">
        <f t="shared" si="24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49"/>
        <v>0</v>
      </c>
      <c r="AF1130" s="12"/>
      <c r="AG1130" s="12"/>
      <c r="AH1130" s="12"/>
      <c r="AI1130" s="12">
        <f t="shared" si="25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45"/>
        <v>0</v>
      </c>
      <c r="H1131" s="12"/>
      <c r="I1131" s="12"/>
      <c r="J1131" s="12"/>
      <c r="K1131" s="12">
        <f t="shared" si="246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47"/>
        <v>0</v>
      </c>
      <c r="T1131" s="12"/>
      <c r="U1131" s="12"/>
      <c r="V1131" s="12"/>
      <c r="W1131" s="12">
        <f t="shared" si="24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49"/>
        <v>0</v>
      </c>
      <c r="AF1131" s="12"/>
      <c r="AG1131" s="12"/>
      <c r="AH1131" s="12"/>
      <c r="AI1131" s="12">
        <f t="shared" si="25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245"/>
        <v>0</v>
      </c>
      <c r="H1132" s="10"/>
      <c r="I1132" s="10"/>
      <c r="J1132" s="10"/>
      <c r="K1132" s="12">
        <f t="shared" si="246"/>
        <v>0</v>
      </c>
      <c r="M1132" s="10">
        <v>21</v>
      </c>
      <c r="N1132" s="30"/>
      <c r="P1132" s="46"/>
      <c r="Q1132" s="31"/>
      <c r="R1132" s="31"/>
      <c r="S1132" s="32">
        <f t="shared" si="247"/>
        <v>0</v>
      </c>
      <c r="T1132" s="10"/>
      <c r="U1132" s="10"/>
      <c r="V1132" s="10"/>
      <c r="W1132" s="12">
        <f t="shared" si="24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249"/>
        <v>0</v>
      </c>
      <c r="AF1132" s="10"/>
      <c r="AG1132" s="10"/>
      <c r="AH1132" s="10"/>
      <c r="AI1132" s="12">
        <f t="shared" si="25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45"/>
        <v>0</v>
      </c>
      <c r="H1133" s="10"/>
      <c r="I1133" s="10"/>
      <c r="J1133" s="10"/>
      <c r="K1133" s="12">
        <f t="shared" si="24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47"/>
        <v>0</v>
      </c>
      <c r="T1133" s="10"/>
      <c r="U1133" s="10"/>
      <c r="V1133" s="10"/>
      <c r="W1133" s="12">
        <f t="shared" si="24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49"/>
        <v>0</v>
      </c>
      <c r="AF1133" s="10"/>
      <c r="AG1133" s="10"/>
      <c r="AH1133" s="10"/>
      <c r="AI1133" s="12">
        <f t="shared" si="25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45"/>
        <v>0</v>
      </c>
      <c r="H1134" s="10"/>
      <c r="I1134" s="10"/>
      <c r="J1134" s="12"/>
      <c r="K1134" s="12">
        <f t="shared" si="246"/>
        <v>0</v>
      </c>
      <c r="M1134" s="10">
        <v>23</v>
      </c>
      <c r="N1134" s="30"/>
      <c r="O1134" s="31"/>
      <c r="P1134" s="47"/>
      <c r="Q1134" s="31"/>
      <c r="S1134" s="32">
        <f t="shared" si="247"/>
        <v>0</v>
      </c>
      <c r="T1134" s="10"/>
      <c r="U1134" s="10"/>
      <c r="V1134" s="10"/>
      <c r="W1134" s="12">
        <f t="shared" si="248"/>
        <v>0</v>
      </c>
      <c r="Y1134" s="10">
        <v>23</v>
      </c>
      <c r="Z1134" s="30"/>
      <c r="AA1134" s="31"/>
      <c r="AB1134" s="47"/>
      <c r="AE1134" s="32">
        <f t="shared" si="249"/>
        <v>0</v>
      </c>
      <c r="AF1134" s="10"/>
      <c r="AG1134" s="10"/>
      <c r="AH1134" s="10"/>
      <c r="AI1134" s="12">
        <f t="shared" si="25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45"/>
        <v>0</v>
      </c>
      <c r="H1135" s="10"/>
      <c r="I1135" s="10"/>
      <c r="J1135" s="10"/>
      <c r="K1135" s="12">
        <f t="shared" si="24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47"/>
        <v>0</v>
      </c>
      <c r="T1135" s="10"/>
      <c r="U1135" s="10"/>
      <c r="V1135" s="10"/>
      <c r="W1135" s="12">
        <f t="shared" si="24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49"/>
        <v>0</v>
      </c>
      <c r="AF1135" s="10"/>
      <c r="AG1135" s="10"/>
      <c r="AH1135" s="10"/>
      <c r="AI1135" s="12">
        <f t="shared" si="25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57"/>
      <c r="D1136" s="32"/>
      <c r="E1136" s="32"/>
      <c r="F1136" s="32"/>
      <c r="G1136" s="32">
        <f t="shared" si="245"/>
        <v>0</v>
      </c>
      <c r="H1136" s="10"/>
      <c r="I1136" s="10"/>
      <c r="J1136" s="10"/>
      <c r="K1136" s="12">
        <f t="shared" si="246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47"/>
        <v>0</v>
      </c>
      <c r="T1136" s="10"/>
      <c r="U1136" s="10"/>
      <c r="V1136" s="10"/>
      <c r="W1136" s="12">
        <f t="shared" si="248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49"/>
        <v>0</v>
      </c>
      <c r="AF1136" s="10"/>
      <c r="AG1136" s="10"/>
      <c r="AH1136" s="10"/>
      <c r="AI1136" s="12">
        <f t="shared" si="25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45"/>
        <v>0</v>
      </c>
      <c r="H1137" s="10"/>
      <c r="I1137" s="10"/>
      <c r="J1137" s="10"/>
      <c r="K1137" s="12">
        <f t="shared" si="246"/>
        <v>0</v>
      </c>
      <c r="M1137" s="10">
        <v>26</v>
      </c>
      <c r="N1137" s="30"/>
      <c r="P1137" s="47"/>
      <c r="Q1137" s="31"/>
      <c r="R1137" s="31"/>
      <c r="S1137" s="32">
        <f t="shared" si="247"/>
        <v>0</v>
      </c>
      <c r="T1137" s="10"/>
      <c r="U1137" s="10"/>
      <c r="V1137" s="10"/>
      <c r="W1137" s="12">
        <f t="shared" si="248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49"/>
        <v>0</v>
      </c>
      <c r="AF1137" s="10"/>
      <c r="AG1137" s="10"/>
      <c r="AH1137" s="10"/>
      <c r="AI1137" s="12">
        <f t="shared" si="25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45"/>
        <v>0</v>
      </c>
      <c r="H1138" s="10"/>
      <c r="I1138" s="10"/>
      <c r="J1138" s="10"/>
      <c r="K1138" s="12">
        <f t="shared" si="24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47"/>
        <v>0</v>
      </c>
      <c r="T1138" s="10"/>
      <c r="U1138" s="10"/>
      <c r="V1138" s="10"/>
      <c r="W1138" s="12">
        <f t="shared" si="24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49"/>
        <v>0</v>
      </c>
      <c r="AF1138" s="10"/>
      <c r="AG1138" s="10"/>
      <c r="AH1138" s="10"/>
      <c r="AI1138" s="12">
        <f t="shared" si="25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57"/>
      <c r="D1139" s="32"/>
      <c r="E1139" s="32"/>
      <c r="F1139" s="32"/>
      <c r="G1139" s="32">
        <f t="shared" si="245"/>
        <v>0</v>
      </c>
      <c r="H1139" s="10"/>
      <c r="I1139" s="10"/>
      <c r="J1139" s="10"/>
      <c r="K1139" s="12">
        <f t="shared" si="24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47"/>
        <v>0</v>
      </c>
      <c r="T1139" s="10"/>
      <c r="U1139" s="10"/>
      <c r="V1139" s="10"/>
      <c r="W1139" s="12">
        <f t="shared" si="24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49"/>
        <v>0</v>
      </c>
      <c r="AF1139" s="10"/>
      <c r="AG1139" s="10"/>
      <c r="AH1139" s="10"/>
      <c r="AI1139" s="12">
        <f t="shared" si="25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57"/>
      <c r="D1140" s="32"/>
      <c r="E1140" s="32"/>
      <c r="F1140" s="32"/>
      <c r="G1140" s="32">
        <f t="shared" si="245"/>
        <v>0</v>
      </c>
      <c r="H1140" s="10"/>
      <c r="I1140" s="10"/>
      <c r="J1140" s="10"/>
      <c r="K1140" s="12">
        <f t="shared" si="246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47"/>
        <v>0</v>
      </c>
      <c r="T1140" s="10"/>
      <c r="U1140" s="10"/>
      <c r="V1140" s="10"/>
      <c r="W1140" s="12">
        <f t="shared" si="24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49"/>
        <v>0</v>
      </c>
      <c r="AF1140" s="10"/>
      <c r="AG1140" s="10"/>
      <c r="AH1140" s="10"/>
      <c r="AI1140" s="12">
        <f t="shared" si="25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11"/>
      <c r="D1141" s="32"/>
      <c r="E1141" s="32"/>
      <c r="F1141" s="32"/>
      <c r="G1141" s="32">
        <f t="shared" si="245"/>
        <v>0</v>
      </c>
      <c r="H1141" s="10"/>
      <c r="I1141" s="10"/>
      <c r="J1141" s="10"/>
      <c r="K1141" s="12">
        <f t="shared" si="246"/>
        <v>0</v>
      </c>
      <c r="M1141" s="10">
        <v>30</v>
      </c>
      <c r="N1141" s="30"/>
      <c r="P1141" s="47"/>
      <c r="Q1141" s="31"/>
      <c r="R1141" s="31"/>
      <c r="S1141" s="32">
        <f t="shared" si="247"/>
        <v>0</v>
      </c>
      <c r="T1141" s="10"/>
      <c r="U1141" s="10"/>
      <c r="V1141" s="10"/>
      <c r="W1141" s="12">
        <f t="shared" si="248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249"/>
        <v>0</v>
      </c>
      <c r="AF1141" s="10"/>
      <c r="AG1141" s="10"/>
      <c r="AH1141" s="10"/>
      <c r="AI1141" s="12">
        <f t="shared" si="25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245"/>
        <v>0</v>
      </c>
      <c r="H1142" s="10"/>
      <c r="I1142" s="10"/>
      <c r="J1142" s="10"/>
      <c r="K1142" s="12">
        <f t="shared" si="24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47"/>
        <v>0</v>
      </c>
      <c r="T1142" s="10"/>
      <c r="U1142" s="10"/>
      <c r="V1142" s="10"/>
      <c r="W1142" s="12">
        <f t="shared" si="248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49"/>
        <v>0</v>
      </c>
      <c r="AF1142" s="10"/>
      <c r="AG1142" s="10"/>
      <c r="AH1142" s="10"/>
      <c r="AI1142" s="12">
        <f t="shared" si="25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11"/>
      <c r="D1143" s="32"/>
      <c r="E1143" s="32"/>
      <c r="F1143" s="32"/>
      <c r="G1143" s="32">
        <f t="shared" si="245"/>
        <v>0</v>
      </c>
      <c r="H1143" s="10"/>
      <c r="I1143" s="10"/>
      <c r="J1143" s="10"/>
      <c r="K1143" s="12">
        <f t="shared" si="246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47"/>
        <v>0</v>
      </c>
      <c r="T1143" s="10"/>
      <c r="U1143" s="10"/>
      <c r="V1143" s="10"/>
      <c r="W1143" s="12">
        <f t="shared" si="24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49"/>
        <v>0</v>
      </c>
      <c r="AF1143" s="10"/>
      <c r="AG1143" s="10"/>
      <c r="AH1143" s="10"/>
      <c r="AI1143" s="12">
        <f t="shared" si="25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11"/>
      <c r="D1144" s="32"/>
      <c r="E1144" s="32"/>
      <c r="F1144" s="32"/>
      <c r="G1144" s="32">
        <f t="shared" si="245"/>
        <v>0</v>
      </c>
      <c r="H1144" s="10"/>
      <c r="I1144" s="10"/>
      <c r="J1144" s="10"/>
      <c r="K1144" s="12">
        <f t="shared" si="24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47"/>
        <v>0</v>
      </c>
      <c r="T1144" s="10"/>
      <c r="U1144" s="10"/>
      <c r="V1144" s="10"/>
      <c r="W1144" s="12">
        <f t="shared" si="24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49"/>
        <v>0</v>
      </c>
      <c r="AF1144" s="10"/>
      <c r="AG1144" s="10"/>
      <c r="AH1144" s="10"/>
      <c r="AI1144" s="12">
        <f t="shared" si="25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11"/>
      <c r="D1145" s="32"/>
      <c r="E1145" s="32"/>
      <c r="F1145" s="32"/>
      <c r="G1145" s="32">
        <f t="shared" si="245"/>
        <v>0</v>
      </c>
      <c r="H1145" s="10"/>
      <c r="I1145" s="10"/>
      <c r="J1145" s="10"/>
      <c r="K1145" s="12">
        <f t="shared" si="246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47"/>
        <v>0</v>
      </c>
      <c r="T1145" s="10"/>
      <c r="U1145" s="10"/>
      <c r="V1145" s="10"/>
      <c r="W1145" s="12">
        <f t="shared" si="248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49"/>
        <v>0</v>
      </c>
      <c r="AF1145" s="10"/>
      <c r="AG1145" s="10"/>
      <c r="AH1145" s="10"/>
      <c r="AI1145" s="12">
        <f t="shared" si="250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1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247"/>
        <v>0</v>
      </c>
      <c r="T1146" s="10"/>
      <c r="U1146" s="10"/>
      <c r="V1146" s="10"/>
      <c r="W1146" s="12">
        <f t="shared" si="24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49"/>
        <v>0</v>
      </c>
      <c r="AF1146" s="10"/>
      <c r="AG1146" s="10"/>
      <c r="AH1146" s="10"/>
      <c r="AI1146" s="12">
        <f t="shared" si="250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1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47"/>
        <v>0</v>
      </c>
      <c r="T1147" s="10"/>
      <c r="U1147" s="10"/>
      <c r="V1147" s="10"/>
      <c r="W1147" s="12">
        <f t="shared" si="24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49"/>
        <v>0</v>
      </c>
      <c r="AF1147" s="10"/>
      <c r="AG1147" s="10"/>
      <c r="AH1147" s="10"/>
      <c r="AI1147" s="12">
        <f t="shared" si="250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1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247"/>
        <v>0</v>
      </c>
      <c r="T1148" s="10"/>
      <c r="U1148" s="10"/>
      <c r="V1148" s="10"/>
      <c r="W1148" s="12">
        <f t="shared" si="24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49"/>
        <v>0</v>
      </c>
      <c r="AF1148" s="10"/>
      <c r="AG1148" s="10"/>
      <c r="AH1148" s="10"/>
      <c r="AI1148" s="12">
        <f t="shared" si="250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47"/>
        <v>0</v>
      </c>
      <c r="T1149" s="10"/>
      <c r="U1149" s="10"/>
      <c r="V1149" s="10"/>
      <c r="W1149" s="12">
        <f t="shared" si="24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49"/>
        <v>0</v>
      </c>
      <c r="AF1149" s="10"/>
      <c r="AG1149" s="10"/>
      <c r="AH1149" s="10"/>
      <c r="AI1149" s="12">
        <f t="shared" si="250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47"/>
        <v>0</v>
      </c>
      <c r="T1150" s="10"/>
      <c r="U1150" s="10"/>
      <c r="V1150" s="10"/>
      <c r="W1150" s="12">
        <f t="shared" si="24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49"/>
        <v>0</v>
      </c>
      <c r="AF1150" s="10"/>
      <c r="AG1150" s="10"/>
      <c r="AH1150" s="10"/>
      <c r="AI1150" s="12">
        <f t="shared" si="250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4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50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53">SUM(D1152:E1152)</f>
        <v>0</v>
      </c>
      <c r="H1152" s="10"/>
      <c r="I1152" s="10"/>
      <c r="J1152" s="10"/>
      <c r="K1152" s="12">
        <f t="shared" ref="K1152" si="254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55">SUM(P1152:Q1152)</f>
        <v>0</v>
      </c>
      <c r="T1152" s="10"/>
      <c r="U1152" s="10"/>
      <c r="V1152" s="10"/>
      <c r="W1152" s="12">
        <f t="shared" si="248"/>
        <v>0</v>
      </c>
      <c r="Y1152" s="10"/>
      <c r="Z1152" s="30"/>
      <c r="AA1152" s="31"/>
      <c r="AB1152" s="47"/>
      <c r="AC1152" s="31"/>
      <c r="AD1152" s="31"/>
      <c r="AE1152" s="32">
        <f t="shared" ref="AE1152" si="256">SUM(AB1152:AC1152)</f>
        <v>0</v>
      </c>
      <c r="AF1152" s="10"/>
      <c r="AG1152" s="10"/>
      <c r="AH1152" s="10"/>
      <c r="AI1152" s="12">
        <f t="shared" si="250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4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50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233993</v>
      </c>
      <c r="E1155" s="38">
        <f t="shared" ref="E1155:G1155" si="257">SUM(E1112:E1152)</f>
        <v>0</v>
      </c>
      <c r="F1155" s="38">
        <f t="shared" si="257"/>
        <v>0</v>
      </c>
      <c r="G1155" s="38">
        <f>SUM(G1112:G1154)</f>
        <v>233993</v>
      </c>
      <c r="H1155" s="4"/>
      <c r="I1155" s="39">
        <f>SUM(I1112:I1154)</f>
        <v>6133</v>
      </c>
      <c r="J1155" s="39">
        <f>SUM(J1112:J1154)</f>
        <v>-85</v>
      </c>
      <c r="K1155" s="40">
        <f>SUM(K1112:K1154)</f>
        <v>240041</v>
      </c>
      <c r="N1155" s="57"/>
      <c r="O1155" s="57"/>
      <c r="P1155" s="38">
        <f>SUM(P1112:P1154)</f>
        <v>156359.5</v>
      </c>
      <c r="Q1155" s="38">
        <f>SUM(Q1112:Q1136)</f>
        <v>-1908</v>
      </c>
      <c r="R1155" s="38">
        <f>SUM(R1112:R1136)</f>
        <v>0</v>
      </c>
      <c r="S1155" s="38">
        <f>SUM(S1112:S1154)</f>
        <v>154451.5</v>
      </c>
      <c r="T1155" s="4"/>
      <c r="U1155" s="41">
        <f>SUM(U1112:U1154)</f>
        <v>153.5</v>
      </c>
      <c r="V1155" s="41">
        <f>SUM(V1112:V1136)</f>
        <v>-6327</v>
      </c>
      <c r="W1155" s="42">
        <f>SUM(W1112:W1154)</f>
        <v>148278</v>
      </c>
      <c r="Z1155" s="57"/>
      <c r="AA1155" s="57"/>
      <c r="AB1155" s="38">
        <f>SUM(AB1112:AB1154)</f>
        <v>359259</v>
      </c>
      <c r="AC1155" s="38">
        <f>SUM(AC1112:AC1136)</f>
        <v>-3138</v>
      </c>
      <c r="AD1155" s="38">
        <f>SUM(AD1112:AD1136)</f>
        <v>0</v>
      </c>
      <c r="AE1155" s="38">
        <f>SUM(AE1112:AE1154)</f>
        <v>356121</v>
      </c>
      <c r="AF1155" s="4"/>
      <c r="AG1155" s="41">
        <f>SUM(AG1112:AG1154)</f>
        <v>672</v>
      </c>
      <c r="AH1155" s="41">
        <f>SUM(AH1112:AH1136)</f>
        <v>-5085</v>
      </c>
      <c r="AI1155" s="42">
        <f>SUM(AI1112:AI1154)</f>
        <v>351708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8"/>
      <c r="C1157" s="88"/>
      <c r="D1157" s="88"/>
      <c r="E1157" s="88"/>
      <c r="F1157" s="88"/>
      <c r="G1157" s="88"/>
      <c r="H1157" s="62"/>
      <c r="I1157" s="62"/>
      <c r="J1157" s="62"/>
      <c r="K1157" s="62"/>
      <c r="L1157" s="62"/>
      <c r="M1157" s="62"/>
      <c r="N1157" s="88"/>
      <c r="O1157" s="88"/>
      <c r="P1157" s="88"/>
      <c r="Q1157" s="88"/>
      <c r="R1157" s="88"/>
      <c r="S1157" s="88"/>
      <c r="T1157" s="62"/>
      <c r="U1157" s="62"/>
      <c r="V1157" s="62"/>
      <c r="W1157" s="62"/>
      <c r="X1157" s="62"/>
      <c r="Y1157" s="62"/>
      <c r="Z1157" s="88"/>
      <c r="AA1157" s="88"/>
      <c r="AB1157" s="88"/>
      <c r="AC1157" s="88"/>
      <c r="AD1157" s="88"/>
      <c r="AE1157" s="88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8"/>
      <c r="C1158" s="88"/>
      <c r="D1158" s="88"/>
      <c r="E1158" s="88"/>
      <c r="F1158" s="88"/>
      <c r="G1158" s="88"/>
      <c r="H1158" s="62"/>
      <c r="I1158" s="62"/>
      <c r="J1158" s="62"/>
      <c r="K1158" s="62"/>
      <c r="L1158" s="62"/>
      <c r="M1158" s="62"/>
      <c r="N1158" s="88"/>
      <c r="O1158" s="88"/>
      <c r="P1158" s="88"/>
      <c r="Q1158" s="88"/>
      <c r="R1158" s="88"/>
      <c r="S1158" s="88"/>
      <c r="T1158" s="62"/>
      <c r="U1158" s="62"/>
      <c r="V1158" s="62"/>
      <c r="W1158" s="62"/>
      <c r="X1158" s="62"/>
      <c r="Y1158" s="62"/>
      <c r="Z1158" s="88"/>
      <c r="AA1158" s="88"/>
      <c r="AB1158" s="88"/>
      <c r="AC1158" s="88"/>
      <c r="AD1158" s="88"/>
      <c r="AE1158" s="88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8"/>
      <c r="C1159" s="88"/>
      <c r="D1159" s="88"/>
      <c r="E1159" s="88"/>
      <c r="F1159" s="88"/>
      <c r="G1159" s="88"/>
      <c r="H1159" s="62"/>
      <c r="I1159" s="62"/>
      <c r="J1159" s="62"/>
      <c r="K1159" s="62"/>
      <c r="L1159" s="62"/>
      <c r="M1159" s="62"/>
      <c r="N1159" s="88"/>
      <c r="O1159" s="88"/>
      <c r="P1159" s="88"/>
      <c r="Q1159" s="88"/>
      <c r="R1159" s="88"/>
      <c r="S1159" s="88"/>
      <c r="T1159" s="62"/>
      <c r="U1159" s="62"/>
      <c r="V1159" s="62"/>
      <c r="W1159" s="62"/>
      <c r="X1159" s="62"/>
      <c r="Y1159" s="62"/>
      <c r="Z1159" s="88"/>
      <c r="AA1159" s="88"/>
      <c r="AB1159" s="88"/>
      <c r="AC1159" s="88"/>
      <c r="AD1159" s="88"/>
      <c r="AE1159" s="88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8"/>
      <c r="C1160" s="88"/>
      <c r="D1160" s="88"/>
      <c r="E1160" s="88"/>
      <c r="F1160" s="88"/>
      <c r="G1160" s="88"/>
      <c r="H1160" s="62"/>
      <c r="I1160" s="62"/>
      <c r="J1160" s="62"/>
      <c r="K1160" s="62"/>
      <c r="L1160" s="62"/>
      <c r="M1160" s="63"/>
      <c r="N1160" s="88"/>
      <c r="O1160" s="88"/>
      <c r="P1160" s="88"/>
      <c r="Q1160" s="88"/>
      <c r="R1160" s="88"/>
      <c r="S1160" s="88"/>
      <c r="T1160" s="62"/>
      <c r="U1160" s="62"/>
      <c r="V1160" s="62"/>
      <c r="W1160" s="62"/>
      <c r="X1160" s="62"/>
      <c r="Y1160" s="63"/>
      <c r="Z1160" s="88"/>
      <c r="AA1160" s="88"/>
      <c r="AB1160" s="88"/>
      <c r="AC1160" s="88"/>
      <c r="AD1160" s="88"/>
      <c r="AE1160" s="88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8"/>
      <c r="C1161" s="88"/>
      <c r="D1161" s="88"/>
      <c r="E1161" s="88"/>
      <c r="F1161" s="88"/>
      <c r="G1161" s="88"/>
      <c r="H1161" s="62"/>
      <c r="I1161" s="62"/>
      <c r="J1161" s="62"/>
      <c r="K1161" s="62"/>
      <c r="L1161" s="62"/>
      <c r="M1161" s="62"/>
      <c r="N1161" s="88"/>
      <c r="O1161" s="88"/>
      <c r="P1161" s="88"/>
      <c r="Q1161" s="88"/>
      <c r="R1161" s="88"/>
      <c r="S1161" s="88"/>
      <c r="T1161" s="62"/>
      <c r="U1161" s="62"/>
      <c r="V1161" s="62"/>
      <c r="W1161" s="62"/>
      <c r="X1161" s="62"/>
      <c r="Y1161" s="62"/>
      <c r="Z1161" s="88"/>
      <c r="AA1161" s="88"/>
      <c r="AB1161" s="88"/>
      <c r="AC1161" s="88"/>
      <c r="AD1161" s="88"/>
      <c r="AE1161" s="88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8"/>
      <c r="C1162" s="88"/>
      <c r="D1162" s="88"/>
      <c r="E1162" s="88"/>
      <c r="F1162" s="88"/>
      <c r="G1162" s="88"/>
      <c r="H1162" s="62"/>
      <c r="I1162" s="88"/>
      <c r="J1162" s="74"/>
      <c r="K1162" s="62"/>
      <c r="L1162" s="62"/>
      <c r="M1162" s="62"/>
      <c r="N1162" s="88"/>
      <c r="O1162" s="88"/>
      <c r="P1162" s="88"/>
      <c r="Q1162" s="88"/>
      <c r="R1162" s="88"/>
      <c r="S1162" s="88"/>
      <c r="T1162" s="62"/>
      <c r="U1162" s="88"/>
      <c r="V1162" s="74"/>
      <c r="W1162" s="62"/>
      <c r="X1162" s="62"/>
      <c r="Y1162" s="62"/>
      <c r="Z1162" s="88"/>
      <c r="AA1162" s="88"/>
      <c r="AB1162" s="88"/>
      <c r="AC1162" s="88"/>
      <c r="AD1162" s="88"/>
      <c r="AE1162" s="88"/>
      <c r="AF1162" s="62"/>
      <c r="AG1162" s="88"/>
      <c r="AH1162" s="88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8"/>
      <c r="C1163" s="88"/>
      <c r="D1163" s="88"/>
      <c r="E1163" s="88"/>
      <c r="F1163" s="88"/>
      <c r="G1163" s="88"/>
      <c r="H1163" s="62"/>
      <c r="I1163" s="65"/>
      <c r="J1163" s="65"/>
      <c r="K1163" s="62"/>
      <c r="L1163" s="62"/>
      <c r="M1163" s="64"/>
      <c r="N1163" s="88"/>
      <c r="O1163" s="88"/>
      <c r="P1163" s="88"/>
      <c r="Q1163" s="88"/>
      <c r="R1163" s="88"/>
      <c r="S1163" s="88"/>
      <c r="T1163" s="62"/>
      <c r="U1163" s="65"/>
      <c r="V1163" s="65"/>
      <c r="W1163" s="62"/>
      <c r="X1163" s="62"/>
      <c r="Y1163" s="64"/>
      <c r="Z1163" s="88"/>
      <c r="AA1163" s="88"/>
      <c r="AB1163" s="88"/>
      <c r="AC1163" s="88"/>
      <c r="AD1163" s="88"/>
      <c r="AE1163" s="88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8"/>
      <c r="C1164" s="88"/>
      <c r="D1164" s="88"/>
      <c r="E1164" s="88"/>
      <c r="F1164" s="88"/>
      <c r="G1164" s="88"/>
      <c r="H1164" s="62"/>
      <c r="I1164" s="62"/>
      <c r="J1164" s="62"/>
      <c r="K1164" s="62"/>
      <c r="L1164" s="62"/>
      <c r="M1164" s="62"/>
      <c r="N1164" s="88"/>
      <c r="O1164" s="88"/>
      <c r="P1164" s="88"/>
      <c r="Q1164" s="88"/>
      <c r="R1164" s="88"/>
      <c r="S1164" s="88"/>
      <c r="T1164" s="62"/>
      <c r="U1164" s="62"/>
      <c r="V1164" s="62"/>
      <c r="W1164" s="62"/>
      <c r="X1164" s="62"/>
      <c r="Y1164" s="62"/>
      <c r="Z1164" s="88"/>
      <c r="AA1164" s="88"/>
      <c r="AB1164" s="88"/>
      <c r="AC1164" s="88"/>
      <c r="AD1164" s="88"/>
      <c r="AE1164" s="88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8"/>
      <c r="D1165" s="126"/>
      <c r="E1165" s="126"/>
      <c r="F1165" s="88"/>
      <c r="G1165" s="88"/>
      <c r="H1165" s="62"/>
      <c r="I1165" s="126"/>
      <c r="J1165" s="126"/>
      <c r="K1165" s="125"/>
      <c r="L1165" s="62"/>
      <c r="M1165" s="62"/>
      <c r="N1165" s="65"/>
      <c r="O1165" s="88"/>
      <c r="P1165" s="126"/>
      <c r="Q1165" s="126"/>
      <c r="R1165" s="88"/>
      <c r="S1165" s="88"/>
      <c r="T1165" s="62"/>
      <c r="U1165" s="126"/>
      <c r="V1165" s="126"/>
      <c r="W1165" s="125"/>
      <c r="X1165" s="62"/>
      <c r="Y1165" s="62"/>
      <c r="Z1165" s="65"/>
      <c r="AA1165" s="88"/>
      <c r="AB1165" s="126"/>
      <c r="AC1165" s="126"/>
      <c r="AD1165" s="88"/>
      <c r="AE1165" s="88"/>
      <c r="AF1165" s="62"/>
      <c r="AG1165" s="126"/>
      <c r="AH1165" s="126"/>
      <c r="AI1165" s="12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8"/>
      <c r="C1166" s="88"/>
      <c r="D1166" s="81"/>
      <c r="E1166" s="82"/>
      <c r="F1166" s="83"/>
      <c r="G1166" s="83"/>
      <c r="H1166" s="62"/>
      <c r="I1166" s="87"/>
      <c r="J1166" s="87"/>
      <c r="K1166" s="125"/>
      <c r="L1166" s="62"/>
      <c r="M1166" s="62"/>
      <c r="N1166" s="88"/>
      <c r="O1166" s="88"/>
      <c r="P1166" s="81"/>
      <c r="Q1166" s="83"/>
      <c r="R1166" s="83"/>
      <c r="S1166" s="83"/>
      <c r="T1166" s="62"/>
      <c r="U1166" s="87"/>
      <c r="V1166" s="87"/>
      <c r="W1166" s="125"/>
      <c r="X1166" s="62"/>
      <c r="Y1166" s="62"/>
      <c r="Z1166" s="88"/>
      <c r="AA1166" s="88"/>
      <c r="AB1166" s="81"/>
      <c r="AC1166" s="83"/>
      <c r="AD1166" s="83"/>
      <c r="AE1166" s="83"/>
      <c r="AF1166" s="62"/>
      <c r="AG1166" s="87"/>
      <c r="AH1166" s="87"/>
      <c r="AI1166" s="12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8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8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8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8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8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8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8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8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8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8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8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8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8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8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65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8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8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8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8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8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8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8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8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8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8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8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8"/>
      <c r="AB1175" s="6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8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8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8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8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8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8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8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8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8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8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8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8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8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8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8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65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8"/>
      <c r="P1181" s="60"/>
      <c r="Q1181" s="62"/>
      <c r="R1181" s="60"/>
      <c r="S1181" s="60"/>
      <c r="T1181" s="61"/>
      <c r="U1181" s="61"/>
      <c r="V1181" s="62"/>
      <c r="W1181" s="61"/>
      <c r="X1181" s="62"/>
      <c r="Y1181" s="62"/>
      <c r="Z1181" s="66"/>
      <c r="AA1181" s="88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8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8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8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8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8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8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8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8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8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8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65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8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8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8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8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8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8"/>
      <c r="R1187" s="88"/>
      <c r="S1187" s="60"/>
      <c r="T1187" s="62"/>
      <c r="U1187" s="62"/>
      <c r="V1187" s="62"/>
      <c r="W1187" s="61"/>
      <c r="X1187" s="62"/>
      <c r="Y1187" s="62"/>
      <c r="Z1187" s="66"/>
      <c r="AA1187" s="62"/>
      <c r="AB1187" s="67"/>
      <c r="AC1187" s="88"/>
      <c r="AD1187" s="88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8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8"/>
      <c r="P1188" s="68"/>
      <c r="Q1188" s="88"/>
      <c r="R1188" s="88"/>
      <c r="S1188" s="60"/>
      <c r="T1188" s="62"/>
      <c r="U1188" s="62"/>
      <c r="V1188" s="62"/>
      <c r="W1188" s="61"/>
      <c r="X1188" s="62"/>
      <c r="Y1188" s="62"/>
      <c r="Z1188" s="66"/>
      <c r="AA1188" s="88"/>
      <c r="AB1188" s="68"/>
      <c r="AC1188" s="88"/>
      <c r="AD1188" s="88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8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8"/>
      <c r="P1189" s="69"/>
      <c r="Q1189" s="88"/>
      <c r="R1189" s="88"/>
      <c r="S1189" s="60"/>
      <c r="T1189" s="62"/>
      <c r="U1189" s="62"/>
      <c r="V1189" s="62"/>
      <c r="W1189" s="61"/>
      <c r="X1189" s="62"/>
      <c r="Y1189" s="62"/>
      <c r="Z1189" s="66"/>
      <c r="AA1189" s="88"/>
      <c r="AB1189" s="69"/>
      <c r="AC1189" s="88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8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8"/>
      <c r="R1190" s="88"/>
      <c r="S1190" s="60"/>
      <c r="T1190" s="62"/>
      <c r="U1190" s="62"/>
      <c r="V1190" s="62"/>
      <c r="W1190" s="61"/>
      <c r="X1190" s="62"/>
      <c r="Y1190" s="62"/>
      <c r="Z1190" s="66"/>
      <c r="AA1190" s="88"/>
      <c r="AB1190" s="69"/>
      <c r="AC1190" s="88"/>
      <c r="AD1190" s="88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8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8"/>
      <c r="P1191" s="69"/>
      <c r="Q1191" s="88"/>
      <c r="R1191" s="88"/>
      <c r="S1191" s="60"/>
      <c r="T1191" s="62"/>
      <c r="U1191" s="62"/>
      <c r="V1191" s="62"/>
      <c r="W1191" s="61"/>
      <c r="X1191" s="62"/>
      <c r="Y1191" s="62"/>
      <c r="Z1191" s="66"/>
      <c r="AA1191" s="88"/>
      <c r="AB1191" s="69"/>
      <c r="AC1191" s="88"/>
      <c r="AD1191" s="88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8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8"/>
      <c r="P1192" s="69"/>
      <c r="Q1192" s="88"/>
      <c r="R1192" s="88"/>
      <c r="S1192" s="60"/>
      <c r="T1192" s="62"/>
      <c r="U1192" s="62"/>
      <c r="V1192" s="62"/>
      <c r="W1192" s="61"/>
      <c r="X1192" s="62"/>
      <c r="Y1192" s="62"/>
      <c r="Z1192" s="66"/>
      <c r="AA1192" s="88"/>
      <c r="AB1192" s="69"/>
      <c r="AC1192" s="88"/>
      <c r="AD1192" s="88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8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8"/>
      <c r="P1193" s="69"/>
      <c r="Q1193" s="88"/>
      <c r="R1193" s="88"/>
      <c r="S1193" s="60"/>
      <c r="T1193" s="62"/>
      <c r="U1193" s="62"/>
      <c r="V1193" s="62"/>
      <c r="W1193" s="61"/>
      <c r="X1193" s="62"/>
      <c r="Y1193" s="62"/>
      <c r="Z1193" s="66"/>
      <c r="AA1193" s="88"/>
      <c r="AB1193" s="69"/>
      <c r="AC1193" s="88"/>
      <c r="AD1193" s="88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8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8"/>
      <c r="P1194" s="69"/>
      <c r="Q1194" s="88"/>
      <c r="R1194" s="88"/>
      <c r="S1194" s="60"/>
      <c r="T1194" s="62"/>
      <c r="U1194" s="62"/>
      <c r="V1194" s="62"/>
      <c r="W1194" s="61"/>
      <c r="X1194" s="62"/>
      <c r="Y1194" s="62"/>
      <c r="Z1194" s="66"/>
      <c r="AA1194" s="88"/>
      <c r="AB1194" s="69"/>
      <c r="AC1194" s="88"/>
      <c r="AD1194" s="88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8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8"/>
      <c r="P1195" s="69"/>
      <c r="Q1195" s="88"/>
      <c r="R1195" s="88"/>
      <c r="S1195" s="60"/>
      <c r="T1195" s="62"/>
      <c r="U1195" s="62"/>
      <c r="V1195" s="62"/>
      <c r="W1195" s="61"/>
      <c r="X1195" s="62"/>
      <c r="Y1195" s="62"/>
      <c r="Z1195" s="66"/>
      <c r="AA1195" s="88"/>
      <c r="AB1195" s="69"/>
      <c r="AC1195" s="88"/>
      <c r="AD1195" s="88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88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8"/>
      <c r="P1196" s="69"/>
      <c r="Q1196" s="88"/>
      <c r="R1196" s="88"/>
      <c r="S1196" s="60"/>
      <c r="T1196" s="62"/>
      <c r="U1196" s="62"/>
      <c r="V1196" s="62"/>
      <c r="W1196" s="61"/>
      <c r="X1196" s="62"/>
      <c r="Y1196" s="62"/>
      <c r="Z1196" s="66"/>
      <c r="AA1196" s="88"/>
      <c r="AB1196" s="69"/>
      <c r="AC1196" s="88"/>
      <c r="AD1196" s="88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88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8"/>
      <c r="P1197" s="69"/>
      <c r="Q1197" s="88"/>
      <c r="R1197" s="88"/>
      <c r="S1197" s="60"/>
      <c r="T1197" s="62"/>
      <c r="U1197" s="62"/>
      <c r="V1197" s="62"/>
      <c r="W1197" s="61"/>
      <c r="X1197" s="62"/>
      <c r="Y1197" s="62"/>
      <c r="Z1197" s="66"/>
      <c r="AA1197" s="62"/>
      <c r="AB1197" s="69"/>
      <c r="AC1197" s="88"/>
      <c r="AD1197" s="88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88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8"/>
      <c r="P1198" s="69"/>
      <c r="Q1198" s="88"/>
      <c r="R1198" s="88"/>
      <c r="S1198" s="60"/>
      <c r="T1198" s="62"/>
      <c r="U1198" s="62"/>
      <c r="V1198" s="62"/>
      <c r="W1198" s="61"/>
      <c r="X1198" s="62"/>
      <c r="Y1198" s="62"/>
      <c r="Z1198" s="66"/>
      <c r="AA1198" s="88"/>
      <c r="AB1198" s="69"/>
      <c r="AC1198" s="88"/>
      <c r="AD1198" s="88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88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8"/>
      <c r="P1199" s="69"/>
      <c r="Q1199" s="88"/>
      <c r="R1199" s="88"/>
      <c r="S1199" s="60"/>
      <c r="T1199" s="62"/>
      <c r="U1199" s="62"/>
      <c r="V1199" s="62"/>
      <c r="W1199" s="61"/>
      <c r="X1199" s="62"/>
      <c r="Y1199" s="62"/>
      <c r="Z1199" s="66"/>
      <c r="AA1199" s="88"/>
      <c r="AB1199" s="69"/>
      <c r="AC1199" s="88"/>
      <c r="AD1199" s="88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88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8"/>
      <c r="P1200" s="69"/>
      <c r="Q1200" s="88"/>
      <c r="R1200" s="88"/>
      <c r="S1200" s="60"/>
      <c r="T1200" s="62"/>
      <c r="U1200" s="62"/>
      <c r="V1200" s="62"/>
      <c r="W1200" s="61"/>
      <c r="X1200" s="62"/>
      <c r="Y1200" s="62"/>
      <c r="Z1200" s="66"/>
      <c r="AA1200" s="62"/>
      <c r="AB1200" s="69"/>
      <c r="AC1200" s="88"/>
      <c r="AD1200" s="88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88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8"/>
      <c r="P1201" s="69"/>
      <c r="Q1201" s="88"/>
      <c r="R1201" s="88"/>
      <c r="S1201" s="60"/>
      <c r="T1201" s="62"/>
      <c r="U1201" s="62"/>
      <c r="V1201" s="62"/>
      <c r="W1201" s="61"/>
      <c r="X1201" s="62"/>
      <c r="Y1201" s="62"/>
      <c r="Z1201" s="66"/>
      <c r="AA1201" s="88"/>
      <c r="AB1201" s="69"/>
      <c r="AC1201" s="88"/>
      <c r="AD1201" s="88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8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8"/>
      <c r="P1202" s="69"/>
      <c r="Q1202" s="88"/>
      <c r="R1202" s="88"/>
      <c r="S1202" s="60"/>
      <c r="T1202" s="62"/>
      <c r="U1202" s="62"/>
      <c r="V1202" s="62"/>
      <c r="W1202" s="61"/>
      <c r="X1202" s="62"/>
      <c r="Y1202" s="62"/>
      <c r="Z1202" s="66"/>
      <c r="AA1202" s="88"/>
      <c r="AB1202" s="69"/>
      <c r="AC1202" s="88"/>
      <c r="AD1202" s="88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8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8"/>
      <c r="R1203" s="88"/>
      <c r="S1203" s="60"/>
      <c r="T1203" s="62"/>
      <c r="U1203" s="62"/>
      <c r="V1203" s="62"/>
      <c r="W1203" s="61"/>
      <c r="X1203" s="62"/>
      <c r="Y1203" s="62"/>
      <c r="Z1203" s="66"/>
      <c r="AA1203" s="88"/>
      <c r="AB1203" s="69"/>
      <c r="AC1203" s="88"/>
      <c r="AD1203" s="88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8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8"/>
      <c r="P1204" s="69"/>
      <c r="Q1204" s="88"/>
      <c r="R1204" s="88"/>
      <c r="S1204" s="60"/>
      <c r="T1204" s="62"/>
      <c r="U1204" s="62"/>
      <c r="V1204" s="62"/>
      <c r="W1204" s="61"/>
      <c r="X1204" s="62"/>
      <c r="Y1204" s="62"/>
      <c r="Z1204" s="66"/>
      <c r="AA1204" s="88"/>
      <c r="AB1204" s="69"/>
      <c r="AC1204" s="88"/>
      <c r="AD1204" s="88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8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8"/>
      <c r="P1205" s="69"/>
      <c r="Q1205" s="88"/>
      <c r="R1205" s="88"/>
      <c r="S1205" s="60"/>
      <c r="T1205" s="62"/>
      <c r="U1205" s="62"/>
      <c r="V1205" s="62"/>
      <c r="W1205" s="61"/>
      <c r="X1205" s="62"/>
      <c r="Y1205" s="62"/>
      <c r="Z1205" s="66"/>
      <c r="AA1205" s="88"/>
      <c r="AB1205" s="69"/>
      <c r="AC1205" s="88"/>
      <c r="AD1205" s="88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8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8"/>
      <c r="R1206" s="88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8"/>
      <c r="AD1206" s="88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8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8"/>
      <c r="P1207" s="69"/>
      <c r="Q1207" s="88"/>
      <c r="R1207" s="88"/>
      <c r="S1207" s="60"/>
      <c r="T1207" s="62"/>
      <c r="U1207" s="62"/>
      <c r="V1207" s="62"/>
      <c r="W1207" s="61"/>
      <c r="X1207" s="62"/>
      <c r="Y1207" s="62"/>
      <c r="Z1207" s="66"/>
      <c r="AA1207" s="88"/>
      <c r="AB1207" s="69"/>
      <c r="AC1207" s="88"/>
      <c r="AD1207" s="88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8"/>
      <c r="O1208" s="88"/>
      <c r="P1208" s="88"/>
      <c r="Q1208" s="88"/>
      <c r="R1208" s="88"/>
      <c r="S1208" s="88"/>
      <c r="T1208" s="62"/>
      <c r="U1208" s="62"/>
      <c r="V1208" s="62"/>
      <c r="W1208" s="61"/>
      <c r="X1208" s="62"/>
      <c r="Y1208" s="62"/>
      <c r="Z1208" s="88"/>
      <c r="AA1208" s="88"/>
      <c r="AB1208" s="88"/>
      <c r="AC1208" s="88"/>
      <c r="AD1208" s="88"/>
      <c r="AE1208" s="88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8"/>
      <c r="C1209" s="88"/>
      <c r="D1209" s="88"/>
      <c r="E1209" s="88"/>
      <c r="F1209" s="88"/>
      <c r="G1209" s="88"/>
      <c r="H1209" s="62"/>
      <c r="I1209" s="62"/>
      <c r="J1209" s="62"/>
      <c r="K1209" s="62"/>
      <c r="L1209" s="62"/>
      <c r="M1209" s="62"/>
      <c r="N1209" s="88"/>
      <c r="O1209" s="88"/>
      <c r="P1209" s="88"/>
      <c r="Q1209" s="88"/>
      <c r="R1209" s="88"/>
      <c r="S1209" s="88"/>
      <c r="T1209" s="62"/>
      <c r="U1209" s="62"/>
      <c r="V1209" s="62"/>
      <c r="W1209" s="62"/>
      <c r="X1209" s="62"/>
      <c r="Y1209" s="62"/>
      <c r="Z1209" s="88"/>
      <c r="AA1209" s="88"/>
      <c r="AB1209" s="88"/>
      <c r="AC1209" s="88"/>
      <c r="AD1209" s="88"/>
      <c r="AE1209" s="88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8"/>
      <c r="C1210" s="88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8"/>
      <c r="O1210" s="88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8"/>
      <c r="AA1210" s="88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8"/>
      <c r="C1213" s="88"/>
      <c r="D1213" s="88"/>
      <c r="E1213" s="88"/>
      <c r="F1213" s="88"/>
      <c r="G1213" s="88"/>
      <c r="H1213" s="62"/>
      <c r="I1213" s="62"/>
      <c r="J1213" s="62"/>
      <c r="K1213" s="62"/>
      <c r="L1213" s="62"/>
      <c r="M1213" s="62"/>
      <c r="N1213" s="88"/>
      <c r="O1213" s="88"/>
      <c r="P1213" s="88"/>
      <c r="Q1213" s="88"/>
      <c r="R1213" s="88"/>
      <c r="S1213" s="88"/>
      <c r="T1213" s="62"/>
      <c r="U1213" s="62"/>
      <c r="V1213" s="62"/>
      <c r="W1213" s="62"/>
      <c r="X1213" s="62"/>
      <c r="Y1213" s="62"/>
      <c r="Z1213" s="88"/>
      <c r="AA1213" s="88"/>
      <c r="AB1213" s="88"/>
      <c r="AC1213" s="88"/>
      <c r="AD1213" s="88"/>
      <c r="AE1213" s="88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8"/>
      <c r="C1214" s="88"/>
      <c r="D1214" s="88"/>
      <c r="E1214" s="88"/>
      <c r="F1214" s="88"/>
      <c r="G1214" s="88"/>
      <c r="H1214" s="62"/>
      <c r="I1214" s="62"/>
      <c r="J1214" s="62"/>
      <c r="K1214" s="62"/>
      <c r="L1214" s="62"/>
      <c r="M1214" s="62"/>
      <c r="N1214" s="88"/>
      <c r="O1214" s="88"/>
      <c r="P1214" s="88"/>
      <c r="Q1214" s="88"/>
      <c r="R1214" s="88"/>
      <c r="S1214" s="88"/>
      <c r="T1214" s="62"/>
      <c r="U1214" s="62"/>
      <c r="V1214" s="62"/>
      <c r="W1214" s="62"/>
      <c r="X1214" s="62"/>
      <c r="Y1214" s="62"/>
      <c r="Z1214" s="88"/>
      <c r="AA1214" s="88"/>
      <c r="AB1214" s="88"/>
      <c r="AC1214" s="88"/>
      <c r="AD1214" s="88"/>
      <c r="AE1214" s="88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8"/>
      <c r="C1215" s="88"/>
      <c r="D1215" s="88"/>
      <c r="E1215" s="88"/>
      <c r="F1215" s="88"/>
      <c r="G1215" s="88"/>
      <c r="H1215" s="62"/>
      <c r="I1215" s="62"/>
      <c r="J1215" s="62"/>
      <c r="K1215" s="62"/>
      <c r="L1215" s="62"/>
      <c r="M1215" s="62"/>
      <c r="N1215" s="88"/>
      <c r="O1215" s="88"/>
      <c r="P1215" s="88"/>
      <c r="Q1215" s="88"/>
      <c r="R1215" s="88"/>
      <c r="S1215" s="88"/>
      <c r="T1215" s="62"/>
      <c r="U1215" s="62"/>
      <c r="V1215" s="62"/>
      <c r="W1215" s="62"/>
      <c r="X1215" s="62"/>
      <c r="Y1215" s="62"/>
      <c r="Z1215" s="88"/>
      <c r="AA1215" s="88"/>
      <c r="AB1215" s="88"/>
      <c r="AC1215" s="88"/>
      <c r="AD1215" s="88"/>
      <c r="AE1215" s="88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8"/>
      <c r="C1216" s="88"/>
      <c r="D1216" s="88"/>
      <c r="E1216" s="88"/>
      <c r="F1216" s="88"/>
      <c r="G1216" s="88"/>
      <c r="H1216" s="62"/>
      <c r="I1216" s="62"/>
      <c r="J1216" s="62"/>
      <c r="K1216" s="62"/>
      <c r="L1216" s="62"/>
      <c r="M1216" s="63"/>
      <c r="N1216" s="88"/>
      <c r="O1216" s="88"/>
      <c r="P1216" s="88"/>
      <c r="Q1216" s="88"/>
      <c r="R1216" s="88"/>
      <c r="S1216" s="88"/>
      <c r="T1216" s="62"/>
      <c r="U1216" s="62"/>
      <c r="V1216" s="62"/>
      <c r="W1216" s="62"/>
      <c r="X1216" s="62"/>
      <c r="Y1216" s="63"/>
      <c r="Z1216" s="88"/>
      <c r="AA1216" s="88"/>
      <c r="AB1216" s="88"/>
      <c r="AC1216" s="88"/>
      <c r="AD1216" s="88"/>
      <c r="AE1216" s="88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8"/>
      <c r="C1217" s="88"/>
      <c r="D1217" s="88"/>
      <c r="E1217" s="88"/>
      <c r="F1217" s="88"/>
      <c r="G1217" s="88"/>
      <c r="H1217" s="62"/>
      <c r="I1217" s="62"/>
      <c r="J1217" s="62"/>
      <c r="K1217" s="62"/>
      <c r="L1217" s="62"/>
      <c r="M1217" s="62"/>
      <c r="N1217" s="88"/>
      <c r="O1217" s="88"/>
      <c r="P1217" s="88"/>
      <c r="Q1217" s="88"/>
      <c r="R1217" s="88"/>
      <c r="S1217" s="88"/>
      <c r="T1217" s="62"/>
      <c r="U1217" s="62"/>
      <c r="V1217" s="62"/>
      <c r="W1217" s="62"/>
      <c r="X1217" s="62"/>
      <c r="Y1217" s="62"/>
      <c r="Z1217" s="88"/>
      <c r="AA1217" s="88"/>
      <c r="AB1217" s="88"/>
      <c r="AC1217" s="88"/>
      <c r="AD1217" s="88"/>
      <c r="AE1217" s="88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8"/>
      <c r="C1218" s="88"/>
      <c r="D1218" s="88"/>
      <c r="E1218" s="88"/>
      <c r="F1218" s="88"/>
      <c r="G1218" s="88"/>
      <c r="H1218" s="62"/>
      <c r="I1218" s="88"/>
      <c r="J1218" s="74"/>
      <c r="K1218" s="62"/>
      <c r="L1218" s="62"/>
      <c r="M1218" s="62"/>
      <c r="N1218" s="88"/>
      <c r="O1218" s="88"/>
      <c r="P1218" s="88"/>
      <c r="Q1218" s="88"/>
      <c r="R1218" s="88"/>
      <c r="S1218" s="88"/>
      <c r="T1218" s="62"/>
      <c r="U1218" s="88"/>
      <c r="V1218" s="74"/>
      <c r="W1218" s="62"/>
      <c r="X1218" s="62"/>
      <c r="Y1218" s="62"/>
      <c r="Z1218" s="88"/>
      <c r="AA1218" s="88"/>
      <c r="AB1218" s="88"/>
      <c r="AC1218" s="88"/>
      <c r="AD1218" s="88"/>
      <c r="AE1218" s="88"/>
      <c r="AF1218" s="62"/>
      <c r="AG1218" s="88"/>
      <c r="AH1218" s="88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8"/>
      <c r="C1219" s="88"/>
      <c r="D1219" s="88"/>
      <c r="E1219" s="88"/>
      <c r="F1219" s="88"/>
      <c r="G1219" s="88"/>
      <c r="H1219" s="62"/>
      <c r="I1219" s="65"/>
      <c r="J1219" s="65"/>
      <c r="K1219" s="62"/>
      <c r="L1219" s="62"/>
      <c r="M1219" s="64"/>
      <c r="N1219" s="88"/>
      <c r="O1219" s="88"/>
      <c r="P1219" s="88"/>
      <c r="Q1219" s="88"/>
      <c r="R1219" s="88"/>
      <c r="S1219" s="88"/>
      <c r="T1219" s="62"/>
      <c r="U1219" s="65"/>
      <c r="V1219" s="65"/>
      <c r="W1219" s="62"/>
      <c r="X1219" s="62"/>
      <c r="Y1219" s="64"/>
      <c r="Z1219" s="88"/>
      <c r="AA1219" s="88"/>
      <c r="AB1219" s="88"/>
      <c r="AC1219" s="88"/>
      <c r="AD1219" s="88"/>
      <c r="AE1219" s="88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8"/>
      <c r="C1220" s="88"/>
      <c r="D1220" s="88"/>
      <c r="E1220" s="88"/>
      <c r="F1220" s="88"/>
      <c r="G1220" s="88"/>
      <c r="H1220" s="62"/>
      <c r="I1220" s="62"/>
      <c r="J1220" s="62"/>
      <c r="K1220" s="62"/>
      <c r="L1220" s="62"/>
      <c r="M1220" s="62"/>
      <c r="N1220" s="88"/>
      <c r="O1220" s="88"/>
      <c r="P1220" s="88"/>
      <c r="Q1220" s="88"/>
      <c r="R1220" s="88"/>
      <c r="S1220" s="88"/>
      <c r="T1220" s="62"/>
      <c r="U1220" s="62"/>
      <c r="V1220" s="62"/>
      <c r="W1220" s="62"/>
      <c r="X1220" s="62"/>
      <c r="Y1220" s="62"/>
      <c r="Z1220" s="88"/>
      <c r="AA1220" s="88"/>
      <c r="AB1220" s="88"/>
      <c r="AC1220" s="88"/>
      <c r="AD1220" s="88"/>
      <c r="AE1220" s="88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8"/>
      <c r="D1221" s="126"/>
      <c r="E1221" s="126"/>
      <c r="F1221" s="88"/>
      <c r="G1221" s="88"/>
      <c r="H1221" s="62"/>
      <c r="I1221" s="126"/>
      <c r="J1221" s="126"/>
      <c r="K1221" s="125"/>
      <c r="L1221" s="62"/>
      <c r="M1221" s="62"/>
      <c r="N1221" s="65"/>
      <c r="O1221" s="88"/>
      <c r="P1221" s="126"/>
      <c r="Q1221" s="126"/>
      <c r="R1221" s="88"/>
      <c r="S1221" s="88"/>
      <c r="T1221" s="62"/>
      <c r="U1221" s="126"/>
      <c r="V1221" s="126"/>
      <c r="W1221" s="125"/>
      <c r="X1221" s="62"/>
      <c r="Y1221" s="62"/>
      <c r="Z1221" s="65"/>
      <c r="AA1221" s="88"/>
      <c r="AB1221" s="126"/>
      <c r="AC1221" s="126"/>
      <c r="AD1221" s="88"/>
      <c r="AE1221" s="88"/>
      <c r="AF1221" s="62"/>
      <c r="AG1221" s="126"/>
      <c r="AH1221" s="126"/>
      <c r="AI1221" s="12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8"/>
      <c r="C1222" s="88"/>
      <c r="D1222" s="81"/>
      <c r="E1222" s="82"/>
      <c r="F1222" s="83"/>
      <c r="G1222" s="83"/>
      <c r="H1222" s="62"/>
      <c r="I1222" s="87"/>
      <c r="J1222" s="87"/>
      <c r="K1222" s="125"/>
      <c r="L1222" s="62"/>
      <c r="M1222" s="62"/>
      <c r="N1222" s="88"/>
      <c r="O1222" s="88"/>
      <c r="P1222" s="81"/>
      <c r="Q1222" s="83"/>
      <c r="R1222" s="83"/>
      <c r="S1222" s="83"/>
      <c r="T1222" s="62"/>
      <c r="U1222" s="87"/>
      <c r="V1222" s="87"/>
      <c r="W1222" s="125"/>
      <c r="X1222" s="62"/>
      <c r="Y1222" s="62"/>
      <c r="Z1222" s="88"/>
      <c r="AA1222" s="88"/>
      <c r="AB1222" s="81"/>
      <c r="AC1222" s="82"/>
      <c r="AD1222" s="83"/>
      <c r="AE1222" s="83"/>
      <c r="AF1222" s="62"/>
      <c r="AG1222" s="87"/>
      <c r="AH1222" s="87"/>
      <c r="AI1222" s="12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8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8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8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8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8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8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8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8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8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8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8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8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8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8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8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8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8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8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8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8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8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8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8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8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8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8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8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8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8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8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8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8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8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8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8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8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8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8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8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8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8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8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8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8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8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8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8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8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8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8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8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8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8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8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8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8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8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8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8"/>
      <c r="P1243" s="67"/>
      <c r="Q1243" s="88"/>
      <c r="R1243" s="88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8"/>
      <c r="P1244" s="68"/>
      <c r="Q1244" s="88"/>
      <c r="R1244" s="88"/>
      <c r="S1244" s="60"/>
      <c r="T1244" s="62"/>
      <c r="U1244" s="62"/>
      <c r="V1244" s="62"/>
      <c r="W1244" s="61"/>
      <c r="X1244" s="62"/>
      <c r="Y1244" s="62"/>
      <c r="Z1244" s="66"/>
      <c r="AA1244" s="88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8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8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8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8"/>
      <c r="P1246" s="69"/>
      <c r="Q1246" s="88"/>
      <c r="R1246" s="88"/>
      <c r="S1246" s="60"/>
      <c r="T1246" s="62"/>
      <c r="U1246" s="62"/>
      <c r="V1246" s="62"/>
      <c r="W1246" s="61"/>
      <c r="X1246" s="62"/>
      <c r="Y1246" s="62"/>
      <c r="Z1246" s="66"/>
      <c r="AA1246" s="88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8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8"/>
      <c r="P1247" s="69"/>
      <c r="Q1247" s="88"/>
      <c r="R1247" s="88"/>
      <c r="S1247" s="60"/>
      <c r="T1247" s="62"/>
      <c r="U1247" s="62"/>
      <c r="V1247" s="62"/>
      <c r="W1247" s="61"/>
      <c r="X1247" s="62"/>
      <c r="Y1247" s="62"/>
      <c r="Z1247" s="66"/>
      <c r="AA1247" s="88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8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8"/>
      <c r="P1248" s="69"/>
      <c r="Q1248" s="88"/>
      <c r="R1248" s="88"/>
      <c r="S1248" s="60"/>
      <c r="T1248" s="62"/>
      <c r="U1248" s="62"/>
      <c r="V1248" s="62"/>
      <c r="W1248" s="61"/>
      <c r="X1248" s="62"/>
      <c r="Y1248" s="62"/>
      <c r="Z1248" s="66"/>
      <c r="AA1248" s="88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8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8"/>
      <c r="P1249" s="69"/>
      <c r="Q1249" s="88"/>
      <c r="R1249" s="88"/>
      <c r="S1249" s="60"/>
      <c r="T1249" s="62"/>
      <c r="U1249" s="62"/>
      <c r="V1249" s="62"/>
      <c r="W1249" s="61"/>
      <c r="X1249" s="62"/>
      <c r="Y1249" s="62"/>
      <c r="Z1249" s="66"/>
      <c r="AA1249" s="88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8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8"/>
      <c r="P1250" s="69"/>
      <c r="Q1250" s="88"/>
      <c r="R1250" s="88"/>
      <c r="S1250" s="60"/>
      <c r="T1250" s="62"/>
      <c r="U1250" s="62"/>
      <c r="V1250" s="62"/>
      <c r="W1250" s="61"/>
      <c r="X1250" s="62"/>
      <c r="Y1250" s="62"/>
      <c r="Z1250" s="66"/>
      <c r="AA1250" s="88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8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8"/>
      <c r="P1251" s="69"/>
      <c r="Q1251" s="88"/>
      <c r="R1251" s="88"/>
      <c r="S1251" s="60"/>
      <c r="T1251" s="62"/>
      <c r="U1251" s="62"/>
      <c r="V1251" s="62"/>
      <c r="W1251" s="61"/>
      <c r="X1251" s="62"/>
      <c r="Y1251" s="62"/>
      <c r="Z1251" s="66"/>
      <c r="AA1251" s="88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8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8"/>
      <c r="P1252" s="69"/>
      <c r="Q1252" s="88"/>
      <c r="R1252" s="88"/>
      <c r="S1252" s="60"/>
      <c r="T1252" s="62"/>
      <c r="U1252" s="62"/>
      <c r="V1252" s="62"/>
      <c r="W1252" s="61"/>
      <c r="X1252" s="62"/>
      <c r="Y1252" s="62"/>
      <c r="Z1252" s="66"/>
      <c r="AA1252" s="88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8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8"/>
      <c r="R1253" s="88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8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8"/>
      <c r="P1254" s="69"/>
      <c r="Q1254" s="88"/>
      <c r="R1254" s="88"/>
      <c r="S1254" s="60"/>
      <c r="T1254" s="62"/>
      <c r="U1254" s="62"/>
      <c r="V1254" s="62"/>
      <c r="W1254" s="61"/>
      <c r="X1254" s="62"/>
      <c r="Y1254" s="62"/>
      <c r="Z1254" s="66"/>
      <c r="AA1254" s="88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8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8"/>
      <c r="P1255" s="69"/>
      <c r="Q1255" s="88"/>
      <c r="R1255" s="88"/>
      <c r="S1255" s="60"/>
      <c r="T1255" s="62"/>
      <c r="U1255" s="62"/>
      <c r="V1255" s="62"/>
      <c r="W1255" s="61"/>
      <c r="X1255" s="62"/>
      <c r="Y1255" s="62"/>
      <c r="Z1255" s="66"/>
      <c r="AA1255" s="88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8"/>
      <c r="P1256" s="69"/>
      <c r="Q1256" s="88"/>
      <c r="R1256" s="88"/>
      <c r="S1256" s="60"/>
      <c r="T1256" s="62"/>
      <c r="U1256" s="62"/>
      <c r="V1256" s="62"/>
      <c r="W1256" s="61"/>
      <c r="X1256" s="62"/>
      <c r="Y1256" s="62"/>
      <c r="Z1256" s="66"/>
      <c r="AA1256" s="88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8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8"/>
      <c r="P1257" s="69"/>
      <c r="Q1257" s="88"/>
      <c r="R1257" s="88"/>
      <c r="S1257" s="60"/>
      <c r="T1257" s="62"/>
      <c r="U1257" s="62"/>
      <c r="V1257" s="62"/>
      <c r="W1257" s="61"/>
      <c r="X1257" s="62"/>
      <c r="Y1257" s="62"/>
      <c r="Z1257" s="66"/>
      <c r="AA1257" s="88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8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8"/>
      <c r="P1258" s="69"/>
      <c r="Q1258" s="88"/>
      <c r="R1258" s="88"/>
      <c r="S1258" s="60"/>
      <c r="T1258" s="62"/>
      <c r="U1258" s="62"/>
      <c r="V1258" s="62"/>
      <c r="W1258" s="61"/>
      <c r="X1258" s="62"/>
      <c r="Y1258" s="62"/>
      <c r="Z1258" s="66"/>
      <c r="AA1258" s="88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26"/>
      <c r="E1283" s="126"/>
      <c r="F1283" s="84"/>
      <c r="G1283" s="84"/>
      <c r="H1283" s="62"/>
      <c r="I1283" s="126"/>
      <c r="J1283" s="126"/>
      <c r="K1283" s="125"/>
      <c r="L1283" s="62"/>
      <c r="M1283" s="62"/>
      <c r="N1283" s="65"/>
      <c r="O1283" s="84"/>
      <c r="P1283" s="126"/>
      <c r="Q1283" s="126"/>
      <c r="R1283" s="84"/>
      <c r="S1283" s="84"/>
      <c r="T1283" s="62"/>
      <c r="U1283" s="126"/>
      <c r="V1283" s="126"/>
      <c r="W1283" s="125"/>
      <c r="X1283" s="62"/>
      <c r="Y1283" s="62"/>
      <c r="Z1283" s="65"/>
      <c r="AA1283" s="84"/>
      <c r="AB1283" s="126"/>
      <c r="AC1283" s="126"/>
      <c r="AD1283" s="84"/>
      <c r="AE1283" s="84"/>
      <c r="AF1283" s="62"/>
      <c r="AG1283" s="126"/>
      <c r="AH1283" s="126"/>
      <c r="AI1283" s="12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25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25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2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OCTOBER</vt:lpstr>
      <vt:lpstr>DSIS | OCTOBER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2025-10-27T01:30:17Z</dcterms:modified>
</cp:coreProperties>
</file>