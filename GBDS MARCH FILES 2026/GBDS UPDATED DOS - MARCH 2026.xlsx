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967EE416-45FE-4DDA-B25F-F7F5434817F1}" xr6:coauthVersionLast="45" xr6:coauthVersionMax="47" xr10:uidLastSave="{00000000-0000-0000-0000-000000000000}"/>
  <bookViews>
    <workbookView xWindow="-120" yWindow="-120" windowWidth="29040" windowHeight="15840" firstSheet="7" activeTab="15" xr2:uid="{EAA847CC-C244-4239-B005-CBB8C204AC80}"/>
  </bookViews>
  <sheets>
    <sheet name="03-03-2026 MTS" sheetId="181" r:id="rId1"/>
    <sheet name="03-04-2026-A MTS" sheetId="182" r:id="rId2"/>
    <sheet name="03-09-2026 MTS" sheetId="183" r:id="rId3"/>
    <sheet name="03-16-2026" sheetId="184" r:id="rId4"/>
    <sheet name="03-17-2026" sheetId="185" r:id="rId5"/>
    <sheet name="03-17-2026 (2)" sheetId="186" r:id="rId6"/>
    <sheet name="03-18-2026" sheetId="187" r:id="rId7"/>
    <sheet name="03-18-2026 NAB" sheetId="188" r:id="rId8"/>
    <sheet name="03-19-2026" sheetId="189" r:id="rId9"/>
    <sheet name="03-19-2026-NAB" sheetId="190" r:id="rId10"/>
    <sheet name="03-23-2026" sheetId="191" r:id="rId11"/>
    <sheet name="03-24-2026-A" sheetId="192" r:id="rId12"/>
    <sheet name="03-24-2026-B" sheetId="193" r:id="rId13"/>
    <sheet name="03-24-2026-C" sheetId="194" r:id="rId14"/>
    <sheet name="03-26-2026" sheetId="195" r:id="rId15"/>
    <sheet name="03-27-2026" sheetId="196" r:id="rId16"/>
  </sheets>
  <definedNames>
    <definedName name="_xlnm.Print_Area" localSheetId="0">'03-03-2026 MTS'!$A$1:$V$97</definedName>
    <definedName name="_xlnm.Print_Area" localSheetId="1">'03-04-2026-A MTS'!$A$1:$V$97</definedName>
    <definedName name="_xlnm.Print_Area" localSheetId="2">'03-09-2026 MTS'!$A$1:$V$97</definedName>
    <definedName name="_xlnm.Print_Area" localSheetId="3">'03-16-2026'!$A$1:$V$97</definedName>
    <definedName name="_xlnm.Print_Area" localSheetId="4">'03-17-2026'!$A$1:$V$97</definedName>
    <definedName name="_xlnm.Print_Area" localSheetId="5">'03-17-2026 (2)'!$A$1:$V$97</definedName>
    <definedName name="_xlnm.Print_Area" localSheetId="6">'03-18-2026'!$A$1:$V$97</definedName>
    <definedName name="_xlnm.Print_Area" localSheetId="7">'03-18-2026 NAB'!$A$1:$V$97</definedName>
    <definedName name="_xlnm.Print_Area" localSheetId="8">'03-19-2026'!$A$1:$V$97</definedName>
    <definedName name="_xlnm.Print_Area" localSheetId="9">'03-19-2026-NAB'!$A$1:$V$97</definedName>
    <definedName name="_xlnm.Print_Area" localSheetId="10">'03-23-2026'!$A$1:$V$97</definedName>
    <definedName name="_xlnm.Print_Area" localSheetId="11">'03-24-2026-A'!$A$1:$V$97</definedName>
    <definedName name="_xlnm.Print_Area" localSheetId="12">'03-24-2026-B'!$A$1:$V$97</definedName>
    <definedName name="_xlnm.Print_Area" localSheetId="13">'03-24-2026-C'!$A$1:$V$97</definedName>
    <definedName name="_xlnm.Print_Area" localSheetId="14">'03-26-2026'!$A$1:$V$97</definedName>
    <definedName name="_xlnm.Print_Area" localSheetId="15">'03-27-2026'!$A$1:$V$97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96" l="1"/>
  <c r="P71" i="196"/>
  <c r="H71" i="196"/>
  <c r="Q70" i="196"/>
  <c r="P70" i="196"/>
  <c r="I70" i="196"/>
  <c r="H70" i="196"/>
  <c r="E70" i="196"/>
  <c r="Q69" i="196"/>
  <c r="P69" i="196"/>
  <c r="I69" i="196"/>
  <c r="H69" i="196"/>
  <c r="E69" i="196"/>
  <c r="AD68" i="196"/>
  <c r="AC68" i="196"/>
  <c r="AB68" i="196"/>
  <c r="AE68" i="196" s="1"/>
  <c r="AI68" i="196" s="1"/>
  <c r="Y68" i="196" s="1"/>
  <c r="Z68" i="196"/>
  <c r="X68" i="196"/>
  <c r="Q68" i="196"/>
  <c r="P68" i="196"/>
  <c r="H68" i="196"/>
  <c r="E68" i="196"/>
  <c r="I68" i="196" s="1"/>
  <c r="AE67" i="196"/>
  <c r="AI67" i="196" s="1"/>
  <c r="Y67" i="196" s="1"/>
  <c r="AD67" i="196"/>
  <c r="AC67" i="196"/>
  <c r="AB67" i="196"/>
  <c r="Z67" i="196"/>
  <c r="X67" i="196"/>
  <c r="Q67" i="196"/>
  <c r="P67" i="196"/>
  <c r="H67" i="196"/>
  <c r="E67" i="196"/>
  <c r="I67" i="196" s="1"/>
  <c r="AD66" i="196"/>
  <c r="AC66" i="196"/>
  <c r="AB66" i="196"/>
  <c r="AE66" i="196" s="1"/>
  <c r="AI66" i="196" s="1"/>
  <c r="Y66" i="196" s="1"/>
  <c r="Z66" i="196"/>
  <c r="X66" i="196"/>
  <c r="Q66" i="196"/>
  <c r="P66" i="196"/>
  <c r="H66" i="196"/>
  <c r="E66" i="196"/>
  <c r="I66" i="196" s="1"/>
  <c r="AD65" i="196"/>
  <c r="AC65" i="196"/>
  <c r="AB65" i="196"/>
  <c r="AE65" i="196" s="1"/>
  <c r="AI65" i="196" s="1"/>
  <c r="Y65" i="196" s="1"/>
  <c r="Z65" i="196"/>
  <c r="X65" i="196"/>
  <c r="Q65" i="196"/>
  <c r="P65" i="196"/>
  <c r="H65" i="196"/>
  <c r="E65" i="196"/>
  <c r="I65" i="196" s="1"/>
  <c r="AE64" i="196"/>
  <c r="AI64" i="196" s="1"/>
  <c r="Y64" i="196" s="1"/>
  <c r="AD64" i="196"/>
  <c r="AC64" i="196"/>
  <c r="AB64" i="196"/>
  <c r="Z64" i="196"/>
  <c r="X64" i="196"/>
  <c r="Q64" i="196"/>
  <c r="P64" i="196"/>
  <c r="I64" i="196"/>
  <c r="H64" i="196"/>
  <c r="E64" i="196"/>
  <c r="AD63" i="196"/>
  <c r="AC63" i="196"/>
  <c r="AB63" i="196"/>
  <c r="AE63" i="196" s="1"/>
  <c r="AI63" i="196" s="1"/>
  <c r="Y63" i="196" s="1"/>
  <c r="Z63" i="196"/>
  <c r="X63" i="196"/>
  <c r="Q63" i="196"/>
  <c r="P63" i="196"/>
  <c r="I63" i="196"/>
  <c r="H63" i="196"/>
  <c r="E63" i="196"/>
  <c r="AD62" i="196"/>
  <c r="AE62" i="196" s="1"/>
  <c r="AI62" i="196" s="1"/>
  <c r="Y62" i="196" s="1"/>
  <c r="AC62" i="196"/>
  <c r="AB62" i="196"/>
  <c r="Z62" i="196"/>
  <c r="X62" i="196"/>
  <c r="Q62" i="196"/>
  <c r="P62" i="196"/>
  <c r="H62" i="196"/>
  <c r="E62" i="196"/>
  <c r="I62" i="196" s="1"/>
  <c r="AE61" i="196"/>
  <c r="AI61" i="196" s="1"/>
  <c r="Y61" i="196" s="1"/>
  <c r="AC61" i="196"/>
  <c r="AB61" i="196"/>
  <c r="X61" i="196"/>
  <c r="Q61" i="196"/>
  <c r="P61" i="196"/>
  <c r="H61" i="196"/>
  <c r="E61" i="196"/>
  <c r="I61" i="196" s="1"/>
  <c r="AE60" i="196"/>
  <c r="AI60" i="196" s="1"/>
  <c r="Y60" i="196" s="1"/>
  <c r="X60" i="196"/>
  <c r="Q60" i="196"/>
  <c r="P60" i="196"/>
  <c r="I60" i="196"/>
  <c r="H60" i="196"/>
  <c r="E60" i="196"/>
  <c r="AE59" i="196"/>
  <c r="AI59" i="196" s="1"/>
  <c r="Y59" i="196" s="1"/>
  <c r="AC59" i="196"/>
  <c r="AB59" i="196"/>
  <c r="X59" i="196"/>
  <c r="Q59" i="196"/>
  <c r="P59" i="196"/>
  <c r="H59" i="196"/>
  <c r="E59" i="196"/>
  <c r="I59" i="196" s="1"/>
  <c r="AC58" i="196"/>
  <c r="AE58" i="196" s="1"/>
  <c r="AI58" i="196" s="1"/>
  <c r="Y58" i="196" s="1"/>
  <c r="AB58" i="196"/>
  <c r="X58" i="196"/>
  <c r="Q58" i="196"/>
  <c r="P58" i="196"/>
  <c r="E58" i="196"/>
  <c r="I58" i="196" s="1"/>
  <c r="AE57" i="196"/>
  <c r="AI57" i="196" s="1"/>
  <c r="Y57" i="196" s="1"/>
  <c r="AC57" i="196"/>
  <c r="AB57" i="196"/>
  <c r="X57" i="196"/>
  <c r="Q57" i="196"/>
  <c r="P57" i="196"/>
  <c r="I57" i="196"/>
  <c r="H57" i="196"/>
  <c r="E57" i="196"/>
  <c r="AE56" i="196"/>
  <c r="AI56" i="196" s="1"/>
  <c r="Y56" i="196" s="1"/>
  <c r="AD56" i="196"/>
  <c r="AC56" i="196"/>
  <c r="AB56" i="196"/>
  <c r="Z56" i="196"/>
  <c r="X56" i="196"/>
  <c r="Q56" i="196"/>
  <c r="P56" i="196"/>
  <c r="I56" i="196"/>
  <c r="H56" i="196"/>
  <c r="E56" i="196"/>
  <c r="AD55" i="196"/>
  <c r="AC55" i="196"/>
  <c r="AB55" i="196"/>
  <c r="AE55" i="196" s="1"/>
  <c r="AI55" i="196" s="1"/>
  <c r="Y55" i="196" s="1"/>
  <c r="Z55" i="196"/>
  <c r="X55" i="196"/>
  <c r="Q55" i="196"/>
  <c r="P55" i="196"/>
  <c r="I55" i="196"/>
  <c r="H55" i="196"/>
  <c r="E55" i="196"/>
  <c r="AE54" i="196"/>
  <c r="AI54" i="196" s="1"/>
  <c r="Y54" i="196" s="1"/>
  <c r="AD54" i="196"/>
  <c r="AC54" i="196"/>
  <c r="AB54" i="196"/>
  <c r="Z54" i="196"/>
  <c r="X54" i="196"/>
  <c r="Q54" i="196"/>
  <c r="P54" i="196"/>
  <c r="H54" i="196"/>
  <c r="E54" i="196"/>
  <c r="I54" i="196" s="1"/>
  <c r="AD53" i="196"/>
  <c r="AC53" i="196"/>
  <c r="AB53" i="196"/>
  <c r="AE53" i="196" s="1"/>
  <c r="AI53" i="196" s="1"/>
  <c r="Y53" i="196" s="1"/>
  <c r="Z53" i="196"/>
  <c r="X53" i="196"/>
  <c r="Q53" i="196"/>
  <c r="P53" i="196"/>
  <c r="I53" i="196"/>
  <c r="H53" i="196"/>
  <c r="E53" i="196"/>
  <c r="AE52" i="196"/>
  <c r="AI52" i="196" s="1"/>
  <c r="Y52" i="196" s="1"/>
  <c r="Z52" i="196"/>
  <c r="X52" i="196"/>
  <c r="Q52" i="196"/>
  <c r="P52" i="196"/>
  <c r="I52" i="196"/>
  <c r="H52" i="196"/>
  <c r="E52" i="196"/>
  <c r="AE51" i="196"/>
  <c r="AI51" i="196" s="1"/>
  <c r="Y51" i="196" s="1"/>
  <c r="AD51" i="196"/>
  <c r="AC51" i="196"/>
  <c r="AB51" i="196"/>
  <c r="Z51" i="196"/>
  <c r="X51" i="196"/>
  <c r="Q51" i="196"/>
  <c r="P51" i="196"/>
  <c r="H51" i="196"/>
  <c r="E51" i="196"/>
  <c r="I51" i="196" s="1"/>
  <c r="AD50" i="196"/>
  <c r="AC50" i="196"/>
  <c r="AB50" i="196"/>
  <c r="AE50" i="196" s="1"/>
  <c r="AI50" i="196" s="1"/>
  <c r="Y50" i="196" s="1"/>
  <c r="Z50" i="196"/>
  <c r="X50" i="196"/>
  <c r="Q50" i="196"/>
  <c r="P50" i="196"/>
  <c r="I50" i="196"/>
  <c r="H50" i="196"/>
  <c r="E50" i="196"/>
  <c r="AI49" i="196"/>
  <c r="AE49" i="196"/>
  <c r="Z49" i="196"/>
  <c r="Y49" i="196"/>
  <c r="X49" i="196"/>
  <c r="Q49" i="196"/>
  <c r="P49" i="196"/>
  <c r="I49" i="196"/>
  <c r="H49" i="196"/>
  <c r="E49" i="196"/>
  <c r="AE48" i="196"/>
  <c r="AI48" i="196" s="1"/>
  <c r="Y48" i="196" s="1"/>
  <c r="Z48" i="196"/>
  <c r="X48" i="196"/>
  <c r="Q48" i="196"/>
  <c r="P48" i="196"/>
  <c r="H48" i="196"/>
  <c r="E48" i="196"/>
  <c r="I48" i="196" s="1"/>
  <c r="AE47" i="196"/>
  <c r="AI47" i="196" s="1"/>
  <c r="Y47" i="196" s="1"/>
  <c r="Z47" i="196"/>
  <c r="X47" i="196"/>
  <c r="Q47" i="196"/>
  <c r="P47" i="196"/>
  <c r="H47" i="196"/>
  <c r="E47" i="196"/>
  <c r="I47" i="196" s="1"/>
  <c r="AD46" i="196"/>
  <c r="AC46" i="196"/>
  <c r="AB46" i="196"/>
  <c r="AE46" i="196" s="1"/>
  <c r="AI46" i="196" s="1"/>
  <c r="Y46" i="196" s="1"/>
  <c r="Z46" i="196"/>
  <c r="X46" i="196"/>
  <c r="Q46" i="196"/>
  <c r="P46" i="196"/>
  <c r="I46" i="196"/>
  <c r="H46" i="196"/>
  <c r="E46" i="196"/>
  <c r="AD45" i="196"/>
  <c r="AC45" i="196"/>
  <c r="AB45" i="196"/>
  <c r="AE45" i="196" s="1"/>
  <c r="AI45" i="196" s="1"/>
  <c r="Y45" i="196" s="1"/>
  <c r="Z45" i="196"/>
  <c r="X45" i="196"/>
  <c r="Q45" i="196"/>
  <c r="P45" i="196"/>
  <c r="I45" i="196"/>
  <c r="H45" i="196"/>
  <c r="E45" i="196"/>
  <c r="AE44" i="196"/>
  <c r="AI44" i="196" s="1"/>
  <c r="Y44" i="196" s="1"/>
  <c r="AD44" i="196"/>
  <c r="AC44" i="196"/>
  <c r="AB44" i="196"/>
  <c r="Z44" i="196"/>
  <c r="X44" i="196"/>
  <c r="Q44" i="196"/>
  <c r="P44" i="196"/>
  <c r="I44" i="196"/>
  <c r="H44" i="196"/>
  <c r="E44" i="196"/>
  <c r="AD43" i="196"/>
  <c r="AC43" i="196"/>
  <c r="AB43" i="196"/>
  <c r="AE43" i="196" s="1"/>
  <c r="AI43" i="196" s="1"/>
  <c r="Y43" i="196" s="1"/>
  <c r="Z43" i="196"/>
  <c r="X43" i="196"/>
  <c r="Q43" i="196"/>
  <c r="P43" i="196"/>
  <c r="I43" i="196"/>
  <c r="H43" i="196"/>
  <c r="E43" i="196"/>
  <c r="AD42" i="196"/>
  <c r="AC42" i="196"/>
  <c r="AE42" i="196" s="1"/>
  <c r="AI42" i="196" s="1"/>
  <c r="Y42" i="196" s="1"/>
  <c r="AB42" i="196"/>
  <c r="Z42" i="196"/>
  <c r="X42" i="196"/>
  <c r="Q42" i="196"/>
  <c r="P42" i="196"/>
  <c r="H42" i="196"/>
  <c r="E42" i="196"/>
  <c r="I42" i="196" s="1"/>
  <c r="AD41" i="196"/>
  <c r="AC41" i="196"/>
  <c r="AB41" i="196"/>
  <c r="AE41" i="196" s="1"/>
  <c r="AI41" i="196" s="1"/>
  <c r="Y41" i="196" s="1"/>
  <c r="Z41" i="196"/>
  <c r="X41" i="196"/>
  <c r="Q41" i="196"/>
  <c r="P41" i="196"/>
  <c r="I41" i="196"/>
  <c r="H41" i="196"/>
  <c r="E41" i="196"/>
  <c r="AD40" i="196"/>
  <c r="AC40" i="196"/>
  <c r="AB40" i="196"/>
  <c r="AE40" i="196" s="1"/>
  <c r="AI40" i="196" s="1"/>
  <c r="Y40" i="196" s="1"/>
  <c r="Z40" i="196"/>
  <c r="X40" i="196"/>
  <c r="Q40" i="196"/>
  <c r="P40" i="196"/>
  <c r="I40" i="196"/>
  <c r="H40" i="196"/>
  <c r="E40" i="196"/>
  <c r="AD39" i="196"/>
  <c r="AC39" i="196"/>
  <c r="AB39" i="196"/>
  <c r="AE39" i="196" s="1"/>
  <c r="AI39" i="196" s="1"/>
  <c r="Y39" i="196" s="1"/>
  <c r="Z39" i="196"/>
  <c r="X39" i="196"/>
  <c r="Q39" i="196"/>
  <c r="P39" i="196"/>
  <c r="H39" i="196"/>
  <c r="E39" i="196"/>
  <c r="I39" i="196" s="1"/>
  <c r="AE38" i="196"/>
  <c r="AI38" i="196" s="1"/>
  <c r="Y38" i="196" s="1"/>
  <c r="AD38" i="196"/>
  <c r="AC38" i="196"/>
  <c r="AB38" i="196"/>
  <c r="Z38" i="196"/>
  <c r="X38" i="196"/>
  <c r="Q38" i="196"/>
  <c r="P38" i="196"/>
  <c r="H38" i="196"/>
  <c r="E38" i="196"/>
  <c r="I38" i="196" s="1"/>
  <c r="AD37" i="196"/>
  <c r="AC37" i="196"/>
  <c r="AB37" i="196"/>
  <c r="AE37" i="196" s="1"/>
  <c r="AI37" i="196" s="1"/>
  <c r="Y37" i="196" s="1"/>
  <c r="Z37" i="196"/>
  <c r="X37" i="196"/>
  <c r="Q37" i="196"/>
  <c r="P37" i="196"/>
  <c r="H37" i="196"/>
  <c r="E37" i="196"/>
  <c r="I37" i="196" s="1"/>
  <c r="AD36" i="196"/>
  <c r="AC36" i="196"/>
  <c r="AB36" i="196"/>
  <c r="AE36" i="196" s="1"/>
  <c r="AI36" i="196" s="1"/>
  <c r="Y36" i="196" s="1"/>
  <c r="Z36" i="196"/>
  <c r="X36" i="196"/>
  <c r="Q36" i="196"/>
  <c r="P36" i="196"/>
  <c r="H36" i="196"/>
  <c r="E36" i="196"/>
  <c r="I36" i="196" s="1"/>
  <c r="AE35" i="196"/>
  <c r="AI35" i="196" s="1"/>
  <c r="Y35" i="196" s="1"/>
  <c r="AD35" i="196"/>
  <c r="AC35" i="196"/>
  <c r="AB35" i="196"/>
  <c r="Z35" i="196"/>
  <c r="X35" i="196"/>
  <c r="Q35" i="196"/>
  <c r="P35" i="196"/>
  <c r="I35" i="196"/>
  <c r="H35" i="196"/>
  <c r="E35" i="196"/>
  <c r="AD34" i="196"/>
  <c r="AC34" i="196"/>
  <c r="AB34" i="196"/>
  <c r="AE34" i="196" s="1"/>
  <c r="AI34" i="196" s="1"/>
  <c r="Y34" i="196" s="1"/>
  <c r="Z34" i="196"/>
  <c r="X34" i="196"/>
  <c r="Q34" i="196"/>
  <c r="P34" i="196"/>
  <c r="H34" i="196"/>
  <c r="E34" i="196"/>
  <c r="I34" i="196" s="1"/>
  <c r="AD33" i="196"/>
  <c r="AC33" i="196"/>
  <c r="AB33" i="196"/>
  <c r="AE33" i="196" s="1"/>
  <c r="AI33" i="196" s="1"/>
  <c r="Y33" i="196" s="1"/>
  <c r="Z33" i="196"/>
  <c r="X33" i="196"/>
  <c r="Q33" i="196"/>
  <c r="P33" i="196"/>
  <c r="H33" i="196"/>
  <c r="E33" i="196"/>
  <c r="I33" i="196" s="1"/>
  <c r="AE32" i="196"/>
  <c r="AI32" i="196" s="1"/>
  <c r="Y32" i="196" s="1"/>
  <c r="AD32" i="196"/>
  <c r="AC32" i="196"/>
  <c r="AB32" i="196"/>
  <c r="Z32" i="196"/>
  <c r="X32" i="196"/>
  <c r="Q32" i="196"/>
  <c r="P32" i="196"/>
  <c r="I32" i="196"/>
  <c r="H32" i="196"/>
  <c r="E32" i="196"/>
  <c r="AE31" i="196"/>
  <c r="AI31" i="196" s="1"/>
  <c r="Y31" i="196" s="1"/>
  <c r="Z31" i="196"/>
  <c r="X31" i="196"/>
  <c r="Q31" i="196"/>
  <c r="P31" i="196"/>
  <c r="I31" i="196"/>
  <c r="H31" i="196"/>
  <c r="E31" i="196"/>
  <c r="AD30" i="196"/>
  <c r="AC30" i="196"/>
  <c r="AB30" i="196"/>
  <c r="AE30" i="196" s="1"/>
  <c r="AI30" i="196" s="1"/>
  <c r="Y30" i="196" s="1"/>
  <c r="Z30" i="196"/>
  <c r="X30" i="196"/>
  <c r="Q30" i="196"/>
  <c r="P30" i="196"/>
  <c r="I30" i="196"/>
  <c r="H30" i="196"/>
  <c r="E30" i="196"/>
  <c r="AE29" i="196"/>
  <c r="AI29" i="196" s="1"/>
  <c r="Y29" i="196" s="1"/>
  <c r="AD29" i="196"/>
  <c r="AC29" i="196"/>
  <c r="AB29" i="196"/>
  <c r="Z29" i="196"/>
  <c r="X29" i="196"/>
  <c r="Q29" i="196"/>
  <c r="P29" i="196"/>
  <c r="I29" i="196"/>
  <c r="H29" i="196"/>
  <c r="E29" i="196"/>
  <c r="AD28" i="196"/>
  <c r="AC28" i="196"/>
  <c r="AB28" i="196"/>
  <c r="AE28" i="196" s="1"/>
  <c r="AI28" i="196" s="1"/>
  <c r="Y28" i="196" s="1"/>
  <c r="Z28" i="196"/>
  <c r="X28" i="196"/>
  <c r="Q28" i="196"/>
  <c r="P28" i="196"/>
  <c r="H28" i="196"/>
  <c r="E28" i="196"/>
  <c r="I28" i="196" s="1"/>
  <c r="AD27" i="196"/>
  <c r="AC27" i="196"/>
  <c r="AE27" i="196" s="1"/>
  <c r="AI27" i="196" s="1"/>
  <c r="Y27" i="196" s="1"/>
  <c r="AB27" i="196"/>
  <c r="Z27" i="196"/>
  <c r="X27" i="196"/>
  <c r="Q27" i="196"/>
  <c r="P27" i="196"/>
  <c r="H27" i="196"/>
  <c r="E27" i="196"/>
  <c r="I27" i="196" s="1"/>
  <c r="AD26" i="196"/>
  <c r="AC26" i="196"/>
  <c r="AB26" i="196"/>
  <c r="AE26" i="196" s="1"/>
  <c r="AI26" i="196" s="1"/>
  <c r="Y26" i="196" s="1"/>
  <c r="Z26" i="196"/>
  <c r="X26" i="196"/>
  <c r="Q26" i="196"/>
  <c r="P26" i="196"/>
  <c r="I26" i="196"/>
  <c r="H26" i="196"/>
  <c r="E26" i="196"/>
  <c r="AD25" i="196"/>
  <c r="AE25" i="196" s="1"/>
  <c r="AI25" i="196" s="1"/>
  <c r="Y25" i="196" s="1"/>
  <c r="AC25" i="196"/>
  <c r="AB25" i="196"/>
  <c r="Z25" i="196"/>
  <c r="X25" i="196"/>
  <c r="Q25" i="196"/>
  <c r="P25" i="196"/>
  <c r="I25" i="196"/>
  <c r="H25" i="196"/>
  <c r="E25" i="196"/>
  <c r="AD24" i="196"/>
  <c r="AC24" i="196"/>
  <c r="AB24" i="196"/>
  <c r="AE24" i="196" s="1"/>
  <c r="AI24" i="196" s="1"/>
  <c r="Y24" i="196" s="1"/>
  <c r="Z24" i="196"/>
  <c r="X24" i="196"/>
  <c r="Q24" i="196"/>
  <c r="P24" i="196"/>
  <c r="H24" i="196"/>
  <c r="E24" i="196"/>
  <c r="I24" i="196" s="1"/>
  <c r="AE23" i="196"/>
  <c r="AI23" i="196" s="1"/>
  <c r="Y23" i="196" s="1"/>
  <c r="AD23" i="196"/>
  <c r="AC23" i="196"/>
  <c r="AB23" i="196"/>
  <c r="Z23" i="196"/>
  <c r="X23" i="196"/>
  <c r="Q23" i="196"/>
  <c r="P23" i="196"/>
  <c r="H23" i="196"/>
  <c r="E23" i="196"/>
  <c r="I23" i="196" s="1"/>
  <c r="AD22" i="196"/>
  <c r="AC22" i="196"/>
  <c r="AB22" i="196"/>
  <c r="AE22" i="196" s="1"/>
  <c r="AI22" i="196" s="1"/>
  <c r="Y22" i="196" s="1"/>
  <c r="Z22" i="196"/>
  <c r="X22" i="196"/>
  <c r="Q22" i="196"/>
  <c r="P22" i="196"/>
  <c r="I22" i="196"/>
  <c r="H22" i="196"/>
  <c r="E22" i="196"/>
  <c r="AD21" i="196"/>
  <c r="AC21" i="196"/>
  <c r="AE21" i="196" s="1"/>
  <c r="AI21" i="196" s="1"/>
  <c r="Y21" i="196" s="1"/>
  <c r="AB21" i="196"/>
  <c r="Z21" i="196"/>
  <c r="X21" i="196"/>
  <c r="Q21" i="196"/>
  <c r="P21" i="196"/>
  <c r="H21" i="196"/>
  <c r="E21" i="196"/>
  <c r="I21" i="196" s="1"/>
  <c r="AD20" i="196"/>
  <c r="AC20" i="196"/>
  <c r="AB20" i="196"/>
  <c r="AE20" i="196" s="1"/>
  <c r="AI20" i="196" s="1"/>
  <c r="Y20" i="196" s="1"/>
  <c r="Z20" i="196"/>
  <c r="X20" i="196"/>
  <c r="Q20" i="196"/>
  <c r="P20" i="196"/>
  <c r="I20" i="196"/>
  <c r="H20" i="196"/>
  <c r="E20" i="196"/>
  <c r="AD19" i="196"/>
  <c r="AC19" i="196"/>
  <c r="AB19" i="196"/>
  <c r="AE19" i="196" s="1"/>
  <c r="AI19" i="196" s="1"/>
  <c r="Y19" i="196" s="1"/>
  <c r="Z19" i="196"/>
  <c r="X19" i="196"/>
  <c r="Q19" i="196"/>
  <c r="P19" i="196"/>
  <c r="H19" i="196"/>
  <c r="E19" i="196"/>
  <c r="I19" i="196" s="1"/>
  <c r="AD18" i="196"/>
  <c r="AE18" i="196" s="1"/>
  <c r="AI18" i="196" s="1"/>
  <c r="Y18" i="196" s="1"/>
  <c r="AC18" i="196"/>
  <c r="AB18" i="196"/>
  <c r="Z18" i="196"/>
  <c r="X18" i="196"/>
  <c r="Q18" i="196"/>
  <c r="P18" i="196"/>
  <c r="H18" i="196"/>
  <c r="E18" i="196"/>
  <c r="I18" i="196" s="1"/>
  <c r="AE17" i="196"/>
  <c r="AI17" i="196" s="1"/>
  <c r="Y17" i="196" s="1"/>
  <c r="AD17" i="196"/>
  <c r="AC17" i="196"/>
  <c r="AB17" i="196"/>
  <c r="Z17" i="196"/>
  <c r="X17" i="196"/>
  <c r="Q17" i="196"/>
  <c r="P17" i="196"/>
  <c r="I17" i="196"/>
  <c r="H17" i="196"/>
  <c r="E17" i="196"/>
  <c r="AD16" i="196"/>
  <c r="AC16" i="196"/>
  <c r="AB16" i="196"/>
  <c r="AE16" i="196" s="1"/>
  <c r="AI16" i="196" s="1"/>
  <c r="Y16" i="196" s="1"/>
  <c r="Z16" i="196"/>
  <c r="X16" i="196"/>
  <c r="Q16" i="196"/>
  <c r="P16" i="196"/>
  <c r="I16" i="196"/>
  <c r="E16" i="196"/>
  <c r="AD15" i="196"/>
  <c r="AC15" i="196"/>
  <c r="AB15" i="196"/>
  <c r="AE15" i="196" s="1"/>
  <c r="AI15" i="196" s="1"/>
  <c r="Y15" i="196" s="1"/>
  <c r="Z15" i="196"/>
  <c r="X15" i="196"/>
  <c r="Q15" i="196"/>
  <c r="P15" i="196"/>
  <c r="I15" i="196"/>
  <c r="E15" i="196"/>
  <c r="AD14" i="196"/>
  <c r="AC14" i="196"/>
  <c r="AB14" i="196"/>
  <c r="AE14" i="196" s="1"/>
  <c r="AI14" i="196" s="1"/>
  <c r="Y14" i="196" s="1"/>
  <c r="Z14" i="196"/>
  <c r="X14" i="196"/>
  <c r="Q14" i="196"/>
  <c r="P14" i="196"/>
  <c r="H14" i="196"/>
  <c r="E14" i="196"/>
  <c r="I14" i="196" s="1"/>
  <c r="AE13" i="196"/>
  <c r="AI13" i="196" s="1"/>
  <c r="Y13" i="196" s="1"/>
  <c r="AD13" i="196"/>
  <c r="AC13" i="196"/>
  <c r="AB13" i="196"/>
  <c r="Z13" i="196"/>
  <c r="X13" i="196"/>
  <c r="Q13" i="196"/>
  <c r="P13" i="196"/>
  <c r="H13" i="196"/>
  <c r="E13" i="196"/>
  <c r="I13" i="196" s="1"/>
  <c r="AD12" i="196"/>
  <c r="AC12" i="196"/>
  <c r="AB12" i="196"/>
  <c r="AE12" i="196" s="1"/>
  <c r="AI12" i="196" s="1"/>
  <c r="Y12" i="196" s="1"/>
  <c r="Z12" i="196"/>
  <c r="X12" i="196"/>
  <c r="Q12" i="196"/>
  <c r="P12" i="196"/>
  <c r="H12" i="196"/>
  <c r="E12" i="196"/>
  <c r="I12" i="196" s="1"/>
  <c r="T75" i="196" l="1"/>
  <c r="T77" i="196"/>
  <c r="F73" i="196"/>
  <c r="O75" i="196"/>
  <c r="O73" i="196"/>
  <c r="F75" i="196"/>
  <c r="T73" i="196"/>
  <c r="M79" i="195"/>
  <c r="P71" i="195"/>
  <c r="H71" i="195"/>
  <c r="Q70" i="195"/>
  <c r="P70" i="195"/>
  <c r="H70" i="195"/>
  <c r="E70" i="195"/>
  <c r="I70" i="195" s="1"/>
  <c r="Q69" i="195"/>
  <c r="P69" i="195"/>
  <c r="H69" i="195"/>
  <c r="E69" i="195"/>
  <c r="I69" i="195" s="1"/>
  <c r="AD68" i="195"/>
  <c r="AC68" i="195"/>
  <c r="AB68" i="195"/>
  <c r="AE68" i="195" s="1"/>
  <c r="AI68" i="195" s="1"/>
  <c r="Y68" i="195" s="1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H66" i="195"/>
  <c r="E66" i="195"/>
  <c r="I66" i="195" s="1"/>
  <c r="AD65" i="195"/>
  <c r="AC65" i="195"/>
  <c r="AB65" i="195"/>
  <c r="AE65" i="195" s="1"/>
  <c r="AI65" i="195" s="1"/>
  <c r="Y65" i="195" s="1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E63" i="195"/>
  <c r="AI63" i="195" s="1"/>
  <c r="Y63" i="195" s="1"/>
  <c r="AD63" i="195"/>
  <c r="AC63" i="195"/>
  <c r="AB63" i="195"/>
  <c r="Z63" i="195"/>
  <c r="X63" i="195"/>
  <c r="Q63" i="195"/>
  <c r="P63" i="195"/>
  <c r="H63" i="195"/>
  <c r="E63" i="195"/>
  <c r="I63" i="195" s="1"/>
  <c r="AE62" i="195"/>
  <c r="AI62" i="195" s="1"/>
  <c r="Y62" i="195" s="1"/>
  <c r="AD62" i="195"/>
  <c r="AC62" i="195"/>
  <c r="AB62" i="195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H61" i="195"/>
  <c r="E61" i="195"/>
  <c r="I61" i="195" s="1"/>
  <c r="AI60" i="195"/>
  <c r="Y60" i="195" s="1"/>
  <c r="AE60" i="195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H59" i="195"/>
  <c r="E59" i="195"/>
  <c r="I59" i="195" s="1"/>
  <c r="AC58" i="195"/>
  <c r="AB58" i="195"/>
  <c r="AE58" i="195" s="1"/>
  <c r="AI58" i="195" s="1"/>
  <c r="Y58" i="195" s="1"/>
  <c r="X58" i="195"/>
  <c r="Q58" i="195"/>
  <c r="P58" i="195"/>
  <c r="I58" i="195"/>
  <c r="E58" i="195"/>
  <c r="AC57" i="195"/>
  <c r="AE57" i="195" s="1"/>
  <c r="AI57" i="195" s="1"/>
  <c r="Y57" i="195" s="1"/>
  <c r="AB57" i="195"/>
  <c r="X57" i="195"/>
  <c r="Q57" i="195"/>
  <c r="P57" i="195"/>
  <c r="H57" i="195"/>
  <c r="E57" i="195"/>
  <c r="I57" i="195" s="1"/>
  <c r="AD56" i="195"/>
  <c r="AC56" i="195"/>
  <c r="AE56" i="195" s="1"/>
  <c r="AI56" i="195" s="1"/>
  <c r="Y56" i="195" s="1"/>
  <c r="AB56" i="195"/>
  <c r="Z56" i="195"/>
  <c r="X56" i="195"/>
  <c r="Q56" i="195"/>
  <c r="P56" i="195"/>
  <c r="I56" i="195"/>
  <c r="H56" i="195"/>
  <c r="E56" i="195"/>
  <c r="AD55" i="195"/>
  <c r="AC55" i="195"/>
  <c r="AE55" i="195" s="1"/>
  <c r="AI55" i="195" s="1"/>
  <c r="Y55" i="195" s="1"/>
  <c r="AB55" i="195"/>
  <c r="Z55" i="195"/>
  <c r="X55" i="195"/>
  <c r="Q55" i="195"/>
  <c r="P55" i="195"/>
  <c r="I55" i="195"/>
  <c r="H55" i="195"/>
  <c r="E55" i="195"/>
  <c r="AE54" i="195"/>
  <c r="AI54" i="195" s="1"/>
  <c r="Y54" i="195" s="1"/>
  <c r="AD54" i="195"/>
  <c r="AC54" i="195"/>
  <c r="AB54" i="195"/>
  <c r="Z54" i="195"/>
  <c r="X54" i="195"/>
  <c r="Q54" i="195"/>
  <c r="P54" i="195"/>
  <c r="H54" i="195"/>
  <c r="E54" i="195"/>
  <c r="I54" i="195" s="1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E52" i="195"/>
  <c r="AI52" i="195" s="1"/>
  <c r="Y52" i="195" s="1"/>
  <c r="Z52" i="195"/>
  <c r="X52" i="195"/>
  <c r="Q52" i="195"/>
  <c r="P52" i="195"/>
  <c r="I52" i="195"/>
  <c r="H52" i="195"/>
  <c r="E52" i="195"/>
  <c r="AD51" i="195"/>
  <c r="AE51" i="195" s="1"/>
  <c r="AI51" i="195" s="1"/>
  <c r="Y51" i="195" s="1"/>
  <c r="AC51" i="195"/>
  <c r="AB51" i="195"/>
  <c r="Z51" i="195"/>
  <c r="X51" i="195"/>
  <c r="Q51" i="195"/>
  <c r="P51" i="195"/>
  <c r="H51" i="195"/>
  <c r="E51" i="195"/>
  <c r="I51" i="195" s="1"/>
  <c r="AD50" i="195"/>
  <c r="AC50" i="195"/>
  <c r="AB50" i="195"/>
  <c r="AE50" i="195" s="1"/>
  <c r="AI50" i="195" s="1"/>
  <c r="Y50" i="195" s="1"/>
  <c r="Z50" i="195"/>
  <c r="X50" i="195"/>
  <c r="Q50" i="195"/>
  <c r="P50" i="195"/>
  <c r="H50" i="195"/>
  <c r="E50" i="195"/>
  <c r="I50" i="195" s="1"/>
  <c r="AI49" i="195"/>
  <c r="AE49" i="195"/>
  <c r="Z49" i="195"/>
  <c r="Y49" i="195"/>
  <c r="X49" i="195"/>
  <c r="Q49" i="195"/>
  <c r="P49" i="195"/>
  <c r="I49" i="195"/>
  <c r="H49" i="195"/>
  <c r="E49" i="195"/>
  <c r="AE48" i="195"/>
  <c r="AI48" i="195" s="1"/>
  <c r="Y48" i="195" s="1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I47" i="195"/>
  <c r="H47" i="195"/>
  <c r="E47" i="195"/>
  <c r="AD46" i="195"/>
  <c r="AC46" i="195"/>
  <c r="AB46" i="195"/>
  <c r="AE46" i="195" s="1"/>
  <c r="AI46" i="195" s="1"/>
  <c r="Y46" i="195" s="1"/>
  <c r="Z46" i="195"/>
  <c r="X46" i="195"/>
  <c r="Q46" i="195"/>
  <c r="P46" i="195"/>
  <c r="I46" i="195"/>
  <c r="H46" i="195"/>
  <c r="E46" i="195"/>
  <c r="AD45" i="195"/>
  <c r="AC45" i="195"/>
  <c r="AB45" i="195"/>
  <c r="AE45" i="195" s="1"/>
  <c r="AI45" i="195" s="1"/>
  <c r="Y45" i="195" s="1"/>
  <c r="Z45" i="195"/>
  <c r="X45" i="195"/>
  <c r="Q45" i="195"/>
  <c r="P45" i="195"/>
  <c r="H45" i="195"/>
  <c r="E45" i="195"/>
  <c r="I45" i="195" s="1"/>
  <c r="AD44" i="195"/>
  <c r="AC44" i="195"/>
  <c r="AE44" i="195" s="1"/>
  <c r="AI44" i="195" s="1"/>
  <c r="Y44" i="195" s="1"/>
  <c r="AB44" i="195"/>
  <c r="Z44" i="195"/>
  <c r="X44" i="195"/>
  <c r="Q44" i="195"/>
  <c r="P44" i="195"/>
  <c r="I44" i="195"/>
  <c r="H44" i="195"/>
  <c r="E44" i="195"/>
  <c r="AD43" i="195"/>
  <c r="AC43" i="195"/>
  <c r="AE43" i="195" s="1"/>
  <c r="AI43" i="195" s="1"/>
  <c r="Y43" i="195" s="1"/>
  <c r="AB43" i="195"/>
  <c r="Z43" i="195"/>
  <c r="X43" i="195"/>
  <c r="Q43" i="195"/>
  <c r="P43" i="195"/>
  <c r="I43" i="195"/>
  <c r="H43" i="195"/>
  <c r="E43" i="195"/>
  <c r="AE42" i="195"/>
  <c r="AI42" i="195" s="1"/>
  <c r="Y42" i="195" s="1"/>
  <c r="AD42" i="195"/>
  <c r="AC42" i="195"/>
  <c r="AB42" i="195"/>
  <c r="Z42" i="195"/>
  <c r="X42" i="195"/>
  <c r="Q42" i="195"/>
  <c r="P42" i="195"/>
  <c r="H42" i="195"/>
  <c r="E42" i="195"/>
  <c r="I42" i="195" s="1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D40" i="195"/>
  <c r="AC40" i="195"/>
  <c r="AE40" i="195" s="1"/>
  <c r="AI40" i="195" s="1"/>
  <c r="Y40" i="195" s="1"/>
  <c r="AB40" i="195"/>
  <c r="Z40" i="195"/>
  <c r="X40" i="195"/>
  <c r="Q40" i="195"/>
  <c r="P40" i="195"/>
  <c r="H40" i="195"/>
  <c r="E40" i="195"/>
  <c r="I40" i="195" s="1"/>
  <c r="AD39" i="195"/>
  <c r="AC39" i="195"/>
  <c r="AB39" i="195"/>
  <c r="AE39" i="195" s="1"/>
  <c r="AI39" i="195" s="1"/>
  <c r="Y39" i="195" s="1"/>
  <c r="Z39" i="195"/>
  <c r="X39" i="195"/>
  <c r="Q39" i="195"/>
  <c r="P39" i="195"/>
  <c r="I39" i="195"/>
  <c r="H39" i="195"/>
  <c r="E39" i="195"/>
  <c r="AD38" i="195"/>
  <c r="AE38" i="195" s="1"/>
  <c r="AI38" i="195" s="1"/>
  <c r="Y38" i="195" s="1"/>
  <c r="AC38" i="195"/>
  <c r="AB38" i="195"/>
  <c r="Z38" i="195"/>
  <c r="X38" i="195"/>
  <c r="Q38" i="195"/>
  <c r="P38" i="195"/>
  <c r="H38" i="195"/>
  <c r="E38" i="195"/>
  <c r="I38" i="195" s="1"/>
  <c r="AD37" i="195"/>
  <c r="AC37" i="195"/>
  <c r="AB37" i="195"/>
  <c r="AE37" i="195" s="1"/>
  <c r="AI37" i="195" s="1"/>
  <c r="Y37" i="195" s="1"/>
  <c r="Z37" i="195"/>
  <c r="X37" i="195"/>
  <c r="Q37" i="195"/>
  <c r="P37" i="195"/>
  <c r="H37" i="195"/>
  <c r="E37" i="195"/>
  <c r="I37" i="195" s="1"/>
  <c r="AD36" i="195"/>
  <c r="AC36" i="195"/>
  <c r="AB36" i="195"/>
  <c r="AE36" i="195" s="1"/>
  <c r="AI36" i="195" s="1"/>
  <c r="Y36" i="195" s="1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E34" i="195"/>
  <c r="AI34" i="195" s="1"/>
  <c r="Y34" i="195" s="1"/>
  <c r="AD34" i="195"/>
  <c r="AC34" i="195"/>
  <c r="AB34" i="195"/>
  <c r="Z34" i="195"/>
  <c r="X34" i="195"/>
  <c r="Q34" i="195"/>
  <c r="P34" i="195"/>
  <c r="H34" i="195"/>
  <c r="E34" i="195"/>
  <c r="I34" i="195" s="1"/>
  <c r="AE33" i="195"/>
  <c r="AI33" i="195" s="1"/>
  <c r="Y33" i="195" s="1"/>
  <c r="AD33" i="195"/>
  <c r="AC33" i="195"/>
  <c r="AB33" i="195"/>
  <c r="Z33" i="195"/>
  <c r="X33" i="195"/>
  <c r="Q33" i="195"/>
  <c r="P33" i="195"/>
  <c r="H33" i="195"/>
  <c r="E33" i="195"/>
  <c r="I33" i="195" s="1"/>
  <c r="AD32" i="195"/>
  <c r="AC32" i="195"/>
  <c r="AB32" i="195"/>
  <c r="AE32" i="195" s="1"/>
  <c r="AI32" i="195" s="1"/>
  <c r="Y32" i="195" s="1"/>
  <c r="Z32" i="195"/>
  <c r="X32" i="195"/>
  <c r="Q32" i="195"/>
  <c r="P32" i="195"/>
  <c r="I32" i="195"/>
  <c r="H32" i="195"/>
  <c r="E32" i="195"/>
  <c r="AE31" i="195"/>
  <c r="AI31" i="195" s="1"/>
  <c r="Y31" i="195" s="1"/>
  <c r="Z31" i="195"/>
  <c r="X31" i="195"/>
  <c r="Q31" i="195"/>
  <c r="P31" i="195"/>
  <c r="I31" i="195"/>
  <c r="H31" i="195"/>
  <c r="E31" i="195"/>
  <c r="AD30" i="195"/>
  <c r="AC30" i="195"/>
  <c r="AB30" i="195"/>
  <c r="AE30" i="195" s="1"/>
  <c r="AI30" i="195" s="1"/>
  <c r="Y30" i="195" s="1"/>
  <c r="Z30" i="195"/>
  <c r="X30" i="195"/>
  <c r="Q30" i="195"/>
  <c r="P30" i="195"/>
  <c r="H30" i="195"/>
  <c r="E30" i="195"/>
  <c r="I30" i="195" s="1"/>
  <c r="AD29" i="195"/>
  <c r="AC29" i="195"/>
  <c r="AE29" i="195" s="1"/>
  <c r="AI29" i="195" s="1"/>
  <c r="Y29" i="195" s="1"/>
  <c r="AB29" i="195"/>
  <c r="Z29" i="195"/>
  <c r="X29" i="195"/>
  <c r="Q29" i="195"/>
  <c r="P29" i="195"/>
  <c r="I29" i="195"/>
  <c r="H29" i="195"/>
  <c r="E29" i="195"/>
  <c r="AD28" i="195"/>
  <c r="AC28" i="195"/>
  <c r="AE28" i="195" s="1"/>
  <c r="AI28" i="195" s="1"/>
  <c r="Y28" i="195" s="1"/>
  <c r="AB28" i="195"/>
  <c r="Z28" i="195"/>
  <c r="X28" i="195"/>
  <c r="Q28" i="195"/>
  <c r="P28" i="195"/>
  <c r="I28" i="195"/>
  <c r="H28" i="195"/>
  <c r="E28" i="195"/>
  <c r="AE27" i="195"/>
  <c r="AI27" i="195" s="1"/>
  <c r="Y27" i="195" s="1"/>
  <c r="AD27" i="195"/>
  <c r="AC27" i="195"/>
  <c r="AB27" i="195"/>
  <c r="Z27" i="195"/>
  <c r="X27" i="195"/>
  <c r="Q27" i="195"/>
  <c r="P27" i="195"/>
  <c r="H27" i="195"/>
  <c r="E27" i="195"/>
  <c r="I27" i="195" s="1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D25" i="195"/>
  <c r="AC25" i="195"/>
  <c r="AE25" i="195" s="1"/>
  <c r="AI25" i="195" s="1"/>
  <c r="Y25" i="195" s="1"/>
  <c r="AB25" i="195"/>
  <c r="Z25" i="195"/>
  <c r="X25" i="195"/>
  <c r="Q25" i="195"/>
  <c r="P25" i="195"/>
  <c r="H25" i="195"/>
  <c r="E25" i="195"/>
  <c r="I25" i="195" s="1"/>
  <c r="AD24" i="195"/>
  <c r="AC24" i="195"/>
  <c r="AB24" i="195"/>
  <c r="AE24" i="195" s="1"/>
  <c r="AI24" i="195" s="1"/>
  <c r="Y24" i="195" s="1"/>
  <c r="Z24" i="195"/>
  <c r="X24" i="195"/>
  <c r="Q24" i="195"/>
  <c r="P24" i="195"/>
  <c r="I24" i="195"/>
  <c r="H24" i="195"/>
  <c r="E24" i="195"/>
  <c r="AD23" i="195"/>
  <c r="AE23" i="195" s="1"/>
  <c r="AI23" i="195" s="1"/>
  <c r="Y23" i="195" s="1"/>
  <c r="AC23" i="195"/>
  <c r="AB23" i="195"/>
  <c r="Z23" i="195"/>
  <c r="X23" i="195"/>
  <c r="Q23" i="195"/>
  <c r="P23" i="195"/>
  <c r="H23" i="195"/>
  <c r="E23" i="195"/>
  <c r="I23" i="195" s="1"/>
  <c r="AD22" i="195"/>
  <c r="AC22" i="195"/>
  <c r="AB22" i="195"/>
  <c r="AE22" i="195" s="1"/>
  <c r="AI22" i="195" s="1"/>
  <c r="Y22" i="195" s="1"/>
  <c r="Z22" i="195"/>
  <c r="X22" i="195"/>
  <c r="Q22" i="195"/>
  <c r="P22" i="195"/>
  <c r="H22" i="195"/>
  <c r="E22" i="195"/>
  <c r="I22" i="195" s="1"/>
  <c r="AD21" i="195"/>
  <c r="AC21" i="195"/>
  <c r="AB21" i="195"/>
  <c r="AE21" i="195" s="1"/>
  <c r="AI21" i="195" s="1"/>
  <c r="Y21" i="195" s="1"/>
  <c r="Z21" i="195"/>
  <c r="X21" i="195"/>
  <c r="Q21" i="195"/>
  <c r="P21" i="195"/>
  <c r="H21" i="195"/>
  <c r="E21" i="195"/>
  <c r="I21" i="195" s="1"/>
  <c r="AE20" i="195"/>
  <c r="AI20" i="195" s="1"/>
  <c r="Y20" i="195" s="1"/>
  <c r="AD20" i="195"/>
  <c r="AC20" i="195"/>
  <c r="AB20" i="195"/>
  <c r="Z20" i="195"/>
  <c r="X20" i="195"/>
  <c r="Q20" i="195"/>
  <c r="P20" i="195"/>
  <c r="I20" i="195"/>
  <c r="H20" i="195"/>
  <c r="E20" i="195"/>
  <c r="AE19" i="195"/>
  <c r="AI19" i="195" s="1"/>
  <c r="Y19" i="195" s="1"/>
  <c r="AD19" i="195"/>
  <c r="AC19" i="195"/>
  <c r="AB19" i="195"/>
  <c r="Z19" i="195"/>
  <c r="X19" i="195"/>
  <c r="Q19" i="195"/>
  <c r="P19" i="195"/>
  <c r="H19" i="195"/>
  <c r="E19" i="195"/>
  <c r="I19" i="195" s="1"/>
  <c r="AE18" i="195"/>
  <c r="AI18" i="195" s="1"/>
  <c r="Y18" i="195" s="1"/>
  <c r="AD18" i="195"/>
  <c r="AC18" i="195"/>
  <c r="AB18" i="195"/>
  <c r="Z18" i="195"/>
  <c r="X18" i="195"/>
  <c r="Q18" i="195"/>
  <c r="P18" i="195"/>
  <c r="H18" i="195"/>
  <c r="E18" i="195"/>
  <c r="I18" i="195" s="1"/>
  <c r="AD17" i="195"/>
  <c r="AC17" i="195"/>
  <c r="AB17" i="195"/>
  <c r="AE17" i="195" s="1"/>
  <c r="AI17" i="195" s="1"/>
  <c r="Y17" i="195" s="1"/>
  <c r="Z17" i="195"/>
  <c r="X17" i="195"/>
  <c r="Q17" i="195"/>
  <c r="P17" i="195"/>
  <c r="I17" i="195"/>
  <c r="H17" i="195"/>
  <c r="E17" i="195"/>
  <c r="AD16" i="195"/>
  <c r="AE16" i="195" s="1"/>
  <c r="AI16" i="195" s="1"/>
  <c r="Y16" i="195" s="1"/>
  <c r="AC16" i="195"/>
  <c r="AB16" i="195"/>
  <c r="Z16" i="195"/>
  <c r="X16" i="195"/>
  <c r="Q16" i="195"/>
  <c r="P16" i="195"/>
  <c r="I16" i="195"/>
  <c r="E16" i="195"/>
  <c r="AD15" i="195"/>
  <c r="AE15" i="195" s="1"/>
  <c r="AI15" i="195" s="1"/>
  <c r="Y15" i="195" s="1"/>
  <c r="AC15" i="195"/>
  <c r="AB15" i="195"/>
  <c r="Z15" i="195"/>
  <c r="X15" i="195"/>
  <c r="Q15" i="195"/>
  <c r="P15" i="195"/>
  <c r="E15" i="195"/>
  <c r="I15" i="195" s="1"/>
  <c r="AD14" i="195"/>
  <c r="AC14" i="195"/>
  <c r="AB14" i="195"/>
  <c r="AE14" i="195" s="1"/>
  <c r="AI14" i="195" s="1"/>
  <c r="Y14" i="195" s="1"/>
  <c r="Z14" i="195"/>
  <c r="X14" i="195"/>
  <c r="Q14" i="195"/>
  <c r="P14" i="195"/>
  <c r="I14" i="195"/>
  <c r="H14" i="195"/>
  <c r="E14" i="195"/>
  <c r="AD13" i="195"/>
  <c r="AE13" i="195" s="1"/>
  <c r="AI13" i="195" s="1"/>
  <c r="Y13" i="195" s="1"/>
  <c r="AC13" i="195"/>
  <c r="AB13" i="195"/>
  <c r="Z13" i="195"/>
  <c r="X13" i="195"/>
  <c r="Q13" i="195"/>
  <c r="P13" i="195"/>
  <c r="H13" i="195"/>
  <c r="E13" i="195"/>
  <c r="I13" i="195" s="1"/>
  <c r="AD12" i="195"/>
  <c r="AC12" i="195"/>
  <c r="AB12" i="195"/>
  <c r="AE12" i="195" s="1"/>
  <c r="AI12" i="195" s="1"/>
  <c r="Y12" i="195" s="1"/>
  <c r="Z12" i="195"/>
  <c r="T75" i="195" s="1"/>
  <c r="X12" i="195"/>
  <c r="T77" i="195" s="1"/>
  <c r="Q12" i="195"/>
  <c r="P12" i="195"/>
  <c r="H12" i="195"/>
  <c r="E12" i="195"/>
  <c r="I12" i="195" s="1"/>
  <c r="T79" i="196" l="1"/>
  <c r="F77" i="196" s="1"/>
  <c r="O75" i="195"/>
  <c r="O73" i="195"/>
  <c r="F73" i="195"/>
  <c r="F75" i="195"/>
  <c r="T73" i="195"/>
  <c r="T79" i="195" s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T75" i="194" s="1"/>
  <c r="X12" i="194"/>
  <c r="T77" i="194" s="1"/>
  <c r="Q12" i="194"/>
  <c r="P12" i="194"/>
  <c r="I12" i="194"/>
  <c r="H12" i="194"/>
  <c r="E12" i="194"/>
  <c r="F77" i="195" l="1"/>
  <c r="O75" i="194"/>
  <c r="O73" i="194"/>
  <c r="F73" i="194"/>
  <c r="F75" i="194"/>
  <c r="T73" i="194"/>
  <c r="T79" i="194" s="1"/>
  <c r="M79" i="193"/>
  <c r="P71" i="193"/>
  <c r="H71" i="193"/>
  <c r="Q70" i="193"/>
  <c r="P70" i="193"/>
  <c r="H70" i="193"/>
  <c r="E70" i="193"/>
  <c r="I70" i="193" s="1"/>
  <c r="Q69" i="193"/>
  <c r="P69" i="193"/>
  <c r="I69" i="193"/>
  <c r="H69" i="193"/>
  <c r="E69" i="193"/>
  <c r="AE68" i="193"/>
  <c r="AI68" i="193" s="1"/>
  <c r="Y68" i="193" s="1"/>
  <c r="AD68" i="193"/>
  <c r="AC68" i="193"/>
  <c r="AB68" i="193"/>
  <c r="Z68" i="193"/>
  <c r="X68" i="193"/>
  <c r="Q68" i="193"/>
  <c r="P68" i="193"/>
  <c r="H68" i="193"/>
  <c r="E68" i="193"/>
  <c r="I68" i="193" s="1"/>
  <c r="AE67" i="193"/>
  <c r="AI67" i="193" s="1"/>
  <c r="Y67" i="193" s="1"/>
  <c r="AD67" i="193"/>
  <c r="AC67" i="193"/>
  <c r="AB67" i="193"/>
  <c r="Z67" i="193"/>
  <c r="X67" i="193"/>
  <c r="Q67" i="193"/>
  <c r="P67" i="193"/>
  <c r="H67" i="193"/>
  <c r="E67" i="193"/>
  <c r="I67" i="193" s="1"/>
  <c r="AD66" i="193"/>
  <c r="AE66" i="193" s="1"/>
  <c r="AI66" i="193" s="1"/>
  <c r="Y66" i="193" s="1"/>
  <c r="AC66" i="193"/>
  <c r="AB66" i="193"/>
  <c r="Z66" i="193"/>
  <c r="X66" i="193"/>
  <c r="Q66" i="193"/>
  <c r="P66" i="193"/>
  <c r="I66" i="193"/>
  <c r="H66" i="193"/>
  <c r="E66" i="193"/>
  <c r="AD65" i="193"/>
  <c r="AC65" i="193"/>
  <c r="AB65" i="193"/>
  <c r="AE65" i="193" s="1"/>
  <c r="AI65" i="193" s="1"/>
  <c r="Y65" i="193" s="1"/>
  <c r="Z65" i="193"/>
  <c r="X65" i="193"/>
  <c r="Q65" i="193"/>
  <c r="P65" i="193"/>
  <c r="I65" i="193"/>
  <c r="H65" i="193"/>
  <c r="E65" i="193"/>
  <c r="AE64" i="193"/>
  <c r="AI64" i="193" s="1"/>
  <c r="Y64" i="193" s="1"/>
  <c r="AD64" i="193"/>
  <c r="AC64" i="193"/>
  <c r="AB64" i="193"/>
  <c r="Z64" i="193"/>
  <c r="X64" i="193"/>
  <c r="Q64" i="193"/>
  <c r="P64" i="193"/>
  <c r="I64" i="193"/>
  <c r="H64" i="193"/>
  <c r="E64" i="193"/>
  <c r="AD63" i="193"/>
  <c r="AC63" i="193"/>
  <c r="AB63" i="193"/>
  <c r="AE63" i="193" s="1"/>
  <c r="AI63" i="193" s="1"/>
  <c r="Y63" i="193" s="1"/>
  <c r="Z63" i="193"/>
  <c r="X63" i="193"/>
  <c r="Q63" i="193"/>
  <c r="P63" i="193"/>
  <c r="I63" i="193"/>
  <c r="H63" i="193"/>
  <c r="E63" i="193"/>
  <c r="AD62" i="193"/>
  <c r="AC62" i="193"/>
  <c r="AB62" i="193"/>
  <c r="AE62" i="193" s="1"/>
  <c r="AI62" i="193" s="1"/>
  <c r="Y62" i="193" s="1"/>
  <c r="Z62" i="193"/>
  <c r="X62" i="193"/>
  <c r="Q62" i="193"/>
  <c r="P62" i="193"/>
  <c r="H62" i="193"/>
  <c r="E62" i="193"/>
  <c r="I62" i="193" s="1"/>
  <c r="AE61" i="193"/>
  <c r="AI61" i="193" s="1"/>
  <c r="Y61" i="193" s="1"/>
  <c r="AC61" i="193"/>
  <c r="AB61" i="193"/>
  <c r="X61" i="193"/>
  <c r="Q61" i="193"/>
  <c r="P61" i="193"/>
  <c r="H61" i="193"/>
  <c r="E61" i="193"/>
  <c r="I61" i="193" s="1"/>
  <c r="AI60" i="193"/>
  <c r="AE60" i="193"/>
  <c r="Y60" i="193"/>
  <c r="X60" i="193"/>
  <c r="Q60" i="193"/>
  <c r="P60" i="193"/>
  <c r="I60" i="193"/>
  <c r="H60" i="193"/>
  <c r="E60" i="193"/>
  <c r="AC59" i="193"/>
  <c r="AE59" i="193" s="1"/>
  <c r="AI59" i="193" s="1"/>
  <c r="Y59" i="193" s="1"/>
  <c r="AB59" i="193"/>
  <c r="X59" i="193"/>
  <c r="Q59" i="193"/>
  <c r="P59" i="193"/>
  <c r="H59" i="193"/>
  <c r="E59" i="193"/>
  <c r="I59" i="193" s="1"/>
  <c r="AC58" i="193"/>
  <c r="AE58" i="193" s="1"/>
  <c r="AI58" i="193" s="1"/>
  <c r="Y58" i="193" s="1"/>
  <c r="AB58" i="193"/>
  <c r="X58" i="193"/>
  <c r="Q58" i="193"/>
  <c r="P58" i="193"/>
  <c r="I58" i="193"/>
  <c r="E58" i="193"/>
  <c r="AI57" i="193"/>
  <c r="Y57" i="193" s="1"/>
  <c r="AE57" i="193"/>
  <c r="AC57" i="193"/>
  <c r="AB57" i="193"/>
  <c r="X57" i="193"/>
  <c r="Q57" i="193"/>
  <c r="P57" i="193"/>
  <c r="I57" i="193"/>
  <c r="H57" i="193"/>
  <c r="E57" i="193"/>
  <c r="AD56" i="193"/>
  <c r="AE56" i="193" s="1"/>
  <c r="AI56" i="193" s="1"/>
  <c r="Y56" i="193" s="1"/>
  <c r="AC56" i="193"/>
  <c r="AB56" i="193"/>
  <c r="Z56" i="193"/>
  <c r="X56" i="193"/>
  <c r="Q56" i="193"/>
  <c r="P56" i="193"/>
  <c r="H56" i="193"/>
  <c r="E56" i="193"/>
  <c r="I56" i="193" s="1"/>
  <c r="AD55" i="193"/>
  <c r="AC55" i="193"/>
  <c r="AB55" i="193"/>
  <c r="AE55" i="193" s="1"/>
  <c r="AI55" i="193" s="1"/>
  <c r="Y55" i="193" s="1"/>
  <c r="Z55" i="193"/>
  <c r="X55" i="193"/>
  <c r="Q55" i="193"/>
  <c r="P55" i="193"/>
  <c r="H55" i="193"/>
  <c r="E55" i="193"/>
  <c r="I55" i="193" s="1"/>
  <c r="AD54" i="193"/>
  <c r="AC54" i="193"/>
  <c r="AE54" i="193" s="1"/>
  <c r="AI54" i="193" s="1"/>
  <c r="Y54" i="193" s="1"/>
  <c r="AB54" i="193"/>
  <c r="Z54" i="193"/>
  <c r="X54" i="193"/>
  <c r="Q54" i="193"/>
  <c r="P54" i="193"/>
  <c r="H54" i="193"/>
  <c r="E54" i="193"/>
  <c r="I54" i="193" s="1"/>
  <c r="AD53" i="193"/>
  <c r="AC53" i="193"/>
  <c r="AB53" i="193"/>
  <c r="AE53" i="193" s="1"/>
  <c r="AI53" i="193" s="1"/>
  <c r="Y53" i="193" s="1"/>
  <c r="Z53" i="193"/>
  <c r="X53" i="193"/>
  <c r="Q53" i="193"/>
  <c r="P53" i="193"/>
  <c r="I53" i="193"/>
  <c r="H53" i="193"/>
  <c r="E53" i="193"/>
  <c r="AE52" i="193"/>
  <c r="AI52" i="193" s="1"/>
  <c r="Y52" i="193" s="1"/>
  <c r="Z52" i="193"/>
  <c r="X52" i="193"/>
  <c r="Q52" i="193"/>
  <c r="P52" i="193"/>
  <c r="H52" i="193"/>
  <c r="E52" i="193"/>
  <c r="I52" i="193" s="1"/>
  <c r="AE51" i="193"/>
  <c r="AI51" i="193" s="1"/>
  <c r="Y51" i="193" s="1"/>
  <c r="AD51" i="193"/>
  <c r="AC51" i="193"/>
  <c r="AB51" i="193"/>
  <c r="Z51" i="193"/>
  <c r="X51" i="193"/>
  <c r="Q51" i="193"/>
  <c r="P51" i="193"/>
  <c r="H51" i="193"/>
  <c r="E51" i="193"/>
  <c r="I51" i="193" s="1"/>
  <c r="AD50" i="193"/>
  <c r="AE50" i="193" s="1"/>
  <c r="AI50" i="193" s="1"/>
  <c r="Y50" i="193" s="1"/>
  <c r="AC50" i="193"/>
  <c r="AB50" i="193"/>
  <c r="Z50" i="193"/>
  <c r="X50" i="193"/>
  <c r="Q50" i="193"/>
  <c r="P50" i="193"/>
  <c r="I50" i="193"/>
  <c r="H50" i="193"/>
  <c r="E50" i="193"/>
  <c r="AE49" i="193"/>
  <c r="AI49" i="193" s="1"/>
  <c r="Y49" i="193" s="1"/>
  <c r="Z49" i="193"/>
  <c r="X49" i="193"/>
  <c r="Q49" i="193"/>
  <c r="P49" i="193"/>
  <c r="I49" i="193"/>
  <c r="H49" i="193"/>
  <c r="E49" i="193"/>
  <c r="AI48" i="193"/>
  <c r="Y48" i="193" s="1"/>
  <c r="AE48" i="193"/>
  <c r="Z48" i="193"/>
  <c r="X48" i="193"/>
  <c r="Q48" i="193"/>
  <c r="P48" i="193"/>
  <c r="H48" i="193"/>
  <c r="E48" i="193"/>
  <c r="I48" i="193" s="1"/>
  <c r="AE47" i="193"/>
  <c r="AI47" i="193" s="1"/>
  <c r="Y47" i="193" s="1"/>
  <c r="Z47" i="193"/>
  <c r="X47" i="193"/>
  <c r="Q47" i="193"/>
  <c r="P47" i="193"/>
  <c r="H47" i="193"/>
  <c r="E47" i="193"/>
  <c r="I47" i="193" s="1"/>
  <c r="AD46" i="193"/>
  <c r="AC46" i="193"/>
  <c r="AB46" i="193"/>
  <c r="AE46" i="193" s="1"/>
  <c r="AI46" i="193" s="1"/>
  <c r="Y46" i="193" s="1"/>
  <c r="Z46" i="193"/>
  <c r="X46" i="193"/>
  <c r="Q46" i="193"/>
  <c r="P46" i="193"/>
  <c r="H46" i="193"/>
  <c r="E46" i="193"/>
  <c r="I46" i="193" s="1"/>
  <c r="AD45" i="193"/>
  <c r="AC45" i="193"/>
  <c r="AB45" i="193"/>
  <c r="AE45" i="193" s="1"/>
  <c r="AI45" i="193" s="1"/>
  <c r="Y45" i="193" s="1"/>
  <c r="Z45" i="193"/>
  <c r="X45" i="193"/>
  <c r="Q45" i="193"/>
  <c r="P45" i="193"/>
  <c r="I45" i="193"/>
  <c r="H45" i="193"/>
  <c r="E45" i="193"/>
  <c r="AD44" i="193"/>
  <c r="AE44" i="193" s="1"/>
  <c r="AI44" i="193" s="1"/>
  <c r="Y44" i="193" s="1"/>
  <c r="AC44" i="193"/>
  <c r="AB44" i="193"/>
  <c r="Z44" i="193"/>
  <c r="X44" i="193"/>
  <c r="Q44" i="193"/>
  <c r="P44" i="193"/>
  <c r="H44" i="193"/>
  <c r="E44" i="193"/>
  <c r="I44" i="193" s="1"/>
  <c r="AD43" i="193"/>
  <c r="AC43" i="193"/>
  <c r="AB43" i="193"/>
  <c r="AE43" i="193" s="1"/>
  <c r="AI43" i="193" s="1"/>
  <c r="Y43" i="193" s="1"/>
  <c r="Z43" i="193"/>
  <c r="X43" i="193"/>
  <c r="Q43" i="193"/>
  <c r="P43" i="193"/>
  <c r="H43" i="193"/>
  <c r="E43" i="193"/>
  <c r="I43" i="193" s="1"/>
  <c r="AD42" i="193"/>
  <c r="AC42" i="193"/>
  <c r="AE42" i="193" s="1"/>
  <c r="AI42" i="193" s="1"/>
  <c r="Y42" i="193" s="1"/>
  <c r="AB42" i="193"/>
  <c r="Z42" i="193"/>
  <c r="X42" i="193"/>
  <c r="Q42" i="193"/>
  <c r="P42" i="193"/>
  <c r="H42" i="193"/>
  <c r="E42" i="193"/>
  <c r="I42" i="193" s="1"/>
  <c r="AD41" i="193"/>
  <c r="AC41" i="193"/>
  <c r="AB41" i="193"/>
  <c r="AE41" i="193" s="1"/>
  <c r="AI41" i="193" s="1"/>
  <c r="Y41" i="193" s="1"/>
  <c r="Z41" i="193"/>
  <c r="X41" i="193"/>
  <c r="Q41" i="193"/>
  <c r="P41" i="193"/>
  <c r="I41" i="193"/>
  <c r="H41" i="193"/>
  <c r="E41" i="193"/>
  <c r="AD40" i="193"/>
  <c r="AE40" i="193" s="1"/>
  <c r="AI40" i="193" s="1"/>
  <c r="Y40" i="193" s="1"/>
  <c r="AC40" i="193"/>
  <c r="AB40" i="193"/>
  <c r="Z40" i="193"/>
  <c r="X40" i="193"/>
  <c r="Q40" i="193"/>
  <c r="P40" i="193"/>
  <c r="I40" i="193"/>
  <c r="H40" i="193"/>
  <c r="E40" i="193"/>
  <c r="AE39" i="193"/>
  <c r="AI39" i="193" s="1"/>
  <c r="Y39" i="193" s="1"/>
  <c r="AD39" i="193"/>
  <c r="AC39" i="193"/>
  <c r="AB39" i="193"/>
  <c r="Z39" i="193"/>
  <c r="X39" i="193"/>
  <c r="Q39" i="193"/>
  <c r="P39" i="193"/>
  <c r="H39" i="193"/>
  <c r="E39" i="193"/>
  <c r="I39" i="193" s="1"/>
  <c r="AE38" i="193"/>
  <c r="AI38" i="193" s="1"/>
  <c r="Y38" i="193" s="1"/>
  <c r="AD38" i="193"/>
  <c r="AC38" i="193"/>
  <c r="AB38" i="193"/>
  <c r="Z38" i="193"/>
  <c r="X38" i="193"/>
  <c r="Q38" i="193"/>
  <c r="P38" i="193"/>
  <c r="H38" i="193"/>
  <c r="E38" i="193"/>
  <c r="I38" i="193" s="1"/>
  <c r="AD37" i="193"/>
  <c r="AE37" i="193" s="1"/>
  <c r="AI37" i="193" s="1"/>
  <c r="Y37" i="193" s="1"/>
  <c r="AC37" i="193"/>
  <c r="AB37" i="193"/>
  <c r="Z37" i="193"/>
  <c r="X37" i="193"/>
  <c r="Q37" i="193"/>
  <c r="P37" i="193"/>
  <c r="I37" i="193"/>
  <c r="H37" i="193"/>
  <c r="E37" i="193"/>
  <c r="AD36" i="193"/>
  <c r="AC36" i="193"/>
  <c r="AB36" i="193"/>
  <c r="AE36" i="193" s="1"/>
  <c r="AI36" i="193" s="1"/>
  <c r="Y36" i="193" s="1"/>
  <c r="Z36" i="193"/>
  <c r="X36" i="193"/>
  <c r="Q36" i="193"/>
  <c r="P36" i="193"/>
  <c r="I36" i="193"/>
  <c r="H36" i="193"/>
  <c r="E36" i="193"/>
  <c r="AE35" i="193"/>
  <c r="AI35" i="193" s="1"/>
  <c r="Y35" i="193" s="1"/>
  <c r="AD35" i="193"/>
  <c r="AC35" i="193"/>
  <c r="AB35" i="193"/>
  <c r="Z35" i="193"/>
  <c r="X35" i="193"/>
  <c r="Q35" i="193"/>
  <c r="P35" i="193"/>
  <c r="I35" i="193"/>
  <c r="H35" i="193"/>
  <c r="E35" i="193"/>
  <c r="AD34" i="193"/>
  <c r="AC34" i="193"/>
  <c r="AB34" i="193"/>
  <c r="AE34" i="193" s="1"/>
  <c r="AI34" i="193" s="1"/>
  <c r="Y34" i="193" s="1"/>
  <c r="Z34" i="193"/>
  <c r="X34" i="193"/>
  <c r="Q34" i="193"/>
  <c r="P34" i="193"/>
  <c r="I34" i="193"/>
  <c r="H34" i="193"/>
  <c r="E34" i="193"/>
  <c r="AD33" i="193"/>
  <c r="AC33" i="193"/>
  <c r="AB33" i="193"/>
  <c r="AE33" i="193" s="1"/>
  <c r="AI33" i="193" s="1"/>
  <c r="Y33" i="193" s="1"/>
  <c r="Z33" i="193"/>
  <c r="X33" i="193"/>
  <c r="Q33" i="193"/>
  <c r="P33" i="193"/>
  <c r="H33" i="193"/>
  <c r="E33" i="193"/>
  <c r="I33" i="193" s="1"/>
  <c r="AE32" i="193"/>
  <c r="AI32" i="193" s="1"/>
  <c r="Y32" i="193" s="1"/>
  <c r="AD32" i="193"/>
  <c r="AC32" i="193"/>
  <c r="AB32" i="193"/>
  <c r="Z32" i="193"/>
  <c r="X32" i="193"/>
  <c r="Q32" i="193"/>
  <c r="P32" i="193"/>
  <c r="I32" i="193"/>
  <c r="H32" i="193"/>
  <c r="E32" i="193"/>
  <c r="AE31" i="193"/>
  <c r="AI31" i="193" s="1"/>
  <c r="Y31" i="193" s="1"/>
  <c r="Z31" i="193"/>
  <c r="X31" i="193"/>
  <c r="Q31" i="193"/>
  <c r="P31" i="193"/>
  <c r="H31" i="193"/>
  <c r="E31" i="193"/>
  <c r="I31" i="193" s="1"/>
  <c r="AD30" i="193"/>
  <c r="AC30" i="193"/>
  <c r="AB30" i="193"/>
  <c r="AE30" i="193" s="1"/>
  <c r="AI30" i="193" s="1"/>
  <c r="Y30" i="193" s="1"/>
  <c r="Z30" i="193"/>
  <c r="X30" i="193"/>
  <c r="Q30" i="193"/>
  <c r="P30" i="193"/>
  <c r="I30" i="193"/>
  <c r="H30" i="193"/>
  <c r="E30" i="193"/>
  <c r="AD29" i="193"/>
  <c r="AE29" i="193" s="1"/>
  <c r="AI29" i="193" s="1"/>
  <c r="Y29" i="193" s="1"/>
  <c r="AC29" i="193"/>
  <c r="AB29" i="193"/>
  <c r="Z29" i="193"/>
  <c r="X29" i="193"/>
  <c r="Q29" i="193"/>
  <c r="P29" i="193"/>
  <c r="H29" i="193"/>
  <c r="E29" i="193"/>
  <c r="I29" i="193" s="1"/>
  <c r="AD28" i="193"/>
  <c r="AE28" i="193" s="1"/>
  <c r="AI28" i="193" s="1"/>
  <c r="Y28" i="193" s="1"/>
  <c r="AC28" i="193"/>
  <c r="AB28" i="193"/>
  <c r="Z28" i="193"/>
  <c r="X28" i="193"/>
  <c r="Q28" i="193"/>
  <c r="P28" i="193"/>
  <c r="H28" i="193"/>
  <c r="E28" i="193"/>
  <c r="I28" i="193" s="1"/>
  <c r="AD27" i="193"/>
  <c r="AC27" i="193"/>
  <c r="AE27" i="193" s="1"/>
  <c r="AI27" i="193" s="1"/>
  <c r="Y27" i="193" s="1"/>
  <c r="AB27" i="193"/>
  <c r="Z27" i="193"/>
  <c r="X27" i="193"/>
  <c r="Q27" i="193"/>
  <c r="P27" i="193"/>
  <c r="H27" i="193"/>
  <c r="E27" i="193"/>
  <c r="I27" i="193" s="1"/>
  <c r="AD26" i="193"/>
  <c r="AC26" i="193"/>
  <c r="AB26" i="193"/>
  <c r="AE26" i="193" s="1"/>
  <c r="AI26" i="193" s="1"/>
  <c r="Y26" i="193" s="1"/>
  <c r="Z26" i="193"/>
  <c r="X26" i="193"/>
  <c r="Q26" i="193"/>
  <c r="P26" i="193"/>
  <c r="I26" i="193"/>
  <c r="H26" i="193"/>
  <c r="E26" i="193"/>
  <c r="AD25" i="193"/>
  <c r="AC25" i="193"/>
  <c r="AE25" i="193" s="1"/>
  <c r="AI25" i="193" s="1"/>
  <c r="Y25" i="193" s="1"/>
  <c r="AB25" i="193"/>
  <c r="Z25" i="193"/>
  <c r="X25" i="193"/>
  <c r="Q25" i="193"/>
  <c r="P25" i="193"/>
  <c r="I25" i="193"/>
  <c r="H25" i="193"/>
  <c r="E25" i="193"/>
  <c r="AE24" i="193"/>
  <c r="AI24" i="193" s="1"/>
  <c r="Y24" i="193" s="1"/>
  <c r="AD24" i="193"/>
  <c r="AC24" i="193"/>
  <c r="AB24" i="193"/>
  <c r="Z24" i="193"/>
  <c r="X24" i="193"/>
  <c r="Q24" i="193"/>
  <c r="P24" i="193"/>
  <c r="H24" i="193"/>
  <c r="E24" i="193"/>
  <c r="I24" i="193" s="1"/>
  <c r="AE23" i="193"/>
  <c r="AI23" i="193" s="1"/>
  <c r="Y23" i="193" s="1"/>
  <c r="AD23" i="193"/>
  <c r="AC23" i="193"/>
  <c r="AB23" i="193"/>
  <c r="Z23" i="193"/>
  <c r="X23" i="193"/>
  <c r="Q23" i="193"/>
  <c r="P23" i="193"/>
  <c r="H23" i="193"/>
  <c r="E23" i="193"/>
  <c r="I23" i="193" s="1"/>
  <c r="AD22" i="193"/>
  <c r="AE22" i="193" s="1"/>
  <c r="AI22" i="193" s="1"/>
  <c r="Y22" i="193" s="1"/>
  <c r="AC22" i="193"/>
  <c r="AB22" i="193"/>
  <c r="Z22" i="193"/>
  <c r="X22" i="193"/>
  <c r="Q22" i="193"/>
  <c r="P22" i="193"/>
  <c r="H22" i="193"/>
  <c r="E22" i="193"/>
  <c r="I22" i="193" s="1"/>
  <c r="AD21" i="193"/>
  <c r="AC21" i="193"/>
  <c r="AB21" i="193"/>
  <c r="AE21" i="193" s="1"/>
  <c r="AI21" i="193" s="1"/>
  <c r="Y21" i="193" s="1"/>
  <c r="Z21" i="193"/>
  <c r="X21" i="193"/>
  <c r="Q21" i="193"/>
  <c r="P21" i="193"/>
  <c r="I21" i="193"/>
  <c r="H21" i="193"/>
  <c r="E21" i="193"/>
  <c r="AE20" i="193"/>
  <c r="AI20" i="193" s="1"/>
  <c r="Y20" i="193" s="1"/>
  <c r="AD20" i="193"/>
  <c r="AC20" i="193"/>
  <c r="AB20" i="193"/>
  <c r="Z20" i="193"/>
  <c r="X20" i="193"/>
  <c r="Q20" i="193"/>
  <c r="P20" i="193"/>
  <c r="I20" i="193"/>
  <c r="H20" i="193"/>
  <c r="E20" i="193"/>
  <c r="AD19" i="193"/>
  <c r="AC19" i="193"/>
  <c r="AB19" i="193"/>
  <c r="AE19" i="193" s="1"/>
  <c r="AI19" i="193" s="1"/>
  <c r="Y19" i="193" s="1"/>
  <c r="Z19" i="193"/>
  <c r="X19" i="193"/>
  <c r="Q19" i="193"/>
  <c r="P19" i="193"/>
  <c r="I19" i="193"/>
  <c r="H19" i="193"/>
  <c r="E19" i="193"/>
  <c r="AD18" i="193"/>
  <c r="AC18" i="193"/>
  <c r="AB18" i="193"/>
  <c r="AE18" i="193" s="1"/>
  <c r="AI18" i="193" s="1"/>
  <c r="Y18" i="193" s="1"/>
  <c r="Z18" i="193"/>
  <c r="X18" i="193"/>
  <c r="Q18" i="193"/>
  <c r="P18" i="193"/>
  <c r="H18" i="193"/>
  <c r="E18" i="193"/>
  <c r="I18" i="193" s="1"/>
  <c r="AE17" i="193"/>
  <c r="AI17" i="193" s="1"/>
  <c r="Y17" i="193" s="1"/>
  <c r="AD17" i="193"/>
  <c r="AC17" i="193"/>
  <c r="AB17" i="193"/>
  <c r="Z17" i="193"/>
  <c r="X17" i="193"/>
  <c r="Q17" i="193"/>
  <c r="P17" i="193"/>
  <c r="I17" i="193"/>
  <c r="H17" i="193"/>
  <c r="E17" i="193"/>
  <c r="AD16" i="193"/>
  <c r="AC16" i="193"/>
  <c r="AB16" i="193"/>
  <c r="AE16" i="193" s="1"/>
  <c r="AI16" i="193" s="1"/>
  <c r="Y16" i="193" s="1"/>
  <c r="Z16" i="193"/>
  <c r="T75" i="193" s="1"/>
  <c r="X16" i="193"/>
  <c r="T77" i="193" s="1"/>
  <c r="Q16" i="193"/>
  <c r="P16" i="193"/>
  <c r="I16" i="193"/>
  <c r="E16" i="193"/>
  <c r="AE15" i="193"/>
  <c r="AI15" i="193" s="1"/>
  <c r="Y15" i="193" s="1"/>
  <c r="AD15" i="193"/>
  <c r="AC15" i="193"/>
  <c r="AB15" i="193"/>
  <c r="Z15" i="193"/>
  <c r="X15" i="193"/>
  <c r="Q15" i="193"/>
  <c r="P15" i="193"/>
  <c r="I15" i="193"/>
  <c r="E15" i="193"/>
  <c r="AE14" i="193"/>
  <c r="AI14" i="193" s="1"/>
  <c r="Y14" i="193" s="1"/>
  <c r="AD14" i="193"/>
  <c r="AC14" i="193"/>
  <c r="AB14" i="193"/>
  <c r="Z14" i="193"/>
  <c r="X14" i="193"/>
  <c r="Q14" i="193"/>
  <c r="P14" i="193"/>
  <c r="H14" i="193"/>
  <c r="E14" i="193"/>
  <c r="I14" i="193" s="1"/>
  <c r="AD13" i="193"/>
  <c r="AC13" i="193"/>
  <c r="AB13" i="193"/>
  <c r="AE13" i="193" s="1"/>
  <c r="AI13" i="193" s="1"/>
  <c r="Y13" i="193" s="1"/>
  <c r="Z13" i="193"/>
  <c r="X13" i="193"/>
  <c r="Q13" i="193"/>
  <c r="P13" i="193"/>
  <c r="H13" i="193"/>
  <c r="E13" i="193"/>
  <c r="I13" i="193" s="1"/>
  <c r="AD12" i="193"/>
  <c r="AE12" i="193" s="1"/>
  <c r="AI12" i="193" s="1"/>
  <c r="Y12" i="193" s="1"/>
  <c r="AC12" i="193"/>
  <c r="AB12" i="193"/>
  <c r="Z12" i="193"/>
  <c r="X12" i="193"/>
  <c r="Q12" i="193"/>
  <c r="P12" i="193"/>
  <c r="H12" i="193"/>
  <c r="E12" i="193"/>
  <c r="I12" i="193" s="1"/>
  <c r="F77" i="194" l="1"/>
  <c r="O73" i="193"/>
  <c r="O75" i="193"/>
  <c r="F73" i="193"/>
  <c r="F75" i="193"/>
  <c r="T73" i="193"/>
  <c r="T79" i="193" s="1"/>
  <c r="M79" i="192"/>
  <c r="P71" i="192"/>
  <c r="H71" i="192"/>
  <c r="Q70" i="192"/>
  <c r="P70" i="192"/>
  <c r="I70" i="192"/>
  <c r="H70" i="192"/>
  <c r="E70" i="192"/>
  <c r="Q69" i="192"/>
  <c r="P69" i="192"/>
  <c r="I69" i="192"/>
  <c r="H69" i="192"/>
  <c r="E69" i="192"/>
  <c r="AD68" i="192"/>
  <c r="AC68" i="192"/>
  <c r="AB68" i="192"/>
  <c r="AE68" i="192" s="1"/>
  <c r="AI68" i="192" s="1"/>
  <c r="Y68" i="192" s="1"/>
  <c r="Z68" i="192"/>
  <c r="X68" i="192"/>
  <c r="Q68" i="192"/>
  <c r="P68" i="192"/>
  <c r="H68" i="192"/>
  <c r="E68" i="192"/>
  <c r="I68" i="192" s="1"/>
  <c r="AE67" i="192"/>
  <c r="AI67" i="192" s="1"/>
  <c r="Y67" i="192" s="1"/>
  <c r="AD67" i="192"/>
  <c r="AC67" i="192"/>
  <c r="AB67" i="192"/>
  <c r="Z67" i="192"/>
  <c r="X67" i="192"/>
  <c r="Q67" i="192"/>
  <c r="P67" i="192"/>
  <c r="H67" i="192"/>
  <c r="E67" i="192"/>
  <c r="I67" i="192" s="1"/>
  <c r="AD66" i="192"/>
  <c r="AC66" i="192"/>
  <c r="AB66" i="192"/>
  <c r="AE66" i="192" s="1"/>
  <c r="AI66" i="192" s="1"/>
  <c r="Y66" i="192" s="1"/>
  <c r="Z66" i="192"/>
  <c r="X66" i="192"/>
  <c r="Q66" i="192"/>
  <c r="P66" i="192"/>
  <c r="I66" i="192"/>
  <c r="H66" i="192"/>
  <c r="E66" i="192"/>
  <c r="AD65" i="192"/>
  <c r="AC65" i="192"/>
  <c r="AB65" i="192"/>
  <c r="AE65" i="192" s="1"/>
  <c r="AI65" i="192" s="1"/>
  <c r="Y65" i="192" s="1"/>
  <c r="Z65" i="192"/>
  <c r="X65" i="192"/>
  <c r="Q65" i="192"/>
  <c r="P65" i="192"/>
  <c r="H65" i="192"/>
  <c r="E65" i="192"/>
  <c r="I65" i="192" s="1"/>
  <c r="AI64" i="192"/>
  <c r="Y64" i="192" s="1"/>
  <c r="AE64" i="192"/>
  <c r="AD64" i="192"/>
  <c r="AC64" i="192"/>
  <c r="AB64" i="192"/>
  <c r="Z64" i="192"/>
  <c r="X64" i="192"/>
  <c r="Q64" i="192"/>
  <c r="P64" i="192"/>
  <c r="I64" i="192"/>
  <c r="H64" i="192"/>
  <c r="E64" i="192"/>
  <c r="AD63" i="192"/>
  <c r="AC63" i="192"/>
  <c r="AB63" i="192"/>
  <c r="AE63" i="192" s="1"/>
  <c r="AI63" i="192" s="1"/>
  <c r="Y63" i="192" s="1"/>
  <c r="Z63" i="192"/>
  <c r="X63" i="192"/>
  <c r="Q63" i="192"/>
  <c r="P63" i="192"/>
  <c r="I63" i="192"/>
  <c r="H63" i="192"/>
  <c r="E63" i="192"/>
  <c r="AI62" i="192"/>
  <c r="AE62" i="192"/>
  <c r="AD62" i="192"/>
  <c r="AC62" i="192"/>
  <c r="AB62" i="192"/>
  <c r="Z62" i="192"/>
  <c r="Y62" i="192"/>
  <c r="X62" i="192"/>
  <c r="Q62" i="192"/>
  <c r="P62" i="192"/>
  <c r="I62" i="192"/>
  <c r="H62" i="192"/>
  <c r="E62" i="192"/>
  <c r="AC61" i="192"/>
  <c r="AB61" i="192"/>
  <c r="AE61" i="192" s="1"/>
  <c r="AI61" i="192" s="1"/>
  <c r="Y61" i="192" s="1"/>
  <c r="X61" i="192"/>
  <c r="Q61" i="192"/>
  <c r="P61" i="192"/>
  <c r="H61" i="192"/>
  <c r="E61" i="192"/>
  <c r="I61" i="192" s="1"/>
  <c r="AE60" i="192"/>
  <c r="AI60" i="192" s="1"/>
  <c r="Y60" i="192" s="1"/>
  <c r="X60" i="192"/>
  <c r="Q60" i="192"/>
  <c r="P60" i="192"/>
  <c r="H60" i="192"/>
  <c r="E60" i="192"/>
  <c r="I60" i="192" s="1"/>
  <c r="AC59" i="192"/>
  <c r="AB59" i="192"/>
  <c r="AE59" i="192" s="1"/>
  <c r="AI59" i="192" s="1"/>
  <c r="Y59" i="192" s="1"/>
  <c r="X59" i="192"/>
  <c r="Q59" i="192"/>
  <c r="P59" i="192"/>
  <c r="H59" i="192"/>
  <c r="E59" i="192"/>
  <c r="I59" i="192" s="1"/>
  <c r="AE58" i="192"/>
  <c r="AI58" i="192" s="1"/>
  <c r="Y58" i="192" s="1"/>
  <c r="AC58" i="192"/>
  <c r="AB58" i="192"/>
  <c r="X58" i="192"/>
  <c r="Q58" i="192"/>
  <c r="P58" i="192"/>
  <c r="E58" i="192"/>
  <c r="I58" i="192" s="1"/>
  <c r="AI57" i="192"/>
  <c r="Y57" i="192" s="1"/>
  <c r="AE57" i="192"/>
  <c r="AC57" i="192"/>
  <c r="AB57" i="192"/>
  <c r="X57" i="192"/>
  <c r="Q57" i="192"/>
  <c r="P57" i="192"/>
  <c r="H57" i="192"/>
  <c r="E57" i="192"/>
  <c r="I57" i="192" s="1"/>
  <c r="AD56" i="192"/>
  <c r="AC56" i="192"/>
  <c r="AB56" i="192"/>
  <c r="AE56" i="192" s="1"/>
  <c r="AI56" i="192" s="1"/>
  <c r="Y56" i="192" s="1"/>
  <c r="Z56" i="192"/>
  <c r="X56" i="192"/>
  <c r="Q56" i="192"/>
  <c r="P56" i="192"/>
  <c r="I56" i="192"/>
  <c r="H56" i="192"/>
  <c r="E56" i="192"/>
  <c r="AD55" i="192"/>
  <c r="AE55" i="192" s="1"/>
  <c r="AI55" i="192" s="1"/>
  <c r="Y55" i="192" s="1"/>
  <c r="AC55" i="192"/>
  <c r="AB55" i="192"/>
  <c r="Z55" i="192"/>
  <c r="X55" i="192"/>
  <c r="Q55" i="192"/>
  <c r="P55" i="192"/>
  <c r="H55" i="192"/>
  <c r="E55" i="192"/>
  <c r="I55" i="192" s="1"/>
  <c r="AD54" i="192"/>
  <c r="AC54" i="192"/>
  <c r="AE54" i="192" s="1"/>
  <c r="AI54" i="192" s="1"/>
  <c r="Y54" i="192" s="1"/>
  <c r="AB54" i="192"/>
  <c r="Z54" i="192"/>
  <c r="X54" i="192"/>
  <c r="Q54" i="192"/>
  <c r="P54" i="192"/>
  <c r="H54" i="192"/>
  <c r="E54" i="192"/>
  <c r="I54" i="192" s="1"/>
  <c r="AD53" i="192"/>
  <c r="AC53" i="192"/>
  <c r="AE53" i="192" s="1"/>
  <c r="AI53" i="192" s="1"/>
  <c r="Y53" i="192" s="1"/>
  <c r="AB53" i="192"/>
  <c r="Z53" i="192"/>
  <c r="X53" i="192"/>
  <c r="Q53" i="192"/>
  <c r="P53" i="192"/>
  <c r="H53" i="192"/>
  <c r="E53" i="192"/>
  <c r="I53" i="192" s="1"/>
  <c r="AE52" i="192"/>
  <c r="AI52" i="192" s="1"/>
  <c r="Y52" i="192" s="1"/>
  <c r="Z52" i="192"/>
  <c r="X52" i="192"/>
  <c r="Q52" i="192"/>
  <c r="P52" i="192"/>
  <c r="H52" i="192"/>
  <c r="E52" i="192"/>
  <c r="I52" i="192" s="1"/>
  <c r="AE51" i="192"/>
  <c r="AI51" i="192" s="1"/>
  <c r="Y51" i="192" s="1"/>
  <c r="AD51" i="192"/>
  <c r="AC51" i="192"/>
  <c r="AB51" i="192"/>
  <c r="Z51" i="192"/>
  <c r="X51" i="192"/>
  <c r="Q51" i="192"/>
  <c r="P51" i="192"/>
  <c r="H51" i="192"/>
  <c r="E51" i="192"/>
  <c r="I51" i="192" s="1"/>
  <c r="AD50" i="192"/>
  <c r="AC50" i="192"/>
  <c r="AB50" i="192"/>
  <c r="AE50" i="192" s="1"/>
  <c r="AI50" i="192" s="1"/>
  <c r="Y50" i="192" s="1"/>
  <c r="Z50" i="192"/>
  <c r="X50" i="192"/>
  <c r="Q50" i="192"/>
  <c r="P50" i="192"/>
  <c r="I50" i="192"/>
  <c r="H50" i="192"/>
  <c r="E50" i="192"/>
  <c r="AE49" i="192"/>
  <c r="AI49" i="192" s="1"/>
  <c r="Y49" i="192" s="1"/>
  <c r="Z49" i="192"/>
  <c r="X49" i="192"/>
  <c r="Q49" i="192"/>
  <c r="P49" i="192"/>
  <c r="I49" i="192"/>
  <c r="H49" i="192"/>
  <c r="E49" i="192"/>
  <c r="AE48" i="192"/>
  <c r="AI48" i="192" s="1"/>
  <c r="Y48" i="192" s="1"/>
  <c r="Z48" i="192"/>
  <c r="X48" i="192"/>
  <c r="Q48" i="192"/>
  <c r="P48" i="192"/>
  <c r="I48" i="192"/>
  <c r="H48" i="192"/>
  <c r="E48" i="192"/>
  <c r="AI47" i="192"/>
  <c r="AE47" i="192"/>
  <c r="Z47" i="192"/>
  <c r="Y47" i="192"/>
  <c r="X47" i="192"/>
  <c r="Q47" i="192"/>
  <c r="P47" i="192"/>
  <c r="H47" i="192"/>
  <c r="E47" i="192"/>
  <c r="I47" i="192" s="1"/>
  <c r="AD46" i="192"/>
  <c r="AC46" i="192"/>
  <c r="AB46" i="192"/>
  <c r="AE46" i="192" s="1"/>
  <c r="AI46" i="192" s="1"/>
  <c r="Y46" i="192" s="1"/>
  <c r="Z46" i="192"/>
  <c r="X46" i="192"/>
  <c r="Q46" i="192"/>
  <c r="P46" i="192"/>
  <c r="I46" i="192"/>
  <c r="H46" i="192"/>
  <c r="E46" i="192"/>
  <c r="AD45" i="192"/>
  <c r="AC45" i="192"/>
  <c r="AB45" i="192"/>
  <c r="AE45" i="192" s="1"/>
  <c r="AI45" i="192" s="1"/>
  <c r="Y45" i="192" s="1"/>
  <c r="Z45" i="192"/>
  <c r="X45" i="192"/>
  <c r="Q45" i="192"/>
  <c r="P45" i="192"/>
  <c r="H45" i="192"/>
  <c r="E45" i="192"/>
  <c r="I45" i="192" s="1"/>
  <c r="AD44" i="192"/>
  <c r="AC44" i="192"/>
  <c r="AB44" i="192"/>
  <c r="AE44" i="192" s="1"/>
  <c r="AI44" i="192" s="1"/>
  <c r="Y44" i="192" s="1"/>
  <c r="Z44" i="192"/>
  <c r="X44" i="192"/>
  <c r="Q44" i="192"/>
  <c r="P44" i="192"/>
  <c r="I44" i="192"/>
  <c r="H44" i="192"/>
  <c r="E44" i="192"/>
  <c r="AD43" i="192"/>
  <c r="AE43" i="192" s="1"/>
  <c r="AI43" i="192" s="1"/>
  <c r="Y43" i="192" s="1"/>
  <c r="AC43" i="192"/>
  <c r="AB43" i="192"/>
  <c r="Z43" i="192"/>
  <c r="X43" i="192"/>
  <c r="Q43" i="192"/>
  <c r="P43" i="192"/>
  <c r="H43" i="192"/>
  <c r="E43" i="192"/>
  <c r="I43" i="192" s="1"/>
  <c r="AD42" i="192"/>
  <c r="AC42" i="192"/>
  <c r="AB42" i="192"/>
  <c r="AE42" i="192" s="1"/>
  <c r="AI42" i="192" s="1"/>
  <c r="Y42" i="192" s="1"/>
  <c r="Z42" i="192"/>
  <c r="X42" i="192"/>
  <c r="Q42" i="192"/>
  <c r="P42" i="192"/>
  <c r="H42" i="192"/>
  <c r="E42" i="192"/>
  <c r="I42" i="192" s="1"/>
  <c r="AD41" i="192"/>
  <c r="AC41" i="192"/>
  <c r="AE41" i="192" s="1"/>
  <c r="AI41" i="192" s="1"/>
  <c r="Y41" i="192" s="1"/>
  <c r="AB41" i="192"/>
  <c r="Z41" i="192"/>
  <c r="X41" i="192"/>
  <c r="Q41" i="192"/>
  <c r="P41" i="192"/>
  <c r="H41" i="192"/>
  <c r="E41" i="192"/>
  <c r="I41" i="192" s="1"/>
  <c r="AE40" i="192"/>
  <c r="AI40" i="192" s="1"/>
  <c r="Y40" i="192" s="1"/>
  <c r="AD40" i="192"/>
  <c r="AC40" i="192"/>
  <c r="AB40" i="192"/>
  <c r="Z40" i="192"/>
  <c r="X40" i="192"/>
  <c r="Q40" i="192"/>
  <c r="P40" i="192"/>
  <c r="H40" i="192"/>
  <c r="E40" i="192"/>
  <c r="I40" i="192" s="1"/>
  <c r="AD39" i="192"/>
  <c r="AC39" i="192"/>
  <c r="AB39" i="192"/>
  <c r="AE39" i="192" s="1"/>
  <c r="AI39" i="192" s="1"/>
  <c r="Y39" i="192" s="1"/>
  <c r="Z39" i="192"/>
  <c r="X39" i="192"/>
  <c r="Q39" i="192"/>
  <c r="P39" i="192"/>
  <c r="H39" i="192"/>
  <c r="E39" i="192"/>
  <c r="I39" i="192" s="1"/>
  <c r="AE38" i="192"/>
  <c r="AI38" i="192" s="1"/>
  <c r="Y38" i="192" s="1"/>
  <c r="AD38" i="192"/>
  <c r="AC38" i="192"/>
  <c r="AB38" i="192"/>
  <c r="Z38" i="192"/>
  <c r="X38" i="192"/>
  <c r="Q38" i="192"/>
  <c r="P38" i="192"/>
  <c r="H38" i="192"/>
  <c r="E38" i="192"/>
  <c r="I38" i="192" s="1"/>
  <c r="AD37" i="192"/>
  <c r="AC37" i="192"/>
  <c r="AB37" i="192"/>
  <c r="AE37" i="192" s="1"/>
  <c r="AI37" i="192" s="1"/>
  <c r="Y37" i="192" s="1"/>
  <c r="Z37" i="192"/>
  <c r="X37" i="192"/>
  <c r="Q37" i="192"/>
  <c r="P37" i="192"/>
  <c r="I37" i="192"/>
  <c r="H37" i="192"/>
  <c r="E37" i="192"/>
  <c r="AD36" i="192"/>
  <c r="AE36" i="192" s="1"/>
  <c r="AI36" i="192" s="1"/>
  <c r="Y36" i="192" s="1"/>
  <c r="AC36" i="192"/>
  <c r="AB36" i="192"/>
  <c r="Z36" i="192"/>
  <c r="X36" i="192"/>
  <c r="Q36" i="192"/>
  <c r="P36" i="192"/>
  <c r="H36" i="192"/>
  <c r="E36" i="192"/>
  <c r="I36" i="192" s="1"/>
  <c r="AI35" i="192"/>
  <c r="Y35" i="192" s="1"/>
  <c r="AE35" i="192"/>
  <c r="AD35" i="192"/>
  <c r="AC35" i="192"/>
  <c r="AB35" i="192"/>
  <c r="Z35" i="192"/>
  <c r="X35" i="192"/>
  <c r="Q35" i="192"/>
  <c r="P35" i="192"/>
  <c r="I35" i="192"/>
  <c r="H35" i="192"/>
  <c r="E35" i="192"/>
  <c r="AD34" i="192"/>
  <c r="AC34" i="192"/>
  <c r="AB34" i="192"/>
  <c r="AE34" i="192" s="1"/>
  <c r="AI34" i="192" s="1"/>
  <c r="Y34" i="192" s="1"/>
  <c r="Z34" i="192"/>
  <c r="X34" i="192"/>
  <c r="Q34" i="192"/>
  <c r="P34" i="192"/>
  <c r="I34" i="192"/>
  <c r="H34" i="192"/>
  <c r="E34" i="192"/>
  <c r="AD33" i="192"/>
  <c r="AC33" i="192"/>
  <c r="AB33" i="192"/>
  <c r="AE33" i="192" s="1"/>
  <c r="AI33" i="192" s="1"/>
  <c r="Y33" i="192" s="1"/>
  <c r="Z33" i="192"/>
  <c r="X33" i="192"/>
  <c r="Q33" i="192"/>
  <c r="P33" i="192"/>
  <c r="I33" i="192"/>
  <c r="H33" i="192"/>
  <c r="E33" i="192"/>
  <c r="AD32" i="192"/>
  <c r="AC32" i="192"/>
  <c r="AE32" i="192" s="1"/>
  <c r="AI32" i="192" s="1"/>
  <c r="Y32" i="192" s="1"/>
  <c r="AB32" i="192"/>
  <c r="Z32" i="192"/>
  <c r="X32" i="192"/>
  <c r="Q32" i="192"/>
  <c r="P32" i="192"/>
  <c r="I32" i="192"/>
  <c r="H32" i="192"/>
  <c r="E32" i="192"/>
  <c r="AE31" i="192"/>
  <c r="AI31" i="192" s="1"/>
  <c r="Y31" i="192" s="1"/>
  <c r="Z31" i="192"/>
  <c r="X31" i="192"/>
  <c r="Q31" i="192"/>
  <c r="P31" i="192"/>
  <c r="I31" i="192"/>
  <c r="H31" i="192"/>
  <c r="E31" i="192"/>
  <c r="AD30" i="192"/>
  <c r="AC30" i="192"/>
  <c r="AB30" i="192"/>
  <c r="AE30" i="192" s="1"/>
  <c r="AI30" i="192" s="1"/>
  <c r="Y30" i="192" s="1"/>
  <c r="Z30" i="192"/>
  <c r="X30" i="192"/>
  <c r="Q30" i="192"/>
  <c r="P30" i="192"/>
  <c r="H30" i="192"/>
  <c r="E30" i="192"/>
  <c r="I30" i="192" s="1"/>
  <c r="AD29" i="192"/>
  <c r="AC29" i="192"/>
  <c r="AB29" i="192"/>
  <c r="AE29" i="192" s="1"/>
  <c r="AI29" i="192" s="1"/>
  <c r="Y29" i="192" s="1"/>
  <c r="Z29" i="192"/>
  <c r="X29" i="192"/>
  <c r="Q29" i="192"/>
  <c r="P29" i="192"/>
  <c r="I29" i="192"/>
  <c r="H29" i="192"/>
  <c r="E29" i="192"/>
  <c r="AD28" i="192"/>
  <c r="AE28" i="192" s="1"/>
  <c r="AI28" i="192" s="1"/>
  <c r="Y28" i="192" s="1"/>
  <c r="AC28" i="192"/>
  <c r="AB28" i="192"/>
  <c r="Z28" i="192"/>
  <c r="X28" i="192"/>
  <c r="Q28" i="192"/>
  <c r="P28" i="192"/>
  <c r="H28" i="192"/>
  <c r="E28" i="192"/>
  <c r="I28" i="192" s="1"/>
  <c r="AD27" i="192"/>
  <c r="AC27" i="192"/>
  <c r="AB27" i="192"/>
  <c r="AE27" i="192" s="1"/>
  <c r="AI27" i="192" s="1"/>
  <c r="Y27" i="192" s="1"/>
  <c r="Z27" i="192"/>
  <c r="X27" i="192"/>
  <c r="Q27" i="192"/>
  <c r="P27" i="192"/>
  <c r="H27" i="192"/>
  <c r="E27" i="192"/>
  <c r="I27" i="192" s="1"/>
  <c r="AD26" i="192"/>
  <c r="AC26" i="192"/>
  <c r="AE26" i="192" s="1"/>
  <c r="AI26" i="192" s="1"/>
  <c r="Y26" i="192" s="1"/>
  <c r="AB26" i="192"/>
  <c r="Z26" i="192"/>
  <c r="X26" i="192"/>
  <c r="Q26" i="192"/>
  <c r="P26" i="192"/>
  <c r="H26" i="192"/>
  <c r="E26" i="192"/>
  <c r="I26" i="192" s="1"/>
  <c r="AE25" i="192"/>
  <c r="AI25" i="192" s="1"/>
  <c r="Y25" i="192" s="1"/>
  <c r="AD25" i="192"/>
  <c r="AC25" i="192"/>
  <c r="AB25" i="192"/>
  <c r="Z25" i="192"/>
  <c r="X25" i="192"/>
  <c r="Q25" i="192"/>
  <c r="P25" i="192"/>
  <c r="H25" i="192"/>
  <c r="E25" i="192"/>
  <c r="I25" i="192" s="1"/>
  <c r="AD24" i="192"/>
  <c r="AC24" i="192"/>
  <c r="AB24" i="192"/>
  <c r="AE24" i="192" s="1"/>
  <c r="AI24" i="192" s="1"/>
  <c r="Y24" i="192" s="1"/>
  <c r="Z24" i="192"/>
  <c r="X24" i="192"/>
  <c r="Q24" i="192"/>
  <c r="P24" i="192"/>
  <c r="H24" i="192"/>
  <c r="E24" i="192"/>
  <c r="I24" i="192" s="1"/>
  <c r="AE23" i="192"/>
  <c r="AI23" i="192" s="1"/>
  <c r="Y23" i="192" s="1"/>
  <c r="AD23" i="192"/>
  <c r="AC23" i="192"/>
  <c r="AB23" i="192"/>
  <c r="Z23" i="192"/>
  <c r="X23" i="192"/>
  <c r="Q23" i="192"/>
  <c r="P23" i="192"/>
  <c r="H23" i="192"/>
  <c r="E23" i="192"/>
  <c r="I23" i="192" s="1"/>
  <c r="AD22" i="192"/>
  <c r="AC22" i="192"/>
  <c r="AB22" i="192"/>
  <c r="AE22" i="192" s="1"/>
  <c r="AI22" i="192" s="1"/>
  <c r="Y22" i="192" s="1"/>
  <c r="Z22" i="192"/>
  <c r="X22" i="192"/>
  <c r="Q22" i="192"/>
  <c r="P22" i="192"/>
  <c r="I22" i="192"/>
  <c r="H22" i="192"/>
  <c r="E22" i="192"/>
  <c r="AD21" i="192"/>
  <c r="AE21" i="192" s="1"/>
  <c r="AI21" i="192" s="1"/>
  <c r="Y21" i="192" s="1"/>
  <c r="AC21" i="192"/>
  <c r="AB21" i="192"/>
  <c r="Z21" i="192"/>
  <c r="X21" i="192"/>
  <c r="Q21" i="192"/>
  <c r="P21" i="192"/>
  <c r="H21" i="192"/>
  <c r="E21" i="192"/>
  <c r="I21" i="192" s="1"/>
  <c r="AI20" i="192"/>
  <c r="Y20" i="192" s="1"/>
  <c r="AE20" i="192"/>
  <c r="AD20" i="192"/>
  <c r="AC20" i="192"/>
  <c r="AB20" i="192"/>
  <c r="Z20" i="192"/>
  <c r="X20" i="192"/>
  <c r="Q20" i="192"/>
  <c r="P20" i="192"/>
  <c r="I20" i="192"/>
  <c r="H20" i="192"/>
  <c r="E20" i="192"/>
  <c r="AD19" i="192"/>
  <c r="AC19" i="192"/>
  <c r="AB19" i="192"/>
  <c r="AE19" i="192" s="1"/>
  <c r="AI19" i="192" s="1"/>
  <c r="Y19" i="192" s="1"/>
  <c r="Z19" i="192"/>
  <c r="X19" i="192"/>
  <c r="Q19" i="192"/>
  <c r="P19" i="192"/>
  <c r="I19" i="192"/>
  <c r="H19" i="192"/>
  <c r="E19" i="192"/>
  <c r="AE18" i="192"/>
  <c r="AI18" i="192" s="1"/>
  <c r="Y18" i="192" s="1"/>
  <c r="AD18" i="192"/>
  <c r="AC18" i="192"/>
  <c r="AB18" i="192"/>
  <c r="Z18" i="192"/>
  <c r="X18" i="192"/>
  <c r="Q18" i="192"/>
  <c r="P18" i="192"/>
  <c r="I18" i="192"/>
  <c r="H18" i="192"/>
  <c r="E18" i="192"/>
  <c r="AD17" i="192"/>
  <c r="AC17" i="192"/>
  <c r="AB17" i="192"/>
  <c r="AE17" i="192" s="1"/>
  <c r="AI17" i="192" s="1"/>
  <c r="Y17" i="192" s="1"/>
  <c r="Z17" i="192"/>
  <c r="X17" i="192"/>
  <c r="Q17" i="192"/>
  <c r="P17" i="192"/>
  <c r="I17" i="192"/>
  <c r="H17" i="192"/>
  <c r="E17" i="192"/>
  <c r="AE16" i="192"/>
  <c r="AI16" i="192" s="1"/>
  <c r="Y16" i="192" s="1"/>
  <c r="AD16" i="192"/>
  <c r="AC16" i="192"/>
  <c r="AB16" i="192"/>
  <c r="Z16" i="192"/>
  <c r="X16" i="192"/>
  <c r="Q16" i="192"/>
  <c r="P16" i="192"/>
  <c r="E16" i="192"/>
  <c r="I16" i="192" s="1"/>
  <c r="AI15" i="192"/>
  <c r="Y15" i="192" s="1"/>
  <c r="AE15" i="192"/>
  <c r="AD15" i="192"/>
  <c r="AC15" i="192"/>
  <c r="AB15" i="192"/>
  <c r="Z15" i="192"/>
  <c r="X15" i="192"/>
  <c r="Q15" i="192"/>
  <c r="P15" i="192"/>
  <c r="E15" i="192"/>
  <c r="I15" i="192" s="1"/>
  <c r="AD14" i="192"/>
  <c r="AC14" i="192"/>
  <c r="AB14" i="192"/>
  <c r="AE14" i="192" s="1"/>
  <c r="AI14" i="192" s="1"/>
  <c r="Y14" i="192" s="1"/>
  <c r="Z14" i="192"/>
  <c r="X14" i="192"/>
  <c r="Q14" i="192"/>
  <c r="O75" i="192" s="1"/>
  <c r="P14" i="192"/>
  <c r="H14" i="192"/>
  <c r="E14" i="192"/>
  <c r="I14" i="192" s="1"/>
  <c r="AD13" i="192"/>
  <c r="AE13" i="192" s="1"/>
  <c r="AI13" i="192" s="1"/>
  <c r="Y13" i="192" s="1"/>
  <c r="AC13" i="192"/>
  <c r="AB13" i="192"/>
  <c r="Z13" i="192"/>
  <c r="X13" i="192"/>
  <c r="Q13" i="192"/>
  <c r="P13" i="192"/>
  <c r="H13" i="192"/>
  <c r="E13" i="192"/>
  <c r="I13" i="192" s="1"/>
  <c r="AD12" i="192"/>
  <c r="AC12" i="192"/>
  <c r="AB12" i="192"/>
  <c r="AE12" i="192" s="1"/>
  <c r="AI12" i="192" s="1"/>
  <c r="Y12" i="192" s="1"/>
  <c r="Z12" i="192"/>
  <c r="X12" i="192"/>
  <c r="Q12" i="192"/>
  <c r="O73" i="192" s="1"/>
  <c r="P12" i="192"/>
  <c r="I12" i="192"/>
  <c r="H12" i="192"/>
  <c r="E12" i="192"/>
  <c r="F77" i="193" l="1"/>
  <c r="F73" i="192"/>
  <c r="T75" i="192"/>
  <c r="T77" i="192"/>
  <c r="F75" i="192"/>
  <c r="T73" i="192"/>
  <c r="P79" i="191"/>
  <c r="T79" i="192" l="1"/>
  <c r="F77" i="192" s="1"/>
  <c r="M79" i="191"/>
  <c r="P71" i="191"/>
  <c r="H71" i="191"/>
  <c r="Q70" i="191"/>
  <c r="P70" i="191"/>
  <c r="I70" i="191"/>
  <c r="H70" i="191"/>
  <c r="E70" i="191"/>
  <c r="Q69" i="191"/>
  <c r="P69" i="191"/>
  <c r="I69" i="191"/>
  <c r="H69" i="191"/>
  <c r="E69" i="191"/>
  <c r="AD68" i="191"/>
  <c r="AC68" i="191"/>
  <c r="AB68" i="191"/>
  <c r="AE68" i="191" s="1"/>
  <c r="AI68" i="191" s="1"/>
  <c r="Y68" i="191" s="1"/>
  <c r="Z68" i="191"/>
  <c r="X68" i="191"/>
  <c r="Q68" i="191"/>
  <c r="P68" i="191"/>
  <c r="H68" i="191"/>
  <c r="E68" i="191"/>
  <c r="I68" i="191" s="1"/>
  <c r="AD67" i="191"/>
  <c r="AC67" i="191"/>
  <c r="AB67" i="191"/>
  <c r="AE67" i="191" s="1"/>
  <c r="AI67" i="191" s="1"/>
  <c r="Y67" i="191" s="1"/>
  <c r="Z67" i="191"/>
  <c r="X67" i="191"/>
  <c r="Q67" i="191"/>
  <c r="P67" i="191"/>
  <c r="I67" i="191"/>
  <c r="H67" i="191"/>
  <c r="E67" i="191"/>
  <c r="AD66" i="191"/>
  <c r="AC66" i="191"/>
  <c r="AE66" i="191" s="1"/>
  <c r="AI66" i="191" s="1"/>
  <c r="Y66" i="191" s="1"/>
  <c r="AB66" i="191"/>
  <c r="Z66" i="191"/>
  <c r="X66" i="191"/>
  <c r="Q66" i="191"/>
  <c r="P66" i="191"/>
  <c r="I66" i="191"/>
  <c r="H66" i="191"/>
  <c r="E66" i="191"/>
  <c r="AD65" i="191"/>
  <c r="AC65" i="191"/>
  <c r="AB65" i="191"/>
  <c r="AE65" i="191" s="1"/>
  <c r="AI65" i="191" s="1"/>
  <c r="Y65" i="191" s="1"/>
  <c r="Z65" i="191"/>
  <c r="X65" i="191"/>
  <c r="Q65" i="191"/>
  <c r="P65" i="191"/>
  <c r="I65" i="191"/>
  <c r="H65" i="191"/>
  <c r="E65" i="191"/>
  <c r="AE64" i="191"/>
  <c r="AI64" i="191" s="1"/>
  <c r="Y64" i="191" s="1"/>
  <c r="AD64" i="191"/>
  <c r="AC64" i="191"/>
  <c r="AB64" i="191"/>
  <c r="Z64" i="191"/>
  <c r="X64" i="191"/>
  <c r="Q64" i="191"/>
  <c r="P64" i="191"/>
  <c r="I64" i="191"/>
  <c r="H64" i="191"/>
  <c r="E64" i="191"/>
  <c r="AD63" i="191"/>
  <c r="AC63" i="191"/>
  <c r="AB63" i="191"/>
  <c r="AE63" i="191" s="1"/>
  <c r="AI63" i="191" s="1"/>
  <c r="Y63" i="191" s="1"/>
  <c r="Z63" i="191"/>
  <c r="X63" i="191"/>
  <c r="Q63" i="191"/>
  <c r="P63" i="191"/>
  <c r="H63" i="191"/>
  <c r="E63" i="191"/>
  <c r="I63" i="191" s="1"/>
  <c r="AD62" i="191"/>
  <c r="AC62" i="191"/>
  <c r="AB62" i="191"/>
  <c r="AE62" i="191" s="1"/>
  <c r="AI62" i="191" s="1"/>
  <c r="Y62" i="191" s="1"/>
  <c r="Z62" i="191"/>
  <c r="X62" i="191"/>
  <c r="Q62" i="191"/>
  <c r="P62" i="191"/>
  <c r="I62" i="191"/>
  <c r="H62" i="191"/>
  <c r="E62" i="191"/>
  <c r="AE61" i="191"/>
  <c r="AI61" i="191" s="1"/>
  <c r="Y61" i="191" s="1"/>
  <c r="AC61" i="191"/>
  <c r="AB61" i="191"/>
  <c r="X61" i="191"/>
  <c r="Q61" i="191"/>
  <c r="P61" i="191"/>
  <c r="H61" i="191"/>
  <c r="E61" i="191"/>
  <c r="I61" i="191" s="1"/>
  <c r="AE60" i="191"/>
  <c r="AI60" i="191" s="1"/>
  <c r="Y60" i="191" s="1"/>
  <c r="X60" i="191"/>
  <c r="Q60" i="191"/>
  <c r="P60" i="191"/>
  <c r="I60" i="191"/>
  <c r="H60" i="191"/>
  <c r="E60" i="191"/>
  <c r="AC59" i="191"/>
  <c r="AB59" i="191"/>
  <c r="AE59" i="191" s="1"/>
  <c r="AI59" i="191" s="1"/>
  <c r="Y59" i="191" s="1"/>
  <c r="X59" i="191"/>
  <c r="Q59" i="191"/>
  <c r="P59" i="191"/>
  <c r="I59" i="191"/>
  <c r="H59" i="191"/>
  <c r="E59" i="191"/>
  <c r="AC58" i="191"/>
  <c r="AB58" i="191"/>
  <c r="AE58" i="191" s="1"/>
  <c r="AI58" i="191" s="1"/>
  <c r="Y58" i="191" s="1"/>
  <c r="X58" i="191"/>
  <c r="Q58" i="191"/>
  <c r="P58" i="191"/>
  <c r="I58" i="191"/>
  <c r="E58" i="191"/>
  <c r="AE57" i="191"/>
  <c r="AI57" i="191" s="1"/>
  <c r="Y57" i="191" s="1"/>
  <c r="AC57" i="191"/>
  <c r="AB57" i="191"/>
  <c r="X57" i="191"/>
  <c r="Q57" i="191"/>
  <c r="P57" i="191"/>
  <c r="I57" i="191"/>
  <c r="H57" i="191"/>
  <c r="E57" i="191"/>
  <c r="AD56" i="191"/>
  <c r="AC56" i="191"/>
  <c r="AB56" i="191"/>
  <c r="AE56" i="191" s="1"/>
  <c r="AI56" i="191" s="1"/>
  <c r="Y56" i="191" s="1"/>
  <c r="Z56" i="191"/>
  <c r="X56" i="191"/>
  <c r="Q56" i="191"/>
  <c r="P56" i="191"/>
  <c r="H56" i="191"/>
  <c r="E56" i="191"/>
  <c r="I56" i="191" s="1"/>
  <c r="AI55" i="191"/>
  <c r="AE55" i="191"/>
  <c r="AD55" i="191"/>
  <c r="AC55" i="191"/>
  <c r="AB55" i="191"/>
  <c r="Z55" i="191"/>
  <c r="Y55" i="191"/>
  <c r="X55" i="191"/>
  <c r="Q55" i="191"/>
  <c r="P55" i="191"/>
  <c r="H55" i="191"/>
  <c r="E55" i="191"/>
  <c r="I55" i="191" s="1"/>
  <c r="AD54" i="191"/>
  <c r="AC54" i="191"/>
  <c r="AB54" i="191"/>
  <c r="AE54" i="191" s="1"/>
  <c r="AI54" i="191" s="1"/>
  <c r="Y54" i="191" s="1"/>
  <c r="Z54" i="191"/>
  <c r="X54" i="191"/>
  <c r="Q54" i="191"/>
  <c r="P54" i="191"/>
  <c r="H54" i="191"/>
  <c r="E54" i="191"/>
  <c r="I54" i="191" s="1"/>
  <c r="AE53" i="191"/>
  <c r="AI53" i="191" s="1"/>
  <c r="Y53" i="191" s="1"/>
  <c r="AD53" i="191"/>
  <c r="AC53" i="191"/>
  <c r="AB53" i="191"/>
  <c r="Z53" i="191"/>
  <c r="X53" i="191"/>
  <c r="Q53" i="191"/>
  <c r="P53" i="191"/>
  <c r="H53" i="191"/>
  <c r="E53" i="191"/>
  <c r="I53" i="191" s="1"/>
  <c r="AE52" i="191"/>
  <c r="AI52" i="191" s="1"/>
  <c r="Y52" i="191" s="1"/>
  <c r="Z52" i="191"/>
  <c r="X52" i="191"/>
  <c r="Q52" i="191"/>
  <c r="P52" i="191"/>
  <c r="H52" i="191"/>
  <c r="E52" i="191"/>
  <c r="I52" i="191" s="1"/>
  <c r="AD51" i="191"/>
  <c r="AC51" i="191"/>
  <c r="AB51" i="191"/>
  <c r="AE51" i="191" s="1"/>
  <c r="AI51" i="191" s="1"/>
  <c r="Y51" i="191" s="1"/>
  <c r="Z51" i="191"/>
  <c r="X51" i="191"/>
  <c r="Q51" i="191"/>
  <c r="P51" i="191"/>
  <c r="I51" i="191"/>
  <c r="H51" i="191"/>
  <c r="E51" i="191"/>
  <c r="AD50" i="191"/>
  <c r="AE50" i="191" s="1"/>
  <c r="AI50" i="191" s="1"/>
  <c r="Y50" i="191" s="1"/>
  <c r="AC50" i="191"/>
  <c r="AB50" i="191"/>
  <c r="Z50" i="191"/>
  <c r="X50" i="191"/>
  <c r="Q50" i="191"/>
  <c r="P50" i="191"/>
  <c r="I50" i="191"/>
  <c r="H50" i="191"/>
  <c r="E50" i="191"/>
  <c r="AI49" i="191"/>
  <c r="Y49" i="191" s="1"/>
  <c r="AE49" i="191"/>
  <c r="Z49" i="191"/>
  <c r="X49" i="191"/>
  <c r="Q49" i="191"/>
  <c r="P49" i="191"/>
  <c r="I49" i="191"/>
  <c r="H49" i="191"/>
  <c r="E49" i="191"/>
  <c r="AE48" i="191"/>
  <c r="AI48" i="191" s="1"/>
  <c r="Y48" i="191" s="1"/>
  <c r="Z48" i="191"/>
  <c r="X48" i="191"/>
  <c r="Q48" i="191"/>
  <c r="P48" i="191"/>
  <c r="I48" i="191"/>
  <c r="H48" i="191"/>
  <c r="E48" i="191"/>
  <c r="AE47" i="191"/>
  <c r="AI47" i="191" s="1"/>
  <c r="Y47" i="191" s="1"/>
  <c r="Z47" i="191"/>
  <c r="X47" i="191"/>
  <c r="Q47" i="191"/>
  <c r="P47" i="191"/>
  <c r="I47" i="191"/>
  <c r="H47" i="191"/>
  <c r="E47" i="191"/>
  <c r="AD46" i="191"/>
  <c r="AC46" i="191"/>
  <c r="AB46" i="191"/>
  <c r="AE46" i="191" s="1"/>
  <c r="AI46" i="191" s="1"/>
  <c r="Y46" i="191" s="1"/>
  <c r="Z46" i="191"/>
  <c r="X46" i="191"/>
  <c r="Q46" i="191"/>
  <c r="P46" i="191"/>
  <c r="H46" i="191"/>
  <c r="E46" i="191"/>
  <c r="I46" i="191" s="1"/>
  <c r="AD45" i="191"/>
  <c r="AC45" i="191"/>
  <c r="AE45" i="191" s="1"/>
  <c r="AI45" i="191" s="1"/>
  <c r="Y45" i="191" s="1"/>
  <c r="AB45" i="191"/>
  <c r="Z45" i="191"/>
  <c r="X45" i="191"/>
  <c r="Q45" i="191"/>
  <c r="P45" i="191"/>
  <c r="I45" i="191"/>
  <c r="H45" i="191"/>
  <c r="E45" i="191"/>
  <c r="AD44" i="191"/>
  <c r="AC44" i="191"/>
  <c r="AB44" i="191"/>
  <c r="AE44" i="191" s="1"/>
  <c r="AI44" i="191" s="1"/>
  <c r="Y44" i="191" s="1"/>
  <c r="Z44" i="191"/>
  <c r="X44" i="191"/>
  <c r="Q44" i="191"/>
  <c r="P44" i="191"/>
  <c r="H44" i="191"/>
  <c r="E44" i="191"/>
  <c r="I44" i="191" s="1"/>
  <c r="AI43" i="191"/>
  <c r="AE43" i="191"/>
  <c r="AD43" i="191"/>
  <c r="AC43" i="191"/>
  <c r="AB43" i="191"/>
  <c r="Z43" i="191"/>
  <c r="Y43" i="191"/>
  <c r="X43" i="191"/>
  <c r="Q43" i="191"/>
  <c r="P43" i="191"/>
  <c r="H43" i="191"/>
  <c r="E43" i="191"/>
  <c r="I43" i="191" s="1"/>
  <c r="AD42" i="191"/>
  <c r="AC42" i="191"/>
  <c r="AB42" i="191"/>
  <c r="AE42" i="191" s="1"/>
  <c r="AI42" i="191" s="1"/>
  <c r="Y42" i="191" s="1"/>
  <c r="Z42" i="191"/>
  <c r="X42" i="191"/>
  <c r="Q42" i="191"/>
  <c r="P42" i="191"/>
  <c r="H42" i="191"/>
  <c r="E42" i="191"/>
  <c r="I42" i="191" s="1"/>
  <c r="AE41" i="191"/>
  <c r="AI41" i="191" s="1"/>
  <c r="Y41" i="191" s="1"/>
  <c r="AD41" i="191"/>
  <c r="AC41" i="191"/>
  <c r="AB41" i="191"/>
  <c r="Z41" i="191"/>
  <c r="X41" i="191"/>
  <c r="Q41" i="191"/>
  <c r="P41" i="191"/>
  <c r="H41" i="191"/>
  <c r="E41" i="191"/>
  <c r="I41" i="191" s="1"/>
  <c r="AD40" i="191"/>
  <c r="AE40" i="191" s="1"/>
  <c r="AI40" i="191" s="1"/>
  <c r="Y40" i="191" s="1"/>
  <c r="AC40" i="191"/>
  <c r="AB40" i="191"/>
  <c r="Z40" i="191"/>
  <c r="X40" i="191"/>
  <c r="Q40" i="191"/>
  <c r="P40" i="191"/>
  <c r="I40" i="191"/>
  <c r="H40" i="191"/>
  <c r="E40" i="191"/>
  <c r="AD39" i="191"/>
  <c r="AC39" i="191"/>
  <c r="AB39" i="191"/>
  <c r="AE39" i="191" s="1"/>
  <c r="AI39" i="191" s="1"/>
  <c r="Y39" i="191" s="1"/>
  <c r="Z39" i="191"/>
  <c r="X39" i="191"/>
  <c r="Q39" i="191"/>
  <c r="P39" i="191"/>
  <c r="H39" i="191"/>
  <c r="E39" i="191"/>
  <c r="I39" i="191" s="1"/>
  <c r="AD38" i="191"/>
  <c r="AC38" i="191"/>
  <c r="AB38" i="191"/>
  <c r="AE38" i="191" s="1"/>
  <c r="AI38" i="191" s="1"/>
  <c r="Y38" i="191" s="1"/>
  <c r="Z38" i="191"/>
  <c r="X38" i="191"/>
  <c r="Q38" i="191"/>
  <c r="P38" i="191"/>
  <c r="I38" i="191"/>
  <c r="H38" i="191"/>
  <c r="E38" i="191"/>
  <c r="AD37" i="191"/>
  <c r="AE37" i="191" s="1"/>
  <c r="AI37" i="191" s="1"/>
  <c r="Y37" i="191" s="1"/>
  <c r="AC37" i="191"/>
  <c r="AB37" i="191"/>
  <c r="Z37" i="191"/>
  <c r="X37" i="191"/>
  <c r="Q37" i="191"/>
  <c r="P37" i="191"/>
  <c r="I37" i="191"/>
  <c r="H37" i="191"/>
  <c r="E37" i="191"/>
  <c r="AD36" i="191"/>
  <c r="AC36" i="191"/>
  <c r="AB36" i="191"/>
  <c r="AE36" i="191" s="1"/>
  <c r="AI36" i="191" s="1"/>
  <c r="Y36" i="191" s="1"/>
  <c r="Z36" i="191"/>
  <c r="X36" i="191"/>
  <c r="Q36" i="191"/>
  <c r="P36" i="191"/>
  <c r="I36" i="191"/>
  <c r="H36" i="191"/>
  <c r="E36" i="191"/>
  <c r="AE35" i="191"/>
  <c r="AI35" i="191" s="1"/>
  <c r="Y35" i="191" s="1"/>
  <c r="AD35" i="191"/>
  <c r="AC35" i="191"/>
  <c r="AB35" i="191"/>
  <c r="Z35" i="191"/>
  <c r="X35" i="191"/>
  <c r="Q35" i="191"/>
  <c r="P35" i="191"/>
  <c r="H35" i="191"/>
  <c r="E35" i="191"/>
  <c r="I35" i="191" s="1"/>
  <c r="AD34" i="191"/>
  <c r="AC34" i="191"/>
  <c r="AB34" i="191"/>
  <c r="AE34" i="191" s="1"/>
  <c r="AI34" i="191" s="1"/>
  <c r="Y34" i="191" s="1"/>
  <c r="Z34" i="191"/>
  <c r="X34" i="191"/>
  <c r="Q34" i="191"/>
  <c r="P34" i="191"/>
  <c r="I34" i="191"/>
  <c r="H34" i="191"/>
  <c r="E34" i="191"/>
  <c r="AD33" i="191"/>
  <c r="AC33" i="191"/>
  <c r="AB33" i="191"/>
  <c r="AE33" i="191" s="1"/>
  <c r="AI33" i="191" s="1"/>
  <c r="Y33" i="191" s="1"/>
  <c r="Z33" i="191"/>
  <c r="X33" i="191"/>
  <c r="Q33" i="191"/>
  <c r="P33" i="191"/>
  <c r="H33" i="191"/>
  <c r="E33" i="191"/>
  <c r="I33" i="191" s="1"/>
  <c r="AE32" i="191"/>
  <c r="AI32" i="191" s="1"/>
  <c r="Y32" i="191" s="1"/>
  <c r="AD32" i="191"/>
  <c r="AC32" i="191"/>
  <c r="AB32" i="191"/>
  <c r="Z32" i="191"/>
  <c r="X32" i="191"/>
  <c r="Q32" i="191"/>
  <c r="P32" i="191"/>
  <c r="I32" i="191"/>
  <c r="H32" i="191"/>
  <c r="E32" i="191"/>
  <c r="AE31" i="191"/>
  <c r="AI31" i="191" s="1"/>
  <c r="Y31" i="191" s="1"/>
  <c r="Z31" i="191"/>
  <c r="X31" i="191"/>
  <c r="Q31" i="191"/>
  <c r="P31" i="191"/>
  <c r="H31" i="191"/>
  <c r="E31" i="191"/>
  <c r="I31" i="191" s="1"/>
  <c r="AD30" i="191"/>
  <c r="AC30" i="191"/>
  <c r="AE30" i="191" s="1"/>
  <c r="AI30" i="191" s="1"/>
  <c r="Y30" i="191" s="1"/>
  <c r="AB30" i="191"/>
  <c r="Z30" i="191"/>
  <c r="X30" i="191"/>
  <c r="Q30" i="191"/>
  <c r="P30" i="191"/>
  <c r="I30" i="191"/>
  <c r="H30" i="191"/>
  <c r="E30" i="191"/>
  <c r="AD29" i="191"/>
  <c r="AC29" i="191"/>
  <c r="AB29" i="191"/>
  <c r="AE29" i="191" s="1"/>
  <c r="AI29" i="191" s="1"/>
  <c r="Y29" i="191" s="1"/>
  <c r="Z29" i="191"/>
  <c r="X29" i="191"/>
  <c r="Q29" i="191"/>
  <c r="P29" i="191"/>
  <c r="H29" i="191"/>
  <c r="E29" i="191"/>
  <c r="I29" i="191" s="1"/>
  <c r="AI28" i="191"/>
  <c r="AE28" i="191"/>
  <c r="AD28" i="191"/>
  <c r="AC28" i="191"/>
  <c r="AB28" i="191"/>
  <c r="Z28" i="191"/>
  <c r="Y28" i="191"/>
  <c r="X28" i="191"/>
  <c r="Q28" i="191"/>
  <c r="P28" i="191"/>
  <c r="H28" i="191"/>
  <c r="E28" i="191"/>
  <c r="I28" i="191" s="1"/>
  <c r="AD27" i="191"/>
  <c r="AC27" i="191"/>
  <c r="AB27" i="191"/>
  <c r="AE27" i="191" s="1"/>
  <c r="AI27" i="191" s="1"/>
  <c r="Y27" i="191" s="1"/>
  <c r="Z27" i="191"/>
  <c r="X27" i="191"/>
  <c r="Q27" i="191"/>
  <c r="P27" i="191"/>
  <c r="H27" i="191"/>
  <c r="E27" i="191"/>
  <c r="I27" i="191" s="1"/>
  <c r="AE26" i="191"/>
  <c r="AI26" i="191" s="1"/>
  <c r="Y26" i="191" s="1"/>
  <c r="AD26" i="191"/>
  <c r="AC26" i="191"/>
  <c r="AB26" i="191"/>
  <c r="Z26" i="191"/>
  <c r="X26" i="191"/>
  <c r="Q26" i="191"/>
  <c r="P26" i="191"/>
  <c r="H26" i="191"/>
  <c r="E26" i="191"/>
  <c r="I26" i="191" s="1"/>
  <c r="AD25" i="191"/>
  <c r="AE25" i="191" s="1"/>
  <c r="AI25" i="191" s="1"/>
  <c r="Y25" i="191" s="1"/>
  <c r="AC25" i="191"/>
  <c r="AB25" i="191"/>
  <c r="Z25" i="191"/>
  <c r="X25" i="191"/>
  <c r="Q25" i="191"/>
  <c r="P25" i="191"/>
  <c r="I25" i="191"/>
  <c r="H25" i="191"/>
  <c r="E25" i="191"/>
  <c r="AD24" i="191"/>
  <c r="AC24" i="191"/>
  <c r="AB24" i="191"/>
  <c r="AE24" i="191" s="1"/>
  <c r="AI24" i="191" s="1"/>
  <c r="Y24" i="191" s="1"/>
  <c r="Z24" i="191"/>
  <c r="X24" i="191"/>
  <c r="Q24" i="191"/>
  <c r="P24" i="191"/>
  <c r="H24" i="191"/>
  <c r="E24" i="191"/>
  <c r="I24" i="191" s="1"/>
  <c r="AD23" i="191"/>
  <c r="AC23" i="191"/>
  <c r="AB23" i="191"/>
  <c r="AE23" i="191" s="1"/>
  <c r="AI23" i="191" s="1"/>
  <c r="Y23" i="191" s="1"/>
  <c r="Z23" i="191"/>
  <c r="X23" i="191"/>
  <c r="Q23" i="191"/>
  <c r="P23" i="191"/>
  <c r="I23" i="191"/>
  <c r="H23" i="191"/>
  <c r="E23" i="191"/>
  <c r="AD22" i="191"/>
  <c r="AE22" i="191" s="1"/>
  <c r="AI22" i="191" s="1"/>
  <c r="Y22" i="191" s="1"/>
  <c r="AC22" i="191"/>
  <c r="AB22" i="191"/>
  <c r="Z22" i="191"/>
  <c r="X22" i="191"/>
  <c r="Q22" i="191"/>
  <c r="P22" i="191"/>
  <c r="I22" i="191"/>
  <c r="H22" i="191"/>
  <c r="E22" i="191"/>
  <c r="AD21" i="191"/>
  <c r="AC21" i="191"/>
  <c r="AB21" i="191"/>
  <c r="AE21" i="191" s="1"/>
  <c r="AI21" i="191" s="1"/>
  <c r="Y21" i="191" s="1"/>
  <c r="Z21" i="191"/>
  <c r="X21" i="191"/>
  <c r="Q21" i="191"/>
  <c r="P21" i="191"/>
  <c r="I21" i="191"/>
  <c r="H21" i="191"/>
  <c r="E21" i="191"/>
  <c r="AE20" i="191"/>
  <c r="AI20" i="191" s="1"/>
  <c r="Y20" i="191" s="1"/>
  <c r="AD20" i="191"/>
  <c r="AC20" i="191"/>
  <c r="AB20" i="191"/>
  <c r="Z20" i="191"/>
  <c r="X20" i="191"/>
  <c r="Q20" i="191"/>
  <c r="P20" i="191"/>
  <c r="H20" i="191"/>
  <c r="E20" i="191"/>
  <c r="I20" i="191" s="1"/>
  <c r="AD19" i="191"/>
  <c r="AC19" i="191"/>
  <c r="AB19" i="191"/>
  <c r="AE19" i="191" s="1"/>
  <c r="AI19" i="191" s="1"/>
  <c r="Y19" i="191" s="1"/>
  <c r="Z19" i="191"/>
  <c r="X19" i="191"/>
  <c r="Q19" i="191"/>
  <c r="P19" i="191"/>
  <c r="I19" i="191"/>
  <c r="H19" i="191"/>
  <c r="E19" i="191"/>
  <c r="AD18" i="191"/>
  <c r="AC18" i="191"/>
  <c r="AB18" i="191"/>
  <c r="AE18" i="191" s="1"/>
  <c r="AI18" i="191" s="1"/>
  <c r="Y18" i="191" s="1"/>
  <c r="Z18" i="191"/>
  <c r="X18" i="191"/>
  <c r="Q18" i="191"/>
  <c r="P18" i="191"/>
  <c r="H18" i="191"/>
  <c r="E18" i="191"/>
  <c r="I18" i="191" s="1"/>
  <c r="AE17" i="191"/>
  <c r="AI17" i="191" s="1"/>
  <c r="Y17" i="191" s="1"/>
  <c r="AD17" i="191"/>
  <c r="AC17" i="191"/>
  <c r="AB17" i="191"/>
  <c r="Z17" i="191"/>
  <c r="X17" i="191"/>
  <c r="Q17" i="191"/>
  <c r="P17" i="191"/>
  <c r="I17" i="191"/>
  <c r="H17" i="191"/>
  <c r="E17" i="191"/>
  <c r="AD16" i="191"/>
  <c r="AC16" i="191"/>
  <c r="AB16" i="191"/>
  <c r="AE16" i="191" s="1"/>
  <c r="AI16" i="191" s="1"/>
  <c r="Y16" i="191" s="1"/>
  <c r="Z16" i="191"/>
  <c r="X16" i="191"/>
  <c r="Q16" i="191"/>
  <c r="P16" i="191"/>
  <c r="I16" i="191"/>
  <c r="E16" i="191"/>
  <c r="AE15" i="191"/>
  <c r="AI15" i="191" s="1"/>
  <c r="Y15" i="191" s="1"/>
  <c r="AD15" i="191"/>
  <c r="AC15" i="191"/>
  <c r="AB15" i="191"/>
  <c r="Z15" i="191"/>
  <c r="X15" i="191"/>
  <c r="Q15" i="191"/>
  <c r="P15" i="191"/>
  <c r="E15" i="191"/>
  <c r="I15" i="191" s="1"/>
  <c r="AD14" i="191"/>
  <c r="AC14" i="191"/>
  <c r="AB14" i="191"/>
  <c r="AE14" i="191" s="1"/>
  <c r="AI14" i="191" s="1"/>
  <c r="Y14" i="191" s="1"/>
  <c r="Z14" i="191"/>
  <c r="X14" i="191"/>
  <c r="Q14" i="191"/>
  <c r="P14" i="191"/>
  <c r="H14" i="191"/>
  <c r="E14" i="191"/>
  <c r="I14" i="191" s="1"/>
  <c r="AD13" i="191"/>
  <c r="AC13" i="191"/>
  <c r="AB13" i="191"/>
  <c r="AE13" i="191" s="1"/>
  <c r="AI13" i="191" s="1"/>
  <c r="Y13" i="191" s="1"/>
  <c r="Z13" i="191"/>
  <c r="X13" i="191"/>
  <c r="Q13" i="191"/>
  <c r="P13" i="191"/>
  <c r="I13" i="191"/>
  <c r="H13" i="191"/>
  <c r="E13" i="191"/>
  <c r="AD12" i="191"/>
  <c r="AE12" i="191" s="1"/>
  <c r="AI12" i="191" s="1"/>
  <c r="Y12" i="191" s="1"/>
  <c r="AC12" i="191"/>
  <c r="AB12" i="191"/>
  <c r="Z12" i="191"/>
  <c r="X12" i="191"/>
  <c r="Q12" i="191"/>
  <c r="O73" i="191" s="1"/>
  <c r="P12" i="191"/>
  <c r="I12" i="191"/>
  <c r="H12" i="191"/>
  <c r="E12" i="191"/>
  <c r="T75" i="191" l="1"/>
  <c r="T77" i="191"/>
  <c r="T79" i="191" s="1"/>
  <c r="O75" i="191"/>
  <c r="T73" i="191"/>
  <c r="F73" i="191"/>
  <c r="F75" i="191"/>
  <c r="M79" i="190"/>
  <c r="P71" i="190"/>
  <c r="H71" i="190"/>
  <c r="Q70" i="190"/>
  <c r="P70" i="190"/>
  <c r="I70" i="190"/>
  <c r="H70" i="190"/>
  <c r="E70" i="190"/>
  <c r="Q69" i="190"/>
  <c r="P69" i="190"/>
  <c r="H69" i="190"/>
  <c r="E69" i="190"/>
  <c r="I69" i="190" s="1"/>
  <c r="AD68" i="190"/>
  <c r="AC68" i="190"/>
  <c r="AB68" i="190"/>
  <c r="AE68" i="190" s="1"/>
  <c r="AI68" i="190" s="1"/>
  <c r="Y68" i="190" s="1"/>
  <c r="Z68" i="190"/>
  <c r="X68" i="190"/>
  <c r="Q68" i="190"/>
  <c r="P68" i="190"/>
  <c r="H68" i="190"/>
  <c r="E68" i="190"/>
  <c r="I68" i="190" s="1"/>
  <c r="AE67" i="190"/>
  <c r="AI67" i="190" s="1"/>
  <c r="Y67" i="190" s="1"/>
  <c r="AD67" i="190"/>
  <c r="AC67" i="190"/>
  <c r="AB67" i="190"/>
  <c r="Z67" i="190"/>
  <c r="X67" i="190"/>
  <c r="Q67" i="190"/>
  <c r="P67" i="190"/>
  <c r="H67" i="190"/>
  <c r="E67" i="190"/>
  <c r="I67" i="190" s="1"/>
  <c r="AE66" i="190"/>
  <c r="AI66" i="190" s="1"/>
  <c r="Y66" i="190" s="1"/>
  <c r="AD66" i="190"/>
  <c r="AC66" i="190"/>
  <c r="AB66" i="190"/>
  <c r="Z66" i="190"/>
  <c r="X66" i="190"/>
  <c r="Q66" i="190"/>
  <c r="P66" i="190"/>
  <c r="I66" i="190"/>
  <c r="H66" i="190"/>
  <c r="E66" i="190"/>
  <c r="AD65" i="190"/>
  <c r="AC65" i="190"/>
  <c r="AB65" i="190"/>
  <c r="AE65" i="190" s="1"/>
  <c r="AI65" i="190" s="1"/>
  <c r="Y65" i="190" s="1"/>
  <c r="Z65" i="190"/>
  <c r="X65" i="190"/>
  <c r="Q65" i="190"/>
  <c r="P65" i="190"/>
  <c r="H65" i="190"/>
  <c r="E65" i="190"/>
  <c r="I65" i="190" s="1"/>
  <c r="AD64" i="190"/>
  <c r="AC64" i="190"/>
  <c r="AE64" i="190" s="1"/>
  <c r="AI64" i="190" s="1"/>
  <c r="Y64" i="190" s="1"/>
  <c r="AB64" i="190"/>
  <c r="Z64" i="190"/>
  <c r="X64" i="190"/>
  <c r="Q64" i="190"/>
  <c r="P64" i="190"/>
  <c r="I64" i="190"/>
  <c r="H64" i="190"/>
  <c r="E64" i="190"/>
  <c r="AD63" i="190"/>
  <c r="AC63" i="190"/>
  <c r="AB63" i="190"/>
  <c r="AE63" i="190" s="1"/>
  <c r="AI63" i="190" s="1"/>
  <c r="Y63" i="190" s="1"/>
  <c r="Z63" i="190"/>
  <c r="X63" i="190"/>
  <c r="Q63" i="190"/>
  <c r="P63" i="190"/>
  <c r="I63" i="190"/>
  <c r="H63" i="190"/>
  <c r="E63" i="190"/>
  <c r="AE62" i="190"/>
  <c r="AI62" i="190" s="1"/>
  <c r="Y62" i="190" s="1"/>
  <c r="AD62" i="190"/>
  <c r="AC62" i="190"/>
  <c r="AB62" i="190"/>
  <c r="Z62" i="190"/>
  <c r="X62" i="190"/>
  <c r="Q62" i="190"/>
  <c r="P62" i="190"/>
  <c r="I62" i="190"/>
  <c r="H62" i="190"/>
  <c r="E62" i="190"/>
  <c r="AE61" i="190"/>
  <c r="AI61" i="190" s="1"/>
  <c r="Y61" i="190" s="1"/>
  <c r="AC61" i="190"/>
  <c r="AB61" i="190"/>
  <c r="X61" i="190"/>
  <c r="Q61" i="190"/>
  <c r="P61" i="190"/>
  <c r="I61" i="190"/>
  <c r="H61" i="190"/>
  <c r="E61" i="190"/>
  <c r="AE60" i="190"/>
  <c r="AI60" i="190" s="1"/>
  <c r="Y60" i="190" s="1"/>
  <c r="X60" i="190"/>
  <c r="Q60" i="190"/>
  <c r="P60" i="190"/>
  <c r="I60" i="190"/>
  <c r="H60" i="190"/>
  <c r="E60" i="190"/>
  <c r="AC59" i="190"/>
  <c r="AB59" i="190"/>
  <c r="AE59" i="190" s="1"/>
  <c r="AI59" i="190" s="1"/>
  <c r="Y59" i="190" s="1"/>
  <c r="X59" i="190"/>
  <c r="Q59" i="190"/>
  <c r="P59" i="190"/>
  <c r="H59" i="190"/>
  <c r="E59" i="190"/>
  <c r="I59" i="190" s="1"/>
  <c r="AC58" i="190"/>
  <c r="AE58" i="190" s="1"/>
  <c r="AI58" i="190" s="1"/>
  <c r="Y58" i="190" s="1"/>
  <c r="AB58" i="190"/>
  <c r="X58" i="190"/>
  <c r="Q58" i="190"/>
  <c r="P58" i="190"/>
  <c r="E58" i="190"/>
  <c r="I58" i="190" s="1"/>
  <c r="AC57" i="190"/>
  <c r="AB57" i="190"/>
  <c r="AE57" i="190" s="1"/>
  <c r="AI57" i="190" s="1"/>
  <c r="Y57" i="190" s="1"/>
  <c r="X57" i="190"/>
  <c r="Q57" i="190"/>
  <c r="P57" i="190"/>
  <c r="I57" i="190"/>
  <c r="H57" i="190"/>
  <c r="E57" i="190"/>
  <c r="AD56" i="190"/>
  <c r="AC56" i="190"/>
  <c r="AB56" i="190"/>
  <c r="AE56" i="190" s="1"/>
  <c r="AI56" i="190" s="1"/>
  <c r="Y56" i="190" s="1"/>
  <c r="Z56" i="190"/>
  <c r="X56" i="190"/>
  <c r="Q56" i="190"/>
  <c r="P56" i="190"/>
  <c r="I56" i="190"/>
  <c r="H56" i="190"/>
  <c r="E56" i="190"/>
  <c r="AD55" i="190"/>
  <c r="AC55" i="190"/>
  <c r="AE55" i="190" s="1"/>
  <c r="AI55" i="190" s="1"/>
  <c r="Y55" i="190" s="1"/>
  <c r="AB55" i="190"/>
  <c r="Z55" i="190"/>
  <c r="X55" i="190"/>
  <c r="Q55" i="190"/>
  <c r="P55" i="190"/>
  <c r="I55" i="190"/>
  <c r="H55" i="190"/>
  <c r="E55" i="190"/>
  <c r="AD54" i="190"/>
  <c r="AC54" i="190"/>
  <c r="AE54" i="190" s="1"/>
  <c r="AI54" i="190" s="1"/>
  <c r="Y54" i="190" s="1"/>
  <c r="AB54" i="190"/>
  <c r="Z54" i="190"/>
  <c r="X54" i="190"/>
  <c r="Q54" i="190"/>
  <c r="P54" i="190"/>
  <c r="I54" i="190"/>
  <c r="H54" i="190"/>
  <c r="E54" i="190"/>
  <c r="AD53" i="190"/>
  <c r="AC53" i="190"/>
  <c r="AE53" i="190" s="1"/>
  <c r="AI53" i="190" s="1"/>
  <c r="Y53" i="190" s="1"/>
  <c r="AB53" i="190"/>
  <c r="Z53" i="190"/>
  <c r="X53" i="190"/>
  <c r="Q53" i="190"/>
  <c r="P53" i="190"/>
  <c r="H53" i="190"/>
  <c r="E53" i="190"/>
  <c r="I53" i="190" s="1"/>
  <c r="AE52" i="190"/>
  <c r="AI52" i="190" s="1"/>
  <c r="Y52" i="190" s="1"/>
  <c r="Z52" i="190"/>
  <c r="X52" i="190"/>
  <c r="Q52" i="190"/>
  <c r="P52" i="190"/>
  <c r="H52" i="190"/>
  <c r="E52" i="190"/>
  <c r="I52" i="190" s="1"/>
  <c r="AD51" i="190"/>
  <c r="AE51" i="190" s="1"/>
  <c r="AI51" i="190" s="1"/>
  <c r="Y51" i="190" s="1"/>
  <c r="AC51" i="190"/>
  <c r="AB51" i="190"/>
  <c r="Z51" i="190"/>
  <c r="X51" i="190"/>
  <c r="Q51" i="190"/>
  <c r="P51" i="190"/>
  <c r="H51" i="190"/>
  <c r="E51" i="190"/>
  <c r="I51" i="190" s="1"/>
  <c r="AD50" i="190"/>
  <c r="AE50" i="190" s="1"/>
  <c r="AI50" i="190" s="1"/>
  <c r="Y50" i="190" s="1"/>
  <c r="AC50" i="190"/>
  <c r="AB50" i="190"/>
  <c r="Z50" i="190"/>
  <c r="X50" i="190"/>
  <c r="Q50" i="190"/>
  <c r="P50" i="190"/>
  <c r="I50" i="190"/>
  <c r="H50" i="190"/>
  <c r="E50" i="190"/>
  <c r="AI49" i="190"/>
  <c r="Y49" i="190" s="1"/>
  <c r="AE49" i="190"/>
  <c r="Z49" i="190"/>
  <c r="X49" i="190"/>
  <c r="Q49" i="190"/>
  <c r="P49" i="190"/>
  <c r="I49" i="190"/>
  <c r="H49" i="190"/>
  <c r="E49" i="190"/>
  <c r="AI48" i="190"/>
  <c r="AE48" i="190"/>
  <c r="Z48" i="190"/>
  <c r="Y48" i="190"/>
  <c r="X48" i="190"/>
  <c r="Q48" i="190"/>
  <c r="P48" i="190"/>
  <c r="I48" i="190"/>
  <c r="H48" i="190"/>
  <c r="E48" i="190"/>
  <c r="AE47" i="190"/>
  <c r="AI47" i="190" s="1"/>
  <c r="Y47" i="190" s="1"/>
  <c r="Z47" i="190"/>
  <c r="X47" i="190"/>
  <c r="Q47" i="190"/>
  <c r="P47" i="190"/>
  <c r="H47" i="190"/>
  <c r="E47" i="190"/>
  <c r="I47" i="190" s="1"/>
  <c r="AD46" i="190"/>
  <c r="AC46" i="190"/>
  <c r="AB46" i="190"/>
  <c r="AE46" i="190" s="1"/>
  <c r="AI46" i="190" s="1"/>
  <c r="Y46" i="190" s="1"/>
  <c r="Z46" i="190"/>
  <c r="X46" i="190"/>
  <c r="Q46" i="190"/>
  <c r="P46" i="190"/>
  <c r="I46" i="190"/>
  <c r="H46" i="190"/>
  <c r="E46" i="190"/>
  <c r="AE45" i="190"/>
  <c r="AI45" i="190" s="1"/>
  <c r="Y45" i="190" s="1"/>
  <c r="AD45" i="190"/>
  <c r="AC45" i="190"/>
  <c r="AB45" i="190"/>
  <c r="Z45" i="190"/>
  <c r="X45" i="190"/>
  <c r="Q45" i="190"/>
  <c r="P45" i="190"/>
  <c r="I45" i="190"/>
  <c r="H45" i="190"/>
  <c r="E45" i="190"/>
  <c r="AD44" i="190"/>
  <c r="AC44" i="190"/>
  <c r="AB44" i="190"/>
  <c r="AE44" i="190" s="1"/>
  <c r="AI44" i="190" s="1"/>
  <c r="Y44" i="190" s="1"/>
  <c r="Z44" i="190"/>
  <c r="X44" i="190"/>
  <c r="Q44" i="190"/>
  <c r="P44" i="190"/>
  <c r="I44" i="190"/>
  <c r="H44" i="190"/>
  <c r="E44" i="190"/>
  <c r="AD43" i="190"/>
  <c r="AC43" i="190"/>
  <c r="AB43" i="190"/>
  <c r="AE43" i="190" s="1"/>
  <c r="AI43" i="190" s="1"/>
  <c r="Y43" i="190" s="1"/>
  <c r="Z43" i="190"/>
  <c r="X43" i="190"/>
  <c r="Q43" i="190"/>
  <c r="P43" i="190"/>
  <c r="I43" i="190"/>
  <c r="H43" i="190"/>
  <c r="E43" i="190"/>
  <c r="AD42" i="190"/>
  <c r="AC42" i="190"/>
  <c r="AE42" i="190" s="1"/>
  <c r="AI42" i="190" s="1"/>
  <c r="Y42" i="190" s="1"/>
  <c r="AB42" i="190"/>
  <c r="Z42" i="190"/>
  <c r="X42" i="190"/>
  <c r="Q42" i="190"/>
  <c r="P42" i="190"/>
  <c r="I42" i="190"/>
  <c r="H42" i="190"/>
  <c r="E42" i="190"/>
  <c r="AD41" i="190"/>
  <c r="AC41" i="190"/>
  <c r="AE41" i="190" s="1"/>
  <c r="AI41" i="190" s="1"/>
  <c r="Y41" i="190" s="1"/>
  <c r="AB41" i="190"/>
  <c r="Z41" i="190"/>
  <c r="X41" i="190"/>
  <c r="Q41" i="190"/>
  <c r="P41" i="190"/>
  <c r="H41" i="190"/>
  <c r="E41" i="190"/>
  <c r="I41" i="190" s="1"/>
  <c r="AE40" i="190"/>
  <c r="AI40" i="190" s="1"/>
  <c r="Y40" i="190" s="1"/>
  <c r="AD40" i="190"/>
  <c r="AC40" i="190"/>
  <c r="AB40" i="190"/>
  <c r="Z40" i="190"/>
  <c r="X40" i="190"/>
  <c r="Q40" i="190"/>
  <c r="P40" i="190"/>
  <c r="H40" i="190"/>
  <c r="E40" i="190"/>
  <c r="I40" i="190" s="1"/>
  <c r="AD39" i="190"/>
  <c r="AC39" i="190"/>
  <c r="AB39" i="190"/>
  <c r="AE39" i="190" s="1"/>
  <c r="AI39" i="190" s="1"/>
  <c r="Y39" i="190" s="1"/>
  <c r="Z39" i="190"/>
  <c r="X39" i="190"/>
  <c r="Q39" i="190"/>
  <c r="P39" i="190"/>
  <c r="H39" i="190"/>
  <c r="E39" i="190"/>
  <c r="I39" i="190" s="1"/>
  <c r="AD38" i="190"/>
  <c r="AE38" i="190" s="1"/>
  <c r="AI38" i="190" s="1"/>
  <c r="Y38" i="190" s="1"/>
  <c r="AC38" i="190"/>
  <c r="AB38" i="190"/>
  <c r="Z38" i="190"/>
  <c r="X38" i="190"/>
  <c r="Q38" i="190"/>
  <c r="P38" i="190"/>
  <c r="H38" i="190"/>
  <c r="E38" i="190"/>
  <c r="I38" i="190" s="1"/>
  <c r="AD37" i="190"/>
  <c r="AE37" i="190" s="1"/>
  <c r="AI37" i="190" s="1"/>
  <c r="Y37" i="190" s="1"/>
  <c r="AC37" i="190"/>
  <c r="AB37" i="190"/>
  <c r="Z37" i="190"/>
  <c r="X37" i="190"/>
  <c r="Q37" i="190"/>
  <c r="P37" i="190"/>
  <c r="I37" i="190"/>
  <c r="H37" i="190"/>
  <c r="E37" i="190"/>
  <c r="AD36" i="190"/>
  <c r="AC36" i="190"/>
  <c r="AB36" i="190"/>
  <c r="AE36" i="190" s="1"/>
  <c r="AI36" i="190" s="1"/>
  <c r="Y36" i="190" s="1"/>
  <c r="Z36" i="190"/>
  <c r="X36" i="190"/>
  <c r="Q36" i="190"/>
  <c r="P36" i="190"/>
  <c r="H36" i="190"/>
  <c r="E36" i="190"/>
  <c r="I36" i="190" s="1"/>
  <c r="AD35" i="190"/>
  <c r="AC35" i="190"/>
  <c r="AE35" i="190" s="1"/>
  <c r="AI35" i="190" s="1"/>
  <c r="Y35" i="190" s="1"/>
  <c r="AB35" i="190"/>
  <c r="Z35" i="190"/>
  <c r="X35" i="190"/>
  <c r="Q35" i="190"/>
  <c r="P35" i="190"/>
  <c r="I35" i="190"/>
  <c r="H35" i="190"/>
  <c r="E35" i="190"/>
  <c r="AD34" i="190"/>
  <c r="AC34" i="190"/>
  <c r="AB34" i="190"/>
  <c r="AE34" i="190" s="1"/>
  <c r="AI34" i="190" s="1"/>
  <c r="Y34" i="190" s="1"/>
  <c r="Z34" i="190"/>
  <c r="X34" i="190"/>
  <c r="Q34" i="190"/>
  <c r="P34" i="190"/>
  <c r="I34" i="190"/>
  <c r="H34" i="190"/>
  <c r="E34" i="190"/>
  <c r="AE33" i="190"/>
  <c r="AI33" i="190" s="1"/>
  <c r="Y33" i="190" s="1"/>
  <c r="AD33" i="190"/>
  <c r="AC33" i="190"/>
  <c r="AB33" i="190"/>
  <c r="Z33" i="190"/>
  <c r="X33" i="190"/>
  <c r="Q33" i="190"/>
  <c r="P33" i="190"/>
  <c r="I33" i="190"/>
  <c r="H33" i="190"/>
  <c r="E33" i="190"/>
  <c r="AE32" i="190"/>
  <c r="AI32" i="190" s="1"/>
  <c r="Y32" i="190" s="1"/>
  <c r="AD32" i="190"/>
  <c r="AC32" i="190"/>
  <c r="AB32" i="190"/>
  <c r="Z32" i="190"/>
  <c r="X32" i="190"/>
  <c r="Q32" i="190"/>
  <c r="P32" i="190"/>
  <c r="H32" i="190"/>
  <c r="E32" i="190"/>
  <c r="I32" i="190" s="1"/>
  <c r="AE31" i="190"/>
  <c r="AI31" i="190" s="1"/>
  <c r="Y31" i="190" s="1"/>
  <c r="Z31" i="190"/>
  <c r="X31" i="190"/>
  <c r="Q31" i="190"/>
  <c r="P31" i="190"/>
  <c r="I31" i="190"/>
  <c r="H31" i="190"/>
  <c r="E31" i="190"/>
  <c r="AD30" i="190"/>
  <c r="AE30" i="190" s="1"/>
  <c r="AI30" i="190" s="1"/>
  <c r="Y30" i="190" s="1"/>
  <c r="AC30" i="190"/>
  <c r="AB30" i="190"/>
  <c r="Z30" i="190"/>
  <c r="X30" i="190"/>
  <c r="Q30" i="190"/>
  <c r="P30" i="190"/>
  <c r="I30" i="190"/>
  <c r="H30" i="190"/>
  <c r="E30" i="190"/>
  <c r="AD29" i="190"/>
  <c r="AC29" i="190"/>
  <c r="AB29" i="190"/>
  <c r="AE29" i="190" s="1"/>
  <c r="AI29" i="190" s="1"/>
  <c r="Y29" i="190" s="1"/>
  <c r="Z29" i="190"/>
  <c r="X29" i="190"/>
  <c r="Q29" i="190"/>
  <c r="P29" i="190"/>
  <c r="I29" i="190"/>
  <c r="H29" i="190"/>
  <c r="E29" i="190"/>
  <c r="AD28" i="190"/>
  <c r="AC28" i="190"/>
  <c r="AB28" i="190"/>
  <c r="AE28" i="190" s="1"/>
  <c r="AI28" i="190" s="1"/>
  <c r="Y28" i="190" s="1"/>
  <c r="Z28" i="190"/>
  <c r="X28" i="190"/>
  <c r="Q28" i="190"/>
  <c r="P28" i="190"/>
  <c r="I28" i="190"/>
  <c r="H28" i="190"/>
  <c r="E28" i="190"/>
  <c r="AD27" i="190"/>
  <c r="AC27" i="190"/>
  <c r="AE27" i="190" s="1"/>
  <c r="AI27" i="190" s="1"/>
  <c r="Y27" i="190" s="1"/>
  <c r="AB27" i="190"/>
  <c r="Z27" i="190"/>
  <c r="X27" i="190"/>
  <c r="Q27" i="190"/>
  <c r="P27" i="190"/>
  <c r="I27" i="190"/>
  <c r="H27" i="190"/>
  <c r="E27" i="190"/>
  <c r="AD26" i="190"/>
  <c r="AC26" i="190"/>
  <c r="AE26" i="190" s="1"/>
  <c r="AI26" i="190" s="1"/>
  <c r="Y26" i="190" s="1"/>
  <c r="AB26" i="190"/>
  <c r="Z26" i="190"/>
  <c r="X26" i="190"/>
  <c r="Q26" i="190"/>
  <c r="P26" i="190"/>
  <c r="H26" i="190"/>
  <c r="E26" i="190"/>
  <c r="I26" i="190" s="1"/>
  <c r="AE25" i="190"/>
  <c r="AI25" i="190" s="1"/>
  <c r="Y25" i="190" s="1"/>
  <c r="AD25" i="190"/>
  <c r="AC25" i="190"/>
  <c r="AB25" i="190"/>
  <c r="Z25" i="190"/>
  <c r="X25" i="190"/>
  <c r="Q25" i="190"/>
  <c r="P25" i="190"/>
  <c r="H25" i="190"/>
  <c r="E25" i="190"/>
  <c r="I25" i="190" s="1"/>
  <c r="AD24" i="190"/>
  <c r="AC24" i="190"/>
  <c r="AB24" i="190"/>
  <c r="AE24" i="190" s="1"/>
  <c r="AI24" i="190" s="1"/>
  <c r="Y24" i="190" s="1"/>
  <c r="Z24" i="190"/>
  <c r="X24" i="190"/>
  <c r="Q24" i="190"/>
  <c r="P24" i="190"/>
  <c r="H24" i="190"/>
  <c r="E24" i="190"/>
  <c r="I24" i="190" s="1"/>
  <c r="AD23" i="190"/>
  <c r="AE23" i="190" s="1"/>
  <c r="AI23" i="190" s="1"/>
  <c r="Y23" i="190" s="1"/>
  <c r="AC23" i="190"/>
  <c r="AB23" i="190"/>
  <c r="Z23" i="190"/>
  <c r="X23" i="190"/>
  <c r="Q23" i="190"/>
  <c r="P23" i="190"/>
  <c r="H23" i="190"/>
  <c r="E23" i="190"/>
  <c r="I23" i="190" s="1"/>
  <c r="AD22" i="190"/>
  <c r="AE22" i="190" s="1"/>
  <c r="AI22" i="190" s="1"/>
  <c r="Y22" i="190" s="1"/>
  <c r="AC22" i="190"/>
  <c r="AB22" i="190"/>
  <c r="Z22" i="190"/>
  <c r="X22" i="190"/>
  <c r="Q22" i="190"/>
  <c r="P22" i="190"/>
  <c r="I22" i="190"/>
  <c r="H22" i="190"/>
  <c r="E22" i="190"/>
  <c r="AD21" i="190"/>
  <c r="AC21" i="190"/>
  <c r="AB21" i="190"/>
  <c r="AE21" i="190" s="1"/>
  <c r="AI21" i="190" s="1"/>
  <c r="Y21" i="190" s="1"/>
  <c r="Z21" i="190"/>
  <c r="X21" i="190"/>
  <c r="Q21" i="190"/>
  <c r="P21" i="190"/>
  <c r="H21" i="190"/>
  <c r="E21" i="190"/>
  <c r="I21" i="190" s="1"/>
  <c r="AD20" i="190"/>
  <c r="AC20" i="190"/>
  <c r="AE20" i="190" s="1"/>
  <c r="AI20" i="190" s="1"/>
  <c r="Y20" i="190" s="1"/>
  <c r="AB20" i="190"/>
  <c r="Z20" i="190"/>
  <c r="X20" i="190"/>
  <c r="Q20" i="190"/>
  <c r="P20" i="190"/>
  <c r="I20" i="190"/>
  <c r="H20" i="190"/>
  <c r="E20" i="190"/>
  <c r="AD19" i="190"/>
  <c r="AC19" i="190"/>
  <c r="AB19" i="190"/>
  <c r="AE19" i="190" s="1"/>
  <c r="AI19" i="190" s="1"/>
  <c r="Y19" i="190" s="1"/>
  <c r="Z19" i="190"/>
  <c r="X19" i="190"/>
  <c r="Q19" i="190"/>
  <c r="P19" i="190"/>
  <c r="I19" i="190"/>
  <c r="H19" i="190"/>
  <c r="E19" i="190"/>
  <c r="AE18" i="190"/>
  <c r="AI18" i="190" s="1"/>
  <c r="Y18" i="190" s="1"/>
  <c r="AD18" i="190"/>
  <c r="AC18" i="190"/>
  <c r="AB18" i="190"/>
  <c r="Z18" i="190"/>
  <c r="X18" i="190"/>
  <c r="Q18" i="190"/>
  <c r="P18" i="190"/>
  <c r="I18" i="190"/>
  <c r="H18" i="190"/>
  <c r="E18" i="190"/>
  <c r="AE17" i="190"/>
  <c r="AI17" i="190" s="1"/>
  <c r="Y17" i="190" s="1"/>
  <c r="AD17" i="190"/>
  <c r="AC17" i="190"/>
  <c r="AB17" i="190"/>
  <c r="Z17" i="190"/>
  <c r="X17" i="190"/>
  <c r="Q17" i="190"/>
  <c r="P17" i="190"/>
  <c r="H17" i="190"/>
  <c r="E17" i="190"/>
  <c r="I17" i="190" s="1"/>
  <c r="AE16" i="190"/>
  <c r="AI16" i="190" s="1"/>
  <c r="Y16" i="190" s="1"/>
  <c r="AD16" i="190"/>
  <c r="AC16" i="190"/>
  <c r="AB16" i="190"/>
  <c r="Z16" i="190"/>
  <c r="X16" i="190"/>
  <c r="Q16" i="190"/>
  <c r="P16" i="190"/>
  <c r="E16" i="190"/>
  <c r="I16" i="190" s="1"/>
  <c r="AD15" i="190"/>
  <c r="AC15" i="190"/>
  <c r="AE15" i="190" s="1"/>
  <c r="AI15" i="190" s="1"/>
  <c r="Y15" i="190" s="1"/>
  <c r="AB15" i="190"/>
  <c r="Z15" i="190"/>
  <c r="X15" i="190"/>
  <c r="Q15" i="190"/>
  <c r="P15" i="190"/>
  <c r="E15" i="190"/>
  <c r="I15" i="190" s="1"/>
  <c r="AD14" i="190"/>
  <c r="AC14" i="190"/>
  <c r="AB14" i="190"/>
  <c r="AE14" i="190" s="1"/>
  <c r="AI14" i="190" s="1"/>
  <c r="Y14" i="190" s="1"/>
  <c r="Z14" i="190"/>
  <c r="X14" i="190"/>
  <c r="Q14" i="190"/>
  <c r="P14" i="190"/>
  <c r="H14" i="190"/>
  <c r="E14" i="190"/>
  <c r="I14" i="190" s="1"/>
  <c r="AD13" i="190"/>
  <c r="AE13" i="190" s="1"/>
  <c r="AI13" i="190" s="1"/>
  <c r="Y13" i="190" s="1"/>
  <c r="AC13" i="190"/>
  <c r="AB13" i="190"/>
  <c r="Z13" i="190"/>
  <c r="X13" i="190"/>
  <c r="Q13" i="190"/>
  <c r="P13" i="190"/>
  <c r="H13" i="190"/>
  <c r="E13" i="190"/>
  <c r="I13" i="190" s="1"/>
  <c r="AD12" i="190"/>
  <c r="AE12" i="190" s="1"/>
  <c r="AI12" i="190" s="1"/>
  <c r="Y12" i="190" s="1"/>
  <c r="AC12" i="190"/>
  <c r="AB12" i="190"/>
  <c r="Z12" i="190"/>
  <c r="T75" i="190" s="1"/>
  <c r="X12" i="190"/>
  <c r="T77" i="190" s="1"/>
  <c r="Q12" i="190"/>
  <c r="P12" i="190"/>
  <c r="I12" i="190"/>
  <c r="F73" i="190" s="1"/>
  <c r="H12" i="190"/>
  <c r="E12" i="190"/>
  <c r="M79" i="189"/>
  <c r="T77" i="189"/>
  <c r="P71" i="189"/>
  <c r="H71" i="189"/>
  <c r="Q70" i="189"/>
  <c r="P70" i="189"/>
  <c r="I70" i="189"/>
  <c r="H70" i="189"/>
  <c r="E70" i="189"/>
  <c r="Q69" i="189"/>
  <c r="P69" i="189"/>
  <c r="H69" i="189"/>
  <c r="E69" i="189"/>
  <c r="I69" i="189" s="1"/>
  <c r="AD68" i="189"/>
  <c r="AC68" i="189"/>
  <c r="AB68" i="189"/>
  <c r="AE68" i="189" s="1"/>
  <c r="AI68" i="189" s="1"/>
  <c r="Y68" i="189" s="1"/>
  <c r="Z68" i="189"/>
  <c r="X68" i="189"/>
  <c r="Q68" i="189"/>
  <c r="P68" i="189"/>
  <c r="H68" i="189"/>
  <c r="E68" i="189"/>
  <c r="I68" i="189" s="1"/>
  <c r="AD67" i="189"/>
  <c r="AC67" i="189"/>
  <c r="AE67" i="189" s="1"/>
  <c r="AI67" i="189" s="1"/>
  <c r="Y67" i="189" s="1"/>
  <c r="AB67" i="189"/>
  <c r="Z67" i="189"/>
  <c r="X67" i="189"/>
  <c r="Q67" i="189"/>
  <c r="P67" i="189"/>
  <c r="I67" i="189"/>
  <c r="H67" i="189"/>
  <c r="E67" i="189"/>
  <c r="AD66" i="189"/>
  <c r="AC66" i="189"/>
  <c r="AB66" i="189"/>
  <c r="AE66" i="189" s="1"/>
  <c r="AI66" i="189" s="1"/>
  <c r="Y66" i="189" s="1"/>
  <c r="Z66" i="189"/>
  <c r="X66" i="189"/>
  <c r="Q66" i="189"/>
  <c r="P66" i="189"/>
  <c r="I66" i="189"/>
  <c r="H66" i="189"/>
  <c r="E66" i="189"/>
  <c r="AE65" i="189"/>
  <c r="AI65" i="189" s="1"/>
  <c r="Y65" i="189" s="1"/>
  <c r="AD65" i="189"/>
  <c r="AC65" i="189"/>
  <c r="AB65" i="189"/>
  <c r="Z65" i="189"/>
  <c r="X65" i="189"/>
  <c r="Q65" i="189"/>
  <c r="P65" i="189"/>
  <c r="H65" i="189"/>
  <c r="E65" i="189"/>
  <c r="I65" i="189" s="1"/>
  <c r="AD64" i="189"/>
  <c r="AC64" i="189"/>
  <c r="AB64" i="189"/>
  <c r="AE64" i="189" s="1"/>
  <c r="AI64" i="189" s="1"/>
  <c r="Y64" i="189" s="1"/>
  <c r="Z64" i="189"/>
  <c r="X64" i="189"/>
  <c r="Q64" i="189"/>
  <c r="P64" i="189"/>
  <c r="H64" i="189"/>
  <c r="E64" i="189"/>
  <c r="I64" i="189" s="1"/>
  <c r="AD63" i="189"/>
  <c r="AC63" i="189"/>
  <c r="AE63" i="189" s="1"/>
  <c r="AI63" i="189" s="1"/>
  <c r="Y63" i="189" s="1"/>
  <c r="AB63" i="189"/>
  <c r="Z63" i="189"/>
  <c r="X63" i="189"/>
  <c r="Q63" i="189"/>
  <c r="P63" i="189"/>
  <c r="H63" i="189"/>
  <c r="E63" i="189"/>
  <c r="I63" i="189" s="1"/>
  <c r="AD62" i="189"/>
  <c r="AE62" i="189" s="1"/>
  <c r="AI62" i="189" s="1"/>
  <c r="Y62" i="189" s="1"/>
  <c r="AC62" i="189"/>
  <c r="AB62" i="189"/>
  <c r="Z62" i="189"/>
  <c r="X62" i="189"/>
  <c r="Q62" i="189"/>
  <c r="P62" i="189"/>
  <c r="I62" i="189"/>
  <c r="H62" i="189"/>
  <c r="E62" i="189"/>
  <c r="AC61" i="189"/>
  <c r="AB61" i="189"/>
  <c r="AE61" i="189" s="1"/>
  <c r="AI61" i="189" s="1"/>
  <c r="Y61" i="189" s="1"/>
  <c r="X61" i="189"/>
  <c r="Q61" i="189"/>
  <c r="P61" i="189"/>
  <c r="I61" i="189"/>
  <c r="H61" i="189"/>
  <c r="E61" i="189"/>
  <c r="AI60" i="189"/>
  <c r="AE60" i="189"/>
  <c r="Y60" i="189"/>
  <c r="X60" i="189"/>
  <c r="Q60" i="189"/>
  <c r="P60" i="189"/>
  <c r="H60" i="189"/>
  <c r="E60" i="189"/>
  <c r="I60" i="189" s="1"/>
  <c r="AE59" i="189"/>
  <c r="AI59" i="189" s="1"/>
  <c r="Y59" i="189" s="1"/>
  <c r="AC59" i="189"/>
  <c r="AB59" i="189"/>
  <c r="X59" i="189"/>
  <c r="Q59" i="189"/>
  <c r="P59" i="189"/>
  <c r="I59" i="189"/>
  <c r="H59" i="189"/>
  <c r="E59" i="189"/>
  <c r="AC58" i="189"/>
  <c r="AE58" i="189" s="1"/>
  <c r="AI58" i="189" s="1"/>
  <c r="Y58" i="189" s="1"/>
  <c r="AB58" i="189"/>
  <c r="X58" i="189"/>
  <c r="Q58" i="189"/>
  <c r="P58" i="189"/>
  <c r="E58" i="189"/>
  <c r="I58" i="189" s="1"/>
  <c r="AC57" i="189"/>
  <c r="AB57" i="189"/>
  <c r="AE57" i="189" s="1"/>
  <c r="AI57" i="189" s="1"/>
  <c r="Y57" i="189" s="1"/>
  <c r="X57" i="189"/>
  <c r="Q57" i="189"/>
  <c r="P57" i="189"/>
  <c r="H57" i="189"/>
  <c r="E57" i="189"/>
  <c r="I57" i="189" s="1"/>
  <c r="AD56" i="189"/>
  <c r="AC56" i="189"/>
  <c r="AB56" i="189"/>
  <c r="AE56" i="189" s="1"/>
  <c r="AI56" i="189" s="1"/>
  <c r="Y56" i="189" s="1"/>
  <c r="Z56" i="189"/>
  <c r="X56" i="189"/>
  <c r="Q56" i="189"/>
  <c r="P56" i="189"/>
  <c r="H56" i="189"/>
  <c r="E56" i="189"/>
  <c r="I56" i="189" s="1"/>
  <c r="AD55" i="189"/>
  <c r="AC55" i="189"/>
  <c r="AB55" i="189"/>
  <c r="AE55" i="189" s="1"/>
  <c r="AI55" i="189" s="1"/>
  <c r="Y55" i="189" s="1"/>
  <c r="Z55" i="189"/>
  <c r="X55" i="189"/>
  <c r="Q55" i="189"/>
  <c r="P55" i="189"/>
  <c r="H55" i="189"/>
  <c r="E55" i="189"/>
  <c r="I55" i="189" s="1"/>
  <c r="AD54" i="189"/>
  <c r="AC54" i="189"/>
  <c r="AE54" i="189" s="1"/>
  <c r="AI54" i="189" s="1"/>
  <c r="Y54" i="189" s="1"/>
  <c r="AB54" i="189"/>
  <c r="Z54" i="189"/>
  <c r="X54" i="189"/>
  <c r="Q54" i="189"/>
  <c r="P54" i="189"/>
  <c r="I54" i="189"/>
  <c r="H54" i="189"/>
  <c r="E54" i="189"/>
  <c r="AD53" i="189"/>
  <c r="AE53" i="189" s="1"/>
  <c r="AI53" i="189" s="1"/>
  <c r="Y53" i="189" s="1"/>
  <c r="AC53" i="189"/>
  <c r="AB53" i="189"/>
  <c r="Z53" i="189"/>
  <c r="X53" i="189"/>
  <c r="Q53" i="189"/>
  <c r="P53" i="189"/>
  <c r="I53" i="189"/>
  <c r="H53" i="189"/>
  <c r="E53" i="189"/>
  <c r="AE52" i="189"/>
  <c r="AI52" i="189" s="1"/>
  <c r="Y52" i="189" s="1"/>
  <c r="Z52" i="189"/>
  <c r="X52" i="189"/>
  <c r="Q52" i="189"/>
  <c r="P52" i="189"/>
  <c r="H52" i="189"/>
  <c r="E52" i="189"/>
  <c r="I52" i="189" s="1"/>
  <c r="AD51" i="189"/>
  <c r="AC51" i="189"/>
  <c r="AE51" i="189" s="1"/>
  <c r="AI51" i="189" s="1"/>
  <c r="Y51" i="189" s="1"/>
  <c r="AB51" i="189"/>
  <c r="Z51" i="189"/>
  <c r="X51" i="189"/>
  <c r="Q51" i="189"/>
  <c r="P51" i="189"/>
  <c r="I51" i="189"/>
  <c r="H51" i="189"/>
  <c r="E51" i="189"/>
  <c r="AD50" i="189"/>
  <c r="AC50" i="189"/>
  <c r="AB50" i="189"/>
  <c r="AE50" i="189" s="1"/>
  <c r="AI50" i="189" s="1"/>
  <c r="Y50" i="189" s="1"/>
  <c r="Z50" i="189"/>
  <c r="X50" i="189"/>
  <c r="Q50" i="189"/>
  <c r="P50" i="189"/>
  <c r="I50" i="189"/>
  <c r="H50" i="189"/>
  <c r="E50" i="189"/>
  <c r="AE49" i="189"/>
  <c r="AI49" i="189" s="1"/>
  <c r="Y49" i="189" s="1"/>
  <c r="Z49" i="189"/>
  <c r="X49" i="189"/>
  <c r="Q49" i="189"/>
  <c r="P49" i="189"/>
  <c r="H49" i="189"/>
  <c r="E49" i="189"/>
  <c r="I49" i="189" s="1"/>
  <c r="AE48" i="189"/>
  <c r="AI48" i="189" s="1"/>
  <c r="Y48" i="189" s="1"/>
  <c r="Z48" i="189"/>
  <c r="X48" i="189"/>
  <c r="Q48" i="189"/>
  <c r="P48" i="189"/>
  <c r="I48" i="189"/>
  <c r="H48" i="189"/>
  <c r="E48" i="189"/>
  <c r="AE47" i="189"/>
  <c r="AI47" i="189" s="1"/>
  <c r="Y47" i="189" s="1"/>
  <c r="Z47" i="189"/>
  <c r="X47" i="189"/>
  <c r="Q47" i="189"/>
  <c r="P47" i="189"/>
  <c r="H47" i="189"/>
  <c r="E47" i="189"/>
  <c r="I47" i="189" s="1"/>
  <c r="AD46" i="189"/>
  <c r="AC46" i="189"/>
  <c r="AE46" i="189" s="1"/>
  <c r="AI46" i="189" s="1"/>
  <c r="Y46" i="189" s="1"/>
  <c r="AB46" i="189"/>
  <c r="Z46" i="189"/>
  <c r="X46" i="189"/>
  <c r="Q46" i="189"/>
  <c r="P46" i="189"/>
  <c r="I46" i="189"/>
  <c r="H46" i="189"/>
  <c r="E46" i="189"/>
  <c r="AD45" i="189"/>
  <c r="AE45" i="189" s="1"/>
  <c r="AI45" i="189" s="1"/>
  <c r="Y45" i="189" s="1"/>
  <c r="AC45" i="189"/>
  <c r="AB45" i="189"/>
  <c r="Z45" i="189"/>
  <c r="X45" i="189"/>
  <c r="Q45" i="189"/>
  <c r="P45" i="189"/>
  <c r="H45" i="189"/>
  <c r="E45" i="189"/>
  <c r="I45" i="189" s="1"/>
  <c r="AD44" i="189"/>
  <c r="AC44" i="189"/>
  <c r="AB44" i="189"/>
  <c r="AE44" i="189" s="1"/>
  <c r="AI44" i="189" s="1"/>
  <c r="Y44" i="189" s="1"/>
  <c r="Z44" i="189"/>
  <c r="X44" i="189"/>
  <c r="Q44" i="189"/>
  <c r="P44" i="189"/>
  <c r="H44" i="189"/>
  <c r="E44" i="189"/>
  <c r="I44" i="189" s="1"/>
  <c r="AD43" i="189"/>
  <c r="AC43" i="189"/>
  <c r="AB43" i="189"/>
  <c r="AE43" i="189" s="1"/>
  <c r="AI43" i="189" s="1"/>
  <c r="Y43" i="189" s="1"/>
  <c r="Z43" i="189"/>
  <c r="X43" i="189"/>
  <c r="Q43" i="189"/>
  <c r="P43" i="189"/>
  <c r="H43" i="189"/>
  <c r="E43" i="189"/>
  <c r="I43" i="189" s="1"/>
  <c r="AD42" i="189"/>
  <c r="AC42" i="189"/>
  <c r="AE42" i="189" s="1"/>
  <c r="AI42" i="189" s="1"/>
  <c r="Y42" i="189" s="1"/>
  <c r="AB42" i="189"/>
  <c r="Z42" i="189"/>
  <c r="X42" i="189"/>
  <c r="Q42" i="189"/>
  <c r="P42" i="189"/>
  <c r="I42" i="189"/>
  <c r="H42" i="189"/>
  <c r="E42" i="189"/>
  <c r="AD41" i="189"/>
  <c r="AE41" i="189" s="1"/>
  <c r="AI41" i="189" s="1"/>
  <c r="Y41" i="189" s="1"/>
  <c r="AC41" i="189"/>
  <c r="AB41" i="189"/>
  <c r="Z41" i="189"/>
  <c r="X41" i="189"/>
  <c r="Q41" i="189"/>
  <c r="P41" i="189"/>
  <c r="I41" i="189"/>
  <c r="H41" i="189"/>
  <c r="E41" i="189"/>
  <c r="AE40" i="189"/>
  <c r="AI40" i="189" s="1"/>
  <c r="Y40" i="189" s="1"/>
  <c r="AD40" i="189"/>
  <c r="AC40" i="189"/>
  <c r="AB40" i="189"/>
  <c r="Z40" i="189"/>
  <c r="X40" i="189"/>
  <c r="Q40" i="189"/>
  <c r="P40" i="189"/>
  <c r="H40" i="189"/>
  <c r="E40" i="189"/>
  <c r="I40" i="189" s="1"/>
  <c r="AD39" i="189"/>
  <c r="AC39" i="189"/>
  <c r="AB39" i="189"/>
  <c r="AE39" i="189" s="1"/>
  <c r="AI39" i="189" s="1"/>
  <c r="Y39" i="189" s="1"/>
  <c r="Z39" i="189"/>
  <c r="X39" i="189"/>
  <c r="Q39" i="189"/>
  <c r="P39" i="189"/>
  <c r="H39" i="189"/>
  <c r="E39" i="189"/>
  <c r="I39" i="189" s="1"/>
  <c r="AD38" i="189"/>
  <c r="AC38" i="189"/>
  <c r="AE38" i="189" s="1"/>
  <c r="AI38" i="189" s="1"/>
  <c r="Y38" i="189" s="1"/>
  <c r="AB38" i="189"/>
  <c r="Z38" i="189"/>
  <c r="X38" i="189"/>
  <c r="Q38" i="189"/>
  <c r="P38" i="189"/>
  <c r="I38" i="189"/>
  <c r="H38" i="189"/>
  <c r="E38" i="189"/>
  <c r="AD37" i="189"/>
  <c r="AC37" i="189"/>
  <c r="AB37" i="189"/>
  <c r="AE37" i="189" s="1"/>
  <c r="AI37" i="189" s="1"/>
  <c r="Y37" i="189" s="1"/>
  <c r="Z37" i="189"/>
  <c r="X37" i="189"/>
  <c r="Q37" i="189"/>
  <c r="P37" i="189"/>
  <c r="I37" i="189"/>
  <c r="H37" i="189"/>
  <c r="E37" i="189"/>
  <c r="AE36" i="189"/>
  <c r="AI36" i="189" s="1"/>
  <c r="Y36" i="189" s="1"/>
  <c r="AD36" i="189"/>
  <c r="AC36" i="189"/>
  <c r="AB36" i="189"/>
  <c r="Z36" i="189"/>
  <c r="X36" i="189"/>
  <c r="Q36" i="189"/>
  <c r="P36" i="189"/>
  <c r="H36" i="189"/>
  <c r="E36" i="189"/>
  <c r="I36" i="189" s="1"/>
  <c r="AD35" i="189"/>
  <c r="AC35" i="189"/>
  <c r="AB35" i="189"/>
  <c r="AE35" i="189" s="1"/>
  <c r="AI35" i="189" s="1"/>
  <c r="Y35" i="189" s="1"/>
  <c r="Z35" i="189"/>
  <c r="X35" i="189"/>
  <c r="Q35" i="189"/>
  <c r="P35" i="189"/>
  <c r="H35" i="189"/>
  <c r="E35" i="189"/>
  <c r="I35" i="189" s="1"/>
  <c r="AD34" i="189"/>
  <c r="AC34" i="189"/>
  <c r="AE34" i="189" s="1"/>
  <c r="AI34" i="189" s="1"/>
  <c r="Y34" i="189" s="1"/>
  <c r="AB34" i="189"/>
  <c r="Z34" i="189"/>
  <c r="X34" i="189"/>
  <c r="Q34" i="189"/>
  <c r="P34" i="189"/>
  <c r="I34" i="189"/>
  <c r="H34" i="189"/>
  <c r="E34" i="189"/>
  <c r="AD33" i="189"/>
  <c r="AE33" i="189" s="1"/>
  <c r="AI33" i="189" s="1"/>
  <c r="Y33" i="189" s="1"/>
  <c r="AC33" i="189"/>
  <c r="AB33" i="189"/>
  <c r="Z33" i="189"/>
  <c r="X33" i="189"/>
  <c r="Q33" i="189"/>
  <c r="P33" i="189"/>
  <c r="I33" i="189"/>
  <c r="H33" i="189"/>
  <c r="E33" i="189"/>
  <c r="AD32" i="189"/>
  <c r="AC32" i="189"/>
  <c r="AB32" i="189"/>
  <c r="AE32" i="189" s="1"/>
  <c r="AI32" i="189" s="1"/>
  <c r="Y32" i="189" s="1"/>
  <c r="Z32" i="189"/>
  <c r="X32" i="189"/>
  <c r="Q32" i="189"/>
  <c r="P32" i="189"/>
  <c r="H32" i="189"/>
  <c r="E32" i="189"/>
  <c r="I32" i="189" s="1"/>
  <c r="AI31" i="189"/>
  <c r="Y31" i="189" s="1"/>
  <c r="AE31" i="189"/>
  <c r="Z31" i="189"/>
  <c r="X31" i="189"/>
  <c r="Q31" i="189"/>
  <c r="P31" i="189"/>
  <c r="I31" i="189"/>
  <c r="H31" i="189"/>
  <c r="E31" i="189"/>
  <c r="AD30" i="189"/>
  <c r="AE30" i="189" s="1"/>
  <c r="AI30" i="189" s="1"/>
  <c r="Y30" i="189" s="1"/>
  <c r="AC30" i="189"/>
  <c r="AB30" i="189"/>
  <c r="Z30" i="189"/>
  <c r="X30" i="189"/>
  <c r="Q30" i="189"/>
  <c r="P30" i="189"/>
  <c r="H30" i="189"/>
  <c r="E30" i="189"/>
  <c r="I30" i="189" s="1"/>
  <c r="AD29" i="189"/>
  <c r="AC29" i="189"/>
  <c r="AB29" i="189"/>
  <c r="AE29" i="189" s="1"/>
  <c r="AI29" i="189" s="1"/>
  <c r="Y29" i="189" s="1"/>
  <c r="Z29" i="189"/>
  <c r="X29" i="189"/>
  <c r="Q29" i="189"/>
  <c r="P29" i="189"/>
  <c r="H29" i="189"/>
  <c r="E29" i="189"/>
  <c r="I29" i="189" s="1"/>
  <c r="AD28" i="189"/>
  <c r="AC28" i="189"/>
  <c r="AB28" i="189"/>
  <c r="AE28" i="189" s="1"/>
  <c r="AI28" i="189" s="1"/>
  <c r="Y28" i="189" s="1"/>
  <c r="Z28" i="189"/>
  <c r="X28" i="189"/>
  <c r="Q28" i="189"/>
  <c r="P28" i="189"/>
  <c r="H28" i="189"/>
  <c r="E28" i="189"/>
  <c r="I28" i="189" s="1"/>
  <c r="AD27" i="189"/>
  <c r="AC27" i="189"/>
  <c r="AE27" i="189" s="1"/>
  <c r="AI27" i="189" s="1"/>
  <c r="Y27" i="189" s="1"/>
  <c r="AB27" i="189"/>
  <c r="Z27" i="189"/>
  <c r="X27" i="189"/>
  <c r="Q27" i="189"/>
  <c r="P27" i="189"/>
  <c r="I27" i="189"/>
  <c r="H27" i="189"/>
  <c r="E27" i="189"/>
  <c r="AD26" i="189"/>
  <c r="AE26" i="189" s="1"/>
  <c r="AI26" i="189" s="1"/>
  <c r="Y26" i="189" s="1"/>
  <c r="AC26" i="189"/>
  <c r="AB26" i="189"/>
  <c r="Z26" i="189"/>
  <c r="X26" i="189"/>
  <c r="Q26" i="189"/>
  <c r="P26" i="189"/>
  <c r="I26" i="189"/>
  <c r="H26" i="189"/>
  <c r="E26" i="189"/>
  <c r="AE25" i="189"/>
  <c r="AI25" i="189" s="1"/>
  <c r="Y25" i="189" s="1"/>
  <c r="AD25" i="189"/>
  <c r="AC25" i="189"/>
  <c r="AB25" i="189"/>
  <c r="Z25" i="189"/>
  <c r="X25" i="189"/>
  <c r="Q25" i="189"/>
  <c r="P25" i="189"/>
  <c r="H25" i="189"/>
  <c r="E25" i="189"/>
  <c r="I25" i="189" s="1"/>
  <c r="AD24" i="189"/>
  <c r="AC24" i="189"/>
  <c r="AB24" i="189"/>
  <c r="AE24" i="189" s="1"/>
  <c r="AI24" i="189" s="1"/>
  <c r="Y24" i="189" s="1"/>
  <c r="Z24" i="189"/>
  <c r="X24" i="189"/>
  <c r="Q24" i="189"/>
  <c r="P24" i="189"/>
  <c r="H24" i="189"/>
  <c r="E24" i="189"/>
  <c r="I24" i="189" s="1"/>
  <c r="AD23" i="189"/>
  <c r="AC23" i="189"/>
  <c r="AE23" i="189" s="1"/>
  <c r="AI23" i="189" s="1"/>
  <c r="Y23" i="189" s="1"/>
  <c r="AB23" i="189"/>
  <c r="Z23" i="189"/>
  <c r="X23" i="189"/>
  <c r="Q23" i="189"/>
  <c r="P23" i="189"/>
  <c r="I23" i="189"/>
  <c r="H23" i="189"/>
  <c r="E23" i="189"/>
  <c r="AD22" i="189"/>
  <c r="AC22" i="189"/>
  <c r="AB22" i="189"/>
  <c r="AE22" i="189" s="1"/>
  <c r="AI22" i="189" s="1"/>
  <c r="Y22" i="189" s="1"/>
  <c r="Z22" i="189"/>
  <c r="X22" i="189"/>
  <c r="Q22" i="189"/>
  <c r="P22" i="189"/>
  <c r="I22" i="189"/>
  <c r="H22" i="189"/>
  <c r="E22" i="189"/>
  <c r="AE21" i="189"/>
  <c r="AI21" i="189" s="1"/>
  <c r="Y21" i="189" s="1"/>
  <c r="AD21" i="189"/>
  <c r="AC21" i="189"/>
  <c r="AB21" i="189"/>
  <c r="Z21" i="189"/>
  <c r="X21" i="189"/>
  <c r="Q21" i="189"/>
  <c r="P21" i="189"/>
  <c r="H21" i="189"/>
  <c r="E21" i="189"/>
  <c r="I21" i="189" s="1"/>
  <c r="AD20" i="189"/>
  <c r="AC20" i="189"/>
  <c r="AB20" i="189"/>
  <c r="AE20" i="189" s="1"/>
  <c r="AI20" i="189" s="1"/>
  <c r="Y20" i="189" s="1"/>
  <c r="Z20" i="189"/>
  <c r="X20" i="189"/>
  <c r="Q20" i="189"/>
  <c r="P20" i="189"/>
  <c r="H20" i="189"/>
  <c r="E20" i="189"/>
  <c r="I20" i="189" s="1"/>
  <c r="AD19" i="189"/>
  <c r="AC19" i="189"/>
  <c r="AE19" i="189" s="1"/>
  <c r="AI19" i="189" s="1"/>
  <c r="Y19" i="189" s="1"/>
  <c r="AB19" i="189"/>
  <c r="Z19" i="189"/>
  <c r="X19" i="189"/>
  <c r="Q19" i="189"/>
  <c r="P19" i="189"/>
  <c r="I19" i="189"/>
  <c r="H19" i="189"/>
  <c r="E19" i="189"/>
  <c r="AD18" i="189"/>
  <c r="AE18" i="189" s="1"/>
  <c r="AI18" i="189" s="1"/>
  <c r="Y18" i="189" s="1"/>
  <c r="AC18" i="189"/>
  <c r="AB18" i="189"/>
  <c r="Z18" i="189"/>
  <c r="X18" i="189"/>
  <c r="Q18" i="189"/>
  <c r="P18" i="189"/>
  <c r="I18" i="189"/>
  <c r="H18" i="189"/>
  <c r="E18" i="189"/>
  <c r="AD17" i="189"/>
  <c r="AC17" i="189"/>
  <c r="AB17" i="189"/>
  <c r="AE17" i="189" s="1"/>
  <c r="AI17" i="189" s="1"/>
  <c r="Y17" i="189" s="1"/>
  <c r="Z17" i="189"/>
  <c r="X17" i="189"/>
  <c r="Q17" i="189"/>
  <c r="P17" i="189"/>
  <c r="H17" i="189"/>
  <c r="E17" i="189"/>
  <c r="I17" i="189" s="1"/>
  <c r="AD16" i="189"/>
  <c r="AC16" i="189"/>
  <c r="AB16" i="189"/>
  <c r="AE16" i="189" s="1"/>
  <c r="AI16" i="189" s="1"/>
  <c r="Y16" i="189" s="1"/>
  <c r="Z16" i="189"/>
  <c r="X16" i="189"/>
  <c r="Q16" i="189"/>
  <c r="P16" i="189"/>
  <c r="E16" i="189"/>
  <c r="I16" i="189" s="1"/>
  <c r="AD15" i="189"/>
  <c r="AC15" i="189"/>
  <c r="AB15" i="189"/>
  <c r="AE15" i="189" s="1"/>
  <c r="AI15" i="189" s="1"/>
  <c r="Y15" i="189" s="1"/>
  <c r="Z15" i="189"/>
  <c r="X15" i="189"/>
  <c r="Q15" i="189"/>
  <c r="P15" i="189"/>
  <c r="E15" i="189"/>
  <c r="I15" i="189" s="1"/>
  <c r="AD14" i="189"/>
  <c r="AC14" i="189"/>
  <c r="AB14" i="189"/>
  <c r="AE14" i="189" s="1"/>
  <c r="AI14" i="189" s="1"/>
  <c r="Y14" i="189" s="1"/>
  <c r="Z14" i="189"/>
  <c r="X14" i="189"/>
  <c r="Q14" i="189"/>
  <c r="P14" i="189"/>
  <c r="H14" i="189"/>
  <c r="E14" i="189"/>
  <c r="I14" i="189" s="1"/>
  <c r="AD13" i="189"/>
  <c r="AC13" i="189"/>
  <c r="AE13" i="189" s="1"/>
  <c r="AI13" i="189" s="1"/>
  <c r="Y13" i="189" s="1"/>
  <c r="AB13" i="189"/>
  <c r="Z13" i="189"/>
  <c r="X13" i="189"/>
  <c r="Q13" i="189"/>
  <c r="P13" i="189"/>
  <c r="I13" i="189"/>
  <c r="H13" i="189"/>
  <c r="E13" i="189"/>
  <c r="AD12" i="189"/>
  <c r="AC12" i="189"/>
  <c r="AB12" i="189"/>
  <c r="AE12" i="189" s="1"/>
  <c r="AI12" i="189" s="1"/>
  <c r="Y12" i="189" s="1"/>
  <c r="Z12" i="189"/>
  <c r="T75" i="189" s="1"/>
  <c r="X12" i="189"/>
  <c r="Q12" i="189"/>
  <c r="P12" i="189"/>
  <c r="I12" i="189"/>
  <c r="H12" i="189"/>
  <c r="E12" i="189"/>
  <c r="F77" i="191" l="1"/>
  <c r="O73" i="190"/>
  <c r="O75" i="190"/>
  <c r="F75" i="190"/>
  <c r="T73" i="190"/>
  <c r="T79" i="190" s="1"/>
  <c r="F77" i="190" s="1"/>
  <c r="O73" i="189"/>
  <c r="O75" i="189"/>
  <c r="F73" i="189"/>
  <c r="F75" i="189"/>
  <c r="T73" i="189"/>
  <c r="T79" i="189" s="1"/>
  <c r="M79" i="188"/>
  <c r="H71" i="188"/>
  <c r="Q70" i="188"/>
  <c r="P70" i="188"/>
  <c r="H70" i="188"/>
  <c r="E70" i="188"/>
  <c r="I70" i="188" s="1"/>
  <c r="Q69" i="188"/>
  <c r="P69" i="188"/>
  <c r="I69" i="188"/>
  <c r="H69" i="188"/>
  <c r="E69" i="188"/>
  <c r="AD68" i="188"/>
  <c r="AE68" i="188" s="1"/>
  <c r="AI68" i="188" s="1"/>
  <c r="Y68" i="188" s="1"/>
  <c r="AC68" i="188"/>
  <c r="AB68" i="188"/>
  <c r="Z68" i="188"/>
  <c r="X68" i="188"/>
  <c r="Q68" i="188"/>
  <c r="P68" i="188"/>
  <c r="I68" i="188"/>
  <c r="H68" i="188"/>
  <c r="E68" i="188"/>
  <c r="AD67" i="188"/>
  <c r="AC67" i="188"/>
  <c r="AB67" i="188"/>
  <c r="AE67" i="188" s="1"/>
  <c r="AI67" i="188" s="1"/>
  <c r="Y67" i="188" s="1"/>
  <c r="Z67" i="188"/>
  <c r="X67" i="188"/>
  <c r="Q67" i="188"/>
  <c r="P67" i="188"/>
  <c r="H67" i="188"/>
  <c r="E67" i="188"/>
  <c r="I67" i="188" s="1"/>
  <c r="AD66" i="188"/>
  <c r="AC66" i="188"/>
  <c r="AE66" i="188" s="1"/>
  <c r="AI66" i="188" s="1"/>
  <c r="Y66" i="188" s="1"/>
  <c r="AB66" i="188"/>
  <c r="Z66" i="188"/>
  <c r="X66" i="188"/>
  <c r="Q66" i="188"/>
  <c r="P66" i="188"/>
  <c r="H66" i="188"/>
  <c r="E66" i="188"/>
  <c r="I66" i="188" s="1"/>
  <c r="AD65" i="188"/>
  <c r="AC65" i="188"/>
  <c r="AB65" i="188"/>
  <c r="AE65" i="188" s="1"/>
  <c r="AI65" i="188" s="1"/>
  <c r="Y65" i="188" s="1"/>
  <c r="Z65" i="188"/>
  <c r="X65" i="188"/>
  <c r="Q65" i="188"/>
  <c r="P65" i="188"/>
  <c r="I65" i="188"/>
  <c r="H65" i="188"/>
  <c r="E65" i="188"/>
  <c r="AD64" i="188"/>
  <c r="AC64" i="188"/>
  <c r="AE64" i="188" s="1"/>
  <c r="AI64" i="188" s="1"/>
  <c r="Y64" i="188" s="1"/>
  <c r="AB64" i="188"/>
  <c r="Z64" i="188"/>
  <c r="X64" i="188"/>
  <c r="Q64" i="188"/>
  <c r="P64" i="188"/>
  <c r="I64" i="188"/>
  <c r="H64" i="188"/>
  <c r="E64" i="188"/>
  <c r="AE63" i="188"/>
  <c r="AI63" i="188" s="1"/>
  <c r="Y63" i="188" s="1"/>
  <c r="AD63" i="188"/>
  <c r="AC63" i="188"/>
  <c r="AB63" i="188"/>
  <c r="Z63" i="188"/>
  <c r="X63" i="188"/>
  <c r="Q63" i="188"/>
  <c r="P63" i="188"/>
  <c r="H63" i="188"/>
  <c r="E63" i="188"/>
  <c r="I63" i="188" s="1"/>
  <c r="AD62" i="188"/>
  <c r="AC62" i="188"/>
  <c r="AB62" i="188"/>
  <c r="AE62" i="188" s="1"/>
  <c r="AI62" i="188" s="1"/>
  <c r="Y62" i="188" s="1"/>
  <c r="Z62" i="188"/>
  <c r="X62" i="188"/>
  <c r="Q62" i="188"/>
  <c r="P62" i="188"/>
  <c r="H62" i="188"/>
  <c r="E62" i="188"/>
  <c r="I62" i="188" s="1"/>
  <c r="AC61" i="188"/>
  <c r="AB61" i="188"/>
  <c r="AE61" i="188" s="1"/>
  <c r="AI61" i="188" s="1"/>
  <c r="Y61" i="188" s="1"/>
  <c r="X61" i="188"/>
  <c r="Q61" i="188"/>
  <c r="P61" i="188"/>
  <c r="I61" i="188"/>
  <c r="H61" i="188"/>
  <c r="E61" i="188"/>
  <c r="AI60" i="188"/>
  <c r="Y60" i="188" s="1"/>
  <c r="AE60" i="188"/>
  <c r="X60" i="188"/>
  <c r="Q60" i="188"/>
  <c r="P60" i="188"/>
  <c r="H60" i="188"/>
  <c r="E60" i="188"/>
  <c r="I60" i="188" s="1"/>
  <c r="AC59" i="188"/>
  <c r="AB59" i="188"/>
  <c r="AE59" i="188" s="1"/>
  <c r="AI59" i="188" s="1"/>
  <c r="Y59" i="188" s="1"/>
  <c r="X59" i="188"/>
  <c r="Q59" i="188"/>
  <c r="P59" i="188"/>
  <c r="H59" i="188"/>
  <c r="E59" i="188"/>
  <c r="I59" i="188" s="1"/>
  <c r="AC58" i="188"/>
  <c r="AB58" i="188"/>
  <c r="AE58" i="188" s="1"/>
  <c r="AI58" i="188" s="1"/>
  <c r="Y58" i="188" s="1"/>
  <c r="X58" i="188"/>
  <c r="Q58" i="188"/>
  <c r="P58" i="188"/>
  <c r="I58" i="188"/>
  <c r="E58" i="188"/>
  <c r="AC57" i="188"/>
  <c r="AB57" i="188"/>
  <c r="AE57" i="188" s="1"/>
  <c r="AI57" i="188" s="1"/>
  <c r="Y57" i="188" s="1"/>
  <c r="X57" i="188"/>
  <c r="Q57" i="188"/>
  <c r="P57" i="188"/>
  <c r="H57" i="188"/>
  <c r="E57" i="188"/>
  <c r="I57" i="188" s="1"/>
  <c r="AD56" i="188"/>
  <c r="AC56" i="188"/>
  <c r="AB56" i="188"/>
  <c r="AE56" i="188" s="1"/>
  <c r="AI56" i="188" s="1"/>
  <c r="Y56" i="188" s="1"/>
  <c r="Z56" i="188"/>
  <c r="X56" i="188"/>
  <c r="Q56" i="188"/>
  <c r="P56" i="188"/>
  <c r="I56" i="188"/>
  <c r="H56" i="188"/>
  <c r="E56" i="188"/>
  <c r="AE55" i="188"/>
  <c r="AI55" i="188" s="1"/>
  <c r="Y55" i="188" s="1"/>
  <c r="AD55" i="188"/>
  <c r="AC55" i="188"/>
  <c r="AB55" i="188"/>
  <c r="Z55" i="188"/>
  <c r="X55" i="188"/>
  <c r="Q55" i="188"/>
  <c r="P55" i="188"/>
  <c r="I55" i="188"/>
  <c r="H55" i="188"/>
  <c r="E55" i="188"/>
  <c r="AE54" i="188"/>
  <c r="AI54" i="188" s="1"/>
  <c r="Y54" i="188" s="1"/>
  <c r="AD54" i="188"/>
  <c r="AC54" i="188"/>
  <c r="AB54" i="188"/>
  <c r="Z54" i="188"/>
  <c r="X54" i="188"/>
  <c r="Q54" i="188"/>
  <c r="P54" i="188"/>
  <c r="I54" i="188"/>
  <c r="H54" i="188"/>
  <c r="E54" i="188"/>
  <c r="AD53" i="188"/>
  <c r="AC53" i="188"/>
  <c r="AB53" i="188"/>
  <c r="AE53" i="188" s="1"/>
  <c r="AI53" i="188" s="1"/>
  <c r="Y53" i="188" s="1"/>
  <c r="Z53" i="188"/>
  <c r="X53" i="188"/>
  <c r="Q53" i="188"/>
  <c r="P53" i="188"/>
  <c r="H53" i="188"/>
  <c r="E53" i="188"/>
  <c r="I53" i="188" s="1"/>
  <c r="AI52" i="188"/>
  <c r="Y52" i="188" s="1"/>
  <c r="AE52" i="188"/>
  <c r="Z52" i="188"/>
  <c r="X52" i="188"/>
  <c r="Q52" i="188"/>
  <c r="P52" i="188"/>
  <c r="I52" i="188"/>
  <c r="H52" i="188"/>
  <c r="E52" i="188"/>
  <c r="AD51" i="188"/>
  <c r="AC51" i="188"/>
  <c r="AB51" i="188"/>
  <c r="AE51" i="188" s="1"/>
  <c r="AI51" i="188" s="1"/>
  <c r="Y51" i="188" s="1"/>
  <c r="Z51" i="188"/>
  <c r="X51" i="188"/>
  <c r="Q51" i="188"/>
  <c r="P51" i="188"/>
  <c r="H51" i="188"/>
  <c r="E51" i="188"/>
  <c r="I51" i="188" s="1"/>
  <c r="AD50" i="188"/>
  <c r="AC50" i="188"/>
  <c r="AE50" i="188" s="1"/>
  <c r="AI50" i="188" s="1"/>
  <c r="Y50" i="188" s="1"/>
  <c r="AB50" i="188"/>
  <c r="Z50" i="188"/>
  <c r="X50" i="188"/>
  <c r="Q50" i="188"/>
  <c r="P50" i="188"/>
  <c r="H50" i="188"/>
  <c r="E50" i="188"/>
  <c r="I50" i="188" s="1"/>
  <c r="AI49" i="188"/>
  <c r="AE49" i="188"/>
  <c r="Z49" i="188"/>
  <c r="Y49" i="188"/>
  <c r="X49" i="188"/>
  <c r="Q49" i="188"/>
  <c r="P49" i="188"/>
  <c r="I49" i="188"/>
  <c r="H49" i="188"/>
  <c r="E49" i="188"/>
  <c r="AE48" i="188"/>
  <c r="AI48" i="188" s="1"/>
  <c r="Y48" i="188" s="1"/>
  <c r="Z48" i="188"/>
  <c r="X48" i="188"/>
  <c r="Q48" i="188"/>
  <c r="P48" i="188"/>
  <c r="H48" i="188"/>
  <c r="E48" i="188"/>
  <c r="I48" i="188" s="1"/>
  <c r="AI47" i="188"/>
  <c r="Y47" i="188" s="1"/>
  <c r="AE47" i="188"/>
  <c r="Z47" i="188"/>
  <c r="X47" i="188"/>
  <c r="Q47" i="188"/>
  <c r="P47" i="188"/>
  <c r="I47" i="188"/>
  <c r="H47" i="188"/>
  <c r="E47" i="188"/>
  <c r="AD46" i="188"/>
  <c r="AC46" i="188"/>
  <c r="AB46" i="188"/>
  <c r="AE46" i="188" s="1"/>
  <c r="AI46" i="188" s="1"/>
  <c r="Y46" i="188" s="1"/>
  <c r="Z46" i="188"/>
  <c r="X46" i="188"/>
  <c r="Q46" i="188"/>
  <c r="P46" i="188"/>
  <c r="H46" i="188"/>
  <c r="E46" i="188"/>
  <c r="I46" i="188" s="1"/>
  <c r="AI45" i="188"/>
  <c r="Y45" i="188" s="1"/>
  <c r="AE45" i="188"/>
  <c r="AD45" i="188"/>
  <c r="AC45" i="188"/>
  <c r="AB45" i="188"/>
  <c r="Z45" i="188"/>
  <c r="X45" i="188"/>
  <c r="Q45" i="188"/>
  <c r="P45" i="188"/>
  <c r="H45" i="188"/>
  <c r="E45" i="188"/>
  <c r="I45" i="188" s="1"/>
  <c r="AD44" i="188"/>
  <c r="AC44" i="188"/>
  <c r="AB44" i="188"/>
  <c r="AE44" i="188" s="1"/>
  <c r="AI44" i="188" s="1"/>
  <c r="Y44" i="188" s="1"/>
  <c r="Z44" i="188"/>
  <c r="X44" i="188"/>
  <c r="Q44" i="188"/>
  <c r="P44" i="188"/>
  <c r="I44" i="188"/>
  <c r="H44" i="188"/>
  <c r="E44" i="188"/>
  <c r="AE43" i="188"/>
  <c r="AI43" i="188" s="1"/>
  <c r="Y43" i="188" s="1"/>
  <c r="AD43" i="188"/>
  <c r="AC43" i="188"/>
  <c r="AB43" i="188"/>
  <c r="Z43" i="188"/>
  <c r="X43" i="188"/>
  <c r="Q43" i="188"/>
  <c r="P43" i="188"/>
  <c r="I43" i="188"/>
  <c r="H43" i="188"/>
  <c r="E43" i="188"/>
  <c r="AE42" i="188"/>
  <c r="AI42" i="188" s="1"/>
  <c r="Y42" i="188" s="1"/>
  <c r="AD42" i="188"/>
  <c r="AC42" i="188"/>
  <c r="AB42" i="188"/>
  <c r="Z42" i="188"/>
  <c r="X42" i="188"/>
  <c r="Q42" i="188"/>
  <c r="P42" i="188"/>
  <c r="I42" i="188"/>
  <c r="H42" i="188"/>
  <c r="E42" i="188"/>
  <c r="AD41" i="188"/>
  <c r="AC41" i="188"/>
  <c r="AB41" i="188"/>
  <c r="AE41" i="188" s="1"/>
  <c r="AI41" i="188" s="1"/>
  <c r="Y41" i="188" s="1"/>
  <c r="Z41" i="188"/>
  <c r="X41" i="188"/>
  <c r="Q41" i="188"/>
  <c r="P41" i="188"/>
  <c r="H41" i="188"/>
  <c r="E41" i="188"/>
  <c r="I41" i="188" s="1"/>
  <c r="AD40" i="188"/>
  <c r="AC40" i="188"/>
  <c r="AB40" i="188"/>
  <c r="AE40" i="188" s="1"/>
  <c r="AI40" i="188" s="1"/>
  <c r="Y40" i="188" s="1"/>
  <c r="Z40" i="188"/>
  <c r="X40" i="188"/>
  <c r="Q40" i="188"/>
  <c r="P40" i="188"/>
  <c r="I40" i="188"/>
  <c r="H40" i="188"/>
  <c r="E40" i="188"/>
  <c r="AD39" i="188"/>
  <c r="AE39" i="188" s="1"/>
  <c r="AI39" i="188" s="1"/>
  <c r="Y39" i="188" s="1"/>
  <c r="AC39" i="188"/>
  <c r="AB39" i="188"/>
  <c r="Z39" i="188"/>
  <c r="X39" i="188"/>
  <c r="Q39" i="188"/>
  <c r="P39" i="188"/>
  <c r="I39" i="188"/>
  <c r="H39" i="188"/>
  <c r="E39" i="188"/>
  <c r="AD38" i="188"/>
  <c r="AC38" i="188"/>
  <c r="AB38" i="188"/>
  <c r="AE38" i="188" s="1"/>
  <c r="AI38" i="188" s="1"/>
  <c r="Y38" i="188" s="1"/>
  <c r="Z38" i="188"/>
  <c r="X38" i="188"/>
  <c r="Q38" i="188"/>
  <c r="P38" i="188"/>
  <c r="H38" i="188"/>
  <c r="E38" i="188"/>
  <c r="I38" i="188" s="1"/>
  <c r="AD37" i="188"/>
  <c r="AC37" i="188"/>
  <c r="AE37" i="188" s="1"/>
  <c r="AI37" i="188" s="1"/>
  <c r="Y37" i="188" s="1"/>
  <c r="AB37" i="188"/>
  <c r="Z37" i="188"/>
  <c r="X37" i="188"/>
  <c r="Q37" i="188"/>
  <c r="P37" i="188"/>
  <c r="H37" i="188"/>
  <c r="E37" i="188"/>
  <c r="I37" i="188" s="1"/>
  <c r="AD36" i="188"/>
  <c r="AC36" i="188"/>
  <c r="AB36" i="188"/>
  <c r="AE36" i="188" s="1"/>
  <c r="AI36" i="188" s="1"/>
  <c r="Y36" i="188" s="1"/>
  <c r="Z36" i="188"/>
  <c r="X36" i="188"/>
  <c r="Q36" i="188"/>
  <c r="P36" i="188"/>
  <c r="I36" i="188"/>
  <c r="H36" i="188"/>
  <c r="E36" i="188"/>
  <c r="AD35" i="188"/>
  <c r="AC35" i="188"/>
  <c r="AE35" i="188" s="1"/>
  <c r="AI35" i="188" s="1"/>
  <c r="Y35" i="188" s="1"/>
  <c r="AB35" i="188"/>
  <c r="Z35" i="188"/>
  <c r="X35" i="188"/>
  <c r="Q35" i="188"/>
  <c r="P35" i="188"/>
  <c r="I35" i="188"/>
  <c r="H35" i="188"/>
  <c r="E35" i="188"/>
  <c r="AE34" i="188"/>
  <c r="AI34" i="188" s="1"/>
  <c r="Y34" i="188" s="1"/>
  <c r="AD34" i="188"/>
  <c r="AC34" i="188"/>
  <c r="AB34" i="188"/>
  <c r="Z34" i="188"/>
  <c r="X34" i="188"/>
  <c r="Q34" i="188"/>
  <c r="P34" i="188"/>
  <c r="H34" i="188"/>
  <c r="E34" i="188"/>
  <c r="I34" i="188" s="1"/>
  <c r="AD33" i="188"/>
  <c r="AC33" i="188"/>
  <c r="AB33" i="188"/>
  <c r="AE33" i="188" s="1"/>
  <c r="AI33" i="188" s="1"/>
  <c r="Y33" i="188" s="1"/>
  <c r="Z33" i="188"/>
  <c r="X33" i="188"/>
  <c r="Q33" i="188"/>
  <c r="P33" i="188"/>
  <c r="H33" i="188"/>
  <c r="E33" i="188"/>
  <c r="I33" i="188" s="1"/>
  <c r="AD32" i="188"/>
  <c r="AC32" i="188"/>
  <c r="AB32" i="188"/>
  <c r="AE32" i="188" s="1"/>
  <c r="AI32" i="188" s="1"/>
  <c r="Y32" i="188" s="1"/>
  <c r="Z32" i="188"/>
  <c r="X32" i="188"/>
  <c r="Q32" i="188"/>
  <c r="P32" i="188"/>
  <c r="H32" i="188"/>
  <c r="E32" i="188"/>
  <c r="I32" i="188" s="1"/>
  <c r="AE31" i="188"/>
  <c r="AI31" i="188" s="1"/>
  <c r="Y31" i="188" s="1"/>
  <c r="Z31" i="188"/>
  <c r="X31" i="188"/>
  <c r="Q31" i="188"/>
  <c r="P31" i="188"/>
  <c r="H31" i="188"/>
  <c r="E31" i="188"/>
  <c r="I31" i="188" s="1"/>
  <c r="AI30" i="188"/>
  <c r="Y30" i="188" s="1"/>
  <c r="AE30" i="188"/>
  <c r="AD30" i="188"/>
  <c r="AC30" i="188"/>
  <c r="AB30" i="188"/>
  <c r="Z30" i="188"/>
  <c r="X30" i="188"/>
  <c r="Q30" i="188"/>
  <c r="P30" i="188"/>
  <c r="H30" i="188"/>
  <c r="E30" i="188"/>
  <c r="I30" i="188" s="1"/>
  <c r="AD29" i="188"/>
  <c r="AC29" i="188"/>
  <c r="AB29" i="188"/>
  <c r="AE29" i="188" s="1"/>
  <c r="AI29" i="188" s="1"/>
  <c r="Y29" i="188" s="1"/>
  <c r="Z29" i="188"/>
  <c r="X29" i="188"/>
  <c r="Q29" i="188"/>
  <c r="P29" i="188"/>
  <c r="I29" i="188"/>
  <c r="H29" i="188"/>
  <c r="E29" i="188"/>
  <c r="AE28" i="188"/>
  <c r="AI28" i="188" s="1"/>
  <c r="Y28" i="188" s="1"/>
  <c r="AD28" i="188"/>
  <c r="AC28" i="188"/>
  <c r="AB28" i="188"/>
  <c r="Z28" i="188"/>
  <c r="X28" i="188"/>
  <c r="Q28" i="188"/>
  <c r="P28" i="188"/>
  <c r="I28" i="188"/>
  <c r="H28" i="188"/>
  <c r="E28" i="188"/>
  <c r="AE27" i="188"/>
  <c r="AI27" i="188" s="1"/>
  <c r="Y27" i="188" s="1"/>
  <c r="AD27" i="188"/>
  <c r="AC27" i="188"/>
  <c r="AB27" i="188"/>
  <c r="Z27" i="188"/>
  <c r="X27" i="188"/>
  <c r="Q27" i="188"/>
  <c r="P27" i="188"/>
  <c r="I27" i="188"/>
  <c r="H27" i="188"/>
  <c r="E27" i="188"/>
  <c r="AD26" i="188"/>
  <c r="AC26" i="188"/>
  <c r="AB26" i="188"/>
  <c r="AE26" i="188" s="1"/>
  <c r="AI26" i="188" s="1"/>
  <c r="Y26" i="188" s="1"/>
  <c r="Z26" i="188"/>
  <c r="X26" i="188"/>
  <c r="Q26" i="188"/>
  <c r="P26" i="188"/>
  <c r="H26" i="188"/>
  <c r="E26" i="188"/>
  <c r="I26" i="188" s="1"/>
  <c r="AD25" i="188"/>
  <c r="AC25" i="188"/>
  <c r="AB25" i="188"/>
  <c r="AE25" i="188" s="1"/>
  <c r="AI25" i="188" s="1"/>
  <c r="Y25" i="188" s="1"/>
  <c r="Z25" i="188"/>
  <c r="X25" i="188"/>
  <c r="Q25" i="188"/>
  <c r="P25" i="188"/>
  <c r="I25" i="188"/>
  <c r="H25" i="188"/>
  <c r="E25" i="188"/>
  <c r="AD24" i="188"/>
  <c r="AE24" i="188" s="1"/>
  <c r="AI24" i="188" s="1"/>
  <c r="Y24" i="188" s="1"/>
  <c r="AC24" i="188"/>
  <c r="AB24" i="188"/>
  <c r="Z24" i="188"/>
  <c r="X24" i="188"/>
  <c r="Q24" i="188"/>
  <c r="P24" i="188"/>
  <c r="I24" i="188"/>
  <c r="H24" i="188"/>
  <c r="E24" i="188"/>
  <c r="AD23" i="188"/>
  <c r="AC23" i="188"/>
  <c r="AB23" i="188"/>
  <c r="AE23" i="188" s="1"/>
  <c r="AI23" i="188" s="1"/>
  <c r="Y23" i="188" s="1"/>
  <c r="Z23" i="188"/>
  <c r="X23" i="188"/>
  <c r="Q23" i="188"/>
  <c r="P23" i="188"/>
  <c r="H23" i="188"/>
  <c r="E23" i="188"/>
  <c r="I23" i="188" s="1"/>
  <c r="AD22" i="188"/>
  <c r="AC22" i="188"/>
  <c r="AB22" i="188"/>
  <c r="AE22" i="188" s="1"/>
  <c r="AI22" i="188" s="1"/>
  <c r="Y22" i="188" s="1"/>
  <c r="Z22" i="188"/>
  <c r="X22" i="188"/>
  <c r="Q22" i="188"/>
  <c r="P22" i="188"/>
  <c r="H22" i="188"/>
  <c r="E22" i="188"/>
  <c r="I22" i="188" s="1"/>
  <c r="AD21" i="188"/>
  <c r="AC21" i="188"/>
  <c r="AB21" i="188"/>
  <c r="AE21" i="188" s="1"/>
  <c r="AI21" i="188" s="1"/>
  <c r="Y21" i="188" s="1"/>
  <c r="Z21" i="188"/>
  <c r="X21" i="188"/>
  <c r="Q21" i="188"/>
  <c r="P21" i="188"/>
  <c r="I21" i="188"/>
  <c r="H21" i="188"/>
  <c r="E21" i="188"/>
  <c r="AD20" i="188"/>
  <c r="AC20" i="188"/>
  <c r="AE20" i="188" s="1"/>
  <c r="AI20" i="188" s="1"/>
  <c r="Y20" i="188" s="1"/>
  <c r="AB20" i="188"/>
  <c r="Z20" i="188"/>
  <c r="X20" i="188"/>
  <c r="P20" i="188"/>
  <c r="Q20" i="188"/>
  <c r="H20" i="188"/>
  <c r="E20" i="188"/>
  <c r="I20" i="188" s="1"/>
  <c r="AI19" i="188"/>
  <c r="Y19" i="188" s="1"/>
  <c r="AE19" i="188"/>
  <c r="AD19" i="188"/>
  <c r="AC19" i="188"/>
  <c r="AB19" i="188"/>
  <c r="Z19" i="188"/>
  <c r="X19" i="188"/>
  <c r="Q19" i="188"/>
  <c r="P19" i="188"/>
  <c r="H19" i="188"/>
  <c r="E19" i="188"/>
  <c r="I19" i="188" s="1"/>
  <c r="AD18" i="188"/>
  <c r="AC18" i="188"/>
  <c r="AB18" i="188"/>
  <c r="AE18" i="188" s="1"/>
  <c r="AI18" i="188" s="1"/>
  <c r="Y18" i="188" s="1"/>
  <c r="Z18" i="188"/>
  <c r="X18" i="188"/>
  <c r="Q18" i="188"/>
  <c r="P18" i="188"/>
  <c r="I18" i="188"/>
  <c r="H18" i="188"/>
  <c r="E18" i="188"/>
  <c r="AE17" i="188"/>
  <c r="AI17" i="188" s="1"/>
  <c r="Y17" i="188" s="1"/>
  <c r="AD17" i="188"/>
  <c r="AC17" i="188"/>
  <c r="AB17" i="188"/>
  <c r="Z17" i="188"/>
  <c r="X17" i="188"/>
  <c r="Q17" i="188"/>
  <c r="P17" i="188"/>
  <c r="I17" i="188"/>
  <c r="H17" i="188"/>
  <c r="E17" i="188"/>
  <c r="AE16" i="188"/>
  <c r="AI16" i="188" s="1"/>
  <c r="Y16" i="188" s="1"/>
  <c r="AD16" i="188"/>
  <c r="AC16" i="188"/>
  <c r="AB16" i="188"/>
  <c r="Z16" i="188"/>
  <c r="X16" i="188"/>
  <c r="Q16" i="188"/>
  <c r="P16" i="188"/>
  <c r="I16" i="188"/>
  <c r="E16" i="188"/>
  <c r="AD15" i="188"/>
  <c r="AC15" i="188"/>
  <c r="AB15" i="188"/>
  <c r="AE15" i="188" s="1"/>
  <c r="AI15" i="188" s="1"/>
  <c r="Y15" i="188" s="1"/>
  <c r="Z15" i="188"/>
  <c r="X15" i="188"/>
  <c r="Q15" i="188"/>
  <c r="P15" i="188"/>
  <c r="I15" i="188"/>
  <c r="E15" i="188"/>
  <c r="AE14" i="188"/>
  <c r="AI14" i="188" s="1"/>
  <c r="Y14" i="188" s="1"/>
  <c r="AD14" i="188"/>
  <c r="AC14" i="188"/>
  <c r="AB14" i="188"/>
  <c r="Z14" i="188"/>
  <c r="X14" i="188"/>
  <c r="Q14" i="188"/>
  <c r="P14" i="188"/>
  <c r="P71" i="188"/>
  <c r="H14" i="188"/>
  <c r="E14" i="188"/>
  <c r="I14" i="188" s="1"/>
  <c r="AD13" i="188"/>
  <c r="AC13" i="188"/>
  <c r="AB13" i="188"/>
  <c r="AE13" i="188" s="1"/>
  <c r="AI13" i="188" s="1"/>
  <c r="Y13" i="188" s="1"/>
  <c r="Z13" i="188"/>
  <c r="X13" i="188"/>
  <c r="Q13" i="188"/>
  <c r="P13" i="188"/>
  <c r="I13" i="188"/>
  <c r="H13" i="188"/>
  <c r="E13" i="188"/>
  <c r="AD12" i="188"/>
  <c r="AE12" i="188" s="1"/>
  <c r="AI12" i="188" s="1"/>
  <c r="Y12" i="188" s="1"/>
  <c r="AC12" i="188"/>
  <c r="AB12" i="188"/>
  <c r="Z12" i="188"/>
  <c r="X12" i="188"/>
  <c r="Q12" i="188"/>
  <c r="P12" i="188"/>
  <c r="I12" i="188"/>
  <c r="H12" i="188"/>
  <c r="E12" i="188"/>
  <c r="M14" i="187"/>
  <c r="Q14" i="187" s="1"/>
  <c r="M20" i="187"/>
  <c r="P71" i="187" s="1"/>
  <c r="M79" i="187"/>
  <c r="H71" i="187"/>
  <c r="Q70" i="187"/>
  <c r="P70" i="187"/>
  <c r="H70" i="187"/>
  <c r="E70" i="187"/>
  <c r="I70" i="187" s="1"/>
  <c r="Q69" i="187"/>
  <c r="P69" i="187"/>
  <c r="H69" i="187"/>
  <c r="E69" i="187"/>
  <c r="I69" i="187" s="1"/>
  <c r="AD68" i="187"/>
  <c r="AC68" i="187"/>
  <c r="AB68" i="187"/>
  <c r="AE68" i="187" s="1"/>
  <c r="AI68" i="187" s="1"/>
  <c r="Y68" i="187" s="1"/>
  <c r="Z68" i="187"/>
  <c r="X68" i="187"/>
  <c r="Q68" i="187"/>
  <c r="P68" i="187"/>
  <c r="H68" i="187"/>
  <c r="E68" i="187"/>
  <c r="I68" i="187" s="1"/>
  <c r="AE67" i="187"/>
  <c r="AI67" i="187" s="1"/>
  <c r="Y67" i="187" s="1"/>
  <c r="AD67" i="187"/>
  <c r="AC67" i="187"/>
  <c r="AB67" i="187"/>
  <c r="Z67" i="187"/>
  <c r="X67" i="187"/>
  <c r="Q67" i="187"/>
  <c r="P67" i="187"/>
  <c r="I67" i="187"/>
  <c r="H67" i="187"/>
  <c r="E67" i="187"/>
  <c r="AE66" i="187"/>
  <c r="AI66" i="187" s="1"/>
  <c r="Y66" i="187" s="1"/>
  <c r="AD66" i="187"/>
  <c r="AC66" i="187"/>
  <c r="AB66" i="187"/>
  <c r="Z66" i="187"/>
  <c r="X66" i="187"/>
  <c r="Q66" i="187"/>
  <c r="P66" i="187"/>
  <c r="H66" i="187"/>
  <c r="E66" i="187"/>
  <c r="I66" i="187" s="1"/>
  <c r="AD65" i="187"/>
  <c r="AC65" i="187"/>
  <c r="AB65" i="187"/>
  <c r="AE65" i="187" s="1"/>
  <c r="AI65" i="187" s="1"/>
  <c r="Y65" i="187" s="1"/>
  <c r="Z65" i="187"/>
  <c r="X65" i="187"/>
  <c r="Q65" i="187"/>
  <c r="P65" i="187"/>
  <c r="H65" i="187"/>
  <c r="E65" i="187"/>
  <c r="I65" i="187" s="1"/>
  <c r="AD64" i="187"/>
  <c r="AC64" i="187"/>
  <c r="AE64" i="187" s="1"/>
  <c r="AI64" i="187" s="1"/>
  <c r="Y64" i="187" s="1"/>
  <c r="AB64" i="187"/>
  <c r="Z64" i="187"/>
  <c r="X64" i="187"/>
  <c r="Q64" i="187"/>
  <c r="P64" i="187"/>
  <c r="I64" i="187"/>
  <c r="H64" i="187"/>
  <c r="E64" i="187"/>
  <c r="AD63" i="187"/>
  <c r="AC63" i="187"/>
  <c r="AB63" i="187"/>
  <c r="AE63" i="187" s="1"/>
  <c r="AI63" i="187" s="1"/>
  <c r="Y63" i="187" s="1"/>
  <c r="Z63" i="187"/>
  <c r="X63" i="187"/>
  <c r="Q63" i="187"/>
  <c r="P63" i="187"/>
  <c r="H63" i="187"/>
  <c r="E63" i="187"/>
  <c r="I63" i="187" s="1"/>
  <c r="AD62" i="187"/>
  <c r="AC62" i="187"/>
  <c r="AB62" i="187"/>
  <c r="AE62" i="187" s="1"/>
  <c r="AI62" i="187" s="1"/>
  <c r="Y62" i="187" s="1"/>
  <c r="Z62" i="187"/>
  <c r="X62" i="187"/>
  <c r="Q62" i="187"/>
  <c r="P62" i="187"/>
  <c r="H62" i="187"/>
  <c r="E62" i="187"/>
  <c r="I62" i="187" s="1"/>
  <c r="AE61" i="187"/>
  <c r="AI61" i="187" s="1"/>
  <c r="Y61" i="187" s="1"/>
  <c r="AC61" i="187"/>
  <c r="AB61" i="187"/>
  <c r="X61" i="187"/>
  <c r="Q61" i="187"/>
  <c r="P61" i="187"/>
  <c r="H61" i="187"/>
  <c r="E61" i="187"/>
  <c r="I61" i="187" s="1"/>
  <c r="AE60" i="187"/>
  <c r="AI60" i="187" s="1"/>
  <c r="Y60" i="187" s="1"/>
  <c r="X60" i="187"/>
  <c r="Q60" i="187"/>
  <c r="P60" i="187"/>
  <c r="I60" i="187"/>
  <c r="H60" i="187"/>
  <c r="E60" i="187"/>
  <c r="AC59" i="187"/>
  <c r="AB59" i="187"/>
  <c r="AE59" i="187" s="1"/>
  <c r="AI59" i="187" s="1"/>
  <c r="Y59" i="187" s="1"/>
  <c r="X59" i="187"/>
  <c r="Q59" i="187"/>
  <c r="P59" i="187"/>
  <c r="I59" i="187"/>
  <c r="H59" i="187"/>
  <c r="E59" i="187"/>
  <c r="AC58" i="187"/>
  <c r="AE58" i="187" s="1"/>
  <c r="AI58" i="187" s="1"/>
  <c r="Y58" i="187" s="1"/>
  <c r="AB58" i="187"/>
  <c r="X58" i="187"/>
  <c r="Q58" i="187"/>
  <c r="P58" i="187"/>
  <c r="I58" i="187"/>
  <c r="E58" i="187"/>
  <c r="AC57" i="187"/>
  <c r="AB57" i="187"/>
  <c r="AE57" i="187" s="1"/>
  <c r="AI57" i="187" s="1"/>
  <c r="Y57" i="187" s="1"/>
  <c r="X57" i="187"/>
  <c r="Q57" i="187"/>
  <c r="P57" i="187"/>
  <c r="I57" i="187"/>
  <c r="H57" i="187"/>
  <c r="E57" i="187"/>
  <c r="AD56" i="187"/>
  <c r="AC56" i="187"/>
  <c r="AB56" i="187"/>
  <c r="AE56" i="187" s="1"/>
  <c r="AI56" i="187" s="1"/>
  <c r="Y56" i="187" s="1"/>
  <c r="Z56" i="187"/>
  <c r="X56" i="187"/>
  <c r="Q56" i="187"/>
  <c r="P56" i="187"/>
  <c r="H56" i="187"/>
  <c r="E56" i="187"/>
  <c r="I56" i="187" s="1"/>
  <c r="AI55" i="187"/>
  <c r="Y55" i="187" s="1"/>
  <c r="AE55" i="187"/>
  <c r="AD55" i="187"/>
  <c r="AC55" i="187"/>
  <c r="AB55" i="187"/>
  <c r="Z55" i="187"/>
  <c r="X55" i="187"/>
  <c r="Q55" i="187"/>
  <c r="P55" i="187"/>
  <c r="I55" i="187"/>
  <c r="H55" i="187"/>
  <c r="E55" i="187"/>
  <c r="AD54" i="187"/>
  <c r="AC54" i="187"/>
  <c r="AB54" i="187"/>
  <c r="AE54" i="187" s="1"/>
  <c r="AI54" i="187" s="1"/>
  <c r="Y54" i="187" s="1"/>
  <c r="Z54" i="187"/>
  <c r="X54" i="187"/>
  <c r="Q54" i="187"/>
  <c r="P54" i="187"/>
  <c r="H54" i="187"/>
  <c r="E54" i="187"/>
  <c r="I54" i="187" s="1"/>
  <c r="AE53" i="187"/>
  <c r="AI53" i="187" s="1"/>
  <c r="Y53" i="187" s="1"/>
  <c r="AD53" i="187"/>
  <c r="AC53" i="187"/>
  <c r="AB53" i="187"/>
  <c r="Z53" i="187"/>
  <c r="X53" i="187"/>
  <c r="Q53" i="187"/>
  <c r="P53" i="187"/>
  <c r="H53" i="187"/>
  <c r="E53" i="187"/>
  <c r="I53" i="187" s="1"/>
  <c r="AE52" i="187"/>
  <c r="AI52" i="187" s="1"/>
  <c r="Y52" i="187" s="1"/>
  <c r="Z52" i="187"/>
  <c r="X52" i="187"/>
  <c r="Q52" i="187"/>
  <c r="P52" i="187"/>
  <c r="H52" i="187"/>
  <c r="E52" i="187"/>
  <c r="I52" i="187" s="1"/>
  <c r="AD51" i="187"/>
  <c r="AE51" i="187" s="1"/>
  <c r="AI51" i="187" s="1"/>
  <c r="Y51" i="187" s="1"/>
  <c r="AC51" i="187"/>
  <c r="AB51" i="187"/>
  <c r="Z51" i="187"/>
  <c r="X51" i="187"/>
  <c r="Q51" i="187"/>
  <c r="P51" i="187"/>
  <c r="I51" i="187"/>
  <c r="H51" i="187"/>
  <c r="E51" i="187"/>
  <c r="AE50" i="187"/>
  <c r="AI50" i="187" s="1"/>
  <c r="Y50" i="187" s="1"/>
  <c r="AD50" i="187"/>
  <c r="AC50" i="187"/>
  <c r="AB50" i="187"/>
  <c r="Z50" i="187"/>
  <c r="X50" i="187"/>
  <c r="Q50" i="187"/>
  <c r="P50" i="187"/>
  <c r="H50" i="187"/>
  <c r="E50" i="187"/>
  <c r="I50" i="187" s="1"/>
  <c r="AI49" i="187"/>
  <c r="Y49" i="187" s="1"/>
  <c r="AE49" i="187"/>
  <c r="Z49" i="187"/>
  <c r="X49" i="187"/>
  <c r="Q49" i="187"/>
  <c r="P49" i="187"/>
  <c r="I49" i="187"/>
  <c r="H49" i="187"/>
  <c r="E49" i="187"/>
  <c r="AE48" i="187"/>
  <c r="AI48" i="187" s="1"/>
  <c r="Y48" i="187" s="1"/>
  <c r="Z48" i="187"/>
  <c r="X48" i="187"/>
  <c r="Q48" i="187"/>
  <c r="P48" i="187"/>
  <c r="H48" i="187"/>
  <c r="E48" i="187"/>
  <c r="I48" i="187" s="1"/>
  <c r="AI47" i="187"/>
  <c r="Y47" i="187" s="1"/>
  <c r="AE47" i="187"/>
  <c r="Z47" i="187"/>
  <c r="X47" i="187"/>
  <c r="Q47" i="187"/>
  <c r="P47" i="187"/>
  <c r="H47" i="187"/>
  <c r="E47" i="187"/>
  <c r="I47" i="187" s="1"/>
  <c r="AD46" i="187"/>
  <c r="AE46" i="187" s="1"/>
  <c r="AI46" i="187" s="1"/>
  <c r="Y46" i="187" s="1"/>
  <c r="AC46" i="187"/>
  <c r="AB46" i="187"/>
  <c r="Z46" i="187"/>
  <c r="X46" i="187"/>
  <c r="Q46" i="187"/>
  <c r="P46" i="187"/>
  <c r="I46" i="187"/>
  <c r="H46" i="187"/>
  <c r="E46" i="187"/>
  <c r="AD45" i="187"/>
  <c r="AC45" i="187"/>
  <c r="AB45" i="187"/>
  <c r="AE45" i="187" s="1"/>
  <c r="AI45" i="187" s="1"/>
  <c r="Y45" i="187" s="1"/>
  <c r="Z45" i="187"/>
  <c r="X45" i="187"/>
  <c r="Q45" i="187"/>
  <c r="P45" i="187"/>
  <c r="I45" i="187"/>
  <c r="H45" i="187"/>
  <c r="E45" i="187"/>
  <c r="AD44" i="187"/>
  <c r="AC44" i="187"/>
  <c r="AB44" i="187"/>
  <c r="AE44" i="187" s="1"/>
  <c r="AI44" i="187" s="1"/>
  <c r="Y44" i="187" s="1"/>
  <c r="Z44" i="187"/>
  <c r="X44" i="187"/>
  <c r="Q44" i="187"/>
  <c r="P44" i="187"/>
  <c r="H44" i="187"/>
  <c r="E44" i="187"/>
  <c r="I44" i="187" s="1"/>
  <c r="AE43" i="187"/>
  <c r="AI43" i="187" s="1"/>
  <c r="Y43" i="187" s="1"/>
  <c r="AD43" i="187"/>
  <c r="AC43" i="187"/>
  <c r="AB43" i="187"/>
  <c r="Z43" i="187"/>
  <c r="X43" i="187"/>
  <c r="Q43" i="187"/>
  <c r="P43" i="187"/>
  <c r="I43" i="187"/>
  <c r="H43" i="187"/>
  <c r="E43" i="187"/>
  <c r="AD42" i="187"/>
  <c r="AC42" i="187"/>
  <c r="AB42" i="187"/>
  <c r="AE42" i="187" s="1"/>
  <c r="AI42" i="187" s="1"/>
  <c r="Y42" i="187" s="1"/>
  <c r="Z42" i="187"/>
  <c r="X42" i="187"/>
  <c r="Q42" i="187"/>
  <c r="P42" i="187"/>
  <c r="H42" i="187"/>
  <c r="E42" i="187"/>
  <c r="I42" i="187" s="1"/>
  <c r="AE41" i="187"/>
  <c r="AI41" i="187" s="1"/>
  <c r="Y41" i="187" s="1"/>
  <c r="AD41" i="187"/>
  <c r="AC41" i="187"/>
  <c r="AB41" i="187"/>
  <c r="Z41" i="187"/>
  <c r="X41" i="187"/>
  <c r="Q41" i="187"/>
  <c r="P41" i="187"/>
  <c r="H41" i="187"/>
  <c r="E41" i="187"/>
  <c r="I41" i="187" s="1"/>
  <c r="AD40" i="187"/>
  <c r="AC40" i="187"/>
  <c r="AB40" i="187"/>
  <c r="AE40" i="187" s="1"/>
  <c r="AI40" i="187" s="1"/>
  <c r="Y40" i="187" s="1"/>
  <c r="Z40" i="187"/>
  <c r="X40" i="187"/>
  <c r="Q40" i="187"/>
  <c r="P40" i="187"/>
  <c r="I40" i="187"/>
  <c r="H40" i="187"/>
  <c r="E40" i="187"/>
  <c r="AD39" i="187"/>
  <c r="AC39" i="187"/>
  <c r="AB39" i="187"/>
  <c r="AE39" i="187" s="1"/>
  <c r="AI39" i="187" s="1"/>
  <c r="Y39" i="187" s="1"/>
  <c r="Z39" i="187"/>
  <c r="X39" i="187"/>
  <c r="Q39" i="187"/>
  <c r="P39" i="187"/>
  <c r="H39" i="187"/>
  <c r="E39" i="187"/>
  <c r="I39" i="187" s="1"/>
  <c r="AD38" i="187"/>
  <c r="AE38" i="187" s="1"/>
  <c r="AI38" i="187" s="1"/>
  <c r="Y38" i="187" s="1"/>
  <c r="AC38" i="187"/>
  <c r="AB38" i="187"/>
  <c r="Z38" i="187"/>
  <c r="X38" i="187"/>
  <c r="Q38" i="187"/>
  <c r="P38" i="187"/>
  <c r="I38" i="187"/>
  <c r="H38" i="187"/>
  <c r="E38" i="187"/>
  <c r="AE37" i="187"/>
  <c r="AI37" i="187" s="1"/>
  <c r="Y37" i="187" s="1"/>
  <c r="AD37" i="187"/>
  <c r="AC37" i="187"/>
  <c r="AB37" i="187"/>
  <c r="Z37" i="187"/>
  <c r="X37" i="187"/>
  <c r="Q37" i="187"/>
  <c r="P37" i="187"/>
  <c r="H37" i="187"/>
  <c r="E37" i="187"/>
  <c r="I37" i="187" s="1"/>
  <c r="AD36" i="187"/>
  <c r="AC36" i="187"/>
  <c r="AB36" i="187"/>
  <c r="AE36" i="187" s="1"/>
  <c r="AI36" i="187" s="1"/>
  <c r="Y36" i="187" s="1"/>
  <c r="Z36" i="187"/>
  <c r="X36" i="187"/>
  <c r="Q36" i="187"/>
  <c r="P36" i="187"/>
  <c r="H36" i="187"/>
  <c r="E36" i="187"/>
  <c r="I36" i="187" s="1"/>
  <c r="AD35" i="187"/>
  <c r="AC35" i="187"/>
  <c r="AE35" i="187" s="1"/>
  <c r="AI35" i="187" s="1"/>
  <c r="Y35" i="187" s="1"/>
  <c r="AB35" i="187"/>
  <c r="Z35" i="187"/>
  <c r="X35" i="187"/>
  <c r="Q35" i="187"/>
  <c r="P35" i="187"/>
  <c r="I35" i="187"/>
  <c r="H35" i="187"/>
  <c r="E35" i="187"/>
  <c r="AD34" i="187"/>
  <c r="AC34" i="187"/>
  <c r="AB34" i="187"/>
  <c r="AE34" i="187" s="1"/>
  <c r="AI34" i="187" s="1"/>
  <c r="Y34" i="187" s="1"/>
  <c r="Z34" i="187"/>
  <c r="X34" i="187"/>
  <c r="Q34" i="187"/>
  <c r="P34" i="187"/>
  <c r="H34" i="187"/>
  <c r="E34" i="187"/>
  <c r="I34" i="187" s="1"/>
  <c r="AD33" i="187"/>
  <c r="AC33" i="187"/>
  <c r="AB33" i="187"/>
  <c r="AE33" i="187" s="1"/>
  <c r="AI33" i="187" s="1"/>
  <c r="Y33" i="187" s="1"/>
  <c r="Z33" i="187"/>
  <c r="X33" i="187"/>
  <c r="Q33" i="187"/>
  <c r="P33" i="187"/>
  <c r="H33" i="187"/>
  <c r="E33" i="187"/>
  <c r="I33" i="187" s="1"/>
  <c r="AD32" i="187"/>
  <c r="AE32" i="187" s="1"/>
  <c r="AI32" i="187" s="1"/>
  <c r="Y32" i="187" s="1"/>
  <c r="AC32" i="187"/>
  <c r="AB32" i="187"/>
  <c r="Z32" i="187"/>
  <c r="X32" i="187"/>
  <c r="Q32" i="187"/>
  <c r="P32" i="187"/>
  <c r="H32" i="187"/>
  <c r="E32" i="187"/>
  <c r="I32" i="187" s="1"/>
  <c r="AE31" i="187"/>
  <c r="AI31" i="187" s="1"/>
  <c r="Y31" i="187" s="1"/>
  <c r="Z31" i="187"/>
  <c r="X31" i="187"/>
  <c r="Q31" i="187"/>
  <c r="P31" i="187"/>
  <c r="I31" i="187"/>
  <c r="H31" i="187"/>
  <c r="E31" i="187"/>
  <c r="AD30" i="187"/>
  <c r="AC30" i="187"/>
  <c r="AB30" i="187"/>
  <c r="AE30" i="187" s="1"/>
  <c r="AI30" i="187" s="1"/>
  <c r="Y30" i="187" s="1"/>
  <c r="Z30" i="187"/>
  <c r="X30" i="187"/>
  <c r="Q30" i="187"/>
  <c r="P30" i="187"/>
  <c r="I30" i="187"/>
  <c r="H30" i="187"/>
  <c r="E30" i="187"/>
  <c r="AD29" i="187"/>
  <c r="AC29" i="187"/>
  <c r="AB29" i="187"/>
  <c r="AE29" i="187" s="1"/>
  <c r="AI29" i="187" s="1"/>
  <c r="Y29" i="187" s="1"/>
  <c r="Z29" i="187"/>
  <c r="X29" i="187"/>
  <c r="Q29" i="187"/>
  <c r="P29" i="187"/>
  <c r="H29" i="187"/>
  <c r="E29" i="187"/>
  <c r="I29" i="187" s="1"/>
  <c r="AE28" i="187"/>
  <c r="AI28" i="187" s="1"/>
  <c r="Y28" i="187" s="1"/>
  <c r="AD28" i="187"/>
  <c r="AC28" i="187"/>
  <c r="AB28" i="187"/>
  <c r="Z28" i="187"/>
  <c r="X28" i="187"/>
  <c r="Q28" i="187"/>
  <c r="P28" i="187"/>
  <c r="I28" i="187"/>
  <c r="H28" i="187"/>
  <c r="E28" i="187"/>
  <c r="AD27" i="187"/>
  <c r="AC27" i="187"/>
  <c r="AB27" i="187"/>
  <c r="AE27" i="187" s="1"/>
  <c r="AI27" i="187" s="1"/>
  <c r="Y27" i="187" s="1"/>
  <c r="Z27" i="187"/>
  <c r="X27" i="187"/>
  <c r="Q27" i="187"/>
  <c r="P27" i="187"/>
  <c r="H27" i="187"/>
  <c r="E27" i="187"/>
  <c r="I27" i="187" s="1"/>
  <c r="AE26" i="187"/>
  <c r="AI26" i="187" s="1"/>
  <c r="Y26" i="187" s="1"/>
  <c r="AD26" i="187"/>
  <c r="AC26" i="187"/>
  <c r="AB26" i="187"/>
  <c r="Z26" i="187"/>
  <c r="X26" i="187"/>
  <c r="Q26" i="187"/>
  <c r="P26" i="187"/>
  <c r="H26" i="187"/>
  <c r="E26" i="187"/>
  <c r="I26" i="187" s="1"/>
  <c r="AD25" i="187"/>
  <c r="AC25" i="187"/>
  <c r="AB25" i="187"/>
  <c r="AE25" i="187" s="1"/>
  <c r="AI25" i="187" s="1"/>
  <c r="Y25" i="187" s="1"/>
  <c r="Z25" i="187"/>
  <c r="X25" i="187"/>
  <c r="Q25" i="187"/>
  <c r="P25" i="187"/>
  <c r="I25" i="187"/>
  <c r="H25" i="187"/>
  <c r="E25" i="187"/>
  <c r="AD24" i="187"/>
  <c r="AC24" i="187"/>
  <c r="AB24" i="187"/>
  <c r="AE24" i="187" s="1"/>
  <c r="AI24" i="187" s="1"/>
  <c r="Y24" i="187" s="1"/>
  <c r="Z24" i="187"/>
  <c r="X24" i="187"/>
  <c r="Q24" i="187"/>
  <c r="P24" i="187"/>
  <c r="H24" i="187"/>
  <c r="E24" i="187"/>
  <c r="I24" i="187" s="1"/>
  <c r="AD23" i="187"/>
  <c r="AE23" i="187" s="1"/>
  <c r="AI23" i="187" s="1"/>
  <c r="Y23" i="187" s="1"/>
  <c r="AC23" i="187"/>
  <c r="AB23" i="187"/>
  <c r="Z23" i="187"/>
  <c r="X23" i="187"/>
  <c r="Q23" i="187"/>
  <c r="P23" i="187"/>
  <c r="I23" i="187"/>
  <c r="H23" i="187"/>
  <c r="E23" i="187"/>
  <c r="AE22" i="187"/>
  <c r="AI22" i="187" s="1"/>
  <c r="Y22" i="187" s="1"/>
  <c r="AD22" i="187"/>
  <c r="AC22" i="187"/>
  <c r="AB22" i="187"/>
  <c r="Z22" i="187"/>
  <c r="X22" i="187"/>
  <c r="Q22" i="187"/>
  <c r="P22" i="187"/>
  <c r="H22" i="187"/>
  <c r="E22" i="187"/>
  <c r="I22" i="187" s="1"/>
  <c r="AD21" i="187"/>
  <c r="AC21" i="187"/>
  <c r="AB21" i="187"/>
  <c r="AE21" i="187" s="1"/>
  <c r="AI21" i="187" s="1"/>
  <c r="Y21" i="187" s="1"/>
  <c r="Z21" i="187"/>
  <c r="X21" i="187"/>
  <c r="Q21" i="187"/>
  <c r="P21" i="187"/>
  <c r="H21" i="187"/>
  <c r="E21" i="187"/>
  <c r="I21" i="187" s="1"/>
  <c r="AD20" i="187"/>
  <c r="AC20" i="187"/>
  <c r="AE20" i="187" s="1"/>
  <c r="AI20" i="187" s="1"/>
  <c r="Y20" i="187" s="1"/>
  <c r="AB20" i="187"/>
  <c r="Z20" i="187"/>
  <c r="X20" i="187"/>
  <c r="Q20" i="187"/>
  <c r="P20" i="187"/>
  <c r="I20" i="187"/>
  <c r="H20" i="187"/>
  <c r="E20" i="187"/>
  <c r="AD19" i="187"/>
  <c r="AC19" i="187"/>
  <c r="AB19" i="187"/>
  <c r="AE19" i="187" s="1"/>
  <c r="AI19" i="187" s="1"/>
  <c r="Y19" i="187" s="1"/>
  <c r="Z19" i="187"/>
  <c r="X19" i="187"/>
  <c r="Q19" i="187"/>
  <c r="P19" i="187"/>
  <c r="H19" i="187"/>
  <c r="E19" i="187"/>
  <c r="I19" i="187" s="1"/>
  <c r="AD18" i="187"/>
  <c r="AC18" i="187"/>
  <c r="AB18" i="187"/>
  <c r="AE18" i="187" s="1"/>
  <c r="AI18" i="187" s="1"/>
  <c r="Y18" i="187" s="1"/>
  <c r="Z18" i="187"/>
  <c r="X18" i="187"/>
  <c r="Q18" i="187"/>
  <c r="P18" i="187"/>
  <c r="H18" i="187"/>
  <c r="E18" i="187"/>
  <c r="I18" i="187" s="1"/>
  <c r="AD17" i="187"/>
  <c r="AE17" i="187" s="1"/>
  <c r="AI17" i="187" s="1"/>
  <c r="Y17" i="187" s="1"/>
  <c r="AC17" i="187"/>
  <c r="AB17" i="187"/>
  <c r="Z17" i="187"/>
  <c r="X17" i="187"/>
  <c r="Q17" i="187"/>
  <c r="P17" i="187"/>
  <c r="H17" i="187"/>
  <c r="E17" i="187"/>
  <c r="I17" i="187" s="1"/>
  <c r="AD16" i="187"/>
  <c r="AC16" i="187"/>
  <c r="AB16" i="187"/>
  <c r="AE16" i="187" s="1"/>
  <c r="AI16" i="187" s="1"/>
  <c r="Y16" i="187" s="1"/>
  <c r="Z16" i="187"/>
  <c r="X16" i="187"/>
  <c r="Q16" i="187"/>
  <c r="P16" i="187"/>
  <c r="I16" i="187"/>
  <c r="E16" i="187"/>
  <c r="AD15" i="187"/>
  <c r="AC15" i="187"/>
  <c r="AE15" i="187" s="1"/>
  <c r="AI15" i="187" s="1"/>
  <c r="Y15" i="187" s="1"/>
  <c r="AB15" i="187"/>
  <c r="Z15" i="187"/>
  <c r="X15" i="187"/>
  <c r="Q15" i="187"/>
  <c r="P15" i="187"/>
  <c r="E15" i="187"/>
  <c r="I15" i="187" s="1"/>
  <c r="AD14" i="187"/>
  <c r="AC14" i="187"/>
  <c r="AB14" i="187"/>
  <c r="AE14" i="187" s="1"/>
  <c r="AI14" i="187" s="1"/>
  <c r="Y14" i="187" s="1"/>
  <c r="Z14" i="187"/>
  <c r="X14" i="187"/>
  <c r="H14" i="187"/>
  <c r="E14" i="187"/>
  <c r="I14" i="187" s="1"/>
  <c r="AD13" i="187"/>
  <c r="AC13" i="187"/>
  <c r="AB13" i="187"/>
  <c r="AE13" i="187" s="1"/>
  <c r="AI13" i="187" s="1"/>
  <c r="Y13" i="187" s="1"/>
  <c r="Z13" i="187"/>
  <c r="X13" i="187"/>
  <c r="Q13" i="187"/>
  <c r="P13" i="187"/>
  <c r="I13" i="187"/>
  <c r="H13" i="187"/>
  <c r="E13" i="187"/>
  <c r="AD12" i="187"/>
  <c r="AC12" i="187"/>
  <c r="AE12" i="187" s="1"/>
  <c r="AI12" i="187" s="1"/>
  <c r="Y12" i="187" s="1"/>
  <c r="AB12" i="187"/>
  <c r="Z12" i="187"/>
  <c r="T75" i="187" s="1"/>
  <c r="X12" i="187"/>
  <c r="T77" i="187" s="1"/>
  <c r="Q12" i="187"/>
  <c r="P12" i="187"/>
  <c r="H12" i="187"/>
  <c r="E12" i="187"/>
  <c r="I12" i="187" s="1"/>
  <c r="F77" i="189" l="1"/>
  <c r="F73" i="188"/>
  <c r="T77" i="188"/>
  <c r="T79" i="188" s="1"/>
  <c r="T75" i="188"/>
  <c r="O75" i="188"/>
  <c r="T73" i="188"/>
  <c r="O73" i="188"/>
  <c r="F75" i="188"/>
  <c r="P14" i="187"/>
  <c r="O75" i="187"/>
  <c r="O73" i="187"/>
  <c r="F75" i="187"/>
  <c r="F73" i="187"/>
  <c r="T73" i="187"/>
  <c r="T79" i="187" s="1"/>
  <c r="M79" i="186"/>
  <c r="T75" i="186"/>
  <c r="P71" i="186"/>
  <c r="H71" i="186"/>
  <c r="Q70" i="186"/>
  <c r="P70" i="186"/>
  <c r="I70" i="186"/>
  <c r="H70" i="186"/>
  <c r="E70" i="186"/>
  <c r="Q69" i="186"/>
  <c r="P69" i="186"/>
  <c r="H69" i="186"/>
  <c r="E69" i="186"/>
  <c r="I69" i="186" s="1"/>
  <c r="AD68" i="186"/>
  <c r="AC68" i="186"/>
  <c r="AB68" i="186"/>
  <c r="AE68" i="186" s="1"/>
  <c r="AI68" i="186" s="1"/>
  <c r="Y68" i="186" s="1"/>
  <c r="Z68" i="186"/>
  <c r="X68" i="186"/>
  <c r="Q68" i="186"/>
  <c r="P68" i="186"/>
  <c r="I68" i="186"/>
  <c r="H68" i="186"/>
  <c r="E68" i="186"/>
  <c r="AD67" i="186"/>
  <c r="AC67" i="186"/>
  <c r="AE67" i="186" s="1"/>
  <c r="AI67" i="186" s="1"/>
  <c r="Y67" i="186" s="1"/>
  <c r="AB67" i="186"/>
  <c r="Z67" i="186"/>
  <c r="X67" i="186"/>
  <c r="Q67" i="186"/>
  <c r="P67" i="186"/>
  <c r="I67" i="186"/>
  <c r="H67" i="186"/>
  <c r="E67" i="186"/>
  <c r="AE66" i="186"/>
  <c r="AI66" i="186" s="1"/>
  <c r="Y66" i="186" s="1"/>
  <c r="AD66" i="186"/>
  <c r="AC66" i="186"/>
  <c r="AB66" i="186"/>
  <c r="Z66" i="186"/>
  <c r="X66" i="186"/>
  <c r="Q66" i="186"/>
  <c r="P66" i="186"/>
  <c r="I66" i="186"/>
  <c r="H66" i="186"/>
  <c r="E66" i="186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E64" i="186"/>
  <c r="AI64" i="186" s="1"/>
  <c r="Y64" i="186" s="1"/>
  <c r="AD64" i="186"/>
  <c r="AC64" i="186"/>
  <c r="AB64" i="186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I63" i="186"/>
  <c r="H63" i="186"/>
  <c r="E63" i="186"/>
  <c r="AD62" i="186"/>
  <c r="AE62" i="186" s="1"/>
  <c r="AI62" i="186" s="1"/>
  <c r="Y62" i="186" s="1"/>
  <c r="AC62" i="186"/>
  <c r="AB62" i="186"/>
  <c r="Z62" i="186"/>
  <c r="X62" i="186"/>
  <c r="Q62" i="186"/>
  <c r="P62" i="186"/>
  <c r="I62" i="186"/>
  <c r="H62" i="186"/>
  <c r="E62" i="186"/>
  <c r="AC61" i="186"/>
  <c r="AB61" i="186"/>
  <c r="AE61" i="186" s="1"/>
  <c r="AI61" i="186" s="1"/>
  <c r="Y61" i="186" s="1"/>
  <c r="X61" i="186"/>
  <c r="Q61" i="186"/>
  <c r="P61" i="186"/>
  <c r="H61" i="186"/>
  <c r="E61" i="186"/>
  <c r="I61" i="186" s="1"/>
  <c r="AE60" i="186"/>
  <c r="AI60" i="186" s="1"/>
  <c r="Y60" i="186" s="1"/>
  <c r="X60" i="186"/>
  <c r="Q60" i="186"/>
  <c r="P60" i="186"/>
  <c r="H60" i="186"/>
  <c r="E60" i="186"/>
  <c r="I60" i="186" s="1"/>
  <c r="AE59" i="186"/>
  <c r="AI59" i="186" s="1"/>
  <c r="Y59" i="186" s="1"/>
  <c r="AC59" i="186"/>
  <c r="AB59" i="186"/>
  <c r="X59" i="186"/>
  <c r="Q59" i="186"/>
  <c r="P59" i="186"/>
  <c r="I59" i="186"/>
  <c r="H59" i="186"/>
  <c r="E59" i="186"/>
  <c r="AE58" i="186"/>
  <c r="AI58" i="186" s="1"/>
  <c r="Y58" i="186" s="1"/>
  <c r="AC58" i="186"/>
  <c r="AB58" i="186"/>
  <c r="X58" i="186"/>
  <c r="Q58" i="186"/>
  <c r="P58" i="186"/>
  <c r="E58" i="186"/>
  <c r="I58" i="186" s="1"/>
  <c r="AE57" i="186"/>
  <c r="AI57" i="186" s="1"/>
  <c r="Y57" i="186" s="1"/>
  <c r="AC57" i="186"/>
  <c r="AB57" i="186"/>
  <c r="X57" i="186"/>
  <c r="Q57" i="186"/>
  <c r="P57" i="186"/>
  <c r="H57" i="186"/>
  <c r="E57" i="186"/>
  <c r="I57" i="186" s="1"/>
  <c r="AE56" i="186"/>
  <c r="AI56" i="186" s="1"/>
  <c r="Y56" i="186" s="1"/>
  <c r="AD56" i="186"/>
  <c r="AC56" i="186"/>
  <c r="AB56" i="186"/>
  <c r="Z56" i="186"/>
  <c r="X56" i="186"/>
  <c r="Q56" i="186"/>
  <c r="P56" i="186"/>
  <c r="H56" i="186"/>
  <c r="E56" i="186"/>
  <c r="I56" i="186" s="1"/>
  <c r="AD55" i="186"/>
  <c r="AC55" i="186"/>
  <c r="AB55" i="186"/>
  <c r="AE55" i="186" s="1"/>
  <c r="AI55" i="186" s="1"/>
  <c r="Y55" i="186" s="1"/>
  <c r="Z55" i="186"/>
  <c r="X55" i="186"/>
  <c r="Q55" i="186"/>
  <c r="P55" i="186"/>
  <c r="H55" i="186"/>
  <c r="E55" i="186"/>
  <c r="I55" i="186" s="1"/>
  <c r="AD54" i="186"/>
  <c r="AE54" i="186" s="1"/>
  <c r="AI54" i="186" s="1"/>
  <c r="Y54" i="186" s="1"/>
  <c r="AC54" i="186"/>
  <c r="AB54" i="186"/>
  <c r="Z54" i="186"/>
  <c r="X54" i="186"/>
  <c r="Q54" i="186"/>
  <c r="P54" i="186"/>
  <c r="H54" i="186"/>
  <c r="E54" i="186"/>
  <c r="I54" i="186" s="1"/>
  <c r="AD53" i="186"/>
  <c r="AE53" i="186" s="1"/>
  <c r="AI53" i="186" s="1"/>
  <c r="Y53" i="186" s="1"/>
  <c r="AC53" i="186"/>
  <c r="AB53" i="186"/>
  <c r="Z53" i="186"/>
  <c r="X53" i="186"/>
  <c r="Q53" i="186"/>
  <c r="P53" i="186"/>
  <c r="I53" i="186"/>
  <c r="H53" i="186"/>
  <c r="E53" i="186"/>
  <c r="AE52" i="186"/>
  <c r="AI52" i="186" s="1"/>
  <c r="Y52" i="186" s="1"/>
  <c r="Z52" i="186"/>
  <c r="X52" i="186"/>
  <c r="Q52" i="186"/>
  <c r="P52" i="186"/>
  <c r="I52" i="186"/>
  <c r="H52" i="186"/>
  <c r="E52" i="186"/>
  <c r="AD51" i="186"/>
  <c r="AC51" i="186"/>
  <c r="AE51" i="186" s="1"/>
  <c r="AI51" i="186" s="1"/>
  <c r="Y51" i="186" s="1"/>
  <c r="AB51" i="186"/>
  <c r="Z51" i="186"/>
  <c r="X51" i="186"/>
  <c r="Q51" i="186"/>
  <c r="P51" i="186"/>
  <c r="I51" i="186"/>
  <c r="H51" i="186"/>
  <c r="E51" i="186"/>
  <c r="AE50" i="186"/>
  <c r="AI50" i="186" s="1"/>
  <c r="Y50" i="186" s="1"/>
  <c r="AD50" i="186"/>
  <c r="AC50" i="186"/>
  <c r="AB50" i="186"/>
  <c r="Z50" i="186"/>
  <c r="X50" i="186"/>
  <c r="Q50" i="186"/>
  <c r="P50" i="186"/>
  <c r="I50" i="186"/>
  <c r="H50" i="186"/>
  <c r="E50" i="186"/>
  <c r="AE49" i="186"/>
  <c r="AI49" i="186" s="1"/>
  <c r="Y49" i="186" s="1"/>
  <c r="Z49" i="186"/>
  <c r="X49" i="186"/>
  <c r="Q49" i="186"/>
  <c r="P49" i="186"/>
  <c r="H49" i="186"/>
  <c r="E49" i="186"/>
  <c r="I49" i="186" s="1"/>
  <c r="AE48" i="186"/>
  <c r="AI48" i="186" s="1"/>
  <c r="Y48" i="186" s="1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I46" i="186"/>
  <c r="H46" i="186"/>
  <c r="E46" i="186"/>
  <c r="AD45" i="186"/>
  <c r="AC45" i="186"/>
  <c r="AE45" i="186" s="1"/>
  <c r="AI45" i="186" s="1"/>
  <c r="Y45" i="186" s="1"/>
  <c r="AB45" i="186"/>
  <c r="Z45" i="186"/>
  <c r="X45" i="186"/>
  <c r="Q45" i="186"/>
  <c r="P45" i="186"/>
  <c r="H45" i="186"/>
  <c r="E45" i="186"/>
  <c r="I45" i="186" s="1"/>
  <c r="AE44" i="186"/>
  <c r="AI44" i="186" s="1"/>
  <c r="Y44" i="186" s="1"/>
  <c r="AD44" i="186"/>
  <c r="AC44" i="186"/>
  <c r="AB44" i="186"/>
  <c r="Z44" i="186"/>
  <c r="X44" i="186"/>
  <c r="Q44" i="186"/>
  <c r="P44" i="186"/>
  <c r="H44" i="186"/>
  <c r="E44" i="186"/>
  <c r="I44" i="186" s="1"/>
  <c r="AD43" i="186"/>
  <c r="AC43" i="186"/>
  <c r="AB43" i="186"/>
  <c r="AE43" i="186" s="1"/>
  <c r="AI43" i="186" s="1"/>
  <c r="Y43" i="186" s="1"/>
  <c r="Z43" i="186"/>
  <c r="X43" i="186"/>
  <c r="Q43" i="186"/>
  <c r="P43" i="186"/>
  <c r="H43" i="186"/>
  <c r="E43" i="186"/>
  <c r="I43" i="186" s="1"/>
  <c r="AD42" i="186"/>
  <c r="AE42" i="186" s="1"/>
  <c r="AI42" i="186" s="1"/>
  <c r="Y42" i="186" s="1"/>
  <c r="AC42" i="186"/>
  <c r="AB42" i="186"/>
  <c r="Z42" i="186"/>
  <c r="X42" i="186"/>
  <c r="Q42" i="186"/>
  <c r="P42" i="186"/>
  <c r="H42" i="186"/>
  <c r="E42" i="186"/>
  <c r="I42" i="186" s="1"/>
  <c r="AD41" i="186"/>
  <c r="AE41" i="186" s="1"/>
  <c r="AI41" i="186" s="1"/>
  <c r="Y41" i="186" s="1"/>
  <c r="AC41" i="186"/>
  <c r="AB41" i="186"/>
  <c r="Z41" i="186"/>
  <c r="X41" i="186"/>
  <c r="Q41" i="186"/>
  <c r="P41" i="186"/>
  <c r="I41" i="186"/>
  <c r="H41" i="186"/>
  <c r="E41" i="186"/>
  <c r="AD40" i="186"/>
  <c r="AE40" i="186" s="1"/>
  <c r="AI40" i="186" s="1"/>
  <c r="Y40" i="186" s="1"/>
  <c r="AC40" i="186"/>
  <c r="AB40" i="186"/>
  <c r="Z40" i="186"/>
  <c r="X40" i="186"/>
  <c r="Q40" i="186"/>
  <c r="P40" i="186"/>
  <c r="H40" i="186"/>
  <c r="E40" i="186"/>
  <c r="I40" i="186" s="1"/>
  <c r="AD39" i="186"/>
  <c r="AC39" i="186"/>
  <c r="AB39" i="186"/>
  <c r="AE39" i="186" s="1"/>
  <c r="AI39" i="186" s="1"/>
  <c r="Y39" i="186" s="1"/>
  <c r="Z39" i="186"/>
  <c r="X39" i="186"/>
  <c r="Q39" i="186"/>
  <c r="P39" i="186"/>
  <c r="I39" i="186"/>
  <c r="H39" i="186"/>
  <c r="E39" i="186"/>
  <c r="AD38" i="186"/>
  <c r="AC38" i="186"/>
  <c r="AE38" i="186" s="1"/>
  <c r="AI38" i="186" s="1"/>
  <c r="Y38" i="186" s="1"/>
  <c r="AB38" i="186"/>
  <c r="Z38" i="186"/>
  <c r="X38" i="186"/>
  <c r="Q38" i="186"/>
  <c r="P38" i="186"/>
  <c r="I38" i="186"/>
  <c r="H38" i="186"/>
  <c r="E38" i="186"/>
  <c r="AE37" i="186"/>
  <c r="AI37" i="186" s="1"/>
  <c r="Y37" i="186" s="1"/>
  <c r="AD37" i="186"/>
  <c r="AC37" i="186"/>
  <c r="AB37" i="186"/>
  <c r="Z37" i="186"/>
  <c r="X37" i="186"/>
  <c r="Q37" i="186"/>
  <c r="P37" i="186"/>
  <c r="I37" i="186"/>
  <c r="H37" i="186"/>
  <c r="E37" i="186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E35" i="186"/>
  <c r="AI35" i="186" s="1"/>
  <c r="Y35" i="186" s="1"/>
  <c r="AD35" i="186"/>
  <c r="AC35" i="186"/>
  <c r="AB35" i="186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I34" i="186"/>
  <c r="H34" i="186"/>
  <c r="E34" i="186"/>
  <c r="AD33" i="186"/>
  <c r="AE33" i="186" s="1"/>
  <c r="AI33" i="186" s="1"/>
  <c r="Y33" i="186" s="1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I31" i="186"/>
  <c r="H31" i="186"/>
  <c r="E31" i="186"/>
  <c r="AD30" i="186"/>
  <c r="AC30" i="186"/>
  <c r="AE30" i="186" s="1"/>
  <c r="AI30" i="186" s="1"/>
  <c r="Y30" i="186" s="1"/>
  <c r="AB30" i="186"/>
  <c r="Z30" i="186"/>
  <c r="X30" i="186"/>
  <c r="Q30" i="186"/>
  <c r="P30" i="186"/>
  <c r="H30" i="186"/>
  <c r="E30" i="186"/>
  <c r="I30" i="186" s="1"/>
  <c r="AE29" i="186"/>
  <c r="AI29" i="186" s="1"/>
  <c r="Y29" i="186" s="1"/>
  <c r="AD29" i="186"/>
  <c r="AC29" i="186"/>
  <c r="AB29" i="186"/>
  <c r="Z29" i="186"/>
  <c r="X29" i="186"/>
  <c r="Q29" i="186"/>
  <c r="P29" i="186"/>
  <c r="H29" i="186"/>
  <c r="E29" i="186"/>
  <c r="I29" i="186" s="1"/>
  <c r="AD28" i="186"/>
  <c r="AC28" i="186"/>
  <c r="AB28" i="186"/>
  <c r="AE28" i="186" s="1"/>
  <c r="AI28" i="186" s="1"/>
  <c r="Y28" i="186" s="1"/>
  <c r="Z28" i="186"/>
  <c r="X28" i="186"/>
  <c r="Q28" i="186"/>
  <c r="P28" i="186"/>
  <c r="H28" i="186"/>
  <c r="E28" i="186"/>
  <c r="I28" i="186" s="1"/>
  <c r="AD27" i="186"/>
  <c r="AE27" i="186" s="1"/>
  <c r="AI27" i="186" s="1"/>
  <c r="Y27" i="186" s="1"/>
  <c r="AC27" i="186"/>
  <c r="AB27" i="186"/>
  <c r="Z27" i="186"/>
  <c r="X27" i="186"/>
  <c r="Q27" i="186"/>
  <c r="P27" i="186"/>
  <c r="H27" i="186"/>
  <c r="E27" i="186"/>
  <c r="I27" i="186" s="1"/>
  <c r="AD26" i="186"/>
  <c r="AE26" i="186" s="1"/>
  <c r="AI26" i="186" s="1"/>
  <c r="Y26" i="186" s="1"/>
  <c r="AC26" i="186"/>
  <c r="AB26" i="186"/>
  <c r="Z26" i="186"/>
  <c r="X26" i="186"/>
  <c r="Q26" i="186"/>
  <c r="P26" i="186"/>
  <c r="I26" i="186"/>
  <c r="H26" i="186"/>
  <c r="E26" i="186"/>
  <c r="AD25" i="186"/>
  <c r="AE25" i="186" s="1"/>
  <c r="AI25" i="186" s="1"/>
  <c r="Y25" i="186" s="1"/>
  <c r="AC25" i="186"/>
  <c r="AB25" i="186"/>
  <c r="Z25" i="186"/>
  <c r="X25" i="186"/>
  <c r="Q25" i="186"/>
  <c r="P25" i="186"/>
  <c r="H25" i="186"/>
  <c r="E25" i="186"/>
  <c r="I25" i="186" s="1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E23" i="186" s="1"/>
  <c r="AI23" i="186" s="1"/>
  <c r="Y23" i="186" s="1"/>
  <c r="AB23" i="186"/>
  <c r="Z23" i="186"/>
  <c r="X23" i="186"/>
  <c r="Q23" i="186"/>
  <c r="P23" i="186"/>
  <c r="I23" i="186"/>
  <c r="H23" i="186"/>
  <c r="E23" i="186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E20" i="186"/>
  <c r="AI20" i="186" s="1"/>
  <c r="Y20" i="186" s="1"/>
  <c r="AD20" i="186"/>
  <c r="AC20" i="186"/>
  <c r="AB20" i="186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E18" i="186" s="1"/>
  <c r="AI18" i="186" s="1"/>
  <c r="Y18" i="186" s="1"/>
  <c r="AC18" i="186"/>
  <c r="AB18" i="186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D16" i="186"/>
  <c r="AC16" i="186"/>
  <c r="AE16" i="186" s="1"/>
  <c r="AI16" i="186" s="1"/>
  <c r="Y16" i="186" s="1"/>
  <c r="AB16" i="186"/>
  <c r="Z16" i="186"/>
  <c r="X16" i="186"/>
  <c r="Q16" i="186"/>
  <c r="O75" i="186" s="1"/>
  <c r="P16" i="186"/>
  <c r="E16" i="186"/>
  <c r="I16" i="186" s="1"/>
  <c r="AE15" i="186"/>
  <c r="AI15" i="186" s="1"/>
  <c r="Y15" i="186" s="1"/>
  <c r="AD15" i="186"/>
  <c r="AC15" i="186"/>
  <c r="AB15" i="186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P14" i="186"/>
  <c r="I14" i="186"/>
  <c r="H14" i="186"/>
  <c r="E14" i="186"/>
  <c r="AD13" i="186"/>
  <c r="AC13" i="186"/>
  <c r="AE13" i="186" s="1"/>
  <c r="AI13" i="186" s="1"/>
  <c r="Y13" i="186" s="1"/>
  <c r="AB13" i="186"/>
  <c r="Z13" i="186"/>
  <c r="X13" i="186"/>
  <c r="Q13" i="186"/>
  <c r="P13" i="186"/>
  <c r="I13" i="186"/>
  <c r="H13" i="186"/>
  <c r="E13" i="186"/>
  <c r="AE12" i="186"/>
  <c r="AI12" i="186" s="1"/>
  <c r="Y12" i="186" s="1"/>
  <c r="AD12" i="186"/>
  <c r="AC12" i="186"/>
  <c r="AB12" i="186"/>
  <c r="Z12" i="186"/>
  <c r="X12" i="186"/>
  <c r="T77" i="186" s="1"/>
  <c r="Q12" i="186"/>
  <c r="P12" i="186"/>
  <c r="I12" i="186"/>
  <c r="H12" i="186"/>
  <c r="E12" i="186"/>
  <c r="F77" i="188" l="1"/>
  <c r="F77" i="187"/>
  <c r="O73" i="186"/>
  <c r="T73" i="186"/>
  <c r="T79" i="186" s="1"/>
  <c r="F75" i="186"/>
  <c r="F73" i="186"/>
  <c r="M79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I68" i="185"/>
  <c r="Y68" i="185" s="1"/>
  <c r="AE68" i="185"/>
  <c r="AD68" i="185"/>
  <c r="AC68" i="185"/>
  <c r="AB68" i="185"/>
  <c r="Z68" i="185"/>
  <c r="X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H67" i="185"/>
  <c r="E67" i="185"/>
  <c r="I67" i="185" s="1"/>
  <c r="AD66" i="185"/>
  <c r="AC66" i="185"/>
  <c r="AE66" i="185" s="1"/>
  <c r="AI66" i="185" s="1"/>
  <c r="Y66" i="185" s="1"/>
  <c r="AB66" i="185"/>
  <c r="Z66" i="185"/>
  <c r="X66" i="185"/>
  <c r="Q66" i="185"/>
  <c r="P66" i="185"/>
  <c r="I66" i="185"/>
  <c r="H66" i="185"/>
  <c r="E66" i="185"/>
  <c r="AD65" i="185"/>
  <c r="AE65" i="185" s="1"/>
  <c r="AI65" i="185" s="1"/>
  <c r="Y65" i="185" s="1"/>
  <c r="AC65" i="185"/>
  <c r="AB65" i="185"/>
  <c r="Z65" i="185"/>
  <c r="X65" i="185"/>
  <c r="Q65" i="185"/>
  <c r="P65" i="185"/>
  <c r="I65" i="185"/>
  <c r="H65" i="185"/>
  <c r="E65" i="185"/>
  <c r="AE64" i="185"/>
  <c r="AI64" i="185" s="1"/>
  <c r="Y64" i="185" s="1"/>
  <c r="AD64" i="185"/>
  <c r="AC64" i="185"/>
  <c r="AB64" i="185"/>
  <c r="Z64" i="185"/>
  <c r="X64" i="185"/>
  <c r="Q64" i="185"/>
  <c r="P64" i="185"/>
  <c r="H64" i="185"/>
  <c r="E64" i="185"/>
  <c r="I64" i="185" s="1"/>
  <c r="AD63" i="185"/>
  <c r="AC63" i="185"/>
  <c r="AB63" i="185"/>
  <c r="AE63" i="185" s="1"/>
  <c r="AI63" i="185" s="1"/>
  <c r="Y63" i="185" s="1"/>
  <c r="Z63" i="185"/>
  <c r="X63" i="185"/>
  <c r="Q63" i="185"/>
  <c r="P63" i="185"/>
  <c r="H63" i="185"/>
  <c r="E63" i="185"/>
  <c r="I63" i="185" s="1"/>
  <c r="AD62" i="185"/>
  <c r="AC62" i="185"/>
  <c r="AE62" i="185" s="1"/>
  <c r="AI62" i="185" s="1"/>
  <c r="Y62" i="185" s="1"/>
  <c r="AB62" i="185"/>
  <c r="Z62" i="185"/>
  <c r="X62" i="185"/>
  <c r="Q62" i="185"/>
  <c r="P62" i="185"/>
  <c r="I62" i="185"/>
  <c r="H62" i="185"/>
  <c r="E62" i="185"/>
  <c r="AC61" i="185"/>
  <c r="AE61" i="185" s="1"/>
  <c r="AI61" i="185" s="1"/>
  <c r="Y61" i="185" s="1"/>
  <c r="AB61" i="185"/>
  <c r="X61" i="185"/>
  <c r="Q61" i="185"/>
  <c r="P61" i="185"/>
  <c r="H61" i="185"/>
  <c r="E61" i="185"/>
  <c r="I61" i="185" s="1"/>
  <c r="AE60" i="185"/>
  <c r="AI60" i="185" s="1"/>
  <c r="Y60" i="185" s="1"/>
  <c r="X60" i="185"/>
  <c r="Q60" i="185"/>
  <c r="P60" i="185"/>
  <c r="I60" i="185"/>
  <c r="H60" i="185"/>
  <c r="E60" i="185"/>
  <c r="AE59" i="185"/>
  <c r="AI59" i="185" s="1"/>
  <c r="Y59" i="185" s="1"/>
  <c r="AC59" i="185"/>
  <c r="AB59" i="185"/>
  <c r="X59" i="185"/>
  <c r="Q59" i="185"/>
  <c r="P59" i="185"/>
  <c r="H59" i="185"/>
  <c r="E59" i="185"/>
  <c r="I59" i="185" s="1"/>
  <c r="AC58" i="185"/>
  <c r="AB58" i="185"/>
  <c r="AE58" i="185" s="1"/>
  <c r="AI58" i="185" s="1"/>
  <c r="Y58" i="185" s="1"/>
  <c r="X58" i="185"/>
  <c r="Q58" i="185"/>
  <c r="P58" i="185"/>
  <c r="E58" i="185"/>
  <c r="I58" i="185" s="1"/>
  <c r="AE57" i="185"/>
  <c r="AI57" i="185" s="1"/>
  <c r="Y57" i="185" s="1"/>
  <c r="AC57" i="185"/>
  <c r="AB57" i="185"/>
  <c r="X57" i="185"/>
  <c r="Q57" i="185"/>
  <c r="P57" i="185"/>
  <c r="I57" i="185"/>
  <c r="H57" i="185"/>
  <c r="E57" i="185"/>
  <c r="AD56" i="185"/>
  <c r="AE56" i="185" s="1"/>
  <c r="AI56" i="185" s="1"/>
  <c r="Y56" i="185" s="1"/>
  <c r="AC56" i="185"/>
  <c r="AB56" i="185"/>
  <c r="Z56" i="185"/>
  <c r="X56" i="185"/>
  <c r="Q56" i="185"/>
  <c r="P56" i="185"/>
  <c r="I56" i="185"/>
  <c r="H56" i="185"/>
  <c r="E56" i="185"/>
  <c r="AE55" i="185"/>
  <c r="AI55" i="185" s="1"/>
  <c r="Y55" i="185" s="1"/>
  <c r="AD55" i="185"/>
  <c r="AC55" i="185"/>
  <c r="AB55" i="185"/>
  <c r="Z55" i="185"/>
  <c r="X55" i="185"/>
  <c r="Q55" i="185"/>
  <c r="P55" i="185"/>
  <c r="H55" i="185"/>
  <c r="E55" i="185"/>
  <c r="I55" i="185" s="1"/>
  <c r="AD54" i="185"/>
  <c r="AC54" i="185"/>
  <c r="AB54" i="185"/>
  <c r="AE54" i="185" s="1"/>
  <c r="AI54" i="185" s="1"/>
  <c r="Y54" i="185" s="1"/>
  <c r="Z54" i="185"/>
  <c r="X54" i="185"/>
  <c r="Q54" i="185"/>
  <c r="P54" i="185"/>
  <c r="H54" i="185"/>
  <c r="E54" i="185"/>
  <c r="I54" i="185" s="1"/>
  <c r="AD53" i="185"/>
  <c r="AC53" i="185"/>
  <c r="AE53" i="185" s="1"/>
  <c r="AI53" i="185" s="1"/>
  <c r="Y53" i="185" s="1"/>
  <c r="AB53" i="185"/>
  <c r="Z53" i="185"/>
  <c r="X53" i="185"/>
  <c r="Q53" i="185"/>
  <c r="P53" i="185"/>
  <c r="I53" i="185"/>
  <c r="H53" i="185"/>
  <c r="E53" i="185"/>
  <c r="AI52" i="185"/>
  <c r="Y52" i="185" s="1"/>
  <c r="AE52" i="185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H51" i="185"/>
  <c r="E51" i="185"/>
  <c r="I51" i="185" s="1"/>
  <c r="AD50" i="185"/>
  <c r="AC50" i="185"/>
  <c r="AE50" i="185" s="1"/>
  <c r="AI50" i="185" s="1"/>
  <c r="Y50" i="185" s="1"/>
  <c r="AB50" i="185"/>
  <c r="Z50" i="185"/>
  <c r="X50" i="185"/>
  <c r="Q50" i="185"/>
  <c r="P50" i="185"/>
  <c r="I50" i="185"/>
  <c r="H50" i="185"/>
  <c r="E50" i="185"/>
  <c r="AE49" i="185"/>
  <c r="AI49" i="185" s="1"/>
  <c r="Y49" i="185" s="1"/>
  <c r="Z49" i="185"/>
  <c r="X49" i="185"/>
  <c r="Q49" i="185"/>
  <c r="P49" i="185"/>
  <c r="H49" i="185"/>
  <c r="E49" i="185"/>
  <c r="I49" i="185" s="1"/>
  <c r="AI48" i="185"/>
  <c r="Y48" i="185" s="1"/>
  <c r="AE48" i="185"/>
  <c r="Z48" i="185"/>
  <c r="X48" i="185"/>
  <c r="Q48" i="185"/>
  <c r="P48" i="185"/>
  <c r="I48" i="185"/>
  <c r="H48" i="185"/>
  <c r="E48" i="185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H46" i="185"/>
  <c r="E46" i="185"/>
  <c r="I46" i="185" s="1"/>
  <c r="AD45" i="185"/>
  <c r="AC45" i="185"/>
  <c r="AE45" i="185" s="1"/>
  <c r="AI45" i="185" s="1"/>
  <c r="Y45" i="185" s="1"/>
  <c r="AB45" i="185"/>
  <c r="Z45" i="185"/>
  <c r="X45" i="185"/>
  <c r="Q45" i="185"/>
  <c r="P45" i="185"/>
  <c r="I45" i="185"/>
  <c r="H45" i="185"/>
  <c r="E45" i="185"/>
  <c r="AD44" i="185"/>
  <c r="AE44" i="185" s="1"/>
  <c r="AI44" i="185" s="1"/>
  <c r="Y44" i="185" s="1"/>
  <c r="AC44" i="185"/>
  <c r="AB44" i="185"/>
  <c r="Z44" i="185"/>
  <c r="X44" i="185"/>
  <c r="Q44" i="185"/>
  <c r="P44" i="185"/>
  <c r="I44" i="185"/>
  <c r="H44" i="185"/>
  <c r="E44" i="185"/>
  <c r="AE43" i="185"/>
  <c r="AI43" i="185" s="1"/>
  <c r="Y43" i="185" s="1"/>
  <c r="AD43" i="185"/>
  <c r="AC43" i="185"/>
  <c r="AB43" i="185"/>
  <c r="Z43" i="185"/>
  <c r="X43" i="185"/>
  <c r="Q43" i="185"/>
  <c r="P43" i="185"/>
  <c r="H43" i="185"/>
  <c r="E43" i="185"/>
  <c r="I43" i="185" s="1"/>
  <c r="AD42" i="185"/>
  <c r="AC42" i="185"/>
  <c r="AB42" i="185"/>
  <c r="AE42" i="185" s="1"/>
  <c r="AI42" i="185" s="1"/>
  <c r="Y42" i="185" s="1"/>
  <c r="Z42" i="185"/>
  <c r="X42" i="185"/>
  <c r="Q42" i="185"/>
  <c r="P42" i="185"/>
  <c r="H42" i="185"/>
  <c r="E42" i="185"/>
  <c r="I42" i="185" s="1"/>
  <c r="AD41" i="185"/>
  <c r="AC41" i="185"/>
  <c r="AE41" i="185" s="1"/>
  <c r="AI41" i="185" s="1"/>
  <c r="Y41" i="185" s="1"/>
  <c r="AB41" i="185"/>
  <c r="Z41" i="185"/>
  <c r="X41" i="185"/>
  <c r="Q41" i="185"/>
  <c r="P41" i="185"/>
  <c r="I41" i="185"/>
  <c r="H41" i="185"/>
  <c r="E41" i="185"/>
  <c r="AD40" i="185"/>
  <c r="AE40" i="185" s="1"/>
  <c r="AI40" i="185" s="1"/>
  <c r="Y40" i="185" s="1"/>
  <c r="AC40" i="185"/>
  <c r="AB40" i="185"/>
  <c r="Z40" i="185"/>
  <c r="X40" i="185"/>
  <c r="Q40" i="185"/>
  <c r="P40" i="185"/>
  <c r="I40" i="185"/>
  <c r="H40" i="185"/>
  <c r="E40" i="185"/>
  <c r="AE39" i="185"/>
  <c r="AI39" i="185" s="1"/>
  <c r="Y39" i="185" s="1"/>
  <c r="AD39" i="185"/>
  <c r="AC39" i="185"/>
  <c r="AB39" i="185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H38" i="185"/>
  <c r="E38" i="185"/>
  <c r="I38" i="185" s="1"/>
  <c r="AD37" i="185"/>
  <c r="AC37" i="185"/>
  <c r="AE37" i="185" s="1"/>
  <c r="AI37" i="185" s="1"/>
  <c r="Y37" i="185" s="1"/>
  <c r="AB37" i="185"/>
  <c r="Z37" i="185"/>
  <c r="X37" i="185"/>
  <c r="Q37" i="185"/>
  <c r="P37" i="185"/>
  <c r="I37" i="185"/>
  <c r="H37" i="185"/>
  <c r="E37" i="185"/>
  <c r="AD36" i="185"/>
  <c r="AE36" i="185" s="1"/>
  <c r="AI36" i="185" s="1"/>
  <c r="Y36" i="185" s="1"/>
  <c r="AC36" i="185"/>
  <c r="AB36" i="185"/>
  <c r="Z36" i="185"/>
  <c r="X36" i="185"/>
  <c r="Q36" i="185"/>
  <c r="P36" i="185"/>
  <c r="I36" i="185"/>
  <c r="H36" i="185"/>
  <c r="E36" i="185"/>
  <c r="AE35" i="185"/>
  <c r="AI35" i="185" s="1"/>
  <c r="Y35" i="185" s="1"/>
  <c r="AD35" i="185"/>
  <c r="AC35" i="185"/>
  <c r="AB35" i="185"/>
  <c r="Z35" i="185"/>
  <c r="X35" i="185"/>
  <c r="Q35" i="185"/>
  <c r="P35" i="185"/>
  <c r="H35" i="185"/>
  <c r="E35" i="185"/>
  <c r="I35" i="185" s="1"/>
  <c r="AD34" i="185"/>
  <c r="AC34" i="185"/>
  <c r="AB34" i="185"/>
  <c r="AE34" i="185" s="1"/>
  <c r="AI34" i="185" s="1"/>
  <c r="Y34" i="185" s="1"/>
  <c r="Z34" i="185"/>
  <c r="X34" i="185"/>
  <c r="Q34" i="185"/>
  <c r="P34" i="185"/>
  <c r="H34" i="185"/>
  <c r="E34" i="185"/>
  <c r="I34" i="185" s="1"/>
  <c r="AD33" i="185"/>
  <c r="AC33" i="185"/>
  <c r="AE33" i="185" s="1"/>
  <c r="AI33" i="185" s="1"/>
  <c r="Y33" i="185" s="1"/>
  <c r="AB33" i="185"/>
  <c r="Z33" i="185"/>
  <c r="X33" i="185"/>
  <c r="Q33" i="185"/>
  <c r="P33" i="185"/>
  <c r="I33" i="185"/>
  <c r="H33" i="185"/>
  <c r="E33" i="185"/>
  <c r="AD32" i="185"/>
  <c r="AE32" i="185" s="1"/>
  <c r="AI32" i="185" s="1"/>
  <c r="Y32" i="185" s="1"/>
  <c r="AC32" i="185"/>
  <c r="AB32" i="185"/>
  <c r="Z32" i="185"/>
  <c r="X32" i="185"/>
  <c r="Q32" i="185"/>
  <c r="P32" i="185"/>
  <c r="I32" i="185"/>
  <c r="H32" i="185"/>
  <c r="E32" i="185"/>
  <c r="AE31" i="185"/>
  <c r="AI31" i="185" s="1"/>
  <c r="Y31" i="185" s="1"/>
  <c r="Z31" i="185"/>
  <c r="X31" i="185"/>
  <c r="Q31" i="185"/>
  <c r="P31" i="185"/>
  <c r="H31" i="185"/>
  <c r="E31" i="185"/>
  <c r="I31" i="185" s="1"/>
  <c r="AD30" i="185"/>
  <c r="AC30" i="185"/>
  <c r="AE30" i="185" s="1"/>
  <c r="AI30" i="185" s="1"/>
  <c r="Y30" i="185" s="1"/>
  <c r="AB30" i="185"/>
  <c r="Z30" i="185"/>
  <c r="X30" i="185"/>
  <c r="Q30" i="185"/>
  <c r="P30" i="185"/>
  <c r="I30" i="185"/>
  <c r="H30" i="185"/>
  <c r="E30" i="185"/>
  <c r="AD29" i="185"/>
  <c r="AE29" i="185" s="1"/>
  <c r="AI29" i="185" s="1"/>
  <c r="Y29" i="185" s="1"/>
  <c r="AC29" i="185"/>
  <c r="AB29" i="185"/>
  <c r="Z29" i="185"/>
  <c r="X29" i="185"/>
  <c r="Q29" i="185"/>
  <c r="P29" i="185"/>
  <c r="I29" i="185"/>
  <c r="H29" i="185"/>
  <c r="E29" i="185"/>
  <c r="AE28" i="185"/>
  <c r="AI28" i="185" s="1"/>
  <c r="Y28" i="185" s="1"/>
  <c r="AD28" i="185"/>
  <c r="AC28" i="185"/>
  <c r="AB28" i="185"/>
  <c r="Z28" i="185"/>
  <c r="X28" i="185"/>
  <c r="Q28" i="185"/>
  <c r="P28" i="185"/>
  <c r="H28" i="185"/>
  <c r="E28" i="185"/>
  <c r="I28" i="185" s="1"/>
  <c r="AD27" i="185"/>
  <c r="AC27" i="185"/>
  <c r="AB27" i="185"/>
  <c r="AE27" i="185" s="1"/>
  <c r="AI27" i="185" s="1"/>
  <c r="Y27" i="185" s="1"/>
  <c r="Z27" i="185"/>
  <c r="X27" i="185"/>
  <c r="Q27" i="185"/>
  <c r="P27" i="185"/>
  <c r="H27" i="185"/>
  <c r="E27" i="185"/>
  <c r="I27" i="185" s="1"/>
  <c r="AD26" i="185"/>
  <c r="AC26" i="185"/>
  <c r="AE26" i="185" s="1"/>
  <c r="AI26" i="185" s="1"/>
  <c r="Y26" i="185" s="1"/>
  <c r="AB26" i="185"/>
  <c r="Z26" i="185"/>
  <c r="X26" i="185"/>
  <c r="Q26" i="185"/>
  <c r="P26" i="185"/>
  <c r="I26" i="185"/>
  <c r="H26" i="185"/>
  <c r="E26" i="185"/>
  <c r="AD25" i="185"/>
  <c r="AE25" i="185" s="1"/>
  <c r="AI25" i="185" s="1"/>
  <c r="Y25" i="185" s="1"/>
  <c r="AC25" i="185"/>
  <c r="AB25" i="185"/>
  <c r="Z25" i="185"/>
  <c r="X25" i="185"/>
  <c r="Q25" i="185"/>
  <c r="P25" i="185"/>
  <c r="I25" i="185"/>
  <c r="H25" i="185"/>
  <c r="E25" i="185"/>
  <c r="AE24" i="185"/>
  <c r="AI24" i="185" s="1"/>
  <c r="Y24" i="185" s="1"/>
  <c r="AD24" i="185"/>
  <c r="AC24" i="185"/>
  <c r="AB24" i="185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H23" i="185"/>
  <c r="E23" i="185"/>
  <c r="I23" i="185" s="1"/>
  <c r="AD22" i="185"/>
  <c r="AC22" i="185"/>
  <c r="AE22" i="185" s="1"/>
  <c r="AI22" i="185" s="1"/>
  <c r="Y22" i="185" s="1"/>
  <c r="AB22" i="185"/>
  <c r="Z22" i="185"/>
  <c r="X22" i="185"/>
  <c r="Q22" i="185"/>
  <c r="P22" i="185"/>
  <c r="I22" i="185"/>
  <c r="H22" i="185"/>
  <c r="E22" i="185"/>
  <c r="AD21" i="185"/>
  <c r="AE21" i="185" s="1"/>
  <c r="AI21" i="185" s="1"/>
  <c r="Y21" i="185" s="1"/>
  <c r="AC21" i="185"/>
  <c r="AB21" i="185"/>
  <c r="Z21" i="185"/>
  <c r="X21" i="185"/>
  <c r="Q21" i="185"/>
  <c r="P21" i="185"/>
  <c r="I21" i="185"/>
  <c r="H21" i="185"/>
  <c r="E21" i="185"/>
  <c r="AE20" i="185"/>
  <c r="AI20" i="185" s="1"/>
  <c r="Y20" i="185" s="1"/>
  <c r="AD20" i="185"/>
  <c r="AC20" i="185"/>
  <c r="AB20" i="185"/>
  <c r="Z20" i="185"/>
  <c r="X20" i="185"/>
  <c r="Q20" i="185"/>
  <c r="P20" i="185"/>
  <c r="H20" i="185"/>
  <c r="E20" i="185"/>
  <c r="I20" i="185" s="1"/>
  <c r="AD19" i="185"/>
  <c r="AC19" i="185"/>
  <c r="AB19" i="185"/>
  <c r="AE19" i="185" s="1"/>
  <c r="AI19" i="185" s="1"/>
  <c r="Y19" i="185" s="1"/>
  <c r="Z19" i="185"/>
  <c r="X19" i="185"/>
  <c r="Q19" i="185"/>
  <c r="P19" i="185"/>
  <c r="H19" i="185"/>
  <c r="E19" i="185"/>
  <c r="I19" i="185" s="1"/>
  <c r="AD18" i="185"/>
  <c r="AC18" i="185"/>
  <c r="AE18" i="185" s="1"/>
  <c r="AI18" i="185" s="1"/>
  <c r="Y18" i="185" s="1"/>
  <c r="AB18" i="185"/>
  <c r="Z18" i="185"/>
  <c r="X18" i="185"/>
  <c r="Q18" i="185"/>
  <c r="P18" i="185"/>
  <c r="I18" i="185"/>
  <c r="H18" i="185"/>
  <c r="E18" i="185"/>
  <c r="AD17" i="185"/>
  <c r="AE17" i="185" s="1"/>
  <c r="AI17" i="185" s="1"/>
  <c r="Y17" i="185" s="1"/>
  <c r="AC17" i="185"/>
  <c r="AB17" i="185"/>
  <c r="Z17" i="185"/>
  <c r="X17" i="185"/>
  <c r="Q17" i="185"/>
  <c r="P17" i="185"/>
  <c r="I17" i="185"/>
  <c r="H17" i="185"/>
  <c r="E17" i="185"/>
  <c r="AE16" i="185"/>
  <c r="AI16" i="185" s="1"/>
  <c r="Y16" i="185" s="1"/>
  <c r="AD16" i="185"/>
  <c r="AC16" i="185"/>
  <c r="AB16" i="185"/>
  <c r="Z16" i="185"/>
  <c r="X16" i="185"/>
  <c r="Q16" i="185"/>
  <c r="P16" i="185"/>
  <c r="E16" i="185"/>
  <c r="I16" i="185" s="1"/>
  <c r="AE15" i="185"/>
  <c r="AI15" i="185" s="1"/>
  <c r="Y15" i="185" s="1"/>
  <c r="AD15" i="185"/>
  <c r="AC15" i="185"/>
  <c r="AB15" i="185"/>
  <c r="Z15" i="185"/>
  <c r="X15" i="185"/>
  <c r="Q15" i="185"/>
  <c r="P15" i="185"/>
  <c r="E15" i="185"/>
  <c r="I15" i="185" s="1"/>
  <c r="AE14" i="185"/>
  <c r="AI14" i="185" s="1"/>
  <c r="Y14" i="185" s="1"/>
  <c r="AD14" i="185"/>
  <c r="AC14" i="185"/>
  <c r="AB14" i="185"/>
  <c r="Z14" i="185"/>
  <c r="X14" i="185"/>
  <c r="Q14" i="185"/>
  <c r="O75" i="185" s="1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H13" i="185"/>
  <c r="E13" i="185"/>
  <c r="I13" i="185" s="1"/>
  <c r="AD12" i="185"/>
  <c r="AC12" i="185"/>
  <c r="AE12" i="185" s="1"/>
  <c r="AI12" i="185" s="1"/>
  <c r="Y12" i="185" s="1"/>
  <c r="T73" i="185" s="1"/>
  <c r="AB12" i="185"/>
  <c r="Z12" i="185"/>
  <c r="T75" i="185" s="1"/>
  <c r="X12" i="185"/>
  <c r="T77" i="185" s="1"/>
  <c r="Q12" i="185"/>
  <c r="P12" i="185"/>
  <c r="I12" i="185"/>
  <c r="H12" i="185"/>
  <c r="E12" i="185"/>
  <c r="F77" i="186" l="1"/>
  <c r="O73" i="185"/>
  <c r="F73" i="185"/>
  <c r="F77" i="185" s="1"/>
  <c r="T79" i="185"/>
  <c r="F75" i="185"/>
  <c r="Z63" i="184"/>
  <c r="Z64" i="184"/>
  <c r="Z65" i="184"/>
  <c r="Z66" i="184"/>
  <c r="Z67" i="184"/>
  <c r="Z68" i="184"/>
  <c r="Z62" i="184"/>
  <c r="Z13" i="184"/>
  <c r="Z14" i="184"/>
  <c r="Z15" i="184"/>
  <c r="Z16" i="184"/>
  <c r="Z17" i="184"/>
  <c r="Z18" i="184"/>
  <c r="Z19" i="184"/>
  <c r="Z20" i="184"/>
  <c r="Z21" i="184"/>
  <c r="Z22" i="184"/>
  <c r="Z23" i="184"/>
  <c r="Z24" i="184"/>
  <c r="Z25" i="184"/>
  <c r="Z26" i="184"/>
  <c r="Z27" i="184"/>
  <c r="Z28" i="184"/>
  <c r="Z29" i="184"/>
  <c r="Z30" i="184"/>
  <c r="Z31" i="184"/>
  <c r="Z32" i="184"/>
  <c r="Z33" i="184"/>
  <c r="Z34" i="184"/>
  <c r="Z35" i="184"/>
  <c r="Z36" i="184"/>
  <c r="Z37" i="184"/>
  <c r="Z38" i="184"/>
  <c r="Z39" i="184"/>
  <c r="Z40" i="184"/>
  <c r="Z41" i="184"/>
  <c r="Z42" i="184"/>
  <c r="Z43" i="184"/>
  <c r="Z44" i="184"/>
  <c r="Z45" i="184"/>
  <c r="Z46" i="184"/>
  <c r="Z47" i="184"/>
  <c r="Z48" i="184"/>
  <c r="Z49" i="184"/>
  <c r="Z50" i="184"/>
  <c r="Z51" i="184"/>
  <c r="Z52" i="184"/>
  <c r="Z53" i="184"/>
  <c r="Z54" i="184"/>
  <c r="Z55" i="184"/>
  <c r="Z56" i="184"/>
  <c r="Z12" i="184"/>
  <c r="M79" i="184" l="1"/>
  <c r="P71" i="184"/>
  <c r="H71" i="184"/>
  <c r="Q70" i="184"/>
  <c r="P70" i="184"/>
  <c r="H70" i="184"/>
  <c r="E70" i="184"/>
  <c r="I70" i="184" s="1"/>
  <c r="Q69" i="184"/>
  <c r="P69" i="184"/>
  <c r="H69" i="184"/>
  <c r="E69" i="184"/>
  <c r="I69" i="184" s="1"/>
  <c r="AE68" i="184"/>
  <c r="AI68" i="184" s="1"/>
  <c r="Y68" i="184" s="1"/>
  <c r="AD68" i="184"/>
  <c r="AC68" i="184"/>
  <c r="AB68" i="184"/>
  <c r="X68" i="184"/>
  <c r="Q68" i="184"/>
  <c r="P68" i="184"/>
  <c r="I68" i="184"/>
  <c r="H68" i="184"/>
  <c r="E68" i="184"/>
  <c r="AD67" i="184"/>
  <c r="AC67" i="184"/>
  <c r="AB67" i="184"/>
  <c r="AE67" i="184" s="1"/>
  <c r="AI67" i="184" s="1"/>
  <c r="Y67" i="184" s="1"/>
  <c r="X67" i="184"/>
  <c r="Q67" i="184"/>
  <c r="P67" i="184"/>
  <c r="H67" i="184"/>
  <c r="E67" i="184"/>
  <c r="I67" i="184" s="1"/>
  <c r="AI66" i="184"/>
  <c r="Y66" i="184" s="1"/>
  <c r="AE66" i="184"/>
  <c r="AD66" i="184"/>
  <c r="AC66" i="184"/>
  <c r="AB66" i="184"/>
  <c r="X66" i="184"/>
  <c r="Q66" i="184"/>
  <c r="P66" i="184"/>
  <c r="I66" i="184"/>
  <c r="H66" i="184"/>
  <c r="E66" i="184"/>
  <c r="AD65" i="184"/>
  <c r="AC65" i="184"/>
  <c r="AE65" i="184" s="1"/>
  <c r="AI65" i="184" s="1"/>
  <c r="Y65" i="184" s="1"/>
  <c r="AB65" i="184"/>
  <c r="X65" i="184"/>
  <c r="Q65" i="184"/>
  <c r="P65" i="184"/>
  <c r="H65" i="184"/>
  <c r="E65" i="184"/>
  <c r="I65" i="184" s="1"/>
  <c r="AD64" i="184"/>
  <c r="AC64" i="184"/>
  <c r="AB64" i="184"/>
  <c r="AE64" i="184" s="1"/>
  <c r="AI64" i="184" s="1"/>
  <c r="Y64" i="184" s="1"/>
  <c r="X64" i="184"/>
  <c r="Q64" i="184"/>
  <c r="P64" i="184"/>
  <c r="H64" i="184"/>
  <c r="E64" i="184"/>
  <c r="I64" i="184" s="1"/>
  <c r="AD63" i="184"/>
  <c r="AC63" i="184"/>
  <c r="AE63" i="184" s="1"/>
  <c r="AI63" i="184" s="1"/>
  <c r="Y63" i="184" s="1"/>
  <c r="AB63" i="184"/>
  <c r="X63" i="184"/>
  <c r="Q63" i="184"/>
  <c r="P63" i="184"/>
  <c r="I63" i="184"/>
  <c r="H63" i="184"/>
  <c r="E63" i="184"/>
  <c r="AD62" i="184"/>
  <c r="AC62" i="184"/>
  <c r="AB62" i="184"/>
  <c r="AE62" i="184" s="1"/>
  <c r="AI62" i="184" s="1"/>
  <c r="Y62" i="184" s="1"/>
  <c r="X62" i="184"/>
  <c r="Q62" i="184"/>
  <c r="P62" i="184"/>
  <c r="H62" i="184"/>
  <c r="E62" i="184"/>
  <c r="I62" i="184" s="1"/>
  <c r="AI61" i="184"/>
  <c r="Y61" i="184" s="1"/>
  <c r="AE61" i="184"/>
  <c r="AC61" i="184"/>
  <c r="AB61" i="184"/>
  <c r="X61" i="184"/>
  <c r="Q61" i="184"/>
  <c r="P61" i="184"/>
  <c r="I61" i="184"/>
  <c r="H61" i="184"/>
  <c r="E61" i="184"/>
  <c r="AI60" i="184"/>
  <c r="AE60" i="184"/>
  <c r="Y60" i="184"/>
  <c r="X60" i="184"/>
  <c r="Q60" i="184"/>
  <c r="P60" i="184"/>
  <c r="I60" i="184"/>
  <c r="H60" i="184"/>
  <c r="E60" i="184"/>
  <c r="AE59" i="184"/>
  <c r="AI59" i="184" s="1"/>
  <c r="Y59" i="184" s="1"/>
  <c r="AC59" i="184"/>
  <c r="AB59" i="184"/>
  <c r="X59" i="184"/>
  <c r="Q59" i="184"/>
  <c r="P59" i="184"/>
  <c r="H59" i="184"/>
  <c r="E59" i="184"/>
  <c r="I59" i="184" s="1"/>
  <c r="AI58" i="184"/>
  <c r="Y58" i="184" s="1"/>
  <c r="AE58" i="184"/>
  <c r="AC58" i="184"/>
  <c r="AB58" i="184"/>
  <c r="X58" i="184"/>
  <c r="Q58" i="184"/>
  <c r="P58" i="184"/>
  <c r="E58" i="184"/>
  <c r="I58" i="184" s="1"/>
  <c r="AI57" i="184"/>
  <c r="Y57" i="184" s="1"/>
  <c r="AE57" i="184"/>
  <c r="AC57" i="184"/>
  <c r="AB57" i="184"/>
  <c r="X57" i="184"/>
  <c r="Q57" i="184"/>
  <c r="P57" i="184"/>
  <c r="I57" i="184"/>
  <c r="H57" i="184"/>
  <c r="E57" i="184"/>
  <c r="AE56" i="184"/>
  <c r="AI56" i="184" s="1"/>
  <c r="Y56" i="184" s="1"/>
  <c r="AD56" i="184"/>
  <c r="AC56" i="184"/>
  <c r="AB56" i="184"/>
  <c r="X56" i="184"/>
  <c r="Q56" i="184"/>
  <c r="P56" i="184"/>
  <c r="I56" i="184"/>
  <c r="H56" i="184"/>
  <c r="E56" i="184"/>
  <c r="AD55" i="184"/>
  <c r="AC55" i="184"/>
  <c r="AB55" i="184"/>
  <c r="AE55" i="184" s="1"/>
  <c r="AI55" i="184" s="1"/>
  <c r="Y55" i="184" s="1"/>
  <c r="X55" i="184"/>
  <c r="Q55" i="184"/>
  <c r="P55" i="184"/>
  <c r="H55" i="184"/>
  <c r="E55" i="184"/>
  <c r="I55" i="184" s="1"/>
  <c r="AE54" i="184"/>
  <c r="AI54" i="184" s="1"/>
  <c r="Y54" i="184" s="1"/>
  <c r="AD54" i="184"/>
  <c r="AC54" i="184"/>
  <c r="AB54" i="184"/>
  <c r="X54" i="184"/>
  <c r="Q54" i="184"/>
  <c r="P54" i="184"/>
  <c r="I54" i="184"/>
  <c r="H54" i="184"/>
  <c r="E54" i="184"/>
  <c r="AD53" i="184"/>
  <c r="AC53" i="184"/>
  <c r="AB53" i="184"/>
  <c r="AE53" i="184" s="1"/>
  <c r="AI53" i="184" s="1"/>
  <c r="Y53" i="184" s="1"/>
  <c r="X53" i="184"/>
  <c r="Q53" i="184"/>
  <c r="P53" i="184"/>
  <c r="I53" i="184"/>
  <c r="H53" i="184"/>
  <c r="E53" i="184"/>
  <c r="AE52" i="184"/>
  <c r="AI52" i="184" s="1"/>
  <c r="Y52" i="184" s="1"/>
  <c r="X52" i="184"/>
  <c r="Q52" i="184"/>
  <c r="P52" i="184"/>
  <c r="I52" i="184"/>
  <c r="H52" i="184"/>
  <c r="E52" i="184"/>
  <c r="AD51" i="184"/>
  <c r="AC51" i="184"/>
  <c r="AB51" i="184"/>
  <c r="AE51" i="184" s="1"/>
  <c r="AI51" i="184" s="1"/>
  <c r="Y51" i="184" s="1"/>
  <c r="X51" i="184"/>
  <c r="Q51" i="184"/>
  <c r="P51" i="184"/>
  <c r="H51" i="184"/>
  <c r="E51" i="184"/>
  <c r="I51" i="184" s="1"/>
  <c r="AI50" i="184"/>
  <c r="Y50" i="184" s="1"/>
  <c r="AE50" i="184"/>
  <c r="AD50" i="184"/>
  <c r="AC50" i="184"/>
  <c r="AB50" i="184"/>
  <c r="X50" i="184"/>
  <c r="Q50" i="184"/>
  <c r="P50" i="184"/>
  <c r="I50" i="184"/>
  <c r="H50" i="184"/>
  <c r="E50" i="184"/>
  <c r="AE49" i="184"/>
  <c r="AI49" i="184" s="1"/>
  <c r="Y49" i="184" s="1"/>
  <c r="X49" i="184"/>
  <c r="Q49" i="184"/>
  <c r="P49" i="184"/>
  <c r="H49" i="184"/>
  <c r="E49" i="184"/>
  <c r="I49" i="184" s="1"/>
  <c r="AE48" i="184"/>
  <c r="AI48" i="184" s="1"/>
  <c r="Y48" i="184" s="1"/>
  <c r="X48" i="184"/>
  <c r="Q48" i="184"/>
  <c r="P48" i="184"/>
  <c r="H48" i="184"/>
  <c r="E48" i="184"/>
  <c r="I48" i="184" s="1"/>
  <c r="AI47" i="184"/>
  <c r="Y47" i="184" s="1"/>
  <c r="AE47" i="184"/>
  <c r="X47" i="184"/>
  <c r="Q47" i="184"/>
  <c r="P47" i="184"/>
  <c r="H47" i="184"/>
  <c r="E47" i="184"/>
  <c r="I47" i="184" s="1"/>
  <c r="AD46" i="184"/>
  <c r="AC46" i="184"/>
  <c r="AB46" i="184"/>
  <c r="AE46" i="184" s="1"/>
  <c r="AI46" i="184" s="1"/>
  <c r="Y46" i="184" s="1"/>
  <c r="X46" i="184"/>
  <c r="Q46" i="184"/>
  <c r="P46" i="184"/>
  <c r="I46" i="184"/>
  <c r="H46" i="184"/>
  <c r="E46" i="184"/>
  <c r="AD45" i="184"/>
  <c r="AE45" i="184" s="1"/>
  <c r="AI45" i="184" s="1"/>
  <c r="Y45" i="184" s="1"/>
  <c r="AC45" i="184"/>
  <c r="AB45" i="184"/>
  <c r="X45" i="184"/>
  <c r="Q45" i="184"/>
  <c r="P45" i="184"/>
  <c r="I45" i="184"/>
  <c r="H45" i="184"/>
  <c r="E45" i="184"/>
  <c r="AE44" i="184"/>
  <c r="AI44" i="184" s="1"/>
  <c r="Y44" i="184" s="1"/>
  <c r="AD44" i="184"/>
  <c r="AC44" i="184"/>
  <c r="AB44" i="184"/>
  <c r="X44" i="184"/>
  <c r="Q44" i="184"/>
  <c r="P44" i="184"/>
  <c r="I44" i="184"/>
  <c r="H44" i="184"/>
  <c r="E44" i="184"/>
  <c r="AD43" i="184"/>
  <c r="AC43" i="184"/>
  <c r="AB43" i="184"/>
  <c r="AE43" i="184" s="1"/>
  <c r="AI43" i="184" s="1"/>
  <c r="Y43" i="184" s="1"/>
  <c r="X43" i="184"/>
  <c r="Q43" i="184"/>
  <c r="P43" i="184"/>
  <c r="H43" i="184"/>
  <c r="E43" i="184"/>
  <c r="I43" i="184" s="1"/>
  <c r="AE42" i="184"/>
  <c r="AI42" i="184" s="1"/>
  <c r="Y42" i="184" s="1"/>
  <c r="AD42" i="184"/>
  <c r="AC42" i="184"/>
  <c r="AB42" i="184"/>
  <c r="X42" i="184"/>
  <c r="Q42" i="184"/>
  <c r="P42" i="184"/>
  <c r="H42" i="184"/>
  <c r="E42" i="184"/>
  <c r="I42" i="184" s="1"/>
  <c r="AD41" i="184"/>
  <c r="AC41" i="184"/>
  <c r="AB41" i="184"/>
  <c r="AE41" i="184" s="1"/>
  <c r="AI41" i="184" s="1"/>
  <c r="Y41" i="184" s="1"/>
  <c r="X41" i="184"/>
  <c r="Q41" i="184"/>
  <c r="P41" i="184"/>
  <c r="I41" i="184"/>
  <c r="H41" i="184"/>
  <c r="E41" i="184"/>
  <c r="AE40" i="184"/>
  <c r="AI40" i="184" s="1"/>
  <c r="Y40" i="184" s="1"/>
  <c r="AD40" i="184"/>
  <c r="AC40" i="184"/>
  <c r="AB40" i="184"/>
  <c r="X40" i="184"/>
  <c r="Q40" i="184"/>
  <c r="P40" i="184"/>
  <c r="I40" i="184"/>
  <c r="H40" i="184"/>
  <c r="E40" i="184"/>
  <c r="AD39" i="184"/>
  <c r="AC39" i="184"/>
  <c r="AB39" i="184"/>
  <c r="AE39" i="184" s="1"/>
  <c r="AI39" i="184" s="1"/>
  <c r="Y39" i="184" s="1"/>
  <c r="X39" i="184"/>
  <c r="Q39" i="184"/>
  <c r="P39" i="184"/>
  <c r="I39" i="184"/>
  <c r="H39" i="184"/>
  <c r="E39" i="184"/>
  <c r="AD38" i="184"/>
  <c r="AC38" i="184"/>
  <c r="AB38" i="184"/>
  <c r="AE38" i="184" s="1"/>
  <c r="AI38" i="184" s="1"/>
  <c r="Y38" i="184" s="1"/>
  <c r="X38" i="184"/>
  <c r="Q38" i="184"/>
  <c r="P38" i="184"/>
  <c r="H38" i="184"/>
  <c r="E38" i="184"/>
  <c r="I38" i="184" s="1"/>
  <c r="AI37" i="184"/>
  <c r="Y37" i="184" s="1"/>
  <c r="AE37" i="184"/>
  <c r="AD37" i="184"/>
  <c r="AC37" i="184"/>
  <c r="AB37" i="184"/>
  <c r="X37" i="184"/>
  <c r="Q37" i="184"/>
  <c r="P37" i="184"/>
  <c r="I37" i="184"/>
  <c r="H37" i="184"/>
  <c r="E37" i="184"/>
  <c r="AD36" i="184"/>
  <c r="AC36" i="184"/>
  <c r="AE36" i="184" s="1"/>
  <c r="AI36" i="184" s="1"/>
  <c r="Y36" i="184" s="1"/>
  <c r="AB36" i="184"/>
  <c r="X36" i="184"/>
  <c r="Q36" i="184"/>
  <c r="P36" i="184"/>
  <c r="H36" i="184"/>
  <c r="E36" i="184"/>
  <c r="I36" i="184" s="1"/>
  <c r="AD35" i="184"/>
  <c r="AC35" i="184"/>
  <c r="AB35" i="184"/>
  <c r="AE35" i="184" s="1"/>
  <c r="AI35" i="184" s="1"/>
  <c r="Y35" i="184" s="1"/>
  <c r="X35" i="184"/>
  <c r="Q35" i="184"/>
  <c r="P35" i="184"/>
  <c r="H35" i="184"/>
  <c r="E35" i="184"/>
  <c r="I35" i="184" s="1"/>
  <c r="AD34" i="184"/>
  <c r="AC34" i="184"/>
  <c r="AE34" i="184" s="1"/>
  <c r="AI34" i="184" s="1"/>
  <c r="Y34" i="184" s="1"/>
  <c r="AB34" i="184"/>
  <c r="X34" i="184"/>
  <c r="Q34" i="184"/>
  <c r="P34" i="184"/>
  <c r="I34" i="184"/>
  <c r="H34" i="184"/>
  <c r="E34" i="184"/>
  <c r="AD33" i="184"/>
  <c r="AC33" i="184"/>
  <c r="AB33" i="184"/>
  <c r="AE33" i="184" s="1"/>
  <c r="AI33" i="184" s="1"/>
  <c r="Y33" i="184" s="1"/>
  <c r="X33" i="184"/>
  <c r="Q33" i="184"/>
  <c r="P33" i="184"/>
  <c r="H33" i="184"/>
  <c r="E33" i="184"/>
  <c r="I33" i="184" s="1"/>
  <c r="AI32" i="184"/>
  <c r="Y32" i="184" s="1"/>
  <c r="AE32" i="184"/>
  <c r="AD32" i="184"/>
  <c r="AC32" i="184"/>
  <c r="AB32" i="184"/>
  <c r="X32" i="184"/>
  <c r="Q32" i="184"/>
  <c r="P32" i="184"/>
  <c r="I32" i="184"/>
  <c r="H32" i="184"/>
  <c r="E32" i="184"/>
  <c r="AE31" i="184"/>
  <c r="AI31" i="184" s="1"/>
  <c r="Y31" i="184" s="1"/>
  <c r="X31" i="184"/>
  <c r="Q31" i="184"/>
  <c r="P31" i="184"/>
  <c r="I31" i="184"/>
  <c r="H31" i="184"/>
  <c r="E31" i="184"/>
  <c r="AD30" i="184"/>
  <c r="AC30" i="184"/>
  <c r="AE30" i="184" s="1"/>
  <c r="AI30" i="184" s="1"/>
  <c r="Y30" i="184" s="1"/>
  <c r="AB30" i="184"/>
  <c r="X30" i="184"/>
  <c r="Q30" i="184"/>
  <c r="P30" i="184"/>
  <c r="I30" i="184"/>
  <c r="H30" i="184"/>
  <c r="E30" i="184"/>
  <c r="AE29" i="184"/>
  <c r="AI29" i="184" s="1"/>
  <c r="Y29" i="184" s="1"/>
  <c r="AD29" i="184"/>
  <c r="AC29" i="184"/>
  <c r="AB29" i="184"/>
  <c r="X29" i="184"/>
  <c r="Q29" i="184"/>
  <c r="P29" i="184"/>
  <c r="I29" i="184"/>
  <c r="H29" i="184"/>
  <c r="E29" i="184"/>
  <c r="AD28" i="184"/>
  <c r="AC28" i="184"/>
  <c r="AB28" i="184"/>
  <c r="AE28" i="184" s="1"/>
  <c r="AI28" i="184" s="1"/>
  <c r="Y28" i="184" s="1"/>
  <c r="X28" i="184"/>
  <c r="Q28" i="184"/>
  <c r="P28" i="184"/>
  <c r="H28" i="184"/>
  <c r="E28" i="184"/>
  <c r="I28" i="184" s="1"/>
  <c r="AE27" i="184"/>
  <c r="AI27" i="184" s="1"/>
  <c r="Y27" i="184" s="1"/>
  <c r="AD27" i="184"/>
  <c r="AC27" i="184"/>
  <c r="AB27" i="184"/>
  <c r="X27" i="184"/>
  <c r="Q27" i="184"/>
  <c r="P27" i="184"/>
  <c r="H27" i="184"/>
  <c r="E27" i="184"/>
  <c r="I27" i="184" s="1"/>
  <c r="AD26" i="184"/>
  <c r="AC26" i="184"/>
  <c r="AB26" i="184"/>
  <c r="AE26" i="184" s="1"/>
  <c r="AI26" i="184" s="1"/>
  <c r="Y26" i="184" s="1"/>
  <c r="X26" i="184"/>
  <c r="Q26" i="184"/>
  <c r="P26" i="184"/>
  <c r="I26" i="184"/>
  <c r="H26" i="184"/>
  <c r="E26" i="184"/>
  <c r="AE25" i="184"/>
  <c r="AI25" i="184" s="1"/>
  <c r="Y25" i="184" s="1"/>
  <c r="AD25" i="184"/>
  <c r="AC25" i="184"/>
  <c r="AB25" i="184"/>
  <c r="X25" i="184"/>
  <c r="Q25" i="184"/>
  <c r="P25" i="184"/>
  <c r="I25" i="184"/>
  <c r="H25" i="184"/>
  <c r="E25" i="184"/>
  <c r="AD24" i="184"/>
  <c r="AC24" i="184"/>
  <c r="AB24" i="184"/>
  <c r="AE24" i="184" s="1"/>
  <c r="AI24" i="184" s="1"/>
  <c r="Y24" i="184" s="1"/>
  <c r="X24" i="184"/>
  <c r="Q24" i="184"/>
  <c r="P24" i="184"/>
  <c r="I24" i="184"/>
  <c r="H24" i="184"/>
  <c r="E24" i="184"/>
  <c r="AD23" i="184"/>
  <c r="AC23" i="184"/>
  <c r="AB23" i="184"/>
  <c r="AE23" i="184" s="1"/>
  <c r="AI23" i="184" s="1"/>
  <c r="Y23" i="184" s="1"/>
  <c r="X23" i="184"/>
  <c r="Q23" i="184"/>
  <c r="P23" i="184"/>
  <c r="H23" i="184"/>
  <c r="E23" i="184"/>
  <c r="I23" i="184" s="1"/>
  <c r="AI22" i="184"/>
  <c r="Y22" i="184" s="1"/>
  <c r="AE22" i="184"/>
  <c r="AD22" i="184"/>
  <c r="AC22" i="184"/>
  <c r="AB22" i="184"/>
  <c r="X22" i="184"/>
  <c r="Q22" i="184"/>
  <c r="P22" i="184"/>
  <c r="I22" i="184"/>
  <c r="H22" i="184"/>
  <c r="E22" i="184"/>
  <c r="AD21" i="184"/>
  <c r="AC21" i="184"/>
  <c r="AE21" i="184" s="1"/>
  <c r="AI21" i="184" s="1"/>
  <c r="Y21" i="184" s="1"/>
  <c r="AB21" i="184"/>
  <c r="X21" i="184"/>
  <c r="Q21" i="184"/>
  <c r="P21" i="184"/>
  <c r="H21" i="184"/>
  <c r="E21" i="184"/>
  <c r="I21" i="184" s="1"/>
  <c r="AD20" i="184"/>
  <c r="AC20" i="184"/>
  <c r="AB20" i="184"/>
  <c r="AE20" i="184" s="1"/>
  <c r="AI20" i="184" s="1"/>
  <c r="Y20" i="184" s="1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X19" i="184"/>
  <c r="Q19" i="184"/>
  <c r="P19" i="184"/>
  <c r="I19" i="184"/>
  <c r="H19" i="184"/>
  <c r="E19" i="184"/>
  <c r="AD18" i="184"/>
  <c r="AC18" i="184"/>
  <c r="AB18" i="184"/>
  <c r="AE18" i="184" s="1"/>
  <c r="AI18" i="184" s="1"/>
  <c r="Y18" i="184" s="1"/>
  <c r="X18" i="184"/>
  <c r="Q18" i="184"/>
  <c r="P18" i="184"/>
  <c r="H18" i="184"/>
  <c r="E18" i="184"/>
  <c r="I18" i="184" s="1"/>
  <c r="AD17" i="184"/>
  <c r="AE17" i="184" s="1"/>
  <c r="AI17" i="184" s="1"/>
  <c r="Y17" i="184" s="1"/>
  <c r="AC17" i="184"/>
  <c r="AB17" i="184"/>
  <c r="X17" i="184"/>
  <c r="Q17" i="184"/>
  <c r="P17" i="184"/>
  <c r="I17" i="184"/>
  <c r="H17" i="184"/>
  <c r="E17" i="184"/>
  <c r="AD16" i="184"/>
  <c r="AE16" i="184" s="1"/>
  <c r="AI16" i="184" s="1"/>
  <c r="Y16" i="184" s="1"/>
  <c r="AC16" i="184"/>
  <c r="AB16" i="184"/>
  <c r="X16" i="184"/>
  <c r="T77" i="184" s="1"/>
  <c r="Q16" i="184"/>
  <c r="P16" i="184"/>
  <c r="I16" i="184"/>
  <c r="E16" i="184"/>
  <c r="AD15" i="184"/>
  <c r="AC15" i="184"/>
  <c r="AB15" i="184"/>
  <c r="AE15" i="184" s="1"/>
  <c r="AI15" i="184" s="1"/>
  <c r="Y15" i="184" s="1"/>
  <c r="X15" i="184"/>
  <c r="Q15" i="184"/>
  <c r="P15" i="184"/>
  <c r="E15" i="184"/>
  <c r="I15" i="184" s="1"/>
  <c r="AD14" i="184"/>
  <c r="AC14" i="184"/>
  <c r="AB14" i="184"/>
  <c r="AE14" i="184" s="1"/>
  <c r="AI14" i="184" s="1"/>
  <c r="Y14" i="184" s="1"/>
  <c r="X14" i="184"/>
  <c r="Q14" i="184"/>
  <c r="O75" i="184" s="1"/>
  <c r="P14" i="184"/>
  <c r="I14" i="184"/>
  <c r="H14" i="184"/>
  <c r="E14" i="184"/>
  <c r="AD13" i="184"/>
  <c r="AC13" i="184"/>
  <c r="AB13" i="184"/>
  <c r="AE13" i="184" s="1"/>
  <c r="AI13" i="184" s="1"/>
  <c r="Y13" i="184" s="1"/>
  <c r="X13" i="184"/>
  <c r="Q13" i="184"/>
  <c r="P13" i="184"/>
  <c r="H13" i="184"/>
  <c r="E13" i="184"/>
  <c r="I13" i="184" s="1"/>
  <c r="AI12" i="184"/>
  <c r="Y12" i="184" s="1"/>
  <c r="AE12" i="184"/>
  <c r="AD12" i="184"/>
  <c r="AC12" i="184"/>
  <c r="AB12" i="184"/>
  <c r="X12" i="184"/>
  <c r="Q12" i="184"/>
  <c r="P12" i="184"/>
  <c r="I12" i="184"/>
  <c r="H12" i="184"/>
  <c r="E12" i="184"/>
  <c r="T73" i="184" l="1"/>
  <c r="T75" i="184"/>
  <c r="O73" i="184"/>
  <c r="F73" i="184"/>
  <c r="F75" i="184"/>
  <c r="M79" i="183"/>
  <c r="W73" i="183"/>
  <c r="P71" i="183"/>
  <c r="H71" i="183"/>
  <c r="Q70" i="183"/>
  <c r="P70" i="183"/>
  <c r="I70" i="183"/>
  <c r="H70" i="183"/>
  <c r="E70" i="183"/>
  <c r="Q69" i="183"/>
  <c r="P69" i="183"/>
  <c r="H69" i="183"/>
  <c r="E69" i="183"/>
  <c r="I69" i="183" s="1"/>
  <c r="AD68" i="183"/>
  <c r="AC68" i="183"/>
  <c r="AB68" i="183"/>
  <c r="AE68" i="183" s="1"/>
  <c r="AI68" i="183" s="1"/>
  <c r="Y68" i="183" s="1"/>
  <c r="Z68" i="183"/>
  <c r="X68" i="183"/>
  <c r="W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I67" i="183"/>
  <c r="H67" i="183"/>
  <c r="E67" i="183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E64" i="183"/>
  <c r="AI64" i="183" s="1"/>
  <c r="Y64" i="183" s="1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B63" i="183"/>
  <c r="AE63" i="183" s="1"/>
  <c r="AI63" i="183" s="1"/>
  <c r="Y63" i="183" s="1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I61" i="183"/>
  <c r="Y61" i="183" s="1"/>
  <c r="AE61" i="183"/>
  <c r="AC61" i="183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C59" i="183"/>
  <c r="AB59" i="183"/>
  <c r="AE59" i="183" s="1"/>
  <c r="AI59" i="183" s="1"/>
  <c r="Y59" i="183" s="1"/>
  <c r="X59" i="183"/>
  <c r="Q59" i="183"/>
  <c r="P59" i="183"/>
  <c r="I59" i="183"/>
  <c r="H59" i="183"/>
  <c r="E59" i="183"/>
  <c r="AE58" i="183"/>
  <c r="AI58" i="183" s="1"/>
  <c r="Y58" i="183" s="1"/>
  <c r="AC58" i="183"/>
  <c r="AB58" i="183"/>
  <c r="X58" i="183"/>
  <c r="Q58" i="183"/>
  <c r="P58" i="183"/>
  <c r="E58" i="183"/>
  <c r="I58" i="183" s="1"/>
  <c r="AE57" i="183"/>
  <c r="AI57" i="183" s="1"/>
  <c r="Y57" i="183" s="1"/>
  <c r="AC57" i="183"/>
  <c r="AB57" i="183"/>
  <c r="X57" i="183"/>
  <c r="Q57" i="183"/>
  <c r="P57" i="183"/>
  <c r="I57" i="183"/>
  <c r="H57" i="183"/>
  <c r="E57" i="183"/>
  <c r="AD56" i="183"/>
  <c r="AC56" i="183"/>
  <c r="AB56" i="183"/>
  <c r="AE56" i="183" s="1"/>
  <c r="AI56" i="183" s="1"/>
  <c r="Y56" i="183" s="1"/>
  <c r="Z56" i="183"/>
  <c r="X56" i="183"/>
  <c r="Q56" i="183"/>
  <c r="P56" i="183"/>
  <c r="H56" i="183"/>
  <c r="E56" i="183"/>
  <c r="I56" i="183" s="1"/>
  <c r="AD55" i="183"/>
  <c r="AC55" i="183"/>
  <c r="AB55" i="183"/>
  <c r="AE55" i="183" s="1"/>
  <c r="AI55" i="183" s="1"/>
  <c r="Y55" i="183" s="1"/>
  <c r="Z55" i="183"/>
  <c r="X55" i="183"/>
  <c r="Q55" i="183"/>
  <c r="P55" i="183"/>
  <c r="H55" i="183"/>
  <c r="E55" i="183"/>
  <c r="I55" i="183" s="1"/>
  <c r="AD54" i="183"/>
  <c r="AE54" i="183" s="1"/>
  <c r="AI54" i="183" s="1"/>
  <c r="Y54" i="183" s="1"/>
  <c r="AC54" i="183"/>
  <c r="AB54" i="183"/>
  <c r="Z54" i="183"/>
  <c r="X54" i="183"/>
  <c r="Q54" i="183"/>
  <c r="P54" i="183"/>
  <c r="H54" i="183"/>
  <c r="E54" i="183"/>
  <c r="I54" i="183" s="1"/>
  <c r="AE53" i="183"/>
  <c r="AI53" i="183" s="1"/>
  <c r="Y53" i="183" s="1"/>
  <c r="AD53" i="183"/>
  <c r="AC53" i="183"/>
  <c r="AB53" i="183"/>
  <c r="Z53" i="183"/>
  <c r="X53" i="183"/>
  <c r="Q53" i="183"/>
  <c r="P53" i="183"/>
  <c r="H53" i="183"/>
  <c r="E53" i="183"/>
  <c r="I53" i="183" s="1"/>
  <c r="AE52" i="183"/>
  <c r="AI52" i="183" s="1"/>
  <c r="Y52" i="183" s="1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I51" i="183"/>
  <c r="H51" i="183"/>
  <c r="E51" i="183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H45" i="183"/>
  <c r="E45" i="183"/>
  <c r="I45" i="183" s="1"/>
  <c r="AD44" i="183"/>
  <c r="AC44" i="183"/>
  <c r="AB44" i="183"/>
  <c r="AE44" i="183" s="1"/>
  <c r="AI44" i="183" s="1"/>
  <c r="Y44" i="183" s="1"/>
  <c r="Z44" i="183"/>
  <c r="X44" i="183"/>
  <c r="Q44" i="183"/>
  <c r="P44" i="183"/>
  <c r="H44" i="183"/>
  <c r="E44" i="183"/>
  <c r="I44" i="183" s="1"/>
  <c r="AD43" i="183"/>
  <c r="AC43" i="183"/>
  <c r="AB43" i="183"/>
  <c r="AE43" i="183" s="1"/>
  <c r="AI43" i="183" s="1"/>
  <c r="Y43" i="183" s="1"/>
  <c r="Z43" i="183"/>
  <c r="X43" i="183"/>
  <c r="Q43" i="183"/>
  <c r="P43" i="183"/>
  <c r="H43" i="183"/>
  <c r="E43" i="183"/>
  <c r="I43" i="183" s="1"/>
  <c r="AD42" i="183"/>
  <c r="AE42" i="183" s="1"/>
  <c r="AI42" i="183" s="1"/>
  <c r="Y42" i="183" s="1"/>
  <c r="AC42" i="183"/>
  <c r="AB42" i="183"/>
  <c r="Z42" i="183"/>
  <c r="X42" i="183"/>
  <c r="Q42" i="183"/>
  <c r="P42" i="183"/>
  <c r="H42" i="183"/>
  <c r="E42" i="183"/>
  <c r="I42" i="183" s="1"/>
  <c r="AE41" i="183"/>
  <c r="AI41" i="183" s="1"/>
  <c r="Y41" i="183" s="1"/>
  <c r="AD41" i="183"/>
  <c r="AC41" i="183"/>
  <c r="AB41" i="183"/>
  <c r="Z41" i="183"/>
  <c r="X41" i="183"/>
  <c r="Q41" i="183"/>
  <c r="P41" i="183"/>
  <c r="H41" i="183"/>
  <c r="E41" i="183"/>
  <c r="I41" i="183" s="1"/>
  <c r="AD40" i="183"/>
  <c r="AC40" i="183"/>
  <c r="AB40" i="183"/>
  <c r="AE40" i="183" s="1"/>
  <c r="AI40" i="183" s="1"/>
  <c r="Y40" i="183" s="1"/>
  <c r="Z40" i="183"/>
  <c r="X40" i="183"/>
  <c r="Q40" i="183"/>
  <c r="P40" i="183"/>
  <c r="H40" i="183"/>
  <c r="E40" i="183"/>
  <c r="I40" i="183" s="1"/>
  <c r="AD39" i="183"/>
  <c r="AC39" i="183"/>
  <c r="AB39" i="183"/>
  <c r="AE39" i="183" s="1"/>
  <c r="AI39" i="183" s="1"/>
  <c r="Y39" i="183" s="1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I38" i="183"/>
  <c r="H38" i="183"/>
  <c r="E38" i="183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H36" i="183"/>
  <c r="E36" i="183"/>
  <c r="I36" i="183" s="1"/>
  <c r="AE35" i="183"/>
  <c r="AI35" i="183" s="1"/>
  <c r="Y35" i="183" s="1"/>
  <c r="AD35" i="183"/>
  <c r="AC35" i="183"/>
  <c r="AB35" i="183"/>
  <c r="Z35" i="183"/>
  <c r="X35" i="183"/>
  <c r="Q35" i="183"/>
  <c r="P35" i="183"/>
  <c r="I35" i="183"/>
  <c r="H35" i="183"/>
  <c r="E35" i="183"/>
  <c r="AD34" i="183"/>
  <c r="AC34" i="183"/>
  <c r="AB34" i="183"/>
  <c r="AE34" i="183" s="1"/>
  <c r="AI34" i="183" s="1"/>
  <c r="Y34" i="183" s="1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H33" i="183"/>
  <c r="E33" i="183"/>
  <c r="I33" i="183" s="1"/>
  <c r="AD32" i="183"/>
  <c r="AC32" i="183"/>
  <c r="AB32" i="183"/>
  <c r="AE32" i="183" s="1"/>
  <c r="AI32" i="183" s="1"/>
  <c r="Y32" i="183" s="1"/>
  <c r="Z32" i="183"/>
  <c r="X32" i="183"/>
  <c r="Q32" i="183"/>
  <c r="P32" i="183"/>
  <c r="I32" i="183"/>
  <c r="H32" i="183"/>
  <c r="E32" i="183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C30" i="183"/>
  <c r="AE30" i="183" s="1"/>
  <c r="AI30" i="183" s="1"/>
  <c r="Y30" i="183" s="1"/>
  <c r="AB30" i="183"/>
  <c r="Z30" i="183"/>
  <c r="X30" i="183"/>
  <c r="Q30" i="183"/>
  <c r="P30" i="183"/>
  <c r="H30" i="183"/>
  <c r="E30" i="183"/>
  <c r="I30" i="183" s="1"/>
  <c r="AD29" i="183"/>
  <c r="AC29" i="183"/>
  <c r="AB29" i="183"/>
  <c r="AE29" i="183" s="1"/>
  <c r="AI29" i="183" s="1"/>
  <c r="Y29" i="183" s="1"/>
  <c r="Z29" i="183"/>
  <c r="X29" i="183"/>
  <c r="Q29" i="183"/>
  <c r="P29" i="183"/>
  <c r="H29" i="183"/>
  <c r="E29" i="183"/>
  <c r="I29" i="183" s="1"/>
  <c r="AD28" i="183"/>
  <c r="AC28" i="183"/>
  <c r="AE28" i="183" s="1"/>
  <c r="AI28" i="183" s="1"/>
  <c r="Y28" i="183" s="1"/>
  <c r="AB28" i="183"/>
  <c r="Z28" i="183"/>
  <c r="X28" i="183"/>
  <c r="Q28" i="183"/>
  <c r="P28" i="183"/>
  <c r="H28" i="183"/>
  <c r="E28" i="183"/>
  <c r="I28" i="183" s="1"/>
  <c r="AD27" i="183"/>
  <c r="AE27" i="183" s="1"/>
  <c r="AI27" i="183" s="1"/>
  <c r="Y27" i="183" s="1"/>
  <c r="AC27" i="183"/>
  <c r="AB27" i="183"/>
  <c r="Z27" i="183"/>
  <c r="X27" i="183"/>
  <c r="Q27" i="183"/>
  <c r="P27" i="183"/>
  <c r="H27" i="183"/>
  <c r="E27" i="183"/>
  <c r="I27" i="183" s="1"/>
  <c r="AE26" i="183"/>
  <c r="AI26" i="183" s="1"/>
  <c r="Y26" i="183" s="1"/>
  <c r="AD26" i="183"/>
  <c r="AC26" i="183"/>
  <c r="AB26" i="183"/>
  <c r="Z26" i="183"/>
  <c r="X26" i="183"/>
  <c r="Q26" i="183"/>
  <c r="P26" i="183"/>
  <c r="H26" i="183"/>
  <c r="E26" i="183"/>
  <c r="I26" i="183" s="1"/>
  <c r="AD25" i="183"/>
  <c r="AC25" i="183"/>
  <c r="AB25" i="183"/>
  <c r="AE25" i="183" s="1"/>
  <c r="AI25" i="183" s="1"/>
  <c r="Y25" i="183" s="1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I24" i="183"/>
  <c r="H24" i="183"/>
  <c r="E24" i="183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H21" i="183"/>
  <c r="E21" i="183"/>
  <c r="I21" i="183" s="1"/>
  <c r="AE20" i="183"/>
  <c r="AI20" i="183" s="1"/>
  <c r="Y20" i="183" s="1"/>
  <c r="AD20" i="183"/>
  <c r="AC20" i="183"/>
  <c r="AB20" i="183"/>
  <c r="Z20" i="183"/>
  <c r="X20" i="183"/>
  <c r="Q20" i="183"/>
  <c r="P20" i="183"/>
  <c r="I20" i="183"/>
  <c r="H20" i="183"/>
  <c r="E20" i="183"/>
  <c r="AD19" i="183"/>
  <c r="AC19" i="183"/>
  <c r="AB19" i="183"/>
  <c r="AE19" i="183" s="1"/>
  <c r="AI19" i="183" s="1"/>
  <c r="Y19" i="183" s="1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C17" i="183"/>
  <c r="AB17" i="183"/>
  <c r="AE17" i="183" s="1"/>
  <c r="AI17" i="183" s="1"/>
  <c r="Y17" i="183" s="1"/>
  <c r="Z17" i="183"/>
  <c r="X17" i="183"/>
  <c r="Q17" i="183"/>
  <c r="P17" i="183"/>
  <c r="I17" i="183"/>
  <c r="H17" i="183"/>
  <c r="E17" i="183"/>
  <c r="AD16" i="183"/>
  <c r="AC16" i="183"/>
  <c r="AE16" i="183" s="1"/>
  <c r="AI16" i="183" s="1"/>
  <c r="Y16" i="183" s="1"/>
  <c r="AB16" i="183"/>
  <c r="Z16" i="183"/>
  <c r="X16" i="183"/>
  <c r="Q16" i="183"/>
  <c r="P16" i="183"/>
  <c r="E16" i="183"/>
  <c r="I16" i="183" s="1"/>
  <c r="AE15" i="183"/>
  <c r="AI15" i="183" s="1"/>
  <c r="Y15" i="183" s="1"/>
  <c r="AD15" i="183"/>
  <c r="AC15" i="183"/>
  <c r="AB15" i="183"/>
  <c r="Z15" i="183"/>
  <c r="X15" i="183"/>
  <c r="Q15" i="183"/>
  <c r="P15" i="183"/>
  <c r="E15" i="183"/>
  <c r="I15" i="183" s="1"/>
  <c r="AD14" i="183"/>
  <c r="AC14" i="183"/>
  <c r="AB14" i="183"/>
  <c r="AE14" i="183" s="1"/>
  <c r="AI14" i="183" s="1"/>
  <c r="Y14" i="183" s="1"/>
  <c r="Z14" i="183"/>
  <c r="X14" i="183"/>
  <c r="Q14" i="183"/>
  <c r="P14" i="183"/>
  <c r="I14" i="183"/>
  <c r="H14" i="183"/>
  <c r="E14" i="183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E12" i="183"/>
  <c r="AI12" i="183" s="1"/>
  <c r="Y12" i="183" s="1"/>
  <c r="AD12" i="183"/>
  <c r="AC12" i="183"/>
  <c r="AB12" i="183"/>
  <c r="Z12" i="183"/>
  <c r="T75" i="183" s="1"/>
  <c r="X12" i="183"/>
  <c r="T77" i="183" s="1"/>
  <c r="Q12" i="183"/>
  <c r="P12" i="183"/>
  <c r="I12" i="183"/>
  <c r="H12" i="183"/>
  <c r="E12" i="183"/>
  <c r="T79" i="184" l="1"/>
  <c r="F77" i="184" s="1"/>
  <c r="O73" i="183"/>
  <c r="O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H69" i="182"/>
  <c r="E69" i="182"/>
  <c r="I69" i="182" s="1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Y67" i="182" s="1"/>
  <c r="AE67" i="182"/>
  <c r="AD67" i="182"/>
  <c r="AC67" i="182"/>
  <c r="AB67" i="182"/>
  <c r="Z67" i="182"/>
  <c r="X67" i="182"/>
  <c r="Q67" i="182"/>
  <c r="P67" i="182"/>
  <c r="H67" i="182"/>
  <c r="E67" i="182"/>
  <c r="I67" i="182" s="1"/>
  <c r="AD66" i="182"/>
  <c r="AC66" i="182"/>
  <c r="AB66" i="182"/>
  <c r="AE66" i="182" s="1"/>
  <c r="AI66" i="182" s="1"/>
  <c r="Y66" i="182" s="1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D64" i="182"/>
  <c r="AE64" i="182" s="1"/>
  <c r="AI64" i="182" s="1"/>
  <c r="Y64" i="182" s="1"/>
  <c r="AC64" i="182"/>
  <c r="AB64" i="182"/>
  <c r="Z64" i="182"/>
  <c r="X64" i="182"/>
  <c r="Q64" i="182"/>
  <c r="P64" i="182"/>
  <c r="I64" i="182"/>
  <c r="H64" i="182"/>
  <c r="E64" i="182"/>
  <c r="AD63" i="182"/>
  <c r="AC63" i="182"/>
  <c r="AE63" i="182" s="1"/>
  <c r="AI63" i="182" s="1"/>
  <c r="Y63" i="182" s="1"/>
  <c r="AB63" i="182"/>
  <c r="Z63" i="182"/>
  <c r="X63" i="182"/>
  <c r="Q63" i="182"/>
  <c r="P63" i="182"/>
  <c r="H63" i="182"/>
  <c r="E63" i="182"/>
  <c r="I63" i="182" s="1"/>
  <c r="AE62" i="182"/>
  <c r="AI62" i="182" s="1"/>
  <c r="Y62" i="182" s="1"/>
  <c r="AD62" i="182"/>
  <c r="AC62" i="182"/>
  <c r="AB62" i="182"/>
  <c r="Z62" i="182"/>
  <c r="X62" i="182"/>
  <c r="Q62" i="182"/>
  <c r="P62" i="182"/>
  <c r="H62" i="182"/>
  <c r="E62" i="182"/>
  <c r="I62" i="182" s="1"/>
  <c r="AC61" i="182"/>
  <c r="AE61" i="182" s="1"/>
  <c r="AI61" i="182" s="1"/>
  <c r="Y61" i="182" s="1"/>
  <c r="AB61" i="182"/>
  <c r="X61" i="182"/>
  <c r="Q61" i="182"/>
  <c r="P61" i="182"/>
  <c r="I61" i="182"/>
  <c r="H61" i="182"/>
  <c r="E61" i="182"/>
  <c r="AE60" i="182"/>
  <c r="AI60" i="182" s="1"/>
  <c r="Y60" i="182" s="1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C58" i="182"/>
  <c r="AB58" i="182"/>
  <c r="AE58" i="182" s="1"/>
  <c r="AI58" i="182" s="1"/>
  <c r="Y58" i="182" s="1"/>
  <c r="X58" i="182"/>
  <c r="Q58" i="182"/>
  <c r="P58" i="182"/>
  <c r="E58" i="182"/>
  <c r="I58" i="182" s="1"/>
  <c r="AC57" i="182"/>
  <c r="AB57" i="182"/>
  <c r="AE57" i="182" s="1"/>
  <c r="AI57" i="182" s="1"/>
  <c r="Y57" i="182" s="1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I56" i="182"/>
  <c r="H56" i="182"/>
  <c r="E56" i="182"/>
  <c r="AE55" i="182"/>
  <c r="AI55" i="182" s="1"/>
  <c r="Y55" i="182" s="1"/>
  <c r="AD55" i="182"/>
  <c r="AC55" i="182"/>
  <c r="AB55" i="182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I54" i="182"/>
  <c r="H54" i="182"/>
  <c r="E54" i="182"/>
  <c r="AD53" i="182"/>
  <c r="AC53" i="182"/>
  <c r="AE53" i="182" s="1"/>
  <c r="AI53" i="182" s="1"/>
  <c r="Y53" i="182" s="1"/>
  <c r="AB53" i="182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E51" i="182" s="1"/>
  <c r="AI51" i="182" s="1"/>
  <c r="Y51" i="182" s="1"/>
  <c r="AC51" i="182"/>
  <c r="AB51" i="182"/>
  <c r="Z51" i="182"/>
  <c r="X51" i="182"/>
  <c r="Q51" i="182"/>
  <c r="P51" i="182"/>
  <c r="H51" i="182"/>
  <c r="E51" i="182"/>
  <c r="I51" i="182" s="1"/>
  <c r="AD50" i="182"/>
  <c r="AC50" i="182"/>
  <c r="AB50" i="182"/>
  <c r="AE50" i="182" s="1"/>
  <c r="AI50" i="182" s="1"/>
  <c r="Y50" i="182" s="1"/>
  <c r="Z50" i="182"/>
  <c r="X50" i="182"/>
  <c r="Q50" i="182"/>
  <c r="P50" i="182"/>
  <c r="I50" i="182"/>
  <c r="H50" i="182"/>
  <c r="E50" i="182"/>
  <c r="AI49" i="182"/>
  <c r="Y49" i="182" s="1"/>
  <c r="AE49" i="182"/>
  <c r="Z49" i="182"/>
  <c r="X49" i="182"/>
  <c r="Q49" i="182"/>
  <c r="P49" i="182"/>
  <c r="I49" i="182"/>
  <c r="H49" i="182"/>
  <c r="E49" i="182"/>
  <c r="AI48" i="182"/>
  <c r="AE48" i="182"/>
  <c r="Z48" i="182"/>
  <c r="Y48" i="182"/>
  <c r="X48" i="182"/>
  <c r="Q48" i="182"/>
  <c r="P48" i="182"/>
  <c r="H48" i="182"/>
  <c r="E48" i="182"/>
  <c r="I48" i="182" s="1"/>
  <c r="AE47" i="182"/>
  <c r="AI47" i="182" s="1"/>
  <c r="Y47" i="182" s="1"/>
  <c r="Z47" i="182"/>
  <c r="X47" i="182"/>
  <c r="Q47" i="182"/>
  <c r="P47" i="182"/>
  <c r="H47" i="182"/>
  <c r="E47" i="182"/>
  <c r="I47" i="182" s="1"/>
  <c r="AD46" i="182"/>
  <c r="AC46" i="182"/>
  <c r="AB46" i="182"/>
  <c r="AE46" i="182" s="1"/>
  <c r="AI46" i="182" s="1"/>
  <c r="Y46" i="182" s="1"/>
  <c r="Z46" i="182"/>
  <c r="X46" i="182"/>
  <c r="Q46" i="182"/>
  <c r="P46" i="182"/>
  <c r="H46" i="182"/>
  <c r="E46" i="182"/>
  <c r="I46" i="182" s="1"/>
  <c r="AD45" i="182"/>
  <c r="AE45" i="182" s="1"/>
  <c r="AI45" i="182" s="1"/>
  <c r="Y45" i="182" s="1"/>
  <c r="AC45" i="182"/>
  <c r="AB45" i="182"/>
  <c r="Z45" i="182"/>
  <c r="X45" i="182"/>
  <c r="Q45" i="182"/>
  <c r="P45" i="182"/>
  <c r="H45" i="182"/>
  <c r="E45" i="182"/>
  <c r="I45" i="182" s="1"/>
  <c r="AD44" i="182"/>
  <c r="AC44" i="182"/>
  <c r="AB44" i="182"/>
  <c r="AE44" i="182" s="1"/>
  <c r="AI44" i="182" s="1"/>
  <c r="Y44" i="182" s="1"/>
  <c r="Z44" i="182"/>
  <c r="X44" i="182"/>
  <c r="Q44" i="182"/>
  <c r="P44" i="182"/>
  <c r="I44" i="182"/>
  <c r="H44" i="182"/>
  <c r="E44" i="182"/>
  <c r="AE43" i="182"/>
  <c r="AI43" i="182" s="1"/>
  <c r="Y43" i="182" s="1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I42" i="182"/>
  <c r="H42" i="182"/>
  <c r="E42" i="182"/>
  <c r="AD41" i="182"/>
  <c r="AC41" i="182"/>
  <c r="AE41" i="182" s="1"/>
  <c r="AI41" i="182" s="1"/>
  <c r="Y41" i="182" s="1"/>
  <c r="AB41" i="182"/>
  <c r="Z41" i="182"/>
  <c r="X41" i="182"/>
  <c r="Q41" i="182"/>
  <c r="P41" i="182"/>
  <c r="H41" i="182"/>
  <c r="E41" i="182"/>
  <c r="I41" i="182" s="1"/>
  <c r="AE40" i="182"/>
  <c r="AI40" i="182" s="1"/>
  <c r="Y40" i="182" s="1"/>
  <c r="AD40" i="182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I38" i="182"/>
  <c r="Y38" i="182" s="1"/>
  <c r="AE38" i="182"/>
  <c r="AD38" i="182"/>
  <c r="AC38" i="182"/>
  <c r="AB38" i="182"/>
  <c r="Z38" i="182"/>
  <c r="X38" i="182"/>
  <c r="Q38" i="182"/>
  <c r="P38" i="182"/>
  <c r="H38" i="182"/>
  <c r="E38" i="182"/>
  <c r="I38" i="182" s="1"/>
  <c r="AD37" i="182"/>
  <c r="AC37" i="182"/>
  <c r="AB37" i="182"/>
  <c r="AE37" i="182" s="1"/>
  <c r="AI37" i="182" s="1"/>
  <c r="Y37" i="182" s="1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D35" i="182"/>
  <c r="AC35" i="182"/>
  <c r="AE35" i="182" s="1"/>
  <c r="AI35" i="182" s="1"/>
  <c r="Y35" i="182" s="1"/>
  <c r="AB35" i="182"/>
  <c r="Z35" i="182"/>
  <c r="X35" i="182"/>
  <c r="Q35" i="182"/>
  <c r="P35" i="182"/>
  <c r="I35" i="182"/>
  <c r="H35" i="182"/>
  <c r="E35" i="182"/>
  <c r="AD34" i="182"/>
  <c r="AC34" i="182"/>
  <c r="AE34" i="182" s="1"/>
  <c r="AI34" i="182" s="1"/>
  <c r="Y34" i="182" s="1"/>
  <c r="AB34" i="182"/>
  <c r="Z34" i="182"/>
  <c r="X34" i="182"/>
  <c r="Q34" i="182"/>
  <c r="P34" i="182"/>
  <c r="H34" i="182"/>
  <c r="E34" i="182"/>
  <c r="I34" i="182" s="1"/>
  <c r="AI33" i="182"/>
  <c r="AE33" i="182"/>
  <c r="AD33" i="182"/>
  <c r="AC33" i="182"/>
  <c r="AB33" i="182"/>
  <c r="Z33" i="182"/>
  <c r="Y33" i="182"/>
  <c r="X33" i="182"/>
  <c r="Q33" i="182"/>
  <c r="P33" i="182"/>
  <c r="H33" i="182"/>
  <c r="E33" i="182"/>
  <c r="I33" i="182" s="1"/>
  <c r="AD32" i="182"/>
  <c r="AC32" i="182"/>
  <c r="AE32" i="182" s="1"/>
  <c r="AI32" i="182" s="1"/>
  <c r="Y32" i="182" s="1"/>
  <c r="AB32" i="182"/>
  <c r="Z32" i="182"/>
  <c r="X32" i="182"/>
  <c r="Q32" i="182"/>
  <c r="P32" i="182"/>
  <c r="H32" i="182"/>
  <c r="E32" i="182"/>
  <c r="I32" i="182" s="1"/>
  <c r="AE31" i="182"/>
  <c r="AI31" i="182" s="1"/>
  <c r="Y31" i="182" s="1"/>
  <c r="Z31" i="182"/>
  <c r="X31" i="182"/>
  <c r="Q31" i="182"/>
  <c r="P31" i="182"/>
  <c r="I31" i="182"/>
  <c r="H31" i="182"/>
  <c r="E31" i="182"/>
  <c r="AD30" i="182"/>
  <c r="AE30" i="182" s="1"/>
  <c r="AI30" i="182" s="1"/>
  <c r="Y30" i="182" s="1"/>
  <c r="AC30" i="182"/>
  <c r="AB30" i="182"/>
  <c r="Z30" i="182"/>
  <c r="X30" i="182"/>
  <c r="Q30" i="182"/>
  <c r="P30" i="182"/>
  <c r="H30" i="182"/>
  <c r="E30" i="182"/>
  <c r="I30" i="182" s="1"/>
  <c r="AD29" i="182"/>
  <c r="AC29" i="182"/>
  <c r="AB29" i="182"/>
  <c r="AE29" i="182" s="1"/>
  <c r="AI29" i="182" s="1"/>
  <c r="Y29" i="182" s="1"/>
  <c r="Z29" i="182"/>
  <c r="X29" i="182"/>
  <c r="Q29" i="182"/>
  <c r="P29" i="182"/>
  <c r="I29" i="182"/>
  <c r="H29" i="182"/>
  <c r="E29" i="182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C26" i="182"/>
  <c r="AE26" i="182" s="1"/>
  <c r="AI26" i="182" s="1"/>
  <c r="Y26" i="182" s="1"/>
  <c r="AB26" i="182"/>
  <c r="Z26" i="182"/>
  <c r="X26" i="182"/>
  <c r="Q26" i="182"/>
  <c r="P26" i="182"/>
  <c r="H26" i="182"/>
  <c r="E26" i="182"/>
  <c r="I26" i="182" s="1"/>
  <c r="AE25" i="182"/>
  <c r="AI25" i="182" s="1"/>
  <c r="Y25" i="182" s="1"/>
  <c r="AD25" i="182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H23" i="182"/>
  <c r="E23" i="182"/>
  <c r="I23" i="182" s="1"/>
  <c r="AD22" i="182"/>
  <c r="AC22" i="182"/>
  <c r="AB22" i="182"/>
  <c r="AE22" i="182" s="1"/>
  <c r="AI22" i="182" s="1"/>
  <c r="Y22" i="182" s="1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D20" i="182"/>
  <c r="AC20" i="182"/>
  <c r="AE20" i="182" s="1"/>
  <c r="AI20" i="182" s="1"/>
  <c r="Y20" i="182" s="1"/>
  <c r="AB20" i="182"/>
  <c r="Z20" i="182"/>
  <c r="X20" i="182"/>
  <c r="Q20" i="182"/>
  <c r="P20" i="182"/>
  <c r="I20" i="182"/>
  <c r="H20" i="182"/>
  <c r="E20" i="182"/>
  <c r="AD19" i="182"/>
  <c r="AC19" i="182"/>
  <c r="AE19" i="182" s="1"/>
  <c r="AI19" i="182" s="1"/>
  <c r="Y19" i="182" s="1"/>
  <c r="AB19" i="182"/>
  <c r="Z19" i="182"/>
  <c r="X19" i="182"/>
  <c r="Q19" i="182"/>
  <c r="P19" i="182"/>
  <c r="H19" i="182"/>
  <c r="E19" i="182"/>
  <c r="I19" i="182" s="1"/>
  <c r="AI18" i="182"/>
  <c r="AE18" i="182"/>
  <c r="AD18" i="182"/>
  <c r="AC18" i="182"/>
  <c r="AB18" i="182"/>
  <c r="Z18" i="182"/>
  <c r="Y18" i="182"/>
  <c r="X18" i="182"/>
  <c r="Q18" i="182"/>
  <c r="P18" i="182"/>
  <c r="H18" i="182"/>
  <c r="E18" i="182"/>
  <c r="I18" i="182" s="1"/>
  <c r="AD17" i="182"/>
  <c r="AC17" i="182"/>
  <c r="AB17" i="182"/>
  <c r="AE17" i="182" s="1"/>
  <c r="AI17" i="182" s="1"/>
  <c r="Y17" i="182" s="1"/>
  <c r="Z17" i="182"/>
  <c r="X17" i="182"/>
  <c r="Q17" i="182"/>
  <c r="P17" i="182"/>
  <c r="H17" i="182"/>
  <c r="E17" i="182"/>
  <c r="I17" i="182" s="1"/>
  <c r="AE16" i="182"/>
  <c r="AI16" i="182" s="1"/>
  <c r="Y16" i="182" s="1"/>
  <c r="AD16" i="182"/>
  <c r="AC16" i="182"/>
  <c r="AB16" i="182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H13" i="182"/>
  <c r="E13" i="182"/>
  <c r="I13" i="182" s="1"/>
  <c r="AD12" i="182"/>
  <c r="AC12" i="182"/>
  <c r="AB12" i="182"/>
  <c r="AE12" i="182" s="1"/>
  <c r="AI12" i="182" s="1"/>
  <c r="Y12" i="182" s="1"/>
  <c r="T73" i="182" s="1"/>
  <c r="Z12" i="182"/>
  <c r="T75" i="182" s="1"/>
  <c r="X12" i="182"/>
  <c r="T77" i="182" s="1"/>
  <c r="Q12" i="182"/>
  <c r="P12" i="182"/>
  <c r="I12" i="182"/>
  <c r="H12" i="182"/>
  <c r="E12" i="182"/>
  <c r="F77" i="183" l="1"/>
  <c r="O73" i="182"/>
  <c r="O75" i="182"/>
  <c r="T79" i="182"/>
  <c r="F75" i="182"/>
  <c r="F73" i="182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F77" i="182" l="1"/>
  <c r="O75" i="18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<sst xmlns="http://schemas.openxmlformats.org/spreadsheetml/2006/main" count="2256" uniqueCount="134">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</sst>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3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31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2" t="s">
        <v>130</v>
      </c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6" t="s">
        <v>1</v>
      </c>
      <c r="U2" s="7"/>
      <c r="W2" s="21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6"/>
      <c r="G4" s="216"/>
      <c r="H4" s="216"/>
      <c r="I4" s="216"/>
      <c r="J4" s="216"/>
      <c r="K4" s="216"/>
      <c r="L4" s="216"/>
      <c r="M4" s="216"/>
      <c r="S4" s="2" t="s">
        <v>4</v>
      </c>
      <c r="T4" s="217"/>
      <c r="U4" s="217"/>
      <c r="W4" s="21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8"/>
      <c r="G6" s="218"/>
      <c r="H6" s="218"/>
      <c r="I6" s="218"/>
      <c r="J6" s="218"/>
      <c r="K6" s="218"/>
      <c r="L6" s="218"/>
      <c r="M6" s="218"/>
      <c r="S6" s="11" t="s">
        <v>6</v>
      </c>
      <c r="T6" s="195" t="s">
        <v>7</v>
      </c>
      <c r="U6" s="12" t="s">
        <v>131</v>
      </c>
      <c r="W6" s="21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8"/>
      <c r="G7" s="218"/>
      <c r="H7" s="218"/>
      <c r="I7" s="218"/>
      <c r="J7" s="218"/>
      <c r="K7" s="218"/>
      <c r="L7" s="218"/>
      <c r="M7" s="218"/>
      <c r="N7" s="14"/>
      <c r="O7" s="14"/>
      <c r="P7" s="14"/>
      <c r="Q7" s="15"/>
      <c r="S7" s="14"/>
      <c r="T7" s="195" t="s">
        <v>11</v>
      </c>
      <c r="U7" s="12"/>
      <c r="W7" s="21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2" t="s">
        <v>14</v>
      </c>
      <c r="C9" s="255" t="s">
        <v>15</v>
      </c>
      <c r="D9" s="255" t="s">
        <v>16</v>
      </c>
      <c r="E9" s="255" t="s">
        <v>17</v>
      </c>
      <c r="F9" s="239" t="s">
        <v>18</v>
      </c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1"/>
      <c r="S9" s="239" t="s">
        <v>19</v>
      </c>
      <c r="T9" s="240"/>
      <c r="U9" s="241"/>
      <c r="X9" s="227" t="s">
        <v>20</v>
      </c>
      <c r="Y9" s="230" t="s">
        <v>21</v>
      </c>
      <c r="Z9" s="230" t="s">
        <v>128</v>
      </c>
      <c r="AA9" s="17"/>
      <c r="AB9" s="219" t="s">
        <v>22</v>
      </c>
      <c r="AC9" s="233" t="s">
        <v>23</v>
      </c>
      <c r="AD9" s="236" t="s">
        <v>24</v>
      </c>
      <c r="AE9" s="219" t="s">
        <v>25</v>
      </c>
      <c r="AG9" s="219" t="s">
        <v>26</v>
      </c>
      <c r="AH9" s="17"/>
      <c r="AI9" s="219" t="s">
        <v>27</v>
      </c>
    </row>
    <row r="10" spans="2:35" s="16" customFormat="1" ht="20.25" customHeight="1" x14ac:dyDescent="0.25">
      <c r="B10" s="253"/>
      <c r="C10" s="256"/>
      <c r="D10" s="256"/>
      <c r="E10" s="256"/>
      <c r="F10" s="223" t="s">
        <v>28</v>
      </c>
      <c r="G10" s="223" t="s">
        <v>29</v>
      </c>
      <c r="H10" s="223" t="s">
        <v>30</v>
      </c>
      <c r="I10" s="225" t="s">
        <v>31</v>
      </c>
      <c r="J10" s="225" t="s">
        <v>32</v>
      </c>
      <c r="K10" s="225" t="s">
        <v>33</v>
      </c>
      <c r="L10" s="225" t="s">
        <v>34</v>
      </c>
      <c r="M10" s="209" t="s">
        <v>35</v>
      </c>
      <c r="N10" s="210"/>
      <c r="O10" s="210"/>
      <c r="P10" s="210"/>
      <c r="Q10" s="211"/>
      <c r="S10" s="248" t="s">
        <v>36</v>
      </c>
      <c r="T10" s="249"/>
      <c r="U10" s="250"/>
      <c r="X10" s="228"/>
      <c r="Y10" s="231"/>
      <c r="Z10" s="231"/>
      <c r="AA10" s="17"/>
      <c r="AB10" s="220"/>
      <c r="AC10" s="234"/>
      <c r="AD10" s="237"/>
      <c r="AE10" s="220"/>
      <c r="AG10" s="220"/>
      <c r="AH10" s="17"/>
      <c r="AI10" s="220"/>
    </row>
    <row r="11" spans="2:35" s="21" customFormat="1" ht="12.75" customHeight="1" thickBot="1" x14ac:dyDescent="0.3">
      <c r="B11" s="254"/>
      <c r="C11" s="224"/>
      <c r="D11" s="224"/>
      <c r="E11" s="224"/>
      <c r="F11" s="224"/>
      <c r="G11" s="224"/>
      <c r="H11" s="224"/>
      <c r="I11" s="226"/>
      <c r="J11" s="226"/>
      <c r="K11" s="226"/>
      <c r="L11" s="22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9"/>
      <c r="Y11" s="232"/>
      <c r="Z11" s="232"/>
      <c r="AA11" s="17"/>
      <c r="AB11" s="222"/>
      <c r="AC11" s="235"/>
      <c r="AD11" s="238"/>
      <c r="AE11" s="222"/>
      <c r="AG11" s="221"/>
      <c r="AH11" s="17"/>
      <c r="AI11" s="22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1" t="s">
        <v>101</v>
      </c>
      <c r="C71" s="251"/>
      <c r="D71" s="251"/>
      <c r="E71" s="251"/>
      <c r="F71" s="251"/>
      <c r="G71" s="25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0</v>
      </c>
      <c r="G73" s="242"/>
      <c r="H73" s="242"/>
      <c r="I73" s="243"/>
      <c r="J73" s="158"/>
      <c r="K73" s="158"/>
      <c r="L73" s="158"/>
      <c r="M73" s="244" t="s">
        <v>103</v>
      </c>
      <c r="N73" s="245"/>
      <c r="O73" s="242">
        <f>SUM(Q12:Q70)</f>
        <v>175500</v>
      </c>
      <c r="P73" s="242"/>
      <c r="Q73" s="243"/>
      <c r="R73" s="152"/>
      <c r="S73" s="159" t="s">
        <v>104</v>
      </c>
      <c r="T73" s="246">
        <f>SUM(Y12:Y68)</f>
        <v>0</v>
      </c>
      <c r="U73" s="24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0</v>
      </c>
      <c r="G75" s="242"/>
      <c r="H75" s="242"/>
      <c r="I75" s="243"/>
      <c r="J75" s="158"/>
      <c r="K75" s="158"/>
      <c r="L75" s="158"/>
      <c r="M75" s="244" t="s">
        <v>103</v>
      </c>
      <c r="N75" s="245"/>
      <c r="O75" s="242">
        <f>SUM(Q14:Q72)</f>
        <v>154440</v>
      </c>
      <c r="P75" s="242"/>
      <c r="Q75" s="243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-175500</v>
      </c>
      <c r="G77" s="242"/>
      <c r="H77" s="242"/>
      <c r="I77" s="243"/>
      <c r="J77" s="164"/>
      <c r="K77" s="164"/>
      <c r="L77" s="164"/>
      <c r="M77" s="267" t="s">
        <v>106</v>
      </c>
      <c r="N77" s="267"/>
      <c r="O77" s="168" t="s">
        <v>107</v>
      </c>
      <c r="P77" s="259"/>
      <c r="Q77" s="260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1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9"/>
      <c r="Q79" s="260"/>
      <c r="R79" s="152"/>
      <c r="S79" s="159" t="s">
        <v>112</v>
      </c>
      <c r="T79" s="246">
        <f>T77+T73+T75</f>
        <v>0</v>
      </c>
      <c r="U79" s="247"/>
      <c r="V79" s="160"/>
      <c r="W79" s="21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3" t="s">
        <v>113</v>
      </c>
      <c r="C81" s="284"/>
      <c r="D81" s="284"/>
      <c r="E81" s="284"/>
      <c r="F81" s="284"/>
      <c r="G81" s="284"/>
      <c r="H81" s="285"/>
      <c r="I81" s="292" t="s">
        <v>114</v>
      </c>
      <c r="J81" s="171"/>
      <c r="K81" s="171"/>
      <c r="L81" s="171"/>
      <c r="M81" s="294"/>
      <c r="N81" s="297" t="s">
        <v>115</v>
      </c>
      <c r="O81" s="300"/>
      <c r="P81" s="294"/>
      <c r="Q81" s="261" t="s">
        <v>116</v>
      </c>
      <c r="R81" s="262"/>
      <c r="S81" s="277"/>
      <c r="T81" s="261" t="s">
        <v>117</v>
      </c>
      <c r="U81" s="280"/>
    </row>
    <row r="82" spans="2:21" ht="15" customHeight="1" x14ac:dyDescent="0.25">
      <c r="B82" s="286"/>
      <c r="C82" s="287"/>
      <c r="D82" s="287"/>
      <c r="E82" s="287"/>
      <c r="F82" s="287"/>
      <c r="G82" s="287"/>
      <c r="H82" s="288"/>
      <c r="I82" s="274"/>
      <c r="J82" s="2"/>
      <c r="K82" s="2"/>
      <c r="L82" s="2"/>
      <c r="M82" s="295"/>
      <c r="N82" s="298"/>
      <c r="O82" s="301"/>
      <c r="P82" s="295"/>
      <c r="Q82" s="263"/>
      <c r="R82" s="264"/>
      <c r="S82" s="278"/>
      <c r="T82" s="263"/>
      <c r="U82" s="281"/>
    </row>
    <row r="83" spans="2:21" ht="15.75" customHeight="1" thickBot="1" x14ac:dyDescent="0.3">
      <c r="B83" s="289"/>
      <c r="C83" s="290"/>
      <c r="D83" s="290"/>
      <c r="E83" s="290"/>
      <c r="F83" s="290"/>
      <c r="G83" s="290"/>
      <c r="H83" s="291"/>
      <c r="I83" s="293"/>
      <c r="J83" s="172"/>
      <c r="K83" s="172"/>
      <c r="L83" s="172"/>
      <c r="M83" s="296"/>
      <c r="N83" s="299"/>
      <c r="O83" s="302"/>
      <c r="P83" s="296"/>
      <c r="Q83" s="265"/>
      <c r="R83" s="266"/>
      <c r="S83" s="279"/>
      <c r="T83" s="265"/>
      <c r="U83" s="28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8" t="s">
        <v>132</v>
      </c>
      <c r="C88" s="269"/>
      <c r="D88" s="269"/>
      <c r="E88" s="269"/>
      <c r="F88" s="269"/>
      <c r="G88" s="269"/>
      <c r="H88" s="269"/>
      <c r="I88" s="270"/>
      <c r="J88" s="185"/>
      <c r="K88" s="185"/>
      <c r="L88" s="185"/>
      <c r="M88" s="268"/>
      <c r="N88" s="269"/>
      <c r="O88" s="269"/>
      <c r="P88" s="269"/>
      <c r="Q88" s="270"/>
      <c r="R88" s="187"/>
      <c r="S88" s="188"/>
      <c r="T88" s="188"/>
      <c r="U88" s="189"/>
    </row>
    <row r="89" spans="2:21" ht="18" x14ac:dyDescent="0.25">
      <c r="B89" s="271" t="s">
        <v>122</v>
      </c>
      <c r="C89" s="272"/>
      <c r="D89" s="272"/>
      <c r="E89" s="272"/>
      <c r="F89" s="272"/>
      <c r="G89" s="272"/>
      <c r="H89" s="272"/>
      <c r="I89" s="273"/>
      <c r="M89" s="271" t="s">
        <v>122</v>
      </c>
      <c r="N89" s="272"/>
      <c r="O89" s="272"/>
      <c r="P89" s="272"/>
      <c r="Q89" s="273"/>
      <c r="R89" s="274" t="s">
        <v>123</v>
      </c>
      <c r="S89" s="275"/>
      <c r="T89" s="275"/>
      <c r="U89" s="27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8" t="s">
        <v>133</v>
      </c>
      <c r="C93" s="269"/>
      <c r="D93" s="269"/>
      <c r="E93" s="269"/>
      <c r="F93" s="269"/>
      <c r="G93" s="269"/>
      <c r="H93" s="269"/>
      <c r="I93" s="27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1" t="s">
        <v>126</v>
      </c>
      <c r="C94" s="272"/>
      <c r="D94" s="272"/>
      <c r="E94" s="272"/>
      <c r="F94" s="272"/>
      <c r="G94" s="272"/>
      <c r="H94" s="272"/>
      <c r="I94" s="273"/>
      <c r="M94" s="179"/>
      <c r="Q94" s="180"/>
      <c r="R94" s="274" t="s">
        <v>127</v>
      </c>
      <c r="S94" s="275"/>
      <c r="T94" s="275"/>
      <c r="U94" s="27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B714E-A018-4073-A7B1-8838640AB9E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2" t="s">
        <v>130</v>
      </c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6" t="s">
        <v>1</v>
      </c>
      <c r="U2" s="7"/>
      <c r="W2" s="21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6"/>
      <c r="G4" s="216"/>
      <c r="H4" s="216"/>
      <c r="I4" s="216"/>
      <c r="J4" s="216"/>
      <c r="K4" s="216"/>
      <c r="L4" s="216"/>
      <c r="M4" s="216"/>
      <c r="S4" s="2" t="s">
        <v>4</v>
      </c>
      <c r="T4" s="217"/>
      <c r="U4" s="217"/>
      <c r="W4" s="21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8"/>
      <c r="G6" s="218"/>
      <c r="H6" s="218"/>
      <c r="I6" s="218"/>
      <c r="J6" s="218"/>
      <c r="K6" s="218"/>
      <c r="L6" s="218"/>
      <c r="M6" s="218"/>
      <c r="S6" s="11" t="s">
        <v>6</v>
      </c>
      <c r="T6" s="196" t="s">
        <v>7</v>
      </c>
      <c r="U6" s="12" t="s">
        <v>131</v>
      </c>
      <c r="W6" s="21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8"/>
      <c r="G7" s="218"/>
      <c r="H7" s="218"/>
      <c r="I7" s="218"/>
      <c r="J7" s="218"/>
      <c r="K7" s="218"/>
      <c r="L7" s="218"/>
      <c r="M7" s="218"/>
      <c r="N7" s="14"/>
      <c r="O7" s="14"/>
      <c r="P7" s="14"/>
      <c r="Q7" s="15"/>
      <c r="S7" s="14"/>
      <c r="T7" s="196" t="s">
        <v>11</v>
      </c>
      <c r="U7" s="12"/>
      <c r="W7" s="21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2" t="s">
        <v>14</v>
      </c>
      <c r="C9" s="255" t="s">
        <v>15</v>
      </c>
      <c r="D9" s="255" t="s">
        <v>16</v>
      </c>
      <c r="E9" s="255" t="s">
        <v>17</v>
      </c>
      <c r="F9" s="239" t="s">
        <v>18</v>
      </c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1"/>
      <c r="S9" s="239" t="s">
        <v>19</v>
      </c>
      <c r="T9" s="240"/>
      <c r="U9" s="241"/>
      <c r="X9" s="227" t="s">
        <v>20</v>
      </c>
      <c r="Y9" s="230" t="s">
        <v>21</v>
      </c>
      <c r="Z9" s="230" t="s">
        <v>128</v>
      </c>
      <c r="AA9" s="17"/>
      <c r="AB9" s="219" t="s">
        <v>22</v>
      </c>
      <c r="AC9" s="233" t="s">
        <v>23</v>
      </c>
      <c r="AD9" s="236" t="s">
        <v>24</v>
      </c>
      <c r="AE9" s="219" t="s">
        <v>25</v>
      </c>
      <c r="AG9" s="219" t="s">
        <v>26</v>
      </c>
      <c r="AH9" s="17"/>
      <c r="AI9" s="219" t="s">
        <v>27</v>
      </c>
    </row>
    <row r="10" spans="2:35" s="16" customFormat="1" ht="20.25" customHeight="1" x14ac:dyDescent="0.25">
      <c r="B10" s="253"/>
      <c r="C10" s="256"/>
      <c r="D10" s="256"/>
      <c r="E10" s="256"/>
      <c r="F10" s="223" t="s">
        <v>28</v>
      </c>
      <c r="G10" s="223" t="s">
        <v>29</v>
      </c>
      <c r="H10" s="223" t="s">
        <v>30</v>
      </c>
      <c r="I10" s="225" t="s">
        <v>31</v>
      </c>
      <c r="J10" s="225" t="s">
        <v>32</v>
      </c>
      <c r="K10" s="225" t="s">
        <v>33</v>
      </c>
      <c r="L10" s="225" t="s">
        <v>34</v>
      </c>
      <c r="M10" s="209" t="s">
        <v>35</v>
      </c>
      <c r="N10" s="210"/>
      <c r="O10" s="210"/>
      <c r="P10" s="210"/>
      <c r="Q10" s="211"/>
      <c r="S10" s="248" t="s">
        <v>36</v>
      </c>
      <c r="T10" s="249"/>
      <c r="U10" s="250"/>
      <c r="X10" s="228"/>
      <c r="Y10" s="231"/>
      <c r="Z10" s="231"/>
      <c r="AA10" s="17"/>
      <c r="AB10" s="220"/>
      <c r="AC10" s="234"/>
      <c r="AD10" s="237"/>
      <c r="AE10" s="220"/>
      <c r="AG10" s="220"/>
      <c r="AH10" s="17"/>
      <c r="AI10" s="220"/>
    </row>
    <row r="11" spans="2:35" s="21" customFormat="1" ht="12.75" customHeight="1" thickBot="1" x14ac:dyDescent="0.3">
      <c r="B11" s="254"/>
      <c r="C11" s="224"/>
      <c r="D11" s="224"/>
      <c r="E11" s="224"/>
      <c r="F11" s="224"/>
      <c r="G11" s="224"/>
      <c r="H11" s="224"/>
      <c r="I11" s="226"/>
      <c r="J11" s="226"/>
      <c r="K11" s="226"/>
      <c r="L11" s="22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9"/>
      <c r="Y11" s="232"/>
      <c r="Z11" s="232"/>
      <c r="AA11" s="17"/>
      <c r="AB11" s="222"/>
      <c r="AC11" s="235"/>
      <c r="AD11" s="238"/>
      <c r="AE11" s="222"/>
      <c r="AG11" s="221"/>
      <c r="AH11" s="17"/>
      <c r="AI11" s="22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1" t="s">
        <v>101</v>
      </c>
      <c r="C71" s="251"/>
      <c r="D71" s="251"/>
      <c r="E71" s="251"/>
      <c r="F71" s="251"/>
      <c r="G71" s="25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0</v>
      </c>
      <c r="G73" s="242"/>
      <c r="H73" s="242"/>
      <c r="I73" s="243"/>
      <c r="J73" s="158"/>
      <c r="K73" s="158"/>
      <c r="L73" s="158"/>
      <c r="M73" s="244" t="s">
        <v>103</v>
      </c>
      <c r="N73" s="245"/>
      <c r="O73" s="242">
        <f>SUM(Q12:Q70)</f>
        <v>189252</v>
      </c>
      <c r="P73" s="242"/>
      <c r="Q73" s="243"/>
      <c r="R73" s="152"/>
      <c r="S73" s="159" t="s">
        <v>104</v>
      </c>
      <c r="T73" s="246">
        <f>SUM(Y12:Y68)</f>
        <v>0</v>
      </c>
      <c r="U73" s="24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0</v>
      </c>
      <c r="G75" s="242"/>
      <c r="H75" s="242"/>
      <c r="I75" s="243"/>
      <c r="J75" s="158"/>
      <c r="K75" s="158"/>
      <c r="L75" s="158"/>
      <c r="M75" s="244" t="s">
        <v>103</v>
      </c>
      <c r="N75" s="245"/>
      <c r="O75" s="242">
        <f>SUM(Q14:Q72)</f>
        <v>162576</v>
      </c>
      <c r="P75" s="242"/>
      <c r="Q75" s="243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-189252</v>
      </c>
      <c r="G77" s="242"/>
      <c r="H77" s="242"/>
      <c r="I77" s="243"/>
      <c r="J77" s="164"/>
      <c r="K77" s="164"/>
      <c r="L77" s="164"/>
      <c r="M77" s="267" t="s">
        <v>106</v>
      </c>
      <c r="N77" s="267"/>
      <c r="O77" s="168" t="s">
        <v>107</v>
      </c>
      <c r="P77" s="259"/>
      <c r="Q77" s="260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1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9"/>
      <c r="Q79" s="260"/>
      <c r="R79" s="152"/>
      <c r="S79" s="159" t="s">
        <v>112</v>
      </c>
      <c r="T79" s="246">
        <f>T77+T73+T75</f>
        <v>0</v>
      </c>
      <c r="U79" s="247"/>
      <c r="V79" s="160"/>
      <c r="W79" s="21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3" t="s">
        <v>113</v>
      </c>
      <c r="C81" s="284"/>
      <c r="D81" s="284"/>
      <c r="E81" s="284"/>
      <c r="F81" s="284"/>
      <c r="G81" s="284"/>
      <c r="H81" s="285"/>
      <c r="I81" s="292" t="s">
        <v>114</v>
      </c>
      <c r="J81" s="171"/>
      <c r="K81" s="171"/>
      <c r="L81" s="171"/>
      <c r="M81" s="294"/>
      <c r="N81" s="297" t="s">
        <v>115</v>
      </c>
      <c r="O81" s="300"/>
      <c r="P81" s="294"/>
      <c r="Q81" s="261" t="s">
        <v>116</v>
      </c>
      <c r="R81" s="262"/>
      <c r="S81" s="277"/>
      <c r="T81" s="261" t="s">
        <v>117</v>
      </c>
      <c r="U81" s="280"/>
    </row>
    <row r="82" spans="2:21" ht="15" customHeight="1" x14ac:dyDescent="0.25">
      <c r="B82" s="286"/>
      <c r="C82" s="287"/>
      <c r="D82" s="287"/>
      <c r="E82" s="287"/>
      <c r="F82" s="287"/>
      <c r="G82" s="287"/>
      <c r="H82" s="288"/>
      <c r="I82" s="274"/>
      <c r="J82" s="2"/>
      <c r="K82" s="2"/>
      <c r="L82" s="2"/>
      <c r="M82" s="295"/>
      <c r="N82" s="298"/>
      <c r="O82" s="301"/>
      <c r="P82" s="295"/>
      <c r="Q82" s="263"/>
      <c r="R82" s="264"/>
      <c r="S82" s="278"/>
      <c r="T82" s="263"/>
      <c r="U82" s="281"/>
    </row>
    <row r="83" spans="2:21" ht="15.75" customHeight="1" thickBot="1" x14ac:dyDescent="0.3">
      <c r="B83" s="289"/>
      <c r="C83" s="290"/>
      <c r="D83" s="290"/>
      <c r="E83" s="290"/>
      <c r="F83" s="290"/>
      <c r="G83" s="290"/>
      <c r="H83" s="291"/>
      <c r="I83" s="293"/>
      <c r="J83" s="172"/>
      <c r="K83" s="172"/>
      <c r="L83" s="172"/>
      <c r="M83" s="296"/>
      <c r="N83" s="299"/>
      <c r="O83" s="302"/>
      <c r="P83" s="296"/>
      <c r="Q83" s="265"/>
      <c r="R83" s="266"/>
      <c r="S83" s="279"/>
      <c r="T83" s="265"/>
      <c r="U83" s="28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8" t="s">
        <v>132</v>
      </c>
      <c r="C88" s="269"/>
      <c r="D88" s="269"/>
      <c r="E88" s="269"/>
      <c r="F88" s="269"/>
      <c r="G88" s="269"/>
      <c r="H88" s="269"/>
      <c r="I88" s="270"/>
      <c r="J88" s="185"/>
      <c r="K88" s="185"/>
      <c r="L88" s="185"/>
      <c r="M88" s="268"/>
      <c r="N88" s="269"/>
      <c r="O88" s="269"/>
      <c r="P88" s="269"/>
      <c r="Q88" s="270"/>
      <c r="R88" s="187"/>
      <c r="S88" s="188"/>
      <c r="T88" s="188"/>
      <c r="U88" s="189"/>
    </row>
    <row r="89" spans="2:21" ht="18" x14ac:dyDescent="0.25">
      <c r="B89" s="271" t="s">
        <v>122</v>
      </c>
      <c r="C89" s="272"/>
      <c r="D89" s="272"/>
      <c r="E89" s="272"/>
      <c r="F89" s="272"/>
      <c r="G89" s="272"/>
      <c r="H89" s="272"/>
      <c r="I89" s="273"/>
      <c r="M89" s="271" t="s">
        <v>122</v>
      </c>
      <c r="N89" s="272"/>
      <c r="O89" s="272"/>
      <c r="P89" s="272"/>
      <c r="Q89" s="273"/>
      <c r="R89" s="274" t="s">
        <v>123</v>
      </c>
      <c r="S89" s="275"/>
      <c r="T89" s="275"/>
      <c r="U89" s="27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8" t="s">
        <v>133</v>
      </c>
      <c r="C93" s="269"/>
      <c r="D93" s="269"/>
      <c r="E93" s="269"/>
      <c r="F93" s="269"/>
      <c r="G93" s="269"/>
      <c r="H93" s="269"/>
      <c r="I93" s="27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1" t="s">
        <v>126</v>
      </c>
      <c r="C94" s="272"/>
      <c r="D94" s="272"/>
      <c r="E94" s="272"/>
      <c r="F94" s="272"/>
      <c r="G94" s="272"/>
      <c r="H94" s="272"/>
      <c r="I94" s="273"/>
      <c r="M94" s="179"/>
      <c r="Q94" s="180"/>
      <c r="R94" s="274" t="s">
        <v>127</v>
      </c>
      <c r="S94" s="275"/>
      <c r="T94" s="275"/>
      <c r="U94" s="27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B4D1-E120-4437-A1E6-C88C81AB423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2" t="s">
        <v>130</v>
      </c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6" t="s">
        <v>1</v>
      </c>
      <c r="U2" s="7"/>
      <c r="W2" s="21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6"/>
      <c r="G4" s="216"/>
      <c r="H4" s="216"/>
      <c r="I4" s="216"/>
      <c r="J4" s="216"/>
      <c r="K4" s="216"/>
      <c r="L4" s="216"/>
      <c r="M4" s="216"/>
      <c r="S4" s="2" t="s">
        <v>4</v>
      </c>
      <c r="T4" s="217"/>
      <c r="U4" s="217"/>
      <c r="W4" s="21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8"/>
      <c r="G6" s="218"/>
      <c r="H6" s="218"/>
      <c r="I6" s="218"/>
      <c r="J6" s="218"/>
      <c r="K6" s="218"/>
      <c r="L6" s="218"/>
      <c r="M6" s="218"/>
      <c r="S6" s="11" t="s">
        <v>6</v>
      </c>
      <c r="T6" s="197" t="s">
        <v>7</v>
      </c>
      <c r="U6" s="12" t="s">
        <v>131</v>
      </c>
      <c r="W6" s="21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8"/>
      <c r="G7" s="218"/>
      <c r="H7" s="218"/>
      <c r="I7" s="218"/>
      <c r="J7" s="218"/>
      <c r="K7" s="218"/>
      <c r="L7" s="218"/>
      <c r="M7" s="218"/>
      <c r="N7" s="14"/>
      <c r="O7" s="14"/>
      <c r="P7" s="14"/>
      <c r="Q7" s="15"/>
      <c r="S7" s="14"/>
      <c r="T7" s="197" t="s">
        <v>11</v>
      </c>
      <c r="U7" s="12"/>
      <c r="W7" s="21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2" t="s">
        <v>14</v>
      </c>
      <c r="C9" s="255" t="s">
        <v>15</v>
      </c>
      <c r="D9" s="255" t="s">
        <v>16</v>
      </c>
      <c r="E9" s="255" t="s">
        <v>17</v>
      </c>
      <c r="F9" s="239" t="s">
        <v>18</v>
      </c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1"/>
      <c r="S9" s="239" t="s">
        <v>19</v>
      </c>
      <c r="T9" s="240"/>
      <c r="U9" s="241"/>
      <c r="X9" s="227" t="s">
        <v>20</v>
      </c>
      <c r="Y9" s="230" t="s">
        <v>21</v>
      </c>
      <c r="Z9" s="230" t="s">
        <v>128</v>
      </c>
      <c r="AA9" s="17"/>
      <c r="AB9" s="219" t="s">
        <v>22</v>
      </c>
      <c r="AC9" s="233" t="s">
        <v>23</v>
      </c>
      <c r="AD9" s="236" t="s">
        <v>24</v>
      </c>
      <c r="AE9" s="219" t="s">
        <v>25</v>
      </c>
      <c r="AG9" s="219" t="s">
        <v>26</v>
      </c>
      <c r="AH9" s="17"/>
      <c r="AI9" s="219" t="s">
        <v>27</v>
      </c>
    </row>
    <row r="10" spans="2:35" s="16" customFormat="1" ht="20.25" customHeight="1" x14ac:dyDescent="0.25">
      <c r="B10" s="253"/>
      <c r="C10" s="256"/>
      <c r="D10" s="256"/>
      <c r="E10" s="256"/>
      <c r="F10" s="223" t="s">
        <v>28</v>
      </c>
      <c r="G10" s="223" t="s">
        <v>29</v>
      </c>
      <c r="H10" s="223" t="s">
        <v>30</v>
      </c>
      <c r="I10" s="225" t="s">
        <v>31</v>
      </c>
      <c r="J10" s="225" t="s">
        <v>32</v>
      </c>
      <c r="K10" s="225" t="s">
        <v>33</v>
      </c>
      <c r="L10" s="225" t="s">
        <v>34</v>
      </c>
      <c r="M10" s="209" t="s">
        <v>35</v>
      </c>
      <c r="N10" s="210"/>
      <c r="O10" s="210"/>
      <c r="P10" s="210"/>
      <c r="Q10" s="211"/>
      <c r="S10" s="248" t="s">
        <v>36</v>
      </c>
      <c r="T10" s="249"/>
      <c r="U10" s="250"/>
      <c r="X10" s="228"/>
      <c r="Y10" s="231"/>
      <c r="Z10" s="231"/>
      <c r="AA10" s="17"/>
      <c r="AB10" s="220"/>
      <c r="AC10" s="234"/>
      <c r="AD10" s="237"/>
      <c r="AE10" s="220"/>
      <c r="AG10" s="220"/>
      <c r="AH10" s="17"/>
      <c r="AI10" s="220"/>
    </row>
    <row r="11" spans="2:35" s="21" customFormat="1" ht="12.75" customHeight="1" thickBot="1" x14ac:dyDescent="0.3">
      <c r="B11" s="254"/>
      <c r="C11" s="224"/>
      <c r="D11" s="224"/>
      <c r="E11" s="224"/>
      <c r="F11" s="224"/>
      <c r="G11" s="224"/>
      <c r="H11" s="224"/>
      <c r="I11" s="226"/>
      <c r="J11" s="226"/>
      <c r="K11" s="226"/>
      <c r="L11" s="22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9"/>
      <c r="Y11" s="232"/>
      <c r="Z11" s="232"/>
      <c r="AA11" s="17"/>
      <c r="AB11" s="222"/>
      <c r="AC11" s="235"/>
      <c r="AD11" s="238"/>
      <c r="AE11" s="222"/>
      <c r="AG11" s="221"/>
      <c r="AH11" s="17"/>
      <c r="AI11" s="22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1" t="s">
        <v>101</v>
      </c>
      <c r="C71" s="251"/>
      <c r="D71" s="251"/>
      <c r="E71" s="251"/>
      <c r="F71" s="251"/>
      <c r="G71" s="25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0</v>
      </c>
      <c r="G73" s="242"/>
      <c r="H73" s="242"/>
      <c r="I73" s="243"/>
      <c r="J73" s="158"/>
      <c r="K73" s="158"/>
      <c r="L73" s="158"/>
      <c r="M73" s="244" t="s">
        <v>103</v>
      </c>
      <c r="N73" s="245"/>
      <c r="O73" s="242">
        <f>SUM(Q12:Q70)</f>
        <v>203796</v>
      </c>
      <c r="P73" s="242"/>
      <c r="Q73" s="243"/>
      <c r="R73" s="152"/>
      <c r="S73" s="159" t="s">
        <v>104</v>
      </c>
      <c r="T73" s="246">
        <f>SUM(Y12:Y68)</f>
        <v>0</v>
      </c>
      <c r="U73" s="24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0</v>
      </c>
      <c r="G75" s="242"/>
      <c r="H75" s="242"/>
      <c r="I75" s="243"/>
      <c r="J75" s="158"/>
      <c r="K75" s="158"/>
      <c r="L75" s="158"/>
      <c r="M75" s="244" t="s">
        <v>103</v>
      </c>
      <c r="N75" s="245"/>
      <c r="O75" s="242">
        <f>SUM(Q14:Q72)</f>
        <v>203796</v>
      </c>
      <c r="P75" s="242"/>
      <c r="Q75" s="243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-203796</v>
      </c>
      <c r="G77" s="242"/>
      <c r="H77" s="242"/>
      <c r="I77" s="243"/>
      <c r="J77" s="164"/>
      <c r="K77" s="164"/>
      <c r="L77" s="164"/>
      <c r="M77" s="267" t="s">
        <v>106</v>
      </c>
      <c r="N77" s="267"/>
      <c r="O77" s="168" t="s">
        <v>107</v>
      </c>
      <c r="P77" s="259"/>
      <c r="Q77" s="260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1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9"/>
      <c r="Q79" s="260"/>
      <c r="R79" s="152"/>
      <c r="S79" s="159" t="s">
        <v>112</v>
      </c>
      <c r="T79" s="246">
        <f>T77+T73+T75</f>
        <v>0</v>
      </c>
      <c r="U79" s="247"/>
      <c r="V79" s="160"/>
      <c r="W79" s="21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3" t="s">
        <v>113</v>
      </c>
      <c r="C81" s="284"/>
      <c r="D81" s="284"/>
      <c r="E81" s="284"/>
      <c r="F81" s="284"/>
      <c r="G81" s="284"/>
      <c r="H81" s="285"/>
      <c r="I81" s="292" t="s">
        <v>114</v>
      </c>
      <c r="J81" s="171"/>
      <c r="K81" s="171"/>
      <c r="L81" s="171"/>
      <c r="M81" s="294"/>
      <c r="N81" s="297" t="s">
        <v>115</v>
      </c>
      <c r="O81" s="300"/>
      <c r="P81" s="294"/>
      <c r="Q81" s="261" t="s">
        <v>116</v>
      </c>
      <c r="R81" s="262"/>
      <c r="S81" s="277"/>
      <c r="T81" s="261" t="s">
        <v>117</v>
      </c>
      <c r="U81" s="280"/>
    </row>
    <row r="82" spans="2:21" ht="15" customHeight="1" x14ac:dyDescent="0.25">
      <c r="B82" s="286"/>
      <c r="C82" s="287"/>
      <c r="D82" s="287"/>
      <c r="E82" s="287"/>
      <c r="F82" s="287"/>
      <c r="G82" s="287"/>
      <c r="H82" s="288"/>
      <c r="I82" s="274"/>
      <c r="J82" s="2"/>
      <c r="K82" s="2"/>
      <c r="L82" s="2"/>
      <c r="M82" s="295"/>
      <c r="N82" s="298"/>
      <c r="O82" s="301"/>
      <c r="P82" s="295"/>
      <c r="Q82" s="263"/>
      <c r="R82" s="264"/>
      <c r="S82" s="278"/>
      <c r="T82" s="263"/>
      <c r="U82" s="281"/>
    </row>
    <row r="83" spans="2:21" ht="15.75" customHeight="1" thickBot="1" x14ac:dyDescent="0.3">
      <c r="B83" s="289"/>
      <c r="C83" s="290"/>
      <c r="D83" s="290"/>
      <c r="E83" s="290"/>
      <c r="F83" s="290"/>
      <c r="G83" s="290"/>
      <c r="H83" s="291"/>
      <c r="I83" s="293"/>
      <c r="J83" s="172"/>
      <c r="K83" s="172"/>
      <c r="L83" s="172"/>
      <c r="M83" s="296"/>
      <c r="N83" s="299"/>
      <c r="O83" s="302"/>
      <c r="P83" s="296"/>
      <c r="Q83" s="265"/>
      <c r="R83" s="266"/>
      <c r="S83" s="279"/>
      <c r="T83" s="265"/>
      <c r="U83" s="28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8" t="s">
        <v>132</v>
      </c>
      <c r="C88" s="269"/>
      <c r="D88" s="269"/>
      <c r="E88" s="269"/>
      <c r="F88" s="269"/>
      <c r="G88" s="269"/>
      <c r="H88" s="269"/>
      <c r="I88" s="270"/>
      <c r="J88" s="185"/>
      <c r="K88" s="185"/>
      <c r="L88" s="185"/>
      <c r="M88" s="268"/>
      <c r="N88" s="269"/>
      <c r="O88" s="269"/>
      <c r="P88" s="269"/>
      <c r="Q88" s="270"/>
      <c r="R88" s="187"/>
      <c r="S88" s="188"/>
      <c r="T88" s="188"/>
      <c r="U88" s="189"/>
    </row>
    <row r="89" spans="2:21" ht="18" x14ac:dyDescent="0.25">
      <c r="B89" s="271" t="s">
        <v>122</v>
      </c>
      <c r="C89" s="272"/>
      <c r="D89" s="272"/>
      <c r="E89" s="272"/>
      <c r="F89" s="272"/>
      <c r="G89" s="272"/>
      <c r="H89" s="272"/>
      <c r="I89" s="273"/>
      <c r="M89" s="271" t="s">
        <v>122</v>
      </c>
      <c r="N89" s="272"/>
      <c r="O89" s="272"/>
      <c r="P89" s="272"/>
      <c r="Q89" s="273"/>
      <c r="R89" s="274" t="s">
        <v>123</v>
      </c>
      <c r="S89" s="275"/>
      <c r="T89" s="275"/>
      <c r="U89" s="27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8" t="s">
        <v>133</v>
      </c>
      <c r="C93" s="269"/>
      <c r="D93" s="269"/>
      <c r="E93" s="269"/>
      <c r="F93" s="269"/>
      <c r="G93" s="269"/>
      <c r="H93" s="269"/>
      <c r="I93" s="27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1" t="s">
        <v>126</v>
      </c>
      <c r="C94" s="272"/>
      <c r="D94" s="272"/>
      <c r="E94" s="272"/>
      <c r="F94" s="272"/>
      <c r="G94" s="272"/>
      <c r="H94" s="272"/>
      <c r="I94" s="273"/>
      <c r="M94" s="179"/>
      <c r="Q94" s="180"/>
      <c r="R94" s="274" t="s">
        <v>127</v>
      </c>
      <c r="S94" s="275"/>
      <c r="T94" s="275"/>
      <c r="U94" s="27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2E19-65CE-4BC8-A129-1FC742D6653D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2" t="s">
        <v>130</v>
      </c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6" t="s">
        <v>1</v>
      </c>
      <c r="U2" s="7"/>
      <c r="W2" s="21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6"/>
      <c r="G4" s="216"/>
      <c r="H4" s="216"/>
      <c r="I4" s="216"/>
      <c r="J4" s="216"/>
      <c r="K4" s="216"/>
      <c r="L4" s="216"/>
      <c r="M4" s="216"/>
      <c r="S4" s="2" t="s">
        <v>4</v>
      </c>
      <c r="T4" s="217"/>
      <c r="U4" s="217"/>
      <c r="W4" s="21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8"/>
      <c r="G6" s="218"/>
      <c r="H6" s="218"/>
      <c r="I6" s="218"/>
      <c r="J6" s="218"/>
      <c r="K6" s="218"/>
      <c r="L6" s="218"/>
      <c r="M6" s="218"/>
      <c r="S6" s="11" t="s">
        <v>6</v>
      </c>
      <c r="T6" s="198" t="s">
        <v>7</v>
      </c>
      <c r="U6" s="12" t="s">
        <v>131</v>
      </c>
      <c r="W6" s="21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8"/>
      <c r="G7" s="218"/>
      <c r="H7" s="218"/>
      <c r="I7" s="218"/>
      <c r="J7" s="218"/>
      <c r="K7" s="218"/>
      <c r="L7" s="218"/>
      <c r="M7" s="218"/>
      <c r="N7" s="14"/>
      <c r="O7" s="14"/>
      <c r="P7" s="14"/>
      <c r="Q7" s="15"/>
      <c r="S7" s="14"/>
      <c r="T7" s="198" t="s">
        <v>11</v>
      </c>
      <c r="U7" s="12"/>
      <c r="W7" s="21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2" t="s">
        <v>14</v>
      </c>
      <c r="C9" s="255" t="s">
        <v>15</v>
      </c>
      <c r="D9" s="255" t="s">
        <v>16</v>
      </c>
      <c r="E9" s="255" t="s">
        <v>17</v>
      </c>
      <c r="F9" s="239" t="s">
        <v>18</v>
      </c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1"/>
      <c r="S9" s="239" t="s">
        <v>19</v>
      </c>
      <c r="T9" s="240"/>
      <c r="U9" s="241"/>
      <c r="X9" s="227" t="s">
        <v>20</v>
      </c>
      <c r="Y9" s="230" t="s">
        <v>21</v>
      </c>
      <c r="Z9" s="230" t="s">
        <v>128</v>
      </c>
      <c r="AA9" s="17"/>
      <c r="AB9" s="219" t="s">
        <v>22</v>
      </c>
      <c r="AC9" s="233" t="s">
        <v>23</v>
      </c>
      <c r="AD9" s="236" t="s">
        <v>24</v>
      </c>
      <c r="AE9" s="219" t="s">
        <v>25</v>
      </c>
      <c r="AG9" s="219" t="s">
        <v>26</v>
      </c>
      <c r="AH9" s="17"/>
      <c r="AI9" s="219" t="s">
        <v>27</v>
      </c>
    </row>
    <row r="10" spans="2:35" s="16" customFormat="1" ht="20.25" customHeight="1" x14ac:dyDescent="0.25">
      <c r="B10" s="253"/>
      <c r="C10" s="256"/>
      <c r="D10" s="256"/>
      <c r="E10" s="256"/>
      <c r="F10" s="223" t="s">
        <v>28</v>
      </c>
      <c r="G10" s="223" t="s">
        <v>29</v>
      </c>
      <c r="H10" s="223" t="s">
        <v>30</v>
      </c>
      <c r="I10" s="225" t="s">
        <v>31</v>
      </c>
      <c r="J10" s="225" t="s">
        <v>32</v>
      </c>
      <c r="K10" s="225" t="s">
        <v>33</v>
      </c>
      <c r="L10" s="225" t="s">
        <v>34</v>
      </c>
      <c r="M10" s="209" t="s">
        <v>35</v>
      </c>
      <c r="N10" s="210"/>
      <c r="O10" s="210"/>
      <c r="P10" s="210"/>
      <c r="Q10" s="211"/>
      <c r="S10" s="248" t="s">
        <v>36</v>
      </c>
      <c r="T10" s="249"/>
      <c r="U10" s="250"/>
      <c r="X10" s="228"/>
      <c r="Y10" s="231"/>
      <c r="Z10" s="231"/>
      <c r="AA10" s="17"/>
      <c r="AB10" s="220"/>
      <c r="AC10" s="234"/>
      <c r="AD10" s="237"/>
      <c r="AE10" s="220"/>
      <c r="AG10" s="220"/>
      <c r="AH10" s="17"/>
      <c r="AI10" s="220"/>
    </row>
    <row r="11" spans="2:35" s="21" customFormat="1" ht="12.75" customHeight="1" thickBot="1" x14ac:dyDescent="0.3">
      <c r="B11" s="254"/>
      <c r="C11" s="224"/>
      <c r="D11" s="224"/>
      <c r="E11" s="224"/>
      <c r="F11" s="224"/>
      <c r="G11" s="224"/>
      <c r="H11" s="224"/>
      <c r="I11" s="226"/>
      <c r="J11" s="226"/>
      <c r="K11" s="226"/>
      <c r="L11" s="22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9"/>
      <c r="Y11" s="232"/>
      <c r="Z11" s="232"/>
      <c r="AA11" s="17"/>
      <c r="AB11" s="222"/>
      <c r="AC11" s="235"/>
      <c r="AD11" s="238"/>
      <c r="AE11" s="222"/>
      <c r="AG11" s="221"/>
      <c r="AH11" s="17"/>
      <c r="AI11" s="22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1" t="s">
        <v>101</v>
      </c>
      <c r="C71" s="251"/>
      <c r="D71" s="251"/>
      <c r="E71" s="251"/>
      <c r="F71" s="251"/>
      <c r="G71" s="25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1397196</v>
      </c>
      <c r="G73" s="242"/>
      <c r="H73" s="242"/>
      <c r="I73" s="243"/>
      <c r="J73" s="158"/>
      <c r="K73" s="158"/>
      <c r="L73" s="158"/>
      <c r="M73" s="244" t="s">
        <v>103</v>
      </c>
      <c r="N73" s="245"/>
      <c r="O73" s="242">
        <f>SUM(Q12:Q70)</f>
        <v>203796</v>
      </c>
      <c r="P73" s="242"/>
      <c r="Q73" s="243"/>
      <c r="R73" s="152"/>
      <c r="S73" s="159" t="s">
        <v>104</v>
      </c>
      <c r="T73" s="246">
        <f>SUM(Y12:Y68)</f>
        <v>54419.040000000001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1397196</v>
      </c>
      <c r="G75" s="242"/>
      <c r="H75" s="242"/>
      <c r="I75" s="243"/>
      <c r="J75" s="158"/>
      <c r="K75" s="158"/>
      <c r="L75" s="158"/>
      <c r="M75" s="244" t="s">
        <v>103</v>
      </c>
      <c r="N75" s="245"/>
      <c r="O75" s="242">
        <f>SUM(Q14:Q72)</f>
        <v>203796</v>
      </c>
      <c r="P75" s="242"/>
      <c r="Q75" s="243"/>
      <c r="R75" s="152"/>
      <c r="S75" s="159" t="s">
        <v>129</v>
      </c>
      <c r="T75" s="246">
        <f>SUM(Z12:Z70)</f>
        <v>6426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444054.95999999996</v>
      </c>
      <c r="G77" s="242"/>
      <c r="H77" s="242"/>
      <c r="I77" s="243"/>
      <c r="J77" s="164"/>
      <c r="K77" s="164"/>
      <c r="L77" s="164"/>
      <c r="M77" s="267" t="s">
        <v>106</v>
      </c>
      <c r="N77" s="267"/>
      <c r="O77" s="168" t="s">
        <v>107</v>
      </c>
      <c r="P77" s="259"/>
      <c r="Q77" s="260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1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9">
        <v>688500</v>
      </c>
      <c r="Q79" s="260"/>
      <c r="R79" s="152"/>
      <c r="S79" s="159" t="s">
        <v>112</v>
      </c>
      <c r="T79" s="246">
        <f>T77+T73+T75</f>
        <v>60845.04</v>
      </c>
      <c r="U79" s="247"/>
      <c r="V79" s="160"/>
      <c r="W79" s="21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3" t="s">
        <v>113</v>
      </c>
      <c r="C81" s="284"/>
      <c r="D81" s="284"/>
      <c r="E81" s="284"/>
      <c r="F81" s="284"/>
      <c r="G81" s="284"/>
      <c r="H81" s="285"/>
      <c r="I81" s="292" t="s">
        <v>114</v>
      </c>
      <c r="J81" s="171"/>
      <c r="K81" s="171"/>
      <c r="L81" s="171"/>
      <c r="M81" s="294"/>
      <c r="N81" s="297" t="s">
        <v>115</v>
      </c>
      <c r="O81" s="300"/>
      <c r="P81" s="294"/>
      <c r="Q81" s="261" t="s">
        <v>116</v>
      </c>
      <c r="R81" s="262"/>
      <c r="S81" s="277"/>
      <c r="T81" s="261" t="s">
        <v>117</v>
      </c>
      <c r="U81" s="280"/>
    </row>
    <row r="82" spans="2:21" ht="15" customHeight="1" x14ac:dyDescent="0.25">
      <c r="B82" s="286"/>
      <c r="C82" s="287"/>
      <c r="D82" s="287"/>
      <c r="E82" s="287"/>
      <c r="F82" s="287"/>
      <c r="G82" s="287"/>
      <c r="H82" s="288"/>
      <c r="I82" s="274"/>
      <c r="J82" s="2"/>
      <c r="K82" s="2"/>
      <c r="L82" s="2"/>
      <c r="M82" s="295"/>
      <c r="N82" s="298"/>
      <c r="O82" s="301"/>
      <c r="P82" s="295"/>
      <c r="Q82" s="263"/>
      <c r="R82" s="264"/>
      <c r="S82" s="278"/>
      <c r="T82" s="263"/>
      <c r="U82" s="281"/>
    </row>
    <row r="83" spans="2:21" ht="15.75" customHeight="1" thickBot="1" x14ac:dyDescent="0.3">
      <c r="B83" s="289"/>
      <c r="C83" s="290"/>
      <c r="D83" s="290"/>
      <c r="E83" s="290"/>
      <c r="F83" s="290"/>
      <c r="G83" s="290"/>
      <c r="H83" s="291"/>
      <c r="I83" s="293"/>
      <c r="J83" s="172"/>
      <c r="K83" s="172"/>
      <c r="L83" s="172"/>
      <c r="M83" s="296"/>
      <c r="N83" s="299"/>
      <c r="O83" s="302"/>
      <c r="P83" s="296"/>
      <c r="Q83" s="265"/>
      <c r="R83" s="266"/>
      <c r="S83" s="279"/>
      <c r="T83" s="265"/>
      <c r="U83" s="28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8" t="s">
        <v>132</v>
      </c>
      <c r="C88" s="269"/>
      <c r="D88" s="269"/>
      <c r="E88" s="269"/>
      <c r="F88" s="269"/>
      <c r="G88" s="269"/>
      <c r="H88" s="269"/>
      <c r="I88" s="270"/>
      <c r="J88" s="185"/>
      <c r="K88" s="185"/>
      <c r="L88" s="185"/>
      <c r="M88" s="268"/>
      <c r="N88" s="269"/>
      <c r="O88" s="269"/>
      <c r="P88" s="269"/>
      <c r="Q88" s="270"/>
      <c r="R88" s="187"/>
      <c r="S88" s="188"/>
      <c r="T88" s="188"/>
      <c r="U88" s="189"/>
    </row>
    <row r="89" spans="2:21" ht="18" x14ac:dyDescent="0.25">
      <c r="B89" s="271" t="s">
        <v>122</v>
      </c>
      <c r="C89" s="272"/>
      <c r="D89" s="272"/>
      <c r="E89" s="272"/>
      <c r="F89" s="272"/>
      <c r="G89" s="272"/>
      <c r="H89" s="272"/>
      <c r="I89" s="273"/>
      <c r="M89" s="271" t="s">
        <v>122</v>
      </c>
      <c r="N89" s="272"/>
      <c r="O89" s="272"/>
      <c r="P89" s="272"/>
      <c r="Q89" s="273"/>
      <c r="R89" s="274" t="s">
        <v>123</v>
      </c>
      <c r="S89" s="275"/>
      <c r="T89" s="275"/>
      <c r="U89" s="27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8" t="s">
        <v>133</v>
      </c>
      <c r="C93" s="269"/>
      <c r="D93" s="269"/>
      <c r="E93" s="269"/>
      <c r="F93" s="269"/>
      <c r="G93" s="269"/>
      <c r="H93" s="269"/>
      <c r="I93" s="27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1" t="s">
        <v>126</v>
      </c>
      <c r="C94" s="272"/>
      <c r="D94" s="272"/>
      <c r="E94" s="272"/>
      <c r="F94" s="272"/>
      <c r="G94" s="272"/>
      <c r="H94" s="272"/>
      <c r="I94" s="273"/>
      <c r="M94" s="179"/>
      <c r="Q94" s="180"/>
      <c r="R94" s="274" t="s">
        <v>127</v>
      </c>
      <c r="S94" s="275"/>
      <c r="T94" s="275"/>
      <c r="U94" s="27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F714-8D6E-43BA-9379-5088DF5609F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2" t="s">
        <v>130</v>
      </c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6" t="s">
        <v>1</v>
      </c>
      <c r="U2" s="7"/>
      <c r="W2" s="21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6"/>
      <c r="G4" s="216"/>
      <c r="H4" s="216"/>
      <c r="I4" s="216"/>
      <c r="J4" s="216"/>
      <c r="K4" s="216"/>
      <c r="L4" s="216"/>
      <c r="M4" s="216"/>
      <c r="S4" s="2" t="s">
        <v>4</v>
      </c>
      <c r="T4" s="217"/>
      <c r="U4" s="217"/>
      <c r="W4" s="21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8"/>
      <c r="G6" s="218"/>
      <c r="H6" s="218"/>
      <c r="I6" s="218"/>
      <c r="J6" s="218"/>
      <c r="K6" s="218"/>
      <c r="L6" s="218"/>
      <c r="M6" s="218"/>
      <c r="S6" s="11" t="s">
        <v>6</v>
      </c>
      <c r="T6" s="199" t="s">
        <v>7</v>
      </c>
      <c r="U6" s="12" t="s">
        <v>131</v>
      </c>
      <c r="W6" s="21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8"/>
      <c r="G7" s="218"/>
      <c r="H7" s="218"/>
      <c r="I7" s="218"/>
      <c r="J7" s="218"/>
      <c r="K7" s="218"/>
      <c r="L7" s="218"/>
      <c r="M7" s="218"/>
      <c r="N7" s="14"/>
      <c r="O7" s="14"/>
      <c r="P7" s="14"/>
      <c r="Q7" s="15"/>
      <c r="S7" s="14"/>
      <c r="T7" s="199" t="s">
        <v>11</v>
      </c>
      <c r="U7" s="12"/>
      <c r="W7" s="21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2" t="s">
        <v>14</v>
      </c>
      <c r="C9" s="255" t="s">
        <v>15</v>
      </c>
      <c r="D9" s="255" t="s">
        <v>16</v>
      </c>
      <c r="E9" s="255" t="s">
        <v>17</v>
      </c>
      <c r="F9" s="239" t="s">
        <v>18</v>
      </c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1"/>
      <c r="S9" s="239" t="s">
        <v>19</v>
      </c>
      <c r="T9" s="240"/>
      <c r="U9" s="241"/>
      <c r="X9" s="227" t="s">
        <v>20</v>
      </c>
      <c r="Y9" s="230" t="s">
        <v>21</v>
      </c>
      <c r="Z9" s="230" t="s">
        <v>128</v>
      </c>
      <c r="AA9" s="17"/>
      <c r="AB9" s="219" t="s">
        <v>22</v>
      </c>
      <c r="AC9" s="233" t="s">
        <v>23</v>
      </c>
      <c r="AD9" s="236" t="s">
        <v>24</v>
      </c>
      <c r="AE9" s="219" t="s">
        <v>25</v>
      </c>
      <c r="AG9" s="219" t="s">
        <v>26</v>
      </c>
      <c r="AH9" s="17"/>
      <c r="AI9" s="219" t="s">
        <v>27</v>
      </c>
    </row>
    <row r="10" spans="2:35" s="16" customFormat="1" ht="20.25" customHeight="1" x14ac:dyDescent="0.25">
      <c r="B10" s="253"/>
      <c r="C10" s="256"/>
      <c r="D10" s="256"/>
      <c r="E10" s="256"/>
      <c r="F10" s="223" t="s">
        <v>28</v>
      </c>
      <c r="G10" s="223" t="s">
        <v>29</v>
      </c>
      <c r="H10" s="223" t="s">
        <v>30</v>
      </c>
      <c r="I10" s="225" t="s">
        <v>31</v>
      </c>
      <c r="J10" s="225" t="s">
        <v>32</v>
      </c>
      <c r="K10" s="225" t="s">
        <v>33</v>
      </c>
      <c r="L10" s="225" t="s">
        <v>34</v>
      </c>
      <c r="M10" s="209" t="s">
        <v>35</v>
      </c>
      <c r="N10" s="210"/>
      <c r="O10" s="210"/>
      <c r="P10" s="210"/>
      <c r="Q10" s="211"/>
      <c r="S10" s="248" t="s">
        <v>36</v>
      </c>
      <c r="T10" s="249"/>
      <c r="U10" s="250"/>
      <c r="X10" s="228"/>
      <c r="Y10" s="231"/>
      <c r="Z10" s="231"/>
      <c r="AA10" s="17"/>
      <c r="AB10" s="220"/>
      <c r="AC10" s="234"/>
      <c r="AD10" s="237"/>
      <c r="AE10" s="220"/>
      <c r="AG10" s="220"/>
      <c r="AH10" s="17"/>
      <c r="AI10" s="220"/>
    </row>
    <row r="11" spans="2:35" s="21" customFormat="1" ht="12.75" customHeight="1" thickBot="1" x14ac:dyDescent="0.3">
      <c r="B11" s="254"/>
      <c r="C11" s="224"/>
      <c r="D11" s="224"/>
      <c r="E11" s="224"/>
      <c r="F11" s="224"/>
      <c r="G11" s="224"/>
      <c r="H11" s="224"/>
      <c r="I11" s="226"/>
      <c r="J11" s="226"/>
      <c r="K11" s="226"/>
      <c r="L11" s="22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9"/>
      <c r="Y11" s="232"/>
      <c r="Z11" s="232"/>
      <c r="AA11" s="17"/>
      <c r="AB11" s="222"/>
      <c r="AC11" s="235"/>
      <c r="AD11" s="238"/>
      <c r="AE11" s="222"/>
      <c r="AG11" s="221"/>
      <c r="AH11" s="17"/>
      <c r="AI11" s="22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1" t="s">
        <v>101</v>
      </c>
      <c r="C71" s="251"/>
      <c r="D71" s="251"/>
      <c r="E71" s="251"/>
      <c r="F71" s="251"/>
      <c r="G71" s="25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1397196</v>
      </c>
      <c r="G73" s="242"/>
      <c r="H73" s="242"/>
      <c r="I73" s="243"/>
      <c r="J73" s="158"/>
      <c r="K73" s="158"/>
      <c r="L73" s="158"/>
      <c r="M73" s="244" t="s">
        <v>103</v>
      </c>
      <c r="N73" s="245"/>
      <c r="O73" s="242">
        <f>SUM(Q12:Q70)</f>
        <v>200880</v>
      </c>
      <c r="P73" s="242"/>
      <c r="Q73" s="243"/>
      <c r="R73" s="152"/>
      <c r="S73" s="159" t="s">
        <v>104</v>
      </c>
      <c r="T73" s="246">
        <f>SUM(Y12:Y68)</f>
        <v>54419.040000000001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1397196</v>
      </c>
      <c r="G75" s="242"/>
      <c r="H75" s="242"/>
      <c r="I75" s="243"/>
      <c r="J75" s="158"/>
      <c r="K75" s="158"/>
      <c r="L75" s="158"/>
      <c r="M75" s="244" t="s">
        <v>103</v>
      </c>
      <c r="N75" s="245"/>
      <c r="O75" s="242">
        <f>SUM(Q14:Q72)</f>
        <v>191808</v>
      </c>
      <c r="P75" s="242"/>
      <c r="Q75" s="243"/>
      <c r="R75" s="152"/>
      <c r="S75" s="159" t="s">
        <v>129</v>
      </c>
      <c r="T75" s="246">
        <f>SUM(Z12:Z70)</f>
        <v>6426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1135470.96</v>
      </c>
      <c r="G77" s="242"/>
      <c r="H77" s="242"/>
      <c r="I77" s="243"/>
      <c r="J77" s="164"/>
      <c r="K77" s="164"/>
      <c r="L77" s="164"/>
      <c r="M77" s="267" t="s">
        <v>106</v>
      </c>
      <c r="N77" s="267"/>
      <c r="O77" s="168" t="s">
        <v>107</v>
      </c>
      <c r="P77" s="259"/>
      <c r="Q77" s="260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1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9"/>
      <c r="Q79" s="260"/>
      <c r="R79" s="152"/>
      <c r="S79" s="159" t="s">
        <v>112</v>
      </c>
      <c r="T79" s="246">
        <f>T77+T73+T75</f>
        <v>60845.04</v>
      </c>
      <c r="U79" s="247"/>
      <c r="V79" s="160"/>
      <c r="W79" s="21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3" t="s">
        <v>113</v>
      </c>
      <c r="C81" s="284"/>
      <c r="D81" s="284"/>
      <c r="E81" s="284"/>
      <c r="F81" s="284"/>
      <c r="G81" s="284"/>
      <c r="H81" s="285"/>
      <c r="I81" s="292" t="s">
        <v>114</v>
      </c>
      <c r="J81" s="171"/>
      <c r="K81" s="171"/>
      <c r="L81" s="171"/>
      <c r="M81" s="294"/>
      <c r="N81" s="297" t="s">
        <v>115</v>
      </c>
      <c r="O81" s="300"/>
      <c r="P81" s="294"/>
      <c r="Q81" s="261" t="s">
        <v>116</v>
      </c>
      <c r="R81" s="262"/>
      <c r="S81" s="277"/>
      <c r="T81" s="261" t="s">
        <v>117</v>
      </c>
      <c r="U81" s="280"/>
    </row>
    <row r="82" spans="2:21" ht="15" customHeight="1" x14ac:dyDescent="0.25">
      <c r="B82" s="286"/>
      <c r="C82" s="287"/>
      <c r="D82" s="287"/>
      <c r="E82" s="287"/>
      <c r="F82" s="287"/>
      <c r="G82" s="287"/>
      <c r="H82" s="288"/>
      <c r="I82" s="274"/>
      <c r="J82" s="2"/>
      <c r="K82" s="2"/>
      <c r="L82" s="2"/>
      <c r="M82" s="295"/>
      <c r="N82" s="298"/>
      <c r="O82" s="301"/>
      <c r="P82" s="295"/>
      <c r="Q82" s="263"/>
      <c r="R82" s="264"/>
      <c r="S82" s="278"/>
      <c r="T82" s="263"/>
      <c r="U82" s="281"/>
    </row>
    <row r="83" spans="2:21" ht="15.75" customHeight="1" thickBot="1" x14ac:dyDescent="0.3">
      <c r="B83" s="289"/>
      <c r="C83" s="290"/>
      <c r="D83" s="290"/>
      <c r="E83" s="290"/>
      <c r="F83" s="290"/>
      <c r="G83" s="290"/>
      <c r="H83" s="291"/>
      <c r="I83" s="293"/>
      <c r="J83" s="172"/>
      <c r="K83" s="172"/>
      <c r="L83" s="172"/>
      <c r="M83" s="296"/>
      <c r="N83" s="299"/>
      <c r="O83" s="302"/>
      <c r="P83" s="296"/>
      <c r="Q83" s="265"/>
      <c r="R83" s="266"/>
      <c r="S83" s="279"/>
      <c r="T83" s="265"/>
      <c r="U83" s="28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8" t="s">
        <v>132</v>
      </c>
      <c r="C88" s="269"/>
      <c r="D88" s="269"/>
      <c r="E88" s="269"/>
      <c r="F88" s="269"/>
      <c r="G88" s="269"/>
      <c r="H88" s="269"/>
      <c r="I88" s="270"/>
      <c r="J88" s="185"/>
      <c r="K88" s="185"/>
      <c r="L88" s="185"/>
      <c r="M88" s="268"/>
      <c r="N88" s="269"/>
      <c r="O88" s="269"/>
      <c r="P88" s="269"/>
      <c r="Q88" s="270"/>
      <c r="R88" s="187"/>
      <c r="S88" s="188"/>
      <c r="T88" s="188"/>
      <c r="U88" s="189"/>
    </row>
    <row r="89" spans="2:21" ht="18" x14ac:dyDescent="0.25">
      <c r="B89" s="271" t="s">
        <v>122</v>
      </c>
      <c r="C89" s="272"/>
      <c r="D89" s="272"/>
      <c r="E89" s="272"/>
      <c r="F89" s="272"/>
      <c r="G89" s="272"/>
      <c r="H89" s="272"/>
      <c r="I89" s="273"/>
      <c r="M89" s="271" t="s">
        <v>122</v>
      </c>
      <c r="N89" s="272"/>
      <c r="O89" s="272"/>
      <c r="P89" s="272"/>
      <c r="Q89" s="273"/>
      <c r="R89" s="274" t="s">
        <v>123</v>
      </c>
      <c r="S89" s="275"/>
      <c r="T89" s="275"/>
      <c r="U89" s="27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8" t="s">
        <v>133</v>
      </c>
      <c r="C93" s="269"/>
      <c r="D93" s="269"/>
      <c r="E93" s="269"/>
      <c r="F93" s="269"/>
      <c r="G93" s="269"/>
      <c r="H93" s="269"/>
      <c r="I93" s="27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1" t="s">
        <v>126</v>
      </c>
      <c r="C94" s="272"/>
      <c r="D94" s="272"/>
      <c r="E94" s="272"/>
      <c r="F94" s="272"/>
      <c r="G94" s="272"/>
      <c r="H94" s="272"/>
      <c r="I94" s="273"/>
      <c r="M94" s="179"/>
      <c r="Q94" s="180"/>
      <c r="R94" s="274" t="s">
        <v>127</v>
      </c>
      <c r="S94" s="275"/>
      <c r="T94" s="275"/>
      <c r="U94" s="27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79D47-2E98-47C1-94C6-BF00E7EDD07E}">
  <sheetPr>
    <tabColor rgb="FF00B050"/>
    <pageSetUpPr fitToPage="1"/>
  </sheetPr>
  <dimension ref="A1:AJ100"/>
  <sheetViews>
    <sheetView showGridLines="0" topLeftCell="A1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2" t="s">
        <v>130</v>
      </c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6" t="s">
        <v>1</v>
      </c>
      <c r="U2" s="7"/>
      <c r="W2" s="21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6"/>
      <c r="G4" s="216"/>
      <c r="H4" s="216"/>
      <c r="I4" s="216"/>
      <c r="J4" s="216"/>
      <c r="K4" s="216"/>
      <c r="L4" s="216"/>
      <c r="M4" s="216"/>
      <c r="S4" s="2" t="s">
        <v>4</v>
      </c>
      <c r="T4" s="217"/>
      <c r="U4" s="217"/>
      <c r="W4" s="21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8"/>
      <c r="G6" s="218"/>
      <c r="H6" s="218"/>
      <c r="I6" s="218"/>
      <c r="J6" s="218"/>
      <c r="K6" s="218"/>
      <c r="L6" s="218"/>
      <c r="M6" s="218"/>
      <c r="S6" s="11" t="s">
        <v>6</v>
      </c>
      <c r="T6" s="200" t="s">
        <v>7</v>
      </c>
      <c r="U6" s="12" t="s">
        <v>131</v>
      </c>
      <c r="W6" s="21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8"/>
      <c r="G7" s="218"/>
      <c r="H7" s="218"/>
      <c r="I7" s="218"/>
      <c r="J7" s="218"/>
      <c r="K7" s="218"/>
      <c r="L7" s="218"/>
      <c r="M7" s="218"/>
      <c r="N7" s="14"/>
      <c r="O7" s="14"/>
      <c r="P7" s="14"/>
      <c r="Q7" s="15"/>
      <c r="S7" s="14"/>
      <c r="T7" s="200" t="s">
        <v>11</v>
      </c>
      <c r="U7" s="12"/>
      <c r="W7" s="21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2" t="s">
        <v>14</v>
      </c>
      <c r="C9" s="255" t="s">
        <v>15</v>
      </c>
      <c r="D9" s="255" t="s">
        <v>16</v>
      </c>
      <c r="E9" s="255" t="s">
        <v>17</v>
      </c>
      <c r="F9" s="239" t="s">
        <v>18</v>
      </c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1"/>
      <c r="S9" s="239" t="s">
        <v>19</v>
      </c>
      <c r="T9" s="240"/>
      <c r="U9" s="241"/>
      <c r="X9" s="227" t="s">
        <v>20</v>
      </c>
      <c r="Y9" s="230" t="s">
        <v>21</v>
      </c>
      <c r="Z9" s="230" t="s">
        <v>128</v>
      </c>
      <c r="AA9" s="17"/>
      <c r="AB9" s="219" t="s">
        <v>22</v>
      </c>
      <c r="AC9" s="233" t="s">
        <v>23</v>
      </c>
      <c r="AD9" s="236" t="s">
        <v>24</v>
      </c>
      <c r="AE9" s="219" t="s">
        <v>25</v>
      </c>
      <c r="AG9" s="219" t="s">
        <v>26</v>
      </c>
      <c r="AH9" s="17"/>
      <c r="AI9" s="219" t="s">
        <v>27</v>
      </c>
    </row>
    <row r="10" spans="2:35" s="16" customFormat="1" ht="20.25" customHeight="1" x14ac:dyDescent="0.25">
      <c r="B10" s="253"/>
      <c r="C10" s="256"/>
      <c r="D10" s="256"/>
      <c r="E10" s="256"/>
      <c r="F10" s="223" t="s">
        <v>28</v>
      </c>
      <c r="G10" s="223" t="s">
        <v>29</v>
      </c>
      <c r="H10" s="223" t="s">
        <v>30</v>
      </c>
      <c r="I10" s="225" t="s">
        <v>31</v>
      </c>
      <c r="J10" s="225" t="s">
        <v>32</v>
      </c>
      <c r="K10" s="225" t="s">
        <v>33</v>
      </c>
      <c r="L10" s="225" t="s">
        <v>34</v>
      </c>
      <c r="M10" s="209" t="s">
        <v>35</v>
      </c>
      <c r="N10" s="210"/>
      <c r="O10" s="210"/>
      <c r="P10" s="210"/>
      <c r="Q10" s="211"/>
      <c r="S10" s="248" t="s">
        <v>36</v>
      </c>
      <c r="T10" s="249"/>
      <c r="U10" s="250"/>
      <c r="X10" s="228"/>
      <c r="Y10" s="231"/>
      <c r="Z10" s="231"/>
      <c r="AA10" s="17"/>
      <c r="AB10" s="220"/>
      <c r="AC10" s="234"/>
      <c r="AD10" s="237"/>
      <c r="AE10" s="220"/>
      <c r="AG10" s="220"/>
      <c r="AH10" s="17"/>
      <c r="AI10" s="220"/>
    </row>
    <row r="11" spans="2:35" s="21" customFormat="1" ht="12.75" customHeight="1" thickBot="1" x14ac:dyDescent="0.3">
      <c r="B11" s="254"/>
      <c r="C11" s="224"/>
      <c r="D11" s="224"/>
      <c r="E11" s="224"/>
      <c r="F11" s="224"/>
      <c r="G11" s="224"/>
      <c r="H11" s="224"/>
      <c r="I11" s="226"/>
      <c r="J11" s="226"/>
      <c r="K11" s="226"/>
      <c r="L11" s="22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9"/>
      <c r="Y11" s="232"/>
      <c r="Z11" s="232"/>
      <c r="AA11" s="17"/>
      <c r="AB11" s="222"/>
      <c r="AC11" s="235"/>
      <c r="AD11" s="238"/>
      <c r="AE11" s="222"/>
      <c r="AG11" s="221"/>
      <c r="AH11" s="17"/>
      <c r="AI11" s="22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1" t="s">
        <v>101</v>
      </c>
      <c r="C71" s="251"/>
      <c r="D71" s="251"/>
      <c r="E71" s="251"/>
      <c r="F71" s="251"/>
      <c r="G71" s="25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1397196</v>
      </c>
      <c r="G73" s="242"/>
      <c r="H73" s="242"/>
      <c r="I73" s="243"/>
      <c r="J73" s="158"/>
      <c r="K73" s="158"/>
      <c r="L73" s="158"/>
      <c r="M73" s="244" t="s">
        <v>103</v>
      </c>
      <c r="N73" s="245"/>
      <c r="O73" s="242">
        <f>SUM(Q12:Q70)</f>
        <v>190512</v>
      </c>
      <c r="P73" s="242"/>
      <c r="Q73" s="243"/>
      <c r="R73" s="152"/>
      <c r="S73" s="159" t="s">
        <v>104</v>
      </c>
      <c r="T73" s="246">
        <f>SUM(Y12:Y68)</f>
        <v>54419.040000000001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1397196</v>
      </c>
      <c r="G75" s="242"/>
      <c r="H75" s="242"/>
      <c r="I75" s="243"/>
      <c r="J75" s="158"/>
      <c r="K75" s="158"/>
      <c r="L75" s="158"/>
      <c r="M75" s="244" t="s">
        <v>103</v>
      </c>
      <c r="N75" s="245"/>
      <c r="O75" s="242">
        <f>SUM(Q14:Q72)</f>
        <v>190512</v>
      </c>
      <c r="P75" s="242"/>
      <c r="Q75" s="243"/>
      <c r="R75" s="152"/>
      <c r="S75" s="159" t="s">
        <v>129</v>
      </c>
      <c r="T75" s="246">
        <f>SUM(Z12:Z70)</f>
        <v>6426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1145838.96</v>
      </c>
      <c r="G77" s="242"/>
      <c r="H77" s="242"/>
      <c r="I77" s="243"/>
      <c r="J77" s="164"/>
      <c r="K77" s="164"/>
      <c r="L77" s="164"/>
      <c r="M77" s="267" t="s">
        <v>106</v>
      </c>
      <c r="N77" s="267"/>
      <c r="O77" s="168" t="s">
        <v>107</v>
      </c>
      <c r="P77" s="259"/>
      <c r="Q77" s="260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1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9"/>
      <c r="Q79" s="260"/>
      <c r="R79" s="152"/>
      <c r="S79" s="159" t="s">
        <v>112</v>
      </c>
      <c r="T79" s="246">
        <f>T77+T73+T75</f>
        <v>60845.04</v>
      </c>
      <c r="U79" s="247"/>
      <c r="V79" s="160"/>
      <c r="W79" s="21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3" t="s">
        <v>113</v>
      </c>
      <c r="C81" s="284"/>
      <c r="D81" s="284"/>
      <c r="E81" s="284"/>
      <c r="F81" s="284"/>
      <c r="G81" s="284"/>
      <c r="H81" s="285"/>
      <c r="I81" s="292" t="s">
        <v>114</v>
      </c>
      <c r="J81" s="171"/>
      <c r="K81" s="171"/>
      <c r="L81" s="171"/>
      <c r="M81" s="294"/>
      <c r="N81" s="297" t="s">
        <v>115</v>
      </c>
      <c r="O81" s="300"/>
      <c r="P81" s="294"/>
      <c r="Q81" s="261" t="s">
        <v>116</v>
      </c>
      <c r="R81" s="262"/>
      <c r="S81" s="277"/>
      <c r="T81" s="261" t="s">
        <v>117</v>
      </c>
      <c r="U81" s="280"/>
    </row>
    <row r="82" spans="2:21" ht="15" customHeight="1" x14ac:dyDescent="0.25">
      <c r="B82" s="286"/>
      <c r="C82" s="287"/>
      <c r="D82" s="287"/>
      <c r="E82" s="287"/>
      <c r="F82" s="287"/>
      <c r="G82" s="287"/>
      <c r="H82" s="288"/>
      <c r="I82" s="274"/>
      <c r="J82" s="2"/>
      <c r="K82" s="2"/>
      <c r="L82" s="2"/>
      <c r="M82" s="295"/>
      <c r="N82" s="298"/>
      <c r="O82" s="301"/>
      <c r="P82" s="295"/>
      <c r="Q82" s="263"/>
      <c r="R82" s="264"/>
      <c r="S82" s="278"/>
      <c r="T82" s="263"/>
      <c r="U82" s="281"/>
    </row>
    <row r="83" spans="2:21" ht="15.75" customHeight="1" thickBot="1" x14ac:dyDescent="0.3">
      <c r="B83" s="289"/>
      <c r="C83" s="290"/>
      <c r="D83" s="290"/>
      <c r="E83" s="290"/>
      <c r="F83" s="290"/>
      <c r="G83" s="290"/>
      <c r="H83" s="291"/>
      <c r="I83" s="293"/>
      <c r="J83" s="172"/>
      <c r="K83" s="172"/>
      <c r="L83" s="172"/>
      <c r="M83" s="296"/>
      <c r="N83" s="299"/>
      <c r="O83" s="302"/>
      <c r="P83" s="296"/>
      <c r="Q83" s="265"/>
      <c r="R83" s="266"/>
      <c r="S83" s="279"/>
      <c r="T83" s="265"/>
      <c r="U83" s="28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8" t="s">
        <v>132</v>
      </c>
      <c r="C88" s="269"/>
      <c r="D88" s="269"/>
      <c r="E88" s="269"/>
      <c r="F88" s="269"/>
      <c r="G88" s="269"/>
      <c r="H88" s="269"/>
      <c r="I88" s="270"/>
      <c r="J88" s="185"/>
      <c r="K88" s="185"/>
      <c r="L88" s="185"/>
      <c r="M88" s="268"/>
      <c r="N88" s="269"/>
      <c r="O88" s="269"/>
      <c r="P88" s="269"/>
      <c r="Q88" s="270"/>
      <c r="R88" s="187"/>
      <c r="S88" s="188"/>
      <c r="T88" s="188"/>
      <c r="U88" s="189"/>
    </row>
    <row r="89" spans="2:21" ht="18" x14ac:dyDescent="0.25">
      <c r="B89" s="271" t="s">
        <v>122</v>
      </c>
      <c r="C89" s="272"/>
      <c r="D89" s="272"/>
      <c r="E89" s="272"/>
      <c r="F89" s="272"/>
      <c r="G89" s="272"/>
      <c r="H89" s="272"/>
      <c r="I89" s="273"/>
      <c r="M89" s="271" t="s">
        <v>122</v>
      </c>
      <c r="N89" s="272"/>
      <c r="O89" s="272"/>
      <c r="P89" s="272"/>
      <c r="Q89" s="273"/>
      <c r="R89" s="274" t="s">
        <v>123</v>
      </c>
      <c r="S89" s="275"/>
      <c r="T89" s="275"/>
      <c r="U89" s="27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8" t="s">
        <v>133</v>
      </c>
      <c r="C93" s="269"/>
      <c r="D93" s="269"/>
      <c r="E93" s="269"/>
      <c r="F93" s="269"/>
      <c r="G93" s="269"/>
      <c r="H93" s="269"/>
      <c r="I93" s="27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1" t="s">
        <v>126</v>
      </c>
      <c r="C94" s="272"/>
      <c r="D94" s="272"/>
      <c r="E94" s="272"/>
      <c r="F94" s="272"/>
      <c r="G94" s="272"/>
      <c r="H94" s="272"/>
      <c r="I94" s="273"/>
      <c r="M94" s="179"/>
      <c r="Q94" s="180"/>
      <c r="R94" s="274" t="s">
        <v>127</v>
      </c>
      <c r="S94" s="275"/>
      <c r="T94" s="275"/>
      <c r="U94" s="27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99F95-62B2-4B70-B50B-D6263FA3A075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N14" sqref="N14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2" t="s">
        <v>130</v>
      </c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6" t="s">
        <v>1</v>
      </c>
      <c r="U2" s="7"/>
      <c r="W2" s="21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6"/>
      <c r="G4" s="216"/>
      <c r="H4" s="216"/>
      <c r="I4" s="216"/>
      <c r="J4" s="216"/>
      <c r="K4" s="216"/>
      <c r="L4" s="216"/>
      <c r="M4" s="216"/>
      <c r="S4" s="2" t="s">
        <v>4</v>
      </c>
      <c r="T4" s="217"/>
      <c r="U4" s="217"/>
      <c r="W4" s="21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8"/>
      <c r="G6" s="218"/>
      <c r="H6" s="218"/>
      <c r="I6" s="218"/>
      <c r="J6" s="218"/>
      <c r="K6" s="218"/>
      <c r="L6" s="218"/>
      <c r="M6" s="218"/>
      <c r="S6" s="11" t="s">
        <v>6</v>
      </c>
      <c r="T6" s="201" t="s">
        <v>7</v>
      </c>
      <c r="U6" s="12" t="s">
        <v>131</v>
      </c>
      <c r="W6" s="21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8"/>
      <c r="G7" s="218"/>
      <c r="H7" s="218"/>
      <c r="I7" s="218"/>
      <c r="J7" s="218"/>
      <c r="K7" s="218"/>
      <c r="L7" s="218"/>
      <c r="M7" s="218"/>
      <c r="N7" s="14"/>
      <c r="O7" s="14"/>
      <c r="P7" s="14"/>
      <c r="Q7" s="15"/>
      <c r="S7" s="14"/>
      <c r="T7" s="201" t="s">
        <v>11</v>
      </c>
      <c r="U7" s="12"/>
      <c r="W7" s="21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2" t="s">
        <v>14</v>
      </c>
      <c r="C9" s="255" t="s">
        <v>15</v>
      </c>
      <c r="D9" s="255" t="s">
        <v>16</v>
      </c>
      <c r="E9" s="255" t="s">
        <v>17</v>
      </c>
      <c r="F9" s="239" t="s">
        <v>18</v>
      </c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1"/>
      <c r="S9" s="239" t="s">
        <v>19</v>
      </c>
      <c r="T9" s="240"/>
      <c r="U9" s="241"/>
      <c r="X9" s="227" t="s">
        <v>20</v>
      </c>
      <c r="Y9" s="230" t="s">
        <v>21</v>
      </c>
      <c r="Z9" s="230" t="s">
        <v>128</v>
      </c>
      <c r="AA9" s="17"/>
      <c r="AB9" s="219" t="s">
        <v>22</v>
      </c>
      <c r="AC9" s="233" t="s">
        <v>23</v>
      </c>
      <c r="AD9" s="236" t="s">
        <v>24</v>
      </c>
      <c r="AE9" s="219" t="s">
        <v>25</v>
      </c>
      <c r="AG9" s="219" t="s">
        <v>26</v>
      </c>
      <c r="AH9" s="17"/>
      <c r="AI9" s="219" t="s">
        <v>27</v>
      </c>
    </row>
    <row r="10" spans="2:35" s="16" customFormat="1" ht="20.25" customHeight="1" x14ac:dyDescent="0.25">
      <c r="B10" s="253"/>
      <c r="C10" s="256"/>
      <c r="D10" s="256"/>
      <c r="E10" s="256"/>
      <c r="F10" s="223" t="s">
        <v>28</v>
      </c>
      <c r="G10" s="223" t="s">
        <v>29</v>
      </c>
      <c r="H10" s="223" t="s">
        <v>30</v>
      </c>
      <c r="I10" s="225" t="s">
        <v>31</v>
      </c>
      <c r="J10" s="225" t="s">
        <v>32</v>
      </c>
      <c r="K10" s="225" t="s">
        <v>33</v>
      </c>
      <c r="L10" s="225" t="s">
        <v>34</v>
      </c>
      <c r="M10" s="209" t="s">
        <v>35</v>
      </c>
      <c r="N10" s="210"/>
      <c r="O10" s="210"/>
      <c r="P10" s="210"/>
      <c r="Q10" s="211"/>
      <c r="S10" s="248" t="s">
        <v>36</v>
      </c>
      <c r="T10" s="249"/>
      <c r="U10" s="250"/>
      <c r="X10" s="228"/>
      <c r="Y10" s="231"/>
      <c r="Z10" s="231"/>
      <c r="AA10" s="17"/>
      <c r="AB10" s="220"/>
      <c r="AC10" s="234"/>
      <c r="AD10" s="237"/>
      <c r="AE10" s="220"/>
      <c r="AG10" s="220"/>
      <c r="AH10" s="17"/>
      <c r="AI10" s="220"/>
    </row>
    <row r="11" spans="2:35" s="21" customFormat="1" ht="12.75" customHeight="1" thickBot="1" x14ac:dyDescent="0.3">
      <c r="B11" s="254"/>
      <c r="C11" s="224"/>
      <c r="D11" s="224"/>
      <c r="E11" s="224"/>
      <c r="F11" s="224"/>
      <c r="G11" s="224"/>
      <c r="H11" s="224"/>
      <c r="I11" s="226"/>
      <c r="J11" s="226"/>
      <c r="K11" s="226"/>
      <c r="L11" s="22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9"/>
      <c r="Y11" s="232"/>
      <c r="Z11" s="232"/>
      <c r="AA11" s="17"/>
      <c r="AB11" s="222"/>
      <c r="AC11" s="235"/>
      <c r="AD11" s="238"/>
      <c r="AE11" s="222"/>
      <c r="AG11" s="221"/>
      <c r="AH11" s="17"/>
      <c r="AI11" s="22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63+252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432</v>
      </c>
      <c r="N16" s="193"/>
      <c r="O16" s="51"/>
      <c r="P16" s="52" t="str">
        <f t="shared" si="5"/>
        <v>4 pallets</v>
      </c>
      <c r="Q16" s="53">
        <f t="shared" si="6"/>
        <v>47952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</f>
        <v>126</v>
      </c>
      <c r="N20" s="66"/>
      <c r="O20" s="51"/>
      <c r="P20" s="52" t="str">
        <f t="shared" si="5"/>
        <v>2 pallets</v>
      </c>
      <c r="Q20" s="53">
        <f t="shared" si="6"/>
        <v>15120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1" t="s">
        <v>101</v>
      </c>
      <c r="C71" s="251"/>
      <c r="D71" s="251"/>
      <c r="E71" s="251"/>
      <c r="F71" s="251"/>
      <c r="G71" s="25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1397196</v>
      </c>
      <c r="G73" s="242"/>
      <c r="H73" s="242"/>
      <c r="I73" s="243"/>
      <c r="J73" s="158"/>
      <c r="K73" s="158"/>
      <c r="L73" s="158"/>
      <c r="M73" s="244" t="s">
        <v>103</v>
      </c>
      <c r="N73" s="245"/>
      <c r="O73" s="242">
        <f>SUM(Q12:Q70)</f>
        <v>141984</v>
      </c>
      <c r="P73" s="242"/>
      <c r="Q73" s="243"/>
      <c r="R73" s="152"/>
      <c r="S73" s="159" t="s">
        <v>104</v>
      </c>
      <c r="T73" s="246">
        <f>SUM(Y12:Y68)</f>
        <v>54419.040000000001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1397196</v>
      </c>
      <c r="G75" s="242"/>
      <c r="H75" s="242"/>
      <c r="I75" s="243"/>
      <c r="J75" s="158"/>
      <c r="K75" s="158"/>
      <c r="L75" s="158"/>
      <c r="M75" s="244" t="s">
        <v>103</v>
      </c>
      <c r="N75" s="245"/>
      <c r="O75" s="242">
        <f>SUM(Q14:Q72)</f>
        <v>108936</v>
      </c>
      <c r="P75" s="242"/>
      <c r="Q75" s="243"/>
      <c r="R75" s="152"/>
      <c r="S75" s="159" t="s">
        <v>129</v>
      </c>
      <c r="T75" s="246">
        <f>SUM(Z12:Z70)</f>
        <v>6426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1194366.96</v>
      </c>
      <c r="G77" s="242"/>
      <c r="H77" s="242"/>
      <c r="I77" s="243"/>
      <c r="J77" s="164"/>
      <c r="K77" s="164"/>
      <c r="L77" s="164"/>
      <c r="M77" s="267" t="s">
        <v>106</v>
      </c>
      <c r="N77" s="267"/>
      <c r="O77" s="168" t="s">
        <v>107</v>
      </c>
      <c r="P77" s="259"/>
      <c r="Q77" s="260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1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9"/>
      <c r="Q79" s="260"/>
      <c r="R79" s="152"/>
      <c r="S79" s="159" t="s">
        <v>112</v>
      </c>
      <c r="T79" s="246">
        <f>T77+T73+T75</f>
        <v>60845.04</v>
      </c>
      <c r="U79" s="247"/>
      <c r="V79" s="160"/>
      <c r="W79" s="21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3" t="s">
        <v>113</v>
      </c>
      <c r="C81" s="284"/>
      <c r="D81" s="284"/>
      <c r="E81" s="284"/>
      <c r="F81" s="284"/>
      <c r="G81" s="284"/>
      <c r="H81" s="285"/>
      <c r="I81" s="292" t="s">
        <v>114</v>
      </c>
      <c r="J81" s="171"/>
      <c r="K81" s="171"/>
      <c r="L81" s="171"/>
      <c r="M81" s="294"/>
      <c r="N81" s="297" t="s">
        <v>115</v>
      </c>
      <c r="O81" s="300"/>
      <c r="P81" s="294"/>
      <c r="Q81" s="261" t="s">
        <v>116</v>
      </c>
      <c r="R81" s="262"/>
      <c r="S81" s="277"/>
      <c r="T81" s="261" t="s">
        <v>117</v>
      </c>
      <c r="U81" s="280"/>
    </row>
    <row r="82" spans="2:21" ht="15" customHeight="1" x14ac:dyDescent="0.25">
      <c r="B82" s="286"/>
      <c r="C82" s="287"/>
      <c r="D82" s="287"/>
      <c r="E82" s="287"/>
      <c r="F82" s="287"/>
      <c r="G82" s="287"/>
      <c r="H82" s="288"/>
      <c r="I82" s="274"/>
      <c r="J82" s="2"/>
      <c r="K82" s="2"/>
      <c r="L82" s="2"/>
      <c r="M82" s="295"/>
      <c r="N82" s="298"/>
      <c r="O82" s="301"/>
      <c r="P82" s="295"/>
      <c r="Q82" s="263"/>
      <c r="R82" s="264"/>
      <c r="S82" s="278"/>
      <c r="T82" s="263"/>
      <c r="U82" s="281"/>
    </row>
    <row r="83" spans="2:21" ht="15.75" customHeight="1" thickBot="1" x14ac:dyDescent="0.3">
      <c r="B83" s="289"/>
      <c r="C83" s="290"/>
      <c r="D83" s="290"/>
      <c r="E83" s="290"/>
      <c r="F83" s="290"/>
      <c r="G83" s="290"/>
      <c r="H83" s="291"/>
      <c r="I83" s="293"/>
      <c r="J83" s="172"/>
      <c r="K83" s="172"/>
      <c r="L83" s="172"/>
      <c r="M83" s="296"/>
      <c r="N83" s="299"/>
      <c r="O83" s="302"/>
      <c r="P83" s="296"/>
      <c r="Q83" s="265"/>
      <c r="R83" s="266"/>
      <c r="S83" s="279"/>
      <c r="T83" s="265"/>
      <c r="U83" s="28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8" t="s">
        <v>132</v>
      </c>
      <c r="C88" s="269"/>
      <c r="D88" s="269"/>
      <c r="E88" s="269"/>
      <c r="F88" s="269"/>
      <c r="G88" s="269"/>
      <c r="H88" s="269"/>
      <c r="I88" s="270"/>
      <c r="J88" s="185"/>
      <c r="K88" s="185"/>
      <c r="L88" s="185"/>
      <c r="M88" s="268"/>
      <c r="N88" s="269"/>
      <c r="O88" s="269"/>
      <c r="P88" s="269"/>
      <c r="Q88" s="270"/>
      <c r="R88" s="187"/>
      <c r="S88" s="188"/>
      <c r="T88" s="188"/>
      <c r="U88" s="189"/>
    </row>
    <row r="89" spans="2:21" ht="18" x14ac:dyDescent="0.25">
      <c r="B89" s="271" t="s">
        <v>122</v>
      </c>
      <c r="C89" s="272"/>
      <c r="D89" s="272"/>
      <c r="E89" s="272"/>
      <c r="F89" s="272"/>
      <c r="G89" s="272"/>
      <c r="H89" s="272"/>
      <c r="I89" s="273"/>
      <c r="M89" s="271" t="s">
        <v>122</v>
      </c>
      <c r="N89" s="272"/>
      <c r="O89" s="272"/>
      <c r="P89" s="272"/>
      <c r="Q89" s="273"/>
      <c r="R89" s="274" t="s">
        <v>123</v>
      </c>
      <c r="S89" s="275"/>
      <c r="T89" s="275"/>
      <c r="U89" s="27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8" t="s">
        <v>133</v>
      </c>
      <c r="C93" s="269"/>
      <c r="D93" s="269"/>
      <c r="E93" s="269"/>
      <c r="F93" s="269"/>
      <c r="G93" s="269"/>
      <c r="H93" s="269"/>
      <c r="I93" s="27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1" t="s">
        <v>126</v>
      </c>
      <c r="C94" s="272"/>
      <c r="D94" s="272"/>
      <c r="E94" s="272"/>
      <c r="F94" s="272"/>
      <c r="G94" s="272"/>
      <c r="H94" s="272"/>
      <c r="I94" s="273"/>
      <c r="M94" s="179"/>
      <c r="Q94" s="180"/>
      <c r="R94" s="274" t="s">
        <v>127</v>
      </c>
      <c r="S94" s="275"/>
      <c r="T94" s="275"/>
      <c r="U94" s="27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76B6-F714-4131-8D26-F35804BDAD89}">
  <sheetPr>
    <tabColor rgb="FF00B050"/>
    <pageSetUpPr fitToPage="1"/>
  </sheetPr>
  <dimension ref="A1:AJ100"/>
  <sheetViews>
    <sheetView showGridLines="0" topLeftCell="A37" zoomScale="85" zoomScaleNormal="85" workbookViewId="0">
      <pane xSplit="2" topLeftCell="F1" activePane="topRight" state="frozen"/>
      <selection activeCell="N14" sqref="N14"/>
      <selection pane="topRight" activeCell="N56" sqref="N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2" t="s">
        <v>130</v>
      </c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6" t="s">
        <v>1</v>
      </c>
      <c r="U2" s="7"/>
      <c r="W2" s="21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6"/>
      <c r="G4" s="216"/>
      <c r="H4" s="216"/>
      <c r="I4" s="216"/>
      <c r="J4" s="216"/>
      <c r="K4" s="216"/>
      <c r="L4" s="216"/>
      <c r="M4" s="216"/>
      <c r="S4" s="2" t="s">
        <v>4</v>
      </c>
      <c r="T4" s="217"/>
      <c r="U4" s="217"/>
      <c r="W4" s="21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8"/>
      <c r="G6" s="218"/>
      <c r="H6" s="218"/>
      <c r="I6" s="218"/>
      <c r="J6" s="218"/>
      <c r="K6" s="218"/>
      <c r="L6" s="218"/>
      <c r="M6" s="218"/>
      <c r="S6" s="11" t="s">
        <v>6</v>
      </c>
      <c r="T6" s="201" t="s">
        <v>7</v>
      </c>
      <c r="U6" s="12" t="s">
        <v>131</v>
      </c>
      <c r="W6" s="21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8"/>
      <c r="G7" s="218"/>
      <c r="H7" s="218"/>
      <c r="I7" s="218"/>
      <c r="J7" s="218"/>
      <c r="K7" s="218"/>
      <c r="L7" s="218"/>
      <c r="M7" s="218"/>
      <c r="N7" s="14"/>
      <c r="O7" s="14"/>
      <c r="P7" s="14"/>
      <c r="Q7" s="15"/>
      <c r="S7" s="14"/>
      <c r="T7" s="201" t="s">
        <v>11</v>
      </c>
      <c r="U7" s="12"/>
      <c r="W7" s="21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2" t="s">
        <v>14</v>
      </c>
      <c r="C9" s="255" t="s">
        <v>15</v>
      </c>
      <c r="D9" s="255" t="s">
        <v>16</v>
      </c>
      <c r="E9" s="255" t="s">
        <v>17</v>
      </c>
      <c r="F9" s="239" t="s">
        <v>18</v>
      </c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1"/>
      <c r="S9" s="239" t="s">
        <v>19</v>
      </c>
      <c r="T9" s="240"/>
      <c r="U9" s="241"/>
      <c r="X9" s="227" t="s">
        <v>20</v>
      </c>
      <c r="Y9" s="230" t="s">
        <v>21</v>
      </c>
      <c r="Z9" s="230" t="s">
        <v>128</v>
      </c>
      <c r="AA9" s="17"/>
      <c r="AB9" s="219" t="s">
        <v>22</v>
      </c>
      <c r="AC9" s="233" t="s">
        <v>23</v>
      </c>
      <c r="AD9" s="236" t="s">
        <v>24</v>
      </c>
      <c r="AE9" s="219" t="s">
        <v>25</v>
      </c>
      <c r="AG9" s="219" t="s">
        <v>26</v>
      </c>
      <c r="AH9" s="17"/>
      <c r="AI9" s="219" t="s">
        <v>27</v>
      </c>
    </row>
    <row r="10" spans="2:35" s="16" customFormat="1" ht="20.25" customHeight="1" x14ac:dyDescent="0.25">
      <c r="B10" s="253"/>
      <c r="C10" s="256"/>
      <c r="D10" s="256"/>
      <c r="E10" s="256"/>
      <c r="F10" s="223" t="s">
        <v>28</v>
      </c>
      <c r="G10" s="223" t="s">
        <v>29</v>
      </c>
      <c r="H10" s="223" t="s">
        <v>30</v>
      </c>
      <c r="I10" s="225" t="s">
        <v>31</v>
      </c>
      <c r="J10" s="225" t="s">
        <v>32</v>
      </c>
      <c r="K10" s="225" t="s">
        <v>33</v>
      </c>
      <c r="L10" s="225" t="s">
        <v>34</v>
      </c>
      <c r="M10" s="209" t="s">
        <v>35</v>
      </c>
      <c r="N10" s="210"/>
      <c r="O10" s="210"/>
      <c r="P10" s="210"/>
      <c r="Q10" s="211"/>
      <c r="S10" s="248" t="s">
        <v>36</v>
      </c>
      <c r="T10" s="249"/>
      <c r="U10" s="250"/>
      <c r="X10" s="228"/>
      <c r="Y10" s="231"/>
      <c r="Z10" s="231"/>
      <c r="AA10" s="17"/>
      <c r="AB10" s="220"/>
      <c r="AC10" s="234"/>
      <c r="AD10" s="237"/>
      <c r="AE10" s="220"/>
      <c r="AG10" s="220"/>
      <c r="AH10" s="17"/>
      <c r="AI10" s="220"/>
    </row>
    <row r="11" spans="2:35" s="21" customFormat="1" ht="12.75" customHeight="1" thickBot="1" x14ac:dyDescent="0.3">
      <c r="B11" s="254"/>
      <c r="C11" s="224"/>
      <c r="D11" s="224"/>
      <c r="E11" s="224"/>
      <c r="F11" s="224"/>
      <c r="G11" s="224"/>
      <c r="H11" s="224"/>
      <c r="I11" s="226"/>
      <c r="J11" s="226"/>
      <c r="K11" s="226"/>
      <c r="L11" s="22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9"/>
      <c r="Y11" s="232"/>
      <c r="Z11" s="232"/>
      <c r="AA11" s="17"/>
      <c r="AB11" s="222"/>
      <c r="AC11" s="235"/>
      <c r="AD11" s="238"/>
      <c r="AE11" s="222"/>
      <c r="AG11" s="221"/>
      <c r="AH11" s="17"/>
      <c r="AI11" s="22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1" t="s">
        <v>101</v>
      </c>
      <c r="C71" s="251"/>
      <c r="D71" s="251"/>
      <c r="E71" s="251"/>
      <c r="F71" s="251"/>
      <c r="G71" s="25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0</v>
      </c>
      <c r="G73" s="242"/>
      <c r="H73" s="242"/>
      <c r="I73" s="243"/>
      <c r="J73" s="158"/>
      <c r="K73" s="158"/>
      <c r="L73" s="158"/>
      <c r="M73" s="244" t="s">
        <v>103</v>
      </c>
      <c r="N73" s="245"/>
      <c r="O73" s="242">
        <f>SUM(Q12:Q70)</f>
        <v>11286</v>
      </c>
      <c r="P73" s="242"/>
      <c r="Q73" s="243"/>
      <c r="R73" s="152"/>
      <c r="S73" s="159" t="s">
        <v>104</v>
      </c>
      <c r="T73" s="246">
        <f>SUM(Y12:Y68)</f>
        <v>0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0</v>
      </c>
      <c r="G75" s="242"/>
      <c r="H75" s="242"/>
      <c r="I75" s="243"/>
      <c r="J75" s="158"/>
      <c r="K75" s="158"/>
      <c r="L75" s="158"/>
      <c r="M75" s="244" t="s">
        <v>103</v>
      </c>
      <c r="N75" s="245"/>
      <c r="O75" s="242">
        <f>SUM(Q14:Q72)</f>
        <v>11286</v>
      </c>
      <c r="P75" s="242"/>
      <c r="Q75" s="243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-11286</v>
      </c>
      <c r="G77" s="242"/>
      <c r="H77" s="242"/>
      <c r="I77" s="243"/>
      <c r="J77" s="164"/>
      <c r="K77" s="164"/>
      <c r="L77" s="164"/>
      <c r="M77" s="267" t="s">
        <v>106</v>
      </c>
      <c r="N77" s="267"/>
      <c r="O77" s="168" t="s">
        <v>107</v>
      </c>
      <c r="P77" s="259"/>
      <c r="Q77" s="260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1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9"/>
      <c r="Q79" s="260"/>
      <c r="R79" s="152"/>
      <c r="S79" s="159" t="s">
        <v>112</v>
      </c>
      <c r="T79" s="246">
        <f>T77+T73+T75</f>
        <v>0</v>
      </c>
      <c r="U79" s="247"/>
      <c r="V79" s="160"/>
      <c r="W79" s="21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3" t="s">
        <v>113</v>
      </c>
      <c r="C81" s="284"/>
      <c r="D81" s="284"/>
      <c r="E81" s="284"/>
      <c r="F81" s="284"/>
      <c r="G81" s="284"/>
      <c r="H81" s="285"/>
      <c r="I81" s="292" t="s">
        <v>114</v>
      </c>
      <c r="J81" s="171"/>
      <c r="K81" s="171"/>
      <c r="L81" s="171"/>
      <c r="M81" s="294"/>
      <c r="N81" s="297" t="s">
        <v>115</v>
      </c>
      <c r="O81" s="300"/>
      <c r="P81" s="294"/>
      <c r="Q81" s="261" t="s">
        <v>116</v>
      </c>
      <c r="R81" s="262"/>
      <c r="S81" s="277"/>
      <c r="T81" s="261" t="s">
        <v>117</v>
      </c>
      <c r="U81" s="280"/>
    </row>
    <row r="82" spans="2:21" ht="15" customHeight="1" x14ac:dyDescent="0.25">
      <c r="B82" s="286"/>
      <c r="C82" s="287"/>
      <c r="D82" s="287"/>
      <c r="E82" s="287"/>
      <c r="F82" s="287"/>
      <c r="G82" s="287"/>
      <c r="H82" s="288"/>
      <c r="I82" s="274"/>
      <c r="J82" s="2"/>
      <c r="K82" s="2"/>
      <c r="L82" s="2"/>
      <c r="M82" s="295"/>
      <c r="N82" s="298"/>
      <c r="O82" s="301"/>
      <c r="P82" s="295"/>
      <c r="Q82" s="263"/>
      <c r="R82" s="264"/>
      <c r="S82" s="278"/>
      <c r="T82" s="263"/>
      <c r="U82" s="281"/>
    </row>
    <row r="83" spans="2:21" ht="15.75" customHeight="1" thickBot="1" x14ac:dyDescent="0.3">
      <c r="B83" s="289"/>
      <c r="C83" s="290"/>
      <c r="D83" s="290"/>
      <c r="E83" s="290"/>
      <c r="F83" s="290"/>
      <c r="G83" s="290"/>
      <c r="H83" s="291"/>
      <c r="I83" s="293"/>
      <c r="J83" s="172"/>
      <c r="K83" s="172"/>
      <c r="L83" s="172"/>
      <c r="M83" s="296"/>
      <c r="N83" s="299"/>
      <c r="O83" s="302"/>
      <c r="P83" s="296"/>
      <c r="Q83" s="265"/>
      <c r="R83" s="266"/>
      <c r="S83" s="279"/>
      <c r="T83" s="265"/>
      <c r="U83" s="28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8" t="s">
        <v>132</v>
      </c>
      <c r="C88" s="269"/>
      <c r="D88" s="269"/>
      <c r="E88" s="269"/>
      <c r="F88" s="269"/>
      <c r="G88" s="269"/>
      <c r="H88" s="269"/>
      <c r="I88" s="270"/>
      <c r="J88" s="185"/>
      <c r="K88" s="185"/>
      <c r="L88" s="185"/>
      <c r="M88" s="268"/>
      <c r="N88" s="269"/>
      <c r="O88" s="269"/>
      <c r="P88" s="269"/>
      <c r="Q88" s="270"/>
      <c r="R88" s="187"/>
      <c r="S88" s="188"/>
      <c r="T88" s="188"/>
      <c r="U88" s="189"/>
    </row>
    <row r="89" spans="2:21" ht="18" x14ac:dyDescent="0.25">
      <c r="B89" s="271" t="s">
        <v>122</v>
      </c>
      <c r="C89" s="272"/>
      <c r="D89" s="272"/>
      <c r="E89" s="272"/>
      <c r="F89" s="272"/>
      <c r="G89" s="272"/>
      <c r="H89" s="272"/>
      <c r="I89" s="273"/>
      <c r="M89" s="271" t="s">
        <v>122</v>
      </c>
      <c r="N89" s="272"/>
      <c r="O89" s="272"/>
      <c r="P89" s="272"/>
      <c r="Q89" s="273"/>
      <c r="R89" s="274" t="s">
        <v>123</v>
      </c>
      <c r="S89" s="275"/>
      <c r="T89" s="275"/>
      <c r="U89" s="27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8" t="s">
        <v>133</v>
      </c>
      <c r="C93" s="269"/>
      <c r="D93" s="269"/>
      <c r="E93" s="269"/>
      <c r="F93" s="269"/>
      <c r="G93" s="269"/>
      <c r="H93" s="269"/>
      <c r="I93" s="27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1" t="s">
        <v>126</v>
      </c>
      <c r="C94" s="272"/>
      <c r="D94" s="272"/>
      <c r="E94" s="272"/>
      <c r="F94" s="272"/>
      <c r="G94" s="272"/>
      <c r="H94" s="272"/>
      <c r="I94" s="273"/>
      <c r="M94" s="179"/>
      <c r="Q94" s="180"/>
      <c r="R94" s="274" t="s">
        <v>127</v>
      </c>
      <c r="S94" s="275"/>
      <c r="T94" s="275"/>
      <c r="U94" s="27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C7F5-F32A-4FE9-98F8-76B2AF55246A}">
  <sheetPr>
    <tabColor rgb="FF00B050"/>
    <pageSetUpPr fitToPage="1"/>
  </sheetPr>
  <dimension ref="A1:AJ100"/>
  <sheetViews>
    <sheetView showGridLines="0" topLeftCell="A22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2" t="s">
        <v>130</v>
      </c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6" t="s">
        <v>1</v>
      </c>
      <c r="U2" s="7"/>
      <c r="W2" s="21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6"/>
      <c r="G4" s="216"/>
      <c r="H4" s="216"/>
      <c r="I4" s="216"/>
      <c r="J4" s="216"/>
      <c r="K4" s="216"/>
      <c r="L4" s="216"/>
      <c r="M4" s="216"/>
      <c r="S4" s="2" t="s">
        <v>4</v>
      </c>
      <c r="T4" s="217"/>
      <c r="U4" s="217"/>
      <c r="W4" s="21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8"/>
      <c r="G6" s="218"/>
      <c r="H6" s="218"/>
      <c r="I6" s="218"/>
      <c r="J6" s="218"/>
      <c r="K6" s="218"/>
      <c r="L6" s="218"/>
      <c r="M6" s="218"/>
      <c r="S6" s="11" t="s">
        <v>6</v>
      </c>
      <c r="T6" s="202" t="s">
        <v>7</v>
      </c>
      <c r="U6" s="12" t="s">
        <v>131</v>
      </c>
      <c r="W6" s="21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8"/>
      <c r="G7" s="218"/>
      <c r="H7" s="218"/>
      <c r="I7" s="218"/>
      <c r="J7" s="218"/>
      <c r="K7" s="218"/>
      <c r="L7" s="218"/>
      <c r="M7" s="218"/>
      <c r="N7" s="14"/>
      <c r="O7" s="14"/>
      <c r="P7" s="14"/>
      <c r="Q7" s="15"/>
      <c r="S7" s="14"/>
      <c r="T7" s="202" t="s">
        <v>11</v>
      </c>
      <c r="U7" s="12"/>
      <c r="W7" s="21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2" t="s">
        <v>14</v>
      </c>
      <c r="C9" s="255" t="s">
        <v>15</v>
      </c>
      <c r="D9" s="255" t="s">
        <v>16</v>
      </c>
      <c r="E9" s="255" t="s">
        <v>17</v>
      </c>
      <c r="F9" s="239" t="s">
        <v>18</v>
      </c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1"/>
      <c r="S9" s="239" t="s">
        <v>19</v>
      </c>
      <c r="T9" s="240"/>
      <c r="U9" s="241"/>
      <c r="X9" s="227" t="s">
        <v>20</v>
      </c>
      <c r="Y9" s="230" t="s">
        <v>21</v>
      </c>
      <c r="Z9" s="230" t="s">
        <v>128</v>
      </c>
      <c r="AA9" s="17"/>
      <c r="AB9" s="219" t="s">
        <v>22</v>
      </c>
      <c r="AC9" s="233" t="s">
        <v>23</v>
      </c>
      <c r="AD9" s="236" t="s">
        <v>24</v>
      </c>
      <c r="AE9" s="219" t="s">
        <v>25</v>
      </c>
      <c r="AG9" s="219" t="s">
        <v>26</v>
      </c>
      <c r="AH9" s="17"/>
      <c r="AI9" s="219" t="s">
        <v>27</v>
      </c>
    </row>
    <row r="10" spans="2:35" s="16" customFormat="1" ht="20.25" customHeight="1" x14ac:dyDescent="0.25">
      <c r="B10" s="253"/>
      <c r="C10" s="256"/>
      <c r="D10" s="256"/>
      <c r="E10" s="256"/>
      <c r="F10" s="223" t="s">
        <v>28</v>
      </c>
      <c r="G10" s="223" t="s">
        <v>29</v>
      </c>
      <c r="H10" s="223" t="s">
        <v>30</v>
      </c>
      <c r="I10" s="225" t="s">
        <v>31</v>
      </c>
      <c r="J10" s="225" t="s">
        <v>32</v>
      </c>
      <c r="K10" s="225" t="s">
        <v>33</v>
      </c>
      <c r="L10" s="225" t="s">
        <v>34</v>
      </c>
      <c r="M10" s="209" t="s">
        <v>35</v>
      </c>
      <c r="N10" s="210"/>
      <c r="O10" s="210"/>
      <c r="P10" s="210"/>
      <c r="Q10" s="211"/>
      <c r="S10" s="248" t="s">
        <v>36</v>
      </c>
      <c r="T10" s="249"/>
      <c r="U10" s="250"/>
      <c r="X10" s="228"/>
      <c r="Y10" s="231"/>
      <c r="Z10" s="231"/>
      <c r="AA10" s="17"/>
      <c r="AB10" s="220"/>
      <c r="AC10" s="234"/>
      <c r="AD10" s="237"/>
      <c r="AE10" s="220"/>
      <c r="AG10" s="220"/>
      <c r="AH10" s="17"/>
      <c r="AI10" s="220"/>
    </row>
    <row r="11" spans="2:35" s="21" customFormat="1" ht="12.75" customHeight="1" thickBot="1" x14ac:dyDescent="0.3">
      <c r="B11" s="254"/>
      <c r="C11" s="224"/>
      <c r="D11" s="224"/>
      <c r="E11" s="224"/>
      <c r="F11" s="224"/>
      <c r="G11" s="224"/>
      <c r="H11" s="224"/>
      <c r="I11" s="226"/>
      <c r="J11" s="226"/>
      <c r="K11" s="226"/>
      <c r="L11" s="22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9"/>
      <c r="Y11" s="232"/>
      <c r="Z11" s="232"/>
      <c r="AA11" s="17"/>
      <c r="AB11" s="222"/>
      <c r="AC11" s="235"/>
      <c r="AD11" s="238"/>
      <c r="AE11" s="222"/>
      <c r="AG11" s="221"/>
      <c r="AH11" s="17"/>
      <c r="AI11" s="22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1080</v>
      </c>
      <c r="N16" s="193"/>
      <c r="O16" s="51"/>
      <c r="P16" s="52" t="str">
        <f t="shared" si="5"/>
        <v>10 pallets</v>
      </c>
      <c r="Q16" s="53">
        <f t="shared" si="6"/>
        <v>119880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1" t="s">
        <v>101</v>
      </c>
      <c r="C71" s="251"/>
      <c r="D71" s="251"/>
      <c r="E71" s="251"/>
      <c r="F71" s="251"/>
      <c r="G71" s="25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0</v>
      </c>
      <c r="G73" s="242"/>
      <c r="H73" s="242"/>
      <c r="I73" s="243"/>
      <c r="J73" s="158"/>
      <c r="K73" s="158"/>
      <c r="L73" s="158"/>
      <c r="M73" s="244" t="s">
        <v>103</v>
      </c>
      <c r="N73" s="245"/>
      <c r="O73" s="242">
        <f>SUM(Q12:Q70)</f>
        <v>175032</v>
      </c>
      <c r="P73" s="242"/>
      <c r="Q73" s="243"/>
      <c r="R73" s="152"/>
      <c r="S73" s="159" t="s">
        <v>104</v>
      </c>
      <c r="T73" s="246">
        <f>SUM(Y12:Y68)</f>
        <v>0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0</v>
      </c>
      <c r="G75" s="242"/>
      <c r="H75" s="242"/>
      <c r="I75" s="243"/>
      <c r="J75" s="158"/>
      <c r="K75" s="158"/>
      <c r="L75" s="158"/>
      <c r="M75" s="244" t="s">
        <v>103</v>
      </c>
      <c r="N75" s="245"/>
      <c r="O75" s="242">
        <f>SUM(Q14:Q72)</f>
        <v>135828</v>
      </c>
      <c r="P75" s="242"/>
      <c r="Q75" s="243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-175032</v>
      </c>
      <c r="G77" s="242"/>
      <c r="H77" s="242"/>
      <c r="I77" s="243"/>
      <c r="J77" s="164"/>
      <c r="K77" s="164"/>
      <c r="L77" s="164"/>
      <c r="M77" s="267" t="s">
        <v>106</v>
      </c>
      <c r="N77" s="267"/>
      <c r="O77" s="168" t="s">
        <v>107</v>
      </c>
      <c r="P77" s="259"/>
      <c r="Q77" s="260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1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9"/>
      <c r="Q79" s="260"/>
      <c r="R79" s="152"/>
      <c r="S79" s="159" t="s">
        <v>112</v>
      </c>
      <c r="T79" s="246">
        <f>T77+T73+T75</f>
        <v>0</v>
      </c>
      <c r="U79" s="247"/>
      <c r="V79" s="160"/>
      <c r="W79" s="21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3" t="s">
        <v>113</v>
      </c>
      <c r="C81" s="284"/>
      <c r="D81" s="284"/>
      <c r="E81" s="284"/>
      <c r="F81" s="284"/>
      <c r="G81" s="284"/>
      <c r="H81" s="285"/>
      <c r="I81" s="292" t="s">
        <v>114</v>
      </c>
      <c r="J81" s="171"/>
      <c r="K81" s="171"/>
      <c r="L81" s="171"/>
      <c r="M81" s="294"/>
      <c r="N81" s="297" t="s">
        <v>115</v>
      </c>
      <c r="O81" s="300"/>
      <c r="P81" s="294"/>
      <c r="Q81" s="261" t="s">
        <v>116</v>
      </c>
      <c r="R81" s="262"/>
      <c r="S81" s="277"/>
      <c r="T81" s="261" t="s">
        <v>117</v>
      </c>
      <c r="U81" s="280"/>
    </row>
    <row r="82" spans="2:21" ht="15" customHeight="1" x14ac:dyDescent="0.25">
      <c r="B82" s="286"/>
      <c r="C82" s="287"/>
      <c r="D82" s="287"/>
      <c r="E82" s="287"/>
      <c r="F82" s="287"/>
      <c r="G82" s="287"/>
      <c r="H82" s="288"/>
      <c r="I82" s="274"/>
      <c r="J82" s="2"/>
      <c r="K82" s="2"/>
      <c r="L82" s="2"/>
      <c r="M82" s="295"/>
      <c r="N82" s="298"/>
      <c r="O82" s="301"/>
      <c r="P82" s="295"/>
      <c r="Q82" s="263"/>
      <c r="R82" s="264"/>
      <c r="S82" s="278"/>
      <c r="T82" s="263"/>
      <c r="U82" s="281"/>
    </row>
    <row r="83" spans="2:21" ht="15.75" customHeight="1" thickBot="1" x14ac:dyDescent="0.3">
      <c r="B83" s="289"/>
      <c r="C83" s="290"/>
      <c r="D83" s="290"/>
      <c r="E83" s="290"/>
      <c r="F83" s="290"/>
      <c r="G83" s="290"/>
      <c r="H83" s="291"/>
      <c r="I83" s="293"/>
      <c r="J83" s="172"/>
      <c r="K83" s="172"/>
      <c r="L83" s="172"/>
      <c r="M83" s="296"/>
      <c r="N83" s="299"/>
      <c r="O83" s="302"/>
      <c r="P83" s="296"/>
      <c r="Q83" s="265"/>
      <c r="R83" s="266"/>
      <c r="S83" s="279"/>
      <c r="T83" s="265"/>
      <c r="U83" s="28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8" t="s">
        <v>132</v>
      </c>
      <c r="C88" s="269"/>
      <c r="D88" s="269"/>
      <c r="E88" s="269"/>
      <c r="F88" s="269"/>
      <c r="G88" s="269"/>
      <c r="H88" s="269"/>
      <c r="I88" s="270"/>
      <c r="J88" s="185"/>
      <c r="K88" s="185"/>
      <c r="L88" s="185"/>
      <c r="M88" s="268"/>
      <c r="N88" s="269"/>
      <c r="O88" s="269"/>
      <c r="P88" s="269"/>
      <c r="Q88" s="270"/>
      <c r="R88" s="187"/>
      <c r="S88" s="188"/>
      <c r="T88" s="188"/>
      <c r="U88" s="189"/>
    </row>
    <row r="89" spans="2:21" ht="18" x14ac:dyDescent="0.25">
      <c r="B89" s="271" t="s">
        <v>122</v>
      </c>
      <c r="C89" s="272"/>
      <c r="D89" s="272"/>
      <c r="E89" s="272"/>
      <c r="F89" s="272"/>
      <c r="G89" s="272"/>
      <c r="H89" s="272"/>
      <c r="I89" s="273"/>
      <c r="M89" s="271" t="s">
        <v>122</v>
      </c>
      <c r="N89" s="272"/>
      <c r="O89" s="272"/>
      <c r="P89" s="272"/>
      <c r="Q89" s="273"/>
      <c r="R89" s="274" t="s">
        <v>123</v>
      </c>
      <c r="S89" s="275"/>
      <c r="T89" s="275"/>
      <c r="U89" s="27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8" t="s">
        <v>133</v>
      </c>
      <c r="C93" s="269"/>
      <c r="D93" s="269"/>
      <c r="E93" s="269"/>
      <c r="F93" s="269"/>
      <c r="G93" s="269"/>
      <c r="H93" s="269"/>
      <c r="I93" s="27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1" t="s">
        <v>126</v>
      </c>
      <c r="C94" s="272"/>
      <c r="D94" s="272"/>
      <c r="E94" s="272"/>
      <c r="F94" s="272"/>
      <c r="G94" s="272"/>
      <c r="H94" s="272"/>
      <c r="I94" s="273"/>
      <c r="M94" s="179"/>
      <c r="Q94" s="180"/>
      <c r="R94" s="274" t="s">
        <v>127</v>
      </c>
      <c r="S94" s="275"/>
      <c r="T94" s="275"/>
      <c r="U94" s="27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1B28-3EFA-4481-BE92-8C35861F5EC6}">
  <sheetPr>
    <tabColor rgb="FF00B050"/>
    <pageSetUpPr fitToPage="1"/>
  </sheetPr>
  <dimension ref="A1:AJ100"/>
  <sheetViews>
    <sheetView showGridLines="0" topLeftCell="A43" zoomScale="85" zoomScaleNormal="85" workbookViewId="0">
      <pane xSplit="2" topLeftCell="F1" activePane="topRight" state="frozen"/>
      <selection activeCell="N14" sqref="N14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2" t="s">
        <v>130</v>
      </c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6" t="s">
        <v>1</v>
      </c>
      <c r="U2" s="7"/>
      <c r="W2" s="21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6"/>
      <c r="G4" s="216"/>
      <c r="H4" s="216"/>
      <c r="I4" s="216"/>
      <c r="J4" s="216"/>
      <c r="K4" s="216"/>
      <c r="L4" s="216"/>
      <c r="M4" s="216"/>
      <c r="S4" s="2" t="s">
        <v>4</v>
      </c>
      <c r="T4" s="217"/>
      <c r="U4" s="217"/>
      <c r="W4" s="21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8"/>
      <c r="G6" s="218"/>
      <c r="H6" s="218"/>
      <c r="I6" s="218"/>
      <c r="J6" s="218"/>
      <c r="K6" s="218"/>
      <c r="L6" s="218"/>
      <c r="M6" s="218"/>
      <c r="S6" s="11" t="s">
        <v>6</v>
      </c>
      <c r="T6" s="202" t="s">
        <v>7</v>
      </c>
      <c r="U6" s="12" t="s">
        <v>131</v>
      </c>
      <c r="W6" s="21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8"/>
      <c r="G7" s="218"/>
      <c r="H7" s="218"/>
      <c r="I7" s="218"/>
      <c r="J7" s="218"/>
      <c r="K7" s="218"/>
      <c r="L7" s="218"/>
      <c r="M7" s="218"/>
      <c r="N7" s="14"/>
      <c r="O7" s="14"/>
      <c r="P7" s="14"/>
      <c r="Q7" s="15"/>
      <c r="S7" s="14"/>
      <c r="T7" s="202" t="s">
        <v>11</v>
      </c>
      <c r="U7" s="12"/>
      <c r="W7" s="21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2" t="s">
        <v>14</v>
      </c>
      <c r="C9" s="255" t="s">
        <v>15</v>
      </c>
      <c r="D9" s="255" t="s">
        <v>16</v>
      </c>
      <c r="E9" s="255" t="s">
        <v>17</v>
      </c>
      <c r="F9" s="239" t="s">
        <v>18</v>
      </c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1"/>
      <c r="S9" s="239" t="s">
        <v>19</v>
      </c>
      <c r="T9" s="240"/>
      <c r="U9" s="241"/>
      <c r="X9" s="227" t="s">
        <v>20</v>
      </c>
      <c r="Y9" s="230" t="s">
        <v>21</v>
      </c>
      <c r="Z9" s="230" t="s">
        <v>128</v>
      </c>
      <c r="AA9" s="17"/>
      <c r="AB9" s="219" t="s">
        <v>22</v>
      </c>
      <c r="AC9" s="233" t="s">
        <v>23</v>
      </c>
      <c r="AD9" s="236" t="s">
        <v>24</v>
      </c>
      <c r="AE9" s="219" t="s">
        <v>25</v>
      </c>
      <c r="AG9" s="219" t="s">
        <v>26</v>
      </c>
      <c r="AH9" s="17"/>
      <c r="AI9" s="219" t="s">
        <v>27</v>
      </c>
    </row>
    <row r="10" spans="2:35" s="16" customFormat="1" ht="20.25" customHeight="1" x14ac:dyDescent="0.25">
      <c r="B10" s="253"/>
      <c r="C10" s="256"/>
      <c r="D10" s="256"/>
      <c r="E10" s="256"/>
      <c r="F10" s="223" t="s">
        <v>28</v>
      </c>
      <c r="G10" s="223" t="s">
        <v>29</v>
      </c>
      <c r="H10" s="223" t="s">
        <v>30</v>
      </c>
      <c r="I10" s="225" t="s">
        <v>31</v>
      </c>
      <c r="J10" s="225" t="s">
        <v>32</v>
      </c>
      <c r="K10" s="225" t="s">
        <v>33</v>
      </c>
      <c r="L10" s="225" t="s">
        <v>34</v>
      </c>
      <c r="M10" s="209" t="s">
        <v>35</v>
      </c>
      <c r="N10" s="210"/>
      <c r="O10" s="210"/>
      <c r="P10" s="210"/>
      <c r="Q10" s="211"/>
      <c r="S10" s="248" t="s">
        <v>36</v>
      </c>
      <c r="T10" s="249"/>
      <c r="U10" s="250"/>
      <c r="X10" s="228"/>
      <c r="Y10" s="231"/>
      <c r="Z10" s="231"/>
      <c r="AA10" s="17"/>
      <c r="AB10" s="220"/>
      <c r="AC10" s="234"/>
      <c r="AD10" s="237"/>
      <c r="AE10" s="220"/>
      <c r="AG10" s="220"/>
      <c r="AH10" s="17"/>
      <c r="AI10" s="220"/>
    </row>
    <row r="11" spans="2:35" s="21" customFormat="1" ht="12.75" customHeight="1" thickBot="1" x14ac:dyDescent="0.3">
      <c r="B11" s="254"/>
      <c r="C11" s="224"/>
      <c r="D11" s="224"/>
      <c r="E11" s="224"/>
      <c r="F11" s="224"/>
      <c r="G11" s="224"/>
      <c r="H11" s="224"/>
      <c r="I11" s="226"/>
      <c r="J11" s="226"/>
      <c r="K11" s="226"/>
      <c r="L11" s="22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9"/>
      <c r="Y11" s="232"/>
      <c r="Z11" s="232"/>
      <c r="AA11" s="17"/>
      <c r="AB11" s="222"/>
      <c r="AC11" s="235"/>
      <c r="AD11" s="238"/>
      <c r="AE11" s="222"/>
      <c r="AG11" s="221"/>
      <c r="AH11" s="17"/>
      <c r="AI11" s="22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1" t="s">
        <v>101</v>
      </c>
      <c r="C71" s="251"/>
      <c r="D71" s="251"/>
      <c r="E71" s="251"/>
      <c r="F71" s="251"/>
      <c r="G71" s="25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0</v>
      </c>
      <c r="G73" s="242"/>
      <c r="H73" s="242"/>
      <c r="I73" s="243"/>
      <c r="J73" s="158"/>
      <c r="K73" s="158"/>
      <c r="L73" s="158"/>
      <c r="M73" s="244" t="s">
        <v>103</v>
      </c>
      <c r="N73" s="245"/>
      <c r="O73" s="242">
        <f>SUM(Q12:Q70)</f>
        <v>5670</v>
      </c>
      <c r="P73" s="242"/>
      <c r="Q73" s="243"/>
      <c r="R73" s="152"/>
      <c r="S73" s="159" t="s">
        <v>104</v>
      </c>
      <c r="T73" s="246">
        <f>SUM(Y12:Y68)</f>
        <v>0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0</v>
      </c>
      <c r="G75" s="242"/>
      <c r="H75" s="242"/>
      <c r="I75" s="243"/>
      <c r="J75" s="158"/>
      <c r="K75" s="158"/>
      <c r="L75" s="158"/>
      <c r="M75" s="244" t="s">
        <v>103</v>
      </c>
      <c r="N75" s="245"/>
      <c r="O75" s="242">
        <f>SUM(Q14:Q72)</f>
        <v>5670</v>
      </c>
      <c r="P75" s="242"/>
      <c r="Q75" s="243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-5670</v>
      </c>
      <c r="G77" s="242"/>
      <c r="H77" s="242"/>
      <c r="I77" s="243"/>
      <c r="J77" s="164"/>
      <c r="K77" s="164"/>
      <c r="L77" s="164"/>
      <c r="M77" s="267" t="s">
        <v>106</v>
      </c>
      <c r="N77" s="267"/>
      <c r="O77" s="168" t="s">
        <v>107</v>
      </c>
      <c r="P77" s="259"/>
      <c r="Q77" s="260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1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9"/>
      <c r="Q79" s="260"/>
      <c r="R79" s="152"/>
      <c r="S79" s="159" t="s">
        <v>112</v>
      </c>
      <c r="T79" s="246">
        <f>T77+T73+T75</f>
        <v>0</v>
      </c>
      <c r="U79" s="247"/>
      <c r="V79" s="160"/>
      <c r="W79" s="21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3" t="s">
        <v>113</v>
      </c>
      <c r="C81" s="284"/>
      <c r="D81" s="284"/>
      <c r="E81" s="284"/>
      <c r="F81" s="284"/>
      <c r="G81" s="284"/>
      <c r="H81" s="285"/>
      <c r="I81" s="292" t="s">
        <v>114</v>
      </c>
      <c r="J81" s="171"/>
      <c r="K81" s="171"/>
      <c r="L81" s="171"/>
      <c r="M81" s="294"/>
      <c r="N81" s="297" t="s">
        <v>115</v>
      </c>
      <c r="O81" s="300"/>
      <c r="P81" s="294"/>
      <c r="Q81" s="261" t="s">
        <v>116</v>
      </c>
      <c r="R81" s="262"/>
      <c r="S81" s="277"/>
      <c r="T81" s="261" t="s">
        <v>117</v>
      </c>
      <c r="U81" s="280"/>
    </row>
    <row r="82" spans="2:21" ht="15" customHeight="1" x14ac:dyDescent="0.25">
      <c r="B82" s="286"/>
      <c r="C82" s="287"/>
      <c r="D82" s="287"/>
      <c r="E82" s="287"/>
      <c r="F82" s="287"/>
      <c r="G82" s="287"/>
      <c r="H82" s="288"/>
      <c r="I82" s="274"/>
      <c r="J82" s="2"/>
      <c r="K82" s="2"/>
      <c r="L82" s="2"/>
      <c r="M82" s="295"/>
      <c r="N82" s="298"/>
      <c r="O82" s="301"/>
      <c r="P82" s="295"/>
      <c r="Q82" s="263"/>
      <c r="R82" s="264"/>
      <c r="S82" s="278"/>
      <c r="T82" s="263"/>
      <c r="U82" s="281"/>
    </row>
    <row r="83" spans="2:21" ht="15.75" customHeight="1" thickBot="1" x14ac:dyDescent="0.3">
      <c r="B83" s="289"/>
      <c r="C83" s="290"/>
      <c r="D83" s="290"/>
      <c r="E83" s="290"/>
      <c r="F83" s="290"/>
      <c r="G83" s="290"/>
      <c r="H83" s="291"/>
      <c r="I83" s="293"/>
      <c r="J83" s="172"/>
      <c r="K83" s="172"/>
      <c r="L83" s="172"/>
      <c r="M83" s="296"/>
      <c r="N83" s="299"/>
      <c r="O83" s="302"/>
      <c r="P83" s="296"/>
      <c r="Q83" s="265"/>
      <c r="R83" s="266"/>
      <c r="S83" s="279"/>
      <c r="T83" s="265"/>
      <c r="U83" s="28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8" t="s">
        <v>132</v>
      </c>
      <c r="C88" s="269"/>
      <c r="D88" s="269"/>
      <c r="E88" s="269"/>
      <c r="F88" s="269"/>
      <c r="G88" s="269"/>
      <c r="H88" s="269"/>
      <c r="I88" s="270"/>
      <c r="J88" s="185"/>
      <c r="K88" s="185"/>
      <c r="L88" s="185"/>
      <c r="M88" s="268"/>
      <c r="N88" s="269"/>
      <c r="O88" s="269"/>
      <c r="P88" s="269"/>
      <c r="Q88" s="270"/>
      <c r="R88" s="187"/>
      <c r="S88" s="188"/>
      <c r="T88" s="188"/>
      <c r="U88" s="189"/>
    </row>
    <row r="89" spans="2:21" ht="18" x14ac:dyDescent="0.25">
      <c r="B89" s="271" t="s">
        <v>122</v>
      </c>
      <c r="C89" s="272"/>
      <c r="D89" s="272"/>
      <c r="E89" s="272"/>
      <c r="F89" s="272"/>
      <c r="G89" s="272"/>
      <c r="H89" s="272"/>
      <c r="I89" s="273"/>
      <c r="M89" s="271" t="s">
        <v>122</v>
      </c>
      <c r="N89" s="272"/>
      <c r="O89" s="272"/>
      <c r="P89" s="272"/>
      <c r="Q89" s="273"/>
      <c r="R89" s="274" t="s">
        <v>123</v>
      </c>
      <c r="S89" s="275"/>
      <c r="T89" s="275"/>
      <c r="U89" s="27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8" t="s">
        <v>133</v>
      </c>
      <c r="C93" s="269"/>
      <c r="D93" s="269"/>
      <c r="E93" s="269"/>
      <c r="F93" s="269"/>
      <c r="G93" s="269"/>
      <c r="H93" s="269"/>
      <c r="I93" s="27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1" t="s">
        <v>126</v>
      </c>
      <c r="C94" s="272"/>
      <c r="D94" s="272"/>
      <c r="E94" s="272"/>
      <c r="F94" s="272"/>
      <c r="G94" s="272"/>
      <c r="H94" s="272"/>
      <c r="I94" s="273"/>
      <c r="M94" s="179"/>
      <c r="Q94" s="180"/>
      <c r="R94" s="274" t="s">
        <v>127</v>
      </c>
      <c r="S94" s="275"/>
      <c r="T94" s="275"/>
      <c r="U94" s="27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FED71-2683-44BB-AE96-534F7291C552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P87" sqref="P8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2" t="s">
        <v>130</v>
      </c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6" t="s">
        <v>1</v>
      </c>
      <c r="U2" s="7"/>
      <c r="W2" s="21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6"/>
      <c r="G4" s="216"/>
      <c r="H4" s="216"/>
      <c r="I4" s="216"/>
      <c r="J4" s="216"/>
      <c r="K4" s="216"/>
      <c r="L4" s="216"/>
      <c r="M4" s="216"/>
      <c r="S4" s="2" t="s">
        <v>4</v>
      </c>
      <c r="T4" s="217"/>
      <c r="U4" s="217"/>
      <c r="W4" s="21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8"/>
      <c r="G6" s="218"/>
      <c r="H6" s="218"/>
      <c r="I6" s="218"/>
      <c r="J6" s="218"/>
      <c r="K6" s="218"/>
      <c r="L6" s="218"/>
      <c r="M6" s="218"/>
      <c r="S6" s="11" t="s">
        <v>6</v>
      </c>
      <c r="T6" s="203" t="s">
        <v>7</v>
      </c>
      <c r="U6" s="12" t="s">
        <v>131</v>
      </c>
      <c r="W6" s="21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8"/>
      <c r="G7" s="218"/>
      <c r="H7" s="218"/>
      <c r="I7" s="218"/>
      <c r="J7" s="218"/>
      <c r="K7" s="218"/>
      <c r="L7" s="218"/>
      <c r="M7" s="218"/>
      <c r="N7" s="14"/>
      <c r="O7" s="14"/>
      <c r="P7" s="14"/>
      <c r="Q7" s="15"/>
      <c r="S7" s="14"/>
      <c r="T7" s="203" t="s">
        <v>11</v>
      </c>
      <c r="U7" s="12"/>
      <c r="W7" s="21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2" t="s">
        <v>14</v>
      </c>
      <c r="C9" s="255" t="s">
        <v>15</v>
      </c>
      <c r="D9" s="255" t="s">
        <v>16</v>
      </c>
      <c r="E9" s="255" t="s">
        <v>17</v>
      </c>
      <c r="F9" s="239" t="s">
        <v>18</v>
      </c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1"/>
      <c r="S9" s="239" t="s">
        <v>19</v>
      </c>
      <c r="T9" s="240"/>
      <c r="U9" s="241"/>
      <c r="X9" s="227" t="s">
        <v>20</v>
      </c>
      <c r="Y9" s="230" t="s">
        <v>21</v>
      </c>
      <c r="Z9" s="230" t="s">
        <v>128</v>
      </c>
      <c r="AA9" s="17"/>
      <c r="AB9" s="219" t="s">
        <v>22</v>
      </c>
      <c r="AC9" s="233" t="s">
        <v>23</v>
      </c>
      <c r="AD9" s="236" t="s">
        <v>24</v>
      </c>
      <c r="AE9" s="219" t="s">
        <v>25</v>
      </c>
      <c r="AG9" s="219" t="s">
        <v>26</v>
      </c>
      <c r="AH9" s="17"/>
      <c r="AI9" s="219" t="s">
        <v>27</v>
      </c>
    </row>
    <row r="10" spans="2:35" s="16" customFormat="1" ht="20.25" customHeight="1" x14ac:dyDescent="0.25">
      <c r="B10" s="253"/>
      <c r="C10" s="256"/>
      <c r="D10" s="256"/>
      <c r="E10" s="256"/>
      <c r="F10" s="223" t="s">
        <v>28</v>
      </c>
      <c r="G10" s="223" t="s">
        <v>29</v>
      </c>
      <c r="H10" s="223" t="s">
        <v>30</v>
      </c>
      <c r="I10" s="225" t="s">
        <v>31</v>
      </c>
      <c r="J10" s="225" t="s">
        <v>32</v>
      </c>
      <c r="K10" s="225" t="s">
        <v>33</v>
      </c>
      <c r="L10" s="225" t="s">
        <v>34</v>
      </c>
      <c r="M10" s="209" t="s">
        <v>35</v>
      </c>
      <c r="N10" s="210"/>
      <c r="O10" s="210"/>
      <c r="P10" s="210"/>
      <c r="Q10" s="211"/>
      <c r="S10" s="248" t="s">
        <v>36</v>
      </c>
      <c r="T10" s="249"/>
      <c r="U10" s="250"/>
      <c r="X10" s="228"/>
      <c r="Y10" s="231"/>
      <c r="Z10" s="231"/>
      <c r="AA10" s="17"/>
      <c r="AB10" s="220"/>
      <c r="AC10" s="234"/>
      <c r="AD10" s="237"/>
      <c r="AE10" s="220"/>
      <c r="AG10" s="220"/>
      <c r="AH10" s="17"/>
      <c r="AI10" s="220"/>
    </row>
    <row r="11" spans="2:35" s="21" customFormat="1" ht="12.75" customHeight="1" thickBot="1" x14ac:dyDescent="0.3">
      <c r="B11" s="254"/>
      <c r="C11" s="224"/>
      <c r="D11" s="224"/>
      <c r="E11" s="224"/>
      <c r="F11" s="224"/>
      <c r="G11" s="224"/>
      <c r="H11" s="224"/>
      <c r="I11" s="226"/>
      <c r="J11" s="226"/>
      <c r="K11" s="226"/>
      <c r="L11" s="22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9"/>
      <c r="Y11" s="232"/>
      <c r="Z11" s="232"/>
      <c r="AA11" s="17"/>
      <c r="AB11" s="222"/>
      <c r="AC11" s="235"/>
      <c r="AD11" s="238"/>
      <c r="AE11" s="222"/>
      <c r="AG11" s="221"/>
      <c r="AH11" s="17"/>
      <c r="AI11" s="22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2020.41</v>
      </c>
      <c r="Z20" s="36">
        <f t="shared" si="8"/>
        <v>220.5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1" t="s">
        <v>101</v>
      </c>
      <c r="C71" s="251"/>
      <c r="D71" s="251"/>
      <c r="E71" s="251"/>
      <c r="F71" s="251"/>
      <c r="G71" s="25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1377504</v>
      </c>
      <c r="G73" s="242"/>
      <c r="H73" s="242"/>
      <c r="I73" s="243"/>
      <c r="J73" s="158"/>
      <c r="K73" s="158"/>
      <c r="L73" s="158"/>
      <c r="M73" s="244" t="s">
        <v>103</v>
      </c>
      <c r="N73" s="245"/>
      <c r="O73" s="242">
        <f>SUM(Q12:Q70)</f>
        <v>203796</v>
      </c>
      <c r="P73" s="242"/>
      <c r="Q73" s="243"/>
      <c r="R73" s="152"/>
      <c r="S73" s="159" t="s">
        <v>104</v>
      </c>
      <c r="T73" s="246">
        <f>SUM(Y12:Y68)</f>
        <v>53238.33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1377504</v>
      </c>
      <c r="G75" s="242"/>
      <c r="H75" s="242"/>
      <c r="I75" s="243"/>
      <c r="J75" s="158"/>
      <c r="K75" s="158"/>
      <c r="L75" s="158"/>
      <c r="M75" s="244" t="s">
        <v>103</v>
      </c>
      <c r="N75" s="245"/>
      <c r="O75" s="242">
        <f>SUM(Q14:Q72)</f>
        <v>203796</v>
      </c>
      <c r="P75" s="242"/>
      <c r="Q75" s="243"/>
      <c r="R75" s="152"/>
      <c r="S75" s="159" t="s">
        <v>129</v>
      </c>
      <c r="T75" s="246">
        <f>SUM(Z12:Z70)</f>
        <v>6268.5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771771.40999999992</v>
      </c>
      <c r="G77" s="242"/>
      <c r="H77" s="242"/>
      <c r="I77" s="243"/>
      <c r="J77" s="164"/>
      <c r="K77" s="164"/>
      <c r="L77" s="164"/>
      <c r="M77" s="267" t="s">
        <v>106</v>
      </c>
      <c r="N77" s="267"/>
      <c r="O77" s="168" t="s">
        <v>107</v>
      </c>
      <c r="P77" s="259">
        <v>25568</v>
      </c>
      <c r="Q77" s="260"/>
      <c r="R77" s="152"/>
      <c r="S77" s="159" t="s">
        <v>108</v>
      </c>
      <c r="T77" s="246">
        <f>IF(SUM(X12:X68)*0.15&gt;P77,P77,SUM(X12:X68)*0.15)</f>
        <v>25568</v>
      </c>
      <c r="U77" s="247"/>
      <c r="V77" s="160"/>
      <c r="W77" s="21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9">
        <f>197532+119329.76</f>
        <v>316861.76</v>
      </c>
      <c r="Q79" s="260"/>
      <c r="R79" s="152"/>
      <c r="S79" s="159" t="s">
        <v>112</v>
      </c>
      <c r="T79" s="246">
        <f>T77+T73+T75</f>
        <v>85074.83</v>
      </c>
      <c r="U79" s="247"/>
      <c r="V79" s="160"/>
      <c r="W79" s="21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3" t="s">
        <v>113</v>
      </c>
      <c r="C81" s="284"/>
      <c r="D81" s="284"/>
      <c r="E81" s="284"/>
      <c r="F81" s="284"/>
      <c r="G81" s="284"/>
      <c r="H81" s="285"/>
      <c r="I81" s="292" t="s">
        <v>114</v>
      </c>
      <c r="J81" s="171"/>
      <c r="K81" s="171"/>
      <c r="L81" s="171"/>
      <c r="M81" s="294"/>
      <c r="N81" s="297" t="s">
        <v>115</v>
      </c>
      <c r="O81" s="300"/>
      <c r="P81" s="294"/>
      <c r="Q81" s="261" t="s">
        <v>116</v>
      </c>
      <c r="R81" s="262"/>
      <c r="S81" s="277"/>
      <c r="T81" s="261" t="s">
        <v>117</v>
      </c>
      <c r="U81" s="280"/>
    </row>
    <row r="82" spans="2:21" ht="15" customHeight="1" x14ac:dyDescent="0.25">
      <c r="B82" s="286"/>
      <c r="C82" s="287"/>
      <c r="D82" s="287"/>
      <c r="E82" s="287"/>
      <c r="F82" s="287"/>
      <c r="G82" s="287"/>
      <c r="H82" s="288"/>
      <c r="I82" s="274"/>
      <c r="J82" s="2"/>
      <c r="K82" s="2"/>
      <c r="L82" s="2"/>
      <c r="M82" s="295"/>
      <c r="N82" s="298"/>
      <c r="O82" s="301"/>
      <c r="P82" s="295"/>
      <c r="Q82" s="263"/>
      <c r="R82" s="264"/>
      <c r="S82" s="278"/>
      <c r="T82" s="263"/>
      <c r="U82" s="281"/>
    </row>
    <row r="83" spans="2:21" ht="15.75" customHeight="1" thickBot="1" x14ac:dyDescent="0.3">
      <c r="B83" s="289"/>
      <c r="C83" s="290"/>
      <c r="D83" s="290"/>
      <c r="E83" s="290"/>
      <c r="F83" s="290"/>
      <c r="G83" s="290"/>
      <c r="H83" s="291"/>
      <c r="I83" s="293"/>
      <c r="J83" s="172"/>
      <c r="K83" s="172"/>
      <c r="L83" s="172"/>
      <c r="M83" s="296"/>
      <c r="N83" s="299"/>
      <c r="O83" s="302"/>
      <c r="P83" s="296"/>
      <c r="Q83" s="265"/>
      <c r="R83" s="266"/>
      <c r="S83" s="279"/>
      <c r="T83" s="265"/>
      <c r="U83" s="28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8" t="s">
        <v>132</v>
      </c>
      <c r="C88" s="269"/>
      <c r="D88" s="269"/>
      <c r="E88" s="269"/>
      <c r="F88" s="269"/>
      <c r="G88" s="269"/>
      <c r="H88" s="269"/>
      <c r="I88" s="270"/>
      <c r="J88" s="185"/>
      <c r="K88" s="185"/>
      <c r="L88" s="185"/>
      <c r="M88" s="268"/>
      <c r="N88" s="269"/>
      <c r="O88" s="269"/>
      <c r="P88" s="269"/>
      <c r="Q88" s="270"/>
      <c r="R88" s="187"/>
      <c r="S88" s="188"/>
      <c r="T88" s="188"/>
      <c r="U88" s="189"/>
    </row>
    <row r="89" spans="2:21" ht="18" x14ac:dyDescent="0.25">
      <c r="B89" s="271" t="s">
        <v>122</v>
      </c>
      <c r="C89" s="272"/>
      <c r="D89" s="272"/>
      <c r="E89" s="272"/>
      <c r="F89" s="272"/>
      <c r="G89" s="272"/>
      <c r="H89" s="272"/>
      <c r="I89" s="273"/>
      <c r="M89" s="271" t="s">
        <v>122</v>
      </c>
      <c r="N89" s="272"/>
      <c r="O89" s="272"/>
      <c r="P89" s="272"/>
      <c r="Q89" s="273"/>
      <c r="R89" s="274" t="s">
        <v>123</v>
      </c>
      <c r="S89" s="275"/>
      <c r="T89" s="275"/>
      <c r="U89" s="27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8" t="s">
        <v>133</v>
      </c>
      <c r="C93" s="269"/>
      <c r="D93" s="269"/>
      <c r="E93" s="269"/>
      <c r="F93" s="269"/>
      <c r="G93" s="269"/>
      <c r="H93" s="269"/>
      <c r="I93" s="27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1" t="s">
        <v>126</v>
      </c>
      <c r="C94" s="272"/>
      <c r="D94" s="272"/>
      <c r="E94" s="272"/>
      <c r="F94" s="272"/>
      <c r="G94" s="272"/>
      <c r="H94" s="272"/>
      <c r="I94" s="273"/>
      <c r="M94" s="179"/>
      <c r="Q94" s="180"/>
      <c r="R94" s="274" t="s">
        <v>127</v>
      </c>
      <c r="S94" s="275"/>
      <c r="T94" s="275"/>
      <c r="U94" s="27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CE033-2E5B-4DE4-92C2-A147BAF4630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2" t="s">
        <v>130</v>
      </c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6" t="s">
        <v>1</v>
      </c>
      <c r="U2" s="7"/>
      <c r="W2" s="21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6"/>
      <c r="G4" s="216"/>
      <c r="H4" s="216"/>
      <c r="I4" s="216"/>
      <c r="J4" s="216"/>
      <c r="K4" s="216"/>
      <c r="L4" s="216"/>
      <c r="M4" s="216"/>
      <c r="S4" s="2" t="s">
        <v>4</v>
      </c>
      <c r="T4" s="217"/>
      <c r="U4" s="217"/>
      <c r="W4" s="21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8"/>
      <c r="G6" s="218"/>
      <c r="H6" s="218"/>
      <c r="I6" s="218"/>
      <c r="J6" s="218"/>
      <c r="K6" s="218"/>
      <c r="L6" s="218"/>
      <c r="M6" s="218"/>
      <c r="S6" s="11" t="s">
        <v>6</v>
      </c>
      <c r="T6" s="204" t="s">
        <v>7</v>
      </c>
      <c r="U6" s="12" t="s">
        <v>131</v>
      </c>
      <c r="W6" s="21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8"/>
      <c r="G7" s="218"/>
      <c r="H7" s="218"/>
      <c r="I7" s="218"/>
      <c r="J7" s="218"/>
      <c r="K7" s="218"/>
      <c r="L7" s="218"/>
      <c r="M7" s="218"/>
      <c r="N7" s="14"/>
      <c r="O7" s="14"/>
      <c r="P7" s="14"/>
      <c r="Q7" s="15"/>
      <c r="S7" s="14"/>
      <c r="T7" s="204" t="s">
        <v>11</v>
      </c>
      <c r="U7" s="12"/>
      <c r="W7" s="21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2" t="s">
        <v>14</v>
      </c>
      <c r="C9" s="255" t="s">
        <v>15</v>
      </c>
      <c r="D9" s="255" t="s">
        <v>16</v>
      </c>
      <c r="E9" s="255" t="s">
        <v>17</v>
      </c>
      <c r="F9" s="239" t="s">
        <v>18</v>
      </c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1"/>
      <c r="S9" s="239" t="s">
        <v>19</v>
      </c>
      <c r="T9" s="240"/>
      <c r="U9" s="241"/>
      <c r="X9" s="227" t="s">
        <v>20</v>
      </c>
      <c r="Y9" s="230" t="s">
        <v>21</v>
      </c>
      <c r="Z9" s="230" t="s">
        <v>128</v>
      </c>
      <c r="AA9" s="17"/>
      <c r="AB9" s="219" t="s">
        <v>22</v>
      </c>
      <c r="AC9" s="233" t="s">
        <v>23</v>
      </c>
      <c r="AD9" s="236" t="s">
        <v>24</v>
      </c>
      <c r="AE9" s="219" t="s">
        <v>25</v>
      </c>
      <c r="AG9" s="219" t="s">
        <v>26</v>
      </c>
      <c r="AH9" s="17"/>
      <c r="AI9" s="219" t="s">
        <v>27</v>
      </c>
    </row>
    <row r="10" spans="2:35" s="16" customFormat="1" ht="20.25" customHeight="1" x14ac:dyDescent="0.25">
      <c r="B10" s="253"/>
      <c r="C10" s="256"/>
      <c r="D10" s="256"/>
      <c r="E10" s="256"/>
      <c r="F10" s="223" t="s">
        <v>28</v>
      </c>
      <c r="G10" s="223" t="s">
        <v>29</v>
      </c>
      <c r="H10" s="223" t="s">
        <v>30</v>
      </c>
      <c r="I10" s="225" t="s">
        <v>31</v>
      </c>
      <c r="J10" s="225" t="s">
        <v>32</v>
      </c>
      <c r="K10" s="225" t="s">
        <v>33</v>
      </c>
      <c r="L10" s="225" t="s">
        <v>34</v>
      </c>
      <c r="M10" s="209" t="s">
        <v>35</v>
      </c>
      <c r="N10" s="210"/>
      <c r="O10" s="210"/>
      <c r="P10" s="210"/>
      <c r="Q10" s="211"/>
      <c r="S10" s="248" t="s">
        <v>36</v>
      </c>
      <c r="T10" s="249"/>
      <c r="U10" s="250"/>
      <c r="X10" s="228"/>
      <c r="Y10" s="231"/>
      <c r="Z10" s="231"/>
      <c r="AA10" s="17"/>
      <c r="AB10" s="220"/>
      <c r="AC10" s="234"/>
      <c r="AD10" s="237"/>
      <c r="AE10" s="220"/>
      <c r="AG10" s="220"/>
      <c r="AH10" s="17"/>
      <c r="AI10" s="220"/>
    </row>
    <row r="11" spans="2:35" s="21" customFormat="1" ht="12.75" customHeight="1" thickBot="1" x14ac:dyDescent="0.3">
      <c r="B11" s="254"/>
      <c r="C11" s="224"/>
      <c r="D11" s="224"/>
      <c r="E11" s="224"/>
      <c r="F11" s="224"/>
      <c r="G11" s="224"/>
      <c r="H11" s="224"/>
      <c r="I11" s="226"/>
      <c r="J11" s="226"/>
      <c r="K11" s="226"/>
      <c r="L11" s="22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9"/>
      <c r="Y11" s="232"/>
      <c r="Z11" s="232"/>
      <c r="AA11" s="17"/>
      <c r="AB11" s="222"/>
      <c r="AC11" s="235"/>
      <c r="AD11" s="238"/>
      <c r="AE11" s="222"/>
      <c r="AG11" s="221"/>
      <c r="AH11" s="17"/>
      <c r="AI11" s="22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1" t="s">
        <v>101</v>
      </c>
      <c r="C71" s="251"/>
      <c r="D71" s="251"/>
      <c r="E71" s="251"/>
      <c r="F71" s="251"/>
      <c r="G71" s="25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1397196</v>
      </c>
      <c r="G73" s="242"/>
      <c r="H73" s="242"/>
      <c r="I73" s="243"/>
      <c r="J73" s="158"/>
      <c r="K73" s="158"/>
      <c r="L73" s="158"/>
      <c r="M73" s="244" t="s">
        <v>103</v>
      </c>
      <c r="N73" s="245"/>
      <c r="O73" s="242">
        <f>SUM(Q12:Q70)</f>
        <v>203796</v>
      </c>
      <c r="P73" s="242"/>
      <c r="Q73" s="243"/>
      <c r="R73" s="152"/>
      <c r="S73" s="159" t="s">
        <v>104</v>
      </c>
      <c r="T73" s="246">
        <f>SUM(Y12:Y68)</f>
        <v>54419.040000000001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1397196</v>
      </c>
      <c r="G75" s="242"/>
      <c r="H75" s="242"/>
      <c r="I75" s="243"/>
      <c r="J75" s="158"/>
      <c r="K75" s="158"/>
      <c r="L75" s="158"/>
      <c r="M75" s="244" t="s">
        <v>103</v>
      </c>
      <c r="N75" s="245"/>
      <c r="O75" s="242">
        <f>SUM(Q14:Q72)</f>
        <v>203796</v>
      </c>
      <c r="P75" s="242"/>
      <c r="Q75" s="243"/>
      <c r="R75" s="152"/>
      <c r="S75" s="159" t="s">
        <v>129</v>
      </c>
      <c r="T75" s="246">
        <f>SUM(Z12:Z70)</f>
        <v>6426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1132554.96</v>
      </c>
      <c r="G77" s="242"/>
      <c r="H77" s="242"/>
      <c r="I77" s="243"/>
      <c r="J77" s="164"/>
      <c r="K77" s="164"/>
      <c r="L77" s="164"/>
      <c r="M77" s="267" t="s">
        <v>106</v>
      </c>
      <c r="N77" s="267"/>
      <c r="O77" s="168" t="s">
        <v>107</v>
      </c>
      <c r="P77" s="259"/>
      <c r="Q77" s="260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1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9"/>
      <c r="Q79" s="260"/>
      <c r="R79" s="152"/>
      <c r="S79" s="159" t="s">
        <v>112</v>
      </c>
      <c r="T79" s="246">
        <f>T77+T73+T75</f>
        <v>60845.04</v>
      </c>
      <c r="U79" s="247"/>
      <c r="V79" s="160"/>
      <c r="W79" s="21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3" t="s">
        <v>113</v>
      </c>
      <c r="C81" s="284"/>
      <c r="D81" s="284"/>
      <c r="E81" s="284"/>
      <c r="F81" s="284"/>
      <c r="G81" s="284"/>
      <c r="H81" s="285"/>
      <c r="I81" s="292" t="s">
        <v>114</v>
      </c>
      <c r="J81" s="171"/>
      <c r="K81" s="171"/>
      <c r="L81" s="171"/>
      <c r="M81" s="294"/>
      <c r="N81" s="297" t="s">
        <v>115</v>
      </c>
      <c r="O81" s="300"/>
      <c r="P81" s="294"/>
      <c r="Q81" s="261" t="s">
        <v>116</v>
      </c>
      <c r="R81" s="262"/>
      <c r="S81" s="277"/>
      <c r="T81" s="261" t="s">
        <v>117</v>
      </c>
      <c r="U81" s="280"/>
    </row>
    <row r="82" spans="2:21" ht="15" customHeight="1" x14ac:dyDescent="0.25">
      <c r="B82" s="286"/>
      <c r="C82" s="287"/>
      <c r="D82" s="287"/>
      <c r="E82" s="287"/>
      <c r="F82" s="287"/>
      <c r="G82" s="287"/>
      <c r="H82" s="288"/>
      <c r="I82" s="274"/>
      <c r="J82" s="2"/>
      <c r="K82" s="2"/>
      <c r="L82" s="2"/>
      <c r="M82" s="295"/>
      <c r="N82" s="298"/>
      <c r="O82" s="301"/>
      <c r="P82" s="295"/>
      <c r="Q82" s="263"/>
      <c r="R82" s="264"/>
      <c r="S82" s="278"/>
      <c r="T82" s="263"/>
      <c r="U82" s="281"/>
    </row>
    <row r="83" spans="2:21" ht="15.75" customHeight="1" thickBot="1" x14ac:dyDescent="0.3">
      <c r="B83" s="289"/>
      <c r="C83" s="290"/>
      <c r="D83" s="290"/>
      <c r="E83" s="290"/>
      <c r="F83" s="290"/>
      <c r="G83" s="290"/>
      <c r="H83" s="291"/>
      <c r="I83" s="293"/>
      <c r="J83" s="172"/>
      <c r="K83" s="172"/>
      <c r="L83" s="172"/>
      <c r="M83" s="296"/>
      <c r="N83" s="299"/>
      <c r="O83" s="302"/>
      <c r="P83" s="296"/>
      <c r="Q83" s="265"/>
      <c r="R83" s="266"/>
      <c r="S83" s="279"/>
      <c r="T83" s="265"/>
      <c r="U83" s="28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8" t="s">
        <v>132</v>
      </c>
      <c r="C88" s="269"/>
      <c r="D88" s="269"/>
      <c r="E88" s="269"/>
      <c r="F88" s="269"/>
      <c r="G88" s="269"/>
      <c r="H88" s="269"/>
      <c r="I88" s="270"/>
      <c r="J88" s="185"/>
      <c r="K88" s="185"/>
      <c r="L88" s="185"/>
      <c r="M88" s="268"/>
      <c r="N88" s="269"/>
      <c r="O88" s="269"/>
      <c r="P88" s="269"/>
      <c r="Q88" s="270"/>
      <c r="R88" s="187"/>
      <c r="S88" s="188"/>
      <c r="T88" s="188"/>
      <c r="U88" s="189"/>
    </row>
    <row r="89" spans="2:21" ht="18" x14ac:dyDescent="0.25">
      <c r="B89" s="271" t="s">
        <v>122</v>
      </c>
      <c r="C89" s="272"/>
      <c r="D89" s="272"/>
      <c r="E89" s="272"/>
      <c r="F89" s="272"/>
      <c r="G89" s="272"/>
      <c r="H89" s="272"/>
      <c r="I89" s="273"/>
      <c r="M89" s="271" t="s">
        <v>122</v>
      </c>
      <c r="N89" s="272"/>
      <c r="O89" s="272"/>
      <c r="P89" s="272"/>
      <c r="Q89" s="273"/>
      <c r="R89" s="274" t="s">
        <v>123</v>
      </c>
      <c r="S89" s="275"/>
      <c r="T89" s="275"/>
      <c r="U89" s="27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8" t="s">
        <v>133</v>
      </c>
      <c r="C93" s="269"/>
      <c r="D93" s="269"/>
      <c r="E93" s="269"/>
      <c r="F93" s="269"/>
      <c r="G93" s="269"/>
      <c r="H93" s="269"/>
      <c r="I93" s="27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1" t="s">
        <v>126</v>
      </c>
      <c r="C94" s="272"/>
      <c r="D94" s="272"/>
      <c r="E94" s="272"/>
      <c r="F94" s="272"/>
      <c r="G94" s="272"/>
      <c r="H94" s="272"/>
      <c r="I94" s="273"/>
      <c r="M94" s="179"/>
      <c r="Q94" s="180"/>
      <c r="R94" s="274" t="s">
        <v>127</v>
      </c>
      <c r="S94" s="275"/>
      <c r="T94" s="275"/>
      <c r="U94" s="27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19E8B-6E15-45CD-BD17-F50F68314ED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2" t="s">
        <v>130</v>
      </c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6" t="s">
        <v>1</v>
      </c>
      <c r="U2" s="7"/>
      <c r="W2" s="21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6"/>
      <c r="G4" s="216"/>
      <c r="H4" s="216"/>
      <c r="I4" s="216"/>
      <c r="J4" s="216"/>
      <c r="K4" s="216"/>
      <c r="L4" s="216"/>
      <c r="M4" s="216"/>
      <c r="S4" s="2" t="s">
        <v>4</v>
      </c>
      <c r="T4" s="217"/>
      <c r="U4" s="217"/>
      <c r="W4" s="21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8"/>
      <c r="G6" s="218"/>
      <c r="H6" s="218"/>
      <c r="I6" s="218"/>
      <c r="J6" s="218"/>
      <c r="K6" s="218"/>
      <c r="L6" s="218"/>
      <c r="M6" s="218"/>
      <c r="S6" s="11" t="s">
        <v>6</v>
      </c>
      <c r="T6" s="205" t="s">
        <v>7</v>
      </c>
      <c r="U6" s="12" t="s">
        <v>131</v>
      </c>
      <c r="W6" s="21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8"/>
      <c r="G7" s="218"/>
      <c r="H7" s="218"/>
      <c r="I7" s="218"/>
      <c r="J7" s="218"/>
      <c r="K7" s="218"/>
      <c r="L7" s="218"/>
      <c r="M7" s="218"/>
      <c r="N7" s="14"/>
      <c r="O7" s="14"/>
      <c r="P7" s="14"/>
      <c r="Q7" s="15"/>
      <c r="S7" s="14"/>
      <c r="T7" s="205" t="s">
        <v>11</v>
      </c>
      <c r="U7" s="12"/>
      <c r="W7" s="21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2" t="s">
        <v>14</v>
      </c>
      <c r="C9" s="255" t="s">
        <v>15</v>
      </c>
      <c r="D9" s="255" t="s">
        <v>16</v>
      </c>
      <c r="E9" s="255" t="s">
        <v>17</v>
      </c>
      <c r="F9" s="239" t="s">
        <v>18</v>
      </c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1"/>
      <c r="S9" s="239" t="s">
        <v>19</v>
      </c>
      <c r="T9" s="240"/>
      <c r="U9" s="241"/>
      <c r="X9" s="227" t="s">
        <v>20</v>
      </c>
      <c r="Y9" s="230" t="s">
        <v>21</v>
      </c>
      <c r="Z9" s="230" t="s">
        <v>128</v>
      </c>
      <c r="AA9" s="17"/>
      <c r="AB9" s="219" t="s">
        <v>22</v>
      </c>
      <c r="AC9" s="233" t="s">
        <v>23</v>
      </c>
      <c r="AD9" s="236" t="s">
        <v>24</v>
      </c>
      <c r="AE9" s="219" t="s">
        <v>25</v>
      </c>
      <c r="AG9" s="219" t="s">
        <v>26</v>
      </c>
      <c r="AH9" s="17"/>
      <c r="AI9" s="219" t="s">
        <v>27</v>
      </c>
    </row>
    <row r="10" spans="2:35" s="16" customFormat="1" ht="20.25" customHeight="1" x14ac:dyDescent="0.25">
      <c r="B10" s="253"/>
      <c r="C10" s="256"/>
      <c r="D10" s="256"/>
      <c r="E10" s="256"/>
      <c r="F10" s="223" t="s">
        <v>28</v>
      </c>
      <c r="G10" s="223" t="s">
        <v>29</v>
      </c>
      <c r="H10" s="223" t="s">
        <v>30</v>
      </c>
      <c r="I10" s="225" t="s">
        <v>31</v>
      </c>
      <c r="J10" s="225" t="s">
        <v>32</v>
      </c>
      <c r="K10" s="225" t="s">
        <v>33</v>
      </c>
      <c r="L10" s="225" t="s">
        <v>34</v>
      </c>
      <c r="M10" s="209" t="s">
        <v>35</v>
      </c>
      <c r="N10" s="210"/>
      <c r="O10" s="210"/>
      <c r="P10" s="210"/>
      <c r="Q10" s="211"/>
      <c r="S10" s="248" t="s">
        <v>36</v>
      </c>
      <c r="T10" s="249"/>
      <c r="U10" s="250"/>
      <c r="X10" s="228"/>
      <c r="Y10" s="231"/>
      <c r="Z10" s="231"/>
      <c r="AA10" s="17"/>
      <c r="AB10" s="220"/>
      <c r="AC10" s="234"/>
      <c r="AD10" s="237"/>
      <c r="AE10" s="220"/>
      <c r="AG10" s="220"/>
      <c r="AH10" s="17"/>
      <c r="AI10" s="220"/>
    </row>
    <row r="11" spans="2:35" s="21" customFormat="1" ht="12.75" customHeight="1" thickBot="1" x14ac:dyDescent="0.3">
      <c r="B11" s="254"/>
      <c r="C11" s="224"/>
      <c r="D11" s="224"/>
      <c r="E11" s="224"/>
      <c r="F11" s="224"/>
      <c r="G11" s="224"/>
      <c r="H11" s="224"/>
      <c r="I11" s="226"/>
      <c r="J11" s="226"/>
      <c r="K11" s="226"/>
      <c r="L11" s="22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9"/>
      <c r="Y11" s="232"/>
      <c r="Z11" s="232"/>
      <c r="AA11" s="17"/>
      <c r="AB11" s="222"/>
      <c r="AC11" s="235"/>
      <c r="AD11" s="238"/>
      <c r="AE11" s="222"/>
      <c r="AG11" s="221"/>
      <c r="AH11" s="17"/>
      <c r="AI11" s="22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1" t="s">
        <v>101</v>
      </c>
      <c r="C71" s="251"/>
      <c r="D71" s="251"/>
      <c r="E71" s="251"/>
      <c r="F71" s="251"/>
      <c r="G71" s="25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1397196</v>
      </c>
      <c r="G73" s="242"/>
      <c r="H73" s="242"/>
      <c r="I73" s="243"/>
      <c r="J73" s="158"/>
      <c r="K73" s="158"/>
      <c r="L73" s="158"/>
      <c r="M73" s="244" t="s">
        <v>103</v>
      </c>
      <c r="N73" s="245"/>
      <c r="O73" s="242">
        <f>SUM(Q12:Q70)</f>
        <v>178488</v>
      </c>
      <c r="P73" s="242"/>
      <c r="Q73" s="243"/>
      <c r="R73" s="152"/>
      <c r="S73" s="159" t="s">
        <v>104</v>
      </c>
      <c r="T73" s="246">
        <f>SUM(Y12:Y68)</f>
        <v>54419.040000000001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1397196</v>
      </c>
      <c r="G75" s="242"/>
      <c r="H75" s="242"/>
      <c r="I75" s="243"/>
      <c r="J75" s="158"/>
      <c r="K75" s="158"/>
      <c r="L75" s="158"/>
      <c r="M75" s="244" t="s">
        <v>103</v>
      </c>
      <c r="N75" s="245"/>
      <c r="O75" s="242">
        <f>SUM(Q14:Q72)</f>
        <v>178488</v>
      </c>
      <c r="P75" s="242"/>
      <c r="Q75" s="243"/>
      <c r="R75" s="152"/>
      <c r="S75" s="159" t="s">
        <v>129</v>
      </c>
      <c r="T75" s="246">
        <f>SUM(Z12:Z70)</f>
        <v>6426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1157862.96</v>
      </c>
      <c r="G77" s="242"/>
      <c r="H77" s="242"/>
      <c r="I77" s="243"/>
      <c r="J77" s="164"/>
      <c r="K77" s="164"/>
      <c r="L77" s="164"/>
      <c r="M77" s="267" t="s">
        <v>106</v>
      </c>
      <c r="N77" s="267"/>
      <c r="O77" s="168" t="s">
        <v>107</v>
      </c>
      <c r="P77" s="259"/>
      <c r="Q77" s="260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1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9"/>
      <c r="Q79" s="260"/>
      <c r="R79" s="152"/>
      <c r="S79" s="159" t="s">
        <v>112</v>
      </c>
      <c r="T79" s="246">
        <f>T77+T73+T75</f>
        <v>60845.04</v>
      </c>
      <c r="U79" s="247"/>
      <c r="V79" s="160"/>
      <c r="W79" s="21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3" t="s">
        <v>113</v>
      </c>
      <c r="C81" s="284"/>
      <c r="D81" s="284"/>
      <c r="E81" s="284"/>
      <c r="F81" s="284"/>
      <c r="G81" s="284"/>
      <c r="H81" s="285"/>
      <c r="I81" s="292" t="s">
        <v>114</v>
      </c>
      <c r="J81" s="171"/>
      <c r="K81" s="171"/>
      <c r="L81" s="171"/>
      <c r="M81" s="294"/>
      <c r="N81" s="297" t="s">
        <v>115</v>
      </c>
      <c r="O81" s="300"/>
      <c r="P81" s="294"/>
      <c r="Q81" s="261" t="s">
        <v>116</v>
      </c>
      <c r="R81" s="262"/>
      <c r="S81" s="277"/>
      <c r="T81" s="261" t="s">
        <v>117</v>
      </c>
      <c r="U81" s="280"/>
    </row>
    <row r="82" spans="2:21" ht="15" customHeight="1" x14ac:dyDescent="0.25">
      <c r="B82" s="286"/>
      <c r="C82" s="287"/>
      <c r="D82" s="287"/>
      <c r="E82" s="287"/>
      <c r="F82" s="287"/>
      <c r="G82" s="287"/>
      <c r="H82" s="288"/>
      <c r="I82" s="274"/>
      <c r="J82" s="2"/>
      <c r="K82" s="2"/>
      <c r="L82" s="2"/>
      <c r="M82" s="295"/>
      <c r="N82" s="298"/>
      <c r="O82" s="301"/>
      <c r="P82" s="295"/>
      <c r="Q82" s="263"/>
      <c r="R82" s="264"/>
      <c r="S82" s="278"/>
      <c r="T82" s="263"/>
      <c r="U82" s="281"/>
    </row>
    <row r="83" spans="2:21" ht="15.75" customHeight="1" thickBot="1" x14ac:dyDescent="0.3">
      <c r="B83" s="289"/>
      <c r="C83" s="290"/>
      <c r="D83" s="290"/>
      <c r="E83" s="290"/>
      <c r="F83" s="290"/>
      <c r="G83" s="290"/>
      <c r="H83" s="291"/>
      <c r="I83" s="293"/>
      <c r="J83" s="172"/>
      <c r="K83" s="172"/>
      <c r="L83" s="172"/>
      <c r="M83" s="296"/>
      <c r="N83" s="299"/>
      <c r="O83" s="302"/>
      <c r="P83" s="296"/>
      <c r="Q83" s="265"/>
      <c r="R83" s="266"/>
      <c r="S83" s="279"/>
      <c r="T83" s="265"/>
      <c r="U83" s="28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8" t="s">
        <v>132</v>
      </c>
      <c r="C88" s="269"/>
      <c r="D88" s="269"/>
      <c r="E88" s="269"/>
      <c r="F88" s="269"/>
      <c r="G88" s="269"/>
      <c r="H88" s="269"/>
      <c r="I88" s="270"/>
      <c r="J88" s="185"/>
      <c r="K88" s="185"/>
      <c r="L88" s="185"/>
      <c r="M88" s="268"/>
      <c r="N88" s="269"/>
      <c r="O88" s="269"/>
      <c r="P88" s="269"/>
      <c r="Q88" s="270"/>
      <c r="R88" s="187"/>
      <c r="S88" s="188"/>
      <c r="T88" s="188"/>
      <c r="U88" s="189"/>
    </row>
    <row r="89" spans="2:21" ht="18" x14ac:dyDescent="0.25">
      <c r="B89" s="271" t="s">
        <v>122</v>
      </c>
      <c r="C89" s="272"/>
      <c r="D89" s="272"/>
      <c r="E89" s="272"/>
      <c r="F89" s="272"/>
      <c r="G89" s="272"/>
      <c r="H89" s="272"/>
      <c r="I89" s="273"/>
      <c r="M89" s="271" t="s">
        <v>122</v>
      </c>
      <c r="N89" s="272"/>
      <c r="O89" s="272"/>
      <c r="P89" s="272"/>
      <c r="Q89" s="273"/>
      <c r="R89" s="274" t="s">
        <v>123</v>
      </c>
      <c r="S89" s="275"/>
      <c r="T89" s="275"/>
      <c r="U89" s="27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8" t="s">
        <v>133</v>
      </c>
      <c r="C93" s="269"/>
      <c r="D93" s="269"/>
      <c r="E93" s="269"/>
      <c r="F93" s="269"/>
      <c r="G93" s="269"/>
      <c r="H93" s="269"/>
      <c r="I93" s="27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1" t="s">
        <v>126</v>
      </c>
      <c r="C94" s="272"/>
      <c r="D94" s="272"/>
      <c r="E94" s="272"/>
      <c r="F94" s="272"/>
      <c r="G94" s="272"/>
      <c r="H94" s="272"/>
      <c r="I94" s="273"/>
      <c r="M94" s="179"/>
      <c r="Q94" s="180"/>
      <c r="R94" s="274" t="s">
        <v>127</v>
      </c>
      <c r="S94" s="275"/>
      <c r="T94" s="275"/>
      <c r="U94" s="27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2" t="s">
        <v>130</v>
      </c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6" t="s">
        <v>1</v>
      </c>
      <c r="U2" s="7"/>
      <c r="W2" s="21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6"/>
      <c r="G4" s="216"/>
      <c r="H4" s="216"/>
      <c r="I4" s="216"/>
      <c r="J4" s="216"/>
      <c r="K4" s="216"/>
      <c r="L4" s="216"/>
      <c r="M4" s="216"/>
      <c r="S4" s="2" t="s">
        <v>4</v>
      </c>
      <c r="T4" s="217"/>
      <c r="U4" s="217"/>
      <c r="W4" s="21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8"/>
      <c r="G6" s="218"/>
      <c r="H6" s="218"/>
      <c r="I6" s="218"/>
      <c r="J6" s="218"/>
      <c r="K6" s="218"/>
      <c r="L6" s="218"/>
      <c r="M6" s="218"/>
      <c r="S6" s="11" t="s">
        <v>6</v>
      </c>
      <c r="T6" s="206" t="s">
        <v>7</v>
      </c>
      <c r="U6" s="12" t="s">
        <v>131</v>
      </c>
      <c r="W6" s="21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8"/>
      <c r="G7" s="218"/>
      <c r="H7" s="218"/>
      <c r="I7" s="218"/>
      <c r="J7" s="218"/>
      <c r="K7" s="218"/>
      <c r="L7" s="218"/>
      <c r="M7" s="218"/>
      <c r="N7" s="14"/>
      <c r="O7" s="14"/>
      <c r="P7" s="14"/>
      <c r="Q7" s="15"/>
      <c r="S7" s="14"/>
      <c r="T7" s="206" t="s">
        <v>11</v>
      </c>
      <c r="U7" s="12"/>
      <c r="W7" s="21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2" t="s">
        <v>14</v>
      </c>
      <c r="C9" s="255" t="s">
        <v>15</v>
      </c>
      <c r="D9" s="255" t="s">
        <v>16</v>
      </c>
      <c r="E9" s="255" t="s">
        <v>17</v>
      </c>
      <c r="F9" s="239" t="s">
        <v>18</v>
      </c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1"/>
      <c r="S9" s="239" t="s">
        <v>19</v>
      </c>
      <c r="T9" s="240"/>
      <c r="U9" s="241"/>
      <c r="X9" s="227" t="s">
        <v>20</v>
      </c>
      <c r="Y9" s="230" t="s">
        <v>21</v>
      </c>
      <c r="Z9" s="230" t="s">
        <v>128</v>
      </c>
      <c r="AA9" s="17"/>
      <c r="AB9" s="219" t="s">
        <v>22</v>
      </c>
      <c r="AC9" s="233" t="s">
        <v>23</v>
      </c>
      <c r="AD9" s="236" t="s">
        <v>24</v>
      </c>
      <c r="AE9" s="219" t="s">
        <v>25</v>
      </c>
      <c r="AG9" s="219" t="s">
        <v>26</v>
      </c>
      <c r="AH9" s="17"/>
      <c r="AI9" s="219" t="s">
        <v>27</v>
      </c>
    </row>
    <row r="10" spans="2:35" s="16" customFormat="1" ht="20.25" customHeight="1" x14ac:dyDescent="0.25">
      <c r="B10" s="253"/>
      <c r="C10" s="256"/>
      <c r="D10" s="256"/>
      <c r="E10" s="256"/>
      <c r="F10" s="223" t="s">
        <v>28</v>
      </c>
      <c r="G10" s="223" t="s">
        <v>29</v>
      </c>
      <c r="H10" s="223" t="s">
        <v>30</v>
      </c>
      <c r="I10" s="225" t="s">
        <v>31</v>
      </c>
      <c r="J10" s="225" t="s">
        <v>32</v>
      </c>
      <c r="K10" s="225" t="s">
        <v>33</v>
      </c>
      <c r="L10" s="225" t="s">
        <v>34</v>
      </c>
      <c r="M10" s="209" t="s">
        <v>35</v>
      </c>
      <c r="N10" s="210"/>
      <c r="O10" s="210"/>
      <c r="P10" s="210"/>
      <c r="Q10" s="211"/>
      <c r="S10" s="248" t="s">
        <v>36</v>
      </c>
      <c r="T10" s="249"/>
      <c r="U10" s="250"/>
      <c r="X10" s="228"/>
      <c r="Y10" s="231"/>
      <c r="Z10" s="231"/>
      <c r="AA10" s="17"/>
      <c r="AB10" s="220"/>
      <c r="AC10" s="234"/>
      <c r="AD10" s="237"/>
      <c r="AE10" s="220"/>
      <c r="AG10" s="220"/>
      <c r="AH10" s="17"/>
      <c r="AI10" s="220"/>
    </row>
    <row r="11" spans="2:35" s="21" customFormat="1" ht="12.75" customHeight="1" thickBot="1" x14ac:dyDescent="0.3">
      <c r="B11" s="254"/>
      <c r="C11" s="224"/>
      <c r="D11" s="224"/>
      <c r="E11" s="224"/>
      <c r="F11" s="224"/>
      <c r="G11" s="224"/>
      <c r="H11" s="224"/>
      <c r="I11" s="226"/>
      <c r="J11" s="226"/>
      <c r="K11" s="226"/>
      <c r="L11" s="22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9"/>
      <c r="Y11" s="232"/>
      <c r="Z11" s="232"/>
      <c r="AA11" s="17"/>
      <c r="AB11" s="222"/>
      <c r="AC11" s="235"/>
      <c r="AD11" s="238"/>
      <c r="AE11" s="222"/>
      <c r="AG11" s="221"/>
      <c r="AH11" s="17"/>
      <c r="AI11" s="22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>
        <v>96</v>
      </c>
      <c r="O15" s="51"/>
      <c r="P15" s="52" t="str">
        <f t="shared" si="5"/>
        <v>3 pallets</v>
      </c>
      <c r="Q15" s="53">
        <f t="shared" si="6"/>
        <v>29376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1" t="s">
        <v>101</v>
      </c>
      <c r="C71" s="251"/>
      <c r="D71" s="251"/>
      <c r="E71" s="251"/>
      <c r="F71" s="251"/>
      <c r="G71" s="25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1397196</v>
      </c>
      <c r="G73" s="242"/>
      <c r="H73" s="242"/>
      <c r="I73" s="243"/>
      <c r="J73" s="158"/>
      <c r="K73" s="158"/>
      <c r="L73" s="158"/>
      <c r="M73" s="244" t="s">
        <v>103</v>
      </c>
      <c r="N73" s="245"/>
      <c r="O73" s="242">
        <f>SUM(Q12:Q70)</f>
        <v>194292</v>
      </c>
      <c r="P73" s="242"/>
      <c r="Q73" s="243"/>
      <c r="R73" s="152"/>
      <c r="S73" s="159" t="s">
        <v>104</v>
      </c>
      <c r="T73" s="246">
        <f>SUM(Y12:Y68)</f>
        <v>54419.040000000001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1397196</v>
      </c>
      <c r="G75" s="242"/>
      <c r="H75" s="242"/>
      <c r="I75" s="243"/>
      <c r="J75" s="158"/>
      <c r="K75" s="158"/>
      <c r="L75" s="158"/>
      <c r="M75" s="244" t="s">
        <v>103</v>
      </c>
      <c r="N75" s="245"/>
      <c r="O75" s="242">
        <f>SUM(Q14:Q72)</f>
        <v>161244</v>
      </c>
      <c r="P75" s="242"/>
      <c r="Q75" s="243"/>
      <c r="R75" s="152"/>
      <c r="S75" s="159" t="s">
        <v>129</v>
      </c>
      <c r="T75" s="246">
        <f>SUM(Z12:Z70)</f>
        <v>6426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1142058.96</v>
      </c>
      <c r="G77" s="242"/>
      <c r="H77" s="242"/>
      <c r="I77" s="243"/>
      <c r="J77" s="164"/>
      <c r="K77" s="164"/>
      <c r="L77" s="164"/>
      <c r="M77" s="267" t="s">
        <v>106</v>
      </c>
      <c r="N77" s="267"/>
      <c r="O77" s="168" t="s">
        <v>107</v>
      </c>
      <c r="P77" s="259"/>
      <c r="Q77" s="260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1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9"/>
      <c r="Q79" s="260"/>
      <c r="R79" s="152"/>
      <c r="S79" s="159" t="s">
        <v>112</v>
      </c>
      <c r="T79" s="246">
        <f>T77+T73+T75</f>
        <v>60845.04</v>
      </c>
      <c r="U79" s="247"/>
      <c r="V79" s="160"/>
      <c r="W79" s="21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3" t="s">
        <v>113</v>
      </c>
      <c r="C81" s="284"/>
      <c r="D81" s="284"/>
      <c r="E81" s="284"/>
      <c r="F81" s="284"/>
      <c r="G81" s="284"/>
      <c r="H81" s="285"/>
      <c r="I81" s="292" t="s">
        <v>114</v>
      </c>
      <c r="J81" s="171"/>
      <c r="K81" s="171"/>
      <c r="L81" s="171"/>
      <c r="M81" s="294"/>
      <c r="N81" s="297" t="s">
        <v>115</v>
      </c>
      <c r="O81" s="300"/>
      <c r="P81" s="294"/>
      <c r="Q81" s="261" t="s">
        <v>116</v>
      </c>
      <c r="R81" s="262"/>
      <c r="S81" s="277"/>
      <c r="T81" s="261" t="s">
        <v>117</v>
      </c>
      <c r="U81" s="280"/>
    </row>
    <row r="82" spans="2:21" ht="15" customHeight="1" x14ac:dyDescent="0.25">
      <c r="B82" s="286"/>
      <c r="C82" s="287"/>
      <c r="D82" s="287"/>
      <c r="E82" s="287"/>
      <c r="F82" s="287"/>
      <c r="G82" s="287"/>
      <c r="H82" s="288"/>
      <c r="I82" s="274"/>
      <c r="J82" s="2"/>
      <c r="K82" s="2"/>
      <c r="L82" s="2"/>
      <c r="M82" s="295"/>
      <c r="N82" s="298"/>
      <c r="O82" s="301"/>
      <c r="P82" s="295"/>
      <c r="Q82" s="263"/>
      <c r="R82" s="264"/>
      <c r="S82" s="278"/>
      <c r="T82" s="263"/>
      <c r="U82" s="281"/>
    </row>
    <row r="83" spans="2:21" ht="15.75" customHeight="1" thickBot="1" x14ac:dyDescent="0.3">
      <c r="B83" s="289"/>
      <c r="C83" s="290"/>
      <c r="D83" s="290"/>
      <c r="E83" s="290"/>
      <c r="F83" s="290"/>
      <c r="G83" s="290"/>
      <c r="H83" s="291"/>
      <c r="I83" s="293"/>
      <c r="J83" s="172"/>
      <c r="K83" s="172"/>
      <c r="L83" s="172"/>
      <c r="M83" s="296"/>
      <c r="N83" s="299"/>
      <c r="O83" s="302"/>
      <c r="P83" s="296"/>
      <c r="Q83" s="265"/>
      <c r="R83" s="266"/>
      <c r="S83" s="279"/>
      <c r="T83" s="265"/>
      <c r="U83" s="28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8" t="s">
        <v>132</v>
      </c>
      <c r="C88" s="269"/>
      <c r="D88" s="269"/>
      <c r="E88" s="269"/>
      <c r="F88" s="269"/>
      <c r="G88" s="269"/>
      <c r="H88" s="269"/>
      <c r="I88" s="270"/>
      <c r="J88" s="185"/>
      <c r="K88" s="185"/>
      <c r="L88" s="185"/>
      <c r="M88" s="268"/>
      <c r="N88" s="269"/>
      <c r="O88" s="269"/>
      <c r="P88" s="269"/>
      <c r="Q88" s="270"/>
      <c r="R88" s="187"/>
      <c r="S88" s="188"/>
      <c r="T88" s="188"/>
      <c r="U88" s="189"/>
    </row>
    <row r="89" spans="2:21" ht="18" x14ac:dyDescent="0.25">
      <c r="B89" s="271" t="s">
        <v>122</v>
      </c>
      <c r="C89" s="272"/>
      <c r="D89" s="272"/>
      <c r="E89" s="272"/>
      <c r="F89" s="272"/>
      <c r="G89" s="272"/>
      <c r="H89" s="272"/>
      <c r="I89" s="273"/>
      <c r="M89" s="271" t="s">
        <v>122</v>
      </c>
      <c r="N89" s="272"/>
      <c r="O89" s="272"/>
      <c r="P89" s="272"/>
      <c r="Q89" s="273"/>
      <c r="R89" s="274" t="s">
        <v>123</v>
      </c>
      <c r="S89" s="275"/>
      <c r="T89" s="275"/>
      <c r="U89" s="27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8" t="s">
        <v>133</v>
      </c>
      <c r="C93" s="269"/>
      <c r="D93" s="269"/>
      <c r="E93" s="269"/>
      <c r="F93" s="269"/>
      <c r="G93" s="269"/>
      <c r="H93" s="269"/>
      <c r="I93" s="27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1" t="s">
        <v>126</v>
      </c>
      <c r="C94" s="272"/>
      <c r="D94" s="272"/>
      <c r="E94" s="272"/>
      <c r="F94" s="272"/>
      <c r="G94" s="272"/>
      <c r="H94" s="272"/>
      <c r="I94" s="273"/>
      <c r="M94" s="179"/>
      <c r="Q94" s="180"/>
      <c r="R94" s="274" t="s">
        <v>127</v>
      </c>
      <c r="S94" s="275"/>
      <c r="T94" s="275"/>
      <c r="U94" s="27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AEF1B-DF76-4E18-86F7-518D0D7374A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2" t="s">
        <v>130</v>
      </c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6" t="s">
        <v>1</v>
      </c>
      <c r="U2" s="7"/>
      <c r="W2" s="21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6"/>
      <c r="G4" s="216"/>
      <c r="H4" s="216"/>
      <c r="I4" s="216"/>
      <c r="J4" s="216"/>
      <c r="K4" s="216"/>
      <c r="L4" s="216"/>
      <c r="M4" s="216"/>
      <c r="S4" s="2" t="s">
        <v>4</v>
      </c>
      <c r="T4" s="217"/>
      <c r="U4" s="217"/>
      <c r="W4" s="21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8"/>
      <c r="G6" s="218"/>
      <c r="H6" s="218"/>
      <c r="I6" s="218"/>
      <c r="J6" s="218"/>
      <c r="K6" s="218"/>
      <c r="L6" s="218"/>
      <c r="M6" s="218"/>
      <c r="S6" s="11" t="s">
        <v>6</v>
      </c>
      <c r="T6" s="207" t="s">
        <v>7</v>
      </c>
      <c r="U6" s="12" t="s">
        <v>131</v>
      </c>
      <c r="W6" s="21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8"/>
      <c r="G7" s="218"/>
      <c r="H7" s="218"/>
      <c r="I7" s="218"/>
      <c r="J7" s="218"/>
      <c r="K7" s="218"/>
      <c r="L7" s="218"/>
      <c r="M7" s="218"/>
      <c r="N7" s="14"/>
      <c r="O7" s="14"/>
      <c r="P7" s="14"/>
      <c r="Q7" s="15"/>
      <c r="S7" s="14"/>
      <c r="T7" s="207" t="s">
        <v>11</v>
      </c>
      <c r="U7" s="12"/>
      <c r="W7" s="21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2" t="s">
        <v>14</v>
      </c>
      <c r="C9" s="255" t="s">
        <v>15</v>
      </c>
      <c r="D9" s="255" t="s">
        <v>16</v>
      </c>
      <c r="E9" s="255" t="s">
        <v>17</v>
      </c>
      <c r="F9" s="239" t="s">
        <v>18</v>
      </c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1"/>
      <c r="S9" s="239" t="s">
        <v>19</v>
      </c>
      <c r="T9" s="240"/>
      <c r="U9" s="241"/>
      <c r="X9" s="227" t="s">
        <v>20</v>
      </c>
      <c r="Y9" s="230" t="s">
        <v>21</v>
      </c>
      <c r="Z9" s="230" t="s">
        <v>128</v>
      </c>
      <c r="AA9" s="17"/>
      <c r="AB9" s="219" t="s">
        <v>22</v>
      </c>
      <c r="AC9" s="233" t="s">
        <v>23</v>
      </c>
      <c r="AD9" s="236" t="s">
        <v>24</v>
      </c>
      <c r="AE9" s="219" t="s">
        <v>25</v>
      </c>
      <c r="AG9" s="219" t="s">
        <v>26</v>
      </c>
      <c r="AH9" s="17"/>
      <c r="AI9" s="219" t="s">
        <v>27</v>
      </c>
    </row>
    <row r="10" spans="2:35" s="16" customFormat="1" ht="20.25" customHeight="1" x14ac:dyDescent="0.25">
      <c r="B10" s="253"/>
      <c r="C10" s="256"/>
      <c r="D10" s="256"/>
      <c r="E10" s="256"/>
      <c r="F10" s="223" t="s">
        <v>28</v>
      </c>
      <c r="G10" s="223" t="s">
        <v>29</v>
      </c>
      <c r="H10" s="223" t="s">
        <v>30</v>
      </c>
      <c r="I10" s="225" t="s">
        <v>31</v>
      </c>
      <c r="J10" s="225" t="s">
        <v>32</v>
      </c>
      <c r="K10" s="225" t="s">
        <v>33</v>
      </c>
      <c r="L10" s="225" t="s">
        <v>34</v>
      </c>
      <c r="M10" s="209" t="s">
        <v>35</v>
      </c>
      <c r="N10" s="210"/>
      <c r="O10" s="210"/>
      <c r="P10" s="210"/>
      <c r="Q10" s="211"/>
      <c r="S10" s="248" t="s">
        <v>36</v>
      </c>
      <c r="T10" s="249"/>
      <c r="U10" s="250"/>
      <c r="X10" s="228"/>
      <c r="Y10" s="231"/>
      <c r="Z10" s="231"/>
      <c r="AA10" s="17"/>
      <c r="AB10" s="220"/>
      <c r="AC10" s="234"/>
      <c r="AD10" s="237"/>
      <c r="AE10" s="220"/>
      <c r="AG10" s="220"/>
      <c r="AH10" s="17"/>
      <c r="AI10" s="220"/>
    </row>
    <row r="11" spans="2:35" s="21" customFormat="1" ht="12.75" customHeight="1" thickBot="1" x14ac:dyDescent="0.3">
      <c r="B11" s="254"/>
      <c r="C11" s="224"/>
      <c r="D11" s="224"/>
      <c r="E11" s="224"/>
      <c r="F11" s="224"/>
      <c r="G11" s="224"/>
      <c r="H11" s="224"/>
      <c r="I11" s="226"/>
      <c r="J11" s="226"/>
      <c r="K11" s="226"/>
      <c r="L11" s="22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9"/>
      <c r="Y11" s="232"/>
      <c r="Z11" s="232"/>
      <c r="AA11" s="17"/>
      <c r="AB11" s="222"/>
      <c r="AC11" s="235"/>
      <c r="AD11" s="238"/>
      <c r="AE11" s="222"/>
      <c r="AG11" s="221"/>
      <c r="AH11" s="17"/>
      <c r="AI11" s="22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1" t="s">
        <v>101</v>
      </c>
      <c r="C71" s="251"/>
      <c r="D71" s="251"/>
      <c r="E71" s="251"/>
      <c r="F71" s="251"/>
      <c r="G71" s="25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1397196</v>
      </c>
      <c r="G73" s="242"/>
      <c r="H73" s="242"/>
      <c r="I73" s="243"/>
      <c r="J73" s="158"/>
      <c r="K73" s="158"/>
      <c r="L73" s="158"/>
      <c r="M73" s="244" t="s">
        <v>103</v>
      </c>
      <c r="N73" s="245"/>
      <c r="O73" s="242">
        <f>SUM(Q12:Q70)</f>
        <v>203796</v>
      </c>
      <c r="P73" s="242"/>
      <c r="Q73" s="243"/>
      <c r="R73" s="152"/>
      <c r="S73" s="159" t="s">
        <v>104</v>
      </c>
      <c r="T73" s="246">
        <f>SUM(Y12:Y68)</f>
        <v>54419.040000000001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1397196</v>
      </c>
      <c r="G75" s="242"/>
      <c r="H75" s="242"/>
      <c r="I75" s="243"/>
      <c r="J75" s="158"/>
      <c r="K75" s="158"/>
      <c r="L75" s="158"/>
      <c r="M75" s="244" t="s">
        <v>103</v>
      </c>
      <c r="N75" s="245"/>
      <c r="O75" s="242">
        <f>SUM(Q14:Q72)</f>
        <v>203796</v>
      </c>
      <c r="P75" s="242"/>
      <c r="Q75" s="243"/>
      <c r="R75" s="152"/>
      <c r="S75" s="159" t="s">
        <v>129</v>
      </c>
      <c r="T75" s="246">
        <f>SUM(Z12:Z70)</f>
        <v>6426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1054496.3799999999</v>
      </c>
      <c r="G77" s="242"/>
      <c r="H77" s="242"/>
      <c r="I77" s="243"/>
      <c r="J77" s="164"/>
      <c r="K77" s="164"/>
      <c r="L77" s="164"/>
      <c r="M77" s="267" t="s">
        <v>106</v>
      </c>
      <c r="N77" s="267"/>
      <c r="O77" s="168" t="s">
        <v>107</v>
      </c>
      <c r="P77" s="259">
        <v>20876.580000000002</v>
      </c>
      <c r="Q77" s="260"/>
      <c r="R77" s="152"/>
      <c r="S77" s="159" t="s">
        <v>108</v>
      </c>
      <c r="T77" s="246">
        <f>IF(SUM(X12:X68)*0.15&gt;P77,P77,SUM(X12:X68)*0.15)</f>
        <v>20876.580000000002</v>
      </c>
      <c r="U77" s="247"/>
      <c r="V77" s="160"/>
      <c r="W77" s="21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9">
        <v>57182</v>
      </c>
      <c r="Q79" s="260"/>
      <c r="R79" s="152"/>
      <c r="S79" s="159" t="s">
        <v>112</v>
      </c>
      <c r="T79" s="246">
        <f>T77+T73+T75</f>
        <v>81721.62</v>
      </c>
      <c r="U79" s="247"/>
      <c r="V79" s="160"/>
      <c r="W79" s="21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3" t="s">
        <v>113</v>
      </c>
      <c r="C81" s="284"/>
      <c r="D81" s="284"/>
      <c r="E81" s="284"/>
      <c r="F81" s="284"/>
      <c r="G81" s="284"/>
      <c r="H81" s="285"/>
      <c r="I81" s="292" t="s">
        <v>114</v>
      </c>
      <c r="J81" s="171"/>
      <c r="K81" s="171"/>
      <c r="L81" s="171"/>
      <c r="M81" s="294"/>
      <c r="N81" s="297" t="s">
        <v>115</v>
      </c>
      <c r="O81" s="300"/>
      <c r="P81" s="294"/>
      <c r="Q81" s="261" t="s">
        <v>116</v>
      </c>
      <c r="R81" s="262"/>
      <c r="S81" s="277"/>
      <c r="T81" s="261" t="s">
        <v>117</v>
      </c>
      <c r="U81" s="280"/>
    </row>
    <row r="82" spans="2:21" ht="15" customHeight="1" x14ac:dyDescent="0.25">
      <c r="B82" s="286"/>
      <c r="C82" s="287"/>
      <c r="D82" s="287"/>
      <c r="E82" s="287"/>
      <c r="F82" s="287"/>
      <c r="G82" s="287"/>
      <c r="H82" s="288"/>
      <c r="I82" s="274"/>
      <c r="J82" s="2"/>
      <c r="K82" s="2"/>
      <c r="L82" s="2"/>
      <c r="M82" s="295"/>
      <c r="N82" s="298"/>
      <c r="O82" s="301"/>
      <c r="P82" s="295"/>
      <c r="Q82" s="263"/>
      <c r="R82" s="264"/>
      <c r="S82" s="278"/>
      <c r="T82" s="263"/>
      <c r="U82" s="281"/>
    </row>
    <row r="83" spans="2:21" ht="15.75" customHeight="1" thickBot="1" x14ac:dyDescent="0.3">
      <c r="B83" s="289"/>
      <c r="C83" s="290"/>
      <c r="D83" s="290"/>
      <c r="E83" s="290"/>
      <c r="F83" s="290"/>
      <c r="G83" s="290"/>
      <c r="H83" s="291"/>
      <c r="I83" s="293"/>
      <c r="J83" s="172"/>
      <c r="K83" s="172"/>
      <c r="L83" s="172"/>
      <c r="M83" s="296"/>
      <c r="N83" s="299"/>
      <c r="O83" s="302"/>
      <c r="P83" s="296"/>
      <c r="Q83" s="265"/>
      <c r="R83" s="266"/>
      <c r="S83" s="279"/>
      <c r="T83" s="265"/>
      <c r="U83" s="28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8" t="s">
        <v>132</v>
      </c>
      <c r="C88" s="269"/>
      <c r="D88" s="269"/>
      <c r="E88" s="269"/>
      <c r="F88" s="269"/>
      <c r="G88" s="269"/>
      <c r="H88" s="269"/>
      <c r="I88" s="270"/>
      <c r="J88" s="185"/>
      <c r="K88" s="185"/>
      <c r="L88" s="185"/>
      <c r="M88" s="268"/>
      <c r="N88" s="269"/>
      <c r="O88" s="269"/>
      <c r="P88" s="269"/>
      <c r="Q88" s="270"/>
      <c r="R88" s="187"/>
      <c r="S88" s="188"/>
      <c r="T88" s="188"/>
      <c r="U88" s="189"/>
    </row>
    <row r="89" spans="2:21" ht="18" x14ac:dyDescent="0.25">
      <c r="B89" s="271" t="s">
        <v>122</v>
      </c>
      <c r="C89" s="272"/>
      <c r="D89" s="272"/>
      <c r="E89" s="272"/>
      <c r="F89" s="272"/>
      <c r="G89" s="272"/>
      <c r="H89" s="272"/>
      <c r="I89" s="273"/>
      <c r="M89" s="271" t="s">
        <v>122</v>
      </c>
      <c r="N89" s="272"/>
      <c r="O89" s="272"/>
      <c r="P89" s="272"/>
      <c r="Q89" s="273"/>
      <c r="R89" s="274" t="s">
        <v>123</v>
      </c>
      <c r="S89" s="275"/>
      <c r="T89" s="275"/>
      <c r="U89" s="27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8" t="s">
        <v>133</v>
      </c>
      <c r="C93" s="269"/>
      <c r="D93" s="269"/>
      <c r="E93" s="269"/>
      <c r="F93" s="269"/>
      <c r="G93" s="269"/>
      <c r="H93" s="269"/>
      <c r="I93" s="27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1" t="s">
        <v>126</v>
      </c>
      <c r="C94" s="272"/>
      <c r="D94" s="272"/>
      <c r="E94" s="272"/>
      <c r="F94" s="272"/>
      <c r="G94" s="272"/>
      <c r="H94" s="272"/>
      <c r="I94" s="273"/>
      <c r="M94" s="179"/>
      <c r="Q94" s="180"/>
      <c r="R94" s="274" t="s">
        <v>127</v>
      </c>
      <c r="S94" s="275"/>
      <c r="T94" s="275"/>
      <c r="U94" s="27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2D24-C084-434A-A5F3-C460F7F45734}">
  <sheetPr>
    <tabColor rgb="FF00B050"/>
    <pageSetUpPr fitToPage="1"/>
  </sheetPr>
  <dimension ref="A1:AJ100"/>
  <sheetViews>
    <sheetView showGridLines="0" tabSelected="1" topLeftCell="A65" zoomScale="85" zoomScaleNormal="85" workbookViewId="0">
      <pane xSplit="2" topLeftCell="F1" activePane="topRight" state="frozen"/>
      <selection activeCell="N14" sqref="N14"/>
      <selection pane="topRight" activeCell="C17" sqref="C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2" t="s">
        <v>130</v>
      </c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6" t="s">
        <v>1</v>
      </c>
      <c r="U2" s="7"/>
      <c r="W2" s="21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6"/>
      <c r="G4" s="216"/>
      <c r="H4" s="216"/>
      <c r="I4" s="216"/>
      <c r="J4" s="216"/>
      <c r="K4" s="216"/>
      <c r="L4" s="216"/>
      <c r="M4" s="216"/>
      <c r="S4" s="2" t="s">
        <v>4</v>
      </c>
      <c r="T4" s="217"/>
      <c r="U4" s="217"/>
      <c r="W4" s="21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8"/>
      <c r="G6" s="218"/>
      <c r="H6" s="218"/>
      <c r="I6" s="218"/>
      <c r="J6" s="218"/>
      <c r="K6" s="218"/>
      <c r="L6" s="218"/>
      <c r="M6" s="218"/>
      <c r="S6" s="11" t="s">
        <v>6</v>
      </c>
      <c r="T6" s="208" t="s">
        <v>7</v>
      </c>
      <c r="U6" s="12" t="s">
        <v>131</v>
      </c>
      <c r="W6" s="21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8"/>
      <c r="G7" s="218"/>
      <c r="H7" s="218"/>
      <c r="I7" s="218"/>
      <c r="J7" s="218"/>
      <c r="K7" s="218"/>
      <c r="L7" s="218"/>
      <c r="M7" s="218"/>
      <c r="N7" s="14"/>
      <c r="O7" s="14"/>
      <c r="P7" s="14"/>
      <c r="Q7" s="15"/>
      <c r="S7" s="14"/>
      <c r="T7" s="208" t="s">
        <v>11</v>
      </c>
      <c r="U7" s="12"/>
      <c r="W7" s="21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2" t="s">
        <v>14</v>
      </c>
      <c r="C9" s="255" t="s">
        <v>15</v>
      </c>
      <c r="D9" s="255" t="s">
        <v>16</v>
      </c>
      <c r="E9" s="255" t="s">
        <v>17</v>
      </c>
      <c r="F9" s="239" t="s">
        <v>18</v>
      </c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1"/>
      <c r="S9" s="239" t="s">
        <v>19</v>
      </c>
      <c r="T9" s="240"/>
      <c r="U9" s="241"/>
      <c r="X9" s="227" t="s">
        <v>20</v>
      </c>
      <c r="Y9" s="230" t="s">
        <v>21</v>
      </c>
      <c r="Z9" s="230" t="s">
        <v>128</v>
      </c>
      <c r="AA9" s="17"/>
      <c r="AB9" s="219" t="s">
        <v>22</v>
      </c>
      <c r="AC9" s="233" t="s">
        <v>23</v>
      </c>
      <c r="AD9" s="236" t="s">
        <v>24</v>
      </c>
      <c r="AE9" s="219" t="s">
        <v>25</v>
      </c>
      <c r="AG9" s="219" t="s">
        <v>26</v>
      </c>
      <c r="AH9" s="17"/>
      <c r="AI9" s="219" t="s">
        <v>27</v>
      </c>
    </row>
    <row r="10" spans="2:35" s="16" customFormat="1" ht="20.25" customHeight="1" x14ac:dyDescent="0.25">
      <c r="B10" s="253"/>
      <c r="C10" s="256"/>
      <c r="D10" s="256"/>
      <c r="E10" s="256"/>
      <c r="F10" s="223" t="s">
        <v>28</v>
      </c>
      <c r="G10" s="223" t="s">
        <v>29</v>
      </c>
      <c r="H10" s="223" t="s">
        <v>30</v>
      </c>
      <c r="I10" s="225" t="s">
        <v>31</v>
      </c>
      <c r="J10" s="225" t="s">
        <v>32</v>
      </c>
      <c r="K10" s="225" t="s">
        <v>33</v>
      </c>
      <c r="L10" s="225" t="s">
        <v>34</v>
      </c>
      <c r="M10" s="209" t="s">
        <v>35</v>
      </c>
      <c r="N10" s="210"/>
      <c r="O10" s="210"/>
      <c r="P10" s="210"/>
      <c r="Q10" s="211"/>
      <c r="S10" s="248" t="s">
        <v>36</v>
      </c>
      <c r="T10" s="249"/>
      <c r="U10" s="250"/>
      <c r="X10" s="228"/>
      <c r="Y10" s="231"/>
      <c r="Z10" s="231"/>
      <c r="AA10" s="17"/>
      <c r="AB10" s="220"/>
      <c r="AC10" s="234"/>
      <c r="AD10" s="237"/>
      <c r="AE10" s="220"/>
      <c r="AG10" s="220"/>
      <c r="AH10" s="17"/>
      <c r="AI10" s="220"/>
    </row>
    <row r="11" spans="2:35" s="21" customFormat="1" ht="12.75" customHeight="1" thickBot="1" x14ac:dyDescent="0.3">
      <c r="B11" s="254"/>
      <c r="C11" s="224"/>
      <c r="D11" s="224"/>
      <c r="E11" s="224"/>
      <c r="F11" s="224"/>
      <c r="G11" s="224"/>
      <c r="H11" s="224"/>
      <c r="I11" s="226"/>
      <c r="J11" s="226"/>
      <c r="K11" s="226"/>
      <c r="L11" s="22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9"/>
      <c r="Y11" s="232"/>
      <c r="Z11" s="232"/>
      <c r="AA11" s="17"/>
      <c r="AB11" s="222"/>
      <c r="AC11" s="235"/>
      <c r="AD11" s="238"/>
      <c r="AE11" s="222"/>
      <c r="AG11" s="221"/>
      <c r="AH11" s="17"/>
      <c r="AI11" s="22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2258.64</v>
      </c>
      <c r="Z12" s="36">
        <f>IF($U$6="x",(F12*3.5),"")</f>
        <v>252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949968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806112</v>
      </c>
      <c r="Y13" s="57">
        <f>F13*AI13</f>
        <v>38413.440000000002</v>
      </c>
      <c r="Z13" s="36">
        <f t="shared" ref="Z13:Z56" si="8">IF($U$6="x",(F13*3.5),"")</f>
        <v>4536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192</v>
      </c>
      <c r="G15" s="47">
        <v>96</v>
      </c>
      <c r="H15" s="64"/>
      <c r="I15" s="49">
        <f t="shared" si="4"/>
        <v>149952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128640</v>
      </c>
      <c r="Y15" s="57">
        <f>F15*AI15</f>
        <v>5779.2000000000007</v>
      </c>
      <c r="Z15" s="36">
        <f t="shared" si="8"/>
        <v>672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216</v>
      </c>
      <c r="G16" s="47">
        <v>108</v>
      </c>
      <c r="H16" s="64"/>
      <c r="I16" s="49">
        <f t="shared" si="4"/>
        <v>164376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140400</v>
      </c>
      <c r="Y16" s="57">
        <f>F16*AI16</f>
        <v>6402.24</v>
      </c>
      <c r="Z16" s="36">
        <f t="shared" si="8"/>
        <v>756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1" t="s">
        <v>101</v>
      </c>
      <c r="C71" s="251"/>
      <c r="D71" s="251"/>
      <c r="E71" s="251"/>
      <c r="F71" s="251"/>
      <c r="G71" s="25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1338600</v>
      </c>
      <c r="G73" s="242"/>
      <c r="H73" s="242"/>
      <c r="I73" s="243"/>
      <c r="J73" s="158"/>
      <c r="K73" s="158"/>
      <c r="L73" s="158"/>
      <c r="M73" s="244" t="s">
        <v>103</v>
      </c>
      <c r="N73" s="245"/>
      <c r="O73" s="242">
        <f>SUM(Q12:Q70)</f>
        <v>203796</v>
      </c>
      <c r="P73" s="242"/>
      <c r="Q73" s="243"/>
      <c r="R73" s="152"/>
      <c r="S73" s="159" t="s">
        <v>104</v>
      </c>
      <c r="T73" s="246">
        <f>SUM(Y12:Y68)</f>
        <v>52853.52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314328</v>
      </c>
      <c r="G75" s="242"/>
      <c r="H75" s="242"/>
      <c r="I75" s="243"/>
      <c r="J75" s="158"/>
      <c r="K75" s="158"/>
      <c r="L75" s="158"/>
      <c r="M75" s="244" t="s">
        <v>103</v>
      </c>
      <c r="N75" s="245"/>
      <c r="O75" s="242">
        <f>SUM(Q14:Q72)</f>
        <v>203796</v>
      </c>
      <c r="P75" s="242"/>
      <c r="Q75" s="243"/>
      <c r="R75" s="152"/>
      <c r="S75" s="159" t="s">
        <v>129</v>
      </c>
      <c r="T75" s="246">
        <f>SUM(Z12:Z70)</f>
        <v>6216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1074874.73</v>
      </c>
      <c r="G77" s="242"/>
      <c r="H77" s="242"/>
      <c r="I77" s="243"/>
      <c r="J77" s="164"/>
      <c r="K77" s="164"/>
      <c r="L77" s="164"/>
      <c r="M77" s="267" t="s">
        <v>106</v>
      </c>
      <c r="N77" s="267"/>
      <c r="O77" s="168" t="s">
        <v>107</v>
      </c>
      <c r="P77" s="259">
        <v>859.75</v>
      </c>
      <c r="Q77" s="260"/>
      <c r="R77" s="152"/>
      <c r="S77" s="159" t="s">
        <v>108</v>
      </c>
      <c r="T77" s="246">
        <f>IF(SUM(X12:X68)*0.15&gt;P77,P77,SUM(X12:X68)*0.15)</f>
        <v>859.75</v>
      </c>
      <c r="U77" s="247"/>
      <c r="V77" s="160"/>
      <c r="W77" s="21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9"/>
      <c r="Q79" s="260"/>
      <c r="R79" s="152"/>
      <c r="S79" s="159" t="s">
        <v>112</v>
      </c>
      <c r="T79" s="246">
        <f>T77+T73+T75</f>
        <v>59929.27</v>
      </c>
      <c r="U79" s="247"/>
      <c r="V79" s="160"/>
      <c r="W79" s="21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3" t="s">
        <v>113</v>
      </c>
      <c r="C81" s="284"/>
      <c r="D81" s="284"/>
      <c r="E81" s="284"/>
      <c r="F81" s="284"/>
      <c r="G81" s="284"/>
      <c r="H81" s="285"/>
      <c r="I81" s="292" t="s">
        <v>114</v>
      </c>
      <c r="J81" s="171"/>
      <c r="K81" s="171"/>
      <c r="L81" s="171"/>
      <c r="M81" s="294"/>
      <c r="N81" s="297" t="s">
        <v>115</v>
      </c>
      <c r="O81" s="300"/>
      <c r="P81" s="294"/>
      <c r="Q81" s="261" t="s">
        <v>116</v>
      </c>
      <c r="R81" s="262"/>
      <c r="S81" s="277"/>
      <c r="T81" s="261" t="s">
        <v>117</v>
      </c>
      <c r="U81" s="280"/>
    </row>
    <row r="82" spans="2:21" ht="15" customHeight="1" x14ac:dyDescent="0.25">
      <c r="B82" s="286"/>
      <c r="C82" s="287"/>
      <c r="D82" s="287"/>
      <c r="E82" s="287"/>
      <c r="F82" s="287"/>
      <c r="G82" s="287"/>
      <c r="H82" s="288"/>
      <c r="I82" s="274"/>
      <c r="J82" s="2"/>
      <c r="K82" s="2"/>
      <c r="L82" s="2"/>
      <c r="M82" s="295"/>
      <c r="N82" s="298"/>
      <c r="O82" s="301"/>
      <c r="P82" s="295"/>
      <c r="Q82" s="263"/>
      <c r="R82" s="264"/>
      <c r="S82" s="278"/>
      <c r="T82" s="263"/>
      <c r="U82" s="281"/>
    </row>
    <row r="83" spans="2:21" ht="15.75" customHeight="1" thickBot="1" x14ac:dyDescent="0.3">
      <c r="B83" s="289"/>
      <c r="C83" s="290"/>
      <c r="D83" s="290"/>
      <c r="E83" s="290"/>
      <c r="F83" s="290"/>
      <c r="G83" s="290"/>
      <c r="H83" s="291"/>
      <c r="I83" s="293"/>
      <c r="J83" s="172"/>
      <c r="K83" s="172"/>
      <c r="L83" s="172"/>
      <c r="M83" s="296"/>
      <c r="N83" s="299"/>
      <c r="O83" s="302"/>
      <c r="P83" s="296"/>
      <c r="Q83" s="265"/>
      <c r="R83" s="266"/>
      <c r="S83" s="279"/>
      <c r="T83" s="265"/>
      <c r="U83" s="28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8" t="s">
        <v>132</v>
      </c>
      <c r="C88" s="269"/>
      <c r="D88" s="269"/>
      <c r="E88" s="269"/>
      <c r="F88" s="269"/>
      <c r="G88" s="269"/>
      <c r="H88" s="269"/>
      <c r="I88" s="270"/>
      <c r="J88" s="185"/>
      <c r="K88" s="185"/>
      <c r="L88" s="185"/>
      <c r="M88" s="268"/>
      <c r="N88" s="269"/>
      <c r="O88" s="269"/>
      <c r="P88" s="269"/>
      <c r="Q88" s="270"/>
      <c r="R88" s="187"/>
      <c r="S88" s="188"/>
      <c r="T88" s="188"/>
      <c r="U88" s="189"/>
    </row>
    <row r="89" spans="2:21" ht="18" x14ac:dyDescent="0.25">
      <c r="B89" s="271" t="s">
        <v>122</v>
      </c>
      <c r="C89" s="272"/>
      <c r="D89" s="272"/>
      <c r="E89" s="272"/>
      <c r="F89" s="272"/>
      <c r="G89" s="272"/>
      <c r="H89" s="272"/>
      <c r="I89" s="273"/>
      <c r="M89" s="271" t="s">
        <v>122</v>
      </c>
      <c r="N89" s="272"/>
      <c r="O89" s="272"/>
      <c r="P89" s="272"/>
      <c r="Q89" s="273"/>
      <c r="R89" s="274" t="s">
        <v>123</v>
      </c>
      <c r="S89" s="275"/>
      <c r="T89" s="275"/>
      <c r="U89" s="27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8" t="s">
        <v>133</v>
      </c>
      <c r="C93" s="269"/>
      <c r="D93" s="269"/>
      <c r="E93" s="269"/>
      <c r="F93" s="269"/>
      <c r="G93" s="269"/>
      <c r="H93" s="269"/>
      <c r="I93" s="27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1" t="s">
        <v>126</v>
      </c>
      <c r="C94" s="272"/>
      <c r="D94" s="272"/>
      <c r="E94" s="272"/>
      <c r="F94" s="272"/>
      <c r="G94" s="272"/>
      <c r="H94" s="272"/>
      <c r="I94" s="273"/>
      <c r="M94" s="179"/>
      <c r="Q94" s="180"/>
      <c r="R94" s="274" t="s">
        <v>127</v>
      </c>
      <c r="S94" s="275"/>
      <c r="T94" s="275"/>
      <c r="U94" s="27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16</vt:i4>
      </vt:variant>
    </vt:vector>
  </HeadingPairs>
  <TitlesOfParts>
    <vt:vector size="32" baseType="lpstr">
      <vt:lpstr>03-03-2026 MTS</vt:lpstr>
      <vt:lpstr>03-04-2026-A MTS</vt:lpstr>
      <vt:lpstr>03-09-2026 MTS</vt:lpstr>
      <vt:lpstr>03-16-2026</vt:lpstr>
      <vt:lpstr>03-17-2026</vt:lpstr>
      <vt:lpstr>03-17-2026 (2)</vt:lpstr>
      <vt:lpstr>03-18-2026</vt:lpstr>
      <vt:lpstr>03-18-2026 NAB</vt:lpstr>
      <vt:lpstr>03-19-2026</vt:lpstr>
      <vt:lpstr>03-19-2026-NAB</vt:lpstr>
      <vt:lpstr>03-23-2026</vt:lpstr>
      <vt:lpstr>03-24-2026-A</vt:lpstr>
      <vt:lpstr>03-24-2026-B</vt:lpstr>
      <vt:lpstr>03-24-2026-C</vt:lpstr>
      <vt:lpstr>03-26-2026</vt:lpstr>
      <vt:lpstr>03-27-2026</vt:lpstr>
      <vt:lpstr>'03-03-2026 MTS'!Print_Area</vt:lpstr>
      <vt:lpstr>'03-04-2026-A MTS'!Print_Area</vt:lpstr>
      <vt:lpstr>'03-09-2026 MTS'!Print_Area</vt:lpstr>
      <vt:lpstr>'03-16-2026'!Print_Area</vt:lpstr>
      <vt:lpstr>'03-17-2026'!Print_Area</vt:lpstr>
      <vt:lpstr>'03-17-2026 (2)'!Print_Area</vt:lpstr>
      <vt:lpstr>'03-18-2026'!Print_Area</vt:lpstr>
      <vt:lpstr>'03-18-2026 NAB'!Print_Area</vt:lpstr>
      <vt:lpstr>'03-19-2026'!Print_Area</vt:lpstr>
      <vt:lpstr>'03-19-2026-NAB'!Print_Area</vt:lpstr>
      <vt:lpstr>'03-23-2026'!Print_Area</vt:lpstr>
      <vt:lpstr>'03-24-2026-A'!Print_Area</vt:lpstr>
      <vt:lpstr>'03-24-2026-B'!Print_Area</vt:lpstr>
      <vt:lpstr>'03-24-2026-C'!Print_Area</vt:lpstr>
      <vt:lpstr>'03-26-2026'!Print_Area</vt:lpstr>
      <vt:lpstr>'03-27-2026'!Print_Area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2026-03-27T02:10:42Z</dcterms:modified>
</cp:coreProperties>
</file>