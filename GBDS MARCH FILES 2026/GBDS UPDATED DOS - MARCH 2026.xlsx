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EBC7B47-E034-4392-838E-FE51FD0239EA}" xr6:coauthVersionLast="45" xr6:coauthVersionMax="47" xr10:uidLastSave="{00000000-0000-0000-0000-000000000000}"/>
  <bookViews>
    <workbookView xWindow="-120" yWindow="-120" windowWidth="29040" windowHeight="15840" firstSheet="3" activeTab="11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" sheetId="192" r:id="rId12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2" l="1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3" i="192" l="1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<sst xmlns="http://schemas.openxmlformats.org/spreadsheetml/2006/main" count="1692" uniqueCount="134">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</sst>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9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5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5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175500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154440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-175500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6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6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189252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162576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-189252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7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7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203796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-203796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8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8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203796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444054.95999999996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>
        <v>688500</v>
      </c>
      <c r="Q79" s="250"/>
      <c r="R79" s="152"/>
      <c r="S79" s="159" t="s">
        <v>112</v>
      </c>
      <c r="T79" s="251">
        <f>T77+T73+T75</f>
        <v>60845.04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9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9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200880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191808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1135470.96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60845.04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0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0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190512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190512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1145838.96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60845.04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1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1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141984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108936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1194366.96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60845.04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1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1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11286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11286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-11286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2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2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175032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135828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-175032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2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2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5670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5670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-5670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3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3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1377504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53238.33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1377504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203796</v>
      </c>
      <c r="P75" s="246"/>
      <c r="Q75" s="247"/>
      <c r="R75" s="152"/>
      <c r="S75" s="159" t="s">
        <v>129</v>
      </c>
      <c r="T75" s="251">
        <f>SUM(Z12:Z70)</f>
        <v>6268.5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771771.40999999992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>
        <v>25568</v>
      </c>
      <c r="Q77" s="250"/>
      <c r="R77" s="152"/>
      <c r="S77" s="159" t="s">
        <v>108</v>
      </c>
      <c r="T77" s="251">
        <f>IF(SUM(X12:X68)*0.15&gt;P77,P77,SUM(X12:X68)*0.15)</f>
        <v>25568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>
        <f>197532+119329.76</f>
        <v>316861.76</v>
      </c>
      <c r="Q79" s="250"/>
      <c r="R79" s="152"/>
      <c r="S79" s="159" t="s">
        <v>112</v>
      </c>
      <c r="T79" s="251">
        <f>T77+T73+T75</f>
        <v>85074.83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4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4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54419.040000000001</v>
      </c>
      <c r="U73" s="252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203796</v>
      </c>
      <c r="P75" s="246"/>
      <c r="Q75" s="247"/>
      <c r="R75" s="152"/>
      <c r="S75" s="159" t="s">
        <v>129</v>
      </c>
      <c r="T75" s="251">
        <f>SUM(Z12:Z70)</f>
        <v>6426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1132554.96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60845.04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2026-03-24T00:14:29Z</dcterms:modified>
</cp:coreProperties>
</file>