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74F3B78F-17B8-4ADB-B597-1F503EDA7EEB}" xr6:coauthVersionLast="45" xr6:coauthVersionMax="47" xr10:uidLastSave="{00000000-0000-0000-0000-000000000000}"/>
  <bookViews>
    <workbookView xWindow="-120" yWindow="-120" windowWidth="29040" windowHeight="15840" firstSheet="16" activeTab="23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  <sheet name="03-19-2026" sheetId="189" r:id="rId9"/>
    <sheet name="03-19-2026-NAB" sheetId="190" r:id="rId10"/>
    <sheet name="03-23-2026" sheetId="191" r:id="rId11"/>
    <sheet name="03-24-2026-A" sheetId="192" r:id="rId12"/>
    <sheet name="03-24-2026-B" sheetId="193" r:id="rId13"/>
    <sheet name="03-24-2026-C" sheetId="194" r:id="rId14"/>
    <sheet name="03-26-2026" sheetId="195" r:id="rId15"/>
    <sheet name="03-27-2026-A" sheetId="196" r:id="rId16"/>
    <sheet name="03-27-2026-B" sheetId="197" r:id="rId17"/>
    <sheet name="03-30-2026" sheetId="198" r:id="rId18"/>
    <sheet name="03-31-2026-A" sheetId="199" r:id="rId19"/>
    <sheet name="03-31-2026-B" sheetId="200" r:id="rId20"/>
    <sheet name="03-31-2026-C" sheetId="201" r:id="rId21"/>
    <sheet name="03-31-2026-D BEER" sheetId="202" r:id="rId22"/>
    <sheet name="03-31-2026-D NAB" sheetId="203" r:id="rId23"/>
    <sheet name="03-31-2026-E" sheetId="204" r:id="rId24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  <definedName name="_xlnm.Print_Area" localSheetId="8">'03-19-2026'!$A$1:$V$97</definedName>
    <definedName name="_xlnm.Print_Area" localSheetId="9">'03-19-2026-NAB'!$A$1:$V$97</definedName>
    <definedName name="_xlnm.Print_Area" localSheetId="10">'03-23-2026'!$A$1:$V$97</definedName>
    <definedName name="_xlnm.Print_Area" localSheetId="11">'03-24-2026-A'!$A$1:$V$97</definedName>
    <definedName name="_xlnm.Print_Area" localSheetId="12">'03-24-2026-B'!$A$1:$V$97</definedName>
    <definedName name="_xlnm.Print_Area" localSheetId="13">'03-24-2026-C'!$A$1:$V$97</definedName>
    <definedName name="_xlnm.Print_Area" localSheetId="14">'03-26-2026'!$A$1:$V$97</definedName>
    <definedName name="_xlnm.Print_Area" localSheetId="15">'03-27-2026-A'!$A$1:$V$97</definedName>
    <definedName name="_xlnm.Print_Area" localSheetId="16">'03-27-2026-B'!$A$1:$V$97</definedName>
    <definedName name="_xlnm.Print_Area" localSheetId="17">'03-30-2026'!$A$1:$V$97</definedName>
    <definedName name="_xlnm.Print_Area" localSheetId="18">'03-31-2026-A'!$A$1:$V$97</definedName>
    <definedName name="_xlnm.Print_Area" localSheetId="19">'03-31-2026-B'!$A$1:$V$97</definedName>
    <definedName name="_xlnm.Print_Area" localSheetId="20">'03-31-2026-C'!$A$1:$V$97</definedName>
    <definedName name="_xlnm.Print_Area" localSheetId="21">'03-31-2026-D BEER'!$A$1:$V$97</definedName>
    <definedName name="_xlnm.Print_Area" localSheetId="22">'03-31-2026-D NAB'!$A$1:$V$97</definedName>
    <definedName name="_xlnm.Print_Area" localSheetId="23">'03-31-2026-E'!$A$1:$V$97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28" i="204" l="1"/>
  <c r="M79" i="204"/>
  <c r="P71" i="204"/>
  <c r="H71" i="204"/>
  <c r="Q70" i="204"/>
  <c r="P70" i="204"/>
  <c r="I70" i="204"/>
  <c r="H70" i="204"/>
  <c r="E70" i="204"/>
  <c r="Q69" i="204"/>
  <c r="P69" i="204"/>
  <c r="I69" i="204"/>
  <c r="H69" i="204"/>
  <c r="E69" i="204"/>
  <c r="AE68" i="204"/>
  <c r="AI68" i="204" s="1"/>
  <c r="Y68" i="204" s="1"/>
  <c r="AD68" i="204"/>
  <c r="AC68" i="204"/>
  <c r="AB68" i="204"/>
  <c r="Z68" i="204"/>
  <c r="X68" i="204"/>
  <c r="Q68" i="204"/>
  <c r="P68" i="204"/>
  <c r="I68" i="204"/>
  <c r="H68" i="204"/>
  <c r="E68" i="204"/>
  <c r="AD67" i="204"/>
  <c r="AC67" i="204"/>
  <c r="AB67" i="204"/>
  <c r="AE67" i="204" s="1"/>
  <c r="AI67" i="204" s="1"/>
  <c r="Y67" i="204" s="1"/>
  <c r="Z67" i="204"/>
  <c r="X67" i="204"/>
  <c r="Q67" i="204"/>
  <c r="P67" i="204"/>
  <c r="I67" i="204"/>
  <c r="H67" i="204"/>
  <c r="E67" i="204"/>
  <c r="AD66" i="204"/>
  <c r="AC66" i="204"/>
  <c r="AB66" i="204"/>
  <c r="AE66" i="204" s="1"/>
  <c r="AI66" i="204" s="1"/>
  <c r="Y66" i="204" s="1"/>
  <c r="Z66" i="204"/>
  <c r="X66" i="204"/>
  <c r="Q66" i="204"/>
  <c r="P66" i="204"/>
  <c r="H66" i="204"/>
  <c r="E66" i="204"/>
  <c r="I66" i="204" s="1"/>
  <c r="AE65" i="204"/>
  <c r="AI65" i="204" s="1"/>
  <c r="Y65" i="204" s="1"/>
  <c r="AD65" i="204"/>
  <c r="AC65" i="204"/>
  <c r="AB65" i="204"/>
  <c r="Z65" i="204"/>
  <c r="X65" i="204"/>
  <c r="Q65" i="204"/>
  <c r="P65" i="204"/>
  <c r="I65" i="204"/>
  <c r="H65" i="204"/>
  <c r="E65" i="204"/>
  <c r="AD64" i="204"/>
  <c r="AC64" i="204"/>
  <c r="AB64" i="204"/>
  <c r="AE64" i="204" s="1"/>
  <c r="AI64" i="204" s="1"/>
  <c r="Y64" i="204" s="1"/>
  <c r="Z64" i="204"/>
  <c r="X64" i="204"/>
  <c r="Q64" i="204"/>
  <c r="P64" i="204"/>
  <c r="I64" i="204"/>
  <c r="H64" i="204"/>
  <c r="E64" i="204"/>
  <c r="AE63" i="204"/>
  <c r="AI63" i="204" s="1"/>
  <c r="Y63" i="204" s="1"/>
  <c r="AD63" i="204"/>
  <c r="AC63" i="204"/>
  <c r="AB63" i="204"/>
  <c r="Z63" i="204"/>
  <c r="X63" i="204"/>
  <c r="Q63" i="204"/>
  <c r="P63" i="204"/>
  <c r="H63" i="204"/>
  <c r="E63" i="204"/>
  <c r="I63" i="204" s="1"/>
  <c r="AD62" i="204"/>
  <c r="AC62" i="204"/>
  <c r="AB62" i="204"/>
  <c r="AE62" i="204" s="1"/>
  <c r="AI62" i="204" s="1"/>
  <c r="Y62" i="204" s="1"/>
  <c r="Z62" i="204"/>
  <c r="X62" i="204"/>
  <c r="Q62" i="204"/>
  <c r="P62" i="204"/>
  <c r="I62" i="204"/>
  <c r="H62" i="204"/>
  <c r="E62" i="204"/>
  <c r="AC61" i="204"/>
  <c r="AE61" i="204" s="1"/>
  <c r="AI61" i="204" s="1"/>
  <c r="Y61" i="204" s="1"/>
  <c r="AB61" i="204"/>
  <c r="X61" i="204"/>
  <c r="Q61" i="204"/>
  <c r="P61" i="204"/>
  <c r="H61" i="204"/>
  <c r="E61" i="204"/>
  <c r="I61" i="204" s="1"/>
  <c r="AE60" i="204"/>
  <c r="AI60" i="204" s="1"/>
  <c r="Y60" i="204" s="1"/>
  <c r="X60" i="204"/>
  <c r="Q60" i="204"/>
  <c r="P60" i="204"/>
  <c r="I60" i="204"/>
  <c r="H60" i="204"/>
  <c r="E60" i="204"/>
  <c r="AC59" i="204"/>
  <c r="AB59" i="204"/>
  <c r="AE59" i="204" s="1"/>
  <c r="AI59" i="204" s="1"/>
  <c r="Y59" i="204" s="1"/>
  <c r="X59" i="204"/>
  <c r="Q59" i="204"/>
  <c r="P59" i="204"/>
  <c r="I59" i="204"/>
  <c r="H59" i="204"/>
  <c r="E59" i="204"/>
  <c r="AC58" i="204"/>
  <c r="AB58" i="204"/>
  <c r="AE58" i="204" s="1"/>
  <c r="AI58" i="204" s="1"/>
  <c r="Y58" i="204" s="1"/>
  <c r="X58" i="204"/>
  <c r="Q58" i="204"/>
  <c r="P58" i="204"/>
  <c r="I58" i="204"/>
  <c r="E58" i="204"/>
  <c r="AC57" i="204"/>
  <c r="AB57" i="204"/>
  <c r="AE57" i="204" s="1"/>
  <c r="AI57" i="204" s="1"/>
  <c r="Y57" i="204" s="1"/>
  <c r="X57" i="204"/>
  <c r="Q57" i="204"/>
  <c r="P57" i="204"/>
  <c r="I57" i="204"/>
  <c r="H57" i="204"/>
  <c r="E57" i="204"/>
  <c r="AD56" i="204"/>
  <c r="AC56" i="204"/>
  <c r="AB56" i="204"/>
  <c r="AE56" i="204" s="1"/>
  <c r="AI56" i="204" s="1"/>
  <c r="Y56" i="204" s="1"/>
  <c r="Z56" i="204"/>
  <c r="X56" i="204"/>
  <c r="Q56" i="204"/>
  <c r="P56" i="204"/>
  <c r="I56" i="204"/>
  <c r="H56" i="204"/>
  <c r="E56" i="204"/>
  <c r="AE55" i="204"/>
  <c r="AI55" i="204" s="1"/>
  <c r="Y55" i="204" s="1"/>
  <c r="AD55" i="204"/>
  <c r="AC55" i="204"/>
  <c r="AB55" i="204"/>
  <c r="Z55" i="204"/>
  <c r="X55" i="204"/>
  <c r="Q55" i="204"/>
  <c r="P55" i="204"/>
  <c r="H55" i="204"/>
  <c r="E55" i="204"/>
  <c r="I55" i="204" s="1"/>
  <c r="AD54" i="204"/>
  <c r="AC54" i="204"/>
  <c r="AB54" i="204"/>
  <c r="AE54" i="204" s="1"/>
  <c r="AI54" i="204" s="1"/>
  <c r="Y54" i="204" s="1"/>
  <c r="Z54" i="204"/>
  <c r="X54" i="204"/>
  <c r="Q54" i="204"/>
  <c r="P54" i="204"/>
  <c r="H54" i="204"/>
  <c r="E54" i="204"/>
  <c r="I54" i="204" s="1"/>
  <c r="AD53" i="204"/>
  <c r="AE53" i="204" s="1"/>
  <c r="AI53" i="204" s="1"/>
  <c r="Y53" i="204" s="1"/>
  <c r="AC53" i="204"/>
  <c r="AB53" i="204"/>
  <c r="Z53" i="204"/>
  <c r="X53" i="204"/>
  <c r="Q53" i="204"/>
  <c r="P53" i="204"/>
  <c r="H53" i="204"/>
  <c r="E53" i="204"/>
  <c r="I53" i="204" s="1"/>
  <c r="AE52" i="204"/>
  <c r="AI52" i="204" s="1"/>
  <c r="Y52" i="204" s="1"/>
  <c r="Z52" i="204"/>
  <c r="X52" i="204"/>
  <c r="Q52" i="204"/>
  <c r="P52" i="204"/>
  <c r="I52" i="204"/>
  <c r="H52" i="204"/>
  <c r="E52" i="204"/>
  <c r="AD51" i="204"/>
  <c r="AC51" i="204"/>
  <c r="AB51" i="204"/>
  <c r="AE51" i="204" s="1"/>
  <c r="AI51" i="204" s="1"/>
  <c r="Y51" i="204" s="1"/>
  <c r="Z51" i="204"/>
  <c r="X51" i="204"/>
  <c r="Q51" i="204"/>
  <c r="P51" i="204"/>
  <c r="I51" i="204"/>
  <c r="H51" i="204"/>
  <c r="E51" i="204"/>
  <c r="AD50" i="204"/>
  <c r="AC50" i="204"/>
  <c r="AE50" i="204" s="1"/>
  <c r="AI50" i="204" s="1"/>
  <c r="Y50" i="204" s="1"/>
  <c r="AB50" i="204"/>
  <c r="Z50" i="204"/>
  <c r="X50" i="204"/>
  <c r="Q50" i="204"/>
  <c r="P50" i="204"/>
  <c r="H50" i="204"/>
  <c r="E50" i="204"/>
  <c r="I50" i="204" s="1"/>
  <c r="AE49" i="204"/>
  <c r="AI49" i="204" s="1"/>
  <c r="Y49" i="204" s="1"/>
  <c r="Z49" i="204"/>
  <c r="X49" i="204"/>
  <c r="Q49" i="204"/>
  <c r="P49" i="204"/>
  <c r="I49" i="204"/>
  <c r="H49" i="204"/>
  <c r="E49" i="204"/>
  <c r="AE48" i="204"/>
  <c r="AI48" i="204" s="1"/>
  <c r="Y48" i="204" s="1"/>
  <c r="Z48" i="204"/>
  <c r="X48" i="204"/>
  <c r="Q48" i="204"/>
  <c r="P48" i="204"/>
  <c r="I48" i="204"/>
  <c r="H48" i="204"/>
  <c r="E48" i="204"/>
  <c r="AE47" i="204"/>
  <c r="AI47" i="204" s="1"/>
  <c r="Y47" i="204" s="1"/>
  <c r="Z47" i="204"/>
  <c r="X47" i="204"/>
  <c r="Q47" i="204"/>
  <c r="P47" i="204"/>
  <c r="I47" i="204"/>
  <c r="H47" i="204"/>
  <c r="E47" i="204"/>
  <c r="AD46" i="204"/>
  <c r="AC46" i="204"/>
  <c r="AB46" i="204"/>
  <c r="AE46" i="204" s="1"/>
  <c r="AI46" i="204" s="1"/>
  <c r="Y46" i="204" s="1"/>
  <c r="Z46" i="204"/>
  <c r="X46" i="204"/>
  <c r="Q46" i="204"/>
  <c r="P46" i="204"/>
  <c r="H46" i="204"/>
  <c r="E46" i="204"/>
  <c r="I46" i="204" s="1"/>
  <c r="AD45" i="204"/>
  <c r="AC45" i="204"/>
  <c r="AB45" i="204"/>
  <c r="AE45" i="204" s="1"/>
  <c r="AI45" i="204" s="1"/>
  <c r="Y45" i="204" s="1"/>
  <c r="Z45" i="204"/>
  <c r="X45" i="204"/>
  <c r="Q45" i="204"/>
  <c r="P45" i="204"/>
  <c r="H45" i="204"/>
  <c r="E45" i="204"/>
  <c r="I45" i="204" s="1"/>
  <c r="AD44" i="204"/>
  <c r="AC44" i="204"/>
  <c r="AE44" i="204" s="1"/>
  <c r="AI44" i="204" s="1"/>
  <c r="Y44" i="204" s="1"/>
  <c r="AB44" i="204"/>
  <c r="Z44" i="204"/>
  <c r="X44" i="204"/>
  <c r="Q44" i="204"/>
  <c r="P44" i="204"/>
  <c r="I44" i="204"/>
  <c r="H44" i="204"/>
  <c r="E44" i="204"/>
  <c r="AE43" i="204"/>
  <c r="AI43" i="204" s="1"/>
  <c r="Y43" i="204" s="1"/>
  <c r="AD43" i="204"/>
  <c r="AC43" i="204"/>
  <c r="AB43" i="204"/>
  <c r="Z43" i="204"/>
  <c r="X43" i="204"/>
  <c r="Q43" i="204"/>
  <c r="P43" i="204"/>
  <c r="H43" i="204"/>
  <c r="E43" i="204"/>
  <c r="I43" i="204" s="1"/>
  <c r="AD42" i="204"/>
  <c r="AC42" i="204"/>
  <c r="AB42" i="204"/>
  <c r="AE42" i="204" s="1"/>
  <c r="AI42" i="204" s="1"/>
  <c r="Y42" i="204" s="1"/>
  <c r="Z42" i="204"/>
  <c r="X42" i="204"/>
  <c r="Q42" i="204"/>
  <c r="P42" i="204"/>
  <c r="H42" i="204"/>
  <c r="E42" i="204"/>
  <c r="I42" i="204" s="1"/>
  <c r="AD41" i="204"/>
  <c r="AE41" i="204" s="1"/>
  <c r="AI41" i="204" s="1"/>
  <c r="Y41" i="204" s="1"/>
  <c r="AC41" i="204"/>
  <c r="AB41" i="204"/>
  <c r="Z41" i="204"/>
  <c r="X41" i="204"/>
  <c r="Q41" i="204"/>
  <c r="P41" i="204"/>
  <c r="H41" i="204"/>
  <c r="E41" i="204"/>
  <c r="I41" i="204" s="1"/>
  <c r="AD40" i="204"/>
  <c r="AC40" i="204"/>
  <c r="AB40" i="204"/>
  <c r="AE40" i="204" s="1"/>
  <c r="AI40" i="204" s="1"/>
  <c r="Y40" i="204" s="1"/>
  <c r="Z40" i="204"/>
  <c r="X40" i="204"/>
  <c r="Q40" i="204"/>
  <c r="P40" i="204"/>
  <c r="I40" i="204"/>
  <c r="H40" i="204"/>
  <c r="E40" i="204"/>
  <c r="AD39" i="204"/>
  <c r="AE39" i="204" s="1"/>
  <c r="AI39" i="204" s="1"/>
  <c r="Y39" i="204" s="1"/>
  <c r="AC39" i="204"/>
  <c r="AB39" i="204"/>
  <c r="Z39" i="204"/>
  <c r="X39" i="204"/>
  <c r="Q39" i="204"/>
  <c r="P39" i="204"/>
  <c r="I39" i="204"/>
  <c r="H39" i="204"/>
  <c r="E39" i="204"/>
  <c r="AD38" i="204"/>
  <c r="AC38" i="204"/>
  <c r="AB38" i="204"/>
  <c r="AE38" i="204" s="1"/>
  <c r="AI38" i="204" s="1"/>
  <c r="Y38" i="204" s="1"/>
  <c r="Z38" i="204"/>
  <c r="X38" i="204"/>
  <c r="Q38" i="204"/>
  <c r="P38" i="204"/>
  <c r="I38" i="204"/>
  <c r="H38" i="204"/>
  <c r="E38" i="204"/>
  <c r="AD37" i="204"/>
  <c r="AC37" i="204"/>
  <c r="AB37" i="204"/>
  <c r="AE37" i="204" s="1"/>
  <c r="AI37" i="204" s="1"/>
  <c r="Y37" i="204" s="1"/>
  <c r="Z37" i="204"/>
  <c r="X37" i="204"/>
  <c r="Q37" i="204"/>
  <c r="P37" i="204"/>
  <c r="H37" i="204"/>
  <c r="E37" i="204"/>
  <c r="I37" i="204" s="1"/>
  <c r="AE36" i="204"/>
  <c r="AI36" i="204" s="1"/>
  <c r="Y36" i="204" s="1"/>
  <c r="AD36" i="204"/>
  <c r="AC36" i="204"/>
  <c r="AB36" i="204"/>
  <c r="Z36" i="204"/>
  <c r="X36" i="204"/>
  <c r="Q36" i="204"/>
  <c r="P36" i="204"/>
  <c r="I36" i="204"/>
  <c r="H36" i="204"/>
  <c r="E36" i="204"/>
  <c r="AD35" i="204"/>
  <c r="AC35" i="204"/>
  <c r="AB35" i="204"/>
  <c r="AE35" i="204" s="1"/>
  <c r="AI35" i="204" s="1"/>
  <c r="Y35" i="204" s="1"/>
  <c r="Z35" i="204"/>
  <c r="X35" i="204"/>
  <c r="Q35" i="204"/>
  <c r="P35" i="204"/>
  <c r="H35" i="204"/>
  <c r="E35" i="204"/>
  <c r="I35" i="204" s="1"/>
  <c r="AE34" i="204"/>
  <c r="AI34" i="204" s="1"/>
  <c r="Y34" i="204" s="1"/>
  <c r="AD34" i="204"/>
  <c r="AC34" i="204"/>
  <c r="AB34" i="204"/>
  <c r="Z34" i="204"/>
  <c r="X34" i="204"/>
  <c r="Q34" i="204"/>
  <c r="P34" i="204"/>
  <c r="H34" i="204"/>
  <c r="E34" i="204"/>
  <c r="I34" i="204" s="1"/>
  <c r="AD33" i="204"/>
  <c r="AC33" i="204"/>
  <c r="AB33" i="204"/>
  <c r="AE33" i="204" s="1"/>
  <c r="AI33" i="204" s="1"/>
  <c r="Y33" i="204" s="1"/>
  <c r="Z33" i="204"/>
  <c r="X33" i="204"/>
  <c r="Q33" i="204"/>
  <c r="P33" i="204"/>
  <c r="I33" i="204"/>
  <c r="H33" i="204"/>
  <c r="E33" i="204"/>
  <c r="AD32" i="204"/>
  <c r="AC32" i="204"/>
  <c r="AB32" i="204"/>
  <c r="AE32" i="204" s="1"/>
  <c r="AI32" i="204" s="1"/>
  <c r="Y32" i="204" s="1"/>
  <c r="Z32" i="204"/>
  <c r="X32" i="204"/>
  <c r="Q32" i="204"/>
  <c r="P32" i="204"/>
  <c r="H32" i="204"/>
  <c r="E32" i="204"/>
  <c r="I32" i="204" s="1"/>
  <c r="AI31" i="204"/>
  <c r="Y31" i="204" s="1"/>
  <c r="AE31" i="204"/>
  <c r="Z31" i="204"/>
  <c r="X31" i="204"/>
  <c r="Q31" i="204"/>
  <c r="P31" i="204"/>
  <c r="H31" i="204"/>
  <c r="E31" i="204"/>
  <c r="I31" i="204" s="1"/>
  <c r="AI30" i="204"/>
  <c r="AE30" i="204"/>
  <c r="AD30" i="204"/>
  <c r="AC30" i="204"/>
  <c r="AB30" i="204"/>
  <c r="Z30" i="204"/>
  <c r="Y30" i="204"/>
  <c r="X30" i="204"/>
  <c r="Q30" i="204"/>
  <c r="P30" i="204"/>
  <c r="H30" i="204"/>
  <c r="E30" i="204"/>
  <c r="I30" i="204" s="1"/>
  <c r="AD29" i="204"/>
  <c r="AC29" i="204"/>
  <c r="AB29" i="204"/>
  <c r="AE29" i="204" s="1"/>
  <c r="AI29" i="204" s="1"/>
  <c r="Y29" i="204" s="1"/>
  <c r="Z29" i="204"/>
  <c r="X29" i="204"/>
  <c r="Q29" i="204"/>
  <c r="P29" i="204"/>
  <c r="I29" i="204"/>
  <c r="H29" i="204"/>
  <c r="E29" i="204"/>
  <c r="AE28" i="204"/>
  <c r="AI28" i="204" s="1"/>
  <c r="Y28" i="204" s="1"/>
  <c r="AD28" i="204"/>
  <c r="AC28" i="204"/>
  <c r="AB28" i="204"/>
  <c r="Z28" i="204"/>
  <c r="X28" i="204"/>
  <c r="Q28" i="204"/>
  <c r="P28" i="204"/>
  <c r="H28" i="204"/>
  <c r="E28" i="204"/>
  <c r="I28" i="204" s="1"/>
  <c r="AD27" i="204"/>
  <c r="AC27" i="204"/>
  <c r="AB27" i="204"/>
  <c r="AE27" i="204" s="1"/>
  <c r="AI27" i="204" s="1"/>
  <c r="Y27" i="204" s="1"/>
  <c r="Z27" i="204"/>
  <c r="X27" i="204"/>
  <c r="Q27" i="204"/>
  <c r="P27" i="204"/>
  <c r="H27" i="204"/>
  <c r="E27" i="204"/>
  <c r="I27" i="204" s="1"/>
  <c r="AD26" i="204"/>
  <c r="AE26" i="204" s="1"/>
  <c r="AI26" i="204" s="1"/>
  <c r="Y26" i="204" s="1"/>
  <c r="AC26" i="204"/>
  <c r="AB26" i="204"/>
  <c r="Z26" i="204"/>
  <c r="X26" i="204"/>
  <c r="Q26" i="204"/>
  <c r="P26" i="204"/>
  <c r="H26" i="204"/>
  <c r="E26" i="204"/>
  <c r="I26" i="204" s="1"/>
  <c r="AD25" i="204"/>
  <c r="AC25" i="204"/>
  <c r="AB25" i="204"/>
  <c r="AE25" i="204" s="1"/>
  <c r="AI25" i="204" s="1"/>
  <c r="Y25" i="204" s="1"/>
  <c r="Z25" i="204"/>
  <c r="X25" i="204"/>
  <c r="Q25" i="204"/>
  <c r="P25" i="204"/>
  <c r="I25" i="204"/>
  <c r="H25" i="204"/>
  <c r="E25" i="204"/>
  <c r="AD24" i="204"/>
  <c r="AE24" i="204" s="1"/>
  <c r="AI24" i="204" s="1"/>
  <c r="Y24" i="204" s="1"/>
  <c r="AC24" i="204"/>
  <c r="AB24" i="204"/>
  <c r="Z24" i="204"/>
  <c r="X24" i="204"/>
  <c r="Q24" i="204"/>
  <c r="P24" i="204"/>
  <c r="H24" i="204"/>
  <c r="E24" i="204"/>
  <c r="I24" i="204" s="1"/>
  <c r="AD23" i="204"/>
  <c r="AC23" i="204"/>
  <c r="AB23" i="204"/>
  <c r="AE23" i="204" s="1"/>
  <c r="AI23" i="204" s="1"/>
  <c r="Y23" i="204" s="1"/>
  <c r="Z23" i="204"/>
  <c r="X23" i="204"/>
  <c r="Q23" i="204"/>
  <c r="P23" i="204"/>
  <c r="I23" i="204"/>
  <c r="H23" i="204"/>
  <c r="E23" i="204"/>
  <c r="AD22" i="204"/>
  <c r="AC22" i="204"/>
  <c r="AE22" i="204" s="1"/>
  <c r="AI22" i="204" s="1"/>
  <c r="Y22" i="204" s="1"/>
  <c r="AB22" i="204"/>
  <c r="Z22" i="204"/>
  <c r="X22" i="204"/>
  <c r="Q22" i="204"/>
  <c r="P22" i="204"/>
  <c r="H22" i="204"/>
  <c r="E22" i="204"/>
  <c r="I22" i="204" s="1"/>
  <c r="AE21" i="204"/>
  <c r="AI21" i="204" s="1"/>
  <c r="Y21" i="204" s="1"/>
  <c r="AD21" i="204"/>
  <c r="AC21" i="204"/>
  <c r="AB21" i="204"/>
  <c r="Z21" i="204"/>
  <c r="X21" i="204"/>
  <c r="Q21" i="204"/>
  <c r="P21" i="204"/>
  <c r="I21" i="204"/>
  <c r="H21" i="204"/>
  <c r="E21" i="204"/>
  <c r="AD20" i="204"/>
  <c r="AC20" i="204"/>
  <c r="AB20" i="204"/>
  <c r="AE20" i="204" s="1"/>
  <c r="AI20" i="204" s="1"/>
  <c r="Y20" i="204" s="1"/>
  <c r="Z20" i="204"/>
  <c r="X20" i="204"/>
  <c r="Q20" i="204"/>
  <c r="P20" i="204"/>
  <c r="H20" i="204"/>
  <c r="E20" i="204"/>
  <c r="I20" i="204" s="1"/>
  <c r="AE19" i="204"/>
  <c r="AI19" i="204" s="1"/>
  <c r="Y19" i="204" s="1"/>
  <c r="AD19" i="204"/>
  <c r="AC19" i="204"/>
  <c r="AB19" i="204"/>
  <c r="Z19" i="204"/>
  <c r="X19" i="204"/>
  <c r="Q19" i="204"/>
  <c r="P19" i="204"/>
  <c r="H19" i="204"/>
  <c r="E19" i="204"/>
  <c r="I19" i="204" s="1"/>
  <c r="AD18" i="204"/>
  <c r="AC18" i="204"/>
  <c r="AB18" i="204"/>
  <c r="AE18" i="204" s="1"/>
  <c r="AI18" i="204" s="1"/>
  <c r="Y18" i="204" s="1"/>
  <c r="Z18" i="204"/>
  <c r="X18" i="204"/>
  <c r="Q18" i="204"/>
  <c r="P18" i="204"/>
  <c r="I18" i="204"/>
  <c r="H18" i="204"/>
  <c r="E18" i="204"/>
  <c r="AD17" i="204"/>
  <c r="AC17" i="204"/>
  <c r="AB17" i="204"/>
  <c r="AE17" i="204" s="1"/>
  <c r="AI17" i="204" s="1"/>
  <c r="Y17" i="204" s="1"/>
  <c r="Z17" i="204"/>
  <c r="X17" i="204"/>
  <c r="Q17" i="204"/>
  <c r="P17" i="204"/>
  <c r="H17" i="204"/>
  <c r="E17" i="204"/>
  <c r="I17" i="204" s="1"/>
  <c r="AI16" i="204"/>
  <c r="Y16" i="204" s="1"/>
  <c r="AE16" i="204"/>
  <c r="AD16" i="204"/>
  <c r="AC16" i="204"/>
  <c r="AB16" i="204"/>
  <c r="Z16" i="204"/>
  <c r="X16" i="204"/>
  <c r="Q16" i="204"/>
  <c r="P16" i="204"/>
  <c r="I16" i="204"/>
  <c r="E16" i="204"/>
  <c r="AD15" i="204"/>
  <c r="AC15" i="204"/>
  <c r="AB15" i="204"/>
  <c r="AE15" i="204" s="1"/>
  <c r="AI15" i="204" s="1"/>
  <c r="Y15" i="204" s="1"/>
  <c r="Z15" i="204"/>
  <c r="X15" i="204"/>
  <c r="Q15" i="204"/>
  <c r="P15" i="204"/>
  <c r="E15" i="204"/>
  <c r="I15" i="204" s="1"/>
  <c r="AD14" i="204"/>
  <c r="AE14" i="204" s="1"/>
  <c r="AI14" i="204" s="1"/>
  <c r="Y14" i="204" s="1"/>
  <c r="AC14" i="204"/>
  <c r="AB14" i="204"/>
  <c r="Z14" i="204"/>
  <c r="X14" i="204"/>
  <c r="Q14" i="204"/>
  <c r="P14" i="204"/>
  <c r="H14" i="204"/>
  <c r="E14" i="204"/>
  <c r="I14" i="204" s="1"/>
  <c r="F75" i="204" s="1"/>
  <c r="AD13" i="204"/>
  <c r="AC13" i="204"/>
  <c r="AB13" i="204"/>
  <c r="AE13" i="204" s="1"/>
  <c r="AI13" i="204" s="1"/>
  <c r="Y13" i="204" s="1"/>
  <c r="Z13" i="204"/>
  <c r="X13" i="204"/>
  <c r="Q13" i="204"/>
  <c r="P13" i="204"/>
  <c r="I13" i="204"/>
  <c r="H13" i="204"/>
  <c r="E13" i="204"/>
  <c r="AD12" i="204"/>
  <c r="AC12" i="204"/>
  <c r="AE12" i="204" s="1"/>
  <c r="AI12" i="204" s="1"/>
  <c r="Y12" i="204" s="1"/>
  <c r="AB12" i="204"/>
  <c r="Z12" i="204"/>
  <c r="X12" i="204"/>
  <c r="Q12" i="204"/>
  <c r="P12" i="204"/>
  <c r="H12" i="204"/>
  <c r="E12" i="204"/>
  <c r="I12" i="204" s="1"/>
  <c r="T77" i="204" l="1"/>
  <c r="T75" i="204"/>
  <c r="O73" i="204"/>
  <c r="O75" i="204"/>
  <c r="T73" i="204"/>
  <c r="F73" i="204"/>
  <c r="P77" i="203"/>
  <c r="N14" i="202"/>
  <c r="M79" i="203"/>
  <c r="Q70" i="203"/>
  <c r="P70" i="203"/>
  <c r="H70" i="203"/>
  <c r="E70" i="203"/>
  <c r="I70" i="203" s="1"/>
  <c r="Q69" i="203"/>
  <c r="P69" i="203"/>
  <c r="I69" i="203"/>
  <c r="H69" i="203"/>
  <c r="E69" i="203"/>
  <c r="AD68" i="203"/>
  <c r="AC68" i="203"/>
  <c r="AB68" i="203"/>
  <c r="AE68" i="203" s="1"/>
  <c r="AI68" i="203" s="1"/>
  <c r="Y68" i="203" s="1"/>
  <c r="Z68" i="203"/>
  <c r="X68" i="203"/>
  <c r="Q68" i="203"/>
  <c r="P68" i="203"/>
  <c r="H68" i="203"/>
  <c r="E68" i="203"/>
  <c r="I68" i="203" s="1"/>
  <c r="AE67" i="203"/>
  <c r="AI67" i="203" s="1"/>
  <c r="Y67" i="203" s="1"/>
  <c r="AD67" i="203"/>
  <c r="AC67" i="203"/>
  <c r="AB67" i="203"/>
  <c r="Z67" i="203"/>
  <c r="X67" i="203"/>
  <c r="Q67" i="203"/>
  <c r="P67" i="203"/>
  <c r="H67" i="203"/>
  <c r="E67" i="203"/>
  <c r="I67" i="203" s="1"/>
  <c r="AD66" i="203"/>
  <c r="AC66" i="203"/>
  <c r="AB66" i="203"/>
  <c r="AE66" i="203" s="1"/>
  <c r="AI66" i="203" s="1"/>
  <c r="Y66" i="203" s="1"/>
  <c r="Z66" i="203"/>
  <c r="X66" i="203"/>
  <c r="Q66" i="203"/>
  <c r="P66" i="203"/>
  <c r="H66" i="203"/>
  <c r="E66" i="203"/>
  <c r="I66" i="203" s="1"/>
  <c r="AD65" i="203"/>
  <c r="AC65" i="203"/>
  <c r="AB65" i="203"/>
  <c r="AE65" i="203" s="1"/>
  <c r="AI65" i="203" s="1"/>
  <c r="Y65" i="203" s="1"/>
  <c r="Z65" i="203"/>
  <c r="X65" i="203"/>
  <c r="Q65" i="203"/>
  <c r="P65" i="203"/>
  <c r="H65" i="203"/>
  <c r="E65" i="203"/>
  <c r="I65" i="203" s="1"/>
  <c r="AD64" i="203"/>
  <c r="AC64" i="203"/>
  <c r="AE64" i="203" s="1"/>
  <c r="AI64" i="203" s="1"/>
  <c r="Y64" i="203" s="1"/>
  <c r="AB64" i="203"/>
  <c r="Z64" i="203"/>
  <c r="X64" i="203"/>
  <c r="Q64" i="203"/>
  <c r="P64" i="203"/>
  <c r="I64" i="203"/>
  <c r="H64" i="203"/>
  <c r="E64" i="203"/>
  <c r="AD63" i="203"/>
  <c r="AC63" i="203"/>
  <c r="AB63" i="203"/>
  <c r="AE63" i="203" s="1"/>
  <c r="AI63" i="203" s="1"/>
  <c r="Y63" i="203" s="1"/>
  <c r="Z63" i="203"/>
  <c r="X63" i="203"/>
  <c r="Q63" i="203"/>
  <c r="P63" i="203"/>
  <c r="H63" i="203"/>
  <c r="E63" i="203"/>
  <c r="I63" i="203" s="1"/>
  <c r="AD62" i="203"/>
  <c r="AC62" i="203"/>
  <c r="AB62" i="203"/>
  <c r="AE62" i="203" s="1"/>
  <c r="AI62" i="203" s="1"/>
  <c r="Y62" i="203" s="1"/>
  <c r="Z62" i="203"/>
  <c r="X62" i="203"/>
  <c r="Q62" i="203"/>
  <c r="P62" i="203"/>
  <c r="H62" i="203"/>
  <c r="E62" i="203"/>
  <c r="I62" i="203" s="1"/>
  <c r="AC61" i="203"/>
  <c r="AB61" i="203"/>
  <c r="AE61" i="203" s="1"/>
  <c r="AI61" i="203" s="1"/>
  <c r="Y61" i="203" s="1"/>
  <c r="X61" i="203"/>
  <c r="Q61" i="203"/>
  <c r="P61" i="203"/>
  <c r="H61" i="203"/>
  <c r="E61" i="203"/>
  <c r="I61" i="203" s="1"/>
  <c r="AE60" i="203"/>
  <c r="AI60" i="203" s="1"/>
  <c r="Y60" i="203" s="1"/>
  <c r="X60" i="203"/>
  <c r="Q60" i="203"/>
  <c r="P60" i="203"/>
  <c r="H60" i="203"/>
  <c r="E60" i="203"/>
  <c r="I60" i="203" s="1"/>
  <c r="AC59" i="203"/>
  <c r="AB59" i="203"/>
  <c r="AE59" i="203" s="1"/>
  <c r="AI59" i="203" s="1"/>
  <c r="Y59" i="203" s="1"/>
  <c r="X59" i="203"/>
  <c r="Q59" i="203"/>
  <c r="P59" i="203"/>
  <c r="H59" i="203"/>
  <c r="E59" i="203"/>
  <c r="I59" i="203" s="1"/>
  <c r="AC58" i="203"/>
  <c r="AB58" i="203"/>
  <c r="AE58" i="203" s="1"/>
  <c r="AI58" i="203" s="1"/>
  <c r="Y58" i="203" s="1"/>
  <c r="X58" i="203"/>
  <c r="Q58" i="203"/>
  <c r="P58" i="203"/>
  <c r="I58" i="203"/>
  <c r="E58" i="203"/>
  <c r="AC57" i="203"/>
  <c r="AB57" i="203"/>
  <c r="AE57" i="203" s="1"/>
  <c r="AI57" i="203" s="1"/>
  <c r="Y57" i="203" s="1"/>
  <c r="X57" i="203"/>
  <c r="Q57" i="203"/>
  <c r="P57" i="203"/>
  <c r="H57" i="203"/>
  <c r="E57" i="203"/>
  <c r="I57" i="203" s="1"/>
  <c r="AD56" i="203"/>
  <c r="AC56" i="203"/>
  <c r="AB56" i="203"/>
  <c r="AE56" i="203" s="1"/>
  <c r="AI56" i="203" s="1"/>
  <c r="Y56" i="203" s="1"/>
  <c r="Z56" i="203"/>
  <c r="X56" i="203"/>
  <c r="Q56" i="203"/>
  <c r="P56" i="203"/>
  <c r="I56" i="203"/>
  <c r="H56" i="203"/>
  <c r="E56" i="203"/>
  <c r="AD55" i="203"/>
  <c r="AE55" i="203" s="1"/>
  <c r="AI55" i="203" s="1"/>
  <c r="Y55" i="203" s="1"/>
  <c r="AC55" i="203"/>
  <c r="AB55" i="203"/>
  <c r="Z55" i="203"/>
  <c r="X55" i="203"/>
  <c r="Q55" i="203"/>
  <c r="P55" i="203"/>
  <c r="I55" i="203"/>
  <c r="H55" i="203"/>
  <c r="E55" i="203"/>
  <c r="AD54" i="203"/>
  <c r="AC54" i="203"/>
  <c r="AE54" i="203" s="1"/>
  <c r="AI54" i="203" s="1"/>
  <c r="AB54" i="203"/>
  <c r="Z54" i="203"/>
  <c r="Q54" i="203"/>
  <c r="P54" i="203"/>
  <c r="Y54" i="203"/>
  <c r="E54" i="203"/>
  <c r="I54" i="203" s="1"/>
  <c r="AD53" i="203"/>
  <c r="AC53" i="203"/>
  <c r="AB53" i="203"/>
  <c r="AE53" i="203" s="1"/>
  <c r="AI53" i="203" s="1"/>
  <c r="Y53" i="203" s="1"/>
  <c r="Z53" i="203"/>
  <c r="X53" i="203"/>
  <c r="Q53" i="203"/>
  <c r="P53" i="203"/>
  <c r="H53" i="203"/>
  <c r="E53" i="203"/>
  <c r="I53" i="203" s="1"/>
  <c r="AE52" i="203"/>
  <c r="AI52" i="203" s="1"/>
  <c r="Y52" i="203" s="1"/>
  <c r="Z52" i="203"/>
  <c r="X52" i="203"/>
  <c r="Q52" i="203"/>
  <c r="P52" i="203"/>
  <c r="H52" i="203"/>
  <c r="E52" i="203"/>
  <c r="I52" i="203" s="1"/>
  <c r="AD51" i="203"/>
  <c r="AC51" i="203"/>
  <c r="AB51" i="203"/>
  <c r="AE51" i="203" s="1"/>
  <c r="AI51" i="203" s="1"/>
  <c r="Y51" i="203" s="1"/>
  <c r="Z51" i="203"/>
  <c r="X51" i="203"/>
  <c r="Q51" i="203"/>
  <c r="P51" i="203"/>
  <c r="H51" i="203"/>
  <c r="E51" i="203"/>
  <c r="I51" i="203" s="1"/>
  <c r="AD50" i="203"/>
  <c r="AC50" i="203"/>
  <c r="AE50" i="203" s="1"/>
  <c r="AI50" i="203" s="1"/>
  <c r="Y50" i="203" s="1"/>
  <c r="AB50" i="203"/>
  <c r="Z50" i="203"/>
  <c r="X50" i="203"/>
  <c r="Q50" i="203"/>
  <c r="P50" i="203"/>
  <c r="H50" i="203"/>
  <c r="E50" i="203"/>
  <c r="I50" i="203" s="1"/>
  <c r="AE49" i="203"/>
  <c r="AI49" i="203" s="1"/>
  <c r="Y49" i="203" s="1"/>
  <c r="Z49" i="203"/>
  <c r="X49" i="203"/>
  <c r="Q49" i="203"/>
  <c r="P49" i="203"/>
  <c r="I49" i="203"/>
  <c r="H49" i="203"/>
  <c r="E49" i="203"/>
  <c r="AI48" i="203"/>
  <c r="AE48" i="203"/>
  <c r="Z48" i="203"/>
  <c r="Y48" i="203"/>
  <c r="X48" i="203"/>
  <c r="Q48" i="203"/>
  <c r="P48" i="203"/>
  <c r="I48" i="203"/>
  <c r="H48" i="203"/>
  <c r="E48" i="203"/>
  <c r="AI47" i="203"/>
  <c r="Y47" i="203" s="1"/>
  <c r="AE47" i="203"/>
  <c r="Z47" i="203"/>
  <c r="X47" i="203"/>
  <c r="Q47" i="203"/>
  <c r="P47" i="203"/>
  <c r="H47" i="203"/>
  <c r="E47" i="203"/>
  <c r="I47" i="203" s="1"/>
  <c r="AD46" i="203"/>
  <c r="AC46" i="203"/>
  <c r="AE46" i="203" s="1"/>
  <c r="AI46" i="203" s="1"/>
  <c r="Y46" i="203" s="1"/>
  <c r="AB46" i="203"/>
  <c r="Z46" i="203"/>
  <c r="X46" i="203"/>
  <c r="Q46" i="203"/>
  <c r="P46" i="203"/>
  <c r="H46" i="203"/>
  <c r="E46" i="203"/>
  <c r="I46" i="203" s="1"/>
  <c r="AD45" i="203"/>
  <c r="AC45" i="203"/>
  <c r="AB45" i="203"/>
  <c r="AE45" i="203" s="1"/>
  <c r="AI45" i="203" s="1"/>
  <c r="Y45" i="203" s="1"/>
  <c r="Z45" i="203"/>
  <c r="X45" i="203"/>
  <c r="Q45" i="203"/>
  <c r="P45" i="203"/>
  <c r="H45" i="203"/>
  <c r="E45" i="203"/>
  <c r="I45" i="203" s="1"/>
  <c r="AD44" i="203"/>
  <c r="AC44" i="203"/>
  <c r="AE44" i="203" s="1"/>
  <c r="AI44" i="203" s="1"/>
  <c r="Y44" i="203" s="1"/>
  <c r="AB44" i="203"/>
  <c r="Z44" i="203"/>
  <c r="X44" i="203"/>
  <c r="Q44" i="203"/>
  <c r="P44" i="203"/>
  <c r="H44" i="203"/>
  <c r="E44" i="203"/>
  <c r="I44" i="203" s="1"/>
  <c r="AE43" i="203"/>
  <c r="AI43" i="203" s="1"/>
  <c r="Y43" i="203" s="1"/>
  <c r="AD43" i="203"/>
  <c r="AC43" i="203"/>
  <c r="AB43" i="203"/>
  <c r="Z43" i="203"/>
  <c r="X43" i="203"/>
  <c r="Q43" i="203"/>
  <c r="P43" i="203"/>
  <c r="H43" i="203"/>
  <c r="E43" i="203"/>
  <c r="I43" i="203" s="1"/>
  <c r="AD42" i="203"/>
  <c r="AC42" i="203"/>
  <c r="AB42" i="203"/>
  <c r="AE42" i="203" s="1"/>
  <c r="AI42" i="203" s="1"/>
  <c r="Q42" i="203"/>
  <c r="P42" i="203"/>
  <c r="H42" i="203"/>
  <c r="Z42" i="203"/>
  <c r="E42" i="203"/>
  <c r="I42" i="203" s="1"/>
  <c r="AE41" i="203"/>
  <c r="AI41" i="203" s="1"/>
  <c r="Y41" i="203" s="1"/>
  <c r="AD41" i="203"/>
  <c r="AC41" i="203"/>
  <c r="AB41" i="203"/>
  <c r="Z41" i="203"/>
  <c r="X41" i="203"/>
  <c r="Q41" i="203"/>
  <c r="P41" i="203"/>
  <c r="H41" i="203"/>
  <c r="E41" i="203"/>
  <c r="I41" i="203" s="1"/>
  <c r="AD40" i="203"/>
  <c r="AC40" i="203"/>
  <c r="AE40" i="203" s="1"/>
  <c r="AI40" i="203" s="1"/>
  <c r="Y40" i="203" s="1"/>
  <c r="AB40" i="203"/>
  <c r="Z40" i="203"/>
  <c r="X40" i="203"/>
  <c r="Q40" i="203"/>
  <c r="P40" i="203"/>
  <c r="H40" i="203"/>
  <c r="E40" i="203"/>
  <c r="I40" i="203" s="1"/>
  <c r="AD39" i="203"/>
  <c r="AC39" i="203"/>
  <c r="AB39" i="203"/>
  <c r="AE39" i="203" s="1"/>
  <c r="AI39" i="203" s="1"/>
  <c r="Y39" i="203" s="1"/>
  <c r="X39" i="203"/>
  <c r="Q39" i="203"/>
  <c r="P39" i="203"/>
  <c r="H39" i="203"/>
  <c r="I39" i="203"/>
  <c r="E39" i="203"/>
  <c r="AD38" i="203"/>
  <c r="AC38" i="203"/>
  <c r="AB38" i="203"/>
  <c r="AE38" i="203" s="1"/>
  <c r="AI38" i="203" s="1"/>
  <c r="Y38" i="203" s="1"/>
  <c r="Z38" i="203"/>
  <c r="X38" i="203"/>
  <c r="Q38" i="203"/>
  <c r="P38" i="203"/>
  <c r="H38" i="203"/>
  <c r="E38" i="203"/>
  <c r="I38" i="203" s="1"/>
  <c r="AD37" i="203"/>
  <c r="AC37" i="203"/>
  <c r="AB37" i="203"/>
  <c r="AE37" i="203" s="1"/>
  <c r="AI37" i="203" s="1"/>
  <c r="Y37" i="203" s="1"/>
  <c r="Z37" i="203"/>
  <c r="X37" i="203"/>
  <c r="Q37" i="203"/>
  <c r="P37" i="203"/>
  <c r="H37" i="203"/>
  <c r="E37" i="203"/>
  <c r="I37" i="203" s="1"/>
  <c r="AD36" i="203"/>
  <c r="AC36" i="203"/>
  <c r="AE36" i="203" s="1"/>
  <c r="AI36" i="203" s="1"/>
  <c r="Y36" i="203" s="1"/>
  <c r="AB36" i="203"/>
  <c r="Z36" i="203"/>
  <c r="X36" i="203"/>
  <c r="Q36" i="203"/>
  <c r="P36" i="203"/>
  <c r="H36" i="203"/>
  <c r="E36" i="203"/>
  <c r="I36" i="203" s="1"/>
  <c r="AE35" i="203"/>
  <c r="AI35" i="203" s="1"/>
  <c r="Y35" i="203" s="1"/>
  <c r="AD35" i="203"/>
  <c r="AC35" i="203"/>
  <c r="AB35" i="203"/>
  <c r="Z35" i="203"/>
  <c r="X35" i="203"/>
  <c r="Q35" i="203"/>
  <c r="P35" i="203"/>
  <c r="I35" i="203"/>
  <c r="H35" i="203"/>
  <c r="E35" i="203"/>
  <c r="AD34" i="203"/>
  <c r="AC34" i="203"/>
  <c r="AB34" i="203"/>
  <c r="AE34" i="203" s="1"/>
  <c r="AI34" i="203" s="1"/>
  <c r="Y34" i="203" s="1"/>
  <c r="Z34" i="203"/>
  <c r="X34" i="203"/>
  <c r="Q34" i="203"/>
  <c r="P34" i="203"/>
  <c r="I34" i="203"/>
  <c r="H34" i="203"/>
  <c r="E34" i="203"/>
  <c r="AE33" i="203"/>
  <c r="AI33" i="203" s="1"/>
  <c r="Y33" i="203" s="1"/>
  <c r="AD33" i="203"/>
  <c r="AC33" i="203"/>
  <c r="AB33" i="203"/>
  <c r="Z33" i="203"/>
  <c r="X33" i="203"/>
  <c r="Q33" i="203"/>
  <c r="P33" i="203"/>
  <c r="H33" i="203"/>
  <c r="E33" i="203"/>
  <c r="I33" i="203" s="1"/>
  <c r="AD32" i="203"/>
  <c r="AC32" i="203"/>
  <c r="AB32" i="203"/>
  <c r="AE32" i="203" s="1"/>
  <c r="AI32" i="203" s="1"/>
  <c r="Y32" i="203" s="1"/>
  <c r="Z32" i="203"/>
  <c r="X32" i="203"/>
  <c r="Q32" i="203"/>
  <c r="P32" i="203"/>
  <c r="I32" i="203"/>
  <c r="H32" i="203"/>
  <c r="E32" i="203"/>
  <c r="AI31" i="203"/>
  <c r="Y31" i="203" s="1"/>
  <c r="AE31" i="203"/>
  <c r="Z31" i="203"/>
  <c r="X31" i="203"/>
  <c r="Q31" i="203"/>
  <c r="P31" i="203"/>
  <c r="I31" i="203"/>
  <c r="H31" i="203"/>
  <c r="E31" i="203"/>
  <c r="AD30" i="203"/>
  <c r="AC30" i="203"/>
  <c r="AE30" i="203" s="1"/>
  <c r="AI30" i="203" s="1"/>
  <c r="Y30" i="203" s="1"/>
  <c r="AB30" i="203"/>
  <c r="Z30" i="203"/>
  <c r="X30" i="203"/>
  <c r="Q30" i="203"/>
  <c r="P30" i="203"/>
  <c r="H30" i="203"/>
  <c r="E30" i="203"/>
  <c r="I30" i="203" s="1"/>
  <c r="AD29" i="203"/>
  <c r="AC29" i="203"/>
  <c r="AB29" i="203"/>
  <c r="AE29" i="203" s="1"/>
  <c r="AI29" i="203" s="1"/>
  <c r="Y29" i="203" s="1"/>
  <c r="Z29" i="203"/>
  <c r="X29" i="203"/>
  <c r="Q29" i="203"/>
  <c r="P29" i="203"/>
  <c r="H29" i="203"/>
  <c r="E29" i="203"/>
  <c r="I29" i="203" s="1"/>
  <c r="AD28" i="203"/>
  <c r="AC28" i="203"/>
  <c r="AE28" i="203" s="1"/>
  <c r="AI28" i="203" s="1"/>
  <c r="Y28" i="203" s="1"/>
  <c r="AB28" i="203"/>
  <c r="Z28" i="203"/>
  <c r="X28" i="203"/>
  <c r="Q28" i="203"/>
  <c r="P28" i="203"/>
  <c r="I28" i="203"/>
  <c r="H28" i="203"/>
  <c r="E28" i="203"/>
  <c r="AE27" i="203"/>
  <c r="AI27" i="203" s="1"/>
  <c r="Y27" i="203" s="1"/>
  <c r="AD27" i="203"/>
  <c r="AC27" i="203"/>
  <c r="AB27" i="203"/>
  <c r="Z27" i="203"/>
  <c r="X27" i="203"/>
  <c r="Q27" i="203"/>
  <c r="P27" i="203"/>
  <c r="H27" i="203"/>
  <c r="E27" i="203"/>
  <c r="I27" i="203" s="1"/>
  <c r="AD26" i="203"/>
  <c r="AC26" i="203"/>
  <c r="AB26" i="203"/>
  <c r="AE26" i="203" s="1"/>
  <c r="AI26" i="203" s="1"/>
  <c r="Y26" i="203" s="1"/>
  <c r="Z26" i="203"/>
  <c r="X26" i="203"/>
  <c r="Q26" i="203"/>
  <c r="P26" i="203"/>
  <c r="H26" i="203"/>
  <c r="E26" i="203"/>
  <c r="I26" i="203" s="1"/>
  <c r="AD25" i="203"/>
  <c r="AC25" i="203"/>
  <c r="AE25" i="203" s="1"/>
  <c r="AI25" i="203" s="1"/>
  <c r="Y25" i="203" s="1"/>
  <c r="AB25" i="203"/>
  <c r="Z25" i="203"/>
  <c r="X25" i="203"/>
  <c r="Q25" i="203"/>
  <c r="P25" i="203"/>
  <c r="H25" i="203"/>
  <c r="E25" i="203"/>
  <c r="I25" i="203" s="1"/>
  <c r="AD24" i="203"/>
  <c r="AC24" i="203"/>
  <c r="AB24" i="203"/>
  <c r="AE24" i="203" s="1"/>
  <c r="AI24" i="203" s="1"/>
  <c r="Y24" i="203" s="1"/>
  <c r="Z24" i="203"/>
  <c r="X24" i="203"/>
  <c r="Q24" i="203"/>
  <c r="P24" i="203"/>
  <c r="I24" i="203"/>
  <c r="H24" i="203"/>
  <c r="E24" i="203"/>
  <c r="AD23" i="203"/>
  <c r="AC23" i="203"/>
  <c r="AB23" i="203"/>
  <c r="AE23" i="203" s="1"/>
  <c r="AI23" i="203" s="1"/>
  <c r="Y23" i="203" s="1"/>
  <c r="Z23" i="203"/>
  <c r="X23" i="203"/>
  <c r="Q23" i="203"/>
  <c r="P23" i="203"/>
  <c r="H23" i="203"/>
  <c r="E23" i="203"/>
  <c r="I23" i="203" s="1"/>
  <c r="AD22" i="203"/>
  <c r="AC22" i="203"/>
  <c r="AB22" i="203"/>
  <c r="AE22" i="203" s="1"/>
  <c r="AI22" i="203" s="1"/>
  <c r="Y22" i="203" s="1"/>
  <c r="Z22" i="203"/>
  <c r="X22" i="203"/>
  <c r="Q22" i="203"/>
  <c r="P22" i="203"/>
  <c r="H22" i="203"/>
  <c r="E22" i="203"/>
  <c r="I22" i="203" s="1"/>
  <c r="AD21" i="203"/>
  <c r="AC21" i="203"/>
  <c r="AE21" i="203" s="1"/>
  <c r="AI21" i="203" s="1"/>
  <c r="Y21" i="203" s="1"/>
  <c r="AB21" i="203"/>
  <c r="Z21" i="203"/>
  <c r="X21" i="203"/>
  <c r="Q21" i="203"/>
  <c r="P21" i="203"/>
  <c r="H21" i="203"/>
  <c r="E21" i="203"/>
  <c r="I21" i="203" s="1"/>
  <c r="AE20" i="203"/>
  <c r="AI20" i="203" s="1"/>
  <c r="Y20" i="203" s="1"/>
  <c r="AD20" i="203"/>
  <c r="AC20" i="203"/>
  <c r="AB20" i="203"/>
  <c r="Z20" i="203"/>
  <c r="X20" i="203"/>
  <c r="Q20" i="203"/>
  <c r="P20" i="203"/>
  <c r="H20" i="203"/>
  <c r="H71" i="203"/>
  <c r="E20" i="203"/>
  <c r="I20" i="203" s="1"/>
  <c r="AD19" i="203"/>
  <c r="AC19" i="203"/>
  <c r="AE19" i="203" s="1"/>
  <c r="AI19" i="203" s="1"/>
  <c r="Y19" i="203" s="1"/>
  <c r="AB19" i="203"/>
  <c r="Z19" i="203"/>
  <c r="X19" i="203"/>
  <c r="Q19" i="203"/>
  <c r="P19" i="203"/>
  <c r="H19" i="203"/>
  <c r="E19" i="203"/>
  <c r="I19" i="203" s="1"/>
  <c r="AD18" i="203"/>
  <c r="AC18" i="203"/>
  <c r="AB18" i="203"/>
  <c r="AE18" i="203" s="1"/>
  <c r="AI18" i="203" s="1"/>
  <c r="Y18" i="203" s="1"/>
  <c r="Z18" i="203"/>
  <c r="X18" i="203"/>
  <c r="Q18" i="203"/>
  <c r="P18" i="203"/>
  <c r="H18" i="203"/>
  <c r="E18" i="203"/>
  <c r="I18" i="203" s="1"/>
  <c r="AD17" i="203"/>
  <c r="AC17" i="203"/>
  <c r="AE17" i="203" s="1"/>
  <c r="AI17" i="203" s="1"/>
  <c r="Y17" i="203" s="1"/>
  <c r="AB17" i="203"/>
  <c r="Z17" i="203"/>
  <c r="X17" i="203"/>
  <c r="Q17" i="203"/>
  <c r="P17" i="203"/>
  <c r="I17" i="203"/>
  <c r="H17" i="203"/>
  <c r="E17" i="203"/>
  <c r="AE16" i="203"/>
  <c r="AI16" i="203" s="1"/>
  <c r="Y16" i="203" s="1"/>
  <c r="AD16" i="203"/>
  <c r="AC16" i="203"/>
  <c r="AB16" i="203"/>
  <c r="Z16" i="203"/>
  <c r="X16" i="203"/>
  <c r="Q16" i="203"/>
  <c r="P16" i="203"/>
  <c r="I16" i="203"/>
  <c r="E16" i="203"/>
  <c r="AI15" i="203"/>
  <c r="Y15" i="203" s="1"/>
  <c r="AE15" i="203"/>
  <c r="AD15" i="203"/>
  <c r="AC15" i="203"/>
  <c r="AB15" i="203"/>
  <c r="Z15" i="203"/>
  <c r="X15" i="203"/>
  <c r="Q15" i="203"/>
  <c r="P15" i="203"/>
  <c r="I15" i="203"/>
  <c r="E15" i="203"/>
  <c r="AD14" i="203"/>
  <c r="AC14" i="203"/>
  <c r="AB14" i="203"/>
  <c r="AE14" i="203" s="1"/>
  <c r="AI14" i="203" s="1"/>
  <c r="Y14" i="203" s="1"/>
  <c r="Z14" i="203"/>
  <c r="X14" i="203"/>
  <c r="P14" i="203"/>
  <c r="Q14" i="203"/>
  <c r="H14" i="203"/>
  <c r="E14" i="203"/>
  <c r="I14" i="203" s="1"/>
  <c r="AD13" i="203"/>
  <c r="AC13" i="203"/>
  <c r="AB13" i="203"/>
  <c r="AE13" i="203" s="1"/>
  <c r="AI13" i="203" s="1"/>
  <c r="Y13" i="203" s="1"/>
  <c r="Z13" i="203"/>
  <c r="X13" i="203"/>
  <c r="Q13" i="203"/>
  <c r="P13" i="203"/>
  <c r="H13" i="203"/>
  <c r="E13" i="203"/>
  <c r="I13" i="203" s="1"/>
  <c r="AD12" i="203"/>
  <c r="AC12" i="203"/>
  <c r="AE12" i="203" s="1"/>
  <c r="AI12" i="203" s="1"/>
  <c r="Y12" i="203" s="1"/>
  <c r="AB12" i="203"/>
  <c r="Z12" i="203"/>
  <c r="X12" i="203"/>
  <c r="Q12" i="203"/>
  <c r="P12" i="203"/>
  <c r="I12" i="203"/>
  <c r="H12" i="203"/>
  <c r="E12" i="203"/>
  <c r="F39" i="202"/>
  <c r="F42" i="202"/>
  <c r="F20" i="202"/>
  <c r="T79" i="204" l="1"/>
  <c r="F77" i="204" s="1"/>
  <c r="O75" i="203"/>
  <c r="O73" i="203"/>
  <c r="T73" i="203"/>
  <c r="F73" i="203"/>
  <c r="F75" i="203"/>
  <c r="Z39" i="203"/>
  <c r="T75" i="203" s="1"/>
  <c r="H54" i="203"/>
  <c r="P71" i="203"/>
  <c r="X42" i="203"/>
  <c r="T77" i="203" s="1"/>
  <c r="Y42" i="203"/>
  <c r="X54" i="203"/>
  <c r="H39" i="202"/>
  <c r="F41" i="202"/>
  <c r="H41" i="202" s="1"/>
  <c r="F54" i="202"/>
  <c r="M79" i="202"/>
  <c r="P71" i="202"/>
  <c r="Q70" i="202"/>
  <c r="P70" i="202"/>
  <c r="H70" i="202"/>
  <c r="E70" i="202"/>
  <c r="I70" i="202" s="1"/>
  <c r="Q69" i="202"/>
  <c r="P69" i="202"/>
  <c r="I69" i="202"/>
  <c r="H69" i="202"/>
  <c r="E69" i="202"/>
  <c r="AD68" i="202"/>
  <c r="AC68" i="202"/>
  <c r="AB68" i="202"/>
  <c r="AE68" i="202" s="1"/>
  <c r="AI68" i="202" s="1"/>
  <c r="Y68" i="202" s="1"/>
  <c r="Z68" i="202"/>
  <c r="X68" i="202"/>
  <c r="Q68" i="202"/>
  <c r="P68" i="202"/>
  <c r="H68" i="202"/>
  <c r="E68" i="202"/>
  <c r="I68" i="202" s="1"/>
  <c r="AD67" i="202"/>
  <c r="AC67" i="202"/>
  <c r="AB67" i="202"/>
  <c r="AE67" i="202" s="1"/>
  <c r="AI67" i="202" s="1"/>
  <c r="Y67" i="202" s="1"/>
  <c r="Z67" i="202"/>
  <c r="X67" i="202"/>
  <c r="Q67" i="202"/>
  <c r="P67" i="202"/>
  <c r="I67" i="202"/>
  <c r="H67" i="202"/>
  <c r="E67" i="202"/>
  <c r="AD66" i="202"/>
  <c r="AC66" i="202"/>
  <c r="AB66" i="202"/>
  <c r="AE66" i="202" s="1"/>
  <c r="AI66" i="202" s="1"/>
  <c r="Y66" i="202" s="1"/>
  <c r="Z66" i="202"/>
  <c r="X66" i="202"/>
  <c r="Q66" i="202"/>
  <c r="P66" i="202"/>
  <c r="I66" i="202"/>
  <c r="H66" i="202"/>
  <c r="E66" i="202"/>
  <c r="AD65" i="202"/>
  <c r="AC65" i="202"/>
  <c r="AB65" i="202"/>
  <c r="AE65" i="202" s="1"/>
  <c r="AI65" i="202" s="1"/>
  <c r="Y65" i="202" s="1"/>
  <c r="Z65" i="202"/>
  <c r="X65" i="202"/>
  <c r="Q65" i="202"/>
  <c r="P65" i="202"/>
  <c r="I65" i="202"/>
  <c r="H65" i="202"/>
  <c r="E65" i="202"/>
  <c r="AD64" i="202"/>
  <c r="AC64" i="202"/>
  <c r="AE64" i="202" s="1"/>
  <c r="AI64" i="202" s="1"/>
  <c r="Y64" i="202" s="1"/>
  <c r="AB64" i="202"/>
  <c r="Z64" i="202"/>
  <c r="X64" i="202"/>
  <c r="Q64" i="202"/>
  <c r="P64" i="202"/>
  <c r="I64" i="202"/>
  <c r="H64" i="202"/>
  <c r="E64" i="202"/>
  <c r="AD63" i="202"/>
  <c r="AC63" i="202"/>
  <c r="AB63" i="202"/>
  <c r="AE63" i="202" s="1"/>
  <c r="AI63" i="202" s="1"/>
  <c r="Y63" i="202" s="1"/>
  <c r="Z63" i="202"/>
  <c r="X63" i="202"/>
  <c r="Q63" i="202"/>
  <c r="P63" i="202"/>
  <c r="H63" i="202"/>
  <c r="E63" i="202"/>
  <c r="I63" i="202" s="1"/>
  <c r="AD62" i="202"/>
  <c r="AC62" i="202"/>
  <c r="AE62" i="202" s="1"/>
  <c r="AI62" i="202" s="1"/>
  <c r="Y62" i="202" s="1"/>
  <c r="AB62" i="202"/>
  <c r="Z62" i="202"/>
  <c r="X62" i="202"/>
  <c r="Q62" i="202"/>
  <c r="P62" i="202"/>
  <c r="H62" i="202"/>
  <c r="E62" i="202"/>
  <c r="I62" i="202" s="1"/>
  <c r="AC61" i="202"/>
  <c r="AE61" i="202" s="1"/>
  <c r="AI61" i="202" s="1"/>
  <c r="Y61" i="202" s="1"/>
  <c r="AB61" i="202"/>
  <c r="X61" i="202"/>
  <c r="Q61" i="202"/>
  <c r="P61" i="202"/>
  <c r="H61" i="202"/>
  <c r="E61" i="202"/>
  <c r="I61" i="202" s="1"/>
  <c r="AI60" i="202"/>
  <c r="Y60" i="202" s="1"/>
  <c r="AE60" i="202"/>
  <c r="X60" i="202"/>
  <c r="Q60" i="202"/>
  <c r="P60" i="202"/>
  <c r="I60" i="202"/>
  <c r="H60" i="202"/>
  <c r="E60" i="202"/>
  <c r="AC59" i="202"/>
  <c r="AB59" i="202"/>
  <c r="AE59" i="202" s="1"/>
  <c r="AI59" i="202" s="1"/>
  <c r="Y59" i="202" s="1"/>
  <c r="X59" i="202"/>
  <c r="Q59" i="202"/>
  <c r="P59" i="202"/>
  <c r="I59" i="202"/>
  <c r="H59" i="202"/>
  <c r="E59" i="202"/>
  <c r="AC58" i="202"/>
  <c r="AB58" i="202"/>
  <c r="AE58" i="202" s="1"/>
  <c r="AI58" i="202" s="1"/>
  <c r="Y58" i="202" s="1"/>
  <c r="X58" i="202"/>
  <c r="Q58" i="202"/>
  <c r="P58" i="202"/>
  <c r="E58" i="202"/>
  <c r="I58" i="202" s="1"/>
  <c r="AC57" i="202"/>
  <c r="AB57" i="202"/>
  <c r="AE57" i="202" s="1"/>
  <c r="AI57" i="202" s="1"/>
  <c r="Y57" i="202" s="1"/>
  <c r="X57" i="202"/>
  <c r="Q57" i="202"/>
  <c r="P57" i="202"/>
  <c r="I57" i="202"/>
  <c r="H57" i="202"/>
  <c r="E57" i="202"/>
  <c r="AD56" i="202"/>
  <c r="AC56" i="202"/>
  <c r="AB56" i="202"/>
  <c r="AE56" i="202" s="1"/>
  <c r="AI56" i="202" s="1"/>
  <c r="Y56" i="202" s="1"/>
  <c r="Z56" i="202"/>
  <c r="X56" i="202"/>
  <c r="Q56" i="202"/>
  <c r="P56" i="202"/>
  <c r="I56" i="202"/>
  <c r="H56" i="202"/>
  <c r="E56" i="202"/>
  <c r="AE55" i="202"/>
  <c r="AI55" i="202" s="1"/>
  <c r="Y55" i="202" s="1"/>
  <c r="AD55" i="202"/>
  <c r="AC55" i="202"/>
  <c r="AB55" i="202"/>
  <c r="Z55" i="202"/>
  <c r="X55" i="202"/>
  <c r="Q55" i="202"/>
  <c r="P55" i="202"/>
  <c r="I55" i="202"/>
  <c r="H55" i="202"/>
  <c r="E55" i="202"/>
  <c r="AD54" i="202"/>
  <c r="AC54" i="202"/>
  <c r="AB54" i="202"/>
  <c r="AE54" i="202" s="1"/>
  <c r="AI54" i="202" s="1"/>
  <c r="Z54" i="202"/>
  <c r="X54" i="202"/>
  <c r="Q54" i="202"/>
  <c r="P54" i="202"/>
  <c r="H54" i="202"/>
  <c r="E54" i="202"/>
  <c r="I54" i="202" s="1"/>
  <c r="AI53" i="202"/>
  <c r="Y53" i="202" s="1"/>
  <c r="AE53" i="202"/>
  <c r="AD53" i="202"/>
  <c r="AC53" i="202"/>
  <c r="AB53" i="202"/>
  <c r="Z53" i="202"/>
  <c r="X53" i="202"/>
  <c r="Q53" i="202"/>
  <c r="P53" i="202"/>
  <c r="H53" i="202"/>
  <c r="E53" i="202"/>
  <c r="I53" i="202" s="1"/>
  <c r="AE52" i="202"/>
  <c r="AI52" i="202" s="1"/>
  <c r="Y52" i="202" s="1"/>
  <c r="Z52" i="202"/>
  <c r="X52" i="202"/>
  <c r="Q52" i="202"/>
  <c r="P52" i="202"/>
  <c r="H52" i="202"/>
  <c r="E52" i="202"/>
  <c r="I52" i="202" s="1"/>
  <c r="AD51" i="202"/>
  <c r="AC51" i="202"/>
  <c r="AB51" i="202"/>
  <c r="AE51" i="202" s="1"/>
  <c r="AI51" i="202" s="1"/>
  <c r="Y51" i="202" s="1"/>
  <c r="Z51" i="202"/>
  <c r="X51" i="202"/>
  <c r="Q51" i="202"/>
  <c r="P51" i="202"/>
  <c r="I51" i="202"/>
  <c r="H51" i="202"/>
  <c r="E51" i="202"/>
  <c r="AD50" i="202"/>
  <c r="AC50" i="202"/>
  <c r="AE50" i="202" s="1"/>
  <c r="AI50" i="202" s="1"/>
  <c r="Y50" i="202" s="1"/>
  <c r="AB50" i="202"/>
  <c r="Z50" i="202"/>
  <c r="X50" i="202"/>
  <c r="Q50" i="202"/>
  <c r="P50" i="202"/>
  <c r="I50" i="202"/>
  <c r="H50" i="202"/>
  <c r="E50" i="202"/>
  <c r="AI49" i="202"/>
  <c r="Y49" i="202" s="1"/>
  <c r="AE49" i="202"/>
  <c r="Z49" i="202"/>
  <c r="X49" i="202"/>
  <c r="Q49" i="202"/>
  <c r="P49" i="202"/>
  <c r="I49" i="202"/>
  <c r="H49" i="202"/>
  <c r="E49" i="202"/>
  <c r="AI48" i="202"/>
  <c r="AE48" i="202"/>
  <c r="Z48" i="202"/>
  <c r="Y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H47" i="202"/>
  <c r="E47" i="202"/>
  <c r="I47" i="202" s="1"/>
  <c r="AE46" i="202"/>
  <c r="AI46" i="202" s="1"/>
  <c r="Y46" i="202" s="1"/>
  <c r="AD46" i="202"/>
  <c r="AC46" i="202"/>
  <c r="AB46" i="202"/>
  <c r="Z46" i="202"/>
  <c r="X46" i="202"/>
  <c r="Q46" i="202"/>
  <c r="P46" i="202"/>
  <c r="H46" i="202"/>
  <c r="E46" i="202"/>
  <c r="I46" i="202" s="1"/>
  <c r="AD45" i="202"/>
  <c r="AC45" i="202"/>
  <c r="AB45" i="202"/>
  <c r="AE45" i="202" s="1"/>
  <c r="AI45" i="202" s="1"/>
  <c r="Y45" i="202" s="1"/>
  <c r="Z45" i="202"/>
  <c r="X45" i="202"/>
  <c r="Q45" i="202"/>
  <c r="P45" i="202"/>
  <c r="H45" i="202"/>
  <c r="E45" i="202"/>
  <c r="I45" i="202" s="1"/>
  <c r="AD44" i="202"/>
  <c r="AC44" i="202"/>
  <c r="AB44" i="202"/>
  <c r="AE44" i="202" s="1"/>
  <c r="AI44" i="202" s="1"/>
  <c r="Y44" i="202" s="1"/>
  <c r="Z44" i="202"/>
  <c r="X44" i="202"/>
  <c r="Q44" i="202"/>
  <c r="P44" i="202"/>
  <c r="I44" i="202"/>
  <c r="H44" i="202"/>
  <c r="E44" i="202"/>
  <c r="AE43" i="202"/>
  <c r="AI43" i="202" s="1"/>
  <c r="Y43" i="202" s="1"/>
  <c r="AD43" i="202"/>
  <c r="AC43" i="202"/>
  <c r="AB43" i="202"/>
  <c r="Z43" i="202"/>
  <c r="X43" i="202"/>
  <c r="Q43" i="202"/>
  <c r="P43" i="202"/>
  <c r="I43" i="202"/>
  <c r="H43" i="202"/>
  <c r="E43" i="202"/>
  <c r="AD42" i="202"/>
  <c r="AC42" i="202"/>
  <c r="AB42" i="202"/>
  <c r="AE42" i="202" s="1"/>
  <c r="AI42" i="202" s="1"/>
  <c r="Y42" i="202" s="1"/>
  <c r="Z42" i="202"/>
  <c r="X42" i="202"/>
  <c r="Q42" i="202"/>
  <c r="P42" i="202"/>
  <c r="H42" i="202"/>
  <c r="E42" i="202"/>
  <c r="I42" i="202" s="1"/>
  <c r="AI41" i="202"/>
  <c r="AE41" i="202"/>
  <c r="AD41" i="202"/>
  <c r="AC41" i="202"/>
  <c r="AB41" i="202"/>
  <c r="Q41" i="202"/>
  <c r="P41" i="202"/>
  <c r="E41" i="202"/>
  <c r="AE40" i="202"/>
  <c r="AI40" i="202" s="1"/>
  <c r="Y40" i="202" s="1"/>
  <c r="AD40" i="202"/>
  <c r="AC40" i="202"/>
  <c r="AB40" i="202"/>
  <c r="Z40" i="202"/>
  <c r="X40" i="202"/>
  <c r="Q40" i="202"/>
  <c r="P40" i="202"/>
  <c r="I40" i="202"/>
  <c r="H40" i="202"/>
  <c r="E40" i="202"/>
  <c r="AD39" i="202"/>
  <c r="AC39" i="202"/>
  <c r="AB39" i="202"/>
  <c r="AE39" i="202" s="1"/>
  <c r="AI39" i="202" s="1"/>
  <c r="Y39" i="202" s="1"/>
  <c r="Z39" i="202"/>
  <c r="X39" i="202"/>
  <c r="Q39" i="202"/>
  <c r="P39" i="202"/>
  <c r="E39" i="202"/>
  <c r="AD38" i="202"/>
  <c r="AC38" i="202"/>
  <c r="AB38" i="202"/>
  <c r="AE38" i="202" s="1"/>
  <c r="AI38" i="202" s="1"/>
  <c r="Y38" i="202" s="1"/>
  <c r="Z38" i="202"/>
  <c r="X38" i="202"/>
  <c r="Q38" i="202"/>
  <c r="P38" i="202"/>
  <c r="I38" i="202"/>
  <c r="H38" i="202"/>
  <c r="E38" i="202"/>
  <c r="AD37" i="202"/>
  <c r="AC37" i="202"/>
  <c r="AB37" i="202"/>
  <c r="AE37" i="202" s="1"/>
  <c r="AI37" i="202" s="1"/>
  <c r="Y37" i="202" s="1"/>
  <c r="Z37" i="202"/>
  <c r="X37" i="202"/>
  <c r="Q37" i="202"/>
  <c r="P37" i="202"/>
  <c r="I37" i="202"/>
  <c r="H37" i="202"/>
  <c r="E37" i="202"/>
  <c r="AD36" i="202"/>
  <c r="AC36" i="202"/>
  <c r="AB36" i="202"/>
  <c r="AE36" i="202" s="1"/>
  <c r="AI36" i="202" s="1"/>
  <c r="Y36" i="202" s="1"/>
  <c r="Z36" i="202"/>
  <c r="X36" i="202"/>
  <c r="Q36" i="202"/>
  <c r="P36" i="202"/>
  <c r="I36" i="202"/>
  <c r="H36" i="202"/>
  <c r="E36" i="202"/>
  <c r="AD35" i="202"/>
  <c r="AC35" i="202"/>
  <c r="AE35" i="202" s="1"/>
  <c r="AI35" i="202" s="1"/>
  <c r="Y35" i="202" s="1"/>
  <c r="AB35" i="202"/>
  <c r="Z35" i="202"/>
  <c r="X35" i="202"/>
  <c r="Q35" i="202"/>
  <c r="P35" i="202"/>
  <c r="I35" i="202"/>
  <c r="H35" i="202"/>
  <c r="E35" i="202"/>
  <c r="AD34" i="202"/>
  <c r="AC34" i="202"/>
  <c r="AB34" i="202"/>
  <c r="AE34" i="202" s="1"/>
  <c r="AI34" i="202" s="1"/>
  <c r="Y34" i="202" s="1"/>
  <c r="Z34" i="202"/>
  <c r="X34" i="202"/>
  <c r="Q34" i="202"/>
  <c r="P34" i="202"/>
  <c r="H34" i="202"/>
  <c r="E34" i="202"/>
  <c r="I34" i="202" s="1"/>
  <c r="AD33" i="202"/>
  <c r="AC33" i="202"/>
  <c r="AE33" i="202" s="1"/>
  <c r="AI33" i="202" s="1"/>
  <c r="Y33" i="202" s="1"/>
  <c r="AB33" i="202"/>
  <c r="Z33" i="202"/>
  <c r="X33" i="202"/>
  <c r="Q33" i="202"/>
  <c r="P33" i="202"/>
  <c r="H33" i="202"/>
  <c r="E33" i="202"/>
  <c r="I33" i="202" s="1"/>
  <c r="AD32" i="202"/>
  <c r="AC32" i="202"/>
  <c r="AE32" i="202" s="1"/>
  <c r="AI32" i="202" s="1"/>
  <c r="Y32" i="202" s="1"/>
  <c r="AB32" i="202"/>
  <c r="Z32" i="202"/>
  <c r="X32" i="202"/>
  <c r="Q32" i="202"/>
  <c r="P32" i="202"/>
  <c r="H32" i="202"/>
  <c r="E32" i="202"/>
  <c r="I32" i="202" s="1"/>
  <c r="AE31" i="202"/>
  <c r="AI31" i="202" s="1"/>
  <c r="Y31" i="202" s="1"/>
  <c r="Z31" i="202"/>
  <c r="X31" i="202"/>
  <c r="Q31" i="202"/>
  <c r="P31" i="202"/>
  <c r="H31" i="202"/>
  <c r="E31" i="202"/>
  <c r="I31" i="202" s="1"/>
  <c r="AD30" i="202"/>
  <c r="AC30" i="202"/>
  <c r="AB30" i="202"/>
  <c r="AE30" i="202" s="1"/>
  <c r="AI30" i="202" s="1"/>
  <c r="Y30" i="202" s="1"/>
  <c r="Z30" i="202"/>
  <c r="X30" i="202"/>
  <c r="Q30" i="202"/>
  <c r="P30" i="202"/>
  <c r="H30" i="202"/>
  <c r="E30" i="202"/>
  <c r="I30" i="202" s="1"/>
  <c r="AD29" i="202"/>
  <c r="AC29" i="202"/>
  <c r="AB29" i="202"/>
  <c r="AE29" i="202" s="1"/>
  <c r="AI29" i="202" s="1"/>
  <c r="Y29" i="202" s="1"/>
  <c r="Z29" i="202"/>
  <c r="X29" i="202"/>
  <c r="Q29" i="202"/>
  <c r="P29" i="202"/>
  <c r="I29" i="202"/>
  <c r="H29" i="202"/>
  <c r="E29" i="202"/>
  <c r="AE28" i="202"/>
  <c r="AI28" i="202" s="1"/>
  <c r="Y28" i="202" s="1"/>
  <c r="AD28" i="202"/>
  <c r="AC28" i="202"/>
  <c r="AB28" i="202"/>
  <c r="Z28" i="202"/>
  <c r="X28" i="202"/>
  <c r="Q28" i="202"/>
  <c r="P28" i="202"/>
  <c r="I28" i="202"/>
  <c r="H28" i="202"/>
  <c r="E28" i="202"/>
  <c r="AD27" i="202"/>
  <c r="AC27" i="202"/>
  <c r="AB27" i="202"/>
  <c r="AE27" i="202" s="1"/>
  <c r="AI27" i="202" s="1"/>
  <c r="Y27" i="202" s="1"/>
  <c r="Z27" i="202"/>
  <c r="X27" i="202"/>
  <c r="Q27" i="202"/>
  <c r="P27" i="202"/>
  <c r="H27" i="202"/>
  <c r="E27" i="202"/>
  <c r="I27" i="202" s="1"/>
  <c r="AI26" i="202"/>
  <c r="Y26" i="202" s="1"/>
  <c r="AE26" i="202"/>
  <c r="AD26" i="202"/>
  <c r="AC26" i="202"/>
  <c r="AB26" i="202"/>
  <c r="Z26" i="202"/>
  <c r="X26" i="202"/>
  <c r="Q26" i="202"/>
  <c r="P26" i="202"/>
  <c r="H26" i="202"/>
  <c r="E26" i="202"/>
  <c r="I26" i="202" s="1"/>
  <c r="AE25" i="202"/>
  <c r="AI25" i="202" s="1"/>
  <c r="Y25" i="202" s="1"/>
  <c r="AD25" i="202"/>
  <c r="AC25" i="202"/>
  <c r="AB25" i="202"/>
  <c r="Z25" i="202"/>
  <c r="X25" i="202"/>
  <c r="Q25" i="202"/>
  <c r="P25" i="202"/>
  <c r="H25" i="202"/>
  <c r="E25" i="202"/>
  <c r="I25" i="202" s="1"/>
  <c r="AD24" i="202"/>
  <c r="AC24" i="202"/>
  <c r="AB24" i="202"/>
  <c r="AE24" i="202" s="1"/>
  <c r="AI24" i="202" s="1"/>
  <c r="Y24" i="202" s="1"/>
  <c r="Z24" i="202"/>
  <c r="X24" i="202"/>
  <c r="Q24" i="202"/>
  <c r="P24" i="202"/>
  <c r="H24" i="202"/>
  <c r="E24" i="202"/>
  <c r="I24" i="202" s="1"/>
  <c r="AD23" i="202"/>
  <c r="AC23" i="202"/>
  <c r="AB23" i="202"/>
  <c r="AE23" i="202" s="1"/>
  <c r="AI23" i="202" s="1"/>
  <c r="Y23" i="202" s="1"/>
  <c r="Z23" i="202"/>
  <c r="X23" i="202"/>
  <c r="Q23" i="202"/>
  <c r="P23" i="202"/>
  <c r="H23" i="202"/>
  <c r="E23" i="202"/>
  <c r="I23" i="202" s="1"/>
  <c r="AD22" i="202"/>
  <c r="AC22" i="202"/>
  <c r="AE22" i="202" s="1"/>
  <c r="AI22" i="202" s="1"/>
  <c r="Y22" i="202" s="1"/>
  <c r="AB22" i="202"/>
  <c r="Z22" i="202"/>
  <c r="X22" i="202"/>
  <c r="Q22" i="202"/>
  <c r="P22" i="202"/>
  <c r="H22" i="202"/>
  <c r="E22" i="202"/>
  <c r="I22" i="202" s="1"/>
  <c r="AD21" i="202"/>
  <c r="AC21" i="202"/>
  <c r="AB21" i="202"/>
  <c r="AE21" i="202" s="1"/>
  <c r="AI21" i="202" s="1"/>
  <c r="Y21" i="202" s="1"/>
  <c r="Z21" i="202"/>
  <c r="X21" i="202"/>
  <c r="Q21" i="202"/>
  <c r="P21" i="202"/>
  <c r="I21" i="202"/>
  <c r="H21" i="202"/>
  <c r="E21" i="202"/>
  <c r="AD20" i="202"/>
  <c r="AC20" i="202"/>
  <c r="AE20" i="202" s="1"/>
  <c r="AI20" i="202" s="1"/>
  <c r="Y20" i="202" s="1"/>
  <c r="AB20" i="202"/>
  <c r="Z20" i="202"/>
  <c r="X20" i="202"/>
  <c r="Q20" i="202"/>
  <c r="P20" i="202"/>
  <c r="I20" i="202"/>
  <c r="H20" i="202"/>
  <c r="E20" i="202"/>
  <c r="AD19" i="202"/>
  <c r="AC19" i="202"/>
  <c r="AB19" i="202"/>
  <c r="AE19" i="202" s="1"/>
  <c r="AI19" i="202" s="1"/>
  <c r="Y19" i="202" s="1"/>
  <c r="Z19" i="202"/>
  <c r="X19" i="202"/>
  <c r="Q19" i="202"/>
  <c r="P19" i="202"/>
  <c r="H19" i="202"/>
  <c r="E19" i="202"/>
  <c r="I19" i="202" s="1"/>
  <c r="AD18" i="202"/>
  <c r="AC18" i="202"/>
  <c r="AE18" i="202" s="1"/>
  <c r="AI18" i="202" s="1"/>
  <c r="Y18" i="202" s="1"/>
  <c r="AB18" i="202"/>
  <c r="Z18" i="202"/>
  <c r="X18" i="202"/>
  <c r="Q18" i="202"/>
  <c r="P18" i="202"/>
  <c r="H18" i="202"/>
  <c r="E18" i="202"/>
  <c r="I18" i="202" s="1"/>
  <c r="AD17" i="202"/>
  <c r="AE17" i="202" s="1"/>
  <c r="AI17" i="202" s="1"/>
  <c r="Y17" i="202" s="1"/>
  <c r="AC17" i="202"/>
  <c r="AB17" i="202"/>
  <c r="Z17" i="202"/>
  <c r="X17" i="202"/>
  <c r="Q17" i="202"/>
  <c r="P17" i="202"/>
  <c r="H17" i="202"/>
  <c r="E17" i="202"/>
  <c r="I17" i="202" s="1"/>
  <c r="AD16" i="202"/>
  <c r="AC16" i="202"/>
  <c r="AB16" i="202"/>
  <c r="AE16" i="202" s="1"/>
  <c r="AI16" i="202" s="1"/>
  <c r="Y16" i="202" s="1"/>
  <c r="Z16" i="202"/>
  <c r="X16" i="202"/>
  <c r="Q16" i="202"/>
  <c r="P16" i="202"/>
  <c r="E16" i="202"/>
  <c r="I16" i="202" s="1"/>
  <c r="AD15" i="202"/>
  <c r="AC15" i="202"/>
  <c r="AE15" i="202" s="1"/>
  <c r="AI15" i="202" s="1"/>
  <c r="Y15" i="202" s="1"/>
  <c r="AB15" i="202"/>
  <c r="Z15" i="202"/>
  <c r="X15" i="202"/>
  <c r="Q15" i="202"/>
  <c r="P15" i="202"/>
  <c r="I15" i="202"/>
  <c r="E15" i="202"/>
  <c r="AD14" i="202"/>
  <c r="AC14" i="202"/>
  <c r="AB14" i="202"/>
  <c r="AE14" i="202" s="1"/>
  <c r="AI14" i="202" s="1"/>
  <c r="Y14" i="202" s="1"/>
  <c r="Z14" i="202"/>
  <c r="X14" i="202"/>
  <c r="Q14" i="202"/>
  <c r="O75" i="202" s="1"/>
  <c r="P14" i="202"/>
  <c r="H14" i="202"/>
  <c r="E14" i="202"/>
  <c r="I14" i="202" s="1"/>
  <c r="AD13" i="202"/>
  <c r="AC13" i="202"/>
  <c r="AB13" i="202"/>
  <c r="AE13" i="202" s="1"/>
  <c r="AI13" i="202" s="1"/>
  <c r="Y13" i="202" s="1"/>
  <c r="Z13" i="202"/>
  <c r="X13" i="202"/>
  <c r="Q13" i="202"/>
  <c r="P13" i="202"/>
  <c r="I13" i="202"/>
  <c r="H13" i="202"/>
  <c r="E13" i="202"/>
  <c r="AD12" i="202"/>
  <c r="AC12" i="202"/>
  <c r="AE12" i="202" s="1"/>
  <c r="AI12" i="202" s="1"/>
  <c r="Y12" i="202" s="1"/>
  <c r="AB12" i="202"/>
  <c r="Z12" i="202"/>
  <c r="X12" i="202"/>
  <c r="Q12" i="202"/>
  <c r="P12" i="202"/>
  <c r="I12" i="202"/>
  <c r="H12" i="202"/>
  <c r="E12" i="202"/>
  <c r="M79" i="201"/>
  <c r="P71" i="201"/>
  <c r="H71" i="201"/>
  <c r="Q70" i="201"/>
  <c r="P70" i="201"/>
  <c r="I70" i="201"/>
  <c r="H70" i="201"/>
  <c r="E70" i="201"/>
  <c r="Q69" i="201"/>
  <c r="P69" i="201"/>
  <c r="H69" i="201"/>
  <c r="E69" i="201"/>
  <c r="I69" i="201" s="1"/>
  <c r="AD68" i="201"/>
  <c r="AC68" i="201"/>
  <c r="AB68" i="201"/>
  <c r="AE68" i="201" s="1"/>
  <c r="AI68" i="201" s="1"/>
  <c r="Y68" i="201" s="1"/>
  <c r="Z68" i="201"/>
  <c r="X68" i="201"/>
  <c r="Q68" i="201"/>
  <c r="P68" i="201"/>
  <c r="H68" i="201"/>
  <c r="E68" i="201"/>
  <c r="I68" i="201" s="1"/>
  <c r="AD67" i="201"/>
  <c r="AC67" i="201"/>
  <c r="AE67" i="201" s="1"/>
  <c r="AI67" i="201" s="1"/>
  <c r="Y67" i="201" s="1"/>
  <c r="AB67" i="201"/>
  <c r="Z67" i="201"/>
  <c r="X67" i="201"/>
  <c r="Q67" i="201"/>
  <c r="P67" i="201"/>
  <c r="H67" i="201"/>
  <c r="E67" i="201"/>
  <c r="I67" i="201" s="1"/>
  <c r="AD66" i="201"/>
  <c r="AE66" i="201" s="1"/>
  <c r="AI66" i="201" s="1"/>
  <c r="Y66" i="201" s="1"/>
  <c r="AC66" i="201"/>
  <c r="AB66" i="201"/>
  <c r="Z66" i="201"/>
  <c r="X66" i="201"/>
  <c r="Q66" i="201"/>
  <c r="P66" i="201"/>
  <c r="I66" i="201"/>
  <c r="H66" i="201"/>
  <c r="E66" i="201"/>
  <c r="AD65" i="201"/>
  <c r="AE65" i="201" s="1"/>
  <c r="AI65" i="201" s="1"/>
  <c r="Y65" i="201" s="1"/>
  <c r="AC65" i="201"/>
  <c r="AB65" i="201"/>
  <c r="Z65" i="201"/>
  <c r="X65" i="201"/>
  <c r="Q65" i="201"/>
  <c r="P65" i="201"/>
  <c r="H65" i="201"/>
  <c r="E65" i="201"/>
  <c r="I65" i="201" s="1"/>
  <c r="AD64" i="201"/>
  <c r="AC64" i="201"/>
  <c r="AB64" i="201"/>
  <c r="AE64" i="201" s="1"/>
  <c r="AI64" i="201" s="1"/>
  <c r="Y64" i="201" s="1"/>
  <c r="Z64" i="201"/>
  <c r="X64" i="201"/>
  <c r="Q64" i="201"/>
  <c r="P64" i="201"/>
  <c r="H64" i="201"/>
  <c r="E64" i="201"/>
  <c r="I64" i="201" s="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D62" i="201"/>
  <c r="AE62" i="201" s="1"/>
  <c r="AI62" i="201" s="1"/>
  <c r="Y62" i="201" s="1"/>
  <c r="AC62" i="201"/>
  <c r="AB62" i="201"/>
  <c r="Z62" i="201"/>
  <c r="X62" i="201"/>
  <c r="Q62" i="201"/>
  <c r="P62" i="201"/>
  <c r="I62" i="201"/>
  <c r="H62" i="201"/>
  <c r="E62" i="201"/>
  <c r="AE61" i="201"/>
  <c r="AI61" i="201" s="1"/>
  <c r="Y61" i="201" s="1"/>
  <c r="AC61" i="201"/>
  <c r="AB61" i="201"/>
  <c r="X61" i="201"/>
  <c r="Q61" i="201"/>
  <c r="P61" i="201"/>
  <c r="H61" i="201"/>
  <c r="E61" i="201"/>
  <c r="I61" i="201" s="1"/>
  <c r="AE60" i="201"/>
  <c r="AI60" i="201" s="1"/>
  <c r="Y60" i="201" s="1"/>
  <c r="X60" i="201"/>
  <c r="Q60" i="201"/>
  <c r="P60" i="201"/>
  <c r="I60" i="201"/>
  <c r="H60" i="201"/>
  <c r="E60" i="201"/>
  <c r="AE59" i="201"/>
  <c r="AI59" i="201" s="1"/>
  <c r="Y59" i="201" s="1"/>
  <c r="AC59" i="201"/>
  <c r="AB59" i="201"/>
  <c r="X59" i="201"/>
  <c r="Q59" i="201"/>
  <c r="P59" i="201"/>
  <c r="H59" i="201"/>
  <c r="E59" i="201"/>
  <c r="I59" i="201" s="1"/>
  <c r="AC58" i="201"/>
  <c r="AE58" i="201" s="1"/>
  <c r="AI58" i="201" s="1"/>
  <c r="Y58" i="201" s="1"/>
  <c r="AB58" i="201"/>
  <c r="X58" i="201"/>
  <c r="Q58" i="201"/>
  <c r="P58" i="201"/>
  <c r="I58" i="201"/>
  <c r="E58" i="201"/>
  <c r="AC57" i="201"/>
  <c r="AB57" i="201"/>
  <c r="AE57" i="201" s="1"/>
  <c r="AI57" i="201" s="1"/>
  <c r="Y57" i="201" s="1"/>
  <c r="X57" i="201"/>
  <c r="Q57" i="201"/>
  <c r="P57" i="201"/>
  <c r="I57" i="201"/>
  <c r="H57" i="201"/>
  <c r="E57" i="201"/>
  <c r="AE56" i="201"/>
  <c r="AI56" i="201" s="1"/>
  <c r="Y56" i="201" s="1"/>
  <c r="AD56" i="201"/>
  <c r="AC56" i="201"/>
  <c r="AB56" i="201"/>
  <c r="Z56" i="201"/>
  <c r="X56" i="201"/>
  <c r="Q56" i="201"/>
  <c r="P56" i="201"/>
  <c r="I56" i="201"/>
  <c r="H56" i="201"/>
  <c r="E56" i="201"/>
  <c r="AD55" i="201"/>
  <c r="AC55" i="201"/>
  <c r="AB55" i="201"/>
  <c r="AE55" i="201" s="1"/>
  <c r="AI55" i="201" s="1"/>
  <c r="Y55" i="201" s="1"/>
  <c r="Z55" i="201"/>
  <c r="X55" i="201"/>
  <c r="Q55" i="201"/>
  <c r="P55" i="201"/>
  <c r="H55" i="201"/>
  <c r="E55" i="201"/>
  <c r="I55" i="201" s="1"/>
  <c r="AD54" i="201"/>
  <c r="AC54" i="201"/>
  <c r="AE54" i="201" s="1"/>
  <c r="AI54" i="201" s="1"/>
  <c r="Y54" i="201" s="1"/>
  <c r="AB54" i="201"/>
  <c r="Z54" i="201"/>
  <c r="X54" i="201"/>
  <c r="Q54" i="201"/>
  <c r="P54" i="201"/>
  <c r="H54" i="201"/>
  <c r="E54" i="201"/>
  <c r="I54" i="201" s="1"/>
  <c r="AD53" i="201"/>
  <c r="AC53" i="201"/>
  <c r="AE53" i="201" s="1"/>
  <c r="AI53" i="201" s="1"/>
  <c r="Y53" i="201" s="1"/>
  <c r="AB53" i="201"/>
  <c r="Z53" i="201"/>
  <c r="X53" i="201"/>
  <c r="Q53" i="201"/>
  <c r="P53" i="201"/>
  <c r="H53" i="201"/>
  <c r="E53" i="201"/>
  <c r="I53" i="201" s="1"/>
  <c r="AE52" i="201"/>
  <c r="AI52" i="201" s="1"/>
  <c r="Y52" i="201" s="1"/>
  <c r="Z52" i="201"/>
  <c r="X52" i="201"/>
  <c r="Q52" i="201"/>
  <c r="P52" i="201"/>
  <c r="H52" i="201"/>
  <c r="E52" i="201"/>
  <c r="I52" i="201" s="1"/>
  <c r="AD51" i="201"/>
  <c r="AC51" i="201"/>
  <c r="AE51" i="201" s="1"/>
  <c r="AI51" i="201" s="1"/>
  <c r="Y51" i="201" s="1"/>
  <c r="AB51" i="201"/>
  <c r="Z51" i="201"/>
  <c r="X51" i="201"/>
  <c r="Q51" i="201"/>
  <c r="P51" i="201"/>
  <c r="H51" i="201"/>
  <c r="E51" i="201"/>
  <c r="I51" i="201" s="1"/>
  <c r="AD50" i="201"/>
  <c r="AE50" i="201" s="1"/>
  <c r="AI50" i="201" s="1"/>
  <c r="Y50" i="201" s="1"/>
  <c r="AC50" i="201"/>
  <c r="AB50" i="201"/>
  <c r="Z50" i="201"/>
  <c r="X50" i="201"/>
  <c r="Q50" i="201"/>
  <c r="P50" i="201"/>
  <c r="I50" i="201"/>
  <c r="H50" i="201"/>
  <c r="E50" i="201"/>
  <c r="AE49" i="201"/>
  <c r="AI49" i="201" s="1"/>
  <c r="Y49" i="201" s="1"/>
  <c r="Z49" i="201"/>
  <c r="X49" i="201"/>
  <c r="Q49" i="201"/>
  <c r="P49" i="201"/>
  <c r="H49" i="201"/>
  <c r="E49" i="201"/>
  <c r="I49" i="201" s="1"/>
  <c r="AE48" i="201"/>
  <c r="AI48" i="201" s="1"/>
  <c r="Y48" i="201" s="1"/>
  <c r="Z48" i="201"/>
  <c r="X48" i="201"/>
  <c r="Q48" i="201"/>
  <c r="P48" i="201"/>
  <c r="I48" i="201"/>
  <c r="H48" i="201"/>
  <c r="E48" i="201"/>
  <c r="AE47" i="201"/>
  <c r="AI47" i="201" s="1"/>
  <c r="Y47" i="201" s="1"/>
  <c r="Z47" i="201"/>
  <c r="X47" i="201"/>
  <c r="Q47" i="201"/>
  <c r="P47" i="201"/>
  <c r="H47" i="201"/>
  <c r="E47" i="201"/>
  <c r="I47" i="201" s="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I45" i="201"/>
  <c r="H45" i="201"/>
  <c r="E45" i="201"/>
  <c r="AE44" i="201"/>
  <c r="AI44" i="201" s="1"/>
  <c r="Y44" i="201" s="1"/>
  <c r="AD44" i="201"/>
  <c r="AC44" i="201"/>
  <c r="AB44" i="201"/>
  <c r="Z44" i="201"/>
  <c r="X44" i="201"/>
  <c r="Q44" i="201"/>
  <c r="P44" i="201"/>
  <c r="I44" i="201"/>
  <c r="H44" i="201"/>
  <c r="E44" i="201"/>
  <c r="AD43" i="201"/>
  <c r="AC43" i="201"/>
  <c r="AB43" i="201"/>
  <c r="AE43" i="201" s="1"/>
  <c r="AI43" i="201" s="1"/>
  <c r="Y43" i="201" s="1"/>
  <c r="Z43" i="201"/>
  <c r="X43" i="201"/>
  <c r="Q43" i="201"/>
  <c r="P43" i="201"/>
  <c r="H43" i="201"/>
  <c r="E43" i="201"/>
  <c r="I43" i="201" s="1"/>
  <c r="AD42" i="201"/>
  <c r="AC42" i="201"/>
  <c r="AB42" i="201"/>
  <c r="AE42" i="201" s="1"/>
  <c r="AI42" i="201" s="1"/>
  <c r="Y42" i="201" s="1"/>
  <c r="Z42" i="201"/>
  <c r="X42" i="201"/>
  <c r="Q42" i="201"/>
  <c r="P42" i="201"/>
  <c r="H42" i="201"/>
  <c r="E42" i="201"/>
  <c r="I42" i="201" s="1"/>
  <c r="AD41" i="201"/>
  <c r="AC41" i="201"/>
  <c r="AE41" i="201" s="1"/>
  <c r="AI41" i="201" s="1"/>
  <c r="Y41" i="201" s="1"/>
  <c r="AB41" i="201"/>
  <c r="Z41" i="201"/>
  <c r="X41" i="201"/>
  <c r="Q41" i="201"/>
  <c r="P41" i="201"/>
  <c r="I41" i="201"/>
  <c r="H41" i="201"/>
  <c r="E41" i="201"/>
  <c r="AD40" i="201"/>
  <c r="AC40" i="201"/>
  <c r="AB40" i="201"/>
  <c r="AE40" i="201" s="1"/>
  <c r="AI40" i="201" s="1"/>
  <c r="Y40" i="201" s="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H39" i="201"/>
  <c r="E39" i="201"/>
  <c r="I39" i="201" s="1"/>
  <c r="AD38" i="201"/>
  <c r="AC38" i="201"/>
  <c r="AE38" i="201" s="1"/>
  <c r="AI38" i="201" s="1"/>
  <c r="Y38" i="201" s="1"/>
  <c r="AB38" i="201"/>
  <c r="Z38" i="201"/>
  <c r="X38" i="201"/>
  <c r="Q38" i="201"/>
  <c r="P38" i="201"/>
  <c r="H38" i="201"/>
  <c r="E38" i="201"/>
  <c r="I38" i="201" s="1"/>
  <c r="AD37" i="201"/>
  <c r="AE37" i="201" s="1"/>
  <c r="AI37" i="201" s="1"/>
  <c r="Y37" i="201" s="1"/>
  <c r="AC37" i="201"/>
  <c r="AB37" i="201"/>
  <c r="Z37" i="201"/>
  <c r="X37" i="201"/>
  <c r="Q37" i="201"/>
  <c r="P37" i="201"/>
  <c r="I37" i="201"/>
  <c r="H37" i="201"/>
  <c r="E37" i="201"/>
  <c r="AD36" i="201"/>
  <c r="AE36" i="201" s="1"/>
  <c r="AI36" i="201" s="1"/>
  <c r="Y36" i="201" s="1"/>
  <c r="AC36" i="201"/>
  <c r="AB36" i="201"/>
  <c r="Z36" i="201"/>
  <c r="X36" i="201"/>
  <c r="Q36" i="201"/>
  <c r="P36" i="201"/>
  <c r="H36" i="201"/>
  <c r="E36" i="201"/>
  <c r="I36" i="201" s="1"/>
  <c r="AD35" i="201"/>
  <c r="AC35" i="201"/>
  <c r="AB35" i="201"/>
  <c r="AE35" i="201" s="1"/>
  <c r="AI35" i="201" s="1"/>
  <c r="Y35" i="201" s="1"/>
  <c r="Z35" i="201"/>
  <c r="X35" i="201"/>
  <c r="Q35" i="201"/>
  <c r="P35" i="201"/>
  <c r="H35" i="201"/>
  <c r="E35" i="201"/>
  <c r="I35" i="201" s="1"/>
  <c r="AD34" i="201"/>
  <c r="AC34" i="201"/>
  <c r="AB34" i="201"/>
  <c r="AE34" i="201" s="1"/>
  <c r="AI34" i="201" s="1"/>
  <c r="Y34" i="201" s="1"/>
  <c r="Z34" i="201"/>
  <c r="X34" i="201"/>
  <c r="Q34" i="201"/>
  <c r="P34" i="201"/>
  <c r="I34" i="201"/>
  <c r="H34" i="201"/>
  <c r="E34" i="201"/>
  <c r="AD33" i="201"/>
  <c r="AE33" i="201" s="1"/>
  <c r="AI33" i="201" s="1"/>
  <c r="Y33" i="201" s="1"/>
  <c r="AC33" i="201"/>
  <c r="AB33" i="201"/>
  <c r="Z33" i="201"/>
  <c r="X33" i="201"/>
  <c r="Q33" i="201"/>
  <c r="P33" i="201"/>
  <c r="I33" i="201"/>
  <c r="H33" i="201"/>
  <c r="E33" i="201"/>
  <c r="AE32" i="201"/>
  <c r="AI32" i="201" s="1"/>
  <c r="Y32" i="201" s="1"/>
  <c r="AD32" i="201"/>
  <c r="AC32" i="201"/>
  <c r="AB32" i="201"/>
  <c r="Z32" i="201"/>
  <c r="X32" i="201"/>
  <c r="Q32" i="201"/>
  <c r="P32" i="201"/>
  <c r="H32" i="201"/>
  <c r="E32" i="201"/>
  <c r="I32" i="201" s="1"/>
  <c r="AE31" i="201"/>
  <c r="AI31" i="201" s="1"/>
  <c r="Y31" i="201" s="1"/>
  <c r="Z31" i="201"/>
  <c r="X31" i="201"/>
  <c r="Q31" i="201"/>
  <c r="P31" i="201"/>
  <c r="I31" i="201"/>
  <c r="H31" i="201"/>
  <c r="E31" i="201"/>
  <c r="AD30" i="201"/>
  <c r="AC30" i="201"/>
  <c r="AB30" i="201"/>
  <c r="AE30" i="201" s="1"/>
  <c r="AI30" i="201" s="1"/>
  <c r="Y30" i="201" s="1"/>
  <c r="Z30" i="201"/>
  <c r="X30" i="201"/>
  <c r="Q30" i="201"/>
  <c r="P30" i="201"/>
  <c r="I30" i="201"/>
  <c r="H30" i="201"/>
  <c r="E30" i="201"/>
  <c r="AE29" i="201"/>
  <c r="AI29" i="201" s="1"/>
  <c r="Y29" i="201" s="1"/>
  <c r="AD29" i="201"/>
  <c r="AC29" i="201"/>
  <c r="AB29" i="201"/>
  <c r="Z29" i="201"/>
  <c r="X29" i="201"/>
  <c r="Q29" i="201"/>
  <c r="P29" i="201"/>
  <c r="I29" i="201"/>
  <c r="H29" i="201"/>
  <c r="E29" i="201"/>
  <c r="AD28" i="201"/>
  <c r="AC28" i="201"/>
  <c r="AB28" i="201"/>
  <c r="AE28" i="201" s="1"/>
  <c r="AI28" i="201" s="1"/>
  <c r="Y28" i="201" s="1"/>
  <c r="Z28" i="201"/>
  <c r="X28" i="201"/>
  <c r="Q28" i="201"/>
  <c r="P28" i="201"/>
  <c r="H28" i="201"/>
  <c r="E28" i="201"/>
  <c r="I28" i="201" s="1"/>
  <c r="AD27" i="201"/>
  <c r="AC27" i="201"/>
  <c r="AB27" i="201"/>
  <c r="AE27" i="201" s="1"/>
  <c r="AI27" i="201" s="1"/>
  <c r="Y27" i="201" s="1"/>
  <c r="Z27" i="201"/>
  <c r="X27" i="201"/>
  <c r="Q27" i="201"/>
  <c r="P27" i="201"/>
  <c r="H27" i="201"/>
  <c r="E27" i="201"/>
  <c r="I27" i="201" s="1"/>
  <c r="AD26" i="201"/>
  <c r="AC26" i="201"/>
  <c r="AE26" i="201" s="1"/>
  <c r="AI26" i="201" s="1"/>
  <c r="Y26" i="201" s="1"/>
  <c r="AB26" i="201"/>
  <c r="Z26" i="201"/>
  <c r="X26" i="201"/>
  <c r="Q26" i="201"/>
  <c r="P26" i="201"/>
  <c r="I26" i="201"/>
  <c r="H26" i="201"/>
  <c r="E26" i="201"/>
  <c r="AD25" i="201"/>
  <c r="AC25" i="201"/>
  <c r="AB25" i="201"/>
  <c r="AE25" i="201" s="1"/>
  <c r="AI25" i="201" s="1"/>
  <c r="Y25" i="201" s="1"/>
  <c r="Z25" i="201"/>
  <c r="X25" i="201"/>
  <c r="Q25" i="201"/>
  <c r="P25" i="201"/>
  <c r="H25" i="201"/>
  <c r="E25" i="201"/>
  <c r="I25" i="201" s="1"/>
  <c r="AD24" i="201"/>
  <c r="AC24" i="201"/>
  <c r="AB24" i="201"/>
  <c r="AE24" i="201" s="1"/>
  <c r="AI24" i="201" s="1"/>
  <c r="Y24" i="201" s="1"/>
  <c r="Z24" i="201"/>
  <c r="X24" i="201"/>
  <c r="Q24" i="201"/>
  <c r="P24" i="201"/>
  <c r="H24" i="201"/>
  <c r="E24" i="201"/>
  <c r="I24" i="201" s="1"/>
  <c r="AD23" i="201"/>
  <c r="AC23" i="201"/>
  <c r="AE23" i="201" s="1"/>
  <c r="AI23" i="201" s="1"/>
  <c r="Y23" i="201" s="1"/>
  <c r="AB23" i="201"/>
  <c r="Z23" i="201"/>
  <c r="X23" i="201"/>
  <c r="Q23" i="201"/>
  <c r="P23" i="201"/>
  <c r="H23" i="201"/>
  <c r="E23" i="201"/>
  <c r="I23" i="201" s="1"/>
  <c r="AD22" i="201"/>
  <c r="AE22" i="201" s="1"/>
  <c r="AI22" i="201" s="1"/>
  <c r="Y22" i="201" s="1"/>
  <c r="AC22" i="201"/>
  <c r="AB22" i="201"/>
  <c r="Z22" i="201"/>
  <c r="X22" i="201"/>
  <c r="Q22" i="201"/>
  <c r="P22" i="201"/>
  <c r="I22" i="201"/>
  <c r="H22" i="201"/>
  <c r="E22" i="201"/>
  <c r="AD21" i="201"/>
  <c r="AE21" i="201" s="1"/>
  <c r="AI21" i="201" s="1"/>
  <c r="Y21" i="201" s="1"/>
  <c r="AC21" i="201"/>
  <c r="AB21" i="201"/>
  <c r="Z21" i="201"/>
  <c r="X21" i="201"/>
  <c r="Q21" i="201"/>
  <c r="P21" i="201"/>
  <c r="H21" i="201"/>
  <c r="E21" i="201"/>
  <c r="I21" i="201" s="1"/>
  <c r="AD20" i="201"/>
  <c r="AC20" i="201"/>
  <c r="AB20" i="201"/>
  <c r="AE20" i="201" s="1"/>
  <c r="AI20" i="201" s="1"/>
  <c r="Y20" i="201" s="1"/>
  <c r="Z20" i="201"/>
  <c r="X20" i="201"/>
  <c r="Q20" i="201"/>
  <c r="P20" i="201"/>
  <c r="H20" i="201"/>
  <c r="E20" i="201"/>
  <c r="I20" i="201" s="1"/>
  <c r="AD19" i="201"/>
  <c r="AC19" i="201"/>
  <c r="AB19" i="201"/>
  <c r="AE19" i="201" s="1"/>
  <c r="AI19" i="201" s="1"/>
  <c r="Y19" i="201" s="1"/>
  <c r="Z19" i="201"/>
  <c r="X19" i="201"/>
  <c r="Q19" i="201"/>
  <c r="P19" i="201"/>
  <c r="I19" i="201"/>
  <c r="H19" i="201"/>
  <c r="E19" i="201"/>
  <c r="AD18" i="201"/>
  <c r="AE18" i="201" s="1"/>
  <c r="AI18" i="201" s="1"/>
  <c r="Y18" i="201" s="1"/>
  <c r="AC18" i="201"/>
  <c r="AB18" i="201"/>
  <c r="Z18" i="201"/>
  <c r="X18" i="201"/>
  <c r="Q18" i="201"/>
  <c r="P18" i="201"/>
  <c r="I18" i="201"/>
  <c r="H18" i="201"/>
  <c r="E18" i="201"/>
  <c r="AE17" i="201"/>
  <c r="AI17" i="201" s="1"/>
  <c r="Y17" i="201" s="1"/>
  <c r="AD17" i="201"/>
  <c r="AC17" i="201"/>
  <c r="AB17" i="201"/>
  <c r="Z17" i="201"/>
  <c r="X17" i="201"/>
  <c r="Q17" i="201"/>
  <c r="P17" i="201"/>
  <c r="H17" i="201"/>
  <c r="E17" i="201"/>
  <c r="I17" i="201" s="1"/>
  <c r="AE16" i="201"/>
  <c r="AI16" i="201" s="1"/>
  <c r="Y16" i="201" s="1"/>
  <c r="AD16" i="201"/>
  <c r="AC16" i="201"/>
  <c r="AB16" i="201"/>
  <c r="Z16" i="201"/>
  <c r="X16" i="201"/>
  <c r="Q16" i="201"/>
  <c r="P16" i="201"/>
  <c r="I16" i="201"/>
  <c r="E16" i="201"/>
  <c r="AD15" i="201"/>
  <c r="AC15" i="201"/>
  <c r="AB15" i="201"/>
  <c r="AE15" i="201" s="1"/>
  <c r="AI15" i="201" s="1"/>
  <c r="Y15" i="201" s="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P14" i="201"/>
  <c r="H14" i="201"/>
  <c r="E14" i="201"/>
  <c r="I14" i="201" s="1"/>
  <c r="AD13" i="201"/>
  <c r="AC13" i="201"/>
  <c r="AB13" i="201"/>
  <c r="AE13" i="201" s="1"/>
  <c r="AI13" i="201" s="1"/>
  <c r="Y13" i="201" s="1"/>
  <c r="Z13" i="201"/>
  <c r="X13" i="201"/>
  <c r="Q13" i="201"/>
  <c r="P13" i="201"/>
  <c r="H13" i="201"/>
  <c r="E13" i="201"/>
  <c r="I13" i="201" s="1"/>
  <c r="AD12" i="201"/>
  <c r="AE12" i="201" s="1"/>
  <c r="AI12" i="201" s="1"/>
  <c r="Y12" i="201" s="1"/>
  <c r="AC12" i="201"/>
  <c r="AB12" i="201"/>
  <c r="Z12" i="201"/>
  <c r="X12" i="201"/>
  <c r="Q12" i="201"/>
  <c r="O73" i="201" s="1"/>
  <c r="P12" i="201"/>
  <c r="I12" i="201"/>
  <c r="H12" i="201"/>
  <c r="E12" i="201"/>
  <c r="T79" i="203" l="1"/>
  <c r="F77" i="203" s="1"/>
  <c r="I39" i="202"/>
  <c r="I41" i="202"/>
  <c r="F75" i="202" s="1"/>
  <c r="X41" i="202"/>
  <c r="T77" i="202" s="1"/>
  <c r="H71" i="202"/>
  <c r="Y41" i="202"/>
  <c r="Z41" i="202"/>
  <c r="Y54" i="202"/>
  <c r="T73" i="202" s="1"/>
  <c r="O73" i="202"/>
  <c r="T75" i="202"/>
  <c r="O75" i="201"/>
  <c r="T75" i="201"/>
  <c r="T77" i="201"/>
  <c r="T73" i="201"/>
  <c r="F73" i="201"/>
  <c r="F75" i="201"/>
  <c r="H71" i="200"/>
  <c r="M79" i="200"/>
  <c r="P71" i="200"/>
  <c r="Q70" i="200"/>
  <c r="P70" i="200"/>
  <c r="I70" i="200"/>
  <c r="H70" i="200"/>
  <c r="E70" i="200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E67" i="200"/>
  <c r="AI67" i="200" s="1"/>
  <c r="Y67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AE66" i="200" s="1"/>
  <c r="AI66" i="200" s="1"/>
  <c r="Y66" i="200" s="1"/>
  <c r="Z66" i="200"/>
  <c r="X66" i="200"/>
  <c r="Q66" i="200"/>
  <c r="P66" i="200"/>
  <c r="H66" i="200"/>
  <c r="E66" i="200"/>
  <c r="I66" i="200" s="1"/>
  <c r="AD65" i="200"/>
  <c r="AC65" i="200"/>
  <c r="AB65" i="200"/>
  <c r="AE65" i="200" s="1"/>
  <c r="AI65" i="200" s="1"/>
  <c r="Y65" i="200" s="1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I64" i="200"/>
  <c r="H64" i="200"/>
  <c r="E64" i="200"/>
  <c r="AD63" i="200"/>
  <c r="AC63" i="200"/>
  <c r="AB63" i="200"/>
  <c r="AE63" i="200" s="1"/>
  <c r="AI63" i="200" s="1"/>
  <c r="Y63" i="200" s="1"/>
  <c r="Z63" i="200"/>
  <c r="X63" i="200"/>
  <c r="Q63" i="200"/>
  <c r="P63" i="200"/>
  <c r="I63" i="200"/>
  <c r="H63" i="200"/>
  <c r="E63" i="200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AE61" i="200" s="1"/>
  <c r="AI61" i="200" s="1"/>
  <c r="Y61" i="200" s="1"/>
  <c r="X61" i="200"/>
  <c r="Q61" i="200"/>
  <c r="P61" i="200"/>
  <c r="H61" i="200"/>
  <c r="E61" i="200"/>
  <c r="I61" i="200" s="1"/>
  <c r="AE60" i="200"/>
  <c r="AI60" i="200" s="1"/>
  <c r="Y60" i="200" s="1"/>
  <c r="X60" i="200"/>
  <c r="Q60" i="200"/>
  <c r="P60" i="200"/>
  <c r="H60" i="200"/>
  <c r="E60" i="200"/>
  <c r="I60" i="200" s="1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E58" i="200" s="1"/>
  <c r="AI58" i="200" s="1"/>
  <c r="Y58" i="200" s="1"/>
  <c r="AB58" i="200"/>
  <c r="X58" i="200"/>
  <c r="Q58" i="200"/>
  <c r="P58" i="200"/>
  <c r="E58" i="200"/>
  <c r="I58" i="200" s="1"/>
  <c r="AC57" i="200"/>
  <c r="AB57" i="200"/>
  <c r="AE57" i="200" s="1"/>
  <c r="AI57" i="200" s="1"/>
  <c r="Y57" i="200" s="1"/>
  <c r="X57" i="200"/>
  <c r="Q57" i="200"/>
  <c r="P57" i="200"/>
  <c r="H57" i="200"/>
  <c r="E57" i="200"/>
  <c r="I57" i="200" s="1"/>
  <c r="AD56" i="200"/>
  <c r="AC56" i="200"/>
  <c r="AB56" i="200"/>
  <c r="AE56" i="200" s="1"/>
  <c r="AI56" i="200" s="1"/>
  <c r="Y56" i="200" s="1"/>
  <c r="Z56" i="200"/>
  <c r="X56" i="200"/>
  <c r="Q56" i="200"/>
  <c r="P56" i="200"/>
  <c r="H56" i="200"/>
  <c r="E56" i="200"/>
  <c r="I56" i="200" s="1"/>
  <c r="AD55" i="200"/>
  <c r="AE55" i="200" s="1"/>
  <c r="AI55" i="200" s="1"/>
  <c r="Y55" i="200" s="1"/>
  <c r="AC55" i="200"/>
  <c r="AB55" i="200"/>
  <c r="Z55" i="200"/>
  <c r="X55" i="200"/>
  <c r="Q55" i="200"/>
  <c r="P55" i="200"/>
  <c r="H55" i="200"/>
  <c r="E55" i="200"/>
  <c r="I55" i="200" s="1"/>
  <c r="AD54" i="200"/>
  <c r="AC54" i="200"/>
  <c r="AE54" i="200" s="1"/>
  <c r="AI54" i="200" s="1"/>
  <c r="Y54" i="200" s="1"/>
  <c r="AB54" i="200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I52" i="200" s="1"/>
  <c r="AE51" i="200"/>
  <c r="AI51" i="200" s="1"/>
  <c r="Y51" i="200" s="1"/>
  <c r="AD51" i="200"/>
  <c r="AC51" i="200"/>
  <c r="AB51" i="200"/>
  <c r="Z51" i="200"/>
  <c r="X51" i="200"/>
  <c r="Q51" i="200"/>
  <c r="P51" i="200"/>
  <c r="H51" i="200"/>
  <c r="E51" i="200"/>
  <c r="I51" i="200" s="1"/>
  <c r="AD50" i="200"/>
  <c r="AC50" i="200"/>
  <c r="AB50" i="200"/>
  <c r="AE50" i="200" s="1"/>
  <c r="AI50" i="200" s="1"/>
  <c r="Y50" i="200" s="1"/>
  <c r="Z50" i="200"/>
  <c r="X50" i="200"/>
  <c r="Q50" i="200"/>
  <c r="P50" i="200"/>
  <c r="H50" i="200"/>
  <c r="E50" i="200"/>
  <c r="I50" i="200" s="1"/>
  <c r="AE49" i="200"/>
  <c r="AI49" i="200" s="1"/>
  <c r="Y49" i="200" s="1"/>
  <c r="Z49" i="200"/>
  <c r="X49" i="200"/>
  <c r="Q49" i="200"/>
  <c r="P49" i="200"/>
  <c r="I49" i="200"/>
  <c r="H49" i="200"/>
  <c r="E49" i="200"/>
  <c r="AI48" i="200"/>
  <c r="AE48" i="200"/>
  <c r="Z48" i="200"/>
  <c r="Y48" i="200"/>
  <c r="X48" i="200"/>
  <c r="Q48" i="200"/>
  <c r="P48" i="200"/>
  <c r="H48" i="200"/>
  <c r="E48" i="200"/>
  <c r="I48" i="200" s="1"/>
  <c r="AE47" i="200"/>
  <c r="AI47" i="200" s="1"/>
  <c r="Y47" i="200" s="1"/>
  <c r="Z47" i="200"/>
  <c r="X47" i="200"/>
  <c r="Q47" i="200"/>
  <c r="P47" i="200"/>
  <c r="H47" i="200"/>
  <c r="E47" i="200"/>
  <c r="I47" i="200" s="1"/>
  <c r="AD46" i="200"/>
  <c r="AC46" i="200"/>
  <c r="AB46" i="200"/>
  <c r="AE46" i="200" s="1"/>
  <c r="AI46" i="200" s="1"/>
  <c r="Y46" i="200" s="1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E43" i="200" s="1"/>
  <c r="AI43" i="200" s="1"/>
  <c r="Y43" i="200" s="1"/>
  <c r="AC43" i="200"/>
  <c r="AB43" i="200"/>
  <c r="Z43" i="200"/>
  <c r="X43" i="200"/>
  <c r="Q43" i="200"/>
  <c r="P43" i="200"/>
  <c r="H43" i="200"/>
  <c r="E43" i="200"/>
  <c r="I43" i="200" s="1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I42" i="200" s="1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AE40" i="200" s="1"/>
  <c r="AI40" i="200" s="1"/>
  <c r="Y40" i="200" s="1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I39" i="200" s="1"/>
  <c r="AE38" i="200"/>
  <c r="AI38" i="200" s="1"/>
  <c r="Y38" i="200" s="1"/>
  <c r="AD38" i="200"/>
  <c r="AC38" i="200"/>
  <c r="AB38" i="200"/>
  <c r="Z38" i="200"/>
  <c r="X38" i="200"/>
  <c r="Q38" i="200"/>
  <c r="P38" i="200"/>
  <c r="H38" i="200"/>
  <c r="E38" i="200"/>
  <c r="I38" i="200" s="1"/>
  <c r="AD37" i="200"/>
  <c r="AC37" i="200"/>
  <c r="AB37" i="200"/>
  <c r="AE37" i="200" s="1"/>
  <c r="AI37" i="200" s="1"/>
  <c r="Y37" i="200" s="1"/>
  <c r="Z37" i="200"/>
  <c r="X37" i="200"/>
  <c r="Q37" i="200"/>
  <c r="P37" i="200"/>
  <c r="H37" i="200"/>
  <c r="E37" i="200"/>
  <c r="I37" i="200" s="1"/>
  <c r="AD36" i="200"/>
  <c r="AC36" i="200"/>
  <c r="AB36" i="200"/>
  <c r="AE36" i="200" s="1"/>
  <c r="AI36" i="200" s="1"/>
  <c r="Y36" i="200" s="1"/>
  <c r="Z36" i="200"/>
  <c r="X36" i="200"/>
  <c r="Q36" i="200"/>
  <c r="P36" i="200"/>
  <c r="H36" i="200"/>
  <c r="E36" i="200"/>
  <c r="I36" i="200" s="1"/>
  <c r="AD35" i="200"/>
  <c r="AC35" i="200"/>
  <c r="AB35" i="200"/>
  <c r="AE35" i="200" s="1"/>
  <c r="AI35" i="200" s="1"/>
  <c r="Y35" i="200" s="1"/>
  <c r="Z35" i="200"/>
  <c r="X35" i="200"/>
  <c r="Q35" i="200"/>
  <c r="P35" i="200"/>
  <c r="E35" i="200"/>
  <c r="AD34" i="200"/>
  <c r="AC34" i="200"/>
  <c r="AB34" i="200"/>
  <c r="AE34" i="200" s="1"/>
  <c r="AI34" i="200" s="1"/>
  <c r="Y34" i="200" s="1"/>
  <c r="Z34" i="200"/>
  <c r="X34" i="200"/>
  <c r="Q34" i="200"/>
  <c r="P34" i="200"/>
  <c r="I34" i="200"/>
  <c r="H34" i="200"/>
  <c r="E34" i="200"/>
  <c r="AD33" i="200"/>
  <c r="AC33" i="200"/>
  <c r="AB33" i="200"/>
  <c r="AE33" i="200" s="1"/>
  <c r="AI33" i="200" s="1"/>
  <c r="Q33" i="200"/>
  <c r="P33" i="200"/>
  <c r="E33" i="200"/>
  <c r="I33" i="200" s="1"/>
  <c r="AD32" i="200"/>
  <c r="AE32" i="200" s="1"/>
  <c r="AI32" i="200" s="1"/>
  <c r="Y32" i="200" s="1"/>
  <c r="AC32" i="200"/>
  <c r="AB32" i="200"/>
  <c r="Z32" i="200"/>
  <c r="X32" i="200"/>
  <c r="Q32" i="200"/>
  <c r="P32" i="200"/>
  <c r="H32" i="200"/>
  <c r="E32" i="200"/>
  <c r="I32" i="200" s="1"/>
  <c r="AE31" i="200"/>
  <c r="AI31" i="200" s="1"/>
  <c r="Y31" i="200" s="1"/>
  <c r="Z31" i="200"/>
  <c r="X31" i="200"/>
  <c r="Q31" i="200"/>
  <c r="P31" i="200"/>
  <c r="H31" i="200"/>
  <c r="E31" i="200"/>
  <c r="I31" i="200" s="1"/>
  <c r="AD30" i="200"/>
  <c r="AC30" i="200"/>
  <c r="AB30" i="200"/>
  <c r="AE30" i="200" s="1"/>
  <c r="AI30" i="200" s="1"/>
  <c r="Y30" i="200" s="1"/>
  <c r="Z30" i="200"/>
  <c r="X30" i="200"/>
  <c r="Q30" i="200"/>
  <c r="P30" i="200"/>
  <c r="I30" i="200"/>
  <c r="H30" i="200"/>
  <c r="E30" i="200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H28" i="200"/>
  <c r="E28" i="200"/>
  <c r="I28" i="200" s="1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I27" i="200" s="1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AE25" i="200" s="1"/>
  <c r="AI25" i="200" s="1"/>
  <c r="Y25" i="200" s="1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D23" i="200"/>
  <c r="AC23" i="200"/>
  <c r="AB23" i="200"/>
  <c r="AE23" i="200" s="1"/>
  <c r="Z23" i="200"/>
  <c r="X23" i="200"/>
  <c r="Q23" i="200"/>
  <c r="P23" i="200"/>
  <c r="H23" i="200"/>
  <c r="E23" i="200"/>
  <c r="I23" i="200" s="1"/>
  <c r="AD22" i="200"/>
  <c r="AC22" i="200"/>
  <c r="AE22" i="200" s="1"/>
  <c r="AI22" i="200" s="1"/>
  <c r="Y22" i="200" s="1"/>
  <c r="AB22" i="200"/>
  <c r="Z22" i="200"/>
  <c r="X22" i="200"/>
  <c r="Q22" i="200"/>
  <c r="P22" i="200"/>
  <c r="H22" i="200"/>
  <c r="E22" i="200"/>
  <c r="I22" i="200" s="1"/>
  <c r="AD21" i="200"/>
  <c r="AC21" i="200"/>
  <c r="AB21" i="200"/>
  <c r="AE21" i="200" s="1"/>
  <c r="AI21" i="200" s="1"/>
  <c r="Z21" i="200"/>
  <c r="Y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X20" i="200"/>
  <c r="Q20" i="200"/>
  <c r="P20" i="200"/>
  <c r="H20" i="200"/>
  <c r="E20" i="200"/>
  <c r="I20" i="200" s="1"/>
  <c r="AD19" i="200"/>
  <c r="AC19" i="200"/>
  <c r="AB19" i="200"/>
  <c r="AE19" i="200" s="1"/>
  <c r="AI19" i="200" s="1"/>
  <c r="Y19" i="200" s="1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E17" i="200" s="1"/>
  <c r="AI17" i="200" s="1"/>
  <c r="Y17" i="200" s="1"/>
  <c r="AC17" i="200"/>
  <c r="AB17" i="200"/>
  <c r="Z17" i="200"/>
  <c r="X17" i="200"/>
  <c r="Q17" i="200"/>
  <c r="P17" i="200"/>
  <c r="H17" i="200"/>
  <c r="E17" i="200"/>
  <c r="I17" i="200" s="1"/>
  <c r="AD16" i="200"/>
  <c r="AC16" i="200"/>
  <c r="AB16" i="200"/>
  <c r="AE16" i="200" s="1"/>
  <c r="AI16" i="200" s="1"/>
  <c r="Y16" i="200" s="1"/>
  <c r="Z16" i="200"/>
  <c r="X16" i="200"/>
  <c r="Q16" i="200"/>
  <c r="P16" i="200"/>
  <c r="E16" i="200"/>
  <c r="I16" i="200" s="1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I15" i="200" s="1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I14" i="200" s="1"/>
  <c r="AI13" i="200"/>
  <c r="Y13" i="200" s="1"/>
  <c r="AD13" i="200"/>
  <c r="AC13" i="200"/>
  <c r="AB13" i="200"/>
  <c r="AE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H12" i="200"/>
  <c r="E12" i="200"/>
  <c r="I12" i="200" s="1"/>
  <c r="F73" i="202" l="1"/>
  <c r="T79" i="202"/>
  <c r="T79" i="201"/>
  <c r="F77" i="201" s="1"/>
  <c r="H35" i="200"/>
  <c r="I35" i="200"/>
  <c r="F73" i="200" s="1"/>
  <c r="O73" i="200"/>
  <c r="O75" i="200"/>
  <c r="T75" i="200"/>
  <c r="Y33" i="200"/>
  <c r="T73" i="200" s="1"/>
  <c r="H33" i="200"/>
  <c r="X33" i="200"/>
  <c r="T77" i="200" s="1"/>
  <c r="Z33" i="200"/>
  <c r="F33" i="199"/>
  <c r="Z33" i="199" s="1"/>
  <c r="M79" i="199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I67" i="199"/>
  <c r="Y67" i="199" s="1"/>
  <c r="AE67" i="199"/>
  <c r="AD67" i="199"/>
  <c r="AC67" i="199"/>
  <c r="AB67" i="199"/>
  <c r="Z67" i="199"/>
  <c r="X67" i="199"/>
  <c r="Q67" i="199"/>
  <c r="P67" i="199"/>
  <c r="I67" i="199"/>
  <c r="H67" i="199"/>
  <c r="E67" i="199"/>
  <c r="AD66" i="199"/>
  <c r="AC66" i="199"/>
  <c r="AE66" i="199" s="1"/>
  <c r="AI66" i="199" s="1"/>
  <c r="Y66" i="199" s="1"/>
  <c r="AB66" i="199"/>
  <c r="Z66" i="199"/>
  <c r="X66" i="199"/>
  <c r="Q66" i="199"/>
  <c r="P66" i="199"/>
  <c r="H66" i="199"/>
  <c r="E66" i="199"/>
  <c r="I66" i="199" s="1"/>
  <c r="AI65" i="199"/>
  <c r="AE65" i="199"/>
  <c r="AD65" i="199"/>
  <c r="AC65" i="199"/>
  <c r="AB65" i="199"/>
  <c r="Z65" i="199"/>
  <c r="Y65" i="199"/>
  <c r="X65" i="199"/>
  <c r="Q65" i="199"/>
  <c r="P65" i="199"/>
  <c r="H65" i="199"/>
  <c r="E65" i="199"/>
  <c r="I65" i="199" s="1"/>
  <c r="AD64" i="199"/>
  <c r="AC64" i="199"/>
  <c r="AB64" i="199"/>
  <c r="AE64" i="199" s="1"/>
  <c r="AI64" i="199" s="1"/>
  <c r="Y64" i="199" s="1"/>
  <c r="Z64" i="199"/>
  <c r="X64" i="199"/>
  <c r="Q64" i="199"/>
  <c r="P64" i="199"/>
  <c r="H64" i="199"/>
  <c r="E64" i="199"/>
  <c r="I64" i="199" s="1"/>
  <c r="AD63" i="199"/>
  <c r="AC63" i="199"/>
  <c r="AE63" i="199" s="1"/>
  <c r="AI63" i="199" s="1"/>
  <c r="Y63" i="199" s="1"/>
  <c r="AB63" i="199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E61" i="199" s="1"/>
  <c r="AI61" i="199" s="1"/>
  <c r="Y61" i="199" s="1"/>
  <c r="AB61" i="199"/>
  <c r="X61" i="199"/>
  <c r="Q61" i="199"/>
  <c r="P61" i="199"/>
  <c r="H61" i="199"/>
  <c r="E61" i="199"/>
  <c r="I61" i="199" s="1"/>
  <c r="AE60" i="199"/>
  <c r="AI60" i="199" s="1"/>
  <c r="Y60" i="199" s="1"/>
  <c r="X60" i="199"/>
  <c r="Q60" i="199"/>
  <c r="P60" i="199"/>
  <c r="I60" i="199"/>
  <c r="H60" i="199"/>
  <c r="E60" i="199"/>
  <c r="AC59" i="199"/>
  <c r="AB59" i="199"/>
  <c r="AE59" i="199" s="1"/>
  <c r="AI59" i="199" s="1"/>
  <c r="Y59" i="199" s="1"/>
  <c r="X59" i="199"/>
  <c r="Q59" i="199"/>
  <c r="P59" i="199"/>
  <c r="I59" i="199"/>
  <c r="H59" i="199"/>
  <c r="E59" i="199"/>
  <c r="AC58" i="199"/>
  <c r="AB58" i="199"/>
  <c r="AE58" i="199" s="1"/>
  <c r="AI58" i="199" s="1"/>
  <c r="Y58" i="199" s="1"/>
  <c r="X58" i="199"/>
  <c r="Q58" i="199"/>
  <c r="P58" i="199"/>
  <c r="I58" i="199"/>
  <c r="E58" i="199"/>
  <c r="AC57" i="199"/>
  <c r="AB57" i="199"/>
  <c r="AE57" i="199" s="1"/>
  <c r="AI57" i="199" s="1"/>
  <c r="Y57" i="199" s="1"/>
  <c r="X57" i="199"/>
  <c r="Q57" i="199"/>
  <c r="P57" i="199"/>
  <c r="I57" i="199"/>
  <c r="H57" i="199"/>
  <c r="E57" i="199"/>
  <c r="AD56" i="199"/>
  <c r="AC56" i="199"/>
  <c r="AE56" i="199" s="1"/>
  <c r="AI56" i="199" s="1"/>
  <c r="Y56" i="199" s="1"/>
  <c r="AB56" i="199"/>
  <c r="Z56" i="199"/>
  <c r="X56" i="199"/>
  <c r="Q56" i="199"/>
  <c r="P56" i="199"/>
  <c r="H56" i="199"/>
  <c r="E56" i="199"/>
  <c r="I56" i="199" s="1"/>
  <c r="AE55" i="199"/>
  <c r="AI55" i="199" s="1"/>
  <c r="Y55" i="199" s="1"/>
  <c r="AD55" i="199"/>
  <c r="AC55" i="199"/>
  <c r="AB55" i="199"/>
  <c r="Z55" i="199"/>
  <c r="X55" i="199"/>
  <c r="Q55" i="199"/>
  <c r="P55" i="199"/>
  <c r="I55" i="199"/>
  <c r="H55" i="199"/>
  <c r="E55" i="199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E53" i="199"/>
  <c r="AI53" i="199" s="1"/>
  <c r="Y53" i="199" s="1"/>
  <c r="AD53" i="199"/>
  <c r="AC53" i="199"/>
  <c r="AB53" i="199"/>
  <c r="Z53" i="199"/>
  <c r="X53" i="199"/>
  <c r="Q53" i="199"/>
  <c r="P53" i="199"/>
  <c r="H53" i="199"/>
  <c r="E53" i="199"/>
  <c r="I53" i="199" s="1"/>
  <c r="AE52" i="199"/>
  <c r="AI52" i="199" s="1"/>
  <c r="Y52" i="199" s="1"/>
  <c r="Z52" i="199"/>
  <c r="X52" i="199"/>
  <c r="Q52" i="199"/>
  <c r="P52" i="199"/>
  <c r="H52" i="199"/>
  <c r="E52" i="199"/>
  <c r="I52" i="199" s="1"/>
  <c r="AD51" i="199"/>
  <c r="AC51" i="199"/>
  <c r="AB51" i="199"/>
  <c r="AE51" i="199" s="1"/>
  <c r="AI51" i="199" s="1"/>
  <c r="Y51" i="199" s="1"/>
  <c r="Z51" i="199"/>
  <c r="X51" i="199"/>
  <c r="Q51" i="199"/>
  <c r="P51" i="199"/>
  <c r="I51" i="199"/>
  <c r="H51" i="199"/>
  <c r="E51" i="199"/>
  <c r="AD50" i="199"/>
  <c r="AC50" i="199"/>
  <c r="AE50" i="199" s="1"/>
  <c r="AI50" i="199" s="1"/>
  <c r="Y50" i="199" s="1"/>
  <c r="AB50" i="199"/>
  <c r="Z50" i="199"/>
  <c r="X50" i="199"/>
  <c r="Q50" i="199"/>
  <c r="P50" i="199"/>
  <c r="H50" i="199"/>
  <c r="E50" i="199"/>
  <c r="I50" i="199" s="1"/>
  <c r="AI49" i="199"/>
  <c r="Y49" i="199" s="1"/>
  <c r="AE49" i="199"/>
  <c r="Z49" i="199"/>
  <c r="X49" i="199"/>
  <c r="Q49" i="199"/>
  <c r="P49" i="199"/>
  <c r="H49" i="199"/>
  <c r="E49" i="199"/>
  <c r="I49" i="199" s="1"/>
  <c r="AE48" i="199"/>
  <c r="AI48" i="199" s="1"/>
  <c r="Y48" i="199" s="1"/>
  <c r="Z48" i="199"/>
  <c r="X48" i="199"/>
  <c r="Q48" i="199"/>
  <c r="P48" i="199"/>
  <c r="I48" i="199"/>
  <c r="H48" i="199"/>
  <c r="E48" i="199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E46" i="199" s="1"/>
  <c r="AI46" i="199" s="1"/>
  <c r="Y46" i="199" s="1"/>
  <c r="AC46" i="199"/>
  <c r="AB46" i="199"/>
  <c r="Z46" i="199"/>
  <c r="X46" i="199"/>
  <c r="Q46" i="199"/>
  <c r="P46" i="199"/>
  <c r="I46" i="199"/>
  <c r="H46" i="199"/>
  <c r="E46" i="199"/>
  <c r="AD45" i="199"/>
  <c r="AC45" i="199"/>
  <c r="AB45" i="199"/>
  <c r="AE45" i="199" s="1"/>
  <c r="AI45" i="199" s="1"/>
  <c r="Y45" i="199" s="1"/>
  <c r="Z45" i="199"/>
  <c r="X45" i="199"/>
  <c r="Q45" i="199"/>
  <c r="P45" i="199"/>
  <c r="I45" i="199"/>
  <c r="H45" i="199"/>
  <c r="E45" i="199"/>
  <c r="AD44" i="199"/>
  <c r="AC44" i="199"/>
  <c r="AE44" i="199" s="1"/>
  <c r="AI44" i="199" s="1"/>
  <c r="Y44" i="199" s="1"/>
  <c r="AB44" i="199"/>
  <c r="Z44" i="199"/>
  <c r="X44" i="199"/>
  <c r="Q44" i="199"/>
  <c r="P44" i="199"/>
  <c r="H44" i="199"/>
  <c r="E44" i="199"/>
  <c r="I44" i="199" s="1"/>
  <c r="AE43" i="199"/>
  <c r="AI43" i="199" s="1"/>
  <c r="Y43" i="199" s="1"/>
  <c r="AD43" i="199"/>
  <c r="AC43" i="199"/>
  <c r="AB43" i="199"/>
  <c r="Z43" i="199"/>
  <c r="X43" i="199"/>
  <c r="Q43" i="199"/>
  <c r="P43" i="199"/>
  <c r="I43" i="199"/>
  <c r="H43" i="199"/>
  <c r="E43" i="199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E41" i="199"/>
  <c r="AI41" i="199" s="1"/>
  <c r="Y41" i="199" s="1"/>
  <c r="AD41" i="199"/>
  <c r="AC41" i="199"/>
  <c r="AB41" i="199"/>
  <c r="Z41" i="199"/>
  <c r="X41" i="199"/>
  <c r="Q41" i="199"/>
  <c r="P41" i="199"/>
  <c r="H41" i="199"/>
  <c r="E41" i="199"/>
  <c r="I41" i="199" s="1"/>
  <c r="AD40" i="199"/>
  <c r="AC40" i="199"/>
  <c r="AB40" i="199"/>
  <c r="AE40" i="199" s="1"/>
  <c r="AI40" i="199" s="1"/>
  <c r="Y40" i="199" s="1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D38" i="199"/>
  <c r="AC38" i="199"/>
  <c r="AB38" i="199"/>
  <c r="AE38" i="199" s="1"/>
  <c r="AI38" i="199" s="1"/>
  <c r="Y38" i="199" s="1"/>
  <c r="Z38" i="199"/>
  <c r="X38" i="199"/>
  <c r="Q38" i="199"/>
  <c r="P38" i="199"/>
  <c r="I38" i="199"/>
  <c r="H38" i="199"/>
  <c r="E38" i="199"/>
  <c r="AD37" i="199"/>
  <c r="AC37" i="199"/>
  <c r="AE37" i="199" s="1"/>
  <c r="AI37" i="199" s="1"/>
  <c r="Y37" i="199" s="1"/>
  <c r="AB37" i="199"/>
  <c r="Z37" i="199"/>
  <c r="X37" i="199"/>
  <c r="Q37" i="199"/>
  <c r="P37" i="199"/>
  <c r="H37" i="199"/>
  <c r="E37" i="199"/>
  <c r="I37" i="199" s="1"/>
  <c r="AI36" i="199"/>
  <c r="AE36" i="199"/>
  <c r="AD36" i="199"/>
  <c r="AC36" i="199"/>
  <c r="AB36" i="199"/>
  <c r="Z36" i="199"/>
  <c r="Y36" i="199"/>
  <c r="X36" i="199"/>
  <c r="Q36" i="199"/>
  <c r="P36" i="199"/>
  <c r="H36" i="199"/>
  <c r="E36" i="199"/>
  <c r="I36" i="199" s="1"/>
  <c r="AD35" i="199"/>
  <c r="AC35" i="199"/>
  <c r="AB35" i="199"/>
  <c r="AE35" i="199" s="1"/>
  <c r="AI35" i="199" s="1"/>
  <c r="Y35" i="199" s="1"/>
  <c r="Z35" i="199"/>
  <c r="X35" i="199"/>
  <c r="Q35" i="199"/>
  <c r="P35" i="199"/>
  <c r="H35" i="199"/>
  <c r="E35" i="199"/>
  <c r="I35" i="199" s="1"/>
  <c r="AE34" i="199"/>
  <c r="AI34" i="199" s="1"/>
  <c r="Y34" i="199" s="1"/>
  <c r="AD34" i="199"/>
  <c r="AC34" i="199"/>
  <c r="AB34" i="199"/>
  <c r="Z34" i="199"/>
  <c r="X34" i="199"/>
  <c r="Q34" i="199"/>
  <c r="P34" i="199"/>
  <c r="H34" i="199"/>
  <c r="E34" i="199"/>
  <c r="I34" i="199" s="1"/>
  <c r="AD33" i="199"/>
  <c r="AC33" i="199"/>
  <c r="AB33" i="199"/>
  <c r="AE33" i="199" s="1"/>
  <c r="AI33" i="199" s="1"/>
  <c r="Q33" i="199"/>
  <c r="P33" i="199"/>
  <c r="E33" i="199"/>
  <c r="AD32" i="199"/>
  <c r="AE32" i="199" s="1"/>
  <c r="AI32" i="199" s="1"/>
  <c r="Y32" i="199" s="1"/>
  <c r="AC32" i="199"/>
  <c r="AB32" i="199"/>
  <c r="Z32" i="199"/>
  <c r="X32" i="199"/>
  <c r="Q32" i="199"/>
  <c r="P32" i="199"/>
  <c r="H32" i="199"/>
  <c r="E32" i="199"/>
  <c r="I32" i="199" s="1"/>
  <c r="AI31" i="199"/>
  <c r="Y31" i="199" s="1"/>
  <c r="AE31" i="199"/>
  <c r="Z31" i="199"/>
  <c r="X31" i="199"/>
  <c r="Q31" i="199"/>
  <c r="P31" i="199"/>
  <c r="I31" i="199"/>
  <c r="H31" i="199"/>
  <c r="E31" i="199"/>
  <c r="AD30" i="199"/>
  <c r="AC30" i="199"/>
  <c r="AB30" i="199"/>
  <c r="AE30" i="199" s="1"/>
  <c r="AI30" i="199" s="1"/>
  <c r="Y30" i="199" s="1"/>
  <c r="Z30" i="199"/>
  <c r="X30" i="199"/>
  <c r="Q30" i="199"/>
  <c r="P30" i="199"/>
  <c r="I30" i="199"/>
  <c r="H30" i="199"/>
  <c r="E30" i="199"/>
  <c r="AD29" i="199"/>
  <c r="AC29" i="199"/>
  <c r="AE29" i="199" s="1"/>
  <c r="AI29" i="199" s="1"/>
  <c r="Y29" i="199" s="1"/>
  <c r="AB29" i="199"/>
  <c r="Z29" i="199"/>
  <c r="X29" i="199"/>
  <c r="Q29" i="199"/>
  <c r="P29" i="199"/>
  <c r="H29" i="199"/>
  <c r="E29" i="199"/>
  <c r="I29" i="199" s="1"/>
  <c r="AE28" i="199"/>
  <c r="AI28" i="199" s="1"/>
  <c r="Y28" i="199" s="1"/>
  <c r="AD28" i="199"/>
  <c r="AC28" i="199"/>
  <c r="AB28" i="199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I27" i="199"/>
  <c r="H27" i="199"/>
  <c r="E27" i="199"/>
  <c r="AE26" i="199"/>
  <c r="AI26" i="199" s="1"/>
  <c r="Y26" i="199" s="1"/>
  <c r="AD26" i="199"/>
  <c r="AC26" i="199"/>
  <c r="AB26" i="199"/>
  <c r="Z26" i="199"/>
  <c r="X26" i="199"/>
  <c r="Q26" i="199"/>
  <c r="P26" i="199"/>
  <c r="H26" i="199"/>
  <c r="E26" i="199"/>
  <c r="I26" i="199" s="1"/>
  <c r="AD25" i="199"/>
  <c r="AC25" i="199"/>
  <c r="AB25" i="199"/>
  <c r="AE25" i="199" s="1"/>
  <c r="AI25" i="199" s="1"/>
  <c r="Y25" i="199" s="1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D23" i="199"/>
  <c r="AC23" i="199"/>
  <c r="AB23" i="199"/>
  <c r="AE23" i="199" s="1"/>
  <c r="AI23" i="199" s="1"/>
  <c r="Y23" i="199" s="1"/>
  <c r="Z23" i="199"/>
  <c r="X23" i="199"/>
  <c r="Q23" i="199"/>
  <c r="P23" i="199"/>
  <c r="I23" i="199"/>
  <c r="H23" i="199"/>
  <c r="E23" i="199"/>
  <c r="AD22" i="199"/>
  <c r="AC22" i="199"/>
  <c r="AE22" i="199" s="1"/>
  <c r="AI22" i="199" s="1"/>
  <c r="Y22" i="199" s="1"/>
  <c r="AB22" i="199"/>
  <c r="Z22" i="199"/>
  <c r="X22" i="199"/>
  <c r="Q22" i="199"/>
  <c r="P22" i="199"/>
  <c r="I22" i="199"/>
  <c r="H22" i="199"/>
  <c r="E22" i="199"/>
  <c r="AI21" i="199"/>
  <c r="AE21" i="199"/>
  <c r="AD21" i="199"/>
  <c r="AC21" i="199"/>
  <c r="AB21" i="199"/>
  <c r="Z21" i="199"/>
  <c r="Y21" i="199"/>
  <c r="X21" i="199"/>
  <c r="Q21" i="199"/>
  <c r="P21" i="199"/>
  <c r="H21" i="199"/>
  <c r="E21" i="199"/>
  <c r="I21" i="199" s="1"/>
  <c r="AD20" i="199"/>
  <c r="AC20" i="199"/>
  <c r="AB20" i="199"/>
  <c r="AE20" i="199" s="1"/>
  <c r="AI20" i="199" s="1"/>
  <c r="Y20" i="199" s="1"/>
  <c r="Z20" i="199"/>
  <c r="X20" i="199"/>
  <c r="Q20" i="199"/>
  <c r="P20" i="199"/>
  <c r="H20" i="199"/>
  <c r="E20" i="199"/>
  <c r="I20" i="199" s="1"/>
  <c r="AD19" i="199"/>
  <c r="AC19" i="199"/>
  <c r="AE19" i="199" s="1"/>
  <c r="AI19" i="199" s="1"/>
  <c r="Y19" i="199" s="1"/>
  <c r="AB19" i="199"/>
  <c r="Z19" i="199"/>
  <c r="X19" i="199"/>
  <c r="Q19" i="199"/>
  <c r="P19" i="199"/>
  <c r="H19" i="199"/>
  <c r="E19" i="199"/>
  <c r="I19" i="199" s="1"/>
  <c r="AD18" i="199"/>
  <c r="AC18" i="199"/>
  <c r="AB18" i="199"/>
  <c r="AE18" i="199" s="1"/>
  <c r="AI18" i="199" s="1"/>
  <c r="Y18" i="199" s="1"/>
  <c r="Z18" i="199"/>
  <c r="X18" i="199"/>
  <c r="Q18" i="199"/>
  <c r="P18" i="199"/>
  <c r="I18" i="199"/>
  <c r="H18" i="199"/>
  <c r="E18" i="199"/>
  <c r="AD17" i="199"/>
  <c r="AE17" i="199" s="1"/>
  <c r="AI17" i="199" s="1"/>
  <c r="Y17" i="199" s="1"/>
  <c r="AC17" i="199"/>
  <c r="AB17" i="199"/>
  <c r="Z17" i="199"/>
  <c r="X17" i="199"/>
  <c r="Q17" i="199"/>
  <c r="P17" i="199"/>
  <c r="H17" i="199"/>
  <c r="E17" i="199"/>
  <c r="I17" i="199" s="1"/>
  <c r="AD16" i="199"/>
  <c r="AC16" i="199"/>
  <c r="AB16" i="199"/>
  <c r="AE16" i="199" s="1"/>
  <c r="AI16" i="199" s="1"/>
  <c r="Y16" i="199" s="1"/>
  <c r="Z16" i="199"/>
  <c r="X16" i="199"/>
  <c r="Q16" i="199"/>
  <c r="P16" i="199"/>
  <c r="I16" i="199"/>
  <c r="E16" i="199"/>
  <c r="AD15" i="199"/>
  <c r="AC15" i="199"/>
  <c r="AB15" i="199"/>
  <c r="AE15" i="199" s="1"/>
  <c r="AI15" i="199" s="1"/>
  <c r="Y15" i="199" s="1"/>
  <c r="Z15" i="199"/>
  <c r="X15" i="199"/>
  <c r="Q15" i="199"/>
  <c r="P15" i="199"/>
  <c r="E15" i="199"/>
  <c r="I15" i="199" s="1"/>
  <c r="AD14" i="199"/>
  <c r="AC14" i="199"/>
  <c r="AB14" i="199"/>
  <c r="AE14" i="199" s="1"/>
  <c r="AI14" i="199" s="1"/>
  <c r="Y14" i="199" s="1"/>
  <c r="Z14" i="199"/>
  <c r="X14" i="199"/>
  <c r="Q14" i="199"/>
  <c r="P14" i="199"/>
  <c r="H14" i="199"/>
  <c r="E14" i="199"/>
  <c r="I14" i="199" s="1"/>
  <c r="AD13" i="199"/>
  <c r="AC13" i="199"/>
  <c r="AB13" i="199"/>
  <c r="AE13" i="199" s="1"/>
  <c r="AI13" i="199" s="1"/>
  <c r="Y13" i="199" s="1"/>
  <c r="Z13" i="199"/>
  <c r="X13" i="199"/>
  <c r="Q13" i="199"/>
  <c r="P13" i="199"/>
  <c r="I13" i="199"/>
  <c r="H13" i="199"/>
  <c r="E13" i="199"/>
  <c r="AD12" i="199"/>
  <c r="AC12" i="199"/>
  <c r="AE12" i="199" s="1"/>
  <c r="AI12" i="199" s="1"/>
  <c r="Y12" i="199" s="1"/>
  <c r="AB12" i="199"/>
  <c r="Z12" i="199"/>
  <c r="X12" i="199"/>
  <c r="Q12" i="199"/>
  <c r="P12" i="199"/>
  <c r="H12" i="199"/>
  <c r="E12" i="199"/>
  <c r="I12" i="199" s="1"/>
  <c r="F77" i="202" l="1"/>
  <c r="F75" i="200"/>
  <c r="T79" i="200"/>
  <c r="F77" i="200" s="1"/>
  <c r="T75" i="199"/>
  <c r="H33" i="199"/>
  <c r="I33" i="199"/>
  <c r="F73" i="199" s="1"/>
  <c r="T77" i="199"/>
  <c r="X33" i="199"/>
  <c r="Y33" i="199"/>
  <c r="O73" i="199"/>
  <c r="O75" i="199"/>
  <c r="T73" i="199"/>
  <c r="M79" i="198"/>
  <c r="P71" i="198"/>
  <c r="H71" i="198"/>
  <c r="Q70" i="198"/>
  <c r="P70" i="198"/>
  <c r="H70" i="198"/>
  <c r="E70" i="198"/>
  <c r="I70" i="198" s="1"/>
  <c r="Q69" i="198"/>
  <c r="P69" i="198"/>
  <c r="I69" i="198"/>
  <c r="H69" i="198"/>
  <c r="E69" i="198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E66" i="198"/>
  <c r="AI66" i="198" s="1"/>
  <c r="Y66" i="198" s="1"/>
  <c r="AD66" i="198"/>
  <c r="AC66" i="198"/>
  <c r="AB66" i="198"/>
  <c r="Z66" i="198"/>
  <c r="X66" i="198"/>
  <c r="Q66" i="198"/>
  <c r="P66" i="198"/>
  <c r="I66" i="198"/>
  <c r="H66" i="198"/>
  <c r="E66" i="198"/>
  <c r="AD65" i="198"/>
  <c r="AC65" i="198"/>
  <c r="AB65" i="198"/>
  <c r="AE65" i="198" s="1"/>
  <c r="AI65" i="198" s="1"/>
  <c r="Y65" i="198" s="1"/>
  <c r="Z65" i="198"/>
  <c r="X65" i="198"/>
  <c r="Q65" i="198"/>
  <c r="P65" i="198"/>
  <c r="H65" i="198"/>
  <c r="E65" i="198"/>
  <c r="I65" i="198" s="1"/>
  <c r="AE64" i="198"/>
  <c r="AI64" i="198" s="1"/>
  <c r="Y64" i="198" s="1"/>
  <c r="AD64" i="198"/>
  <c r="AC64" i="198"/>
  <c r="AB64" i="198"/>
  <c r="Z64" i="198"/>
  <c r="X64" i="198"/>
  <c r="Q64" i="198"/>
  <c r="P64" i="198"/>
  <c r="H64" i="198"/>
  <c r="E64" i="198"/>
  <c r="I64" i="198" s="1"/>
  <c r="AD63" i="198"/>
  <c r="AC63" i="198"/>
  <c r="AB63" i="198"/>
  <c r="AE63" i="198" s="1"/>
  <c r="AI63" i="198" s="1"/>
  <c r="Y63" i="198" s="1"/>
  <c r="Z63" i="198"/>
  <c r="X63" i="198"/>
  <c r="Q63" i="198"/>
  <c r="P63" i="198"/>
  <c r="I63" i="198"/>
  <c r="H63" i="198"/>
  <c r="E63" i="198"/>
  <c r="AD62" i="198"/>
  <c r="AC62" i="198"/>
  <c r="AB62" i="198"/>
  <c r="AE62" i="198" s="1"/>
  <c r="AI62" i="198" s="1"/>
  <c r="Y62" i="198" s="1"/>
  <c r="Z62" i="198"/>
  <c r="X62" i="198"/>
  <c r="Q62" i="198"/>
  <c r="P62" i="198"/>
  <c r="I62" i="198"/>
  <c r="H62" i="198"/>
  <c r="E62" i="198"/>
  <c r="AI61" i="198"/>
  <c r="Y61" i="198" s="1"/>
  <c r="AE61" i="198"/>
  <c r="AC61" i="198"/>
  <c r="AB61" i="198"/>
  <c r="X61" i="198"/>
  <c r="Q61" i="198"/>
  <c r="P61" i="198"/>
  <c r="I61" i="198"/>
  <c r="H61" i="198"/>
  <c r="E61" i="198"/>
  <c r="AE60" i="198"/>
  <c r="AI60" i="198" s="1"/>
  <c r="Y60" i="198" s="1"/>
  <c r="X60" i="198"/>
  <c r="Q60" i="198"/>
  <c r="P60" i="198"/>
  <c r="I60" i="198"/>
  <c r="H60" i="198"/>
  <c r="E60" i="198"/>
  <c r="AE59" i="198"/>
  <c r="AI59" i="198" s="1"/>
  <c r="Y59" i="198" s="1"/>
  <c r="AC59" i="198"/>
  <c r="AB59" i="198"/>
  <c r="X59" i="198"/>
  <c r="Q59" i="198"/>
  <c r="P59" i="198"/>
  <c r="H59" i="198"/>
  <c r="E59" i="198"/>
  <c r="I59" i="198" s="1"/>
  <c r="AE58" i="198"/>
  <c r="AI58" i="198" s="1"/>
  <c r="Y58" i="198" s="1"/>
  <c r="AC58" i="198"/>
  <c r="AB58" i="198"/>
  <c r="X58" i="198"/>
  <c r="Q58" i="198"/>
  <c r="P58" i="198"/>
  <c r="E58" i="198"/>
  <c r="I58" i="198" s="1"/>
  <c r="AI57" i="198"/>
  <c r="Y57" i="198" s="1"/>
  <c r="AE57" i="198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B55" i="198"/>
  <c r="AE55" i="198" s="1"/>
  <c r="AI55" i="198" s="1"/>
  <c r="Y55" i="198" s="1"/>
  <c r="Z55" i="198"/>
  <c r="X55" i="198"/>
  <c r="Q55" i="198"/>
  <c r="P55" i="198"/>
  <c r="H55" i="198"/>
  <c r="E55" i="198"/>
  <c r="I55" i="198" s="1"/>
  <c r="AD54" i="198"/>
  <c r="AC54" i="198"/>
  <c r="AB54" i="198"/>
  <c r="AE54" i="198" s="1"/>
  <c r="AI54" i="198" s="1"/>
  <c r="Y54" i="198" s="1"/>
  <c r="Z54" i="198"/>
  <c r="X54" i="198"/>
  <c r="Q54" i="198"/>
  <c r="P54" i="198"/>
  <c r="I54" i="198"/>
  <c r="H54" i="198"/>
  <c r="E54" i="198"/>
  <c r="AD53" i="198"/>
  <c r="AC53" i="198"/>
  <c r="AE53" i="198" s="1"/>
  <c r="AI53" i="198" s="1"/>
  <c r="Y53" i="198" s="1"/>
  <c r="AB53" i="198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D51" i="198"/>
  <c r="AC51" i="198"/>
  <c r="AB51" i="198"/>
  <c r="AE51" i="198" s="1"/>
  <c r="AI51" i="198" s="1"/>
  <c r="Y51" i="198" s="1"/>
  <c r="Z51" i="198"/>
  <c r="X51" i="198"/>
  <c r="Q51" i="198"/>
  <c r="P51" i="198"/>
  <c r="H51" i="198"/>
  <c r="E51" i="198"/>
  <c r="I51" i="198" s="1"/>
  <c r="AE50" i="198"/>
  <c r="AI50" i="198" s="1"/>
  <c r="Y50" i="198" s="1"/>
  <c r="AD50" i="198"/>
  <c r="AC50" i="198"/>
  <c r="AB50" i="198"/>
  <c r="Z50" i="198"/>
  <c r="X50" i="198"/>
  <c r="Q50" i="198"/>
  <c r="P50" i="198"/>
  <c r="I50" i="198"/>
  <c r="H50" i="198"/>
  <c r="E50" i="198"/>
  <c r="AI49" i="198"/>
  <c r="Y49" i="198" s="1"/>
  <c r="AE49" i="198"/>
  <c r="Z49" i="198"/>
  <c r="X49" i="198"/>
  <c r="Q49" i="198"/>
  <c r="P49" i="198"/>
  <c r="H49" i="198"/>
  <c r="E49" i="198"/>
  <c r="I49" i="198" s="1"/>
  <c r="AI48" i="198"/>
  <c r="Y48" i="198" s="1"/>
  <c r="AE48" i="198"/>
  <c r="Z48" i="198"/>
  <c r="X48" i="198"/>
  <c r="Q48" i="198"/>
  <c r="P48" i="198"/>
  <c r="I48" i="198"/>
  <c r="H48" i="198"/>
  <c r="E48" i="198"/>
  <c r="AI47" i="198"/>
  <c r="Y47" i="198" s="1"/>
  <c r="AE47" i="198"/>
  <c r="Z47" i="198"/>
  <c r="X47" i="198"/>
  <c r="Q47" i="198"/>
  <c r="P47" i="198"/>
  <c r="H47" i="198"/>
  <c r="E47" i="198"/>
  <c r="I47" i="198" s="1"/>
  <c r="AD46" i="198"/>
  <c r="AC46" i="198"/>
  <c r="AB46" i="198"/>
  <c r="AE46" i="198" s="1"/>
  <c r="AI46" i="198" s="1"/>
  <c r="Y46" i="198" s="1"/>
  <c r="Z46" i="198"/>
  <c r="X46" i="198"/>
  <c r="Q46" i="198"/>
  <c r="P46" i="198"/>
  <c r="H46" i="198"/>
  <c r="E46" i="198"/>
  <c r="I46" i="198" s="1"/>
  <c r="AE45" i="198"/>
  <c r="AI45" i="198" s="1"/>
  <c r="Y45" i="198" s="1"/>
  <c r="AD45" i="198"/>
  <c r="AC45" i="198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B43" i="198"/>
  <c r="AE43" i="198" s="1"/>
  <c r="AI43" i="198" s="1"/>
  <c r="Y43" i="198" s="1"/>
  <c r="Z43" i="198"/>
  <c r="X43" i="198"/>
  <c r="Q43" i="198"/>
  <c r="P43" i="198"/>
  <c r="H43" i="198"/>
  <c r="E43" i="198"/>
  <c r="I43" i="198" s="1"/>
  <c r="AD42" i="198"/>
  <c r="AC42" i="198"/>
  <c r="AB42" i="198"/>
  <c r="AE42" i="198" s="1"/>
  <c r="AI42" i="198" s="1"/>
  <c r="Y42" i="198" s="1"/>
  <c r="Z42" i="198"/>
  <c r="X42" i="198"/>
  <c r="Q42" i="198"/>
  <c r="P42" i="198"/>
  <c r="I42" i="198"/>
  <c r="H42" i="198"/>
  <c r="E42" i="198"/>
  <c r="AE41" i="198"/>
  <c r="AI41" i="198" s="1"/>
  <c r="Y41" i="198" s="1"/>
  <c r="AD41" i="198"/>
  <c r="AC41" i="198"/>
  <c r="AB41" i="198"/>
  <c r="Z41" i="198"/>
  <c r="X41" i="198"/>
  <c r="Q41" i="198"/>
  <c r="P41" i="198"/>
  <c r="I41" i="198"/>
  <c r="H41" i="198"/>
  <c r="E41" i="198"/>
  <c r="AI40" i="198"/>
  <c r="Y40" i="198" s="1"/>
  <c r="AE40" i="198"/>
  <c r="AD40" i="198"/>
  <c r="AC40" i="198"/>
  <c r="AB40" i="198"/>
  <c r="Z40" i="198"/>
  <c r="X40" i="198"/>
  <c r="Q40" i="198"/>
  <c r="P40" i="198"/>
  <c r="I40" i="198"/>
  <c r="H40" i="198"/>
  <c r="E40" i="198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C38" i="198"/>
  <c r="AB38" i="198"/>
  <c r="AE38" i="198" s="1"/>
  <c r="AI38" i="198" s="1"/>
  <c r="Y38" i="198" s="1"/>
  <c r="Z38" i="198"/>
  <c r="X38" i="198"/>
  <c r="Q38" i="198"/>
  <c r="P38" i="198"/>
  <c r="H38" i="198"/>
  <c r="E38" i="198"/>
  <c r="I38" i="198" s="1"/>
  <c r="AE37" i="198"/>
  <c r="AI37" i="198" s="1"/>
  <c r="Y37" i="198" s="1"/>
  <c r="AD37" i="198"/>
  <c r="AC37" i="198"/>
  <c r="AB37" i="198"/>
  <c r="Z37" i="198"/>
  <c r="X37" i="198"/>
  <c r="Q37" i="198"/>
  <c r="P37" i="198"/>
  <c r="I37" i="198"/>
  <c r="H37" i="198"/>
  <c r="E37" i="198"/>
  <c r="AD36" i="198"/>
  <c r="AC36" i="198"/>
  <c r="AB36" i="198"/>
  <c r="AE36" i="198" s="1"/>
  <c r="AI36" i="198" s="1"/>
  <c r="Y36" i="198" s="1"/>
  <c r="Z36" i="198"/>
  <c r="X36" i="198"/>
  <c r="Q36" i="198"/>
  <c r="P36" i="198"/>
  <c r="H36" i="198"/>
  <c r="E36" i="198"/>
  <c r="I36" i="198" s="1"/>
  <c r="AE35" i="198"/>
  <c r="AI35" i="198" s="1"/>
  <c r="Y35" i="198" s="1"/>
  <c r="AD35" i="198"/>
  <c r="AC35" i="198"/>
  <c r="AB35" i="198"/>
  <c r="Z35" i="198"/>
  <c r="X35" i="198"/>
  <c r="Q35" i="198"/>
  <c r="P35" i="198"/>
  <c r="H35" i="198"/>
  <c r="E35" i="198"/>
  <c r="I35" i="198" s="1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D33" i="198"/>
  <c r="AC33" i="198"/>
  <c r="AB33" i="198"/>
  <c r="AE33" i="198" s="1"/>
  <c r="AI33" i="198" s="1"/>
  <c r="Y33" i="198" s="1"/>
  <c r="Z33" i="198"/>
  <c r="X33" i="198"/>
  <c r="Q33" i="198"/>
  <c r="P33" i="198"/>
  <c r="I33" i="198"/>
  <c r="H33" i="198"/>
  <c r="E33" i="198"/>
  <c r="AD32" i="198"/>
  <c r="AE32" i="198" s="1"/>
  <c r="AI32" i="198" s="1"/>
  <c r="Y32" i="198" s="1"/>
  <c r="AC32" i="198"/>
  <c r="AB32" i="198"/>
  <c r="Z32" i="198"/>
  <c r="X32" i="198"/>
  <c r="Q32" i="198"/>
  <c r="P32" i="198"/>
  <c r="H32" i="198"/>
  <c r="E32" i="198"/>
  <c r="I32" i="198" s="1"/>
  <c r="AE31" i="198"/>
  <c r="AI31" i="198" s="1"/>
  <c r="Y31" i="198" s="1"/>
  <c r="Z31" i="198"/>
  <c r="X31" i="198"/>
  <c r="Q31" i="198"/>
  <c r="P31" i="198"/>
  <c r="H31" i="198"/>
  <c r="E31" i="198"/>
  <c r="I31" i="198" s="1"/>
  <c r="AE30" i="198"/>
  <c r="AI30" i="198" s="1"/>
  <c r="Y30" i="198" s="1"/>
  <c r="AD30" i="198"/>
  <c r="AC30" i="198"/>
  <c r="AB30" i="198"/>
  <c r="Z30" i="198"/>
  <c r="X30" i="198"/>
  <c r="Q30" i="198"/>
  <c r="P30" i="198"/>
  <c r="I30" i="198"/>
  <c r="H30" i="198"/>
  <c r="E30" i="198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B28" i="198"/>
  <c r="AE28" i="198" s="1"/>
  <c r="AI28" i="198" s="1"/>
  <c r="Y28" i="198" s="1"/>
  <c r="Z28" i="198"/>
  <c r="X28" i="198"/>
  <c r="Q28" i="198"/>
  <c r="P28" i="198"/>
  <c r="H28" i="198"/>
  <c r="E28" i="198"/>
  <c r="I28" i="198" s="1"/>
  <c r="AD27" i="198"/>
  <c r="AC27" i="198"/>
  <c r="AB27" i="198"/>
  <c r="AE27" i="198" s="1"/>
  <c r="AI27" i="198" s="1"/>
  <c r="Y27" i="198" s="1"/>
  <c r="Z27" i="198"/>
  <c r="X27" i="198"/>
  <c r="Q27" i="198"/>
  <c r="P27" i="198"/>
  <c r="I27" i="198"/>
  <c r="H27" i="198"/>
  <c r="E27" i="198"/>
  <c r="AE26" i="198"/>
  <c r="AI26" i="198" s="1"/>
  <c r="Y26" i="198" s="1"/>
  <c r="AD26" i="198"/>
  <c r="AC26" i="198"/>
  <c r="AB26" i="198"/>
  <c r="Z26" i="198"/>
  <c r="X26" i="198"/>
  <c r="Q26" i="198"/>
  <c r="P26" i="198"/>
  <c r="I26" i="198"/>
  <c r="H26" i="198"/>
  <c r="E26" i="198"/>
  <c r="AI25" i="198"/>
  <c r="Y25" i="198" s="1"/>
  <c r="AE25" i="198"/>
  <c r="AD25" i="198"/>
  <c r="AC25" i="198"/>
  <c r="AB25" i="198"/>
  <c r="Z25" i="198"/>
  <c r="X25" i="198"/>
  <c r="Q25" i="198"/>
  <c r="P25" i="198"/>
  <c r="I25" i="198"/>
  <c r="H25" i="198"/>
  <c r="E25" i="198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C23" i="198"/>
  <c r="AB23" i="198"/>
  <c r="AE23" i="198" s="1"/>
  <c r="AI23" i="198" s="1"/>
  <c r="Y23" i="198" s="1"/>
  <c r="Z23" i="198"/>
  <c r="X23" i="198"/>
  <c r="Q23" i="198"/>
  <c r="P23" i="198"/>
  <c r="I23" i="198"/>
  <c r="H23" i="198"/>
  <c r="E23" i="198"/>
  <c r="AE22" i="198"/>
  <c r="AI22" i="198" s="1"/>
  <c r="Y22" i="198" s="1"/>
  <c r="AD22" i="198"/>
  <c r="AC22" i="198"/>
  <c r="AB22" i="198"/>
  <c r="Z22" i="198"/>
  <c r="X22" i="198"/>
  <c r="Q22" i="198"/>
  <c r="P22" i="198"/>
  <c r="I22" i="198"/>
  <c r="H22" i="198"/>
  <c r="E22" i="198"/>
  <c r="AD21" i="198"/>
  <c r="AC21" i="198"/>
  <c r="AB21" i="198"/>
  <c r="AE21" i="198" s="1"/>
  <c r="AI21" i="198" s="1"/>
  <c r="Y21" i="198" s="1"/>
  <c r="Z21" i="198"/>
  <c r="X21" i="198"/>
  <c r="Q21" i="198"/>
  <c r="P21" i="198"/>
  <c r="H21" i="198"/>
  <c r="E21" i="198"/>
  <c r="I21" i="198" s="1"/>
  <c r="AI20" i="198"/>
  <c r="Y20" i="198" s="1"/>
  <c r="AE20" i="198"/>
  <c r="AD20" i="198"/>
  <c r="AC20" i="198"/>
  <c r="AB20" i="198"/>
  <c r="Z20" i="198"/>
  <c r="X20" i="198"/>
  <c r="Q20" i="198"/>
  <c r="P20" i="198"/>
  <c r="H20" i="198"/>
  <c r="E20" i="198"/>
  <c r="I20" i="198" s="1"/>
  <c r="AD19" i="198"/>
  <c r="AC19" i="198"/>
  <c r="AB19" i="198"/>
  <c r="AE19" i="198" s="1"/>
  <c r="AI19" i="198" s="1"/>
  <c r="Y19" i="198" s="1"/>
  <c r="Z19" i="198"/>
  <c r="X19" i="198"/>
  <c r="Q19" i="198"/>
  <c r="P19" i="198"/>
  <c r="H19" i="198"/>
  <c r="E19" i="198"/>
  <c r="I19" i="198" s="1"/>
  <c r="AD18" i="198"/>
  <c r="AC18" i="198"/>
  <c r="AB18" i="198"/>
  <c r="AE18" i="198" s="1"/>
  <c r="AI18" i="198" s="1"/>
  <c r="Y18" i="198" s="1"/>
  <c r="Z18" i="198"/>
  <c r="X18" i="198"/>
  <c r="Q18" i="198"/>
  <c r="P18" i="198"/>
  <c r="H18" i="198"/>
  <c r="E18" i="198"/>
  <c r="I18" i="198" s="1"/>
  <c r="AD17" i="198"/>
  <c r="AE17" i="198" s="1"/>
  <c r="AI17" i="198" s="1"/>
  <c r="Y17" i="198" s="1"/>
  <c r="AC17" i="198"/>
  <c r="AB17" i="198"/>
  <c r="Z17" i="198"/>
  <c r="X17" i="198"/>
  <c r="Q17" i="198"/>
  <c r="P17" i="198"/>
  <c r="H17" i="198"/>
  <c r="E17" i="198"/>
  <c r="I17" i="198" s="1"/>
  <c r="AD16" i="198"/>
  <c r="AC16" i="198"/>
  <c r="AB16" i="198"/>
  <c r="AE16" i="198" s="1"/>
  <c r="AI16" i="198" s="1"/>
  <c r="Y16" i="198" s="1"/>
  <c r="Z16" i="198"/>
  <c r="X16" i="198"/>
  <c r="Q16" i="198"/>
  <c r="P16" i="198"/>
  <c r="E16" i="198"/>
  <c r="I16" i="198" s="1"/>
  <c r="AD15" i="198"/>
  <c r="AC15" i="198"/>
  <c r="AE15" i="198" s="1"/>
  <c r="AI15" i="198" s="1"/>
  <c r="Y15" i="198" s="1"/>
  <c r="AB15" i="198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C13" i="198"/>
  <c r="AB13" i="198"/>
  <c r="AE13" i="198" s="1"/>
  <c r="AI13" i="198" s="1"/>
  <c r="Y13" i="198" s="1"/>
  <c r="Z13" i="198"/>
  <c r="X13" i="198"/>
  <c r="Q13" i="198"/>
  <c r="P13" i="198"/>
  <c r="I13" i="198"/>
  <c r="H13" i="198"/>
  <c r="E13" i="198"/>
  <c r="AD12" i="198"/>
  <c r="AC12" i="198"/>
  <c r="AE12" i="198" s="1"/>
  <c r="AI12" i="198" s="1"/>
  <c r="Y12" i="198" s="1"/>
  <c r="AB12" i="198"/>
  <c r="Z12" i="198"/>
  <c r="T75" i="198" s="1"/>
  <c r="X12" i="198"/>
  <c r="T77" i="198" s="1"/>
  <c r="Q12" i="198"/>
  <c r="P12" i="198"/>
  <c r="I12" i="198"/>
  <c r="H12" i="198"/>
  <c r="E12" i="198"/>
  <c r="F75" i="199" l="1"/>
  <c r="T79" i="199"/>
  <c r="F77" i="199"/>
  <c r="O73" i="198"/>
  <c r="F75" i="198"/>
  <c r="T73" i="198"/>
  <c r="T79" i="198" s="1"/>
  <c r="F73" i="198"/>
  <c r="M79" i="197"/>
  <c r="P71" i="197"/>
  <c r="H71" i="197"/>
  <c r="Q70" i="197"/>
  <c r="P70" i="197"/>
  <c r="H70" i="197"/>
  <c r="E70" i="197"/>
  <c r="I70" i="197" s="1"/>
  <c r="Q69" i="197"/>
  <c r="P69" i="197"/>
  <c r="H69" i="197"/>
  <c r="E69" i="197"/>
  <c r="I69" i="197" s="1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E67" i="197" s="1"/>
  <c r="AI67" i="197" s="1"/>
  <c r="Y67" i="197" s="1"/>
  <c r="AC67" i="197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I64" i="197"/>
  <c r="H64" i="197"/>
  <c r="E64" i="197"/>
  <c r="AD63" i="197"/>
  <c r="AC63" i="197"/>
  <c r="AB63" i="197"/>
  <c r="AE63" i="197" s="1"/>
  <c r="AI63" i="197" s="1"/>
  <c r="Y63" i="197" s="1"/>
  <c r="Z63" i="197"/>
  <c r="X63" i="197"/>
  <c r="Q63" i="197"/>
  <c r="P63" i="197"/>
  <c r="I63" i="197"/>
  <c r="H63" i="197"/>
  <c r="E63" i="197"/>
  <c r="AE62" i="197"/>
  <c r="AI62" i="197" s="1"/>
  <c r="Y62" i="197" s="1"/>
  <c r="AD62" i="197"/>
  <c r="AC62" i="197"/>
  <c r="AB62" i="197"/>
  <c r="Z62" i="197"/>
  <c r="X62" i="197"/>
  <c r="Q62" i="197"/>
  <c r="P62" i="197"/>
  <c r="H62" i="197"/>
  <c r="E62" i="197"/>
  <c r="I62" i="197" s="1"/>
  <c r="AE61" i="197"/>
  <c r="AI61" i="197" s="1"/>
  <c r="Y61" i="197" s="1"/>
  <c r="AC61" i="197"/>
  <c r="AB61" i="197"/>
  <c r="X61" i="197"/>
  <c r="Q61" i="197"/>
  <c r="P61" i="197"/>
  <c r="H61" i="197"/>
  <c r="E61" i="197"/>
  <c r="I61" i="197" s="1"/>
  <c r="AE60" i="197"/>
  <c r="AI60" i="197" s="1"/>
  <c r="Y60" i="197" s="1"/>
  <c r="X60" i="197"/>
  <c r="Q60" i="197"/>
  <c r="P60" i="197"/>
  <c r="I60" i="197"/>
  <c r="H60" i="197"/>
  <c r="E60" i="197"/>
  <c r="AC59" i="197"/>
  <c r="AB59" i="197"/>
  <c r="AE59" i="197" s="1"/>
  <c r="AI59" i="197" s="1"/>
  <c r="Y59" i="197" s="1"/>
  <c r="X59" i="197"/>
  <c r="Q59" i="197"/>
  <c r="P59" i="197"/>
  <c r="H59" i="197"/>
  <c r="E59" i="197"/>
  <c r="I59" i="197" s="1"/>
  <c r="AC58" i="197"/>
  <c r="AE58" i="197" s="1"/>
  <c r="AI58" i="197" s="1"/>
  <c r="Y58" i="197" s="1"/>
  <c r="AB58" i="197"/>
  <c r="X58" i="197"/>
  <c r="Q58" i="197"/>
  <c r="P58" i="197"/>
  <c r="I58" i="197"/>
  <c r="E58" i="197"/>
  <c r="AC57" i="197"/>
  <c r="AB57" i="197"/>
  <c r="AE57" i="197" s="1"/>
  <c r="AI57" i="197" s="1"/>
  <c r="Y57" i="197" s="1"/>
  <c r="X57" i="197"/>
  <c r="Q57" i="197"/>
  <c r="P57" i="197"/>
  <c r="I57" i="197"/>
  <c r="H57" i="197"/>
  <c r="E57" i="197"/>
  <c r="AD56" i="197"/>
  <c r="AC56" i="197"/>
  <c r="AE56" i="197" s="1"/>
  <c r="AI56" i="197" s="1"/>
  <c r="Y56" i="197" s="1"/>
  <c r="AB56" i="197"/>
  <c r="Z56" i="197"/>
  <c r="X56" i="197"/>
  <c r="Q56" i="197"/>
  <c r="P56" i="197"/>
  <c r="I56" i="197"/>
  <c r="H56" i="197"/>
  <c r="E56" i="197"/>
  <c r="AD55" i="197"/>
  <c r="AC55" i="197"/>
  <c r="AB55" i="197"/>
  <c r="AE55" i="197" s="1"/>
  <c r="AI55" i="197" s="1"/>
  <c r="Y55" i="197" s="1"/>
  <c r="Z55" i="197"/>
  <c r="X55" i="197"/>
  <c r="Q55" i="197"/>
  <c r="P55" i="197"/>
  <c r="H55" i="197"/>
  <c r="E55" i="197"/>
  <c r="I55" i="197" s="1"/>
  <c r="AE54" i="197"/>
  <c r="AI54" i="197" s="1"/>
  <c r="Y54" i="197" s="1"/>
  <c r="AD54" i="197"/>
  <c r="AC54" i="197"/>
  <c r="AB54" i="197"/>
  <c r="Z54" i="197"/>
  <c r="X54" i="197"/>
  <c r="Q54" i="197"/>
  <c r="P54" i="197"/>
  <c r="H54" i="197"/>
  <c r="E54" i="197"/>
  <c r="I54" i="197" s="1"/>
  <c r="AD53" i="197"/>
  <c r="AC53" i="197"/>
  <c r="AB53" i="197"/>
  <c r="AE53" i="197" s="1"/>
  <c r="AI53" i="197" s="1"/>
  <c r="Y53" i="197" s="1"/>
  <c r="Z53" i="197"/>
  <c r="X53" i="197"/>
  <c r="Q53" i="197"/>
  <c r="P53" i="197"/>
  <c r="H53" i="197"/>
  <c r="E53" i="197"/>
  <c r="I53" i="197" s="1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E51" i="197" s="1"/>
  <c r="AI51" i="197" s="1"/>
  <c r="Y51" i="197" s="1"/>
  <c r="AC51" i="197"/>
  <c r="AB51" i="197"/>
  <c r="Z51" i="197"/>
  <c r="X51" i="197"/>
  <c r="Q51" i="197"/>
  <c r="P51" i="197"/>
  <c r="H51" i="197"/>
  <c r="E51" i="197"/>
  <c r="I51" i="197" s="1"/>
  <c r="AI50" i="197"/>
  <c r="Y50" i="197" s="1"/>
  <c r="AE50" i="197"/>
  <c r="AD50" i="197"/>
  <c r="AC50" i="197"/>
  <c r="AB50" i="197"/>
  <c r="Z50" i="197"/>
  <c r="X50" i="197"/>
  <c r="Q50" i="197"/>
  <c r="P50" i="197"/>
  <c r="I50" i="197"/>
  <c r="H50" i="197"/>
  <c r="E50" i="197"/>
  <c r="AI49" i="197"/>
  <c r="AE49" i="197"/>
  <c r="Z49" i="197"/>
  <c r="Y49" i="197"/>
  <c r="X49" i="197"/>
  <c r="Q49" i="197"/>
  <c r="P49" i="197"/>
  <c r="I49" i="197"/>
  <c r="H49" i="197"/>
  <c r="E49" i="197"/>
  <c r="AE48" i="197"/>
  <c r="AI48" i="197" s="1"/>
  <c r="Y48" i="197" s="1"/>
  <c r="Z48" i="197"/>
  <c r="X48" i="197"/>
  <c r="Q48" i="197"/>
  <c r="P48" i="197"/>
  <c r="H48" i="197"/>
  <c r="E48" i="197"/>
  <c r="I48" i="197" s="1"/>
  <c r="AI47" i="197"/>
  <c r="Y47" i="197" s="1"/>
  <c r="AE47" i="197"/>
  <c r="Z47" i="197"/>
  <c r="X47" i="197"/>
  <c r="Q47" i="197"/>
  <c r="P47" i="197"/>
  <c r="H47" i="197"/>
  <c r="E47" i="197"/>
  <c r="I47" i="197" s="1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C45" i="197"/>
  <c r="AB45" i="197"/>
  <c r="AE45" i="197" s="1"/>
  <c r="AI45" i="197" s="1"/>
  <c r="Y45" i="197" s="1"/>
  <c r="Z45" i="197"/>
  <c r="X45" i="197"/>
  <c r="Q45" i="197"/>
  <c r="P45" i="197"/>
  <c r="H45" i="197"/>
  <c r="E45" i="197"/>
  <c r="I45" i="197" s="1"/>
  <c r="AD44" i="197"/>
  <c r="AC44" i="197"/>
  <c r="AB44" i="197"/>
  <c r="AE44" i="197" s="1"/>
  <c r="AI44" i="197" s="1"/>
  <c r="Y44" i="197" s="1"/>
  <c r="Z44" i="197"/>
  <c r="X44" i="197"/>
  <c r="Q44" i="197"/>
  <c r="P44" i="197"/>
  <c r="I44" i="197"/>
  <c r="H44" i="197"/>
  <c r="E44" i="197"/>
  <c r="AD43" i="197"/>
  <c r="AC43" i="197"/>
  <c r="AE43" i="197" s="1"/>
  <c r="AI43" i="197" s="1"/>
  <c r="Y43" i="197" s="1"/>
  <c r="AB43" i="197"/>
  <c r="Z43" i="197"/>
  <c r="X43" i="197"/>
  <c r="Q43" i="197"/>
  <c r="P43" i="197"/>
  <c r="H43" i="197"/>
  <c r="E43" i="197"/>
  <c r="I43" i="197" s="1"/>
  <c r="AE42" i="197"/>
  <c r="AI42" i="197" s="1"/>
  <c r="Y42" i="197" s="1"/>
  <c r="AD42" i="197"/>
  <c r="AC42" i="197"/>
  <c r="AB42" i="197"/>
  <c r="Z42" i="197"/>
  <c r="X42" i="197"/>
  <c r="Q42" i="197"/>
  <c r="P42" i="197"/>
  <c r="H42" i="197"/>
  <c r="E42" i="197"/>
  <c r="I42" i="197" s="1"/>
  <c r="AD41" i="197"/>
  <c r="AC41" i="197"/>
  <c r="AB41" i="197"/>
  <c r="AE41" i="197" s="1"/>
  <c r="AI41" i="197" s="1"/>
  <c r="Y41" i="197" s="1"/>
  <c r="Z41" i="197"/>
  <c r="X41" i="197"/>
  <c r="Q41" i="197"/>
  <c r="P41" i="197"/>
  <c r="H41" i="197"/>
  <c r="E41" i="197"/>
  <c r="I41" i="197" s="1"/>
  <c r="AD40" i="197"/>
  <c r="AC40" i="197"/>
  <c r="AB40" i="197"/>
  <c r="AE40" i="197" s="1"/>
  <c r="AI40" i="197" s="1"/>
  <c r="Y40" i="197" s="1"/>
  <c r="Z40" i="197"/>
  <c r="X40" i="197"/>
  <c r="Q40" i="197"/>
  <c r="P40" i="197"/>
  <c r="H40" i="197"/>
  <c r="E40" i="197"/>
  <c r="I40" i="197" s="1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E38" i="197" s="1"/>
  <c r="AI38" i="197" s="1"/>
  <c r="Y38" i="197" s="1"/>
  <c r="AC38" i="197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I35" i="197"/>
  <c r="H35" i="197"/>
  <c r="E35" i="197"/>
  <c r="AD34" i="197"/>
  <c r="AC34" i="197"/>
  <c r="AB34" i="197"/>
  <c r="AE34" i="197" s="1"/>
  <c r="AI34" i="197" s="1"/>
  <c r="Y34" i="197" s="1"/>
  <c r="Z34" i="197"/>
  <c r="X34" i="197"/>
  <c r="Q34" i="197"/>
  <c r="P34" i="197"/>
  <c r="I34" i="197"/>
  <c r="H34" i="197"/>
  <c r="E34" i="197"/>
  <c r="AE33" i="197"/>
  <c r="AI33" i="197" s="1"/>
  <c r="Y33" i="197" s="1"/>
  <c r="AD33" i="197"/>
  <c r="AC33" i="197"/>
  <c r="AB33" i="197"/>
  <c r="Z33" i="197"/>
  <c r="X33" i="197"/>
  <c r="Q33" i="197"/>
  <c r="P33" i="197"/>
  <c r="H33" i="197"/>
  <c r="E33" i="197"/>
  <c r="I33" i="197" s="1"/>
  <c r="AD32" i="197"/>
  <c r="AC32" i="197"/>
  <c r="AB32" i="197"/>
  <c r="AE32" i="197" s="1"/>
  <c r="AI32" i="197" s="1"/>
  <c r="Y32" i="197" s="1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C30" i="197"/>
  <c r="AB30" i="197"/>
  <c r="AE30" i="197" s="1"/>
  <c r="AI30" i="197" s="1"/>
  <c r="Y30" i="197" s="1"/>
  <c r="Z30" i="197"/>
  <c r="X30" i="197"/>
  <c r="Q30" i="197"/>
  <c r="P30" i="197"/>
  <c r="H30" i="197"/>
  <c r="E30" i="197"/>
  <c r="I30" i="197" s="1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D28" i="197"/>
  <c r="AC28" i="197"/>
  <c r="AB28" i="197"/>
  <c r="AE28" i="197" s="1"/>
  <c r="AI28" i="197" s="1"/>
  <c r="Y28" i="197" s="1"/>
  <c r="Z28" i="197"/>
  <c r="X28" i="197"/>
  <c r="Q28" i="197"/>
  <c r="P28" i="197"/>
  <c r="H28" i="197"/>
  <c r="E28" i="197"/>
  <c r="I28" i="197" s="1"/>
  <c r="AE27" i="197"/>
  <c r="AI27" i="197" s="1"/>
  <c r="Y27" i="197" s="1"/>
  <c r="AD27" i="197"/>
  <c r="AC27" i="197"/>
  <c r="AB27" i="197"/>
  <c r="Z27" i="197"/>
  <c r="X27" i="197"/>
  <c r="Q27" i="197"/>
  <c r="P27" i="197"/>
  <c r="H27" i="197"/>
  <c r="E27" i="197"/>
  <c r="I27" i="197" s="1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D25" i="197"/>
  <c r="AC25" i="197"/>
  <c r="AB25" i="197"/>
  <c r="AE25" i="197" s="1"/>
  <c r="AI25" i="197" s="1"/>
  <c r="Y25" i="197" s="1"/>
  <c r="Z25" i="197"/>
  <c r="X25" i="197"/>
  <c r="Q25" i="197"/>
  <c r="P25" i="197"/>
  <c r="H25" i="197"/>
  <c r="E25" i="197"/>
  <c r="I25" i="197" s="1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E23" i="197" s="1"/>
  <c r="AI23" i="197" s="1"/>
  <c r="Y23" i="197" s="1"/>
  <c r="AC23" i="197"/>
  <c r="AB23" i="197"/>
  <c r="Z23" i="197"/>
  <c r="X23" i="197"/>
  <c r="Q23" i="197"/>
  <c r="P23" i="197"/>
  <c r="H23" i="197"/>
  <c r="E23" i="197"/>
  <c r="I23" i="197" s="1"/>
  <c r="AI22" i="197"/>
  <c r="Y22" i="197" s="1"/>
  <c r="AE22" i="197"/>
  <c r="AD22" i="197"/>
  <c r="AC22" i="197"/>
  <c r="AB22" i="197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I20" i="197"/>
  <c r="H20" i="197"/>
  <c r="E20" i="197"/>
  <c r="AD19" i="197"/>
  <c r="AC19" i="197"/>
  <c r="AB19" i="197"/>
  <c r="AE19" i="197" s="1"/>
  <c r="AI19" i="197" s="1"/>
  <c r="Y19" i="197" s="1"/>
  <c r="Z19" i="197"/>
  <c r="X19" i="197"/>
  <c r="Q19" i="197"/>
  <c r="P19" i="197"/>
  <c r="I19" i="197"/>
  <c r="H19" i="197"/>
  <c r="E19" i="197"/>
  <c r="AE18" i="197"/>
  <c r="AI18" i="197" s="1"/>
  <c r="Y18" i="197" s="1"/>
  <c r="AD18" i="197"/>
  <c r="AC18" i="197"/>
  <c r="AB18" i="197"/>
  <c r="Z18" i="197"/>
  <c r="X18" i="197"/>
  <c r="Q18" i="197"/>
  <c r="P18" i="197"/>
  <c r="H18" i="197"/>
  <c r="E18" i="197"/>
  <c r="I18" i="197" s="1"/>
  <c r="AD17" i="197"/>
  <c r="AC17" i="197"/>
  <c r="AB17" i="197"/>
  <c r="AE17" i="197" s="1"/>
  <c r="AI17" i="197" s="1"/>
  <c r="Y17" i="197" s="1"/>
  <c r="Z17" i="197"/>
  <c r="X17" i="197"/>
  <c r="Q17" i="197"/>
  <c r="P17" i="197"/>
  <c r="H17" i="197"/>
  <c r="E17" i="197"/>
  <c r="I17" i="197" s="1"/>
  <c r="AD16" i="197"/>
  <c r="AE16" i="197" s="1"/>
  <c r="AI16" i="197" s="1"/>
  <c r="Y16" i="197" s="1"/>
  <c r="AC16" i="197"/>
  <c r="AB16" i="197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E15" i="197"/>
  <c r="I15" i="197" s="1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E13" i="197" s="1"/>
  <c r="AI13" i="197" s="1"/>
  <c r="Y13" i="197" s="1"/>
  <c r="AC13" i="197"/>
  <c r="AB13" i="197"/>
  <c r="Z13" i="197"/>
  <c r="X13" i="197"/>
  <c r="Q13" i="197"/>
  <c r="P13" i="197"/>
  <c r="H13" i="197"/>
  <c r="E13" i="197"/>
  <c r="I13" i="197" s="1"/>
  <c r="AI12" i="197"/>
  <c r="Y12" i="197" s="1"/>
  <c r="AE12" i="197"/>
  <c r="AD12" i="197"/>
  <c r="AC12" i="197"/>
  <c r="AB12" i="197"/>
  <c r="Z12" i="197"/>
  <c r="X12" i="197"/>
  <c r="Q12" i="197"/>
  <c r="O73" i="197" s="1"/>
  <c r="P12" i="197"/>
  <c r="I12" i="197"/>
  <c r="H12" i="197"/>
  <c r="E12" i="197"/>
  <c r="F77" i="198" l="1"/>
  <c r="T77" i="197"/>
  <c r="T79" i="197" s="1"/>
  <c r="T75" i="197"/>
  <c r="F73" i="197"/>
  <c r="F75" i="197"/>
  <c r="T73" i="197"/>
  <c r="M79" i="196"/>
  <c r="P71" i="196"/>
  <c r="H71" i="196"/>
  <c r="Q70" i="196"/>
  <c r="P70" i="196"/>
  <c r="I70" i="196"/>
  <c r="H70" i="196"/>
  <c r="E70" i="196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E67" i="196"/>
  <c r="AI67" i="196" s="1"/>
  <c r="Y67" i="196" s="1"/>
  <c r="AD67" i="196"/>
  <c r="AC67" i="196"/>
  <c r="AB67" i="196"/>
  <c r="Z67" i="196"/>
  <c r="X67" i="196"/>
  <c r="Q67" i="196"/>
  <c r="P67" i="196"/>
  <c r="H67" i="196"/>
  <c r="E67" i="196"/>
  <c r="I67" i="196" s="1"/>
  <c r="AD66" i="196"/>
  <c r="AC66" i="196"/>
  <c r="AB66" i="196"/>
  <c r="AE66" i="196" s="1"/>
  <c r="AI66" i="196" s="1"/>
  <c r="Y66" i="196" s="1"/>
  <c r="Z66" i="196"/>
  <c r="X66" i="196"/>
  <c r="Q66" i="196"/>
  <c r="P66" i="196"/>
  <c r="H66" i="196"/>
  <c r="E66" i="196"/>
  <c r="I66" i="196" s="1"/>
  <c r="AD65" i="196"/>
  <c r="AC65" i="196"/>
  <c r="AB65" i="196"/>
  <c r="AE65" i="196" s="1"/>
  <c r="AI65" i="196" s="1"/>
  <c r="Y65" i="196" s="1"/>
  <c r="Z65" i="196"/>
  <c r="X65" i="196"/>
  <c r="Q65" i="196"/>
  <c r="P65" i="196"/>
  <c r="H65" i="196"/>
  <c r="E65" i="196"/>
  <c r="I65" i="196" s="1"/>
  <c r="AE64" i="196"/>
  <c r="AI64" i="196" s="1"/>
  <c r="Y64" i="196" s="1"/>
  <c r="AD64" i="196"/>
  <c r="AC64" i="196"/>
  <c r="AB64" i="196"/>
  <c r="Z64" i="196"/>
  <c r="X64" i="196"/>
  <c r="Q64" i="196"/>
  <c r="P64" i="196"/>
  <c r="I64" i="196"/>
  <c r="H64" i="196"/>
  <c r="E64" i="196"/>
  <c r="AD63" i="196"/>
  <c r="AC63" i="196"/>
  <c r="AB63" i="196"/>
  <c r="AE63" i="196" s="1"/>
  <c r="AI63" i="196" s="1"/>
  <c r="Y63" i="196" s="1"/>
  <c r="Z63" i="196"/>
  <c r="X63" i="196"/>
  <c r="Q63" i="196"/>
  <c r="P63" i="196"/>
  <c r="I63" i="196"/>
  <c r="H63" i="196"/>
  <c r="E63" i="196"/>
  <c r="AD62" i="196"/>
  <c r="AE62" i="196" s="1"/>
  <c r="AI62" i="196" s="1"/>
  <c r="Y62" i="196" s="1"/>
  <c r="AC62" i="196"/>
  <c r="AB62" i="196"/>
  <c r="Z62" i="196"/>
  <c r="X62" i="196"/>
  <c r="Q62" i="196"/>
  <c r="P62" i="196"/>
  <c r="H62" i="196"/>
  <c r="E62" i="196"/>
  <c r="I62" i="196" s="1"/>
  <c r="AE61" i="196"/>
  <c r="AI61" i="196" s="1"/>
  <c r="Y61" i="196" s="1"/>
  <c r="AC61" i="196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H59" i="196"/>
  <c r="E59" i="196"/>
  <c r="I59" i="196" s="1"/>
  <c r="AC58" i="196"/>
  <c r="AE58" i="196" s="1"/>
  <c r="AI58" i="196" s="1"/>
  <c r="Y58" i="196" s="1"/>
  <c r="AB58" i="196"/>
  <c r="X58" i="196"/>
  <c r="Q58" i="196"/>
  <c r="P58" i="196"/>
  <c r="E58" i="196"/>
  <c r="I58" i="196" s="1"/>
  <c r="AE57" i="196"/>
  <c r="AI57" i="196" s="1"/>
  <c r="Y57" i="196" s="1"/>
  <c r="AC57" i="196"/>
  <c r="AB57" i="196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D53" i="196"/>
  <c r="AC53" i="196"/>
  <c r="AB53" i="196"/>
  <c r="AE53" i="196" s="1"/>
  <c r="AI53" i="196" s="1"/>
  <c r="Y53" i="196" s="1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E51" i="196"/>
  <c r="AI51" i="196" s="1"/>
  <c r="Y51" i="196" s="1"/>
  <c r="AD51" i="196"/>
  <c r="AC51" i="196"/>
  <c r="AB51" i="196"/>
  <c r="Z51" i="196"/>
  <c r="X51" i="196"/>
  <c r="Q51" i="196"/>
  <c r="P51" i="196"/>
  <c r="H51" i="196"/>
  <c r="E51" i="196"/>
  <c r="I51" i="196" s="1"/>
  <c r="AD50" i="196"/>
  <c r="AC50" i="196"/>
  <c r="AB50" i="196"/>
  <c r="AE50" i="196" s="1"/>
  <c r="AI50" i="196" s="1"/>
  <c r="Y50" i="196" s="1"/>
  <c r="Z50" i="196"/>
  <c r="X50" i="196"/>
  <c r="Q50" i="196"/>
  <c r="P50" i="196"/>
  <c r="I50" i="196"/>
  <c r="H50" i="196"/>
  <c r="E50" i="196"/>
  <c r="AI49" i="196"/>
  <c r="AE49" i="196"/>
  <c r="Z49" i="196"/>
  <c r="Y49" i="196"/>
  <c r="X49" i="196"/>
  <c r="Q49" i="196"/>
  <c r="P49" i="196"/>
  <c r="I49" i="196"/>
  <c r="H49" i="196"/>
  <c r="E49" i="196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H47" i="196"/>
  <c r="E47" i="196"/>
  <c r="I47" i="196" s="1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B45" i="196"/>
  <c r="AE45" i="196" s="1"/>
  <c r="AI45" i="196" s="1"/>
  <c r="Y45" i="196" s="1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I43" i="196"/>
  <c r="H43" i="196"/>
  <c r="E43" i="196"/>
  <c r="AD42" i="196"/>
  <c r="AC42" i="196"/>
  <c r="AE42" i="196" s="1"/>
  <c r="AI42" i="196" s="1"/>
  <c r="Y42" i="196" s="1"/>
  <c r="AB42" i="196"/>
  <c r="Z42" i="196"/>
  <c r="X42" i="196"/>
  <c r="Q42" i="196"/>
  <c r="P42" i="196"/>
  <c r="H42" i="196"/>
  <c r="E42" i="196"/>
  <c r="I42" i="196" s="1"/>
  <c r="AD41" i="196"/>
  <c r="AC41" i="196"/>
  <c r="AB41" i="196"/>
  <c r="AE41" i="196" s="1"/>
  <c r="AI41" i="196" s="1"/>
  <c r="Y41" i="196" s="1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H39" i="196"/>
  <c r="E39" i="196"/>
  <c r="I39" i="196" s="1"/>
  <c r="AE38" i="196"/>
  <c r="AI38" i="196" s="1"/>
  <c r="Y38" i="196" s="1"/>
  <c r="AD38" i="196"/>
  <c r="AC38" i="196"/>
  <c r="AB38" i="196"/>
  <c r="Z38" i="196"/>
  <c r="X38" i="196"/>
  <c r="Q38" i="196"/>
  <c r="P38" i="196"/>
  <c r="H38" i="196"/>
  <c r="E38" i="196"/>
  <c r="I38" i="196" s="1"/>
  <c r="AD37" i="196"/>
  <c r="AC37" i="196"/>
  <c r="AB37" i="196"/>
  <c r="AE37" i="196" s="1"/>
  <c r="AI37" i="196" s="1"/>
  <c r="Y37" i="196" s="1"/>
  <c r="Z37" i="196"/>
  <c r="X37" i="196"/>
  <c r="Q37" i="196"/>
  <c r="P37" i="196"/>
  <c r="H37" i="196"/>
  <c r="E37" i="196"/>
  <c r="I37" i="196" s="1"/>
  <c r="AD36" i="196"/>
  <c r="AC36" i="196"/>
  <c r="AB36" i="196"/>
  <c r="AE36" i="196" s="1"/>
  <c r="AI36" i="196" s="1"/>
  <c r="Y36" i="196" s="1"/>
  <c r="Z36" i="196"/>
  <c r="X36" i="196"/>
  <c r="Q36" i="196"/>
  <c r="P36" i="196"/>
  <c r="H36" i="196"/>
  <c r="E36" i="196"/>
  <c r="I36" i="196" s="1"/>
  <c r="AE35" i="196"/>
  <c r="AI35" i="196" s="1"/>
  <c r="Y35" i="196" s="1"/>
  <c r="AD35" i="196"/>
  <c r="AC35" i="196"/>
  <c r="AB35" i="196"/>
  <c r="Z35" i="196"/>
  <c r="X35" i="196"/>
  <c r="Q35" i="196"/>
  <c r="P35" i="196"/>
  <c r="I35" i="196"/>
  <c r="H35" i="196"/>
  <c r="E35" i="196"/>
  <c r="AD34" i="196"/>
  <c r="AC34" i="196"/>
  <c r="AB34" i="196"/>
  <c r="AE34" i="196" s="1"/>
  <c r="AI34" i="196" s="1"/>
  <c r="Y34" i="196" s="1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E32" i="196"/>
  <c r="AI32" i="196" s="1"/>
  <c r="Y32" i="196" s="1"/>
  <c r="AD32" i="196"/>
  <c r="AC32" i="196"/>
  <c r="AB32" i="196"/>
  <c r="Z32" i="196"/>
  <c r="X32" i="196"/>
  <c r="Q32" i="196"/>
  <c r="P32" i="196"/>
  <c r="I32" i="196"/>
  <c r="H32" i="196"/>
  <c r="E32" i="196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B30" i="196"/>
  <c r="AE30" i="196" s="1"/>
  <c r="AI30" i="196" s="1"/>
  <c r="Y30" i="196" s="1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H28" i="196"/>
  <c r="E28" i="196"/>
  <c r="I28" i="196" s="1"/>
  <c r="AD27" i="196"/>
  <c r="AC27" i="196"/>
  <c r="AE27" i="196" s="1"/>
  <c r="AI27" i="196" s="1"/>
  <c r="Y27" i="196" s="1"/>
  <c r="AB27" i="196"/>
  <c r="Z27" i="196"/>
  <c r="X27" i="196"/>
  <c r="Q27" i="196"/>
  <c r="P27" i="196"/>
  <c r="H27" i="196"/>
  <c r="E27" i="196"/>
  <c r="I27" i="196" s="1"/>
  <c r="AD26" i="196"/>
  <c r="AC26" i="196"/>
  <c r="AB26" i="196"/>
  <c r="AE26" i="196" s="1"/>
  <c r="AI26" i="196" s="1"/>
  <c r="Y26" i="196" s="1"/>
  <c r="Z26" i="196"/>
  <c r="X26" i="196"/>
  <c r="Q26" i="196"/>
  <c r="P26" i="196"/>
  <c r="I26" i="196"/>
  <c r="H26" i="196"/>
  <c r="E26" i="196"/>
  <c r="AD25" i="196"/>
  <c r="AE25" i="196" s="1"/>
  <c r="AI25" i="196" s="1"/>
  <c r="Y25" i="196" s="1"/>
  <c r="AC25" i="196"/>
  <c r="AB25" i="196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H24" i="196"/>
  <c r="E24" i="196"/>
  <c r="I24" i="196" s="1"/>
  <c r="AE23" i="196"/>
  <c r="AI23" i="196" s="1"/>
  <c r="Y23" i="196" s="1"/>
  <c r="AD23" i="196"/>
  <c r="AC23" i="196"/>
  <c r="AB23" i="196"/>
  <c r="Z23" i="196"/>
  <c r="X23" i="196"/>
  <c r="Q23" i="196"/>
  <c r="P23" i="196"/>
  <c r="H23" i="196"/>
  <c r="E23" i="196"/>
  <c r="I23" i="196" s="1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B20" i="196"/>
  <c r="AE20" i="196" s="1"/>
  <c r="AI20" i="196" s="1"/>
  <c r="Y20" i="196" s="1"/>
  <c r="Z20" i="196"/>
  <c r="X20" i="196"/>
  <c r="Q20" i="196"/>
  <c r="P20" i="196"/>
  <c r="I20" i="196"/>
  <c r="H20" i="196"/>
  <c r="E20" i="196"/>
  <c r="AD19" i="196"/>
  <c r="AC19" i="196"/>
  <c r="AB19" i="196"/>
  <c r="AE19" i="196" s="1"/>
  <c r="AI19" i="196" s="1"/>
  <c r="Y19" i="196" s="1"/>
  <c r="Z19" i="196"/>
  <c r="X19" i="196"/>
  <c r="Q19" i="196"/>
  <c r="P19" i="196"/>
  <c r="H19" i="196"/>
  <c r="E19" i="196"/>
  <c r="I19" i="196" s="1"/>
  <c r="AD18" i="196"/>
  <c r="AE18" i="196" s="1"/>
  <c r="AI18" i="196" s="1"/>
  <c r="Y18" i="196" s="1"/>
  <c r="AC18" i="196"/>
  <c r="AB18" i="196"/>
  <c r="Z18" i="196"/>
  <c r="X18" i="196"/>
  <c r="Q18" i="196"/>
  <c r="P18" i="196"/>
  <c r="H18" i="196"/>
  <c r="E18" i="196"/>
  <c r="I18" i="196" s="1"/>
  <c r="AE17" i="196"/>
  <c r="AI17" i="196" s="1"/>
  <c r="Y17" i="196" s="1"/>
  <c r="AD17" i="196"/>
  <c r="AC17" i="196"/>
  <c r="AB17" i="196"/>
  <c r="Z17" i="196"/>
  <c r="X17" i="196"/>
  <c r="Q17" i="196"/>
  <c r="P17" i="196"/>
  <c r="I17" i="196"/>
  <c r="H17" i="196"/>
  <c r="E17" i="196"/>
  <c r="AD16" i="196"/>
  <c r="AC16" i="196"/>
  <c r="AB16" i="196"/>
  <c r="AE16" i="196" s="1"/>
  <c r="AI16" i="196" s="1"/>
  <c r="Y16" i="196" s="1"/>
  <c r="Z16" i="196"/>
  <c r="X16" i="196"/>
  <c r="Q16" i="196"/>
  <c r="P16" i="196"/>
  <c r="I16" i="196"/>
  <c r="E16" i="196"/>
  <c r="AD15" i="196"/>
  <c r="AC15" i="196"/>
  <c r="AB15" i="196"/>
  <c r="AE15" i="196" s="1"/>
  <c r="AI15" i="196" s="1"/>
  <c r="Y15" i="196" s="1"/>
  <c r="Z15" i="196"/>
  <c r="X15" i="196"/>
  <c r="Q15" i="196"/>
  <c r="P15" i="196"/>
  <c r="I15" i="196"/>
  <c r="E15" i="196"/>
  <c r="AD14" i="196"/>
  <c r="AC14" i="196"/>
  <c r="AB14" i="196"/>
  <c r="AE14" i="196" s="1"/>
  <c r="AI14" i="196" s="1"/>
  <c r="Y14" i="196" s="1"/>
  <c r="Z14" i="196"/>
  <c r="X14" i="196"/>
  <c r="Q14" i="196"/>
  <c r="P14" i="196"/>
  <c r="H14" i="196"/>
  <c r="E14" i="196"/>
  <c r="I14" i="196" s="1"/>
  <c r="AE13" i="196"/>
  <c r="AI13" i="196" s="1"/>
  <c r="Y13" i="196" s="1"/>
  <c r="AD13" i="196"/>
  <c r="AC13" i="196"/>
  <c r="AB13" i="196"/>
  <c r="Z13" i="196"/>
  <c r="X13" i="196"/>
  <c r="Q13" i="196"/>
  <c r="P13" i="196"/>
  <c r="H13" i="196"/>
  <c r="E13" i="196"/>
  <c r="I13" i="196" s="1"/>
  <c r="AD12" i="196"/>
  <c r="AC12" i="196"/>
  <c r="AB12" i="196"/>
  <c r="AE12" i="196" s="1"/>
  <c r="AI12" i="196" s="1"/>
  <c r="Y12" i="196" s="1"/>
  <c r="Z12" i="196"/>
  <c r="X12" i="196"/>
  <c r="Q12" i="196"/>
  <c r="P12" i="196"/>
  <c r="H12" i="196"/>
  <c r="E12" i="196"/>
  <c r="I12" i="196" s="1"/>
  <c r="F77" i="197" l="1"/>
  <c r="T75" i="196"/>
  <c r="T77" i="196"/>
  <c r="F73" i="196"/>
  <c r="O75" i="196"/>
  <c r="O73" i="196"/>
  <c r="F75" i="196"/>
  <c r="T73" i="196"/>
  <c r="M79" i="195"/>
  <c r="P71" i="195"/>
  <c r="H71" i="195"/>
  <c r="Q70" i="195"/>
  <c r="P70" i="195"/>
  <c r="H70" i="195"/>
  <c r="E70" i="195"/>
  <c r="I70" i="195" s="1"/>
  <c r="Q69" i="195"/>
  <c r="P69" i="195"/>
  <c r="H69" i="195"/>
  <c r="E69" i="195"/>
  <c r="I69" i="195" s="1"/>
  <c r="AD68" i="195"/>
  <c r="AC68" i="195"/>
  <c r="AB68" i="195"/>
  <c r="AE68" i="195" s="1"/>
  <c r="AI68" i="195" s="1"/>
  <c r="Y68" i="195" s="1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H66" i="195"/>
  <c r="E66" i="195"/>
  <c r="I66" i="195" s="1"/>
  <c r="AD65" i="195"/>
  <c r="AC65" i="195"/>
  <c r="AB65" i="195"/>
  <c r="AE65" i="195" s="1"/>
  <c r="AI65" i="195" s="1"/>
  <c r="Y65" i="195" s="1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E63" i="195"/>
  <c r="AI63" i="195" s="1"/>
  <c r="Y63" i="195" s="1"/>
  <c r="AD63" i="195"/>
  <c r="AC63" i="195"/>
  <c r="AB63" i="195"/>
  <c r="Z63" i="195"/>
  <c r="X63" i="195"/>
  <c r="Q63" i="195"/>
  <c r="P63" i="195"/>
  <c r="H63" i="195"/>
  <c r="E63" i="195"/>
  <c r="I63" i="195" s="1"/>
  <c r="AE62" i="195"/>
  <c r="AI62" i="195" s="1"/>
  <c r="Y62" i="195" s="1"/>
  <c r="AD62" i="195"/>
  <c r="AC62" i="195"/>
  <c r="AB62" i="195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H61" i="195"/>
  <c r="E61" i="195"/>
  <c r="I61" i="195" s="1"/>
  <c r="AI60" i="195"/>
  <c r="Y60" i="195" s="1"/>
  <c r="AE60" i="195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H59" i="195"/>
  <c r="E59" i="195"/>
  <c r="I59" i="195" s="1"/>
  <c r="AC58" i="195"/>
  <c r="AB58" i="195"/>
  <c r="AE58" i="195" s="1"/>
  <c r="AI58" i="195" s="1"/>
  <c r="Y58" i="195" s="1"/>
  <c r="X58" i="195"/>
  <c r="Q58" i="195"/>
  <c r="P58" i="195"/>
  <c r="I58" i="195"/>
  <c r="E58" i="195"/>
  <c r="AC57" i="195"/>
  <c r="AE57" i="195" s="1"/>
  <c r="AI57" i="195" s="1"/>
  <c r="Y57" i="195" s="1"/>
  <c r="AB57" i="195"/>
  <c r="X57" i="195"/>
  <c r="Q57" i="195"/>
  <c r="P57" i="195"/>
  <c r="H57" i="195"/>
  <c r="E57" i="195"/>
  <c r="I57" i="195" s="1"/>
  <c r="AD56" i="195"/>
  <c r="AC56" i="195"/>
  <c r="AE56" i="195" s="1"/>
  <c r="AI56" i="195" s="1"/>
  <c r="Y56" i="195" s="1"/>
  <c r="AB56" i="195"/>
  <c r="Z56" i="195"/>
  <c r="X56" i="195"/>
  <c r="Q56" i="195"/>
  <c r="P56" i="195"/>
  <c r="I56" i="195"/>
  <c r="H56" i="195"/>
  <c r="E56" i="195"/>
  <c r="AD55" i="195"/>
  <c r="AC55" i="195"/>
  <c r="AE55" i="195" s="1"/>
  <c r="AI55" i="195" s="1"/>
  <c r="Y55" i="195" s="1"/>
  <c r="AB55" i="195"/>
  <c r="Z55" i="195"/>
  <c r="X55" i="195"/>
  <c r="Q55" i="195"/>
  <c r="P55" i="195"/>
  <c r="I55" i="195"/>
  <c r="H55" i="195"/>
  <c r="E55" i="195"/>
  <c r="AE54" i="195"/>
  <c r="AI54" i="195" s="1"/>
  <c r="Y54" i="195" s="1"/>
  <c r="AD54" i="195"/>
  <c r="AC54" i="195"/>
  <c r="AB54" i="195"/>
  <c r="Z54" i="195"/>
  <c r="X54" i="195"/>
  <c r="Q54" i="195"/>
  <c r="P54" i="195"/>
  <c r="H54" i="195"/>
  <c r="E54" i="195"/>
  <c r="I54" i="195" s="1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E52" i="195"/>
  <c r="AI52" i="195" s="1"/>
  <c r="Y52" i="195" s="1"/>
  <c r="Z52" i="195"/>
  <c r="X52" i="195"/>
  <c r="Q52" i="195"/>
  <c r="P52" i="195"/>
  <c r="I52" i="195"/>
  <c r="H52" i="195"/>
  <c r="E52" i="195"/>
  <c r="AD51" i="195"/>
  <c r="AE51" i="195" s="1"/>
  <c r="AI51" i="195" s="1"/>
  <c r="Y51" i="195" s="1"/>
  <c r="AC51" i="195"/>
  <c r="AB51" i="195"/>
  <c r="Z51" i="195"/>
  <c r="X51" i="195"/>
  <c r="Q51" i="195"/>
  <c r="P51" i="195"/>
  <c r="H51" i="195"/>
  <c r="E51" i="195"/>
  <c r="I51" i="195" s="1"/>
  <c r="AD50" i="195"/>
  <c r="AC50" i="195"/>
  <c r="AB50" i="195"/>
  <c r="AE50" i="195" s="1"/>
  <c r="AI50" i="195" s="1"/>
  <c r="Y50" i="195" s="1"/>
  <c r="Z50" i="195"/>
  <c r="X50" i="195"/>
  <c r="Q50" i="195"/>
  <c r="P50" i="195"/>
  <c r="H50" i="195"/>
  <c r="E50" i="195"/>
  <c r="I50" i="195" s="1"/>
  <c r="AI49" i="195"/>
  <c r="AE49" i="195"/>
  <c r="Z49" i="195"/>
  <c r="Y49" i="195"/>
  <c r="X49" i="195"/>
  <c r="Q49" i="195"/>
  <c r="P49" i="195"/>
  <c r="I49" i="195"/>
  <c r="H49" i="195"/>
  <c r="E49" i="195"/>
  <c r="AE48" i="195"/>
  <c r="AI48" i="195" s="1"/>
  <c r="Y48" i="195" s="1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I47" i="195"/>
  <c r="H47" i="195"/>
  <c r="E47" i="195"/>
  <c r="AD46" i="195"/>
  <c r="AC46" i="195"/>
  <c r="AB46" i="195"/>
  <c r="AE46" i="195" s="1"/>
  <c r="AI46" i="195" s="1"/>
  <c r="Y46" i="195" s="1"/>
  <c r="Z46" i="195"/>
  <c r="X46" i="195"/>
  <c r="Q46" i="195"/>
  <c r="P46" i="195"/>
  <c r="I46" i="195"/>
  <c r="H46" i="195"/>
  <c r="E46" i="195"/>
  <c r="AD45" i="195"/>
  <c r="AC45" i="195"/>
  <c r="AB45" i="195"/>
  <c r="AE45" i="195" s="1"/>
  <c r="AI45" i="195" s="1"/>
  <c r="Y45" i="195" s="1"/>
  <c r="Z45" i="195"/>
  <c r="X45" i="195"/>
  <c r="Q45" i="195"/>
  <c r="P45" i="195"/>
  <c r="H45" i="195"/>
  <c r="E45" i="195"/>
  <c r="I45" i="195" s="1"/>
  <c r="AD44" i="195"/>
  <c r="AC44" i="195"/>
  <c r="AE44" i="195" s="1"/>
  <c r="AI44" i="195" s="1"/>
  <c r="Y44" i="195" s="1"/>
  <c r="AB44" i="195"/>
  <c r="Z44" i="195"/>
  <c r="X44" i="195"/>
  <c r="Q44" i="195"/>
  <c r="P44" i="195"/>
  <c r="I44" i="195"/>
  <c r="H44" i="195"/>
  <c r="E44" i="195"/>
  <c r="AD43" i="195"/>
  <c r="AC43" i="195"/>
  <c r="AE43" i="195" s="1"/>
  <c r="AI43" i="195" s="1"/>
  <c r="Y43" i="195" s="1"/>
  <c r="AB43" i="195"/>
  <c r="Z43" i="195"/>
  <c r="X43" i="195"/>
  <c r="Q43" i="195"/>
  <c r="P43" i="195"/>
  <c r="I43" i="195"/>
  <c r="H43" i="195"/>
  <c r="E43" i="195"/>
  <c r="AE42" i="195"/>
  <c r="AI42" i="195" s="1"/>
  <c r="Y42" i="195" s="1"/>
  <c r="AD42" i="195"/>
  <c r="AC42" i="195"/>
  <c r="AB42" i="195"/>
  <c r="Z42" i="195"/>
  <c r="X42" i="195"/>
  <c r="Q42" i="195"/>
  <c r="P42" i="195"/>
  <c r="H42" i="195"/>
  <c r="E42" i="195"/>
  <c r="I42" i="195" s="1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D40" i="195"/>
  <c r="AC40" i="195"/>
  <c r="AE40" i="195" s="1"/>
  <c r="AI40" i="195" s="1"/>
  <c r="Y40" i="195" s="1"/>
  <c r="AB40" i="195"/>
  <c r="Z40" i="195"/>
  <c r="X40" i="195"/>
  <c r="Q40" i="195"/>
  <c r="P40" i="195"/>
  <c r="H40" i="195"/>
  <c r="E40" i="195"/>
  <c r="I40" i="195" s="1"/>
  <c r="AD39" i="195"/>
  <c r="AC39" i="195"/>
  <c r="AB39" i="195"/>
  <c r="AE39" i="195" s="1"/>
  <c r="AI39" i="195" s="1"/>
  <c r="Y39" i="195" s="1"/>
  <c r="Z39" i="195"/>
  <c r="X39" i="195"/>
  <c r="Q39" i="195"/>
  <c r="P39" i="195"/>
  <c r="I39" i="195"/>
  <c r="H39" i="195"/>
  <c r="E39" i="195"/>
  <c r="AD38" i="195"/>
  <c r="AE38" i="195" s="1"/>
  <c r="AI38" i="195" s="1"/>
  <c r="Y38" i="195" s="1"/>
  <c r="AC38" i="195"/>
  <c r="AB38" i="195"/>
  <c r="Z38" i="195"/>
  <c r="X38" i="195"/>
  <c r="Q38" i="195"/>
  <c r="P38" i="195"/>
  <c r="H38" i="195"/>
  <c r="E38" i="195"/>
  <c r="I38" i="195" s="1"/>
  <c r="AD37" i="195"/>
  <c r="AC37" i="195"/>
  <c r="AB37" i="195"/>
  <c r="AE37" i="195" s="1"/>
  <c r="AI37" i="195" s="1"/>
  <c r="Y37" i="195" s="1"/>
  <c r="Z37" i="195"/>
  <c r="X37" i="195"/>
  <c r="Q37" i="195"/>
  <c r="P37" i="195"/>
  <c r="H37" i="195"/>
  <c r="E37" i="195"/>
  <c r="I37" i="195" s="1"/>
  <c r="AD36" i="195"/>
  <c r="AC36" i="195"/>
  <c r="AB36" i="195"/>
  <c r="AE36" i="195" s="1"/>
  <c r="AI36" i="195" s="1"/>
  <c r="Y36" i="195" s="1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E34" i="195"/>
  <c r="AI34" i="195" s="1"/>
  <c r="Y34" i="195" s="1"/>
  <c r="AD34" i="195"/>
  <c r="AC34" i="195"/>
  <c r="AB34" i="195"/>
  <c r="Z34" i="195"/>
  <c r="X34" i="195"/>
  <c r="Q34" i="195"/>
  <c r="P34" i="195"/>
  <c r="H34" i="195"/>
  <c r="E34" i="195"/>
  <c r="I34" i="195" s="1"/>
  <c r="AE33" i="195"/>
  <c r="AI33" i="195" s="1"/>
  <c r="Y33" i="195" s="1"/>
  <c r="AD33" i="195"/>
  <c r="AC33" i="195"/>
  <c r="AB33" i="195"/>
  <c r="Z33" i="195"/>
  <c r="X33" i="195"/>
  <c r="Q33" i="195"/>
  <c r="P33" i="195"/>
  <c r="H33" i="195"/>
  <c r="E33" i="195"/>
  <c r="I33" i="195" s="1"/>
  <c r="AD32" i="195"/>
  <c r="AC32" i="195"/>
  <c r="AB32" i="195"/>
  <c r="AE32" i="195" s="1"/>
  <c r="AI32" i="195" s="1"/>
  <c r="Y32" i="195" s="1"/>
  <c r="Z32" i="195"/>
  <c r="X32" i="195"/>
  <c r="Q32" i="195"/>
  <c r="P32" i="195"/>
  <c r="I32" i="195"/>
  <c r="H32" i="195"/>
  <c r="E32" i="195"/>
  <c r="AE31" i="195"/>
  <c r="AI31" i="195" s="1"/>
  <c r="Y31" i="195" s="1"/>
  <c r="Z31" i="195"/>
  <c r="X31" i="195"/>
  <c r="Q31" i="195"/>
  <c r="P31" i="195"/>
  <c r="I31" i="195"/>
  <c r="H31" i="195"/>
  <c r="E31" i="195"/>
  <c r="AD30" i="195"/>
  <c r="AC30" i="195"/>
  <c r="AB30" i="195"/>
  <c r="AE30" i="195" s="1"/>
  <c r="AI30" i="195" s="1"/>
  <c r="Y30" i="195" s="1"/>
  <c r="Z30" i="195"/>
  <c r="X30" i="195"/>
  <c r="Q30" i="195"/>
  <c r="P30" i="195"/>
  <c r="H30" i="195"/>
  <c r="E30" i="195"/>
  <c r="I30" i="195" s="1"/>
  <c r="AD29" i="195"/>
  <c r="AC29" i="195"/>
  <c r="AE29" i="195" s="1"/>
  <c r="AI29" i="195" s="1"/>
  <c r="Y29" i="195" s="1"/>
  <c r="AB29" i="195"/>
  <c r="Z29" i="195"/>
  <c r="X29" i="195"/>
  <c r="Q29" i="195"/>
  <c r="P29" i="195"/>
  <c r="I29" i="195"/>
  <c r="H29" i="195"/>
  <c r="E29" i="195"/>
  <c r="AD28" i="195"/>
  <c r="AC28" i="195"/>
  <c r="AE28" i="195" s="1"/>
  <c r="AI28" i="195" s="1"/>
  <c r="Y28" i="195" s="1"/>
  <c r="AB28" i="195"/>
  <c r="Z28" i="195"/>
  <c r="X28" i="195"/>
  <c r="Q28" i="195"/>
  <c r="P28" i="195"/>
  <c r="I28" i="195"/>
  <c r="H28" i="195"/>
  <c r="E28" i="195"/>
  <c r="AE27" i="195"/>
  <c r="AI27" i="195" s="1"/>
  <c r="Y27" i="195" s="1"/>
  <c r="AD27" i="195"/>
  <c r="AC27" i="195"/>
  <c r="AB27" i="195"/>
  <c r="Z27" i="195"/>
  <c r="X27" i="195"/>
  <c r="Q27" i="195"/>
  <c r="P27" i="195"/>
  <c r="H27" i="195"/>
  <c r="E27" i="195"/>
  <c r="I27" i="195" s="1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D25" i="195"/>
  <c r="AC25" i="195"/>
  <c r="AE25" i="195" s="1"/>
  <c r="AI25" i="195" s="1"/>
  <c r="Y25" i="195" s="1"/>
  <c r="AB25" i="195"/>
  <c r="Z25" i="195"/>
  <c r="X25" i="195"/>
  <c r="Q25" i="195"/>
  <c r="P25" i="195"/>
  <c r="H25" i="195"/>
  <c r="E25" i="195"/>
  <c r="I25" i="195" s="1"/>
  <c r="AD24" i="195"/>
  <c r="AC24" i="195"/>
  <c r="AB24" i="195"/>
  <c r="AE24" i="195" s="1"/>
  <c r="AI24" i="195" s="1"/>
  <c r="Y24" i="195" s="1"/>
  <c r="Z24" i="195"/>
  <c r="X24" i="195"/>
  <c r="Q24" i="195"/>
  <c r="P24" i="195"/>
  <c r="I24" i="195"/>
  <c r="H24" i="195"/>
  <c r="E24" i="195"/>
  <c r="AD23" i="195"/>
  <c r="AE23" i="195" s="1"/>
  <c r="AI23" i="195" s="1"/>
  <c r="Y23" i="195" s="1"/>
  <c r="AC23" i="195"/>
  <c r="AB23" i="195"/>
  <c r="Z23" i="195"/>
  <c r="X23" i="195"/>
  <c r="Q23" i="195"/>
  <c r="P23" i="195"/>
  <c r="H23" i="195"/>
  <c r="E23" i="195"/>
  <c r="I23" i="195" s="1"/>
  <c r="AD22" i="195"/>
  <c r="AC22" i="195"/>
  <c r="AB22" i="195"/>
  <c r="AE22" i="195" s="1"/>
  <c r="AI22" i="195" s="1"/>
  <c r="Y22" i="195" s="1"/>
  <c r="Z22" i="195"/>
  <c r="X22" i="195"/>
  <c r="Q22" i="195"/>
  <c r="P22" i="195"/>
  <c r="H22" i="195"/>
  <c r="E22" i="195"/>
  <c r="I22" i="195" s="1"/>
  <c r="AD21" i="195"/>
  <c r="AC21" i="195"/>
  <c r="AB21" i="195"/>
  <c r="AE21" i="195" s="1"/>
  <c r="AI21" i="195" s="1"/>
  <c r="Y21" i="195" s="1"/>
  <c r="Z21" i="195"/>
  <c r="X21" i="195"/>
  <c r="Q21" i="195"/>
  <c r="P21" i="195"/>
  <c r="H21" i="195"/>
  <c r="E21" i="195"/>
  <c r="I21" i="195" s="1"/>
  <c r="AE20" i="195"/>
  <c r="AI20" i="195" s="1"/>
  <c r="Y20" i="195" s="1"/>
  <c r="AD20" i="195"/>
  <c r="AC20" i="195"/>
  <c r="AB20" i="195"/>
  <c r="Z20" i="195"/>
  <c r="X20" i="195"/>
  <c r="Q20" i="195"/>
  <c r="P20" i="195"/>
  <c r="I20" i="195"/>
  <c r="H20" i="195"/>
  <c r="E20" i="195"/>
  <c r="AE19" i="195"/>
  <c r="AI19" i="195" s="1"/>
  <c r="Y19" i="195" s="1"/>
  <c r="AD19" i="195"/>
  <c r="AC19" i="195"/>
  <c r="AB19" i="195"/>
  <c r="Z19" i="195"/>
  <c r="X19" i="195"/>
  <c r="Q19" i="195"/>
  <c r="P19" i="195"/>
  <c r="H19" i="195"/>
  <c r="E19" i="195"/>
  <c r="I19" i="195" s="1"/>
  <c r="AE18" i="195"/>
  <c r="AI18" i="195" s="1"/>
  <c r="Y18" i="195" s="1"/>
  <c r="AD18" i="195"/>
  <c r="AC18" i="195"/>
  <c r="AB18" i="195"/>
  <c r="Z18" i="195"/>
  <c r="X18" i="195"/>
  <c r="Q18" i="195"/>
  <c r="P18" i="195"/>
  <c r="H18" i="195"/>
  <c r="E18" i="195"/>
  <c r="I18" i="195" s="1"/>
  <c r="AD17" i="195"/>
  <c r="AC17" i="195"/>
  <c r="AB17" i="195"/>
  <c r="AE17" i="195" s="1"/>
  <c r="AI17" i="195" s="1"/>
  <c r="Y17" i="195" s="1"/>
  <c r="Z17" i="195"/>
  <c r="X17" i="195"/>
  <c r="Q17" i="195"/>
  <c r="P17" i="195"/>
  <c r="I17" i="195"/>
  <c r="H17" i="195"/>
  <c r="E17" i="195"/>
  <c r="AD16" i="195"/>
  <c r="AE16" i="195" s="1"/>
  <c r="AI16" i="195" s="1"/>
  <c r="Y16" i="195" s="1"/>
  <c r="AC16" i="195"/>
  <c r="AB16" i="195"/>
  <c r="Z16" i="195"/>
  <c r="X16" i="195"/>
  <c r="Q16" i="195"/>
  <c r="P16" i="195"/>
  <c r="I16" i="195"/>
  <c r="E16" i="195"/>
  <c r="AD15" i="195"/>
  <c r="AE15" i="195" s="1"/>
  <c r="AI15" i="195" s="1"/>
  <c r="Y15" i="195" s="1"/>
  <c r="AC15" i="195"/>
  <c r="AB15" i="195"/>
  <c r="Z15" i="195"/>
  <c r="X15" i="195"/>
  <c r="Q15" i="195"/>
  <c r="P15" i="195"/>
  <c r="E15" i="195"/>
  <c r="I15" i="195" s="1"/>
  <c r="AD14" i="195"/>
  <c r="AC14" i="195"/>
  <c r="AB14" i="195"/>
  <c r="AE14" i="195" s="1"/>
  <c r="AI14" i="195" s="1"/>
  <c r="Y14" i="195" s="1"/>
  <c r="Z14" i="195"/>
  <c r="X14" i="195"/>
  <c r="Q14" i="195"/>
  <c r="P14" i="195"/>
  <c r="I14" i="195"/>
  <c r="H14" i="195"/>
  <c r="E14" i="195"/>
  <c r="AD13" i="195"/>
  <c r="AE13" i="195" s="1"/>
  <c r="AI13" i="195" s="1"/>
  <c r="Y13" i="195" s="1"/>
  <c r="AC13" i="195"/>
  <c r="AB13" i="195"/>
  <c r="Z13" i="195"/>
  <c r="X13" i="195"/>
  <c r="Q13" i="195"/>
  <c r="P13" i="195"/>
  <c r="H13" i="195"/>
  <c r="E13" i="195"/>
  <c r="I13" i="195" s="1"/>
  <c r="AD12" i="195"/>
  <c r="AC12" i="195"/>
  <c r="AB12" i="195"/>
  <c r="AE12" i="195" s="1"/>
  <c r="AI12" i="195" s="1"/>
  <c r="Y12" i="195" s="1"/>
  <c r="Z12" i="195"/>
  <c r="T75" i="195" s="1"/>
  <c r="X12" i="195"/>
  <c r="T77" i="195" s="1"/>
  <c r="Q12" i="195"/>
  <c r="P12" i="195"/>
  <c r="H12" i="195"/>
  <c r="E12" i="195"/>
  <c r="I12" i="195" s="1"/>
  <c r="T79" i="196" l="1"/>
  <c r="F77" i="196" s="1"/>
  <c r="O75" i="195"/>
  <c r="O73" i="195"/>
  <c r="F73" i="195"/>
  <c r="F75" i="195"/>
  <c r="T73" i="195"/>
  <c r="T79" i="195" s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T75" i="194" s="1"/>
  <c r="X12" i="194"/>
  <c r="T77" i="194" s="1"/>
  <c r="Q12" i="194"/>
  <c r="P12" i="194"/>
  <c r="I12" i="194"/>
  <c r="H12" i="194"/>
  <c r="E12" i="194"/>
  <c r="F77" i="195" l="1"/>
  <c r="O75" i="194"/>
  <c r="O73" i="194"/>
  <c r="F73" i="194"/>
  <c r="F75" i="194"/>
  <c r="T73" i="194"/>
  <c r="T79" i="194" s="1"/>
  <c r="M79" i="193"/>
  <c r="P71" i="193"/>
  <c r="H71" i="193"/>
  <c r="Q70" i="193"/>
  <c r="P70" i="193"/>
  <c r="H70" i="193"/>
  <c r="E70" i="193"/>
  <c r="I70" i="193" s="1"/>
  <c r="Q69" i="193"/>
  <c r="P69" i="193"/>
  <c r="I69" i="193"/>
  <c r="H69" i="193"/>
  <c r="E69" i="193"/>
  <c r="AE68" i="193"/>
  <c r="AI68" i="193" s="1"/>
  <c r="Y68" i="193" s="1"/>
  <c r="AD68" i="193"/>
  <c r="AC68" i="193"/>
  <c r="AB68" i="193"/>
  <c r="Z68" i="193"/>
  <c r="X68" i="193"/>
  <c r="Q68" i="193"/>
  <c r="P68" i="193"/>
  <c r="H68" i="193"/>
  <c r="E68" i="193"/>
  <c r="I68" i="193" s="1"/>
  <c r="AE67" i="193"/>
  <c r="AI67" i="193" s="1"/>
  <c r="Y67" i="193" s="1"/>
  <c r="AD67" i="193"/>
  <c r="AC67" i="193"/>
  <c r="AB67" i="193"/>
  <c r="Z67" i="193"/>
  <c r="X67" i="193"/>
  <c r="Q67" i="193"/>
  <c r="P67" i="193"/>
  <c r="H67" i="193"/>
  <c r="E67" i="193"/>
  <c r="I67" i="193" s="1"/>
  <c r="AD66" i="193"/>
  <c r="AE66" i="193" s="1"/>
  <c r="AI66" i="193" s="1"/>
  <c r="Y66" i="193" s="1"/>
  <c r="AC66" i="193"/>
  <c r="AB66" i="193"/>
  <c r="Z66" i="193"/>
  <c r="X66" i="193"/>
  <c r="Q66" i="193"/>
  <c r="P66" i="193"/>
  <c r="I66" i="193"/>
  <c r="H66" i="193"/>
  <c r="E66" i="193"/>
  <c r="AD65" i="193"/>
  <c r="AC65" i="193"/>
  <c r="AB65" i="193"/>
  <c r="AE65" i="193" s="1"/>
  <c r="AI65" i="193" s="1"/>
  <c r="Y65" i="193" s="1"/>
  <c r="Z65" i="193"/>
  <c r="X65" i="193"/>
  <c r="Q65" i="193"/>
  <c r="P65" i="193"/>
  <c r="I65" i="193"/>
  <c r="H65" i="193"/>
  <c r="E65" i="193"/>
  <c r="AE64" i="193"/>
  <c r="AI64" i="193" s="1"/>
  <c r="Y64" i="193" s="1"/>
  <c r="AD64" i="193"/>
  <c r="AC64" i="193"/>
  <c r="AB64" i="193"/>
  <c r="Z64" i="193"/>
  <c r="X64" i="193"/>
  <c r="Q64" i="193"/>
  <c r="P64" i="193"/>
  <c r="I64" i="193"/>
  <c r="H64" i="193"/>
  <c r="E64" i="193"/>
  <c r="AD63" i="193"/>
  <c r="AC63" i="193"/>
  <c r="AB63" i="193"/>
  <c r="AE63" i="193" s="1"/>
  <c r="AI63" i="193" s="1"/>
  <c r="Y63" i="193" s="1"/>
  <c r="Z63" i="193"/>
  <c r="X63" i="193"/>
  <c r="Q63" i="193"/>
  <c r="P63" i="193"/>
  <c r="I63" i="193"/>
  <c r="H63" i="193"/>
  <c r="E63" i="193"/>
  <c r="AD62" i="193"/>
  <c r="AC62" i="193"/>
  <c r="AB62" i="193"/>
  <c r="AE62" i="193" s="1"/>
  <c r="AI62" i="193" s="1"/>
  <c r="Y62" i="193" s="1"/>
  <c r="Z62" i="193"/>
  <c r="X62" i="193"/>
  <c r="Q62" i="193"/>
  <c r="P62" i="193"/>
  <c r="H62" i="193"/>
  <c r="E62" i="193"/>
  <c r="I62" i="193" s="1"/>
  <c r="AE61" i="193"/>
  <c r="AI61" i="193" s="1"/>
  <c r="Y61" i="193" s="1"/>
  <c r="AC61" i="193"/>
  <c r="AB61" i="193"/>
  <c r="X61" i="193"/>
  <c r="Q61" i="193"/>
  <c r="P61" i="193"/>
  <c r="H61" i="193"/>
  <c r="E61" i="193"/>
  <c r="I61" i="193" s="1"/>
  <c r="AI60" i="193"/>
  <c r="AE60" i="193"/>
  <c r="Y60" i="193"/>
  <c r="X60" i="193"/>
  <c r="Q60" i="193"/>
  <c r="P60" i="193"/>
  <c r="I60" i="193"/>
  <c r="H60" i="193"/>
  <c r="E60" i="193"/>
  <c r="AC59" i="193"/>
  <c r="AE59" i="193" s="1"/>
  <c r="AI59" i="193" s="1"/>
  <c r="Y59" i="193" s="1"/>
  <c r="AB59" i="193"/>
  <c r="X59" i="193"/>
  <c r="Q59" i="193"/>
  <c r="P59" i="193"/>
  <c r="H59" i="193"/>
  <c r="E59" i="193"/>
  <c r="I59" i="193" s="1"/>
  <c r="AC58" i="193"/>
  <c r="AE58" i="193" s="1"/>
  <c r="AI58" i="193" s="1"/>
  <c r="Y58" i="193" s="1"/>
  <c r="AB58" i="193"/>
  <c r="X58" i="193"/>
  <c r="Q58" i="193"/>
  <c r="P58" i="193"/>
  <c r="I58" i="193"/>
  <c r="E58" i="193"/>
  <c r="AI57" i="193"/>
  <c r="Y57" i="193" s="1"/>
  <c r="AE57" i="193"/>
  <c r="AC57" i="193"/>
  <c r="AB57" i="193"/>
  <c r="X57" i="193"/>
  <c r="Q57" i="193"/>
  <c r="P57" i="193"/>
  <c r="I57" i="193"/>
  <c r="H57" i="193"/>
  <c r="E57" i="193"/>
  <c r="AD56" i="193"/>
  <c r="AE56" i="193" s="1"/>
  <c r="AI56" i="193" s="1"/>
  <c r="Y56" i="193" s="1"/>
  <c r="AC56" i="193"/>
  <c r="AB56" i="193"/>
  <c r="Z56" i="193"/>
  <c r="X56" i="193"/>
  <c r="Q56" i="193"/>
  <c r="P56" i="193"/>
  <c r="H56" i="193"/>
  <c r="E56" i="193"/>
  <c r="I56" i="193" s="1"/>
  <c r="AD55" i="193"/>
  <c r="AC55" i="193"/>
  <c r="AB55" i="193"/>
  <c r="AE55" i="193" s="1"/>
  <c r="AI55" i="193" s="1"/>
  <c r="Y55" i="193" s="1"/>
  <c r="Z55" i="193"/>
  <c r="X55" i="193"/>
  <c r="Q55" i="193"/>
  <c r="P55" i="193"/>
  <c r="H55" i="193"/>
  <c r="E55" i="193"/>
  <c r="I55" i="193" s="1"/>
  <c r="AD54" i="193"/>
  <c r="AC54" i="193"/>
  <c r="AE54" i="193" s="1"/>
  <c r="AI54" i="193" s="1"/>
  <c r="Y54" i="193" s="1"/>
  <c r="AB54" i="193"/>
  <c r="Z54" i="193"/>
  <c r="X54" i="193"/>
  <c r="Q54" i="193"/>
  <c r="P54" i="193"/>
  <c r="H54" i="193"/>
  <c r="E54" i="193"/>
  <c r="I54" i="193" s="1"/>
  <c r="AD53" i="193"/>
  <c r="AC53" i="193"/>
  <c r="AB53" i="193"/>
  <c r="AE53" i="193" s="1"/>
  <c r="AI53" i="193" s="1"/>
  <c r="Y53" i="193" s="1"/>
  <c r="Z53" i="193"/>
  <c r="X53" i="193"/>
  <c r="Q53" i="193"/>
  <c r="P53" i="193"/>
  <c r="I53" i="193"/>
  <c r="H53" i="193"/>
  <c r="E53" i="193"/>
  <c r="AE52" i="193"/>
  <c r="AI52" i="193" s="1"/>
  <c r="Y52" i="193" s="1"/>
  <c r="Z52" i="193"/>
  <c r="X52" i="193"/>
  <c r="Q52" i="193"/>
  <c r="P52" i="193"/>
  <c r="H52" i="193"/>
  <c r="E52" i="193"/>
  <c r="I52" i="193" s="1"/>
  <c r="AE51" i="193"/>
  <c r="AI51" i="193" s="1"/>
  <c r="Y51" i="193" s="1"/>
  <c r="AD51" i="193"/>
  <c r="AC51" i="193"/>
  <c r="AB51" i="193"/>
  <c r="Z51" i="193"/>
  <c r="X51" i="193"/>
  <c r="Q51" i="193"/>
  <c r="P51" i="193"/>
  <c r="H51" i="193"/>
  <c r="E51" i="193"/>
  <c r="I51" i="193" s="1"/>
  <c r="AD50" i="193"/>
  <c r="AE50" i="193" s="1"/>
  <c r="AI50" i="193" s="1"/>
  <c r="Y50" i="193" s="1"/>
  <c r="AC50" i="193"/>
  <c r="AB50" i="193"/>
  <c r="Z50" i="193"/>
  <c r="X50" i="193"/>
  <c r="Q50" i="193"/>
  <c r="P50" i="193"/>
  <c r="I50" i="193"/>
  <c r="H50" i="193"/>
  <c r="E50" i="193"/>
  <c r="AE49" i="193"/>
  <c r="AI49" i="193" s="1"/>
  <c r="Y49" i="193" s="1"/>
  <c r="Z49" i="193"/>
  <c r="X49" i="193"/>
  <c r="Q49" i="193"/>
  <c r="P49" i="193"/>
  <c r="I49" i="193"/>
  <c r="H49" i="193"/>
  <c r="E49" i="193"/>
  <c r="AI48" i="193"/>
  <c r="Y48" i="193" s="1"/>
  <c r="AE48" i="193"/>
  <c r="Z48" i="193"/>
  <c r="X48" i="193"/>
  <c r="Q48" i="193"/>
  <c r="P48" i="193"/>
  <c r="H48" i="193"/>
  <c r="E48" i="193"/>
  <c r="I48" i="193" s="1"/>
  <c r="AE47" i="193"/>
  <c r="AI47" i="193" s="1"/>
  <c r="Y47" i="193" s="1"/>
  <c r="Z47" i="193"/>
  <c r="X47" i="193"/>
  <c r="Q47" i="193"/>
  <c r="P47" i="193"/>
  <c r="H47" i="193"/>
  <c r="E47" i="193"/>
  <c r="I47" i="193" s="1"/>
  <c r="AD46" i="193"/>
  <c r="AC46" i="193"/>
  <c r="AB46" i="193"/>
  <c r="AE46" i="193" s="1"/>
  <c r="AI46" i="193" s="1"/>
  <c r="Y46" i="193" s="1"/>
  <c r="Z46" i="193"/>
  <c r="X46" i="193"/>
  <c r="Q46" i="193"/>
  <c r="P46" i="193"/>
  <c r="H46" i="193"/>
  <c r="E46" i="193"/>
  <c r="I46" i="193" s="1"/>
  <c r="AD45" i="193"/>
  <c r="AC45" i="193"/>
  <c r="AB45" i="193"/>
  <c r="AE45" i="193" s="1"/>
  <c r="AI45" i="193" s="1"/>
  <c r="Y45" i="193" s="1"/>
  <c r="Z45" i="193"/>
  <c r="X45" i="193"/>
  <c r="Q45" i="193"/>
  <c r="P45" i="193"/>
  <c r="I45" i="193"/>
  <c r="H45" i="193"/>
  <c r="E45" i="193"/>
  <c r="AD44" i="193"/>
  <c r="AE44" i="193" s="1"/>
  <c r="AI44" i="193" s="1"/>
  <c r="Y44" i="193" s="1"/>
  <c r="AC44" i="193"/>
  <c r="AB44" i="193"/>
  <c r="Z44" i="193"/>
  <c r="X44" i="193"/>
  <c r="Q44" i="193"/>
  <c r="P44" i="193"/>
  <c r="H44" i="193"/>
  <c r="E44" i="193"/>
  <c r="I44" i="193" s="1"/>
  <c r="AD43" i="193"/>
  <c r="AC43" i="193"/>
  <c r="AB43" i="193"/>
  <c r="AE43" i="193" s="1"/>
  <c r="AI43" i="193" s="1"/>
  <c r="Y43" i="193" s="1"/>
  <c r="Z43" i="193"/>
  <c r="X43" i="193"/>
  <c r="Q43" i="193"/>
  <c r="P43" i="193"/>
  <c r="H43" i="193"/>
  <c r="E43" i="193"/>
  <c r="I43" i="193" s="1"/>
  <c r="AD42" i="193"/>
  <c r="AC42" i="193"/>
  <c r="AE42" i="193" s="1"/>
  <c r="AI42" i="193" s="1"/>
  <c r="Y42" i="193" s="1"/>
  <c r="AB42" i="193"/>
  <c r="Z42" i="193"/>
  <c r="X42" i="193"/>
  <c r="Q42" i="193"/>
  <c r="P42" i="193"/>
  <c r="H42" i="193"/>
  <c r="E42" i="193"/>
  <c r="I42" i="193" s="1"/>
  <c r="AD41" i="193"/>
  <c r="AC41" i="193"/>
  <c r="AB41" i="193"/>
  <c r="AE41" i="193" s="1"/>
  <c r="AI41" i="193" s="1"/>
  <c r="Y41" i="193" s="1"/>
  <c r="Z41" i="193"/>
  <c r="X41" i="193"/>
  <c r="Q41" i="193"/>
  <c r="P41" i="193"/>
  <c r="I41" i="193"/>
  <c r="H41" i="193"/>
  <c r="E41" i="193"/>
  <c r="AD40" i="193"/>
  <c r="AE40" i="193" s="1"/>
  <c r="AI40" i="193" s="1"/>
  <c r="Y40" i="193" s="1"/>
  <c r="AC40" i="193"/>
  <c r="AB40" i="193"/>
  <c r="Z40" i="193"/>
  <c r="X40" i="193"/>
  <c r="Q40" i="193"/>
  <c r="P40" i="193"/>
  <c r="I40" i="193"/>
  <c r="H40" i="193"/>
  <c r="E40" i="193"/>
  <c r="AE39" i="193"/>
  <c r="AI39" i="193" s="1"/>
  <c r="Y39" i="193" s="1"/>
  <c r="AD39" i="193"/>
  <c r="AC39" i="193"/>
  <c r="AB39" i="193"/>
  <c r="Z39" i="193"/>
  <c r="X39" i="193"/>
  <c r="Q39" i="193"/>
  <c r="P39" i="193"/>
  <c r="H39" i="193"/>
  <c r="E39" i="193"/>
  <c r="I39" i="193" s="1"/>
  <c r="AE38" i="193"/>
  <c r="AI38" i="193" s="1"/>
  <c r="Y38" i="193" s="1"/>
  <c r="AD38" i="193"/>
  <c r="AC38" i="193"/>
  <c r="AB38" i="193"/>
  <c r="Z38" i="193"/>
  <c r="X38" i="193"/>
  <c r="Q38" i="193"/>
  <c r="P38" i="193"/>
  <c r="H38" i="193"/>
  <c r="E38" i="193"/>
  <c r="I38" i="193" s="1"/>
  <c r="AD37" i="193"/>
  <c r="AE37" i="193" s="1"/>
  <c r="AI37" i="193" s="1"/>
  <c r="Y37" i="193" s="1"/>
  <c r="AC37" i="193"/>
  <c r="AB37" i="193"/>
  <c r="Z37" i="193"/>
  <c r="X37" i="193"/>
  <c r="Q37" i="193"/>
  <c r="P37" i="193"/>
  <c r="I37" i="193"/>
  <c r="H37" i="193"/>
  <c r="E37" i="193"/>
  <c r="AD36" i="193"/>
  <c r="AC36" i="193"/>
  <c r="AB36" i="193"/>
  <c r="AE36" i="193" s="1"/>
  <c r="AI36" i="193" s="1"/>
  <c r="Y36" i="193" s="1"/>
  <c r="Z36" i="193"/>
  <c r="X36" i="193"/>
  <c r="Q36" i="193"/>
  <c r="P36" i="193"/>
  <c r="I36" i="193"/>
  <c r="H36" i="193"/>
  <c r="E36" i="193"/>
  <c r="AE35" i="193"/>
  <c r="AI35" i="193" s="1"/>
  <c r="Y35" i="193" s="1"/>
  <c r="AD35" i="193"/>
  <c r="AC35" i="193"/>
  <c r="AB35" i="193"/>
  <c r="Z35" i="193"/>
  <c r="X35" i="193"/>
  <c r="Q35" i="193"/>
  <c r="P35" i="193"/>
  <c r="I35" i="193"/>
  <c r="H35" i="193"/>
  <c r="E35" i="193"/>
  <c r="AD34" i="193"/>
  <c r="AC34" i="193"/>
  <c r="AB34" i="193"/>
  <c r="AE34" i="193" s="1"/>
  <c r="AI34" i="193" s="1"/>
  <c r="Y34" i="193" s="1"/>
  <c r="Z34" i="193"/>
  <c r="X34" i="193"/>
  <c r="Q34" i="193"/>
  <c r="P34" i="193"/>
  <c r="I34" i="193"/>
  <c r="H34" i="193"/>
  <c r="E34" i="193"/>
  <c r="AD33" i="193"/>
  <c r="AC33" i="193"/>
  <c r="AB33" i="193"/>
  <c r="AE33" i="193" s="1"/>
  <c r="AI33" i="193" s="1"/>
  <c r="Y33" i="193" s="1"/>
  <c r="Z33" i="193"/>
  <c r="X33" i="193"/>
  <c r="Q33" i="193"/>
  <c r="P33" i="193"/>
  <c r="H33" i="193"/>
  <c r="E33" i="193"/>
  <c r="I33" i="193" s="1"/>
  <c r="AE32" i="193"/>
  <c r="AI32" i="193" s="1"/>
  <c r="Y32" i="193" s="1"/>
  <c r="AD32" i="193"/>
  <c r="AC32" i="193"/>
  <c r="AB32" i="193"/>
  <c r="Z32" i="193"/>
  <c r="X32" i="193"/>
  <c r="Q32" i="193"/>
  <c r="P32" i="193"/>
  <c r="I32" i="193"/>
  <c r="H32" i="193"/>
  <c r="E32" i="193"/>
  <c r="AE31" i="193"/>
  <c r="AI31" i="193" s="1"/>
  <c r="Y31" i="193" s="1"/>
  <c r="Z31" i="193"/>
  <c r="X31" i="193"/>
  <c r="Q31" i="193"/>
  <c r="P31" i="193"/>
  <c r="H31" i="193"/>
  <c r="E31" i="193"/>
  <c r="I31" i="193" s="1"/>
  <c r="AD30" i="193"/>
  <c r="AC30" i="193"/>
  <c r="AB30" i="193"/>
  <c r="AE30" i="193" s="1"/>
  <c r="AI30" i="193" s="1"/>
  <c r="Y30" i="193" s="1"/>
  <c r="Z30" i="193"/>
  <c r="X30" i="193"/>
  <c r="Q30" i="193"/>
  <c r="P30" i="193"/>
  <c r="I30" i="193"/>
  <c r="H30" i="193"/>
  <c r="E30" i="193"/>
  <c r="AD29" i="193"/>
  <c r="AE29" i="193" s="1"/>
  <c r="AI29" i="193" s="1"/>
  <c r="Y29" i="193" s="1"/>
  <c r="AC29" i="193"/>
  <c r="AB29" i="193"/>
  <c r="Z29" i="193"/>
  <c r="X29" i="193"/>
  <c r="Q29" i="193"/>
  <c r="P29" i="193"/>
  <c r="H29" i="193"/>
  <c r="E29" i="193"/>
  <c r="I29" i="193" s="1"/>
  <c r="AD28" i="193"/>
  <c r="AE28" i="193" s="1"/>
  <c r="AI28" i="193" s="1"/>
  <c r="Y28" i="193" s="1"/>
  <c r="AC28" i="193"/>
  <c r="AB28" i="193"/>
  <c r="Z28" i="193"/>
  <c r="X28" i="193"/>
  <c r="Q28" i="193"/>
  <c r="P28" i="193"/>
  <c r="H28" i="193"/>
  <c r="E28" i="193"/>
  <c r="I28" i="193" s="1"/>
  <c r="AD27" i="193"/>
  <c r="AC27" i="193"/>
  <c r="AE27" i="193" s="1"/>
  <c r="AI27" i="193" s="1"/>
  <c r="Y27" i="193" s="1"/>
  <c r="AB27" i="193"/>
  <c r="Z27" i="193"/>
  <c r="X27" i="193"/>
  <c r="Q27" i="193"/>
  <c r="P27" i="193"/>
  <c r="H27" i="193"/>
  <c r="E27" i="193"/>
  <c r="I27" i="193" s="1"/>
  <c r="AD26" i="193"/>
  <c r="AC26" i="193"/>
  <c r="AB26" i="193"/>
  <c r="AE26" i="193" s="1"/>
  <c r="AI26" i="193" s="1"/>
  <c r="Y26" i="193" s="1"/>
  <c r="Z26" i="193"/>
  <c r="X26" i="193"/>
  <c r="Q26" i="193"/>
  <c r="P26" i="193"/>
  <c r="I26" i="193"/>
  <c r="H26" i="193"/>
  <c r="E26" i="193"/>
  <c r="AD25" i="193"/>
  <c r="AC25" i="193"/>
  <c r="AE25" i="193" s="1"/>
  <c r="AI25" i="193" s="1"/>
  <c r="Y25" i="193" s="1"/>
  <c r="AB25" i="193"/>
  <c r="Z25" i="193"/>
  <c r="X25" i="193"/>
  <c r="Q25" i="193"/>
  <c r="P25" i="193"/>
  <c r="I25" i="193"/>
  <c r="H25" i="193"/>
  <c r="E25" i="193"/>
  <c r="AE24" i="193"/>
  <c r="AI24" i="193" s="1"/>
  <c r="Y24" i="193" s="1"/>
  <c r="AD24" i="193"/>
  <c r="AC24" i="193"/>
  <c r="AB24" i="193"/>
  <c r="Z24" i="193"/>
  <c r="X24" i="193"/>
  <c r="Q24" i="193"/>
  <c r="P24" i="193"/>
  <c r="H24" i="193"/>
  <c r="E24" i="193"/>
  <c r="I24" i="193" s="1"/>
  <c r="AE23" i="193"/>
  <c r="AI23" i="193" s="1"/>
  <c r="Y23" i="193" s="1"/>
  <c r="AD23" i="193"/>
  <c r="AC23" i="193"/>
  <c r="AB23" i="193"/>
  <c r="Z23" i="193"/>
  <c r="X23" i="193"/>
  <c r="Q23" i="193"/>
  <c r="P23" i="193"/>
  <c r="H23" i="193"/>
  <c r="E23" i="193"/>
  <c r="I23" i="193" s="1"/>
  <c r="AD22" i="193"/>
  <c r="AE22" i="193" s="1"/>
  <c r="AI22" i="193" s="1"/>
  <c r="Y22" i="193" s="1"/>
  <c r="AC22" i="193"/>
  <c r="AB22" i="193"/>
  <c r="Z22" i="193"/>
  <c r="X22" i="193"/>
  <c r="Q22" i="193"/>
  <c r="P22" i="193"/>
  <c r="H22" i="193"/>
  <c r="E22" i="193"/>
  <c r="I22" i="193" s="1"/>
  <c r="AD21" i="193"/>
  <c r="AC21" i="193"/>
  <c r="AB21" i="193"/>
  <c r="AE21" i="193" s="1"/>
  <c r="AI21" i="193" s="1"/>
  <c r="Y21" i="193" s="1"/>
  <c r="Z21" i="193"/>
  <c r="X21" i="193"/>
  <c r="Q21" i="193"/>
  <c r="P21" i="193"/>
  <c r="I21" i="193"/>
  <c r="H21" i="193"/>
  <c r="E21" i="193"/>
  <c r="AE20" i="193"/>
  <c r="AI20" i="193" s="1"/>
  <c r="Y20" i="193" s="1"/>
  <c r="AD20" i="193"/>
  <c r="AC20" i="193"/>
  <c r="AB20" i="193"/>
  <c r="Z20" i="193"/>
  <c r="X20" i="193"/>
  <c r="Q20" i="193"/>
  <c r="P20" i="193"/>
  <c r="I20" i="193"/>
  <c r="H20" i="193"/>
  <c r="E20" i="193"/>
  <c r="AD19" i="193"/>
  <c r="AC19" i="193"/>
  <c r="AB19" i="193"/>
  <c r="AE19" i="193" s="1"/>
  <c r="AI19" i="193" s="1"/>
  <c r="Y19" i="193" s="1"/>
  <c r="Z19" i="193"/>
  <c r="X19" i="193"/>
  <c r="Q19" i="193"/>
  <c r="P19" i="193"/>
  <c r="I19" i="193"/>
  <c r="H19" i="193"/>
  <c r="E19" i="193"/>
  <c r="AD18" i="193"/>
  <c r="AC18" i="193"/>
  <c r="AB18" i="193"/>
  <c r="AE18" i="193" s="1"/>
  <c r="AI18" i="193" s="1"/>
  <c r="Y18" i="193" s="1"/>
  <c r="Z18" i="193"/>
  <c r="X18" i="193"/>
  <c r="Q18" i="193"/>
  <c r="P18" i="193"/>
  <c r="H18" i="193"/>
  <c r="E18" i="193"/>
  <c r="I18" i="193" s="1"/>
  <c r="AE17" i="193"/>
  <c r="AI17" i="193" s="1"/>
  <c r="Y17" i="193" s="1"/>
  <c r="AD17" i="193"/>
  <c r="AC17" i="193"/>
  <c r="AB17" i="193"/>
  <c r="Z17" i="193"/>
  <c r="X17" i="193"/>
  <c r="Q17" i="193"/>
  <c r="P17" i="193"/>
  <c r="I17" i="193"/>
  <c r="H17" i="193"/>
  <c r="E17" i="193"/>
  <c r="AD16" i="193"/>
  <c r="AC16" i="193"/>
  <c r="AB16" i="193"/>
  <c r="AE16" i="193" s="1"/>
  <c r="AI16" i="193" s="1"/>
  <c r="Y16" i="193" s="1"/>
  <c r="Z16" i="193"/>
  <c r="T75" i="193" s="1"/>
  <c r="X16" i="193"/>
  <c r="T77" i="193" s="1"/>
  <c r="Q16" i="193"/>
  <c r="P16" i="193"/>
  <c r="I16" i="193"/>
  <c r="E16" i="193"/>
  <c r="AE15" i="193"/>
  <c r="AI15" i="193" s="1"/>
  <c r="Y15" i="193" s="1"/>
  <c r="AD15" i="193"/>
  <c r="AC15" i="193"/>
  <c r="AB15" i="193"/>
  <c r="Z15" i="193"/>
  <c r="X15" i="193"/>
  <c r="Q15" i="193"/>
  <c r="P15" i="193"/>
  <c r="I15" i="193"/>
  <c r="E15" i="193"/>
  <c r="AE14" i="193"/>
  <c r="AI14" i="193" s="1"/>
  <c r="Y14" i="193" s="1"/>
  <c r="AD14" i="193"/>
  <c r="AC14" i="193"/>
  <c r="AB14" i="193"/>
  <c r="Z14" i="193"/>
  <c r="X14" i="193"/>
  <c r="Q14" i="193"/>
  <c r="P14" i="193"/>
  <c r="H14" i="193"/>
  <c r="E14" i="193"/>
  <c r="I14" i="193" s="1"/>
  <c r="AD13" i="193"/>
  <c r="AC13" i="193"/>
  <c r="AB13" i="193"/>
  <c r="AE13" i="193" s="1"/>
  <c r="AI13" i="193" s="1"/>
  <c r="Y13" i="193" s="1"/>
  <c r="Z13" i="193"/>
  <c r="X13" i="193"/>
  <c r="Q13" i="193"/>
  <c r="P13" i="193"/>
  <c r="H13" i="193"/>
  <c r="E13" i="193"/>
  <c r="I13" i="193" s="1"/>
  <c r="AD12" i="193"/>
  <c r="AE12" i="193" s="1"/>
  <c r="AI12" i="193" s="1"/>
  <c r="Y12" i="193" s="1"/>
  <c r="AC12" i="193"/>
  <c r="AB12" i="193"/>
  <c r="Z12" i="193"/>
  <c r="X12" i="193"/>
  <c r="Q12" i="193"/>
  <c r="P12" i="193"/>
  <c r="H12" i="193"/>
  <c r="E12" i="193"/>
  <c r="I12" i="193" s="1"/>
  <c r="F77" i="194" l="1"/>
  <c r="O73" i="193"/>
  <c r="O75" i="193"/>
  <c r="F73" i="193"/>
  <c r="F75" i="193"/>
  <c r="T73" i="193"/>
  <c r="T79" i="193" s="1"/>
  <c r="M79" i="192"/>
  <c r="P71" i="192"/>
  <c r="H71" i="192"/>
  <c r="Q70" i="192"/>
  <c r="P70" i="192"/>
  <c r="I70" i="192"/>
  <c r="H70" i="192"/>
  <c r="E70" i="192"/>
  <c r="Q69" i="192"/>
  <c r="P69" i="192"/>
  <c r="I69" i="192"/>
  <c r="H69" i="192"/>
  <c r="E69" i="192"/>
  <c r="AD68" i="192"/>
  <c r="AC68" i="192"/>
  <c r="AB68" i="192"/>
  <c r="AE68" i="192" s="1"/>
  <c r="AI68" i="192" s="1"/>
  <c r="Y68" i="192" s="1"/>
  <c r="Z68" i="192"/>
  <c r="X68" i="192"/>
  <c r="Q68" i="192"/>
  <c r="P68" i="192"/>
  <c r="H68" i="192"/>
  <c r="E68" i="192"/>
  <c r="I68" i="192" s="1"/>
  <c r="AE67" i="192"/>
  <c r="AI67" i="192" s="1"/>
  <c r="Y67" i="192" s="1"/>
  <c r="AD67" i="192"/>
  <c r="AC67" i="192"/>
  <c r="AB67" i="192"/>
  <c r="Z67" i="192"/>
  <c r="X67" i="192"/>
  <c r="Q67" i="192"/>
  <c r="P67" i="192"/>
  <c r="H67" i="192"/>
  <c r="E67" i="192"/>
  <c r="I67" i="192" s="1"/>
  <c r="AD66" i="192"/>
  <c r="AC66" i="192"/>
  <c r="AB66" i="192"/>
  <c r="AE66" i="192" s="1"/>
  <c r="AI66" i="192" s="1"/>
  <c r="Y66" i="192" s="1"/>
  <c r="Z66" i="192"/>
  <c r="X66" i="192"/>
  <c r="Q66" i="192"/>
  <c r="P66" i="192"/>
  <c r="I66" i="192"/>
  <c r="H66" i="192"/>
  <c r="E66" i="192"/>
  <c r="AD65" i="192"/>
  <c r="AC65" i="192"/>
  <c r="AB65" i="192"/>
  <c r="AE65" i="192" s="1"/>
  <c r="AI65" i="192" s="1"/>
  <c r="Y65" i="192" s="1"/>
  <c r="Z65" i="192"/>
  <c r="X65" i="192"/>
  <c r="Q65" i="192"/>
  <c r="P65" i="192"/>
  <c r="H65" i="192"/>
  <c r="E65" i="192"/>
  <c r="I65" i="192" s="1"/>
  <c r="AI64" i="192"/>
  <c r="Y64" i="192" s="1"/>
  <c r="AE64" i="192"/>
  <c r="AD64" i="192"/>
  <c r="AC64" i="192"/>
  <c r="AB64" i="192"/>
  <c r="Z64" i="192"/>
  <c r="X64" i="192"/>
  <c r="Q64" i="192"/>
  <c r="P64" i="192"/>
  <c r="I64" i="192"/>
  <c r="H64" i="192"/>
  <c r="E64" i="192"/>
  <c r="AD63" i="192"/>
  <c r="AC63" i="192"/>
  <c r="AB63" i="192"/>
  <c r="AE63" i="192" s="1"/>
  <c r="AI63" i="192" s="1"/>
  <c r="Y63" i="192" s="1"/>
  <c r="Z63" i="192"/>
  <c r="X63" i="192"/>
  <c r="Q63" i="192"/>
  <c r="P63" i="192"/>
  <c r="I63" i="192"/>
  <c r="H63" i="192"/>
  <c r="E63" i="192"/>
  <c r="AI62" i="192"/>
  <c r="AE62" i="192"/>
  <c r="AD62" i="192"/>
  <c r="AC62" i="192"/>
  <c r="AB62" i="192"/>
  <c r="Z62" i="192"/>
  <c r="Y62" i="192"/>
  <c r="X62" i="192"/>
  <c r="Q62" i="192"/>
  <c r="P62" i="192"/>
  <c r="I62" i="192"/>
  <c r="H62" i="192"/>
  <c r="E62" i="192"/>
  <c r="AC61" i="192"/>
  <c r="AB61" i="192"/>
  <c r="AE61" i="192" s="1"/>
  <c r="AI61" i="192" s="1"/>
  <c r="Y61" i="192" s="1"/>
  <c r="X61" i="192"/>
  <c r="Q61" i="192"/>
  <c r="P61" i="192"/>
  <c r="H61" i="192"/>
  <c r="E61" i="192"/>
  <c r="I61" i="192" s="1"/>
  <c r="AE60" i="192"/>
  <c r="AI60" i="192" s="1"/>
  <c r="Y60" i="192" s="1"/>
  <c r="X60" i="192"/>
  <c r="Q60" i="192"/>
  <c r="P60" i="192"/>
  <c r="H60" i="192"/>
  <c r="E60" i="192"/>
  <c r="I60" i="192" s="1"/>
  <c r="AC59" i="192"/>
  <c r="AB59" i="192"/>
  <c r="AE59" i="192" s="1"/>
  <c r="AI59" i="192" s="1"/>
  <c r="Y59" i="192" s="1"/>
  <c r="X59" i="192"/>
  <c r="Q59" i="192"/>
  <c r="P59" i="192"/>
  <c r="H59" i="192"/>
  <c r="E59" i="192"/>
  <c r="I59" i="192" s="1"/>
  <c r="AE58" i="192"/>
  <c r="AI58" i="192" s="1"/>
  <c r="Y58" i="192" s="1"/>
  <c r="AC58" i="192"/>
  <c r="AB58" i="192"/>
  <c r="X58" i="192"/>
  <c r="Q58" i="192"/>
  <c r="P58" i="192"/>
  <c r="E58" i="192"/>
  <c r="I58" i="192" s="1"/>
  <c r="AI57" i="192"/>
  <c r="Y57" i="192" s="1"/>
  <c r="AE57" i="192"/>
  <c r="AC57" i="192"/>
  <c r="AB57" i="192"/>
  <c r="X57" i="192"/>
  <c r="Q57" i="192"/>
  <c r="P57" i="192"/>
  <c r="H57" i="192"/>
  <c r="E57" i="192"/>
  <c r="I57" i="192" s="1"/>
  <c r="AD56" i="192"/>
  <c r="AC56" i="192"/>
  <c r="AB56" i="192"/>
  <c r="AE56" i="192" s="1"/>
  <c r="AI56" i="192" s="1"/>
  <c r="Y56" i="192" s="1"/>
  <c r="Z56" i="192"/>
  <c r="X56" i="192"/>
  <c r="Q56" i="192"/>
  <c r="P56" i="192"/>
  <c r="I56" i="192"/>
  <c r="H56" i="192"/>
  <c r="E56" i="192"/>
  <c r="AD55" i="192"/>
  <c r="AE55" i="192" s="1"/>
  <c r="AI55" i="192" s="1"/>
  <c r="Y55" i="192" s="1"/>
  <c r="AC55" i="192"/>
  <c r="AB55" i="192"/>
  <c r="Z55" i="192"/>
  <c r="X55" i="192"/>
  <c r="Q55" i="192"/>
  <c r="P55" i="192"/>
  <c r="H55" i="192"/>
  <c r="E55" i="192"/>
  <c r="I55" i="192" s="1"/>
  <c r="AD54" i="192"/>
  <c r="AC54" i="192"/>
  <c r="AE54" i="192" s="1"/>
  <c r="AI54" i="192" s="1"/>
  <c r="Y54" i="192" s="1"/>
  <c r="AB54" i="192"/>
  <c r="Z54" i="192"/>
  <c r="X54" i="192"/>
  <c r="Q54" i="192"/>
  <c r="P54" i="192"/>
  <c r="H54" i="192"/>
  <c r="E54" i="192"/>
  <c r="I54" i="192" s="1"/>
  <c r="AD53" i="192"/>
  <c r="AC53" i="192"/>
  <c r="AE53" i="192" s="1"/>
  <c r="AI53" i="192" s="1"/>
  <c r="Y53" i="192" s="1"/>
  <c r="AB53" i="192"/>
  <c r="Z53" i="192"/>
  <c r="X53" i="192"/>
  <c r="Q53" i="192"/>
  <c r="P53" i="192"/>
  <c r="H53" i="192"/>
  <c r="E53" i="192"/>
  <c r="I53" i="192" s="1"/>
  <c r="AE52" i="192"/>
  <c r="AI52" i="192" s="1"/>
  <c r="Y52" i="192" s="1"/>
  <c r="Z52" i="192"/>
  <c r="X52" i="192"/>
  <c r="Q52" i="192"/>
  <c r="P52" i="192"/>
  <c r="H52" i="192"/>
  <c r="E52" i="192"/>
  <c r="I52" i="192" s="1"/>
  <c r="AE51" i="192"/>
  <c r="AI51" i="192" s="1"/>
  <c r="Y51" i="192" s="1"/>
  <c r="AD51" i="192"/>
  <c r="AC51" i="192"/>
  <c r="AB51" i="192"/>
  <c r="Z51" i="192"/>
  <c r="X51" i="192"/>
  <c r="Q51" i="192"/>
  <c r="P51" i="192"/>
  <c r="H51" i="192"/>
  <c r="E51" i="192"/>
  <c r="I51" i="192" s="1"/>
  <c r="AD50" i="192"/>
  <c r="AC50" i="192"/>
  <c r="AB50" i="192"/>
  <c r="AE50" i="192" s="1"/>
  <c r="AI50" i="192" s="1"/>
  <c r="Y50" i="192" s="1"/>
  <c r="Z50" i="192"/>
  <c r="X50" i="192"/>
  <c r="Q50" i="192"/>
  <c r="P50" i="192"/>
  <c r="I50" i="192"/>
  <c r="H50" i="192"/>
  <c r="E50" i="192"/>
  <c r="AE49" i="192"/>
  <c r="AI49" i="192" s="1"/>
  <c r="Y49" i="192" s="1"/>
  <c r="Z49" i="192"/>
  <c r="X49" i="192"/>
  <c r="Q49" i="192"/>
  <c r="P49" i="192"/>
  <c r="I49" i="192"/>
  <c r="H49" i="192"/>
  <c r="E49" i="192"/>
  <c r="AE48" i="192"/>
  <c r="AI48" i="192" s="1"/>
  <c r="Y48" i="192" s="1"/>
  <c r="Z48" i="192"/>
  <c r="X48" i="192"/>
  <c r="Q48" i="192"/>
  <c r="P48" i="192"/>
  <c r="I48" i="192"/>
  <c r="H48" i="192"/>
  <c r="E48" i="192"/>
  <c r="AI47" i="192"/>
  <c r="AE47" i="192"/>
  <c r="Z47" i="192"/>
  <c r="Y47" i="192"/>
  <c r="X47" i="192"/>
  <c r="Q47" i="192"/>
  <c r="P47" i="192"/>
  <c r="H47" i="192"/>
  <c r="E47" i="192"/>
  <c r="I47" i="192" s="1"/>
  <c r="AD46" i="192"/>
  <c r="AC46" i="192"/>
  <c r="AB46" i="192"/>
  <c r="AE46" i="192" s="1"/>
  <c r="AI46" i="192" s="1"/>
  <c r="Y46" i="192" s="1"/>
  <c r="Z46" i="192"/>
  <c r="X46" i="192"/>
  <c r="Q46" i="192"/>
  <c r="P46" i="192"/>
  <c r="I46" i="192"/>
  <c r="H46" i="192"/>
  <c r="E46" i="192"/>
  <c r="AD45" i="192"/>
  <c r="AC45" i="192"/>
  <c r="AB45" i="192"/>
  <c r="AE45" i="192" s="1"/>
  <c r="AI45" i="192" s="1"/>
  <c r="Y45" i="192" s="1"/>
  <c r="Z45" i="192"/>
  <c r="X45" i="192"/>
  <c r="Q45" i="192"/>
  <c r="P45" i="192"/>
  <c r="H45" i="192"/>
  <c r="E45" i="192"/>
  <c r="I45" i="192" s="1"/>
  <c r="AD44" i="192"/>
  <c r="AC44" i="192"/>
  <c r="AB44" i="192"/>
  <c r="AE44" i="192" s="1"/>
  <c r="AI44" i="192" s="1"/>
  <c r="Y44" i="192" s="1"/>
  <c r="Z44" i="192"/>
  <c r="X44" i="192"/>
  <c r="Q44" i="192"/>
  <c r="P44" i="192"/>
  <c r="I44" i="192"/>
  <c r="H44" i="192"/>
  <c r="E44" i="192"/>
  <c r="AD43" i="192"/>
  <c r="AE43" i="192" s="1"/>
  <c r="AI43" i="192" s="1"/>
  <c r="Y43" i="192" s="1"/>
  <c r="AC43" i="192"/>
  <c r="AB43" i="192"/>
  <c r="Z43" i="192"/>
  <c r="X43" i="192"/>
  <c r="Q43" i="192"/>
  <c r="P43" i="192"/>
  <c r="H43" i="192"/>
  <c r="E43" i="192"/>
  <c r="I43" i="192" s="1"/>
  <c r="AD42" i="192"/>
  <c r="AC42" i="192"/>
  <c r="AB42" i="192"/>
  <c r="AE42" i="192" s="1"/>
  <c r="AI42" i="192" s="1"/>
  <c r="Y42" i="192" s="1"/>
  <c r="Z42" i="192"/>
  <c r="X42" i="192"/>
  <c r="Q42" i="192"/>
  <c r="P42" i="192"/>
  <c r="H42" i="192"/>
  <c r="E42" i="192"/>
  <c r="I42" i="192" s="1"/>
  <c r="AD41" i="192"/>
  <c r="AC41" i="192"/>
  <c r="AE41" i="192" s="1"/>
  <c r="AI41" i="192" s="1"/>
  <c r="Y41" i="192" s="1"/>
  <c r="AB41" i="192"/>
  <c r="Z41" i="192"/>
  <c r="X41" i="192"/>
  <c r="Q41" i="192"/>
  <c r="P41" i="192"/>
  <c r="H41" i="192"/>
  <c r="E41" i="192"/>
  <c r="I41" i="192" s="1"/>
  <c r="AE40" i="192"/>
  <c r="AI40" i="192" s="1"/>
  <c r="Y40" i="192" s="1"/>
  <c r="AD40" i="192"/>
  <c r="AC40" i="192"/>
  <c r="AB40" i="192"/>
  <c r="Z40" i="192"/>
  <c r="X40" i="192"/>
  <c r="Q40" i="192"/>
  <c r="P40" i="192"/>
  <c r="H40" i="192"/>
  <c r="E40" i="192"/>
  <c r="I40" i="192" s="1"/>
  <c r="AD39" i="192"/>
  <c r="AC39" i="192"/>
  <c r="AB39" i="192"/>
  <c r="AE39" i="192" s="1"/>
  <c r="AI39" i="192" s="1"/>
  <c r="Y39" i="192" s="1"/>
  <c r="Z39" i="192"/>
  <c r="X39" i="192"/>
  <c r="Q39" i="192"/>
  <c r="P39" i="192"/>
  <c r="H39" i="192"/>
  <c r="E39" i="192"/>
  <c r="I39" i="192" s="1"/>
  <c r="AE38" i="192"/>
  <c r="AI38" i="192" s="1"/>
  <c r="Y38" i="192" s="1"/>
  <c r="AD38" i="192"/>
  <c r="AC38" i="192"/>
  <c r="AB38" i="192"/>
  <c r="Z38" i="192"/>
  <c r="X38" i="192"/>
  <c r="Q38" i="192"/>
  <c r="P38" i="192"/>
  <c r="H38" i="192"/>
  <c r="E38" i="192"/>
  <c r="I38" i="192" s="1"/>
  <c r="AD37" i="192"/>
  <c r="AC37" i="192"/>
  <c r="AB37" i="192"/>
  <c r="AE37" i="192" s="1"/>
  <c r="AI37" i="192" s="1"/>
  <c r="Y37" i="192" s="1"/>
  <c r="Z37" i="192"/>
  <c r="X37" i="192"/>
  <c r="Q37" i="192"/>
  <c r="P37" i="192"/>
  <c r="I37" i="192"/>
  <c r="H37" i="192"/>
  <c r="E37" i="192"/>
  <c r="AD36" i="192"/>
  <c r="AE36" i="192" s="1"/>
  <c r="AI36" i="192" s="1"/>
  <c r="Y36" i="192" s="1"/>
  <c r="AC36" i="192"/>
  <c r="AB36" i="192"/>
  <c r="Z36" i="192"/>
  <c r="X36" i="192"/>
  <c r="Q36" i="192"/>
  <c r="P36" i="192"/>
  <c r="H36" i="192"/>
  <c r="E36" i="192"/>
  <c r="I36" i="192" s="1"/>
  <c r="AI35" i="192"/>
  <c r="Y35" i="192" s="1"/>
  <c r="AE35" i="192"/>
  <c r="AD35" i="192"/>
  <c r="AC35" i="192"/>
  <c r="AB35" i="192"/>
  <c r="Z35" i="192"/>
  <c r="X35" i="192"/>
  <c r="Q35" i="192"/>
  <c r="P35" i="192"/>
  <c r="I35" i="192"/>
  <c r="H35" i="192"/>
  <c r="E35" i="192"/>
  <c r="AD34" i="192"/>
  <c r="AC34" i="192"/>
  <c r="AB34" i="192"/>
  <c r="AE34" i="192" s="1"/>
  <c r="AI34" i="192" s="1"/>
  <c r="Y34" i="192" s="1"/>
  <c r="Z34" i="192"/>
  <c r="X34" i="192"/>
  <c r="Q34" i="192"/>
  <c r="P34" i="192"/>
  <c r="I34" i="192"/>
  <c r="H34" i="192"/>
  <c r="E34" i="192"/>
  <c r="AD33" i="192"/>
  <c r="AC33" i="192"/>
  <c r="AB33" i="192"/>
  <c r="AE33" i="192" s="1"/>
  <c r="AI33" i="192" s="1"/>
  <c r="Y33" i="192" s="1"/>
  <c r="Z33" i="192"/>
  <c r="X33" i="192"/>
  <c r="Q33" i="192"/>
  <c r="P33" i="192"/>
  <c r="I33" i="192"/>
  <c r="H33" i="192"/>
  <c r="E33" i="192"/>
  <c r="AD32" i="192"/>
  <c r="AC32" i="192"/>
  <c r="AE32" i="192" s="1"/>
  <c r="AI32" i="192" s="1"/>
  <c r="Y32" i="192" s="1"/>
  <c r="AB32" i="192"/>
  <c r="Z32" i="192"/>
  <c r="X32" i="192"/>
  <c r="Q32" i="192"/>
  <c r="P32" i="192"/>
  <c r="I32" i="192"/>
  <c r="H32" i="192"/>
  <c r="E32" i="192"/>
  <c r="AE31" i="192"/>
  <c r="AI31" i="192" s="1"/>
  <c r="Y31" i="192" s="1"/>
  <c r="Z31" i="192"/>
  <c r="X31" i="192"/>
  <c r="Q31" i="192"/>
  <c r="P31" i="192"/>
  <c r="I31" i="192"/>
  <c r="H31" i="192"/>
  <c r="E31" i="192"/>
  <c r="AD30" i="192"/>
  <c r="AC30" i="192"/>
  <c r="AB30" i="192"/>
  <c r="AE30" i="192" s="1"/>
  <c r="AI30" i="192" s="1"/>
  <c r="Y30" i="192" s="1"/>
  <c r="Z30" i="192"/>
  <c r="X30" i="192"/>
  <c r="Q30" i="192"/>
  <c r="P30" i="192"/>
  <c r="H30" i="192"/>
  <c r="E30" i="192"/>
  <c r="I30" i="192" s="1"/>
  <c r="AD29" i="192"/>
  <c r="AC29" i="192"/>
  <c r="AB29" i="192"/>
  <c r="AE29" i="192" s="1"/>
  <c r="AI29" i="192" s="1"/>
  <c r="Y29" i="192" s="1"/>
  <c r="Z29" i="192"/>
  <c r="X29" i="192"/>
  <c r="Q29" i="192"/>
  <c r="P29" i="192"/>
  <c r="I29" i="192"/>
  <c r="H29" i="192"/>
  <c r="E29" i="192"/>
  <c r="AD28" i="192"/>
  <c r="AE28" i="192" s="1"/>
  <c r="AI28" i="192" s="1"/>
  <c r="Y28" i="192" s="1"/>
  <c r="AC28" i="192"/>
  <c r="AB28" i="192"/>
  <c r="Z28" i="192"/>
  <c r="X28" i="192"/>
  <c r="Q28" i="192"/>
  <c r="P28" i="192"/>
  <c r="H28" i="192"/>
  <c r="E28" i="192"/>
  <c r="I28" i="192" s="1"/>
  <c r="AD27" i="192"/>
  <c r="AC27" i="192"/>
  <c r="AB27" i="192"/>
  <c r="AE27" i="192" s="1"/>
  <c r="AI27" i="192" s="1"/>
  <c r="Y27" i="192" s="1"/>
  <c r="Z27" i="192"/>
  <c r="X27" i="192"/>
  <c r="Q27" i="192"/>
  <c r="P27" i="192"/>
  <c r="H27" i="192"/>
  <c r="E27" i="192"/>
  <c r="I27" i="192" s="1"/>
  <c r="AD26" i="192"/>
  <c r="AC26" i="192"/>
  <c r="AE26" i="192" s="1"/>
  <c r="AI26" i="192" s="1"/>
  <c r="Y26" i="192" s="1"/>
  <c r="AB26" i="192"/>
  <c r="Z26" i="192"/>
  <c r="X26" i="192"/>
  <c r="Q26" i="192"/>
  <c r="P26" i="192"/>
  <c r="H26" i="192"/>
  <c r="E26" i="192"/>
  <c r="I26" i="192" s="1"/>
  <c r="AE25" i="192"/>
  <c r="AI25" i="192" s="1"/>
  <c r="Y25" i="192" s="1"/>
  <c r="AD25" i="192"/>
  <c r="AC25" i="192"/>
  <c r="AB25" i="192"/>
  <c r="Z25" i="192"/>
  <c r="X25" i="192"/>
  <c r="Q25" i="192"/>
  <c r="P25" i="192"/>
  <c r="H25" i="192"/>
  <c r="E25" i="192"/>
  <c r="I25" i="192" s="1"/>
  <c r="AD24" i="192"/>
  <c r="AC24" i="192"/>
  <c r="AB24" i="192"/>
  <c r="AE24" i="192" s="1"/>
  <c r="AI24" i="192" s="1"/>
  <c r="Y24" i="192" s="1"/>
  <c r="Z24" i="192"/>
  <c r="X24" i="192"/>
  <c r="Q24" i="192"/>
  <c r="P24" i="192"/>
  <c r="H24" i="192"/>
  <c r="E24" i="192"/>
  <c r="I24" i="192" s="1"/>
  <c r="AE23" i="192"/>
  <c r="AI23" i="192" s="1"/>
  <c r="Y23" i="192" s="1"/>
  <c r="AD23" i="192"/>
  <c r="AC23" i="192"/>
  <c r="AB23" i="192"/>
  <c r="Z23" i="192"/>
  <c r="X23" i="192"/>
  <c r="Q23" i="192"/>
  <c r="P23" i="192"/>
  <c r="H23" i="192"/>
  <c r="E23" i="192"/>
  <c r="I23" i="192" s="1"/>
  <c r="AD22" i="192"/>
  <c r="AC22" i="192"/>
  <c r="AB22" i="192"/>
  <c r="AE22" i="192" s="1"/>
  <c r="AI22" i="192" s="1"/>
  <c r="Y22" i="192" s="1"/>
  <c r="Z22" i="192"/>
  <c r="X22" i="192"/>
  <c r="Q22" i="192"/>
  <c r="P22" i="192"/>
  <c r="I22" i="192"/>
  <c r="H22" i="192"/>
  <c r="E22" i="192"/>
  <c r="AD21" i="192"/>
  <c r="AE21" i="192" s="1"/>
  <c r="AI21" i="192" s="1"/>
  <c r="Y21" i="192" s="1"/>
  <c r="AC21" i="192"/>
  <c r="AB21" i="192"/>
  <c r="Z21" i="192"/>
  <c r="X21" i="192"/>
  <c r="Q21" i="192"/>
  <c r="P21" i="192"/>
  <c r="H21" i="192"/>
  <c r="E21" i="192"/>
  <c r="I21" i="192" s="1"/>
  <c r="AI20" i="192"/>
  <c r="Y20" i="192" s="1"/>
  <c r="AE20" i="192"/>
  <c r="AD20" i="192"/>
  <c r="AC20" i="192"/>
  <c r="AB20" i="192"/>
  <c r="Z20" i="192"/>
  <c r="X20" i="192"/>
  <c r="Q20" i="192"/>
  <c r="P20" i="192"/>
  <c r="I20" i="192"/>
  <c r="H20" i="192"/>
  <c r="E20" i="192"/>
  <c r="AD19" i="192"/>
  <c r="AC19" i="192"/>
  <c r="AB19" i="192"/>
  <c r="AE19" i="192" s="1"/>
  <c r="AI19" i="192" s="1"/>
  <c r="Y19" i="192" s="1"/>
  <c r="Z19" i="192"/>
  <c r="X19" i="192"/>
  <c r="Q19" i="192"/>
  <c r="P19" i="192"/>
  <c r="I19" i="192"/>
  <c r="H19" i="192"/>
  <c r="E19" i="192"/>
  <c r="AE18" i="192"/>
  <c r="AI18" i="192" s="1"/>
  <c r="Y18" i="192" s="1"/>
  <c r="AD18" i="192"/>
  <c r="AC18" i="192"/>
  <c r="AB18" i="192"/>
  <c r="Z18" i="192"/>
  <c r="X18" i="192"/>
  <c r="Q18" i="192"/>
  <c r="P18" i="192"/>
  <c r="I18" i="192"/>
  <c r="H18" i="192"/>
  <c r="E18" i="192"/>
  <c r="AD17" i="192"/>
  <c r="AC17" i="192"/>
  <c r="AB17" i="192"/>
  <c r="AE17" i="192" s="1"/>
  <c r="AI17" i="192" s="1"/>
  <c r="Y17" i="192" s="1"/>
  <c r="Z17" i="192"/>
  <c r="X17" i="192"/>
  <c r="Q17" i="192"/>
  <c r="P17" i="192"/>
  <c r="I17" i="192"/>
  <c r="H17" i="192"/>
  <c r="E17" i="192"/>
  <c r="AE16" i="192"/>
  <c r="AI16" i="192" s="1"/>
  <c r="Y16" i="192" s="1"/>
  <c r="AD16" i="192"/>
  <c r="AC16" i="192"/>
  <c r="AB16" i="192"/>
  <c r="Z16" i="192"/>
  <c r="X16" i="192"/>
  <c r="Q16" i="192"/>
  <c r="P16" i="192"/>
  <c r="E16" i="192"/>
  <c r="I16" i="192" s="1"/>
  <c r="AI15" i="192"/>
  <c r="Y15" i="192" s="1"/>
  <c r="AE15" i="192"/>
  <c r="AD15" i="192"/>
  <c r="AC15" i="192"/>
  <c r="AB15" i="192"/>
  <c r="Z15" i="192"/>
  <c r="X15" i="192"/>
  <c r="Q15" i="192"/>
  <c r="P15" i="192"/>
  <c r="E15" i="192"/>
  <c r="I15" i="192" s="1"/>
  <c r="AD14" i="192"/>
  <c r="AC14" i="192"/>
  <c r="AB14" i="192"/>
  <c r="AE14" i="192" s="1"/>
  <c r="AI14" i="192" s="1"/>
  <c r="Y14" i="192" s="1"/>
  <c r="Z14" i="192"/>
  <c r="X14" i="192"/>
  <c r="Q14" i="192"/>
  <c r="O75" i="192" s="1"/>
  <c r="P14" i="192"/>
  <c r="H14" i="192"/>
  <c r="E14" i="192"/>
  <c r="I14" i="192" s="1"/>
  <c r="AD13" i="192"/>
  <c r="AE13" i="192" s="1"/>
  <c r="AI13" i="192" s="1"/>
  <c r="Y13" i="192" s="1"/>
  <c r="AC13" i="192"/>
  <c r="AB13" i="192"/>
  <c r="Z13" i="192"/>
  <c r="X13" i="192"/>
  <c r="Q13" i="192"/>
  <c r="P13" i="192"/>
  <c r="H13" i="192"/>
  <c r="E13" i="192"/>
  <c r="I13" i="192" s="1"/>
  <c r="AD12" i="192"/>
  <c r="AC12" i="192"/>
  <c r="AB12" i="192"/>
  <c r="AE12" i="192" s="1"/>
  <c r="AI12" i="192" s="1"/>
  <c r="Y12" i="192" s="1"/>
  <c r="Z12" i="192"/>
  <c r="X12" i="192"/>
  <c r="Q12" i="192"/>
  <c r="O73" i="192" s="1"/>
  <c r="P12" i="192"/>
  <c r="I12" i="192"/>
  <c r="H12" i="192"/>
  <c r="E12" i="192"/>
  <c r="F77" i="193" l="1"/>
  <c r="F73" i="192"/>
  <c r="T75" i="192"/>
  <c r="T77" i="192"/>
  <c r="F75" i="192"/>
  <c r="T73" i="192"/>
  <c r="P79" i="191"/>
  <c r="T79" i="192" l="1"/>
  <c r="F77" i="192" s="1"/>
  <c r="M79" i="191"/>
  <c r="P71" i="191"/>
  <c r="H71" i="191"/>
  <c r="Q70" i="191"/>
  <c r="P70" i="191"/>
  <c r="I70" i="191"/>
  <c r="H70" i="191"/>
  <c r="E70" i="191"/>
  <c r="Q69" i="191"/>
  <c r="P69" i="191"/>
  <c r="I69" i="191"/>
  <c r="H69" i="191"/>
  <c r="E69" i="191"/>
  <c r="AD68" i="191"/>
  <c r="AC68" i="191"/>
  <c r="AB68" i="191"/>
  <c r="AE68" i="191" s="1"/>
  <c r="AI68" i="191" s="1"/>
  <c r="Y68" i="191" s="1"/>
  <c r="Z68" i="191"/>
  <c r="X68" i="191"/>
  <c r="Q68" i="191"/>
  <c r="P68" i="191"/>
  <c r="H68" i="191"/>
  <c r="E68" i="191"/>
  <c r="I68" i="191" s="1"/>
  <c r="AD67" i="191"/>
  <c r="AC67" i="191"/>
  <c r="AB67" i="191"/>
  <c r="AE67" i="191" s="1"/>
  <c r="AI67" i="191" s="1"/>
  <c r="Y67" i="191" s="1"/>
  <c r="Z67" i="191"/>
  <c r="X67" i="191"/>
  <c r="Q67" i="191"/>
  <c r="P67" i="191"/>
  <c r="I67" i="191"/>
  <c r="H67" i="191"/>
  <c r="E67" i="191"/>
  <c r="AD66" i="191"/>
  <c r="AC66" i="191"/>
  <c r="AE66" i="191" s="1"/>
  <c r="AI66" i="191" s="1"/>
  <c r="Y66" i="191" s="1"/>
  <c r="AB66" i="191"/>
  <c r="Z66" i="191"/>
  <c r="X66" i="191"/>
  <c r="Q66" i="191"/>
  <c r="P66" i="191"/>
  <c r="I66" i="191"/>
  <c r="H66" i="191"/>
  <c r="E66" i="191"/>
  <c r="AD65" i="191"/>
  <c r="AC65" i="191"/>
  <c r="AB65" i="191"/>
  <c r="AE65" i="191" s="1"/>
  <c r="AI65" i="191" s="1"/>
  <c r="Y65" i="191" s="1"/>
  <c r="Z65" i="191"/>
  <c r="X65" i="191"/>
  <c r="Q65" i="191"/>
  <c r="P65" i="191"/>
  <c r="I65" i="191"/>
  <c r="H65" i="191"/>
  <c r="E65" i="191"/>
  <c r="AE64" i="191"/>
  <c r="AI64" i="191" s="1"/>
  <c r="Y64" i="191" s="1"/>
  <c r="AD64" i="191"/>
  <c r="AC64" i="191"/>
  <c r="AB64" i="191"/>
  <c r="Z64" i="191"/>
  <c r="X64" i="191"/>
  <c r="Q64" i="191"/>
  <c r="P64" i="191"/>
  <c r="I64" i="191"/>
  <c r="H64" i="191"/>
  <c r="E64" i="191"/>
  <c r="AD63" i="191"/>
  <c r="AC63" i="191"/>
  <c r="AB63" i="191"/>
  <c r="AE63" i="191" s="1"/>
  <c r="AI63" i="191" s="1"/>
  <c r="Y63" i="191" s="1"/>
  <c r="Z63" i="191"/>
  <c r="X63" i="191"/>
  <c r="Q63" i="191"/>
  <c r="P63" i="191"/>
  <c r="H63" i="191"/>
  <c r="E63" i="191"/>
  <c r="I63" i="191" s="1"/>
  <c r="AD62" i="191"/>
  <c r="AC62" i="191"/>
  <c r="AB62" i="191"/>
  <c r="AE62" i="191" s="1"/>
  <c r="AI62" i="191" s="1"/>
  <c r="Y62" i="191" s="1"/>
  <c r="Z62" i="191"/>
  <c r="X62" i="191"/>
  <c r="Q62" i="191"/>
  <c r="P62" i="191"/>
  <c r="I62" i="191"/>
  <c r="H62" i="191"/>
  <c r="E62" i="191"/>
  <c r="AE61" i="191"/>
  <c r="AI61" i="191" s="1"/>
  <c r="Y61" i="191" s="1"/>
  <c r="AC61" i="191"/>
  <c r="AB61" i="191"/>
  <c r="X61" i="191"/>
  <c r="Q61" i="191"/>
  <c r="P61" i="191"/>
  <c r="H61" i="191"/>
  <c r="E61" i="191"/>
  <c r="I61" i="191" s="1"/>
  <c r="AE60" i="191"/>
  <c r="AI60" i="191" s="1"/>
  <c r="Y60" i="191" s="1"/>
  <c r="X60" i="191"/>
  <c r="Q60" i="191"/>
  <c r="P60" i="191"/>
  <c r="I60" i="191"/>
  <c r="H60" i="191"/>
  <c r="E60" i="191"/>
  <c r="AC59" i="191"/>
  <c r="AB59" i="191"/>
  <c r="AE59" i="191" s="1"/>
  <c r="AI59" i="191" s="1"/>
  <c r="Y59" i="191" s="1"/>
  <c r="X59" i="191"/>
  <c r="Q59" i="191"/>
  <c r="P59" i="191"/>
  <c r="I59" i="191"/>
  <c r="H59" i="191"/>
  <c r="E59" i="191"/>
  <c r="AC58" i="191"/>
  <c r="AB58" i="191"/>
  <c r="AE58" i="191" s="1"/>
  <c r="AI58" i="191" s="1"/>
  <c r="Y58" i="191" s="1"/>
  <c r="X58" i="191"/>
  <c r="Q58" i="191"/>
  <c r="P58" i="191"/>
  <c r="I58" i="191"/>
  <c r="E58" i="191"/>
  <c r="AE57" i="191"/>
  <c r="AI57" i="191" s="1"/>
  <c r="Y57" i="191" s="1"/>
  <c r="AC57" i="191"/>
  <c r="AB57" i="191"/>
  <c r="X57" i="191"/>
  <c r="Q57" i="191"/>
  <c r="P57" i="191"/>
  <c r="I57" i="191"/>
  <c r="H57" i="191"/>
  <c r="E57" i="191"/>
  <c r="AD56" i="191"/>
  <c r="AC56" i="191"/>
  <c r="AB56" i="191"/>
  <c r="AE56" i="191" s="1"/>
  <c r="AI56" i="191" s="1"/>
  <c r="Y56" i="191" s="1"/>
  <c r="Z56" i="191"/>
  <c r="X56" i="191"/>
  <c r="Q56" i="191"/>
  <c r="P56" i="191"/>
  <c r="H56" i="191"/>
  <c r="E56" i="191"/>
  <c r="I56" i="191" s="1"/>
  <c r="AI55" i="191"/>
  <c r="AE55" i="191"/>
  <c r="AD55" i="191"/>
  <c r="AC55" i="191"/>
  <c r="AB55" i="191"/>
  <c r="Z55" i="191"/>
  <c r="Y55" i="191"/>
  <c r="X55" i="191"/>
  <c r="Q55" i="191"/>
  <c r="P55" i="191"/>
  <c r="H55" i="191"/>
  <c r="E55" i="191"/>
  <c r="I55" i="191" s="1"/>
  <c r="AD54" i="191"/>
  <c r="AC54" i="191"/>
  <c r="AB54" i="191"/>
  <c r="AE54" i="191" s="1"/>
  <c r="AI54" i="191" s="1"/>
  <c r="Y54" i="191" s="1"/>
  <c r="Z54" i="191"/>
  <c r="X54" i="191"/>
  <c r="Q54" i="191"/>
  <c r="P54" i="191"/>
  <c r="H54" i="191"/>
  <c r="E54" i="191"/>
  <c r="I54" i="191" s="1"/>
  <c r="AE53" i="191"/>
  <c r="AI53" i="191" s="1"/>
  <c r="Y53" i="191" s="1"/>
  <c r="AD53" i="191"/>
  <c r="AC53" i="191"/>
  <c r="AB53" i="191"/>
  <c r="Z53" i="191"/>
  <c r="X53" i="191"/>
  <c r="Q53" i="191"/>
  <c r="P53" i="191"/>
  <c r="H53" i="191"/>
  <c r="E53" i="191"/>
  <c r="I53" i="191" s="1"/>
  <c r="AE52" i="191"/>
  <c r="AI52" i="191" s="1"/>
  <c r="Y52" i="191" s="1"/>
  <c r="Z52" i="191"/>
  <c r="X52" i="191"/>
  <c r="Q52" i="191"/>
  <c r="P52" i="191"/>
  <c r="H52" i="191"/>
  <c r="E52" i="191"/>
  <c r="I52" i="191" s="1"/>
  <c r="AD51" i="191"/>
  <c r="AC51" i="191"/>
  <c r="AB51" i="191"/>
  <c r="AE51" i="191" s="1"/>
  <c r="AI51" i="191" s="1"/>
  <c r="Y51" i="191" s="1"/>
  <c r="Z51" i="191"/>
  <c r="X51" i="191"/>
  <c r="Q51" i="191"/>
  <c r="P51" i="191"/>
  <c r="I51" i="191"/>
  <c r="H51" i="191"/>
  <c r="E51" i="191"/>
  <c r="AD50" i="191"/>
  <c r="AE50" i="191" s="1"/>
  <c r="AI50" i="191" s="1"/>
  <c r="Y50" i="191" s="1"/>
  <c r="AC50" i="191"/>
  <c r="AB50" i="191"/>
  <c r="Z50" i="191"/>
  <c r="X50" i="191"/>
  <c r="Q50" i="191"/>
  <c r="P50" i="191"/>
  <c r="I50" i="191"/>
  <c r="H50" i="191"/>
  <c r="E50" i="191"/>
  <c r="AI49" i="191"/>
  <c r="Y49" i="191" s="1"/>
  <c r="AE49" i="191"/>
  <c r="Z49" i="191"/>
  <c r="X49" i="191"/>
  <c r="Q49" i="191"/>
  <c r="P49" i="191"/>
  <c r="I49" i="191"/>
  <c r="H49" i="191"/>
  <c r="E49" i="191"/>
  <c r="AE48" i="191"/>
  <c r="AI48" i="191" s="1"/>
  <c r="Y48" i="191" s="1"/>
  <c r="Z48" i="191"/>
  <c r="X48" i="191"/>
  <c r="Q48" i="191"/>
  <c r="P48" i="191"/>
  <c r="I48" i="191"/>
  <c r="H48" i="191"/>
  <c r="E48" i="191"/>
  <c r="AE47" i="191"/>
  <c r="AI47" i="191" s="1"/>
  <c r="Y47" i="191" s="1"/>
  <c r="Z47" i="191"/>
  <c r="X47" i="191"/>
  <c r="Q47" i="191"/>
  <c r="P47" i="191"/>
  <c r="I47" i="191"/>
  <c r="H47" i="191"/>
  <c r="E47" i="191"/>
  <c r="AD46" i="191"/>
  <c r="AC46" i="191"/>
  <c r="AB46" i="191"/>
  <c r="AE46" i="191" s="1"/>
  <c r="AI46" i="191" s="1"/>
  <c r="Y46" i="191" s="1"/>
  <c r="Z46" i="191"/>
  <c r="X46" i="191"/>
  <c r="Q46" i="191"/>
  <c r="P46" i="191"/>
  <c r="H46" i="191"/>
  <c r="E46" i="191"/>
  <c r="I46" i="191" s="1"/>
  <c r="AD45" i="191"/>
  <c r="AC45" i="191"/>
  <c r="AE45" i="191" s="1"/>
  <c r="AI45" i="191" s="1"/>
  <c r="Y45" i="191" s="1"/>
  <c r="AB45" i="191"/>
  <c r="Z45" i="191"/>
  <c r="X45" i="191"/>
  <c r="Q45" i="191"/>
  <c r="P45" i="191"/>
  <c r="I45" i="191"/>
  <c r="H45" i="191"/>
  <c r="E45" i="191"/>
  <c r="AD44" i="191"/>
  <c r="AC44" i="191"/>
  <c r="AB44" i="191"/>
  <c r="AE44" i="191" s="1"/>
  <c r="AI44" i="191" s="1"/>
  <c r="Y44" i="191" s="1"/>
  <c r="Z44" i="191"/>
  <c r="X44" i="191"/>
  <c r="Q44" i="191"/>
  <c r="P44" i="191"/>
  <c r="H44" i="191"/>
  <c r="E44" i="191"/>
  <c r="I44" i="191" s="1"/>
  <c r="AI43" i="191"/>
  <c r="AE43" i="191"/>
  <c r="AD43" i="191"/>
  <c r="AC43" i="191"/>
  <c r="AB43" i="191"/>
  <c r="Z43" i="191"/>
  <c r="Y43" i="191"/>
  <c r="X43" i="191"/>
  <c r="Q43" i="191"/>
  <c r="P43" i="191"/>
  <c r="H43" i="191"/>
  <c r="E43" i="191"/>
  <c r="I43" i="191" s="1"/>
  <c r="AD42" i="191"/>
  <c r="AC42" i="191"/>
  <c r="AB42" i="191"/>
  <c r="AE42" i="191" s="1"/>
  <c r="AI42" i="191" s="1"/>
  <c r="Y42" i="191" s="1"/>
  <c r="Z42" i="191"/>
  <c r="X42" i="191"/>
  <c r="Q42" i="191"/>
  <c r="P42" i="191"/>
  <c r="H42" i="191"/>
  <c r="E42" i="191"/>
  <c r="I42" i="191" s="1"/>
  <c r="AE41" i="191"/>
  <c r="AI41" i="191" s="1"/>
  <c r="Y41" i="191" s="1"/>
  <c r="AD41" i="191"/>
  <c r="AC41" i="191"/>
  <c r="AB41" i="191"/>
  <c r="Z41" i="191"/>
  <c r="X41" i="191"/>
  <c r="Q41" i="191"/>
  <c r="P41" i="191"/>
  <c r="H41" i="191"/>
  <c r="E41" i="191"/>
  <c r="I41" i="191" s="1"/>
  <c r="AD40" i="191"/>
  <c r="AE40" i="191" s="1"/>
  <c r="AI40" i="191" s="1"/>
  <c r="Y40" i="191" s="1"/>
  <c r="AC40" i="191"/>
  <c r="AB40" i="191"/>
  <c r="Z40" i="191"/>
  <c r="X40" i="191"/>
  <c r="Q40" i="191"/>
  <c r="P40" i="191"/>
  <c r="I40" i="191"/>
  <c r="H40" i="191"/>
  <c r="E40" i="191"/>
  <c r="AD39" i="191"/>
  <c r="AC39" i="191"/>
  <c r="AB39" i="191"/>
  <c r="AE39" i="191" s="1"/>
  <c r="AI39" i="191" s="1"/>
  <c r="Y39" i="191" s="1"/>
  <c r="Z39" i="191"/>
  <c r="X39" i="191"/>
  <c r="Q39" i="191"/>
  <c r="P39" i="191"/>
  <c r="H39" i="191"/>
  <c r="E39" i="191"/>
  <c r="I39" i="191" s="1"/>
  <c r="AD38" i="191"/>
  <c r="AC38" i="191"/>
  <c r="AB38" i="191"/>
  <c r="AE38" i="191" s="1"/>
  <c r="AI38" i="191" s="1"/>
  <c r="Y38" i="191" s="1"/>
  <c r="Z38" i="191"/>
  <c r="X38" i="191"/>
  <c r="Q38" i="191"/>
  <c r="P38" i="191"/>
  <c r="I38" i="191"/>
  <c r="H38" i="191"/>
  <c r="E38" i="191"/>
  <c r="AD37" i="191"/>
  <c r="AE37" i="191" s="1"/>
  <c r="AI37" i="191" s="1"/>
  <c r="Y37" i="191" s="1"/>
  <c r="AC37" i="191"/>
  <c r="AB37" i="191"/>
  <c r="Z37" i="191"/>
  <c r="X37" i="191"/>
  <c r="Q37" i="191"/>
  <c r="P37" i="191"/>
  <c r="I37" i="191"/>
  <c r="H37" i="191"/>
  <c r="E37" i="191"/>
  <c r="AD36" i="191"/>
  <c r="AC36" i="191"/>
  <c r="AB36" i="191"/>
  <c r="AE36" i="191" s="1"/>
  <c r="AI36" i="191" s="1"/>
  <c r="Y36" i="191" s="1"/>
  <c r="Z36" i="191"/>
  <c r="X36" i="191"/>
  <c r="Q36" i="191"/>
  <c r="P36" i="191"/>
  <c r="I36" i="191"/>
  <c r="H36" i="191"/>
  <c r="E36" i="191"/>
  <c r="AE35" i="191"/>
  <c r="AI35" i="191" s="1"/>
  <c r="Y35" i="191" s="1"/>
  <c r="AD35" i="191"/>
  <c r="AC35" i="191"/>
  <c r="AB35" i="191"/>
  <c r="Z35" i="191"/>
  <c r="X35" i="191"/>
  <c r="Q35" i="191"/>
  <c r="P35" i="191"/>
  <c r="H35" i="191"/>
  <c r="E35" i="191"/>
  <c r="I35" i="191" s="1"/>
  <c r="AD34" i="191"/>
  <c r="AC34" i="191"/>
  <c r="AB34" i="191"/>
  <c r="AE34" i="191" s="1"/>
  <c r="AI34" i="191" s="1"/>
  <c r="Y34" i="191" s="1"/>
  <c r="Z34" i="191"/>
  <c r="X34" i="191"/>
  <c r="Q34" i="191"/>
  <c r="P34" i="191"/>
  <c r="I34" i="191"/>
  <c r="H34" i="191"/>
  <c r="E34" i="191"/>
  <c r="AD33" i="191"/>
  <c r="AC33" i="191"/>
  <c r="AB33" i="191"/>
  <c r="AE33" i="191" s="1"/>
  <c r="AI33" i="191" s="1"/>
  <c r="Y33" i="191" s="1"/>
  <c r="Z33" i="191"/>
  <c r="X33" i="191"/>
  <c r="Q33" i="191"/>
  <c r="P33" i="191"/>
  <c r="H33" i="191"/>
  <c r="E33" i="191"/>
  <c r="I33" i="191" s="1"/>
  <c r="AE32" i="191"/>
  <c r="AI32" i="191" s="1"/>
  <c r="Y32" i="191" s="1"/>
  <c r="AD32" i="191"/>
  <c r="AC32" i="191"/>
  <c r="AB32" i="191"/>
  <c r="Z32" i="191"/>
  <c r="X32" i="191"/>
  <c r="Q32" i="191"/>
  <c r="P32" i="191"/>
  <c r="I32" i="191"/>
  <c r="H32" i="191"/>
  <c r="E32" i="191"/>
  <c r="AE31" i="191"/>
  <c r="AI31" i="191" s="1"/>
  <c r="Y31" i="191" s="1"/>
  <c r="Z31" i="191"/>
  <c r="X31" i="191"/>
  <c r="Q31" i="191"/>
  <c r="P31" i="191"/>
  <c r="H31" i="191"/>
  <c r="E31" i="191"/>
  <c r="I31" i="191" s="1"/>
  <c r="AD30" i="191"/>
  <c r="AC30" i="191"/>
  <c r="AE30" i="191" s="1"/>
  <c r="AI30" i="191" s="1"/>
  <c r="Y30" i="191" s="1"/>
  <c r="AB30" i="191"/>
  <c r="Z30" i="191"/>
  <c r="X30" i="191"/>
  <c r="Q30" i="191"/>
  <c r="P30" i="191"/>
  <c r="I30" i="191"/>
  <c r="H30" i="191"/>
  <c r="E30" i="191"/>
  <c r="AD29" i="191"/>
  <c r="AC29" i="191"/>
  <c r="AB29" i="191"/>
  <c r="AE29" i="191" s="1"/>
  <c r="AI29" i="191" s="1"/>
  <c r="Y29" i="191" s="1"/>
  <c r="Z29" i="191"/>
  <c r="X29" i="191"/>
  <c r="Q29" i="191"/>
  <c r="P29" i="191"/>
  <c r="H29" i="191"/>
  <c r="E29" i="191"/>
  <c r="I29" i="191" s="1"/>
  <c r="AI28" i="191"/>
  <c r="AE28" i="191"/>
  <c r="AD28" i="191"/>
  <c r="AC28" i="191"/>
  <c r="AB28" i="191"/>
  <c r="Z28" i="191"/>
  <c r="Y28" i="191"/>
  <c r="X28" i="191"/>
  <c r="Q28" i="191"/>
  <c r="P28" i="191"/>
  <c r="H28" i="191"/>
  <c r="E28" i="191"/>
  <c r="I28" i="191" s="1"/>
  <c r="AD27" i="191"/>
  <c r="AC27" i="191"/>
  <c r="AB27" i="191"/>
  <c r="AE27" i="191" s="1"/>
  <c r="AI27" i="191" s="1"/>
  <c r="Y27" i="191" s="1"/>
  <c r="Z27" i="191"/>
  <c r="X27" i="191"/>
  <c r="Q27" i="191"/>
  <c r="P27" i="191"/>
  <c r="H27" i="191"/>
  <c r="E27" i="191"/>
  <c r="I27" i="191" s="1"/>
  <c r="AE26" i="191"/>
  <c r="AI26" i="191" s="1"/>
  <c r="Y26" i="191" s="1"/>
  <c r="AD26" i="191"/>
  <c r="AC26" i="191"/>
  <c r="AB26" i="191"/>
  <c r="Z26" i="191"/>
  <c r="X26" i="191"/>
  <c r="Q26" i="191"/>
  <c r="P26" i="191"/>
  <c r="H26" i="191"/>
  <c r="E26" i="191"/>
  <c r="I26" i="191" s="1"/>
  <c r="AD25" i="191"/>
  <c r="AE25" i="191" s="1"/>
  <c r="AI25" i="191" s="1"/>
  <c r="Y25" i="191" s="1"/>
  <c r="AC25" i="191"/>
  <c r="AB25" i="191"/>
  <c r="Z25" i="191"/>
  <c r="X25" i="191"/>
  <c r="Q25" i="191"/>
  <c r="P25" i="191"/>
  <c r="I25" i="191"/>
  <c r="H25" i="191"/>
  <c r="E25" i="191"/>
  <c r="AD24" i="191"/>
  <c r="AC24" i="191"/>
  <c r="AB24" i="191"/>
  <c r="AE24" i="191" s="1"/>
  <c r="AI24" i="191" s="1"/>
  <c r="Y24" i="191" s="1"/>
  <c r="Z24" i="191"/>
  <c r="X24" i="191"/>
  <c r="Q24" i="191"/>
  <c r="P24" i="191"/>
  <c r="H24" i="191"/>
  <c r="E24" i="191"/>
  <c r="I24" i="191" s="1"/>
  <c r="AD23" i="191"/>
  <c r="AC23" i="191"/>
  <c r="AB23" i="191"/>
  <c r="AE23" i="191" s="1"/>
  <c r="AI23" i="191" s="1"/>
  <c r="Y23" i="191" s="1"/>
  <c r="Z23" i="191"/>
  <c r="X23" i="191"/>
  <c r="Q23" i="191"/>
  <c r="P23" i="191"/>
  <c r="I23" i="191"/>
  <c r="H23" i="191"/>
  <c r="E23" i="191"/>
  <c r="AD22" i="191"/>
  <c r="AE22" i="191" s="1"/>
  <c r="AI22" i="191" s="1"/>
  <c r="Y22" i="191" s="1"/>
  <c r="AC22" i="191"/>
  <c r="AB22" i="191"/>
  <c r="Z22" i="191"/>
  <c r="X22" i="191"/>
  <c r="Q22" i="191"/>
  <c r="P22" i="191"/>
  <c r="I22" i="191"/>
  <c r="H22" i="191"/>
  <c r="E22" i="191"/>
  <c r="AD21" i="191"/>
  <c r="AC21" i="191"/>
  <c r="AB21" i="191"/>
  <c r="AE21" i="191" s="1"/>
  <c r="AI21" i="191" s="1"/>
  <c r="Y21" i="191" s="1"/>
  <c r="Z21" i="191"/>
  <c r="X21" i="191"/>
  <c r="Q21" i="191"/>
  <c r="P21" i="191"/>
  <c r="I21" i="191"/>
  <c r="H21" i="191"/>
  <c r="E21" i="191"/>
  <c r="AE20" i="191"/>
  <c r="AI20" i="191" s="1"/>
  <c r="Y20" i="191" s="1"/>
  <c r="AD20" i="191"/>
  <c r="AC20" i="191"/>
  <c r="AB20" i="191"/>
  <c r="Z20" i="191"/>
  <c r="X20" i="191"/>
  <c r="Q20" i="191"/>
  <c r="P20" i="191"/>
  <c r="H20" i="191"/>
  <c r="E20" i="191"/>
  <c r="I20" i="191" s="1"/>
  <c r="AD19" i="191"/>
  <c r="AC19" i="191"/>
  <c r="AB19" i="191"/>
  <c r="AE19" i="191" s="1"/>
  <c r="AI19" i="191" s="1"/>
  <c r="Y19" i="191" s="1"/>
  <c r="Z19" i="191"/>
  <c r="X19" i="191"/>
  <c r="Q19" i="191"/>
  <c r="P19" i="191"/>
  <c r="I19" i="191"/>
  <c r="H19" i="191"/>
  <c r="E19" i="191"/>
  <c r="AD18" i="191"/>
  <c r="AC18" i="191"/>
  <c r="AB18" i="191"/>
  <c r="AE18" i="191" s="1"/>
  <c r="AI18" i="191" s="1"/>
  <c r="Y18" i="191" s="1"/>
  <c r="Z18" i="191"/>
  <c r="X18" i="191"/>
  <c r="Q18" i="191"/>
  <c r="P18" i="191"/>
  <c r="H18" i="191"/>
  <c r="E18" i="191"/>
  <c r="I18" i="191" s="1"/>
  <c r="AE17" i="191"/>
  <c r="AI17" i="191" s="1"/>
  <c r="Y17" i="191" s="1"/>
  <c r="AD17" i="191"/>
  <c r="AC17" i="191"/>
  <c r="AB17" i="191"/>
  <c r="Z17" i="191"/>
  <c r="X17" i="191"/>
  <c r="Q17" i="191"/>
  <c r="P17" i="191"/>
  <c r="I17" i="191"/>
  <c r="H17" i="191"/>
  <c r="E17" i="191"/>
  <c r="AD16" i="191"/>
  <c r="AC16" i="191"/>
  <c r="AB16" i="191"/>
  <c r="AE16" i="191" s="1"/>
  <c r="AI16" i="191" s="1"/>
  <c r="Y16" i="191" s="1"/>
  <c r="Z16" i="191"/>
  <c r="X16" i="191"/>
  <c r="Q16" i="191"/>
  <c r="P16" i="191"/>
  <c r="I16" i="191"/>
  <c r="E16" i="191"/>
  <c r="AE15" i="191"/>
  <c r="AI15" i="191" s="1"/>
  <c r="Y15" i="191" s="1"/>
  <c r="AD15" i="191"/>
  <c r="AC15" i="191"/>
  <c r="AB15" i="191"/>
  <c r="Z15" i="191"/>
  <c r="X15" i="191"/>
  <c r="Q15" i="191"/>
  <c r="P15" i="191"/>
  <c r="E15" i="191"/>
  <c r="I15" i="191" s="1"/>
  <c r="AD14" i="191"/>
  <c r="AC14" i="191"/>
  <c r="AB14" i="191"/>
  <c r="AE14" i="191" s="1"/>
  <c r="AI14" i="191" s="1"/>
  <c r="Y14" i="191" s="1"/>
  <c r="Z14" i="191"/>
  <c r="X14" i="191"/>
  <c r="Q14" i="191"/>
  <c r="P14" i="191"/>
  <c r="H14" i="191"/>
  <c r="E14" i="191"/>
  <c r="I14" i="191" s="1"/>
  <c r="AD13" i="191"/>
  <c r="AC13" i="191"/>
  <c r="AB13" i="191"/>
  <c r="AE13" i="191" s="1"/>
  <c r="AI13" i="191" s="1"/>
  <c r="Y13" i="191" s="1"/>
  <c r="Z13" i="191"/>
  <c r="X13" i="191"/>
  <c r="Q13" i="191"/>
  <c r="P13" i="191"/>
  <c r="I13" i="191"/>
  <c r="H13" i="191"/>
  <c r="E13" i="191"/>
  <c r="AD12" i="191"/>
  <c r="AE12" i="191" s="1"/>
  <c r="AI12" i="191" s="1"/>
  <c r="Y12" i="191" s="1"/>
  <c r="AC12" i="191"/>
  <c r="AB12" i="191"/>
  <c r="Z12" i="191"/>
  <c r="X12" i="191"/>
  <c r="Q12" i="191"/>
  <c r="O73" i="191" s="1"/>
  <c r="P12" i="191"/>
  <c r="I12" i="191"/>
  <c r="H12" i="191"/>
  <c r="E12" i="191"/>
  <c r="T75" i="191" l="1"/>
  <c r="T77" i="191"/>
  <c r="T79" i="191" s="1"/>
  <c r="O75" i="191"/>
  <c r="T73" i="191"/>
  <c r="F73" i="191"/>
  <c r="F75" i="191"/>
  <c r="M79" i="190"/>
  <c r="P71" i="190"/>
  <c r="H71" i="190"/>
  <c r="Q70" i="190"/>
  <c r="P70" i="190"/>
  <c r="I70" i="190"/>
  <c r="H70" i="190"/>
  <c r="E70" i="190"/>
  <c r="Q69" i="190"/>
  <c r="P69" i="190"/>
  <c r="H69" i="190"/>
  <c r="E69" i="190"/>
  <c r="I69" i="190" s="1"/>
  <c r="AD68" i="190"/>
  <c r="AC68" i="190"/>
  <c r="AB68" i="190"/>
  <c r="AE68" i="190" s="1"/>
  <c r="AI68" i="190" s="1"/>
  <c r="Y68" i="190" s="1"/>
  <c r="Z68" i="190"/>
  <c r="X68" i="190"/>
  <c r="Q68" i="190"/>
  <c r="P68" i="190"/>
  <c r="H68" i="190"/>
  <c r="E68" i="190"/>
  <c r="I68" i="190" s="1"/>
  <c r="AE67" i="190"/>
  <c r="AI67" i="190" s="1"/>
  <c r="Y67" i="190" s="1"/>
  <c r="AD67" i="190"/>
  <c r="AC67" i="190"/>
  <c r="AB67" i="190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I66" i="190"/>
  <c r="H66" i="190"/>
  <c r="E66" i="190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D64" i="190"/>
  <c r="AC64" i="190"/>
  <c r="AE64" i="190" s="1"/>
  <c r="AI64" i="190" s="1"/>
  <c r="Y64" i="190" s="1"/>
  <c r="AB64" i="190"/>
  <c r="Z64" i="190"/>
  <c r="X64" i="190"/>
  <c r="Q64" i="190"/>
  <c r="P64" i="190"/>
  <c r="I64" i="190"/>
  <c r="H64" i="190"/>
  <c r="E64" i="190"/>
  <c r="AD63" i="190"/>
  <c r="AC63" i="190"/>
  <c r="AB63" i="190"/>
  <c r="AE63" i="190" s="1"/>
  <c r="AI63" i="190" s="1"/>
  <c r="Y63" i="190" s="1"/>
  <c r="Z63" i="190"/>
  <c r="X63" i="190"/>
  <c r="Q63" i="190"/>
  <c r="P63" i="190"/>
  <c r="I63" i="190"/>
  <c r="H63" i="190"/>
  <c r="E63" i="190"/>
  <c r="AE62" i="190"/>
  <c r="AI62" i="190" s="1"/>
  <c r="Y62" i="190" s="1"/>
  <c r="AD62" i="190"/>
  <c r="AC62" i="190"/>
  <c r="AB62" i="190"/>
  <c r="Z62" i="190"/>
  <c r="X62" i="190"/>
  <c r="Q62" i="190"/>
  <c r="P62" i="190"/>
  <c r="I62" i="190"/>
  <c r="H62" i="190"/>
  <c r="E62" i="190"/>
  <c r="AE61" i="190"/>
  <c r="AI61" i="190" s="1"/>
  <c r="Y61" i="190" s="1"/>
  <c r="AC61" i="190"/>
  <c r="AB61" i="190"/>
  <c r="X61" i="190"/>
  <c r="Q61" i="190"/>
  <c r="P61" i="190"/>
  <c r="I61" i="190"/>
  <c r="H61" i="190"/>
  <c r="E61" i="190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C58" i="190"/>
  <c r="AE58" i="190" s="1"/>
  <c r="AI58" i="190" s="1"/>
  <c r="Y58" i="190" s="1"/>
  <c r="AB58" i="190"/>
  <c r="X58" i="190"/>
  <c r="Q58" i="190"/>
  <c r="P58" i="190"/>
  <c r="E58" i="190"/>
  <c r="I58" i="190" s="1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I56" i="190"/>
  <c r="H56" i="190"/>
  <c r="E56" i="190"/>
  <c r="AD55" i="190"/>
  <c r="AC55" i="190"/>
  <c r="AE55" i="190" s="1"/>
  <c r="AI55" i="190" s="1"/>
  <c r="Y55" i="190" s="1"/>
  <c r="AB55" i="190"/>
  <c r="Z55" i="190"/>
  <c r="X55" i="190"/>
  <c r="Q55" i="190"/>
  <c r="P55" i="190"/>
  <c r="I55" i="190"/>
  <c r="H55" i="190"/>
  <c r="E55" i="190"/>
  <c r="AD54" i="190"/>
  <c r="AC54" i="190"/>
  <c r="AE54" i="190" s="1"/>
  <c r="AI54" i="190" s="1"/>
  <c r="Y54" i="190" s="1"/>
  <c r="AB54" i="190"/>
  <c r="Z54" i="190"/>
  <c r="X54" i="190"/>
  <c r="Q54" i="190"/>
  <c r="P54" i="190"/>
  <c r="I54" i="190"/>
  <c r="H54" i="190"/>
  <c r="E54" i="190"/>
  <c r="AD53" i="190"/>
  <c r="AC53" i="190"/>
  <c r="AE53" i="190" s="1"/>
  <c r="AI53" i="190" s="1"/>
  <c r="Y53" i="190" s="1"/>
  <c r="AB53" i="190"/>
  <c r="Z53" i="190"/>
  <c r="X53" i="190"/>
  <c r="Q53" i="190"/>
  <c r="P53" i="190"/>
  <c r="H53" i="190"/>
  <c r="E53" i="190"/>
  <c r="I53" i="190" s="1"/>
  <c r="AE52" i="190"/>
  <c r="AI52" i="190" s="1"/>
  <c r="Y52" i="190" s="1"/>
  <c r="Z52" i="190"/>
  <c r="X52" i="190"/>
  <c r="Q52" i="190"/>
  <c r="P52" i="190"/>
  <c r="H52" i="190"/>
  <c r="E52" i="190"/>
  <c r="I52" i="190" s="1"/>
  <c r="AD51" i="190"/>
  <c r="AE51" i="190" s="1"/>
  <c r="AI51" i="190" s="1"/>
  <c r="Y51" i="190" s="1"/>
  <c r="AC51" i="190"/>
  <c r="AB51" i="190"/>
  <c r="Z51" i="190"/>
  <c r="X51" i="190"/>
  <c r="Q51" i="190"/>
  <c r="P51" i="190"/>
  <c r="H51" i="190"/>
  <c r="E51" i="190"/>
  <c r="I51" i="190" s="1"/>
  <c r="AD50" i="190"/>
  <c r="AE50" i="190" s="1"/>
  <c r="AI50" i="190" s="1"/>
  <c r="Y50" i="190" s="1"/>
  <c r="AC50" i="190"/>
  <c r="AB50" i="190"/>
  <c r="Z50" i="190"/>
  <c r="X50" i="190"/>
  <c r="Q50" i="190"/>
  <c r="P50" i="190"/>
  <c r="I50" i="190"/>
  <c r="H50" i="190"/>
  <c r="E50" i="190"/>
  <c r="AI49" i="190"/>
  <c r="Y49" i="190" s="1"/>
  <c r="AE49" i="190"/>
  <c r="Z49" i="190"/>
  <c r="X49" i="190"/>
  <c r="Q49" i="190"/>
  <c r="P49" i="190"/>
  <c r="I49" i="190"/>
  <c r="H49" i="190"/>
  <c r="E49" i="190"/>
  <c r="AI48" i="190"/>
  <c r="AE48" i="190"/>
  <c r="Z48" i="190"/>
  <c r="Y48" i="190"/>
  <c r="X48" i="190"/>
  <c r="Q48" i="190"/>
  <c r="P48" i="190"/>
  <c r="I48" i="190"/>
  <c r="H48" i="190"/>
  <c r="E48" i="190"/>
  <c r="AE47" i="190"/>
  <c r="AI47" i="190" s="1"/>
  <c r="Y47" i="190" s="1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I46" i="190"/>
  <c r="H46" i="190"/>
  <c r="E46" i="190"/>
  <c r="AE45" i="190"/>
  <c r="AI45" i="190" s="1"/>
  <c r="Y45" i="190" s="1"/>
  <c r="AD45" i="190"/>
  <c r="AC45" i="190"/>
  <c r="AB45" i="190"/>
  <c r="Z45" i="190"/>
  <c r="X45" i="190"/>
  <c r="Q45" i="190"/>
  <c r="P45" i="190"/>
  <c r="I45" i="190"/>
  <c r="H45" i="190"/>
  <c r="E45" i="190"/>
  <c r="AD44" i="190"/>
  <c r="AC44" i="190"/>
  <c r="AB44" i="190"/>
  <c r="AE44" i="190" s="1"/>
  <c r="AI44" i="190" s="1"/>
  <c r="Y44" i="190" s="1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I43" i="190"/>
  <c r="H43" i="190"/>
  <c r="E43" i="190"/>
  <c r="AD42" i="190"/>
  <c r="AC42" i="190"/>
  <c r="AE42" i="190" s="1"/>
  <c r="AI42" i="190" s="1"/>
  <c r="Y42" i="190" s="1"/>
  <c r="AB42" i="190"/>
  <c r="Z42" i="190"/>
  <c r="X42" i="190"/>
  <c r="Q42" i="190"/>
  <c r="P42" i="190"/>
  <c r="I42" i="190"/>
  <c r="H42" i="190"/>
  <c r="E42" i="190"/>
  <c r="AD41" i="190"/>
  <c r="AC41" i="190"/>
  <c r="AE41" i="190" s="1"/>
  <c r="AI41" i="190" s="1"/>
  <c r="Y41" i="190" s="1"/>
  <c r="AB41" i="190"/>
  <c r="Z41" i="190"/>
  <c r="X41" i="190"/>
  <c r="Q41" i="190"/>
  <c r="P41" i="190"/>
  <c r="H41" i="190"/>
  <c r="E41" i="190"/>
  <c r="I41" i="190" s="1"/>
  <c r="AE40" i="190"/>
  <c r="AI40" i="190" s="1"/>
  <c r="Y40" i="190" s="1"/>
  <c r="AD40" i="190"/>
  <c r="AC40" i="190"/>
  <c r="AB40" i="190"/>
  <c r="Z40" i="190"/>
  <c r="X40" i="190"/>
  <c r="Q40" i="190"/>
  <c r="P40" i="190"/>
  <c r="H40" i="190"/>
  <c r="E40" i="190"/>
  <c r="I40" i="190" s="1"/>
  <c r="AD39" i="190"/>
  <c r="AC39" i="190"/>
  <c r="AB39" i="190"/>
  <c r="AE39" i="190" s="1"/>
  <c r="AI39" i="190" s="1"/>
  <c r="Y39" i="190" s="1"/>
  <c r="Z39" i="190"/>
  <c r="X39" i="190"/>
  <c r="Q39" i="190"/>
  <c r="P39" i="190"/>
  <c r="H39" i="190"/>
  <c r="E39" i="190"/>
  <c r="I39" i="190" s="1"/>
  <c r="AD38" i="190"/>
  <c r="AE38" i="190" s="1"/>
  <c r="AI38" i="190" s="1"/>
  <c r="Y38" i="190" s="1"/>
  <c r="AC38" i="190"/>
  <c r="AB38" i="190"/>
  <c r="Z38" i="190"/>
  <c r="X38" i="190"/>
  <c r="Q38" i="190"/>
  <c r="P38" i="190"/>
  <c r="H38" i="190"/>
  <c r="E38" i="190"/>
  <c r="I38" i="190" s="1"/>
  <c r="AD37" i="190"/>
  <c r="AE37" i="190" s="1"/>
  <c r="AI37" i="190" s="1"/>
  <c r="Y37" i="190" s="1"/>
  <c r="AC37" i="190"/>
  <c r="AB37" i="190"/>
  <c r="Z37" i="190"/>
  <c r="X37" i="190"/>
  <c r="Q37" i="190"/>
  <c r="P37" i="190"/>
  <c r="I37" i="190"/>
  <c r="H37" i="190"/>
  <c r="E37" i="190"/>
  <c r="AD36" i="190"/>
  <c r="AC36" i="190"/>
  <c r="AB36" i="190"/>
  <c r="AE36" i="190" s="1"/>
  <c r="AI36" i="190" s="1"/>
  <c r="Y36" i="190" s="1"/>
  <c r="Z36" i="190"/>
  <c r="X36" i="190"/>
  <c r="Q36" i="190"/>
  <c r="P36" i="190"/>
  <c r="H36" i="190"/>
  <c r="E36" i="190"/>
  <c r="I36" i="190" s="1"/>
  <c r="AD35" i="190"/>
  <c r="AC35" i="190"/>
  <c r="AE35" i="190" s="1"/>
  <c r="AI35" i="190" s="1"/>
  <c r="Y35" i="190" s="1"/>
  <c r="AB35" i="190"/>
  <c r="Z35" i="190"/>
  <c r="X35" i="190"/>
  <c r="Q35" i="190"/>
  <c r="P35" i="190"/>
  <c r="I35" i="190"/>
  <c r="H35" i="190"/>
  <c r="E35" i="190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E33" i="190"/>
  <c r="AI33" i="190" s="1"/>
  <c r="Y33" i="190" s="1"/>
  <c r="AD33" i="190"/>
  <c r="AC33" i="190"/>
  <c r="AB33" i="190"/>
  <c r="Z33" i="190"/>
  <c r="X33" i="190"/>
  <c r="Q33" i="190"/>
  <c r="P33" i="190"/>
  <c r="I33" i="190"/>
  <c r="H33" i="190"/>
  <c r="E33" i="190"/>
  <c r="AE32" i="190"/>
  <c r="AI32" i="190" s="1"/>
  <c r="Y32" i="190" s="1"/>
  <c r="AD32" i="190"/>
  <c r="AC32" i="190"/>
  <c r="AB32" i="190"/>
  <c r="Z32" i="190"/>
  <c r="X32" i="190"/>
  <c r="Q32" i="190"/>
  <c r="P32" i="190"/>
  <c r="H32" i="190"/>
  <c r="E32" i="190"/>
  <c r="I32" i="190" s="1"/>
  <c r="AE31" i="190"/>
  <c r="AI31" i="190" s="1"/>
  <c r="Y31" i="190" s="1"/>
  <c r="Z31" i="190"/>
  <c r="X31" i="190"/>
  <c r="Q31" i="190"/>
  <c r="P31" i="190"/>
  <c r="I31" i="190"/>
  <c r="H31" i="190"/>
  <c r="E31" i="190"/>
  <c r="AD30" i="190"/>
  <c r="AE30" i="190" s="1"/>
  <c r="AI30" i="190" s="1"/>
  <c r="Y30" i="190" s="1"/>
  <c r="AC30" i="190"/>
  <c r="AB30" i="190"/>
  <c r="Z30" i="190"/>
  <c r="X30" i="190"/>
  <c r="Q30" i="190"/>
  <c r="P30" i="190"/>
  <c r="I30" i="190"/>
  <c r="H30" i="190"/>
  <c r="E30" i="190"/>
  <c r="AD29" i="190"/>
  <c r="AC29" i="190"/>
  <c r="AB29" i="190"/>
  <c r="AE29" i="190" s="1"/>
  <c r="AI29" i="190" s="1"/>
  <c r="Y29" i="190" s="1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I28" i="190"/>
  <c r="H28" i="190"/>
  <c r="E28" i="190"/>
  <c r="AD27" i="190"/>
  <c r="AC27" i="190"/>
  <c r="AE27" i="190" s="1"/>
  <c r="AI27" i="190" s="1"/>
  <c r="Y27" i="190" s="1"/>
  <c r="AB27" i="190"/>
  <c r="Z27" i="190"/>
  <c r="X27" i="190"/>
  <c r="Q27" i="190"/>
  <c r="P27" i="190"/>
  <c r="I27" i="190"/>
  <c r="H27" i="190"/>
  <c r="E27" i="190"/>
  <c r="AD26" i="190"/>
  <c r="AC26" i="190"/>
  <c r="AE26" i="190" s="1"/>
  <c r="AI26" i="190" s="1"/>
  <c r="Y26" i="190" s="1"/>
  <c r="AB26" i="190"/>
  <c r="Z26" i="190"/>
  <c r="X26" i="190"/>
  <c r="Q26" i="190"/>
  <c r="P26" i="190"/>
  <c r="H26" i="190"/>
  <c r="E26" i="190"/>
  <c r="I26" i="190" s="1"/>
  <c r="AE25" i="190"/>
  <c r="AI25" i="190" s="1"/>
  <c r="Y25" i="190" s="1"/>
  <c r="AD25" i="190"/>
  <c r="AC25" i="190"/>
  <c r="AB25" i="190"/>
  <c r="Z25" i="190"/>
  <c r="X25" i="190"/>
  <c r="Q25" i="190"/>
  <c r="P25" i="190"/>
  <c r="H25" i="190"/>
  <c r="E25" i="190"/>
  <c r="I25" i="190" s="1"/>
  <c r="AD24" i="190"/>
  <c r="AC24" i="190"/>
  <c r="AB24" i="190"/>
  <c r="AE24" i="190" s="1"/>
  <c r="AI24" i="190" s="1"/>
  <c r="Y24" i="190" s="1"/>
  <c r="Z24" i="190"/>
  <c r="X24" i="190"/>
  <c r="Q24" i="190"/>
  <c r="P24" i="190"/>
  <c r="H24" i="190"/>
  <c r="E24" i="190"/>
  <c r="I24" i="190" s="1"/>
  <c r="AD23" i="190"/>
  <c r="AE23" i="190" s="1"/>
  <c r="AI23" i="190" s="1"/>
  <c r="Y23" i="190" s="1"/>
  <c r="AC23" i="190"/>
  <c r="AB23" i="190"/>
  <c r="Z23" i="190"/>
  <c r="X23" i="190"/>
  <c r="Q23" i="190"/>
  <c r="P23" i="190"/>
  <c r="H23" i="190"/>
  <c r="E23" i="190"/>
  <c r="I23" i="190" s="1"/>
  <c r="AD22" i="190"/>
  <c r="AE22" i="190" s="1"/>
  <c r="AI22" i="190" s="1"/>
  <c r="Y22" i="190" s="1"/>
  <c r="AC22" i="190"/>
  <c r="AB22" i="190"/>
  <c r="Z22" i="190"/>
  <c r="X22" i="190"/>
  <c r="Q22" i="190"/>
  <c r="P22" i="190"/>
  <c r="I22" i="190"/>
  <c r="H22" i="190"/>
  <c r="E22" i="190"/>
  <c r="AD21" i="190"/>
  <c r="AC21" i="190"/>
  <c r="AB21" i="190"/>
  <c r="AE21" i="190" s="1"/>
  <c r="AI21" i="190" s="1"/>
  <c r="Y21" i="190" s="1"/>
  <c r="Z21" i="190"/>
  <c r="X21" i="190"/>
  <c r="Q21" i="190"/>
  <c r="P21" i="190"/>
  <c r="H21" i="190"/>
  <c r="E21" i="190"/>
  <c r="I21" i="190" s="1"/>
  <c r="AD20" i="190"/>
  <c r="AC20" i="190"/>
  <c r="AE20" i="190" s="1"/>
  <c r="AI20" i="190" s="1"/>
  <c r="Y20" i="190" s="1"/>
  <c r="AB20" i="190"/>
  <c r="Z20" i="190"/>
  <c r="X20" i="190"/>
  <c r="Q20" i="190"/>
  <c r="P20" i="190"/>
  <c r="I20" i="190"/>
  <c r="H20" i="190"/>
  <c r="E20" i="190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E18" i="190"/>
  <c r="AI18" i="190" s="1"/>
  <c r="Y18" i="190" s="1"/>
  <c r="AD18" i="190"/>
  <c r="AC18" i="190"/>
  <c r="AB18" i="190"/>
  <c r="Z18" i="190"/>
  <c r="X18" i="190"/>
  <c r="Q18" i="190"/>
  <c r="P18" i="190"/>
  <c r="I18" i="190"/>
  <c r="H18" i="190"/>
  <c r="E18" i="190"/>
  <c r="AE17" i="190"/>
  <c r="AI17" i="190" s="1"/>
  <c r="Y17" i="190" s="1"/>
  <c r="AD17" i="190"/>
  <c r="AC17" i="190"/>
  <c r="AB17" i="190"/>
  <c r="Z17" i="190"/>
  <c r="X17" i="190"/>
  <c r="Q17" i="190"/>
  <c r="P17" i="190"/>
  <c r="H17" i="190"/>
  <c r="E17" i="190"/>
  <c r="I17" i="190" s="1"/>
  <c r="AE16" i="190"/>
  <c r="AI16" i="190" s="1"/>
  <c r="Y16" i="190" s="1"/>
  <c r="AD16" i="190"/>
  <c r="AC16" i="190"/>
  <c r="AB16" i="190"/>
  <c r="Z16" i="190"/>
  <c r="X16" i="190"/>
  <c r="Q16" i="190"/>
  <c r="P16" i="190"/>
  <c r="E16" i="190"/>
  <c r="I16" i="190" s="1"/>
  <c r="AD15" i="190"/>
  <c r="AC15" i="190"/>
  <c r="AE15" i="190" s="1"/>
  <c r="AI15" i="190" s="1"/>
  <c r="Y15" i="190" s="1"/>
  <c r="AB15" i="190"/>
  <c r="Z15" i="190"/>
  <c r="X15" i="190"/>
  <c r="Q15" i="190"/>
  <c r="P15" i="190"/>
  <c r="E15" i="190"/>
  <c r="I15" i="190" s="1"/>
  <c r="AD14" i="190"/>
  <c r="AC14" i="190"/>
  <c r="AB14" i="190"/>
  <c r="AE14" i="190" s="1"/>
  <c r="AI14" i="190" s="1"/>
  <c r="Y14" i="190" s="1"/>
  <c r="Z14" i="190"/>
  <c r="X14" i="190"/>
  <c r="Q14" i="190"/>
  <c r="P14" i="190"/>
  <c r="H14" i="190"/>
  <c r="E14" i="190"/>
  <c r="I14" i="190" s="1"/>
  <c r="AD13" i="190"/>
  <c r="AE13" i="190" s="1"/>
  <c r="AI13" i="190" s="1"/>
  <c r="Y13" i="190" s="1"/>
  <c r="AC13" i="190"/>
  <c r="AB13" i="190"/>
  <c r="Z13" i="190"/>
  <c r="X13" i="190"/>
  <c r="Q13" i="190"/>
  <c r="P13" i="190"/>
  <c r="H13" i="190"/>
  <c r="E13" i="190"/>
  <c r="I13" i="190" s="1"/>
  <c r="AD12" i="190"/>
  <c r="AE12" i="190" s="1"/>
  <c r="AI12" i="190" s="1"/>
  <c r="Y12" i="190" s="1"/>
  <c r="AC12" i="190"/>
  <c r="AB12" i="190"/>
  <c r="Z12" i="190"/>
  <c r="T75" i="190" s="1"/>
  <c r="X12" i="190"/>
  <c r="T77" i="190" s="1"/>
  <c r="Q12" i="190"/>
  <c r="P12" i="190"/>
  <c r="I12" i="190"/>
  <c r="F73" i="190" s="1"/>
  <c r="H12" i="190"/>
  <c r="E12" i="190"/>
  <c r="M79" i="189"/>
  <c r="T77" i="189"/>
  <c r="P71" i="189"/>
  <c r="H71" i="189"/>
  <c r="Q70" i="189"/>
  <c r="P70" i="189"/>
  <c r="I70" i="189"/>
  <c r="H70" i="189"/>
  <c r="E70" i="189"/>
  <c r="Q69" i="189"/>
  <c r="P69" i="189"/>
  <c r="H69" i="189"/>
  <c r="E69" i="189"/>
  <c r="I69" i="189" s="1"/>
  <c r="AD68" i="189"/>
  <c r="AC68" i="189"/>
  <c r="AB68" i="189"/>
  <c r="AE68" i="189" s="1"/>
  <c r="AI68" i="189" s="1"/>
  <c r="Y68" i="189" s="1"/>
  <c r="Z68" i="189"/>
  <c r="X68" i="189"/>
  <c r="Q68" i="189"/>
  <c r="P68" i="189"/>
  <c r="H68" i="189"/>
  <c r="E68" i="189"/>
  <c r="I68" i="189" s="1"/>
  <c r="AD67" i="189"/>
  <c r="AC67" i="189"/>
  <c r="AE67" i="189" s="1"/>
  <c r="AI67" i="189" s="1"/>
  <c r="Y67" i="189" s="1"/>
  <c r="AB67" i="189"/>
  <c r="Z67" i="189"/>
  <c r="X67" i="189"/>
  <c r="Q67" i="189"/>
  <c r="P67" i="189"/>
  <c r="I67" i="189"/>
  <c r="H67" i="189"/>
  <c r="E67" i="189"/>
  <c r="AD66" i="189"/>
  <c r="AC66" i="189"/>
  <c r="AB66" i="189"/>
  <c r="AE66" i="189" s="1"/>
  <c r="AI66" i="189" s="1"/>
  <c r="Y66" i="189" s="1"/>
  <c r="Z66" i="189"/>
  <c r="X66" i="189"/>
  <c r="Q66" i="189"/>
  <c r="P66" i="189"/>
  <c r="I66" i="189"/>
  <c r="H66" i="189"/>
  <c r="E66" i="189"/>
  <c r="AE65" i="189"/>
  <c r="AI65" i="189" s="1"/>
  <c r="Y65" i="189" s="1"/>
  <c r="AD65" i="189"/>
  <c r="AC65" i="189"/>
  <c r="AB65" i="189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E63" i="189" s="1"/>
  <c r="AI63" i="189" s="1"/>
  <c r="Y63" i="189" s="1"/>
  <c r="AB63" i="189"/>
  <c r="Z63" i="189"/>
  <c r="X63" i="189"/>
  <c r="Q63" i="189"/>
  <c r="P63" i="189"/>
  <c r="H63" i="189"/>
  <c r="E63" i="189"/>
  <c r="I63" i="189" s="1"/>
  <c r="AD62" i="189"/>
  <c r="AE62" i="189" s="1"/>
  <c r="AI62" i="189" s="1"/>
  <c r="Y62" i="189" s="1"/>
  <c r="AC62" i="189"/>
  <c r="AB62" i="189"/>
  <c r="Z62" i="189"/>
  <c r="X62" i="189"/>
  <c r="Q62" i="189"/>
  <c r="P62" i="189"/>
  <c r="I62" i="189"/>
  <c r="H62" i="189"/>
  <c r="E62" i="189"/>
  <c r="AC61" i="189"/>
  <c r="AB61" i="189"/>
  <c r="AE61" i="189" s="1"/>
  <c r="AI61" i="189" s="1"/>
  <c r="Y61" i="189" s="1"/>
  <c r="X61" i="189"/>
  <c r="Q61" i="189"/>
  <c r="P61" i="189"/>
  <c r="I61" i="189"/>
  <c r="H61" i="189"/>
  <c r="E61" i="189"/>
  <c r="AI60" i="189"/>
  <c r="AE60" i="189"/>
  <c r="Y60" i="189"/>
  <c r="X60" i="189"/>
  <c r="Q60" i="189"/>
  <c r="P60" i="189"/>
  <c r="H60" i="189"/>
  <c r="E60" i="189"/>
  <c r="I60" i="189" s="1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H57" i="189"/>
  <c r="E57" i="189"/>
  <c r="I57" i="189" s="1"/>
  <c r="AD56" i="189"/>
  <c r="AC56" i="189"/>
  <c r="AB56" i="189"/>
  <c r="AE56" i="189" s="1"/>
  <c r="AI56" i="189" s="1"/>
  <c r="Y56" i="189" s="1"/>
  <c r="Z56" i="189"/>
  <c r="X56" i="189"/>
  <c r="Q56" i="189"/>
  <c r="P56" i="189"/>
  <c r="H56" i="189"/>
  <c r="E56" i="189"/>
  <c r="I56" i="189" s="1"/>
  <c r="AD55" i="189"/>
  <c r="AC55" i="189"/>
  <c r="AB55" i="189"/>
  <c r="AE55" i="189" s="1"/>
  <c r="AI55" i="189" s="1"/>
  <c r="Y55" i="189" s="1"/>
  <c r="Z55" i="189"/>
  <c r="X55" i="189"/>
  <c r="Q55" i="189"/>
  <c r="P55" i="189"/>
  <c r="H55" i="189"/>
  <c r="E55" i="189"/>
  <c r="I55" i="189" s="1"/>
  <c r="AD54" i="189"/>
  <c r="AC54" i="189"/>
  <c r="AE54" i="189" s="1"/>
  <c r="AI54" i="189" s="1"/>
  <c r="Y54" i="189" s="1"/>
  <c r="AB54" i="189"/>
  <c r="Z54" i="189"/>
  <c r="X54" i="189"/>
  <c r="Q54" i="189"/>
  <c r="P54" i="189"/>
  <c r="I54" i="189"/>
  <c r="H54" i="189"/>
  <c r="E54" i="189"/>
  <c r="AD53" i="189"/>
  <c r="AE53" i="189" s="1"/>
  <c r="AI53" i="189" s="1"/>
  <c r="Y53" i="189" s="1"/>
  <c r="AC53" i="189"/>
  <c r="AB53" i="189"/>
  <c r="Z53" i="189"/>
  <c r="X53" i="189"/>
  <c r="Q53" i="189"/>
  <c r="P53" i="189"/>
  <c r="I53" i="189"/>
  <c r="H53" i="189"/>
  <c r="E53" i="189"/>
  <c r="AE52" i="189"/>
  <c r="AI52" i="189" s="1"/>
  <c r="Y52" i="189" s="1"/>
  <c r="Z52" i="189"/>
  <c r="X52" i="189"/>
  <c r="Q52" i="189"/>
  <c r="P52" i="189"/>
  <c r="H52" i="189"/>
  <c r="E52" i="189"/>
  <c r="I52" i="189" s="1"/>
  <c r="AD51" i="189"/>
  <c r="AC51" i="189"/>
  <c r="AE51" i="189" s="1"/>
  <c r="AI51" i="189" s="1"/>
  <c r="Y51" i="189" s="1"/>
  <c r="AB51" i="189"/>
  <c r="Z51" i="189"/>
  <c r="X51" i="189"/>
  <c r="Q51" i="189"/>
  <c r="P51" i="189"/>
  <c r="I51" i="189"/>
  <c r="H51" i="189"/>
  <c r="E51" i="189"/>
  <c r="AD50" i="189"/>
  <c r="AC50" i="189"/>
  <c r="AB50" i="189"/>
  <c r="AE50" i="189" s="1"/>
  <c r="AI50" i="189" s="1"/>
  <c r="Y50" i="189" s="1"/>
  <c r="Z50" i="189"/>
  <c r="X50" i="189"/>
  <c r="Q50" i="189"/>
  <c r="P50" i="189"/>
  <c r="I50" i="189"/>
  <c r="H50" i="189"/>
  <c r="E50" i="189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E47" i="189"/>
  <c r="AI47" i="189" s="1"/>
  <c r="Y47" i="189" s="1"/>
  <c r="Z47" i="189"/>
  <c r="X47" i="189"/>
  <c r="Q47" i="189"/>
  <c r="P47" i="189"/>
  <c r="H47" i="189"/>
  <c r="E47" i="189"/>
  <c r="I47" i="189" s="1"/>
  <c r="AD46" i="189"/>
  <c r="AC46" i="189"/>
  <c r="AE46" i="189" s="1"/>
  <c r="AI46" i="189" s="1"/>
  <c r="Y46" i="189" s="1"/>
  <c r="AB46" i="189"/>
  <c r="Z46" i="189"/>
  <c r="X46" i="189"/>
  <c r="Q46" i="189"/>
  <c r="P46" i="189"/>
  <c r="I46" i="189"/>
  <c r="H46" i="189"/>
  <c r="E46" i="189"/>
  <c r="AD45" i="189"/>
  <c r="AE45" i="189" s="1"/>
  <c r="AI45" i="189" s="1"/>
  <c r="Y45" i="189" s="1"/>
  <c r="AC45" i="189"/>
  <c r="AB45" i="189"/>
  <c r="Z45" i="189"/>
  <c r="X45" i="189"/>
  <c r="Q45" i="189"/>
  <c r="P45" i="189"/>
  <c r="H45" i="189"/>
  <c r="E45" i="189"/>
  <c r="I45" i="189" s="1"/>
  <c r="AD44" i="189"/>
  <c r="AC44" i="189"/>
  <c r="AB44" i="189"/>
  <c r="AE44" i="189" s="1"/>
  <c r="AI44" i="189" s="1"/>
  <c r="Y44" i="189" s="1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H43" i="189"/>
  <c r="E43" i="189"/>
  <c r="I43" i="189" s="1"/>
  <c r="AD42" i="189"/>
  <c r="AC42" i="189"/>
  <c r="AE42" i="189" s="1"/>
  <c r="AI42" i="189" s="1"/>
  <c r="Y42" i="189" s="1"/>
  <c r="AB42" i="189"/>
  <c r="Z42" i="189"/>
  <c r="X42" i="189"/>
  <c r="Q42" i="189"/>
  <c r="P42" i="189"/>
  <c r="I42" i="189"/>
  <c r="H42" i="189"/>
  <c r="E42" i="189"/>
  <c r="AD41" i="189"/>
  <c r="AE41" i="189" s="1"/>
  <c r="AI41" i="189" s="1"/>
  <c r="Y41" i="189" s="1"/>
  <c r="AC41" i="189"/>
  <c r="AB41" i="189"/>
  <c r="Z41" i="189"/>
  <c r="X41" i="189"/>
  <c r="Q41" i="189"/>
  <c r="P41" i="189"/>
  <c r="I41" i="189"/>
  <c r="H41" i="189"/>
  <c r="E41" i="189"/>
  <c r="AE40" i="189"/>
  <c r="AI40" i="189" s="1"/>
  <c r="Y40" i="189" s="1"/>
  <c r="AD40" i="189"/>
  <c r="AC40" i="189"/>
  <c r="AB40" i="189"/>
  <c r="Z40" i="189"/>
  <c r="X40" i="189"/>
  <c r="Q40" i="189"/>
  <c r="P40" i="189"/>
  <c r="H40" i="189"/>
  <c r="E40" i="189"/>
  <c r="I40" i="189" s="1"/>
  <c r="AD39" i="189"/>
  <c r="AC39" i="189"/>
  <c r="AB39" i="189"/>
  <c r="AE39" i="189" s="1"/>
  <c r="AI39" i="189" s="1"/>
  <c r="Y39" i="189" s="1"/>
  <c r="Z39" i="189"/>
  <c r="X39" i="189"/>
  <c r="Q39" i="189"/>
  <c r="P39" i="189"/>
  <c r="H39" i="189"/>
  <c r="E39" i="189"/>
  <c r="I39" i="189" s="1"/>
  <c r="AD38" i="189"/>
  <c r="AC38" i="189"/>
  <c r="AE38" i="189" s="1"/>
  <c r="AI38" i="189" s="1"/>
  <c r="Y38" i="189" s="1"/>
  <c r="AB38" i="189"/>
  <c r="Z38" i="189"/>
  <c r="X38" i="189"/>
  <c r="Q38" i="189"/>
  <c r="P38" i="189"/>
  <c r="I38" i="189"/>
  <c r="H38" i="189"/>
  <c r="E38" i="189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E36" i="189"/>
  <c r="AI36" i="189" s="1"/>
  <c r="Y36" i="189" s="1"/>
  <c r="AD36" i="189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E34" i="189" s="1"/>
  <c r="AI34" i="189" s="1"/>
  <c r="Y34" i="189" s="1"/>
  <c r="AB34" i="189"/>
  <c r="Z34" i="189"/>
  <c r="X34" i="189"/>
  <c r="Q34" i="189"/>
  <c r="P34" i="189"/>
  <c r="I34" i="189"/>
  <c r="H34" i="189"/>
  <c r="E34" i="189"/>
  <c r="AD33" i="189"/>
  <c r="AE33" i="189" s="1"/>
  <c r="AI33" i="189" s="1"/>
  <c r="Y33" i="189" s="1"/>
  <c r="AC33" i="189"/>
  <c r="AB33" i="189"/>
  <c r="Z33" i="189"/>
  <c r="X33" i="189"/>
  <c r="Q33" i="189"/>
  <c r="P33" i="189"/>
  <c r="I33" i="189"/>
  <c r="H33" i="189"/>
  <c r="E33" i="189"/>
  <c r="AD32" i="189"/>
  <c r="AC32" i="189"/>
  <c r="AB32" i="189"/>
  <c r="AE32" i="189" s="1"/>
  <c r="AI32" i="189" s="1"/>
  <c r="Y32" i="189" s="1"/>
  <c r="Z32" i="189"/>
  <c r="X32" i="189"/>
  <c r="Q32" i="189"/>
  <c r="P32" i="189"/>
  <c r="H32" i="189"/>
  <c r="E32" i="189"/>
  <c r="I32" i="189" s="1"/>
  <c r="AI31" i="189"/>
  <c r="Y31" i="189" s="1"/>
  <c r="AE31" i="189"/>
  <c r="Z31" i="189"/>
  <c r="X31" i="189"/>
  <c r="Q31" i="189"/>
  <c r="P31" i="189"/>
  <c r="I31" i="189"/>
  <c r="H31" i="189"/>
  <c r="E31" i="189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D29" i="189"/>
  <c r="AC29" i="189"/>
  <c r="AB29" i="189"/>
  <c r="AE29" i="189" s="1"/>
  <c r="AI29" i="189" s="1"/>
  <c r="Y29" i="189" s="1"/>
  <c r="Z29" i="189"/>
  <c r="X29" i="189"/>
  <c r="Q29" i="189"/>
  <c r="P29" i="189"/>
  <c r="H29" i="189"/>
  <c r="E29" i="189"/>
  <c r="I29" i="189" s="1"/>
  <c r="AD28" i="189"/>
  <c r="AC28" i="189"/>
  <c r="AB28" i="189"/>
  <c r="AE28" i="189" s="1"/>
  <c r="AI28" i="189" s="1"/>
  <c r="Y28" i="189" s="1"/>
  <c r="Z28" i="189"/>
  <c r="X28" i="189"/>
  <c r="Q28" i="189"/>
  <c r="P28" i="189"/>
  <c r="H28" i="189"/>
  <c r="E28" i="189"/>
  <c r="I28" i="189" s="1"/>
  <c r="AD27" i="189"/>
  <c r="AC27" i="189"/>
  <c r="AE27" i="189" s="1"/>
  <c r="AI27" i="189" s="1"/>
  <c r="Y27" i="189" s="1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I26" i="189"/>
  <c r="H26" i="189"/>
  <c r="E26" i="189"/>
  <c r="AE25" i="189"/>
  <c r="AI25" i="189" s="1"/>
  <c r="Y25" i="189" s="1"/>
  <c r="AD25" i="189"/>
  <c r="AC25" i="189"/>
  <c r="AB25" i="189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H24" i="189"/>
  <c r="E24" i="189"/>
  <c r="I24" i="189" s="1"/>
  <c r="AD23" i="189"/>
  <c r="AC23" i="189"/>
  <c r="AE23" i="189" s="1"/>
  <c r="AI23" i="189" s="1"/>
  <c r="Y23" i="189" s="1"/>
  <c r="AB23" i="189"/>
  <c r="Z23" i="189"/>
  <c r="X23" i="189"/>
  <c r="Q23" i="189"/>
  <c r="P23" i="189"/>
  <c r="I23" i="189"/>
  <c r="H23" i="189"/>
  <c r="E23" i="189"/>
  <c r="AD22" i="189"/>
  <c r="AC22" i="189"/>
  <c r="AB22" i="189"/>
  <c r="AE22" i="189" s="1"/>
  <c r="AI22" i="189" s="1"/>
  <c r="Y22" i="189" s="1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Z20" i="189"/>
  <c r="X20" i="189"/>
  <c r="Q20" i="189"/>
  <c r="P20" i="189"/>
  <c r="H20" i="189"/>
  <c r="E20" i="189"/>
  <c r="I20" i="189" s="1"/>
  <c r="AD19" i="189"/>
  <c r="AC19" i="189"/>
  <c r="AE19" i="189" s="1"/>
  <c r="AI19" i="189" s="1"/>
  <c r="Y19" i="189" s="1"/>
  <c r="AB19" i="189"/>
  <c r="Z19" i="189"/>
  <c r="X19" i="189"/>
  <c r="Q19" i="189"/>
  <c r="P19" i="189"/>
  <c r="I19" i="189"/>
  <c r="H19" i="189"/>
  <c r="E19" i="189"/>
  <c r="AD18" i="189"/>
  <c r="AE18" i="189" s="1"/>
  <c r="AI18" i="189" s="1"/>
  <c r="Y18" i="189" s="1"/>
  <c r="AC18" i="189"/>
  <c r="AB18" i="189"/>
  <c r="Z18" i="189"/>
  <c r="X18" i="189"/>
  <c r="Q18" i="189"/>
  <c r="P18" i="189"/>
  <c r="I18" i="189"/>
  <c r="H18" i="189"/>
  <c r="E18" i="189"/>
  <c r="AD17" i="189"/>
  <c r="AC17" i="189"/>
  <c r="AB17" i="189"/>
  <c r="AE17" i="189" s="1"/>
  <c r="AI17" i="189" s="1"/>
  <c r="Y17" i="189" s="1"/>
  <c r="Z17" i="189"/>
  <c r="X17" i="189"/>
  <c r="Q17" i="189"/>
  <c r="P17" i="189"/>
  <c r="H17" i="189"/>
  <c r="E17" i="189"/>
  <c r="I17" i="189" s="1"/>
  <c r="AD16" i="189"/>
  <c r="AC16" i="189"/>
  <c r="AB16" i="189"/>
  <c r="AE16" i="189" s="1"/>
  <c r="AI16" i="189" s="1"/>
  <c r="Y16" i="189" s="1"/>
  <c r="Z16" i="189"/>
  <c r="X16" i="189"/>
  <c r="Q16" i="189"/>
  <c r="P16" i="189"/>
  <c r="E16" i="189"/>
  <c r="I16" i="189" s="1"/>
  <c r="AD15" i="189"/>
  <c r="AC15" i="189"/>
  <c r="AB15" i="189"/>
  <c r="AE15" i="189" s="1"/>
  <c r="AI15" i="189" s="1"/>
  <c r="Y15" i="189" s="1"/>
  <c r="Z15" i="189"/>
  <c r="X15" i="189"/>
  <c r="Q15" i="189"/>
  <c r="P15" i="189"/>
  <c r="E15" i="189"/>
  <c r="I15" i="189" s="1"/>
  <c r="AD14" i="189"/>
  <c r="AC14" i="189"/>
  <c r="AB14" i="189"/>
  <c r="AE14" i="189" s="1"/>
  <c r="AI14" i="189" s="1"/>
  <c r="Y14" i="189" s="1"/>
  <c r="Z14" i="189"/>
  <c r="X14" i="189"/>
  <c r="Q14" i="189"/>
  <c r="P14" i="189"/>
  <c r="H14" i="189"/>
  <c r="E14" i="189"/>
  <c r="I14" i="189" s="1"/>
  <c r="AD13" i="189"/>
  <c r="AC13" i="189"/>
  <c r="AE13" i="189" s="1"/>
  <c r="AI13" i="189" s="1"/>
  <c r="Y13" i="189" s="1"/>
  <c r="AB13" i="189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T75" i="189" s="1"/>
  <c r="X12" i="189"/>
  <c r="Q12" i="189"/>
  <c r="P12" i="189"/>
  <c r="I12" i="189"/>
  <c r="H12" i="189"/>
  <c r="E12" i="189"/>
  <c r="F77" i="191" l="1"/>
  <c r="O73" i="190"/>
  <c r="O75" i="190"/>
  <c r="F75" i="190"/>
  <c r="T73" i="190"/>
  <c r="T79" i="190" s="1"/>
  <c r="F77" i="190" s="1"/>
  <c r="O73" i="189"/>
  <c r="O75" i="189"/>
  <c r="F73" i="189"/>
  <c r="F75" i="189"/>
  <c r="T73" i="189"/>
  <c r="T79" i="189" s="1"/>
  <c r="M79" i="188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7" i="189" l="1"/>
  <c r="F73" i="188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<sst xmlns="http://schemas.openxmlformats.org/spreadsheetml/2006/main" count="3384" uniqueCount="134">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</sst>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15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30" xfId="1" applyNumberFormat="1" applyFont="1" applyFill="1" applyBorder="1" applyAlignment="1" applyProtection="1">
      <alignment horizontal="center" vertical="center"/>
      <protection locked="0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195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195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175500</v>
      </c>
      <c r="P73" s="254"/>
      <c r="Q73" s="255"/>
      <c r="R73" s="152"/>
      <c r="S73" s="159" t="s">
        <v>104</v>
      </c>
      <c r="T73" s="258">
        <f>SUM(Y12:Y68)</f>
        <v>0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154440</v>
      </c>
      <c r="P75" s="254"/>
      <c r="Q75" s="255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-175500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0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196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196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189252</v>
      </c>
      <c r="P73" s="254"/>
      <c r="Q73" s="255"/>
      <c r="R73" s="152"/>
      <c r="S73" s="159" t="s">
        <v>104</v>
      </c>
      <c r="T73" s="258">
        <f>SUM(Y12:Y68)</f>
        <v>0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162576</v>
      </c>
      <c r="P75" s="254"/>
      <c r="Q75" s="255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-189252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0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197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197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203796</v>
      </c>
      <c r="P73" s="254"/>
      <c r="Q73" s="255"/>
      <c r="R73" s="152"/>
      <c r="S73" s="159" t="s">
        <v>104</v>
      </c>
      <c r="T73" s="258">
        <f>SUM(Y12:Y68)</f>
        <v>0</v>
      </c>
      <c r="U73" s="259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203796</v>
      </c>
      <c r="P75" s="254"/>
      <c r="Q75" s="255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-203796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0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198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198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203796</v>
      </c>
      <c r="P73" s="254"/>
      <c r="Q73" s="255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203796</v>
      </c>
      <c r="P75" s="254"/>
      <c r="Q75" s="255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444054.95999999996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>
        <v>688500</v>
      </c>
      <c r="Q79" s="272"/>
      <c r="R79" s="152"/>
      <c r="S79" s="159" t="s">
        <v>112</v>
      </c>
      <c r="T79" s="258">
        <f>T77+T73+T75</f>
        <v>60845.04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199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199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200880</v>
      </c>
      <c r="P73" s="254"/>
      <c r="Q73" s="255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191808</v>
      </c>
      <c r="P75" s="254"/>
      <c r="Q75" s="255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1135470.96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60845.04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00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00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190512</v>
      </c>
      <c r="P73" s="254"/>
      <c r="Q73" s="255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190512</v>
      </c>
      <c r="P75" s="254"/>
      <c r="Q75" s="255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1145838.96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60845.04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01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01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141984</v>
      </c>
      <c r="P73" s="254"/>
      <c r="Q73" s="255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108936</v>
      </c>
      <c r="P75" s="254"/>
      <c r="Q75" s="255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1194366.96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60845.04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01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01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11286</v>
      </c>
      <c r="P73" s="254"/>
      <c r="Q73" s="255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11286</v>
      </c>
      <c r="P75" s="254"/>
      <c r="Q75" s="255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-11286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0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C7F5-F32A-4FE9-98F8-76B2AF55246A}">
  <sheetPr>
    <tabColor rgb="FF00B050"/>
    <pageSetUpPr fitToPage="1"/>
  </sheetPr>
  <dimension ref="A1:AJ100"/>
  <sheetViews>
    <sheetView showGridLines="0" topLeftCell="A22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02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02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1080</v>
      </c>
      <c r="N16" s="193"/>
      <c r="O16" s="51"/>
      <c r="P16" s="52" t="str">
        <f t="shared" si="5"/>
        <v>10 pallets</v>
      </c>
      <c r="Q16" s="53">
        <f t="shared" si="6"/>
        <v>119880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175032</v>
      </c>
      <c r="P73" s="254"/>
      <c r="Q73" s="255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135828</v>
      </c>
      <c r="P75" s="254"/>
      <c r="Q75" s="255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-175032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0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1B28-3EFA-4481-BE92-8C35861F5EC6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F1" activePane="topRight" state="frozen"/>
      <selection activeCell="N14" sqref="N14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02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02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0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5670</v>
      </c>
      <c r="P73" s="254"/>
      <c r="Q73" s="255"/>
      <c r="R73" s="152"/>
      <c r="S73" s="159" t="s">
        <v>104</v>
      </c>
      <c r="T73" s="258">
        <f>SUM(Y12:Y68)</f>
        <v>0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0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5670</v>
      </c>
      <c r="P75" s="254"/>
      <c r="Q75" s="255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-5670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0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FED71-2683-44BB-AE96-534F7291C55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P87" sqref="P8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03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03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2020.41</v>
      </c>
      <c r="Z20" s="36">
        <f t="shared" si="8"/>
        <v>220.5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1377504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203796</v>
      </c>
      <c r="P73" s="254"/>
      <c r="Q73" s="255"/>
      <c r="R73" s="152"/>
      <c r="S73" s="159" t="s">
        <v>104</v>
      </c>
      <c r="T73" s="258">
        <f>SUM(Y12:Y68)</f>
        <v>53238.33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1377504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203796</v>
      </c>
      <c r="P75" s="254"/>
      <c r="Q75" s="255"/>
      <c r="R75" s="152"/>
      <c r="S75" s="159" t="s">
        <v>129</v>
      </c>
      <c r="T75" s="258">
        <f>SUM(Z12:Z70)</f>
        <v>6268.5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771771.40999999992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>
        <v>25568</v>
      </c>
      <c r="Q77" s="272"/>
      <c r="R77" s="152"/>
      <c r="S77" s="159" t="s">
        <v>108</v>
      </c>
      <c r="T77" s="258">
        <f>IF(SUM(X12:X68)*0.15&gt;P77,P77,SUM(X12:X68)*0.15)</f>
        <v>25568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>
        <f>197532+119329.76</f>
        <v>316861.76</v>
      </c>
      <c r="Q79" s="272"/>
      <c r="R79" s="152"/>
      <c r="S79" s="159" t="s">
        <v>112</v>
      </c>
      <c r="T79" s="258">
        <f>T77+T73+T75</f>
        <v>85074.83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CE033-2E5B-4DE4-92C2-A147BAF4630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04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04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203796</v>
      </c>
      <c r="P73" s="254"/>
      <c r="Q73" s="255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203796</v>
      </c>
      <c r="P75" s="254"/>
      <c r="Q75" s="255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1132554.96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60845.04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9E8B-6E15-45CD-BD17-F50F68314ED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05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05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178488</v>
      </c>
      <c r="P73" s="254"/>
      <c r="Q73" s="255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178488</v>
      </c>
      <c r="P75" s="254"/>
      <c r="Q75" s="255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1157862.96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60845.04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06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06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>
        <v>96</v>
      </c>
      <c r="O15" s="51"/>
      <c r="P15" s="52" t="str">
        <f t="shared" si="5"/>
        <v>3 pallets</v>
      </c>
      <c r="Q15" s="53">
        <f t="shared" si="6"/>
        <v>29376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194292</v>
      </c>
      <c r="P73" s="254"/>
      <c r="Q73" s="255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161244</v>
      </c>
      <c r="P75" s="254"/>
      <c r="Q75" s="255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1142058.96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60845.04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AEF1B-DF76-4E18-86F7-518D0D7374A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07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07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203796</v>
      </c>
      <c r="P73" s="254"/>
      <c r="Q73" s="255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203796</v>
      </c>
      <c r="P75" s="254"/>
      <c r="Q75" s="255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1054496.3799999999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>
        <v>20876.580000000002</v>
      </c>
      <c r="Q77" s="272"/>
      <c r="R77" s="152"/>
      <c r="S77" s="159" t="s">
        <v>108</v>
      </c>
      <c r="T77" s="258">
        <f>IF(SUM(X12:X68)*0.15&gt;P77,P77,SUM(X12:X68)*0.15)</f>
        <v>20876.580000000002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>
        <v>57182</v>
      </c>
      <c r="Q79" s="272"/>
      <c r="R79" s="152"/>
      <c r="S79" s="159" t="s">
        <v>112</v>
      </c>
      <c r="T79" s="258">
        <f>T77+T73+T75</f>
        <v>81721.62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2D24-C084-434A-A5F3-C460F7F4573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C17" sqref="C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08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08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949968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806112</v>
      </c>
      <c r="Y13" s="57">
        <f>F13*AI13</f>
        <v>38413.440000000002</v>
      </c>
      <c r="Z13" s="36">
        <f t="shared" ref="Z13:Z56" si="8">IF($U$6="x",(F13*3.5),"")</f>
        <v>4536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192</v>
      </c>
      <c r="G15" s="47">
        <v>96</v>
      </c>
      <c r="H15" s="64"/>
      <c r="I15" s="49">
        <f t="shared" si="4"/>
        <v>149952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128640</v>
      </c>
      <c r="Y15" s="57">
        <f>F15*AI15</f>
        <v>5779.2000000000007</v>
      </c>
      <c r="Z15" s="36">
        <f t="shared" si="8"/>
        <v>672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216</v>
      </c>
      <c r="G16" s="47">
        <v>108</v>
      </c>
      <c r="H16" s="64"/>
      <c r="I16" s="49">
        <f t="shared" si="4"/>
        <v>164376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140400</v>
      </c>
      <c r="Y16" s="57">
        <f>F16*AI16</f>
        <v>6402.24</v>
      </c>
      <c r="Z16" s="36">
        <f t="shared" si="8"/>
        <v>756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1338600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203796</v>
      </c>
      <c r="P73" s="254"/>
      <c r="Q73" s="255"/>
      <c r="R73" s="152"/>
      <c r="S73" s="159" t="s">
        <v>104</v>
      </c>
      <c r="T73" s="258">
        <f>SUM(Y12:Y68)</f>
        <v>52853.52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314328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203796</v>
      </c>
      <c r="P75" s="254"/>
      <c r="Q75" s="255"/>
      <c r="R75" s="152"/>
      <c r="S75" s="159" t="s">
        <v>129</v>
      </c>
      <c r="T75" s="258">
        <f>SUM(Z12:Z70)</f>
        <v>6216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1074874.73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>
        <v>859.75</v>
      </c>
      <c r="Q77" s="272"/>
      <c r="R77" s="152"/>
      <c r="S77" s="159" t="s">
        <v>108</v>
      </c>
      <c r="T77" s="258">
        <f>IF(SUM(X12:X68)*0.15&gt;P77,P77,SUM(X12:X68)*0.15)</f>
        <v>859.75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59929.27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E838-7F69-4BC9-9292-1C978513D1D0}">
  <sheetPr>
    <tabColor rgb="FF00B050"/>
    <pageSetUpPr fitToPage="1"/>
  </sheetPr>
  <dimension ref="A1:AJ100"/>
  <sheetViews>
    <sheetView showGridLines="0" topLeftCell="A13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09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09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203796</v>
      </c>
      <c r="P73" s="254"/>
      <c r="Q73" s="255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203796</v>
      </c>
      <c r="P75" s="254"/>
      <c r="Q75" s="255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1132554.96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60845.04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CBFC-3399-42F3-A885-9C55069E67E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10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10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1397196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194940</v>
      </c>
      <c r="P73" s="254"/>
      <c r="Q73" s="255"/>
      <c r="R73" s="152"/>
      <c r="S73" s="159" t="s">
        <v>104</v>
      </c>
      <c r="T73" s="258">
        <f>SUM(Y12:Y68)</f>
        <v>54419.040000000001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1397196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194940</v>
      </c>
      <c r="P75" s="254"/>
      <c r="Q75" s="255"/>
      <c r="R75" s="152"/>
      <c r="S75" s="159" t="s">
        <v>129</v>
      </c>
      <c r="T75" s="258">
        <f>SUM(Z12:Z70)</f>
        <v>6426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1141410.94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>
        <v>0.02</v>
      </c>
      <c r="Q77" s="272"/>
      <c r="R77" s="152"/>
      <c r="S77" s="159" t="s">
        <v>108</v>
      </c>
      <c r="T77" s="258">
        <f>IF(SUM(X12:X68)*0.15&gt;P77,P77,SUM(X12:X68)*0.15)</f>
        <v>0.02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60845.06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388C9-0B2D-45E5-9096-1F4C7DBF623F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N14" sqref="N14"/>
      <selection pane="topRight" activeCell="F33" sqref="F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11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11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>
        <f>4+4</f>
        <v>8</v>
      </c>
      <c r="G33" s="47">
        <v>100</v>
      </c>
      <c r="H33" s="64" t="str">
        <f t="shared" si="11"/>
        <v>0.1 pallets</v>
      </c>
      <c r="I33" s="49">
        <f t="shared" si="4"/>
        <v>13336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13336</v>
      </c>
      <c r="Y33" s="57">
        <f t="shared" si="0"/>
        <v>246.07999999999998</v>
      </c>
      <c r="Z33" s="36">
        <f t="shared" si="8"/>
        <v>28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1410532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0</v>
      </c>
      <c r="P73" s="254"/>
      <c r="Q73" s="255"/>
      <c r="R73" s="152"/>
      <c r="S73" s="159" t="s">
        <v>104</v>
      </c>
      <c r="T73" s="258">
        <f>SUM(Y12:Y68)</f>
        <v>54665.120000000003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1410532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0</v>
      </c>
      <c r="P75" s="254"/>
      <c r="Q75" s="255"/>
      <c r="R75" s="152"/>
      <c r="S75" s="159" t="s">
        <v>129</v>
      </c>
      <c r="T75" s="258">
        <f>SUM(Z12:Z70)</f>
        <v>6454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1349412.88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61119.12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F4480-8300-424B-A9D9-CCB272FF41A6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N14" sqref="N14"/>
      <selection pane="topRight" activeCell="P78" sqref="P7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12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12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>
        <v>3</v>
      </c>
      <c r="G35" s="47">
        <v>100</v>
      </c>
      <c r="H35" s="64" t="str">
        <f t="shared" si="11"/>
        <v>0 pallets</v>
      </c>
      <c r="I35" s="49">
        <f t="shared" si="4"/>
        <v>3525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3525</v>
      </c>
      <c r="Y35" s="57">
        <f t="shared" si="0"/>
        <v>84.48</v>
      </c>
      <c r="Z35" s="36">
        <f t="shared" si="8"/>
        <v>10.5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>
        <v>3</v>
      </c>
      <c r="G37" s="47">
        <v>100</v>
      </c>
      <c r="H37" s="64" t="str">
        <f t="shared" si="11"/>
        <v>0 pallets</v>
      </c>
      <c r="I37" s="49">
        <f t="shared" si="4"/>
        <v>4746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4746</v>
      </c>
      <c r="Y37" s="57">
        <f t="shared" si="0"/>
        <v>84.48</v>
      </c>
      <c r="Z37" s="36">
        <f t="shared" si="8"/>
        <v>10.5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>
        <v>1</v>
      </c>
      <c r="G38" s="71">
        <v>100</v>
      </c>
      <c r="H38" s="72" t="str">
        <f t="shared" si="11"/>
        <v>0 pallets</v>
      </c>
      <c r="I38" s="73">
        <f t="shared" si="4"/>
        <v>1582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1582</v>
      </c>
      <c r="Y38" s="57">
        <f t="shared" si="0"/>
        <v>28.16</v>
      </c>
      <c r="Z38" s="36">
        <f t="shared" si="8"/>
        <v>3.5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1407049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164916</v>
      </c>
      <c r="P73" s="254"/>
      <c r="Q73" s="255"/>
      <c r="R73" s="152"/>
      <c r="S73" s="159" t="s">
        <v>104</v>
      </c>
      <c r="T73" s="258">
        <f>SUM(Y12:Y68)</f>
        <v>54616.160000000011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1407049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131868</v>
      </c>
      <c r="P75" s="254"/>
      <c r="Q75" s="255"/>
      <c r="R75" s="152"/>
      <c r="S75" s="159" t="s">
        <v>129</v>
      </c>
      <c r="T75" s="258">
        <f>SUM(Z12:Z70)</f>
        <v>6450.5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1181066.32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>
        <v>0.02</v>
      </c>
      <c r="Q77" s="272"/>
      <c r="R77" s="152"/>
      <c r="S77" s="159" t="s">
        <v>108</v>
      </c>
      <c r="T77" s="258">
        <f>IF(SUM(X12:X68)*0.15&gt;P77,P77,SUM(X12:X68)*0.15)</f>
        <v>0.02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61066.680000000008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EDE85-070D-46AF-97AB-FEC1FB20F3A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N14" sqref="N14"/>
      <selection pane="topRight" activeCell="C53" sqref="C5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13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13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1392</v>
      </c>
      <c r="G13" s="47">
        <v>108</v>
      </c>
      <c r="H13" s="48" t="str">
        <f t="shared" ref="H13" si="3">IF(F13="","",(ROUND((F13/G13),1)&amp;" pallets"))</f>
        <v>12.9 pallets</v>
      </c>
      <c r="I13" s="49">
        <f t="shared" ref="I13:I70" si="4">E13*F13</f>
        <v>1020336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865824</v>
      </c>
      <c r="Y13" s="57">
        <f>F13*AI13</f>
        <v>41258.879999999997</v>
      </c>
      <c r="Z13" s="36">
        <f t="shared" ref="Z13:Z56" si="8">IF($U$6="x",(F13*3.5),"")</f>
        <v>4872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>
        <v>432</v>
      </c>
      <c r="G17" s="47">
        <v>108</v>
      </c>
      <c r="H17" s="64" t="str">
        <f t="shared" ref="H17:H68" si="11">IF(F17="","",(ROUND((F17/G17),1)&amp;" pallets"))</f>
        <v>4 pallets</v>
      </c>
      <c r="I17" s="49">
        <f t="shared" si="4"/>
        <v>350352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302400</v>
      </c>
      <c r="Y17" s="57">
        <f t="shared" si="0"/>
        <v>12804.48</v>
      </c>
      <c r="Z17" s="36">
        <f t="shared" si="8"/>
        <v>1512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2</v>
      </c>
      <c r="G42" s="87">
        <v>100</v>
      </c>
      <c r="H42" s="88" t="str">
        <f t="shared" si="11"/>
        <v>0 pallets</v>
      </c>
      <c r="I42" s="89">
        <f t="shared" si="4"/>
        <v>2204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2204</v>
      </c>
      <c r="Y42" s="57">
        <f t="shared" si="0"/>
        <v>56.32</v>
      </c>
      <c r="Z42" s="36">
        <f t="shared" si="8"/>
        <v>7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>
        <v>1</v>
      </c>
      <c r="G46" s="71">
        <v>100</v>
      </c>
      <c r="H46" s="72" t="str">
        <f t="shared" si="11"/>
        <v>0 pallets</v>
      </c>
      <c r="I46" s="73">
        <f t="shared" si="4"/>
        <v>1770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1770</v>
      </c>
      <c r="Y46" s="57">
        <f t="shared" si="0"/>
        <v>28.16</v>
      </c>
      <c r="Z46" s="36">
        <f t="shared" si="8"/>
        <v>3.5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1204</v>
      </c>
      <c r="D53" s="113">
        <v>0</v>
      </c>
      <c r="E53" s="113">
        <f t="shared" si="2"/>
        <v>1204</v>
      </c>
      <c r="F53" s="114">
        <v>2</v>
      </c>
      <c r="G53" s="115">
        <v>100</v>
      </c>
      <c r="H53" s="116" t="str">
        <f t="shared" si="11"/>
        <v>0 pallets</v>
      </c>
      <c r="I53" s="117">
        <f t="shared" si="4"/>
        <v>2408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2408</v>
      </c>
      <c r="Y53" s="57">
        <f t="shared" si="0"/>
        <v>56.32</v>
      </c>
      <c r="Z53" s="36">
        <f t="shared" si="8"/>
        <v>7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12.9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1377070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0</v>
      </c>
      <c r="P73" s="254"/>
      <c r="Q73" s="255"/>
      <c r="R73" s="152"/>
      <c r="S73" s="159" t="s">
        <v>104</v>
      </c>
      <c r="T73" s="258">
        <f>SUM(Y12:Y68)</f>
        <v>54204.160000000003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356734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0</v>
      </c>
      <c r="P75" s="254"/>
      <c r="Q75" s="255"/>
      <c r="R75" s="152"/>
      <c r="S75" s="159" t="s">
        <v>129</v>
      </c>
      <c r="T75" s="258">
        <f>SUM(Z12:Z70)</f>
        <v>6401.5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1316464.3400000001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60605.66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E3C5C5-D2D9-4625-8169-893B92991E61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C1" activePane="topRight" state="frozen"/>
      <selection activeCell="N14" sqref="N14"/>
      <selection pane="topRight" activeCell="F19" sqref="F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13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13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216">
        <v>108</v>
      </c>
      <c r="N13" s="216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216">
        <f>63</f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216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217">
        <v>20</v>
      </c>
      <c r="G16" s="47">
        <v>108</v>
      </c>
      <c r="H16" s="64"/>
      <c r="I16" s="49">
        <f t="shared" si="4"/>
        <v>15220</v>
      </c>
      <c r="J16" s="50">
        <v>111</v>
      </c>
      <c r="K16" s="65"/>
      <c r="L16" s="50">
        <v>4.5</v>
      </c>
      <c r="M16" s="216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13000</v>
      </c>
      <c r="Y16" s="57">
        <f>F16*AI16</f>
        <v>592.79999999999995</v>
      </c>
      <c r="Z16" s="36">
        <f t="shared" si="8"/>
        <v>70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217">
        <v>106</v>
      </c>
      <c r="G17" s="47">
        <v>108</v>
      </c>
      <c r="H17" s="64" t="str">
        <f t="shared" ref="H17:H68" si="11">IF(F17="","",(ROUND((F17/G17),1)&amp;" pallets"))</f>
        <v>1 pallets</v>
      </c>
      <c r="I17" s="49">
        <f t="shared" si="4"/>
        <v>85966</v>
      </c>
      <c r="J17" s="50">
        <v>111</v>
      </c>
      <c r="K17" s="65"/>
      <c r="L17" s="50">
        <v>4.5</v>
      </c>
      <c r="M17" s="216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74200</v>
      </c>
      <c r="Y17" s="57">
        <f t="shared" si="0"/>
        <v>3141.84</v>
      </c>
      <c r="Z17" s="36">
        <f t="shared" si="8"/>
        <v>371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217">
        <f>10+69</f>
        <v>79</v>
      </c>
      <c r="G20" s="47">
        <v>63</v>
      </c>
      <c r="H20" s="64" t="str">
        <f t="shared" si="11"/>
        <v>1.3 pallets</v>
      </c>
      <c r="I20" s="49">
        <f t="shared" si="4"/>
        <v>78368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68888</v>
      </c>
      <c r="Y20" s="57">
        <f t="shared" si="0"/>
        <v>2533.5300000000002</v>
      </c>
      <c r="Z20" s="36">
        <f t="shared" si="8"/>
        <v>276.5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872</v>
      </c>
      <c r="D22" s="24">
        <v>120</v>
      </c>
      <c r="E22" s="24">
        <f>C22+D22</f>
        <v>992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1582</v>
      </c>
      <c r="D23" s="24">
        <v>120</v>
      </c>
      <c r="E23" s="24">
        <f t="shared" si="2"/>
        <v>1702</v>
      </c>
      <c r="F23" s="218">
        <v>2</v>
      </c>
      <c r="G23" s="87">
        <v>63</v>
      </c>
      <c r="H23" s="88" t="str">
        <f t="shared" si="11"/>
        <v>0 pallets</v>
      </c>
      <c r="I23" s="89">
        <f t="shared" si="4"/>
        <v>3404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3164</v>
      </c>
      <c r="Y23" s="57">
        <f t="shared" si="0"/>
        <v>64.14</v>
      </c>
      <c r="Z23" s="36">
        <f t="shared" si="8"/>
        <v>7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1122</v>
      </c>
      <c r="D25" s="45">
        <v>120</v>
      </c>
      <c r="E25" s="45">
        <f t="shared" si="2"/>
        <v>1242</v>
      </c>
      <c r="F25" s="217">
        <v>2</v>
      </c>
      <c r="G25" s="47">
        <v>63</v>
      </c>
      <c r="H25" s="64" t="str">
        <f t="shared" si="11"/>
        <v>0 pallets</v>
      </c>
      <c r="I25" s="49">
        <f t="shared" si="4"/>
        <v>2484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2244</v>
      </c>
      <c r="Y25" s="57">
        <f t="shared" si="0"/>
        <v>64.14</v>
      </c>
      <c r="Z25" s="36">
        <f t="shared" si="8"/>
        <v>7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1582</v>
      </c>
      <c r="D26" s="45">
        <v>120</v>
      </c>
      <c r="E26" s="45">
        <f t="shared" si="2"/>
        <v>1702</v>
      </c>
      <c r="F26" s="217">
        <v>2</v>
      </c>
      <c r="G26" s="47">
        <v>63</v>
      </c>
      <c r="H26" s="64" t="str">
        <f t="shared" si="11"/>
        <v>0 pallets</v>
      </c>
      <c r="I26" s="49">
        <f t="shared" si="4"/>
        <v>3404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3164</v>
      </c>
      <c r="Y26" s="57">
        <f t="shared" si="0"/>
        <v>64.14</v>
      </c>
      <c r="Z26" s="36">
        <f t="shared" si="8"/>
        <v>7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1582</v>
      </c>
      <c r="D27" s="69">
        <v>120</v>
      </c>
      <c r="E27" s="69">
        <f t="shared" si="2"/>
        <v>1702</v>
      </c>
      <c r="F27" s="219">
        <v>2</v>
      </c>
      <c r="G27" s="71">
        <v>63</v>
      </c>
      <c r="H27" s="72" t="str">
        <f t="shared" si="11"/>
        <v>0 pallets</v>
      </c>
      <c r="I27" s="73">
        <f t="shared" si="4"/>
        <v>3404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3164</v>
      </c>
      <c r="Y27" s="57">
        <f t="shared" si="0"/>
        <v>64.14</v>
      </c>
      <c r="Z27" s="36">
        <f t="shared" si="8"/>
        <v>7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1157</v>
      </c>
      <c r="D32" s="45">
        <v>120</v>
      </c>
      <c r="E32" s="45">
        <f t="shared" si="2"/>
        <v>1277</v>
      </c>
      <c r="F32" s="217">
        <v>5</v>
      </c>
      <c r="G32" s="47">
        <v>63</v>
      </c>
      <c r="H32" s="64" t="str">
        <f t="shared" si="11"/>
        <v>0.1 pallets</v>
      </c>
      <c r="I32" s="49">
        <f t="shared" si="4"/>
        <v>6385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5785</v>
      </c>
      <c r="Y32" s="57">
        <f t="shared" si="0"/>
        <v>160.35</v>
      </c>
      <c r="Z32" s="36">
        <f t="shared" si="8"/>
        <v>17.5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218">
        <f>116+5+14</f>
        <v>135</v>
      </c>
      <c r="G39" s="87">
        <v>100</v>
      </c>
      <c r="H39" s="88" t="str">
        <f t="shared" si="11"/>
        <v>1.4 pallets</v>
      </c>
      <c r="I39" s="89">
        <f t="shared" si="4"/>
        <v>87750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87750</v>
      </c>
      <c r="Y39" s="57">
        <f t="shared" si="0"/>
        <v>3801.6</v>
      </c>
      <c r="Z39" s="36">
        <f t="shared" si="8"/>
        <v>472.5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219">
        <f>20+20</f>
        <v>40</v>
      </c>
      <c r="G41" s="71">
        <v>100</v>
      </c>
      <c r="H41" s="72" t="str">
        <f t="shared" si="11"/>
        <v>0.4 pallets</v>
      </c>
      <c r="I41" s="73">
        <f t="shared" si="4"/>
        <v>26000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26000</v>
      </c>
      <c r="Y41" s="57">
        <f t="shared" si="0"/>
        <v>1126.4000000000001</v>
      </c>
      <c r="Z41" s="36">
        <f t="shared" si="8"/>
        <v>140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218">
        <f>5+5</f>
        <v>10</v>
      </c>
      <c r="G42" s="87">
        <v>100</v>
      </c>
      <c r="H42" s="88" t="str">
        <f t="shared" si="11"/>
        <v>0.1 pallets</v>
      </c>
      <c r="I42" s="89">
        <f t="shared" si="4"/>
        <v>11020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11020</v>
      </c>
      <c r="Y42" s="57">
        <f t="shared" si="0"/>
        <v>281.60000000000002</v>
      </c>
      <c r="Z42" s="36">
        <f t="shared" si="8"/>
        <v>35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1728</v>
      </c>
      <c r="D45" s="109"/>
      <c r="E45" s="109">
        <f t="shared" si="2"/>
        <v>1728</v>
      </c>
      <c r="F45" s="217">
        <v>2</v>
      </c>
      <c r="G45" s="47">
        <v>63</v>
      </c>
      <c r="H45" s="64" t="str">
        <f t="shared" si="11"/>
        <v>0 pallets</v>
      </c>
      <c r="I45" s="49">
        <f t="shared" si="4"/>
        <v>3456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3456</v>
      </c>
      <c r="Y45" s="57">
        <f t="shared" si="0"/>
        <v>59.54</v>
      </c>
      <c r="Z45" s="36">
        <f t="shared" si="8"/>
        <v>7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220">
        <v>10</v>
      </c>
      <c r="G51" s="115">
        <v>100</v>
      </c>
      <c r="H51" s="116" t="str">
        <f t="shared" si="11"/>
        <v>0.1 pallets</v>
      </c>
      <c r="I51" s="117">
        <f t="shared" si="4"/>
        <v>11020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11020</v>
      </c>
      <c r="Y51" s="57">
        <f t="shared" si="0"/>
        <v>281.60000000000002</v>
      </c>
      <c r="Z51" s="36">
        <f t="shared" si="8"/>
        <v>35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220">
        <f>10</f>
        <v>10</v>
      </c>
      <c r="G54" s="115">
        <v>100</v>
      </c>
      <c r="H54" s="116" t="str">
        <f t="shared" si="11"/>
        <v>0.1 pallets</v>
      </c>
      <c r="I54" s="117">
        <f t="shared" si="4"/>
        <v>15820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15820</v>
      </c>
      <c r="Y54" s="57">
        <f t="shared" si="0"/>
        <v>281.60000000000002</v>
      </c>
      <c r="Z54" s="36">
        <f t="shared" si="8"/>
        <v>35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3.6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353701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192852</v>
      </c>
      <c r="P73" s="254"/>
      <c r="Q73" s="255"/>
      <c r="R73" s="152"/>
      <c r="S73" s="159" t="s">
        <v>104</v>
      </c>
      <c r="T73" s="258">
        <f>SUM(Y12:Y68)</f>
        <v>12517.420000000004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353701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171792</v>
      </c>
      <c r="P75" s="254"/>
      <c r="Q75" s="255"/>
      <c r="R75" s="152"/>
      <c r="S75" s="159" t="s">
        <v>129</v>
      </c>
      <c r="T75" s="258">
        <f>SUM(Z12:Z70)</f>
        <v>1487.5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146844.07999999999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14004.920000000004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224E8-BA1B-44C0-AF81-445F47F7AA72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8" sqref="P7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14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14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872</v>
      </c>
      <c r="D22" s="24">
        <v>120</v>
      </c>
      <c r="E22" s="24">
        <f>C22+D22</f>
        <v>992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1582</v>
      </c>
      <c r="D23" s="24">
        <v>120</v>
      </c>
      <c r="E23" s="24">
        <f t="shared" si="2"/>
        <v>1702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1122</v>
      </c>
      <c r="D25" s="45">
        <v>120</v>
      </c>
      <c r="E25" s="45">
        <f t="shared" si="2"/>
        <v>1242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1582</v>
      </c>
      <c r="D26" s="45">
        <v>120</v>
      </c>
      <c r="E26" s="45">
        <f t="shared" si="2"/>
        <v>1702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1582</v>
      </c>
      <c r="D27" s="69">
        <v>120</v>
      </c>
      <c r="E27" s="69">
        <f t="shared" si="2"/>
        <v>1702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1157</v>
      </c>
      <c r="D32" s="45">
        <v>120</v>
      </c>
      <c r="E32" s="45">
        <f t="shared" si="2"/>
        <v>1277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1728</v>
      </c>
      <c r="D45" s="109"/>
      <c r="E45" s="109">
        <f t="shared" si="2"/>
        <v>1728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575</v>
      </c>
      <c r="G57" s="47">
        <v>72</v>
      </c>
      <c r="H57" s="64" t="str">
        <f t="shared" si="11"/>
        <v>8 pallets</v>
      </c>
      <c r="I57" s="49">
        <f t="shared" si="4"/>
        <v>176525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131675</v>
      </c>
      <c r="Y57" s="57">
        <f t="shared" si="0"/>
        <v>14984.5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42">
        <v>21</v>
      </c>
      <c r="AH57" s="37"/>
      <c r="AI57" s="63">
        <f>AG57+AE57</f>
        <v>26.06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8 pallets</v>
      </c>
      <c r="I71" s="148"/>
      <c r="J71" s="149"/>
      <c r="K71" s="150"/>
      <c r="L71" s="149"/>
      <c r="M71" s="151"/>
      <c r="N71" s="152"/>
      <c r="O71" s="152"/>
      <c r="P71" s="214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176525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0</v>
      </c>
      <c r="P73" s="254"/>
      <c r="Q73" s="255"/>
      <c r="R73" s="152"/>
      <c r="S73" s="159" t="s">
        <v>104</v>
      </c>
      <c r="T73" s="258">
        <f>SUM(Y12:Y68)</f>
        <v>14984.5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176525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0</v>
      </c>
      <c r="P75" s="254"/>
      <c r="Q75" s="255"/>
      <c r="R75" s="152"/>
      <c r="S75" s="159" t="s">
        <v>129</v>
      </c>
      <c r="T75" s="258">
        <f>SUM(Z12:Z70)</f>
        <v>0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42647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>
        <f>578+1.5</f>
        <v>579.5</v>
      </c>
      <c r="Q77" s="272"/>
      <c r="R77" s="152"/>
      <c r="S77" s="159" t="s">
        <v>108</v>
      </c>
      <c r="T77" s="258">
        <f>IF(SUM(X12:X68)*0.15&gt;P77,P77,SUM(X12:X68)*0.15)</f>
        <v>579.5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>
        <v>118314</v>
      </c>
      <c r="Q79" s="272"/>
      <c r="R79" s="152"/>
      <c r="S79" s="159" t="s">
        <v>112</v>
      </c>
      <c r="T79" s="258">
        <f>T77+T73+T75</f>
        <v>15564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F06C9-2B1A-4AB7-87BA-B04FF1679390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D1" activePane="topRight" state="frozen"/>
      <selection activeCell="N14" sqref="N14"/>
      <selection pane="topRight" activeCell="F46" sqref="F4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24" t="s">
        <v>130</v>
      </c>
      <c r="G2" s="224"/>
      <c r="H2" s="224"/>
      <c r="I2" s="224"/>
      <c r="J2" s="224"/>
      <c r="K2" s="224"/>
      <c r="L2" s="224"/>
      <c r="M2" s="224"/>
      <c r="N2" s="224"/>
      <c r="O2" s="224"/>
      <c r="P2" s="224"/>
      <c r="Q2" s="224"/>
      <c r="R2" s="224"/>
      <c r="S2" s="224"/>
      <c r="T2" s="6" t="s">
        <v>1</v>
      </c>
      <c r="U2" s="7"/>
      <c r="W2" s="225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26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8"/>
      <c r="G4" s="228"/>
      <c r="H4" s="228"/>
      <c r="I4" s="228"/>
      <c r="J4" s="228"/>
      <c r="K4" s="228"/>
      <c r="L4" s="228"/>
      <c r="M4" s="228"/>
      <c r="S4" s="2" t="s">
        <v>4</v>
      </c>
      <c r="T4" s="229"/>
      <c r="U4" s="229"/>
      <c r="W4" s="227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30"/>
      <c r="G6" s="230"/>
      <c r="H6" s="230"/>
      <c r="I6" s="230"/>
      <c r="J6" s="230"/>
      <c r="K6" s="230"/>
      <c r="L6" s="230"/>
      <c r="M6" s="230"/>
      <c r="S6" s="11" t="s">
        <v>6</v>
      </c>
      <c r="T6" s="215" t="s">
        <v>7</v>
      </c>
      <c r="U6" s="12" t="s">
        <v>131</v>
      </c>
      <c r="W6" s="225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30"/>
      <c r="G7" s="230"/>
      <c r="H7" s="230"/>
      <c r="I7" s="230"/>
      <c r="J7" s="230"/>
      <c r="K7" s="230"/>
      <c r="L7" s="230"/>
      <c r="M7" s="230"/>
      <c r="N7" s="14"/>
      <c r="O7" s="14"/>
      <c r="P7" s="14"/>
      <c r="Q7" s="15"/>
      <c r="S7" s="14"/>
      <c r="T7" s="215" t="s">
        <v>11</v>
      </c>
      <c r="U7" s="12"/>
      <c r="W7" s="227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4" t="s">
        <v>14</v>
      </c>
      <c r="C9" s="267" t="s">
        <v>15</v>
      </c>
      <c r="D9" s="267" t="s">
        <v>16</v>
      </c>
      <c r="E9" s="267" t="s">
        <v>17</v>
      </c>
      <c r="F9" s="251" t="s">
        <v>18</v>
      </c>
      <c r="G9" s="252"/>
      <c r="H9" s="252"/>
      <c r="I9" s="252"/>
      <c r="J9" s="252"/>
      <c r="K9" s="252"/>
      <c r="L9" s="252"/>
      <c r="M9" s="252"/>
      <c r="N9" s="252"/>
      <c r="O9" s="252"/>
      <c r="P9" s="252"/>
      <c r="Q9" s="253"/>
      <c r="S9" s="251" t="s">
        <v>19</v>
      </c>
      <c r="T9" s="252"/>
      <c r="U9" s="253"/>
      <c r="X9" s="239" t="s">
        <v>20</v>
      </c>
      <c r="Y9" s="242" t="s">
        <v>21</v>
      </c>
      <c r="Z9" s="242" t="s">
        <v>128</v>
      </c>
      <c r="AA9" s="17"/>
      <c r="AB9" s="231" t="s">
        <v>22</v>
      </c>
      <c r="AC9" s="245" t="s">
        <v>23</v>
      </c>
      <c r="AD9" s="248" t="s">
        <v>24</v>
      </c>
      <c r="AE9" s="231" t="s">
        <v>25</v>
      </c>
      <c r="AG9" s="231" t="s">
        <v>26</v>
      </c>
      <c r="AH9" s="17"/>
      <c r="AI9" s="231" t="s">
        <v>27</v>
      </c>
    </row>
    <row r="10" spans="2:35" s="16" customFormat="1" ht="20.25" customHeight="1" x14ac:dyDescent="0.25">
      <c r="B10" s="265"/>
      <c r="C10" s="268"/>
      <c r="D10" s="268"/>
      <c r="E10" s="268"/>
      <c r="F10" s="235" t="s">
        <v>28</v>
      </c>
      <c r="G10" s="235" t="s">
        <v>29</v>
      </c>
      <c r="H10" s="235" t="s">
        <v>30</v>
      </c>
      <c r="I10" s="237" t="s">
        <v>31</v>
      </c>
      <c r="J10" s="237" t="s">
        <v>32</v>
      </c>
      <c r="K10" s="237" t="s">
        <v>33</v>
      </c>
      <c r="L10" s="237" t="s">
        <v>34</v>
      </c>
      <c r="M10" s="221" t="s">
        <v>35</v>
      </c>
      <c r="N10" s="222"/>
      <c r="O10" s="222"/>
      <c r="P10" s="222"/>
      <c r="Q10" s="223"/>
      <c r="S10" s="260" t="s">
        <v>36</v>
      </c>
      <c r="T10" s="261"/>
      <c r="U10" s="262"/>
      <c r="X10" s="240"/>
      <c r="Y10" s="243"/>
      <c r="Z10" s="243"/>
      <c r="AA10" s="17"/>
      <c r="AB10" s="232"/>
      <c r="AC10" s="246"/>
      <c r="AD10" s="249"/>
      <c r="AE10" s="232"/>
      <c r="AG10" s="232"/>
      <c r="AH10" s="17"/>
      <c r="AI10" s="232"/>
    </row>
    <row r="11" spans="2:35" s="21" customFormat="1" ht="12.75" customHeight="1" thickBot="1" x14ac:dyDescent="0.3">
      <c r="B11" s="266"/>
      <c r="C11" s="236"/>
      <c r="D11" s="236"/>
      <c r="E11" s="236"/>
      <c r="F11" s="236"/>
      <c r="G11" s="236"/>
      <c r="H11" s="236"/>
      <c r="I11" s="238"/>
      <c r="J11" s="238"/>
      <c r="K11" s="238"/>
      <c r="L11" s="23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41"/>
      <c r="Y11" s="244"/>
      <c r="Z11" s="244"/>
      <c r="AA11" s="17"/>
      <c r="AB11" s="234"/>
      <c r="AC11" s="247"/>
      <c r="AD11" s="250"/>
      <c r="AE11" s="234"/>
      <c r="AG11" s="233"/>
      <c r="AH11" s="17"/>
      <c r="AI11" s="234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1392</v>
      </c>
      <c r="G13" s="47">
        <v>108</v>
      </c>
      <c r="H13" s="48" t="str">
        <f t="shared" ref="H13" si="3">IF(F13="","",(ROUND((F13/G13),1)&amp;" pallets"))</f>
        <v>12.9 pallets</v>
      </c>
      <c r="I13" s="49">
        <f t="shared" ref="I13:I70" si="4">E13*F13</f>
        <v>1020336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865824</v>
      </c>
      <c r="Y13" s="57">
        <f>F13*AI13</f>
        <v>41258.879999999997</v>
      </c>
      <c r="Z13" s="36">
        <f t="shared" ref="Z13:Z56" si="8">IF($U$6="x",(F13*3.5),"")</f>
        <v>4872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189</v>
      </c>
      <c r="N14" s="51"/>
      <c r="O14" s="51"/>
      <c r="P14" s="52" t="str">
        <f t="shared" si="5"/>
        <v>3 pallets</v>
      </c>
      <c r="Q14" s="53">
        <f t="shared" si="6"/>
        <v>22680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216</v>
      </c>
      <c r="N16" s="193"/>
      <c r="O16" s="51"/>
      <c r="P16" s="52" t="str">
        <f t="shared" si="5"/>
        <v>2 pallets</v>
      </c>
      <c r="Q16" s="53">
        <f t="shared" si="6"/>
        <v>23976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>
        <v>432</v>
      </c>
      <c r="G17" s="47">
        <v>108</v>
      </c>
      <c r="H17" s="64" t="str">
        <f t="shared" ref="H17:H68" si="11">IF(F17="","",(ROUND((F17/G17),1)&amp;" pallets"))</f>
        <v>4 pallets</v>
      </c>
      <c r="I17" s="49">
        <f t="shared" si="4"/>
        <v>350352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302400</v>
      </c>
      <c r="Y17" s="57">
        <f t="shared" si="0"/>
        <v>12804.48</v>
      </c>
      <c r="Z17" s="36">
        <f t="shared" si="8"/>
        <v>1512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>
        <v>63</v>
      </c>
      <c r="N19" s="194"/>
      <c r="O19" s="76"/>
      <c r="P19" s="52" t="str">
        <f t="shared" si="5"/>
        <v>1 pallets</v>
      </c>
      <c r="Q19" s="53">
        <f t="shared" si="6"/>
        <v>7560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872</v>
      </c>
      <c r="D22" s="24">
        <v>120</v>
      </c>
      <c r="E22" s="24">
        <f>C22+D22</f>
        <v>992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1582</v>
      </c>
      <c r="D23" s="24">
        <v>120</v>
      </c>
      <c r="E23" s="24">
        <f t="shared" si="2"/>
        <v>1702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1122</v>
      </c>
      <c r="D25" s="45">
        <v>120</v>
      </c>
      <c r="E25" s="45">
        <f t="shared" si="2"/>
        <v>1242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1582</v>
      </c>
      <c r="D26" s="45">
        <v>120</v>
      </c>
      <c r="E26" s="45">
        <f t="shared" si="2"/>
        <v>1702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1582</v>
      </c>
      <c r="D27" s="69">
        <v>120</v>
      </c>
      <c r="E27" s="69">
        <f t="shared" si="2"/>
        <v>1702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>
        <f>63</f>
        <v>63</v>
      </c>
      <c r="N28" s="93"/>
      <c r="O28" s="92"/>
      <c r="P28" s="94" t="str">
        <f t="shared" si="5"/>
        <v>1 pallets</v>
      </c>
      <c r="Q28" s="95">
        <f t="shared" si="6"/>
        <v>7560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1157</v>
      </c>
      <c r="D32" s="45">
        <v>120</v>
      </c>
      <c r="E32" s="45">
        <f t="shared" si="2"/>
        <v>1277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v>2</v>
      </c>
      <c r="G42" s="87">
        <v>100</v>
      </c>
      <c r="H42" s="88" t="str">
        <f t="shared" si="11"/>
        <v>0 pallets</v>
      </c>
      <c r="I42" s="89">
        <f t="shared" si="4"/>
        <v>2204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2204</v>
      </c>
      <c r="Y42" s="57">
        <f t="shared" si="0"/>
        <v>56.32</v>
      </c>
      <c r="Z42" s="36">
        <f t="shared" si="8"/>
        <v>7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1728</v>
      </c>
      <c r="D45" s="109"/>
      <c r="E45" s="109">
        <f t="shared" si="2"/>
        <v>1728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>
        <v>1</v>
      </c>
      <c r="G46" s="71">
        <v>100</v>
      </c>
      <c r="H46" s="72" t="str">
        <f t="shared" si="11"/>
        <v>0 pallets</v>
      </c>
      <c r="I46" s="73">
        <f t="shared" si="4"/>
        <v>1770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1770</v>
      </c>
      <c r="Y46" s="57">
        <f t="shared" si="0"/>
        <v>28.16</v>
      </c>
      <c r="Z46" s="36">
        <f t="shared" si="8"/>
        <v>3.5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>
        <v>2</v>
      </c>
      <c r="G53" s="115">
        <v>100</v>
      </c>
      <c r="H53" s="116" t="str">
        <f t="shared" si="11"/>
        <v>0 pallets</v>
      </c>
      <c r="I53" s="117">
        <f t="shared" si="4"/>
        <v>2284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2284</v>
      </c>
      <c r="Y53" s="57">
        <f t="shared" si="0"/>
        <v>56.32</v>
      </c>
      <c r="Z53" s="36">
        <f t="shared" si="8"/>
        <v>7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42">
        <v>21</v>
      </c>
      <c r="AH57" s="37"/>
      <c r="AI57" s="63">
        <f>AG57+AE57</f>
        <v>26.06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3" t="s">
        <v>101</v>
      </c>
      <c r="C71" s="263"/>
      <c r="D71" s="263"/>
      <c r="E71" s="263"/>
      <c r="F71" s="263"/>
      <c r="G71" s="263"/>
      <c r="H71" s="147" t="str">
        <f>ROUND(((F12+F30+F52+F57+F58+F59+F60+F61)/72+(F13+F16+F18)/108+(F14+SUM(F19:F29)+F31+F32+F22+F50+F45)/63+F15/96+SUM(F34:F43)/100+SUM(F47:F49)/24+SUM(F62:F68)/100+(F51+F46+F44)/100),1)&amp;" pallets"</f>
        <v>12.9 pallets</v>
      </c>
      <c r="I71" s="148"/>
      <c r="J71" s="149"/>
      <c r="K71" s="150"/>
      <c r="L71" s="149"/>
      <c r="M71" s="151"/>
      <c r="N71" s="152"/>
      <c r="O71" s="152"/>
      <c r="P71" s="215" t="str">
        <f>ROUND((((M12+N12+M30+M57+M58+M59+M60+M61+N57)/72+(M13+N13+M16+M18)/108+(M15+N15)/96+SUM(M14,M19:M29,M31:M32,M50,N14)/63)),1)&amp;" pallets"</f>
        <v>10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4">
        <f>SUM(I12:I70)</f>
        <v>1376946</v>
      </c>
      <c r="G73" s="254"/>
      <c r="H73" s="254"/>
      <c r="I73" s="255"/>
      <c r="J73" s="158"/>
      <c r="K73" s="158"/>
      <c r="L73" s="158"/>
      <c r="M73" s="256" t="s">
        <v>103</v>
      </c>
      <c r="N73" s="257"/>
      <c r="O73" s="254">
        <f>SUM(Q12:Q70)</f>
        <v>88884</v>
      </c>
      <c r="P73" s="254"/>
      <c r="Q73" s="255"/>
      <c r="R73" s="152"/>
      <c r="S73" s="159" t="s">
        <v>104</v>
      </c>
      <c r="T73" s="258">
        <f>SUM(Y12:Y68)</f>
        <v>54204.160000000003</v>
      </c>
      <c r="U73" s="259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4">
        <f>SUM(I14:I72)</f>
        <v>356610</v>
      </c>
      <c r="G75" s="254"/>
      <c r="H75" s="254"/>
      <c r="I75" s="255"/>
      <c r="J75" s="158"/>
      <c r="K75" s="158"/>
      <c r="L75" s="158"/>
      <c r="M75" s="256" t="s">
        <v>103</v>
      </c>
      <c r="N75" s="257"/>
      <c r="O75" s="254">
        <f>SUM(Q14:Q72)</f>
        <v>76896</v>
      </c>
      <c r="P75" s="254"/>
      <c r="Q75" s="255"/>
      <c r="R75" s="152"/>
      <c r="S75" s="159" t="s">
        <v>129</v>
      </c>
      <c r="T75" s="258">
        <f>SUM(Z12:Z70)</f>
        <v>6401.5</v>
      </c>
      <c r="U75" s="259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4">
        <f>IF(U7&gt;0,"",(F73-O73-T79-P79))</f>
        <v>1227456.3400000001</v>
      </c>
      <c r="G77" s="254"/>
      <c r="H77" s="254"/>
      <c r="I77" s="255"/>
      <c r="J77" s="164"/>
      <c r="K77" s="164"/>
      <c r="L77" s="164"/>
      <c r="M77" s="279" t="s">
        <v>106</v>
      </c>
      <c r="N77" s="279"/>
      <c r="O77" s="168" t="s">
        <v>107</v>
      </c>
      <c r="P77" s="271"/>
      <c r="Q77" s="272"/>
      <c r="R77" s="152"/>
      <c r="S77" s="159" t="s">
        <v>108</v>
      </c>
      <c r="T77" s="258">
        <f>IF(SUM(X12:X68)*0.15&gt;P77,P77,SUM(X12:X68)*0.15)</f>
        <v>0</v>
      </c>
      <c r="U77" s="259"/>
      <c r="V77" s="160"/>
      <c r="W77" s="225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26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4"/>
      <c r="G79" s="254"/>
      <c r="H79" s="254"/>
      <c r="I79" s="255"/>
      <c r="J79" s="164"/>
      <c r="K79" s="164"/>
      <c r="L79" s="164"/>
      <c r="M79" s="269" t="str">
        <f>IF(U6&gt;0,"",T4+30)</f>
        <v/>
      </c>
      <c r="N79" s="270"/>
      <c r="O79" s="168" t="s">
        <v>111</v>
      </c>
      <c r="P79" s="271"/>
      <c r="Q79" s="272"/>
      <c r="R79" s="152"/>
      <c r="S79" s="159" t="s">
        <v>112</v>
      </c>
      <c r="T79" s="258">
        <f>T77+T73+T75</f>
        <v>60605.66</v>
      </c>
      <c r="U79" s="259"/>
      <c r="V79" s="160"/>
      <c r="W79" s="227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95" t="s">
        <v>113</v>
      </c>
      <c r="C81" s="296"/>
      <c r="D81" s="296"/>
      <c r="E81" s="296"/>
      <c r="F81" s="296"/>
      <c r="G81" s="296"/>
      <c r="H81" s="297"/>
      <c r="I81" s="304" t="s">
        <v>114</v>
      </c>
      <c r="J81" s="171"/>
      <c r="K81" s="171"/>
      <c r="L81" s="171"/>
      <c r="M81" s="306"/>
      <c r="N81" s="309" t="s">
        <v>115</v>
      </c>
      <c r="O81" s="312"/>
      <c r="P81" s="306"/>
      <c r="Q81" s="273" t="s">
        <v>116</v>
      </c>
      <c r="R81" s="274"/>
      <c r="S81" s="289"/>
      <c r="T81" s="273" t="s">
        <v>117</v>
      </c>
      <c r="U81" s="292"/>
    </row>
    <row r="82" spans="2:21" ht="15" customHeight="1" x14ac:dyDescent="0.25">
      <c r="B82" s="298"/>
      <c r="C82" s="299"/>
      <c r="D82" s="299"/>
      <c r="E82" s="299"/>
      <c r="F82" s="299"/>
      <c r="G82" s="299"/>
      <c r="H82" s="300"/>
      <c r="I82" s="286"/>
      <c r="J82" s="2"/>
      <c r="K82" s="2"/>
      <c r="L82" s="2"/>
      <c r="M82" s="307"/>
      <c r="N82" s="310"/>
      <c r="O82" s="313"/>
      <c r="P82" s="307"/>
      <c r="Q82" s="275"/>
      <c r="R82" s="276"/>
      <c r="S82" s="290"/>
      <c r="T82" s="275"/>
      <c r="U82" s="293"/>
    </row>
    <row r="83" spans="2:21" ht="15.75" customHeight="1" thickBot="1" x14ac:dyDescent="0.3">
      <c r="B83" s="301"/>
      <c r="C83" s="302"/>
      <c r="D83" s="302"/>
      <c r="E83" s="302"/>
      <c r="F83" s="302"/>
      <c r="G83" s="302"/>
      <c r="H83" s="303"/>
      <c r="I83" s="305"/>
      <c r="J83" s="172"/>
      <c r="K83" s="172"/>
      <c r="L83" s="172"/>
      <c r="M83" s="308"/>
      <c r="N83" s="311"/>
      <c r="O83" s="314"/>
      <c r="P83" s="308"/>
      <c r="Q83" s="277"/>
      <c r="R83" s="278"/>
      <c r="S83" s="291"/>
      <c r="T83" s="277"/>
      <c r="U83" s="294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80" t="s">
        <v>132</v>
      </c>
      <c r="C88" s="281"/>
      <c r="D88" s="281"/>
      <c r="E88" s="281"/>
      <c r="F88" s="281"/>
      <c r="G88" s="281"/>
      <c r="H88" s="281"/>
      <c r="I88" s="282"/>
      <c r="J88" s="185"/>
      <c r="K88" s="185"/>
      <c r="L88" s="185"/>
      <c r="M88" s="280"/>
      <c r="N88" s="281"/>
      <c r="O88" s="281"/>
      <c r="P88" s="281"/>
      <c r="Q88" s="282"/>
      <c r="R88" s="187"/>
      <c r="S88" s="188"/>
      <c r="T88" s="188"/>
      <c r="U88" s="189"/>
    </row>
    <row r="89" spans="2:21" ht="18" x14ac:dyDescent="0.25">
      <c r="B89" s="283" t="s">
        <v>122</v>
      </c>
      <c r="C89" s="284"/>
      <c r="D89" s="284"/>
      <c r="E89" s="284"/>
      <c r="F89" s="284"/>
      <c r="G89" s="284"/>
      <c r="H89" s="284"/>
      <c r="I89" s="285"/>
      <c r="M89" s="283" t="s">
        <v>122</v>
      </c>
      <c r="N89" s="284"/>
      <c r="O89" s="284"/>
      <c r="P89" s="284"/>
      <c r="Q89" s="285"/>
      <c r="R89" s="286" t="s">
        <v>123</v>
      </c>
      <c r="S89" s="287"/>
      <c r="T89" s="287"/>
      <c r="U89" s="28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80" t="s">
        <v>133</v>
      </c>
      <c r="C93" s="281"/>
      <c r="D93" s="281"/>
      <c r="E93" s="281"/>
      <c r="F93" s="281"/>
      <c r="G93" s="281"/>
      <c r="H93" s="281"/>
      <c r="I93" s="28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83" t="s">
        <v>126</v>
      </c>
      <c r="C94" s="284"/>
      <c r="D94" s="284"/>
      <c r="E94" s="284"/>
      <c r="F94" s="284"/>
      <c r="G94" s="284"/>
      <c r="H94" s="284"/>
      <c r="I94" s="285"/>
      <c r="M94" s="179"/>
      <c r="Q94" s="180"/>
      <c r="R94" s="286" t="s">
        <v>127</v>
      </c>
      <c r="S94" s="287"/>
      <c r="T94" s="287"/>
      <c r="U94" s="28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24</vt:i4>
      </vt:variant>
    </vt:vector>
  </HeadingPairs>
  <TitlesOfParts>
    <vt:vector size="48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03-19-2026</vt:lpstr>
      <vt:lpstr>03-19-2026-NAB</vt:lpstr>
      <vt:lpstr>03-23-2026</vt:lpstr>
      <vt:lpstr>03-24-2026-A</vt:lpstr>
      <vt:lpstr>03-24-2026-B</vt:lpstr>
      <vt:lpstr>03-24-2026-C</vt:lpstr>
      <vt:lpstr>03-26-2026</vt:lpstr>
      <vt:lpstr>03-27-2026-A</vt:lpstr>
      <vt:lpstr>03-27-2026-B</vt:lpstr>
      <vt:lpstr>03-30-2026</vt:lpstr>
      <vt:lpstr>03-31-2026-A</vt:lpstr>
      <vt:lpstr>03-31-2026-B</vt:lpstr>
      <vt:lpstr>03-31-2026-C</vt:lpstr>
      <vt:lpstr>03-31-2026-D BEER</vt:lpstr>
      <vt:lpstr>03-31-2026-D NAB</vt:lpstr>
      <vt:lpstr>03-31-2026-E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  <vt:lpstr>'03-19-2026'!Print_Area</vt:lpstr>
      <vt:lpstr>'03-19-2026-NAB'!Print_Area</vt:lpstr>
      <vt:lpstr>'03-23-2026'!Print_Area</vt:lpstr>
      <vt:lpstr>'03-24-2026-A'!Print_Area</vt:lpstr>
      <vt:lpstr>'03-24-2026-B'!Print_Area</vt:lpstr>
      <vt:lpstr>'03-24-2026-C'!Print_Area</vt:lpstr>
      <vt:lpstr>'03-26-2026'!Print_Area</vt:lpstr>
      <vt:lpstr>'03-27-2026-A'!Print_Area</vt:lpstr>
      <vt:lpstr>'03-27-2026-B'!Print_Area</vt:lpstr>
      <vt:lpstr>'03-30-2026'!Print_Area</vt:lpstr>
      <vt:lpstr>'03-31-2026-A'!Print_Area</vt:lpstr>
      <vt:lpstr>'03-31-2026-B'!Print_Area</vt:lpstr>
      <vt:lpstr>'03-31-2026-C'!Print_Area</vt:lpstr>
      <vt:lpstr>'03-31-2026-D BEER'!Print_Area</vt:lpstr>
      <vt:lpstr>'03-31-2026-D NAB'!Print_Area</vt:lpstr>
      <vt:lpstr>'03-31-2026-E'!Print_Area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2026-03-31T09:02:01Z</dcterms:modified>
</cp:coreProperties>
</file>