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MARCH FILES 2026\"/>
    </mc:Choice>
  </mc:AlternateContent>
  <xr:revisionPtr revIDLastSave="0" documentId="13_ncr:1_{CD92E19D-769E-42E9-8DFD-9163464F8C24}" xr6:coauthVersionLast="45" xr6:coauthVersionMax="47" xr10:uidLastSave="{00000000-0000-0000-0000-000000000000}"/>
  <bookViews>
    <workbookView xWindow="-120" yWindow="-120" windowWidth="29040" windowHeight="15840" firstSheet="8" activeTab="16" xr2:uid="{EAA847CC-C244-4239-B005-CBB8C204AC80}"/>
  </bookViews>
  <sheets>
    <sheet name="03-03-2026 MTS" sheetId="181" r:id="rId1"/>
    <sheet name="03-04-2026-A MTS" sheetId="182" r:id="rId2"/>
    <sheet name="03-09-2026 MTS" sheetId="183" r:id="rId3"/>
    <sheet name="03-16-2026" sheetId="184" r:id="rId4"/>
    <sheet name="03-17-2026" sheetId="185" r:id="rId5"/>
    <sheet name="03-17-2026 (2)" sheetId="186" r:id="rId6"/>
    <sheet name="03-18-2026" sheetId="187" r:id="rId7"/>
    <sheet name="03-18-2026 NAB" sheetId="188" r:id="rId8"/>
    <sheet name="03-19-2026" sheetId="189" r:id="rId9"/>
    <sheet name="03-19-2026-NAB" sheetId="190" r:id="rId10"/>
    <sheet name="03-23-2026" sheetId="191" r:id="rId11"/>
    <sheet name="03-24-2026-A" sheetId="192" r:id="rId12"/>
    <sheet name="03-24-2026-B" sheetId="193" r:id="rId13"/>
    <sheet name="03-24-2026-C" sheetId="194" r:id="rId14"/>
    <sheet name="03-26-2026" sheetId="195" r:id="rId15"/>
    <sheet name="03-27-2026-A" sheetId="196" r:id="rId16"/>
    <sheet name="03-27-2026-B" sheetId="197" r:id="rId17"/>
  </sheets>
  <definedNames>
    <definedName name="_xlnm.Print_Area" localSheetId="0">'03-03-2026 MTS'!$A$1:$V$97</definedName>
    <definedName name="_xlnm.Print_Area" localSheetId="1">'03-04-2026-A MTS'!$A$1:$V$97</definedName>
    <definedName name="_xlnm.Print_Area" localSheetId="2">'03-09-2026 MTS'!$A$1:$V$97</definedName>
    <definedName name="_xlnm.Print_Area" localSheetId="3">'03-16-2026'!$A$1:$V$97</definedName>
    <definedName name="_xlnm.Print_Area" localSheetId="4">'03-17-2026'!$A$1:$V$97</definedName>
    <definedName name="_xlnm.Print_Area" localSheetId="5">'03-17-2026 (2)'!$A$1:$V$97</definedName>
    <definedName name="_xlnm.Print_Area" localSheetId="6">'03-18-2026'!$A$1:$V$97</definedName>
    <definedName name="_xlnm.Print_Area" localSheetId="7">'03-18-2026 NAB'!$A$1:$V$97</definedName>
    <definedName name="_xlnm.Print_Area" localSheetId="8">'03-19-2026'!$A$1:$V$97</definedName>
    <definedName name="_xlnm.Print_Area" localSheetId="9">'03-19-2026-NAB'!$A$1:$V$97</definedName>
    <definedName name="_xlnm.Print_Area" localSheetId="10">'03-23-2026'!$A$1:$V$97</definedName>
    <definedName name="_xlnm.Print_Area" localSheetId="11">'03-24-2026-A'!$A$1:$V$97</definedName>
    <definedName name="_xlnm.Print_Area" localSheetId="12">'03-24-2026-B'!$A$1:$V$97</definedName>
    <definedName name="_xlnm.Print_Area" localSheetId="13">'03-24-2026-C'!$A$1:$V$97</definedName>
    <definedName name="_xlnm.Print_Area" localSheetId="14">'03-26-2026'!$A$1:$V$97</definedName>
    <definedName name="_xlnm.Print_Area" localSheetId="15">'03-27-2026-A'!$A$1:$V$97</definedName>
    <definedName name="_xlnm.Print_Area" localSheetId="16">'03-27-2026-B'!$A$1:$V$97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197" l="1"/>
  <c r="P71" i="197"/>
  <c r="H71" i="197"/>
  <c r="Q70" i="197"/>
  <c r="P70" i="197"/>
  <c r="H70" i="197"/>
  <c r="E70" i="197"/>
  <c r="I70" i="197" s="1"/>
  <c r="Q69" i="197"/>
  <c r="P69" i="197"/>
  <c r="H69" i="197"/>
  <c r="E69" i="197"/>
  <c r="I69" i="197" s="1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E67" i="197" s="1"/>
  <c r="AI67" i="197" s="1"/>
  <c r="Y67" i="197" s="1"/>
  <c r="AC67" i="197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I64" i="197"/>
  <c r="H64" i="197"/>
  <c r="E64" i="197"/>
  <c r="AD63" i="197"/>
  <c r="AC63" i="197"/>
  <c r="AB63" i="197"/>
  <c r="AE63" i="197" s="1"/>
  <c r="AI63" i="197" s="1"/>
  <c r="Y63" i="197" s="1"/>
  <c r="Z63" i="197"/>
  <c r="X63" i="197"/>
  <c r="Q63" i="197"/>
  <c r="P63" i="197"/>
  <c r="I63" i="197"/>
  <c r="H63" i="197"/>
  <c r="E63" i="197"/>
  <c r="AE62" i="197"/>
  <c r="AI62" i="197" s="1"/>
  <c r="Y62" i="197" s="1"/>
  <c r="AD62" i="197"/>
  <c r="AC62" i="197"/>
  <c r="AB62" i="197"/>
  <c r="Z62" i="197"/>
  <c r="X62" i="197"/>
  <c r="Q62" i="197"/>
  <c r="P62" i="197"/>
  <c r="H62" i="197"/>
  <c r="E62" i="197"/>
  <c r="I62" i="197" s="1"/>
  <c r="AE61" i="197"/>
  <c r="AI61" i="197" s="1"/>
  <c r="Y61" i="197" s="1"/>
  <c r="AC61" i="197"/>
  <c r="AB61" i="197"/>
  <c r="X61" i="197"/>
  <c r="Q61" i="197"/>
  <c r="P61" i="197"/>
  <c r="H61" i="197"/>
  <c r="E61" i="197"/>
  <c r="I61" i="197" s="1"/>
  <c r="AE60" i="197"/>
  <c r="AI60" i="197" s="1"/>
  <c r="Y60" i="197" s="1"/>
  <c r="X60" i="197"/>
  <c r="Q60" i="197"/>
  <c r="P60" i="197"/>
  <c r="I60" i="197"/>
  <c r="H60" i="197"/>
  <c r="E60" i="197"/>
  <c r="AC59" i="197"/>
  <c r="AB59" i="197"/>
  <c r="AE59" i="197" s="1"/>
  <c r="AI59" i="197" s="1"/>
  <c r="Y59" i="197" s="1"/>
  <c r="X59" i="197"/>
  <c r="Q59" i="197"/>
  <c r="P59" i="197"/>
  <c r="H59" i="197"/>
  <c r="E59" i="197"/>
  <c r="I59" i="197" s="1"/>
  <c r="AC58" i="197"/>
  <c r="AE58" i="197" s="1"/>
  <c r="AI58" i="197" s="1"/>
  <c r="Y58" i="197" s="1"/>
  <c r="AB58" i="197"/>
  <c r="X58" i="197"/>
  <c r="Q58" i="197"/>
  <c r="P58" i="197"/>
  <c r="I58" i="197"/>
  <c r="E58" i="197"/>
  <c r="AC57" i="197"/>
  <c r="AB57" i="197"/>
  <c r="AE57" i="197" s="1"/>
  <c r="AI57" i="197" s="1"/>
  <c r="Y57" i="197" s="1"/>
  <c r="X57" i="197"/>
  <c r="Q57" i="197"/>
  <c r="P57" i="197"/>
  <c r="I57" i="197"/>
  <c r="H57" i="197"/>
  <c r="E57" i="197"/>
  <c r="AD56" i="197"/>
  <c r="AC56" i="197"/>
  <c r="AE56" i="197" s="1"/>
  <c r="AI56" i="197" s="1"/>
  <c r="Y56" i="197" s="1"/>
  <c r="AB56" i="197"/>
  <c r="Z56" i="197"/>
  <c r="X56" i="197"/>
  <c r="Q56" i="197"/>
  <c r="P56" i="197"/>
  <c r="I56" i="197"/>
  <c r="H56" i="197"/>
  <c r="E56" i="197"/>
  <c r="AD55" i="197"/>
  <c r="AC55" i="197"/>
  <c r="AB55" i="197"/>
  <c r="AE55" i="197" s="1"/>
  <c r="AI55" i="197" s="1"/>
  <c r="Y55" i="197" s="1"/>
  <c r="Z55" i="197"/>
  <c r="X55" i="197"/>
  <c r="Q55" i="197"/>
  <c r="P55" i="197"/>
  <c r="H55" i="197"/>
  <c r="E55" i="197"/>
  <c r="I55" i="197" s="1"/>
  <c r="AE54" i="197"/>
  <c r="AI54" i="197" s="1"/>
  <c r="Y54" i="197" s="1"/>
  <c r="AD54" i="197"/>
  <c r="AC54" i="197"/>
  <c r="AB54" i="197"/>
  <c r="Z54" i="197"/>
  <c r="X54" i="197"/>
  <c r="Q54" i="197"/>
  <c r="P54" i="197"/>
  <c r="H54" i="197"/>
  <c r="E54" i="197"/>
  <c r="I54" i="197" s="1"/>
  <c r="AD53" i="197"/>
  <c r="AC53" i="197"/>
  <c r="AB53" i="197"/>
  <c r="AE53" i="197" s="1"/>
  <c r="AI53" i="197" s="1"/>
  <c r="Y53" i="197" s="1"/>
  <c r="Z53" i="197"/>
  <c r="X53" i="197"/>
  <c r="Q53" i="197"/>
  <c r="P53" i="197"/>
  <c r="H53" i="197"/>
  <c r="E53" i="197"/>
  <c r="I53" i="197" s="1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E51" i="197" s="1"/>
  <c r="AI51" i="197" s="1"/>
  <c r="Y51" i="197" s="1"/>
  <c r="AC51" i="197"/>
  <c r="AB51" i="197"/>
  <c r="Z51" i="197"/>
  <c r="X51" i="197"/>
  <c r="Q51" i="197"/>
  <c r="P51" i="197"/>
  <c r="H51" i="197"/>
  <c r="E51" i="197"/>
  <c r="I51" i="197" s="1"/>
  <c r="AI50" i="197"/>
  <c r="Y50" i="197" s="1"/>
  <c r="AE50" i="197"/>
  <c r="AD50" i="197"/>
  <c r="AC50" i="197"/>
  <c r="AB50" i="197"/>
  <c r="Z50" i="197"/>
  <c r="X50" i="197"/>
  <c r="Q50" i="197"/>
  <c r="P50" i="197"/>
  <c r="I50" i="197"/>
  <c r="H50" i="197"/>
  <c r="E50" i="197"/>
  <c r="AI49" i="197"/>
  <c r="AE49" i="197"/>
  <c r="Z49" i="197"/>
  <c r="Y49" i="197"/>
  <c r="X49" i="197"/>
  <c r="Q49" i="197"/>
  <c r="P49" i="197"/>
  <c r="I49" i="197"/>
  <c r="H49" i="197"/>
  <c r="E49" i="197"/>
  <c r="AE48" i="197"/>
  <c r="AI48" i="197" s="1"/>
  <c r="Y48" i="197" s="1"/>
  <c r="Z48" i="197"/>
  <c r="X48" i="197"/>
  <c r="Q48" i="197"/>
  <c r="P48" i="197"/>
  <c r="H48" i="197"/>
  <c r="E48" i="197"/>
  <c r="I48" i="197" s="1"/>
  <c r="AI47" i="197"/>
  <c r="Y47" i="197" s="1"/>
  <c r="AE47" i="197"/>
  <c r="Z47" i="197"/>
  <c r="X47" i="197"/>
  <c r="Q47" i="197"/>
  <c r="P47" i="197"/>
  <c r="H47" i="197"/>
  <c r="E47" i="197"/>
  <c r="I47" i="197" s="1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C45" i="197"/>
  <c r="AB45" i="197"/>
  <c r="AE45" i="197" s="1"/>
  <c r="AI45" i="197" s="1"/>
  <c r="Y45" i="197" s="1"/>
  <c r="Z45" i="197"/>
  <c r="X45" i="197"/>
  <c r="Q45" i="197"/>
  <c r="P45" i="197"/>
  <c r="H45" i="197"/>
  <c r="E45" i="197"/>
  <c r="I45" i="197" s="1"/>
  <c r="AD44" i="197"/>
  <c r="AC44" i="197"/>
  <c r="AB44" i="197"/>
  <c r="AE44" i="197" s="1"/>
  <c r="AI44" i="197" s="1"/>
  <c r="Y44" i="197" s="1"/>
  <c r="Z44" i="197"/>
  <c r="X44" i="197"/>
  <c r="Q44" i="197"/>
  <c r="P44" i="197"/>
  <c r="I44" i="197"/>
  <c r="H44" i="197"/>
  <c r="E44" i="197"/>
  <c r="AD43" i="197"/>
  <c r="AC43" i="197"/>
  <c r="AE43" i="197" s="1"/>
  <c r="AI43" i="197" s="1"/>
  <c r="Y43" i="197" s="1"/>
  <c r="AB43" i="197"/>
  <c r="Z43" i="197"/>
  <c r="X43" i="197"/>
  <c r="Q43" i="197"/>
  <c r="P43" i="197"/>
  <c r="H43" i="197"/>
  <c r="E43" i="197"/>
  <c r="I43" i="197" s="1"/>
  <c r="AE42" i="197"/>
  <c r="AI42" i="197" s="1"/>
  <c r="Y42" i="197" s="1"/>
  <c r="AD42" i="197"/>
  <c r="AC42" i="197"/>
  <c r="AB42" i="197"/>
  <c r="Z42" i="197"/>
  <c r="X42" i="197"/>
  <c r="Q42" i="197"/>
  <c r="P42" i="197"/>
  <c r="H42" i="197"/>
  <c r="E42" i="197"/>
  <c r="I42" i="197" s="1"/>
  <c r="AD41" i="197"/>
  <c r="AC41" i="197"/>
  <c r="AB41" i="197"/>
  <c r="AE41" i="197" s="1"/>
  <c r="AI41" i="197" s="1"/>
  <c r="Y41" i="197" s="1"/>
  <c r="Z41" i="197"/>
  <c r="X41" i="197"/>
  <c r="Q41" i="197"/>
  <c r="P41" i="197"/>
  <c r="H41" i="197"/>
  <c r="E41" i="197"/>
  <c r="I41" i="197" s="1"/>
  <c r="AD40" i="197"/>
  <c r="AC40" i="197"/>
  <c r="AB40" i="197"/>
  <c r="AE40" i="197" s="1"/>
  <c r="AI40" i="197" s="1"/>
  <c r="Y40" i="197" s="1"/>
  <c r="Z40" i="197"/>
  <c r="X40" i="197"/>
  <c r="Q40" i="197"/>
  <c r="P40" i="197"/>
  <c r="H40" i="197"/>
  <c r="E40" i="197"/>
  <c r="I40" i="197" s="1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E38" i="197" s="1"/>
  <c r="AI38" i="197" s="1"/>
  <c r="Y38" i="197" s="1"/>
  <c r="AC38" i="197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I35" i="197"/>
  <c r="H35" i="197"/>
  <c r="E35" i="197"/>
  <c r="AD34" i="197"/>
  <c r="AC34" i="197"/>
  <c r="AB34" i="197"/>
  <c r="AE34" i="197" s="1"/>
  <c r="AI34" i="197" s="1"/>
  <c r="Y34" i="197" s="1"/>
  <c r="Z34" i="197"/>
  <c r="X34" i="197"/>
  <c r="Q34" i="197"/>
  <c r="P34" i="197"/>
  <c r="I34" i="197"/>
  <c r="H34" i="197"/>
  <c r="E34" i="197"/>
  <c r="AE33" i="197"/>
  <c r="AI33" i="197" s="1"/>
  <c r="Y33" i="197" s="1"/>
  <c r="AD33" i="197"/>
  <c r="AC33" i="197"/>
  <c r="AB33" i="197"/>
  <c r="Z33" i="197"/>
  <c r="X33" i="197"/>
  <c r="Q33" i="197"/>
  <c r="P33" i="197"/>
  <c r="H33" i="197"/>
  <c r="E33" i="197"/>
  <c r="I33" i="197" s="1"/>
  <c r="AD32" i="197"/>
  <c r="AC32" i="197"/>
  <c r="AB32" i="197"/>
  <c r="AE32" i="197" s="1"/>
  <c r="AI32" i="197" s="1"/>
  <c r="Y32" i="197" s="1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C30" i="197"/>
  <c r="AB30" i="197"/>
  <c r="AE30" i="197" s="1"/>
  <c r="AI30" i="197" s="1"/>
  <c r="Y30" i="197" s="1"/>
  <c r="Z30" i="197"/>
  <c r="X30" i="197"/>
  <c r="Q30" i="197"/>
  <c r="P30" i="197"/>
  <c r="H30" i="197"/>
  <c r="E30" i="197"/>
  <c r="I30" i="197" s="1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D28" i="197"/>
  <c r="AC28" i="197"/>
  <c r="AB28" i="197"/>
  <c r="AE28" i="197" s="1"/>
  <c r="AI28" i="197" s="1"/>
  <c r="Y28" i="197" s="1"/>
  <c r="Z28" i="197"/>
  <c r="X28" i="197"/>
  <c r="Q28" i="197"/>
  <c r="P28" i="197"/>
  <c r="H28" i="197"/>
  <c r="E28" i="197"/>
  <c r="I28" i="197" s="1"/>
  <c r="AE27" i="197"/>
  <c r="AI27" i="197" s="1"/>
  <c r="Y27" i="197" s="1"/>
  <c r="AD27" i="197"/>
  <c r="AC27" i="197"/>
  <c r="AB27" i="197"/>
  <c r="Z27" i="197"/>
  <c r="X27" i="197"/>
  <c r="Q27" i="197"/>
  <c r="P27" i="197"/>
  <c r="H27" i="197"/>
  <c r="E27" i="197"/>
  <c r="I27" i="197" s="1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D25" i="197"/>
  <c r="AC25" i="197"/>
  <c r="AB25" i="197"/>
  <c r="AE25" i="197" s="1"/>
  <c r="AI25" i="197" s="1"/>
  <c r="Y25" i="197" s="1"/>
  <c r="Z25" i="197"/>
  <c r="X25" i="197"/>
  <c r="Q25" i="197"/>
  <c r="P25" i="197"/>
  <c r="H25" i="197"/>
  <c r="E25" i="197"/>
  <c r="I25" i="197" s="1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E23" i="197" s="1"/>
  <c r="AI23" i="197" s="1"/>
  <c r="Y23" i="197" s="1"/>
  <c r="AC23" i="197"/>
  <c r="AB23" i="197"/>
  <c r="Z23" i="197"/>
  <c r="X23" i="197"/>
  <c r="Q23" i="197"/>
  <c r="P23" i="197"/>
  <c r="H23" i="197"/>
  <c r="E23" i="197"/>
  <c r="I23" i="197" s="1"/>
  <c r="AI22" i="197"/>
  <c r="Y22" i="197" s="1"/>
  <c r="AE22" i="197"/>
  <c r="AD22" i="197"/>
  <c r="AC22" i="197"/>
  <c r="AB22" i="197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I20" i="197"/>
  <c r="H20" i="197"/>
  <c r="E20" i="197"/>
  <c r="AD19" i="197"/>
  <c r="AC19" i="197"/>
  <c r="AB19" i="197"/>
  <c r="AE19" i="197" s="1"/>
  <c r="AI19" i="197" s="1"/>
  <c r="Y19" i="197" s="1"/>
  <c r="Z19" i="197"/>
  <c r="X19" i="197"/>
  <c r="Q19" i="197"/>
  <c r="P19" i="197"/>
  <c r="I19" i="197"/>
  <c r="H19" i="197"/>
  <c r="E19" i="197"/>
  <c r="AE18" i="197"/>
  <c r="AI18" i="197" s="1"/>
  <c r="Y18" i="197" s="1"/>
  <c r="AD18" i="197"/>
  <c r="AC18" i="197"/>
  <c r="AB18" i="197"/>
  <c r="Z18" i="197"/>
  <c r="X18" i="197"/>
  <c r="Q18" i="197"/>
  <c r="P18" i="197"/>
  <c r="H18" i="197"/>
  <c r="E18" i="197"/>
  <c r="I18" i="197" s="1"/>
  <c r="AD17" i="197"/>
  <c r="AC17" i="197"/>
  <c r="AB17" i="197"/>
  <c r="AE17" i="197" s="1"/>
  <c r="AI17" i="197" s="1"/>
  <c r="Y17" i="197" s="1"/>
  <c r="Z17" i="197"/>
  <c r="X17" i="197"/>
  <c r="Q17" i="197"/>
  <c r="P17" i="197"/>
  <c r="H17" i="197"/>
  <c r="E17" i="197"/>
  <c r="I17" i="197" s="1"/>
  <c r="AD16" i="197"/>
  <c r="AE16" i="197" s="1"/>
  <c r="AI16" i="197" s="1"/>
  <c r="Y16" i="197" s="1"/>
  <c r="AC16" i="197"/>
  <c r="AB16" i="197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E15" i="197"/>
  <c r="I15" i="197" s="1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E13" i="197" s="1"/>
  <c r="AI13" i="197" s="1"/>
  <c r="Y13" i="197" s="1"/>
  <c r="AC13" i="197"/>
  <c r="AB13" i="197"/>
  <c r="Z13" i="197"/>
  <c r="X13" i="197"/>
  <c r="Q13" i="197"/>
  <c r="P13" i="197"/>
  <c r="H13" i="197"/>
  <c r="E13" i="197"/>
  <c r="I13" i="197" s="1"/>
  <c r="AI12" i="197"/>
  <c r="Y12" i="197" s="1"/>
  <c r="AE12" i="197"/>
  <c r="AD12" i="197"/>
  <c r="AC12" i="197"/>
  <c r="AB12" i="197"/>
  <c r="Z12" i="197"/>
  <c r="X12" i="197"/>
  <c r="Q12" i="197"/>
  <c r="O73" i="197" s="1"/>
  <c r="P12" i="197"/>
  <c r="I12" i="197"/>
  <c r="H12" i="197"/>
  <c r="E12" i="197"/>
  <c r="T77" i="197" l="1"/>
  <c r="T79" i="197" s="1"/>
  <c r="T75" i="197"/>
  <c r="F73" i="197"/>
  <c r="F75" i="197"/>
  <c r="T73" i="197"/>
  <c r="M79" i="196"/>
  <c r="P71" i="196"/>
  <c r="H71" i="196"/>
  <c r="Q70" i="196"/>
  <c r="P70" i="196"/>
  <c r="I70" i="196"/>
  <c r="H70" i="196"/>
  <c r="E70" i="196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E67" i="196"/>
  <c r="AI67" i="196" s="1"/>
  <c r="Y67" i="196" s="1"/>
  <c r="AD67" i="196"/>
  <c r="AC67" i="196"/>
  <c r="AB67" i="196"/>
  <c r="Z67" i="196"/>
  <c r="X67" i="196"/>
  <c r="Q67" i="196"/>
  <c r="P67" i="196"/>
  <c r="H67" i="196"/>
  <c r="E67" i="196"/>
  <c r="I67" i="196" s="1"/>
  <c r="AD66" i="196"/>
  <c r="AC66" i="196"/>
  <c r="AB66" i="196"/>
  <c r="AE66" i="196" s="1"/>
  <c r="AI66" i="196" s="1"/>
  <c r="Y66" i="196" s="1"/>
  <c r="Z66" i="196"/>
  <c r="X66" i="196"/>
  <c r="Q66" i="196"/>
  <c r="P66" i="196"/>
  <c r="H66" i="196"/>
  <c r="E66" i="196"/>
  <c r="I66" i="196" s="1"/>
  <c r="AD65" i="196"/>
  <c r="AC65" i="196"/>
  <c r="AB65" i="196"/>
  <c r="AE65" i="196" s="1"/>
  <c r="AI65" i="196" s="1"/>
  <c r="Y65" i="196" s="1"/>
  <c r="Z65" i="196"/>
  <c r="X65" i="196"/>
  <c r="Q65" i="196"/>
  <c r="P65" i="196"/>
  <c r="H65" i="196"/>
  <c r="E65" i="196"/>
  <c r="I65" i="196" s="1"/>
  <c r="AE64" i="196"/>
  <c r="AI64" i="196" s="1"/>
  <c r="Y64" i="196" s="1"/>
  <c r="AD64" i="196"/>
  <c r="AC64" i="196"/>
  <c r="AB64" i="196"/>
  <c r="Z64" i="196"/>
  <c r="X64" i="196"/>
  <c r="Q64" i="196"/>
  <c r="P64" i="196"/>
  <c r="I64" i="196"/>
  <c r="H64" i="196"/>
  <c r="E64" i="196"/>
  <c r="AD63" i="196"/>
  <c r="AC63" i="196"/>
  <c r="AB63" i="196"/>
  <c r="AE63" i="196" s="1"/>
  <c r="AI63" i="196" s="1"/>
  <c r="Y63" i="196" s="1"/>
  <c r="Z63" i="196"/>
  <c r="X63" i="196"/>
  <c r="Q63" i="196"/>
  <c r="P63" i="196"/>
  <c r="I63" i="196"/>
  <c r="H63" i="196"/>
  <c r="E63" i="196"/>
  <c r="AD62" i="196"/>
  <c r="AE62" i="196" s="1"/>
  <c r="AI62" i="196" s="1"/>
  <c r="Y62" i="196" s="1"/>
  <c r="AC62" i="196"/>
  <c r="AB62" i="196"/>
  <c r="Z62" i="196"/>
  <c r="X62" i="196"/>
  <c r="Q62" i="196"/>
  <c r="P62" i="196"/>
  <c r="H62" i="196"/>
  <c r="E62" i="196"/>
  <c r="I62" i="196" s="1"/>
  <c r="AE61" i="196"/>
  <c r="AI61" i="196" s="1"/>
  <c r="Y61" i="196" s="1"/>
  <c r="AC61" i="196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H59" i="196"/>
  <c r="E59" i="196"/>
  <c r="I59" i="196" s="1"/>
  <c r="AC58" i="196"/>
  <c r="AE58" i="196" s="1"/>
  <c r="AI58" i="196" s="1"/>
  <c r="Y58" i="196" s="1"/>
  <c r="AB58" i="196"/>
  <c r="X58" i="196"/>
  <c r="Q58" i="196"/>
  <c r="P58" i="196"/>
  <c r="E58" i="196"/>
  <c r="I58" i="196" s="1"/>
  <c r="AE57" i="196"/>
  <c r="AI57" i="196" s="1"/>
  <c r="Y57" i="196" s="1"/>
  <c r="AC57" i="196"/>
  <c r="AB57" i="196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D53" i="196"/>
  <c r="AC53" i="196"/>
  <c r="AB53" i="196"/>
  <c r="AE53" i="196" s="1"/>
  <c r="AI53" i="196" s="1"/>
  <c r="Y53" i="196" s="1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E51" i="196"/>
  <c r="AI51" i="196" s="1"/>
  <c r="Y51" i="196" s="1"/>
  <c r="AD51" i="196"/>
  <c r="AC51" i="196"/>
  <c r="AB51" i="196"/>
  <c r="Z51" i="196"/>
  <c r="X51" i="196"/>
  <c r="Q51" i="196"/>
  <c r="P51" i="196"/>
  <c r="H51" i="196"/>
  <c r="E51" i="196"/>
  <c r="I51" i="196" s="1"/>
  <c r="AD50" i="196"/>
  <c r="AC50" i="196"/>
  <c r="AB50" i="196"/>
  <c r="AE50" i="196" s="1"/>
  <c r="AI50" i="196" s="1"/>
  <c r="Y50" i="196" s="1"/>
  <c r="Z50" i="196"/>
  <c r="X50" i="196"/>
  <c r="Q50" i="196"/>
  <c r="P50" i="196"/>
  <c r="I50" i="196"/>
  <c r="H50" i="196"/>
  <c r="E50" i="196"/>
  <c r="AI49" i="196"/>
  <c r="AE49" i="196"/>
  <c r="Z49" i="196"/>
  <c r="Y49" i="196"/>
  <c r="X49" i="196"/>
  <c r="Q49" i="196"/>
  <c r="P49" i="196"/>
  <c r="I49" i="196"/>
  <c r="H49" i="196"/>
  <c r="E49" i="196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H47" i="196"/>
  <c r="E47" i="196"/>
  <c r="I47" i="196" s="1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B45" i="196"/>
  <c r="AE45" i="196" s="1"/>
  <c r="AI45" i="196" s="1"/>
  <c r="Y45" i="196" s="1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I43" i="196"/>
  <c r="H43" i="196"/>
  <c r="E43" i="196"/>
  <c r="AD42" i="196"/>
  <c r="AC42" i="196"/>
  <c r="AE42" i="196" s="1"/>
  <c r="AI42" i="196" s="1"/>
  <c r="Y42" i="196" s="1"/>
  <c r="AB42" i="196"/>
  <c r="Z42" i="196"/>
  <c r="X42" i="196"/>
  <c r="Q42" i="196"/>
  <c r="P42" i="196"/>
  <c r="H42" i="196"/>
  <c r="E42" i="196"/>
  <c r="I42" i="196" s="1"/>
  <c r="AD41" i="196"/>
  <c r="AC41" i="196"/>
  <c r="AB41" i="196"/>
  <c r="AE41" i="196" s="1"/>
  <c r="AI41" i="196" s="1"/>
  <c r="Y41" i="196" s="1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H39" i="196"/>
  <c r="E39" i="196"/>
  <c r="I39" i="196" s="1"/>
  <c r="AE38" i="196"/>
  <c r="AI38" i="196" s="1"/>
  <c r="Y38" i="196" s="1"/>
  <c r="AD38" i="196"/>
  <c r="AC38" i="196"/>
  <c r="AB38" i="196"/>
  <c r="Z38" i="196"/>
  <c r="X38" i="196"/>
  <c r="Q38" i="196"/>
  <c r="P38" i="196"/>
  <c r="H38" i="196"/>
  <c r="E38" i="196"/>
  <c r="I38" i="196" s="1"/>
  <c r="AD37" i="196"/>
  <c r="AC37" i="196"/>
  <c r="AB37" i="196"/>
  <c r="AE37" i="196" s="1"/>
  <c r="AI37" i="196" s="1"/>
  <c r="Y37" i="196" s="1"/>
  <c r="Z37" i="196"/>
  <c r="X37" i="196"/>
  <c r="Q37" i="196"/>
  <c r="P37" i="196"/>
  <c r="H37" i="196"/>
  <c r="E37" i="196"/>
  <c r="I37" i="196" s="1"/>
  <c r="AD36" i="196"/>
  <c r="AC36" i="196"/>
  <c r="AB36" i="196"/>
  <c r="AE36" i="196" s="1"/>
  <c r="AI36" i="196" s="1"/>
  <c r="Y36" i="196" s="1"/>
  <c r="Z36" i="196"/>
  <c r="X36" i="196"/>
  <c r="Q36" i="196"/>
  <c r="P36" i="196"/>
  <c r="H36" i="196"/>
  <c r="E36" i="196"/>
  <c r="I36" i="196" s="1"/>
  <c r="AE35" i="196"/>
  <c r="AI35" i="196" s="1"/>
  <c r="Y35" i="196" s="1"/>
  <c r="AD35" i="196"/>
  <c r="AC35" i="196"/>
  <c r="AB35" i="196"/>
  <c r="Z35" i="196"/>
  <c r="X35" i="196"/>
  <c r="Q35" i="196"/>
  <c r="P35" i="196"/>
  <c r="I35" i="196"/>
  <c r="H35" i="196"/>
  <c r="E35" i="196"/>
  <c r="AD34" i="196"/>
  <c r="AC34" i="196"/>
  <c r="AB34" i="196"/>
  <c r="AE34" i="196" s="1"/>
  <c r="AI34" i="196" s="1"/>
  <c r="Y34" i="196" s="1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E32" i="196"/>
  <c r="AI32" i="196" s="1"/>
  <c r="Y32" i="196" s="1"/>
  <c r="AD32" i="196"/>
  <c r="AC32" i="196"/>
  <c r="AB32" i="196"/>
  <c r="Z32" i="196"/>
  <c r="X32" i="196"/>
  <c r="Q32" i="196"/>
  <c r="P32" i="196"/>
  <c r="I32" i="196"/>
  <c r="H32" i="196"/>
  <c r="E32" i="196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B30" i="196"/>
  <c r="AE30" i="196" s="1"/>
  <c r="AI30" i="196" s="1"/>
  <c r="Y30" i="196" s="1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H28" i="196"/>
  <c r="E28" i="196"/>
  <c r="I28" i="196" s="1"/>
  <c r="AD27" i="196"/>
  <c r="AC27" i="196"/>
  <c r="AE27" i="196" s="1"/>
  <c r="AI27" i="196" s="1"/>
  <c r="Y27" i="196" s="1"/>
  <c r="AB27" i="196"/>
  <c r="Z27" i="196"/>
  <c r="X27" i="196"/>
  <c r="Q27" i="196"/>
  <c r="P27" i="196"/>
  <c r="H27" i="196"/>
  <c r="E27" i="196"/>
  <c r="I27" i="196" s="1"/>
  <c r="AD26" i="196"/>
  <c r="AC26" i="196"/>
  <c r="AB26" i="196"/>
  <c r="AE26" i="196" s="1"/>
  <c r="AI26" i="196" s="1"/>
  <c r="Y26" i="196" s="1"/>
  <c r="Z26" i="196"/>
  <c r="X26" i="196"/>
  <c r="Q26" i="196"/>
  <c r="P26" i="196"/>
  <c r="I26" i="196"/>
  <c r="H26" i="196"/>
  <c r="E26" i="196"/>
  <c r="AD25" i="196"/>
  <c r="AE25" i="196" s="1"/>
  <c r="AI25" i="196" s="1"/>
  <c r="Y25" i="196" s="1"/>
  <c r="AC25" i="196"/>
  <c r="AB25" i="196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H24" i="196"/>
  <c r="E24" i="196"/>
  <c r="I24" i="196" s="1"/>
  <c r="AE23" i="196"/>
  <c r="AI23" i="196" s="1"/>
  <c r="Y23" i="196" s="1"/>
  <c r="AD23" i="196"/>
  <c r="AC23" i="196"/>
  <c r="AB23" i="196"/>
  <c r="Z23" i="196"/>
  <c r="X23" i="196"/>
  <c r="Q23" i="196"/>
  <c r="P23" i="196"/>
  <c r="H23" i="196"/>
  <c r="E23" i="196"/>
  <c r="I23" i="196" s="1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B20" i="196"/>
  <c r="AE20" i="196" s="1"/>
  <c r="AI20" i="196" s="1"/>
  <c r="Y20" i="196" s="1"/>
  <c r="Z20" i="196"/>
  <c r="X20" i="196"/>
  <c r="Q20" i="196"/>
  <c r="P20" i="196"/>
  <c r="I20" i="196"/>
  <c r="H20" i="196"/>
  <c r="E20" i="196"/>
  <c r="AD19" i="196"/>
  <c r="AC19" i="196"/>
  <c r="AB19" i="196"/>
  <c r="AE19" i="196" s="1"/>
  <c r="AI19" i="196" s="1"/>
  <c r="Y19" i="196" s="1"/>
  <c r="Z19" i="196"/>
  <c r="X19" i="196"/>
  <c r="Q19" i="196"/>
  <c r="P19" i="196"/>
  <c r="H19" i="196"/>
  <c r="E19" i="196"/>
  <c r="I19" i="196" s="1"/>
  <c r="AD18" i="196"/>
  <c r="AE18" i="196" s="1"/>
  <c r="AI18" i="196" s="1"/>
  <c r="Y18" i="196" s="1"/>
  <c r="AC18" i="196"/>
  <c r="AB18" i="196"/>
  <c r="Z18" i="196"/>
  <c r="X18" i="196"/>
  <c r="Q18" i="196"/>
  <c r="P18" i="196"/>
  <c r="H18" i="196"/>
  <c r="E18" i="196"/>
  <c r="I18" i="196" s="1"/>
  <c r="AE17" i="196"/>
  <c r="AI17" i="196" s="1"/>
  <c r="Y17" i="196" s="1"/>
  <c r="AD17" i="196"/>
  <c r="AC17" i="196"/>
  <c r="AB17" i="196"/>
  <c r="Z17" i="196"/>
  <c r="X17" i="196"/>
  <c r="Q17" i="196"/>
  <c r="P17" i="196"/>
  <c r="I17" i="196"/>
  <c r="H17" i="196"/>
  <c r="E17" i="196"/>
  <c r="AD16" i="196"/>
  <c r="AC16" i="196"/>
  <c r="AB16" i="196"/>
  <c r="AE16" i="196" s="1"/>
  <c r="AI16" i="196" s="1"/>
  <c r="Y16" i="196" s="1"/>
  <c r="Z16" i="196"/>
  <c r="X16" i="196"/>
  <c r="Q16" i="196"/>
  <c r="P16" i="196"/>
  <c r="I16" i="196"/>
  <c r="E16" i="196"/>
  <c r="AD15" i="196"/>
  <c r="AC15" i="196"/>
  <c r="AB15" i="196"/>
  <c r="AE15" i="196" s="1"/>
  <c r="AI15" i="196" s="1"/>
  <c r="Y15" i="196" s="1"/>
  <c r="Z15" i="196"/>
  <c r="X15" i="196"/>
  <c r="Q15" i="196"/>
  <c r="P15" i="196"/>
  <c r="I15" i="196"/>
  <c r="E15" i="196"/>
  <c r="AD14" i="196"/>
  <c r="AC14" i="196"/>
  <c r="AB14" i="196"/>
  <c r="AE14" i="196" s="1"/>
  <c r="AI14" i="196" s="1"/>
  <c r="Y14" i="196" s="1"/>
  <c r="Z14" i="196"/>
  <c r="X14" i="196"/>
  <c r="Q14" i="196"/>
  <c r="P14" i="196"/>
  <c r="H14" i="196"/>
  <c r="E14" i="196"/>
  <c r="I14" i="196" s="1"/>
  <c r="AE13" i="196"/>
  <c r="AI13" i="196" s="1"/>
  <c r="Y13" i="196" s="1"/>
  <c r="AD13" i="196"/>
  <c r="AC13" i="196"/>
  <c r="AB13" i="196"/>
  <c r="Z13" i="196"/>
  <c r="X13" i="196"/>
  <c r="Q13" i="196"/>
  <c r="P13" i="196"/>
  <c r="H13" i="196"/>
  <c r="E13" i="196"/>
  <c r="I13" i="196" s="1"/>
  <c r="AD12" i="196"/>
  <c r="AC12" i="196"/>
  <c r="AB12" i="196"/>
  <c r="AE12" i="196" s="1"/>
  <c r="AI12" i="196" s="1"/>
  <c r="Y12" i="196" s="1"/>
  <c r="Z12" i="196"/>
  <c r="X12" i="196"/>
  <c r="Q12" i="196"/>
  <c r="P12" i="196"/>
  <c r="H12" i="196"/>
  <c r="E12" i="196"/>
  <c r="I12" i="196" s="1"/>
  <c r="F77" i="197" l="1"/>
  <c r="T75" i="196"/>
  <c r="T77" i="196"/>
  <c r="F73" i="196"/>
  <c r="O75" i="196"/>
  <c r="O73" i="196"/>
  <c r="F75" i="196"/>
  <c r="T73" i="196"/>
  <c r="M79" i="195"/>
  <c r="P71" i="195"/>
  <c r="H71" i="195"/>
  <c r="Q70" i="195"/>
  <c r="P70" i="195"/>
  <c r="H70" i="195"/>
  <c r="E70" i="195"/>
  <c r="I70" i="195" s="1"/>
  <c r="Q69" i="195"/>
  <c r="P69" i="195"/>
  <c r="H69" i="195"/>
  <c r="E69" i="195"/>
  <c r="I69" i="195" s="1"/>
  <c r="AD68" i="195"/>
  <c r="AC68" i="195"/>
  <c r="AB68" i="195"/>
  <c r="AE68" i="195" s="1"/>
  <c r="AI68" i="195" s="1"/>
  <c r="Y68" i="195" s="1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H66" i="195"/>
  <c r="E66" i="195"/>
  <c r="I66" i="195" s="1"/>
  <c r="AD65" i="195"/>
  <c r="AC65" i="195"/>
  <c r="AB65" i="195"/>
  <c r="AE65" i="195" s="1"/>
  <c r="AI65" i="195" s="1"/>
  <c r="Y65" i="195" s="1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E63" i="195"/>
  <c r="AI63" i="195" s="1"/>
  <c r="Y63" i="195" s="1"/>
  <c r="AD63" i="195"/>
  <c r="AC63" i="195"/>
  <c r="AB63" i="195"/>
  <c r="Z63" i="195"/>
  <c r="X63" i="195"/>
  <c r="Q63" i="195"/>
  <c r="P63" i="195"/>
  <c r="H63" i="195"/>
  <c r="E63" i="195"/>
  <c r="I63" i="195" s="1"/>
  <c r="AE62" i="195"/>
  <c r="AI62" i="195" s="1"/>
  <c r="Y62" i="195" s="1"/>
  <c r="AD62" i="195"/>
  <c r="AC62" i="195"/>
  <c r="AB62" i="195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H61" i="195"/>
  <c r="E61" i="195"/>
  <c r="I61" i="195" s="1"/>
  <c r="AI60" i="195"/>
  <c r="Y60" i="195" s="1"/>
  <c r="AE60" i="195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H59" i="195"/>
  <c r="E59" i="195"/>
  <c r="I59" i="195" s="1"/>
  <c r="AC58" i="195"/>
  <c r="AB58" i="195"/>
  <c r="AE58" i="195" s="1"/>
  <c r="AI58" i="195" s="1"/>
  <c r="Y58" i="195" s="1"/>
  <c r="X58" i="195"/>
  <c r="Q58" i="195"/>
  <c r="P58" i="195"/>
  <c r="I58" i="195"/>
  <c r="E58" i="195"/>
  <c r="AC57" i="195"/>
  <c r="AE57" i="195" s="1"/>
  <c r="AI57" i="195" s="1"/>
  <c r="Y57" i="195" s="1"/>
  <c r="AB57" i="195"/>
  <c r="X57" i="195"/>
  <c r="Q57" i="195"/>
  <c r="P57" i="195"/>
  <c r="H57" i="195"/>
  <c r="E57" i="195"/>
  <c r="I57" i="195" s="1"/>
  <c r="AD56" i="195"/>
  <c r="AC56" i="195"/>
  <c r="AE56" i="195" s="1"/>
  <c r="AI56" i="195" s="1"/>
  <c r="Y56" i="195" s="1"/>
  <c r="AB56" i="195"/>
  <c r="Z56" i="195"/>
  <c r="X56" i="195"/>
  <c r="Q56" i="195"/>
  <c r="P56" i="195"/>
  <c r="I56" i="195"/>
  <c r="H56" i="195"/>
  <c r="E56" i="195"/>
  <c r="AD55" i="195"/>
  <c r="AC55" i="195"/>
  <c r="AE55" i="195" s="1"/>
  <c r="AI55" i="195" s="1"/>
  <c r="Y55" i="195" s="1"/>
  <c r="AB55" i="195"/>
  <c r="Z55" i="195"/>
  <c r="X55" i="195"/>
  <c r="Q55" i="195"/>
  <c r="P55" i="195"/>
  <c r="I55" i="195"/>
  <c r="H55" i="195"/>
  <c r="E55" i="195"/>
  <c r="AE54" i="195"/>
  <c r="AI54" i="195" s="1"/>
  <c r="Y54" i="195" s="1"/>
  <c r="AD54" i="195"/>
  <c r="AC54" i="195"/>
  <c r="AB54" i="195"/>
  <c r="Z54" i="195"/>
  <c r="X54" i="195"/>
  <c r="Q54" i="195"/>
  <c r="P54" i="195"/>
  <c r="H54" i="195"/>
  <c r="E54" i="195"/>
  <c r="I54" i="195" s="1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E52" i="195"/>
  <c r="AI52" i="195" s="1"/>
  <c r="Y52" i="195" s="1"/>
  <c r="Z52" i="195"/>
  <c r="X52" i="195"/>
  <c r="Q52" i="195"/>
  <c r="P52" i="195"/>
  <c r="I52" i="195"/>
  <c r="H52" i="195"/>
  <c r="E52" i="195"/>
  <c r="AD51" i="195"/>
  <c r="AE51" i="195" s="1"/>
  <c r="AI51" i="195" s="1"/>
  <c r="Y51" i="195" s="1"/>
  <c r="AC51" i="195"/>
  <c r="AB51" i="195"/>
  <c r="Z51" i="195"/>
  <c r="X51" i="195"/>
  <c r="Q51" i="195"/>
  <c r="P51" i="195"/>
  <c r="H51" i="195"/>
  <c r="E51" i="195"/>
  <c r="I51" i="195" s="1"/>
  <c r="AD50" i="195"/>
  <c r="AC50" i="195"/>
  <c r="AB50" i="195"/>
  <c r="AE50" i="195" s="1"/>
  <c r="AI50" i="195" s="1"/>
  <c r="Y50" i="195" s="1"/>
  <c r="Z50" i="195"/>
  <c r="X50" i="195"/>
  <c r="Q50" i="195"/>
  <c r="P50" i="195"/>
  <c r="H50" i="195"/>
  <c r="E50" i="195"/>
  <c r="I50" i="195" s="1"/>
  <c r="AI49" i="195"/>
  <c r="AE49" i="195"/>
  <c r="Z49" i="195"/>
  <c r="Y49" i="195"/>
  <c r="X49" i="195"/>
  <c r="Q49" i="195"/>
  <c r="P49" i="195"/>
  <c r="I49" i="195"/>
  <c r="H49" i="195"/>
  <c r="E49" i="195"/>
  <c r="AE48" i="195"/>
  <c r="AI48" i="195" s="1"/>
  <c r="Y48" i="195" s="1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I47" i="195"/>
  <c r="H47" i="195"/>
  <c r="E47" i="195"/>
  <c r="AD46" i="195"/>
  <c r="AC46" i="195"/>
  <c r="AB46" i="195"/>
  <c r="AE46" i="195" s="1"/>
  <c r="AI46" i="195" s="1"/>
  <c r="Y46" i="195" s="1"/>
  <c r="Z46" i="195"/>
  <c r="X46" i="195"/>
  <c r="Q46" i="195"/>
  <c r="P46" i="195"/>
  <c r="I46" i="195"/>
  <c r="H46" i="195"/>
  <c r="E46" i="195"/>
  <c r="AD45" i="195"/>
  <c r="AC45" i="195"/>
  <c r="AB45" i="195"/>
  <c r="AE45" i="195" s="1"/>
  <c r="AI45" i="195" s="1"/>
  <c r="Y45" i="195" s="1"/>
  <c r="Z45" i="195"/>
  <c r="X45" i="195"/>
  <c r="Q45" i="195"/>
  <c r="P45" i="195"/>
  <c r="H45" i="195"/>
  <c r="E45" i="195"/>
  <c r="I45" i="195" s="1"/>
  <c r="AD44" i="195"/>
  <c r="AC44" i="195"/>
  <c r="AE44" i="195" s="1"/>
  <c r="AI44" i="195" s="1"/>
  <c r="Y44" i="195" s="1"/>
  <c r="AB44" i="195"/>
  <c r="Z44" i="195"/>
  <c r="X44" i="195"/>
  <c r="Q44" i="195"/>
  <c r="P44" i="195"/>
  <c r="I44" i="195"/>
  <c r="H44" i="195"/>
  <c r="E44" i="195"/>
  <c r="AD43" i="195"/>
  <c r="AC43" i="195"/>
  <c r="AE43" i="195" s="1"/>
  <c r="AI43" i="195" s="1"/>
  <c r="Y43" i="195" s="1"/>
  <c r="AB43" i="195"/>
  <c r="Z43" i="195"/>
  <c r="X43" i="195"/>
  <c r="Q43" i="195"/>
  <c r="P43" i="195"/>
  <c r="I43" i="195"/>
  <c r="H43" i="195"/>
  <c r="E43" i="195"/>
  <c r="AE42" i="195"/>
  <c r="AI42" i="195" s="1"/>
  <c r="Y42" i="195" s="1"/>
  <c r="AD42" i="195"/>
  <c r="AC42" i="195"/>
  <c r="AB42" i="195"/>
  <c r="Z42" i="195"/>
  <c r="X42" i="195"/>
  <c r="Q42" i="195"/>
  <c r="P42" i="195"/>
  <c r="H42" i="195"/>
  <c r="E42" i="195"/>
  <c r="I42" i="195" s="1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D40" i="195"/>
  <c r="AC40" i="195"/>
  <c r="AE40" i="195" s="1"/>
  <c r="AI40" i="195" s="1"/>
  <c r="Y40" i="195" s="1"/>
  <c r="AB40" i="195"/>
  <c r="Z40" i="195"/>
  <c r="X40" i="195"/>
  <c r="Q40" i="195"/>
  <c r="P40" i="195"/>
  <c r="H40" i="195"/>
  <c r="E40" i="195"/>
  <c r="I40" i="195" s="1"/>
  <c r="AD39" i="195"/>
  <c r="AC39" i="195"/>
  <c r="AB39" i="195"/>
  <c r="AE39" i="195" s="1"/>
  <c r="AI39" i="195" s="1"/>
  <c r="Y39" i="195" s="1"/>
  <c r="Z39" i="195"/>
  <c r="X39" i="195"/>
  <c r="Q39" i="195"/>
  <c r="P39" i="195"/>
  <c r="I39" i="195"/>
  <c r="H39" i="195"/>
  <c r="E39" i="195"/>
  <c r="AD38" i="195"/>
  <c r="AE38" i="195" s="1"/>
  <c r="AI38" i="195" s="1"/>
  <c r="Y38" i="195" s="1"/>
  <c r="AC38" i="195"/>
  <c r="AB38" i="195"/>
  <c r="Z38" i="195"/>
  <c r="X38" i="195"/>
  <c r="Q38" i="195"/>
  <c r="P38" i="195"/>
  <c r="H38" i="195"/>
  <c r="E38" i="195"/>
  <c r="I38" i="195" s="1"/>
  <c r="AD37" i="195"/>
  <c r="AC37" i="195"/>
  <c r="AB37" i="195"/>
  <c r="AE37" i="195" s="1"/>
  <c r="AI37" i="195" s="1"/>
  <c r="Y37" i="195" s="1"/>
  <c r="Z37" i="195"/>
  <c r="X37" i="195"/>
  <c r="Q37" i="195"/>
  <c r="P37" i="195"/>
  <c r="H37" i="195"/>
  <c r="E37" i="195"/>
  <c r="I37" i="195" s="1"/>
  <c r="AD36" i="195"/>
  <c r="AC36" i="195"/>
  <c r="AB36" i="195"/>
  <c r="AE36" i="195" s="1"/>
  <c r="AI36" i="195" s="1"/>
  <c r="Y36" i="195" s="1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E34" i="195"/>
  <c r="AI34" i="195" s="1"/>
  <c r="Y34" i="195" s="1"/>
  <c r="AD34" i="195"/>
  <c r="AC34" i="195"/>
  <c r="AB34" i="195"/>
  <c r="Z34" i="195"/>
  <c r="X34" i="195"/>
  <c r="Q34" i="195"/>
  <c r="P34" i="195"/>
  <c r="H34" i="195"/>
  <c r="E34" i="195"/>
  <c r="I34" i="195" s="1"/>
  <c r="AE33" i="195"/>
  <c r="AI33" i="195" s="1"/>
  <c r="Y33" i="195" s="1"/>
  <c r="AD33" i="195"/>
  <c r="AC33" i="195"/>
  <c r="AB33" i="195"/>
  <c r="Z33" i="195"/>
  <c r="X33" i="195"/>
  <c r="Q33" i="195"/>
  <c r="P33" i="195"/>
  <c r="H33" i="195"/>
  <c r="E33" i="195"/>
  <c r="I33" i="195" s="1"/>
  <c r="AD32" i="195"/>
  <c r="AC32" i="195"/>
  <c r="AB32" i="195"/>
  <c r="AE32" i="195" s="1"/>
  <c r="AI32" i="195" s="1"/>
  <c r="Y32" i="195" s="1"/>
  <c r="Z32" i="195"/>
  <c r="X32" i="195"/>
  <c r="Q32" i="195"/>
  <c r="P32" i="195"/>
  <c r="I32" i="195"/>
  <c r="H32" i="195"/>
  <c r="E32" i="195"/>
  <c r="AE31" i="195"/>
  <c r="AI31" i="195" s="1"/>
  <c r="Y31" i="195" s="1"/>
  <c r="Z31" i="195"/>
  <c r="X31" i="195"/>
  <c r="Q31" i="195"/>
  <c r="P31" i="195"/>
  <c r="I31" i="195"/>
  <c r="H31" i="195"/>
  <c r="E31" i="195"/>
  <c r="AD30" i="195"/>
  <c r="AC30" i="195"/>
  <c r="AB30" i="195"/>
  <c r="AE30" i="195" s="1"/>
  <c r="AI30" i="195" s="1"/>
  <c r="Y30" i="195" s="1"/>
  <c r="Z30" i="195"/>
  <c r="X30" i="195"/>
  <c r="Q30" i="195"/>
  <c r="P30" i="195"/>
  <c r="H30" i="195"/>
  <c r="E30" i="195"/>
  <c r="I30" i="195" s="1"/>
  <c r="AD29" i="195"/>
  <c r="AC29" i="195"/>
  <c r="AE29" i="195" s="1"/>
  <c r="AI29" i="195" s="1"/>
  <c r="Y29" i="195" s="1"/>
  <c r="AB29" i="195"/>
  <c r="Z29" i="195"/>
  <c r="X29" i="195"/>
  <c r="Q29" i="195"/>
  <c r="P29" i="195"/>
  <c r="I29" i="195"/>
  <c r="H29" i="195"/>
  <c r="E29" i="195"/>
  <c r="AD28" i="195"/>
  <c r="AC28" i="195"/>
  <c r="AE28" i="195" s="1"/>
  <c r="AI28" i="195" s="1"/>
  <c r="Y28" i="195" s="1"/>
  <c r="AB28" i="195"/>
  <c r="Z28" i="195"/>
  <c r="X28" i="195"/>
  <c r="Q28" i="195"/>
  <c r="P28" i="195"/>
  <c r="I28" i="195"/>
  <c r="H28" i="195"/>
  <c r="E28" i="195"/>
  <c r="AE27" i="195"/>
  <c r="AI27" i="195" s="1"/>
  <c r="Y27" i="195" s="1"/>
  <c r="AD27" i="195"/>
  <c r="AC27" i="195"/>
  <c r="AB27" i="195"/>
  <c r="Z27" i="195"/>
  <c r="X27" i="195"/>
  <c r="Q27" i="195"/>
  <c r="P27" i="195"/>
  <c r="H27" i="195"/>
  <c r="E27" i="195"/>
  <c r="I27" i="195" s="1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D25" i="195"/>
  <c r="AC25" i="195"/>
  <c r="AE25" i="195" s="1"/>
  <c r="AI25" i="195" s="1"/>
  <c r="Y25" i="195" s="1"/>
  <c r="AB25" i="195"/>
  <c r="Z25" i="195"/>
  <c r="X25" i="195"/>
  <c r="Q25" i="195"/>
  <c r="P25" i="195"/>
  <c r="H25" i="195"/>
  <c r="E25" i="195"/>
  <c r="I25" i="195" s="1"/>
  <c r="AD24" i="195"/>
  <c r="AC24" i="195"/>
  <c r="AB24" i="195"/>
  <c r="AE24" i="195" s="1"/>
  <c r="AI24" i="195" s="1"/>
  <c r="Y24" i="195" s="1"/>
  <c r="Z24" i="195"/>
  <c r="X24" i="195"/>
  <c r="Q24" i="195"/>
  <c r="P24" i="195"/>
  <c r="I24" i="195"/>
  <c r="H24" i="195"/>
  <c r="E24" i="195"/>
  <c r="AD23" i="195"/>
  <c r="AE23" i="195" s="1"/>
  <c r="AI23" i="195" s="1"/>
  <c r="Y23" i="195" s="1"/>
  <c r="AC23" i="195"/>
  <c r="AB23" i="195"/>
  <c r="Z23" i="195"/>
  <c r="X23" i="195"/>
  <c r="Q23" i="195"/>
  <c r="P23" i="195"/>
  <c r="H23" i="195"/>
  <c r="E23" i="195"/>
  <c r="I23" i="195" s="1"/>
  <c r="AD22" i="195"/>
  <c r="AC22" i="195"/>
  <c r="AB22" i="195"/>
  <c r="AE22" i="195" s="1"/>
  <c r="AI22" i="195" s="1"/>
  <c r="Y22" i="195" s="1"/>
  <c r="Z22" i="195"/>
  <c r="X22" i="195"/>
  <c r="Q22" i="195"/>
  <c r="P22" i="195"/>
  <c r="H22" i="195"/>
  <c r="E22" i="195"/>
  <c r="I22" i="195" s="1"/>
  <c r="AD21" i="195"/>
  <c r="AC21" i="195"/>
  <c r="AB21" i="195"/>
  <c r="AE21" i="195" s="1"/>
  <c r="AI21" i="195" s="1"/>
  <c r="Y21" i="195" s="1"/>
  <c r="Z21" i="195"/>
  <c r="X21" i="195"/>
  <c r="Q21" i="195"/>
  <c r="P21" i="195"/>
  <c r="H21" i="195"/>
  <c r="E21" i="195"/>
  <c r="I21" i="195" s="1"/>
  <c r="AE20" i="195"/>
  <c r="AI20" i="195" s="1"/>
  <c r="Y20" i="195" s="1"/>
  <c r="AD20" i="195"/>
  <c r="AC20" i="195"/>
  <c r="AB20" i="195"/>
  <c r="Z20" i="195"/>
  <c r="X20" i="195"/>
  <c r="Q20" i="195"/>
  <c r="P20" i="195"/>
  <c r="I20" i="195"/>
  <c r="H20" i="195"/>
  <c r="E20" i="195"/>
  <c r="AE19" i="195"/>
  <c r="AI19" i="195" s="1"/>
  <c r="Y19" i="195" s="1"/>
  <c r="AD19" i="195"/>
  <c r="AC19" i="195"/>
  <c r="AB19" i="195"/>
  <c r="Z19" i="195"/>
  <c r="X19" i="195"/>
  <c r="Q19" i="195"/>
  <c r="P19" i="195"/>
  <c r="H19" i="195"/>
  <c r="E19" i="195"/>
  <c r="I19" i="195" s="1"/>
  <c r="AE18" i="195"/>
  <c r="AI18" i="195" s="1"/>
  <c r="Y18" i="195" s="1"/>
  <c r="AD18" i="195"/>
  <c r="AC18" i="195"/>
  <c r="AB18" i="195"/>
  <c r="Z18" i="195"/>
  <c r="X18" i="195"/>
  <c r="Q18" i="195"/>
  <c r="P18" i="195"/>
  <c r="H18" i="195"/>
  <c r="E18" i="195"/>
  <c r="I18" i="195" s="1"/>
  <c r="AD17" i="195"/>
  <c r="AC17" i="195"/>
  <c r="AB17" i="195"/>
  <c r="AE17" i="195" s="1"/>
  <c r="AI17" i="195" s="1"/>
  <c r="Y17" i="195" s="1"/>
  <c r="Z17" i="195"/>
  <c r="X17" i="195"/>
  <c r="Q17" i="195"/>
  <c r="P17" i="195"/>
  <c r="I17" i="195"/>
  <c r="H17" i="195"/>
  <c r="E17" i="195"/>
  <c r="AD16" i="195"/>
  <c r="AE16" i="195" s="1"/>
  <c r="AI16" i="195" s="1"/>
  <c r="Y16" i="195" s="1"/>
  <c r="AC16" i="195"/>
  <c r="AB16" i="195"/>
  <c r="Z16" i="195"/>
  <c r="X16" i="195"/>
  <c r="Q16" i="195"/>
  <c r="P16" i="195"/>
  <c r="I16" i="195"/>
  <c r="E16" i="195"/>
  <c r="AD15" i="195"/>
  <c r="AE15" i="195" s="1"/>
  <c r="AI15" i="195" s="1"/>
  <c r="Y15" i="195" s="1"/>
  <c r="AC15" i="195"/>
  <c r="AB15" i="195"/>
  <c r="Z15" i="195"/>
  <c r="X15" i="195"/>
  <c r="Q15" i="195"/>
  <c r="P15" i="195"/>
  <c r="E15" i="195"/>
  <c r="I15" i="195" s="1"/>
  <c r="AD14" i="195"/>
  <c r="AC14" i="195"/>
  <c r="AB14" i="195"/>
  <c r="AE14" i="195" s="1"/>
  <c r="AI14" i="195" s="1"/>
  <c r="Y14" i="195" s="1"/>
  <c r="Z14" i="195"/>
  <c r="X14" i="195"/>
  <c r="Q14" i="195"/>
  <c r="P14" i="195"/>
  <c r="I14" i="195"/>
  <c r="H14" i="195"/>
  <c r="E14" i="195"/>
  <c r="AD13" i="195"/>
  <c r="AE13" i="195" s="1"/>
  <c r="AI13" i="195" s="1"/>
  <c r="Y13" i="195" s="1"/>
  <c r="AC13" i="195"/>
  <c r="AB13" i="195"/>
  <c r="Z13" i="195"/>
  <c r="X13" i="195"/>
  <c r="Q13" i="195"/>
  <c r="P13" i="195"/>
  <c r="H13" i="195"/>
  <c r="E13" i="195"/>
  <c r="I13" i="195" s="1"/>
  <c r="AD12" i="195"/>
  <c r="AC12" i="195"/>
  <c r="AB12" i="195"/>
  <c r="AE12" i="195" s="1"/>
  <c r="AI12" i="195" s="1"/>
  <c r="Y12" i="195" s="1"/>
  <c r="Z12" i="195"/>
  <c r="T75" i="195" s="1"/>
  <c r="X12" i="195"/>
  <c r="T77" i="195" s="1"/>
  <c r="Q12" i="195"/>
  <c r="P12" i="195"/>
  <c r="H12" i="195"/>
  <c r="E12" i="195"/>
  <c r="I12" i="195" s="1"/>
  <c r="T79" i="196" l="1"/>
  <c r="F77" i="196" s="1"/>
  <c r="O75" i="195"/>
  <c r="O73" i="195"/>
  <c r="F73" i="195"/>
  <c r="F75" i="195"/>
  <c r="T73" i="195"/>
  <c r="T79" i="195" s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T75" i="194" s="1"/>
  <c r="X12" i="194"/>
  <c r="T77" i="194" s="1"/>
  <c r="Q12" i="194"/>
  <c r="P12" i="194"/>
  <c r="I12" i="194"/>
  <c r="H12" i="194"/>
  <c r="E12" i="194"/>
  <c r="F77" i="195" l="1"/>
  <c r="O75" i="194"/>
  <c r="O73" i="194"/>
  <c r="F73" i="194"/>
  <c r="F75" i="194"/>
  <c r="T73" i="194"/>
  <c r="T79" i="194" s="1"/>
  <c r="M79" i="193"/>
  <c r="P71" i="193"/>
  <c r="H71" i="193"/>
  <c r="Q70" i="193"/>
  <c r="P70" i="193"/>
  <c r="H70" i="193"/>
  <c r="E70" i="193"/>
  <c r="I70" i="193" s="1"/>
  <c r="Q69" i="193"/>
  <c r="P69" i="193"/>
  <c r="I69" i="193"/>
  <c r="H69" i="193"/>
  <c r="E69" i="193"/>
  <c r="AE68" i="193"/>
  <c r="AI68" i="193" s="1"/>
  <c r="Y68" i="193" s="1"/>
  <c r="AD68" i="193"/>
  <c r="AC68" i="193"/>
  <c r="AB68" i="193"/>
  <c r="Z68" i="193"/>
  <c r="X68" i="193"/>
  <c r="Q68" i="193"/>
  <c r="P68" i="193"/>
  <c r="H68" i="193"/>
  <c r="E68" i="193"/>
  <c r="I68" i="193" s="1"/>
  <c r="AE67" i="193"/>
  <c r="AI67" i="193" s="1"/>
  <c r="Y67" i="193" s="1"/>
  <c r="AD67" i="193"/>
  <c r="AC67" i="193"/>
  <c r="AB67" i="193"/>
  <c r="Z67" i="193"/>
  <c r="X67" i="193"/>
  <c r="Q67" i="193"/>
  <c r="P67" i="193"/>
  <c r="H67" i="193"/>
  <c r="E67" i="193"/>
  <c r="I67" i="193" s="1"/>
  <c r="AD66" i="193"/>
  <c r="AE66" i="193" s="1"/>
  <c r="AI66" i="193" s="1"/>
  <c r="Y66" i="193" s="1"/>
  <c r="AC66" i="193"/>
  <c r="AB66" i="193"/>
  <c r="Z66" i="193"/>
  <c r="X66" i="193"/>
  <c r="Q66" i="193"/>
  <c r="P66" i="193"/>
  <c r="I66" i="193"/>
  <c r="H66" i="193"/>
  <c r="E66" i="193"/>
  <c r="AD65" i="193"/>
  <c r="AC65" i="193"/>
  <c r="AB65" i="193"/>
  <c r="AE65" i="193" s="1"/>
  <c r="AI65" i="193" s="1"/>
  <c r="Y65" i="193" s="1"/>
  <c r="Z65" i="193"/>
  <c r="X65" i="193"/>
  <c r="Q65" i="193"/>
  <c r="P65" i="193"/>
  <c r="I65" i="193"/>
  <c r="H65" i="193"/>
  <c r="E65" i="193"/>
  <c r="AE64" i="193"/>
  <c r="AI64" i="193" s="1"/>
  <c r="Y64" i="193" s="1"/>
  <c r="AD64" i="193"/>
  <c r="AC64" i="193"/>
  <c r="AB64" i="193"/>
  <c r="Z64" i="193"/>
  <c r="X64" i="193"/>
  <c r="Q64" i="193"/>
  <c r="P64" i="193"/>
  <c r="I64" i="193"/>
  <c r="H64" i="193"/>
  <c r="E64" i="193"/>
  <c r="AD63" i="193"/>
  <c r="AC63" i="193"/>
  <c r="AB63" i="193"/>
  <c r="AE63" i="193" s="1"/>
  <c r="AI63" i="193" s="1"/>
  <c r="Y63" i="193" s="1"/>
  <c r="Z63" i="193"/>
  <c r="X63" i="193"/>
  <c r="Q63" i="193"/>
  <c r="P63" i="193"/>
  <c r="I63" i="193"/>
  <c r="H63" i="193"/>
  <c r="E63" i="193"/>
  <c r="AD62" i="193"/>
  <c r="AC62" i="193"/>
  <c r="AB62" i="193"/>
  <c r="AE62" i="193" s="1"/>
  <c r="AI62" i="193" s="1"/>
  <c r="Y62" i="193" s="1"/>
  <c r="Z62" i="193"/>
  <c r="X62" i="193"/>
  <c r="Q62" i="193"/>
  <c r="P62" i="193"/>
  <c r="H62" i="193"/>
  <c r="E62" i="193"/>
  <c r="I62" i="193" s="1"/>
  <c r="AE61" i="193"/>
  <c r="AI61" i="193" s="1"/>
  <c r="Y61" i="193" s="1"/>
  <c r="AC61" i="193"/>
  <c r="AB61" i="193"/>
  <c r="X61" i="193"/>
  <c r="Q61" i="193"/>
  <c r="P61" i="193"/>
  <c r="H61" i="193"/>
  <c r="E61" i="193"/>
  <c r="I61" i="193" s="1"/>
  <c r="AI60" i="193"/>
  <c r="AE60" i="193"/>
  <c r="Y60" i="193"/>
  <c r="X60" i="193"/>
  <c r="Q60" i="193"/>
  <c r="P60" i="193"/>
  <c r="I60" i="193"/>
  <c r="H60" i="193"/>
  <c r="E60" i="193"/>
  <c r="AC59" i="193"/>
  <c r="AE59" i="193" s="1"/>
  <c r="AI59" i="193" s="1"/>
  <c r="Y59" i="193" s="1"/>
  <c r="AB59" i="193"/>
  <c r="X59" i="193"/>
  <c r="Q59" i="193"/>
  <c r="P59" i="193"/>
  <c r="H59" i="193"/>
  <c r="E59" i="193"/>
  <c r="I59" i="193" s="1"/>
  <c r="AC58" i="193"/>
  <c r="AE58" i="193" s="1"/>
  <c r="AI58" i="193" s="1"/>
  <c r="Y58" i="193" s="1"/>
  <c r="AB58" i="193"/>
  <c r="X58" i="193"/>
  <c r="Q58" i="193"/>
  <c r="P58" i="193"/>
  <c r="I58" i="193"/>
  <c r="E58" i="193"/>
  <c r="AI57" i="193"/>
  <c r="Y57" i="193" s="1"/>
  <c r="AE57" i="193"/>
  <c r="AC57" i="193"/>
  <c r="AB57" i="193"/>
  <c r="X57" i="193"/>
  <c r="Q57" i="193"/>
  <c r="P57" i="193"/>
  <c r="I57" i="193"/>
  <c r="H57" i="193"/>
  <c r="E57" i="193"/>
  <c r="AD56" i="193"/>
  <c r="AE56" i="193" s="1"/>
  <c r="AI56" i="193" s="1"/>
  <c r="Y56" i="193" s="1"/>
  <c r="AC56" i="193"/>
  <c r="AB56" i="193"/>
  <c r="Z56" i="193"/>
  <c r="X56" i="193"/>
  <c r="Q56" i="193"/>
  <c r="P56" i="193"/>
  <c r="H56" i="193"/>
  <c r="E56" i="193"/>
  <c r="I56" i="193" s="1"/>
  <c r="AD55" i="193"/>
  <c r="AC55" i="193"/>
  <c r="AB55" i="193"/>
  <c r="AE55" i="193" s="1"/>
  <c r="AI55" i="193" s="1"/>
  <c r="Y55" i="193" s="1"/>
  <c r="Z55" i="193"/>
  <c r="X55" i="193"/>
  <c r="Q55" i="193"/>
  <c r="P55" i="193"/>
  <c r="H55" i="193"/>
  <c r="E55" i="193"/>
  <c r="I55" i="193" s="1"/>
  <c r="AD54" i="193"/>
  <c r="AC54" i="193"/>
  <c r="AE54" i="193" s="1"/>
  <c r="AI54" i="193" s="1"/>
  <c r="Y54" i="193" s="1"/>
  <c r="AB54" i="193"/>
  <c r="Z54" i="193"/>
  <c r="X54" i="193"/>
  <c r="Q54" i="193"/>
  <c r="P54" i="193"/>
  <c r="H54" i="193"/>
  <c r="E54" i="193"/>
  <c r="I54" i="193" s="1"/>
  <c r="AD53" i="193"/>
  <c r="AC53" i="193"/>
  <c r="AB53" i="193"/>
  <c r="AE53" i="193" s="1"/>
  <c r="AI53" i="193" s="1"/>
  <c r="Y53" i="193" s="1"/>
  <c r="Z53" i="193"/>
  <c r="X53" i="193"/>
  <c r="Q53" i="193"/>
  <c r="P53" i="193"/>
  <c r="I53" i="193"/>
  <c r="H53" i="193"/>
  <c r="E53" i="193"/>
  <c r="AE52" i="193"/>
  <c r="AI52" i="193" s="1"/>
  <c r="Y52" i="193" s="1"/>
  <c r="Z52" i="193"/>
  <c r="X52" i="193"/>
  <c r="Q52" i="193"/>
  <c r="P52" i="193"/>
  <c r="H52" i="193"/>
  <c r="E52" i="193"/>
  <c r="I52" i="193" s="1"/>
  <c r="AE51" i="193"/>
  <c r="AI51" i="193" s="1"/>
  <c r="Y51" i="193" s="1"/>
  <c r="AD51" i="193"/>
  <c r="AC51" i="193"/>
  <c r="AB51" i="193"/>
  <c r="Z51" i="193"/>
  <c r="X51" i="193"/>
  <c r="Q51" i="193"/>
  <c r="P51" i="193"/>
  <c r="H51" i="193"/>
  <c r="E51" i="193"/>
  <c r="I51" i="193" s="1"/>
  <c r="AD50" i="193"/>
  <c r="AE50" i="193" s="1"/>
  <c r="AI50" i="193" s="1"/>
  <c r="Y50" i="193" s="1"/>
  <c r="AC50" i="193"/>
  <c r="AB50" i="193"/>
  <c r="Z50" i="193"/>
  <c r="X50" i="193"/>
  <c r="Q50" i="193"/>
  <c r="P50" i="193"/>
  <c r="I50" i="193"/>
  <c r="H50" i="193"/>
  <c r="E50" i="193"/>
  <c r="AE49" i="193"/>
  <c r="AI49" i="193" s="1"/>
  <c r="Y49" i="193" s="1"/>
  <c r="Z49" i="193"/>
  <c r="X49" i="193"/>
  <c r="Q49" i="193"/>
  <c r="P49" i="193"/>
  <c r="I49" i="193"/>
  <c r="H49" i="193"/>
  <c r="E49" i="193"/>
  <c r="AI48" i="193"/>
  <c r="Y48" i="193" s="1"/>
  <c r="AE48" i="193"/>
  <c r="Z48" i="193"/>
  <c r="X48" i="193"/>
  <c r="Q48" i="193"/>
  <c r="P48" i="193"/>
  <c r="H48" i="193"/>
  <c r="E48" i="193"/>
  <c r="I48" i="193" s="1"/>
  <c r="AE47" i="193"/>
  <c r="AI47" i="193" s="1"/>
  <c r="Y47" i="193" s="1"/>
  <c r="Z47" i="193"/>
  <c r="X47" i="193"/>
  <c r="Q47" i="193"/>
  <c r="P47" i="193"/>
  <c r="H47" i="193"/>
  <c r="E47" i="193"/>
  <c r="I47" i="193" s="1"/>
  <c r="AD46" i="193"/>
  <c r="AC46" i="193"/>
  <c r="AB46" i="193"/>
  <c r="AE46" i="193" s="1"/>
  <c r="AI46" i="193" s="1"/>
  <c r="Y46" i="193" s="1"/>
  <c r="Z46" i="193"/>
  <c r="X46" i="193"/>
  <c r="Q46" i="193"/>
  <c r="P46" i="193"/>
  <c r="H46" i="193"/>
  <c r="E46" i="193"/>
  <c r="I46" i="193" s="1"/>
  <c r="AD45" i="193"/>
  <c r="AC45" i="193"/>
  <c r="AB45" i="193"/>
  <c r="AE45" i="193" s="1"/>
  <c r="AI45" i="193" s="1"/>
  <c r="Y45" i="193" s="1"/>
  <c r="Z45" i="193"/>
  <c r="X45" i="193"/>
  <c r="Q45" i="193"/>
  <c r="P45" i="193"/>
  <c r="I45" i="193"/>
  <c r="H45" i="193"/>
  <c r="E45" i="193"/>
  <c r="AD44" i="193"/>
  <c r="AE44" i="193" s="1"/>
  <c r="AI44" i="193" s="1"/>
  <c r="Y44" i="193" s="1"/>
  <c r="AC44" i="193"/>
  <c r="AB44" i="193"/>
  <c r="Z44" i="193"/>
  <c r="X44" i="193"/>
  <c r="Q44" i="193"/>
  <c r="P44" i="193"/>
  <c r="H44" i="193"/>
  <c r="E44" i="193"/>
  <c r="I44" i="193" s="1"/>
  <c r="AD43" i="193"/>
  <c r="AC43" i="193"/>
  <c r="AB43" i="193"/>
  <c r="AE43" i="193" s="1"/>
  <c r="AI43" i="193" s="1"/>
  <c r="Y43" i="193" s="1"/>
  <c r="Z43" i="193"/>
  <c r="X43" i="193"/>
  <c r="Q43" i="193"/>
  <c r="P43" i="193"/>
  <c r="H43" i="193"/>
  <c r="E43" i="193"/>
  <c r="I43" i="193" s="1"/>
  <c r="AD42" i="193"/>
  <c r="AC42" i="193"/>
  <c r="AE42" i="193" s="1"/>
  <c r="AI42" i="193" s="1"/>
  <c r="Y42" i="193" s="1"/>
  <c r="AB42" i="193"/>
  <c r="Z42" i="193"/>
  <c r="X42" i="193"/>
  <c r="Q42" i="193"/>
  <c r="P42" i="193"/>
  <c r="H42" i="193"/>
  <c r="E42" i="193"/>
  <c r="I42" i="193" s="1"/>
  <c r="AD41" i="193"/>
  <c r="AC41" i="193"/>
  <c r="AB41" i="193"/>
  <c r="AE41" i="193" s="1"/>
  <c r="AI41" i="193" s="1"/>
  <c r="Y41" i="193" s="1"/>
  <c r="Z41" i="193"/>
  <c r="X41" i="193"/>
  <c r="Q41" i="193"/>
  <c r="P41" i="193"/>
  <c r="I41" i="193"/>
  <c r="H41" i="193"/>
  <c r="E41" i="193"/>
  <c r="AD40" i="193"/>
  <c r="AE40" i="193" s="1"/>
  <c r="AI40" i="193" s="1"/>
  <c r="Y40" i="193" s="1"/>
  <c r="AC40" i="193"/>
  <c r="AB40" i="193"/>
  <c r="Z40" i="193"/>
  <c r="X40" i="193"/>
  <c r="Q40" i="193"/>
  <c r="P40" i="193"/>
  <c r="I40" i="193"/>
  <c r="H40" i="193"/>
  <c r="E40" i="193"/>
  <c r="AE39" i="193"/>
  <c r="AI39" i="193" s="1"/>
  <c r="Y39" i="193" s="1"/>
  <c r="AD39" i="193"/>
  <c r="AC39" i="193"/>
  <c r="AB39" i="193"/>
  <c r="Z39" i="193"/>
  <c r="X39" i="193"/>
  <c r="Q39" i="193"/>
  <c r="P39" i="193"/>
  <c r="H39" i="193"/>
  <c r="E39" i="193"/>
  <c r="I39" i="193" s="1"/>
  <c r="AE38" i="193"/>
  <c r="AI38" i="193" s="1"/>
  <c r="Y38" i="193" s="1"/>
  <c r="AD38" i="193"/>
  <c r="AC38" i="193"/>
  <c r="AB38" i="193"/>
  <c r="Z38" i="193"/>
  <c r="X38" i="193"/>
  <c r="Q38" i="193"/>
  <c r="P38" i="193"/>
  <c r="H38" i="193"/>
  <c r="E38" i="193"/>
  <c r="I38" i="193" s="1"/>
  <c r="AD37" i="193"/>
  <c r="AE37" i="193" s="1"/>
  <c r="AI37" i="193" s="1"/>
  <c r="Y37" i="193" s="1"/>
  <c r="AC37" i="193"/>
  <c r="AB37" i="193"/>
  <c r="Z37" i="193"/>
  <c r="X37" i="193"/>
  <c r="Q37" i="193"/>
  <c r="P37" i="193"/>
  <c r="I37" i="193"/>
  <c r="H37" i="193"/>
  <c r="E37" i="193"/>
  <c r="AD36" i="193"/>
  <c r="AC36" i="193"/>
  <c r="AB36" i="193"/>
  <c r="AE36" i="193" s="1"/>
  <c r="AI36" i="193" s="1"/>
  <c r="Y36" i="193" s="1"/>
  <c r="Z36" i="193"/>
  <c r="X36" i="193"/>
  <c r="Q36" i="193"/>
  <c r="P36" i="193"/>
  <c r="I36" i="193"/>
  <c r="H36" i="193"/>
  <c r="E36" i="193"/>
  <c r="AE35" i="193"/>
  <c r="AI35" i="193" s="1"/>
  <c r="Y35" i="193" s="1"/>
  <c r="AD35" i="193"/>
  <c r="AC35" i="193"/>
  <c r="AB35" i="193"/>
  <c r="Z35" i="193"/>
  <c r="X35" i="193"/>
  <c r="Q35" i="193"/>
  <c r="P35" i="193"/>
  <c r="I35" i="193"/>
  <c r="H35" i="193"/>
  <c r="E35" i="193"/>
  <c r="AD34" i="193"/>
  <c r="AC34" i="193"/>
  <c r="AB34" i="193"/>
  <c r="AE34" i="193" s="1"/>
  <c r="AI34" i="193" s="1"/>
  <c r="Y34" i="193" s="1"/>
  <c r="Z34" i="193"/>
  <c r="X34" i="193"/>
  <c r="Q34" i="193"/>
  <c r="P34" i="193"/>
  <c r="I34" i="193"/>
  <c r="H34" i="193"/>
  <c r="E34" i="193"/>
  <c r="AD33" i="193"/>
  <c r="AC33" i="193"/>
  <c r="AB33" i="193"/>
  <c r="AE33" i="193" s="1"/>
  <c r="AI33" i="193" s="1"/>
  <c r="Y33" i="193" s="1"/>
  <c r="Z33" i="193"/>
  <c r="X33" i="193"/>
  <c r="Q33" i="193"/>
  <c r="P33" i="193"/>
  <c r="H33" i="193"/>
  <c r="E33" i="193"/>
  <c r="I33" i="193" s="1"/>
  <c r="AE32" i="193"/>
  <c r="AI32" i="193" s="1"/>
  <c r="Y32" i="193" s="1"/>
  <c r="AD32" i="193"/>
  <c r="AC32" i="193"/>
  <c r="AB32" i="193"/>
  <c r="Z32" i="193"/>
  <c r="X32" i="193"/>
  <c r="Q32" i="193"/>
  <c r="P32" i="193"/>
  <c r="I32" i="193"/>
  <c r="H32" i="193"/>
  <c r="E32" i="193"/>
  <c r="AE31" i="193"/>
  <c r="AI31" i="193" s="1"/>
  <c r="Y31" i="193" s="1"/>
  <c r="Z31" i="193"/>
  <c r="X31" i="193"/>
  <c r="Q31" i="193"/>
  <c r="P31" i="193"/>
  <c r="H31" i="193"/>
  <c r="E31" i="193"/>
  <c r="I31" i="193" s="1"/>
  <c r="AD30" i="193"/>
  <c r="AC30" i="193"/>
  <c r="AB30" i="193"/>
  <c r="AE30" i="193" s="1"/>
  <c r="AI30" i="193" s="1"/>
  <c r="Y30" i="193" s="1"/>
  <c r="Z30" i="193"/>
  <c r="X30" i="193"/>
  <c r="Q30" i="193"/>
  <c r="P30" i="193"/>
  <c r="I30" i="193"/>
  <c r="H30" i="193"/>
  <c r="E30" i="193"/>
  <c r="AD29" i="193"/>
  <c r="AE29" i="193" s="1"/>
  <c r="AI29" i="193" s="1"/>
  <c r="Y29" i="193" s="1"/>
  <c r="AC29" i="193"/>
  <c r="AB29" i="193"/>
  <c r="Z29" i="193"/>
  <c r="X29" i="193"/>
  <c r="Q29" i="193"/>
  <c r="P29" i="193"/>
  <c r="H29" i="193"/>
  <c r="E29" i="193"/>
  <c r="I29" i="193" s="1"/>
  <c r="AD28" i="193"/>
  <c r="AE28" i="193" s="1"/>
  <c r="AI28" i="193" s="1"/>
  <c r="Y28" i="193" s="1"/>
  <c r="AC28" i="193"/>
  <c r="AB28" i="193"/>
  <c r="Z28" i="193"/>
  <c r="X28" i="193"/>
  <c r="Q28" i="193"/>
  <c r="P28" i="193"/>
  <c r="H28" i="193"/>
  <c r="E28" i="193"/>
  <c r="I28" i="193" s="1"/>
  <c r="AD27" i="193"/>
  <c r="AC27" i="193"/>
  <c r="AE27" i="193" s="1"/>
  <c r="AI27" i="193" s="1"/>
  <c r="Y27" i="193" s="1"/>
  <c r="AB27" i="193"/>
  <c r="Z27" i="193"/>
  <c r="X27" i="193"/>
  <c r="Q27" i="193"/>
  <c r="P27" i="193"/>
  <c r="H27" i="193"/>
  <c r="E27" i="193"/>
  <c r="I27" i="193" s="1"/>
  <c r="AD26" i="193"/>
  <c r="AC26" i="193"/>
  <c r="AB26" i="193"/>
  <c r="AE26" i="193" s="1"/>
  <c r="AI26" i="193" s="1"/>
  <c r="Y26" i="193" s="1"/>
  <c r="Z26" i="193"/>
  <c r="X26" i="193"/>
  <c r="Q26" i="193"/>
  <c r="P26" i="193"/>
  <c r="I26" i="193"/>
  <c r="H26" i="193"/>
  <c r="E26" i="193"/>
  <c r="AD25" i="193"/>
  <c r="AC25" i="193"/>
  <c r="AE25" i="193" s="1"/>
  <c r="AI25" i="193" s="1"/>
  <c r="Y25" i="193" s="1"/>
  <c r="AB25" i="193"/>
  <c r="Z25" i="193"/>
  <c r="X25" i="193"/>
  <c r="Q25" i="193"/>
  <c r="P25" i="193"/>
  <c r="I25" i="193"/>
  <c r="H25" i="193"/>
  <c r="E25" i="193"/>
  <c r="AE24" i="193"/>
  <c r="AI24" i="193" s="1"/>
  <c r="Y24" i="193" s="1"/>
  <c r="AD24" i="193"/>
  <c r="AC24" i="193"/>
  <c r="AB24" i="193"/>
  <c r="Z24" i="193"/>
  <c r="X24" i="193"/>
  <c r="Q24" i="193"/>
  <c r="P24" i="193"/>
  <c r="H24" i="193"/>
  <c r="E24" i="193"/>
  <c r="I24" i="193" s="1"/>
  <c r="AE23" i="193"/>
  <c r="AI23" i="193" s="1"/>
  <c r="Y23" i="193" s="1"/>
  <c r="AD23" i="193"/>
  <c r="AC23" i="193"/>
  <c r="AB23" i="193"/>
  <c r="Z23" i="193"/>
  <c r="X23" i="193"/>
  <c r="Q23" i="193"/>
  <c r="P23" i="193"/>
  <c r="H23" i="193"/>
  <c r="E23" i="193"/>
  <c r="I23" i="193" s="1"/>
  <c r="AD22" i="193"/>
  <c r="AE22" i="193" s="1"/>
  <c r="AI22" i="193" s="1"/>
  <c r="Y22" i="193" s="1"/>
  <c r="AC22" i="193"/>
  <c r="AB22" i="193"/>
  <c r="Z22" i="193"/>
  <c r="X22" i="193"/>
  <c r="Q22" i="193"/>
  <c r="P22" i="193"/>
  <c r="H22" i="193"/>
  <c r="E22" i="193"/>
  <c r="I22" i="193" s="1"/>
  <c r="AD21" i="193"/>
  <c r="AC21" i="193"/>
  <c r="AB21" i="193"/>
  <c r="AE21" i="193" s="1"/>
  <c r="AI21" i="193" s="1"/>
  <c r="Y21" i="193" s="1"/>
  <c r="Z21" i="193"/>
  <c r="X21" i="193"/>
  <c r="Q21" i="193"/>
  <c r="P21" i="193"/>
  <c r="I21" i="193"/>
  <c r="H21" i="193"/>
  <c r="E21" i="193"/>
  <c r="AE20" i="193"/>
  <c r="AI20" i="193" s="1"/>
  <c r="Y20" i="193" s="1"/>
  <c r="AD20" i="193"/>
  <c r="AC20" i="193"/>
  <c r="AB20" i="193"/>
  <c r="Z20" i="193"/>
  <c r="X20" i="193"/>
  <c r="Q20" i="193"/>
  <c r="P20" i="193"/>
  <c r="I20" i="193"/>
  <c r="H20" i="193"/>
  <c r="E20" i="193"/>
  <c r="AD19" i="193"/>
  <c r="AC19" i="193"/>
  <c r="AB19" i="193"/>
  <c r="AE19" i="193" s="1"/>
  <c r="AI19" i="193" s="1"/>
  <c r="Y19" i="193" s="1"/>
  <c r="Z19" i="193"/>
  <c r="X19" i="193"/>
  <c r="Q19" i="193"/>
  <c r="P19" i="193"/>
  <c r="I19" i="193"/>
  <c r="H19" i="193"/>
  <c r="E19" i="193"/>
  <c r="AD18" i="193"/>
  <c r="AC18" i="193"/>
  <c r="AB18" i="193"/>
  <c r="AE18" i="193" s="1"/>
  <c r="AI18" i="193" s="1"/>
  <c r="Y18" i="193" s="1"/>
  <c r="Z18" i="193"/>
  <c r="X18" i="193"/>
  <c r="Q18" i="193"/>
  <c r="P18" i="193"/>
  <c r="H18" i="193"/>
  <c r="E18" i="193"/>
  <c r="I18" i="193" s="1"/>
  <c r="AE17" i="193"/>
  <c r="AI17" i="193" s="1"/>
  <c r="Y17" i="193" s="1"/>
  <c r="AD17" i="193"/>
  <c r="AC17" i="193"/>
  <c r="AB17" i="193"/>
  <c r="Z17" i="193"/>
  <c r="X17" i="193"/>
  <c r="Q17" i="193"/>
  <c r="P17" i="193"/>
  <c r="I17" i="193"/>
  <c r="H17" i="193"/>
  <c r="E17" i="193"/>
  <c r="AD16" i="193"/>
  <c r="AC16" i="193"/>
  <c r="AB16" i="193"/>
  <c r="AE16" i="193" s="1"/>
  <c r="AI16" i="193" s="1"/>
  <c r="Y16" i="193" s="1"/>
  <c r="Z16" i="193"/>
  <c r="T75" i="193" s="1"/>
  <c r="X16" i="193"/>
  <c r="T77" i="193" s="1"/>
  <c r="Q16" i="193"/>
  <c r="P16" i="193"/>
  <c r="I16" i="193"/>
  <c r="E16" i="193"/>
  <c r="AE15" i="193"/>
  <c r="AI15" i="193" s="1"/>
  <c r="Y15" i="193" s="1"/>
  <c r="AD15" i="193"/>
  <c r="AC15" i="193"/>
  <c r="AB15" i="193"/>
  <c r="Z15" i="193"/>
  <c r="X15" i="193"/>
  <c r="Q15" i="193"/>
  <c r="P15" i="193"/>
  <c r="I15" i="193"/>
  <c r="E15" i="193"/>
  <c r="AE14" i="193"/>
  <c r="AI14" i="193" s="1"/>
  <c r="Y14" i="193" s="1"/>
  <c r="AD14" i="193"/>
  <c r="AC14" i="193"/>
  <c r="AB14" i="193"/>
  <c r="Z14" i="193"/>
  <c r="X14" i="193"/>
  <c r="Q14" i="193"/>
  <c r="P14" i="193"/>
  <c r="H14" i="193"/>
  <c r="E14" i="193"/>
  <c r="I14" i="193" s="1"/>
  <c r="AD13" i="193"/>
  <c r="AC13" i="193"/>
  <c r="AB13" i="193"/>
  <c r="AE13" i="193" s="1"/>
  <c r="AI13" i="193" s="1"/>
  <c r="Y13" i="193" s="1"/>
  <c r="Z13" i="193"/>
  <c r="X13" i="193"/>
  <c r="Q13" i="193"/>
  <c r="P13" i="193"/>
  <c r="H13" i="193"/>
  <c r="E13" i="193"/>
  <c r="I13" i="193" s="1"/>
  <c r="AD12" i="193"/>
  <c r="AE12" i="193" s="1"/>
  <c r="AI12" i="193" s="1"/>
  <c r="Y12" i="193" s="1"/>
  <c r="AC12" i="193"/>
  <c r="AB12" i="193"/>
  <c r="Z12" i="193"/>
  <c r="X12" i="193"/>
  <c r="Q12" i="193"/>
  <c r="P12" i="193"/>
  <c r="H12" i="193"/>
  <c r="E12" i="193"/>
  <c r="I12" i="193" s="1"/>
  <c r="F77" i="194" l="1"/>
  <c r="O73" i="193"/>
  <c r="O75" i="193"/>
  <c r="F73" i="193"/>
  <c r="F75" i="193"/>
  <c r="T73" i="193"/>
  <c r="T79" i="193" s="1"/>
  <c r="M79" i="192"/>
  <c r="P71" i="192"/>
  <c r="H71" i="192"/>
  <c r="Q70" i="192"/>
  <c r="P70" i="192"/>
  <c r="I70" i="192"/>
  <c r="H70" i="192"/>
  <c r="E70" i="192"/>
  <c r="Q69" i="192"/>
  <c r="P69" i="192"/>
  <c r="I69" i="192"/>
  <c r="H69" i="192"/>
  <c r="E69" i="192"/>
  <c r="AD68" i="192"/>
  <c r="AC68" i="192"/>
  <c r="AB68" i="192"/>
  <c r="AE68" i="192" s="1"/>
  <c r="AI68" i="192" s="1"/>
  <c r="Y68" i="192" s="1"/>
  <c r="Z68" i="192"/>
  <c r="X68" i="192"/>
  <c r="Q68" i="192"/>
  <c r="P68" i="192"/>
  <c r="H68" i="192"/>
  <c r="E68" i="192"/>
  <c r="I68" i="192" s="1"/>
  <c r="AE67" i="192"/>
  <c r="AI67" i="192" s="1"/>
  <c r="Y67" i="192" s="1"/>
  <c r="AD67" i="192"/>
  <c r="AC67" i="192"/>
  <c r="AB67" i="192"/>
  <c r="Z67" i="192"/>
  <c r="X67" i="192"/>
  <c r="Q67" i="192"/>
  <c r="P67" i="192"/>
  <c r="H67" i="192"/>
  <c r="E67" i="192"/>
  <c r="I67" i="192" s="1"/>
  <c r="AD66" i="192"/>
  <c r="AC66" i="192"/>
  <c r="AB66" i="192"/>
  <c r="AE66" i="192" s="1"/>
  <c r="AI66" i="192" s="1"/>
  <c r="Y66" i="192" s="1"/>
  <c r="Z66" i="192"/>
  <c r="X66" i="192"/>
  <c r="Q66" i="192"/>
  <c r="P66" i="192"/>
  <c r="I66" i="192"/>
  <c r="H66" i="192"/>
  <c r="E66" i="192"/>
  <c r="AD65" i="192"/>
  <c r="AC65" i="192"/>
  <c r="AB65" i="192"/>
  <c r="AE65" i="192" s="1"/>
  <c r="AI65" i="192" s="1"/>
  <c r="Y65" i="192" s="1"/>
  <c r="Z65" i="192"/>
  <c r="X65" i="192"/>
  <c r="Q65" i="192"/>
  <c r="P65" i="192"/>
  <c r="H65" i="192"/>
  <c r="E65" i="192"/>
  <c r="I65" i="192" s="1"/>
  <c r="AI64" i="192"/>
  <c r="Y64" i="192" s="1"/>
  <c r="AE64" i="192"/>
  <c r="AD64" i="192"/>
  <c r="AC64" i="192"/>
  <c r="AB64" i="192"/>
  <c r="Z64" i="192"/>
  <c r="X64" i="192"/>
  <c r="Q64" i="192"/>
  <c r="P64" i="192"/>
  <c r="I64" i="192"/>
  <c r="H64" i="192"/>
  <c r="E64" i="192"/>
  <c r="AD63" i="192"/>
  <c r="AC63" i="192"/>
  <c r="AB63" i="192"/>
  <c r="AE63" i="192" s="1"/>
  <c r="AI63" i="192" s="1"/>
  <c r="Y63" i="192" s="1"/>
  <c r="Z63" i="192"/>
  <c r="X63" i="192"/>
  <c r="Q63" i="192"/>
  <c r="P63" i="192"/>
  <c r="I63" i="192"/>
  <c r="H63" i="192"/>
  <c r="E63" i="192"/>
  <c r="AI62" i="192"/>
  <c r="AE62" i="192"/>
  <c r="AD62" i="192"/>
  <c r="AC62" i="192"/>
  <c r="AB62" i="192"/>
  <c r="Z62" i="192"/>
  <c r="Y62" i="192"/>
  <c r="X62" i="192"/>
  <c r="Q62" i="192"/>
  <c r="P62" i="192"/>
  <c r="I62" i="192"/>
  <c r="H62" i="192"/>
  <c r="E62" i="192"/>
  <c r="AC61" i="192"/>
  <c r="AB61" i="192"/>
  <c r="AE61" i="192" s="1"/>
  <c r="AI61" i="192" s="1"/>
  <c r="Y61" i="192" s="1"/>
  <c r="X61" i="192"/>
  <c r="Q61" i="192"/>
  <c r="P61" i="192"/>
  <c r="H61" i="192"/>
  <c r="E61" i="192"/>
  <c r="I61" i="192" s="1"/>
  <c r="AE60" i="192"/>
  <c r="AI60" i="192" s="1"/>
  <c r="Y60" i="192" s="1"/>
  <c r="X60" i="192"/>
  <c r="Q60" i="192"/>
  <c r="P60" i="192"/>
  <c r="H60" i="192"/>
  <c r="E60" i="192"/>
  <c r="I60" i="192" s="1"/>
  <c r="AC59" i="192"/>
  <c r="AB59" i="192"/>
  <c r="AE59" i="192" s="1"/>
  <c r="AI59" i="192" s="1"/>
  <c r="Y59" i="192" s="1"/>
  <c r="X59" i="192"/>
  <c r="Q59" i="192"/>
  <c r="P59" i="192"/>
  <c r="H59" i="192"/>
  <c r="E59" i="192"/>
  <c r="I59" i="192" s="1"/>
  <c r="AE58" i="192"/>
  <c r="AI58" i="192" s="1"/>
  <c r="Y58" i="192" s="1"/>
  <c r="AC58" i="192"/>
  <c r="AB58" i="192"/>
  <c r="X58" i="192"/>
  <c r="Q58" i="192"/>
  <c r="P58" i="192"/>
  <c r="E58" i="192"/>
  <c r="I58" i="192" s="1"/>
  <c r="AI57" i="192"/>
  <c r="Y57" i="192" s="1"/>
  <c r="AE57" i="192"/>
  <c r="AC57" i="192"/>
  <c r="AB57" i="192"/>
  <c r="X57" i="192"/>
  <c r="Q57" i="192"/>
  <c r="P57" i="192"/>
  <c r="H57" i="192"/>
  <c r="E57" i="192"/>
  <c r="I57" i="192" s="1"/>
  <c r="AD56" i="192"/>
  <c r="AC56" i="192"/>
  <c r="AB56" i="192"/>
  <c r="AE56" i="192" s="1"/>
  <c r="AI56" i="192" s="1"/>
  <c r="Y56" i="192" s="1"/>
  <c r="Z56" i="192"/>
  <c r="X56" i="192"/>
  <c r="Q56" i="192"/>
  <c r="P56" i="192"/>
  <c r="I56" i="192"/>
  <c r="H56" i="192"/>
  <c r="E56" i="192"/>
  <c r="AD55" i="192"/>
  <c r="AE55" i="192" s="1"/>
  <c r="AI55" i="192" s="1"/>
  <c r="Y55" i="192" s="1"/>
  <c r="AC55" i="192"/>
  <c r="AB55" i="192"/>
  <c r="Z55" i="192"/>
  <c r="X55" i="192"/>
  <c r="Q55" i="192"/>
  <c r="P55" i="192"/>
  <c r="H55" i="192"/>
  <c r="E55" i="192"/>
  <c r="I55" i="192" s="1"/>
  <c r="AD54" i="192"/>
  <c r="AC54" i="192"/>
  <c r="AE54" i="192" s="1"/>
  <c r="AI54" i="192" s="1"/>
  <c r="Y54" i="192" s="1"/>
  <c r="AB54" i="192"/>
  <c r="Z54" i="192"/>
  <c r="X54" i="192"/>
  <c r="Q54" i="192"/>
  <c r="P54" i="192"/>
  <c r="H54" i="192"/>
  <c r="E54" i="192"/>
  <c r="I54" i="192" s="1"/>
  <c r="AD53" i="192"/>
  <c r="AC53" i="192"/>
  <c r="AE53" i="192" s="1"/>
  <c r="AI53" i="192" s="1"/>
  <c r="Y53" i="192" s="1"/>
  <c r="AB53" i="192"/>
  <c r="Z53" i="192"/>
  <c r="X53" i="192"/>
  <c r="Q53" i="192"/>
  <c r="P53" i="192"/>
  <c r="H53" i="192"/>
  <c r="E53" i="192"/>
  <c r="I53" i="192" s="1"/>
  <c r="AE52" i="192"/>
  <c r="AI52" i="192" s="1"/>
  <c r="Y52" i="192" s="1"/>
  <c r="Z52" i="192"/>
  <c r="X52" i="192"/>
  <c r="Q52" i="192"/>
  <c r="P52" i="192"/>
  <c r="H52" i="192"/>
  <c r="E52" i="192"/>
  <c r="I52" i="192" s="1"/>
  <c r="AE51" i="192"/>
  <c r="AI51" i="192" s="1"/>
  <c r="Y51" i="192" s="1"/>
  <c r="AD51" i="192"/>
  <c r="AC51" i="192"/>
  <c r="AB51" i="192"/>
  <c r="Z51" i="192"/>
  <c r="X51" i="192"/>
  <c r="Q51" i="192"/>
  <c r="P51" i="192"/>
  <c r="H51" i="192"/>
  <c r="E51" i="192"/>
  <c r="I51" i="192" s="1"/>
  <c r="AD50" i="192"/>
  <c r="AC50" i="192"/>
  <c r="AB50" i="192"/>
  <c r="AE50" i="192" s="1"/>
  <c r="AI50" i="192" s="1"/>
  <c r="Y50" i="192" s="1"/>
  <c r="Z50" i="192"/>
  <c r="X50" i="192"/>
  <c r="Q50" i="192"/>
  <c r="P50" i="192"/>
  <c r="I50" i="192"/>
  <c r="H50" i="192"/>
  <c r="E50" i="192"/>
  <c r="AE49" i="192"/>
  <c r="AI49" i="192" s="1"/>
  <c r="Y49" i="192" s="1"/>
  <c r="Z49" i="192"/>
  <c r="X49" i="192"/>
  <c r="Q49" i="192"/>
  <c r="P49" i="192"/>
  <c r="I49" i="192"/>
  <c r="H49" i="192"/>
  <c r="E49" i="192"/>
  <c r="AE48" i="192"/>
  <c r="AI48" i="192" s="1"/>
  <c r="Y48" i="192" s="1"/>
  <c r="Z48" i="192"/>
  <c r="X48" i="192"/>
  <c r="Q48" i="192"/>
  <c r="P48" i="192"/>
  <c r="I48" i="192"/>
  <c r="H48" i="192"/>
  <c r="E48" i="192"/>
  <c r="AI47" i="192"/>
  <c r="AE47" i="192"/>
  <c r="Z47" i="192"/>
  <c r="Y47" i="192"/>
  <c r="X47" i="192"/>
  <c r="Q47" i="192"/>
  <c r="P47" i="192"/>
  <c r="H47" i="192"/>
  <c r="E47" i="192"/>
  <c r="I47" i="192" s="1"/>
  <c r="AD46" i="192"/>
  <c r="AC46" i="192"/>
  <c r="AB46" i="192"/>
  <c r="AE46" i="192" s="1"/>
  <c r="AI46" i="192" s="1"/>
  <c r="Y46" i="192" s="1"/>
  <c r="Z46" i="192"/>
  <c r="X46" i="192"/>
  <c r="Q46" i="192"/>
  <c r="P46" i="192"/>
  <c r="I46" i="192"/>
  <c r="H46" i="192"/>
  <c r="E46" i="192"/>
  <c r="AD45" i="192"/>
  <c r="AC45" i="192"/>
  <c r="AB45" i="192"/>
  <c r="AE45" i="192" s="1"/>
  <c r="AI45" i="192" s="1"/>
  <c r="Y45" i="192" s="1"/>
  <c r="Z45" i="192"/>
  <c r="X45" i="192"/>
  <c r="Q45" i="192"/>
  <c r="P45" i="192"/>
  <c r="H45" i="192"/>
  <c r="E45" i="192"/>
  <c r="I45" i="192" s="1"/>
  <c r="AD44" i="192"/>
  <c r="AC44" i="192"/>
  <c r="AB44" i="192"/>
  <c r="AE44" i="192" s="1"/>
  <c r="AI44" i="192" s="1"/>
  <c r="Y44" i="192" s="1"/>
  <c r="Z44" i="192"/>
  <c r="X44" i="192"/>
  <c r="Q44" i="192"/>
  <c r="P44" i="192"/>
  <c r="I44" i="192"/>
  <c r="H44" i="192"/>
  <c r="E44" i="192"/>
  <c r="AD43" i="192"/>
  <c r="AE43" i="192" s="1"/>
  <c r="AI43" i="192" s="1"/>
  <c r="Y43" i="192" s="1"/>
  <c r="AC43" i="192"/>
  <c r="AB43" i="192"/>
  <c r="Z43" i="192"/>
  <c r="X43" i="192"/>
  <c r="Q43" i="192"/>
  <c r="P43" i="192"/>
  <c r="H43" i="192"/>
  <c r="E43" i="192"/>
  <c r="I43" i="192" s="1"/>
  <c r="AD42" i="192"/>
  <c r="AC42" i="192"/>
  <c r="AB42" i="192"/>
  <c r="AE42" i="192" s="1"/>
  <c r="AI42" i="192" s="1"/>
  <c r="Y42" i="192" s="1"/>
  <c r="Z42" i="192"/>
  <c r="X42" i="192"/>
  <c r="Q42" i="192"/>
  <c r="P42" i="192"/>
  <c r="H42" i="192"/>
  <c r="E42" i="192"/>
  <c r="I42" i="192" s="1"/>
  <c r="AD41" i="192"/>
  <c r="AC41" i="192"/>
  <c r="AE41" i="192" s="1"/>
  <c r="AI41" i="192" s="1"/>
  <c r="Y41" i="192" s="1"/>
  <c r="AB41" i="192"/>
  <c r="Z41" i="192"/>
  <c r="X41" i="192"/>
  <c r="Q41" i="192"/>
  <c r="P41" i="192"/>
  <c r="H41" i="192"/>
  <c r="E41" i="192"/>
  <c r="I41" i="192" s="1"/>
  <c r="AE40" i="192"/>
  <c r="AI40" i="192" s="1"/>
  <c r="Y40" i="192" s="1"/>
  <c r="AD40" i="192"/>
  <c r="AC40" i="192"/>
  <c r="AB40" i="192"/>
  <c r="Z40" i="192"/>
  <c r="X40" i="192"/>
  <c r="Q40" i="192"/>
  <c r="P40" i="192"/>
  <c r="H40" i="192"/>
  <c r="E40" i="192"/>
  <c r="I40" i="192" s="1"/>
  <c r="AD39" i="192"/>
  <c r="AC39" i="192"/>
  <c r="AB39" i="192"/>
  <c r="AE39" i="192" s="1"/>
  <c r="AI39" i="192" s="1"/>
  <c r="Y39" i="192" s="1"/>
  <c r="Z39" i="192"/>
  <c r="X39" i="192"/>
  <c r="Q39" i="192"/>
  <c r="P39" i="192"/>
  <c r="H39" i="192"/>
  <c r="E39" i="192"/>
  <c r="I39" i="192" s="1"/>
  <c r="AE38" i="192"/>
  <c r="AI38" i="192" s="1"/>
  <c r="Y38" i="192" s="1"/>
  <c r="AD38" i="192"/>
  <c r="AC38" i="192"/>
  <c r="AB38" i="192"/>
  <c r="Z38" i="192"/>
  <c r="X38" i="192"/>
  <c r="Q38" i="192"/>
  <c r="P38" i="192"/>
  <c r="H38" i="192"/>
  <c r="E38" i="192"/>
  <c r="I38" i="192" s="1"/>
  <c r="AD37" i="192"/>
  <c r="AC37" i="192"/>
  <c r="AB37" i="192"/>
  <c r="AE37" i="192" s="1"/>
  <c r="AI37" i="192" s="1"/>
  <c r="Y37" i="192" s="1"/>
  <c r="Z37" i="192"/>
  <c r="X37" i="192"/>
  <c r="Q37" i="192"/>
  <c r="P37" i="192"/>
  <c r="I37" i="192"/>
  <c r="H37" i="192"/>
  <c r="E37" i="192"/>
  <c r="AD36" i="192"/>
  <c r="AE36" i="192" s="1"/>
  <c r="AI36" i="192" s="1"/>
  <c r="Y36" i="192" s="1"/>
  <c r="AC36" i="192"/>
  <c r="AB36" i="192"/>
  <c r="Z36" i="192"/>
  <c r="X36" i="192"/>
  <c r="Q36" i="192"/>
  <c r="P36" i="192"/>
  <c r="H36" i="192"/>
  <c r="E36" i="192"/>
  <c r="I36" i="192" s="1"/>
  <c r="AI35" i="192"/>
  <c r="Y35" i="192" s="1"/>
  <c r="AE35" i="192"/>
  <c r="AD35" i="192"/>
  <c r="AC35" i="192"/>
  <c r="AB35" i="192"/>
  <c r="Z35" i="192"/>
  <c r="X35" i="192"/>
  <c r="Q35" i="192"/>
  <c r="P35" i="192"/>
  <c r="I35" i="192"/>
  <c r="H35" i="192"/>
  <c r="E35" i="192"/>
  <c r="AD34" i="192"/>
  <c r="AC34" i="192"/>
  <c r="AB34" i="192"/>
  <c r="AE34" i="192" s="1"/>
  <c r="AI34" i="192" s="1"/>
  <c r="Y34" i="192" s="1"/>
  <c r="Z34" i="192"/>
  <c r="X34" i="192"/>
  <c r="Q34" i="192"/>
  <c r="P34" i="192"/>
  <c r="I34" i="192"/>
  <c r="H34" i="192"/>
  <c r="E34" i="192"/>
  <c r="AD33" i="192"/>
  <c r="AC33" i="192"/>
  <c r="AB33" i="192"/>
  <c r="AE33" i="192" s="1"/>
  <c r="AI33" i="192" s="1"/>
  <c r="Y33" i="192" s="1"/>
  <c r="Z33" i="192"/>
  <c r="X33" i="192"/>
  <c r="Q33" i="192"/>
  <c r="P33" i="192"/>
  <c r="I33" i="192"/>
  <c r="H33" i="192"/>
  <c r="E33" i="192"/>
  <c r="AD32" i="192"/>
  <c r="AC32" i="192"/>
  <c r="AE32" i="192" s="1"/>
  <c r="AI32" i="192" s="1"/>
  <c r="Y32" i="192" s="1"/>
  <c r="AB32" i="192"/>
  <c r="Z32" i="192"/>
  <c r="X32" i="192"/>
  <c r="Q32" i="192"/>
  <c r="P32" i="192"/>
  <c r="I32" i="192"/>
  <c r="H32" i="192"/>
  <c r="E32" i="192"/>
  <c r="AE31" i="192"/>
  <c r="AI31" i="192" s="1"/>
  <c r="Y31" i="192" s="1"/>
  <c r="Z31" i="192"/>
  <c r="X31" i="192"/>
  <c r="Q31" i="192"/>
  <c r="P31" i="192"/>
  <c r="I31" i="192"/>
  <c r="H31" i="192"/>
  <c r="E31" i="192"/>
  <c r="AD30" i="192"/>
  <c r="AC30" i="192"/>
  <c r="AB30" i="192"/>
  <c r="AE30" i="192" s="1"/>
  <c r="AI30" i="192" s="1"/>
  <c r="Y30" i="192" s="1"/>
  <c r="Z30" i="192"/>
  <c r="X30" i="192"/>
  <c r="Q30" i="192"/>
  <c r="P30" i="192"/>
  <c r="H30" i="192"/>
  <c r="E30" i="192"/>
  <c r="I30" i="192" s="1"/>
  <c r="AD29" i="192"/>
  <c r="AC29" i="192"/>
  <c r="AB29" i="192"/>
  <c r="AE29" i="192" s="1"/>
  <c r="AI29" i="192" s="1"/>
  <c r="Y29" i="192" s="1"/>
  <c r="Z29" i="192"/>
  <c r="X29" i="192"/>
  <c r="Q29" i="192"/>
  <c r="P29" i="192"/>
  <c r="I29" i="192"/>
  <c r="H29" i="192"/>
  <c r="E29" i="192"/>
  <c r="AD28" i="192"/>
  <c r="AE28" i="192" s="1"/>
  <c r="AI28" i="192" s="1"/>
  <c r="Y28" i="192" s="1"/>
  <c r="AC28" i="192"/>
  <c r="AB28" i="192"/>
  <c r="Z28" i="192"/>
  <c r="X28" i="192"/>
  <c r="Q28" i="192"/>
  <c r="P28" i="192"/>
  <c r="H28" i="192"/>
  <c r="E28" i="192"/>
  <c r="I28" i="192" s="1"/>
  <c r="AD27" i="192"/>
  <c r="AC27" i="192"/>
  <c r="AB27" i="192"/>
  <c r="AE27" i="192" s="1"/>
  <c r="AI27" i="192" s="1"/>
  <c r="Y27" i="192" s="1"/>
  <c r="Z27" i="192"/>
  <c r="X27" i="192"/>
  <c r="Q27" i="192"/>
  <c r="P27" i="192"/>
  <c r="H27" i="192"/>
  <c r="E27" i="192"/>
  <c r="I27" i="192" s="1"/>
  <c r="AD26" i="192"/>
  <c r="AC26" i="192"/>
  <c r="AE26" i="192" s="1"/>
  <c r="AI26" i="192" s="1"/>
  <c r="Y26" i="192" s="1"/>
  <c r="AB26" i="192"/>
  <c r="Z26" i="192"/>
  <c r="X26" i="192"/>
  <c r="Q26" i="192"/>
  <c r="P26" i="192"/>
  <c r="H26" i="192"/>
  <c r="E26" i="192"/>
  <c r="I26" i="192" s="1"/>
  <c r="AE25" i="192"/>
  <c r="AI25" i="192" s="1"/>
  <c r="Y25" i="192" s="1"/>
  <c r="AD25" i="192"/>
  <c r="AC25" i="192"/>
  <c r="AB25" i="192"/>
  <c r="Z25" i="192"/>
  <c r="X25" i="192"/>
  <c r="Q25" i="192"/>
  <c r="P25" i="192"/>
  <c r="H25" i="192"/>
  <c r="E25" i="192"/>
  <c r="I25" i="192" s="1"/>
  <c r="AD24" i="192"/>
  <c r="AC24" i="192"/>
  <c r="AB24" i="192"/>
  <c r="AE24" i="192" s="1"/>
  <c r="AI24" i="192" s="1"/>
  <c r="Y24" i="192" s="1"/>
  <c r="Z24" i="192"/>
  <c r="X24" i="192"/>
  <c r="Q24" i="192"/>
  <c r="P24" i="192"/>
  <c r="H24" i="192"/>
  <c r="E24" i="192"/>
  <c r="I24" i="192" s="1"/>
  <c r="AE23" i="192"/>
  <c r="AI23" i="192" s="1"/>
  <c r="Y23" i="192" s="1"/>
  <c r="AD23" i="192"/>
  <c r="AC23" i="192"/>
  <c r="AB23" i="192"/>
  <c r="Z23" i="192"/>
  <c r="X23" i="192"/>
  <c r="Q23" i="192"/>
  <c r="P23" i="192"/>
  <c r="H23" i="192"/>
  <c r="E23" i="192"/>
  <c r="I23" i="192" s="1"/>
  <c r="AD22" i="192"/>
  <c r="AC22" i="192"/>
  <c r="AB22" i="192"/>
  <c r="AE22" i="192" s="1"/>
  <c r="AI22" i="192" s="1"/>
  <c r="Y22" i="192" s="1"/>
  <c r="Z22" i="192"/>
  <c r="X22" i="192"/>
  <c r="Q22" i="192"/>
  <c r="P22" i="192"/>
  <c r="I22" i="192"/>
  <c r="H22" i="192"/>
  <c r="E22" i="192"/>
  <c r="AD21" i="192"/>
  <c r="AE21" i="192" s="1"/>
  <c r="AI21" i="192" s="1"/>
  <c r="Y21" i="192" s="1"/>
  <c r="AC21" i="192"/>
  <c r="AB21" i="192"/>
  <c r="Z21" i="192"/>
  <c r="X21" i="192"/>
  <c r="Q21" i="192"/>
  <c r="P21" i="192"/>
  <c r="H21" i="192"/>
  <c r="E21" i="192"/>
  <c r="I21" i="192" s="1"/>
  <c r="AI20" i="192"/>
  <c r="Y20" i="192" s="1"/>
  <c r="AE20" i="192"/>
  <c r="AD20" i="192"/>
  <c r="AC20" i="192"/>
  <c r="AB20" i="192"/>
  <c r="Z20" i="192"/>
  <c r="X20" i="192"/>
  <c r="Q20" i="192"/>
  <c r="P20" i="192"/>
  <c r="I20" i="192"/>
  <c r="H20" i="192"/>
  <c r="E20" i="192"/>
  <c r="AD19" i="192"/>
  <c r="AC19" i="192"/>
  <c r="AB19" i="192"/>
  <c r="AE19" i="192" s="1"/>
  <c r="AI19" i="192" s="1"/>
  <c r="Y19" i="192" s="1"/>
  <c r="Z19" i="192"/>
  <c r="X19" i="192"/>
  <c r="Q19" i="192"/>
  <c r="P19" i="192"/>
  <c r="I19" i="192"/>
  <c r="H19" i="192"/>
  <c r="E19" i="192"/>
  <c r="AE18" i="192"/>
  <c r="AI18" i="192" s="1"/>
  <c r="Y18" i="192" s="1"/>
  <c r="AD18" i="192"/>
  <c r="AC18" i="192"/>
  <c r="AB18" i="192"/>
  <c r="Z18" i="192"/>
  <c r="X18" i="192"/>
  <c r="Q18" i="192"/>
  <c r="P18" i="192"/>
  <c r="I18" i="192"/>
  <c r="H18" i="192"/>
  <c r="E18" i="192"/>
  <c r="AD17" i="192"/>
  <c r="AC17" i="192"/>
  <c r="AB17" i="192"/>
  <c r="AE17" i="192" s="1"/>
  <c r="AI17" i="192" s="1"/>
  <c r="Y17" i="192" s="1"/>
  <c r="Z17" i="192"/>
  <c r="X17" i="192"/>
  <c r="Q17" i="192"/>
  <c r="P17" i="192"/>
  <c r="I17" i="192"/>
  <c r="H17" i="192"/>
  <c r="E17" i="192"/>
  <c r="AE16" i="192"/>
  <c r="AI16" i="192" s="1"/>
  <c r="Y16" i="192" s="1"/>
  <c r="AD16" i="192"/>
  <c r="AC16" i="192"/>
  <c r="AB16" i="192"/>
  <c r="Z16" i="192"/>
  <c r="X16" i="192"/>
  <c r="Q16" i="192"/>
  <c r="P16" i="192"/>
  <c r="E16" i="192"/>
  <c r="I16" i="192" s="1"/>
  <c r="AI15" i="192"/>
  <c r="Y15" i="192" s="1"/>
  <c r="AE15" i="192"/>
  <c r="AD15" i="192"/>
  <c r="AC15" i="192"/>
  <c r="AB15" i="192"/>
  <c r="Z15" i="192"/>
  <c r="X15" i="192"/>
  <c r="Q15" i="192"/>
  <c r="P15" i="192"/>
  <c r="E15" i="192"/>
  <c r="I15" i="192" s="1"/>
  <c r="AD14" i="192"/>
  <c r="AC14" i="192"/>
  <c r="AB14" i="192"/>
  <c r="AE14" i="192" s="1"/>
  <c r="AI14" i="192" s="1"/>
  <c r="Y14" i="192" s="1"/>
  <c r="Z14" i="192"/>
  <c r="X14" i="192"/>
  <c r="Q14" i="192"/>
  <c r="O75" i="192" s="1"/>
  <c r="P14" i="192"/>
  <c r="H14" i="192"/>
  <c r="E14" i="192"/>
  <c r="I14" i="192" s="1"/>
  <c r="AD13" i="192"/>
  <c r="AE13" i="192" s="1"/>
  <c r="AI13" i="192" s="1"/>
  <c r="Y13" i="192" s="1"/>
  <c r="AC13" i="192"/>
  <c r="AB13" i="192"/>
  <c r="Z13" i="192"/>
  <c r="X13" i="192"/>
  <c r="Q13" i="192"/>
  <c r="P13" i="192"/>
  <c r="H13" i="192"/>
  <c r="E13" i="192"/>
  <c r="I13" i="192" s="1"/>
  <c r="AD12" i="192"/>
  <c r="AC12" i="192"/>
  <c r="AB12" i="192"/>
  <c r="AE12" i="192" s="1"/>
  <c r="AI12" i="192" s="1"/>
  <c r="Y12" i="192" s="1"/>
  <c r="Z12" i="192"/>
  <c r="X12" i="192"/>
  <c r="Q12" i="192"/>
  <c r="O73" i="192" s="1"/>
  <c r="P12" i="192"/>
  <c r="I12" i="192"/>
  <c r="H12" i="192"/>
  <c r="E12" i="192"/>
  <c r="F77" i="193" l="1"/>
  <c r="F73" i="192"/>
  <c r="T75" i="192"/>
  <c r="T77" i="192"/>
  <c r="F75" i="192"/>
  <c r="T73" i="192"/>
  <c r="P79" i="191"/>
  <c r="T79" i="192" l="1"/>
  <c r="F77" i="192" s="1"/>
  <c r="M79" i="191"/>
  <c r="P71" i="191"/>
  <c r="H71" i="191"/>
  <c r="Q70" i="191"/>
  <c r="P70" i="191"/>
  <c r="I70" i="191"/>
  <c r="H70" i="191"/>
  <c r="E70" i="191"/>
  <c r="Q69" i="191"/>
  <c r="P69" i="191"/>
  <c r="I69" i="191"/>
  <c r="H69" i="191"/>
  <c r="E69" i="191"/>
  <c r="AD68" i="191"/>
  <c r="AC68" i="191"/>
  <c r="AB68" i="191"/>
  <c r="AE68" i="191" s="1"/>
  <c r="AI68" i="191" s="1"/>
  <c r="Y68" i="191" s="1"/>
  <c r="Z68" i="191"/>
  <c r="X68" i="191"/>
  <c r="Q68" i="191"/>
  <c r="P68" i="191"/>
  <c r="H68" i="191"/>
  <c r="E68" i="191"/>
  <c r="I68" i="191" s="1"/>
  <c r="AD67" i="191"/>
  <c r="AC67" i="191"/>
  <c r="AB67" i="191"/>
  <c r="AE67" i="191" s="1"/>
  <c r="AI67" i="191" s="1"/>
  <c r="Y67" i="191" s="1"/>
  <c r="Z67" i="191"/>
  <c r="X67" i="191"/>
  <c r="Q67" i="191"/>
  <c r="P67" i="191"/>
  <c r="I67" i="191"/>
  <c r="H67" i="191"/>
  <c r="E67" i="191"/>
  <c r="AD66" i="191"/>
  <c r="AC66" i="191"/>
  <c r="AE66" i="191" s="1"/>
  <c r="AI66" i="191" s="1"/>
  <c r="Y66" i="191" s="1"/>
  <c r="AB66" i="191"/>
  <c r="Z66" i="191"/>
  <c r="X66" i="191"/>
  <c r="Q66" i="191"/>
  <c r="P66" i="191"/>
  <c r="I66" i="191"/>
  <c r="H66" i="191"/>
  <c r="E66" i="191"/>
  <c r="AD65" i="191"/>
  <c r="AC65" i="191"/>
  <c r="AB65" i="191"/>
  <c r="AE65" i="191" s="1"/>
  <c r="AI65" i="191" s="1"/>
  <c r="Y65" i="191" s="1"/>
  <c r="Z65" i="191"/>
  <c r="X65" i="191"/>
  <c r="Q65" i="191"/>
  <c r="P65" i="191"/>
  <c r="I65" i="191"/>
  <c r="H65" i="191"/>
  <c r="E65" i="191"/>
  <c r="AE64" i="191"/>
  <c r="AI64" i="191" s="1"/>
  <c r="Y64" i="191" s="1"/>
  <c r="AD64" i="191"/>
  <c r="AC64" i="191"/>
  <c r="AB64" i="191"/>
  <c r="Z64" i="191"/>
  <c r="X64" i="191"/>
  <c r="Q64" i="191"/>
  <c r="P64" i="191"/>
  <c r="I64" i="191"/>
  <c r="H64" i="191"/>
  <c r="E64" i="191"/>
  <c r="AD63" i="191"/>
  <c r="AC63" i="191"/>
  <c r="AB63" i="191"/>
  <c r="AE63" i="191" s="1"/>
  <c r="AI63" i="191" s="1"/>
  <c r="Y63" i="191" s="1"/>
  <c r="Z63" i="191"/>
  <c r="X63" i="191"/>
  <c r="Q63" i="191"/>
  <c r="P63" i="191"/>
  <c r="H63" i="191"/>
  <c r="E63" i="191"/>
  <c r="I63" i="191" s="1"/>
  <c r="AD62" i="191"/>
  <c r="AC62" i="191"/>
  <c r="AB62" i="191"/>
  <c r="AE62" i="191" s="1"/>
  <c r="AI62" i="191" s="1"/>
  <c r="Y62" i="191" s="1"/>
  <c r="Z62" i="191"/>
  <c r="X62" i="191"/>
  <c r="Q62" i="191"/>
  <c r="P62" i="191"/>
  <c r="I62" i="191"/>
  <c r="H62" i="191"/>
  <c r="E62" i="191"/>
  <c r="AE61" i="191"/>
  <c r="AI61" i="191" s="1"/>
  <c r="Y61" i="191" s="1"/>
  <c r="AC61" i="191"/>
  <c r="AB61" i="191"/>
  <c r="X61" i="191"/>
  <c r="Q61" i="191"/>
  <c r="P61" i="191"/>
  <c r="H61" i="191"/>
  <c r="E61" i="191"/>
  <c r="I61" i="191" s="1"/>
  <c r="AE60" i="191"/>
  <c r="AI60" i="191" s="1"/>
  <c r="Y60" i="191" s="1"/>
  <c r="X60" i="191"/>
  <c r="Q60" i="191"/>
  <c r="P60" i="191"/>
  <c r="I60" i="191"/>
  <c r="H60" i="191"/>
  <c r="E60" i="191"/>
  <c r="AC59" i="191"/>
  <c r="AB59" i="191"/>
  <c r="AE59" i="191" s="1"/>
  <c r="AI59" i="191" s="1"/>
  <c r="Y59" i="191" s="1"/>
  <c r="X59" i="191"/>
  <c r="Q59" i="191"/>
  <c r="P59" i="191"/>
  <c r="I59" i="191"/>
  <c r="H59" i="191"/>
  <c r="E59" i="191"/>
  <c r="AC58" i="191"/>
  <c r="AB58" i="191"/>
  <c r="AE58" i="191" s="1"/>
  <c r="AI58" i="191" s="1"/>
  <c r="Y58" i="191" s="1"/>
  <c r="X58" i="191"/>
  <c r="Q58" i="191"/>
  <c r="P58" i="191"/>
  <c r="I58" i="191"/>
  <c r="E58" i="191"/>
  <c r="AE57" i="191"/>
  <c r="AI57" i="191" s="1"/>
  <c r="Y57" i="191" s="1"/>
  <c r="AC57" i="191"/>
  <c r="AB57" i="191"/>
  <c r="X57" i="191"/>
  <c r="Q57" i="191"/>
  <c r="P57" i="191"/>
  <c r="I57" i="191"/>
  <c r="H57" i="191"/>
  <c r="E57" i="191"/>
  <c r="AD56" i="191"/>
  <c r="AC56" i="191"/>
  <c r="AB56" i="191"/>
  <c r="AE56" i="191" s="1"/>
  <c r="AI56" i="191" s="1"/>
  <c r="Y56" i="191" s="1"/>
  <c r="Z56" i="191"/>
  <c r="X56" i="191"/>
  <c r="Q56" i="191"/>
  <c r="P56" i="191"/>
  <c r="H56" i="191"/>
  <c r="E56" i="191"/>
  <c r="I56" i="191" s="1"/>
  <c r="AI55" i="191"/>
  <c r="AE55" i="191"/>
  <c r="AD55" i="191"/>
  <c r="AC55" i="191"/>
  <c r="AB55" i="191"/>
  <c r="Z55" i="191"/>
  <c r="Y55" i="191"/>
  <c r="X55" i="191"/>
  <c r="Q55" i="191"/>
  <c r="P55" i="191"/>
  <c r="H55" i="191"/>
  <c r="E55" i="191"/>
  <c r="I55" i="191" s="1"/>
  <c r="AD54" i="191"/>
  <c r="AC54" i="191"/>
  <c r="AB54" i="191"/>
  <c r="AE54" i="191" s="1"/>
  <c r="AI54" i="191" s="1"/>
  <c r="Y54" i="191" s="1"/>
  <c r="Z54" i="191"/>
  <c r="X54" i="191"/>
  <c r="Q54" i="191"/>
  <c r="P54" i="191"/>
  <c r="H54" i="191"/>
  <c r="E54" i="191"/>
  <c r="I54" i="191" s="1"/>
  <c r="AE53" i="191"/>
  <c r="AI53" i="191" s="1"/>
  <c r="Y53" i="191" s="1"/>
  <c r="AD53" i="191"/>
  <c r="AC53" i="191"/>
  <c r="AB53" i="191"/>
  <c r="Z53" i="191"/>
  <c r="X53" i="191"/>
  <c r="Q53" i="191"/>
  <c r="P53" i="191"/>
  <c r="H53" i="191"/>
  <c r="E53" i="191"/>
  <c r="I53" i="191" s="1"/>
  <c r="AE52" i="191"/>
  <c r="AI52" i="191" s="1"/>
  <c r="Y52" i="191" s="1"/>
  <c r="Z52" i="191"/>
  <c r="X52" i="191"/>
  <c r="Q52" i="191"/>
  <c r="P52" i="191"/>
  <c r="H52" i="191"/>
  <c r="E52" i="191"/>
  <c r="I52" i="191" s="1"/>
  <c r="AD51" i="191"/>
  <c r="AC51" i="191"/>
  <c r="AB51" i="191"/>
  <c r="AE51" i="191" s="1"/>
  <c r="AI51" i="191" s="1"/>
  <c r="Y51" i="191" s="1"/>
  <c r="Z51" i="191"/>
  <c r="X51" i="191"/>
  <c r="Q51" i="191"/>
  <c r="P51" i="191"/>
  <c r="I51" i="191"/>
  <c r="H51" i="191"/>
  <c r="E51" i="191"/>
  <c r="AD50" i="191"/>
  <c r="AE50" i="191" s="1"/>
  <c r="AI50" i="191" s="1"/>
  <c r="Y50" i="191" s="1"/>
  <c r="AC50" i="191"/>
  <c r="AB50" i="191"/>
  <c r="Z50" i="191"/>
  <c r="X50" i="191"/>
  <c r="Q50" i="191"/>
  <c r="P50" i="191"/>
  <c r="I50" i="191"/>
  <c r="H50" i="191"/>
  <c r="E50" i="191"/>
  <c r="AI49" i="191"/>
  <c r="Y49" i="191" s="1"/>
  <c r="AE49" i="191"/>
  <c r="Z49" i="191"/>
  <c r="X49" i="191"/>
  <c r="Q49" i="191"/>
  <c r="P49" i="191"/>
  <c r="I49" i="191"/>
  <c r="H49" i="191"/>
  <c r="E49" i="191"/>
  <c r="AE48" i="191"/>
  <c r="AI48" i="191" s="1"/>
  <c r="Y48" i="191" s="1"/>
  <c r="Z48" i="191"/>
  <c r="X48" i="191"/>
  <c r="Q48" i="191"/>
  <c r="P48" i="191"/>
  <c r="I48" i="191"/>
  <c r="H48" i="191"/>
  <c r="E48" i="191"/>
  <c r="AE47" i="191"/>
  <c r="AI47" i="191" s="1"/>
  <c r="Y47" i="191" s="1"/>
  <c r="Z47" i="191"/>
  <c r="X47" i="191"/>
  <c r="Q47" i="191"/>
  <c r="P47" i="191"/>
  <c r="I47" i="191"/>
  <c r="H47" i="191"/>
  <c r="E47" i="191"/>
  <c r="AD46" i="191"/>
  <c r="AC46" i="191"/>
  <c r="AB46" i="191"/>
  <c r="AE46" i="191" s="1"/>
  <c r="AI46" i="191" s="1"/>
  <c r="Y46" i="191" s="1"/>
  <c r="Z46" i="191"/>
  <c r="X46" i="191"/>
  <c r="Q46" i="191"/>
  <c r="P46" i="191"/>
  <c r="H46" i="191"/>
  <c r="E46" i="191"/>
  <c r="I46" i="191" s="1"/>
  <c r="AD45" i="191"/>
  <c r="AC45" i="191"/>
  <c r="AE45" i="191" s="1"/>
  <c r="AI45" i="191" s="1"/>
  <c r="Y45" i="191" s="1"/>
  <c r="AB45" i="191"/>
  <c r="Z45" i="191"/>
  <c r="X45" i="191"/>
  <c r="Q45" i="191"/>
  <c r="P45" i="191"/>
  <c r="I45" i="191"/>
  <c r="H45" i="191"/>
  <c r="E45" i="191"/>
  <c r="AD44" i="191"/>
  <c r="AC44" i="191"/>
  <c r="AB44" i="191"/>
  <c r="AE44" i="191" s="1"/>
  <c r="AI44" i="191" s="1"/>
  <c r="Y44" i="191" s="1"/>
  <c r="Z44" i="191"/>
  <c r="X44" i="191"/>
  <c r="Q44" i="191"/>
  <c r="P44" i="191"/>
  <c r="H44" i="191"/>
  <c r="E44" i="191"/>
  <c r="I44" i="191" s="1"/>
  <c r="AI43" i="191"/>
  <c r="AE43" i="191"/>
  <c r="AD43" i="191"/>
  <c r="AC43" i="191"/>
  <c r="AB43" i="191"/>
  <c r="Z43" i="191"/>
  <c r="Y43" i="191"/>
  <c r="X43" i="191"/>
  <c r="Q43" i="191"/>
  <c r="P43" i="191"/>
  <c r="H43" i="191"/>
  <c r="E43" i="191"/>
  <c r="I43" i="191" s="1"/>
  <c r="AD42" i="191"/>
  <c r="AC42" i="191"/>
  <c r="AB42" i="191"/>
  <c r="AE42" i="191" s="1"/>
  <c r="AI42" i="191" s="1"/>
  <c r="Y42" i="191" s="1"/>
  <c r="Z42" i="191"/>
  <c r="X42" i="191"/>
  <c r="Q42" i="191"/>
  <c r="P42" i="191"/>
  <c r="H42" i="191"/>
  <c r="E42" i="191"/>
  <c r="I42" i="191" s="1"/>
  <c r="AE41" i="191"/>
  <c r="AI41" i="191" s="1"/>
  <c r="Y41" i="191" s="1"/>
  <c r="AD41" i="191"/>
  <c r="AC41" i="191"/>
  <c r="AB41" i="191"/>
  <c r="Z41" i="191"/>
  <c r="X41" i="191"/>
  <c r="Q41" i="191"/>
  <c r="P41" i="191"/>
  <c r="H41" i="191"/>
  <c r="E41" i="191"/>
  <c r="I41" i="191" s="1"/>
  <c r="AD40" i="191"/>
  <c r="AE40" i="191" s="1"/>
  <c r="AI40" i="191" s="1"/>
  <c r="Y40" i="191" s="1"/>
  <c r="AC40" i="191"/>
  <c r="AB40" i="191"/>
  <c r="Z40" i="191"/>
  <c r="X40" i="191"/>
  <c r="Q40" i="191"/>
  <c r="P40" i="191"/>
  <c r="I40" i="191"/>
  <c r="H40" i="191"/>
  <c r="E40" i="191"/>
  <c r="AD39" i="191"/>
  <c r="AC39" i="191"/>
  <c r="AB39" i="191"/>
  <c r="AE39" i="191" s="1"/>
  <c r="AI39" i="191" s="1"/>
  <c r="Y39" i="191" s="1"/>
  <c r="Z39" i="191"/>
  <c r="X39" i="191"/>
  <c r="Q39" i="191"/>
  <c r="P39" i="191"/>
  <c r="H39" i="191"/>
  <c r="E39" i="191"/>
  <c r="I39" i="191" s="1"/>
  <c r="AD38" i="191"/>
  <c r="AC38" i="191"/>
  <c r="AB38" i="191"/>
  <c r="AE38" i="191" s="1"/>
  <c r="AI38" i="191" s="1"/>
  <c r="Y38" i="191" s="1"/>
  <c r="Z38" i="191"/>
  <c r="X38" i="191"/>
  <c r="Q38" i="191"/>
  <c r="P38" i="191"/>
  <c r="I38" i="191"/>
  <c r="H38" i="191"/>
  <c r="E38" i="191"/>
  <c r="AD37" i="191"/>
  <c r="AE37" i="191" s="1"/>
  <c r="AI37" i="191" s="1"/>
  <c r="Y37" i="191" s="1"/>
  <c r="AC37" i="191"/>
  <c r="AB37" i="191"/>
  <c r="Z37" i="191"/>
  <c r="X37" i="191"/>
  <c r="Q37" i="191"/>
  <c r="P37" i="191"/>
  <c r="I37" i="191"/>
  <c r="H37" i="191"/>
  <c r="E37" i="191"/>
  <c r="AD36" i="191"/>
  <c r="AC36" i="191"/>
  <c r="AB36" i="191"/>
  <c r="AE36" i="191" s="1"/>
  <c r="AI36" i="191" s="1"/>
  <c r="Y36" i="191" s="1"/>
  <c r="Z36" i="191"/>
  <c r="X36" i="191"/>
  <c r="Q36" i="191"/>
  <c r="P36" i="191"/>
  <c r="I36" i="191"/>
  <c r="H36" i="191"/>
  <c r="E36" i="191"/>
  <c r="AE35" i="191"/>
  <c r="AI35" i="191" s="1"/>
  <c r="Y35" i="191" s="1"/>
  <c r="AD35" i="191"/>
  <c r="AC35" i="191"/>
  <c r="AB35" i="191"/>
  <c r="Z35" i="191"/>
  <c r="X35" i="191"/>
  <c r="Q35" i="191"/>
  <c r="P35" i="191"/>
  <c r="H35" i="191"/>
  <c r="E35" i="191"/>
  <c r="I35" i="191" s="1"/>
  <c r="AD34" i="191"/>
  <c r="AC34" i="191"/>
  <c r="AB34" i="191"/>
  <c r="AE34" i="191" s="1"/>
  <c r="AI34" i="191" s="1"/>
  <c r="Y34" i="191" s="1"/>
  <c r="Z34" i="191"/>
  <c r="X34" i="191"/>
  <c r="Q34" i="191"/>
  <c r="P34" i="191"/>
  <c r="I34" i="191"/>
  <c r="H34" i="191"/>
  <c r="E34" i="191"/>
  <c r="AD33" i="191"/>
  <c r="AC33" i="191"/>
  <c r="AB33" i="191"/>
  <c r="AE33" i="191" s="1"/>
  <c r="AI33" i="191" s="1"/>
  <c r="Y33" i="191" s="1"/>
  <c r="Z33" i="191"/>
  <c r="X33" i="191"/>
  <c r="Q33" i="191"/>
  <c r="P33" i="191"/>
  <c r="H33" i="191"/>
  <c r="E33" i="191"/>
  <c r="I33" i="191" s="1"/>
  <c r="AE32" i="191"/>
  <c r="AI32" i="191" s="1"/>
  <c r="Y32" i="191" s="1"/>
  <c r="AD32" i="191"/>
  <c r="AC32" i="191"/>
  <c r="AB32" i="191"/>
  <c r="Z32" i="191"/>
  <c r="X32" i="191"/>
  <c r="Q32" i="191"/>
  <c r="P32" i="191"/>
  <c r="I32" i="191"/>
  <c r="H32" i="191"/>
  <c r="E32" i="191"/>
  <c r="AE31" i="191"/>
  <c r="AI31" i="191" s="1"/>
  <c r="Y31" i="191" s="1"/>
  <c r="Z31" i="191"/>
  <c r="X31" i="191"/>
  <c r="Q31" i="191"/>
  <c r="P31" i="191"/>
  <c r="H31" i="191"/>
  <c r="E31" i="191"/>
  <c r="I31" i="191" s="1"/>
  <c r="AD30" i="191"/>
  <c r="AC30" i="191"/>
  <c r="AE30" i="191" s="1"/>
  <c r="AI30" i="191" s="1"/>
  <c r="Y30" i="191" s="1"/>
  <c r="AB30" i="191"/>
  <c r="Z30" i="191"/>
  <c r="X30" i="191"/>
  <c r="Q30" i="191"/>
  <c r="P30" i="191"/>
  <c r="I30" i="191"/>
  <c r="H30" i="191"/>
  <c r="E30" i="191"/>
  <c r="AD29" i="191"/>
  <c r="AC29" i="191"/>
  <c r="AB29" i="191"/>
  <c r="AE29" i="191" s="1"/>
  <c r="AI29" i="191" s="1"/>
  <c r="Y29" i="191" s="1"/>
  <c r="Z29" i="191"/>
  <c r="X29" i="191"/>
  <c r="Q29" i="191"/>
  <c r="P29" i="191"/>
  <c r="H29" i="191"/>
  <c r="E29" i="191"/>
  <c r="I29" i="191" s="1"/>
  <c r="AI28" i="191"/>
  <c r="AE28" i="191"/>
  <c r="AD28" i="191"/>
  <c r="AC28" i="191"/>
  <c r="AB28" i="191"/>
  <c r="Z28" i="191"/>
  <c r="Y28" i="191"/>
  <c r="X28" i="191"/>
  <c r="Q28" i="191"/>
  <c r="P28" i="191"/>
  <c r="H28" i="191"/>
  <c r="E28" i="191"/>
  <c r="I28" i="191" s="1"/>
  <c r="AD27" i="191"/>
  <c r="AC27" i="191"/>
  <c r="AB27" i="191"/>
  <c r="AE27" i="191" s="1"/>
  <c r="AI27" i="191" s="1"/>
  <c r="Y27" i="191" s="1"/>
  <c r="Z27" i="191"/>
  <c r="X27" i="191"/>
  <c r="Q27" i="191"/>
  <c r="P27" i="191"/>
  <c r="H27" i="191"/>
  <c r="E27" i="191"/>
  <c r="I27" i="191" s="1"/>
  <c r="AE26" i="191"/>
  <c r="AI26" i="191" s="1"/>
  <c r="Y26" i="191" s="1"/>
  <c r="AD26" i="191"/>
  <c r="AC26" i="191"/>
  <c r="AB26" i="191"/>
  <c r="Z26" i="191"/>
  <c r="X26" i="191"/>
  <c r="Q26" i="191"/>
  <c r="P26" i="191"/>
  <c r="H26" i="191"/>
  <c r="E26" i="191"/>
  <c r="I26" i="191" s="1"/>
  <c r="AD25" i="191"/>
  <c r="AE25" i="191" s="1"/>
  <c r="AI25" i="191" s="1"/>
  <c r="Y25" i="191" s="1"/>
  <c r="AC25" i="191"/>
  <c r="AB25" i="191"/>
  <c r="Z25" i="191"/>
  <c r="X25" i="191"/>
  <c r="Q25" i="191"/>
  <c r="P25" i="191"/>
  <c r="I25" i="191"/>
  <c r="H25" i="191"/>
  <c r="E25" i="191"/>
  <c r="AD24" i="191"/>
  <c r="AC24" i="191"/>
  <c r="AB24" i="191"/>
  <c r="AE24" i="191" s="1"/>
  <c r="AI24" i="191" s="1"/>
  <c r="Y24" i="191" s="1"/>
  <c r="Z24" i="191"/>
  <c r="X24" i="191"/>
  <c r="Q24" i="191"/>
  <c r="P24" i="191"/>
  <c r="H24" i="191"/>
  <c r="E24" i="191"/>
  <c r="I24" i="191" s="1"/>
  <c r="AD23" i="191"/>
  <c r="AC23" i="191"/>
  <c r="AB23" i="191"/>
  <c r="AE23" i="191" s="1"/>
  <c r="AI23" i="191" s="1"/>
  <c r="Y23" i="191" s="1"/>
  <c r="Z23" i="191"/>
  <c r="X23" i="191"/>
  <c r="Q23" i="191"/>
  <c r="P23" i="191"/>
  <c r="I23" i="191"/>
  <c r="H23" i="191"/>
  <c r="E23" i="191"/>
  <c r="AD22" i="191"/>
  <c r="AE22" i="191" s="1"/>
  <c r="AI22" i="191" s="1"/>
  <c r="Y22" i="191" s="1"/>
  <c r="AC22" i="191"/>
  <c r="AB22" i="191"/>
  <c r="Z22" i="191"/>
  <c r="X22" i="191"/>
  <c r="Q22" i="191"/>
  <c r="P22" i="191"/>
  <c r="I22" i="191"/>
  <c r="H22" i="191"/>
  <c r="E22" i="191"/>
  <c r="AD21" i="191"/>
  <c r="AC21" i="191"/>
  <c r="AB21" i="191"/>
  <c r="AE21" i="191" s="1"/>
  <c r="AI21" i="191" s="1"/>
  <c r="Y21" i="191" s="1"/>
  <c r="Z21" i="191"/>
  <c r="X21" i="191"/>
  <c r="Q21" i="191"/>
  <c r="P21" i="191"/>
  <c r="I21" i="191"/>
  <c r="H21" i="191"/>
  <c r="E21" i="191"/>
  <c r="AE20" i="191"/>
  <c r="AI20" i="191" s="1"/>
  <c r="Y20" i="191" s="1"/>
  <c r="AD20" i="191"/>
  <c r="AC20" i="191"/>
  <c r="AB20" i="191"/>
  <c r="Z20" i="191"/>
  <c r="X20" i="191"/>
  <c r="Q20" i="191"/>
  <c r="P20" i="191"/>
  <c r="H20" i="191"/>
  <c r="E20" i="191"/>
  <c r="I20" i="191" s="1"/>
  <c r="AD19" i="191"/>
  <c r="AC19" i="191"/>
  <c r="AB19" i="191"/>
  <c r="AE19" i="191" s="1"/>
  <c r="AI19" i="191" s="1"/>
  <c r="Y19" i="191" s="1"/>
  <c r="Z19" i="191"/>
  <c r="X19" i="191"/>
  <c r="Q19" i="191"/>
  <c r="P19" i="191"/>
  <c r="I19" i="191"/>
  <c r="H19" i="191"/>
  <c r="E19" i="191"/>
  <c r="AD18" i="191"/>
  <c r="AC18" i="191"/>
  <c r="AB18" i="191"/>
  <c r="AE18" i="191" s="1"/>
  <c r="AI18" i="191" s="1"/>
  <c r="Y18" i="191" s="1"/>
  <c r="Z18" i="191"/>
  <c r="X18" i="191"/>
  <c r="Q18" i="191"/>
  <c r="P18" i="191"/>
  <c r="H18" i="191"/>
  <c r="E18" i="191"/>
  <c r="I18" i="191" s="1"/>
  <c r="AE17" i="191"/>
  <c r="AI17" i="191" s="1"/>
  <c r="Y17" i="191" s="1"/>
  <c r="AD17" i="191"/>
  <c r="AC17" i="191"/>
  <c r="AB17" i="191"/>
  <c r="Z17" i="191"/>
  <c r="X17" i="191"/>
  <c r="Q17" i="191"/>
  <c r="P17" i="191"/>
  <c r="I17" i="191"/>
  <c r="H17" i="191"/>
  <c r="E17" i="191"/>
  <c r="AD16" i="191"/>
  <c r="AC16" i="191"/>
  <c r="AB16" i="191"/>
  <c r="AE16" i="191" s="1"/>
  <c r="AI16" i="191" s="1"/>
  <c r="Y16" i="191" s="1"/>
  <c r="Z16" i="191"/>
  <c r="X16" i="191"/>
  <c r="Q16" i="191"/>
  <c r="P16" i="191"/>
  <c r="I16" i="191"/>
  <c r="E16" i="191"/>
  <c r="AE15" i="191"/>
  <c r="AI15" i="191" s="1"/>
  <c r="Y15" i="191" s="1"/>
  <c r="AD15" i="191"/>
  <c r="AC15" i="191"/>
  <c r="AB15" i="191"/>
  <c r="Z15" i="191"/>
  <c r="X15" i="191"/>
  <c r="Q15" i="191"/>
  <c r="P15" i="191"/>
  <c r="E15" i="191"/>
  <c r="I15" i="191" s="1"/>
  <c r="AD14" i="191"/>
  <c r="AC14" i="191"/>
  <c r="AB14" i="191"/>
  <c r="AE14" i="191" s="1"/>
  <c r="AI14" i="191" s="1"/>
  <c r="Y14" i="191" s="1"/>
  <c r="Z14" i="191"/>
  <c r="X14" i="191"/>
  <c r="Q14" i="191"/>
  <c r="P14" i="191"/>
  <c r="H14" i="191"/>
  <c r="E14" i="191"/>
  <c r="I14" i="191" s="1"/>
  <c r="AD13" i="191"/>
  <c r="AC13" i="191"/>
  <c r="AB13" i="191"/>
  <c r="AE13" i="191" s="1"/>
  <c r="AI13" i="191" s="1"/>
  <c r="Y13" i="191" s="1"/>
  <c r="Z13" i="191"/>
  <c r="X13" i="191"/>
  <c r="Q13" i="191"/>
  <c r="P13" i="191"/>
  <c r="I13" i="191"/>
  <c r="H13" i="191"/>
  <c r="E13" i="191"/>
  <c r="AD12" i="191"/>
  <c r="AE12" i="191" s="1"/>
  <c r="AI12" i="191" s="1"/>
  <c r="Y12" i="191" s="1"/>
  <c r="AC12" i="191"/>
  <c r="AB12" i="191"/>
  <c r="Z12" i="191"/>
  <c r="X12" i="191"/>
  <c r="Q12" i="191"/>
  <c r="O73" i="191" s="1"/>
  <c r="P12" i="191"/>
  <c r="I12" i="191"/>
  <c r="H12" i="191"/>
  <c r="E12" i="191"/>
  <c r="T75" i="191" l="1"/>
  <c r="T77" i="191"/>
  <c r="T79" i="191" s="1"/>
  <c r="O75" i="191"/>
  <c r="T73" i="191"/>
  <c r="F73" i="191"/>
  <c r="F75" i="191"/>
  <c r="M79" i="190"/>
  <c r="P71" i="190"/>
  <c r="H71" i="190"/>
  <c r="Q70" i="190"/>
  <c r="P70" i="190"/>
  <c r="I70" i="190"/>
  <c r="H70" i="190"/>
  <c r="E70" i="190"/>
  <c r="Q69" i="190"/>
  <c r="P69" i="190"/>
  <c r="H69" i="190"/>
  <c r="E69" i="190"/>
  <c r="I69" i="190" s="1"/>
  <c r="AD68" i="190"/>
  <c r="AC68" i="190"/>
  <c r="AB68" i="190"/>
  <c r="AE68" i="190" s="1"/>
  <c r="AI68" i="190" s="1"/>
  <c r="Y68" i="190" s="1"/>
  <c r="Z68" i="190"/>
  <c r="X68" i="190"/>
  <c r="Q68" i="190"/>
  <c r="P68" i="190"/>
  <c r="H68" i="190"/>
  <c r="E68" i="190"/>
  <c r="I68" i="190" s="1"/>
  <c r="AE67" i="190"/>
  <c r="AI67" i="190" s="1"/>
  <c r="Y67" i="190" s="1"/>
  <c r="AD67" i="190"/>
  <c r="AC67" i="190"/>
  <c r="AB67" i="190"/>
  <c r="Z67" i="190"/>
  <c r="X67" i="190"/>
  <c r="Q67" i="190"/>
  <c r="P67" i="190"/>
  <c r="H67" i="190"/>
  <c r="E67" i="190"/>
  <c r="I67" i="190" s="1"/>
  <c r="AE66" i="190"/>
  <c r="AI66" i="190" s="1"/>
  <c r="Y66" i="190" s="1"/>
  <c r="AD66" i="190"/>
  <c r="AC66" i="190"/>
  <c r="AB66" i="190"/>
  <c r="Z66" i="190"/>
  <c r="X66" i="190"/>
  <c r="Q66" i="190"/>
  <c r="P66" i="190"/>
  <c r="I66" i="190"/>
  <c r="H66" i="190"/>
  <c r="E66" i="190"/>
  <c r="AD65" i="190"/>
  <c r="AC65" i="190"/>
  <c r="AB65" i="190"/>
  <c r="AE65" i="190" s="1"/>
  <c r="AI65" i="190" s="1"/>
  <c r="Y65" i="190" s="1"/>
  <c r="Z65" i="190"/>
  <c r="X65" i="190"/>
  <c r="Q65" i="190"/>
  <c r="P65" i="190"/>
  <c r="H65" i="190"/>
  <c r="E65" i="190"/>
  <c r="I65" i="190" s="1"/>
  <c r="AD64" i="190"/>
  <c r="AC64" i="190"/>
  <c r="AE64" i="190" s="1"/>
  <c r="AI64" i="190" s="1"/>
  <c r="Y64" i="190" s="1"/>
  <c r="AB64" i="190"/>
  <c r="Z64" i="190"/>
  <c r="X64" i="190"/>
  <c r="Q64" i="190"/>
  <c r="P64" i="190"/>
  <c r="I64" i="190"/>
  <c r="H64" i="190"/>
  <c r="E64" i="190"/>
  <c r="AD63" i="190"/>
  <c r="AC63" i="190"/>
  <c r="AB63" i="190"/>
  <c r="AE63" i="190" s="1"/>
  <c r="AI63" i="190" s="1"/>
  <c r="Y63" i="190" s="1"/>
  <c r="Z63" i="190"/>
  <c r="X63" i="190"/>
  <c r="Q63" i="190"/>
  <c r="P63" i="190"/>
  <c r="I63" i="190"/>
  <c r="H63" i="190"/>
  <c r="E63" i="190"/>
  <c r="AE62" i="190"/>
  <c r="AI62" i="190" s="1"/>
  <c r="Y62" i="190" s="1"/>
  <c r="AD62" i="190"/>
  <c r="AC62" i="190"/>
  <c r="AB62" i="190"/>
  <c r="Z62" i="190"/>
  <c r="X62" i="190"/>
  <c r="Q62" i="190"/>
  <c r="P62" i="190"/>
  <c r="I62" i="190"/>
  <c r="H62" i="190"/>
  <c r="E62" i="190"/>
  <c r="AE61" i="190"/>
  <c r="AI61" i="190" s="1"/>
  <c r="Y61" i="190" s="1"/>
  <c r="AC61" i="190"/>
  <c r="AB61" i="190"/>
  <c r="X61" i="190"/>
  <c r="Q61" i="190"/>
  <c r="P61" i="190"/>
  <c r="I61" i="190"/>
  <c r="H61" i="190"/>
  <c r="E61" i="190"/>
  <c r="AE60" i="190"/>
  <c r="AI60" i="190" s="1"/>
  <c r="Y60" i="190" s="1"/>
  <c r="X60" i="190"/>
  <c r="Q60" i="190"/>
  <c r="P60" i="190"/>
  <c r="I60" i="190"/>
  <c r="H60" i="190"/>
  <c r="E60" i="190"/>
  <c r="AC59" i="190"/>
  <c r="AB59" i="190"/>
  <c r="AE59" i="190" s="1"/>
  <c r="AI59" i="190" s="1"/>
  <c r="Y59" i="190" s="1"/>
  <c r="X59" i="190"/>
  <c r="Q59" i="190"/>
  <c r="P59" i="190"/>
  <c r="H59" i="190"/>
  <c r="E59" i="190"/>
  <c r="I59" i="190" s="1"/>
  <c r="AC58" i="190"/>
  <c r="AE58" i="190" s="1"/>
  <c r="AI58" i="190" s="1"/>
  <c r="Y58" i="190" s="1"/>
  <c r="AB58" i="190"/>
  <c r="X58" i="190"/>
  <c r="Q58" i="190"/>
  <c r="P58" i="190"/>
  <c r="E58" i="190"/>
  <c r="I58" i="190" s="1"/>
  <c r="AC57" i="190"/>
  <c r="AB57" i="190"/>
  <c r="AE57" i="190" s="1"/>
  <c r="AI57" i="190" s="1"/>
  <c r="Y57" i="190" s="1"/>
  <c r="X57" i="190"/>
  <c r="Q57" i="190"/>
  <c r="P57" i="190"/>
  <c r="I57" i="190"/>
  <c r="H57" i="190"/>
  <c r="E57" i="190"/>
  <c r="AD56" i="190"/>
  <c r="AC56" i="190"/>
  <c r="AB56" i="190"/>
  <c r="AE56" i="190" s="1"/>
  <c r="AI56" i="190" s="1"/>
  <c r="Y56" i="190" s="1"/>
  <c r="Z56" i="190"/>
  <c r="X56" i="190"/>
  <c r="Q56" i="190"/>
  <c r="P56" i="190"/>
  <c r="I56" i="190"/>
  <c r="H56" i="190"/>
  <c r="E56" i="190"/>
  <c r="AD55" i="190"/>
  <c r="AC55" i="190"/>
  <c r="AE55" i="190" s="1"/>
  <c r="AI55" i="190" s="1"/>
  <c r="Y55" i="190" s="1"/>
  <c r="AB55" i="190"/>
  <c r="Z55" i="190"/>
  <c r="X55" i="190"/>
  <c r="Q55" i="190"/>
  <c r="P55" i="190"/>
  <c r="I55" i="190"/>
  <c r="H55" i="190"/>
  <c r="E55" i="190"/>
  <c r="AD54" i="190"/>
  <c r="AC54" i="190"/>
  <c r="AE54" i="190" s="1"/>
  <c r="AI54" i="190" s="1"/>
  <c r="Y54" i="190" s="1"/>
  <c r="AB54" i="190"/>
  <c r="Z54" i="190"/>
  <c r="X54" i="190"/>
  <c r="Q54" i="190"/>
  <c r="P54" i="190"/>
  <c r="I54" i="190"/>
  <c r="H54" i="190"/>
  <c r="E54" i="190"/>
  <c r="AD53" i="190"/>
  <c r="AC53" i="190"/>
  <c r="AE53" i="190" s="1"/>
  <c r="AI53" i="190" s="1"/>
  <c r="Y53" i="190" s="1"/>
  <c r="AB53" i="190"/>
  <c r="Z53" i="190"/>
  <c r="X53" i="190"/>
  <c r="Q53" i="190"/>
  <c r="P53" i="190"/>
  <c r="H53" i="190"/>
  <c r="E53" i="190"/>
  <c r="I53" i="190" s="1"/>
  <c r="AE52" i="190"/>
  <c r="AI52" i="190" s="1"/>
  <c r="Y52" i="190" s="1"/>
  <c r="Z52" i="190"/>
  <c r="X52" i="190"/>
  <c r="Q52" i="190"/>
  <c r="P52" i="190"/>
  <c r="H52" i="190"/>
  <c r="E52" i="190"/>
  <c r="I52" i="190" s="1"/>
  <c r="AD51" i="190"/>
  <c r="AE51" i="190" s="1"/>
  <c r="AI51" i="190" s="1"/>
  <c r="Y51" i="190" s="1"/>
  <c r="AC51" i="190"/>
  <c r="AB51" i="190"/>
  <c r="Z51" i="190"/>
  <c r="X51" i="190"/>
  <c r="Q51" i="190"/>
  <c r="P51" i="190"/>
  <c r="H51" i="190"/>
  <c r="E51" i="190"/>
  <c r="I51" i="190" s="1"/>
  <c r="AD50" i="190"/>
  <c r="AE50" i="190" s="1"/>
  <c r="AI50" i="190" s="1"/>
  <c r="Y50" i="190" s="1"/>
  <c r="AC50" i="190"/>
  <c r="AB50" i="190"/>
  <c r="Z50" i="190"/>
  <c r="X50" i="190"/>
  <c r="Q50" i="190"/>
  <c r="P50" i="190"/>
  <c r="I50" i="190"/>
  <c r="H50" i="190"/>
  <c r="E50" i="190"/>
  <c r="AI49" i="190"/>
  <c r="Y49" i="190" s="1"/>
  <c r="AE49" i="190"/>
  <c r="Z49" i="190"/>
  <c r="X49" i="190"/>
  <c r="Q49" i="190"/>
  <c r="P49" i="190"/>
  <c r="I49" i="190"/>
  <c r="H49" i="190"/>
  <c r="E49" i="190"/>
  <c r="AI48" i="190"/>
  <c r="AE48" i="190"/>
  <c r="Z48" i="190"/>
  <c r="Y48" i="190"/>
  <c r="X48" i="190"/>
  <c r="Q48" i="190"/>
  <c r="P48" i="190"/>
  <c r="I48" i="190"/>
  <c r="H48" i="190"/>
  <c r="E48" i="190"/>
  <c r="AE47" i="190"/>
  <c r="AI47" i="190" s="1"/>
  <c r="Y47" i="190" s="1"/>
  <c r="Z47" i="190"/>
  <c r="X47" i="190"/>
  <c r="Q47" i="190"/>
  <c r="P47" i="190"/>
  <c r="H47" i="190"/>
  <c r="E47" i="190"/>
  <c r="I47" i="190" s="1"/>
  <c r="AD46" i="190"/>
  <c r="AC46" i="190"/>
  <c r="AB46" i="190"/>
  <c r="AE46" i="190" s="1"/>
  <c r="AI46" i="190" s="1"/>
  <c r="Y46" i="190" s="1"/>
  <c r="Z46" i="190"/>
  <c r="X46" i="190"/>
  <c r="Q46" i="190"/>
  <c r="P46" i="190"/>
  <c r="I46" i="190"/>
  <c r="H46" i="190"/>
  <c r="E46" i="190"/>
  <c r="AE45" i="190"/>
  <c r="AI45" i="190" s="1"/>
  <c r="Y45" i="190" s="1"/>
  <c r="AD45" i="190"/>
  <c r="AC45" i="190"/>
  <c r="AB45" i="190"/>
  <c r="Z45" i="190"/>
  <c r="X45" i="190"/>
  <c r="Q45" i="190"/>
  <c r="P45" i="190"/>
  <c r="I45" i="190"/>
  <c r="H45" i="190"/>
  <c r="E45" i="190"/>
  <c r="AD44" i="190"/>
  <c r="AC44" i="190"/>
  <c r="AB44" i="190"/>
  <c r="AE44" i="190" s="1"/>
  <c r="AI44" i="190" s="1"/>
  <c r="Y44" i="190" s="1"/>
  <c r="Z44" i="190"/>
  <c r="X44" i="190"/>
  <c r="Q44" i="190"/>
  <c r="P44" i="190"/>
  <c r="I44" i="190"/>
  <c r="H44" i="190"/>
  <c r="E44" i="190"/>
  <c r="AD43" i="190"/>
  <c r="AC43" i="190"/>
  <c r="AB43" i="190"/>
  <c r="AE43" i="190" s="1"/>
  <c r="AI43" i="190" s="1"/>
  <c r="Y43" i="190" s="1"/>
  <c r="Z43" i="190"/>
  <c r="X43" i="190"/>
  <c r="Q43" i="190"/>
  <c r="P43" i="190"/>
  <c r="I43" i="190"/>
  <c r="H43" i="190"/>
  <c r="E43" i="190"/>
  <c r="AD42" i="190"/>
  <c r="AC42" i="190"/>
  <c r="AE42" i="190" s="1"/>
  <c r="AI42" i="190" s="1"/>
  <c r="Y42" i="190" s="1"/>
  <c r="AB42" i="190"/>
  <c r="Z42" i="190"/>
  <c r="X42" i="190"/>
  <c r="Q42" i="190"/>
  <c r="P42" i="190"/>
  <c r="I42" i="190"/>
  <c r="H42" i="190"/>
  <c r="E42" i="190"/>
  <c r="AD41" i="190"/>
  <c r="AC41" i="190"/>
  <c r="AE41" i="190" s="1"/>
  <c r="AI41" i="190" s="1"/>
  <c r="Y41" i="190" s="1"/>
  <c r="AB41" i="190"/>
  <c r="Z41" i="190"/>
  <c r="X41" i="190"/>
  <c r="Q41" i="190"/>
  <c r="P41" i="190"/>
  <c r="H41" i="190"/>
  <c r="E41" i="190"/>
  <c r="I41" i="190" s="1"/>
  <c r="AE40" i="190"/>
  <c r="AI40" i="190" s="1"/>
  <c r="Y40" i="190" s="1"/>
  <c r="AD40" i="190"/>
  <c r="AC40" i="190"/>
  <c r="AB40" i="190"/>
  <c r="Z40" i="190"/>
  <c r="X40" i="190"/>
  <c r="Q40" i="190"/>
  <c r="P40" i="190"/>
  <c r="H40" i="190"/>
  <c r="E40" i="190"/>
  <c r="I40" i="190" s="1"/>
  <c r="AD39" i="190"/>
  <c r="AC39" i="190"/>
  <c r="AB39" i="190"/>
  <c r="AE39" i="190" s="1"/>
  <c r="AI39" i="190" s="1"/>
  <c r="Y39" i="190" s="1"/>
  <c r="Z39" i="190"/>
  <c r="X39" i="190"/>
  <c r="Q39" i="190"/>
  <c r="P39" i="190"/>
  <c r="H39" i="190"/>
  <c r="E39" i="190"/>
  <c r="I39" i="190" s="1"/>
  <c r="AD38" i="190"/>
  <c r="AE38" i="190" s="1"/>
  <c r="AI38" i="190" s="1"/>
  <c r="Y38" i="190" s="1"/>
  <c r="AC38" i="190"/>
  <c r="AB38" i="190"/>
  <c r="Z38" i="190"/>
  <c r="X38" i="190"/>
  <c r="Q38" i="190"/>
  <c r="P38" i="190"/>
  <c r="H38" i="190"/>
  <c r="E38" i="190"/>
  <c r="I38" i="190" s="1"/>
  <c r="AD37" i="190"/>
  <c r="AE37" i="190" s="1"/>
  <c r="AI37" i="190" s="1"/>
  <c r="Y37" i="190" s="1"/>
  <c r="AC37" i="190"/>
  <c r="AB37" i="190"/>
  <c r="Z37" i="190"/>
  <c r="X37" i="190"/>
  <c r="Q37" i="190"/>
  <c r="P37" i="190"/>
  <c r="I37" i="190"/>
  <c r="H37" i="190"/>
  <c r="E37" i="190"/>
  <c r="AD36" i="190"/>
  <c r="AC36" i="190"/>
  <c r="AB36" i="190"/>
  <c r="AE36" i="190" s="1"/>
  <c r="AI36" i="190" s="1"/>
  <c r="Y36" i="190" s="1"/>
  <c r="Z36" i="190"/>
  <c r="X36" i="190"/>
  <c r="Q36" i="190"/>
  <c r="P36" i="190"/>
  <c r="H36" i="190"/>
  <c r="E36" i="190"/>
  <c r="I36" i="190" s="1"/>
  <c r="AD35" i="190"/>
  <c r="AC35" i="190"/>
  <c r="AE35" i="190" s="1"/>
  <c r="AI35" i="190" s="1"/>
  <c r="Y35" i="190" s="1"/>
  <c r="AB35" i="190"/>
  <c r="Z35" i="190"/>
  <c r="X35" i="190"/>
  <c r="Q35" i="190"/>
  <c r="P35" i="190"/>
  <c r="I35" i="190"/>
  <c r="H35" i="190"/>
  <c r="E35" i="190"/>
  <c r="AD34" i="190"/>
  <c r="AC34" i="190"/>
  <c r="AB34" i="190"/>
  <c r="AE34" i="190" s="1"/>
  <c r="AI34" i="190" s="1"/>
  <c r="Y34" i="190" s="1"/>
  <c r="Z34" i="190"/>
  <c r="X34" i="190"/>
  <c r="Q34" i="190"/>
  <c r="P34" i="190"/>
  <c r="I34" i="190"/>
  <c r="H34" i="190"/>
  <c r="E34" i="190"/>
  <c r="AE33" i="190"/>
  <c r="AI33" i="190" s="1"/>
  <c r="Y33" i="190" s="1"/>
  <c r="AD33" i="190"/>
  <c r="AC33" i="190"/>
  <c r="AB33" i="190"/>
  <c r="Z33" i="190"/>
  <c r="X33" i="190"/>
  <c r="Q33" i="190"/>
  <c r="P33" i="190"/>
  <c r="I33" i="190"/>
  <c r="H33" i="190"/>
  <c r="E33" i="190"/>
  <c r="AE32" i="190"/>
  <c r="AI32" i="190" s="1"/>
  <c r="Y32" i="190" s="1"/>
  <c r="AD32" i="190"/>
  <c r="AC32" i="190"/>
  <c r="AB32" i="190"/>
  <c r="Z32" i="190"/>
  <c r="X32" i="190"/>
  <c r="Q32" i="190"/>
  <c r="P32" i="190"/>
  <c r="H32" i="190"/>
  <c r="E32" i="190"/>
  <c r="I32" i="190" s="1"/>
  <c r="AE31" i="190"/>
  <c r="AI31" i="190" s="1"/>
  <c r="Y31" i="190" s="1"/>
  <c r="Z31" i="190"/>
  <c r="X31" i="190"/>
  <c r="Q31" i="190"/>
  <c r="P31" i="190"/>
  <c r="I31" i="190"/>
  <c r="H31" i="190"/>
  <c r="E31" i="190"/>
  <c r="AD30" i="190"/>
  <c r="AE30" i="190" s="1"/>
  <c r="AI30" i="190" s="1"/>
  <c r="Y30" i="190" s="1"/>
  <c r="AC30" i="190"/>
  <c r="AB30" i="190"/>
  <c r="Z30" i="190"/>
  <c r="X30" i="190"/>
  <c r="Q30" i="190"/>
  <c r="P30" i="190"/>
  <c r="I30" i="190"/>
  <c r="H30" i="190"/>
  <c r="E30" i="190"/>
  <c r="AD29" i="190"/>
  <c r="AC29" i="190"/>
  <c r="AB29" i="190"/>
  <c r="AE29" i="190" s="1"/>
  <c r="AI29" i="190" s="1"/>
  <c r="Y29" i="190" s="1"/>
  <c r="Z29" i="190"/>
  <c r="X29" i="190"/>
  <c r="Q29" i="190"/>
  <c r="P29" i="190"/>
  <c r="I29" i="190"/>
  <c r="H29" i="190"/>
  <c r="E29" i="190"/>
  <c r="AD28" i="190"/>
  <c r="AC28" i="190"/>
  <c r="AB28" i="190"/>
  <c r="AE28" i="190" s="1"/>
  <c r="AI28" i="190" s="1"/>
  <c r="Y28" i="190" s="1"/>
  <c r="Z28" i="190"/>
  <c r="X28" i="190"/>
  <c r="Q28" i="190"/>
  <c r="P28" i="190"/>
  <c r="I28" i="190"/>
  <c r="H28" i="190"/>
  <c r="E28" i="190"/>
  <c r="AD27" i="190"/>
  <c r="AC27" i="190"/>
  <c r="AE27" i="190" s="1"/>
  <c r="AI27" i="190" s="1"/>
  <c r="Y27" i="190" s="1"/>
  <c r="AB27" i="190"/>
  <c r="Z27" i="190"/>
  <c r="X27" i="190"/>
  <c r="Q27" i="190"/>
  <c r="P27" i="190"/>
  <c r="I27" i="190"/>
  <c r="H27" i="190"/>
  <c r="E27" i="190"/>
  <c r="AD26" i="190"/>
  <c r="AC26" i="190"/>
  <c r="AE26" i="190" s="1"/>
  <c r="AI26" i="190" s="1"/>
  <c r="Y26" i="190" s="1"/>
  <c r="AB26" i="190"/>
  <c r="Z26" i="190"/>
  <c r="X26" i="190"/>
  <c r="Q26" i="190"/>
  <c r="P26" i="190"/>
  <c r="H26" i="190"/>
  <c r="E26" i="190"/>
  <c r="I26" i="190" s="1"/>
  <c r="AE25" i="190"/>
  <c r="AI25" i="190" s="1"/>
  <c r="Y25" i="190" s="1"/>
  <c r="AD25" i="190"/>
  <c r="AC25" i="190"/>
  <c r="AB25" i="190"/>
  <c r="Z25" i="190"/>
  <c r="X25" i="190"/>
  <c r="Q25" i="190"/>
  <c r="P25" i="190"/>
  <c r="H25" i="190"/>
  <c r="E25" i="190"/>
  <c r="I25" i="190" s="1"/>
  <c r="AD24" i="190"/>
  <c r="AC24" i="190"/>
  <c r="AB24" i="190"/>
  <c r="AE24" i="190" s="1"/>
  <c r="AI24" i="190" s="1"/>
  <c r="Y24" i="190" s="1"/>
  <c r="Z24" i="190"/>
  <c r="X24" i="190"/>
  <c r="Q24" i="190"/>
  <c r="P24" i="190"/>
  <c r="H24" i="190"/>
  <c r="E24" i="190"/>
  <c r="I24" i="190" s="1"/>
  <c r="AD23" i="190"/>
  <c r="AE23" i="190" s="1"/>
  <c r="AI23" i="190" s="1"/>
  <c r="Y23" i="190" s="1"/>
  <c r="AC23" i="190"/>
  <c r="AB23" i="190"/>
  <c r="Z23" i="190"/>
  <c r="X23" i="190"/>
  <c r="Q23" i="190"/>
  <c r="P23" i="190"/>
  <c r="H23" i="190"/>
  <c r="E23" i="190"/>
  <c r="I23" i="190" s="1"/>
  <c r="AD22" i="190"/>
  <c r="AE22" i="190" s="1"/>
  <c r="AI22" i="190" s="1"/>
  <c r="Y22" i="190" s="1"/>
  <c r="AC22" i="190"/>
  <c r="AB22" i="190"/>
  <c r="Z22" i="190"/>
  <c r="X22" i="190"/>
  <c r="Q22" i="190"/>
  <c r="P22" i="190"/>
  <c r="I22" i="190"/>
  <c r="H22" i="190"/>
  <c r="E22" i="190"/>
  <c r="AD21" i="190"/>
  <c r="AC21" i="190"/>
  <c r="AB21" i="190"/>
  <c r="AE21" i="190" s="1"/>
  <c r="AI21" i="190" s="1"/>
  <c r="Y21" i="190" s="1"/>
  <c r="Z21" i="190"/>
  <c r="X21" i="190"/>
  <c r="Q21" i="190"/>
  <c r="P21" i="190"/>
  <c r="H21" i="190"/>
  <c r="E21" i="190"/>
  <c r="I21" i="190" s="1"/>
  <c r="AD20" i="190"/>
  <c r="AC20" i="190"/>
  <c r="AE20" i="190" s="1"/>
  <c r="AI20" i="190" s="1"/>
  <c r="Y20" i="190" s="1"/>
  <c r="AB20" i="190"/>
  <c r="Z20" i="190"/>
  <c r="X20" i="190"/>
  <c r="Q20" i="190"/>
  <c r="P20" i="190"/>
  <c r="I20" i="190"/>
  <c r="H20" i="190"/>
  <c r="E20" i="190"/>
  <c r="AD19" i="190"/>
  <c r="AC19" i="190"/>
  <c r="AB19" i="190"/>
  <c r="AE19" i="190" s="1"/>
  <c r="AI19" i="190" s="1"/>
  <c r="Y19" i="190" s="1"/>
  <c r="Z19" i="190"/>
  <c r="X19" i="190"/>
  <c r="Q19" i="190"/>
  <c r="P19" i="190"/>
  <c r="I19" i="190"/>
  <c r="H19" i="190"/>
  <c r="E19" i="190"/>
  <c r="AE18" i="190"/>
  <c r="AI18" i="190" s="1"/>
  <c r="Y18" i="190" s="1"/>
  <c r="AD18" i="190"/>
  <c r="AC18" i="190"/>
  <c r="AB18" i="190"/>
  <c r="Z18" i="190"/>
  <c r="X18" i="190"/>
  <c r="Q18" i="190"/>
  <c r="P18" i="190"/>
  <c r="I18" i="190"/>
  <c r="H18" i="190"/>
  <c r="E18" i="190"/>
  <c r="AE17" i="190"/>
  <c r="AI17" i="190" s="1"/>
  <c r="Y17" i="190" s="1"/>
  <c r="AD17" i="190"/>
  <c r="AC17" i="190"/>
  <c r="AB17" i="190"/>
  <c r="Z17" i="190"/>
  <c r="X17" i="190"/>
  <c r="Q17" i="190"/>
  <c r="P17" i="190"/>
  <c r="H17" i="190"/>
  <c r="E17" i="190"/>
  <c r="I17" i="190" s="1"/>
  <c r="AE16" i="190"/>
  <c r="AI16" i="190" s="1"/>
  <c r="Y16" i="190" s="1"/>
  <c r="AD16" i="190"/>
  <c r="AC16" i="190"/>
  <c r="AB16" i="190"/>
  <c r="Z16" i="190"/>
  <c r="X16" i="190"/>
  <c r="Q16" i="190"/>
  <c r="P16" i="190"/>
  <c r="E16" i="190"/>
  <c r="I16" i="190" s="1"/>
  <c r="AD15" i="190"/>
  <c r="AC15" i="190"/>
  <c r="AE15" i="190" s="1"/>
  <c r="AI15" i="190" s="1"/>
  <c r="Y15" i="190" s="1"/>
  <c r="AB15" i="190"/>
  <c r="Z15" i="190"/>
  <c r="X15" i="190"/>
  <c r="Q15" i="190"/>
  <c r="P15" i="190"/>
  <c r="E15" i="190"/>
  <c r="I15" i="190" s="1"/>
  <c r="AD14" i="190"/>
  <c r="AC14" i="190"/>
  <c r="AB14" i="190"/>
  <c r="AE14" i="190" s="1"/>
  <c r="AI14" i="190" s="1"/>
  <c r="Y14" i="190" s="1"/>
  <c r="Z14" i="190"/>
  <c r="X14" i="190"/>
  <c r="Q14" i="190"/>
  <c r="P14" i="190"/>
  <c r="H14" i="190"/>
  <c r="E14" i="190"/>
  <c r="I14" i="190" s="1"/>
  <c r="AD13" i="190"/>
  <c r="AE13" i="190" s="1"/>
  <c r="AI13" i="190" s="1"/>
  <c r="Y13" i="190" s="1"/>
  <c r="AC13" i="190"/>
  <c r="AB13" i="190"/>
  <c r="Z13" i="190"/>
  <c r="X13" i="190"/>
  <c r="Q13" i="190"/>
  <c r="P13" i="190"/>
  <c r="H13" i="190"/>
  <c r="E13" i="190"/>
  <c r="I13" i="190" s="1"/>
  <c r="AD12" i="190"/>
  <c r="AE12" i="190" s="1"/>
  <c r="AI12" i="190" s="1"/>
  <c r="Y12" i="190" s="1"/>
  <c r="AC12" i="190"/>
  <c r="AB12" i="190"/>
  <c r="Z12" i="190"/>
  <c r="T75" i="190" s="1"/>
  <c r="X12" i="190"/>
  <c r="T77" i="190" s="1"/>
  <c r="Q12" i="190"/>
  <c r="P12" i="190"/>
  <c r="I12" i="190"/>
  <c r="F73" i="190" s="1"/>
  <c r="H12" i="190"/>
  <c r="E12" i="190"/>
  <c r="M79" i="189"/>
  <c r="T77" i="189"/>
  <c r="P71" i="189"/>
  <c r="H71" i="189"/>
  <c r="Q70" i="189"/>
  <c r="P70" i="189"/>
  <c r="I70" i="189"/>
  <c r="H70" i="189"/>
  <c r="E70" i="189"/>
  <c r="Q69" i="189"/>
  <c r="P69" i="189"/>
  <c r="H69" i="189"/>
  <c r="E69" i="189"/>
  <c r="I69" i="189" s="1"/>
  <c r="AD68" i="189"/>
  <c r="AC68" i="189"/>
  <c r="AB68" i="189"/>
  <c r="AE68" i="189" s="1"/>
  <c r="AI68" i="189" s="1"/>
  <c r="Y68" i="189" s="1"/>
  <c r="Z68" i="189"/>
  <c r="X68" i="189"/>
  <c r="Q68" i="189"/>
  <c r="P68" i="189"/>
  <c r="H68" i="189"/>
  <c r="E68" i="189"/>
  <c r="I68" i="189" s="1"/>
  <c r="AD67" i="189"/>
  <c r="AC67" i="189"/>
  <c r="AE67" i="189" s="1"/>
  <c r="AI67" i="189" s="1"/>
  <c r="Y67" i="189" s="1"/>
  <c r="AB67" i="189"/>
  <c r="Z67" i="189"/>
  <c r="X67" i="189"/>
  <c r="Q67" i="189"/>
  <c r="P67" i="189"/>
  <c r="I67" i="189"/>
  <c r="H67" i="189"/>
  <c r="E67" i="189"/>
  <c r="AD66" i="189"/>
  <c r="AC66" i="189"/>
  <c r="AB66" i="189"/>
  <c r="AE66" i="189" s="1"/>
  <c r="AI66" i="189" s="1"/>
  <c r="Y66" i="189" s="1"/>
  <c r="Z66" i="189"/>
  <c r="X66" i="189"/>
  <c r="Q66" i="189"/>
  <c r="P66" i="189"/>
  <c r="I66" i="189"/>
  <c r="H66" i="189"/>
  <c r="E66" i="189"/>
  <c r="AE65" i="189"/>
  <c r="AI65" i="189" s="1"/>
  <c r="Y65" i="189" s="1"/>
  <c r="AD65" i="189"/>
  <c r="AC65" i="189"/>
  <c r="AB65" i="189"/>
  <c r="Z65" i="189"/>
  <c r="X65" i="189"/>
  <c r="Q65" i="189"/>
  <c r="P65" i="189"/>
  <c r="H65" i="189"/>
  <c r="E65" i="189"/>
  <c r="I65" i="189" s="1"/>
  <c r="AD64" i="189"/>
  <c r="AC64" i="189"/>
  <c r="AB64" i="189"/>
  <c r="AE64" i="189" s="1"/>
  <c r="AI64" i="189" s="1"/>
  <c r="Y64" i="189" s="1"/>
  <c r="Z64" i="189"/>
  <c r="X64" i="189"/>
  <c r="Q64" i="189"/>
  <c r="P64" i="189"/>
  <c r="H64" i="189"/>
  <c r="E64" i="189"/>
  <c r="I64" i="189" s="1"/>
  <c r="AD63" i="189"/>
  <c r="AC63" i="189"/>
  <c r="AE63" i="189" s="1"/>
  <c r="AI63" i="189" s="1"/>
  <c r="Y63" i="189" s="1"/>
  <c r="AB63" i="189"/>
  <c r="Z63" i="189"/>
  <c r="X63" i="189"/>
  <c r="Q63" i="189"/>
  <c r="P63" i="189"/>
  <c r="H63" i="189"/>
  <c r="E63" i="189"/>
  <c r="I63" i="189" s="1"/>
  <c r="AD62" i="189"/>
  <c r="AE62" i="189" s="1"/>
  <c r="AI62" i="189" s="1"/>
  <c r="Y62" i="189" s="1"/>
  <c r="AC62" i="189"/>
  <c r="AB62" i="189"/>
  <c r="Z62" i="189"/>
  <c r="X62" i="189"/>
  <c r="Q62" i="189"/>
  <c r="P62" i="189"/>
  <c r="I62" i="189"/>
  <c r="H62" i="189"/>
  <c r="E62" i="189"/>
  <c r="AC61" i="189"/>
  <c r="AB61" i="189"/>
  <c r="AE61" i="189" s="1"/>
  <c r="AI61" i="189" s="1"/>
  <c r="Y61" i="189" s="1"/>
  <c r="X61" i="189"/>
  <c r="Q61" i="189"/>
  <c r="P61" i="189"/>
  <c r="I61" i="189"/>
  <c r="H61" i="189"/>
  <c r="E61" i="189"/>
  <c r="AI60" i="189"/>
  <c r="AE60" i="189"/>
  <c r="Y60" i="189"/>
  <c r="X60" i="189"/>
  <c r="Q60" i="189"/>
  <c r="P60" i="189"/>
  <c r="H60" i="189"/>
  <c r="E60" i="189"/>
  <c r="I60" i="189" s="1"/>
  <c r="AE59" i="189"/>
  <c r="AI59" i="189" s="1"/>
  <c r="Y59" i="189" s="1"/>
  <c r="AC59" i="189"/>
  <c r="AB59" i="189"/>
  <c r="X59" i="189"/>
  <c r="Q59" i="189"/>
  <c r="P59" i="189"/>
  <c r="I59" i="189"/>
  <c r="H59" i="189"/>
  <c r="E59" i="189"/>
  <c r="AC58" i="189"/>
  <c r="AE58" i="189" s="1"/>
  <c r="AI58" i="189" s="1"/>
  <c r="Y58" i="189" s="1"/>
  <c r="AB58" i="189"/>
  <c r="X58" i="189"/>
  <c r="Q58" i="189"/>
  <c r="P58" i="189"/>
  <c r="E58" i="189"/>
  <c r="I58" i="189" s="1"/>
  <c r="AC57" i="189"/>
  <c r="AB57" i="189"/>
  <c r="AE57" i="189" s="1"/>
  <c r="AI57" i="189" s="1"/>
  <c r="Y57" i="189" s="1"/>
  <c r="X57" i="189"/>
  <c r="Q57" i="189"/>
  <c r="P57" i="189"/>
  <c r="H57" i="189"/>
  <c r="E57" i="189"/>
  <c r="I57" i="189" s="1"/>
  <c r="AD56" i="189"/>
  <c r="AC56" i="189"/>
  <c r="AB56" i="189"/>
  <c r="AE56" i="189" s="1"/>
  <c r="AI56" i="189" s="1"/>
  <c r="Y56" i="189" s="1"/>
  <c r="Z56" i="189"/>
  <c r="X56" i="189"/>
  <c r="Q56" i="189"/>
  <c r="P56" i="189"/>
  <c r="H56" i="189"/>
  <c r="E56" i="189"/>
  <c r="I56" i="189" s="1"/>
  <c r="AD55" i="189"/>
  <c r="AC55" i="189"/>
  <c r="AB55" i="189"/>
  <c r="AE55" i="189" s="1"/>
  <c r="AI55" i="189" s="1"/>
  <c r="Y55" i="189" s="1"/>
  <c r="Z55" i="189"/>
  <c r="X55" i="189"/>
  <c r="Q55" i="189"/>
  <c r="P55" i="189"/>
  <c r="H55" i="189"/>
  <c r="E55" i="189"/>
  <c r="I55" i="189" s="1"/>
  <c r="AD54" i="189"/>
  <c r="AC54" i="189"/>
  <c r="AE54" i="189" s="1"/>
  <c r="AI54" i="189" s="1"/>
  <c r="Y54" i="189" s="1"/>
  <c r="AB54" i="189"/>
  <c r="Z54" i="189"/>
  <c r="X54" i="189"/>
  <c r="Q54" i="189"/>
  <c r="P54" i="189"/>
  <c r="I54" i="189"/>
  <c r="H54" i="189"/>
  <c r="E54" i="189"/>
  <c r="AD53" i="189"/>
  <c r="AE53" i="189" s="1"/>
  <c r="AI53" i="189" s="1"/>
  <c r="Y53" i="189" s="1"/>
  <c r="AC53" i="189"/>
  <c r="AB53" i="189"/>
  <c r="Z53" i="189"/>
  <c r="X53" i="189"/>
  <c r="Q53" i="189"/>
  <c r="P53" i="189"/>
  <c r="I53" i="189"/>
  <c r="H53" i="189"/>
  <c r="E53" i="189"/>
  <c r="AE52" i="189"/>
  <c r="AI52" i="189" s="1"/>
  <c r="Y52" i="189" s="1"/>
  <c r="Z52" i="189"/>
  <c r="X52" i="189"/>
  <c r="Q52" i="189"/>
  <c r="P52" i="189"/>
  <c r="H52" i="189"/>
  <c r="E52" i="189"/>
  <c r="I52" i="189" s="1"/>
  <c r="AD51" i="189"/>
  <c r="AC51" i="189"/>
  <c r="AE51" i="189" s="1"/>
  <c r="AI51" i="189" s="1"/>
  <c r="Y51" i="189" s="1"/>
  <c r="AB51" i="189"/>
  <c r="Z51" i="189"/>
  <c r="X51" i="189"/>
  <c r="Q51" i="189"/>
  <c r="P51" i="189"/>
  <c r="I51" i="189"/>
  <c r="H51" i="189"/>
  <c r="E51" i="189"/>
  <c r="AD50" i="189"/>
  <c r="AC50" i="189"/>
  <c r="AB50" i="189"/>
  <c r="AE50" i="189" s="1"/>
  <c r="AI50" i="189" s="1"/>
  <c r="Y50" i="189" s="1"/>
  <c r="Z50" i="189"/>
  <c r="X50" i="189"/>
  <c r="Q50" i="189"/>
  <c r="P50" i="189"/>
  <c r="I50" i="189"/>
  <c r="H50" i="189"/>
  <c r="E50" i="189"/>
  <c r="AE49" i="189"/>
  <c r="AI49" i="189" s="1"/>
  <c r="Y49" i="189" s="1"/>
  <c r="Z49" i="189"/>
  <c r="X49" i="189"/>
  <c r="Q49" i="189"/>
  <c r="P49" i="189"/>
  <c r="H49" i="189"/>
  <c r="E49" i="189"/>
  <c r="I49" i="189" s="1"/>
  <c r="AE48" i="189"/>
  <c r="AI48" i="189" s="1"/>
  <c r="Y48" i="189" s="1"/>
  <c r="Z48" i="189"/>
  <c r="X48" i="189"/>
  <c r="Q48" i="189"/>
  <c r="P48" i="189"/>
  <c r="I48" i="189"/>
  <c r="H48" i="189"/>
  <c r="E48" i="189"/>
  <c r="AE47" i="189"/>
  <c r="AI47" i="189" s="1"/>
  <c r="Y47" i="189" s="1"/>
  <c r="Z47" i="189"/>
  <c r="X47" i="189"/>
  <c r="Q47" i="189"/>
  <c r="P47" i="189"/>
  <c r="H47" i="189"/>
  <c r="E47" i="189"/>
  <c r="I47" i="189" s="1"/>
  <c r="AD46" i="189"/>
  <c r="AC46" i="189"/>
  <c r="AE46" i="189" s="1"/>
  <c r="AI46" i="189" s="1"/>
  <c r="Y46" i="189" s="1"/>
  <c r="AB46" i="189"/>
  <c r="Z46" i="189"/>
  <c r="X46" i="189"/>
  <c r="Q46" i="189"/>
  <c r="P46" i="189"/>
  <c r="I46" i="189"/>
  <c r="H46" i="189"/>
  <c r="E46" i="189"/>
  <c r="AD45" i="189"/>
  <c r="AE45" i="189" s="1"/>
  <c r="AI45" i="189" s="1"/>
  <c r="Y45" i="189" s="1"/>
  <c r="AC45" i="189"/>
  <c r="AB45" i="189"/>
  <c r="Z45" i="189"/>
  <c r="X45" i="189"/>
  <c r="Q45" i="189"/>
  <c r="P45" i="189"/>
  <c r="H45" i="189"/>
  <c r="E45" i="189"/>
  <c r="I45" i="189" s="1"/>
  <c r="AD44" i="189"/>
  <c r="AC44" i="189"/>
  <c r="AB44" i="189"/>
  <c r="AE44" i="189" s="1"/>
  <c r="AI44" i="189" s="1"/>
  <c r="Y44" i="189" s="1"/>
  <c r="Z44" i="189"/>
  <c r="X44" i="189"/>
  <c r="Q44" i="189"/>
  <c r="P44" i="189"/>
  <c r="H44" i="189"/>
  <c r="E44" i="189"/>
  <c r="I44" i="189" s="1"/>
  <c r="AD43" i="189"/>
  <c r="AC43" i="189"/>
  <c r="AB43" i="189"/>
  <c r="AE43" i="189" s="1"/>
  <c r="AI43" i="189" s="1"/>
  <c r="Y43" i="189" s="1"/>
  <c r="Z43" i="189"/>
  <c r="X43" i="189"/>
  <c r="Q43" i="189"/>
  <c r="P43" i="189"/>
  <c r="H43" i="189"/>
  <c r="E43" i="189"/>
  <c r="I43" i="189" s="1"/>
  <c r="AD42" i="189"/>
  <c r="AC42" i="189"/>
  <c r="AE42" i="189" s="1"/>
  <c r="AI42" i="189" s="1"/>
  <c r="Y42" i="189" s="1"/>
  <c r="AB42" i="189"/>
  <c r="Z42" i="189"/>
  <c r="X42" i="189"/>
  <c r="Q42" i="189"/>
  <c r="P42" i="189"/>
  <c r="I42" i="189"/>
  <c r="H42" i="189"/>
  <c r="E42" i="189"/>
  <c r="AD41" i="189"/>
  <c r="AE41" i="189" s="1"/>
  <c r="AI41" i="189" s="1"/>
  <c r="Y41" i="189" s="1"/>
  <c r="AC41" i="189"/>
  <c r="AB41" i="189"/>
  <c r="Z41" i="189"/>
  <c r="X41" i="189"/>
  <c r="Q41" i="189"/>
  <c r="P41" i="189"/>
  <c r="I41" i="189"/>
  <c r="H41" i="189"/>
  <c r="E41" i="189"/>
  <c r="AE40" i="189"/>
  <c r="AI40" i="189" s="1"/>
  <c r="Y40" i="189" s="1"/>
  <c r="AD40" i="189"/>
  <c r="AC40" i="189"/>
  <c r="AB40" i="189"/>
  <c r="Z40" i="189"/>
  <c r="X40" i="189"/>
  <c r="Q40" i="189"/>
  <c r="P40" i="189"/>
  <c r="H40" i="189"/>
  <c r="E40" i="189"/>
  <c r="I40" i="189" s="1"/>
  <c r="AD39" i="189"/>
  <c r="AC39" i="189"/>
  <c r="AB39" i="189"/>
  <c r="AE39" i="189" s="1"/>
  <c r="AI39" i="189" s="1"/>
  <c r="Y39" i="189" s="1"/>
  <c r="Z39" i="189"/>
  <c r="X39" i="189"/>
  <c r="Q39" i="189"/>
  <c r="P39" i="189"/>
  <c r="H39" i="189"/>
  <c r="E39" i="189"/>
  <c r="I39" i="189" s="1"/>
  <c r="AD38" i="189"/>
  <c r="AC38" i="189"/>
  <c r="AE38" i="189" s="1"/>
  <c r="AI38" i="189" s="1"/>
  <c r="Y38" i="189" s="1"/>
  <c r="AB38" i="189"/>
  <c r="Z38" i="189"/>
  <c r="X38" i="189"/>
  <c r="Q38" i="189"/>
  <c r="P38" i="189"/>
  <c r="I38" i="189"/>
  <c r="H38" i="189"/>
  <c r="E38" i="189"/>
  <c r="AD37" i="189"/>
  <c r="AC37" i="189"/>
  <c r="AB37" i="189"/>
  <c r="AE37" i="189" s="1"/>
  <c r="AI37" i="189" s="1"/>
  <c r="Y37" i="189" s="1"/>
  <c r="Z37" i="189"/>
  <c r="X37" i="189"/>
  <c r="Q37" i="189"/>
  <c r="P37" i="189"/>
  <c r="I37" i="189"/>
  <c r="H37" i="189"/>
  <c r="E37" i="189"/>
  <c r="AE36" i="189"/>
  <c r="AI36" i="189" s="1"/>
  <c r="Y36" i="189" s="1"/>
  <c r="AD36" i="189"/>
  <c r="AC36" i="189"/>
  <c r="AB36" i="189"/>
  <c r="Z36" i="189"/>
  <c r="X36" i="189"/>
  <c r="Q36" i="189"/>
  <c r="P36" i="189"/>
  <c r="H36" i="189"/>
  <c r="E36" i="189"/>
  <c r="I36" i="189" s="1"/>
  <c r="AD35" i="189"/>
  <c r="AC35" i="189"/>
  <c r="AB35" i="189"/>
  <c r="AE35" i="189" s="1"/>
  <c r="AI35" i="189" s="1"/>
  <c r="Y35" i="189" s="1"/>
  <c r="Z35" i="189"/>
  <c r="X35" i="189"/>
  <c r="Q35" i="189"/>
  <c r="P35" i="189"/>
  <c r="H35" i="189"/>
  <c r="E35" i="189"/>
  <c r="I35" i="189" s="1"/>
  <c r="AD34" i="189"/>
  <c r="AC34" i="189"/>
  <c r="AE34" i="189" s="1"/>
  <c r="AI34" i="189" s="1"/>
  <c r="Y34" i="189" s="1"/>
  <c r="AB34" i="189"/>
  <c r="Z34" i="189"/>
  <c r="X34" i="189"/>
  <c r="Q34" i="189"/>
  <c r="P34" i="189"/>
  <c r="I34" i="189"/>
  <c r="H34" i="189"/>
  <c r="E34" i="189"/>
  <c r="AD33" i="189"/>
  <c r="AE33" i="189" s="1"/>
  <c r="AI33" i="189" s="1"/>
  <c r="Y33" i="189" s="1"/>
  <c r="AC33" i="189"/>
  <c r="AB33" i="189"/>
  <c r="Z33" i="189"/>
  <c r="X33" i="189"/>
  <c r="Q33" i="189"/>
  <c r="P33" i="189"/>
  <c r="I33" i="189"/>
  <c r="H33" i="189"/>
  <c r="E33" i="189"/>
  <c r="AD32" i="189"/>
  <c r="AC32" i="189"/>
  <c r="AB32" i="189"/>
  <c r="AE32" i="189" s="1"/>
  <c r="AI32" i="189" s="1"/>
  <c r="Y32" i="189" s="1"/>
  <c r="Z32" i="189"/>
  <c r="X32" i="189"/>
  <c r="Q32" i="189"/>
  <c r="P32" i="189"/>
  <c r="H32" i="189"/>
  <c r="E32" i="189"/>
  <c r="I32" i="189" s="1"/>
  <c r="AI31" i="189"/>
  <c r="Y31" i="189" s="1"/>
  <c r="AE31" i="189"/>
  <c r="Z31" i="189"/>
  <c r="X31" i="189"/>
  <c r="Q31" i="189"/>
  <c r="P31" i="189"/>
  <c r="I31" i="189"/>
  <c r="H31" i="189"/>
  <c r="E31" i="189"/>
  <c r="AD30" i="189"/>
  <c r="AE30" i="189" s="1"/>
  <c r="AI30" i="189" s="1"/>
  <c r="Y30" i="189" s="1"/>
  <c r="AC30" i="189"/>
  <c r="AB30" i="189"/>
  <c r="Z30" i="189"/>
  <c r="X30" i="189"/>
  <c r="Q30" i="189"/>
  <c r="P30" i="189"/>
  <c r="H30" i="189"/>
  <c r="E30" i="189"/>
  <c r="I30" i="189" s="1"/>
  <c r="AD29" i="189"/>
  <c r="AC29" i="189"/>
  <c r="AB29" i="189"/>
  <c r="AE29" i="189" s="1"/>
  <c r="AI29" i="189" s="1"/>
  <c r="Y29" i="189" s="1"/>
  <c r="Z29" i="189"/>
  <c r="X29" i="189"/>
  <c r="Q29" i="189"/>
  <c r="P29" i="189"/>
  <c r="H29" i="189"/>
  <c r="E29" i="189"/>
  <c r="I29" i="189" s="1"/>
  <c r="AD28" i="189"/>
  <c r="AC28" i="189"/>
  <c r="AB28" i="189"/>
  <c r="AE28" i="189" s="1"/>
  <c r="AI28" i="189" s="1"/>
  <c r="Y28" i="189" s="1"/>
  <c r="Z28" i="189"/>
  <c r="X28" i="189"/>
  <c r="Q28" i="189"/>
  <c r="P28" i="189"/>
  <c r="H28" i="189"/>
  <c r="E28" i="189"/>
  <c r="I28" i="189" s="1"/>
  <c r="AD27" i="189"/>
  <c r="AC27" i="189"/>
  <c r="AE27" i="189" s="1"/>
  <c r="AI27" i="189" s="1"/>
  <c r="Y27" i="189" s="1"/>
  <c r="AB27" i="189"/>
  <c r="Z27" i="189"/>
  <c r="X27" i="189"/>
  <c r="Q27" i="189"/>
  <c r="P27" i="189"/>
  <c r="I27" i="189"/>
  <c r="H27" i="189"/>
  <c r="E27" i="189"/>
  <c r="AD26" i="189"/>
  <c r="AE26" i="189" s="1"/>
  <c r="AI26" i="189" s="1"/>
  <c r="Y26" i="189" s="1"/>
  <c r="AC26" i="189"/>
  <c r="AB26" i="189"/>
  <c r="Z26" i="189"/>
  <c r="X26" i="189"/>
  <c r="Q26" i="189"/>
  <c r="P26" i="189"/>
  <c r="I26" i="189"/>
  <c r="H26" i="189"/>
  <c r="E26" i="189"/>
  <c r="AE25" i="189"/>
  <c r="AI25" i="189" s="1"/>
  <c r="Y25" i="189" s="1"/>
  <c r="AD25" i="189"/>
  <c r="AC25" i="189"/>
  <c r="AB25" i="189"/>
  <c r="Z25" i="189"/>
  <c r="X25" i="189"/>
  <c r="Q25" i="189"/>
  <c r="P25" i="189"/>
  <c r="H25" i="189"/>
  <c r="E25" i="189"/>
  <c r="I25" i="189" s="1"/>
  <c r="AD24" i="189"/>
  <c r="AC24" i="189"/>
  <c r="AB24" i="189"/>
  <c r="AE24" i="189" s="1"/>
  <c r="AI24" i="189" s="1"/>
  <c r="Y24" i="189" s="1"/>
  <c r="Z24" i="189"/>
  <c r="X24" i="189"/>
  <c r="Q24" i="189"/>
  <c r="P24" i="189"/>
  <c r="H24" i="189"/>
  <c r="E24" i="189"/>
  <c r="I24" i="189" s="1"/>
  <c r="AD23" i="189"/>
  <c r="AC23" i="189"/>
  <c r="AE23" i="189" s="1"/>
  <c r="AI23" i="189" s="1"/>
  <c r="Y23" i="189" s="1"/>
  <c r="AB23" i="189"/>
  <c r="Z23" i="189"/>
  <c r="X23" i="189"/>
  <c r="Q23" i="189"/>
  <c r="P23" i="189"/>
  <c r="I23" i="189"/>
  <c r="H23" i="189"/>
  <c r="E23" i="189"/>
  <c r="AD22" i="189"/>
  <c r="AC22" i="189"/>
  <c r="AB22" i="189"/>
  <c r="AE22" i="189" s="1"/>
  <c r="AI22" i="189" s="1"/>
  <c r="Y22" i="189" s="1"/>
  <c r="Z22" i="189"/>
  <c r="X22" i="189"/>
  <c r="Q22" i="189"/>
  <c r="P22" i="189"/>
  <c r="I22" i="189"/>
  <c r="H22" i="189"/>
  <c r="E22" i="189"/>
  <c r="AE21" i="189"/>
  <c r="AI21" i="189" s="1"/>
  <c r="Y21" i="189" s="1"/>
  <c r="AD21" i="189"/>
  <c r="AC21" i="189"/>
  <c r="AB21" i="189"/>
  <c r="Z21" i="189"/>
  <c r="X21" i="189"/>
  <c r="Q21" i="189"/>
  <c r="P21" i="189"/>
  <c r="H21" i="189"/>
  <c r="E21" i="189"/>
  <c r="I21" i="189" s="1"/>
  <c r="AD20" i="189"/>
  <c r="AC20" i="189"/>
  <c r="AB20" i="189"/>
  <c r="AE20" i="189" s="1"/>
  <c r="AI20" i="189" s="1"/>
  <c r="Y20" i="189" s="1"/>
  <c r="Z20" i="189"/>
  <c r="X20" i="189"/>
  <c r="Q20" i="189"/>
  <c r="P20" i="189"/>
  <c r="H20" i="189"/>
  <c r="E20" i="189"/>
  <c r="I20" i="189" s="1"/>
  <c r="AD19" i="189"/>
  <c r="AC19" i="189"/>
  <c r="AE19" i="189" s="1"/>
  <c r="AI19" i="189" s="1"/>
  <c r="Y19" i="189" s="1"/>
  <c r="AB19" i="189"/>
  <c r="Z19" i="189"/>
  <c r="X19" i="189"/>
  <c r="Q19" i="189"/>
  <c r="P19" i="189"/>
  <c r="I19" i="189"/>
  <c r="H19" i="189"/>
  <c r="E19" i="189"/>
  <c r="AD18" i="189"/>
  <c r="AE18" i="189" s="1"/>
  <c r="AI18" i="189" s="1"/>
  <c r="Y18" i="189" s="1"/>
  <c r="AC18" i="189"/>
  <c r="AB18" i="189"/>
  <c r="Z18" i="189"/>
  <c r="X18" i="189"/>
  <c r="Q18" i="189"/>
  <c r="P18" i="189"/>
  <c r="I18" i="189"/>
  <c r="H18" i="189"/>
  <c r="E18" i="189"/>
  <c r="AD17" i="189"/>
  <c r="AC17" i="189"/>
  <c r="AB17" i="189"/>
  <c r="AE17" i="189" s="1"/>
  <c r="AI17" i="189" s="1"/>
  <c r="Y17" i="189" s="1"/>
  <c r="Z17" i="189"/>
  <c r="X17" i="189"/>
  <c r="Q17" i="189"/>
  <c r="P17" i="189"/>
  <c r="H17" i="189"/>
  <c r="E17" i="189"/>
  <c r="I17" i="189" s="1"/>
  <c r="AD16" i="189"/>
  <c r="AC16" i="189"/>
  <c r="AB16" i="189"/>
  <c r="AE16" i="189" s="1"/>
  <c r="AI16" i="189" s="1"/>
  <c r="Y16" i="189" s="1"/>
  <c r="Z16" i="189"/>
  <c r="X16" i="189"/>
  <c r="Q16" i="189"/>
  <c r="P16" i="189"/>
  <c r="E16" i="189"/>
  <c r="I16" i="189" s="1"/>
  <c r="AD15" i="189"/>
  <c r="AC15" i="189"/>
  <c r="AB15" i="189"/>
  <c r="AE15" i="189" s="1"/>
  <c r="AI15" i="189" s="1"/>
  <c r="Y15" i="189" s="1"/>
  <c r="Z15" i="189"/>
  <c r="X15" i="189"/>
  <c r="Q15" i="189"/>
  <c r="P15" i="189"/>
  <c r="E15" i="189"/>
  <c r="I15" i="189" s="1"/>
  <c r="AD14" i="189"/>
  <c r="AC14" i="189"/>
  <c r="AB14" i="189"/>
  <c r="AE14" i="189" s="1"/>
  <c r="AI14" i="189" s="1"/>
  <c r="Y14" i="189" s="1"/>
  <c r="Z14" i="189"/>
  <c r="X14" i="189"/>
  <c r="Q14" i="189"/>
  <c r="P14" i="189"/>
  <c r="H14" i="189"/>
  <c r="E14" i="189"/>
  <c r="I14" i="189" s="1"/>
  <c r="AD13" i="189"/>
  <c r="AC13" i="189"/>
  <c r="AE13" i="189" s="1"/>
  <c r="AI13" i="189" s="1"/>
  <c r="Y13" i="189" s="1"/>
  <c r="AB13" i="189"/>
  <c r="Z13" i="189"/>
  <c r="X13" i="189"/>
  <c r="Q13" i="189"/>
  <c r="P13" i="189"/>
  <c r="I13" i="189"/>
  <c r="H13" i="189"/>
  <c r="E13" i="189"/>
  <c r="AD12" i="189"/>
  <c r="AC12" i="189"/>
  <c r="AB12" i="189"/>
  <c r="AE12" i="189" s="1"/>
  <c r="AI12" i="189" s="1"/>
  <c r="Y12" i="189" s="1"/>
  <c r="Z12" i="189"/>
  <c r="T75" i="189" s="1"/>
  <c r="X12" i="189"/>
  <c r="Q12" i="189"/>
  <c r="P12" i="189"/>
  <c r="I12" i="189"/>
  <c r="H12" i="189"/>
  <c r="E12" i="189"/>
  <c r="F77" i="191" l="1"/>
  <c r="O73" i="190"/>
  <c r="O75" i="190"/>
  <c r="F75" i="190"/>
  <c r="T73" i="190"/>
  <c r="T79" i="190" s="1"/>
  <c r="F77" i="190" s="1"/>
  <c r="O73" i="189"/>
  <c r="O75" i="189"/>
  <c r="F73" i="189"/>
  <c r="F75" i="189"/>
  <c r="T73" i="189"/>
  <c r="T79" i="189" s="1"/>
  <c r="M79" i="188"/>
  <c r="H71" i="188"/>
  <c r="Q70" i="188"/>
  <c r="P70" i="188"/>
  <c r="H70" i="188"/>
  <c r="E70" i="188"/>
  <c r="I70" i="188" s="1"/>
  <c r="Q69" i="188"/>
  <c r="P69" i="188"/>
  <c r="I69" i="188"/>
  <c r="H69" i="188"/>
  <c r="E69" i="188"/>
  <c r="AD68" i="188"/>
  <c r="AE68" i="188" s="1"/>
  <c r="AI68" i="188" s="1"/>
  <c r="Y68" i="188" s="1"/>
  <c r="AC68" i="188"/>
  <c r="AB68" i="188"/>
  <c r="Z68" i="188"/>
  <c r="X68" i="188"/>
  <c r="Q68" i="188"/>
  <c r="P68" i="188"/>
  <c r="I68" i="188"/>
  <c r="H68" i="188"/>
  <c r="E68" i="188"/>
  <c r="AD67" i="188"/>
  <c r="AC67" i="188"/>
  <c r="AB67" i="188"/>
  <c r="AE67" i="188" s="1"/>
  <c r="AI67" i="188" s="1"/>
  <c r="Y67" i="188" s="1"/>
  <c r="Z67" i="188"/>
  <c r="X67" i="188"/>
  <c r="Q67" i="188"/>
  <c r="P67" i="188"/>
  <c r="H67" i="188"/>
  <c r="E67" i="188"/>
  <c r="I67" i="188" s="1"/>
  <c r="AD66" i="188"/>
  <c r="AC66" i="188"/>
  <c r="AE66" i="188" s="1"/>
  <c r="AI66" i="188" s="1"/>
  <c r="Y66" i="188" s="1"/>
  <c r="AB66" i="188"/>
  <c r="Z66" i="188"/>
  <c r="X66" i="188"/>
  <c r="Q66" i="188"/>
  <c r="P66" i="188"/>
  <c r="H66" i="188"/>
  <c r="E66" i="188"/>
  <c r="I66" i="188" s="1"/>
  <c r="AD65" i="188"/>
  <c r="AC65" i="188"/>
  <c r="AB65" i="188"/>
  <c r="AE65" i="188" s="1"/>
  <c r="AI65" i="188" s="1"/>
  <c r="Y65" i="188" s="1"/>
  <c r="Z65" i="188"/>
  <c r="X65" i="188"/>
  <c r="Q65" i="188"/>
  <c r="P65" i="188"/>
  <c r="I65" i="188"/>
  <c r="H65" i="188"/>
  <c r="E65" i="188"/>
  <c r="AD64" i="188"/>
  <c r="AC64" i="188"/>
  <c r="AE64" i="188" s="1"/>
  <c r="AI64" i="188" s="1"/>
  <c r="Y64" i="188" s="1"/>
  <c r="AB64" i="188"/>
  <c r="Z64" i="188"/>
  <c r="X64" i="188"/>
  <c r="Q64" i="188"/>
  <c r="P64" i="188"/>
  <c r="I64" i="188"/>
  <c r="H64" i="188"/>
  <c r="E64" i="188"/>
  <c r="AE63" i="188"/>
  <c r="AI63" i="188" s="1"/>
  <c r="Y63" i="188" s="1"/>
  <c r="AD63" i="188"/>
  <c r="AC63" i="188"/>
  <c r="AB63" i="188"/>
  <c r="Z63" i="188"/>
  <c r="X63" i="188"/>
  <c r="Q63" i="188"/>
  <c r="P63" i="188"/>
  <c r="H63" i="188"/>
  <c r="E63" i="188"/>
  <c r="I63" i="188" s="1"/>
  <c r="AD62" i="188"/>
  <c r="AC62" i="188"/>
  <c r="AB62" i="188"/>
  <c r="AE62" i="188" s="1"/>
  <c r="AI62" i="188" s="1"/>
  <c r="Y62" i="188" s="1"/>
  <c r="Z62" i="188"/>
  <c r="X62" i="188"/>
  <c r="Q62" i="188"/>
  <c r="P62" i="188"/>
  <c r="H62" i="188"/>
  <c r="E62" i="188"/>
  <c r="I62" i="188" s="1"/>
  <c r="AC61" i="188"/>
  <c r="AB61" i="188"/>
  <c r="AE61" i="188" s="1"/>
  <c r="AI61" i="188" s="1"/>
  <c r="Y61" i="188" s="1"/>
  <c r="X61" i="188"/>
  <c r="Q61" i="188"/>
  <c r="P61" i="188"/>
  <c r="I61" i="188"/>
  <c r="H61" i="188"/>
  <c r="E61" i="188"/>
  <c r="AI60" i="188"/>
  <c r="Y60" i="188" s="1"/>
  <c r="AE60" i="188"/>
  <c r="X60" i="188"/>
  <c r="Q60" i="188"/>
  <c r="P60" i="188"/>
  <c r="H60" i="188"/>
  <c r="E60" i="188"/>
  <c r="I60" i="188" s="1"/>
  <c r="AC59" i="188"/>
  <c r="AB59" i="188"/>
  <c r="AE59" i="188" s="1"/>
  <c r="AI59" i="188" s="1"/>
  <c r="Y59" i="188" s="1"/>
  <c r="X59" i="188"/>
  <c r="Q59" i="188"/>
  <c r="P59" i="188"/>
  <c r="H59" i="188"/>
  <c r="E59" i="188"/>
  <c r="I59" i="188" s="1"/>
  <c r="AC58" i="188"/>
  <c r="AB58" i="188"/>
  <c r="AE58" i="188" s="1"/>
  <c r="AI58" i="188" s="1"/>
  <c r="Y58" i="188" s="1"/>
  <c r="X58" i="188"/>
  <c r="Q58" i="188"/>
  <c r="P58" i="188"/>
  <c r="I58" i="188"/>
  <c r="E58" i="188"/>
  <c r="AC57" i="188"/>
  <c r="AB57" i="188"/>
  <c r="AE57" i="188" s="1"/>
  <c r="AI57" i="188" s="1"/>
  <c r="Y57" i="188" s="1"/>
  <c r="X57" i="188"/>
  <c r="Q57" i="188"/>
  <c r="P57" i="188"/>
  <c r="H57" i="188"/>
  <c r="E57" i="188"/>
  <c r="I57" i="188" s="1"/>
  <c r="AD56" i="188"/>
  <c r="AC56" i="188"/>
  <c r="AB56" i="188"/>
  <c r="AE56" i="188" s="1"/>
  <c r="AI56" i="188" s="1"/>
  <c r="Y56" i="188" s="1"/>
  <c r="Z56" i="188"/>
  <c r="X56" i="188"/>
  <c r="Q56" i="188"/>
  <c r="P56" i="188"/>
  <c r="I56" i="188"/>
  <c r="H56" i="188"/>
  <c r="E56" i="188"/>
  <c r="AE55" i="188"/>
  <c r="AI55" i="188" s="1"/>
  <c r="Y55" i="188" s="1"/>
  <c r="AD55" i="188"/>
  <c r="AC55" i="188"/>
  <c r="AB55" i="188"/>
  <c r="Z55" i="188"/>
  <c r="X55" i="188"/>
  <c r="Q55" i="188"/>
  <c r="P55" i="188"/>
  <c r="I55" i="188"/>
  <c r="H55" i="188"/>
  <c r="E55" i="188"/>
  <c r="AE54" i="188"/>
  <c r="AI54" i="188" s="1"/>
  <c r="Y54" i="188" s="1"/>
  <c r="AD54" i="188"/>
  <c r="AC54" i="188"/>
  <c r="AB54" i="188"/>
  <c r="Z54" i="188"/>
  <c r="X54" i="188"/>
  <c r="Q54" i="188"/>
  <c r="P54" i="188"/>
  <c r="I54" i="188"/>
  <c r="H54" i="188"/>
  <c r="E54" i="188"/>
  <c r="AD53" i="188"/>
  <c r="AC53" i="188"/>
  <c r="AB53" i="188"/>
  <c r="AE53" i="188" s="1"/>
  <c r="AI53" i="188" s="1"/>
  <c r="Y53" i="188" s="1"/>
  <c r="Z53" i="188"/>
  <c r="X53" i="188"/>
  <c r="Q53" i="188"/>
  <c r="P53" i="188"/>
  <c r="H53" i="188"/>
  <c r="E53" i="188"/>
  <c r="I53" i="188" s="1"/>
  <c r="AI52" i="188"/>
  <c r="Y52" i="188" s="1"/>
  <c r="AE52" i="188"/>
  <c r="Z52" i="188"/>
  <c r="X52" i="188"/>
  <c r="Q52" i="188"/>
  <c r="P52" i="188"/>
  <c r="I52" i="188"/>
  <c r="H52" i="188"/>
  <c r="E52" i="188"/>
  <c r="AD51" i="188"/>
  <c r="AC51" i="188"/>
  <c r="AB51" i="188"/>
  <c r="AE51" i="188" s="1"/>
  <c r="AI51" i="188" s="1"/>
  <c r="Y51" i="188" s="1"/>
  <c r="Z51" i="188"/>
  <c r="X51" i="188"/>
  <c r="Q51" i="188"/>
  <c r="P51" i="188"/>
  <c r="H51" i="188"/>
  <c r="E51" i="188"/>
  <c r="I51" i="188" s="1"/>
  <c r="AD50" i="188"/>
  <c r="AC50" i="188"/>
  <c r="AE50" i="188" s="1"/>
  <c r="AI50" i="188" s="1"/>
  <c r="Y50" i="188" s="1"/>
  <c r="AB50" i="188"/>
  <c r="Z50" i="188"/>
  <c r="X50" i="188"/>
  <c r="Q50" i="188"/>
  <c r="P50" i="188"/>
  <c r="H50" i="188"/>
  <c r="E50" i="188"/>
  <c r="I50" i="188" s="1"/>
  <c r="AI49" i="188"/>
  <c r="AE49" i="188"/>
  <c r="Z49" i="188"/>
  <c r="Y49" i="188"/>
  <c r="X49" i="188"/>
  <c r="Q49" i="188"/>
  <c r="P49" i="188"/>
  <c r="I49" i="188"/>
  <c r="H49" i="188"/>
  <c r="E49" i="188"/>
  <c r="AE48" i="188"/>
  <c r="AI48" i="188" s="1"/>
  <c r="Y48" i="188" s="1"/>
  <c r="Z48" i="188"/>
  <c r="X48" i="188"/>
  <c r="Q48" i="188"/>
  <c r="P48" i="188"/>
  <c r="H48" i="188"/>
  <c r="E48" i="188"/>
  <c r="I48" i="188" s="1"/>
  <c r="AI47" i="188"/>
  <c r="Y47" i="188" s="1"/>
  <c r="AE47" i="188"/>
  <c r="Z47" i="188"/>
  <c r="X47" i="188"/>
  <c r="Q47" i="188"/>
  <c r="P47" i="188"/>
  <c r="I47" i="188"/>
  <c r="H47" i="188"/>
  <c r="E47" i="188"/>
  <c r="AD46" i="188"/>
  <c r="AC46" i="188"/>
  <c r="AB46" i="188"/>
  <c r="AE46" i="188" s="1"/>
  <c r="AI46" i="188" s="1"/>
  <c r="Y46" i="188" s="1"/>
  <c r="Z46" i="188"/>
  <c r="X46" i="188"/>
  <c r="Q46" i="188"/>
  <c r="P46" i="188"/>
  <c r="H46" i="188"/>
  <c r="E46" i="188"/>
  <c r="I46" i="188" s="1"/>
  <c r="AI45" i="188"/>
  <c r="Y45" i="188" s="1"/>
  <c r="AE45" i="188"/>
  <c r="AD45" i="188"/>
  <c r="AC45" i="188"/>
  <c r="AB45" i="188"/>
  <c r="Z45" i="188"/>
  <c r="X45" i="188"/>
  <c r="Q45" i="188"/>
  <c r="P45" i="188"/>
  <c r="H45" i="188"/>
  <c r="E45" i="188"/>
  <c r="I45" i="188" s="1"/>
  <c r="AD44" i="188"/>
  <c r="AC44" i="188"/>
  <c r="AB44" i="188"/>
  <c r="AE44" i="188" s="1"/>
  <c r="AI44" i="188" s="1"/>
  <c r="Y44" i="188" s="1"/>
  <c r="Z44" i="188"/>
  <c r="X44" i="188"/>
  <c r="Q44" i="188"/>
  <c r="P44" i="188"/>
  <c r="I44" i="188"/>
  <c r="H44" i="188"/>
  <c r="E44" i="188"/>
  <c r="AE43" i="188"/>
  <c r="AI43" i="188" s="1"/>
  <c r="Y43" i="188" s="1"/>
  <c r="AD43" i="188"/>
  <c r="AC43" i="188"/>
  <c r="AB43" i="188"/>
  <c r="Z43" i="188"/>
  <c r="X43" i="188"/>
  <c r="Q43" i="188"/>
  <c r="P43" i="188"/>
  <c r="I43" i="188"/>
  <c r="H43" i="188"/>
  <c r="E43" i="188"/>
  <c r="AE42" i="188"/>
  <c r="AI42" i="188" s="1"/>
  <c r="Y42" i="188" s="1"/>
  <c r="AD42" i="188"/>
  <c r="AC42" i="188"/>
  <c r="AB42" i="188"/>
  <c r="Z42" i="188"/>
  <c r="X42" i="188"/>
  <c r="Q42" i="188"/>
  <c r="P42" i="188"/>
  <c r="I42" i="188"/>
  <c r="H42" i="188"/>
  <c r="E42" i="188"/>
  <c r="AD41" i="188"/>
  <c r="AC41" i="188"/>
  <c r="AB41" i="188"/>
  <c r="AE41" i="188" s="1"/>
  <c r="AI41" i="188" s="1"/>
  <c r="Y41" i="188" s="1"/>
  <c r="Z41" i="188"/>
  <c r="X41" i="188"/>
  <c r="Q41" i="188"/>
  <c r="P41" i="188"/>
  <c r="H41" i="188"/>
  <c r="E41" i="188"/>
  <c r="I41" i="188" s="1"/>
  <c r="AD40" i="188"/>
  <c r="AC40" i="188"/>
  <c r="AB40" i="188"/>
  <c r="AE40" i="188" s="1"/>
  <c r="AI40" i="188" s="1"/>
  <c r="Y40" i="188" s="1"/>
  <c r="Z40" i="188"/>
  <c r="X40" i="188"/>
  <c r="Q40" i="188"/>
  <c r="P40" i="188"/>
  <c r="I40" i="188"/>
  <c r="H40" i="188"/>
  <c r="E40" i="188"/>
  <c r="AD39" i="188"/>
  <c r="AE39" i="188" s="1"/>
  <c r="AI39" i="188" s="1"/>
  <c r="Y39" i="188" s="1"/>
  <c r="AC39" i="188"/>
  <c r="AB39" i="188"/>
  <c r="Z39" i="188"/>
  <c r="X39" i="188"/>
  <c r="Q39" i="188"/>
  <c r="P39" i="188"/>
  <c r="I39" i="188"/>
  <c r="H39" i="188"/>
  <c r="E39" i="188"/>
  <c r="AD38" i="188"/>
  <c r="AC38" i="188"/>
  <c r="AB38" i="188"/>
  <c r="AE38" i="188" s="1"/>
  <c r="AI38" i="188" s="1"/>
  <c r="Y38" i="188" s="1"/>
  <c r="Z38" i="188"/>
  <c r="X38" i="188"/>
  <c r="Q38" i="188"/>
  <c r="P38" i="188"/>
  <c r="H38" i="188"/>
  <c r="E38" i="188"/>
  <c r="I38" i="188" s="1"/>
  <c r="AD37" i="188"/>
  <c r="AC37" i="188"/>
  <c r="AE37" i="188" s="1"/>
  <c r="AI37" i="188" s="1"/>
  <c r="Y37" i="188" s="1"/>
  <c r="AB37" i="188"/>
  <c r="Z37" i="188"/>
  <c r="X37" i="188"/>
  <c r="Q37" i="188"/>
  <c r="P37" i="188"/>
  <c r="H37" i="188"/>
  <c r="E37" i="188"/>
  <c r="I37" i="188" s="1"/>
  <c r="AD36" i="188"/>
  <c r="AC36" i="188"/>
  <c r="AB36" i="188"/>
  <c r="AE36" i="188" s="1"/>
  <c r="AI36" i="188" s="1"/>
  <c r="Y36" i="188" s="1"/>
  <c r="Z36" i="188"/>
  <c r="X36" i="188"/>
  <c r="Q36" i="188"/>
  <c r="P36" i="188"/>
  <c r="I36" i="188"/>
  <c r="H36" i="188"/>
  <c r="E36" i="188"/>
  <c r="AD35" i="188"/>
  <c r="AC35" i="188"/>
  <c r="AE35" i="188" s="1"/>
  <c r="AI35" i="188" s="1"/>
  <c r="Y35" i="188" s="1"/>
  <c r="AB35" i="188"/>
  <c r="Z35" i="188"/>
  <c r="X35" i="188"/>
  <c r="Q35" i="188"/>
  <c r="P35" i="188"/>
  <c r="I35" i="188"/>
  <c r="H35" i="188"/>
  <c r="E35" i="188"/>
  <c r="AE34" i="188"/>
  <c r="AI34" i="188" s="1"/>
  <c r="Y34" i="188" s="1"/>
  <c r="AD34" i="188"/>
  <c r="AC34" i="188"/>
  <c r="AB34" i="188"/>
  <c r="Z34" i="188"/>
  <c r="X34" i="188"/>
  <c r="Q34" i="188"/>
  <c r="P34" i="188"/>
  <c r="H34" i="188"/>
  <c r="E34" i="188"/>
  <c r="I34" i="188" s="1"/>
  <c r="AD33" i="188"/>
  <c r="AC33" i="188"/>
  <c r="AB33" i="188"/>
  <c r="AE33" i="188" s="1"/>
  <c r="AI33" i="188" s="1"/>
  <c r="Y33" i="188" s="1"/>
  <c r="Z33" i="188"/>
  <c r="X33" i="188"/>
  <c r="Q33" i="188"/>
  <c r="P33" i="188"/>
  <c r="H33" i="188"/>
  <c r="E33" i="188"/>
  <c r="I33" i="188" s="1"/>
  <c r="AD32" i="188"/>
  <c r="AC32" i="188"/>
  <c r="AB32" i="188"/>
  <c r="AE32" i="188" s="1"/>
  <c r="AI32" i="188" s="1"/>
  <c r="Y32" i="188" s="1"/>
  <c r="Z32" i="188"/>
  <c r="X32" i="188"/>
  <c r="Q32" i="188"/>
  <c r="P32" i="188"/>
  <c r="H32" i="188"/>
  <c r="E32" i="188"/>
  <c r="I32" i="188" s="1"/>
  <c r="AE31" i="188"/>
  <c r="AI31" i="188" s="1"/>
  <c r="Y31" i="188" s="1"/>
  <c r="Z31" i="188"/>
  <c r="X31" i="188"/>
  <c r="Q31" i="188"/>
  <c r="P31" i="188"/>
  <c r="H31" i="188"/>
  <c r="E31" i="188"/>
  <c r="I31" i="188" s="1"/>
  <c r="AI30" i="188"/>
  <c r="Y30" i="188" s="1"/>
  <c r="AE30" i="188"/>
  <c r="AD30" i="188"/>
  <c r="AC30" i="188"/>
  <c r="AB30" i="188"/>
  <c r="Z30" i="188"/>
  <c r="X30" i="188"/>
  <c r="Q30" i="188"/>
  <c r="P30" i="188"/>
  <c r="H30" i="188"/>
  <c r="E30" i="188"/>
  <c r="I30" i="188" s="1"/>
  <c r="AD29" i="188"/>
  <c r="AC29" i="188"/>
  <c r="AB29" i="188"/>
  <c r="AE29" i="188" s="1"/>
  <c r="AI29" i="188" s="1"/>
  <c r="Y29" i="188" s="1"/>
  <c r="Z29" i="188"/>
  <c r="X29" i="188"/>
  <c r="Q29" i="188"/>
  <c r="P29" i="188"/>
  <c r="I29" i="188"/>
  <c r="H29" i="188"/>
  <c r="E29" i="188"/>
  <c r="AE28" i="188"/>
  <c r="AI28" i="188" s="1"/>
  <c r="Y28" i="188" s="1"/>
  <c r="AD28" i="188"/>
  <c r="AC28" i="188"/>
  <c r="AB28" i="188"/>
  <c r="Z28" i="188"/>
  <c r="X28" i="188"/>
  <c r="Q28" i="188"/>
  <c r="P28" i="188"/>
  <c r="I28" i="188"/>
  <c r="H28" i="188"/>
  <c r="E28" i="188"/>
  <c r="AE27" i="188"/>
  <c r="AI27" i="188" s="1"/>
  <c r="Y27" i="188" s="1"/>
  <c r="AD27" i="188"/>
  <c r="AC27" i="188"/>
  <c r="AB27" i="188"/>
  <c r="Z27" i="188"/>
  <c r="X27" i="188"/>
  <c r="Q27" i="188"/>
  <c r="P27" i="188"/>
  <c r="I27" i="188"/>
  <c r="H27" i="188"/>
  <c r="E27" i="188"/>
  <c r="AD26" i="188"/>
  <c r="AC26" i="188"/>
  <c r="AB26" i="188"/>
  <c r="AE26" i="188" s="1"/>
  <c r="AI26" i="188" s="1"/>
  <c r="Y26" i="188" s="1"/>
  <c r="Z26" i="188"/>
  <c r="X26" i="188"/>
  <c r="Q26" i="188"/>
  <c r="P26" i="188"/>
  <c r="H26" i="188"/>
  <c r="E26" i="188"/>
  <c r="I26" i="188" s="1"/>
  <c r="AD25" i="188"/>
  <c r="AC25" i="188"/>
  <c r="AB25" i="188"/>
  <c r="AE25" i="188" s="1"/>
  <c r="AI25" i="188" s="1"/>
  <c r="Y25" i="188" s="1"/>
  <c r="Z25" i="188"/>
  <c r="X25" i="188"/>
  <c r="Q25" i="188"/>
  <c r="P25" i="188"/>
  <c r="I25" i="188"/>
  <c r="H25" i="188"/>
  <c r="E25" i="188"/>
  <c r="AD24" i="188"/>
  <c r="AE24" i="188" s="1"/>
  <c r="AI24" i="188" s="1"/>
  <c r="Y24" i="188" s="1"/>
  <c r="AC24" i="188"/>
  <c r="AB24" i="188"/>
  <c r="Z24" i="188"/>
  <c r="X24" i="188"/>
  <c r="Q24" i="188"/>
  <c r="P24" i="188"/>
  <c r="I24" i="188"/>
  <c r="H24" i="188"/>
  <c r="E24" i="188"/>
  <c r="AD23" i="188"/>
  <c r="AC23" i="188"/>
  <c r="AB23" i="188"/>
  <c r="AE23" i="188" s="1"/>
  <c r="AI23" i="188" s="1"/>
  <c r="Y23" i="188" s="1"/>
  <c r="Z23" i="188"/>
  <c r="X23" i="188"/>
  <c r="Q23" i="188"/>
  <c r="P23" i="188"/>
  <c r="H23" i="188"/>
  <c r="E23" i="188"/>
  <c r="I23" i="188" s="1"/>
  <c r="AD22" i="188"/>
  <c r="AC22" i="188"/>
  <c r="AB22" i="188"/>
  <c r="AE22" i="188" s="1"/>
  <c r="AI22" i="188" s="1"/>
  <c r="Y22" i="188" s="1"/>
  <c r="Z22" i="188"/>
  <c r="X22" i="188"/>
  <c r="Q22" i="188"/>
  <c r="P22" i="188"/>
  <c r="H22" i="188"/>
  <c r="E22" i="188"/>
  <c r="I22" i="188" s="1"/>
  <c r="AD21" i="188"/>
  <c r="AC21" i="188"/>
  <c r="AB21" i="188"/>
  <c r="AE21" i="188" s="1"/>
  <c r="AI21" i="188" s="1"/>
  <c r="Y21" i="188" s="1"/>
  <c r="Z21" i="188"/>
  <c r="X21" i="188"/>
  <c r="Q21" i="188"/>
  <c r="P21" i="188"/>
  <c r="I21" i="188"/>
  <c r="H21" i="188"/>
  <c r="E21" i="188"/>
  <c r="AD20" i="188"/>
  <c r="AC20" i="188"/>
  <c r="AE20" i="188" s="1"/>
  <c r="AI20" i="188" s="1"/>
  <c r="Y20" i="188" s="1"/>
  <c r="AB20" i="188"/>
  <c r="Z20" i="188"/>
  <c r="X20" i="188"/>
  <c r="P20" i="188"/>
  <c r="Q20" i="188"/>
  <c r="H20" i="188"/>
  <c r="E20" i="188"/>
  <c r="I20" i="188" s="1"/>
  <c r="AI19" i="188"/>
  <c r="Y19" i="188" s="1"/>
  <c r="AE19" i="188"/>
  <c r="AD19" i="188"/>
  <c r="AC19" i="188"/>
  <c r="AB19" i="188"/>
  <c r="Z19" i="188"/>
  <c r="X19" i="188"/>
  <c r="Q19" i="188"/>
  <c r="P19" i="188"/>
  <c r="H19" i="188"/>
  <c r="E19" i="188"/>
  <c r="I19" i="188" s="1"/>
  <c r="AD18" i="188"/>
  <c r="AC18" i="188"/>
  <c r="AB18" i="188"/>
  <c r="AE18" i="188" s="1"/>
  <c r="AI18" i="188" s="1"/>
  <c r="Y18" i="188" s="1"/>
  <c r="Z18" i="188"/>
  <c r="X18" i="188"/>
  <c r="Q18" i="188"/>
  <c r="P18" i="188"/>
  <c r="I18" i="188"/>
  <c r="H18" i="188"/>
  <c r="E18" i="188"/>
  <c r="AE17" i="188"/>
  <c r="AI17" i="188" s="1"/>
  <c r="Y17" i="188" s="1"/>
  <c r="AD17" i="188"/>
  <c r="AC17" i="188"/>
  <c r="AB17" i="188"/>
  <c r="Z17" i="188"/>
  <c r="X17" i="188"/>
  <c r="Q17" i="188"/>
  <c r="P17" i="188"/>
  <c r="I17" i="188"/>
  <c r="H17" i="188"/>
  <c r="E17" i="188"/>
  <c r="AE16" i="188"/>
  <c r="AI16" i="188" s="1"/>
  <c r="Y16" i="188" s="1"/>
  <c r="AD16" i="188"/>
  <c r="AC16" i="188"/>
  <c r="AB16" i="188"/>
  <c r="Z16" i="188"/>
  <c r="X16" i="188"/>
  <c r="Q16" i="188"/>
  <c r="P16" i="188"/>
  <c r="I16" i="188"/>
  <c r="E16" i="188"/>
  <c r="AD15" i="188"/>
  <c r="AC15" i="188"/>
  <c r="AB15" i="188"/>
  <c r="AE15" i="188" s="1"/>
  <c r="AI15" i="188" s="1"/>
  <c r="Y15" i="188" s="1"/>
  <c r="Z15" i="188"/>
  <c r="X15" i="188"/>
  <c r="Q15" i="188"/>
  <c r="P15" i="188"/>
  <c r="I15" i="188"/>
  <c r="E15" i="188"/>
  <c r="AE14" i="188"/>
  <c r="AI14" i="188" s="1"/>
  <c r="Y14" i="188" s="1"/>
  <c r="AD14" i="188"/>
  <c r="AC14" i="188"/>
  <c r="AB14" i="188"/>
  <c r="Z14" i="188"/>
  <c r="X14" i="188"/>
  <c r="Q14" i="188"/>
  <c r="P14" i="188"/>
  <c r="P71" i="188"/>
  <c r="H14" i="188"/>
  <c r="E14" i="188"/>
  <c r="I14" i="188" s="1"/>
  <c r="AD13" i="188"/>
  <c r="AC13" i="188"/>
  <c r="AB13" i="188"/>
  <c r="AE13" i="188" s="1"/>
  <c r="AI13" i="188" s="1"/>
  <c r="Y13" i="188" s="1"/>
  <c r="Z13" i="188"/>
  <c r="X13" i="188"/>
  <c r="Q13" i="188"/>
  <c r="P13" i="188"/>
  <c r="I13" i="188"/>
  <c r="H13" i="188"/>
  <c r="E13" i="188"/>
  <c r="AD12" i="188"/>
  <c r="AE12" i="188" s="1"/>
  <c r="AI12" i="188" s="1"/>
  <c r="Y12" i="188" s="1"/>
  <c r="AC12" i="188"/>
  <c r="AB12" i="188"/>
  <c r="Z12" i="188"/>
  <c r="X12" i="188"/>
  <c r="Q12" i="188"/>
  <c r="P12" i="188"/>
  <c r="I12" i="188"/>
  <c r="H12" i="188"/>
  <c r="E12" i="188"/>
  <c r="M14" i="187"/>
  <c r="Q14" i="187" s="1"/>
  <c r="M20" i="187"/>
  <c r="P71" i="187" s="1"/>
  <c r="M79" i="187"/>
  <c r="H71" i="187"/>
  <c r="Q70" i="187"/>
  <c r="P70" i="187"/>
  <c r="H70" i="187"/>
  <c r="E70" i="187"/>
  <c r="I70" i="187" s="1"/>
  <c r="Q69" i="187"/>
  <c r="P69" i="187"/>
  <c r="H69" i="187"/>
  <c r="E69" i="187"/>
  <c r="I69" i="187" s="1"/>
  <c r="AD68" i="187"/>
  <c r="AC68" i="187"/>
  <c r="AB68" i="187"/>
  <c r="AE68" i="187" s="1"/>
  <c r="AI68" i="187" s="1"/>
  <c r="Y68" i="187" s="1"/>
  <c r="Z68" i="187"/>
  <c r="X68" i="187"/>
  <c r="Q68" i="187"/>
  <c r="P68" i="187"/>
  <c r="H68" i="187"/>
  <c r="E68" i="187"/>
  <c r="I68" i="187" s="1"/>
  <c r="AE67" i="187"/>
  <c r="AI67" i="187" s="1"/>
  <c r="Y67" i="187" s="1"/>
  <c r="AD67" i="187"/>
  <c r="AC67" i="187"/>
  <c r="AB67" i="187"/>
  <c r="Z67" i="187"/>
  <c r="X67" i="187"/>
  <c r="Q67" i="187"/>
  <c r="P67" i="187"/>
  <c r="I67" i="187"/>
  <c r="H67" i="187"/>
  <c r="E67" i="187"/>
  <c r="AE66" i="187"/>
  <c r="AI66" i="187" s="1"/>
  <c r="Y66" i="187" s="1"/>
  <c r="AD66" i="187"/>
  <c r="AC66" i="187"/>
  <c r="AB66" i="187"/>
  <c r="Z66" i="187"/>
  <c r="X66" i="187"/>
  <c r="Q66" i="187"/>
  <c r="P66" i="187"/>
  <c r="H66" i="187"/>
  <c r="E66" i="187"/>
  <c r="I66" i="187" s="1"/>
  <c r="AD65" i="187"/>
  <c r="AC65" i="187"/>
  <c r="AB65" i="187"/>
  <c r="AE65" i="187" s="1"/>
  <c r="AI65" i="187" s="1"/>
  <c r="Y65" i="187" s="1"/>
  <c r="Z65" i="187"/>
  <c r="X65" i="187"/>
  <c r="Q65" i="187"/>
  <c r="P65" i="187"/>
  <c r="H65" i="187"/>
  <c r="E65" i="187"/>
  <c r="I65" i="187" s="1"/>
  <c r="AD64" i="187"/>
  <c r="AC64" i="187"/>
  <c r="AE64" i="187" s="1"/>
  <c r="AI64" i="187" s="1"/>
  <c r="Y64" i="187" s="1"/>
  <c r="AB64" i="187"/>
  <c r="Z64" i="187"/>
  <c r="X64" i="187"/>
  <c r="Q64" i="187"/>
  <c r="P64" i="187"/>
  <c r="I64" i="187"/>
  <c r="H64" i="187"/>
  <c r="E64" i="187"/>
  <c r="AD63" i="187"/>
  <c r="AC63" i="187"/>
  <c r="AB63" i="187"/>
  <c r="AE63" i="187" s="1"/>
  <c r="AI63" i="187" s="1"/>
  <c r="Y63" i="187" s="1"/>
  <c r="Z63" i="187"/>
  <c r="X63" i="187"/>
  <c r="Q63" i="187"/>
  <c r="P63" i="187"/>
  <c r="H63" i="187"/>
  <c r="E63" i="187"/>
  <c r="I63" i="187" s="1"/>
  <c r="AD62" i="187"/>
  <c r="AC62" i="187"/>
  <c r="AB62" i="187"/>
  <c r="AE62" i="187" s="1"/>
  <c r="AI62" i="187" s="1"/>
  <c r="Y62" i="187" s="1"/>
  <c r="Z62" i="187"/>
  <c r="X62" i="187"/>
  <c r="Q62" i="187"/>
  <c r="P62" i="187"/>
  <c r="H62" i="187"/>
  <c r="E62" i="187"/>
  <c r="I62" i="187" s="1"/>
  <c r="AE61" i="187"/>
  <c r="AI61" i="187" s="1"/>
  <c r="Y61" i="187" s="1"/>
  <c r="AC61" i="187"/>
  <c r="AB61" i="187"/>
  <c r="X61" i="187"/>
  <c r="Q61" i="187"/>
  <c r="P61" i="187"/>
  <c r="H61" i="187"/>
  <c r="E61" i="187"/>
  <c r="I61" i="187" s="1"/>
  <c r="AE60" i="187"/>
  <c r="AI60" i="187" s="1"/>
  <c r="Y60" i="187" s="1"/>
  <c r="X60" i="187"/>
  <c r="Q60" i="187"/>
  <c r="P60" i="187"/>
  <c r="I60" i="187"/>
  <c r="H60" i="187"/>
  <c r="E60" i="187"/>
  <c r="AC59" i="187"/>
  <c r="AB59" i="187"/>
  <c r="AE59" i="187" s="1"/>
  <c r="AI59" i="187" s="1"/>
  <c r="Y59" i="187" s="1"/>
  <c r="X59" i="187"/>
  <c r="Q59" i="187"/>
  <c r="P59" i="187"/>
  <c r="I59" i="187"/>
  <c r="H59" i="187"/>
  <c r="E59" i="187"/>
  <c r="AC58" i="187"/>
  <c r="AE58" i="187" s="1"/>
  <c r="AI58" i="187" s="1"/>
  <c r="Y58" i="187" s="1"/>
  <c r="AB58" i="187"/>
  <c r="X58" i="187"/>
  <c r="Q58" i="187"/>
  <c r="P58" i="187"/>
  <c r="I58" i="187"/>
  <c r="E58" i="187"/>
  <c r="AC57" i="187"/>
  <c r="AB57" i="187"/>
  <c r="AE57" i="187" s="1"/>
  <c r="AI57" i="187" s="1"/>
  <c r="Y57" i="187" s="1"/>
  <c r="X57" i="187"/>
  <c r="Q57" i="187"/>
  <c r="P57" i="187"/>
  <c r="I57" i="187"/>
  <c r="H57" i="187"/>
  <c r="E57" i="187"/>
  <c r="AD56" i="187"/>
  <c r="AC56" i="187"/>
  <c r="AB56" i="187"/>
  <c r="AE56" i="187" s="1"/>
  <c r="AI56" i="187" s="1"/>
  <c r="Y56" i="187" s="1"/>
  <c r="Z56" i="187"/>
  <c r="X56" i="187"/>
  <c r="Q56" i="187"/>
  <c r="P56" i="187"/>
  <c r="H56" i="187"/>
  <c r="E56" i="187"/>
  <c r="I56" i="187" s="1"/>
  <c r="AI55" i="187"/>
  <c r="Y55" i="187" s="1"/>
  <c r="AE55" i="187"/>
  <c r="AD55" i="187"/>
  <c r="AC55" i="187"/>
  <c r="AB55" i="187"/>
  <c r="Z55" i="187"/>
  <c r="X55" i="187"/>
  <c r="Q55" i="187"/>
  <c r="P55" i="187"/>
  <c r="I55" i="187"/>
  <c r="H55" i="187"/>
  <c r="E55" i="187"/>
  <c r="AD54" i="187"/>
  <c r="AC54" i="187"/>
  <c r="AB54" i="187"/>
  <c r="AE54" i="187" s="1"/>
  <c r="AI54" i="187" s="1"/>
  <c r="Y54" i="187" s="1"/>
  <c r="Z54" i="187"/>
  <c r="X54" i="187"/>
  <c r="Q54" i="187"/>
  <c r="P54" i="187"/>
  <c r="H54" i="187"/>
  <c r="E54" i="187"/>
  <c r="I54" i="187" s="1"/>
  <c r="AE53" i="187"/>
  <c r="AI53" i="187" s="1"/>
  <c r="Y53" i="187" s="1"/>
  <c r="AD53" i="187"/>
  <c r="AC53" i="187"/>
  <c r="AB53" i="187"/>
  <c r="Z53" i="187"/>
  <c r="X53" i="187"/>
  <c r="Q53" i="187"/>
  <c r="P53" i="187"/>
  <c r="H53" i="187"/>
  <c r="E53" i="187"/>
  <c r="I53" i="187" s="1"/>
  <c r="AE52" i="187"/>
  <c r="AI52" i="187" s="1"/>
  <c r="Y52" i="187" s="1"/>
  <c r="Z52" i="187"/>
  <c r="X52" i="187"/>
  <c r="Q52" i="187"/>
  <c r="P52" i="187"/>
  <c r="H52" i="187"/>
  <c r="E52" i="187"/>
  <c r="I52" i="187" s="1"/>
  <c r="AD51" i="187"/>
  <c r="AE51" i="187" s="1"/>
  <c r="AI51" i="187" s="1"/>
  <c r="Y51" i="187" s="1"/>
  <c r="AC51" i="187"/>
  <c r="AB51" i="187"/>
  <c r="Z51" i="187"/>
  <c r="X51" i="187"/>
  <c r="Q51" i="187"/>
  <c r="P51" i="187"/>
  <c r="I51" i="187"/>
  <c r="H51" i="187"/>
  <c r="E51" i="187"/>
  <c r="AE50" i="187"/>
  <c r="AI50" i="187" s="1"/>
  <c r="Y50" i="187" s="1"/>
  <c r="AD50" i="187"/>
  <c r="AC50" i="187"/>
  <c r="AB50" i="187"/>
  <c r="Z50" i="187"/>
  <c r="X50" i="187"/>
  <c r="Q50" i="187"/>
  <c r="P50" i="187"/>
  <c r="H50" i="187"/>
  <c r="E50" i="187"/>
  <c r="I50" i="187" s="1"/>
  <c r="AI49" i="187"/>
  <c r="Y49" i="187" s="1"/>
  <c r="AE49" i="187"/>
  <c r="Z49" i="187"/>
  <c r="X49" i="187"/>
  <c r="Q49" i="187"/>
  <c r="P49" i="187"/>
  <c r="I49" i="187"/>
  <c r="H49" i="187"/>
  <c r="E49" i="187"/>
  <c r="AE48" i="187"/>
  <c r="AI48" i="187" s="1"/>
  <c r="Y48" i="187" s="1"/>
  <c r="Z48" i="187"/>
  <c r="X48" i="187"/>
  <c r="Q48" i="187"/>
  <c r="P48" i="187"/>
  <c r="H48" i="187"/>
  <c r="E48" i="187"/>
  <c r="I48" i="187" s="1"/>
  <c r="AI47" i="187"/>
  <c r="Y47" i="187" s="1"/>
  <c r="AE47" i="187"/>
  <c r="Z47" i="187"/>
  <c r="X47" i="187"/>
  <c r="Q47" i="187"/>
  <c r="P47" i="187"/>
  <c r="H47" i="187"/>
  <c r="E47" i="187"/>
  <c r="I47" i="187" s="1"/>
  <c r="AD46" i="187"/>
  <c r="AE46" i="187" s="1"/>
  <c r="AI46" i="187" s="1"/>
  <c r="Y46" i="187" s="1"/>
  <c r="AC46" i="187"/>
  <c r="AB46" i="187"/>
  <c r="Z46" i="187"/>
  <c r="X46" i="187"/>
  <c r="Q46" i="187"/>
  <c r="P46" i="187"/>
  <c r="I46" i="187"/>
  <c r="H46" i="187"/>
  <c r="E46" i="187"/>
  <c r="AD45" i="187"/>
  <c r="AC45" i="187"/>
  <c r="AB45" i="187"/>
  <c r="AE45" i="187" s="1"/>
  <c r="AI45" i="187" s="1"/>
  <c r="Y45" i="187" s="1"/>
  <c r="Z45" i="187"/>
  <c r="X45" i="187"/>
  <c r="Q45" i="187"/>
  <c r="P45" i="187"/>
  <c r="I45" i="187"/>
  <c r="H45" i="187"/>
  <c r="E45" i="187"/>
  <c r="AD44" i="187"/>
  <c r="AC44" i="187"/>
  <c r="AB44" i="187"/>
  <c r="AE44" i="187" s="1"/>
  <c r="AI44" i="187" s="1"/>
  <c r="Y44" i="187" s="1"/>
  <c r="Z44" i="187"/>
  <c r="X44" i="187"/>
  <c r="Q44" i="187"/>
  <c r="P44" i="187"/>
  <c r="H44" i="187"/>
  <c r="E44" i="187"/>
  <c r="I44" i="187" s="1"/>
  <c r="AE43" i="187"/>
  <c r="AI43" i="187" s="1"/>
  <c r="Y43" i="187" s="1"/>
  <c r="AD43" i="187"/>
  <c r="AC43" i="187"/>
  <c r="AB43" i="187"/>
  <c r="Z43" i="187"/>
  <c r="X43" i="187"/>
  <c r="Q43" i="187"/>
  <c r="P43" i="187"/>
  <c r="I43" i="187"/>
  <c r="H43" i="187"/>
  <c r="E43" i="187"/>
  <c r="AD42" i="187"/>
  <c r="AC42" i="187"/>
  <c r="AB42" i="187"/>
  <c r="AE42" i="187" s="1"/>
  <c r="AI42" i="187" s="1"/>
  <c r="Y42" i="187" s="1"/>
  <c r="Z42" i="187"/>
  <c r="X42" i="187"/>
  <c r="Q42" i="187"/>
  <c r="P42" i="187"/>
  <c r="H42" i="187"/>
  <c r="E42" i="187"/>
  <c r="I42" i="187" s="1"/>
  <c r="AE41" i="187"/>
  <c r="AI41" i="187" s="1"/>
  <c r="Y41" i="187" s="1"/>
  <c r="AD41" i="187"/>
  <c r="AC41" i="187"/>
  <c r="AB41" i="187"/>
  <c r="Z41" i="187"/>
  <c r="X41" i="187"/>
  <c r="Q41" i="187"/>
  <c r="P41" i="187"/>
  <c r="H41" i="187"/>
  <c r="E41" i="187"/>
  <c r="I41" i="187" s="1"/>
  <c r="AD40" i="187"/>
  <c r="AC40" i="187"/>
  <c r="AB40" i="187"/>
  <c r="AE40" i="187" s="1"/>
  <c r="AI40" i="187" s="1"/>
  <c r="Y40" i="187" s="1"/>
  <c r="Z40" i="187"/>
  <c r="X40" i="187"/>
  <c r="Q40" i="187"/>
  <c r="P40" i="187"/>
  <c r="I40" i="187"/>
  <c r="H40" i="187"/>
  <c r="E40" i="187"/>
  <c r="AD39" i="187"/>
  <c r="AC39" i="187"/>
  <c r="AB39" i="187"/>
  <c r="AE39" i="187" s="1"/>
  <c r="AI39" i="187" s="1"/>
  <c r="Y39" i="187" s="1"/>
  <c r="Z39" i="187"/>
  <c r="X39" i="187"/>
  <c r="Q39" i="187"/>
  <c r="P39" i="187"/>
  <c r="H39" i="187"/>
  <c r="E39" i="187"/>
  <c r="I39" i="187" s="1"/>
  <c r="AD38" i="187"/>
  <c r="AE38" i="187" s="1"/>
  <c r="AI38" i="187" s="1"/>
  <c r="Y38" i="187" s="1"/>
  <c r="AC38" i="187"/>
  <c r="AB38" i="187"/>
  <c r="Z38" i="187"/>
  <c r="X38" i="187"/>
  <c r="Q38" i="187"/>
  <c r="P38" i="187"/>
  <c r="I38" i="187"/>
  <c r="H38" i="187"/>
  <c r="E38" i="187"/>
  <c r="AE37" i="187"/>
  <c r="AI37" i="187" s="1"/>
  <c r="Y37" i="187" s="1"/>
  <c r="AD37" i="187"/>
  <c r="AC37" i="187"/>
  <c r="AB37" i="187"/>
  <c r="Z37" i="187"/>
  <c r="X37" i="187"/>
  <c r="Q37" i="187"/>
  <c r="P37" i="187"/>
  <c r="H37" i="187"/>
  <c r="E37" i="187"/>
  <c r="I37" i="187" s="1"/>
  <c r="AD36" i="187"/>
  <c r="AC36" i="187"/>
  <c r="AB36" i="187"/>
  <c r="AE36" i="187" s="1"/>
  <c r="AI36" i="187" s="1"/>
  <c r="Y36" i="187" s="1"/>
  <c r="Z36" i="187"/>
  <c r="X36" i="187"/>
  <c r="Q36" i="187"/>
  <c r="P36" i="187"/>
  <c r="H36" i="187"/>
  <c r="E36" i="187"/>
  <c r="I36" i="187" s="1"/>
  <c r="AD35" i="187"/>
  <c r="AC35" i="187"/>
  <c r="AE35" i="187" s="1"/>
  <c r="AI35" i="187" s="1"/>
  <c r="Y35" i="187" s="1"/>
  <c r="AB35" i="187"/>
  <c r="Z35" i="187"/>
  <c r="X35" i="187"/>
  <c r="Q35" i="187"/>
  <c r="P35" i="187"/>
  <c r="I35" i="187"/>
  <c r="H35" i="187"/>
  <c r="E35" i="187"/>
  <c r="AD34" i="187"/>
  <c r="AC34" i="187"/>
  <c r="AB34" i="187"/>
  <c r="AE34" i="187" s="1"/>
  <c r="AI34" i="187" s="1"/>
  <c r="Y34" i="187" s="1"/>
  <c r="Z34" i="187"/>
  <c r="X34" i="187"/>
  <c r="Q34" i="187"/>
  <c r="P34" i="187"/>
  <c r="H34" i="187"/>
  <c r="E34" i="187"/>
  <c r="I34" i="187" s="1"/>
  <c r="AD33" i="187"/>
  <c r="AC33" i="187"/>
  <c r="AB33" i="187"/>
  <c r="AE33" i="187" s="1"/>
  <c r="AI33" i="187" s="1"/>
  <c r="Y33" i="187" s="1"/>
  <c r="Z33" i="187"/>
  <c r="X33" i="187"/>
  <c r="Q33" i="187"/>
  <c r="P33" i="187"/>
  <c r="H33" i="187"/>
  <c r="E33" i="187"/>
  <c r="I33" i="187" s="1"/>
  <c r="AD32" i="187"/>
  <c r="AE32" i="187" s="1"/>
  <c r="AI32" i="187" s="1"/>
  <c r="Y32" i="187" s="1"/>
  <c r="AC32" i="187"/>
  <c r="AB32" i="187"/>
  <c r="Z32" i="187"/>
  <c r="X32" i="187"/>
  <c r="Q32" i="187"/>
  <c r="P32" i="187"/>
  <c r="H32" i="187"/>
  <c r="E32" i="187"/>
  <c r="I32" i="187" s="1"/>
  <c r="AE31" i="187"/>
  <c r="AI31" i="187" s="1"/>
  <c r="Y31" i="187" s="1"/>
  <c r="Z31" i="187"/>
  <c r="X31" i="187"/>
  <c r="Q31" i="187"/>
  <c r="P31" i="187"/>
  <c r="I31" i="187"/>
  <c r="H31" i="187"/>
  <c r="E31" i="187"/>
  <c r="AD30" i="187"/>
  <c r="AC30" i="187"/>
  <c r="AB30" i="187"/>
  <c r="AE30" i="187" s="1"/>
  <c r="AI30" i="187" s="1"/>
  <c r="Y30" i="187" s="1"/>
  <c r="Z30" i="187"/>
  <c r="X30" i="187"/>
  <c r="Q30" i="187"/>
  <c r="P30" i="187"/>
  <c r="I30" i="187"/>
  <c r="H30" i="187"/>
  <c r="E30" i="187"/>
  <c r="AD29" i="187"/>
  <c r="AC29" i="187"/>
  <c r="AB29" i="187"/>
  <c r="AE29" i="187" s="1"/>
  <c r="AI29" i="187" s="1"/>
  <c r="Y29" i="187" s="1"/>
  <c r="Z29" i="187"/>
  <c r="X29" i="187"/>
  <c r="Q29" i="187"/>
  <c r="P29" i="187"/>
  <c r="H29" i="187"/>
  <c r="E29" i="187"/>
  <c r="I29" i="187" s="1"/>
  <c r="AE28" i="187"/>
  <c r="AI28" i="187" s="1"/>
  <c r="Y28" i="187" s="1"/>
  <c r="AD28" i="187"/>
  <c r="AC28" i="187"/>
  <c r="AB28" i="187"/>
  <c r="Z28" i="187"/>
  <c r="X28" i="187"/>
  <c r="Q28" i="187"/>
  <c r="P28" i="187"/>
  <c r="I28" i="187"/>
  <c r="H28" i="187"/>
  <c r="E28" i="187"/>
  <c r="AD27" i="187"/>
  <c r="AC27" i="187"/>
  <c r="AB27" i="187"/>
  <c r="AE27" i="187" s="1"/>
  <c r="AI27" i="187" s="1"/>
  <c r="Y27" i="187" s="1"/>
  <c r="Z27" i="187"/>
  <c r="X27" i="187"/>
  <c r="Q27" i="187"/>
  <c r="P27" i="187"/>
  <c r="H27" i="187"/>
  <c r="E27" i="187"/>
  <c r="I27" i="187" s="1"/>
  <c r="AE26" i="187"/>
  <c r="AI26" i="187" s="1"/>
  <c r="Y26" i="187" s="1"/>
  <c r="AD26" i="187"/>
  <c r="AC26" i="187"/>
  <c r="AB26" i="187"/>
  <c r="Z26" i="187"/>
  <c r="X26" i="187"/>
  <c r="Q26" i="187"/>
  <c r="P26" i="187"/>
  <c r="H26" i="187"/>
  <c r="E26" i="187"/>
  <c r="I26" i="187" s="1"/>
  <c r="AD25" i="187"/>
  <c r="AC25" i="187"/>
  <c r="AB25" i="187"/>
  <c r="AE25" i="187" s="1"/>
  <c r="AI25" i="187" s="1"/>
  <c r="Y25" i="187" s="1"/>
  <c r="Z25" i="187"/>
  <c r="X25" i="187"/>
  <c r="Q25" i="187"/>
  <c r="P25" i="187"/>
  <c r="I25" i="187"/>
  <c r="H25" i="187"/>
  <c r="E25" i="187"/>
  <c r="AD24" i="187"/>
  <c r="AC24" i="187"/>
  <c r="AB24" i="187"/>
  <c r="AE24" i="187" s="1"/>
  <c r="AI24" i="187" s="1"/>
  <c r="Y24" i="187" s="1"/>
  <c r="Z24" i="187"/>
  <c r="X24" i="187"/>
  <c r="Q24" i="187"/>
  <c r="P24" i="187"/>
  <c r="H24" i="187"/>
  <c r="E24" i="187"/>
  <c r="I24" i="187" s="1"/>
  <c r="AD23" i="187"/>
  <c r="AE23" i="187" s="1"/>
  <c r="AI23" i="187" s="1"/>
  <c r="Y23" i="187" s="1"/>
  <c r="AC23" i="187"/>
  <c r="AB23" i="187"/>
  <c r="Z23" i="187"/>
  <c r="X23" i="187"/>
  <c r="Q23" i="187"/>
  <c r="P23" i="187"/>
  <c r="I23" i="187"/>
  <c r="H23" i="187"/>
  <c r="E23" i="187"/>
  <c r="AE22" i="187"/>
  <c r="AI22" i="187" s="1"/>
  <c r="Y22" i="187" s="1"/>
  <c r="AD22" i="187"/>
  <c r="AC22" i="187"/>
  <c r="AB22" i="187"/>
  <c r="Z22" i="187"/>
  <c r="X22" i="187"/>
  <c r="Q22" i="187"/>
  <c r="P22" i="187"/>
  <c r="H22" i="187"/>
  <c r="E22" i="187"/>
  <c r="I22" i="187" s="1"/>
  <c r="AD21" i="187"/>
  <c r="AC21" i="187"/>
  <c r="AB21" i="187"/>
  <c r="AE21" i="187" s="1"/>
  <c r="AI21" i="187" s="1"/>
  <c r="Y21" i="187" s="1"/>
  <c r="Z21" i="187"/>
  <c r="X21" i="187"/>
  <c r="Q21" i="187"/>
  <c r="P21" i="187"/>
  <c r="H21" i="187"/>
  <c r="E21" i="187"/>
  <c r="I21" i="187" s="1"/>
  <c r="AD20" i="187"/>
  <c r="AC20" i="187"/>
  <c r="AE20" i="187" s="1"/>
  <c r="AI20" i="187" s="1"/>
  <c r="Y20" i="187" s="1"/>
  <c r="AB20" i="187"/>
  <c r="Z20" i="187"/>
  <c r="X20" i="187"/>
  <c r="Q20" i="187"/>
  <c r="P20" i="187"/>
  <c r="I20" i="187"/>
  <c r="H20" i="187"/>
  <c r="E20" i="187"/>
  <c r="AD19" i="187"/>
  <c r="AC19" i="187"/>
  <c r="AB19" i="187"/>
  <c r="AE19" i="187" s="1"/>
  <c r="AI19" i="187" s="1"/>
  <c r="Y19" i="187" s="1"/>
  <c r="Z19" i="187"/>
  <c r="X19" i="187"/>
  <c r="Q19" i="187"/>
  <c r="P19" i="187"/>
  <c r="H19" i="187"/>
  <c r="E19" i="187"/>
  <c r="I19" i="187" s="1"/>
  <c r="AD18" i="187"/>
  <c r="AC18" i="187"/>
  <c r="AB18" i="187"/>
  <c r="AE18" i="187" s="1"/>
  <c r="AI18" i="187" s="1"/>
  <c r="Y18" i="187" s="1"/>
  <c r="Z18" i="187"/>
  <c r="X18" i="187"/>
  <c r="Q18" i="187"/>
  <c r="P18" i="187"/>
  <c r="H18" i="187"/>
  <c r="E18" i="187"/>
  <c r="I18" i="187" s="1"/>
  <c r="AD17" i="187"/>
  <c r="AE17" i="187" s="1"/>
  <c r="AI17" i="187" s="1"/>
  <c r="Y17" i="187" s="1"/>
  <c r="AC17" i="187"/>
  <c r="AB17" i="187"/>
  <c r="Z17" i="187"/>
  <c r="X17" i="187"/>
  <c r="Q17" i="187"/>
  <c r="P17" i="187"/>
  <c r="H17" i="187"/>
  <c r="E17" i="187"/>
  <c r="I17" i="187" s="1"/>
  <c r="AD16" i="187"/>
  <c r="AC16" i="187"/>
  <c r="AB16" i="187"/>
  <c r="AE16" i="187" s="1"/>
  <c r="AI16" i="187" s="1"/>
  <c r="Y16" i="187" s="1"/>
  <c r="Z16" i="187"/>
  <c r="X16" i="187"/>
  <c r="Q16" i="187"/>
  <c r="P16" i="187"/>
  <c r="I16" i="187"/>
  <c r="E16" i="187"/>
  <c r="AD15" i="187"/>
  <c r="AC15" i="187"/>
  <c r="AE15" i="187" s="1"/>
  <c r="AI15" i="187" s="1"/>
  <c r="Y15" i="187" s="1"/>
  <c r="AB15" i="187"/>
  <c r="Z15" i="187"/>
  <c r="X15" i="187"/>
  <c r="Q15" i="187"/>
  <c r="P15" i="187"/>
  <c r="E15" i="187"/>
  <c r="I15" i="187" s="1"/>
  <c r="AD14" i="187"/>
  <c r="AC14" i="187"/>
  <c r="AB14" i="187"/>
  <c r="AE14" i="187" s="1"/>
  <c r="AI14" i="187" s="1"/>
  <c r="Y14" i="187" s="1"/>
  <c r="Z14" i="187"/>
  <c r="X14" i="187"/>
  <c r="H14" i="187"/>
  <c r="E14" i="187"/>
  <c r="I14" i="187" s="1"/>
  <c r="AD13" i="187"/>
  <c r="AC13" i="187"/>
  <c r="AB13" i="187"/>
  <c r="AE13" i="187" s="1"/>
  <c r="AI13" i="187" s="1"/>
  <c r="Y13" i="187" s="1"/>
  <c r="Z13" i="187"/>
  <c r="X13" i="187"/>
  <c r="Q13" i="187"/>
  <c r="P13" i="187"/>
  <c r="I13" i="187"/>
  <c r="H13" i="187"/>
  <c r="E13" i="187"/>
  <c r="AD12" i="187"/>
  <c r="AC12" i="187"/>
  <c r="AE12" i="187" s="1"/>
  <c r="AI12" i="187" s="1"/>
  <c r="Y12" i="187" s="1"/>
  <c r="AB12" i="187"/>
  <c r="Z12" i="187"/>
  <c r="T75" i="187" s="1"/>
  <c r="X12" i="187"/>
  <c r="T77" i="187" s="1"/>
  <c r="Q12" i="187"/>
  <c r="P12" i="187"/>
  <c r="H12" i="187"/>
  <c r="E12" i="187"/>
  <c r="I12" i="187" s="1"/>
  <c r="F77" i="189" l="1"/>
  <c r="F73" i="188"/>
  <c r="T77" i="188"/>
  <c r="T79" i="188" s="1"/>
  <c r="T75" i="188"/>
  <c r="O75" i="188"/>
  <c r="T73" i="188"/>
  <c r="O73" i="188"/>
  <c r="F75" i="188"/>
  <c r="P14" i="187"/>
  <c r="O75" i="187"/>
  <c r="O73" i="187"/>
  <c r="F75" i="187"/>
  <c r="F73" i="187"/>
  <c r="T73" i="187"/>
  <c r="T79" i="187" s="1"/>
  <c r="M79" i="186"/>
  <c r="T75" i="186"/>
  <c r="P71" i="186"/>
  <c r="H71" i="186"/>
  <c r="Q70" i="186"/>
  <c r="P70" i="186"/>
  <c r="I70" i="186"/>
  <c r="H70" i="186"/>
  <c r="E70" i="186"/>
  <c r="Q69" i="186"/>
  <c r="P69" i="186"/>
  <c r="H69" i="186"/>
  <c r="E69" i="186"/>
  <c r="I69" i="186" s="1"/>
  <c r="AD68" i="186"/>
  <c r="AC68" i="186"/>
  <c r="AB68" i="186"/>
  <c r="AE68" i="186" s="1"/>
  <c r="AI68" i="186" s="1"/>
  <c r="Y68" i="186" s="1"/>
  <c r="Z68" i="186"/>
  <c r="X68" i="186"/>
  <c r="Q68" i="186"/>
  <c r="P68" i="186"/>
  <c r="I68" i="186"/>
  <c r="H68" i="186"/>
  <c r="E68" i="186"/>
  <c r="AD67" i="186"/>
  <c r="AC67" i="186"/>
  <c r="AE67" i="186" s="1"/>
  <c r="AI67" i="186" s="1"/>
  <c r="Y67" i="186" s="1"/>
  <c r="AB67" i="186"/>
  <c r="Z67" i="186"/>
  <c r="X67" i="186"/>
  <c r="Q67" i="186"/>
  <c r="P67" i="186"/>
  <c r="I67" i="186"/>
  <c r="H67" i="186"/>
  <c r="E67" i="186"/>
  <c r="AE66" i="186"/>
  <c r="AI66" i="186" s="1"/>
  <c r="Y66" i="186" s="1"/>
  <c r="AD66" i="186"/>
  <c r="AC66" i="186"/>
  <c r="AB66" i="186"/>
  <c r="Z66" i="186"/>
  <c r="X66" i="186"/>
  <c r="Q66" i="186"/>
  <c r="P66" i="186"/>
  <c r="I66" i="186"/>
  <c r="H66" i="186"/>
  <c r="E66" i="186"/>
  <c r="AE65" i="186"/>
  <c r="AI65" i="186" s="1"/>
  <c r="Y65" i="186" s="1"/>
  <c r="AD65" i="186"/>
  <c r="AC65" i="186"/>
  <c r="AB65" i="186"/>
  <c r="Z65" i="186"/>
  <c r="X65" i="186"/>
  <c r="Q65" i="186"/>
  <c r="P65" i="186"/>
  <c r="H65" i="186"/>
  <c r="E65" i="186"/>
  <c r="I65" i="186" s="1"/>
  <c r="AE64" i="186"/>
  <c r="AI64" i="186" s="1"/>
  <c r="Y64" i="186" s="1"/>
  <c r="AD64" i="186"/>
  <c r="AC64" i="186"/>
  <c r="AB64" i="186"/>
  <c r="Z64" i="186"/>
  <c r="X64" i="186"/>
  <c r="Q64" i="186"/>
  <c r="P64" i="186"/>
  <c r="H64" i="186"/>
  <c r="E64" i="186"/>
  <c r="I64" i="186" s="1"/>
  <c r="AD63" i="186"/>
  <c r="AC63" i="186"/>
  <c r="AB63" i="186"/>
  <c r="AE63" i="186" s="1"/>
  <c r="AI63" i="186" s="1"/>
  <c r="Y63" i="186" s="1"/>
  <c r="Z63" i="186"/>
  <c r="X63" i="186"/>
  <c r="Q63" i="186"/>
  <c r="P63" i="186"/>
  <c r="I63" i="186"/>
  <c r="H63" i="186"/>
  <c r="E63" i="186"/>
  <c r="AD62" i="186"/>
  <c r="AE62" i="186" s="1"/>
  <c r="AI62" i="186" s="1"/>
  <c r="Y62" i="186" s="1"/>
  <c r="AC62" i="186"/>
  <c r="AB62" i="186"/>
  <c r="Z62" i="186"/>
  <c r="X62" i="186"/>
  <c r="Q62" i="186"/>
  <c r="P62" i="186"/>
  <c r="I62" i="186"/>
  <c r="H62" i="186"/>
  <c r="E62" i="186"/>
  <c r="AC61" i="186"/>
  <c r="AB61" i="186"/>
  <c r="AE61" i="186" s="1"/>
  <c r="AI61" i="186" s="1"/>
  <c r="Y61" i="186" s="1"/>
  <c r="X61" i="186"/>
  <c r="Q61" i="186"/>
  <c r="P61" i="186"/>
  <c r="H61" i="186"/>
  <c r="E61" i="186"/>
  <c r="I61" i="186" s="1"/>
  <c r="AE60" i="186"/>
  <c r="AI60" i="186" s="1"/>
  <c r="Y60" i="186" s="1"/>
  <c r="X60" i="186"/>
  <c r="Q60" i="186"/>
  <c r="P60" i="186"/>
  <c r="H60" i="186"/>
  <c r="E60" i="186"/>
  <c r="I60" i="186" s="1"/>
  <c r="AE59" i="186"/>
  <c r="AI59" i="186" s="1"/>
  <c r="Y59" i="186" s="1"/>
  <c r="AC59" i="186"/>
  <c r="AB59" i="186"/>
  <c r="X59" i="186"/>
  <c r="Q59" i="186"/>
  <c r="P59" i="186"/>
  <c r="I59" i="186"/>
  <c r="H59" i="186"/>
  <c r="E59" i="186"/>
  <c r="AE58" i="186"/>
  <c r="AI58" i="186" s="1"/>
  <c r="Y58" i="186" s="1"/>
  <c r="AC58" i="186"/>
  <c r="AB58" i="186"/>
  <c r="X58" i="186"/>
  <c r="Q58" i="186"/>
  <c r="P58" i="186"/>
  <c r="E58" i="186"/>
  <c r="I58" i="186" s="1"/>
  <c r="AE57" i="186"/>
  <c r="AI57" i="186" s="1"/>
  <c r="Y57" i="186" s="1"/>
  <c r="AC57" i="186"/>
  <c r="AB57" i="186"/>
  <c r="X57" i="186"/>
  <c r="Q57" i="186"/>
  <c r="P57" i="186"/>
  <c r="H57" i="186"/>
  <c r="E57" i="186"/>
  <c r="I57" i="186" s="1"/>
  <c r="AE56" i="186"/>
  <c r="AI56" i="186" s="1"/>
  <c r="Y56" i="186" s="1"/>
  <c r="AD56" i="186"/>
  <c r="AC56" i="186"/>
  <c r="AB56" i="186"/>
  <c r="Z56" i="186"/>
  <c r="X56" i="186"/>
  <c r="Q56" i="186"/>
  <c r="P56" i="186"/>
  <c r="H56" i="186"/>
  <c r="E56" i="186"/>
  <c r="I56" i="186" s="1"/>
  <c r="AD55" i="186"/>
  <c r="AC55" i="186"/>
  <c r="AB55" i="186"/>
  <c r="AE55" i="186" s="1"/>
  <c r="AI55" i="186" s="1"/>
  <c r="Y55" i="186" s="1"/>
  <c r="Z55" i="186"/>
  <c r="X55" i="186"/>
  <c r="Q55" i="186"/>
  <c r="P55" i="186"/>
  <c r="H55" i="186"/>
  <c r="E55" i="186"/>
  <c r="I55" i="186" s="1"/>
  <c r="AD54" i="186"/>
  <c r="AE54" i="186" s="1"/>
  <c r="AI54" i="186" s="1"/>
  <c r="Y54" i="186" s="1"/>
  <c r="AC54" i="186"/>
  <c r="AB54" i="186"/>
  <c r="Z54" i="186"/>
  <c r="X54" i="186"/>
  <c r="Q54" i="186"/>
  <c r="P54" i="186"/>
  <c r="H54" i="186"/>
  <c r="E54" i="186"/>
  <c r="I54" i="186" s="1"/>
  <c r="AD53" i="186"/>
  <c r="AE53" i="186" s="1"/>
  <c r="AI53" i="186" s="1"/>
  <c r="Y53" i="186" s="1"/>
  <c r="AC53" i="186"/>
  <c r="AB53" i="186"/>
  <c r="Z53" i="186"/>
  <c r="X53" i="186"/>
  <c r="Q53" i="186"/>
  <c r="P53" i="186"/>
  <c r="I53" i="186"/>
  <c r="H53" i="186"/>
  <c r="E53" i="186"/>
  <c r="AE52" i="186"/>
  <c r="AI52" i="186" s="1"/>
  <c r="Y52" i="186" s="1"/>
  <c r="Z52" i="186"/>
  <c r="X52" i="186"/>
  <c r="Q52" i="186"/>
  <c r="P52" i="186"/>
  <c r="I52" i="186"/>
  <c r="H52" i="186"/>
  <c r="E52" i="186"/>
  <c r="AD51" i="186"/>
  <c r="AC51" i="186"/>
  <c r="AE51" i="186" s="1"/>
  <c r="AI51" i="186" s="1"/>
  <c r="Y51" i="186" s="1"/>
  <c r="AB51" i="186"/>
  <c r="Z51" i="186"/>
  <c r="X51" i="186"/>
  <c r="Q51" i="186"/>
  <c r="P51" i="186"/>
  <c r="I51" i="186"/>
  <c r="H51" i="186"/>
  <c r="E51" i="186"/>
  <c r="AE50" i="186"/>
  <c r="AI50" i="186" s="1"/>
  <c r="Y50" i="186" s="1"/>
  <c r="AD50" i="186"/>
  <c r="AC50" i="186"/>
  <c r="AB50" i="186"/>
  <c r="Z50" i="186"/>
  <c r="X50" i="186"/>
  <c r="Q50" i="186"/>
  <c r="P50" i="186"/>
  <c r="I50" i="186"/>
  <c r="H50" i="186"/>
  <c r="E50" i="186"/>
  <c r="AE49" i="186"/>
  <c r="AI49" i="186" s="1"/>
  <c r="Y49" i="186" s="1"/>
  <c r="Z49" i="186"/>
  <c r="X49" i="186"/>
  <c r="Q49" i="186"/>
  <c r="P49" i="186"/>
  <c r="H49" i="186"/>
  <c r="E49" i="186"/>
  <c r="I49" i="186" s="1"/>
  <c r="AE48" i="186"/>
  <c r="AI48" i="186" s="1"/>
  <c r="Y48" i="186" s="1"/>
  <c r="Z48" i="186"/>
  <c r="X48" i="186"/>
  <c r="Q48" i="186"/>
  <c r="P48" i="186"/>
  <c r="I48" i="186"/>
  <c r="H48" i="186"/>
  <c r="E48" i="186"/>
  <c r="AI47" i="186"/>
  <c r="Y47" i="186" s="1"/>
  <c r="AE47" i="186"/>
  <c r="Z47" i="186"/>
  <c r="X47" i="186"/>
  <c r="Q47" i="186"/>
  <c r="P47" i="186"/>
  <c r="H47" i="186"/>
  <c r="E47" i="186"/>
  <c r="I47" i="186" s="1"/>
  <c r="AD46" i="186"/>
  <c r="AC46" i="186"/>
  <c r="AE46" i="186" s="1"/>
  <c r="AI46" i="186" s="1"/>
  <c r="Y46" i="186" s="1"/>
  <c r="AB46" i="186"/>
  <c r="Z46" i="186"/>
  <c r="X46" i="186"/>
  <c r="Q46" i="186"/>
  <c r="P46" i="186"/>
  <c r="I46" i="186"/>
  <c r="H46" i="186"/>
  <c r="E46" i="186"/>
  <c r="AD45" i="186"/>
  <c r="AC45" i="186"/>
  <c r="AE45" i="186" s="1"/>
  <c r="AI45" i="186" s="1"/>
  <c r="Y45" i="186" s="1"/>
  <c r="AB45" i="186"/>
  <c r="Z45" i="186"/>
  <c r="X45" i="186"/>
  <c r="Q45" i="186"/>
  <c r="P45" i="186"/>
  <c r="H45" i="186"/>
  <c r="E45" i="186"/>
  <c r="I45" i="186" s="1"/>
  <c r="AE44" i="186"/>
  <c r="AI44" i="186" s="1"/>
  <c r="Y44" i="186" s="1"/>
  <c r="AD44" i="186"/>
  <c r="AC44" i="186"/>
  <c r="AB44" i="186"/>
  <c r="Z44" i="186"/>
  <c r="X44" i="186"/>
  <c r="Q44" i="186"/>
  <c r="P44" i="186"/>
  <c r="H44" i="186"/>
  <c r="E44" i="186"/>
  <c r="I44" i="186" s="1"/>
  <c r="AD43" i="186"/>
  <c r="AC43" i="186"/>
  <c r="AB43" i="186"/>
  <c r="AE43" i="186" s="1"/>
  <c r="AI43" i="186" s="1"/>
  <c r="Y43" i="186" s="1"/>
  <c r="Z43" i="186"/>
  <c r="X43" i="186"/>
  <c r="Q43" i="186"/>
  <c r="P43" i="186"/>
  <c r="H43" i="186"/>
  <c r="E43" i="186"/>
  <c r="I43" i="186" s="1"/>
  <c r="AD42" i="186"/>
  <c r="AE42" i="186" s="1"/>
  <c r="AI42" i="186" s="1"/>
  <c r="Y42" i="186" s="1"/>
  <c r="AC42" i="186"/>
  <c r="AB42" i="186"/>
  <c r="Z42" i="186"/>
  <c r="X42" i="186"/>
  <c r="Q42" i="186"/>
  <c r="P42" i="186"/>
  <c r="H42" i="186"/>
  <c r="E42" i="186"/>
  <c r="I42" i="186" s="1"/>
  <c r="AD41" i="186"/>
  <c r="AE41" i="186" s="1"/>
  <c r="AI41" i="186" s="1"/>
  <c r="Y41" i="186" s="1"/>
  <c r="AC41" i="186"/>
  <c r="AB41" i="186"/>
  <c r="Z41" i="186"/>
  <c r="X41" i="186"/>
  <c r="Q41" i="186"/>
  <c r="P41" i="186"/>
  <c r="I41" i="186"/>
  <c r="H41" i="186"/>
  <c r="E41" i="186"/>
  <c r="AD40" i="186"/>
  <c r="AE40" i="186" s="1"/>
  <c r="AI40" i="186" s="1"/>
  <c r="Y40" i="186" s="1"/>
  <c r="AC40" i="186"/>
  <c r="AB40" i="186"/>
  <c r="Z40" i="186"/>
  <c r="X40" i="186"/>
  <c r="Q40" i="186"/>
  <c r="P40" i="186"/>
  <c r="H40" i="186"/>
  <c r="E40" i="186"/>
  <c r="I40" i="186" s="1"/>
  <c r="AD39" i="186"/>
  <c r="AC39" i="186"/>
  <c r="AB39" i="186"/>
  <c r="AE39" i="186" s="1"/>
  <c r="AI39" i="186" s="1"/>
  <c r="Y39" i="186" s="1"/>
  <c r="Z39" i="186"/>
  <c r="X39" i="186"/>
  <c r="Q39" i="186"/>
  <c r="P39" i="186"/>
  <c r="I39" i="186"/>
  <c r="H39" i="186"/>
  <c r="E39" i="186"/>
  <c r="AD38" i="186"/>
  <c r="AC38" i="186"/>
  <c r="AE38" i="186" s="1"/>
  <c r="AI38" i="186" s="1"/>
  <c r="Y38" i="186" s="1"/>
  <c r="AB38" i="186"/>
  <c r="Z38" i="186"/>
  <c r="X38" i="186"/>
  <c r="Q38" i="186"/>
  <c r="P38" i="186"/>
  <c r="I38" i="186"/>
  <c r="H38" i="186"/>
  <c r="E38" i="186"/>
  <c r="AE37" i="186"/>
  <c r="AI37" i="186" s="1"/>
  <c r="Y37" i="186" s="1"/>
  <c r="AD37" i="186"/>
  <c r="AC37" i="186"/>
  <c r="AB37" i="186"/>
  <c r="Z37" i="186"/>
  <c r="X37" i="186"/>
  <c r="Q37" i="186"/>
  <c r="P37" i="186"/>
  <c r="I37" i="186"/>
  <c r="H37" i="186"/>
  <c r="E37" i="186"/>
  <c r="AE36" i="186"/>
  <c r="AI36" i="186" s="1"/>
  <c r="Y36" i="186" s="1"/>
  <c r="AD36" i="186"/>
  <c r="AC36" i="186"/>
  <c r="AB36" i="186"/>
  <c r="Z36" i="186"/>
  <c r="X36" i="186"/>
  <c r="Q36" i="186"/>
  <c r="P36" i="186"/>
  <c r="H36" i="186"/>
  <c r="E36" i="186"/>
  <c r="I36" i="186" s="1"/>
  <c r="AE35" i="186"/>
  <c r="AI35" i="186" s="1"/>
  <c r="Y35" i="186" s="1"/>
  <c r="AD35" i="186"/>
  <c r="AC35" i="186"/>
  <c r="AB35" i="186"/>
  <c r="Z35" i="186"/>
  <c r="X35" i="186"/>
  <c r="Q35" i="186"/>
  <c r="P35" i="186"/>
  <c r="H35" i="186"/>
  <c r="E35" i="186"/>
  <c r="I35" i="186" s="1"/>
  <c r="AD34" i="186"/>
  <c r="AC34" i="186"/>
  <c r="AB34" i="186"/>
  <c r="AE34" i="186" s="1"/>
  <c r="AI34" i="186" s="1"/>
  <c r="Y34" i="186" s="1"/>
  <c r="Z34" i="186"/>
  <c r="X34" i="186"/>
  <c r="Q34" i="186"/>
  <c r="P34" i="186"/>
  <c r="I34" i="186"/>
  <c r="H34" i="186"/>
  <c r="E34" i="186"/>
  <c r="AD33" i="186"/>
  <c r="AE33" i="186" s="1"/>
  <c r="AI33" i="186" s="1"/>
  <c r="Y33" i="186" s="1"/>
  <c r="AC33" i="186"/>
  <c r="AB33" i="186"/>
  <c r="Z33" i="186"/>
  <c r="X33" i="186"/>
  <c r="Q33" i="186"/>
  <c r="P33" i="186"/>
  <c r="I33" i="186"/>
  <c r="H33" i="186"/>
  <c r="E33" i="186"/>
  <c r="AD32" i="186"/>
  <c r="AC32" i="186"/>
  <c r="AB32" i="186"/>
  <c r="AE32" i="186" s="1"/>
  <c r="AI32" i="186" s="1"/>
  <c r="Y32" i="186" s="1"/>
  <c r="Z32" i="186"/>
  <c r="X32" i="186"/>
  <c r="Q32" i="186"/>
  <c r="P32" i="186"/>
  <c r="I32" i="186"/>
  <c r="H32" i="186"/>
  <c r="E32" i="186"/>
  <c r="AI31" i="186"/>
  <c r="Y31" i="186" s="1"/>
  <c r="AE31" i="186"/>
  <c r="Z31" i="186"/>
  <c r="X31" i="186"/>
  <c r="Q31" i="186"/>
  <c r="P31" i="186"/>
  <c r="I31" i="186"/>
  <c r="H31" i="186"/>
  <c r="E31" i="186"/>
  <c r="AD30" i="186"/>
  <c r="AC30" i="186"/>
  <c r="AE30" i="186" s="1"/>
  <c r="AI30" i="186" s="1"/>
  <c r="Y30" i="186" s="1"/>
  <c r="AB30" i="186"/>
  <c r="Z30" i="186"/>
  <c r="X30" i="186"/>
  <c r="Q30" i="186"/>
  <c r="P30" i="186"/>
  <c r="H30" i="186"/>
  <c r="E30" i="186"/>
  <c r="I30" i="186" s="1"/>
  <c r="AE29" i="186"/>
  <c r="AI29" i="186" s="1"/>
  <c r="Y29" i="186" s="1"/>
  <c r="AD29" i="186"/>
  <c r="AC29" i="186"/>
  <c r="AB29" i="186"/>
  <c r="Z29" i="186"/>
  <c r="X29" i="186"/>
  <c r="Q29" i="186"/>
  <c r="P29" i="186"/>
  <c r="H29" i="186"/>
  <c r="E29" i="186"/>
  <c r="I29" i="186" s="1"/>
  <c r="AD28" i="186"/>
  <c r="AC28" i="186"/>
  <c r="AB28" i="186"/>
  <c r="AE28" i="186" s="1"/>
  <c r="AI28" i="186" s="1"/>
  <c r="Y28" i="186" s="1"/>
  <c r="Z28" i="186"/>
  <c r="X28" i="186"/>
  <c r="Q28" i="186"/>
  <c r="P28" i="186"/>
  <c r="H28" i="186"/>
  <c r="E28" i="186"/>
  <c r="I28" i="186" s="1"/>
  <c r="AD27" i="186"/>
  <c r="AE27" i="186" s="1"/>
  <c r="AI27" i="186" s="1"/>
  <c r="Y27" i="186" s="1"/>
  <c r="AC27" i="186"/>
  <c r="AB27" i="186"/>
  <c r="Z27" i="186"/>
  <c r="X27" i="186"/>
  <c r="Q27" i="186"/>
  <c r="P27" i="186"/>
  <c r="H27" i="186"/>
  <c r="E27" i="186"/>
  <c r="I27" i="186" s="1"/>
  <c r="AD26" i="186"/>
  <c r="AE26" i="186" s="1"/>
  <c r="AI26" i="186" s="1"/>
  <c r="Y26" i="186" s="1"/>
  <c r="AC26" i="186"/>
  <c r="AB26" i="186"/>
  <c r="Z26" i="186"/>
  <c r="X26" i="186"/>
  <c r="Q26" i="186"/>
  <c r="P26" i="186"/>
  <c r="I26" i="186"/>
  <c r="H26" i="186"/>
  <c r="E26" i="186"/>
  <c r="AD25" i="186"/>
  <c r="AE25" i="186" s="1"/>
  <c r="AI25" i="186" s="1"/>
  <c r="Y25" i="186" s="1"/>
  <c r="AC25" i="186"/>
  <c r="AB25" i="186"/>
  <c r="Z25" i="186"/>
  <c r="X25" i="186"/>
  <c r="Q25" i="186"/>
  <c r="P25" i="186"/>
  <c r="H25" i="186"/>
  <c r="E25" i="186"/>
  <c r="I25" i="186" s="1"/>
  <c r="AD24" i="186"/>
  <c r="AC24" i="186"/>
  <c r="AB24" i="186"/>
  <c r="AE24" i="186" s="1"/>
  <c r="AI24" i="186" s="1"/>
  <c r="Y24" i="186" s="1"/>
  <c r="Z24" i="186"/>
  <c r="X24" i="186"/>
  <c r="Q24" i="186"/>
  <c r="P24" i="186"/>
  <c r="I24" i="186"/>
  <c r="H24" i="186"/>
  <c r="E24" i="186"/>
  <c r="AD23" i="186"/>
  <c r="AC23" i="186"/>
  <c r="AE23" i="186" s="1"/>
  <c r="AI23" i="186" s="1"/>
  <c r="Y23" i="186" s="1"/>
  <c r="AB23" i="186"/>
  <c r="Z23" i="186"/>
  <c r="X23" i="186"/>
  <c r="Q23" i="186"/>
  <c r="P23" i="186"/>
  <c r="I23" i="186"/>
  <c r="H23" i="186"/>
  <c r="E23" i="186"/>
  <c r="AE22" i="186"/>
  <c r="AI22" i="186" s="1"/>
  <c r="Y22" i="186" s="1"/>
  <c r="AD22" i="186"/>
  <c r="AC22" i="186"/>
  <c r="AB22" i="186"/>
  <c r="Z22" i="186"/>
  <c r="X22" i="186"/>
  <c r="Q22" i="186"/>
  <c r="P22" i="186"/>
  <c r="I22" i="186"/>
  <c r="H22" i="186"/>
  <c r="E22" i="186"/>
  <c r="AE21" i="186"/>
  <c r="AI21" i="186" s="1"/>
  <c r="Y21" i="186" s="1"/>
  <c r="AD21" i="186"/>
  <c r="AC21" i="186"/>
  <c r="AB21" i="186"/>
  <c r="Z21" i="186"/>
  <c r="X21" i="186"/>
  <c r="Q21" i="186"/>
  <c r="P21" i="186"/>
  <c r="H21" i="186"/>
  <c r="E21" i="186"/>
  <c r="I21" i="186" s="1"/>
  <c r="AE20" i="186"/>
  <c r="AI20" i="186" s="1"/>
  <c r="Y20" i="186" s="1"/>
  <c r="AD20" i="186"/>
  <c r="AC20" i="186"/>
  <c r="AB20" i="186"/>
  <c r="Z20" i="186"/>
  <c r="X20" i="186"/>
  <c r="Q20" i="186"/>
  <c r="P20" i="186"/>
  <c r="H20" i="186"/>
  <c r="E20" i="186"/>
  <c r="I20" i="186" s="1"/>
  <c r="AD19" i="186"/>
  <c r="AC19" i="186"/>
  <c r="AB19" i="186"/>
  <c r="AE19" i="186" s="1"/>
  <c r="AI19" i="186" s="1"/>
  <c r="Y19" i="186" s="1"/>
  <c r="Z19" i="186"/>
  <c r="X19" i="186"/>
  <c r="Q19" i="186"/>
  <c r="P19" i="186"/>
  <c r="I19" i="186"/>
  <c r="H19" i="186"/>
  <c r="E19" i="186"/>
  <c r="AD18" i="186"/>
  <c r="AE18" i="186" s="1"/>
  <c r="AI18" i="186" s="1"/>
  <c r="Y18" i="186" s="1"/>
  <c r="AC18" i="186"/>
  <c r="AB18" i="186"/>
  <c r="Z18" i="186"/>
  <c r="X18" i="186"/>
  <c r="Q18" i="186"/>
  <c r="P18" i="186"/>
  <c r="I18" i="186"/>
  <c r="H18" i="186"/>
  <c r="E18" i="186"/>
  <c r="AD17" i="186"/>
  <c r="AC17" i="186"/>
  <c r="AB17" i="186"/>
  <c r="AE17" i="186" s="1"/>
  <c r="AI17" i="186" s="1"/>
  <c r="Y17" i="186" s="1"/>
  <c r="Z17" i="186"/>
  <c r="X17" i="186"/>
  <c r="Q17" i="186"/>
  <c r="P17" i="186"/>
  <c r="I17" i="186"/>
  <c r="H17" i="186"/>
  <c r="E17" i="186"/>
  <c r="AD16" i="186"/>
  <c r="AC16" i="186"/>
  <c r="AE16" i="186" s="1"/>
  <c r="AI16" i="186" s="1"/>
  <c r="Y16" i="186" s="1"/>
  <c r="AB16" i="186"/>
  <c r="Z16" i="186"/>
  <c r="X16" i="186"/>
  <c r="Q16" i="186"/>
  <c r="O75" i="186" s="1"/>
  <c r="P16" i="186"/>
  <c r="E16" i="186"/>
  <c r="I16" i="186" s="1"/>
  <c r="AE15" i="186"/>
  <c r="AI15" i="186" s="1"/>
  <c r="Y15" i="186" s="1"/>
  <c r="AD15" i="186"/>
  <c r="AC15" i="186"/>
  <c r="AB15" i="186"/>
  <c r="Z15" i="186"/>
  <c r="X15" i="186"/>
  <c r="Q15" i="186"/>
  <c r="P15" i="186"/>
  <c r="E15" i="186"/>
  <c r="I15" i="186" s="1"/>
  <c r="AD14" i="186"/>
  <c r="AC14" i="186"/>
  <c r="AB14" i="186"/>
  <c r="AE14" i="186" s="1"/>
  <c r="AI14" i="186" s="1"/>
  <c r="Y14" i="186" s="1"/>
  <c r="Z14" i="186"/>
  <c r="X14" i="186"/>
  <c r="Q14" i="186"/>
  <c r="P14" i="186"/>
  <c r="I14" i="186"/>
  <c r="H14" i="186"/>
  <c r="E14" i="186"/>
  <c r="AD13" i="186"/>
  <c r="AC13" i="186"/>
  <c r="AE13" i="186" s="1"/>
  <c r="AI13" i="186" s="1"/>
  <c r="Y13" i="186" s="1"/>
  <c r="AB13" i="186"/>
  <c r="Z13" i="186"/>
  <c r="X13" i="186"/>
  <c r="Q13" i="186"/>
  <c r="P13" i="186"/>
  <c r="I13" i="186"/>
  <c r="H13" i="186"/>
  <c r="E13" i="186"/>
  <c r="AE12" i="186"/>
  <c r="AI12" i="186" s="1"/>
  <c r="Y12" i="186" s="1"/>
  <c r="AD12" i="186"/>
  <c r="AC12" i="186"/>
  <c r="AB12" i="186"/>
  <c r="Z12" i="186"/>
  <c r="X12" i="186"/>
  <c r="T77" i="186" s="1"/>
  <c r="Q12" i="186"/>
  <c r="P12" i="186"/>
  <c r="I12" i="186"/>
  <c r="H12" i="186"/>
  <c r="E12" i="186"/>
  <c r="F77" i="188" l="1"/>
  <c r="F77" i="187"/>
  <c r="O73" i="186"/>
  <c r="T73" i="186"/>
  <c r="T79" i="186" s="1"/>
  <c r="F75" i="186"/>
  <c r="F73" i="186"/>
  <c r="M79" i="185"/>
  <c r="P71" i="185"/>
  <c r="H71" i="185"/>
  <c r="Q70" i="185"/>
  <c r="P70" i="185"/>
  <c r="I70" i="185"/>
  <c r="H70" i="185"/>
  <c r="E70" i="185"/>
  <c r="Q69" i="185"/>
  <c r="P69" i="185"/>
  <c r="I69" i="185"/>
  <c r="H69" i="185"/>
  <c r="E69" i="185"/>
  <c r="AI68" i="185"/>
  <c r="Y68" i="185" s="1"/>
  <c r="AE68" i="185"/>
  <c r="AD68" i="185"/>
  <c r="AC68" i="185"/>
  <c r="AB68" i="185"/>
  <c r="Z68" i="185"/>
  <c r="X68" i="185"/>
  <c r="Q68" i="185"/>
  <c r="P68" i="185"/>
  <c r="H68" i="185"/>
  <c r="E68" i="185"/>
  <c r="I68" i="185" s="1"/>
  <c r="AD67" i="185"/>
  <c r="AC67" i="185"/>
  <c r="AB67" i="185"/>
  <c r="AE67" i="185" s="1"/>
  <c r="AI67" i="185" s="1"/>
  <c r="Y67" i="185" s="1"/>
  <c r="Z67" i="185"/>
  <c r="X67" i="185"/>
  <c r="Q67" i="185"/>
  <c r="P67" i="185"/>
  <c r="H67" i="185"/>
  <c r="E67" i="185"/>
  <c r="I67" i="185" s="1"/>
  <c r="AD66" i="185"/>
  <c r="AC66" i="185"/>
  <c r="AE66" i="185" s="1"/>
  <c r="AI66" i="185" s="1"/>
  <c r="Y66" i="185" s="1"/>
  <c r="AB66" i="185"/>
  <c r="Z66" i="185"/>
  <c r="X66" i="185"/>
  <c r="Q66" i="185"/>
  <c r="P66" i="185"/>
  <c r="I66" i="185"/>
  <c r="H66" i="185"/>
  <c r="E66" i="185"/>
  <c r="AD65" i="185"/>
  <c r="AE65" i="185" s="1"/>
  <c r="AI65" i="185" s="1"/>
  <c r="Y65" i="185" s="1"/>
  <c r="AC65" i="185"/>
  <c r="AB65" i="185"/>
  <c r="Z65" i="185"/>
  <c r="X65" i="185"/>
  <c r="Q65" i="185"/>
  <c r="P65" i="185"/>
  <c r="I65" i="185"/>
  <c r="H65" i="185"/>
  <c r="E65" i="185"/>
  <c r="AE64" i="185"/>
  <c r="AI64" i="185" s="1"/>
  <c r="Y64" i="185" s="1"/>
  <c r="AD64" i="185"/>
  <c r="AC64" i="185"/>
  <c r="AB64" i="185"/>
  <c r="Z64" i="185"/>
  <c r="X64" i="185"/>
  <c r="Q64" i="185"/>
  <c r="P64" i="185"/>
  <c r="H64" i="185"/>
  <c r="E64" i="185"/>
  <c r="I64" i="185" s="1"/>
  <c r="AD63" i="185"/>
  <c r="AC63" i="185"/>
  <c r="AB63" i="185"/>
  <c r="AE63" i="185" s="1"/>
  <c r="AI63" i="185" s="1"/>
  <c r="Y63" i="185" s="1"/>
  <c r="Z63" i="185"/>
  <c r="X63" i="185"/>
  <c r="Q63" i="185"/>
  <c r="P63" i="185"/>
  <c r="H63" i="185"/>
  <c r="E63" i="185"/>
  <c r="I63" i="185" s="1"/>
  <c r="AD62" i="185"/>
  <c r="AC62" i="185"/>
  <c r="AE62" i="185" s="1"/>
  <c r="AI62" i="185" s="1"/>
  <c r="Y62" i="185" s="1"/>
  <c r="AB62" i="185"/>
  <c r="Z62" i="185"/>
  <c r="X62" i="185"/>
  <c r="Q62" i="185"/>
  <c r="P62" i="185"/>
  <c r="I62" i="185"/>
  <c r="H62" i="185"/>
  <c r="E62" i="185"/>
  <c r="AC61" i="185"/>
  <c r="AE61" i="185" s="1"/>
  <c r="AI61" i="185" s="1"/>
  <c r="Y61" i="185" s="1"/>
  <c r="AB61" i="185"/>
  <c r="X61" i="185"/>
  <c r="Q61" i="185"/>
  <c r="P61" i="185"/>
  <c r="H61" i="185"/>
  <c r="E61" i="185"/>
  <c r="I61" i="185" s="1"/>
  <c r="AE60" i="185"/>
  <c r="AI60" i="185" s="1"/>
  <c r="Y60" i="185" s="1"/>
  <c r="X60" i="185"/>
  <c r="Q60" i="185"/>
  <c r="P60" i="185"/>
  <c r="I60" i="185"/>
  <c r="H60" i="185"/>
  <c r="E60" i="185"/>
  <c r="AE59" i="185"/>
  <c r="AI59" i="185" s="1"/>
  <c r="Y59" i="185" s="1"/>
  <c r="AC59" i="185"/>
  <c r="AB59" i="185"/>
  <c r="X59" i="185"/>
  <c r="Q59" i="185"/>
  <c r="P59" i="185"/>
  <c r="H59" i="185"/>
  <c r="E59" i="185"/>
  <c r="I59" i="185" s="1"/>
  <c r="AC58" i="185"/>
  <c r="AB58" i="185"/>
  <c r="AE58" i="185" s="1"/>
  <c r="AI58" i="185" s="1"/>
  <c r="Y58" i="185" s="1"/>
  <c r="X58" i="185"/>
  <c r="Q58" i="185"/>
  <c r="P58" i="185"/>
  <c r="E58" i="185"/>
  <c r="I58" i="185" s="1"/>
  <c r="AE57" i="185"/>
  <c r="AI57" i="185" s="1"/>
  <c r="Y57" i="185" s="1"/>
  <c r="AC57" i="185"/>
  <c r="AB57" i="185"/>
  <c r="X57" i="185"/>
  <c r="Q57" i="185"/>
  <c r="P57" i="185"/>
  <c r="I57" i="185"/>
  <c r="H57" i="185"/>
  <c r="E57" i="185"/>
  <c r="AD56" i="185"/>
  <c r="AE56" i="185" s="1"/>
  <c r="AI56" i="185" s="1"/>
  <c r="Y56" i="185" s="1"/>
  <c r="AC56" i="185"/>
  <c r="AB56" i="185"/>
  <c r="Z56" i="185"/>
  <c r="X56" i="185"/>
  <c r="Q56" i="185"/>
  <c r="P56" i="185"/>
  <c r="I56" i="185"/>
  <c r="H56" i="185"/>
  <c r="E56" i="185"/>
  <c r="AE55" i="185"/>
  <c r="AI55" i="185" s="1"/>
  <c r="Y55" i="185" s="1"/>
  <c r="AD55" i="185"/>
  <c r="AC55" i="185"/>
  <c r="AB55" i="185"/>
  <c r="Z55" i="185"/>
  <c r="X55" i="185"/>
  <c r="Q55" i="185"/>
  <c r="P55" i="185"/>
  <c r="H55" i="185"/>
  <c r="E55" i="185"/>
  <c r="I55" i="185" s="1"/>
  <c r="AD54" i="185"/>
  <c r="AC54" i="185"/>
  <c r="AB54" i="185"/>
  <c r="AE54" i="185" s="1"/>
  <c r="AI54" i="185" s="1"/>
  <c r="Y54" i="185" s="1"/>
  <c r="Z54" i="185"/>
  <c r="X54" i="185"/>
  <c r="Q54" i="185"/>
  <c r="P54" i="185"/>
  <c r="H54" i="185"/>
  <c r="E54" i="185"/>
  <c r="I54" i="185" s="1"/>
  <c r="AD53" i="185"/>
  <c r="AC53" i="185"/>
  <c r="AE53" i="185" s="1"/>
  <c r="AI53" i="185" s="1"/>
  <c r="Y53" i="185" s="1"/>
  <c r="AB53" i="185"/>
  <c r="Z53" i="185"/>
  <c r="X53" i="185"/>
  <c r="Q53" i="185"/>
  <c r="P53" i="185"/>
  <c r="I53" i="185"/>
  <c r="H53" i="185"/>
  <c r="E53" i="185"/>
  <c r="AI52" i="185"/>
  <c r="Y52" i="185" s="1"/>
  <c r="AE52" i="185"/>
  <c r="Z52" i="185"/>
  <c r="X52" i="185"/>
  <c r="Q52" i="185"/>
  <c r="P52" i="185"/>
  <c r="H52" i="185"/>
  <c r="E52" i="185"/>
  <c r="I52" i="185" s="1"/>
  <c r="AD51" i="185"/>
  <c r="AC51" i="185"/>
  <c r="AB51" i="185"/>
  <c r="AE51" i="185" s="1"/>
  <c r="AI51" i="185" s="1"/>
  <c r="Y51" i="185" s="1"/>
  <c r="Z51" i="185"/>
  <c r="X51" i="185"/>
  <c r="Q51" i="185"/>
  <c r="P51" i="185"/>
  <c r="H51" i="185"/>
  <c r="E51" i="185"/>
  <c r="I51" i="185" s="1"/>
  <c r="AD50" i="185"/>
  <c r="AC50" i="185"/>
  <c r="AE50" i="185" s="1"/>
  <c r="AI50" i="185" s="1"/>
  <c r="Y50" i="185" s="1"/>
  <c r="AB50" i="185"/>
  <c r="Z50" i="185"/>
  <c r="X50" i="185"/>
  <c r="Q50" i="185"/>
  <c r="P50" i="185"/>
  <c r="I50" i="185"/>
  <c r="H50" i="185"/>
  <c r="E50" i="185"/>
  <c r="AE49" i="185"/>
  <c r="AI49" i="185" s="1"/>
  <c r="Y49" i="185" s="1"/>
  <c r="Z49" i="185"/>
  <c r="X49" i="185"/>
  <c r="Q49" i="185"/>
  <c r="P49" i="185"/>
  <c r="H49" i="185"/>
  <c r="E49" i="185"/>
  <c r="I49" i="185" s="1"/>
  <c r="AI48" i="185"/>
  <c r="Y48" i="185" s="1"/>
  <c r="AE48" i="185"/>
  <c r="Z48" i="185"/>
  <c r="X48" i="185"/>
  <c r="Q48" i="185"/>
  <c r="P48" i="185"/>
  <c r="I48" i="185"/>
  <c r="H48" i="185"/>
  <c r="E48" i="185"/>
  <c r="AE47" i="185"/>
  <c r="AI47" i="185" s="1"/>
  <c r="Y47" i="185" s="1"/>
  <c r="Z47" i="185"/>
  <c r="X47" i="185"/>
  <c r="Q47" i="185"/>
  <c r="P47" i="185"/>
  <c r="H47" i="185"/>
  <c r="E47" i="185"/>
  <c r="I47" i="185" s="1"/>
  <c r="AD46" i="185"/>
  <c r="AC46" i="185"/>
  <c r="AB46" i="185"/>
  <c r="AE46" i="185" s="1"/>
  <c r="AI46" i="185" s="1"/>
  <c r="Y46" i="185" s="1"/>
  <c r="Z46" i="185"/>
  <c r="X46" i="185"/>
  <c r="Q46" i="185"/>
  <c r="P46" i="185"/>
  <c r="H46" i="185"/>
  <c r="E46" i="185"/>
  <c r="I46" i="185" s="1"/>
  <c r="AD45" i="185"/>
  <c r="AC45" i="185"/>
  <c r="AE45" i="185" s="1"/>
  <c r="AI45" i="185" s="1"/>
  <c r="Y45" i="185" s="1"/>
  <c r="AB45" i="185"/>
  <c r="Z45" i="185"/>
  <c r="X45" i="185"/>
  <c r="Q45" i="185"/>
  <c r="P45" i="185"/>
  <c r="I45" i="185"/>
  <c r="H45" i="185"/>
  <c r="E45" i="185"/>
  <c r="AD44" i="185"/>
  <c r="AE44" i="185" s="1"/>
  <c r="AI44" i="185" s="1"/>
  <c r="Y44" i="185" s="1"/>
  <c r="AC44" i="185"/>
  <c r="AB44" i="185"/>
  <c r="Z44" i="185"/>
  <c r="X44" i="185"/>
  <c r="Q44" i="185"/>
  <c r="P44" i="185"/>
  <c r="I44" i="185"/>
  <c r="H44" i="185"/>
  <c r="E44" i="185"/>
  <c r="AE43" i="185"/>
  <c r="AI43" i="185" s="1"/>
  <c r="Y43" i="185" s="1"/>
  <c r="AD43" i="185"/>
  <c r="AC43" i="185"/>
  <c r="AB43" i="185"/>
  <c r="Z43" i="185"/>
  <c r="X43" i="185"/>
  <c r="Q43" i="185"/>
  <c r="P43" i="185"/>
  <c r="H43" i="185"/>
  <c r="E43" i="185"/>
  <c r="I43" i="185" s="1"/>
  <c r="AD42" i="185"/>
  <c r="AC42" i="185"/>
  <c r="AB42" i="185"/>
  <c r="AE42" i="185" s="1"/>
  <c r="AI42" i="185" s="1"/>
  <c r="Y42" i="185" s="1"/>
  <c r="Z42" i="185"/>
  <c r="X42" i="185"/>
  <c r="Q42" i="185"/>
  <c r="P42" i="185"/>
  <c r="H42" i="185"/>
  <c r="E42" i="185"/>
  <c r="I42" i="185" s="1"/>
  <c r="AD41" i="185"/>
  <c r="AC41" i="185"/>
  <c r="AE41" i="185" s="1"/>
  <c r="AI41" i="185" s="1"/>
  <c r="Y41" i="185" s="1"/>
  <c r="AB41" i="185"/>
  <c r="Z41" i="185"/>
  <c r="X41" i="185"/>
  <c r="Q41" i="185"/>
  <c r="P41" i="185"/>
  <c r="I41" i="185"/>
  <c r="H41" i="185"/>
  <c r="E41" i="185"/>
  <c r="AD40" i="185"/>
  <c r="AE40" i="185" s="1"/>
  <c r="AI40" i="185" s="1"/>
  <c r="Y40" i="185" s="1"/>
  <c r="AC40" i="185"/>
  <c r="AB40" i="185"/>
  <c r="Z40" i="185"/>
  <c r="X40" i="185"/>
  <c r="Q40" i="185"/>
  <c r="P40" i="185"/>
  <c r="I40" i="185"/>
  <c r="H40" i="185"/>
  <c r="E40" i="185"/>
  <c r="AE39" i="185"/>
  <c r="AI39" i="185" s="1"/>
  <c r="Y39" i="185" s="1"/>
  <c r="AD39" i="185"/>
  <c r="AC39" i="185"/>
  <c r="AB39" i="185"/>
  <c r="Z39" i="185"/>
  <c r="X39" i="185"/>
  <c r="Q39" i="185"/>
  <c r="P39" i="185"/>
  <c r="H39" i="185"/>
  <c r="E39" i="185"/>
  <c r="I39" i="185" s="1"/>
  <c r="AD38" i="185"/>
  <c r="AC38" i="185"/>
  <c r="AB38" i="185"/>
  <c r="AE38" i="185" s="1"/>
  <c r="AI38" i="185" s="1"/>
  <c r="Y38" i="185" s="1"/>
  <c r="Z38" i="185"/>
  <c r="X38" i="185"/>
  <c r="Q38" i="185"/>
  <c r="P38" i="185"/>
  <c r="H38" i="185"/>
  <c r="E38" i="185"/>
  <c r="I38" i="185" s="1"/>
  <c r="AD37" i="185"/>
  <c r="AC37" i="185"/>
  <c r="AE37" i="185" s="1"/>
  <c r="AI37" i="185" s="1"/>
  <c r="Y37" i="185" s="1"/>
  <c r="AB37" i="185"/>
  <c r="Z37" i="185"/>
  <c r="X37" i="185"/>
  <c r="Q37" i="185"/>
  <c r="P37" i="185"/>
  <c r="I37" i="185"/>
  <c r="H37" i="185"/>
  <c r="E37" i="185"/>
  <c r="AD36" i="185"/>
  <c r="AE36" i="185" s="1"/>
  <c r="AI36" i="185" s="1"/>
  <c r="Y36" i="185" s="1"/>
  <c r="AC36" i="185"/>
  <c r="AB36" i="185"/>
  <c r="Z36" i="185"/>
  <c r="X36" i="185"/>
  <c r="Q36" i="185"/>
  <c r="P36" i="185"/>
  <c r="I36" i="185"/>
  <c r="H36" i="185"/>
  <c r="E36" i="185"/>
  <c r="AE35" i="185"/>
  <c r="AI35" i="185" s="1"/>
  <c r="Y35" i="185" s="1"/>
  <c r="AD35" i="185"/>
  <c r="AC35" i="185"/>
  <c r="AB35" i="185"/>
  <c r="Z35" i="185"/>
  <c r="X35" i="185"/>
  <c r="Q35" i="185"/>
  <c r="P35" i="185"/>
  <c r="H35" i="185"/>
  <c r="E35" i="185"/>
  <c r="I35" i="185" s="1"/>
  <c r="AD34" i="185"/>
  <c r="AC34" i="185"/>
  <c r="AB34" i="185"/>
  <c r="AE34" i="185" s="1"/>
  <c r="AI34" i="185" s="1"/>
  <c r="Y34" i="185" s="1"/>
  <c r="Z34" i="185"/>
  <c r="X34" i="185"/>
  <c r="Q34" i="185"/>
  <c r="P34" i="185"/>
  <c r="H34" i="185"/>
  <c r="E34" i="185"/>
  <c r="I34" i="185" s="1"/>
  <c r="AD33" i="185"/>
  <c r="AC33" i="185"/>
  <c r="AE33" i="185" s="1"/>
  <c r="AI33" i="185" s="1"/>
  <c r="Y33" i="185" s="1"/>
  <c r="AB33" i="185"/>
  <c r="Z33" i="185"/>
  <c r="X33" i="185"/>
  <c r="Q33" i="185"/>
  <c r="P33" i="185"/>
  <c r="I33" i="185"/>
  <c r="H33" i="185"/>
  <c r="E33" i="185"/>
  <c r="AD32" i="185"/>
  <c r="AE32" i="185" s="1"/>
  <c r="AI32" i="185" s="1"/>
  <c r="Y32" i="185" s="1"/>
  <c r="AC32" i="185"/>
  <c r="AB32" i="185"/>
  <c r="Z32" i="185"/>
  <c r="X32" i="185"/>
  <c r="Q32" i="185"/>
  <c r="P32" i="185"/>
  <c r="I32" i="185"/>
  <c r="H32" i="185"/>
  <c r="E32" i="185"/>
  <c r="AE31" i="185"/>
  <c r="AI31" i="185" s="1"/>
  <c r="Y31" i="185" s="1"/>
  <c r="Z31" i="185"/>
  <c r="X31" i="185"/>
  <c r="Q31" i="185"/>
  <c r="P31" i="185"/>
  <c r="H31" i="185"/>
  <c r="E31" i="185"/>
  <c r="I31" i="185" s="1"/>
  <c r="AD30" i="185"/>
  <c r="AC30" i="185"/>
  <c r="AE30" i="185" s="1"/>
  <c r="AI30" i="185" s="1"/>
  <c r="Y30" i="185" s="1"/>
  <c r="AB30" i="185"/>
  <c r="Z30" i="185"/>
  <c r="X30" i="185"/>
  <c r="Q30" i="185"/>
  <c r="P30" i="185"/>
  <c r="I30" i="185"/>
  <c r="H30" i="185"/>
  <c r="E30" i="185"/>
  <c r="AD29" i="185"/>
  <c r="AE29" i="185" s="1"/>
  <c r="AI29" i="185" s="1"/>
  <c r="Y29" i="185" s="1"/>
  <c r="AC29" i="185"/>
  <c r="AB29" i="185"/>
  <c r="Z29" i="185"/>
  <c r="X29" i="185"/>
  <c r="Q29" i="185"/>
  <c r="P29" i="185"/>
  <c r="I29" i="185"/>
  <c r="H29" i="185"/>
  <c r="E29" i="185"/>
  <c r="AE28" i="185"/>
  <c r="AI28" i="185" s="1"/>
  <c r="Y28" i="185" s="1"/>
  <c r="AD28" i="185"/>
  <c r="AC28" i="185"/>
  <c r="AB28" i="185"/>
  <c r="Z28" i="185"/>
  <c r="X28" i="185"/>
  <c r="Q28" i="185"/>
  <c r="P28" i="185"/>
  <c r="H28" i="185"/>
  <c r="E28" i="185"/>
  <c r="I28" i="185" s="1"/>
  <c r="AD27" i="185"/>
  <c r="AC27" i="185"/>
  <c r="AB27" i="185"/>
  <c r="AE27" i="185" s="1"/>
  <c r="AI27" i="185" s="1"/>
  <c r="Y27" i="185" s="1"/>
  <c r="Z27" i="185"/>
  <c r="X27" i="185"/>
  <c r="Q27" i="185"/>
  <c r="P27" i="185"/>
  <c r="H27" i="185"/>
  <c r="E27" i="185"/>
  <c r="I27" i="185" s="1"/>
  <c r="AD26" i="185"/>
  <c r="AC26" i="185"/>
  <c r="AE26" i="185" s="1"/>
  <c r="AI26" i="185" s="1"/>
  <c r="Y26" i="185" s="1"/>
  <c r="AB26" i="185"/>
  <c r="Z26" i="185"/>
  <c r="X26" i="185"/>
  <c r="Q26" i="185"/>
  <c r="P26" i="185"/>
  <c r="I26" i="185"/>
  <c r="H26" i="185"/>
  <c r="E26" i="185"/>
  <c r="AD25" i="185"/>
  <c r="AE25" i="185" s="1"/>
  <c r="AI25" i="185" s="1"/>
  <c r="Y25" i="185" s="1"/>
  <c r="AC25" i="185"/>
  <c r="AB25" i="185"/>
  <c r="Z25" i="185"/>
  <c r="X25" i="185"/>
  <c r="Q25" i="185"/>
  <c r="P25" i="185"/>
  <c r="I25" i="185"/>
  <c r="H25" i="185"/>
  <c r="E25" i="185"/>
  <c r="AE24" i="185"/>
  <c r="AI24" i="185" s="1"/>
  <c r="Y24" i="185" s="1"/>
  <c r="AD24" i="185"/>
  <c r="AC24" i="185"/>
  <c r="AB24" i="185"/>
  <c r="Z24" i="185"/>
  <c r="X24" i="185"/>
  <c r="Q24" i="185"/>
  <c r="P24" i="185"/>
  <c r="H24" i="185"/>
  <c r="E24" i="185"/>
  <c r="I24" i="185" s="1"/>
  <c r="AD23" i="185"/>
  <c r="AC23" i="185"/>
  <c r="AB23" i="185"/>
  <c r="AE23" i="185" s="1"/>
  <c r="AI23" i="185" s="1"/>
  <c r="Y23" i="185" s="1"/>
  <c r="Z23" i="185"/>
  <c r="X23" i="185"/>
  <c r="Q23" i="185"/>
  <c r="P23" i="185"/>
  <c r="H23" i="185"/>
  <c r="E23" i="185"/>
  <c r="I23" i="185" s="1"/>
  <c r="AD22" i="185"/>
  <c r="AC22" i="185"/>
  <c r="AE22" i="185" s="1"/>
  <c r="AI22" i="185" s="1"/>
  <c r="Y22" i="185" s="1"/>
  <c r="AB22" i="185"/>
  <c r="Z22" i="185"/>
  <c r="X22" i="185"/>
  <c r="Q22" i="185"/>
  <c r="P22" i="185"/>
  <c r="I22" i="185"/>
  <c r="H22" i="185"/>
  <c r="E22" i="185"/>
  <c r="AD21" i="185"/>
  <c r="AE21" i="185" s="1"/>
  <c r="AI21" i="185" s="1"/>
  <c r="Y21" i="185" s="1"/>
  <c r="AC21" i="185"/>
  <c r="AB21" i="185"/>
  <c r="Z21" i="185"/>
  <c r="X21" i="185"/>
  <c r="Q21" i="185"/>
  <c r="P21" i="185"/>
  <c r="I21" i="185"/>
  <c r="H21" i="185"/>
  <c r="E21" i="185"/>
  <c r="AE20" i="185"/>
  <c r="AI20" i="185" s="1"/>
  <c r="Y20" i="185" s="1"/>
  <c r="AD20" i="185"/>
  <c r="AC20" i="185"/>
  <c r="AB20" i="185"/>
  <c r="Z20" i="185"/>
  <c r="X20" i="185"/>
  <c r="Q20" i="185"/>
  <c r="P20" i="185"/>
  <c r="H20" i="185"/>
  <c r="E20" i="185"/>
  <c r="I20" i="185" s="1"/>
  <c r="AD19" i="185"/>
  <c r="AC19" i="185"/>
  <c r="AB19" i="185"/>
  <c r="AE19" i="185" s="1"/>
  <c r="AI19" i="185" s="1"/>
  <c r="Y19" i="185" s="1"/>
  <c r="Z19" i="185"/>
  <c r="X19" i="185"/>
  <c r="Q19" i="185"/>
  <c r="P19" i="185"/>
  <c r="H19" i="185"/>
  <c r="E19" i="185"/>
  <c r="I19" i="185" s="1"/>
  <c r="AD18" i="185"/>
  <c r="AC18" i="185"/>
  <c r="AE18" i="185" s="1"/>
  <c r="AI18" i="185" s="1"/>
  <c r="Y18" i="185" s="1"/>
  <c r="AB18" i="185"/>
  <c r="Z18" i="185"/>
  <c r="X18" i="185"/>
  <c r="Q18" i="185"/>
  <c r="P18" i="185"/>
  <c r="I18" i="185"/>
  <c r="H18" i="185"/>
  <c r="E18" i="185"/>
  <c r="AD17" i="185"/>
  <c r="AE17" i="185" s="1"/>
  <c r="AI17" i="185" s="1"/>
  <c r="Y17" i="185" s="1"/>
  <c r="AC17" i="185"/>
  <c r="AB17" i="185"/>
  <c r="Z17" i="185"/>
  <c r="X17" i="185"/>
  <c r="Q17" i="185"/>
  <c r="P17" i="185"/>
  <c r="I17" i="185"/>
  <c r="H17" i="185"/>
  <c r="E17" i="185"/>
  <c r="AE16" i="185"/>
  <c r="AI16" i="185" s="1"/>
  <c r="Y16" i="185" s="1"/>
  <c r="AD16" i="185"/>
  <c r="AC16" i="185"/>
  <c r="AB16" i="185"/>
  <c r="Z16" i="185"/>
  <c r="X16" i="185"/>
  <c r="Q16" i="185"/>
  <c r="P16" i="185"/>
  <c r="E16" i="185"/>
  <c r="I16" i="185" s="1"/>
  <c r="AE15" i="185"/>
  <c r="AI15" i="185" s="1"/>
  <c r="Y15" i="185" s="1"/>
  <c r="AD15" i="185"/>
  <c r="AC15" i="185"/>
  <c r="AB15" i="185"/>
  <c r="Z15" i="185"/>
  <c r="X15" i="185"/>
  <c r="Q15" i="185"/>
  <c r="P15" i="185"/>
  <c r="E15" i="185"/>
  <c r="I15" i="185" s="1"/>
  <c r="AE14" i="185"/>
  <c r="AI14" i="185" s="1"/>
  <c r="Y14" i="185" s="1"/>
  <c r="AD14" i="185"/>
  <c r="AC14" i="185"/>
  <c r="AB14" i="185"/>
  <c r="Z14" i="185"/>
  <c r="X14" i="185"/>
  <c r="Q14" i="185"/>
  <c r="O75" i="185" s="1"/>
  <c r="P14" i="185"/>
  <c r="H14" i="185"/>
  <c r="E14" i="185"/>
  <c r="I14" i="185" s="1"/>
  <c r="AD13" i="185"/>
  <c r="AC13" i="185"/>
  <c r="AB13" i="185"/>
  <c r="AE13" i="185" s="1"/>
  <c r="AI13" i="185" s="1"/>
  <c r="Y13" i="185" s="1"/>
  <c r="Z13" i="185"/>
  <c r="X13" i="185"/>
  <c r="Q13" i="185"/>
  <c r="P13" i="185"/>
  <c r="H13" i="185"/>
  <c r="E13" i="185"/>
  <c r="I13" i="185" s="1"/>
  <c r="AD12" i="185"/>
  <c r="AC12" i="185"/>
  <c r="AE12" i="185" s="1"/>
  <c r="AI12" i="185" s="1"/>
  <c r="Y12" i="185" s="1"/>
  <c r="T73" i="185" s="1"/>
  <c r="AB12" i="185"/>
  <c r="Z12" i="185"/>
  <c r="T75" i="185" s="1"/>
  <c r="X12" i="185"/>
  <c r="T77" i="185" s="1"/>
  <c r="Q12" i="185"/>
  <c r="P12" i="185"/>
  <c r="I12" i="185"/>
  <c r="H12" i="185"/>
  <c r="E12" i="185"/>
  <c r="F77" i="186" l="1"/>
  <c r="O73" i="185"/>
  <c r="F73" i="185"/>
  <c r="F77" i="185" s="1"/>
  <c r="T79" i="185"/>
  <c r="F75" i="185"/>
  <c r="Z63" i="184"/>
  <c r="Z64" i="184"/>
  <c r="Z65" i="184"/>
  <c r="Z66" i="184"/>
  <c r="Z67" i="184"/>
  <c r="Z68" i="184"/>
  <c r="Z62" i="184"/>
  <c r="Z13" i="184"/>
  <c r="Z14" i="184"/>
  <c r="Z15" i="184"/>
  <c r="Z16" i="184"/>
  <c r="Z17" i="184"/>
  <c r="Z18" i="184"/>
  <c r="Z19" i="184"/>
  <c r="Z20" i="184"/>
  <c r="Z21" i="184"/>
  <c r="Z22" i="184"/>
  <c r="Z23" i="184"/>
  <c r="Z24" i="184"/>
  <c r="Z25" i="184"/>
  <c r="Z26" i="184"/>
  <c r="Z27" i="184"/>
  <c r="Z28" i="184"/>
  <c r="Z29" i="184"/>
  <c r="Z30" i="184"/>
  <c r="Z31" i="184"/>
  <c r="Z32" i="184"/>
  <c r="Z33" i="184"/>
  <c r="Z34" i="184"/>
  <c r="Z35" i="184"/>
  <c r="Z36" i="184"/>
  <c r="Z37" i="184"/>
  <c r="Z38" i="184"/>
  <c r="Z39" i="184"/>
  <c r="Z40" i="184"/>
  <c r="Z41" i="184"/>
  <c r="Z42" i="184"/>
  <c r="Z43" i="184"/>
  <c r="Z44" i="184"/>
  <c r="Z45" i="184"/>
  <c r="Z46" i="184"/>
  <c r="Z47" i="184"/>
  <c r="Z48" i="184"/>
  <c r="Z49" i="184"/>
  <c r="Z50" i="184"/>
  <c r="Z51" i="184"/>
  <c r="Z52" i="184"/>
  <c r="Z53" i="184"/>
  <c r="Z54" i="184"/>
  <c r="Z55" i="184"/>
  <c r="Z56" i="184"/>
  <c r="Z12" i="184"/>
  <c r="M79" i="184" l="1"/>
  <c r="P71" i="184"/>
  <c r="H71" i="184"/>
  <c r="Q70" i="184"/>
  <c r="P70" i="184"/>
  <c r="H70" i="184"/>
  <c r="E70" i="184"/>
  <c r="I70" i="184" s="1"/>
  <c r="Q69" i="184"/>
  <c r="P69" i="184"/>
  <c r="H69" i="184"/>
  <c r="E69" i="184"/>
  <c r="I69" i="184" s="1"/>
  <c r="AE68" i="184"/>
  <c r="AI68" i="184" s="1"/>
  <c r="Y68" i="184" s="1"/>
  <c r="AD68" i="184"/>
  <c r="AC68" i="184"/>
  <c r="AB68" i="184"/>
  <c r="X68" i="184"/>
  <c r="Q68" i="184"/>
  <c r="P68" i="184"/>
  <c r="I68" i="184"/>
  <c r="H68" i="184"/>
  <c r="E68" i="184"/>
  <c r="AD67" i="184"/>
  <c r="AC67" i="184"/>
  <c r="AB67" i="184"/>
  <c r="AE67" i="184" s="1"/>
  <c r="AI67" i="184" s="1"/>
  <c r="Y67" i="184" s="1"/>
  <c r="X67" i="184"/>
  <c r="Q67" i="184"/>
  <c r="P67" i="184"/>
  <c r="H67" i="184"/>
  <c r="E67" i="184"/>
  <c r="I67" i="184" s="1"/>
  <c r="AI66" i="184"/>
  <c r="Y66" i="184" s="1"/>
  <c r="AE66" i="184"/>
  <c r="AD66" i="184"/>
  <c r="AC66" i="184"/>
  <c r="AB66" i="184"/>
  <c r="X66" i="184"/>
  <c r="Q66" i="184"/>
  <c r="P66" i="184"/>
  <c r="I66" i="184"/>
  <c r="H66" i="184"/>
  <c r="E66" i="184"/>
  <c r="AD65" i="184"/>
  <c r="AC65" i="184"/>
  <c r="AE65" i="184" s="1"/>
  <c r="AI65" i="184" s="1"/>
  <c r="Y65" i="184" s="1"/>
  <c r="AB65" i="184"/>
  <c r="X65" i="184"/>
  <c r="Q65" i="184"/>
  <c r="P65" i="184"/>
  <c r="H65" i="184"/>
  <c r="E65" i="184"/>
  <c r="I65" i="184" s="1"/>
  <c r="AD64" i="184"/>
  <c r="AC64" i="184"/>
  <c r="AB64" i="184"/>
  <c r="AE64" i="184" s="1"/>
  <c r="AI64" i="184" s="1"/>
  <c r="Y64" i="184" s="1"/>
  <c r="X64" i="184"/>
  <c r="Q64" i="184"/>
  <c r="P64" i="184"/>
  <c r="H64" i="184"/>
  <c r="E64" i="184"/>
  <c r="I64" i="184" s="1"/>
  <c r="AD63" i="184"/>
  <c r="AC63" i="184"/>
  <c r="AE63" i="184" s="1"/>
  <c r="AI63" i="184" s="1"/>
  <c r="Y63" i="184" s="1"/>
  <c r="AB63" i="184"/>
  <c r="X63" i="184"/>
  <c r="Q63" i="184"/>
  <c r="P63" i="184"/>
  <c r="I63" i="184"/>
  <c r="H63" i="184"/>
  <c r="E63" i="184"/>
  <c r="AD62" i="184"/>
  <c r="AC62" i="184"/>
  <c r="AB62" i="184"/>
  <c r="AE62" i="184" s="1"/>
  <c r="AI62" i="184" s="1"/>
  <c r="Y62" i="184" s="1"/>
  <c r="X62" i="184"/>
  <c r="Q62" i="184"/>
  <c r="P62" i="184"/>
  <c r="H62" i="184"/>
  <c r="E62" i="184"/>
  <c r="I62" i="184" s="1"/>
  <c r="AI61" i="184"/>
  <c r="Y61" i="184" s="1"/>
  <c r="AE61" i="184"/>
  <c r="AC61" i="184"/>
  <c r="AB61" i="184"/>
  <c r="X61" i="184"/>
  <c r="Q61" i="184"/>
  <c r="P61" i="184"/>
  <c r="I61" i="184"/>
  <c r="H61" i="184"/>
  <c r="E61" i="184"/>
  <c r="AI60" i="184"/>
  <c r="AE60" i="184"/>
  <c r="Y60" i="184"/>
  <c r="X60" i="184"/>
  <c r="Q60" i="184"/>
  <c r="P60" i="184"/>
  <c r="I60" i="184"/>
  <c r="H60" i="184"/>
  <c r="E60" i="184"/>
  <c r="AE59" i="184"/>
  <c r="AI59" i="184" s="1"/>
  <c r="Y59" i="184" s="1"/>
  <c r="AC59" i="184"/>
  <c r="AB59" i="184"/>
  <c r="X59" i="184"/>
  <c r="Q59" i="184"/>
  <c r="P59" i="184"/>
  <c r="H59" i="184"/>
  <c r="E59" i="184"/>
  <c r="I59" i="184" s="1"/>
  <c r="AI58" i="184"/>
  <c r="Y58" i="184" s="1"/>
  <c r="AE58" i="184"/>
  <c r="AC58" i="184"/>
  <c r="AB58" i="184"/>
  <c r="X58" i="184"/>
  <c r="Q58" i="184"/>
  <c r="P58" i="184"/>
  <c r="E58" i="184"/>
  <c r="I58" i="184" s="1"/>
  <c r="AI57" i="184"/>
  <c r="Y57" i="184" s="1"/>
  <c r="AE57" i="184"/>
  <c r="AC57" i="184"/>
  <c r="AB57" i="184"/>
  <c r="X57" i="184"/>
  <c r="Q57" i="184"/>
  <c r="P57" i="184"/>
  <c r="I57" i="184"/>
  <c r="H57" i="184"/>
  <c r="E57" i="184"/>
  <c r="AE56" i="184"/>
  <c r="AI56" i="184" s="1"/>
  <c r="Y56" i="184" s="1"/>
  <c r="AD56" i="184"/>
  <c r="AC56" i="184"/>
  <c r="AB56" i="184"/>
  <c r="X56" i="184"/>
  <c r="Q56" i="184"/>
  <c r="P56" i="184"/>
  <c r="I56" i="184"/>
  <c r="H56" i="184"/>
  <c r="E56" i="184"/>
  <c r="AD55" i="184"/>
  <c r="AC55" i="184"/>
  <c r="AB55" i="184"/>
  <c r="AE55" i="184" s="1"/>
  <c r="AI55" i="184" s="1"/>
  <c r="Y55" i="184" s="1"/>
  <c r="X55" i="184"/>
  <c r="Q55" i="184"/>
  <c r="P55" i="184"/>
  <c r="H55" i="184"/>
  <c r="E55" i="184"/>
  <c r="I55" i="184" s="1"/>
  <c r="AE54" i="184"/>
  <c r="AI54" i="184" s="1"/>
  <c r="Y54" i="184" s="1"/>
  <c r="AD54" i="184"/>
  <c r="AC54" i="184"/>
  <c r="AB54" i="184"/>
  <c r="X54" i="184"/>
  <c r="Q54" i="184"/>
  <c r="P54" i="184"/>
  <c r="I54" i="184"/>
  <c r="H54" i="184"/>
  <c r="E54" i="184"/>
  <c r="AD53" i="184"/>
  <c r="AC53" i="184"/>
  <c r="AB53" i="184"/>
  <c r="AE53" i="184" s="1"/>
  <c r="AI53" i="184" s="1"/>
  <c r="Y53" i="184" s="1"/>
  <c r="X53" i="184"/>
  <c r="Q53" i="184"/>
  <c r="P53" i="184"/>
  <c r="I53" i="184"/>
  <c r="H53" i="184"/>
  <c r="E53" i="184"/>
  <c r="AE52" i="184"/>
  <c r="AI52" i="184" s="1"/>
  <c r="Y52" i="184" s="1"/>
  <c r="X52" i="184"/>
  <c r="Q52" i="184"/>
  <c r="P52" i="184"/>
  <c r="I52" i="184"/>
  <c r="H52" i="184"/>
  <c r="E52" i="184"/>
  <c r="AD51" i="184"/>
  <c r="AC51" i="184"/>
  <c r="AB51" i="184"/>
  <c r="AE51" i="184" s="1"/>
  <c r="AI51" i="184" s="1"/>
  <c r="Y51" i="184" s="1"/>
  <c r="X51" i="184"/>
  <c r="Q51" i="184"/>
  <c r="P51" i="184"/>
  <c r="H51" i="184"/>
  <c r="E51" i="184"/>
  <c r="I51" i="184" s="1"/>
  <c r="AI50" i="184"/>
  <c r="Y50" i="184" s="1"/>
  <c r="AE50" i="184"/>
  <c r="AD50" i="184"/>
  <c r="AC50" i="184"/>
  <c r="AB50" i="184"/>
  <c r="X50" i="184"/>
  <c r="Q50" i="184"/>
  <c r="P50" i="184"/>
  <c r="I50" i="184"/>
  <c r="H50" i="184"/>
  <c r="E50" i="184"/>
  <c r="AE49" i="184"/>
  <c r="AI49" i="184" s="1"/>
  <c r="Y49" i="184" s="1"/>
  <c r="X49" i="184"/>
  <c r="Q49" i="184"/>
  <c r="P49" i="184"/>
  <c r="H49" i="184"/>
  <c r="E49" i="184"/>
  <c r="I49" i="184" s="1"/>
  <c r="AE48" i="184"/>
  <c r="AI48" i="184" s="1"/>
  <c r="Y48" i="184" s="1"/>
  <c r="X48" i="184"/>
  <c r="Q48" i="184"/>
  <c r="P48" i="184"/>
  <c r="H48" i="184"/>
  <c r="E48" i="184"/>
  <c r="I48" i="184" s="1"/>
  <c r="AI47" i="184"/>
  <c r="Y47" i="184" s="1"/>
  <c r="AE47" i="184"/>
  <c r="X47" i="184"/>
  <c r="Q47" i="184"/>
  <c r="P47" i="184"/>
  <c r="H47" i="184"/>
  <c r="E47" i="184"/>
  <c r="I47" i="184" s="1"/>
  <c r="AD46" i="184"/>
  <c r="AC46" i="184"/>
  <c r="AB46" i="184"/>
  <c r="AE46" i="184" s="1"/>
  <c r="AI46" i="184" s="1"/>
  <c r="Y46" i="184" s="1"/>
  <c r="X46" i="184"/>
  <c r="Q46" i="184"/>
  <c r="P46" i="184"/>
  <c r="I46" i="184"/>
  <c r="H46" i="184"/>
  <c r="E46" i="184"/>
  <c r="AD45" i="184"/>
  <c r="AE45" i="184" s="1"/>
  <c r="AI45" i="184" s="1"/>
  <c r="Y45" i="184" s="1"/>
  <c r="AC45" i="184"/>
  <c r="AB45" i="184"/>
  <c r="X45" i="184"/>
  <c r="Q45" i="184"/>
  <c r="P45" i="184"/>
  <c r="I45" i="184"/>
  <c r="H45" i="184"/>
  <c r="E45" i="184"/>
  <c r="AE44" i="184"/>
  <c r="AI44" i="184" s="1"/>
  <c r="Y44" i="184" s="1"/>
  <c r="AD44" i="184"/>
  <c r="AC44" i="184"/>
  <c r="AB44" i="184"/>
  <c r="X44" i="184"/>
  <c r="Q44" i="184"/>
  <c r="P44" i="184"/>
  <c r="I44" i="184"/>
  <c r="H44" i="184"/>
  <c r="E44" i="184"/>
  <c r="AD43" i="184"/>
  <c r="AC43" i="184"/>
  <c r="AB43" i="184"/>
  <c r="AE43" i="184" s="1"/>
  <c r="AI43" i="184" s="1"/>
  <c r="Y43" i="184" s="1"/>
  <c r="X43" i="184"/>
  <c r="Q43" i="184"/>
  <c r="P43" i="184"/>
  <c r="H43" i="184"/>
  <c r="E43" i="184"/>
  <c r="I43" i="184" s="1"/>
  <c r="AE42" i="184"/>
  <c r="AI42" i="184" s="1"/>
  <c r="Y42" i="184" s="1"/>
  <c r="AD42" i="184"/>
  <c r="AC42" i="184"/>
  <c r="AB42" i="184"/>
  <c r="X42" i="184"/>
  <c r="Q42" i="184"/>
  <c r="P42" i="184"/>
  <c r="H42" i="184"/>
  <c r="E42" i="184"/>
  <c r="I42" i="184" s="1"/>
  <c r="AD41" i="184"/>
  <c r="AC41" i="184"/>
  <c r="AB41" i="184"/>
  <c r="AE41" i="184" s="1"/>
  <c r="AI41" i="184" s="1"/>
  <c r="Y41" i="184" s="1"/>
  <c r="X41" i="184"/>
  <c r="Q41" i="184"/>
  <c r="P41" i="184"/>
  <c r="I41" i="184"/>
  <c r="H41" i="184"/>
  <c r="E41" i="184"/>
  <c r="AE40" i="184"/>
  <c r="AI40" i="184" s="1"/>
  <c r="Y40" i="184" s="1"/>
  <c r="AD40" i="184"/>
  <c r="AC40" i="184"/>
  <c r="AB40" i="184"/>
  <c r="X40" i="184"/>
  <c r="Q40" i="184"/>
  <c r="P40" i="184"/>
  <c r="I40" i="184"/>
  <c r="H40" i="184"/>
  <c r="E40" i="184"/>
  <c r="AD39" i="184"/>
  <c r="AC39" i="184"/>
  <c r="AB39" i="184"/>
  <c r="AE39" i="184" s="1"/>
  <c r="AI39" i="184" s="1"/>
  <c r="Y39" i="184" s="1"/>
  <c r="X39" i="184"/>
  <c r="Q39" i="184"/>
  <c r="P39" i="184"/>
  <c r="I39" i="184"/>
  <c r="H39" i="184"/>
  <c r="E39" i="184"/>
  <c r="AD38" i="184"/>
  <c r="AC38" i="184"/>
  <c r="AB38" i="184"/>
  <c r="AE38" i="184" s="1"/>
  <c r="AI38" i="184" s="1"/>
  <c r="Y38" i="184" s="1"/>
  <c r="X38" i="184"/>
  <c r="Q38" i="184"/>
  <c r="P38" i="184"/>
  <c r="H38" i="184"/>
  <c r="E38" i="184"/>
  <c r="I38" i="184" s="1"/>
  <c r="AI37" i="184"/>
  <c r="Y37" i="184" s="1"/>
  <c r="AE37" i="184"/>
  <c r="AD37" i="184"/>
  <c r="AC37" i="184"/>
  <c r="AB37" i="184"/>
  <c r="X37" i="184"/>
  <c r="Q37" i="184"/>
  <c r="P37" i="184"/>
  <c r="I37" i="184"/>
  <c r="H37" i="184"/>
  <c r="E37" i="184"/>
  <c r="AD36" i="184"/>
  <c r="AC36" i="184"/>
  <c r="AE36" i="184" s="1"/>
  <c r="AI36" i="184" s="1"/>
  <c r="Y36" i="184" s="1"/>
  <c r="AB36" i="184"/>
  <c r="X36" i="184"/>
  <c r="Q36" i="184"/>
  <c r="P36" i="184"/>
  <c r="H36" i="184"/>
  <c r="E36" i="184"/>
  <c r="I36" i="184" s="1"/>
  <c r="AD35" i="184"/>
  <c r="AC35" i="184"/>
  <c r="AB35" i="184"/>
  <c r="AE35" i="184" s="1"/>
  <c r="AI35" i="184" s="1"/>
  <c r="Y35" i="184" s="1"/>
  <c r="X35" i="184"/>
  <c r="Q35" i="184"/>
  <c r="P35" i="184"/>
  <c r="H35" i="184"/>
  <c r="E35" i="184"/>
  <c r="I35" i="184" s="1"/>
  <c r="AD34" i="184"/>
  <c r="AC34" i="184"/>
  <c r="AE34" i="184" s="1"/>
  <c r="AI34" i="184" s="1"/>
  <c r="Y34" i="184" s="1"/>
  <c r="AB34" i="184"/>
  <c r="X34" i="184"/>
  <c r="Q34" i="184"/>
  <c r="P34" i="184"/>
  <c r="I34" i="184"/>
  <c r="H34" i="184"/>
  <c r="E34" i="184"/>
  <c r="AD33" i="184"/>
  <c r="AC33" i="184"/>
  <c r="AB33" i="184"/>
  <c r="AE33" i="184" s="1"/>
  <c r="AI33" i="184" s="1"/>
  <c r="Y33" i="184" s="1"/>
  <c r="X33" i="184"/>
  <c r="Q33" i="184"/>
  <c r="P33" i="184"/>
  <c r="H33" i="184"/>
  <c r="E33" i="184"/>
  <c r="I33" i="184" s="1"/>
  <c r="AI32" i="184"/>
  <c r="Y32" i="184" s="1"/>
  <c r="AE32" i="184"/>
  <c r="AD32" i="184"/>
  <c r="AC32" i="184"/>
  <c r="AB32" i="184"/>
  <c r="X32" i="184"/>
  <c r="Q32" i="184"/>
  <c r="P32" i="184"/>
  <c r="I32" i="184"/>
  <c r="H32" i="184"/>
  <c r="E32" i="184"/>
  <c r="AE31" i="184"/>
  <c r="AI31" i="184" s="1"/>
  <c r="Y31" i="184" s="1"/>
  <c r="X31" i="184"/>
  <c r="Q31" i="184"/>
  <c r="P31" i="184"/>
  <c r="I31" i="184"/>
  <c r="H31" i="184"/>
  <c r="E31" i="184"/>
  <c r="AD30" i="184"/>
  <c r="AC30" i="184"/>
  <c r="AE30" i="184" s="1"/>
  <c r="AI30" i="184" s="1"/>
  <c r="Y30" i="184" s="1"/>
  <c r="AB30" i="184"/>
  <c r="X30" i="184"/>
  <c r="Q30" i="184"/>
  <c r="P30" i="184"/>
  <c r="I30" i="184"/>
  <c r="H30" i="184"/>
  <c r="E30" i="184"/>
  <c r="AE29" i="184"/>
  <c r="AI29" i="184" s="1"/>
  <c r="Y29" i="184" s="1"/>
  <c r="AD29" i="184"/>
  <c r="AC29" i="184"/>
  <c r="AB29" i="184"/>
  <c r="X29" i="184"/>
  <c r="Q29" i="184"/>
  <c r="P29" i="184"/>
  <c r="I29" i="184"/>
  <c r="H29" i="184"/>
  <c r="E29" i="184"/>
  <c r="AD28" i="184"/>
  <c r="AC28" i="184"/>
  <c r="AB28" i="184"/>
  <c r="AE28" i="184" s="1"/>
  <c r="AI28" i="184" s="1"/>
  <c r="Y28" i="184" s="1"/>
  <c r="X28" i="184"/>
  <c r="Q28" i="184"/>
  <c r="P28" i="184"/>
  <c r="H28" i="184"/>
  <c r="E28" i="184"/>
  <c r="I28" i="184" s="1"/>
  <c r="AE27" i="184"/>
  <c r="AI27" i="184" s="1"/>
  <c r="Y27" i="184" s="1"/>
  <c r="AD27" i="184"/>
  <c r="AC27" i="184"/>
  <c r="AB27" i="184"/>
  <c r="X27" i="184"/>
  <c r="Q27" i="184"/>
  <c r="P27" i="184"/>
  <c r="H27" i="184"/>
  <c r="E27" i="184"/>
  <c r="I27" i="184" s="1"/>
  <c r="AD26" i="184"/>
  <c r="AC26" i="184"/>
  <c r="AB26" i="184"/>
  <c r="AE26" i="184" s="1"/>
  <c r="AI26" i="184" s="1"/>
  <c r="Y26" i="184" s="1"/>
  <c r="X26" i="184"/>
  <c r="Q26" i="184"/>
  <c r="P26" i="184"/>
  <c r="I26" i="184"/>
  <c r="H26" i="184"/>
  <c r="E26" i="184"/>
  <c r="AE25" i="184"/>
  <c r="AI25" i="184" s="1"/>
  <c r="Y25" i="184" s="1"/>
  <c r="AD25" i="184"/>
  <c r="AC25" i="184"/>
  <c r="AB25" i="184"/>
  <c r="X25" i="184"/>
  <c r="Q25" i="184"/>
  <c r="P25" i="184"/>
  <c r="I25" i="184"/>
  <c r="H25" i="184"/>
  <c r="E25" i="184"/>
  <c r="AD24" i="184"/>
  <c r="AC24" i="184"/>
  <c r="AB24" i="184"/>
  <c r="AE24" i="184" s="1"/>
  <c r="AI24" i="184" s="1"/>
  <c r="Y24" i="184" s="1"/>
  <c r="X24" i="184"/>
  <c r="Q24" i="184"/>
  <c r="P24" i="184"/>
  <c r="I24" i="184"/>
  <c r="H24" i="184"/>
  <c r="E24" i="184"/>
  <c r="AD23" i="184"/>
  <c r="AC23" i="184"/>
  <c r="AB23" i="184"/>
  <c r="AE23" i="184" s="1"/>
  <c r="AI23" i="184" s="1"/>
  <c r="Y23" i="184" s="1"/>
  <c r="X23" i="184"/>
  <c r="Q23" i="184"/>
  <c r="P23" i="184"/>
  <c r="H23" i="184"/>
  <c r="E23" i="184"/>
  <c r="I23" i="184" s="1"/>
  <c r="AI22" i="184"/>
  <c r="Y22" i="184" s="1"/>
  <c r="AE22" i="184"/>
  <c r="AD22" i="184"/>
  <c r="AC22" i="184"/>
  <c r="AB22" i="184"/>
  <c r="X22" i="184"/>
  <c r="Q22" i="184"/>
  <c r="P22" i="184"/>
  <c r="I22" i="184"/>
  <c r="H22" i="184"/>
  <c r="E22" i="184"/>
  <c r="AD21" i="184"/>
  <c r="AC21" i="184"/>
  <c r="AE21" i="184" s="1"/>
  <c r="AI21" i="184" s="1"/>
  <c r="Y21" i="184" s="1"/>
  <c r="AB21" i="184"/>
  <c r="X21" i="184"/>
  <c r="Q21" i="184"/>
  <c r="P21" i="184"/>
  <c r="H21" i="184"/>
  <c r="E21" i="184"/>
  <c r="I21" i="184" s="1"/>
  <c r="AD20" i="184"/>
  <c r="AC20" i="184"/>
  <c r="AB20" i="184"/>
  <c r="AE20" i="184" s="1"/>
  <c r="AI20" i="184" s="1"/>
  <c r="Y20" i="184" s="1"/>
  <c r="X20" i="184"/>
  <c r="Q20" i="184"/>
  <c r="P20" i="184"/>
  <c r="H20" i="184"/>
  <c r="E20" i="184"/>
  <c r="I20" i="184" s="1"/>
  <c r="AD19" i="184"/>
  <c r="AC19" i="184"/>
  <c r="AB19" i="184"/>
  <c r="AE19" i="184" s="1"/>
  <c r="AI19" i="184" s="1"/>
  <c r="Y19" i="184" s="1"/>
  <c r="X19" i="184"/>
  <c r="Q19" i="184"/>
  <c r="P19" i="184"/>
  <c r="I19" i="184"/>
  <c r="H19" i="184"/>
  <c r="E19" i="184"/>
  <c r="AD18" i="184"/>
  <c r="AC18" i="184"/>
  <c r="AB18" i="184"/>
  <c r="AE18" i="184" s="1"/>
  <c r="AI18" i="184" s="1"/>
  <c r="Y18" i="184" s="1"/>
  <c r="X18" i="184"/>
  <c r="Q18" i="184"/>
  <c r="P18" i="184"/>
  <c r="H18" i="184"/>
  <c r="E18" i="184"/>
  <c r="I18" i="184" s="1"/>
  <c r="AD17" i="184"/>
  <c r="AE17" i="184" s="1"/>
  <c r="AI17" i="184" s="1"/>
  <c r="Y17" i="184" s="1"/>
  <c r="AC17" i="184"/>
  <c r="AB17" i="184"/>
  <c r="X17" i="184"/>
  <c r="Q17" i="184"/>
  <c r="P17" i="184"/>
  <c r="I17" i="184"/>
  <c r="H17" i="184"/>
  <c r="E17" i="184"/>
  <c r="AD16" i="184"/>
  <c r="AE16" i="184" s="1"/>
  <c r="AI16" i="184" s="1"/>
  <c r="Y16" i="184" s="1"/>
  <c r="AC16" i="184"/>
  <c r="AB16" i="184"/>
  <c r="X16" i="184"/>
  <c r="T77" i="184" s="1"/>
  <c r="Q16" i="184"/>
  <c r="P16" i="184"/>
  <c r="I16" i="184"/>
  <c r="E16" i="184"/>
  <c r="AD15" i="184"/>
  <c r="AC15" i="184"/>
  <c r="AB15" i="184"/>
  <c r="AE15" i="184" s="1"/>
  <c r="AI15" i="184" s="1"/>
  <c r="Y15" i="184" s="1"/>
  <c r="X15" i="184"/>
  <c r="Q15" i="184"/>
  <c r="P15" i="184"/>
  <c r="E15" i="184"/>
  <c r="I15" i="184" s="1"/>
  <c r="AD14" i="184"/>
  <c r="AC14" i="184"/>
  <c r="AB14" i="184"/>
  <c r="AE14" i="184" s="1"/>
  <c r="AI14" i="184" s="1"/>
  <c r="Y14" i="184" s="1"/>
  <c r="X14" i="184"/>
  <c r="Q14" i="184"/>
  <c r="O75" i="184" s="1"/>
  <c r="P14" i="184"/>
  <c r="I14" i="184"/>
  <c r="H14" i="184"/>
  <c r="E14" i="184"/>
  <c r="AD13" i="184"/>
  <c r="AC13" i="184"/>
  <c r="AB13" i="184"/>
  <c r="AE13" i="184" s="1"/>
  <c r="AI13" i="184" s="1"/>
  <c r="Y13" i="184" s="1"/>
  <c r="X13" i="184"/>
  <c r="Q13" i="184"/>
  <c r="P13" i="184"/>
  <c r="H13" i="184"/>
  <c r="E13" i="184"/>
  <c r="I13" i="184" s="1"/>
  <c r="AI12" i="184"/>
  <c r="Y12" i="184" s="1"/>
  <c r="AE12" i="184"/>
  <c r="AD12" i="184"/>
  <c r="AC12" i="184"/>
  <c r="AB12" i="184"/>
  <c r="X12" i="184"/>
  <c r="Q12" i="184"/>
  <c r="P12" i="184"/>
  <c r="I12" i="184"/>
  <c r="H12" i="184"/>
  <c r="E12" i="184"/>
  <c r="T73" i="184" l="1"/>
  <c r="T75" i="184"/>
  <c r="O73" i="184"/>
  <c r="F73" i="184"/>
  <c r="F75" i="184"/>
  <c r="M79" i="183"/>
  <c r="W73" i="183"/>
  <c r="P71" i="183"/>
  <c r="H71" i="183"/>
  <c r="Q70" i="183"/>
  <c r="P70" i="183"/>
  <c r="I70" i="183"/>
  <c r="H70" i="183"/>
  <c r="E70" i="183"/>
  <c r="Q69" i="183"/>
  <c r="P69" i="183"/>
  <c r="H69" i="183"/>
  <c r="E69" i="183"/>
  <c r="I69" i="183" s="1"/>
  <c r="AD68" i="183"/>
  <c r="AC68" i="183"/>
  <c r="AB68" i="183"/>
  <c r="AE68" i="183" s="1"/>
  <c r="AI68" i="183" s="1"/>
  <c r="Y68" i="183" s="1"/>
  <c r="Z68" i="183"/>
  <c r="X68" i="183"/>
  <c r="W68" i="183"/>
  <c r="Q68" i="183"/>
  <c r="P68" i="183"/>
  <c r="I68" i="183"/>
  <c r="H68" i="183"/>
  <c r="E68" i="183"/>
  <c r="AD67" i="183"/>
  <c r="AC67" i="183"/>
  <c r="AB67" i="183"/>
  <c r="AE67" i="183" s="1"/>
  <c r="AI67" i="183" s="1"/>
  <c r="Y67" i="183" s="1"/>
  <c r="Z67" i="183"/>
  <c r="X67" i="183"/>
  <c r="Q67" i="183"/>
  <c r="P67" i="183"/>
  <c r="I67" i="183"/>
  <c r="H67" i="183"/>
  <c r="E67" i="183"/>
  <c r="AE66" i="183"/>
  <c r="AI66" i="183" s="1"/>
  <c r="Y66" i="183" s="1"/>
  <c r="AD66" i="183"/>
  <c r="AC66" i="183"/>
  <c r="AB66" i="183"/>
  <c r="Z66" i="183"/>
  <c r="X66" i="183"/>
  <c r="Q66" i="183"/>
  <c r="P66" i="183"/>
  <c r="I66" i="183"/>
  <c r="H66" i="183"/>
  <c r="E66" i="183"/>
  <c r="AD65" i="183"/>
  <c r="AC65" i="183"/>
  <c r="AB65" i="183"/>
  <c r="AE65" i="183" s="1"/>
  <c r="AI65" i="183" s="1"/>
  <c r="Y65" i="183" s="1"/>
  <c r="Z65" i="183"/>
  <c r="X65" i="183"/>
  <c r="Q65" i="183"/>
  <c r="P65" i="183"/>
  <c r="H65" i="183"/>
  <c r="E65" i="183"/>
  <c r="I65" i="183" s="1"/>
  <c r="AE64" i="183"/>
  <c r="AI64" i="183" s="1"/>
  <c r="Y64" i="183" s="1"/>
  <c r="AD64" i="183"/>
  <c r="AC64" i="183"/>
  <c r="AB64" i="183"/>
  <c r="Z64" i="183"/>
  <c r="X64" i="183"/>
  <c r="Q64" i="183"/>
  <c r="P64" i="183"/>
  <c r="H64" i="183"/>
  <c r="E64" i="183"/>
  <c r="I64" i="183" s="1"/>
  <c r="AD63" i="183"/>
  <c r="AC63" i="183"/>
  <c r="AB63" i="183"/>
  <c r="AE63" i="183" s="1"/>
  <c r="AI63" i="183" s="1"/>
  <c r="Y63" i="183" s="1"/>
  <c r="Z63" i="183"/>
  <c r="X63" i="183"/>
  <c r="Q63" i="183"/>
  <c r="P63" i="183"/>
  <c r="I63" i="183"/>
  <c r="H63" i="183"/>
  <c r="E63" i="183"/>
  <c r="AD62" i="183"/>
  <c r="AC62" i="183"/>
  <c r="AB62" i="183"/>
  <c r="AE62" i="183" s="1"/>
  <c r="AI62" i="183" s="1"/>
  <c r="Y62" i="183" s="1"/>
  <c r="Z62" i="183"/>
  <c r="X62" i="183"/>
  <c r="Q62" i="183"/>
  <c r="P62" i="183"/>
  <c r="H62" i="183"/>
  <c r="E62" i="183"/>
  <c r="I62" i="183" s="1"/>
  <c r="AI61" i="183"/>
  <c r="Y61" i="183" s="1"/>
  <c r="AE61" i="183"/>
  <c r="AC61" i="183"/>
  <c r="AB61" i="183"/>
  <c r="X61" i="183"/>
  <c r="Q61" i="183"/>
  <c r="P61" i="183"/>
  <c r="H61" i="183"/>
  <c r="E61" i="183"/>
  <c r="I61" i="183" s="1"/>
  <c r="AE60" i="183"/>
  <c r="AI60" i="183" s="1"/>
  <c r="Y60" i="183" s="1"/>
  <c r="X60" i="183"/>
  <c r="Q60" i="183"/>
  <c r="P60" i="183"/>
  <c r="I60" i="183"/>
  <c r="H60" i="183"/>
  <c r="E60" i="183"/>
  <c r="AC59" i="183"/>
  <c r="AB59" i="183"/>
  <c r="AE59" i="183" s="1"/>
  <c r="AI59" i="183" s="1"/>
  <c r="Y59" i="183" s="1"/>
  <c r="X59" i="183"/>
  <c r="Q59" i="183"/>
  <c r="P59" i="183"/>
  <c r="I59" i="183"/>
  <c r="H59" i="183"/>
  <c r="E59" i="183"/>
  <c r="AE58" i="183"/>
  <c r="AI58" i="183" s="1"/>
  <c r="Y58" i="183" s="1"/>
  <c r="AC58" i="183"/>
  <c r="AB58" i="183"/>
  <c r="X58" i="183"/>
  <c r="Q58" i="183"/>
  <c r="P58" i="183"/>
  <c r="E58" i="183"/>
  <c r="I58" i="183" s="1"/>
  <c r="AE57" i="183"/>
  <c r="AI57" i="183" s="1"/>
  <c r="Y57" i="183" s="1"/>
  <c r="AC57" i="183"/>
  <c r="AB57" i="183"/>
  <c r="X57" i="183"/>
  <c r="Q57" i="183"/>
  <c r="P57" i="183"/>
  <c r="I57" i="183"/>
  <c r="H57" i="183"/>
  <c r="E57" i="183"/>
  <c r="AD56" i="183"/>
  <c r="AC56" i="183"/>
  <c r="AB56" i="183"/>
  <c r="AE56" i="183" s="1"/>
  <c r="AI56" i="183" s="1"/>
  <c r="Y56" i="183" s="1"/>
  <c r="Z56" i="183"/>
  <c r="X56" i="183"/>
  <c r="Q56" i="183"/>
  <c r="P56" i="183"/>
  <c r="H56" i="183"/>
  <c r="E56" i="183"/>
  <c r="I56" i="183" s="1"/>
  <c r="AD55" i="183"/>
  <c r="AC55" i="183"/>
  <c r="AB55" i="183"/>
  <c r="AE55" i="183" s="1"/>
  <c r="AI55" i="183" s="1"/>
  <c r="Y55" i="183" s="1"/>
  <c r="Z55" i="183"/>
  <c r="X55" i="183"/>
  <c r="Q55" i="183"/>
  <c r="P55" i="183"/>
  <c r="H55" i="183"/>
  <c r="E55" i="183"/>
  <c r="I55" i="183" s="1"/>
  <c r="AD54" i="183"/>
  <c r="AE54" i="183" s="1"/>
  <c r="AI54" i="183" s="1"/>
  <c r="Y54" i="183" s="1"/>
  <c r="AC54" i="183"/>
  <c r="AB54" i="183"/>
  <c r="Z54" i="183"/>
  <c r="X54" i="183"/>
  <c r="Q54" i="183"/>
  <c r="P54" i="183"/>
  <c r="H54" i="183"/>
  <c r="E54" i="183"/>
  <c r="I54" i="183" s="1"/>
  <c r="AE53" i="183"/>
  <c r="AI53" i="183" s="1"/>
  <c r="Y53" i="183" s="1"/>
  <c r="AD53" i="183"/>
  <c r="AC53" i="183"/>
  <c r="AB53" i="183"/>
  <c r="Z53" i="183"/>
  <c r="X53" i="183"/>
  <c r="Q53" i="183"/>
  <c r="P53" i="183"/>
  <c r="H53" i="183"/>
  <c r="E53" i="183"/>
  <c r="I53" i="183" s="1"/>
  <c r="AE52" i="183"/>
  <c r="AI52" i="183" s="1"/>
  <c r="Y52" i="183" s="1"/>
  <c r="Z52" i="183"/>
  <c r="X52" i="183"/>
  <c r="Q52" i="183"/>
  <c r="P52" i="183"/>
  <c r="I52" i="183"/>
  <c r="H52" i="183"/>
  <c r="E52" i="183"/>
  <c r="AD51" i="183"/>
  <c r="AC51" i="183"/>
  <c r="AB51" i="183"/>
  <c r="AE51" i="183" s="1"/>
  <c r="AI51" i="183" s="1"/>
  <c r="Y51" i="183" s="1"/>
  <c r="Z51" i="183"/>
  <c r="X51" i="183"/>
  <c r="Q51" i="183"/>
  <c r="P51" i="183"/>
  <c r="I51" i="183"/>
  <c r="H51" i="183"/>
  <c r="E51" i="183"/>
  <c r="AE50" i="183"/>
  <c r="AI50" i="183" s="1"/>
  <c r="Y50" i="183" s="1"/>
  <c r="AD50" i="183"/>
  <c r="AC50" i="183"/>
  <c r="AB50" i="183"/>
  <c r="Z50" i="183"/>
  <c r="X50" i="183"/>
  <c r="Q50" i="183"/>
  <c r="P50" i="183"/>
  <c r="I50" i="183"/>
  <c r="H50" i="183"/>
  <c r="E50" i="183"/>
  <c r="AI49" i="183"/>
  <c r="Y49" i="183" s="1"/>
  <c r="AE49" i="183"/>
  <c r="Z49" i="183"/>
  <c r="X49" i="183"/>
  <c r="Q49" i="183"/>
  <c r="P49" i="183"/>
  <c r="H49" i="183"/>
  <c r="E49" i="183"/>
  <c r="I49" i="183" s="1"/>
  <c r="AE48" i="183"/>
  <c r="AI48" i="183" s="1"/>
  <c r="Y48" i="183" s="1"/>
  <c r="Z48" i="183"/>
  <c r="X48" i="183"/>
  <c r="Q48" i="183"/>
  <c r="P48" i="183"/>
  <c r="I48" i="183"/>
  <c r="H48" i="183"/>
  <c r="E48" i="183"/>
  <c r="AI47" i="183"/>
  <c r="Y47" i="183" s="1"/>
  <c r="AE47" i="183"/>
  <c r="Z47" i="183"/>
  <c r="X47" i="183"/>
  <c r="Q47" i="183"/>
  <c r="P47" i="183"/>
  <c r="H47" i="183"/>
  <c r="E47" i="183"/>
  <c r="I47" i="183" s="1"/>
  <c r="AD46" i="183"/>
  <c r="AC46" i="183"/>
  <c r="AB46" i="183"/>
  <c r="AE46" i="183" s="1"/>
  <c r="AI46" i="183" s="1"/>
  <c r="Y46" i="183" s="1"/>
  <c r="Z46" i="183"/>
  <c r="X46" i="183"/>
  <c r="Q46" i="183"/>
  <c r="P46" i="183"/>
  <c r="I46" i="183"/>
  <c r="H46" i="183"/>
  <c r="E46" i="183"/>
  <c r="AD45" i="183"/>
  <c r="AC45" i="183"/>
  <c r="AE45" i="183" s="1"/>
  <c r="AI45" i="183" s="1"/>
  <c r="Y45" i="183" s="1"/>
  <c r="AB45" i="183"/>
  <c r="Z45" i="183"/>
  <c r="X45" i="183"/>
  <c r="Q45" i="183"/>
  <c r="P45" i="183"/>
  <c r="H45" i="183"/>
  <c r="E45" i="183"/>
  <c r="I45" i="183" s="1"/>
  <c r="AD44" i="183"/>
  <c r="AC44" i="183"/>
  <c r="AB44" i="183"/>
  <c r="AE44" i="183" s="1"/>
  <c r="AI44" i="183" s="1"/>
  <c r="Y44" i="183" s="1"/>
  <c r="Z44" i="183"/>
  <c r="X44" i="183"/>
  <c r="Q44" i="183"/>
  <c r="P44" i="183"/>
  <c r="H44" i="183"/>
  <c r="E44" i="183"/>
  <c r="I44" i="183" s="1"/>
  <c r="AD43" i="183"/>
  <c r="AC43" i="183"/>
  <c r="AB43" i="183"/>
  <c r="AE43" i="183" s="1"/>
  <c r="AI43" i="183" s="1"/>
  <c r="Y43" i="183" s="1"/>
  <c r="Z43" i="183"/>
  <c r="X43" i="183"/>
  <c r="Q43" i="183"/>
  <c r="P43" i="183"/>
  <c r="H43" i="183"/>
  <c r="E43" i="183"/>
  <c r="I43" i="183" s="1"/>
  <c r="AD42" i="183"/>
  <c r="AE42" i="183" s="1"/>
  <c r="AI42" i="183" s="1"/>
  <c r="Y42" i="183" s="1"/>
  <c r="AC42" i="183"/>
  <c r="AB42" i="183"/>
  <c r="Z42" i="183"/>
  <c r="X42" i="183"/>
  <c r="Q42" i="183"/>
  <c r="P42" i="183"/>
  <c r="H42" i="183"/>
  <c r="E42" i="183"/>
  <c r="I42" i="183" s="1"/>
  <c r="AE41" i="183"/>
  <c r="AI41" i="183" s="1"/>
  <c r="Y41" i="183" s="1"/>
  <c r="AD41" i="183"/>
  <c r="AC41" i="183"/>
  <c r="AB41" i="183"/>
  <c r="Z41" i="183"/>
  <c r="X41" i="183"/>
  <c r="Q41" i="183"/>
  <c r="P41" i="183"/>
  <c r="H41" i="183"/>
  <c r="E41" i="183"/>
  <c r="I41" i="183" s="1"/>
  <c r="AD40" i="183"/>
  <c r="AC40" i="183"/>
  <c r="AB40" i="183"/>
  <c r="AE40" i="183" s="1"/>
  <c r="AI40" i="183" s="1"/>
  <c r="Y40" i="183" s="1"/>
  <c r="Z40" i="183"/>
  <c r="X40" i="183"/>
  <c r="Q40" i="183"/>
  <c r="P40" i="183"/>
  <c r="H40" i="183"/>
  <c r="E40" i="183"/>
  <c r="I40" i="183" s="1"/>
  <c r="AD39" i="183"/>
  <c r="AC39" i="183"/>
  <c r="AB39" i="183"/>
  <c r="AE39" i="183" s="1"/>
  <c r="AI39" i="183" s="1"/>
  <c r="Y39" i="183" s="1"/>
  <c r="Z39" i="183"/>
  <c r="X39" i="183"/>
  <c r="Q39" i="183"/>
  <c r="P39" i="183"/>
  <c r="I39" i="183"/>
  <c r="H39" i="183"/>
  <c r="E39" i="183"/>
  <c r="AD38" i="183"/>
  <c r="AC38" i="183"/>
  <c r="AB38" i="183"/>
  <c r="AE38" i="183" s="1"/>
  <c r="AI38" i="183" s="1"/>
  <c r="Y38" i="183" s="1"/>
  <c r="Z38" i="183"/>
  <c r="X38" i="183"/>
  <c r="Q38" i="183"/>
  <c r="P38" i="183"/>
  <c r="I38" i="183"/>
  <c r="H38" i="183"/>
  <c r="E38" i="183"/>
  <c r="AE37" i="183"/>
  <c r="AI37" i="183" s="1"/>
  <c r="Y37" i="183" s="1"/>
  <c r="AD37" i="183"/>
  <c r="AC37" i="183"/>
  <c r="AB37" i="183"/>
  <c r="Z37" i="183"/>
  <c r="X37" i="183"/>
  <c r="Q37" i="183"/>
  <c r="P37" i="183"/>
  <c r="I37" i="183"/>
  <c r="H37" i="183"/>
  <c r="E37" i="183"/>
  <c r="AD36" i="183"/>
  <c r="AC36" i="183"/>
  <c r="AB36" i="183"/>
  <c r="AE36" i="183" s="1"/>
  <c r="AI36" i="183" s="1"/>
  <c r="Y36" i="183" s="1"/>
  <c r="Z36" i="183"/>
  <c r="X36" i="183"/>
  <c r="Q36" i="183"/>
  <c r="P36" i="183"/>
  <c r="H36" i="183"/>
  <c r="E36" i="183"/>
  <c r="I36" i="183" s="1"/>
  <c r="AE35" i="183"/>
  <c r="AI35" i="183" s="1"/>
  <c r="Y35" i="183" s="1"/>
  <c r="AD35" i="183"/>
  <c r="AC35" i="183"/>
  <c r="AB35" i="183"/>
  <c r="Z35" i="183"/>
  <c r="X35" i="183"/>
  <c r="Q35" i="183"/>
  <c r="P35" i="183"/>
  <c r="I35" i="183"/>
  <c r="H35" i="183"/>
  <c r="E35" i="183"/>
  <c r="AD34" i="183"/>
  <c r="AC34" i="183"/>
  <c r="AB34" i="183"/>
  <c r="AE34" i="183" s="1"/>
  <c r="AI34" i="183" s="1"/>
  <c r="Y34" i="183" s="1"/>
  <c r="Z34" i="183"/>
  <c r="X34" i="183"/>
  <c r="Q34" i="183"/>
  <c r="P34" i="183"/>
  <c r="I34" i="183"/>
  <c r="H34" i="183"/>
  <c r="E34" i="183"/>
  <c r="AD33" i="183"/>
  <c r="AC33" i="183"/>
  <c r="AB33" i="183"/>
  <c r="AE33" i="183" s="1"/>
  <c r="AI33" i="183" s="1"/>
  <c r="Y33" i="183" s="1"/>
  <c r="Z33" i="183"/>
  <c r="X33" i="183"/>
  <c r="Q33" i="183"/>
  <c r="P33" i="183"/>
  <c r="H33" i="183"/>
  <c r="E33" i="183"/>
  <c r="I33" i="183" s="1"/>
  <c r="AD32" i="183"/>
  <c r="AC32" i="183"/>
  <c r="AB32" i="183"/>
  <c r="AE32" i="183" s="1"/>
  <c r="AI32" i="183" s="1"/>
  <c r="Y32" i="183" s="1"/>
  <c r="Z32" i="183"/>
  <c r="X32" i="183"/>
  <c r="Q32" i="183"/>
  <c r="P32" i="183"/>
  <c r="I32" i="183"/>
  <c r="H32" i="183"/>
  <c r="E32" i="183"/>
  <c r="AE31" i="183"/>
  <c r="AI31" i="183" s="1"/>
  <c r="Y31" i="183" s="1"/>
  <c r="Z31" i="183"/>
  <c r="X31" i="183"/>
  <c r="Q31" i="183"/>
  <c r="P31" i="183"/>
  <c r="I31" i="183"/>
  <c r="H31" i="183"/>
  <c r="E31" i="183"/>
  <c r="AD30" i="183"/>
  <c r="AC30" i="183"/>
  <c r="AE30" i="183" s="1"/>
  <c r="AI30" i="183" s="1"/>
  <c r="Y30" i="183" s="1"/>
  <c r="AB30" i="183"/>
  <c r="Z30" i="183"/>
  <c r="X30" i="183"/>
  <c r="Q30" i="183"/>
  <c r="P30" i="183"/>
  <c r="H30" i="183"/>
  <c r="E30" i="183"/>
  <c r="I30" i="183" s="1"/>
  <c r="AD29" i="183"/>
  <c r="AC29" i="183"/>
  <c r="AB29" i="183"/>
  <c r="AE29" i="183" s="1"/>
  <c r="AI29" i="183" s="1"/>
  <c r="Y29" i="183" s="1"/>
  <c r="Z29" i="183"/>
  <c r="X29" i="183"/>
  <c r="Q29" i="183"/>
  <c r="P29" i="183"/>
  <c r="H29" i="183"/>
  <c r="E29" i="183"/>
  <c r="I29" i="183" s="1"/>
  <c r="AD28" i="183"/>
  <c r="AC28" i="183"/>
  <c r="AE28" i="183" s="1"/>
  <c r="AI28" i="183" s="1"/>
  <c r="Y28" i="183" s="1"/>
  <c r="AB28" i="183"/>
  <c r="Z28" i="183"/>
  <c r="X28" i="183"/>
  <c r="Q28" i="183"/>
  <c r="P28" i="183"/>
  <c r="H28" i="183"/>
  <c r="E28" i="183"/>
  <c r="I28" i="183" s="1"/>
  <c r="AD27" i="183"/>
  <c r="AE27" i="183" s="1"/>
  <c r="AI27" i="183" s="1"/>
  <c r="Y27" i="183" s="1"/>
  <c r="AC27" i="183"/>
  <c r="AB27" i="183"/>
  <c r="Z27" i="183"/>
  <c r="X27" i="183"/>
  <c r="Q27" i="183"/>
  <c r="P27" i="183"/>
  <c r="H27" i="183"/>
  <c r="E27" i="183"/>
  <c r="I27" i="183" s="1"/>
  <c r="AE26" i="183"/>
  <c r="AI26" i="183" s="1"/>
  <c r="Y26" i="183" s="1"/>
  <c r="AD26" i="183"/>
  <c r="AC26" i="183"/>
  <c r="AB26" i="183"/>
  <c r="Z26" i="183"/>
  <c r="X26" i="183"/>
  <c r="Q26" i="183"/>
  <c r="P26" i="183"/>
  <c r="H26" i="183"/>
  <c r="E26" i="183"/>
  <c r="I26" i="183" s="1"/>
  <c r="AD25" i="183"/>
  <c r="AC25" i="183"/>
  <c r="AB25" i="183"/>
  <c r="AE25" i="183" s="1"/>
  <c r="AI25" i="183" s="1"/>
  <c r="Y25" i="183" s="1"/>
  <c r="Z25" i="183"/>
  <c r="X25" i="183"/>
  <c r="Q25" i="183"/>
  <c r="P25" i="183"/>
  <c r="H25" i="183"/>
  <c r="E25" i="183"/>
  <c r="I25" i="183" s="1"/>
  <c r="AD24" i="183"/>
  <c r="AC24" i="183"/>
  <c r="AB24" i="183"/>
  <c r="AE24" i="183" s="1"/>
  <c r="AI24" i="183" s="1"/>
  <c r="Y24" i="183" s="1"/>
  <c r="Z24" i="183"/>
  <c r="X24" i="183"/>
  <c r="Q24" i="183"/>
  <c r="P24" i="183"/>
  <c r="I24" i="183"/>
  <c r="H24" i="183"/>
  <c r="E24" i="183"/>
  <c r="AD23" i="183"/>
  <c r="AC23" i="183"/>
  <c r="AB23" i="183"/>
  <c r="AE23" i="183" s="1"/>
  <c r="AI23" i="183" s="1"/>
  <c r="Y23" i="183" s="1"/>
  <c r="Z23" i="183"/>
  <c r="X23" i="183"/>
  <c r="Q23" i="183"/>
  <c r="P23" i="183"/>
  <c r="I23" i="183"/>
  <c r="H23" i="183"/>
  <c r="E23" i="183"/>
  <c r="AE22" i="183"/>
  <c r="AI22" i="183" s="1"/>
  <c r="Y22" i="183" s="1"/>
  <c r="AD22" i="183"/>
  <c r="AC22" i="183"/>
  <c r="AB22" i="183"/>
  <c r="Z22" i="183"/>
  <c r="X22" i="183"/>
  <c r="Q22" i="183"/>
  <c r="P22" i="183"/>
  <c r="I22" i="183"/>
  <c r="H22" i="183"/>
  <c r="E22" i="183"/>
  <c r="AD21" i="183"/>
  <c r="AC21" i="183"/>
  <c r="AB21" i="183"/>
  <c r="AE21" i="183" s="1"/>
  <c r="AI21" i="183" s="1"/>
  <c r="Y21" i="183" s="1"/>
  <c r="Z21" i="183"/>
  <c r="X21" i="183"/>
  <c r="Q21" i="183"/>
  <c r="P21" i="183"/>
  <c r="H21" i="183"/>
  <c r="E21" i="183"/>
  <c r="I21" i="183" s="1"/>
  <c r="AE20" i="183"/>
  <c r="AI20" i="183" s="1"/>
  <c r="Y20" i="183" s="1"/>
  <c r="AD20" i="183"/>
  <c r="AC20" i="183"/>
  <c r="AB20" i="183"/>
  <c r="Z20" i="183"/>
  <c r="X20" i="183"/>
  <c r="Q20" i="183"/>
  <c r="P20" i="183"/>
  <c r="I20" i="183"/>
  <c r="H20" i="183"/>
  <c r="E20" i="183"/>
  <c r="AD19" i="183"/>
  <c r="AC19" i="183"/>
  <c r="AB19" i="183"/>
  <c r="AE19" i="183" s="1"/>
  <c r="AI19" i="183" s="1"/>
  <c r="Y19" i="183" s="1"/>
  <c r="Z19" i="183"/>
  <c r="X19" i="183"/>
  <c r="Q19" i="183"/>
  <c r="P19" i="183"/>
  <c r="I19" i="183"/>
  <c r="H19" i="183"/>
  <c r="E19" i="183"/>
  <c r="AD18" i="183"/>
  <c r="AC18" i="183"/>
  <c r="AB18" i="183"/>
  <c r="AE18" i="183" s="1"/>
  <c r="AI18" i="183" s="1"/>
  <c r="Y18" i="183" s="1"/>
  <c r="Z18" i="183"/>
  <c r="X18" i="183"/>
  <c r="Q18" i="183"/>
  <c r="P18" i="183"/>
  <c r="H18" i="183"/>
  <c r="E18" i="183"/>
  <c r="I18" i="183" s="1"/>
  <c r="AD17" i="183"/>
  <c r="AC17" i="183"/>
  <c r="AB17" i="183"/>
  <c r="AE17" i="183" s="1"/>
  <c r="AI17" i="183" s="1"/>
  <c r="Y17" i="183" s="1"/>
  <c r="Z17" i="183"/>
  <c r="X17" i="183"/>
  <c r="Q17" i="183"/>
  <c r="P17" i="183"/>
  <c r="I17" i="183"/>
  <c r="H17" i="183"/>
  <c r="E17" i="183"/>
  <c r="AD16" i="183"/>
  <c r="AC16" i="183"/>
  <c r="AE16" i="183" s="1"/>
  <c r="AI16" i="183" s="1"/>
  <c r="Y16" i="183" s="1"/>
  <c r="AB16" i="183"/>
  <c r="Z16" i="183"/>
  <c r="X16" i="183"/>
  <c r="Q16" i="183"/>
  <c r="P16" i="183"/>
  <c r="E16" i="183"/>
  <c r="I16" i="183" s="1"/>
  <c r="AE15" i="183"/>
  <c r="AI15" i="183" s="1"/>
  <c r="Y15" i="183" s="1"/>
  <c r="AD15" i="183"/>
  <c r="AC15" i="183"/>
  <c r="AB15" i="183"/>
  <c r="Z15" i="183"/>
  <c r="X15" i="183"/>
  <c r="Q15" i="183"/>
  <c r="P15" i="183"/>
  <c r="E15" i="183"/>
  <c r="I15" i="183" s="1"/>
  <c r="AD14" i="183"/>
  <c r="AC14" i="183"/>
  <c r="AB14" i="183"/>
  <c r="AE14" i="183" s="1"/>
  <c r="AI14" i="183" s="1"/>
  <c r="Y14" i="183" s="1"/>
  <c r="Z14" i="183"/>
  <c r="X14" i="183"/>
  <c r="Q14" i="183"/>
  <c r="P14" i="183"/>
  <c r="I14" i="183"/>
  <c r="H14" i="183"/>
  <c r="E14" i="183"/>
  <c r="AD13" i="183"/>
  <c r="AC13" i="183"/>
  <c r="AB13" i="183"/>
  <c r="AE13" i="183" s="1"/>
  <c r="AI13" i="183" s="1"/>
  <c r="Y13" i="183" s="1"/>
  <c r="Z13" i="183"/>
  <c r="X13" i="183"/>
  <c r="Q13" i="183"/>
  <c r="P13" i="183"/>
  <c r="I13" i="183"/>
  <c r="H13" i="183"/>
  <c r="E13" i="183"/>
  <c r="AE12" i="183"/>
  <c r="AI12" i="183" s="1"/>
  <c r="Y12" i="183" s="1"/>
  <c r="AD12" i="183"/>
  <c r="AC12" i="183"/>
  <c r="AB12" i="183"/>
  <c r="Z12" i="183"/>
  <c r="T75" i="183" s="1"/>
  <c r="X12" i="183"/>
  <c r="T77" i="183" s="1"/>
  <c r="Q12" i="183"/>
  <c r="P12" i="183"/>
  <c r="I12" i="183"/>
  <c r="H12" i="183"/>
  <c r="E12" i="183"/>
  <c r="T79" i="184" l="1"/>
  <c r="F77" i="184" s="1"/>
  <c r="O73" i="183"/>
  <c r="O75" i="183"/>
  <c r="F73" i="183"/>
  <c r="F75" i="183"/>
  <c r="T73" i="183"/>
  <c r="T79" i="183" s="1"/>
  <c r="M79" i="182"/>
  <c r="W73" i="182"/>
  <c r="P71" i="182"/>
  <c r="H71" i="182"/>
  <c r="Q70" i="182"/>
  <c r="P70" i="182"/>
  <c r="H70" i="182"/>
  <c r="E70" i="182"/>
  <c r="I70" i="182" s="1"/>
  <c r="Q69" i="182"/>
  <c r="P69" i="182"/>
  <c r="H69" i="182"/>
  <c r="E69" i="182"/>
  <c r="I69" i="182" s="1"/>
  <c r="AD68" i="182"/>
  <c r="AC68" i="182"/>
  <c r="AB68" i="182"/>
  <c r="AE68" i="182" s="1"/>
  <c r="AI68" i="182" s="1"/>
  <c r="Y68" i="182" s="1"/>
  <c r="Z68" i="182"/>
  <c r="X68" i="182"/>
  <c r="W68" i="182"/>
  <c r="Q68" i="182"/>
  <c r="P68" i="182"/>
  <c r="H68" i="182"/>
  <c r="E68" i="182"/>
  <c r="I68" i="182" s="1"/>
  <c r="AI67" i="182"/>
  <c r="Y67" i="182" s="1"/>
  <c r="AE67" i="182"/>
  <c r="AD67" i="182"/>
  <c r="AC67" i="182"/>
  <c r="AB67" i="182"/>
  <c r="Z67" i="182"/>
  <c r="X67" i="182"/>
  <c r="Q67" i="182"/>
  <c r="P67" i="182"/>
  <c r="H67" i="182"/>
  <c r="E67" i="182"/>
  <c r="I67" i="182" s="1"/>
  <c r="AD66" i="182"/>
  <c r="AC66" i="182"/>
  <c r="AB66" i="182"/>
  <c r="AE66" i="182" s="1"/>
  <c r="AI66" i="182" s="1"/>
  <c r="Y66" i="182" s="1"/>
  <c r="Z66" i="182"/>
  <c r="X66" i="182"/>
  <c r="Q66" i="182"/>
  <c r="P66" i="182"/>
  <c r="I66" i="182"/>
  <c r="H66" i="182"/>
  <c r="E66" i="182"/>
  <c r="AD65" i="182"/>
  <c r="AC65" i="182"/>
  <c r="AB65" i="182"/>
  <c r="AE65" i="182" s="1"/>
  <c r="AI65" i="182" s="1"/>
  <c r="Y65" i="182" s="1"/>
  <c r="Z65" i="182"/>
  <c r="X65" i="182"/>
  <c r="Q65" i="182"/>
  <c r="P65" i="182"/>
  <c r="H65" i="182"/>
  <c r="E65" i="182"/>
  <c r="I65" i="182" s="1"/>
  <c r="AD64" i="182"/>
  <c r="AE64" i="182" s="1"/>
  <c r="AI64" i="182" s="1"/>
  <c r="Y64" i="182" s="1"/>
  <c r="AC64" i="182"/>
  <c r="AB64" i="182"/>
  <c r="Z64" i="182"/>
  <c r="X64" i="182"/>
  <c r="Q64" i="182"/>
  <c r="P64" i="182"/>
  <c r="I64" i="182"/>
  <c r="H64" i="182"/>
  <c r="E64" i="182"/>
  <c r="AD63" i="182"/>
  <c r="AC63" i="182"/>
  <c r="AE63" i="182" s="1"/>
  <c r="AI63" i="182" s="1"/>
  <c r="Y63" i="182" s="1"/>
  <c r="AB63" i="182"/>
  <c r="Z63" i="182"/>
  <c r="X63" i="182"/>
  <c r="Q63" i="182"/>
  <c r="P63" i="182"/>
  <c r="H63" i="182"/>
  <c r="E63" i="182"/>
  <c r="I63" i="182" s="1"/>
  <c r="AE62" i="182"/>
  <c r="AI62" i="182" s="1"/>
  <c r="Y62" i="182" s="1"/>
  <c r="AD62" i="182"/>
  <c r="AC62" i="182"/>
  <c r="AB62" i="182"/>
  <c r="Z62" i="182"/>
  <c r="X62" i="182"/>
  <c r="Q62" i="182"/>
  <c r="P62" i="182"/>
  <c r="H62" i="182"/>
  <c r="E62" i="182"/>
  <c r="I62" i="182" s="1"/>
  <c r="AC61" i="182"/>
  <c r="AE61" i="182" s="1"/>
  <c r="AI61" i="182" s="1"/>
  <c r="Y61" i="182" s="1"/>
  <c r="AB61" i="182"/>
  <c r="X61" i="182"/>
  <c r="Q61" i="182"/>
  <c r="P61" i="182"/>
  <c r="I61" i="182"/>
  <c r="H61" i="182"/>
  <c r="E61" i="182"/>
  <c r="AE60" i="182"/>
  <c r="AI60" i="182" s="1"/>
  <c r="Y60" i="182" s="1"/>
  <c r="X60" i="182"/>
  <c r="Q60" i="182"/>
  <c r="P60" i="182"/>
  <c r="I60" i="182"/>
  <c r="H60" i="182"/>
  <c r="E60" i="182"/>
  <c r="AC59" i="182"/>
  <c r="AB59" i="182"/>
  <c r="AE59" i="182" s="1"/>
  <c r="AI59" i="182" s="1"/>
  <c r="Y59" i="182" s="1"/>
  <c r="X59" i="182"/>
  <c r="Q59" i="182"/>
  <c r="P59" i="182"/>
  <c r="H59" i="182"/>
  <c r="E59" i="182"/>
  <c r="I59" i="182" s="1"/>
  <c r="AC58" i="182"/>
  <c r="AB58" i="182"/>
  <c r="AE58" i="182" s="1"/>
  <c r="AI58" i="182" s="1"/>
  <c r="Y58" i="182" s="1"/>
  <c r="X58" i="182"/>
  <c r="Q58" i="182"/>
  <c r="P58" i="182"/>
  <c r="E58" i="182"/>
  <c r="I58" i="182" s="1"/>
  <c r="AC57" i="182"/>
  <c r="AB57" i="182"/>
  <c r="AE57" i="182" s="1"/>
  <c r="AI57" i="182" s="1"/>
  <c r="Y57" i="182" s="1"/>
  <c r="X57" i="182"/>
  <c r="Q57" i="182"/>
  <c r="P57" i="182"/>
  <c r="I57" i="182"/>
  <c r="H57" i="182"/>
  <c r="E57" i="182"/>
  <c r="AD56" i="182"/>
  <c r="AC56" i="182"/>
  <c r="AB56" i="182"/>
  <c r="AE56" i="182" s="1"/>
  <c r="AI56" i="182" s="1"/>
  <c r="Y56" i="182" s="1"/>
  <c r="Z56" i="182"/>
  <c r="X56" i="182"/>
  <c r="Q56" i="182"/>
  <c r="P56" i="182"/>
  <c r="I56" i="182"/>
  <c r="H56" i="182"/>
  <c r="E56" i="182"/>
  <c r="AE55" i="182"/>
  <c r="AI55" i="182" s="1"/>
  <c r="Y55" i="182" s="1"/>
  <c r="AD55" i="182"/>
  <c r="AC55" i="182"/>
  <c r="AB55" i="182"/>
  <c r="Z55" i="182"/>
  <c r="X55" i="182"/>
  <c r="Q55" i="182"/>
  <c r="P55" i="182"/>
  <c r="I55" i="182"/>
  <c r="H55" i="182"/>
  <c r="E55" i="182"/>
  <c r="AD54" i="182"/>
  <c r="AC54" i="182"/>
  <c r="AB54" i="182"/>
  <c r="AE54" i="182" s="1"/>
  <c r="AI54" i="182" s="1"/>
  <c r="Y54" i="182" s="1"/>
  <c r="Z54" i="182"/>
  <c r="X54" i="182"/>
  <c r="Q54" i="182"/>
  <c r="P54" i="182"/>
  <c r="I54" i="182"/>
  <c r="H54" i="182"/>
  <c r="E54" i="182"/>
  <c r="AD53" i="182"/>
  <c r="AC53" i="182"/>
  <c r="AE53" i="182" s="1"/>
  <c r="AI53" i="182" s="1"/>
  <c r="Y53" i="182" s="1"/>
  <c r="AB53" i="182"/>
  <c r="Z53" i="182"/>
  <c r="X53" i="182"/>
  <c r="Q53" i="182"/>
  <c r="P53" i="182"/>
  <c r="H53" i="182"/>
  <c r="E53" i="182"/>
  <c r="I53" i="182" s="1"/>
  <c r="AE52" i="182"/>
  <c r="AI52" i="182" s="1"/>
  <c r="Y52" i="182" s="1"/>
  <c r="Z52" i="182"/>
  <c r="X52" i="182"/>
  <c r="Q52" i="182"/>
  <c r="P52" i="182"/>
  <c r="H52" i="182"/>
  <c r="E52" i="182"/>
  <c r="I52" i="182" s="1"/>
  <c r="AD51" i="182"/>
  <c r="AE51" i="182" s="1"/>
  <c r="AI51" i="182" s="1"/>
  <c r="Y51" i="182" s="1"/>
  <c r="AC51" i="182"/>
  <c r="AB51" i="182"/>
  <c r="Z51" i="182"/>
  <c r="X51" i="182"/>
  <c r="Q51" i="182"/>
  <c r="P51" i="182"/>
  <c r="H51" i="182"/>
  <c r="E51" i="182"/>
  <c r="I51" i="182" s="1"/>
  <c r="AD50" i="182"/>
  <c r="AC50" i="182"/>
  <c r="AB50" i="182"/>
  <c r="AE50" i="182" s="1"/>
  <c r="AI50" i="182" s="1"/>
  <c r="Y50" i="182" s="1"/>
  <c r="Z50" i="182"/>
  <c r="X50" i="182"/>
  <c r="Q50" i="182"/>
  <c r="P50" i="182"/>
  <c r="I50" i="182"/>
  <c r="H50" i="182"/>
  <c r="E50" i="182"/>
  <c r="AI49" i="182"/>
  <c r="Y49" i="182" s="1"/>
  <c r="AE49" i="182"/>
  <c r="Z49" i="182"/>
  <c r="X49" i="182"/>
  <c r="Q49" i="182"/>
  <c r="P49" i="182"/>
  <c r="I49" i="182"/>
  <c r="H49" i="182"/>
  <c r="E49" i="182"/>
  <c r="AI48" i="182"/>
  <c r="AE48" i="182"/>
  <c r="Z48" i="182"/>
  <c r="Y48" i="182"/>
  <c r="X48" i="182"/>
  <c r="Q48" i="182"/>
  <c r="P48" i="182"/>
  <c r="H48" i="182"/>
  <c r="E48" i="182"/>
  <c r="I48" i="182" s="1"/>
  <c r="AE47" i="182"/>
  <c r="AI47" i="182" s="1"/>
  <c r="Y47" i="182" s="1"/>
  <c r="Z47" i="182"/>
  <c r="X47" i="182"/>
  <c r="Q47" i="182"/>
  <c r="P47" i="182"/>
  <c r="H47" i="182"/>
  <c r="E47" i="182"/>
  <c r="I47" i="182" s="1"/>
  <c r="AD46" i="182"/>
  <c r="AC46" i="182"/>
  <c r="AB46" i="182"/>
  <c r="AE46" i="182" s="1"/>
  <c r="AI46" i="182" s="1"/>
  <c r="Y46" i="182" s="1"/>
  <c r="Z46" i="182"/>
  <c r="X46" i="182"/>
  <c r="Q46" i="182"/>
  <c r="P46" i="182"/>
  <c r="H46" i="182"/>
  <c r="E46" i="182"/>
  <c r="I46" i="182" s="1"/>
  <c r="AD45" i="182"/>
  <c r="AE45" i="182" s="1"/>
  <c r="AI45" i="182" s="1"/>
  <c r="Y45" i="182" s="1"/>
  <c r="AC45" i="182"/>
  <c r="AB45" i="182"/>
  <c r="Z45" i="182"/>
  <c r="X45" i="182"/>
  <c r="Q45" i="182"/>
  <c r="P45" i="182"/>
  <c r="H45" i="182"/>
  <c r="E45" i="182"/>
  <c r="I45" i="182" s="1"/>
  <c r="AD44" i="182"/>
  <c r="AC44" i="182"/>
  <c r="AB44" i="182"/>
  <c r="AE44" i="182" s="1"/>
  <c r="AI44" i="182" s="1"/>
  <c r="Y44" i="182" s="1"/>
  <c r="Z44" i="182"/>
  <c r="X44" i="182"/>
  <c r="Q44" i="182"/>
  <c r="P44" i="182"/>
  <c r="I44" i="182"/>
  <c r="H44" i="182"/>
  <c r="E44" i="182"/>
  <c r="AE43" i="182"/>
  <c r="AI43" i="182" s="1"/>
  <c r="Y43" i="182" s="1"/>
  <c r="AD43" i="182"/>
  <c r="AC43" i="182"/>
  <c r="AB43" i="182"/>
  <c r="Z43" i="182"/>
  <c r="X43" i="182"/>
  <c r="Q43" i="182"/>
  <c r="P43" i="182"/>
  <c r="H43" i="182"/>
  <c r="E43" i="182"/>
  <c r="I43" i="182" s="1"/>
  <c r="AD42" i="182"/>
  <c r="AC42" i="182"/>
  <c r="AB42" i="182"/>
  <c r="AE42" i="182" s="1"/>
  <c r="AI42" i="182" s="1"/>
  <c r="Y42" i="182" s="1"/>
  <c r="Z42" i="182"/>
  <c r="X42" i="182"/>
  <c r="Q42" i="182"/>
  <c r="P42" i="182"/>
  <c r="I42" i="182"/>
  <c r="H42" i="182"/>
  <c r="E42" i="182"/>
  <c r="AD41" i="182"/>
  <c r="AC41" i="182"/>
  <c r="AE41" i="182" s="1"/>
  <c r="AI41" i="182" s="1"/>
  <c r="Y41" i="182" s="1"/>
  <c r="AB41" i="182"/>
  <c r="Z41" i="182"/>
  <c r="X41" i="182"/>
  <c r="Q41" i="182"/>
  <c r="P41" i="182"/>
  <c r="H41" i="182"/>
  <c r="E41" i="182"/>
  <c r="I41" i="182" s="1"/>
  <c r="AE40" i="182"/>
  <c r="AI40" i="182" s="1"/>
  <c r="Y40" i="182" s="1"/>
  <c r="AD40" i="182"/>
  <c r="AC40" i="182"/>
  <c r="AB40" i="182"/>
  <c r="Z40" i="182"/>
  <c r="X40" i="182"/>
  <c r="Q40" i="182"/>
  <c r="P40" i="182"/>
  <c r="I40" i="182"/>
  <c r="H40" i="182"/>
  <c r="E40" i="182"/>
  <c r="AD39" i="182"/>
  <c r="AC39" i="182"/>
  <c r="AB39" i="182"/>
  <c r="AE39" i="182" s="1"/>
  <c r="AI39" i="182" s="1"/>
  <c r="Y39" i="182" s="1"/>
  <c r="Z39" i="182"/>
  <c r="X39" i="182"/>
  <c r="Q39" i="182"/>
  <c r="P39" i="182"/>
  <c r="H39" i="182"/>
  <c r="E39" i="182"/>
  <c r="I39" i="182" s="1"/>
  <c r="AI38" i="182"/>
  <c r="Y38" i="182" s="1"/>
  <c r="AE38" i="182"/>
  <c r="AD38" i="182"/>
  <c r="AC38" i="182"/>
  <c r="AB38" i="182"/>
  <c r="Z38" i="182"/>
  <c r="X38" i="182"/>
  <c r="Q38" i="182"/>
  <c r="P38" i="182"/>
  <c r="H38" i="182"/>
  <c r="E38" i="182"/>
  <c r="I38" i="182" s="1"/>
  <c r="AD37" i="182"/>
  <c r="AC37" i="182"/>
  <c r="AB37" i="182"/>
  <c r="AE37" i="182" s="1"/>
  <c r="AI37" i="182" s="1"/>
  <c r="Y37" i="182" s="1"/>
  <c r="Z37" i="182"/>
  <c r="X37" i="182"/>
  <c r="Q37" i="182"/>
  <c r="P37" i="182"/>
  <c r="I37" i="182"/>
  <c r="H37" i="182"/>
  <c r="E37" i="182"/>
  <c r="AD36" i="182"/>
  <c r="AC36" i="182"/>
  <c r="AB36" i="182"/>
  <c r="AE36" i="182" s="1"/>
  <c r="AI36" i="182" s="1"/>
  <c r="Y36" i="182" s="1"/>
  <c r="Z36" i="182"/>
  <c r="X36" i="182"/>
  <c r="Q36" i="182"/>
  <c r="P36" i="182"/>
  <c r="H36" i="182"/>
  <c r="E36" i="182"/>
  <c r="I36" i="182" s="1"/>
  <c r="AD35" i="182"/>
  <c r="AC35" i="182"/>
  <c r="AE35" i="182" s="1"/>
  <c r="AI35" i="182" s="1"/>
  <c r="Y35" i="182" s="1"/>
  <c r="AB35" i="182"/>
  <c r="Z35" i="182"/>
  <c r="X35" i="182"/>
  <c r="Q35" i="182"/>
  <c r="P35" i="182"/>
  <c r="I35" i="182"/>
  <c r="H35" i="182"/>
  <c r="E35" i="182"/>
  <c r="AD34" i="182"/>
  <c r="AC34" i="182"/>
  <c r="AE34" i="182" s="1"/>
  <c r="AI34" i="182" s="1"/>
  <c r="Y34" i="182" s="1"/>
  <c r="AB34" i="182"/>
  <c r="Z34" i="182"/>
  <c r="X34" i="182"/>
  <c r="Q34" i="182"/>
  <c r="P34" i="182"/>
  <c r="H34" i="182"/>
  <c r="E34" i="182"/>
  <c r="I34" i="182" s="1"/>
  <c r="AI33" i="182"/>
  <c r="AE33" i="182"/>
  <c r="AD33" i="182"/>
  <c r="AC33" i="182"/>
  <c r="AB33" i="182"/>
  <c r="Z33" i="182"/>
  <c r="Y33" i="182"/>
  <c r="X33" i="182"/>
  <c r="Q33" i="182"/>
  <c r="P33" i="182"/>
  <c r="H33" i="182"/>
  <c r="E33" i="182"/>
  <c r="I33" i="182" s="1"/>
  <c r="AD32" i="182"/>
  <c r="AC32" i="182"/>
  <c r="AE32" i="182" s="1"/>
  <c r="AI32" i="182" s="1"/>
  <c r="Y32" i="182" s="1"/>
  <c r="AB32" i="182"/>
  <c r="Z32" i="182"/>
  <c r="X32" i="182"/>
  <c r="Q32" i="182"/>
  <c r="P32" i="182"/>
  <c r="H32" i="182"/>
  <c r="E32" i="182"/>
  <c r="I32" i="182" s="1"/>
  <c r="AE31" i="182"/>
  <c r="AI31" i="182" s="1"/>
  <c r="Y31" i="182" s="1"/>
  <c r="Z31" i="182"/>
  <c r="X31" i="182"/>
  <c r="Q31" i="182"/>
  <c r="P31" i="182"/>
  <c r="I31" i="182"/>
  <c r="H31" i="182"/>
  <c r="E31" i="182"/>
  <c r="AD30" i="182"/>
  <c r="AE30" i="182" s="1"/>
  <c r="AI30" i="182" s="1"/>
  <c r="Y30" i="182" s="1"/>
  <c r="AC30" i="182"/>
  <c r="AB30" i="182"/>
  <c r="Z30" i="182"/>
  <c r="X30" i="182"/>
  <c r="Q30" i="182"/>
  <c r="P30" i="182"/>
  <c r="H30" i="182"/>
  <c r="E30" i="182"/>
  <c r="I30" i="182" s="1"/>
  <c r="AD29" i="182"/>
  <c r="AC29" i="182"/>
  <c r="AB29" i="182"/>
  <c r="AE29" i="182" s="1"/>
  <c r="AI29" i="182" s="1"/>
  <c r="Y29" i="182" s="1"/>
  <c r="Z29" i="182"/>
  <c r="X29" i="182"/>
  <c r="Q29" i="182"/>
  <c r="P29" i="182"/>
  <c r="I29" i="182"/>
  <c r="H29" i="182"/>
  <c r="E29" i="182"/>
  <c r="AE28" i="182"/>
  <c r="AI28" i="182" s="1"/>
  <c r="Y28" i="182" s="1"/>
  <c r="AD28" i="182"/>
  <c r="AC28" i="182"/>
  <c r="AB28" i="182"/>
  <c r="Z28" i="182"/>
  <c r="X28" i="182"/>
  <c r="Q28" i="182"/>
  <c r="P28" i="182"/>
  <c r="H28" i="182"/>
  <c r="E28" i="182"/>
  <c r="I28" i="182" s="1"/>
  <c r="AD27" i="182"/>
  <c r="AC27" i="182"/>
  <c r="AB27" i="182"/>
  <c r="AE27" i="182" s="1"/>
  <c r="AI27" i="182" s="1"/>
  <c r="Y27" i="182" s="1"/>
  <c r="Z27" i="182"/>
  <c r="X27" i="182"/>
  <c r="Q27" i="182"/>
  <c r="P27" i="182"/>
  <c r="I27" i="182"/>
  <c r="H27" i="182"/>
  <c r="E27" i="182"/>
  <c r="AD26" i="182"/>
  <c r="AC26" i="182"/>
  <c r="AE26" i="182" s="1"/>
  <c r="AI26" i="182" s="1"/>
  <c r="Y26" i="182" s="1"/>
  <c r="AB26" i="182"/>
  <c r="Z26" i="182"/>
  <c r="X26" i="182"/>
  <c r="Q26" i="182"/>
  <c r="P26" i="182"/>
  <c r="H26" i="182"/>
  <c r="E26" i="182"/>
  <c r="I26" i="182" s="1"/>
  <c r="AE25" i="182"/>
  <c r="AI25" i="182" s="1"/>
  <c r="Y25" i="182" s="1"/>
  <c r="AD25" i="182"/>
  <c r="AC25" i="182"/>
  <c r="AB25" i="182"/>
  <c r="Z25" i="182"/>
  <c r="X25" i="182"/>
  <c r="Q25" i="182"/>
  <c r="P25" i="182"/>
  <c r="I25" i="182"/>
  <c r="H25" i="182"/>
  <c r="E25" i="182"/>
  <c r="AD24" i="182"/>
  <c r="AC24" i="182"/>
  <c r="AB24" i="182"/>
  <c r="AE24" i="182" s="1"/>
  <c r="AI24" i="182" s="1"/>
  <c r="Y24" i="182" s="1"/>
  <c r="Z24" i="182"/>
  <c r="X24" i="182"/>
  <c r="Q24" i="182"/>
  <c r="P24" i="182"/>
  <c r="H24" i="182"/>
  <c r="E24" i="182"/>
  <c r="I24" i="182" s="1"/>
  <c r="AI23" i="182"/>
  <c r="Y23" i="182" s="1"/>
  <c r="AE23" i="182"/>
  <c r="AD23" i="182"/>
  <c r="AC23" i="182"/>
  <c r="AB23" i="182"/>
  <c r="Z23" i="182"/>
  <c r="X23" i="182"/>
  <c r="Q23" i="182"/>
  <c r="P23" i="182"/>
  <c r="H23" i="182"/>
  <c r="E23" i="182"/>
  <c r="I23" i="182" s="1"/>
  <c r="AD22" i="182"/>
  <c r="AC22" i="182"/>
  <c r="AB22" i="182"/>
  <c r="AE22" i="182" s="1"/>
  <c r="AI22" i="182" s="1"/>
  <c r="Y22" i="182" s="1"/>
  <c r="Z22" i="182"/>
  <c r="X22" i="182"/>
  <c r="Q22" i="182"/>
  <c r="P22" i="182"/>
  <c r="I22" i="182"/>
  <c r="H22" i="182"/>
  <c r="E22" i="182"/>
  <c r="AD21" i="182"/>
  <c r="AC21" i="182"/>
  <c r="AB21" i="182"/>
  <c r="AE21" i="182" s="1"/>
  <c r="AI21" i="182" s="1"/>
  <c r="Y21" i="182" s="1"/>
  <c r="Z21" i="182"/>
  <c r="X21" i="182"/>
  <c r="Q21" i="182"/>
  <c r="P21" i="182"/>
  <c r="H21" i="182"/>
  <c r="E21" i="182"/>
  <c r="I21" i="182" s="1"/>
  <c r="AD20" i="182"/>
  <c r="AC20" i="182"/>
  <c r="AE20" i="182" s="1"/>
  <c r="AI20" i="182" s="1"/>
  <c r="Y20" i="182" s="1"/>
  <c r="AB20" i="182"/>
  <c r="Z20" i="182"/>
  <c r="X20" i="182"/>
  <c r="Q20" i="182"/>
  <c r="P20" i="182"/>
  <c r="I20" i="182"/>
  <c r="H20" i="182"/>
  <c r="E20" i="182"/>
  <c r="AD19" i="182"/>
  <c r="AC19" i="182"/>
  <c r="AE19" i="182" s="1"/>
  <c r="AI19" i="182" s="1"/>
  <c r="Y19" i="182" s="1"/>
  <c r="AB19" i="182"/>
  <c r="Z19" i="182"/>
  <c r="X19" i="182"/>
  <c r="Q19" i="182"/>
  <c r="P19" i="182"/>
  <c r="H19" i="182"/>
  <c r="E19" i="182"/>
  <c r="I19" i="182" s="1"/>
  <c r="AI18" i="182"/>
  <c r="AE18" i="182"/>
  <c r="AD18" i="182"/>
  <c r="AC18" i="182"/>
  <c r="AB18" i="182"/>
  <c r="Z18" i="182"/>
  <c r="Y18" i="182"/>
  <c r="X18" i="182"/>
  <c r="Q18" i="182"/>
  <c r="P18" i="182"/>
  <c r="H18" i="182"/>
  <c r="E18" i="182"/>
  <c r="I18" i="182" s="1"/>
  <c r="AD17" i="182"/>
  <c r="AC17" i="182"/>
  <c r="AB17" i="182"/>
  <c r="AE17" i="182" s="1"/>
  <c r="AI17" i="182" s="1"/>
  <c r="Y17" i="182" s="1"/>
  <c r="Z17" i="182"/>
  <c r="X17" i="182"/>
  <c r="Q17" i="182"/>
  <c r="P17" i="182"/>
  <c r="H17" i="182"/>
  <c r="E17" i="182"/>
  <c r="I17" i="182" s="1"/>
  <c r="AE16" i="182"/>
  <c r="AI16" i="182" s="1"/>
  <c r="Y16" i="182" s="1"/>
  <c r="AD16" i="182"/>
  <c r="AC16" i="182"/>
  <c r="AB16" i="182"/>
  <c r="Z16" i="182"/>
  <c r="X16" i="182"/>
  <c r="Q16" i="182"/>
  <c r="P16" i="182"/>
  <c r="E16" i="182"/>
  <c r="I16" i="182" s="1"/>
  <c r="AD15" i="182"/>
  <c r="AC15" i="182"/>
  <c r="AB15" i="182"/>
  <c r="AE15" i="182" s="1"/>
  <c r="AI15" i="182" s="1"/>
  <c r="Y15" i="182" s="1"/>
  <c r="Z15" i="182"/>
  <c r="X15" i="182"/>
  <c r="Q15" i="182"/>
  <c r="P15" i="182"/>
  <c r="I15" i="182"/>
  <c r="E15" i="182"/>
  <c r="AD14" i="182"/>
  <c r="AC14" i="182"/>
  <c r="AB14" i="182"/>
  <c r="AE14" i="182" s="1"/>
  <c r="AI14" i="182" s="1"/>
  <c r="Y14" i="182" s="1"/>
  <c r="Z14" i="182"/>
  <c r="X14" i="182"/>
  <c r="Q14" i="182"/>
  <c r="P14" i="182"/>
  <c r="H14" i="182"/>
  <c r="E14" i="182"/>
  <c r="I14" i="182" s="1"/>
  <c r="AI13" i="182"/>
  <c r="Y13" i="182" s="1"/>
  <c r="AE13" i="182"/>
  <c r="AD13" i="182"/>
  <c r="AC13" i="182"/>
  <c r="AB13" i="182"/>
  <c r="Z13" i="182"/>
  <c r="X13" i="182"/>
  <c r="Q13" i="182"/>
  <c r="P13" i="182"/>
  <c r="H13" i="182"/>
  <c r="E13" i="182"/>
  <c r="I13" i="182" s="1"/>
  <c r="AD12" i="182"/>
  <c r="AC12" i="182"/>
  <c r="AB12" i="182"/>
  <c r="AE12" i="182" s="1"/>
  <c r="AI12" i="182" s="1"/>
  <c r="Y12" i="182" s="1"/>
  <c r="T73" i="182" s="1"/>
  <c r="Z12" i="182"/>
  <c r="T75" i="182" s="1"/>
  <c r="X12" i="182"/>
  <c r="T77" i="182" s="1"/>
  <c r="Q12" i="182"/>
  <c r="P12" i="182"/>
  <c r="I12" i="182"/>
  <c r="H12" i="182"/>
  <c r="E12" i="182"/>
  <c r="F77" i="183" l="1"/>
  <c r="O73" i="182"/>
  <c r="O75" i="182"/>
  <c r="T79" i="182"/>
  <c r="F75" i="182"/>
  <c r="F73" i="182"/>
  <c r="M79" i="181"/>
  <c r="W73" i="181"/>
  <c r="P71" i="181"/>
  <c r="H71" i="181"/>
  <c r="Q70" i="181"/>
  <c r="P70" i="181"/>
  <c r="I70" i="181"/>
  <c r="H70" i="181"/>
  <c r="E70" i="181"/>
  <c r="Q69" i="181"/>
  <c r="P69" i="181"/>
  <c r="H69" i="181"/>
  <c r="E69" i="181"/>
  <c r="I69" i="181" s="1"/>
  <c r="AD68" i="181"/>
  <c r="AC68" i="181"/>
  <c r="AE68" i="181" s="1"/>
  <c r="AI68" i="181" s="1"/>
  <c r="Y68" i="181" s="1"/>
  <c r="AB68" i="181"/>
  <c r="Z68" i="181"/>
  <c r="X68" i="181"/>
  <c r="W68" i="181"/>
  <c r="Q68" i="181"/>
  <c r="P68" i="181"/>
  <c r="I68" i="181"/>
  <c r="H68" i="181"/>
  <c r="E68" i="181"/>
  <c r="AD67" i="181"/>
  <c r="AC67" i="181"/>
  <c r="AB67" i="181"/>
  <c r="AE67" i="181" s="1"/>
  <c r="AI67" i="181" s="1"/>
  <c r="Y67" i="181" s="1"/>
  <c r="Z67" i="181"/>
  <c r="X67" i="181"/>
  <c r="Q67" i="181"/>
  <c r="P67" i="181"/>
  <c r="I67" i="181"/>
  <c r="H67" i="181"/>
  <c r="E67" i="181"/>
  <c r="AD66" i="181"/>
  <c r="AC66" i="181"/>
  <c r="AE66" i="181" s="1"/>
  <c r="AI66" i="181" s="1"/>
  <c r="Y66" i="181" s="1"/>
  <c r="AB66" i="181"/>
  <c r="Z66" i="181"/>
  <c r="X66" i="181"/>
  <c r="Q66" i="181"/>
  <c r="P66" i="181"/>
  <c r="I66" i="181"/>
  <c r="H66" i="181"/>
  <c r="E66" i="181"/>
  <c r="AD65" i="181"/>
  <c r="AE65" i="181" s="1"/>
  <c r="AI65" i="181" s="1"/>
  <c r="Y65" i="181" s="1"/>
  <c r="AC65" i="181"/>
  <c r="AB65" i="181"/>
  <c r="Z65" i="181"/>
  <c r="X65" i="181"/>
  <c r="Q65" i="181"/>
  <c r="P65" i="181"/>
  <c r="I65" i="181"/>
  <c r="H65" i="181"/>
  <c r="E65" i="181"/>
  <c r="AD64" i="181"/>
  <c r="AC64" i="181"/>
  <c r="AB64" i="181"/>
  <c r="AE64" i="181" s="1"/>
  <c r="AI64" i="181" s="1"/>
  <c r="Y64" i="181" s="1"/>
  <c r="Z64" i="181"/>
  <c r="X64" i="181"/>
  <c r="Q64" i="181"/>
  <c r="P64" i="181"/>
  <c r="H64" i="181"/>
  <c r="E64" i="181"/>
  <c r="I64" i="181" s="1"/>
  <c r="AE63" i="181"/>
  <c r="AI63" i="181" s="1"/>
  <c r="Y63" i="181" s="1"/>
  <c r="AD63" i="181"/>
  <c r="AC63" i="181"/>
  <c r="AB63" i="181"/>
  <c r="Z63" i="181"/>
  <c r="X63" i="181"/>
  <c r="Q63" i="181"/>
  <c r="P63" i="181"/>
  <c r="H63" i="181"/>
  <c r="E63" i="181"/>
  <c r="I63" i="181" s="1"/>
  <c r="AD62" i="181"/>
  <c r="AC62" i="181"/>
  <c r="AB62" i="181"/>
  <c r="AE62" i="181" s="1"/>
  <c r="AI62" i="181" s="1"/>
  <c r="Y62" i="181" s="1"/>
  <c r="Z62" i="181"/>
  <c r="X62" i="181"/>
  <c r="Q62" i="181"/>
  <c r="P62" i="181"/>
  <c r="I62" i="181"/>
  <c r="H62" i="181"/>
  <c r="E62" i="181"/>
  <c r="AC61" i="181"/>
  <c r="AE61" i="181" s="1"/>
  <c r="AI61" i="181" s="1"/>
  <c r="Y61" i="181" s="1"/>
  <c r="AB61" i="181"/>
  <c r="X61" i="181"/>
  <c r="Q61" i="181"/>
  <c r="P61" i="181"/>
  <c r="I61" i="181"/>
  <c r="H61" i="181"/>
  <c r="E61" i="181"/>
  <c r="AE60" i="181"/>
  <c r="AI60" i="181" s="1"/>
  <c r="Y60" i="181" s="1"/>
  <c r="X60" i="181"/>
  <c r="Q60" i="181"/>
  <c r="P60" i="181"/>
  <c r="I60" i="181"/>
  <c r="H60" i="181"/>
  <c r="E60" i="181"/>
  <c r="AC59" i="181"/>
  <c r="AB59" i="181"/>
  <c r="AE59" i="181" s="1"/>
  <c r="AI59" i="181" s="1"/>
  <c r="Y59" i="181" s="1"/>
  <c r="X59" i="181"/>
  <c r="Q59" i="181"/>
  <c r="P59" i="181"/>
  <c r="I59" i="181"/>
  <c r="H59" i="181"/>
  <c r="E59" i="181"/>
  <c r="AC58" i="181"/>
  <c r="AB58" i="181"/>
  <c r="AE58" i="181" s="1"/>
  <c r="AI58" i="181" s="1"/>
  <c r="Y58" i="181" s="1"/>
  <c r="X58" i="181"/>
  <c r="Q58" i="181"/>
  <c r="P58" i="181"/>
  <c r="I58" i="181"/>
  <c r="E58" i="181"/>
  <c r="AC57" i="181"/>
  <c r="AB57" i="181"/>
  <c r="AE57" i="181" s="1"/>
  <c r="AI57" i="181" s="1"/>
  <c r="Y57" i="181" s="1"/>
  <c r="X57" i="181"/>
  <c r="Q57" i="181"/>
  <c r="P57" i="181"/>
  <c r="I57" i="181"/>
  <c r="H57" i="181"/>
  <c r="E57" i="181"/>
  <c r="AD56" i="181"/>
  <c r="AC56" i="181"/>
  <c r="AE56" i="181" s="1"/>
  <c r="AI56" i="181" s="1"/>
  <c r="Y56" i="181" s="1"/>
  <c r="AB56" i="181"/>
  <c r="Z56" i="181"/>
  <c r="X56" i="181"/>
  <c r="Q56" i="181"/>
  <c r="P56" i="181"/>
  <c r="I56" i="181"/>
  <c r="H56" i="181"/>
  <c r="E56" i="181"/>
  <c r="AE55" i="181"/>
  <c r="AI55" i="181" s="1"/>
  <c r="Y55" i="181" s="1"/>
  <c r="AD55" i="181"/>
  <c r="AC55" i="181"/>
  <c r="AB55" i="181"/>
  <c r="Z55" i="181"/>
  <c r="X55" i="181"/>
  <c r="Q55" i="181"/>
  <c r="P55" i="181"/>
  <c r="H55" i="181"/>
  <c r="E55" i="181"/>
  <c r="I55" i="181" s="1"/>
  <c r="AD54" i="181"/>
  <c r="AC54" i="181"/>
  <c r="AB54" i="181"/>
  <c r="AE54" i="181" s="1"/>
  <c r="AI54" i="181" s="1"/>
  <c r="Y54" i="181" s="1"/>
  <c r="Z54" i="181"/>
  <c r="X54" i="181"/>
  <c r="Q54" i="181"/>
  <c r="P54" i="181"/>
  <c r="I54" i="181"/>
  <c r="H54" i="181"/>
  <c r="E54" i="181"/>
  <c r="AE53" i="181"/>
  <c r="AI53" i="181" s="1"/>
  <c r="Y53" i="181" s="1"/>
  <c r="AD53" i="181"/>
  <c r="AC53" i="181"/>
  <c r="AB53" i="181"/>
  <c r="Z53" i="181"/>
  <c r="X53" i="181"/>
  <c r="Q53" i="181"/>
  <c r="P53" i="181"/>
  <c r="H53" i="181"/>
  <c r="E53" i="181"/>
  <c r="I53" i="181" s="1"/>
  <c r="AE52" i="181"/>
  <c r="AI52" i="181" s="1"/>
  <c r="Y52" i="181" s="1"/>
  <c r="Z52" i="181"/>
  <c r="X52" i="181"/>
  <c r="Q52" i="181"/>
  <c r="P52" i="181"/>
  <c r="I52" i="181"/>
  <c r="H52" i="181"/>
  <c r="E52" i="181"/>
  <c r="AD51" i="181"/>
  <c r="AC51" i="181"/>
  <c r="AB51" i="181"/>
  <c r="AE51" i="181" s="1"/>
  <c r="AI51" i="181" s="1"/>
  <c r="Y51" i="181" s="1"/>
  <c r="Z51" i="181"/>
  <c r="X51" i="181"/>
  <c r="Q51" i="181"/>
  <c r="P51" i="181"/>
  <c r="I51" i="181"/>
  <c r="H51" i="181"/>
  <c r="E51" i="181"/>
  <c r="AD50" i="181"/>
  <c r="AC50" i="181"/>
  <c r="AE50" i="181" s="1"/>
  <c r="AI50" i="181" s="1"/>
  <c r="Y50" i="181" s="1"/>
  <c r="AB50" i="181"/>
  <c r="Z50" i="181"/>
  <c r="X50" i="181"/>
  <c r="Q50" i="181"/>
  <c r="P50" i="181"/>
  <c r="I50" i="181"/>
  <c r="H50" i="181"/>
  <c r="E50" i="181"/>
  <c r="AI49" i="181"/>
  <c r="Y49" i="181" s="1"/>
  <c r="AE49" i="181"/>
  <c r="Z49" i="181"/>
  <c r="X49" i="181"/>
  <c r="Q49" i="181"/>
  <c r="P49" i="181"/>
  <c r="H49" i="181"/>
  <c r="E49" i="181"/>
  <c r="I49" i="181" s="1"/>
  <c r="AE48" i="181"/>
  <c r="AI48" i="181" s="1"/>
  <c r="Y48" i="181" s="1"/>
  <c r="Z48" i="181"/>
  <c r="X48" i="181"/>
  <c r="Q48" i="181"/>
  <c r="P48" i="181"/>
  <c r="I48" i="181"/>
  <c r="H48" i="181"/>
  <c r="E48" i="181"/>
  <c r="AI47" i="181"/>
  <c r="Y47" i="181" s="1"/>
  <c r="AE47" i="181"/>
  <c r="Z47" i="181"/>
  <c r="X47" i="181"/>
  <c r="Q47" i="181"/>
  <c r="P47" i="181"/>
  <c r="I47" i="181"/>
  <c r="H47" i="181"/>
  <c r="E47" i="181"/>
  <c r="AD46" i="181"/>
  <c r="AC46" i="181"/>
  <c r="AB46" i="181"/>
  <c r="AE46" i="181" s="1"/>
  <c r="AI46" i="181" s="1"/>
  <c r="Y46" i="181" s="1"/>
  <c r="Z46" i="181"/>
  <c r="X46" i="181"/>
  <c r="Q46" i="181"/>
  <c r="P46" i="181"/>
  <c r="H46" i="181"/>
  <c r="E46" i="181"/>
  <c r="I46" i="181" s="1"/>
  <c r="AD45" i="181"/>
  <c r="AE45" i="181" s="1"/>
  <c r="AI45" i="181" s="1"/>
  <c r="Y45" i="181" s="1"/>
  <c r="AC45" i="181"/>
  <c r="AB45" i="181"/>
  <c r="Z45" i="181"/>
  <c r="X45" i="181"/>
  <c r="Q45" i="181"/>
  <c r="P45" i="181"/>
  <c r="H45" i="181"/>
  <c r="E45" i="181"/>
  <c r="I45" i="181" s="1"/>
  <c r="AD44" i="181"/>
  <c r="AC44" i="181"/>
  <c r="AE44" i="181" s="1"/>
  <c r="AI44" i="181" s="1"/>
  <c r="Y44" i="181" s="1"/>
  <c r="AB44" i="181"/>
  <c r="Z44" i="181"/>
  <c r="X44" i="181"/>
  <c r="Q44" i="181"/>
  <c r="P44" i="181"/>
  <c r="I44" i="181"/>
  <c r="H44" i="181"/>
  <c r="E44" i="181"/>
  <c r="AE43" i="181"/>
  <c r="AI43" i="181" s="1"/>
  <c r="Y43" i="181" s="1"/>
  <c r="AD43" i="181"/>
  <c r="AC43" i="181"/>
  <c r="AB43" i="181"/>
  <c r="Z43" i="181"/>
  <c r="X43" i="181"/>
  <c r="Q43" i="181"/>
  <c r="P43" i="181"/>
  <c r="H43" i="181"/>
  <c r="E43" i="181"/>
  <c r="I43" i="181" s="1"/>
  <c r="AD42" i="181"/>
  <c r="AC42" i="181"/>
  <c r="AB42" i="181"/>
  <c r="AE42" i="181" s="1"/>
  <c r="AI42" i="181" s="1"/>
  <c r="Y42" i="181" s="1"/>
  <c r="Z42" i="181"/>
  <c r="X42" i="181"/>
  <c r="Q42" i="181"/>
  <c r="P42" i="181"/>
  <c r="H42" i="181"/>
  <c r="E42" i="181"/>
  <c r="I42" i="181" s="1"/>
  <c r="AE41" i="181"/>
  <c r="AI41" i="181" s="1"/>
  <c r="Y41" i="181" s="1"/>
  <c r="AD41" i="181"/>
  <c r="AC41" i="181"/>
  <c r="AB41" i="181"/>
  <c r="Z41" i="181"/>
  <c r="X41" i="181"/>
  <c r="Q41" i="181"/>
  <c r="P41" i="181"/>
  <c r="H41" i="181"/>
  <c r="E41" i="181"/>
  <c r="I41" i="181" s="1"/>
  <c r="AD40" i="181"/>
  <c r="AC40" i="181"/>
  <c r="AB40" i="181"/>
  <c r="AE40" i="181" s="1"/>
  <c r="AI40" i="181" s="1"/>
  <c r="Y40" i="181" s="1"/>
  <c r="Z40" i="181"/>
  <c r="X40" i="181"/>
  <c r="Q40" i="181"/>
  <c r="P40" i="181"/>
  <c r="I40" i="181"/>
  <c r="H40" i="181"/>
  <c r="E40" i="181"/>
  <c r="AD39" i="181"/>
  <c r="AC39" i="181"/>
  <c r="AB39" i="181"/>
  <c r="AE39" i="181" s="1"/>
  <c r="AI39" i="181" s="1"/>
  <c r="Y39" i="181" s="1"/>
  <c r="Z39" i="181"/>
  <c r="X39" i="181"/>
  <c r="Q39" i="181"/>
  <c r="P39" i="181"/>
  <c r="I39" i="181"/>
  <c r="H39" i="181"/>
  <c r="E39" i="181"/>
  <c r="AD38" i="181"/>
  <c r="AC38" i="181"/>
  <c r="AB38" i="181"/>
  <c r="AE38" i="181" s="1"/>
  <c r="AI38" i="181" s="1"/>
  <c r="Y38" i="181" s="1"/>
  <c r="Z38" i="181"/>
  <c r="X38" i="181"/>
  <c r="Q38" i="181"/>
  <c r="P38" i="181"/>
  <c r="I38" i="181"/>
  <c r="H38" i="181"/>
  <c r="E38" i="181"/>
  <c r="AD37" i="181"/>
  <c r="AC37" i="181"/>
  <c r="AE37" i="181" s="1"/>
  <c r="AI37" i="181" s="1"/>
  <c r="Y37" i="181" s="1"/>
  <c r="AB37" i="181"/>
  <c r="Z37" i="181"/>
  <c r="X37" i="181"/>
  <c r="Q37" i="181"/>
  <c r="P37" i="181"/>
  <c r="I37" i="181"/>
  <c r="H37" i="181"/>
  <c r="E37" i="181"/>
  <c r="AD36" i="181"/>
  <c r="AE36" i="181" s="1"/>
  <c r="AI36" i="181" s="1"/>
  <c r="Y36" i="181" s="1"/>
  <c r="AC36" i="181"/>
  <c r="AB36" i="181"/>
  <c r="Z36" i="181"/>
  <c r="X36" i="181"/>
  <c r="Q36" i="181"/>
  <c r="P36" i="181"/>
  <c r="I36" i="181"/>
  <c r="H36" i="181"/>
  <c r="E36" i="181"/>
  <c r="AD35" i="181"/>
  <c r="AC35" i="181"/>
  <c r="AB35" i="181"/>
  <c r="AE35" i="181" s="1"/>
  <c r="AI35" i="181" s="1"/>
  <c r="Y35" i="181" s="1"/>
  <c r="Z35" i="181"/>
  <c r="X35" i="181"/>
  <c r="Q35" i="181"/>
  <c r="P35" i="181"/>
  <c r="H35" i="181"/>
  <c r="E35" i="181"/>
  <c r="I35" i="181" s="1"/>
  <c r="AE34" i="181"/>
  <c r="AI34" i="181" s="1"/>
  <c r="Y34" i="181" s="1"/>
  <c r="AD34" i="181"/>
  <c r="AC34" i="181"/>
  <c r="AB34" i="181"/>
  <c r="Z34" i="181"/>
  <c r="X34" i="181"/>
  <c r="Q34" i="181"/>
  <c r="P34" i="181"/>
  <c r="H34" i="181"/>
  <c r="E34" i="181"/>
  <c r="I34" i="181" s="1"/>
  <c r="AD33" i="181"/>
  <c r="AC33" i="181"/>
  <c r="AB33" i="181"/>
  <c r="AE33" i="181" s="1"/>
  <c r="AI33" i="181" s="1"/>
  <c r="Y33" i="181" s="1"/>
  <c r="Z33" i="181"/>
  <c r="X33" i="181"/>
  <c r="Q33" i="181"/>
  <c r="P33" i="181"/>
  <c r="I33" i="181"/>
  <c r="H33" i="181"/>
  <c r="E33" i="181"/>
  <c r="AD32" i="181"/>
  <c r="AC32" i="181"/>
  <c r="AB32" i="181"/>
  <c r="AE32" i="181" s="1"/>
  <c r="AI32" i="181" s="1"/>
  <c r="Y32" i="181" s="1"/>
  <c r="Z32" i="181"/>
  <c r="X32" i="181"/>
  <c r="Q32" i="181"/>
  <c r="P32" i="181"/>
  <c r="H32" i="181"/>
  <c r="E32" i="181"/>
  <c r="I32" i="181" s="1"/>
  <c r="AE31" i="181"/>
  <c r="AI31" i="181" s="1"/>
  <c r="Y31" i="181" s="1"/>
  <c r="Z31" i="181"/>
  <c r="X31" i="181"/>
  <c r="Q31" i="181"/>
  <c r="P31" i="181"/>
  <c r="H31" i="181"/>
  <c r="E31" i="181"/>
  <c r="I31" i="181" s="1"/>
  <c r="AD30" i="181"/>
  <c r="AE30" i="181" s="1"/>
  <c r="AI30" i="181" s="1"/>
  <c r="Y30" i="181" s="1"/>
  <c r="AC30" i="181"/>
  <c r="AB30" i="181"/>
  <c r="Z30" i="181"/>
  <c r="X30" i="181"/>
  <c r="Q30" i="181"/>
  <c r="P30" i="181"/>
  <c r="H30" i="181"/>
  <c r="E30" i="181"/>
  <c r="I30" i="181" s="1"/>
  <c r="AD29" i="181"/>
  <c r="AC29" i="181"/>
  <c r="AE29" i="181" s="1"/>
  <c r="AI29" i="181" s="1"/>
  <c r="Y29" i="181" s="1"/>
  <c r="AB29" i="181"/>
  <c r="Z29" i="181"/>
  <c r="X29" i="181"/>
  <c r="Q29" i="181"/>
  <c r="P29" i="181"/>
  <c r="I29" i="181"/>
  <c r="H29" i="181"/>
  <c r="E29" i="181"/>
  <c r="AE28" i="181"/>
  <c r="AI28" i="181" s="1"/>
  <c r="Y28" i="181" s="1"/>
  <c r="AD28" i="181"/>
  <c r="AC28" i="181"/>
  <c r="AB28" i="181"/>
  <c r="Z28" i="181"/>
  <c r="X28" i="181"/>
  <c r="Q28" i="181"/>
  <c r="P28" i="181"/>
  <c r="H28" i="181"/>
  <c r="E28" i="181"/>
  <c r="I28" i="181" s="1"/>
  <c r="AD27" i="181"/>
  <c r="AC27" i="181"/>
  <c r="AB27" i="181"/>
  <c r="AE27" i="181" s="1"/>
  <c r="AI27" i="181" s="1"/>
  <c r="Y27" i="181" s="1"/>
  <c r="Z27" i="181"/>
  <c r="X27" i="181"/>
  <c r="Q27" i="181"/>
  <c r="P27" i="181"/>
  <c r="H27" i="181"/>
  <c r="E27" i="181"/>
  <c r="I27" i="181" s="1"/>
  <c r="AD26" i="181"/>
  <c r="AC26" i="181"/>
  <c r="AE26" i="181" s="1"/>
  <c r="AI26" i="181" s="1"/>
  <c r="Y26" i="181" s="1"/>
  <c r="AB26" i="181"/>
  <c r="Z26" i="181"/>
  <c r="X26" i="181"/>
  <c r="Q26" i="181"/>
  <c r="P26" i="181"/>
  <c r="H26" i="181"/>
  <c r="E26" i="181"/>
  <c r="I26" i="181" s="1"/>
  <c r="AD25" i="181"/>
  <c r="AC25" i="181"/>
  <c r="AB25" i="181"/>
  <c r="AE25" i="181" s="1"/>
  <c r="AI25" i="181" s="1"/>
  <c r="Y25" i="181" s="1"/>
  <c r="Z25" i="181"/>
  <c r="X25" i="181"/>
  <c r="Q25" i="181"/>
  <c r="P25" i="181"/>
  <c r="I25" i="181"/>
  <c r="H25" i="181"/>
  <c r="E25" i="181"/>
  <c r="AD24" i="181"/>
  <c r="AC24" i="181"/>
  <c r="AB24" i="181"/>
  <c r="AE24" i="181" s="1"/>
  <c r="AI24" i="181" s="1"/>
  <c r="Y24" i="181" s="1"/>
  <c r="Z24" i="181"/>
  <c r="X24" i="181"/>
  <c r="Q24" i="181"/>
  <c r="P24" i="181"/>
  <c r="I24" i="181"/>
  <c r="H24" i="181"/>
  <c r="E24" i="181"/>
  <c r="AD23" i="181"/>
  <c r="AC23" i="181"/>
  <c r="AB23" i="181"/>
  <c r="AE23" i="181" s="1"/>
  <c r="AI23" i="181" s="1"/>
  <c r="Y23" i="181" s="1"/>
  <c r="Z23" i="181"/>
  <c r="X23" i="181"/>
  <c r="Q23" i="181"/>
  <c r="P23" i="181"/>
  <c r="H23" i="181"/>
  <c r="E23" i="181"/>
  <c r="I23" i="181" s="1"/>
  <c r="AD22" i="181"/>
  <c r="AC22" i="181"/>
  <c r="AE22" i="181" s="1"/>
  <c r="AI22" i="181" s="1"/>
  <c r="Y22" i="181" s="1"/>
  <c r="AB22" i="181"/>
  <c r="Z22" i="181"/>
  <c r="X22" i="181"/>
  <c r="Q22" i="181"/>
  <c r="P22" i="181"/>
  <c r="I22" i="181"/>
  <c r="H22" i="181"/>
  <c r="E22" i="181"/>
  <c r="AD21" i="181"/>
  <c r="AE21" i="181" s="1"/>
  <c r="AI21" i="181" s="1"/>
  <c r="Y21" i="181" s="1"/>
  <c r="AC21" i="181"/>
  <c r="AB21" i="181"/>
  <c r="Z21" i="181"/>
  <c r="X21" i="181"/>
  <c r="Q21" i="181"/>
  <c r="P21" i="181"/>
  <c r="I21" i="181"/>
  <c r="H21" i="181"/>
  <c r="E21" i="181"/>
  <c r="AD20" i="181"/>
  <c r="AC20" i="181"/>
  <c r="AB20" i="181"/>
  <c r="AE20" i="181" s="1"/>
  <c r="AI20" i="181" s="1"/>
  <c r="Y20" i="181" s="1"/>
  <c r="Z20" i="181"/>
  <c r="X20" i="181"/>
  <c r="Q20" i="181"/>
  <c r="P20" i="181"/>
  <c r="H20" i="181"/>
  <c r="E20" i="181"/>
  <c r="I20" i="181" s="1"/>
  <c r="AE19" i="181"/>
  <c r="AI19" i="181" s="1"/>
  <c r="Y19" i="181" s="1"/>
  <c r="AD19" i="181"/>
  <c r="AC19" i="181"/>
  <c r="AB19" i="181"/>
  <c r="Z19" i="181"/>
  <c r="X19" i="181"/>
  <c r="Q19" i="181"/>
  <c r="P19" i="181"/>
  <c r="H19" i="181"/>
  <c r="E19" i="181"/>
  <c r="I19" i="181" s="1"/>
  <c r="AD18" i="181"/>
  <c r="AC18" i="181"/>
  <c r="AB18" i="181"/>
  <c r="AE18" i="181" s="1"/>
  <c r="AI18" i="181" s="1"/>
  <c r="Y18" i="181" s="1"/>
  <c r="Z18" i="181"/>
  <c r="X18" i="181"/>
  <c r="Q18" i="181"/>
  <c r="P18" i="181"/>
  <c r="I18" i="181"/>
  <c r="H18" i="181"/>
  <c r="E18" i="181"/>
  <c r="AD17" i="181"/>
  <c r="AC17" i="181"/>
  <c r="AB17" i="181"/>
  <c r="AE17" i="181" s="1"/>
  <c r="AI17" i="181" s="1"/>
  <c r="Y17" i="181" s="1"/>
  <c r="Z17" i="181"/>
  <c r="X17" i="181"/>
  <c r="Q17" i="181"/>
  <c r="P17" i="181"/>
  <c r="H17" i="181"/>
  <c r="E17" i="181"/>
  <c r="I17" i="181" s="1"/>
  <c r="AE16" i="181"/>
  <c r="AI16" i="181" s="1"/>
  <c r="Y16" i="181" s="1"/>
  <c r="AD16" i="181"/>
  <c r="AC16" i="181"/>
  <c r="AB16" i="181"/>
  <c r="Z16" i="181"/>
  <c r="X16" i="181"/>
  <c r="Q16" i="181"/>
  <c r="P16" i="181"/>
  <c r="I16" i="181"/>
  <c r="E16" i="181"/>
  <c r="AD15" i="181"/>
  <c r="AC15" i="181"/>
  <c r="AB15" i="181"/>
  <c r="AE15" i="181" s="1"/>
  <c r="AI15" i="181" s="1"/>
  <c r="Y15" i="181" s="1"/>
  <c r="Z15" i="181"/>
  <c r="X15" i="181"/>
  <c r="Q15" i="181"/>
  <c r="P15" i="181"/>
  <c r="E15" i="181"/>
  <c r="I15" i="181" s="1"/>
  <c r="AD14" i="181"/>
  <c r="AC14" i="181"/>
  <c r="AB14" i="181"/>
  <c r="AE14" i="181" s="1"/>
  <c r="AI14" i="181" s="1"/>
  <c r="Y14" i="181" s="1"/>
  <c r="Z14" i="181"/>
  <c r="X14" i="181"/>
  <c r="Q14" i="181"/>
  <c r="P14" i="181"/>
  <c r="I14" i="181"/>
  <c r="H14" i="181"/>
  <c r="E14" i="181"/>
  <c r="AD13" i="181"/>
  <c r="AC13" i="181"/>
  <c r="AB13" i="181"/>
  <c r="AE13" i="181" s="1"/>
  <c r="AI13" i="181" s="1"/>
  <c r="Y13" i="181" s="1"/>
  <c r="Z13" i="181"/>
  <c r="X13" i="181"/>
  <c r="Q13" i="181"/>
  <c r="P13" i="181"/>
  <c r="H13" i="181"/>
  <c r="E13" i="181"/>
  <c r="I13" i="181" s="1"/>
  <c r="AD12" i="181"/>
  <c r="AC12" i="181"/>
  <c r="AE12" i="181" s="1"/>
  <c r="AI12" i="181" s="1"/>
  <c r="Y12" i="181" s="1"/>
  <c r="AB12" i="181"/>
  <c r="Z12" i="181"/>
  <c r="T75" i="181" s="1"/>
  <c r="X12" i="181"/>
  <c r="T77" i="181" s="1"/>
  <c r="Q12" i="181"/>
  <c r="P12" i="181"/>
  <c r="I12" i="181"/>
  <c r="H12" i="181"/>
  <c r="E12" i="181"/>
  <c r="F77" i="182" l="1"/>
  <c r="O75" i="181"/>
  <c r="O73" i="181"/>
  <c r="F75" i="181"/>
  <c r="T73" i="181"/>
  <c r="T79" i="181" s="1"/>
  <c r="F73" i="181"/>
  <c r="F77" i="181" l="1"/>
</calcChain>
</file>

<file path=xl/sharedStrings.xml><?xml version="1.0" encoding="utf-8"?>
<sst xmlns="http://schemas.openxmlformats.org/spreadsheetml/2006/main" count="2397" uniqueCount="134">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</sst>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4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3" Type="http://schemas.openxmlformats.org/officeDocument/2006/relationships/worksheet" Target="worksheets/sheet3.xml"/><Relationship Id="rId21" Type="http://schemas.openxmlformats.org/officeDocument/2006/relationships/calcChain" Target="calcChain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DE4485-081B-4BCF-8F4C-4C0567533380}">
  <sheetPr>
    <tabColor rgb="FF00B050"/>
    <pageSetUpPr fitToPage="1"/>
  </sheetPr>
  <dimension ref="A1:AJ100"/>
  <sheetViews>
    <sheetView showGridLines="0" topLeftCell="A31" zoomScale="85" zoomScaleNormal="85" workbookViewId="0">
      <pane xSplit="2" topLeftCell="F1" activePane="topRight" state="frozen"/>
      <selection activeCell="N14" sqref="N14"/>
      <selection pane="topRight" activeCell="B93" sqref="B93:I9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195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195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108</v>
      </c>
      <c r="O13" s="51"/>
      <c r="P13" s="52" t="str">
        <f t="shared" ref="P13:P68" si="5">IF(M13&amp;N13="","",ROUND(((M13+N13)/G13),1)&amp;" pallets")</f>
        <v>2 pallets</v>
      </c>
      <c r="Q13" s="53">
        <f t="shared" ref="Q13:Q70" si="6">(J13*M13)+(K13*N13)+(O13*L13)</f>
        <v>21060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144</v>
      </c>
      <c r="N57" s="51">
        <v>270</v>
      </c>
      <c r="O57" s="51"/>
      <c r="P57" s="52" t="str">
        <f t="shared" si="5"/>
        <v>5.8 pallets</v>
      </c>
      <c r="Q57" s="53">
        <f>(J57*M57)+(K57*N57)+(O57*L57)</f>
        <v>22572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18.8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175500</v>
      </c>
      <c r="P73" s="251"/>
      <c r="Q73" s="252"/>
      <c r="R73" s="152"/>
      <c r="S73" s="159" t="s">
        <v>104</v>
      </c>
      <c r="T73" s="256">
        <f>SUM(Y12:Y68)</f>
        <v>0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154440</v>
      </c>
      <c r="P75" s="251"/>
      <c r="Q75" s="252"/>
      <c r="R75" s="152"/>
      <c r="S75" s="159" t="s">
        <v>129</v>
      </c>
      <c r="T75" s="256">
        <f>SUM(Z12:Z70)</f>
        <v>0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-175500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0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6B714E-A018-4073-A7B1-8838640AB9E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196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196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>
        <v>72</v>
      </c>
      <c r="N12" s="30">
        <v>72</v>
      </c>
      <c r="O12" s="30"/>
      <c r="P12" s="31" t="str">
        <f>IF(M12&amp;N12="","",ROUND(((M12+N12)/G12),1)&amp;" pallets")</f>
        <v>2 pallets</v>
      </c>
      <c r="Q12" s="32">
        <f>(J12*M12)+(K12*N12)+(O12*L12)</f>
        <v>14688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/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11988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>
        <v>96</v>
      </c>
      <c r="O15" s="51"/>
      <c r="P15" s="52" t="str">
        <f t="shared" si="5"/>
        <v>2 pallets</v>
      </c>
      <c r="Q15" s="53">
        <f t="shared" si="6"/>
        <v>18720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1296</v>
      </c>
      <c r="N16" s="193"/>
      <c r="O16" s="51"/>
      <c r="P16" s="52" t="str">
        <f t="shared" si="5"/>
        <v>12 pallets</v>
      </c>
      <c r="Q16" s="53">
        <f t="shared" si="6"/>
        <v>143856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189252</v>
      </c>
      <c r="P73" s="251"/>
      <c r="Q73" s="252"/>
      <c r="R73" s="152"/>
      <c r="S73" s="159" t="s">
        <v>104</v>
      </c>
      <c r="T73" s="256">
        <f>SUM(Y12:Y68)</f>
        <v>0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162576</v>
      </c>
      <c r="P75" s="251"/>
      <c r="Q75" s="252"/>
      <c r="R75" s="152"/>
      <c r="S75" s="159" t="s">
        <v>129</v>
      </c>
      <c r="T75" s="256">
        <f>SUM(Z12:Z70)</f>
        <v>0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-189252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0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B2B4D1-E120-4437-A1E6-C88C81AB423B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197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197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x14ac:dyDescent="0.25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IF($U$6="x",(F12*2),"")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25</v>
      </c>
      <c r="AH12" s="37"/>
      <c r="AI12" s="43">
        <f t="shared" ref="AI12:AI68" si="1">AG12+AE12</f>
        <v>30.369999999999997</v>
      </c>
    </row>
    <row r="13" spans="2:35" s="21" customFormat="1" ht="32.1" customHeight="1" x14ac:dyDescent="0.25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57">
        <f t="shared" ref="Z13:Z68" si="8">IF($U$6="x",(F13*2),"")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62">
        <v>25</v>
      </c>
      <c r="AH13" s="37"/>
      <c r="AI13" s="63">
        <f t="shared" si="1"/>
        <v>28.64</v>
      </c>
    </row>
    <row r="14" spans="2:35" s="21" customFormat="1" ht="32.1" customHeight="1" x14ac:dyDescent="0.25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57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62">
        <v>25</v>
      </c>
      <c r="AH14" s="37"/>
      <c r="AI14" s="63">
        <f t="shared" si="1"/>
        <v>31.07</v>
      </c>
    </row>
    <row r="15" spans="2:35" s="21" customFormat="1" ht="32.1" customHeight="1" x14ac:dyDescent="0.25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57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62">
        <v>25</v>
      </c>
      <c r="AH15" s="37"/>
      <c r="AI15" s="63">
        <f t="shared" si="1"/>
        <v>29.1</v>
      </c>
    </row>
    <row r="16" spans="2:35" s="21" customFormat="1" ht="32.1" customHeight="1" x14ac:dyDescent="0.25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0</v>
      </c>
      <c r="Y16" s="57">
        <f>F16*AI16</f>
        <v>0</v>
      </c>
      <c r="Z16" s="57">
        <f>IF($U$6="x",(F16*2),"")</f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62">
        <v>25</v>
      </c>
      <c r="AH16" s="37"/>
      <c r="AI16" s="63">
        <f t="shared" si="1"/>
        <v>28.64</v>
      </c>
    </row>
    <row r="17" spans="2:35" s="21" customFormat="1" ht="32.1" customHeight="1" x14ac:dyDescent="0.25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57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62">
        <v>25</v>
      </c>
      <c r="AH17" s="37"/>
      <c r="AI17" s="63">
        <f t="shared" si="1"/>
        <v>28.64</v>
      </c>
    </row>
    <row r="18" spans="2:35" s="21" customFormat="1" ht="32.1" customHeight="1" x14ac:dyDescent="0.25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57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62">
        <v>25</v>
      </c>
      <c r="AH18" s="37"/>
      <c r="AI18" s="63">
        <f t="shared" si="1"/>
        <v>28.64</v>
      </c>
    </row>
    <row r="19" spans="2:35" s="21" customFormat="1" ht="32.1" customHeight="1" x14ac:dyDescent="0.25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57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62">
        <v>25</v>
      </c>
      <c r="AH19" s="37"/>
      <c r="AI19" s="83">
        <f t="shared" si="1"/>
        <v>31.07</v>
      </c>
    </row>
    <row r="20" spans="2:35" s="21" customFormat="1" ht="32.1" customHeight="1" x14ac:dyDescent="0.25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57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62">
        <v>25</v>
      </c>
      <c r="AH20" s="37"/>
      <c r="AI20" s="63">
        <f t="shared" si="1"/>
        <v>31.07</v>
      </c>
    </row>
    <row r="21" spans="2:35" s="21" customFormat="1" ht="32.1" customHeight="1" x14ac:dyDescent="0.25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57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62">
        <v>25</v>
      </c>
      <c r="AH21" s="37"/>
      <c r="AI21" s="83">
        <f t="shared" si="1"/>
        <v>31.07</v>
      </c>
    </row>
    <row r="22" spans="2:35" s="21" customFormat="1" ht="32.1" customHeight="1" x14ac:dyDescent="0.25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57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62">
        <v>25</v>
      </c>
      <c r="AH22" s="37"/>
      <c r="AI22" s="43">
        <f>AG22+AE22</f>
        <v>31.07</v>
      </c>
    </row>
    <row r="23" spans="2:35" s="21" customFormat="1" ht="32.1" customHeight="1" x14ac:dyDescent="0.25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57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62">
        <v>25</v>
      </c>
      <c r="AH23" s="37"/>
      <c r="AI23" s="43">
        <f t="shared" si="1"/>
        <v>31.07</v>
      </c>
    </row>
    <row r="24" spans="2:35" s="21" customFormat="1" ht="32.1" customHeight="1" x14ac:dyDescent="0.25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57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62">
        <v>25</v>
      </c>
      <c r="AH24" s="37"/>
      <c r="AI24" s="63">
        <f t="shared" si="1"/>
        <v>31.07</v>
      </c>
    </row>
    <row r="25" spans="2:35" s="21" customFormat="1" ht="32.1" customHeight="1" x14ac:dyDescent="0.25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57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62">
        <v>25</v>
      </c>
      <c r="AH25" s="37"/>
      <c r="AI25" s="63">
        <f t="shared" si="1"/>
        <v>31.07</v>
      </c>
    </row>
    <row r="26" spans="2:35" s="21" customFormat="1" ht="32.1" customHeight="1" x14ac:dyDescent="0.25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57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62">
        <v>25</v>
      </c>
      <c r="AH26" s="37"/>
      <c r="AI26" s="63">
        <f t="shared" si="1"/>
        <v>31.07</v>
      </c>
    </row>
    <row r="27" spans="2:35" s="21" customFormat="1" ht="32.1" customHeight="1" x14ac:dyDescent="0.25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57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62">
        <v>25</v>
      </c>
      <c r="AH27" s="37"/>
      <c r="AI27" s="83">
        <f t="shared" si="1"/>
        <v>31.07</v>
      </c>
    </row>
    <row r="28" spans="2:35" s="21" customFormat="1" ht="32.1" customHeight="1" x14ac:dyDescent="0.25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57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62">
        <v>25</v>
      </c>
      <c r="AH28" s="37"/>
      <c r="AI28" s="43">
        <f t="shared" si="1"/>
        <v>31.07</v>
      </c>
    </row>
    <row r="29" spans="2:35" s="21" customFormat="1" ht="32.1" customHeight="1" x14ac:dyDescent="0.25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57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62">
        <v>25</v>
      </c>
      <c r="AH29" s="37"/>
      <c r="AI29" s="83">
        <f t="shared" si="1"/>
        <v>31.07</v>
      </c>
    </row>
    <row r="30" spans="2:35" s="21" customFormat="1" ht="32.1" customHeight="1" x14ac:dyDescent="0.25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57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62">
        <v>25</v>
      </c>
      <c r="AH30" s="37"/>
      <c r="AI30" s="43">
        <f t="shared" si="1"/>
        <v>30.369999999999997</v>
      </c>
    </row>
    <row r="31" spans="2:35" s="21" customFormat="1" ht="32.1" customHeight="1" x14ac:dyDescent="0.25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57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62">
        <v>25</v>
      </c>
      <c r="AH31" s="37"/>
      <c r="AI31" s="63">
        <f t="shared" si="1"/>
        <v>30.759999999999998</v>
      </c>
    </row>
    <row r="32" spans="2:35" s="21" customFormat="1" ht="32.1" customHeight="1" x14ac:dyDescent="0.25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57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62">
        <v>25</v>
      </c>
      <c r="AH32" s="37"/>
      <c r="AI32" s="63">
        <f t="shared" si="1"/>
        <v>31.07</v>
      </c>
    </row>
    <row r="33" spans="2:35" s="21" customFormat="1" ht="32.1" customHeight="1" x14ac:dyDescent="0.25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57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62">
        <v>25</v>
      </c>
      <c r="AH33" s="37"/>
      <c r="AI33" s="43">
        <f t="shared" si="1"/>
        <v>29.759999999999998</v>
      </c>
    </row>
    <row r="34" spans="2:35" s="21" customFormat="1" ht="32.1" customHeight="1" x14ac:dyDescent="0.25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57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62">
        <v>25</v>
      </c>
      <c r="AH34" s="37"/>
      <c r="AI34" s="43">
        <f t="shared" si="1"/>
        <v>27.16</v>
      </c>
    </row>
    <row r="35" spans="2:35" s="21" customFormat="1" ht="32.1" customHeight="1" x14ac:dyDescent="0.25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57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62">
        <v>25</v>
      </c>
      <c r="AH35" s="37"/>
      <c r="AI35" s="63">
        <f t="shared" si="1"/>
        <v>27.16</v>
      </c>
    </row>
    <row r="36" spans="2:35" s="21" customFormat="1" ht="32.1" customHeight="1" x14ac:dyDescent="0.25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57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62">
        <v>25</v>
      </c>
      <c r="AH36" s="37"/>
      <c r="AI36" s="63">
        <f t="shared" si="1"/>
        <v>27.16</v>
      </c>
    </row>
    <row r="37" spans="2:35" s="21" customFormat="1" ht="32.1" customHeight="1" x14ac:dyDescent="0.25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57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62">
        <v>25</v>
      </c>
      <c r="AH37" s="37"/>
      <c r="AI37" s="63">
        <f t="shared" si="1"/>
        <v>27.16</v>
      </c>
    </row>
    <row r="38" spans="2:35" s="21" customFormat="1" ht="32.1" customHeight="1" x14ac:dyDescent="0.25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57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62">
        <v>25</v>
      </c>
      <c r="AH38" s="37"/>
      <c r="AI38" s="83">
        <f t="shared" si="1"/>
        <v>27.16</v>
      </c>
    </row>
    <row r="39" spans="2:35" s="21" customFormat="1" ht="32.1" customHeight="1" x14ac:dyDescent="0.25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57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62">
        <v>25</v>
      </c>
      <c r="AH39" s="37"/>
      <c r="AI39" s="43">
        <f t="shared" si="1"/>
        <v>27.16</v>
      </c>
    </row>
    <row r="40" spans="2:35" s="21" customFormat="1" ht="32.1" customHeight="1" x14ac:dyDescent="0.25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57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62">
        <v>25</v>
      </c>
      <c r="AH40" s="37"/>
      <c r="AI40" s="63">
        <f t="shared" si="1"/>
        <v>27.16</v>
      </c>
    </row>
    <row r="41" spans="2:35" s="21" customFormat="1" ht="32.1" customHeight="1" x14ac:dyDescent="0.25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57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62">
        <v>25</v>
      </c>
      <c r="AH41" s="37"/>
      <c r="AI41" s="83">
        <f t="shared" si="1"/>
        <v>27.16</v>
      </c>
    </row>
    <row r="42" spans="2:35" s="21" customFormat="1" ht="32.1" customHeight="1" x14ac:dyDescent="0.25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57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62">
        <v>25</v>
      </c>
      <c r="AH42" s="37"/>
      <c r="AI42" s="107">
        <f t="shared" si="1"/>
        <v>27.16</v>
      </c>
    </row>
    <row r="43" spans="2:35" s="21" customFormat="1" ht="32.1" customHeight="1" x14ac:dyDescent="0.25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57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62">
        <v>25</v>
      </c>
      <c r="AH43" s="37"/>
      <c r="AI43" s="110">
        <f t="shared" si="1"/>
        <v>27.16</v>
      </c>
    </row>
    <row r="44" spans="2:35" s="21" customFormat="1" ht="32.1" customHeight="1" x14ac:dyDescent="0.25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57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62">
        <v>25</v>
      </c>
      <c r="AH44" s="37"/>
      <c r="AI44" s="63">
        <f>AG44+AE44</f>
        <v>27.16</v>
      </c>
    </row>
    <row r="45" spans="2:35" s="21" customFormat="1" ht="32.1" customHeight="1" x14ac:dyDescent="0.25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57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62">
        <v>25</v>
      </c>
      <c r="AH45" s="37"/>
      <c r="AI45" s="110">
        <f t="shared" si="1"/>
        <v>28.77</v>
      </c>
    </row>
    <row r="46" spans="2:35" s="21" customFormat="1" ht="32.1" customHeight="1" x14ac:dyDescent="0.25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57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62">
        <v>25</v>
      </c>
      <c r="AH46" s="37"/>
      <c r="AI46" s="83">
        <f t="shared" si="1"/>
        <v>27.16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57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62">
        <v>25</v>
      </c>
      <c r="AH47" s="37"/>
      <c r="AI47" s="107">
        <f t="shared" si="1"/>
        <v>25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57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62">
        <v>25</v>
      </c>
      <c r="AH48" s="37"/>
      <c r="AI48" s="110">
        <f t="shared" si="1"/>
        <v>25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57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62">
        <v>25</v>
      </c>
      <c r="AH49" s="37"/>
      <c r="AI49" s="83">
        <f t="shared" si="1"/>
        <v>25</v>
      </c>
    </row>
    <row r="50" spans="2:35" s="21" customFormat="1" ht="32.1" customHeight="1" x14ac:dyDescent="0.25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57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62">
        <v>25</v>
      </c>
      <c r="AH50" s="37"/>
      <c r="AI50" s="63">
        <f t="shared" si="1"/>
        <v>31.07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57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62">
        <v>25</v>
      </c>
      <c r="AH51" s="37"/>
      <c r="AI51" s="125">
        <f t="shared" si="1"/>
        <v>27.16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57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62">
        <v>25</v>
      </c>
      <c r="AH52" s="37"/>
      <c r="AI52" s="43">
        <f t="shared" si="1"/>
        <v>30.07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57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62">
        <v>25</v>
      </c>
      <c r="AH53" s="37"/>
      <c r="AI53" s="125">
        <f t="shared" si="1"/>
        <v>27.16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57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62">
        <v>25</v>
      </c>
      <c r="AH54" s="37"/>
      <c r="AI54" s="125">
        <f t="shared" si="1"/>
        <v>27.16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57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62">
        <v>25</v>
      </c>
      <c r="AH55" s="37"/>
      <c r="AI55" s="125">
        <f t="shared" si="1"/>
        <v>27.16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57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62">
        <v>25</v>
      </c>
      <c r="AH56" s="37"/>
      <c r="AI56" s="125">
        <f t="shared" si="1"/>
        <v>27.16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 t="shared" si="8"/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25</v>
      </c>
      <c r="AH62" s="37"/>
      <c r="AI62" s="43">
        <f t="shared" si="1"/>
        <v>27.16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si="8"/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25</v>
      </c>
      <c r="AH63" s="37"/>
      <c r="AI63" s="63">
        <f t="shared" si="1"/>
        <v>27.16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8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25</v>
      </c>
      <c r="AH64" s="37"/>
      <c r="AI64" s="63">
        <f t="shared" si="1"/>
        <v>27.16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8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25</v>
      </c>
      <c r="AH65" s="37"/>
      <c r="AI65" s="63">
        <f t="shared" si="1"/>
        <v>27.16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8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25</v>
      </c>
      <c r="AH66" s="37"/>
      <c r="AI66" s="63">
        <f t="shared" si="1"/>
        <v>27.16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8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25</v>
      </c>
      <c r="AH67" s="37"/>
      <c r="AI67" s="63">
        <f t="shared" si="1"/>
        <v>27.16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W68" s="21">
        <f>28188+5616</f>
        <v>33804</v>
      </c>
      <c r="X68" s="129">
        <f t="shared" si="7"/>
        <v>0</v>
      </c>
      <c r="Y68" s="130">
        <f t="shared" si="0"/>
        <v>0</v>
      </c>
      <c r="Z68" s="130">
        <f t="shared" si="8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25</v>
      </c>
      <c r="AH68" s="37"/>
      <c r="AI68" s="125">
        <f t="shared" si="1"/>
        <v>27.16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7">+D69-C69</f>
        <v>262.5</v>
      </c>
      <c r="F69" s="136"/>
      <c r="G69" s="87">
        <v>72</v>
      </c>
      <c r="H69" s="137" t="str">
        <f t="shared" ref="H69:H70" si="18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19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7"/>
        <v>262.5</v>
      </c>
      <c r="F70" s="142"/>
      <c r="G70" s="115">
        <v>72</v>
      </c>
      <c r="H70" s="143" t="str">
        <f t="shared" si="18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19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0</v>
      </c>
      <c r="U73" s="257"/>
      <c r="V73" s="160"/>
      <c r="W73" s="160">
        <f>8856+2185.92</f>
        <v>11041.92</v>
      </c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203796</v>
      </c>
      <c r="P75" s="251"/>
      <c r="Q75" s="252"/>
      <c r="R75" s="152"/>
      <c r="S75" s="159" t="s">
        <v>129</v>
      </c>
      <c r="T75" s="256">
        <f>SUM(Z12:Z70)</f>
        <v>0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-203796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0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C2E19-65CE-4BC8-A129-1FC742D6653D}">
  <sheetPr>
    <tabColor rgb="FF00B050"/>
    <pageSetUpPr fitToPage="1"/>
  </sheetPr>
  <dimension ref="A1:AJ100"/>
  <sheetViews>
    <sheetView showGridLines="0" topLeftCell="A7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198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198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3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3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3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3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1397196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54419.040000000001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1397196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203796</v>
      </c>
      <c r="P75" s="251"/>
      <c r="Q75" s="252"/>
      <c r="R75" s="152"/>
      <c r="S75" s="159" t="s">
        <v>129</v>
      </c>
      <c r="T75" s="256">
        <f>SUM(Z12:Z70)</f>
        <v>6426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444054.95999999996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>
        <v>688500</v>
      </c>
      <c r="Q79" s="255"/>
      <c r="R79" s="152"/>
      <c r="S79" s="159" t="s">
        <v>112</v>
      </c>
      <c r="T79" s="256">
        <f>T77+T73+T75</f>
        <v>60845.04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55F714-8D6E-43BA-9379-5088DF5609F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199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199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1397196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200880</v>
      </c>
      <c r="P73" s="251"/>
      <c r="Q73" s="252"/>
      <c r="R73" s="152"/>
      <c r="S73" s="159" t="s">
        <v>104</v>
      </c>
      <c r="T73" s="256">
        <f>SUM(Y12:Y68)</f>
        <v>54419.040000000001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1397196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191808</v>
      </c>
      <c r="P75" s="251"/>
      <c r="Q75" s="252"/>
      <c r="R75" s="152"/>
      <c r="S75" s="159" t="s">
        <v>129</v>
      </c>
      <c r="T75" s="256">
        <f>SUM(Z12:Z70)</f>
        <v>6426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1135470.96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60845.04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E79D47-2E98-47C1-94C6-BF00E7EDD07E}">
  <sheetPr>
    <tabColor rgb="FF00B050"/>
    <pageSetUpPr fitToPage="1"/>
  </sheetPr>
  <dimension ref="A1:AJ100"/>
  <sheetViews>
    <sheetView showGridLines="0" topLeftCell="A10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0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0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v>126</v>
      </c>
      <c r="N14" s="51"/>
      <c r="O14" s="51"/>
      <c r="P14" s="52" t="str">
        <f t="shared" si="5"/>
        <v>2 pallets</v>
      </c>
      <c r="Q14" s="53">
        <f t="shared" si="6"/>
        <v>15120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v>63</v>
      </c>
      <c r="N20" s="66"/>
      <c r="O20" s="51"/>
      <c r="P20" s="52" t="str">
        <f t="shared" si="5"/>
        <v>1 pallets</v>
      </c>
      <c r="Q20" s="53">
        <f t="shared" si="6"/>
        <v>7560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1397196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190512</v>
      </c>
      <c r="P73" s="251"/>
      <c r="Q73" s="252"/>
      <c r="R73" s="152"/>
      <c r="S73" s="159" t="s">
        <v>104</v>
      </c>
      <c r="T73" s="256">
        <f>SUM(Y12:Y68)</f>
        <v>54419.040000000001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1397196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190512</v>
      </c>
      <c r="P75" s="251"/>
      <c r="Q75" s="252"/>
      <c r="R75" s="152"/>
      <c r="S75" s="159" t="s">
        <v>129</v>
      </c>
      <c r="T75" s="256">
        <f>SUM(Z12:Z70)</f>
        <v>6426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1145838.96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60845.04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399F95-62B2-4B70-B50B-D6263FA3A075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N14" sqref="N14"/>
      <selection pane="topRight" activeCell="M13" sqref="M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1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1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>
        <f>63+252</f>
        <v>315</v>
      </c>
      <c r="N14" s="51"/>
      <c r="O14" s="51"/>
      <c r="P14" s="52" t="str">
        <f t="shared" si="5"/>
        <v>5 pallets</v>
      </c>
      <c r="Q14" s="53">
        <f t="shared" si="6"/>
        <v>37800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>
        <v>96</v>
      </c>
      <c r="O15" s="51"/>
      <c r="P15" s="52" t="str">
        <f t="shared" si="5"/>
        <v>1 pallets</v>
      </c>
      <c r="Q15" s="53">
        <f t="shared" si="6"/>
        <v>8064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432</v>
      </c>
      <c r="N16" s="193"/>
      <c r="O16" s="51"/>
      <c r="P16" s="52" t="str">
        <f t="shared" si="5"/>
        <v>4 pallets</v>
      </c>
      <c r="Q16" s="53">
        <f t="shared" si="6"/>
        <v>47952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>
        <f>126</f>
        <v>126</v>
      </c>
      <c r="N20" s="66"/>
      <c r="O20" s="51"/>
      <c r="P20" s="52" t="str">
        <f t="shared" si="5"/>
        <v>2 pallets</v>
      </c>
      <c r="Q20" s="53">
        <f t="shared" si="6"/>
        <v>15120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1397196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141984</v>
      </c>
      <c r="P73" s="251"/>
      <c r="Q73" s="252"/>
      <c r="R73" s="152"/>
      <c r="S73" s="159" t="s">
        <v>104</v>
      </c>
      <c r="T73" s="256">
        <f>SUM(Y12:Y68)</f>
        <v>54419.040000000001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1397196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108936</v>
      </c>
      <c r="P75" s="251"/>
      <c r="Q75" s="252"/>
      <c r="R75" s="152"/>
      <c r="S75" s="159" t="s">
        <v>129</v>
      </c>
      <c r="T75" s="256">
        <f>SUM(Z12:Z70)</f>
        <v>6426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1194366.96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60845.04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2076B6-F714-4131-8D26-F35804BDAD89}">
  <sheetPr>
    <tabColor rgb="FF00B050"/>
    <pageSetUpPr fitToPage="1"/>
  </sheetPr>
  <dimension ref="A1:AJ100"/>
  <sheetViews>
    <sheetView showGridLines="0" topLeftCell="A37" zoomScale="85" zoomScaleNormal="85" workbookViewId="0">
      <pane xSplit="2" topLeftCell="F1" activePane="topRight" state="frozen"/>
      <selection activeCell="N14" sqref="N14"/>
      <selection pane="topRight" activeCell="N56" sqref="N5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1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1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>
        <v>72</v>
      </c>
      <c r="N57" s="51">
        <v>135</v>
      </c>
      <c r="O57" s="51"/>
      <c r="P57" s="52" t="str">
        <f t="shared" si="5"/>
        <v>2.9 pallets</v>
      </c>
      <c r="Q57" s="53">
        <f>(J57*M57)+(K57*N57)+(O57*L57)</f>
        <v>11286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2.9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11286</v>
      </c>
      <c r="P73" s="251"/>
      <c r="Q73" s="252"/>
      <c r="R73" s="152"/>
      <c r="S73" s="159" t="s">
        <v>104</v>
      </c>
      <c r="T73" s="256">
        <f>SUM(Y12:Y68)</f>
        <v>0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11286</v>
      </c>
      <c r="P75" s="251"/>
      <c r="Q75" s="252"/>
      <c r="R75" s="152"/>
      <c r="S75" s="159" t="s">
        <v>129</v>
      </c>
      <c r="T75" s="256">
        <f>SUM(Z12:Z70)</f>
        <v>0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-11286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0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C7F5-F32A-4FE9-98F8-76B2AF55246A}">
  <sheetPr>
    <tabColor rgb="FF00B050"/>
    <pageSetUpPr fitToPage="1"/>
  </sheetPr>
  <dimension ref="A1:AJ100"/>
  <sheetViews>
    <sheetView showGridLines="0" topLeftCell="A22" zoomScale="85" zoomScaleNormal="85" workbookViewId="0">
      <pane xSplit="2" topLeftCell="F1" activePane="topRight" state="frozen"/>
      <selection activeCell="N14" sqref="N14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2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2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108</v>
      </c>
      <c r="N13" s="51">
        <v>324</v>
      </c>
      <c r="O13" s="51"/>
      <c r="P13" s="52" t="str">
        <f t="shared" ref="P13:P68" si="5">IF(M13&amp;N13="","",ROUND(((M13+N13)/G13),1)&amp;" pallets")</f>
        <v>4 pallets</v>
      </c>
      <c r="Q13" s="53">
        <f t="shared" ref="Q13:Q70" si="6">(J13*M13)+(K13*N13)+(O13*L13)</f>
        <v>39204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>
        <v>1080</v>
      </c>
      <c r="N16" s="193"/>
      <c r="O16" s="51"/>
      <c r="P16" s="52" t="str">
        <f t="shared" si="5"/>
        <v>10 pallets</v>
      </c>
      <c r="Q16" s="53">
        <f t="shared" si="6"/>
        <v>119880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175032</v>
      </c>
      <c r="P73" s="251"/>
      <c r="Q73" s="252"/>
      <c r="R73" s="152"/>
      <c r="S73" s="159" t="s">
        <v>104</v>
      </c>
      <c r="T73" s="256">
        <f>SUM(Y12:Y68)</f>
        <v>0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135828</v>
      </c>
      <c r="P75" s="251"/>
      <c r="Q75" s="252"/>
      <c r="R75" s="152"/>
      <c r="S75" s="159" t="s">
        <v>129</v>
      </c>
      <c r="T75" s="256">
        <f>SUM(Z12:Z70)</f>
        <v>0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-175032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0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31B28-3EFA-4481-BE92-8C35861F5EC6}">
  <sheetPr>
    <tabColor rgb="FF00B050"/>
    <pageSetUpPr fitToPage="1"/>
  </sheetPr>
  <dimension ref="A1:AJ100"/>
  <sheetViews>
    <sheetView showGridLines="0" topLeftCell="A43" zoomScale="85" zoomScaleNormal="85" workbookViewId="0">
      <pane xSplit="2" topLeftCell="F1" activePane="topRight" state="frozen"/>
      <selection activeCell="N14" sqref="N14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2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2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2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0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5670</v>
      </c>
      <c r="P73" s="251"/>
      <c r="Q73" s="252"/>
      <c r="R73" s="152"/>
      <c r="S73" s="159" t="s">
        <v>104</v>
      </c>
      <c r="T73" s="256">
        <f>SUM(Y12:Y68)</f>
        <v>0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0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5670</v>
      </c>
      <c r="P75" s="251"/>
      <c r="Q75" s="252"/>
      <c r="R75" s="152"/>
      <c r="S75" s="159" t="s">
        <v>129</v>
      </c>
      <c r="T75" s="256">
        <f>SUM(Z12:Z70)</f>
        <v>0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-5670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0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AFED71-2683-44BB-AE96-534F7291C552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P87" sqref="P8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3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3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v>63</v>
      </c>
      <c r="G20" s="47">
        <v>63</v>
      </c>
      <c r="H20" s="64" t="str">
        <f t="shared" si="11"/>
        <v>1 pallets</v>
      </c>
      <c r="I20" s="49">
        <f t="shared" si="4"/>
        <v>62496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54936</v>
      </c>
      <c r="Y20" s="57">
        <f t="shared" si="0"/>
        <v>2020.41</v>
      </c>
      <c r="Z20" s="36">
        <f t="shared" si="8"/>
        <v>220.5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3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1377504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53238.33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1377504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203796</v>
      </c>
      <c r="P75" s="251"/>
      <c r="Q75" s="252"/>
      <c r="R75" s="152"/>
      <c r="S75" s="159" t="s">
        <v>129</v>
      </c>
      <c r="T75" s="256">
        <f>SUM(Z12:Z70)</f>
        <v>6268.5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771771.40999999992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>
        <v>25568</v>
      </c>
      <c r="Q77" s="255"/>
      <c r="R77" s="152"/>
      <c r="S77" s="159" t="s">
        <v>108</v>
      </c>
      <c r="T77" s="256">
        <f>IF(SUM(X12:X68)*0.15&gt;P77,P77,SUM(X12:X68)*0.15)</f>
        <v>25568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>
        <f>197532+119329.76</f>
        <v>316861.76</v>
      </c>
      <c r="Q79" s="255"/>
      <c r="R79" s="152"/>
      <c r="S79" s="159" t="s">
        <v>112</v>
      </c>
      <c r="T79" s="256">
        <f>T77+T73+T75</f>
        <v>85074.83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FCE033-2E5B-4DE4-92C2-A147BAF4630C}">
  <sheetPr>
    <tabColor rgb="FF00B050"/>
    <pageSetUpPr fitToPage="1"/>
  </sheetPr>
  <dimension ref="A1:AJ100"/>
  <sheetViews>
    <sheetView showGridLines="0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4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4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4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1397196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54419.040000000001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1397196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203796</v>
      </c>
      <c r="P75" s="251"/>
      <c r="Q75" s="252"/>
      <c r="R75" s="152"/>
      <c r="S75" s="159" t="s">
        <v>129</v>
      </c>
      <c r="T75" s="256">
        <f>SUM(Z12:Z70)</f>
        <v>6426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1132554.96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60845.04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419E8B-6E15-45CD-BD17-F50F68314ED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N14" sqref="N14"/>
      <selection pane="topRight" activeCell="M16" sqref="M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5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5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5" t="str">
        <f>ROUND((((M12+N12+M30+M57+M58+M59+M60+M61+N57)/72+(M13+N13+M16+M18)/108+(M15+N15)/96+SUM(M14,M19:M29,M31:M32,M50,N14)/63)),1)&amp;" pallets"</f>
        <v>15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1397196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178488</v>
      </c>
      <c r="P73" s="251"/>
      <c r="Q73" s="252"/>
      <c r="R73" s="152"/>
      <c r="S73" s="159" t="s">
        <v>104</v>
      </c>
      <c r="T73" s="256">
        <f>SUM(Y12:Y68)</f>
        <v>54419.040000000001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1397196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178488</v>
      </c>
      <c r="P75" s="251"/>
      <c r="Q75" s="252"/>
      <c r="R75" s="152"/>
      <c r="S75" s="159" t="s">
        <v>129</v>
      </c>
      <c r="T75" s="256">
        <f>SUM(Z12:Z70)</f>
        <v>6426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1157862.96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60845.04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6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6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108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33048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>
        <v>96</v>
      </c>
      <c r="O15" s="51"/>
      <c r="P15" s="52" t="str">
        <f t="shared" si="5"/>
        <v>3 pallets</v>
      </c>
      <c r="Q15" s="53">
        <f t="shared" si="6"/>
        <v>29376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1188</v>
      </c>
      <c r="N16" s="193"/>
      <c r="O16" s="51"/>
      <c r="P16" s="52" t="str">
        <f t="shared" si="5"/>
        <v>11 pallets</v>
      </c>
      <c r="Q16" s="53">
        <f t="shared" si="6"/>
        <v>131868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1397196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194292</v>
      </c>
      <c r="P73" s="251"/>
      <c r="Q73" s="252"/>
      <c r="R73" s="152"/>
      <c r="S73" s="159" t="s">
        <v>104</v>
      </c>
      <c r="T73" s="256">
        <f>SUM(Y12:Y68)</f>
        <v>54419.040000000001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1397196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161244</v>
      </c>
      <c r="P75" s="251"/>
      <c r="Q75" s="252"/>
      <c r="R75" s="152"/>
      <c r="S75" s="159" t="s">
        <v>129</v>
      </c>
      <c r="T75" s="256">
        <f>SUM(Z12:Z70)</f>
        <v>6426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1142058.96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60845.04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2AEF1B-DF76-4E18-86F7-518D0D7374A1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F1" activePane="topRight" state="frozen"/>
      <selection activeCell="N14" sqref="N14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7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7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1397196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54419.040000000001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1397196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203796</v>
      </c>
      <c r="P75" s="251"/>
      <c r="Q75" s="252"/>
      <c r="R75" s="152"/>
      <c r="S75" s="159" t="s">
        <v>129</v>
      </c>
      <c r="T75" s="256">
        <f>SUM(Z12:Z70)</f>
        <v>6426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1054496.3799999999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>
        <v>20876.580000000002</v>
      </c>
      <c r="Q77" s="255"/>
      <c r="R77" s="152"/>
      <c r="S77" s="159" t="s">
        <v>108</v>
      </c>
      <c r="T77" s="256">
        <f>IF(SUM(X12:X68)*0.15&gt;P77,P77,SUM(X12:X68)*0.15)</f>
        <v>20876.580000000002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>
        <v>57182</v>
      </c>
      <c r="Q79" s="255"/>
      <c r="R79" s="152"/>
      <c r="S79" s="159" t="s">
        <v>112</v>
      </c>
      <c r="T79" s="256">
        <f>T77+T73+T75</f>
        <v>81721.62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682D24-C084-434A-A5F3-C460F7F45734}">
  <sheetPr>
    <tabColor rgb="FF00B050"/>
    <pageSetUpPr fitToPage="1"/>
  </sheetPr>
  <dimension ref="A1:AJ100"/>
  <sheetViews>
    <sheetView showGridLines="0" topLeftCell="A65" zoomScale="85" zoomScaleNormal="85" workbookViewId="0">
      <pane xSplit="2" topLeftCell="F1" activePane="topRight" state="frozen"/>
      <selection activeCell="N14" sqref="N14"/>
      <selection pane="topRight" activeCell="C17" sqref="C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8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8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192</v>
      </c>
      <c r="G15" s="47">
        <v>96</v>
      </c>
      <c r="H15" s="64"/>
      <c r="I15" s="49">
        <f t="shared" si="4"/>
        <v>149952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128640</v>
      </c>
      <c r="Y15" s="57">
        <f>F15*AI15</f>
        <v>5779.2000000000007</v>
      </c>
      <c r="Z15" s="36">
        <f t="shared" si="8"/>
        <v>672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216</v>
      </c>
      <c r="G16" s="47">
        <v>108</v>
      </c>
      <c r="H16" s="64"/>
      <c r="I16" s="49">
        <f t="shared" si="4"/>
        <v>164376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140400</v>
      </c>
      <c r="Y16" s="57">
        <f>F16*AI16</f>
        <v>6402.24</v>
      </c>
      <c r="Z16" s="36">
        <f t="shared" si="8"/>
        <v>756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1338600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52853.52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314328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203796</v>
      </c>
      <c r="P75" s="251"/>
      <c r="Q75" s="252"/>
      <c r="R75" s="152"/>
      <c r="S75" s="159" t="s">
        <v>129</v>
      </c>
      <c r="T75" s="256">
        <f>SUM(Z12:Z70)</f>
        <v>6216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1074874.73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>
        <v>859.75</v>
      </c>
      <c r="Q77" s="255"/>
      <c r="R77" s="152"/>
      <c r="S77" s="159" t="s">
        <v>108</v>
      </c>
      <c r="T77" s="256">
        <f>IF(SUM(X12:X68)*0.15&gt;P77,P77,SUM(X12:X68)*0.15)</f>
        <v>859.75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59929.27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13E838-7F69-4BC9-9292-1C978513D1D0}">
  <sheetPr>
    <tabColor rgb="FF00B050"/>
    <pageSetUpPr fitToPage="1"/>
  </sheetPr>
  <dimension ref="A1:AJ100"/>
  <sheetViews>
    <sheetView showGridLines="0" tabSelected="1" topLeftCell="A13" zoomScale="85" zoomScaleNormal="85" workbookViewId="0">
      <pane xSplit="2" topLeftCell="F1" activePane="topRight" state="frozen"/>
      <selection activeCell="N14" sqref="N14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0" t="s">
        <v>130</v>
      </c>
      <c r="G2" s="300"/>
      <c r="H2" s="300"/>
      <c r="I2" s="300"/>
      <c r="J2" s="300"/>
      <c r="K2" s="300"/>
      <c r="L2" s="300"/>
      <c r="M2" s="300"/>
      <c r="N2" s="300"/>
      <c r="O2" s="300"/>
      <c r="P2" s="300"/>
      <c r="Q2" s="300"/>
      <c r="R2" s="300"/>
      <c r="S2" s="300"/>
      <c r="T2" s="6" t="s">
        <v>1</v>
      </c>
      <c r="U2" s="7"/>
      <c r="W2" s="258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59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1"/>
      <c r="G4" s="301"/>
      <c r="H4" s="301"/>
      <c r="I4" s="301"/>
      <c r="J4" s="301"/>
      <c r="K4" s="301"/>
      <c r="L4" s="301"/>
      <c r="M4" s="301"/>
      <c r="S4" s="2" t="s">
        <v>4</v>
      </c>
      <c r="T4" s="302"/>
      <c r="U4" s="302"/>
      <c r="W4" s="260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3"/>
      <c r="G6" s="303"/>
      <c r="H6" s="303"/>
      <c r="I6" s="303"/>
      <c r="J6" s="303"/>
      <c r="K6" s="303"/>
      <c r="L6" s="303"/>
      <c r="M6" s="303"/>
      <c r="S6" s="11" t="s">
        <v>6</v>
      </c>
      <c r="T6" s="209" t="s">
        <v>7</v>
      </c>
      <c r="U6" s="12" t="s">
        <v>131</v>
      </c>
      <c r="W6" s="258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3"/>
      <c r="G7" s="303"/>
      <c r="H7" s="303"/>
      <c r="I7" s="303"/>
      <c r="J7" s="303"/>
      <c r="K7" s="303"/>
      <c r="L7" s="303"/>
      <c r="M7" s="303"/>
      <c r="N7" s="14"/>
      <c r="O7" s="14"/>
      <c r="P7" s="14"/>
      <c r="Q7" s="15"/>
      <c r="S7" s="14"/>
      <c r="T7" s="209" t="s">
        <v>11</v>
      </c>
      <c r="U7" s="12"/>
      <c r="W7" s="260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2" t="s">
        <v>14</v>
      </c>
      <c r="C9" s="275" t="s">
        <v>15</v>
      </c>
      <c r="D9" s="275" t="s">
        <v>16</v>
      </c>
      <c r="E9" s="275" t="s">
        <v>17</v>
      </c>
      <c r="F9" s="278" t="s">
        <v>18</v>
      </c>
      <c r="G9" s="279"/>
      <c r="H9" s="279"/>
      <c r="I9" s="279"/>
      <c r="J9" s="279"/>
      <c r="K9" s="279"/>
      <c r="L9" s="279"/>
      <c r="M9" s="279"/>
      <c r="N9" s="279"/>
      <c r="O9" s="279"/>
      <c r="P9" s="279"/>
      <c r="Q9" s="280"/>
      <c r="S9" s="278" t="s">
        <v>19</v>
      </c>
      <c r="T9" s="279"/>
      <c r="U9" s="280"/>
      <c r="X9" s="285" t="s">
        <v>20</v>
      </c>
      <c r="Y9" s="288" t="s">
        <v>21</v>
      </c>
      <c r="Z9" s="288" t="s">
        <v>128</v>
      </c>
      <c r="AA9" s="17"/>
      <c r="AB9" s="265" t="s">
        <v>22</v>
      </c>
      <c r="AC9" s="291" t="s">
        <v>23</v>
      </c>
      <c r="AD9" s="294" t="s">
        <v>24</v>
      </c>
      <c r="AE9" s="265" t="s">
        <v>25</v>
      </c>
      <c r="AG9" s="265" t="s">
        <v>26</v>
      </c>
      <c r="AH9" s="17"/>
      <c r="AI9" s="265" t="s">
        <v>27</v>
      </c>
    </row>
    <row r="10" spans="2:35" s="16" customFormat="1" ht="20.25" customHeight="1" x14ac:dyDescent="0.25">
      <c r="B10" s="273"/>
      <c r="C10" s="276"/>
      <c r="D10" s="276"/>
      <c r="E10" s="276"/>
      <c r="F10" s="282" t="s">
        <v>28</v>
      </c>
      <c r="G10" s="282" t="s">
        <v>29</v>
      </c>
      <c r="H10" s="282" t="s">
        <v>30</v>
      </c>
      <c r="I10" s="283" t="s">
        <v>31</v>
      </c>
      <c r="J10" s="283" t="s">
        <v>32</v>
      </c>
      <c r="K10" s="283" t="s">
        <v>33</v>
      </c>
      <c r="L10" s="283" t="s">
        <v>34</v>
      </c>
      <c r="M10" s="297" t="s">
        <v>35</v>
      </c>
      <c r="N10" s="298"/>
      <c r="O10" s="298"/>
      <c r="P10" s="298"/>
      <c r="Q10" s="299"/>
      <c r="S10" s="268" t="s">
        <v>36</v>
      </c>
      <c r="T10" s="269"/>
      <c r="U10" s="270"/>
      <c r="X10" s="286"/>
      <c r="Y10" s="289"/>
      <c r="Z10" s="289"/>
      <c r="AA10" s="17"/>
      <c r="AB10" s="266"/>
      <c r="AC10" s="292"/>
      <c r="AD10" s="295"/>
      <c r="AE10" s="266"/>
      <c r="AG10" s="266"/>
      <c r="AH10" s="17"/>
      <c r="AI10" s="266"/>
    </row>
    <row r="11" spans="2:35" s="21" customFormat="1" ht="12.75" customHeight="1" thickBot="1" x14ac:dyDescent="0.3">
      <c r="B11" s="274"/>
      <c r="C11" s="277"/>
      <c r="D11" s="277"/>
      <c r="E11" s="277"/>
      <c r="F11" s="277"/>
      <c r="G11" s="277"/>
      <c r="H11" s="277"/>
      <c r="I11" s="284"/>
      <c r="J11" s="284"/>
      <c r="K11" s="284"/>
      <c r="L11" s="284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87"/>
      <c r="Y11" s="290"/>
      <c r="Z11" s="290"/>
      <c r="AA11" s="17"/>
      <c r="AB11" s="267"/>
      <c r="AC11" s="293"/>
      <c r="AD11" s="296"/>
      <c r="AE11" s="267"/>
      <c r="AG11" s="281"/>
      <c r="AH11" s="17"/>
      <c r="AI11" s="267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1" t="s">
        <v>101</v>
      </c>
      <c r="C71" s="271"/>
      <c r="D71" s="271"/>
      <c r="E71" s="271"/>
      <c r="F71" s="271"/>
      <c r="G71" s="271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1">
        <f>SUM(I12:I70)</f>
        <v>1397196</v>
      </c>
      <c r="G73" s="251"/>
      <c r="H73" s="251"/>
      <c r="I73" s="252"/>
      <c r="J73" s="158"/>
      <c r="K73" s="158"/>
      <c r="L73" s="158"/>
      <c r="M73" s="263" t="s">
        <v>103</v>
      </c>
      <c r="N73" s="264"/>
      <c r="O73" s="251">
        <f>SUM(Q12:Q70)</f>
        <v>203796</v>
      </c>
      <c r="P73" s="251"/>
      <c r="Q73" s="252"/>
      <c r="R73" s="152"/>
      <c r="S73" s="159" t="s">
        <v>104</v>
      </c>
      <c r="T73" s="256">
        <f>SUM(Y12:Y68)</f>
        <v>54419.040000000001</v>
      </c>
      <c r="U73" s="257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1">
        <f>SUM(I14:I72)</f>
        <v>1397196</v>
      </c>
      <c r="G75" s="251"/>
      <c r="H75" s="251"/>
      <c r="I75" s="252"/>
      <c r="J75" s="158"/>
      <c r="K75" s="158"/>
      <c r="L75" s="158"/>
      <c r="M75" s="263" t="s">
        <v>103</v>
      </c>
      <c r="N75" s="264"/>
      <c r="O75" s="251">
        <f>SUM(Q14:Q72)</f>
        <v>203796</v>
      </c>
      <c r="P75" s="251"/>
      <c r="Q75" s="252"/>
      <c r="R75" s="152"/>
      <c r="S75" s="159" t="s">
        <v>129</v>
      </c>
      <c r="T75" s="256">
        <f>SUM(Z12:Z70)</f>
        <v>6426</v>
      </c>
      <c r="U75" s="257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1">
        <f>IF(U7&gt;0,"",(F73-O73-T79-P79))</f>
        <v>1132554.96</v>
      </c>
      <c r="G77" s="251"/>
      <c r="H77" s="251"/>
      <c r="I77" s="252"/>
      <c r="J77" s="164"/>
      <c r="K77" s="164"/>
      <c r="L77" s="164"/>
      <c r="M77" s="253" t="s">
        <v>106</v>
      </c>
      <c r="N77" s="253"/>
      <c r="O77" s="168" t="s">
        <v>107</v>
      </c>
      <c r="P77" s="254"/>
      <c r="Q77" s="255"/>
      <c r="R77" s="152"/>
      <c r="S77" s="159" t="s">
        <v>108</v>
      </c>
      <c r="T77" s="256">
        <f>IF(SUM(X12:X68)*0.15&gt;P77,P77,SUM(X12:X68)*0.15)</f>
        <v>0</v>
      </c>
      <c r="U77" s="257"/>
      <c r="V77" s="160"/>
      <c r="W77" s="258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59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1"/>
      <c r="G79" s="251"/>
      <c r="H79" s="251"/>
      <c r="I79" s="252"/>
      <c r="J79" s="164"/>
      <c r="K79" s="164"/>
      <c r="L79" s="164"/>
      <c r="M79" s="261" t="str">
        <f>IF(U6&gt;0,"",T4+30)</f>
        <v/>
      </c>
      <c r="N79" s="262"/>
      <c r="O79" s="168" t="s">
        <v>111</v>
      </c>
      <c r="P79" s="254"/>
      <c r="Q79" s="255"/>
      <c r="R79" s="152"/>
      <c r="S79" s="159" t="s">
        <v>112</v>
      </c>
      <c r="T79" s="256">
        <f>T77+T73+T75</f>
        <v>60845.04</v>
      </c>
      <c r="U79" s="257"/>
      <c r="V79" s="160"/>
      <c r="W79" s="260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28" t="s">
        <v>113</v>
      </c>
      <c r="C81" s="229"/>
      <c r="D81" s="229"/>
      <c r="E81" s="229"/>
      <c r="F81" s="229"/>
      <c r="G81" s="229"/>
      <c r="H81" s="230"/>
      <c r="I81" s="237" t="s">
        <v>114</v>
      </c>
      <c r="J81" s="171"/>
      <c r="K81" s="171"/>
      <c r="L81" s="171"/>
      <c r="M81" s="239"/>
      <c r="N81" s="242" t="s">
        <v>115</v>
      </c>
      <c r="O81" s="245"/>
      <c r="P81" s="239"/>
      <c r="Q81" s="222" t="s">
        <v>116</v>
      </c>
      <c r="R81" s="248"/>
      <c r="S81" s="219"/>
      <c r="T81" s="222" t="s">
        <v>117</v>
      </c>
      <c r="U81" s="225"/>
    </row>
    <row r="82" spans="2:21" ht="15" customHeight="1" x14ac:dyDescent="0.25">
      <c r="B82" s="231"/>
      <c r="C82" s="232"/>
      <c r="D82" s="232"/>
      <c r="E82" s="232"/>
      <c r="F82" s="232"/>
      <c r="G82" s="232"/>
      <c r="H82" s="233"/>
      <c r="I82" s="216"/>
      <c r="J82" s="2"/>
      <c r="K82" s="2"/>
      <c r="L82" s="2"/>
      <c r="M82" s="240"/>
      <c r="N82" s="243"/>
      <c r="O82" s="246"/>
      <c r="P82" s="240"/>
      <c r="Q82" s="223"/>
      <c r="R82" s="249"/>
      <c r="S82" s="220"/>
      <c r="T82" s="223"/>
      <c r="U82" s="226"/>
    </row>
    <row r="83" spans="2:21" ht="15.75" customHeight="1" thickBot="1" x14ac:dyDescent="0.3">
      <c r="B83" s="234"/>
      <c r="C83" s="235"/>
      <c r="D83" s="235"/>
      <c r="E83" s="235"/>
      <c r="F83" s="235"/>
      <c r="G83" s="235"/>
      <c r="H83" s="236"/>
      <c r="I83" s="238"/>
      <c r="J83" s="172"/>
      <c r="K83" s="172"/>
      <c r="L83" s="172"/>
      <c r="M83" s="241"/>
      <c r="N83" s="244"/>
      <c r="O83" s="247"/>
      <c r="P83" s="241"/>
      <c r="Q83" s="224"/>
      <c r="R83" s="250"/>
      <c r="S83" s="221"/>
      <c r="T83" s="224"/>
      <c r="U83" s="227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0" t="s">
        <v>132</v>
      </c>
      <c r="C88" s="211"/>
      <c r="D88" s="211"/>
      <c r="E88" s="211"/>
      <c r="F88" s="211"/>
      <c r="G88" s="211"/>
      <c r="H88" s="211"/>
      <c r="I88" s="212"/>
      <c r="J88" s="185"/>
      <c r="K88" s="185"/>
      <c r="L88" s="185"/>
      <c r="M88" s="210"/>
      <c r="N88" s="211"/>
      <c r="O88" s="211"/>
      <c r="P88" s="211"/>
      <c r="Q88" s="212"/>
      <c r="R88" s="187"/>
      <c r="S88" s="188"/>
      <c r="T88" s="188"/>
      <c r="U88" s="189"/>
    </row>
    <row r="89" spans="2:21" ht="18" x14ac:dyDescent="0.25">
      <c r="B89" s="213" t="s">
        <v>122</v>
      </c>
      <c r="C89" s="214"/>
      <c r="D89" s="214"/>
      <c r="E89" s="214"/>
      <c r="F89" s="214"/>
      <c r="G89" s="214"/>
      <c r="H89" s="214"/>
      <c r="I89" s="215"/>
      <c r="M89" s="213" t="s">
        <v>122</v>
      </c>
      <c r="N89" s="214"/>
      <c r="O89" s="214"/>
      <c r="P89" s="214"/>
      <c r="Q89" s="215"/>
      <c r="R89" s="216" t="s">
        <v>123</v>
      </c>
      <c r="S89" s="217"/>
      <c r="T89" s="217"/>
      <c r="U89" s="218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0" t="s">
        <v>133</v>
      </c>
      <c r="C93" s="211"/>
      <c r="D93" s="211"/>
      <c r="E93" s="211"/>
      <c r="F93" s="211"/>
      <c r="G93" s="211"/>
      <c r="H93" s="211"/>
      <c r="I93" s="212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3" t="s">
        <v>126</v>
      </c>
      <c r="C94" s="214"/>
      <c r="D94" s="214"/>
      <c r="E94" s="214"/>
      <c r="F94" s="214"/>
      <c r="G94" s="214"/>
      <c r="H94" s="214"/>
      <c r="I94" s="215"/>
      <c r="M94" s="179"/>
      <c r="Q94" s="180"/>
      <c r="R94" s="216" t="s">
        <v>127</v>
      </c>
      <c r="S94" s="217"/>
      <c r="T94" s="217"/>
      <c r="U94" s="218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17</vt:i4>
      </vt:variant>
      <vt:variant>
        <vt:lpstr>Named Ranges</vt:lpstr>
      </vt:variant>
      <vt:variant>
        <vt:i4>17</vt:i4>
      </vt:variant>
    </vt:vector>
  </HeadingPairs>
  <TitlesOfParts>
    <vt:vector size="34" baseType="lpstr">
      <vt:lpstr>03-03-2026 MTS</vt:lpstr>
      <vt:lpstr>03-04-2026-A MTS</vt:lpstr>
      <vt:lpstr>03-09-2026 MTS</vt:lpstr>
      <vt:lpstr>03-16-2026</vt:lpstr>
      <vt:lpstr>03-17-2026</vt:lpstr>
      <vt:lpstr>03-17-2026 (2)</vt:lpstr>
      <vt:lpstr>03-18-2026</vt:lpstr>
      <vt:lpstr>03-18-2026 NAB</vt:lpstr>
      <vt:lpstr>03-19-2026</vt:lpstr>
      <vt:lpstr>03-19-2026-NAB</vt:lpstr>
      <vt:lpstr>03-23-2026</vt:lpstr>
      <vt:lpstr>03-24-2026-A</vt:lpstr>
      <vt:lpstr>03-24-2026-B</vt:lpstr>
      <vt:lpstr>03-24-2026-C</vt:lpstr>
      <vt:lpstr>03-26-2026</vt:lpstr>
      <vt:lpstr>03-27-2026-A</vt:lpstr>
      <vt:lpstr>03-27-2026-B</vt:lpstr>
      <vt:lpstr>'03-03-2026 MTS'!Print_Area</vt:lpstr>
      <vt:lpstr>'03-04-2026-A MTS'!Print_Area</vt:lpstr>
      <vt:lpstr>'03-09-2026 MTS'!Print_Area</vt:lpstr>
      <vt:lpstr>'03-16-2026'!Print_Area</vt:lpstr>
      <vt:lpstr>'03-17-2026'!Print_Area</vt:lpstr>
      <vt:lpstr>'03-17-2026 (2)'!Print_Area</vt:lpstr>
      <vt:lpstr>'03-18-2026'!Print_Area</vt:lpstr>
      <vt:lpstr>'03-18-2026 NAB'!Print_Area</vt:lpstr>
      <vt:lpstr>'03-19-2026'!Print_Area</vt:lpstr>
      <vt:lpstr>'03-19-2026-NAB'!Print_Area</vt:lpstr>
      <vt:lpstr>'03-23-2026'!Print_Area</vt:lpstr>
      <vt:lpstr>'03-24-2026-A'!Print_Area</vt:lpstr>
      <vt:lpstr>'03-24-2026-B'!Print_Area</vt:lpstr>
      <vt:lpstr>'03-24-2026-C'!Print_Area</vt:lpstr>
      <vt:lpstr>'03-26-2026'!Print_Area</vt:lpstr>
      <vt:lpstr>'03-27-2026-A'!Print_Area</vt:lpstr>
      <vt:lpstr>'03-27-2026-B'!Print_Area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2026-03-27T06:19:10Z</dcterms:modified>
</cp:coreProperties>
</file>