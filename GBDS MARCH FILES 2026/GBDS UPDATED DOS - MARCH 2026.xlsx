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74EFAB5-DEBC-4B73-86BD-B6C565487C72}" xr6:coauthVersionLast="45" xr6:coauthVersionMax="47" xr10:uidLastSave="{00000000-0000-0000-0000-000000000000}"/>
  <bookViews>
    <workbookView xWindow="-120" yWindow="-120" windowWidth="29040" windowHeight="15840" activeTab="3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4" l="1"/>
  <c r="W73" i="184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Z68" i="184"/>
  <c r="X68" i="184"/>
  <c r="W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Z67" i="184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Z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Z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Z64" i="184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Z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Z62" i="184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Z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Z55" i="184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Z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Z53" i="184"/>
  <c r="X53" i="184"/>
  <c r="Q53" i="184"/>
  <c r="P53" i="184"/>
  <c r="I53" i="184"/>
  <c r="H53" i="184"/>
  <c r="E53" i="184"/>
  <c r="AE52" i="184"/>
  <c r="AI52" i="184" s="1"/>
  <c r="Y52" i="184" s="1"/>
  <c r="Z52" i="184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Z51" i="184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Z50" i="184"/>
  <c r="X50" i="184"/>
  <c r="Q50" i="184"/>
  <c r="P50" i="184"/>
  <c r="I50" i="184"/>
  <c r="H50" i="184"/>
  <c r="E50" i="184"/>
  <c r="AE49" i="184"/>
  <c r="AI49" i="184" s="1"/>
  <c r="Y49" i="184" s="1"/>
  <c r="Z49" i="184"/>
  <c r="X49" i="184"/>
  <c r="Q49" i="184"/>
  <c r="P49" i="184"/>
  <c r="H49" i="184"/>
  <c r="E49" i="184"/>
  <c r="I49" i="184" s="1"/>
  <c r="AE48" i="184"/>
  <c r="AI48" i="184" s="1"/>
  <c r="Y48" i="184" s="1"/>
  <c r="Z48" i="184"/>
  <c r="X48" i="184"/>
  <c r="Q48" i="184"/>
  <c r="P48" i="184"/>
  <c r="H48" i="184"/>
  <c r="E48" i="184"/>
  <c r="I48" i="184" s="1"/>
  <c r="AI47" i="184"/>
  <c r="Y47" i="184" s="1"/>
  <c r="AE47" i="184"/>
  <c r="Z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Z46" i="184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Z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Z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Z43" i="184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Z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Z41" i="184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Z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Z39" i="184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Z38" i="184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Z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Z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Z35" i="184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Z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Z33" i="184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Z32" i="184"/>
  <c r="X32" i="184"/>
  <c r="Q32" i="184"/>
  <c r="P32" i="184"/>
  <c r="I32" i="184"/>
  <c r="H32" i="184"/>
  <c r="E32" i="184"/>
  <c r="AE31" i="184"/>
  <c r="AI31" i="184" s="1"/>
  <c r="Y31" i="184" s="1"/>
  <c r="Z31" i="184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Z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Z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Z28" i="184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Z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Z26" i="184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Z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Z24" i="184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Z23" i="184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Z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Z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Z20" i="184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Z19" i="184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Z18" i="184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Z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Z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Z15" i="184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Z14" i="184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Z13" i="184"/>
  <c r="X13" i="184"/>
  <c r="Q13" i="184"/>
  <c r="P13" i="184"/>
  <c r="H13" i="184"/>
  <c r="E13" i="184"/>
  <c r="I13" i="184" s="1"/>
  <c r="AI12" i="184"/>
  <c r="Y12" i="184" s="1"/>
  <c r="T73" i="184" s="1"/>
  <c r="AE12" i="184"/>
  <c r="AD12" i="184"/>
  <c r="AC12" i="184"/>
  <c r="AB12" i="184"/>
  <c r="Z12" i="184"/>
  <c r="X12" i="184"/>
  <c r="Q12" i="184"/>
  <c r="P12" i="184"/>
  <c r="I12" i="184"/>
  <c r="H12" i="184"/>
  <c r="E12" i="184"/>
  <c r="T75" i="184" l="1"/>
  <c r="O73" i="184"/>
  <c r="F73" i="184"/>
  <c r="T79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F77" i="184" l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<sst xmlns="http://schemas.openxmlformats.org/spreadsheetml/2006/main" count="564" uniqueCount="134">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</sst>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7"/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/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1" t="s">
        <v>6</v>
      </c>
      <c r="T6" s="195" t="s">
        <v>7</v>
      </c>
      <c r="U6" s="12" t="s">
        <v>131</v>
      </c>
      <c r="W6" s="24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2"/>
      <c r="G7" s="292"/>
      <c r="H7" s="292"/>
      <c r="I7" s="292"/>
      <c r="J7" s="292"/>
      <c r="K7" s="292"/>
      <c r="L7" s="292"/>
      <c r="M7" s="292"/>
      <c r="N7" s="14"/>
      <c r="O7" s="14"/>
      <c r="P7" s="14"/>
      <c r="Q7" s="15"/>
      <c r="S7" s="14"/>
      <c r="T7" s="195" t="s">
        <v>11</v>
      </c>
      <c r="U7" s="12"/>
      <c r="W7" s="24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7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7"/>
      <c r="AI9" s="254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7"/>
      <c r="AB10" s="255"/>
      <c r="AC10" s="281"/>
      <c r="AD10" s="284"/>
      <c r="AE10" s="255"/>
      <c r="AG10" s="255"/>
      <c r="AH10" s="17"/>
      <c r="AI10" s="255"/>
    </row>
    <row r="11" spans="2:35" s="21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6"/>
      <c r="Y11" s="279"/>
      <c r="Z11" s="279"/>
      <c r="AA11" s="17"/>
      <c r="AB11" s="256"/>
      <c r="AC11" s="282"/>
      <c r="AD11" s="285"/>
      <c r="AE11" s="256"/>
      <c r="AG11" s="270"/>
      <c r="AH11" s="17"/>
      <c r="AI11" s="25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52" t="s">
        <v>103</v>
      </c>
      <c r="N73" s="253"/>
      <c r="O73" s="240">
        <f>SUM(Q12:Q70)</f>
        <v>175500</v>
      </c>
      <c r="P73" s="240"/>
      <c r="Q73" s="241"/>
      <c r="R73" s="152"/>
      <c r="S73" s="159" t="s">
        <v>104</v>
      </c>
      <c r="T73" s="245">
        <f>SUM(Y12:Y68)</f>
        <v>0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52" t="s">
        <v>103</v>
      </c>
      <c r="N75" s="253"/>
      <c r="O75" s="240">
        <f>SUM(Q14:Q72)</f>
        <v>154440</v>
      </c>
      <c r="P75" s="240"/>
      <c r="Q75" s="241"/>
      <c r="R75" s="152"/>
      <c r="S75" s="159" t="s">
        <v>129</v>
      </c>
      <c r="T75" s="245">
        <f>SUM(Z12:Z70)</f>
        <v>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-175500</v>
      </c>
      <c r="G77" s="240"/>
      <c r="H77" s="240"/>
      <c r="I77" s="241"/>
      <c r="J77" s="164"/>
      <c r="K77" s="164"/>
      <c r="L77" s="164"/>
      <c r="M77" s="242" t="s">
        <v>106</v>
      </c>
      <c r="N77" s="242"/>
      <c r="O77" s="168" t="s">
        <v>107</v>
      </c>
      <c r="P77" s="243"/>
      <c r="Q77" s="244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4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43"/>
      <c r="Q79" s="244"/>
      <c r="R79" s="152"/>
      <c r="S79" s="159" t="s">
        <v>112</v>
      </c>
      <c r="T79" s="245">
        <f>T77+T73+T75</f>
        <v>0</v>
      </c>
      <c r="U79" s="246"/>
      <c r="V79" s="160"/>
      <c r="W79" s="24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7" t="s">
        <v>113</v>
      </c>
      <c r="C81" s="218"/>
      <c r="D81" s="218"/>
      <c r="E81" s="218"/>
      <c r="F81" s="218"/>
      <c r="G81" s="218"/>
      <c r="H81" s="219"/>
      <c r="I81" s="226" t="s">
        <v>114</v>
      </c>
      <c r="J81" s="171"/>
      <c r="K81" s="171"/>
      <c r="L81" s="171"/>
      <c r="M81" s="228"/>
      <c r="N81" s="231" t="s">
        <v>115</v>
      </c>
      <c r="O81" s="234"/>
      <c r="P81" s="228"/>
      <c r="Q81" s="211" t="s">
        <v>116</v>
      </c>
      <c r="R81" s="237"/>
      <c r="S81" s="208"/>
      <c r="T81" s="211" t="s">
        <v>117</v>
      </c>
      <c r="U81" s="214"/>
    </row>
    <row r="82" spans="2:21" ht="15" customHeight="1" x14ac:dyDescent="0.25">
      <c r="B82" s="220"/>
      <c r="C82" s="221"/>
      <c r="D82" s="221"/>
      <c r="E82" s="221"/>
      <c r="F82" s="221"/>
      <c r="G82" s="221"/>
      <c r="H82" s="222"/>
      <c r="I82" s="205"/>
      <c r="J82" s="2"/>
      <c r="K82" s="2"/>
      <c r="L82" s="2"/>
      <c r="M82" s="229"/>
      <c r="N82" s="232"/>
      <c r="O82" s="235"/>
      <c r="P82" s="229"/>
      <c r="Q82" s="212"/>
      <c r="R82" s="238"/>
      <c r="S82" s="209"/>
      <c r="T82" s="212"/>
      <c r="U82" s="215"/>
    </row>
    <row r="83" spans="2:21" ht="15.75" customHeight="1" thickBot="1" x14ac:dyDescent="0.3">
      <c r="B83" s="223"/>
      <c r="C83" s="224"/>
      <c r="D83" s="224"/>
      <c r="E83" s="224"/>
      <c r="F83" s="224"/>
      <c r="G83" s="224"/>
      <c r="H83" s="225"/>
      <c r="I83" s="227"/>
      <c r="J83" s="172"/>
      <c r="K83" s="172"/>
      <c r="L83" s="172"/>
      <c r="M83" s="230"/>
      <c r="N83" s="233"/>
      <c r="O83" s="236"/>
      <c r="P83" s="230"/>
      <c r="Q83" s="213"/>
      <c r="R83" s="239"/>
      <c r="S83" s="210"/>
      <c r="T83" s="213"/>
      <c r="U83" s="21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9" t="s">
        <v>132</v>
      </c>
      <c r="C88" s="200"/>
      <c r="D88" s="200"/>
      <c r="E88" s="200"/>
      <c r="F88" s="200"/>
      <c r="G88" s="200"/>
      <c r="H88" s="200"/>
      <c r="I88" s="201"/>
      <c r="J88" s="185"/>
      <c r="K88" s="185"/>
      <c r="L88" s="185"/>
      <c r="M88" s="199"/>
      <c r="N88" s="200"/>
      <c r="O88" s="200"/>
      <c r="P88" s="200"/>
      <c r="Q88" s="201"/>
      <c r="R88" s="187"/>
      <c r="S88" s="188"/>
      <c r="T88" s="188"/>
      <c r="U88" s="189"/>
    </row>
    <row r="89" spans="2:21" ht="18" x14ac:dyDescent="0.25">
      <c r="B89" s="202" t="s">
        <v>122</v>
      </c>
      <c r="C89" s="203"/>
      <c r="D89" s="203"/>
      <c r="E89" s="203"/>
      <c r="F89" s="203"/>
      <c r="G89" s="203"/>
      <c r="H89" s="203"/>
      <c r="I89" s="204"/>
      <c r="M89" s="202" t="s">
        <v>122</v>
      </c>
      <c r="N89" s="203"/>
      <c r="O89" s="203"/>
      <c r="P89" s="203"/>
      <c r="Q89" s="204"/>
      <c r="R89" s="205" t="s">
        <v>123</v>
      </c>
      <c r="S89" s="206"/>
      <c r="T89" s="206"/>
      <c r="U89" s="20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9" t="s">
        <v>133</v>
      </c>
      <c r="C93" s="200"/>
      <c r="D93" s="200"/>
      <c r="E93" s="200"/>
      <c r="F93" s="200"/>
      <c r="G93" s="200"/>
      <c r="H93" s="200"/>
      <c r="I93" s="20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2" t="s">
        <v>126</v>
      </c>
      <c r="C94" s="203"/>
      <c r="D94" s="203"/>
      <c r="E94" s="203"/>
      <c r="F94" s="203"/>
      <c r="G94" s="203"/>
      <c r="H94" s="203"/>
      <c r="I94" s="204"/>
      <c r="M94" s="179"/>
      <c r="Q94" s="180"/>
      <c r="R94" s="205" t="s">
        <v>127</v>
      </c>
      <c r="S94" s="206"/>
      <c r="T94" s="206"/>
      <c r="U94" s="20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7"/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/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1" t="s">
        <v>6</v>
      </c>
      <c r="T6" s="196" t="s">
        <v>7</v>
      </c>
      <c r="U6" s="12" t="s">
        <v>131</v>
      </c>
      <c r="W6" s="24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2"/>
      <c r="G7" s="292"/>
      <c r="H7" s="292"/>
      <c r="I7" s="292"/>
      <c r="J7" s="292"/>
      <c r="K7" s="292"/>
      <c r="L7" s="292"/>
      <c r="M7" s="292"/>
      <c r="N7" s="14"/>
      <c r="O7" s="14"/>
      <c r="P7" s="14"/>
      <c r="Q7" s="15"/>
      <c r="S7" s="14"/>
      <c r="T7" s="196" t="s">
        <v>11</v>
      </c>
      <c r="U7" s="12"/>
      <c r="W7" s="24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7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7"/>
      <c r="AI9" s="254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7"/>
      <c r="AB10" s="255"/>
      <c r="AC10" s="281"/>
      <c r="AD10" s="284"/>
      <c r="AE10" s="255"/>
      <c r="AG10" s="255"/>
      <c r="AH10" s="17"/>
      <c r="AI10" s="255"/>
    </row>
    <row r="11" spans="2:35" s="21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6"/>
      <c r="Y11" s="279"/>
      <c r="Z11" s="279"/>
      <c r="AA11" s="17"/>
      <c r="AB11" s="256"/>
      <c r="AC11" s="282"/>
      <c r="AD11" s="285"/>
      <c r="AE11" s="256"/>
      <c r="AG11" s="270"/>
      <c r="AH11" s="17"/>
      <c r="AI11" s="25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52" t="s">
        <v>103</v>
      </c>
      <c r="N73" s="253"/>
      <c r="O73" s="240">
        <f>SUM(Q12:Q70)</f>
        <v>189252</v>
      </c>
      <c r="P73" s="240"/>
      <c r="Q73" s="241"/>
      <c r="R73" s="152"/>
      <c r="S73" s="159" t="s">
        <v>104</v>
      </c>
      <c r="T73" s="245">
        <f>SUM(Y12:Y68)</f>
        <v>0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52" t="s">
        <v>103</v>
      </c>
      <c r="N75" s="253"/>
      <c r="O75" s="240">
        <f>SUM(Q14:Q72)</f>
        <v>162576</v>
      </c>
      <c r="P75" s="240"/>
      <c r="Q75" s="241"/>
      <c r="R75" s="152"/>
      <c r="S75" s="159" t="s">
        <v>129</v>
      </c>
      <c r="T75" s="245">
        <f>SUM(Z12:Z70)</f>
        <v>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-189252</v>
      </c>
      <c r="G77" s="240"/>
      <c r="H77" s="240"/>
      <c r="I77" s="241"/>
      <c r="J77" s="164"/>
      <c r="K77" s="164"/>
      <c r="L77" s="164"/>
      <c r="M77" s="242" t="s">
        <v>106</v>
      </c>
      <c r="N77" s="242"/>
      <c r="O77" s="168" t="s">
        <v>107</v>
      </c>
      <c r="P77" s="243"/>
      <c r="Q77" s="244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4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43"/>
      <c r="Q79" s="244"/>
      <c r="R79" s="152"/>
      <c r="S79" s="159" t="s">
        <v>112</v>
      </c>
      <c r="T79" s="245">
        <f>T77+T73+T75</f>
        <v>0</v>
      </c>
      <c r="U79" s="246"/>
      <c r="V79" s="160"/>
      <c r="W79" s="24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7" t="s">
        <v>113</v>
      </c>
      <c r="C81" s="218"/>
      <c r="D81" s="218"/>
      <c r="E81" s="218"/>
      <c r="F81" s="218"/>
      <c r="G81" s="218"/>
      <c r="H81" s="219"/>
      <c r="I81" s="226" t="s">
        <v>114</v>
      </c>
      <c r="J81" s="171"/>
      <c r="K81" s="171"/>
      <c r="L81" s="171"/>
      <c r="M81" s="228"/>
      <c r="N81" s="231" t="s">
        <v>115</v>
      </c>
      <c r="O81" s="234"/>
      <c r="P81" s="228"/>
      <c r="Q81" s="211" t="s">
        <v>116</v>
      </c>
      <c r="R81" s="237"/>
      <c r="S81" s="208"/>
      <c r="T81" s="211" t="s">
        <v>117</v>
      </c>
      <c r="U81" s="214"/>
    </row>
    <row r="82" spans="2:21" ht="15" customHeight="1" x14ac:dyDescent="0.25">
      <c r="B82" s="220"/>
      <c r="C82" s="221"/>
      <c r="D82" s="221"/>
      <c r="E82" s="221"/>
      <c r="F82" s="221"/>
      <c r="G82" s="221"/>
      <c r="H82" s="222"/>
      <c r="I82" s="205"/>
      <c r="J82" s="2"/>
      <c r="K82" s="2"/>
      <c r="L82" s="2"/>
      <c r="M82" s="229"/>
      <c r="N82" s="232"/>
      <c r="O82" s="235"/>
      <c r="P82" s="229"/>
      <c r="Q82" s="212"/>
      <c r="R82" s="238"/>
      <c r="S82" s="209"/>
      <c r="T82" s="212"/>
      <c r="U82" s="215"/>
    </row>
    <row r="83" spans="2:21" ht="15.75" customHeight="1" thickBot="1" x14ac:dyDescent="0.3">
      <c r="B83" s="223"/>
      <c r="C83" s="224"/>
      <c r="D83" s="224"/>
      <c r="E83" s="224"/>
      <c r="F83" s="224"/>
      <c r="G83" s="224"/>
      <c r="H83" s="225"/>
      <c r="I83" s="227"/>
      <c r="J83" s="172"/>
      <c r="K83" s="172"/>
      <c r="L83" s="172"/>
      <c r="M83" s="230"/>
      <c r="N83" s="233"/>
      <c r="O83" s="236"/>
      <c r="P83" s="230"/>
      <c r="Q83" s="213"/>
      <c r="R83" s="239"/>
      <c r="S83" s="210"/>
      <c r="T83" s="213"/>
      <c r="U83" s="21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9" t="s">
        <v>132</v>
      </c>
      <c r="C88" s="200"/>
      <c r="D88" s="200"/>
      <c r="E88" s="200"/>
      <c r="F88" s="200"/>
      <c r="G88" s="200"/>
      <c r="H88" s="200"/>
      <c r="I88" s="201"/>
      <c r="J88" s="185"/>
      <c r="K88" s="185"/>
      <c r="L88" s="185"/>
      <c r="M88" s="199"/>
      <c r="N88" s="200"/>
      <c r="O88" s="200"/>
      <c r="P88" s="200"/>
      <c r="Q88" s="201"/>
      <c r="R88" s="187"/>
      <c r="S88" s="188"/>
      <c r="T88" s="188"/>
      <c r="U88" s="189"/>
    </row>
    <row r="89" spans="2:21" ht="18" x14ac:dyDescent="0.25">
      <c r="B89" s="202" t="s">
        <v>122</v>
      </c>
      <c r="C89" s="203"/>
      <c r="D89" s="203"/>
      <c r="E89" s="203"/>
      <c r="F89" s="203"/>
      <c r="G89" s="203"/>
      <c r="H89" s="203"/>
      <c r="I89" s="204"/>
      <c r="M89" s="202" t="s">
        <v>122</v>
      </c>
      <c r="N89" s="203"/>
      <c r="O89" s="203"/>
      <c r="P89" s="203"/>
      <c r="Q89" s="204"/>
      <c r="R89" s="205" t="s">
        <v>123</v>
      </c>
      <c r="S89" s="206"/>
      <c r="T89" s="206"/>
      <c r="U89" s="20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9" t="s">
        <v>133</v>
      </c>
      <c r="C93" s="200"/>
      <c r="D93" s="200"/>
      <c r="E93" s="200"/>
      <c r="F93" s="200"/>
      <c r="G93" s="200"/>
      <c r="H93" s="200"/>
      <c r="I93" s="20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2" t="s">
        <v>126</v>
      </c>
      <c r="C94" s="203"/>
      <c r="D94" s="203"/>
      <c r="E94" s="203"/>
      <c r="F94" s="203"/>
      <c r="G94" s="203"/>
      <c r="H94" s="203"/>
      <c r="I94" s="204"/>
      <c r="M94" s="179"/>
      <c r="Q94" s="180"/>
      <c r="R94" s="205" t="s">
        <v>127</v>
      </c>
      <c r="S94" s="206"/>
      <c r="T94" s="206"/>
      <c r="U94" s="20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7"/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/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1" t="s">
        <v>6</v>
      </c>
      <c r="T6" s="197" t="s">
        <v>7</v>
      </c>
      <c r="U6" s="12" t="s">
        <v>131</v>
      </c>
      <c r="W6" s="24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2"/>
      <c r="G7" s="292"/>
      <c r="H7" s="292"/>
      <c r="I7" s="292"/>
      <c r="J7" s="292"/>
      <c r="K7" s="292"/>
      <c r="L7" s="292"/>
      <c r="M7" s="292"/>
      <c r="N7" s="14"/>
      <c r="O7" s="14"/>
      <c r="P7" s="14"/>
      <c r="Q7" s="15"/>
      <c r="S7" s="14"/>
      <c r="T7" s="197" t="s">
        <v>11</v>
      </c>
      <c r="U7" s="12"/>
      <c r="W7" s="24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7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7"/>
      <c r="AI9" s="254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7"/>
      <c r="AB10" s="255"/>
      <c r="AC10" s="281"/>
      <c r="AD10" s="284"/>
      <c r="AE10" s="255"/>
      <c r="AG10" s="255"/>
      <c r="AH10" s="17"/>
      <c r="AI10" s="255"/>
    </row>
    <row r="11" spans="2:35" s="21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6"/>
      <c r="Y11" s="279"/>
      <c r="Z11" s="279"/>
      <c r="AA11" s="17"/>
      <c r="AB11" s="256"/>
      <c r="AC11" s="282"/>
      <c r="AD11" s="285"/>
      <c r="AE11" s="256"/>
      <c r="AG11" s="270"/>
      <c r="AH11" s="17"/>
      <c r="AI11" s="25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52" t="s">
        <v>103</v>
      </c>
      <c r="N73" s="253"/>
      <c r="O73" s="240">
        <f>SUM(Q12:Q70)</f>
        <v>203796</v>
      </c>
      <c r="P73" s="240"/>
      <c r="Q73" s="241"/>
      <c r="R73" s="152"/>
      <c r="S73" s="159" t="s">
        <v>104</v>
      </c>
      <c r="T73" s="245">
        <f>SUM(Y12:Y68)</f>
        <v>0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52" t="s">
        <v>103</v>
      </c>
      <c r="N75" s="253"/>
      <c r="O75" s="240">
        <f>SUM(Q14:Q72)</f>
        <v>203796</v>
      </c>
      <c r="P75" s="240"/>
      <c r="Q75" s="241"/>
      <c r="R75" s="152"/>
      <c r="S75" s="159" t="s">
        <v>129</v>
      </c>
      <c r="T75" s="245">
        <f>SUM(Z12:Z70)</f>
        <v>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-203796</v>
      </c>
      <c r="G77" s="240"/>
      <c r="H77" s="240"/>
      <c r="I77" s="241"/>
      <c r="J77" s="164"/>
      <c r="K77" s="164"/>
      <c r="L77" s="164"/>
      <c r="M77" s="242" t="s">
        <v>106</v>
      </c>
      <c r="N77" s="242"/>
      <c r="O77" s="168" t="s">
        <v>107</v>
      </c>
      <c r="P77" s="243"/>
      <c r="Q77" s="244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4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43"/>
      <c r="Q79" s="244"/>
      <c r="R79" s="152"/>
      <c r="S79" s="159" t="s">
        <v>112</v>
      </c>
      <c r="T79" s="245">
        <f>T77+T73+T75</f>
        <v>0</v>
      </c>
      <c r="U79" s="246"/>
      <c r="V79" s="160"/>
      <c r="W79" s="24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7" t="s">
        <v>113</v>
      </c>
      <c r="C81" s="218"/>
      <c r="D81" s="218"/>
      <c r="E81" s="218"/>
      <c r="F81" s="218"/>
      <c r="G81" s="218"/>
      <c r="H81" s="219"/>
      <c r="I81" s="226" t="s">
        <v>114</v>
      </c>
      <c r="J81" s="171"/>
      <c r="K81" s="171"/>
      <c r="L81" s="171"/>
      <c r="M81" s="228"/>
      <c r="N81" s="231" t="s">
        <v>115</v>
      </c>
      <c r="O81" s="234"/>
      <c r="P81" s="228"/>
      <c r="Q81" s="211" t="s">
        <v>116</v>
      </c>
      <c r="R81" s="237"/>
      <c r="S81" s="208"/>
      <c r="T81" s="211" t="s">
        <v>117</v>
      </c>
      <c r="U81" s="214"/>
    </row>
    <row r="82" spans="2:21" ht="15" customHeight="1" x14ac:dyDescent="0.25">
      <c r="B82" s="220"/>
      <c r="C82" s="221"/>
      <c r="D82" s="221"/>
      <c r="E82" s="221"/>
      <c r="F82" s="221"/>
      <c r="G82" s="221"/>
      <c r="H82" s="222"/>
      <c r="I82" s="205"/>
      <c r="J82" s="2"/>
      <c r="K82" s="2"/>
      <c r="L82" s="2"/>
      <c r="M82" s="229"/>
      <c r="N82" s="232"/>
      <c r="O82" s="235"/>
      <c r="P82" s="229"/>
      <c r="Q82" s="212"/>
      <c r="R82" s="238"/>
      <c r="S82" s="209"/>
      <c r="T82" s="212"/>
      <c r="U82" s="215"/>
    </row>
    <row r="83" spans="2:21" ht="15.75" customHeight="1" thickBot="1" x14ac:dyDescent="0.3">
      <c r="B83" s="223"/>
      <c r="C83" s="224"/>
      <c r="D83" s="224"/>
      <c r="E83" s="224"/>
      <c r="F83" s="224"/>
      <c r="G83" s="224"/>
      <c r="H83" s="225"/>
      <c r="I83" s="227"/>
      <c r="J83" s="172"/>
      <c r="K83" s="172"/>
      <c r="L83" s="172"/>
      <c r="M83" s="230"/>
      <c r="N83" s="233"/>
      <c r="O83" s="236"/>
      <c r="P83" s="230"/>
      <c r="Q83" s="213"/>
      <c r="R83" s="239"/>
      <c r="S83" s="210"/>
      <c r="T83" s="213"/>
      <c r="U83" s="21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9" t="s">
        <v>132</v>
      </c>
      <c r="C88" s="200"/>
      <c r="D88" s="200"/>
      <c r="E88" s="200"/>
      <c r="F88" s="200"/>
      <c r="G88" s="200"/>
      <c r="H88" s="200"/>
      <c r="I88" s="201"/>
      <c r="J88" s="185"/>
      <c r="K88" s="185"/>
      <c r="L88" s="185"/>
      <c r="M88" s="199"/>
      <c r="N88" s="200"/>
      <c r="O88" s="200"/>
      <c r="P88" s="200"/>
      <c r="Q88" s="201"/>
      <c r="R88" s="187"/>
      <c r="S88" s="188"/>
      <c r="T88" s="188"/>
      <c r="U88" s="189"/>
    </row>
    <row r="89" spans="2:21" ht="18" x14ac:dyDescent="0.25">
      <c r="B89" s="202" t="s">
        <v>122</v>
      </c>
      <c r="C89" s="203"/>
      <c r="D89" s="203"/>
      <c r="E89" s="203"/>
      <c r="F89" s="203"/>
      <c r="G89" s="203"/>
      <c r="H89" s="203"/>
      <c r="I89" s="204"/>
      <c r="M89" s="202" t="s">
        <v>122</v>
      </c>
      <c r="N89" s="203"/>
      <c r="O89" s="203"/>
      <c r="P89" s="203"/>
      <c r="Q89" s="204"/>
      <c r="R89" s="205" t="s">
        <v>123</v>
      </c>
      <c r="S89" s="206"/>
      <c r="T89" s="206"/>
      <c r="U89" s="20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9" t="s">
        <v>133</v>
      </c>
      <c r="C93" s="200"/>
      <c r="D93" s="200"/>
      <c r="E93" s="200"/>
      <c r="F93" s="200"/>
      <c r="G93" s="200"/>
      <c r="H93" s="200"/>
      <c r="I93" s="20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2" t="s">
        <v>126</v>
      </c>
      <c r="C94" s="203"/>
      <c r="D94" s="203"/>
      <c r="E94" s="203"/>
      <c r="F94" s="203"/>
      <c r="G94" s="203"/>
      <c r="H94" s="203"/>
      <c r="I94" s="204"/>
      <c r="M94" s="179"/>
      <c r="Q94" s="180"/>
      <c r="R94" s="205" t="s">
        <v>127</v>
      </c>
      <c r="S94" s="206"/>
      <c r="T94" s="206"/>
      <c r="U94" s="20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N14" sqref="N14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7"/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/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1" t="s">
        <v>6</v>
      </c>
      <c r="T6" s="198" t="s">
        <v>7</v>
      </c>
      <c r="U6" s="12" t="s">
        <v>131</v>
      </c>
      <c r="W6" s="24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2"/>
      <c r="G7" s="292"/>
      <c r="H7" s="292"/>
      <c r="I7" s="292"/>
      <c r="J7" s="292"/>
      <c r="K7" s="292"/>
      <c r="L7" s="292"/>
      <c r="M7" s="292"/>
      <c r="N7" s="14"/>
      <c r="O7" s="14"/>
      <c r="P7" s="14"/>
      <c r="Q7" s="15"/>
      <c r="S7" s="14"/>
      <c r="T7" s="198" t="s">
        <v>11</v>
      </c>
      <c r="U7" s="12"/>
      <c r="W7" s="24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7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7"/>
      <c r="AI9" s="254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7"/>
      <c r="AB10" s="255"/>
      <c r="AC10" s="281"/>
      <c r="AD10" s="284"/>
      <c r="AE10" s="255"/>
      <c r="AG10" s="255"/>
      <c r="AH10" s="17"/>
      <c r="AI10" s="255"/>
    </row>
    <row r="11" spans="2:35" s="21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6"/>
      <c r="Y11" s="279"/>
      <c r="Z11" s="279"/>
      <c r="AA11" s="17"/>
      <c r="AB11" s="256"/>
      <c r="AC11" s="282"/>
      <c r="AD11" s="285"/>
      <c r="AE11" s="256"/>
      <c r="AG11" s="270"/>
      <c r="AH11" s="17"/>
      <c r="AI11" s="25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52" t="s">
        <v>103</v>
      </c>
      <c r="N73" s="253"/>
      <c r="O73" s="240">
        <f>SUM(Q12:Q70)</f>
        <v>203796</v>
      </c>
      <c r="P73" s="240"/>
      <c r="Q73" s="241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52" t="s">
        <v>103</v>
      </c>
      <c r="N75" s="253"/>
      <c r="O75" s="240">
        <f>SUM(Q14:Q72)</f>
        <v>203796</v>
      </c>
      <c r="P75" s="240"/>
      <c r="Q75" s="241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448644.95999999996</v>
      </c>
      <c r="G77" s="240"/>
      <c r="H77" s="240"/>
      <c r="I77" s="241"/>
      <c r="J77" s="164"/>
      <c r="K77" s="164"/>
      <c r="L77" s="164"/>
      <c r="M77" s="242" t="s">
        <v>106</v>
      </c>
      <c r="N77" s="242"/>
      <c r="O77" s="168" t="s">
        <v>107</v>
      </c>
      <c r="P77" s="243"/>
      <c r="Q77" s="244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4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43">
        <v>688500</v>
      </c>
      <c r="Q79" s="244"/>
      <c r="R79" s="152"/>
      <c r="S79" s="159" t="s">
        <v>112</v>
      </c>
      <c r="T79" s="245">
        <f>T77+T73+T75</f>
        <v>56255.040000000001</v>
      </c>
      <c r="U79" s="246"/>
      <c r="V79" s="160"/>
      <c r="W79" s="24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7" t="s">
        <v>113</v>
      </c>
      <c r="C81" s="218"/>
      <c r="D81" s="218"/>
      <c r="E81" s="218"/>
      <c r="F81" s="218"/>
      <c r="G81" s="218"/>
      <c r="H81" s="219"/>
      <c r="I81" s="226" t="s">
        <v>114</v>
      </c>
      <c r="J81" s="171"/>
      <c r="K81" s="171"/>
      <c r="L81" s="171"/>
      <c r="M81" s="228"/>
      <c r="N81" s="231" t="s">
        <v>115</v>
      </c>
      <c r="O81" s="234"/>
      <c r="P81" s="228"/>
      <c r="Q81" s="211" t="s">
        <v>116</v>
      </c>
      <c r="R81" s="237"/>
      <c r="S81" s="208"/>
      <c r="T81" s="211" t="s">
        <v>117</v>
      </c>
      <c r="U81" s="214"/>
    </row>
    <row r="82" spans="2:21" ht="15" customHeight="1" x14ac:dyDescent="0.25">
      <c r="B82" s="220"/>
      <c r="C82" s="221"/>
      <c r="D82" s="221"/>
      <c r="E82" s="221"/>
      <c r="F82" s="221"/>
      <c r="G82" s="221"/>
      <c r="H82" s="222"/>
      <c r="I82" s="205"/>
      <c r="J82" s="2"/>
      <c r="K82" s="2"/>
      <c r="L82" s="2"/>
      <c r="M82" s="229"/>
      <c r="N82" s="232"/>
      <c r="O82" s="235"/>
      <c r="P82" s="229"/>
      <c r="Q82" s="212"/>
      <c r="R82" s="238"/>
      <c r="S82" s="209"/>
      <c r="T82" s="212"/>
      <c r="U82" s="215"/>
    </row>
    <row r="83" spans="2:21" ht="15.75" customHeight="1" thickBot="1" x14ac:dyDescent="0.3">
      <c r="B83" s="223"/>
      <c r="C83" s="224"/>
      <c r="D83" s="224"/>
      <c r="E83" s="224"/>
      <c r="F83" s="224"/>
      <c r="G83" s="224"/>
      <c r="H83" s="225"/>
      <c r="I83" s="227"/>
      <c r="J83" s="172"/>
      <c r="K83" s="172"/>
      <c r="L83" s="172"/>
      <c r="M83" s="230"/>
      <c r="N83" s="233"/>
      <c r="O83" s="236"/>
      <c r="P83" s="230"/>
      <c r="Q83" s="213"/>
      <c r="R83" s="239"/>
      <c r="S83" s="210"/>
      <c r="T83" s="213"/>
      <c r="U83" s="21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9" t="s">
        <v>132</v>
      </c>
      <c r="C88" s="200"/>
      <c r="D88" s="200"/>
      <c r="E88" s="200"/>
      <c r="F88" s="200"/>
      <c r="G88" s="200"/>
      <c r="H88" s="200"/>
      <c r="I88" s="201"/>
      <c r="J88" s="185"/>
      <c r="K88" s="185"/>
      <c r="L88" s="185"/>
      <c r="M88" s="199"/>
      <c r="N88" s="200"/>
      <c r="O88" s="200"/>
      <c r="P88" s="200"/>
      <c r="Q88" s="201"/>
      <c r="R88" s="187"/>
      <c r="S88" s="188"/>
      <c r="T88" s="188"/>
      <c r="U88" s="189"/>
    </row>
    <row r="89" spans="2:21" ht="18" x14ac:dyDescent="0.25">
      <c r="B89" s="202" t="s">
        <v>122</v>
      </c>
      <c r="C89" s="203"/>
      <c r="D89" s="203"/>
      <c r="E89" s="203"/>
      <c r="F89" s="203"/>
      <c r="G89" s="203"/>
      <c r="H89" s="203"/>
      <c r="I89" s="204"/>
      <c r="M89" s="202" t="s">
        <v>122</v>
      </c>
      <c r="N89" s="203"/>
      <c r="O89" s="203"/>
      <c r="P89" s="203"/>
      <c r="Q89" s="204"/>
      <c r="R89" s="205" t="s">
        <v>123</v>
      </c>
      <c r="S89" s="206"/>
      <c r="T89" s="206"/>
      <c r="U89" s="20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9" t="s">
        <v>133</v>
      </c>
      <c r="C93" s="200"/>
      <c r="D93" s="200"/>
      <c r="E93" s="200"/>
      <c r="F93" s="200"/>
      <c r="G93" s="200"/>
      <c r="H93" s="200"/>
      <c r="I93" s="20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2" t="s">
        <v>126</v>
      </c>
      <c r="C94" s="203"/>
      <c r="D94" s="203"/>
      <c r="E94" s="203"/>
      <c r="F94" s="203"/>
      <c r="G94" s="203"/>
      <c r="H94" s="203"/>
      <c r="I94" s="204"/>
      <c r="M94" s="179"/>
      <c r="Q94" s="180"/>
      <c r="R94" s="205" t="s">
        <v>127</v>
      </c>
      <c r="S94" s="206"/>
      <c r="T94" s="206"/>
      <c r="U94" s="20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03-03-2026 MTS</vt:lpstr>
      <vt:lpstr>03-04-2026-A MTS</vt:lpstr>
      <vt:lpstr>03-09-2026 MTS</vt:lpstr>
      <vt:lpstr>03-16-2026</vt:lpstr>
      <vt:lpstr>'03-03-2026 MTS'!Print_Area</vt:lpstr>
      <vt:lpstr>'03-04-2026-A MTS'!Print_Area</vt:lpstr>
      <vt:lpstr>'03-09-2026 MTS'!Print_Area</vt:lpstr>
      <vt:lpstr>'03-16-2026'!Print_Area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2026-03-16T03:04:59Z</dcterms:modified>
</cp:coreProperties>
</file>