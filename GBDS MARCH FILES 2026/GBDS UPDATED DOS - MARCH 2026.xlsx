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23FE87D0-A5F4-4130-A68B-78C094B62638}" xr6:coauthVersionLast="45" xr6:coauthVersionMax="47" xr10:uidLastSave="{00000000-0000-0000-0000-000000000000}"/>
  <bookViews>
    <workbookView xWindow="-120" yWindow="-120" windowWidth="29040" windowHeight="15840" firstSheet="5" activeTab="13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  <sheet name="03-24-2026-C" sheetId="194" r:id="rId14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  <definedName name="_xlnm.Print_Area" localSheetId="13">'03-24-2026-C'!$A$1:$V$97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4" l="1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T75" i="194" s="1"/>
  <c r="X12" i="194"/>
  <c r="T77" i="194" s="1"/>
  <c r="Q12" i="194"/>
  <c r="P12" i="194"/>
  <c r="I12" i="194"/>
  <c r="H12" i="194"/>
  <c r="E12" i="194"/>
  <c r="O75" i="194" l="1"/>
  <c r="O73" i="194"/>
  <c r="F73" i="194"/>
  <c r="F75" i="194"/>
  <c r="T73" i="194"/>
  <c r="T79" i="194" s="1"/>
  <c r="M79" i="193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F77" i="194" l="1"/>
  <c r="O73" i="193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<sst xmlns="http://schemas.openxmlformats.org/spreadsheetml/2006/main" count="1974" uniqueCount="134">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</sst>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5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5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175500</v>
      </c>
      <c r="P73" s="248"/>
      <c r="Q73" s="249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154440</v>
      </c>
      <c r="P75" s="248"/>
      <c r="Q75" s="249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-175500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0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6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6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189252</v>
      </c>
      <c r="P73" s="248"/>
      <c r="Q73" s="249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162576</v>
      </c>
      <c r="P75" s="248"/>
      <c r="Q75" s="249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-189252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0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7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7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0</v>
      </c>
      <c r="U73" s="254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203796</v>
      </c>
      <c r="P75" s="248"/>
      <c r="Q75" s="249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-203796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0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8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8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203796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444054.95999999996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>
        <v>688500</v>
      </c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199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199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200880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191808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1135470.96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0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0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190512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190512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1145838.96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1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1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141984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108936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1194366.96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1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1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11286</v>
      </c>
      <c r="P73" s="248"/>
      <c r="Q73" s="249"/>
      <c r="R73" s="152"/>
      <c r="S73" s="159" t="s">
        <v>104</v>
      </c>
      <c r="T73" s="253">
        <f>SUM(Y12:Y68)</f>
        <v>0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11286</v>
      </c>
      <c r="P75" s="248"/>
      <c r="Q75" s="249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-11286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0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2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2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175032</v>
      </c>
      <c r="P73" s="248"/>
      <c r="Q73" s="249"/>
      <c r="R73" s="152"/>
      <c r="S73" s="159" t="s">
        <v>104</v>
      </c>
      <c r="T73" s="253">
        <f>SUM(Y12:Y68)</f>
        <v>0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135828</v>
      </c>
      <c r="P75" s="248"/>
      <c r="Q75" s="249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-175032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0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2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2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0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5670</v>
      </c>
      <c r="P73" s="248"/>
      <c r="Q73" s="249"/>
      <c r="R73" s="152"/>
      <c r="S73" s="159" t="s">
        <v>104</v>
      </c>
      <c r="T73" s="253">
        <f>SUM(Y12:Y68)</f>
        <v>0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0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5670</v>
      </c>
      <c r="P75" s="248"/>
      <c r="Q75" s="249"/>
      <c r="R75" s="152"/>
      <c r="S75" s="159" t="s">
        <v>129</v>
      </c>
      <c r="T75" s="253">
        <f>SUM(Z12:Z70)</f>
        <v>0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-5670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0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3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3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1377504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53238.33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1377504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203796</v>
      </c>
      <c r="P75" s="248"/>
      <c r="Q75" s="249"/>
      <c r="R75" s="152"/>
      <c r="S75" s="159" t="s">
        <v>129</v>
      </c>
      <c r="T75" s="253">
        <f>SUM(Z12:Z70)</f>
        <v>6268.5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771771.40999999992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>
        <v>25568</v>
      </c>
      <c r="Q77" s="252"/>
      <c r="R77" s="152"/>
      <c r="S77" s="159" t="s">
        <v>108</v>
      </c>
      <c r="T77" s="253">
        <f>IF(SUM(X12:X68)*0.15&gt;P77,P77,SUM(X12:X68)*0.15)</f>
        <v>25568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>
        <f>197532+119329.76</f>
        <v>316861.76</v>
      </c>
      <c r="Q79" s="252"/>
      <c r="R79" s="152"/>
      <c r="S79" s="159" t="s">
        <v>112</v>
      </c>
      <c r="T79" s="253">
        <f>T77+T73+T75</f>
        <v>85074.83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4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4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203796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203796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1132554.96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5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5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178488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178488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1157862.96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N14" sqref="N14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7" t="s">
        <v>130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6" t="s">
        <v>1</v>
      </c>
      <c r="U2" s="7"/>
      <c r="W2" s="25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8"/>
      <c r="G4" s="298"/>
      <c r="H4" s="298"/>
      <c r="I4" s="298"/>
      <c r="J4" s="298"/>
      <c r="K4" s="298"/>
      <c r="L4" s="298"/>
      <c r="M4" s="298"/>
      <c r="S4" s="2" t="s">
        <v>4</v>
      </c>
      <c r="T4" s="299"/>
      <c r="U4" s="299"/>
      <c r="W4" s="25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0"/>
      <c r="G6" s="300"/>
      <c r="H6" s="300"/>
      <c r="I6" s="300"/>
      <c r="J6" s="300"/>
      <c r="K6" s="300"/>
      <c r="L6" s="300"/>
      <c r="M6" s="300"/>
      <c r="S6" s="11" t="s">
        <v>6</v>
      </c>
      <c r="T6" s="206" t="s">
        <v>7</v>
      </c>
      <c r="U6" s="12" t="s">
        <v>131</v>
      </c>
      <c r="W6" s="25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0"/>
      <c r="G7" s="300"/>
      <c r="H7" s="300"/>
      <c r="I7" s="300"/>
      <c r="J7" s="300"/>
      <c r="K7" s="300"/>
      <c r="L7" s="300"/>
      <c r="M7" s="300"/>
      <c r="N7" s="14"/>
      <c r="O7" s="14"/>
      <c r="P7" s="14"/>
      <c r="Q7" s="15"/>
      <c r="S7" s="14"/>
      <c r="T7" s="206" t="s">
        <v>11</v>
      </c>
      <c r="U7" s="12"/>
      <c r="W7" s="25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9" t="s">
        <v>14</v>
      </c>
      <c r="C9" s="272" t="s">
        <v>15</v>
      </c>
      <c r="D9" s="272" t="s">
        <v>16</v>
      </c>
      <c r="E9" s="272" t="s">
        <v>17</v>
      </c>
      <c r="F9" s="275" t="s">
        <v>18</v>
      </c>
      <c r="G9" s="276"/>
      <c r="H9" s="276"/>
      <c r="I9" s="276"/>
      <c r="J9" s="276"/>
      <c r="K9" s="276"/>
      <c r="L9" s="276"/>
      <c r="M9" s="276"/>
      <c r="N9" s="276"/>
      <c r="O9" s="276"/>
      <c r="P9" s="276"/>
      <c r="Q9" s="277"/>
      <c r="S9" s="275" t="s">
        <v>19</v>
      </c>
      <c r="T9" s="276"/>
      <c r="U9" s="277"/>
      <c r="X9" s="282" t="s">
        <v>20</v>
      </c>
      <c r="Y9" s="285" t="s">
        <v>21</v>
      </c>
      <c r="Z9" s="285" t="s">
        <v>128</v>
      </c>
      <c r="AA9" s="17"/>
      <c r="AB9" s="262" t="s">
        <v>22</v>
      </c>
      <c r="AC9" s="288" t="s">
        <v>23</v>
      </c>
      <c r="AD9" s="291" t="s">
        <v>24</v>
      </c>
      <c r="AE9" s="262" t="s">
        <v>25</v>
      </c>
      <c r="AG9" s="262" t="s">
        <v>26</v>
      </c>
      <c r="AH9" s="17"/>
      <c r="AI9" s="262" t="s">
        <v>27</v>
      </c>
    </row>
    <row r="10" spans="2:35" s="16" customFormat="1" ht="20.25" customHeight="1" x14ac:dyDescent="0.25">
      <c r="B10" s="270"/>
      <c r="C10" s="273"/>
      <c r="D10" s="273"/>
      <c r="E10" s="273"/>
      <c r="F10" s="279" t="s">
        <v>28</v>
      </c>
      <c r="G10" s="279" t="s">
        <v>29</v>
      </c>
      <c r="H10" s="279" t="s">
        <v>30</v>
      </c>
      <c r="I10" s="280" t="s">
        <v>31</v>
      </c>
      <c r="J10" s="280" t="s">
        <v>32</v>
      </c>
      <c r="K10" s="280" t="s">
        <v>33</v>
      </c>
      <c r="L10" s="280" t="s">
        <v>34</v>
      </c>
      <c r="M10" s="294" t="s">
        <v>35</v>
      </c>
      <c r="N10" s="295"/>
      <c r="O10" s="295"/>
      <c r="P10" s="295"/>
      <c r="Q10" s="296"/>
      <c r="S10" s="265" t="s">
        <v>36</v>
      </c>
      <c r="T10" s="266"/>
      <c r="U10" s="267"/>
      <c r="X10" s="283"/>
      <c r="Y10" s="286"/>
      <c r="Z10" s="286"/>
      <c r="AA10" s="17"/>
      <c r="AB10" s="263"/>
      <c r="AC10" s="289"/>
      <c r="AD10" s="292"/>
      <c r="AE10" s="263"/>
      <c r="AG10" s="263"/>
      <c r="AH10" s="17"/>
      <c r="AI10" s="263"/>
    </row>
    <row r="11" spans="2:35" s="21" customFormat="1" ht="12.75" customHeight="1" thickBot="1" x14ac:dyDescent="0.3">
      <c r="B11" s="271"/>
      <c r="C11" s="274"/>
      <c r="D11" s="274"/>
      <c r="E11" s="274"/>
      <c r="F11" s="274"/>
      <c r="G11" s="274"/>
      <c r="H11" s="274"/>
      <c r="I11" s="281"/>
      <c r="J11" s="281"/>
      <c r="K11" s="281"/>
      <c r="L11" s="28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4"/>
      <c r="Y11" s="287"/>
      <c r="Z11" s="287"/>
      <c r="AA11" s="17"/>
      <c r="AB11" s="264"/>
      <c r="AC11" s="290"/>
      <c r="AD11" s="293"/>
      <c r="AE11" s="264"/>
      <c r="AG11" s="278"/>
      <c r="AH11" s="17"/>
      <c r="AI11" s="26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>
        <v>96</v>
      </c>
      <c r="O15" s="51"/>
      <c r="P15" s="52" t="str">
        <f t="shared" si="5"/>
        <v>3 pallets</v>
      </c>
      <c r="Q15" s="53">
        <f t="shared" si="6"/>
        <v>29376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8" t="s">
        <v>101</v>
      </c>
      <c r="C71" s="268"/>
      <c r="D71" s="268"/>
      <c r="E71" s="268"/>
      <c r="F71" s="268"/>
      <c r="G71" s="268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8">
        <f>SUM(I12:I70)</f>
        <v>1397196</v>
      </c>
      <c r="G73" s="248"/>
      <c r="H73" s="248"/>
      <c r="I73" s="249"/>
      <c r="J73" s="158"/>
      <c r="K73" s="158"/>
      <c r="L73" s="158"/>
      <c r="M73" s="260" t="s">
        <v>103</v>
      </c>
      <c r="N73" s="261"/>
      <c r="O73" s="248">
        <f>SUM(Q12:Q70)</f>
        <v>194292</v>
      </c>
      <c r="P73" s="248"/>
      <c r="Q73" s="249"/>
      <c r="R73" s="152"/>
      <c r="S73" s="159" t="s">
        <v>104</v>
      </c>
      <c r="T73" s="253">
        <f>SUM(Y12:Y68)</f>
        <v>54419.040000000001</v>
      </c>
      <c r="U73" s="254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8">
        <f>SUM(I14:I72)</f>
        <v>1397196</v>
      </c>
      <c r="G75" s="248"/>
      <c r="H75" s="248"/>
      <c r="I75" s="249"/>
      <c r="J75" s="158"/>
      <c r="K75" s="158"/>
      <c r="L75" s="158"/>
      <c r="M75" s="260" t="s">
        <v>103</v>
      </c>
      <c r="N75" s="261"/>
      <c r="O75" s="248">
        <f>SUM(Q14:Q72)</f>
        <v>161244</v>
      </c>
      <c r="P75" s="248"/>
      <c r="Q75" s="249"/>
      <c r="R75" s="152"/>
      <c r="S75" s="159" t="s">
        <v>129</v>
      </c>
      <c r="T75" s="253">
        <f>SUM(Z12:Z70)</f>
        <v>6426</v>
      </c>
      <c r="U75" s="254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8">
        <f>IF(U7&gt;0,"",(F73-O73-T79-P79))</f>
        <v>1142058.96</v>
      </c>
      <c r="G77" s="248"/>
      <c r="H77" s="248"/>
      <c r="I77" s="249"/>
      <c r="J77" s="164"/>
      <c r="K77" s="164"/>
      <c r="L77" s="164"/>
      <c r="M77" s="250" t="s">
        <v>106</v>
      </c>
      <c r="N77" s="250"/>
      <c r="O77" s="168" t="s">
        <v>107</v>
      </c>
      <c r="P77" s="251"/>
      <c r="Q77" s="252"/>
      <c r="R77" s="152"/>
      <c r="S77" s="159" t="s">
        <v>108</v>
      </c>
      <c r="T77" s="253">
        <f>IF(SUM(X12:X68)*0.15&gt;P77,P77,SUM(X12:X68)*0.15)</f>
        <v>0</v>
      </c>
      <c r="U77" s="254"/>
      <c r="V77" s="160"/>
      <c r="W77" s="25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8"/>
      <c r="G79" s="248"/>
      <c r="H79" s="248"/>
      <c r="I79" s="249"/>
      <c r="J79" s="164"/>
      <c r="K79" s="164"/>
      <c r="L79" s="164"/>
      <c r="M79" s="258" t="str">
        <f>IF(U6&gt;0,"",T4+30)</f>
        <v/>
      </c>
      <c r="N79" s="259"/>
      <c r="O79" s="168" t="s">
        <v>111</v>
      </c>
      <c r="P79" s="251"/>
      <c r="Q79" s="252"/>
      <c r="R79" s="152"/>
      <c r="S79" s="159" t="s">
        <v>112</v>
      </c>
      <c r="T79" s="253">
        <f>T77+T73+T75</f>
        <v>60845.04</v>
      </c>
      <c r="U79" s="254"/>
      <c r="V79" s="160"/>
      <c r="W79" s="25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5" t="s">
        <v>113</v>
      </c>
      <c r="C81" s="226"/>
      <c r="D81" s="226"/>
      <c r="E81" s="226"/>
      <c r="F81" s="226"/>
      <c r="G81" s="226"/>
      <c r="H81" s="227"/>
      <c r="I81" s="234" t="s">
        <v>114</v>
      </c>
      <c r="J81" s="171"/>
      <c r="K81" s="171"/>
      <c r="L81" s="171"/>
      <c r="M81" s="236"/>
      <c r="N81" s="239" t="s">
        <v>115</v>
      </c>
      <c r="O81" s="242"/>
      <c r="P81" s="236"/>
      <c r="Q81" s="219" t="s">
        <v>116</v>
      </c>
      <c r="R81" s="245"/>
      <c r="S81" s="216"/>
      <c r="T81" s="219" t="s">
        <v>117</v>
      </c>
      <c r="U81" s="222"/>
    </row>
    <row r="82" spans="2:21" ht="15" customHeight="1" x14ac:dyDescent="0.25">
      <c r="B82" s="228"/>
      <c r="C82" s="229"/>
      <c r="D82" s="229"/>
      <c r="E82" s="229"/>
      <c r="F82" s="229"/>
      <c r="G82" s="229"/>
      <c r="H82" s="230"/>
      <c r="I82" s="213"/>
      <c r="J82" s="2"/>
      <c r="K82" s="2"/>
      <c r="L82" s="2"/>
      <c r="M82" s="237"/>
      <c r="N82" s="240"/>
      <c r="O82" s="243"/>
      <c r="P82" s="237"/>
      <c r="Q82" s="220"/>
      <c r="R82" s="246"/>
      <c r="S82" s="217"/>
      <c r="T82" s="220"/>
      <c r="U82" s="223"/>
    </row>
    <row r="83" spans="2:21" ht="15.75" customHeight="1" thickBot="1" x14ac:dyDescent="0.3">
      <c r="B83" s="231"/>
      <c r="C83" s="232"/>
      <c r="D83" s="232"/>
      <c r="E83" s="232"/>
      <c r="F83" s="232"/>
      <c r="G83" s="232"/>
      <c r="H83" s="233"/>
      <c r="I83" s="235"/>
      <c r="J83" s="172"/>
      <c r="K83" s="172"/>
      <c r="L83" s="172"/>
      <c r="M83" s="238"/>
      <c r="N83" s="241"/>
      <c r="O83" s="244"/>
      <c r="P83" s="238"/>
      <c r="Q83" s="221"/>
      <c r="R83" s="247"/>
      <c r="S83" s="218"/>
      <c r="T83" s="221"/>
      <c r="U83" s="22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7" t="s">
        <v>132</v>
      </c>
      <c r="C88" s="208"/>
      <c r="D88" s="208"/>
      <c r="E88" s="208"/>
      <c r="F88" s="208"/>
      <c r="G88" s="208"/>
      <c r="H88" s="208"/>
      <c r="I88" s="209"/>
      <c r="J88" s="185"/>
      <c r="K88" s="185"/>
      <c r="L88" s="185"/>
      <c r="M88" s="207"/>
      <c r="N88" s="208"/>
      <c r="O88" s="208"/>
      <c r="P88" s="208"/>
      <c r="Q88" s="209"/>
      <c r="R88" s="187"/>
      <c r="S88" s="188"/>
      <c r="T88" s="188"/>
      <c r="U88" s="189"/>
    </row>
    <row r="89" spans="2:21" ht="18" x14ac:dyDescent="0.25">
      <c r="B89" s="210" t="s">
        <v>122</v>
      </c>
      <c r="C89" s="211"/>
      <c r="D89" s="211"/>
      <c r="E89" s="211"/>
      <c r="F89" s="211"/>
      <c r="G89" s="211"/>
      <c r="H89" s="211"/>
      <c r="I89" s="212"/>
      <c r="M89" s="210" t="s">
        <v>122</v>
      </c>
      <c r="N89" s="211"/>
      <c r="O89" s="211"/>
      <c r="P89" s="211"/>
      <c r="Q89" s="212"/>
      <c r="R89" s="213" t="s">
        <v>123</v>
      </c>
      <c r="S89" s="214"/>
      <c r="T89" s="214"/>
      <c r="U89" s="21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7" t="s">
        <v>133</v>
      </c>
      <c r="C93" s="208"/>
      <c r="D93" s="208"/>
      <c r="E93" s="208"/>
      <c r="F93" s="208"/>
      <c r="G93" s="208"/>
      <c r="H93" s="208"/>
      <c r="I93" s="20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0" t="s">
        <v>126</v>
      </c>
      <c r="C94" s="211"/>
      <c r="D94" s="211"/>
      <c r="E94" s="211"/>
      <c r="F94" s="211"/>
      <c r="G94" s="211"/>
      <c r="H94" s="211"/>
      <c r="I94" s="212"/>
      <c r="M94" s="179"/>
      <c r="Q94" s="180"/>
      <c r="R94" s="213" t="s">
        <v>127</v>
      </c>
      <c r="S94" s="214"/>
      <c r="T94" s="214"/>
      <c r="U94" s="21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03-24-2026-C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  <vt:lpstr>'03-24-2026-C'!Print_Area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2026-03-24T05:45:23Z</dcterms:modified>
</cp:coreProperties>
</file>