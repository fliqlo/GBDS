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D8BDC22-6E95-4E38-92DC-BA161E6A31E5}" xr6:coauthVersionLast="45" xr6:coauthVersionMax="47" xr10:uidLastSave="{00000000-0000-0000-0000-000000000000}"/>
  <bookViews>
    <workbookView xWindow="-120" yWindow="-120" windowWidth="29040" windowHeight="15840" firstSheet="13" activeTab="21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  <sheet name="03-30-2026" sheetId="198" r:id="rId18"/>
    <sheet name="03-31-2026-A" sheetId="199" r:id="rId19"/>
    <sheet name="03-31-2026-B" sheetId="200" r:id="rId20"/>
    <sheet name="03-31-2026-C" sheetId="201" r:id="rId21"/>
    <sheet name="03-31-2026-D" sheetId="202" r:id="rId22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  <definedName name="_xlnm.Print_Area" localSheetId="17">'03-30-2026'!$A$1:$V$97</definedName>
    <definedName name="_xlnm.Print_Area" localSheetId="18">'03-31-2026-A'!$A$1:$V$97</definedName>
    <definedName name="_xlnm.Print_Area" localSheetId="19">'03-31-2026-B'!$A$1:$V$97</definedName>
    <definedName name="_xlnm.Print_Area" localSheetId="20">'03-31-2026-C'!$A$1:$V$97</definedName>
    <definedName name="_xlnm.Print_Area" localSheetId="21">'03-31-2026-D'!$A$1:$V$97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9" i="202" l="1"/>
  <c r="H39" i="202" s="1"/>
  <c r="F41" i="202"/>
  <c r="H41" i="202" s="1"/>
  <c r="F54" i="202"/>
  <c r="F42" i="202"/>
  <c r="F20" i="202"/>
  <c r="N14" i="202"/>
  <c r="M79" i="202"/>
  <c r="P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B67" i="202"/>
  <c r="AE67" i="202" s="1"/>
  <c r="AI67" i="202" s="1"/>
  <c r="Y67" i="202" s="1"/>
  <c r="Z67" i="202"/>
  <c r="X67" i="202"/>
  <c r="Q67" i="202"/>
  <c r="P67" i="202"/>
  <c r="I67" i="202"/>
  <c r="H67" i="202"/>
  <c r="E67" i="202"/>
  <c r="AD66" i="202"/>
  <c r="AC66" i="202"/>
  <c r="AB66" i="202"/>
  <c r="AE66" i="202" s="1"/>
  <c r="AI66" i="202" s="1"/>
  <c r="Y66" i="202" s="1"/>
  <c r="Z66" i="202"/>
  <c r="X66" i="202"/>
  <c r="Q66" i="202"/>
  <c r="P66" i="202"/>
  <c r="I66" i="202"/>
  <c r="H66" i="202"/>
  <c r="E66" i="202"/>
  <c r="AD65" i="202"/>
  <c r="AC65" i="202"/>
  <c r="AB65" i="202"/>
  <c r="AE65" i="202" s="1"/>
  <c r="AI65" i="202" s="1"/>
  <c r="Y65" i="202" s="1"/>
  <c r="Z65" i="202"/>
  <c r="X65" i="202"/>
  <c r="Q65" i="202"/>
  <c r="P65" i="202"/>
  <c r="I65" i="202"/>
  <c r="H65" i="202"/>
  <c r="E65" i="202"/>
  <c r="AD64" i="202"/>
  <c r="AC64" i="202"/>
  <c r="AE64" i="202" s="1"/>
  <c r="AI64" i="202" s="1"/>
  <c r="Y64" i="202" s="1"/>
  <c r="AB64" i="202"/>
  <c r="Z64" i="202"/>
  <c r="X64" i="202"/>
  <c r="Q64" i="202"/>
  <c r="P64" i="202"/>
  <c r="I64" i="202"/>
  <c r="H64" i="202"/>
  <c r="E64" i="202"/>
  <c r="AD63" i="202"/>
  <c r="AC63" i="202"/>
  <c r="AB63" i="202"/>
  <c r="AE63" i="202" s="1"/>
  <c r="AI63" i="202" s="1"/>
  <c r="Y63" i="202" s="1"/>
  <c r="Z63" i="202"/>
  <c r="X63" i="202"/>
  <c r="Q63" i="202"/>
  <c r="P63" i="202"/>
  <c r="H63" i="202"/>
  <c r="E63" i="202"/>
  <c r="I63" i="202" s="1"/>
  <c r="AD62" i="202"/>
  <c r="AC62" i="202"/>
  <c r="AE62" i="202" s="1"/>
  <c r="AI62" i="202" s="1"/>
  <c r="Y62" i="202" s="1"/>
  <c r="AB62" i="202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I59" i="202"/>
  <c r="H59" i="202"/>
  <c r="E59" i="202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E55" i="202"/>
  <c r="AI55" i="202" s="1"/>
  <c r="Y55" i="202" s="1"/>
  <c r="AD55" i="202"/>
  <c r="AC55" i="202"/>
  <c r="AB55" i="202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Z54" i="202"/>
  <c r="X54" i="202"/>
  <c r="Q54" i="202"/>
  <c r="P54" i="202"/>
  <c r="H54" i="202"/>
  <c r="E54" i="202"/>
  <c r="I54" i="202" s="1"/>
  <c r="AI53" i="202"/>
  <c r="Y53" i="202" s="1"/>
  <c r="AE53" i="202"/>
  <c r="AD53" i="202"/>
  <c r="AC53" i="202"/>
  <c r="AB53" i="202"/>
  <c r="Z53" i="202"/>
  <c r="X53" i="202"/>
  <c r="Q53" i="202"/>
  <c r="P53" i="202"/>
  <c r="H53" i="202"/>
  <c r="E53" i="202"/>
  <c r="I53" i="202" s="1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B51" i="202"/>
  <c r="AE51" i="202" s="1"/>
  <c r="AI51" i="202" s="1"/>
  <c r="Y51" i="202" s="1"/>
  <c r="Z51" i="202"/>
  <c r="X51" i="202"/>
  <c r="Q51" i="202"/>
  <c r="P51" i="202"/>
  <c r="I51" i="202"/>
  <c r="H51" i="202"/>
  <c r="E51" i="202"/>
  <c r="AD50" i="202"/>
  <c r="AC50" i="202"/>
  <c r="AE50" i="202" s="1"/>
  <c r="AI50" i="202" s="1"/>
  <c r="Y50" i="202" s="1"/>
  <c r="AB50" i="202"/>
  <c r="Z50" i="202"/>
  <c r="X50" i="202"/>
  <c r="Q50" i="202"/>
  <c r="P50" i="202"/>
  <c r="I50" i="202"/>
  <c r="H50" i="202"/>
  <c r="E50" i="202"/>
  <c r="AI49" i="202"/>
  <c r="Y49" i="202" s="1"/>
  <c r="AE49" i="202"/>
  <c r="Z49" i="202"/>
  <c r="X49" i="202"/>
  <c r="Q49" i="202"/>
  <c r="P49" i="202"/>
  <c r="I49" i="202"/>
  <c r="H49" i="202"/>
  <c r="E49" i="202"/>
  <c r="AI48" i="202"/>
  <c r="AE48" i="202"/>
  <c r="Z48" i="202"/>
  <c r="Y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H46" i="202"/>
  <c r="E46" i="202"/>
  <c r="I46" i="202" s="1"/>
  <c r="AD45" i="202"/>
  <c r="AC45" i="202"/>
  <c r="AB45" i="202"/>
  <c r="AE45" i="202" s="1"/>
  <c r="AI45" i="202" s="1"/>
  <c r="Y45" i="202" s="1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E43" i="202"/>
  <c r="AI43" i="202" s="1"/>
  <c r="Y43" i="202" s="1"/>
  <c r="AD43" i="202"/>
  <c r="AC43" i="202"/>
  <c r="AB43" i="202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I41" i="202"/>
  <c r="AE41" i="202"/>
  <c r="AD41" i="202"/>
  <c r="AC41" i="202"/>
  <c r="AB41" i="202"/>
  <c r="Q41" i="202"/>
  <c r="P41" i="202"/>
  <c r="E41" i="202"/>
  <c r="AE40" i="202"/>
  <c r="AI40" i="202" s="1"/>
  <c r="Y40" i="202" s="1"/>
  <c r="AD40" i="202"/>
  <c r="AC40" i="202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I38" i="202"/>
  <c r="H38" i="202"/>
  <c r="E38" i="202"/>
  <c r="AD37" i="202"/>
  <c r="AC37" i="202"/>
  <c r="AB37" i="202"/>
  <c r="AE37" i="202" s="1"/>
  <c r="AI37" i="202" s="1"/>
  <c r="Y37" i="202" s="1"/>
  <c r="Z37" i="202"/>
  <c r="X37" i="202"/>
  <c r="Q37" i="202"/>
  <c r="P37" i="202"/>
  <c r="I37" i="202"/>
  <c r="H37" i="202"/>
  <c r="E37" i="202"/>
  <c r="AD36" i="202"/>
  <c r="AC36" i="202"/>
  <c r="AB36" i="202"/>
  <c r="AE36" i="202" s="1"/>
  <c r="AI36" i="202" s="1"/>
  <c r="Y36" i="202" s="1"/>
  <c r="Z36" i="202"/>
  <c r="X36" i="202"/>
  <c r="Q36" i="202"/>
  <c r="P36" i="202"/>
  <c r="I36" i="202"/>
  <c r="H36" i="202"/>
  <c r="E36" i="202"/>
  <c r="AD35" i="202"/>
  <c r="AC35" i="202"/>
  <c r="AE35" i="202" s="1"/>
  <c r="AI35" i="202" s="1"/>
  <c r="Y35" i="202" s="1"/>
  <c r="AB35" i="202"/>
  <c r="Z35" i="202"/>
  <c r="X35" i="202"/>
  <c r="Q35" i="202"/>
  <c r="P35" i="202"/>
  <c r="I35" i="202"/>
  <c r="H35" i="202"/>
  <c r="E35" i="202"/>
  <c r="AD34" i="202"/>
  <c r="AC34" i="202"/>
  <c r="AB34" i="202"/>
  <c r="AE34" i="202" s="1"/>
  <c r="AI34" i="202" s="1"/>
  <c r="Y34" i="202" s="1"/>
  <c r="Z34" i="202"/>
  <c r="X34" i="202"/>
  <c r="Q34" i="202"/>
  <c r="P34" i="202"/>
  <c r="H34" i="202"/>
  <c r="E34" i="202"/>
  <c r="I34" i="202" s="1"/>
  <c r="AD33" i="202"/>
  <c r="AC33" i="202"/>
  <c r="AE33" i="202" s="1"/>
  <c r="AI33" i="202" s="1"/>
  <c r="Y33" i="202" s="1"/>
  <c r="AB33" i="202"/>
  <c r="Z33" i="202"/>
  <c r="X33" i="202"/>
  <c r="Q33" i="202"/>
  <c r="P33" i="202"/>
  <c r="H33" i="202"/>
  <c r="E33" i="202"/>
  <c r="I33" i="202" s="1"/>
  <c r="AD32" i="202"/>
  <c r="AC32" i="202"/>
  <c r="AE32" i="202" s="1"/>
  <c r="AI32" i="202" s="1"/>
  <c r="Y32" i="202" s="1"/>
  <c r="AB32" i="202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E28" i="202"/>
  <c r="AI28" i="202" s="1"/>
  <c r="Y28" i="202" s="1"/>
  <c r="AD28" i="202"/>
  <c r="AC28" i="202"/>
  <c r="AB28" i="202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I26" i="202"/>
  <c r="Y26" i="202" s="1"/>
  <c r="AE26" i="202"/>
  <c r="AD26" i="202"/>
  <c r="AC26" i="202"/>
  <c r="AB26" i="202"/>
  <c r="Z26" i="202"/>
  <c r="X26" i="202"/>
  <c r="Q26" i="202"/>
  <c r="P26" i="202"/>
  <c r="I26" i="202"/>
  <c r="H26" i="202"/>
  <c r="E26" i="202"/>
  <c r="AE25" i="202"/>
  <c r="AI25" i="202" s="1"/>
  <c r="Y25" i="202" s="1"/>
  <c r="AD25" i="202"/>
  <c r="AC25" i="202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B23" i="202"/>
  <c r="AE23" i="202" s="1"/>
  <c r="AI23" i="202" s="1"/>
  <c r="Y23" i="202" s="1"/>
  <c r="Z23" i="202"/>
  <c r="X23" i="202"/>
  <c r="Q23" i="202"/>
  <c r="P23" i="202"/>
  <c r="I23" i="202"/>
  <c r="H23" i="202"/>
  <c r="E23" i="202"/>
  <c r="AD22" i="202"/>
  <c r="AC22" i="202"/>
  <c r="AE22" i="202" s="1"/>
  <c r="AI22" i="202" s="1"/>
  <c r="Y22" i="202" s="1"/>
  <c r="AB22" i="202"/>
  <c r="Z22" i="202"/>
  <c r="X22" i="202"/>
  <c r="Q22" i="202"/>
  <c r="P22" i="202"/>
  <c r="I22" i="202"/>
  <c r="H22" i="202"/>
  <c r="E22" i="202"/>
  <c r="AD21" i="202"/>
  <c r="AC21" i="202"/>
  <c r="AB21" i="202"/>
  <c r="AE21" i="202" s="1"/>
  <c r="AI21" i="202" s="1"/>
  <c r="Y21" i="202" s="1"/>
  <c r="Z21" i="202"/>
  <c r="X21" i="202"/>
  <c r="Q21" i="202"/>
  <c r="P21" i="202"/>
  <c r="I21" i="202"/>
  <c r="H21" i="202"/>
  <c r="E21" i="202"/>
  <c r="AD20" i="202"/>
  <c r="AC20" i="202"/>
  <c r="AE20" i="202" s="1"/>
  <c r="AI20" i="202" s="1"/>
  <c r="Y20" i="202" s="1"/>
  <c r="AB20" i="202"/>
  <c r="Z20" i="202"/>
  <c r="X20" i="202"/>
  <c r="Q20" i="202"/>
  <c r="P20" i="202"/>
  <c r="I20" i="202"/>
  <c r="H20" i="202"/>
  <c r="E20" i="202"/>
  <c r="AD19" i="202"/>
  <c r="AC19" i="202"/>
  <c r="AB19" i="202"/>
  <c r="AE19" i="202" s="1"/>
  <c r="AI19" i="202" s="1"/>
  <c r="Y19" i="202" s="1"/>
  <c r="Z19" i="202"/>
  <c r="X19" i="202"/>
  <c r="Q19" i="202"/>
  <c r="P19" i="202"/>
  <c r="H19" i="202"/>
  <c r="E19" i="202"/>
  <c r="I19" i="202" s="1"/>
  <c r="AD18" i="202"/>
  <c r="AC18" i="202"/>
  <c r="AE18" i="202" s="1"/>
  <c r="AI18" i="202" s="1"/>
  <c r="Y18" i="202" s="1"/>
  <c r="AB18" i="202"/>
  <c r="Z18" i="202"/>
  <c r="X18" i="202"/>
  <c r="Q18" i="202"/>
  <c r="P18" i="202"/>
  <c r="H18" i="202"/>
  <c r="E18" i="202"/>
  <c r="I18" i="202" s="1"/>
  <c r="AD17" i="202"/>
  <c r="AE17" i="202" s="1"/>
  <c r="AI17" i="202" s="1"/>
  <c r="Y17" i="202" s="1"/>
  <c r="AC17" i="202"/>
  <c r="AB17" i="202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I15" i="202"/>
  <c r="E15" i="202"/>
  <c r="AD14" i="202"/>
  <c r="AC14" i="202"/>
  <c r="AB14" i="202"/>
  <c r="AE14" i="202" s="1"/>
  <c r="AI14" i="202" s="1"/>
  <c r="Y14" i="202" s="1"/>
  <c r="Z14" i="202"/>
  <c r="X14" i="202"/>
  <c r="Q14" i="202"/>
  <c r="O75" i="202" s="1"/>
  <c r="P14" i="202"/>
  <c r="H14" i="202"/>
  <c r="E14" i="202"/>
  <c r="I14" i="202" s="1"/>
  <c r="AD13" i="202"/>
  <c r="AC13" i="202"/>
  <c r="AB13" i="202"/>
  <c r="AE13" i="202" s="1"/>
  <c r="AI13" i="202" s="1"/>
  <c r="Y13" i="202" s="1"/>
  <c r="Z13" i="202"/>
  <c r="X13" i="202"/>
  <c r="Q13" i="202"/>
  <c r="P13" i="202"/>
  <c r="I13" i="202"/>
  <c r="H13" i="202"/>
  <c r="E13" i="202"/>
  <c r="AD12" i="202"/>
  <c r="AC12" i="202"/>
  <c r="AE12" i="202" s="1"/>
  <c r="AI12" i="202" s="1"/>
  <c r="Y12" i="202" s="1"/>
  <c r="AB12" i="202"/>
  <c r="Z12" i="202"/>
  <c r="X12" i="202"/>
  <c r="Q12" i="202"/>
  <c r="P12" i="202"/>
  <c r="I12" i="202"/>
  <c r="H12" i="202"/>
  <c r="E12" i="202"/>
  <c r="M79" i="201"/>
  <c r="P71" i="201"/>
  <c r="H71" i="201"/>
  <c r="Q70" i="201"/>
  <c r="P70" i="201"/>
  <c r="I70" i="201"/>
  <c r="H70" i="201"/>
  <c r="E70" i="20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C67" i="201"/>
  <c r="AE67" i="201" s="1"/>
  <c r="AI67" i="201" s="1"/>
  <c r="Y67" i="201" s="1"/>
  <c r="AB67" i="201"/>
  <c r="Z67" i="201"/>
  <c r="X67" i="201"/>
  <c r="Q67" i="201"/>
  <c r="P67" i="201"/>
  <c r="H67" i="201"/>
  <c r="E67" i="201"/>
  <c r="I67" i="201" s="1"/>
  <c r="AD66" i="201"/>
  <c r="AE66" i="201" s="1"/>
  <c r="AI66" i="201" s="1"/>
  <c r="Y66" i="201" s="1"/>
  <c r="AC66" i="201"/>
  <c r="AB66" i="201"/>
  <c r="Z66" i="201"/>
  <c r="X66" i="201"/>
  <c r="Q66" i="201"/>
  <c r="P66" i="201"/>
  <c r="I66" i="201"/>
  <c r="H66" i="201"/>
  <c r="E66" i="201"/>
  <c r="AD65" i="201"/>
  <c r="AE65" i="201" s="1"/>
  <c r="AI65" i="201" s="1"/>
  <c r="Y65" i="201" s="1"/>
  <c r="AC65" i="201"/>
  <c r="AB65" i="201"/>
  <c r="Z65" i="201"/>
  <c r="X65" i="201"/>
  <c r="Q65" i="201"/>
  <c r="P65" i="201"/>
  <c r="H65" i="201"/>
  <c r="E65" i="201"/>
  <c r="I65" i="201" s="1"/>
  <c r="AD64" i="201"/>
  <c r="AC64" i="201"/>
  <c r="AB64" i="201"/>
  <c r="AE64" i="201" s="1"/>
  <c r="AI64" i="201" s="1"/>
  <c r="Y64" i="201" s="1"/>
  <c r="Z64" i="201"/>
  <c r="X64" i="201"/>
  <c r="Q64" i="201"/>
  <c r="P64" i="201"/>
  <c r="H64" i="201"/>
  <c r="E64" i="201"/>
  <c r="I64" i="201" s="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E62" i="201" s="1"/>
  <c r="AI62" i="201" s="1"/>
  <c r="Y62" i="201" s="1"/>
  <c r="AC62" i="201"/>
  <c r="AB62" i="201"/>
  <c r="Z62" i="201"/>
  <c r="X62" i="201"/>
  <c r="Q62" i="201"/>
  <c r="P62" i="201"/>
  <c r="I62" i="201"/>
  <c r="H62" i="201"/>
  <c r="E62" i="201"/>
  <c r="AE61" i="201"/>
  <c r="AI61" i="201" s="1"/>
  <c r="Y61" i="201" s="1"/>
  <c r="AC61" i="201"/>
  <c r="AB61" i="201"/>
  <c r="X61" i="201"/>
  <c r="Q61" i="201"/>
  <c r="P61" i="201"/>
  <c r="H61" i="201"/>
  <c r="E61" i="201"/>
  <c r="I61" i="201" s="1"/>
  <c r="AE60" i="201"/>
  <c r="AI60" i="201" s="1"/>
  <c r="Y60" i="201" s="1"/>
  <c r="X60" i="201"/>
  <c r="Q60" i="201"/>
  <c r="P60" i="201"/>
  <c r="I60" i="201"/>
  <c r="H60" i="201"/>
  <c r="E60" i="201"/>
  <c r="AE59" i="201"/>
  <c r="AI59" i="201" s="1"/>
  <c r="Y59" i="201" s="1"/>
  <c r="AC59" i="201"/>
  <c r="AB59" i="201"/>
  <c r="X59" i="201"/>
  <c r="Q59" i="201"/>
  <c r="P59" i="201"/>
  <c r="H59" i="201"/>
  <c r="E59" i="201"/>
  <c r="I59" i="201" s="1"/>
  <c r="AC58" i="201"/>
  <c r="AE58" i="201" s="1"/>
  <c r="AI58" i="201" s="1"/>
  <c r="Y58" i="201" s="1"/>
  <c r="AB58" i="201"/>
  <c r="X58" i="201"/>
  <c r="Q58" i="201"/>
  <c r="P58" i="201"/>
  <c r="I58" i="201"/>
  <c r="E58" i="201"/>
  <c r="AC57" i="201"/>
  <c r="AB57" i="201"/>
  <c r="AE57" i="201" s="1"/>
  <c r="AI57" i="201" s="1"/>
  <c r="Y57" i="201" s="1"/>
  <c r="X57" i="201"/>
  <c r="Q57" i="201"/>
  <c r="P57" i="201"/>
  <c r="I57" i="201"/>
  <c r="H57" i="201"/>
  <c r="E57" i="201"/>
  <c r="AE56" i="201"/>
  <c r="AI56" i="201" s="1"/>
  <c r="Y56" i="201" s="1"/>
  <c r="AD56" i="201"/>
  <c r="AC56" i="201"/>
  <c r="AB56" i="201"/>
  <c r="Z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H55" i="201"/>
  <c r="E55" i="201"/>
  <c r="I55" i="201" s="1"/>
  <c r="AD54" i="201"/>
  <c r="AC54" i="201"/>
  <c r="AE54" i="201" s="1"/>
  <c r="AI54" i="201" s="1"/>
  <c r="Y54" i="201" s="1"/>
  <c r="AB54" i="20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C51" i="201"/>
  <c r="AE51" i="201" s="1"/>
  <c r="AI51" i="201" s="1"/>
  <c r="Y51" i="201" s="1"/>
  <c r="AB51" i="201"/>
  <c r="Z51" i="201"/>
  <c r="X51" i="201"/>
  <c r="Q51" i="201"/>
  <c r="P51" i="201"/>
  <c r="H51" i="201"/>
  <c r="E51" i="201"/>
  <c r="I51" i="201" s="1"/>
  <c r="AD50" i="201"/>
  <c r="AE50" i="201" s="1"/>
  <c r="AI50" i="201" s="1"/>
  <c r="Y50" i="201" s="1"/>
  <c r="AC50" i="201"/>
  <c r="AB50" i="201"/>
  <c r="Z50" i="201"/>
  <c r="X50" i="201"/>
  <c r="Q50" i="201"/>
  <c r="P50" i="201"/>
  <c r="I50" i="201"/>
  <c r="H50" i="201"/>
  <c r="E50" i="201"/>
  <c r="AE49" i="201"/>
  <c r="AI49" i="201" s="1"/>
  <c r="Y49" i="201" s="1"/>
  <c r="Z49" i="201"/>
  <c r="X49" i="201"/>
  <c r="Q49" i="201"/>
  <c r="P49" i="201"/>
  <c r="H49" i="201"/>
  <c r="E49" i="201"/>
  <c r="I49" i="201" s="1"/>
  <c r="AE48" i="201"/>
  <c r="AI48" i="201" s="1"/>
  <c r="Y48" i="201" s="1"/>
  <c r="Z48" i="201"/>
  <c r="X48" i="201"/>
  <c r="Q48" i="201"/>
  <c r="P48" i="201"/>
  <c r="I48" i="201"/>
  <c r="H48" i="201"/>
  <c r="E48" i="201"/>
  <c r="AE47" i="201"/>
  <c r="AI47" i="201" s="1"/>
  <c r="Y47" i="201" s="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I45" i="201"/>
  <c r="H45" i="201"/>
  <c r="E45" i="201"/>
  <c r="AE44" i="201"/>
  <c r="AI44" i="201" s="1"/>
  <c r="Y44" i="201" s="1"/>
  <c r="AD44" i="201"/>
  <c r="AC44" i="201"/>
  <c r="AB44" i="201"/>
  <c r="Z44" i="201"/>
  <c r="X44" i="201"/>
  <c r="Q44" i="201"/>
  <c r="P44" i="201"/>
  <c r="I44" i="201"/>
  <c r="H44" i="201"/>
  <c r="E44" i="201"/>
  <c r="AD43" i="201"/>
  <c r="AC43" i="201"/>
  <c r="AB43" i="201"/>
  <c r="AE43" i="201" s="1"/>
  <c r="AI43" i="201" s="1"/>
  <c r="Y43" i="201" s="1"/>
  <c r="Z43" i="201"/>
  <c r="X43" i="201"/>
  <c r="Q43" i="201"/>
  <c r="P43" i="201"/>
  <c r="H43" i="201"/>
  <c r="E43" i="201"/>
  <c r="I43" i="201" s="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I41" i="201"/>
  <c r="H41" i="201"/>
  <c r="E41" i="201"/>
  <c r="AD40" i="201"/>
  <c r="AC40" i="201"/>
  <c r="AB40" i="201"/>
  <c r="AE40" i="201" s="1"/>
  <c r="AI40" i="201" s="1"/>
  <c r="Y40" i="201" s="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C38" i="201"/>
  <c r="AE38" i="201" s="1"/>
  <c r="AI38" i="201" s="1"/>
  <c r="Y38" i="201" s="1"/>
  <c r="AB38" i="201"/>
  <c r="Z38" i="201"/>
  <c r="X38" i="201"/>
  <c r="Q38" i="201"/>
  <c r="P38" i="201"/>
  <c r="H38" i="201"/>
  <c r="E38" i="201"/>
  <c r="I38" i="201" s="1"/>
  <c r="AD37" i="201"/>
  <c r="AE37" i="201" s="1"/>
  <c r="AI37" i="201" s="1"/>
  <c r="Y37" i="201" s="1"/>
  <c r="AC37" i="201"/>
  <c r="AB37" i="201"/>
  <c r="Z37" i="201"/>
  <c r="X37" i="201"/>
  <c r="Q37" i="201"/>
  <c r="P37" i="201"/>
  <c r="I37" i="201"/>
  <c r="H37" i="201"/>
  <c r="E37" i="201"/>
  <c r="AD36" i="201"/>
  <c r="AE36" i="201" s="1"/>
  <c r="AI36" i="201" s="1"/>
  <c r="Y36" i="201" s="1"/>
  <c r="AC36" i="201"/>
  <c r="AB36" i="201"/>
  <c r="Z36" i="201"/>
  <c r="X36" i="201"/>
  <c r="Q36" i="201"/>
  <c r="P36" i="201"/>
  <c r="H36" i="201"/>
  <c r="E36" i="201"/>
  <c r="I36" i="201" s="1"/>
  <c r="AD35" i="201"/>
  <c r="AC35" i="201"/>
  <c r="AB35" i="201"/>
  <c r="AE35" i="201" s="1"/>
  <c r="AI35" i="201" s="1"/>
  <c r="Y35" i="201" s="1"/>
  <c r="Z35" i="201"/>
  <c r="X35" i="201"/>
  <c r="Q35" i="201"/>
  <c r="P35" i="201"/>
  <c r="H35" i="201"/>
  <c r="E35" i="201"/>
  <c r="I35" i="201" s="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D33" i="201"/>
  <c r="AE33" i="201" s="1"/>
  <c r="AI33" i="201" s="1"/>
  <c r="Y33" i="201" s="1"/>
  <c r="AC33" i="201"/>
  <c r="AB33" i="201"/>
  <c r="Z33" i="201"/>
  <c r="X33" i="201"/>
  <c r="Q33" i="201"/>
  <c r="P33" i="201"/>
  <c r="I33" i="201"/>
  <c r="H33" i="201"/>
  <c r="E33" i="201"/>
  <c r="AE32" i="201"/>
  <c r="AI32" i="201" s="1"/>
  <c r="Y32" i="201" s="1"/>
  <c r="AD32" i="201"/>
  <c r="AC32" i="201"/>
  <c r="AB32" i="201"/>
  <c r="Z32" i="201"/>
  <c r="X32" i="201"/>
  <c r="Q32" i="201"/>
  <c r="P32" i="201"/>
  <c r="H32" i="201"/>
  <c r="E32" i="201"/>
  <c r="I32" i="201" s="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I30" i="201"/>
  <c r="H30" i="201"/>
  <c r="E30" i="201"/>
  <c r="AE29" i="201"/>
  <c r="AI29" i="201" s="1"/>
  <c r="Y29" i="201" s="1"/>
  <c r="AD29" i="201"/>
  <c r="AC29" i="201"/>
  <c r="AB29" i="201"/>
  <c r="Z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H28" i="201"/>
  <c r="E28" i="201"/>
  <c r="I28" i="201" s="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I26" i="201"/>
  <c r="H26" i="201"/>
  <c r="E26" i="201"/>
  <c r="AD25" i="201"/>
  <c r="AC25" i="201"/>
  <c r="AB25" i="201"/>
  <c r="AE25" i="201" s="1"/>
  <c r="AI25" i="201" s="1"/>
  <c r="Y25" i="201" s="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C23" i="201"/>
  <c r="AE23" i="201" s="1"/>
  <c r="AI23" i="201" s="1"/>
  <c r="Y23" i="201" s="1"/>
  <c r="AB23" i="201"/>
  <c r="Z23" i="201"/>
  <c r="X23" i="201"/>
  <c r="Q23" i="201"/>
  <c r="P23" i="201"/>
  <c r="H23" i="201"/>
  <c r="E23" i="201"/>
  <c r="I23" i="201" s="1"/>
  <c r="AD22" i="201"/>
  <c r="AE22" i="201" s="1"/>
  <c r="AI22" i="201" s="1"/>
  <c r="Y22" i="201" s="1"/>
  <c r="AC22" i="201"/>
  <c r="AB22" i="201"/>
  <c r="Z22" i="201"/>
  <c r="X22" i="201"/>
  <c r="Q22" i="201"/>
  <c r="P22" i="201"/>
  <c r="I22" i="201"/>
  <c r="H22" i="201"/>
  <c r="E22" i="201"/>
  <c r="AD21" i="201"/>
  <c r="AE21" i="201" s="1"/>
  <c r="AI21" i="201" s="1"/>
  <c r="Y21" i="201" s="1"/>
  <c r="AC21" i="201"/>
  <c r="AB21" i="201"/>
  <c r="Z21" i="201"/>
  <c r="X21" i="201"/>
  <c r="Q21" i="201"/>
  <c r="P21" i="201"/>
  <c r="H21" i="201"/>
  <c r="E21" i="201"/>
  <c r="I21" i="201" s="1"/>
  <c r="AD20" i="201"/>
  <c r="AC20" i="201"/>
  <c r="AB20" i="201"/>
  <c r="AE20" i="201" s="1"/>
  <c r="AI20" i="201" s="1"/>
  <c r="Y20" i="201" s="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I19" i="201"/>
  <c r="H19" i="201"/>
  <c r="E19" i="201"/>
  <c r="AD18" i="201"/>
  <c r="AE18" i="201" s="1"/>
  <c r="AI18" i="201" s="1"/>
  <c r="Y18" i="201" s="1"/>
  <c r="AC18" i="201"/>
  <c r="AB18" i="201"/>
  <c r="Z18" i="201"/>
  <c r="X18" i="201"/>
  <c r="Q18" i="201"/>
  <c r="P18" i="201"/>
  <c r="I18" i="201"/>
  <c r="H18" i="201"/>
  <c r="E18" i="201"/>
  <c r="AE17" i="201"/>
  <c r="AI17" i="201" s="1"/>
  <c r="Y17" i="201" s="1"/>
  <c r="AD17" i="201"/>
  <c r="AC17" i="201"/>
  <c r="AB17" i="201"/>
  <c r="Z17" i="201"/>
  <c r="X17" i="201"/>
  <c r="Q17" i="201"/>
  <c r="P17" i="201"/>
  <c r="H17" i="201"/>
  <c r="E17" i="201"/>
  <c r="I17" i="201" s="1"/>
  <c r="AE16" i="201"/>
  <c r="AI16" i="201" s="1"/>
  <c r="Y16" i="201" s="1"/>
  <c r="AD16" i="201"/>
  <c r="AC16" i="201"/>
  <c r="AB16" i="201"/>
  <c r="Z16" i="201"/>
  <c r="X16" i="201"/>
  <c r="Q16" i="201"/>
  <c r="P16" i="201"/>
  <c r="I16" i="201"/>
  <c r="E16" i="20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P14" i="201"/>
  <c r="H14" i="201"/>
  <c r="E14" i="201"/>
  <c r="I14" i="201" s="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E12" i="201" s="1"/>
  <c r="AI12" i="201" s="1"/>
  <c r="Y12" i="201" s="1"/>
  <c r="AC12" i="201"/>
  <c r="AB12" i="201"/>
  <c r="Z12" i="201"/>
  <c r="X12" i="201"/>
  <c r="Q12" i="201"/>
  <c r="O73" i="201" s="1"/>
  <c r="P12" i="201"/>
  <c r="I12" i="201"/>
  <c r="H12" i="201"/>
  <c r="E12" i="201"/>
  <c r="I39" i="202" l="1"/>
  <c r="I41" i="202"/>
  <c r="F75" i="202" s="1"/>
  <c r="X41" i="202"/>
  <c r="T77" i="202" s="1"/>
  <c r="H71" i="202"/>
  <c r="Y41" i="202"/>
  <c r="Z41" i="202"/>
  <c r="Y54" i="202"/>
  <c r="T73" i="202" s="1"/>
  <c r="O73" i="202"/>
  <c r="T75" i="202"/>
  <c r="O75" i="201"/>
  <c r="T75" i="201"/>
  <c r="T77" i="201"/>
  <c r="T73" i="201"/>
  <c r="F73" i="201"/>
  <c r="F75" i="201"/>
  <c r="H71" i="200"/>
  <c r="M79" i="200"/>
  <c r="P71" i="200"/>
  <c r="Q70" i="200"/>
  <c r="P70" i="200"/>
  <c r="I70" i="200"/>
  <c r="H70" i="200"/>
  <c r="E70" i="200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E67" i="200"/>
  <c r="AI67" i="200" s="1"/>
  <c r="Y67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AE66" i="200" s="1"/>
  <c r="AI66" i="200" s="1"/>
  <c r="Y66" i="200" s="1"/>
  <c r="Z66" i="200"/>
  <c r="X66" i="200"/>
  <c r="Q66" i="200"/>
  <c r="P66" i="200"/>
  <c r="H66" i="200"/>
  <c r="E66" i="200"/>
  <c r="I66" i="200" s="1"/>
  <c r="AD65" i="200"/>
  <c r="AC65" i="200"/>
  <c r="AB65" i="200"/>
  <c r="AE65" i="200" s="1"/>
  <c r="AI65" i="200" s="1"/>
  <c r="Y65" i="200" s="1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I64" i="200"/>
  <c r="H64" i="200"/>
  <c r="E64" i="200"/>
  <c r="AD63" i="200"/>
  <c r="AC63" i="200"/>
  <c r="AB63" i="200"/>
  <c r="AE63" i="200" s="1"/>
  <c r="AI63" i="200" s="1"/>
  <c r="Y63" i="200" s="1"/>
  <c r="Z63" i="200"/>
  <c r="X63" i="200"/>
  <c r="Q63" i="200"/>
  <c r="P63" i="200"/>
  <c r="I63" i="200"/>
  <c r="H63" i="200"/>
  <c r="E63" i="200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AE61" i="200" s="1"/>
  <c r="AI61" i="200" s="1"/>
  <c r="Y61" i="200" s="1"/>
  <c r="X61" i="200"/>
  <c r="Q61" i="200"/>
  <c r="P61" i="200"/>
  <c r="H61" i="200"/>
  <c r="E61" i="200"/>
  <c r="I61" i="200" s="1"/>
  <c r="AE60" i="200"/>
  <c r="AI60" i="200" s="1"/>
  <c r="Y60" i="200" s="1"/>
  <c r="X60" i="200"/>
  <c r="Q60" i="200"/>
  <c r="P60" i="200"/>
  <c r="H60" i="200"/>
  <c r="E60" i="200"/>
  <c r="I60" i="200" s="1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E58" i="200" s="1"/>
  <c r="AI58" i="200" s="1"/>
  <c r="Y58" i="200" s="1"/>
  <c r="AB58" i="200"/>
  <c r="X58" i="200"/>
  <c r="Q58" i="200"/>
  <c r="P58" i="200"/>
  <c r="E58" i="200"/>
  <c r="I58" i="200" s="1"/>
  <c r="AC57" i="200"/>
  <c r="AB57" i="200"/>
  <c r="AE57" i="200" s="1"/>
  <c r="AI57" i="200" s="1"/>
  <c r="Y57" i="200" s="1"/>
  <c r="X57" i="200"/>
  <c r="Q57" i="200"/>
  <c r="P57" i="200"/>
  <c r="H57" i="200"/>
  <c r="E57" i="200"/>
  <c r="I57" i="200" s="1"/>
  <c r="AD56" i="200"/>
  <c r="AC56" i="200"/>
  <c r="AB56" i="200"/>
  <c r="AE56" i="200" s="1"/>
  <c r="AI56" i="200" s="1"/>
  <c r="Y56" i="200" s="1"/>
  <c r="Z56" i="200"/>
  <c r="X56" i="200"/>
  <c r="Q56" i="200"/>
  <c r="P56" i="200"/>
  <c r="H56" i="200"/>
  <c r="E56" i="200"/>
  <c r="I56" i="200" s="1"/>
  <c r="AD55" i="200"/>
  <c r="AE55" i="200" s="1"/>
  <c r="AI55" i="200" s="1"/>
  <c r="Y55" i="200" s="1"/>
  <c r="AC55" i="200"/>
  <c r="AB55" i="200"/>
  <c r="Z55" i="200"/>
  <c r="X55" i="200"/>
  <c r="Q55" i="200"/>
  <c r="P55" i="200"/>
  <c r="H55" i="200"/>
  <c r="E55" i="200"/>
  <c r="I55" i="200" s="1"/>
  <c r="AD54" i="200"/>
  <c r="AC54" i="200"/>
  <c r="AE54" i="200" s="1"/>
  <c r="AI54" i="200" s="1"/>
  <c r="Y54" i="200" s="1"/>
  <c r="AB54" i="200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I52" i="200" s="1"/>
  <c r="AE51" i="200"/>
  <c r="AI51" i="200" s="1"/>
  <c r="Y51" i="200" s="1"/>
  <c r="AD51" i="200"/>
  <c r="AC51" i="200"/>
  <c r="AB51" i="200"/>
  <c r="Z51" i="200"/>
  <c r="X51" i="200"/>
  <c r="Q51" i="200"/>
  <c r="P51" i="200"/>
  <c r="H51" i="200"/>
  <c r="E51" i="200"/>
  <c r="I51" i="200" s="1"/>
  <c r="AD50" i="200"/>
  <c r="AC50" i="200"/>
  <c r="AB50" i="200"/>
  <c r="AE50" i="200" s="1"/>
  <c r="AI50" i="200" s="1"/>
  <c r="Y50" i="200" s="1"/>
  <c r="Z50" i="200"/>
  <c r="X50" i="200"/>
  <c r="Q50" i="200"/>
  <c r="P50" i="200"/>
  <c r="H50" i="200"/>
  <c r="E50" i="200"/>
  <c r="I50" i="200" s="1"/>
  <c r="AE49" i="200"/>
  <c r="AI49" i="200" s="1"/>
  <c r="Y49" i="200" s="1"/>
  <c r="Z49" i="200"/>
  <c r="X49" i="200"/>
  <c r="Q49" i="200"/>
  <c r="P49" i="200"/>
  <c r="I49" i="200"/>
  <c r="H49" i="200"/>
  <c r="E49" i="200"/>
  <c r="AI48" i="200"/>
  <c r="AE48" i="200"/>
  <c r="Z48" i="200"/>
  <c r="Y48" i="200"/>
  <c r="X48" i="200"/>
  <c r="Q48" i="200"/>
  <c r="P48" i="200"/>
  <c r="H48" i="200"/>
  <c r="E48" i="200"/>
  <c r="I48" i="200" s="1"/>
  <c r="AE47" i="200"/>
  <c r="AI47" i="200" s="1"/>
  <c r="Y47" i="200" s="1"/>
  <c r="Z47" i="200"/>
  <c r="X47" i="200"/>
  <c r="Q47" i="200"/>
  <c r="P47" i="200"/>
  <c r="H47" i="200"/>
  <c r="E47" i="200"/>
  <c r="I47" i="200" s="1"/>
  <c r="AD46" i="200"/>
  <c r="AC46" i="200"/>
  <c r="AB46" i="200"/>
  <c r="AE46" i="200" s="1"/>
  <c r="AI46" i="200" s="1"/>
  <c r="Y46" i="200" s="1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E43" i="200" s="1"/>
  <c r="AI43" i="200" s="1"/>
  <c r="Y43" i="200" s="1"/>
  <c r="AC43" i="200"/>
  <c r="AB43" i="200"/>
  <c r="Z43" i="200"/>
  <c r="X43" i="200"/>
  <c r="Q43" i="200"/>
  <c r="P43" i="200"/>
  <c r="H43" i="200"/>
  <c r="E43" i="200"/>
  <c r="I43" i="200" s="1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I42" i="200" s="1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AE40" i="200" s="1"/>
  <c r="AI40" i="200" s="1"/>
  <c r="Y40" i="200" s="1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I39" i="200" s="1"/>
  <c r="AE38" i="200"/>
  <c r="AI38" i="200" s="1"/>
  <c r="Y38" i="200" s="1"/>
  <c r="AD38" i="200"/>
  <c r="AC38" i="200"/>
  <c r="AB38" i="200"/>
  <c r="Z38" i="200"/>
  <c r="X38" i="200"/>
  <c r="Q38" i="200"/>
  <c r="P38" i="200"/>
  <c r="H38" i="200"/>
  <c r="E38" i="200"/>
  <c r="I38" i="200" s="1"/>
  <c r="AD37" i="200"/>
  <c r="AC37" i="200"/>
  <c r="AB37" i="200"/>
  <c r="AE37" i="200" s="1"/>
  <c r="AI37" i="200" s="1"/>
  <c r="Y37" i="200" s="1"/>
  <c r="Z37" i="200"/>
  <c r="X37" i="200"/>
  <c r="Q37" i="200"/>
  <c r="P37" i="200"/>
  <c r="H37" i="200"/>
  <c r="E37" i="200"/>
  <c r="I37" i="200" s="1"/>
  <c r="AD36" i="200"/>
  <c r="AC36" i="200"/>
  <c r="AB36" i="200"/>
  <c r="AE36" i="200" s="1"/>
  <c r="AI36" i="200" s="1"/>
  <c r="Y36" i="200" s="1"/>
  <c r="Z36" i="200"/>
  <c r="X36" i="200"/>
  <c r="Q36" i="200"/>
  <c r="P36" i="200"/>
  <c r="H36" i="200"/>
  <c r="E36" i="200"/>
  <c r="I36" i="200" s="1"/>
  <c r="AD35" i="200"/>
  <c r="AC35" i="200"/>
  <c r="AB35" i="200"/>
  <c r="AE35" i="200" s="1"/>
  <c r="AI35" i="200" s="1"/>
  <c r="Y35" i="200" s="1"/>
  <c r="Z35" i="200"/>
  <c r="X35" i="200"/>
  <c r="Q35" i="200"/>
  <c r="P35" i="200"/>
  <c r="E35" i="200"/>
  <c r="AD34" i="200"/>
  <c r="AC34" i="200"/>
  <c r="AB34" i="200"/>
  <c r="AE34" i="200" s="1"/>
  <c r="AI34" i="200" s="1"/>
  <c r="Y34" i="200" s="1"/>
  <c r="Z34" i="200"/>
  <c r="X34" i="200"/>
  <c r="Q34" i="200"/>
  <c r="P34" i="200"/>
  <c r="I34" i="200"/>
  <c r="H34" i="200"/>
  <c r="E34" i="200"/>
  <c r="AD33" i="200"/>
  <c r="AC33" i="200"/>
  <c r="AB33" i="200"/>
  <c r="AE33" i="200" s="1"/>
  <c r="AI33" i="200" s="1"/>
  <c r="Q33" i="200"/>
  <c r="P33" i="200"/>
  <c r="E33" i="200"/>
  <c r="I33" i="200" s="1"/>
  <c r="AD32" i="200"/>
  <c r="AE32" i="200" s="1"/>
  <c r="AI32" i="200" s="1"/>
  <c r="Y32" i="200" s="1"/>
  <c r="AC32" i="200"/>
  <c r="AB32" i="200"/>
  <c r="Z32" i="200"/>
  <c r="X32" i="200"/>
  <c r="Q32" i="200"/>
  <c r="P32" i="200"/>
  <c r="H32" i="200"/>
  <c r="E32" i="200"/>
  <c r="I32" i="200" s="1"/>
  <c r="AE31" i="200"/>
  <c r="AI31" i="200" s="1"/>
  <c r="Y31" i="200" s="1"/>
  <c r="Z31" i="200"/>
  <c r="X31" i="200"/>
  <c r="Q31" i="200"/>
  <c r="P31" i="200"/>
  <c r="H31" i="200"/>
  <c r="E31" i="200"/>
  <c r="I31" i="200" s="1"/>
  <c r="AD30" i="200"/>
  <c r="AC30" i="200"/>
  <c r="AB30" i="200"/>
  <c r="AE30" i="200" s="1"/>
  <c r="AI30" i="200" s="1"/>
  <c r="Y30" i="200" s="1"/>
  <c r="Z30" i="200"/>
  <c r="X30" i="200"/>
  <c r="Q30" i="200"/>
  <c r="P30" i="200"/>
  <c r="I30" i="200"/>
  <c r="H30" i="200"/>
  <c r="E30" i="200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H28" i="200"/>
  <c r="E28" i="200"/>
  <c r="I28" i="200" s="1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I27" i="200" s="1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AE25" i="200" s="1"/>
  <c r="AI25" i="200" s="1"/>
  <c r="Y25" i="200" s="1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D23" i="200"/>
  <c r="AC23" i="200"/>
  <c r="AB23" i="200"/>
  <c r="AE23" i="200" s="1"/>
  <c r="Z23" i="200"/>
  <c r="X23" i="200"/>
  <c r="Q23" i="200"/>
  <c r="P23" i="200"/>
  <c r="H23" i="200"/>
  <c r="E23" i="200"/>
  <c r="I23" i="200" s="1"/>
  <c r="AD22" i="200"/>
  <c r="AC22" i="200"/>
  <c r="AE22" i="200" s="1"/>
  <c r="AI22" i="200" s="1"/>
  <c r="Y22" i="200" s="1"/>
  <c r="AB22" i="200"/>
  <c r="Z22" i="200"/>
  <c r="X22" i="200"/>
  <c r="Q22" i="200"/>
  <c r="P22" i="200"/>
  <c r="H22" i="200"/>
  <c r="E22" i="200"/>
  <c r="I22" i="200" s="1"/>
  <c r="AD21" i="200"/>
  <c r="AC21" i="200"/>
  <c r="AB21" i="200"/>
  <c r="AE21" i="200" s="1"/>
  <c r="AI21" i="200" s="1"/>
  <c r="Z21" i="200"/>
  <c r="Y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X20" i="200"/>
  <c r="Q20" i="200"/>
  <c r="P20" i="200"/>
  <c r="H20" i="200"/>
  <c r="E20" i="200"/>
  <c r="I20" i="200" s="1"/>
  <c r="AD19" i="200"/>
  <c r="AC19" i="200"/>
  <c r="AB19" i="200"/>
  <c r="AE19" i="200" s="1"/>
  <c r="AI19" i="200" s="1"/>
  <c r="Y19" i="200" s="1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E17" i="200" s="1"/>
  <c r="AI17" i="200" s="1"/>
  <c r="Y17" i="200" s="1"/>
  <c r="AC17" i="200"/>
  <c r="AB17" i="200"/>
  <c r="Z17" i="200"/>
  <c r="X17" i="200"/>
  <c r="Q17" i="200"/>
  <c r="P17" i="200"/>
  <c r="H17" i="200"/>
  <c r="E17" i="200"/>
  <c r="I17" i="200" s="1"/>
  <c r="AD16" i="200"/>
  <c r="AC16" i="200"/>
  <c r="AB16" i="200"/>
  <c r="AE16" i="200" s="1"/>
  <c r="AI16" i="200" s="1"/>
  <c r="Y16" i="200" s="1"/>
  <c r="Z16" i="200"/>
  <c r="X16" i="200"/>
  <c r="Q16" i="200"/>
  <c r="P16" i="200"/>
  <c r="E16" i="200"/>
  <c r="I16" i="200" s="1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I15" i="200" s="1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I14" i="200" s="1"/>
  <c r="AI13" i="200"/>
  <c r="Y13" i="200" s="1"/>
  <c r="AD13" i="200"/>
  <c r="AC13" i="200"/>
  <c r="AB13" i="200"/>
  <c r="AE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H12" i="200"/>
  <c r="E12" i="200"/>
  <c r="I12" i="200" s="1"/>
  <c r="F73" i="202" l="1"/>
  <c r="T79" i="202"/>
  <c r="F77" i="202" s="1"/>
  <c r="T79" i="201"/>
  <c r="F77" i="201" s="1"/>
  <c r="H35" i="200"/>
  <c r="I35" i="200"/>
  <c r="F73" i="200" s="1"/>
  <c r="O73" i="200"/>
  <c r="O75" i="200"/>
  <c r="T75" i="200"/>
  <c r="Y33" i="200"/>
  <c r="T73" i="200" s="1"/>
  <c r="H33" i="200"/>
  <c r="X33" i="200"/>
  <c r="T77" i="200" s="1"/>
  <c r="Z33" i="200"/>
  <c r="F33" i="199"/>
  <c r="Z33" i="199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I67" i="199"/>
  <c r="Y67" i="199" s="1"/>
  <c r="AE67" i="199"/>
  <c r="AD67" i="199"/>
  <c r="AC67" i="199"/>
  <c r="AB67" i="199"/>
  <c r="Z67" i="199"/>
  <c r="X67" i="199"/>
  <c r="Q67" i="199"/>
  <c r="P67" i="199"/>
  <c r="I67" i="199"/>
  <c r="H67" i="199"/>
  <c r="E67" i="199"/>
  <c r="AD66" i="199"/>
  <c r="AC66" i="199"/>
  <c r="AE66" i="199" s="1"/>
  <c r="AI66" i="199" s="1"/>
  <c r="Y66" i="199" s="1"/>
  <c r="AB66" i="199"/>
  <c r="Z66" i="199"/>
  <c r="X66" i="199"/>
  <c r="Q66" i="199"/>
  <c r="P66" i="199"/>
  <c r="H66" i="199"/>
  <c r="E66" i="199"/>
  <c r="I66" i="199" s="1"/>
  <c r="AI65" i="199"/>
  <c r="AE65" i="199"/>
  <c r="AD65" i="199"/>
  <c r="AC65" i="199"/>
  <c r="AB65" i="199"/>
  <c r="Z65" i="199"/>
  <c r="Y65" i="199"/>
  <c r="X65" i="199"/>
  <c r="Q65" i="199"/>
  <c r="P65" i="199"/>
  <c r="H65" i="199"/>
  <c r="E65" i="199"/>
  <c r="I65" i="199" s="1"/>
  <c r="AD64" i="199"/>
  <c r="AC64" i="199"/>
  <c r="AB64" i="199"/>
  <c r="AE64" i="199" s="1"/>
  <c r="AI64" i="199" s="1"/>
  <c r="Y64" i="199" s="1"/>
  <c r="Z64" i="199"/>
  <c r="X64" i="199"/>
  <c r="Q64" i="199"/>
  <c r="P64" i="199"/>
  <c r="H64" i="199"/>
  <c r="E64" i="199"/>
  <c r="I64" i="199" s="1"/>
  <c r="AD63" i="199"/>
  <c r="AC63" i="199"/>
  <c r="AE63" i="199" s="1"/>
  <c r="AI63" i="199" s="1"/>
  <c r="Y63" i="199" s="1"/>
  <c r="AB63" i="199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E61" i="199" s="1"/>
  <c r="AI61" i="199" s="1"/>
  <c r="Y61" i="199" s="1"/>
  <c r="AB61" i="199"/>
  <c r="X61" i="199"/>
  <c r="Q61" i="199"/>
  <c r="P61" i="199"/>
  <c r="H61" i="199"/>
  <c r="E61" i="199"/>
  <c r="I61" i="199" s="1"/>
  <c r="AE60" i="199"/>
  <c r="AI60" i="199" s="1"/>
  <c r="Y60" i="199" s="1"/>
  <c r="X60" i="199"/>
  <c r="Q60" i="199"/>
  <c r="P60" i="199"/>
  <c r="I60" i="199"/>
  <c r="H60" i="199"/>
  <c r="E60" i="199"/>
  <c r="AC59" i="199"/>
  <c r="AB59" i="199"/>
  <c r="AE59" i="199" s="1"/>
  <c r="AI59" i="199" s="1"/>
  <c r="Y59" i="199" s="1"/>
  <c r="X59" i="199"/>
  <c r="Q59" i="199"/>
  <c r="P59" i="199"/>
  <c r="I59" i="199"/>
  <c r="H59" i="199"/>
  <c r="E59" i="199"/>
  <c r="AC58" i="199"/>
  <c r="AB58" i="199"/>
  <c r="AE58" i="199" s="1"/>
  <c r="AI58" i="199" s="1"/>
  <c r="Y58" i="199" s="1"/>
  <c r="X58" i="199"/>
  <c r="Q58" i="199"/>
  <c r="P58" i="199"/>
  <c r="I58" i="199"/>
  <c r="E58" i="199"/>
  <c r="AC57" i="199"/>
  <c r="AB57" i="199"/>
  <c r="AE57" i="199" s="1"/>
  <c r="AI57" i="199" s="1"/>
  <c r="Y57" i="199" s="1"/>
  <c r="X57" i="199"/>
  <c r="Q57" i="199"/>
  <c r="P57" i="199"/>
  <c r="I57" i="199"/>
  <c r="H57" i="199"/>
  <c r="E57" i="199"/>
  <c r="AD56" i="199"/>
  <c r="AC56" i="199"/>
  <c r="AE56" i="199" s="1"/>
  <c r="AI56" i="199" s="1"/>
  <c r="Y56" i="199" s="1"/>
  <c r="AB56" i="199"/>
  <c r="Z56" i="199"/>
  <c r="X56" i="199"/>
  <c r="Q56" i="199"/>
  <c r="P56" i="199"/>
  <c r="H56" i="199"/>
  <c r="E56" i="199"/>
  <c r="I56" i="199" s="1"/>
  <c r="AE55" i="199"/>
  <c r="AI55" i="199" s="1"/>
  <c r="Y55" i="199" s="1"/>
  <c r="AD55" i="199"/>
  <c r="AC55" i="199"/>
  <c r="AB55" i="199"/>
  <c r="Z55" i="199"/>
  <c r="X55" i="199"/>
  <c r="Q55" i="199"/>
  <c r="P55" i="199"/>
  <c r="I55" i="199"/>
  <c r="H55" i="199"/>
  <c r="E55" i="199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E53" i="199"/>
  <c r="AI53" i="199" s="1"/>
  <c r="Y53" i="199" s="1"/>
  <c r="AD53" i="199"/>
  <c r="AC53" i="199"/>
  <c r="AB53" i="199"/>
  <c r="Z53" i="199"/>
  <c r="X53" i="199"/>
  <c r="Q53" i="199"/>
  <c r="P53" i="199"/>
  <c r="H53" i="199"/>
  <c r="E53" i="199"/>
  <c r="I53" i="199" s="1"/>
  <c r="AE52" i="199"/>
  <c r="AI52" i="199" s="1"/>
  <c r="Y52" i="199" s="1"/>
  <c r="Z52" i="199"/>
  <c r="X52" i="199"/>
  <c r="Q52" i="199"/>
  <c r="P52" i="199"/>
  <c r="H52" i="199"/>
  <c r="E52" i="199"/>
  <c r="I52" i="199" s="1"/>
  <c r="AD51" i="199"/>
  <c r="AC51" i="199"/>
  <c r="AB51" i="199"/>
  <c r="AE51" i="199" s="1"/>
  <c r="AI51" i="199" s="1"/>
  <c r="Y51" i="199" s="1"/>
  <c r="Z51" i="199"/>
  <c r="X51" i="199"/>
  <c r="Q51" i="199"/>
  <c r="P51" i="199"/>
  <c r="I51" i="199"/>
  <c r="H51" i="199"/>
  <c r="E51" i="199"/>
  <c r="AD50" i="199"/>
  <c r="AC50" i="199"/>
  <c r="AE50" i="199" s="1"/>
  <c r="AI50" i="199" s="1"/>
  <c r="Y50" i="199" s="1"/>
  <c r="AB50" i="199"/>
  <c r="Z50" i="199"/>
  <c r="X50" i="199"/>
  <c r="Q50" i="199"/>
  <c r="P50" i="199"/>
  <c r="H50" i="199"/>
  <c r="E50" i="199"/>
  <c r="I50" i="199" s="1"/>
  <c r="AI49" i="199"/>
  <c r="Y49" i="199" s="1"/>
  <c r="AE49" i="199"/>
  <c r="Z49" i="199"/>
  <c r="X49" i="199"/>
  <c r="Q49" i="199"/>
  <c r="P49" i="199"/>
  <c r="H49" i="199"/>
  <c r="E49" i="199"/>
  <c r="I49" i="199" s="1"/>
  <c r="AE48" i="199"/>
  <c r="AI48" i="199" s="1"/>
  <c r="Y48" i="199" s="1"/>
  <c r="Z48" i="199"/>
  <c r="X48" i="199"/>
  <c r="Q48" i="199"/>
  <c r="P48" i="199"/>
  <c r="I48" i="199"/>
  <c r="H48" i="199"/>
  <c r="E48" i="199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E46" i="199" s="1"/>
  <c r="AI46" i="199" s="1"/>
  <c r="Y46" i="199" s="1"/>
  <c r="AC46" i="199"/>
  <c r="AB46" i="199"/>
  <c r="Z46" i="199"/>
  <c r="X46" i="199"/>
  <c r="Q46" i="199"/>
  <c r="P46" i="199"/>
  <c r="I46" i="199"/>
  <c r="H46" i="199"/>
  <c r="E46" i="199"/>
  <c r="AD45" i="199"/>
  <c r="AC45" i="199"/>
  <c r="AB45" i="199"/>
  <c r="AE45" i="199" s="1"/>
  <c r="AI45" i="199" s="1"/>
  <c r="Y45" i="199" s="1"/>
  <c r="Z45" i="199"/>
  <c r="X45" i="199"/>
  <c r="Q45" i="199"/>
  <c r="P45" i="199"/>
  <c r="I45" i="199"/>
  <c r="H45" i="199"/>
  <c r="E45" i="199"/>
  <c r="AD44" i="199"/>
  <c r="AC44" i="199"/>
  <c r="AE44" i="199" s="1"/>
  <c r="AI44" i="199" s="1"/>
  <c r="Y44" i="199" s="1"/>
  <c r="AB44" i="199"/>
  <c r="Z44" i="199"/>
  <c r="X44" i="199"/>
  <c r="Q44" i="199"/>
  <c r="P44" i="199"/>
  <c r="H44" i="199"/>
  <c r="E44" i="199"/>
  <c r="I44" i="199" s="1"/>
  <c r="AE43" i="199"/>
  <c r="AI43" i="199" s="1"/>
  <c r="Y43" i="199" s="1"/>
  <c r="AD43" i="199"/>
  <c r="AC43" i="199"/>
  <c r="AB43" i="199"/>
  <c r="Z43" i="199"/>
  <c r="X43" i="199"/>
  <c r="Q43" i="199"/>
  <c r="P43" i="199"/>
  <c r="I43" i="199"/>
  <c r="H43" i="199"/>
  <c r="E43" i="199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E41" i="199"/>
  <c r="AI41" i="199" s="1"/>
  <c r="Y41" i="199" s="1"/>
  <c r="AD41" i="199"/>
  <c r="AC41" i="199"/>
  <c r="AB41" i="199"/>
  <c r="Z41" i="199"/>
  <c r="X41" i="199"/>
  <c r="Q41" i="199"/>
  <c r="P41" i="199"/>
  <c r="H41" i="199"/>
  <c r="E41" i="199"/>
  <c r="I41" i="199" s="1"/>
  <c r="AD40" i="199"/>
  <c r="AC40" i="199"/>
  <c r="AB40" i="199"/>
  <c r="AE40" i="199" s="1"/>
  <c r="AI40" i="199" s="1"/>
  <c r="Y40" i="199" s="1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D38" i="199"/>
  <c r="AC38" i="199"/>
  <c r="AB38" i="199"/>
  <c r="AE38" i="199" s="1"/>
  <c r="AI38" i="199" s="1"/>
  <c r="Y38" i="199" s="1"/>
  <c r="Z38" i="199"/>
  <c r="X38" i="199"/>
  <c r="Q38" i="199"/>
  <c r="P38" i="199"/>
  <c r="I38" i="199"/>
  <c r="H38" i="199"/>
  <c r="E38" i="199"/>
  <c r="AD37" i="199"/>
  <c r="AC37" i="199"/>
  <c r="AE37" i="199" s="1"/>
  <c r="AI37" i="199" s="1"/>
  <c r="Y37" i="199" s="1"/>
  <c r="AB37" i="199"/>
  <c r="Z37" i="199"/>
  <c r="X37" i="199"/>
  <c r="Q37" i="199"/>
  <c r="P37" i="199"/>
  <c r="H37" i="199"/>
  <c r="E37" i="199"/>
  <c r="I37" i="199" s="1"/>
  <c r="AI36" i="199"/>
  <c r="AE36" i="199"/>
  <c r="AD36" i="199"/>
  <c r="AC36" i="199"/>
  <c r="AB36" i="199"/>
  <c r="Z36" i="199"/>
  <c r="Y36" i="199"/>
  <c r="X36" i="199"/>
  <c r="Q36" i="199"/>
  <c r="P36" i="199"/>
  <c r="H36" i="199"/>
  <c r="E36" i="199"/>
  <c r="I36" i="199" s="1"/>
  <c r="AD35" i="199"/>
  <c r="AC35" i="199"/>
  <c r="AB35" i="199"/>
  <c r="AE35" i="199" s="1"/>
  <c r="AI35" i="199" s="1"/>
  <c r="Y35" i="199" s="1"/>
  <c r="Z35" i="199"/>
  <c r="X35" i="199"/>
  <c r="Q35" i="199"/>
  <c r="P35" i="199"/>
  <c r="H35" i="199"/>
  <c r="E35" i="199"/>
  <c r="I35" i="199" s="1"/>
  <c r="AE34" i="199"/>
  <c r="AI34" i="199" s="1"/>
  <c r="Y34" i="199" s="1"/>
  <c r="AD34" i="199"/>
  <c r="AC34" i="199"/>
  <c r="AB34" i="199"/>
  <c r="Z34" i="199"/>
  <c r="X34" i="199"/>
  <c r="Q34" i="199"/>
  <c r="P34" i="199"/>
  <c r="H34" i="199"/>
  <c r="E34" i="199"/>
  <c r="I34" i="199" s="1"/>
  <c r="AD33" i="199"/>
  <c r="AC33" i="199"/>
  <c r="AB33" i="199"/>
  <c r="AE33" i="199" s="1"/>
  <c r="AI33" i="199" s="1"/>
  <c r="Q33" i="199"/>
  <c r="P33" i="199"/>
  <c r="E33" i="199"/>
  <c r="AD32" i="199"/>
  <c r="AE32" i="199" s="1"/>
  <c r="AI32" i="199" s="1"/>
  <c r="Y32" i="199" s="1"/>
  <c r="AC32" i="199"/>
  <c r="AB32" i="199"/>
  <c r="Z32" i="199"/>
  <c r="X32" i="199"/>
  <c r="Q32" i="199"/>
  <c r="P32" i="199"/>
  <c r="H32" i="199"/>
  <c r="E32" i="199"/>
  <c r="I32" i="199" s="1"/>
  <c r="AI31" i="199"/>
  <c r="Y31" i="199" s="1"/>
  <c r="AE31" i="199"/>
  <c r="Z31" i="199"/>
  <c r="X31" i="199"/>
  <c r="Q31" i="199"/>
  <c r="P31" i="199"/>
  <c r="I31" i="199"/>
  <c r="H31" i="199"/>
  <c r="E31" i="199"/>
  <c r="AD30" i="199"/>
  <c r="AC30" i="199"/>
  <c r="AB30" i="199"/>
  <c r="AE30" i="199" s="1"/>
  <c r="AI30" i="199" s="1"/>
  <c r="Y30" i="199" s="1"/>
  <c r="Z30" i="199"/>
  <c r="X30" i="199"/>
  <c r="Q30" i="199"/>
  <c r="P30" i="199"/>
  <c r="I30" i="199"/>
  <c r="H30" i="199"/>
  <c r="E30" i="199"/>
  <c r="AD29" i="199"/>
  <c r="AC29" i="199"/>
  <c r="AE29" i="199" s="1"/>
  <c r="AI29" i="199" s="1"/>
  <c r="Y29" i="199" s="1"/>
  <c r="AB29" i="199"/>
  <c r="Z29" i="199"/>
  <c r="X29" i="199"/>
  <c r="Q29" i="199"/>
  <c r="P29" i="199"/>
  <c r="H29" i="199"/>
  <c r="E29" i="199"/>
  <c r="I29" i="199" s="1"/>
  <c r="AE28" i="199"/>
  <c r="AI28" i="199" s="1"/>
  <c r="Y28" i="199" s="1"/>
  <c r="AD28" i="199"/>
  <c r="AC28" i="199"/>
  <c r="AB28" i="199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I27" i="199"/>
  <c r="H27" i="199"/>
  <c r="E27" i="199"/>
  <c r="AE26" i="199"/>
  <c r="AI26" i="199" s="1"/>
  <c r="Y26" i="199" s="1"/>
  <c r="AD26" i="199"/>
  <c r="AC26" i="199"/>
  <c r="AB26" i="199"/>
  <c r="Z26" i="199"/>
  <c r="X26" i="199"/>
  <c r="Q26" i="199"/>
  <c r="P26" i="199"/>
  <c r="H26" i="199"/>
  <c r="E26" i="199"/>
  <c r="I26" i="199" s="1"/>
  <c r="AD25" i="199"/>
  <c r="AC25" i="199"/>
  <c r="AB25" i="199"/>
  <c r="AE25" i="199" s="1"/>
  <c r="AI25" i="199" s="1"/>
  <c r="Y25" i="199" s="1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D23" i="199"/>
  <c r="AC23" i="199"/>
  <c r="AB23" i="199"/>
  <c r="AE23" i="199" s="1"/>
  <c r="AI23" i="199" s="1"/>
  <c r="Y23" i="199" s="1"/>
  <c r="Z23" i="199"/>
  <c r="X23" i="199"/>
  <c r="Q23" i="199"/>
  <c r="P23" i="199"/>
  <c r="I23" i="199"/>
  <c r="H23" i="199"/>
  <c r="E23" i="199"/>
  <c r="AD22" i="199"/>
  <c r="AC22" i="199"/>
  <c r="AE22" i="199" s="1"/>
  <c r="AI22" i="199" s="1"/>
  <c r="Y22" i="199" s="1"/>
  <c r="AB22" i="199"/>
  <c r="Z22" i="199"/>
  <c r="X22" i="199"/>
  <c r="Q22" i="199"/>
  <c r="P22" i="199"/>
  <c r="I22" i="199"/>
  <c r="H22" i="199"/>
  <c r="E22" i="199"/>
  <c r="AI21" i="199"/>
  <c r="AE21" i="199"/>
  <c r="AD21" i="199"/>
  <c r="AC21" i="199"/>
  <c r="AB21" i="199"/>
  <c r="Z21" i="199"/>
  <c r="Y21" i="199"/>
  <c r="X21" i="199"/>
  <c r="Q21" i="199"/>
  <c r="P21" i="199"/>
  <c r="H21" i="199"/>
  <c r="E21" i="199"/>
  <c r="I21" i="199" s="1"/>
  <c r="AD20" i="199"/>
  <c r="AC20" i="199"/>
  <c r="AB20" i="199"/>
  <c r="AE20" i="199" s="1"/>
  <c r="AI20" i="199" s="1"/>
  <c r="Y20" i="199" s="1"/>
  <c r="Z20" i="199"/>
  <c r="X20" i="199"/>
  <c r="Q20" i="199"/>
  <c r="P20" i="199"/>
  <c r="H20" i="199"/>
  <c r="E20" i="199"/>
  <c r="I20" i="199" s="1"/>
  <c r="AD19" i="199"/>
  <c r="AC19" i="199"/>
  <c r="AE19" i="199" s="1"/>
  <c r="AI19" i="199" s="1"/>
  <c r="Y19" i="199" s="1"/>
  <c r="AB19" i="199"/>
  <c r="Z19" i="199"/>
  <c r="X19" i="199"/>
  <c r="Q19" i="199"/>
  <c r="P19" i="199"/>
  <c r="H19" i="199"/>
  <c r="E19" i="199"/>
  <c r="I19" i="199" s="1"/>
  <c r="AD18" i="199"/>
  <c r="AC18" i="199"/>
  <c r="AB18" i="199"/>
  <c r="AE18" i="199" s="1"/>
  <c r="AI18" i="199" s="1"/>
  <c r="Y18" i="199" s="1"/>
  <c r="Z18" i="199"/>
  <c r="X18" i="199"/>
  <c r="Q18" i="199"/>
  <c r="P18" i="199"/>
  <c r="I18" i="199"/>
  <c r="H18" i="199"/>
  <c r="E18" i="199"/>
  <c r="AD17" i="199"/>
  <c r="AE17" i="199" s="1"/>
  <c r="AI17" i="199" s="1"/>
  <c r="Y17" i="199" s="1"/>
  <c r="AC17" i="199"/>
  <c r="AB17" i="199"/>
  <c r="Z17" i="199"/>
  <c r="X17" i="199"/>
  <c r="Q17" i="199"/>
  <c r="P17" i="199"/>
  <c r="H17" i="199"/>
  <c r="E17" i="199"/>
  <c r="I17" i="199" s="1"/>
  <c r="AD16" i="199"/>
  <c r="AC16" i="199"/>
  <c r="AB16" i="199"/>
  <c r="AE16" i="199" s="1"/>
  <c r="AI16" i="199" s="1"/>
  <c r="Y16" i="199" s="1"/>
  <c r="Z16" i="199"/>
  <c r="X16" i="199"/>
  <c r="Q16" i="199"/>
  <c r="P16" i="199"/>
  <c r="I16" i="199"/>
  <c r="E16" i="199"/>
  <c r="AD15" i="199"/>
  <c r="AC15" i="199"/>
  <c r="AB15" i="199"/>
  <c r="AE15" i="199" s="1"/>
  <c r="AI15" i="199" s="1"/>
  <c r="Y15" i="199" s="1"/>
  <c r="Z15" i="199"/>
  <c r="X15" i="199"/>
  <c r="Q15" i="199"/>
  <c r="P15" i="199"/>
  <c r="E15" i="199"/>
  <c r="I15" i="199" s="1"/>
  <c r="AD14" i="199"/>
  <c r="AC14" i="199"/>
  <c r="AB14" i="199"/>
  <c r="AE14" i="199" s="1"/>
  <c r="AI14" i="199" s="1"/>
  <c r="Y14" i="199" s="1"/>
  <c r="Z14" i="199"/>
  <c r="X14" i="199"/>
  <c r="Q14" i="199"/>
  <c r="P14" i="199"/>
  <c r="H14" i="199"/>
  <c r="E14" i="199"/>
  <c r="I14" i="199" s="1"/>
  <c r="AD13" i="199"/>
  <c r="AC13" i="199"/>
  <c r="AB13" i="199"/>
  <c r="AE13" i="199" s="1"/>
  <c r="AI13" i="199" s="1"/>
  <c r="Y13" i="199" s="1"/>
  <c r="Z13" i="199"/>
  <c r="X13" i="199"/>
  <c r="Q13" i="199"/>
  <c r="P13" i="199"/>
  <c r="I13" i="199"/>
  <c r="H13" i="199"/>
  <c r="E13" i="199"/>
  <c r="AD12" i="199"/>
  <c r="AC12" i="199"/>
  <c r="AE12" i="199" s="1"/>
  <c r="AI12" i="199" s="1"/>
  <c r="Y12" i="199" s="1"/>
  <c r="AB12" i="199"/>
  <c r="Z12" i="199"/>
  <c r="X12" i="199"/>
  <c r="Q12" i="199"/>
  <c r="P12" i="199"/>
  <c r="H12" i="199"/>
  <c r="E12" i="199"/>
  <c r="I12" i="199" s="1"/>
  <c r="F75" i="200" l="1"/>
  <c r="T79" i="200"/>
  <c r="F77" i="200" s="1"/>
  <c r="T75" i="199"/>
  <c r="H33" i="199"/>
  <c r="I33" i="199"/>
  <c r="F73" i="199" s="1"/>
  <c r="T77" i="199"/>
  <c r="X33" i="199"/>
  <c r="Y33" i="199"/>
  <c r="O73" i="199"/>
  <c r="O75" i="199"/>
  <c r="T73" i="199"/>
  <c r="M79" i="198"/>
  <c r="P71" i="198"/>
  <c r="H71" i="198"/>
  <c r="Q70" i="198"/>
  <c r="P70" i="198"/>
  <c r="H70" i="198"/>
  <c r="E70" i="198"/>
  <c r="I70" i="198" s="1"/>
  <c r="Q69" i="198"/>
  <c r="P69" i="198"/>
  <c r="I69" i="198"/>
  <c r="H69" i="198"/>
  <c r="E69" i="198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E66" i="198"/>
  <c r="AI66" i="198" s="1"/>
  <c r="Y66" i="198" s="1"/>
  <c r="AD66" i="198"/>
  <c r="AC66" i="198"/>
  <c r="AB66" i="198"/>
  <c r="Z66" i="198"/>
  <c r="X66" i="198"/>
  <c r="Q66" i="198"/>
  <c r="P66" i="198"/>
  <c r="I66" i="198"/>
  <c r="H66" i="198"/>
  <c r="E66" i="198"/>
  <c r="AD65" i="198"/>
  <c r="AC65" i="198"/>
  <c r="AB65" i="198"/>
  <c r="AE65" i="198" s="1"/>
  <c r="AI65" i="198" s="1"/>
  <c r="Y65" i="198" s="1"/>
  <c r="Z65" i="198"/>
  <c r="X65" i="198"/>
  <c r="Q65" i="198"/>
  <c r="P65" i="198"/>
  <c r="H65" i="198"/>
  <c r="E65" i="198"/>
  <c r="I65" i="198" s="1"/>
  <c r="AE64" i="198"/>
  <c r="AI64" i="198" s="1"/>
  <c r="Y64" i="198" s="1"/>
  <c r="AD64" i="198"/>
  <c r="AC64" i="198"/>
  <c r="AB64" i="198"/>
  <c r="Z64" i="198"/>
  <c r="X64" i="198"/>
  <c r="Q64" i="198"/>
  <c r="P64" i="198"/>
  <c r="H64" i="198"/>
  <c r="E64" i="198"/>
  <c r="I64" i="198" s="1"/>
  <c r="AD63" i="198"/>
  <c r="AC63" i="198"/>
  <c r="AB63" i="198"/>
  <c r="AE63" i="198" s="1"/>
  <c r="AI63" i="198" s="1"/>
  <c r="Y63" i="198" s="1"/>
  <c r="Z63" i="198"/>
  <c r="X63" i="198"/>
  <c r="Q63" i="198"/>
  <c r="P63" i="198"/>
  <c r="I63" i="198"/>
  <c r="H63" i="198"/>
  <c r="E63" i="198"/>
  <c r="AD62" i="198"/>
  <c r="AC62" i="198"/>
  <c r="AB62" i="198"/>
  <c r="AE62" i="198" s="1"/>
  <c r="AI62" i="198" s="1"/>
  <c r="Y62" i="198" s="1"/>
  <c r="Z62" i="198"/>
  <c r="X62" i="198"/>
  <c r="Q62" i="198"/>
  <c r="P62" i="198"/>
  <c r="I62" i="198"/>
  <c r="H62" i="198"/>
  <c r="E62" i="198"/>
  <c r="AI61" i="198"/>
  <c r="Y61" i="198" s="1"/>
  <c r="AE61" i="198"/>
  <c r="AC61" i="198"/>
  <c r="AB61" i="198"/>
  <c r="X61" i="198"/>
  <c r="Q61" i="198"/>
  <c r="P61" i="198"/>
  <c r="I61" i="198"/>
  <c r="H61" i="198"/>
  <c r="E61" i="198"/>
  <c r="AE60" i="198"/>
  <c r="AI60" i="198" s="1"/>
  <c r="Y60" i="198" s="1"/>
  <c r="X60" i="198"/>
  <c r="Q60" i="198"/>
  <c r="P60" i="198"/>
  <c r="I60" i="198"/>
  <c r="H60" i="198"/>
  <c r="E60" i="198"/>
  <c r="AE59" i="198"/>
  <c r="AI59" i="198" s="1"/>
  <c r="Y59" i="198" s="1"/>
  <c r="AC59" i="198"/>
  <c r="AB59" i="198"/>
  <c r="X59" i="198"/>
  <c r="Q59" i="198"/>
  <c r="P59" i="198"/>
  <c r="H59" i="198"/>
  <c r="E59" i="198"/>
  <c r="I59" i="198" s="1"/>
  <c r="AE58" i="198"/>
  <c r="AI58" i="198" s="1"/>
  <c r="Y58" i="198" s="1"/>
  <c r="AC58" i="198"/>
  <c r="AB58" i="198"/>
  <c r="X58" i="198"/>
  <c r="Q58" i="198"/>
  <c r="P58" i="198"/>
  <c r="E58" i="198"/>
  <c r="I58" i="198" s="1"/>
  <c r="AI57" i="198"/>
  <c r="Y57" i="198" s="1"/>
  <c r="AE57" i="198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B55" i="198"/>
  <c r="AE55" i="198" s="1"/>
  <c r="AI55" i="198" s="1"/>
  <c r="Y55" i="198" s="1"/>
  <c r="Z55" i="198"/>
  <c r="X55" i="198"/>
  <c r="Q55" i="198"/>
  <c r="P55" i="198"/>
  <c r="H55" i="198"/>
  <c r="E55" i="198"/>
  <c r="I55" i="198" s="1"/>
  <c r="AD54" i="198"/>
  <c r="AC54" i="198"/>
  <c r="AB54" i="198"/>
  <c r="AE54" i="198" s="1"/>
  <c r="AI54" i="198" s="1"/>
  <c r="Y54" i="198" s="1"/>
  <c r="Z54" i="198"/>
  <c r="X54" i="198"/>
  <c r="Q54" i="198"/>
  <c r="P54" i="198"/>
  <c r="I54" i="198"/>
  <c r="H54" i="198"/>
  <c r="E54" i="198"/>
  <c r="AD53" i="198"/>
  <c r="AC53" i="198"/>
  <c r="AE53" i="198" s="1"/>
  <c r="AI53" i="198" s="1"/>
  <c r="Y53" i="198" s="1"/>
  <c r="AB53" i="198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D51" i="198"/>
  <c r="AC51" i="198"/>
  <c r="AB51" i="198"/>
  <c r="AE51" i="198" s="1"/>
  <c r="AI51" i="198" s="1"/>
  <c r="Y51" i="198" s="1"/>
  <c r="Z51" i="198"/>
  <c r="X51" i="198"/>
  <c r="Q51" i="198"/>
  <c r="P51" i="198"/>
  <c r="H51" i="198"/>
  <c r="E51" i="198"/>
  <c r="I51" i="198" s="1"/>
  <c r="AE50" i="198"/>
  <c r="AI50" i="198" s="1"/>
  <c r="Y50" i="198" s="1"/>
  <c r="AD50" i="198"/>
  <c r="AC50" i="198"/>
  <c r="AB50" i="198"/>
  <c r="Z50" i="198"/>
  <c r="X50" i="198"/>
  <c r="Q50" i="198"/>
  <c r="P50" i="198"/>
  <c r="I50" i="198"/>
  <c r="H50" i="198"/>
  <c r="E50" i="198"/>
  <c r="AI49" i="198"/>
  <c r="Y49" i="198" s="1"/>
  <c r="AE49" i="198"/>
  <c r="Z49" i="198"/>
  <c r="X49" i="198"/>
  <c r="Q49" i="198"/>
  <c r="P49" i="198"/>
  <c r="H49" i="198"/>
  <c r="E49" i="198"/>
  <c r="I49" i="198" s="1"/>
  <c r="AI48" i="198"/>
  <c r="Y48" i="198" s="1"/>
  <c r="AE48" i="198"/>
  <c r="Z48" i="198"/>
  <c r="X48" i="198"/>
  <c r="Q48" i="198"/>
  <c r="P48" i="198"/>
  <c r="I48" i="198"/>
  <c r="H48" i="198"/>
  <c r="E48" i="198"/>
  <c r="AI47" i="198"/>
  <c r="Y47" i="198" s="1"/>
  <c r="AE47" i="198"/>
  <c r="Z47" i="198"/>
  <c r="X47" i="198"/>
  <c r="Q47" i="198"/>
  <c r="P47" i="198"/>
  <c r="H47" i="198"/>
  <c r="E47" i="198"/>
  <c r="I47" i="198" s="1"/>
  <c r="AD46" i="198"/>
  <c r="AC46" i="198"/>
  <c r="AB46" i="198"/>
  <c r="AE46" i="198" s="1"/>
  <c r="AI46" i="198" s="1"/>
  <c r="Y46" i="198" s="1"/>
  <c r="Z46" i="198"/>
  <c r="X46" i="198"/>
  <c r="Q46" i="198"/>
  <c r="P46" i="198"/>
  <c r="H46" i="198"/>
  <c r="E46" i="198"/>
  <c r="I46" i="198" s="1"/>
  <c r="AE45" i="198"/>
  <c r="AI45" i="198" s="1"/>
  <c r="Y45" i="198" s="1"/>
  <c r="AD45" i="198"/>
  <c r="AC45" i="198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B43" i="198"/>
  <c r="AE43" i="198" s="1"/>
  <c r="AI43" i="198" s="1"/>
  <c r="Y43" i="198" s="1"/>
  <c r="Z43" i="198"/>
  <c r="X43" i="198"/>
  <c r="Q43" i="198"/>
  <c r="P43" i="198"/>
  <c r="H43" i="198"/>
  <c r="E43" i="198"/>
  <c r="I43" i="198" s="1"/>
  <c r="AD42" i="198"/>
  <c r="AC42" i="198"/>
  <c r="AB42" i="198"/>
  <c r="AE42" i="198" s="1"/>
  <c r="AI42" i="198" s="1"/>
  <c r="Y42" i="198" s="1"/>
  <c r="Z42" i="198"/>
  <c r="X42" i="198"/>
  <c r="Q42" i="198"/>
  <c r="P42" i="198"/>
  <c r="I42" i="198"/>
  <c r="H42" i="198"/>
  <c r="E42" i="198"/>
  <c r="AE41" i="198"/>
  <c r="AI41" i="198" s="1"/>
  <c r="Y41" i="198" s="1"/>
  <c r="AD41" i="198"/>
  <c r="AC41" i="198"/>
  <c r="AB41" i="198"/>
  <c r="Z41" i="198"/>
  <c r="X41" i="198"/>
  <c r="Q41" i="198"/>
  <c r="P41" i="198"/>
  <c r="I41" i="198"/>
  <c r="H41" i="198"/>
  <c r="E41" i="198"/>
  <c r="AI40" i="198"/>
  <c r="Y40" i="198" s="1"/>
  <c r="AE40" i="198"/>
  <c r="AD40" i="198"/>
  <c r="AC40" i="198"/>
  <c r="AB40" i="198"/>
  <c r="Z40" i="198"/>
  <c r="X40" i="198"/>
  <c r="Q40" i="198"/>
  <c r="P40" i="198"/>
  <c r="I40" i="198"/>
  <c r="H40" i="198"/>
  <c r="E40" i="198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C38" i="198"/>
  <c r="AB38" i="198"/>
  <c r="AE38" i="198" s="1"/>
  <c r="AI38" i="198" s="1"/>
  <c r="Y38" i="198" s="1"/>
  <c r="Z38" i="198"/>
  <c r="X38" i="198"/>
  <c r="Q38" i="198"/>
  <c r="P38" i="198"/>
  <c r="H38" i="198"/>
  <c r="E38" i="198"/>
  <c r="I38" i="198" s="1"/>
  <c r="AE37" i="198"/>
  <c r="AI37" i="198" s="1"/>
  <c r="Y37" i="198" s="1"/>
  <c r="AD37" i="198"/>
  <c r="AC37" i="198"/>
  <c r="AB37" i="198"/>
  <c r="Z37" i="198"/>
  <c r="X37" i="198"/>
  <c r="Q37" i="198"/>
  <c r="P37" i="198"/>
  <c r="I37" i="198"/>
  <c r="H37" i="198"/>
  <c r="E37" i="198"/>
  <c r="AD36" i="198"/>
  <c r="AC36" i="198"/>
  <c r="AB36" i="198"/>
  <c r="AE36" i="198" s="1"/>
  <c r="AI36" i="198" s="1"/>
  <c r="Y36" i="198" s="1"/>
  <c r="Z36" i="198"/>
  <c r="X36" i="198"/>
  <c r="Q36" i="198"/>
  <c r="P36" i="198"/>
  <c r="H36" i="198"/>
  <c r="E36" i="198"/>
  <c r="I36" i="198" s="1"/>
  <c r="AE35" i="198"/>
  <c r="AI35" i="198" s="1"/>
  <c r="Y35" i="198" s="1"/>
  <c r="AD35" i="198"/>
  <c r="AC35" i="198"/>
  <c r="AB35" i="198"/>
  <c r="Z35" i="198"/>
  <c r="X35" i="198"/>
  <c r="Q35" i="198"/>
  <c r="P35" i="198"/>
  <c r="H35" i="198"/>
  <c r="E35" i="198"/>
  <c r="I35" i="198" s="1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D33" i="198"/>
  <c r="AC33" i="198"/>
  <c r="AB33" i="198"/>
  <c r="AE33" i="198" s="1"/>
  <c r="AI33" i="198" s="1"/>
  <c r="Y33" i="198" s="1"/>
  <c r="Z33" i="198"/>
  <c r="X33" i="198"/>
  <c r="Q33" i="198"/>
  <c r="P33" i="198"/>
  <c r="I33" i="198"/>
  <c r="H33" i="198"/>
  <c r="E33" i="198"/>
  <c r="AD32" i="198"/>
  <c r="AE32" i="198" s="1"/>
  <c r="AI32" i="198" s="1"/>
  <c r="Y32" i="198" s="1"/>
  <c r="AC32" i="198"/>
  <c r="AB32" i="198"/>
  <c r="Z32" i="198"/>
  <c r="X32" i="198"/>
  <c r="Q32" i="198"/>
  <c r="P32" i="198"/>
  <c r="H32" i="198"/>
  <c r="E32" i="198"/>
  <c r="I32" i="198" s="1"/>
  <c r="AE31" i="198"/>
  <c r="AI31" i="198" s="1"/>
  <c r="Y31" i="198" s="1"/>
  <c r="Z31" i="198"/>
  <c r="X31" i="198"/>
  <c r="Q31" i="198"/>
  <c r="P31" i="198"/>
  <c r="H31" i="198"/>
  <c r="E31" i="198"/>
  <c r="I31" i="198" s="1"/>
  <c r="AE30" i="198"/>
  <c r="AI30" i="198" s="1"/>
  <c r="Y30" i="198" s="1"/>
  <c r="AD30" i="198"/>
  <c r="AC30" i="198"/>
  <c r="AB30" i="198"/>
  <c r="Z30" i="198"/>
  <c r="X30" i="198"/>
  <c r="Q30" i="198"/>
  <c r="P30" i="198"/>
  <c r="I30" i="198"/>
  <c r="H30" i="198"/>
  <c r="E30" i="198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B28" i="198"/>
  <c r="AE28" i="198" s="1"/>
  <c r="AI28" i="198" s="1"/>
  <c r="Y28" i="198" s="1"/>
  <c r="Z28" i="198"/>
  <c r="X28" i="198"/>
  <c r="Q28" i="198"/>
  <c r="P28" i="198"/>
  <c r="H28" i="198"/>
  <c r="E28" i="198"/>
  <c r="I28" i="198" s="1"/>
  <c r="AD27" i="198"/>
  <c r="AC27" i="198"/>
  <c r="AB27" i="198"/>
  <c r="AE27" i="198" s="1"/>
  <c r="AI27" i="198" s="1"/>
  <c r="Y27" i="198" s="1"/>
  <c r="Z27" i="198"/>
  <c r="X27" i="198"/>
  <c r="Q27" i="198"/>
  <c r="P27" i="198"/>
  <c r="I27" i="198"/>
  <c r="H27" i="198"/>
  <c r="E27" i="198"/>
  <c r="AE26" i="198"/>
  <c r="AI26" i="198" s="1"/>
  <c r="Y26" i="198" s="1"/>
  <c r="AD26" i="198"/>
  <c r="AC26" i="198"/>
  <c r="AB26" i="198"/>
  <c r="Z26" i="198"/>
  <c r="X26" i="198"/>
  <c r="Q26" i="198"/>
  <c r="P26" i="198"/>
  <c r="I26" i="198"/>
  <c r="H26" i="198"/>
  <c r="E26" i="198"/>
  <c r="AI25" i="198"/>
  <c r="Y25" i="198" s="1"/>
  <c r="AE25" i="198"/>
  <c r="AD25" i="198"/>
  <c r="AC25" i="198"/>
  <c r="AB25" i="198"/>
  <c r="Z25" i="198"/>
  <c r="X25" i="198"/>
  <c r="Q25" i="198"/>
  <c r="P25" i="198"/>
  <c r="I25" i="198"/>
  <c r="H25" i="198"/>
  <c r="E25" i="198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C23" i="198"/>
  <c r="AB23" i="198"/>
  <c r="AE23" i="198" s="1"/>
  <c r="AI23" i="198" s="1"/>
  <c r="Y23" i="198" s="1"/>
  <c r="Z23" i="198"/>
  <c r="X23" i="198"/>
  <c r="Q23" i="198"/>
  <c r="P23" i="198"/>
  <c r="I23" i="198"/>
  <c r="H23" i="198"/>
  <c r="E23" i="198"/>
  <c r="AE22" i="198"/>
  <c r="AI22" i="198" s="1"/>
  <c r="Y22" i="198" s="1"/>
  <c r="AD22" i="198"/>
  <c r="AC22" i="198"/>
  <c r="AB22" i="198"/>
  <c r="Z22" i="198"/>
  <c r="X22" i="198"/>
  <c r="Q22" i="198"/>
  <c r="P22" i="198"/>
  <c r="I22" i="198"/>
  <c r="H22" i="198"/>
  <c r="E22" i="198"/>
  <c r="AD21" i="198"/>
  <c r="AC21" i="198"/>
  <c r="AB21" i="198"/>
  <c r="AE21" i="198" s="1"/>
  <c r="AI21" i="198" s="1"/>
  <c r="Y21" i="198" s="1"/>
  <c r="Z21" i="198"/>
  <c r="X21" i="198"/>
  <c r="Q21" i="198"/>
  <c r="P21" i="198"/>
  <c r="H21" i="198"/>
  <c r="E21" i="198"/>
  <c r="I21" i="198" s="1"/>
  <c r="AI20" i="198"/>
  <c r="Y20" i="198" s="1"/>
  <c r="AE20" i="198"/>
  <c r="AD20" i="198"/>
  <c r="AC20" i="198"/>
  <c r="AB20" i="198"/>
  <c r="Z20" i="198"/>
  <c r="X20" i="198"/>
  <c r="Q20" i="198"/>
  <c r="P20" i="198"/>
  <c r="H20" i="198"/>
  <c r="E20" i="198"/>
  <c r="I20" i="198" s="1"/>
  <c r="AD19" i="198"/>
  <c r="AC19" i="198"/>
  <c r="AB19" i="198"/>
  <c r="AE19" i="198" s="1"/>
  <c r="AI19" i="198" s="1"/>
  <c r="Y19" i="198" s="1"/>
  <c r="Z19" i="198"/>
  <c r="X19" i="198"/>
  <c r="Q19" i="198"/>
  <c r="P19" i="198"/>
  <c r="H19" i="198"/>
  <c r="E19" i="198"/>
  <c r="I19" i="198" s="1"/>
  <c r="AD18" i="198"/>
  <c r="AC18" i="198"/>
  <c r="AB18" i="198"/>
  <c r="AE18" i="198" s="1"/>
  <c r="AI18" i="198" s="1"/>
  <c r="Y18" i="198" s="1"/>
  <c r="Z18" i="198"/>
  <c r="X18" i="198"/>
  <c r="Q18" i="198"/>
  <c r="P18" i="198"/>
  <c r="H18" i="198"/>
  <c r="E18" i="198"/>
  <c r="I18" i="198" s="1"/>
  <c r="AD17" i="198"/>
  <c r="AE17" i="198" s="1"/>
  <c r="AI17" i="198" s="1"/>
  <c r="Y17" i="198" s="1"/>
  <c r="AC17" i="198"/>
  <c r="AB17" i="198"/>
  <c r="Z17" i="198"/>
  <c r="X17" i="198"/>
  <c r="Q17" i="198"/>
  <c r="P17" i="198"/>
  <c r="H17" i="198"/>
  <c r="E17" i="198"/>
  <c r="I17" i="198" s="1"/>
  <c r="AD16" i="198"/>
  <c r="AC16" i="198"/>
  <c r="AB16" i="198"/>
  <c r="AE16" i="198" s="1"/>
  <c r="AI16" i="198" s="1"/>
  <c r="Y16" i="198" s="1"/>
  <c r="Z16" i="198"/>
  <c r="X16" i="198"/>
  <c r="Q16" i="198"/>
  <c r="P16" i="198"/>
  <c r="E16" i="198"/>
  <c r="I16" i="198" s="1"/>
  <c r="AD15" i="198"/>
  <c r="AC15" i="198"/>
  <c r="AE15" i="198" s="1"/>
  <c r="AI15" i="198" s="1"/>
  <c r="Y15" i="198" s="1"/>
  <c r="AB15" i="198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C13" i="198"/>
  <c r="AB13" i="198"/>
  <c r="AE13" i="198" s="1"/>
  <c r="AI13" i="198" s="1"/>
  <c r="Y13" i="198" s="1"/>
  <c r="Z13" i="198"/>
  <c r="X13" i="198"/>
  <c r="Q13" i="198"/>
  <c r="P13" i="198"/>
  <c r="I13" i="198"/>
  <c r="H13" i="198"/>
  <c r="E13" i="198"/>
  <c r="AD12" i="198"/>
  <c r="AC12" i="198"/>
  <c r="AE12" i="198" s="1"/>
  <c r="AI12" i="198" s="1"/>
  <c r="Y12" i="198" s="1"/>
  <c r="AB12" i="198"/>
  <c r="Z12" i="198"/>
  <c r="T75" i="198" s="1"/>
  <c r="X12" i="198"/>
  <c r="T77" i="198" s="1"/>
  <c r="Q12" i="198"/>
  <c r="P12" i="198"/>
  <c r="I12" i="198"/>
  <c r="H12" i="198"/>
  <c r="E12" i="198"/>
  <c r="F75" i="199" l="1"/>
  <c r="T79" i="199"/>
  <c r="F77" i="199"/>
  <c r="O73" i="198"/>
  <c r="F75" i="198"/>
  <c r="T73" i="198"/>
  <c r="T79" i="198" s="1"/>
  <c r="F73" i="198"/>
  <c r="M79" i="197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F77" i="198" l="1"/>
  <c r="T77" i="197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<sst xmlns="http://schemas.openxmlformats.org/spreadsheetml/2006/main" count="3102" uniqueCount="134">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</sst>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5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5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175500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154440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-175500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6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6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189252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162576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-189252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7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7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-203796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8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8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444054.95999999996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v>688500</v>
      </c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9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9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200880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191808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1135470.96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0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0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190512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190512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1145838.96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1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1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141984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108936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1194366.96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1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1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11286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11286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-11286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2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2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175032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135828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-175032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2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2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5670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5670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-5670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1377504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53238.33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1377504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6268.5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771771.40999999992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v>25568</v>
      </c>
      <c r="Q77" s="259"/>
      <c r="R77" s="152"/>
      <c r="S77" s="159" t="s">
        <v>108</v>
      </c>
      <c r="T77" s="260">
        <f>IF(SUM(X12:X68)*0.15&gt;P77,P77,SUM(X12:X68)*0.15)</f>
        <v>25568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f>197532+119329.76</f>
        <v>316861.76</v>
      </c>
      <c r="Q79" s="259"/>
      <c r="R79" s="152"/>
      <c r="S79" s="159" t="s">
        <v>112</v>
      </c>
      <c r="T79" s="260">
        <f>T77+T73+T75</f>
        <v>85074.83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4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4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1132554.96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5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5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178488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178488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1157862.96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6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6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194292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161244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1142058.96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7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7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1054496.3799999999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v>20876.580000000002</v>
      </c>
      <c r="Q77" s="259"/>
      <c r="R77" s="152"/>
      <c r="S77" s="159" t="s">
        <v>108</v>
      </c>
      <c r="T77" s="260">
        <f>IF(SUM(X12:X68)*0.15&gt;P77,P77,SUM(X12:X68)*0.15)</f>
        <v>20876.580000000002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v>57182</v>
      </c>
      <c r="Q79" s="259"/>
      <c r="R79" s="152"/>
      <c r="S79" s="159" t="s">
        <v>112</v>
      </c>
      <c r="T79" s="260">
        <f>T77+T73+T75</f>
        <v>81721.62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8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8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1338600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52853.52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314328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6216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1074874.73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v>859.75</v>
      </c>
      <c r="Q77" s="259"/>
      <c r="R77" s="152"/>
      <c r="S77" s="159" t="s">
        <v>108</v>
      </c>
      <c r="T77" s="260">
        <f>IF(SUM(X12:X68)*0.15&gt;P77,P77,SUM(X12:X68)*0.15)</f>
        <v>859.75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59929.27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9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9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1132554.96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BFC-3399-42F3-A885-9C55069E67E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0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0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194940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194940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1141410.94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v>0.02</v>
      </c>
      <c r="Q77" s="259"/>
      <c r="R77" s="152"/>
      <c r="S77" s="159" t="s">
        <v>108</v>
      </c>
      <c r="T77" s="260">
        <f>IF(SUM(X12:X68)*0.15&gt;P77,P77,SUM(X12:X68)*0.15)</f>
        <v>0.02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60845.06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388C9-0B2D-45E5-9096-1F4C7DBF623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N14" sqref="N14"/>
      <selection pane="topRight" activeCell="F33" sqref="F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1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1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4+4</f>
        <v>8</v>
      </c>
      <c r="G33" s="47">
        <v>100</v>
      </c>
      <c r="H33" s="64" t="str">
        <f t="shared" si="11"/>
        <v>0.1 pallets</v>
      </c>
      <c r="I33" s="49">
        <f t="shared" si="4"/>
        <v>13336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13336</v>
      </c>
      <c r="Y33" s="57">
        <f t="shared" si="0"/>
        <v>246.07999999999998</v>
      </c>
      <c r="Z33" s="36">
        <f t="shared" si="8"/>
        <v>28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1410532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54665.120000000003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1410532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6454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1349412.88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61119.12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F4480-8300-424B-A9D9-CCB272FF41A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2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2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3</v>
      </c>
      <c r="G35" s="47">
        <v>100</v>
      </c>
      <c r="H35" s="64" t="str">
        <f t="shared" si="11"/>
        <v>0 pallets</v>
      </c>
      <c r="I35" s="49">
        <f t="shared" si="4"/>
        <v>3525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3525</v>
      </c>
      <c r="Y35" s="57">
        <f t="shared" si="0"/>
        <v>84.48</v>
      </c>
      <c r="Z35" s="36">
        <f t="shared" si="8"/>
        <v>10.5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3</v>
      </c>
      <c r="G37" s="47">
        <v>100</v>
      </c>
      <c r="H37" s="64" t="str">
        <f t="shared" si="11"/>
        <v>0 pallets</v>
      </c>
      <c r="I37" s="49">
        <f t="shared" si="4"/>
        <v>4746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4746</v>
      </c>
      <c r="Y37" s="57">
        <f t="shared" si="0"/>
        <v>84.48</v>
      </c>
      <c r="Z37" s="36">
        <f t="shared" si="8"/>
        <v>10.5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1407049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164916</v>
      </c>
      <c r="P73" s="255"/>
      <c r="Q73" s="256"/>
      <c r="R73" s="152"/>
      <c r="S73" s="159" t="s">
        <v>104</v>
      </c>
      <c r="T73" s="260">
        <f>SUM(Y12:Y68)</f>
        <v>54616.160000000011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1407049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131868</v>
      </c>
      <c r="P75" s="255"/>
      <c r="Q75" s="256"/>
      <c r="R75" s="152"/>
      <c r="S75" s="159" t="s">
        <v>129</v>
      </c>
      <c r="T75" s="260">
        <f>SUM(Z12:Z70)</f>
        <v>6450.5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1181066.32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v>0.02</v>
      </c>
      <c r="Q77" s="259"/>
      <c r="R77" s="152"/>
      <c r="S77" s="159" t="s">
        <v>108</v>
      </c>
      <c r="T77" s="260">
        <f>IF(SUM(X12:X68)*0.15&gt;P77,P77,SUM(X12:X68)*0.15)</f>
        <v>0.02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61066.680000000008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EDE85-070D-46AF-97AB-FEC1FB20F3A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N14" sqref="N14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1392</v>
      </c>
      <c r="G13" s="47">
        <v>108</v>
      </c>
      <c r="H13" s="48" t="str">
        <f t="shared" ref="H13" si="3">IF(F13="","",(ROUND((F13/G13),1)&amp;" pallets"))</f>
        <v>12.9 pallets</v>
      </c>
      <c r="I13" s="49">
        <f t="shared" ref="I13:I70" si="4">E13*F13</f>
        <v>1020336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865824</v>
      </c>
      <c r="Y13" s="57">
        <f>F13*AI13</f>
        <v>41258.879999999997</v>
      </c>
      <c r="Z13" s="36">
        <f t="shared" ref="Z13:Z56" si="8">IF($U$6="x",(F13*3.5),"")</f>
        <v>4872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432</v>
      </c>
      <c r="G17" s="47">
        <v>108</v>
      </c>
      <c r="H17" s="64" t="str">
        <f t="shared" ref="H17:H68" si="11">IF(F17="","",(ROUND((F17/G17),1)&amp;" pallets"))</f>
        <v>4 pallets</v>
      </c>
      <c r="I17" s="49">
        <f t="shared" si="4"/>
        <v>350352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302400</v>
      </c>
      <c r="Y17" s="57">
        <f t="shared" si="0"/>
        <v>12804.48</v>
      </c>
      <c r="Z17" s="36">
        <f t="shared" si="8"/>
        <v>1512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56.32</v>
      </c>
      <c r="Z42" s="36">
        <f t="shared" si="8"/>
        <v>7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28.16</v>
      </c>
      <c r="Z46" s="36">
        <f t="shared" si="8"/>
        <v>3.5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2</v>
      </c>
      <c r="G53" s="115">
        <v>100</v>
      </c>
      <c r="H53" s="116" t="str">
        <f t="shared" si="11"/>
        <v>0 pallets</v>
      </c>
      <c r="I53" s="117">
        <f t="shared" si="4"/>
        <v>2284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2284</v>
      </c>
      <c r="Y53" s="57">
        <f t="shared" si="0"/>
        <v>56.32</v>
      </c>
      <c r="Z53" s="36">
        <f t="shared" si="8"/>
        <v>7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12.9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1376946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54204.160000000003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356610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6401.5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1316340.3400000001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60605.66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3C5C5-D2D9-4625-8169-893B92991E61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G1" activePane="topRight" state="frozen"/>
      <selection activeCell="N14" sqref="N14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f>63</f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20</v>
      </c>
      <c r="G16" s="47">
        <v>108</v>
      </c>
      <c r="H16" s="64"/>
      <c r="I16" s="49">
        <f t="shared" si="4"/>
        <v>15220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13000</v>
      </c>
      <c r="Y16" s="57">
        <f>F16*AI16</f>
        <v>592.79999999999995</v>
      </c>
      <c r="Z16" s="36">
        <f t="shared" si="8"/>
        <v>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106</v>
      </c>
      <c r="G17" s="47">
        <v>108</v>
      </c>
      <c r="H17" s="64" t="str">
        <f t="shared" ref="H17:H68" si="11">IF(F17="","",(ROUND((F17/G17),1)&amp;" pallets"))</f>
        <v>1 pallets</v>
      </c>
      <c r="I17" s="49">
        <f t="shared" si="4"/>
        <v>85966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74200</v>
      </c>
      <c r="Y17" s="57">
        <f t="shared" si="0"/>
        <v>3141.84</v>
      </c>
      <c r="Z17" s="36">
        <f t="shared" si="8"/>
        <v>371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10+69</f>
        <v>79</v>
      </c>
      <c r="G20" s="47">
        <v>63</v>
      </c>
      <c r="H20" s="64" t="str">
        <f t="shared" si="11"/>
        <v>1.3 pallets</v>
      </c>
      <c r="I20" s="49">
        <f t="shared" si="4"/>
        <v>78368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68888</v>
      </c>
      <c r="Y20" s="57">
        <f t="shared" si="0"/>
        <v>2533.5300000000002</v>
      </c>
      <c r="Z20" s="36">
        <f t="shared" si="8"/>
        <v>276.5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>
        <v>2</v>
      </c>
      <c r="G23" s="87">
        <v>63</v>
      </c>
      <c r="H23" s="88" t="str">
        <f t="shared" si="11"/>
        <v>0 pallets</v>
      </c>
      <c r="I23" s="89">
        <f t="shared" si="4"/>
        <v>3134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2894</v>
      </c>
      <c r="Y23" s="57">
        <f t="shared" si="0"/>
        <v>64.14</v>
      </c>
      <c r="Z23" s="36">
        <f t="shared" si="8"/>
        <v>7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>
        <v>2</v>
      </c>
      <c r="G25" s="47">
        <v>63</v>
      </c>
      <c r="H25" s="64" t="str">
        <f t="shared" si="11"/>
        <v>0 pallets</v>
      </c>
      <c r="I25" s="49">
        <f t="shared" si="4"/>
        <v>2280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2040</v>
      </c>
      <c r="Y25" s="57">
        <f t="shared" si="0"/>
        <v>64.14</v>
      </c>
      <c r="Z25" s="36">
        <f t="shared" si="8"/>
        <v>7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64.14</v>
      </c>
      <c r="Z26" s="36">
        <f t="shared" si="8"/>
        <v>7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2</v>
      </c>
      <c r="G27" s="71">
        <v>63</v>
      </c>
      <c r="H27" s="72" t="str">
        <f t="shared" si="11"/>
        <v>0 pallets</v>
      </c>
      <c r="I27" s="73">
        <f t="shared" si="4"/>
        <v>3134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2894</v>
      </c>
      <c r="Y27" s="57">
        <f t="shared" si="0"/>
        <v>64.14</v>
      </c>
      <c r="Z27" s="36">
        <f t="shared" si="8"/>
        <v>7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>
        <v>5</v>
      </c>
      <c r="G32" s="47">
        <v>63</v>
      </c>
      <c r="H32" s="64" t="str">
        <f t="shared" si="11"/>
        <v>0.1 pallets</v>
      </c>
      <c r="I32" s="49">
        <f t="shared" si="4"/>
        <v>5860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5260</v>
      </c>
      <c r="Y32" s="57">
        <f t="shared" si="0"/>
        <v>160.35</v>
      </c>
      <c r="Z32" s="36">
        <f t="shared" si="8"/>
        <v>17.5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>
        <f>116+5+14</f>
        <v>135</v>
      </c>
      <c r="G39" s="87">
        <v>100</v>
      </c>
      <c r="H39" s="88" t="str">
        <f t="shared" si="11"/>
        <v>1.4 pallets</v>
      </c>
      <c r="I39" s="89">
        <f t="shared" si="4"/>
        <v>87750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87750</v>
      </c>
      <c r="Y39" s="57">
        <f t="shared" si="0"/>
        <v>3801.6</v>
      </c>
      <c r="Z39" s="36">
        <f t="shared" si="8"/>
        <v>472.5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>
        <f>20+20</f>
        <v>40</v>
      </c>
      <c r="G41" s="71">
        <v>100</v>
      </c>
      <c r="H41" s="72" t="str">
        <f t="shared" si="11"/>
        <v>0.4 pallets</v>
      </c>
      <c r="I41" s="73">
        <f t="shared" si="4"/>
        <v>26000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26000</v>
      </c>
      <c r="Y41" s="57">
        <f t="shared" si="0"/>
        <v>1126.4000000000001</v>
      </c>
      <c r="Z41" s="36">
        <f t="shared" si="8"/>
        <v>140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f>5+5</f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281.60000000000002</v>
      </c>
      <c r="Z42" s="36">
        <f t="shared" si="8"/>
        <v>35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>
        <v>2</v>
      </c>
      <c r="G45" s="47">
        <v>63</v>
      </c>
      <c r="H45" s="64" t="str">
        <f t="shared" si="11"/>
        <v>0 pallets</v>
      </c>
      <c r="I45" s="49">
        <f t="shared" si="4"/>
        <v>3540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3540</v>
      </c>
      <c r="Y45" s="57">
        <f t="shared" si="0"/>
        <v>59.54</v>
      </c>
      <c r="Z45" s="36">
        <f t="shared" si="8"/>
        <v>7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10</v>
      </c>
      <c r="G51" s="115">
        <v>100</v>
      </c>
      <c r="H51" s="116" t="str">
        <f t="shared" si="11"/>
        <v>0.1 pallets</v>
      </c>
      <c r="I51" s="117">
        <f t="shared" si="4"/>
        <v>11020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11020</v>
      </c>
      <c r="Y51" s="57">
        <f t="shared" si="0"/>
        <v>281.60000000000002</v>
      </c>
      <c r="Z51" s="36">
        <f t="shared" si="8"/>
        <v>35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>
        <f>10</f>
        <v>10</v>
      </c>
      <c r="G54" s="115">
        <v>100</v>
      </c>
      <c r="H54" s="116" t="str">
        <f t="shared" si="11"/>
        <v>0.1 pallets</v>
      </c>
      <c r="I54" s="117">
        <f t="shared" si="4"/>
        <v>15820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15820</v>
      </c>
      <c r="Y54" s="57">
        <f t="shared" si="0"/>
        <v>281.60000000000002</v>
      </c>
      <c r="Z54" s="36">
        <f t="shared" si="8"/>
        <v>35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3.6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352246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192852</v>
      </c>
      <c r="P73" s="255"/>
      <c r="Q73" s="256"/>
      <c r="R73" s="152"/>
      <c r="S73" s="159" t="s">
        <v>104</v>
      </c>
      <c r="T73" s="260">
        <f>SUM(Y12:Y68)</f>
        <v>12517.420000000004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352246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171792</v>
      </c>
      <c r="P75" s="255"/>
      <c r="Q75" s="256"/>
      <c r="R75" s="152"/>
      <c r="S75" s="159" t="s">
        <v>129</v>
      </c>
      <c r="T75" s="260">
        <f>SUM(Z12:Z70)</f>
        <v>1487.5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145389.07999999999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14004.920000000004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03-30-2026</vt:lpstr>
      <vt:lpstr>03-31-2026-A</vt:lpstr>
      <vt:lpstr>03-31-2026-B</vt:lpstr>
      <vt:lpstr>03-31-2026-C</vt:lpstr>
      <vt:lpstr>03-31-2026-D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  <vt:lpstr>'03-30-2026'!Print_Area</vt:lpstr>
      <vt:lpstr>'03-31-2026-A'!Print_Area</vt:lpstr>
      <vt:lpstr>'03-31-2026-B'!Print_Area</vt:lpstr>
      <vt:lpstr>'03-31-2026-C'!Print_Area</vt:lpstr>
      <vt:lpstr>'03-31-2026-D'!Print_Area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2026-03-31T05:11:47Z</dcterms:modified>
</cp:coreProperties>
</file>