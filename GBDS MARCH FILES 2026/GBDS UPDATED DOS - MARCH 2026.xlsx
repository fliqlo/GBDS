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C059932-0D87-480C-B9C2-C1F7E94D085B}" xr6:coauthVersionLast="45" xr6:coauthVersionMax="47" xr10:uidLastSave="{00000000-0000-0000-0000-000000000000}"/>
  <bookViews>
    <workbookView xWindow="-120" yWindow="-120" windowWidth="29040" windowHeight="15840" firstSheet="2" activeTab="10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9" i="191" l="1"/>
  <c r="M79" i="191" l="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<sst xmlns="http://schemas.openxmlformats.org/spreadsheetml/2006/main" count="1551" uniqueCount="134">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</sst>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175500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154440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-175500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189252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162576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-189252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444054.95999999996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688500</v>
      </c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200880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1135470.96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190512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190512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1145838.96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141984</v>
      </c>
      <c r="P73" s="237"/>
      <c r="Q73" s="238"/>
      <c r="R73" s="152"/>
      <c r="S73" s="159" t="s">
        <v>104</v>
      </c>
      <c r="T73" s="241">
        <f>SUM(Y12:Y68)</f>
        <v>54419.040000000001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108936</v>
      </c>
      <c r="P75" s="237"/>
      <c r="Q75" s="238"/>
      <c r="R75" s="152"/>
      <c r="S75" s="159" t="s">
        <v>129</v>
      </c>
      <c r="T75" s="241">
        <f>SUM(Z12:Z70)</f>
        <v>6426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1194366.96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60845.04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11286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11286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-11286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175032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135828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-175032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5670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5670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-5670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1377504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53238.33</v>
      </c>
      <c r="U73" s="24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1377504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6268.5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771771.40999999992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>
        <v>25568</v>
      </c>
      <c r="Q77" s="255"/>
      <c r="R77" s="152"/>
      <c r="S77" s="159" t="s">
        <v>108</v>
      </c>
      <c r="T77" s="241">
        <f>IF(SUM(X12:X68)*0.15&gt;P77,P77,SUM(X12:X68)*0.15)</f>
        <v>25568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f>197532+119329.76</f>
        <v>316861.76</v>
      </c>
      <c r="Q79" s="255"/>
      <c r="R79" s="152"/>
      <c r="S79" s="159" t="s">
        <v>112</v>
      </c>
      <c r="T79" s="241">
        <f>T77+T73+T75</f>
        <v>85074.83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2026-03-23T01:18:49Z</dcterms:modified>
</cp:coreProperties>
</file>