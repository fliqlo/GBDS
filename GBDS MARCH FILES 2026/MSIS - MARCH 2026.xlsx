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018C70E2-5191-4CEC-86B5-09F550566ECD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572" i="2" l="1"/>
  <c r="AE572" i="2" s="1"/>
  <c r="AI572" i="2" s="1"/>
  <c r="AB571" i="2"/>
  <c r="AE571" i="2" s="1"/>
  <c r="AI571" i="2" s="1"/>
  <c r="AB570" i="2"/>
  <c r="AB569" i="2"/>
  <c r="AA569" i="2"/>
  <c r="AA570" i="2"/>
  <c r="AA571" i="2" s="1"/>
  <c r="AA572" i="2" s="1"/>
  <c r="AC568" i="2"/>
  <c r="AC605" i="2" s="1"/>
  <c r="AB568" i="2"/>
  <c r="AB567" i="2"/>
  <c r="AG566" i="2"/>
  <c r="AB566" i="2"/>
  <c r="AH565" i="2"/>
  <c r="AI565" i="2" s="1"/>
  <c r="AB565" i="2"/>
  <c r="AC564" i="2"/>
  <c r="AE564" i="2" s="1"/>
  <c r="AI564" i="2" s="1"/>
  <c r="AB564" i="2"/>
  <c r="AC563" i="2"/>
  <c r="AB563" i="2"/>
  <c r="AB562" i="2"/>
  <c r="AE562" i="2"/>
  <c r="AA563" i="2"/>
  <c r="AE563" i="2"/>
  <c r="AI563" i="2" s="1"/>
  <c r="AA564" i="2"/>
  <c r="AA565" i="2" s="1"/>
  <c r="AA566" i="2" s="1"/>
  <c r="AA567" i="2" s="1"/>
  <c r="AE565" i="2"/>
  <c r="AE566" i="2"/>
  <c r="AI566" i="2" s="1"/>
  <c r="AE567" i="2"/>
  <c r="AI567" i="2" s="1"/>
  <c r="AE569" i="2"/>
  <c r="AI569" i="2" s="1"/>
  <c r="AE570" i="2"/>
  <c r="AI570" i="2" s="1"/>
  <c r="AE573" i="2"/>
  <c r="AI573" i="2" s="1"/>
  <c r="AE574" i="2"/>
  <c r="AI574" i="2" s="1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 s="1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P577" i="2"/>
  <c r="S577" i="2" s="1"/>
  <c r="W577" i="2" s="1"/>
  <c r="P576" i="2"/>
  <c r="S576" i="2" s="1"/>
  <c r="W576" i="2" s="1"/>
  <c r="P575" i="2"/>
  <c r="S575" i="2" s="1"/>
  <c r="W575" i="2" s="1"/>
  <c r="P574" i="2"/>
  <c r="O574" i="2"/>
  <c r="O575" i="2" s="1"/>
  <c r="O576" i="2" s="1"/>
  <c r="P573" i="2"/>
  <c r="S573" i="2" s="1"/>
  <c r="W573" i="2" s="1"/>
  <c r="V572" i="2"/>
  <c r="P572" i="2"/>
  <c r="S572" i="2"/>
  <c r="U571" i="2"/>
  <c r="U605" i="2" s="1"/>
  <c r="P571" i="2"/>
  <c r="S571" i="2" s="1"/>
  <c r="P570" i="2"/>
  <c r="P569" i="2"/>
  <c r="S569" i="2" s="1"/>
  <c r="W569" i="2" s="1"/>
  <c r="P568" i="2"/>
  <c r="S568" i="2" s="1"/>
  <c r="W568" i="2" s="1"/>
  <c r="P567" i="2"/>
  <c r="S567" i="2" s="1"/>
  <c r="W567" i="2" s="1"/>
  <c r="P566" i="2"/>
  <c r="S566" i="2" s="1"/>
  <c r="W566" i="2" s="1"/>
  <c r="P565" i="2"/>
  <c r="P564" i="2"/>
  <c r="S564" i="2" s="1"/>
  <c r="W564" i="2" s="1"/>
  <c r="V563" i="2"/>
  <c r="P563" i="2"/>
  <c r="P562" i="2"/>
  <c r="S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S563" i="2"/>
  <c r="S565" i="2"/>
  <c r="W565" i="2" s="1"/>
  <c r="S570" i="2"/>
  <c r="W570" i="2" s="1"/>
  <c r="S574" i="2"/>
  <c r="W574" i="2" s="1"/>
  <c r="S578" i="2"/>
  <c r="W578" i="2" s="1"/>
  <c r="S579" i="2"/>
  <c r="W579" i="2" s="1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 s="1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 s="1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J568" i="2"/>
  <c r="J605" i="2" s="1"/>
  <c r="D568" i="2"/>
  <c r="I567" i="2"/>
  <c r="D567" i="2"/>
  <c r="G567" i="2" s="1"/>
  <c r="D566" i="2"/>
  <c r="G566" i="2" s="1"/>
  <c r="K566" i="2" s="1"/>
  <c r="J565" i="2"/>
  <c r="E565" i="2"/>
  <c r="D565" i="2"/>
  <c r="D564" i="2"/>
  <c r="G564" i="2" s="1"/>
  <c r="K564" i="2" s="1"/>
  <c r="E563" i="2"/>
  <c r="D563" i="2"/>
  <c r="D562" i="2"/>
  <c r="G562" i="2"/>
  <c r="K562" i="2" s="1"/>
  <c r="C563" i="2"/>
  <c r="C564" i="2" s="1"/>
  <c r="C565" i="2" s="1"/>
  <c r="C566" i="2" s="1"/>
  <c r="C567" i="2" s="1"/>
  <c r="C568" i="2" s="1"/>
  <c r="E605" i="2"/>
  <c r="G565" i="2"/>
  <c r="K565" i="2" s="1"/>
  <c r="G568" i="2"/>
  <c r="G569" i="2"/>
  <c r="K569" i="2" s="1"/>
  <c r="G570" i="2"/>
  <c r="K570" i="2" s="1"/>
  <c r="G571" i="2"/>
  <c r="K571" i="2"/>
  <c r="G572" i="2"/>
  <c r="K572" i="2"/>
  <c r="G573" i="2"/>
  <c r="K573" i="2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F605" i="2"/>
  <c r="AE568" i="2" l="1"/>
  <c r="AI568" i="2" s="1"/>
  <c r="AH605" i="2"/>
  <c r="AI562" i="2"/>
  <c r="AI605" i="2" s="1"/>
  <c r="AE605" i="2"/>
  <c r="AB605" i="2"/>
  <c r="V605" i="2"/>
  <c r="W572" i="2"/>
  <c r="W571" i="2"/>
  <c r="W563" i="2"/>
  <c r="P605" i="2"/>
  <c r="S605" i="2"/>
  <c r="W562" i="2"/>
  <c r="I605" i="2"/>
  <c r="K568" i="2"/>
  <c r="K605" i="2" s="1"/>
  <c r="K567" i="2"/>
  <c r="D605" i="2"/>
  <c r="G563" i="2"/>
  <c r="K563" i="2" s="1"/>
  <c r="G605" i="2"/>
  <c r="AB513" i="2"/>
  <c r="AE513" i="2" s="1"/>
  <c r="AI513" i="2" s="1"/>
  <c r="AB512" i="2"/>
  <c r="AB511" i="2"/>
  <c r="AC510" i="2"/>
  <c r="AB510" i="2"/>
  <c r="AB509" i="2"/>
  <c r="AC508" i="2"/>
  <c r="AB508" i="2"/>
  <c r="AB507" i="2"/>
  <c r="AE507" i="2"/>
  <c r="AI507" i="2" s="1"/>
  <c r="AA508" i="2"/>
  <c r="AA509" i="2" s="1"/>
  <c r="AA510" i="2" s="1"/>
  <c r="AA511" i="2" s="1"/>
  <c r="AA512" i="2" s="1"/>
  <c r="AA513" i="2" s="1"/>
  <c r="AC550" i="2"/>
  <c r="AE509" i="2"/>
  <c r="AI509" i="2" s="1"/>
  <c r="AE510" i="2"/>
  <c r="AI510" i="2" s="1"/>
  <c r="AE511" i="2"/>
  <c r="AI511" i="2" s="1"/>
  <c r="AE512" i="2"/>
  <c r="AI512" i="2" s="1"/>
  <c r="AE514" i="2"/>
  <c r="AI514" i="2"/>
  <c r="AE515" i="2"/>
  <c r="AI515" i="2" s="1"/>
  <c r="AE516" i="2"/>
  <c r="AI516" i="2" s="1"/>
  <c r="AE517" i="2"/>
  <c r="AI517" i="2" s="1"/>
  <c r="AE518" i="2"/>
  <c r="AI518" i="2"/>
  <c r="AE519" i="2"/>
  <c r="AI519" i="2" s="1"/>
  <c r="AE520" i="2"/>
  <c r="AI520" i="2"/>
  <c r="AE521" i="2"/>
  <c r="AI521" i="2"/>
  <c r="AE522" i="2"/>
  <c r="AI522" i="2"/>
  <c r="AE523" i="2"/>
  <c r="AI523" i="2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 s="1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AG550" i="2"/>
  <c r="AH550" i="2"/>
  <c r="P518" i="2"/>
  <c r="V517" i="2"/>
  <c r="U517" i="2"/>
  <c r="Q517" i="2"/>
  <c r="P517" i="2"/>
  <c r="P516" i="2"/>
  <c r="P515" i="2"/>
  <c r="V514" i="2"/>
  <c r="P514" i="2"/>
  <c r="S514" i="2" s="1"/>
  <c r="W514" i="2" s="1"/>
  <c r="U513" i="2"/>
  <c r="W513" i="2" s="1"/>
  <c r="P513" i="2"/>
  <c r="P512" i="2"/>
  <c r="S512" i="2" s="1"/>
  <c r="W512" i="2" s="1"/>
  <c r="P511" i="2"/>
  <c r="S511" i="2" s="1"/>
  <c r="W511" i="2" s="1"/>
  <c r="P510" i="2"/>
  <c r="S510" i="2" s="1"/>
  <c r="P509" i="2"/>
  <c r="S509" i="2" s="1"/>
  <c r="W509" i="2" s="1"/>
  <c r="P508" i="2"/>
  <c r="U507" i="2"/>
  <c r="P507" i="2"/>
  <c r="S507" i="2"/>
  <c r="V550" i="2"/>
  <c r="O508" i="2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S508" i="2"/>
  <c r="W508" i="2" s="1"/>
  <c r="S513" i="2"/>
  <c r="S515" i="2"/>
  <c r="W515" i="2"/>
  <c r="S516" i="2"/>
  <c r="W516" i="2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/>
  <c r="S524" i="2"/>
  <c r="W524" i="2" s="1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D515" i="2"/>
  <c r="G515" i="2" s="1"/>
  <c r="K515" i="2" s="1"/>
  <c r="D514" i="2"/>
  <c r="G514" i="2" s="1"/>
  <c r="K514" i="2" s="1"/>
  <c r="D513" i="2"/>
  <c r="G513" i="2" s="1"/>
  <c r="K513" i="2" s="1"/>
  <c r="D512" i="2"/>
  <c r="D511" i="2"/>
  <c r="G511" i="2" s="1"/>
  <c r="K511" i="2" s="1"/>
  <c r="D510" i="2"/>
  <c r="G510" i="2" s="1"/>
  <c r="K510" i="2" s="1"/>
  <c r="D509" i="2"/>
  <c r="E508" i="2"/>
  <c r="J508" i="2"/>
  <c r="J550" i="2"/>
  <c r="D508" i="2"/>
  <c r="D507" i="2"/>
  <c r="C511" i="2"/>
  <c r="C512" i="2" s="1"/>
  <c r="C513" i="2" s="1"/>
  <c r="C514" i="2" s="1"/>
  <c r="C515" i="2" s="1"/>
  <c r="G507" i="2"/>
  <c r="C508" i="2"/>
  <c r="C509" i="2" s="1"/>
  <c r="C510" i="2" s="1"/>
  <c r="G508" i="2"/>
  <c r="G509" i="2"/>
  <c r="K509" i="2"/>
  <c r="G512" i="2"/>
  <c r="K512" i="2" s="1"/>
  <c r="G516" i="2"/>
  <c r="K516" i="2"/>
  <c r="G517" i="2"/>
  <c r="K517" i="2" s="1"/>
  <c r="G518" i="2"/>
  <c r="K518" i="2" s="1"/>
  <c r="G519" i="2"/>
  <c r="K519" i="2"/>
  <c r="G520" i="2"/>
  <c r="K520" i="2"/>
  <c r="G521" i="2"/>
  <c r="K521" i="2"/>
  <c r="G522" i="2"/>
  <c r="K522" i="2"/>
  <c r="G523" i="2"/>
  <c r="K523" i="2" s="1"/>
  <c r="G524" i="2"/>
  <c r="K524" i="2"/>
  <c r="G525" i="2"/>
  <c r="K525" i="2" s="1"/>
  <c r="G526" i="2"/>
  <c r="K526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E550" i="2"/>
  <c r="F550" i="2"/>
  <c r="I550" i="2"/>
  <c r="W605" i="2" l="1"/>
  <c r="AB550" i="2"/>
  <c r="AE508" i="2"/>
  <c r="U550" i="2"/>
  <c r="W507" i="2"/>
  <c r="W550" i="2" s="1"/>
  <c r="W510" i="2"/>
  <c r="S550" i="2"/>
  <c r="P550" i="2"/>
  <c r="K508" i="2"/>
  <c r="K507" i="2"/>
  <c r="G550" i="2"/>
  <c r="D550" i="2"/>
  <c r="AB456" i="2"/>
  <c r="AE456" i="2" s="1"/>
  <c r="AI456" i="2" s="1"/>
  <c r="AB455" i="2"/>
  <c r="AC454" i="2"/>
  <c r="AE454" i="2" s="1"/>
  <c r="AI454" i="2" s="1"/>
  <c r="AB454" i="2"/>
  <c r="AH453" i="2"/>
  <c r="AG453" i="2"/>
  <c r="AC453" i="2"/>
  <c r="AB453" i="2"/>
  <c r="AC452" i="2"/>
  <c r="AB452" i="2"/>
  <c r="AA453" i="2"/>
  <c r="AA454" i="2" s="1"/>
  <c r="AA455" i="2" s="1"/>
  <c r="AA456" i="2" s="1"/>
  <c r="AE455" i="2"/>
  <c r="AI455" i="2" s="1"/>
  <c r="AE457" i="2"/>
  <c r="AI457" i="2" s="1"/>
  <c r="AE458" i="2"/>
  <c r="AI458" i="2" s="1"/>
  <c r="AE459" i="2"/>
  <c r="AI459" i="2" s="1"/>
  <c r="AE460" i="2"/>
  <c r="AI460" i="2"/>
  <c r="AE461" i="2"/>
  <c r="AI461" i="2" s="1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 s="1"/>
  <c r="AE470" i="2"/>
  <c r="AI470" i="2"/>
  <c r="AE471" i="2"/>
  <c r="AI471" i="2" s="1"/>
  <c r="AE472" i="2"/>
  <c r="AI472" i="2" s="1"/>
  <c r="AE473" i="2"/>
  <c r="AI473" i="2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 s="1"/>
  <c r="AE480" i="2"/>
  <c r="AI480" i="2" s="1"/>
  <c r="AE481" i="2"/>
  <c r="AI481" i="2"/>
  <c r="AE482" i="2"/>
  <c r="AI482" i="2"/>
  <c r="AE483" i="2"/>
  <c r="AI483" i="2"/>
  <c r="AE484" i="2"/>
  <c r="AI484" i="2" s="1"/>
  <c r="AE485" i="2"/>
  <c r="AI485" i="2" s="1"/>
  <c r="AE486" i="2"/>
  <c r="AI486" i="2"/>
  <c r="AE487" i="2"/>
  <c r="AI487" i="2" s="1"/>
  <c r="AE488" i="2"/>
  <c r="AI488" i="2" s="1"/>
  <c r="AE489" i="2"/>
  <c r="AI489" i="2"/>
  <c r="AE490" i="2"/>
  <c r="AI490" i="2"/>
  <c r="AI491" i="2"/>
  <c r="AE492" i="2"/>
  <c r="AI492" i="2"/>
  <c r="AI493" i="2"/>
  <c r="AD495" i="2"/>
  <c r="AG495" i="2"/>
  <c r="AH495" i="2"/>
  <c r="P455" i="2"/>
  <c r="P454" i="2"/>
  <c r="S454" i="2" s="1"/>
  <c r="W454" i="2" s="1"/>
  <c r="Q453" i="2"/>
  <c r="P453" i="2"/>
  <c r="V452" i="2"/>
  <c r="Q452" i="2"/>
  <c r="P452" i="2"/>
  <c r="O453" i="2"/>
  <c r="O454" i="2" s="1"/>
  <c r="O455" i="2" s="1"/>
  <c r="S455" i="2"/>
  <c r="W455" i="2" s="1"/>
  <c r="S456" i="2"/>
  <c r="W456" i="2" s="1"/>
  <c r="S457" i="2"/>
  <c r="W457" i="2" s="1"/>
  <c r="S458" i="2"/>
  <c r="W458" i="2" s="1"/>
  <c r="S459" i="2"/>
  <c r="W459" i="2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/>
  <c r="S468" i="2"/>
  <c r="W468" i="2" s="1"/>
  <c r="S469" i="2"/>
  <c r="W469" i="2"/>
  <c r="S470" i="2"/>
  <c r="W470" i="2" s="1"/>
  <c r="S471" i="2"/>
  <c r="U495" i="2"/>
  <c r="W471" i="2"/>
  <c r="S472" i="2"/>
  <c r="W472" i="2" s="1"/>
  <c r="S473" i="2"/>
  <c r="W473" i="2" s="1"/>
  <c r="S474" i="2"/>
  <c r="W474" i="2" s="1"/>
  <c r="S475" i="2"/>
  <c r="W475" i="2"/>
  <c r="S476" i="2"/>
  <c r="W476" i="2" s="1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 s="1"/>
  <c r="S483" i="2"/>
  <c r="W483" i="2" s="1"/>
  <c r="S484" i="2"/>
  <c r="W484" i="2" s="1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 s="1"/>
  <c r="W493" i="2"/>
  <c r="R495" i="2"/>
  <c r="V495" i="2"/>
  <c r="J455" i="2"/>
  <c r="J495" i="2" s="1"/>
  <c r="I495" i="2"/>
  <c r="E455" i="2"/>
  <c r="E495" i="2" s="1"/>
  <c r="D455" i="2"/>
  <c r="D454" i="2"/>
  <c r="D453" i="2"/>
  <c r="G453" i="2" s="1"/>
  <c r="K453" i="2" s="1"/>
  <c r="D452" i="2"/>
  <c r="G452" i="2" s="1"/>
  <c r="C453" i="2"/>
  <c r="C454" i="2" s="1"/>
  <c r="C455" i="2" s="1"/>
  <c r="G454" i="2"/>
  <c r="K454" i="2" s="1"/>
  <c r="G456" i="2"/>
  <c r="K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/>
  <c r="G463" i="2"/>
  <c r="K463" i="2" s="1"/>
  <c r="G464" i="2"/>
  <c r="K464" i="2" s="1"/>
  <c r="G465" i="2"/>
  <c r="K465" i="2"/>
  <c r="G466" i="2"/>
  <c r="K466" i="2" s="1"/>
  <c r="G467" i="2"/>
  <c r="K467" i="2"/>
  <c r="G468" i="2"/>
  <c r="K468" i="2"/>
  <c r="G469" i="2"/>
  <c r="K469" i="2" s="1"/>
  <c r="G470" i="2"/>
  <c r="K470" i="2"/>
  <c r="G471" i="2"/>
  <c r="K471" i="2"/>
  <c r="G472" i="2"/>
  <c r="K472" i="2" s="1"/>
  <c r="G473" i="2"/>
  <c r="K473" i="2"/>
  <c r="G474" i="2"/>
  <c r="K474" i="2" s="1"/>
  <c r="G475" i="2"/>
  <c r="K475" i="2"/>
  <c r="G476" i="2"/>
  <c r="K476" i="2"/>
  <c r="G477" i="2"/>
  <c r="K477" i="2" s="1"/>
  <c r="G478" i="2"/>
  <c r="K478" i="2"/>
  <c r="G479" i="2"/>
  <c r="K479" i="2"/>
  <c r="G480" i="2"/>
  <c r="K480" i="2" s="1"/>
  <c r="G481" i="2"/>
  <c r="K481" i="2"/>
  <c r="G482" i="2"/>
  <c r="K482" i="2" s="1"/>
  <c r="G483" i="2"/>
  <c r="K483" i="2"/>
  <c r="G484" i="2"/>
  <c r="K484" i="2"/>
  <c r="G485" i="2"/>
  <c r="K485" i="2" s="1"/>
  <c r="G492" i="2"/>
  <c r="K492" i="2"/>
  <c r="F495" i="2"/>
  <c r="AE550" i="2" l="1"/>
  <c r="AI508" i="2"/>
  <c r="AI550" i="2" s="1"/>
  <c r="K550" i="2"/>
  <c r="AC495" i="2"/>
  <c r="AE452" i="2"/>
  <c r="AI452" i="2" s="1"/>
  <c r="AB495" i="2"/>
  <c r="AE453" i="2"/>
  <c r="Q495" i="2"/>
  <c r="S453" i="2"/>
  <c r="W453" i="2" s="1"/>
  <c r="S452" i="2"/>
  <c r="W452" i="2"/>
  <c r="W495" i="2" s="1"/>
  <c r="S495" i="2"/>
  <c r="P495" i="2"/>
  <c r="G455" i="2"/>
  <c r="K455" i="2" s="1"/>
  <c r="G495" i="2"/>
  <c r="K452" i="2"/>
  <c r="D495" i="2"/>
  <c r="AB411" i="2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E495" i="2" l="1"/>
  <c r="AI453" i="2"/>
  <c r="AI495" i="2" s="1"/>
  <c r="K495" i="2"/>
  <c r="AB440" i="2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2" authorId="0" shapeId="0" xr:uid="{40CF5728-2C11-428E-8364-80D157B2B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G22" authorId="0" shapeId="0" xr:uid="{B40871B8-547C-4E9C-8C32-62E1D5A68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H22" authorId="0" shapeId="0" xr:uid="{4148E182-A3D3-4366-B37C-50485BEE40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452" authorId="0" shapeId="0" xr:uid="{739B41EF-A2D6-4472-A330-E5EAF479A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2" authorId="0" shapeId="0" xr:uid="{18DA8B83-1882-4D0A-89E5-EEBB251C66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AA452" authorId="0" shapeId="0" xr:uid="{2C7573A8-47BB-49E1-9461-078D60C6A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C453" authorId="0" shapeId="0" xr:uid="{4FDAA053-1ABD-4126-98BD-CE02F681F3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ELMEDORIAL
POB, SINDANGAN</t>
        </r>
      </text>
    </comment>
    <comment ref="O453" authorId="0" shapeId="0" xr:uid="{8013E524-1AF1-4252-84E4-8B18F07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33609376-F47B-468C-825E-16B2BE583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54" authorId="0" shapeId="0" xr:uid="{ABC656F8-1C35-42D7-BA13-D6849351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CRYSTAL DAWN CATAYAS
POB, SINDANGAN</t>
        </r>
      </text>
    </comment>
    <comment ref="O454" authorId="0" shapeId="0" xr:uid="{668384C0-6856-41F8-A3DE-10D2DEFE0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BACUNGAN, SINDANGAN</t>
        </r>
      </text>
    </comment>
    <comment ref="AA454" authorId="0" shapeId="0" xr:uid="{2CDCD7E8-0887-4AE8-A0CA-BA55CB71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455" authorId="0" shapeId="0" xr:uid="{E7BCB45D-EA52-4950-8C56-A92BB9E55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455" authorId="0" shapeId="0" xr:uid="{3045DF10-15C0-4209-AFBA-18C255591F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5" authorId="0" shapeId="0" xr:uid="{B221CB19-33E1-47BC-84A4-338A66ED7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VANGIE PABUAYA
POB EAST, SALUG</t>
        </r>
      </text>
    </comment>
    <comment ref="AA456" authorId="0" shapeId="0" xr:uid="{7E46FA37-541D-47A8-BE98-783D09DFE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507" authorId="0" shapeId="0" xr:uid="{A48A3AE1-722B-49CE-8E75-43A992B2ED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O507" authorId="0" shapeId="0" xr:uid="{A1B7FB54-FCBF-4A91-94B9-452366B34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507" authorId="0" shapeId="0" xr:uid="{5CCD48A4-C650-4CE0-9D69-32A39427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08" authorId="0" shapeId="0" xr:uid="{5F91A8E5-DEC0-4DB1-A447-5E0197385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508" authorId="0" shapeId="0" xr:uid="{EB43951B-1331-42AE-8631-FE46B39B0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 STORE
TINAPLAN, SINDANGAN</t>
        </r>
      </text>
    </comment>
    <comment ref="AA508" authorId="0" shapeId="0" xr:uid="{AE5C2E40-4CA8-47D3-8439-F56FEF72E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509" authorId="0" shapeId="0" xr:uid="{810BA9D4-FF45-42A0-BD38-EF79924EF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C9C1FA23-4B42-4883-B681-181399091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CONDES
TINAPLAN, SINDANGAN</t>
        </r>
      </text>
    </comment>
    <comment ref="AA509" authorId="0" shapeId="0" xr:uid="{CCE19C40-AF73-487C-BC86-4925A51192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510" authorId="0" shapeId="0" xr:uid="{15E61BA5-C654-4CEE-B133-35871FD841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510" authorId="0" shapeId="0" xr:uid="{C0F879B9-AD48-4507-AE1F-2DC6331ED6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510" authorId="0" shapeId="0" xr:uid="{01BBFAC4-4491-4777-822A-68DD59D2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C511" authorId="0" shapeId="0" xr:uid="{10A66592-F18E-4DAD-9FA8-642F183A1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511" authorId="0" shapeId="0" xr:uid="{91F191E2-34E2-46C1-9DF3-1AA92055B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DADAN
TINAPLAN, SINDANGAN</t>
        </r>
      </text>
    </comment>
    <comment ref="AA511" authorId="0" shapeId="0" xr:uid="{AD390563-7BD7-480C-9165-CEACA6DA1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12" authorId="0" shapeId="0" xr:uid="{CA7C894C-8B09-4A17-9C63-97B817118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GRAPA
MUÑOZ, SIAYAN</t>
        </r>
      </text>
    </comment>
    <comment ref="O512" authorId="0" shapeId="0" xr:uid="{78D45509-4E10-4A03-9028-012A5693B8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512" authorId="0" shapeId="0" xr:uid="{A6335006-DF4E-46C7-9ED6-BB95A3F1D3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GENITA'S SARI-SARI STORE
BAYBAY, LILOY</t>
        </r>
      </text>
    </comment>
    <comment ref="C513" authorId="0" shapeId="0" xr:uid="{F6592073-AF3C-41FE-8200-193C00CF1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 STORE
MUÑOZ, SIAYAN</t>
        </r>
      </text>
    </comment>
    <comment ref="O513" authorId="0" shapeId="0" xr:uid="{2AF5E739-A232-4C84-8ADB-B6AF4D6C7B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MARIALYN
TINAPLAN, SINDANGAN</t>
        </r>
      </text>
    </comment>
    <comment ref="AA513" authorId="0" shapeId="0" xr:uid="{F8DC3E6E-D1E9-47F3-ADAB-A54501164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514" authorId="0" shapeId="0" xr:uid="{F341865E-3CDA-4B12-B09D-9D0858AF4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
POB, SIAYAN</t>
        </r>
      </text>
    </comment>
    <comment ref="O514" authorId="0" shapeId="0" xr:uid="{F1276EA1-CD1A-499D-86A8-BEB8F15215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JERRY
TINAPLAN, SINDANGAN</t>
        </r>
      </text>
    </comment>
    <comment ref="C515" authorId="0" shapeId="0" xr:uid="{59676563-6469-4E7E-A488-BE11FA208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515" authorId="0" shapeId="0" xr:uid="{442CE163-B5C5-45B6-8614-3BE53F4087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DALMAN STORE
DAGUHOY, SINDANGAN</t>
        </r>
      </text>
    </comment>
    <comment ref="O516" authorId="0" shapeId="0" xr:uid="{27E50BB5-BAC8-4B47-BA53-5C9683A43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DAGUHOY, SINDANGAN</t>
        </r>
      </text>
    </comment>
    <comment ref="O517" authorId="0" shapeId="0" xr:uid="{A5F20022-A697-449C-96AB-09009FB1C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O518" authorId="0" shapeId="0" xr:uid="{857521F8-309C-4CF1-BAD9-9B892CB0E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562" authorId="0" shapeId="0" xr:uid="{F7382BC4-1BF3-4CAD-901C-BCE8FF4B1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562" authorId="0" shapeId="0" xr:uid="{C28F826B-0165-4F49-842E-7E46655F2F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562" authorId="0" shapeId="0" xr:uid="{8574BF25-3565-476C-AA4C-DD3BCD53FF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63" authorId="0" shapeId="0" xr:uid="{6BF6BFED-1AC2-4126-B68B-64B608FD8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4AAC3F11-ACED-44E4-805A-54AFFF4FE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3" authorId="0" shapeId="0" xr:uid="{2EA641FA-47F4-433A-9939-975CF5549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564" authorId="0" shapeId="0" xr:uid="{595CDB86-CDDC-4547-8227-85DFD60E7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
POB, SIAYAN</t>
        </r>
      </text>
    </comment>
    <comment ref="O564" authorId="0" shapeId="0" xr:uid="{0A27555B-0C3A-4D73-BEDD-8FA3DA7444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564" authorId="0" shapeId="0" xr:uid="{B1382911-15E1-4829-B865-067999816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5" authorId="0" shapeId="0" xr:uid="{8ACD6686-7909-448B-92D0-D59E95B92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65" authorId="0" shapeId="0" xr:uid="{58164F9C-6FDA-4DE6-B7DD-B46398AA1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565" authorId="0" shapeId="0" xr:uid="{65D77A1A-8B1C-407A-BD02-32B1719387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4923A96E-B52B-41E6-A2E0-CDF61FB5A4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66" authorId="0" shapeId="0" xr:uid="{62AF50F4-DFC4-4989-9DF9-9C13F9816F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6" authorId="0" shapeId="0" xr:uid="{5B966BD4-D52B-4C6E-8C4E-B25C14C6F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SOLEN STORE
BAYBAY, LILOY</t>
        </r>
      </text>
    </comment>
    <comment ref="C567" authorId="0" shapeId="0" xr:uid="{55F099B0-1D2A-4355-A9BF-0DF57200F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RM, SALUG</t>
        </r>
      </text>
    </comment>
    <comment ref="O567" authorId="0" shapeId="0" xr:uid="{DE7CCA16-8925-47AC-99E9-5CBF63947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567" authorId="0" shapeId="0" xr:uid="{658A7E2E-0E29-4048-8420-C92EFCAC8A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8" authorId="0" shapeId="0" xr:uid="{16316F23-D352-41E5-B29B-BE75339F5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</t>
        </r>
      </text>
    </comment>
    <comment ref="O568" authorId="0" shapeId="0" xr:uid="{36CAC869-C9D3-41DA-99F1-2843D323D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64983275-836D-44B6-9B4C-5642E5FF3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569" authorId="0" shapeId="0" xr:uid="{262B9CD5-89A2-4551-8D4B-8242F80B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569" authorId="0" shapeId="0" xr:uid="{631F9071-CFAA-4EAB-ACE3-84D9438741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O570" authorId="0" shapeId="0" xr:uid="{24F568FD-94C9-4B0F-A99F-C9CF5B8B7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TALINGA, BACUNGAN</t>
        </r>
      </text>
    </comment>
    <comment ref="AA570" authorId="0" shapeId="0" xr:uid="{71C8B474-16D0-41B4-A9EE-80193FA86E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 EAST, SALUG</t>
        </r>
      </text>
    </comment>
    <comment ref="O571" authorId="0" shapeId="0" xr:uid="{43EDC16D-8AAE-43F1-A682-BE859C331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 SALOMIA
TALINGA, BACUNGAN</t>
        </r>
      </text>
    </comment>
    <comment ref="AA571" authorId="0" shapeId="0" xr:uid="{4B95974E-AB8A-47ED-A48A-6DFEEFA5EE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572" authorId="0" shapeId="0" xr:uid="{5C60CBC2-3F9B-4038-AA94-41D39B3D0B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NYAH STORE
TALINGA, BACUNGAN</t>
        </r>
      </text>
    </comment>
    <comment ref="AA572" authorId="0" shapeId="0" xr:uid="{554CCCEE-68C1-4D5C-9E6C-1FDDA0C5EA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O573" authorId="0" shapeId="0" xr:uid="{CB9B1197-34B3-4054-8571-04BD9C8E6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O574" authorId="0" shapeId="0" xr:uid="{C0EBADC0-0293-4A37-A7CA-BBB3DE8D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575" authorId="0" shapeId="0" xr:uid="{F9397E54-74CE-43E7-ADFB-EC84E7D800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576" authorId="0" shapeId="0" xr:uid="{0844DDAC-0D33-417A-A300-CEFDB2206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577" authorId="0" shapeId="0" xr:uid="{C6CCBAF5-65ED-43EA-889E-91FC5082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</commentList>
</comments>
</file>

<file path=xl/sharedStrings.xml><?xml version="1.0" encoding="utf-8"?>
<sst xmlns="http://schemas.openxmlformats.org/spreadsheetml/2006/main" count="700" uniqueCount="68">
  <si>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</si>
  <si>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</si>
  <si>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</si>
  <si>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</si>
  <si>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</si>
  <si>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</si>
  <si>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</si>
  <si>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</si>
  <si>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</si>
  <si>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</si>
  <si>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</si>
  <si>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</si>
  <si>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</si>
  <si>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</si>
  <si>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</si>
  <si>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</si>
  <si>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</si>
  <si>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</si>
  <si>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</si>
  <si>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</si>
  <si>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</si>
  <si>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</si>
  <si>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</si>
  <si>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</si>
  <si>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</si>
  <si>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</si>
  <si>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</si>
  <si>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</si>
  <si>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</si>
  <si>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</si>
  <si>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</si>
  <si>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</si>
  <si>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</si>
  <si>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</si>
  <si>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</si>
  <si>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</si>
  <si>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</si>
  <si>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</si>
  <si>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</si>
  <si>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</si>
  <si>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</si>
  <si>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</si>
  <si>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</si>
  <si>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</si>
  <si>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</si>
  <si>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</si>
  <si>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</si>
  <si>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</si>
  <si>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</si>
  <si>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</si>
  <si>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</si>
  <si>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</si>
  <si>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</si>
  <si>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</si>
  <si>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</si>
  <si>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</si>
  <si>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</si>
  <si>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</si>
  <si>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</si>
  <si>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</si>
  <si>
    <t>MARCH 11, 2026</t>
  </si>
  <si>
    <t>9555-9558/9620-9623/9533-9537</t>
  </si>
  <si>
    <t>MARCH 12, 2026</t>
  </si>
  <si>
    <t>9559-9567/9624-9635/9538-9544</t>
  </si>
  <si>
    <t>NO TRIP</t>
  </si>
  <si>
    <t>MARCH 14, 2026</t>
  </si>
  <si>
    <t>03/14/2026</t>
  </si>
  <si>
    <t>9568-9574/9636-9650,9575/9545-9550,9653-9657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</si>
</sst>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2" zoomScaleNormal="100" workbookViewId="0">
      <selection activeCell="H23" sqref="H2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1" t="s">
        <v>38</v>
      </c>
      <c r="B6" s="10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794286</v>
      </c>
      <c r="F20" s="14">
        <v>271327</v>
      </c>
      <c r="G20" s="14">
        <v>226714</v>
      </c>
      <c r="H20" s="14">
        <v>296245</v>
      </c>
      <c r="I20" s="14"/>
      <c r="J20" s="17">
        <f t="shared" si="1"/>
        <v>794286</v>
      </c>
    </row>
    <row r="21" spans="1:10" x14ac:dyDescent="0.25">
      <c r="A21" s="10">
        <f t="shared" si="2"/>
        <v>12</v>
      </c>
      <c r="B21" s="11" t="s">
        <v>30</v>
      </c>
      <c r="C21" s="12" t="s">
        <v>63</v>
      </c>
      <c r="D21" s="16">
        <f t="shared" si="0"/>
        <v>880238</v>
      </c>
      <c r="F21" s="14">
        <v>283805</v>
      </c>
      <c r="G21" s="14">
        <v>325291</v>
      </c>
      <c r="H21" s="14">
        <v>271142</v>
      </c>
      <c r="I21" s="14"/>
      <c r="J21" s="17">
        <f t="shared" si="1"/>
        <v>880238</v>
      </c>
    </row>
    <row r="22" spans="1:10" x14ac:dyDescent="0.25">
      <c r="A22" s="10">
        <f t="shared" si="2"/>
        <v>13</v>
      </c>
      <c r="B22" s="43" t="s">
        <v>4</v>
      </c>
      <c r="C22" s="44" t="s">
        <v>64</v>
      </c>
      <c r="D22" s="55" t="s">
        <v>64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 t="s">
        <v>67</v>
      </c>
      <c r="D23" s="16">
        <f t="shared" si="0"/>
        <v>931812.5</v>
      </c>
      <c r="F23" s="14">
        <v>477012</v>
      </c>
      <c r="G23" s="14">
        <v>227590.5</v>
      </c>
      <c r="H23" s="14">
        <v>227210</v>
      </c>
      <c r="I23" s="14"/>
      <c r="J23" s="17">
        <f t="shared" si="1"/>
        <v>931812.5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2" t="s">
        <v>10</v>
      </c>
      <c r="B42" s="103"/>
      <c r="C42" s="104"/>
      <c r="D42" s="48">
        <f>SUM(D2:D41)</f>
        <v>8350991.0499999998</v>
      </c>
      <c r="J42" s="49">
        <f>SUM(J10:J41)</f>
        <v>8350991.0499999998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H572" zoomScaleNormal="100" workbookViewId="0">
      <selection activeCell="W578" sqref="W578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1" t="s">
        <v>17</v>
      </c>
      <c r="E10" s="111"/>
      <c r="F10" s="75"/>
      <c r="G10" s="27"/>
      <c r="I10" s="109" t="s">
        <v>18</v>
      </c>
      <c r="J10" s="110"/>
      <c r="K10" s="107" t="s">
        <v>19</v>
      </c>
      <c r="N10" s="25"/>
      <c r="O10" s="26"/>
      <c r="P10" s="111" t="s">
        <v>17</v>
      </c>
      <c r="Q10" s="111"/>
      <c r="R10" s="75"/>
      <c r="S10" s="27"/>
      <c r="U10" s="109" t="s">
        <v>18</v>
      </c>
      <c r="V10" s="110"/>
      <c r="W10" s="107" t="s">
        <v>19</v>
      </c>
      <c r="Z10" s="25"/>
      <c r="AA10" s="26"/>
      <c r="AB10" s="111" t="s">
        <v>17</v>
      </c>
      <c r="AC10" s="111"/>
      <c r="AD10" s="75"/>
      <c r="AE10" s="27"/>
      <c r="AG10" s="109" t="s">
        <v>18</v>
      </c>
      <c r="AH10" s="110"/>
      <c r="AI10" s="10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8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1" t="s">
        <v>17</v>
      </c>
      <c r="E65" s="111"/>
      <c r="F65" s="90"/>
      <c r="G65" s="27"/>
      <c r="I65" s="109" t="s">
        <v>18</v>
      </c>
      <c r="J65" s="110"/>
      <c r="K65" s="107" t="s">
        <v>19</v>
      </c>
      <c r="N65" s="25"/>
      <c r="O65" s="26"/>
      <c r="P65" s="111" t="s">
        <v>17</v>
      </c>
      <c r="Q65" s="111"/>
      <c r="R65" s="90"/>
      <c r="S65" s="27"/>
      <c r="U65" s="109" t="s">
        <v>18</v>
      </c>
      <c r="V65" s="110"/>
      <c r="W65" s="107" t="s">
        <v>19</v>
      </c>
      <c r="Z65" s="25"/>
      <c r="AA65" s="26"/>
      <c r="AB65" s="111" t="s">
        <v>17</v>
      </c>
      <c r="AC65" s="111"/>
      <c r="AD65" s="90"/>
      <c r="AE65" s="27"/>
      <c r="AG65" s="109" t="s">
        <v>18</v>
      </c>
      <c r="AH65" s="110"/>
      <c r="AI65" s="10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06"/>
      <c r="AO67" s="106"/>
      <c r="AP67" s="86"/>
      <c r="AQ67" s="62"/>
      <c r="AR67" s="106"/>
      <c r="AS67" s="106"/>
      <c r="AT67" s="10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1" t="s">
        <v>17</v>
      </c>
      <c r="E120" s="111"/>
      <c r="F120" s="91"/>
      <c r="G120" s="27"/>
      <c r="I120" s="109" t="s">
        <v>18</v>
      </c>
      <c r="J120" s="110"/>
      <c r="K120" s="107" t="s">
        <v>19</v>
      </c>
      <c r="N120" s="25"/>
      <c r="O120" s="26"/>
      <c r="P120" s="111" t="s">
        <v>17</v>
      </c>
      <c r="Q120" s="111"/>
      <c r="R120" s="91"/>
      <c r="S120" s="27"/>
      <c r="U120" s="109" t="s">
        <v>18</v>
      </c>
      <c r="V120" s="110"/>
      <c r="W120" s="107" t="s">
        <v>19</v>
      </c>
      <c r="Z120" s="25"/>
      <c r="AA120" s="26"/>
      <c r="AB120" s="111" t="s">
        <v>17</v>
      </c>
      <c r="AC120" s="111"/>
      <c r="AD120" s="91"/>
      <c r="AE120" s="27"/>
      <c r="AG120" s="109" t="s">
        <v>18</v>
      </c>
      <c r="AH120" s="110"/>
      <c r="AI120" s="10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1" t="s">
        <v>17</v>
      </c>
      <c r="E175" s="111"/>
      <c r="F175" s="92"/>
      <c r="G175" s="27"/>
      <c r="I175" s="109" t="s">
        <v>18</v>
      </c>
      <c r="J175" s="110"/>
      <c r="K175" s="107" t="s">
        <v>19</v>
      </c>
      <c r="N175" s="25"/>
      <c r="O175" s="26"/>
      <c r="P175" s="111" t="s">
        <v>17</v>
      </c>
      <c r="Q175" s="111"/>
      <c r="R175" s="92"/>
      <c r="S175" s="27"/>
      <c r="U175" s="109" t="s">
        <v>18</v>
      </c>
      <c r="V175" s="110"/>
      <c r="W175" s="107" t="s">
        <v>19</v>
      </c>
      <c r="Y175" s="62"/>
      <c r="Z175" s="65"/>
      <c r="AA175" s="88"/>
      <c r="AB175" s="106"/>
      <c r="AC175" s="106"/>
      <c r="AD175" s="88"/>
      <c r="AE175" s="88"/>
      <c r="AF175" s="62"/>
      <c r="AG175" s="106"/>
      <c r="AH175" s="106"/>
      <c r="AI175" s="105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8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05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06"/>
      <c r="AO181" s="106"/>
      <c r="AP181" s="86"/>
      <c r="AQ181" s="62"/>
      <c r="AR181" s="106"/>
      <c r="AS181" s="106"/>
      <c r="AT181" s="10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0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06"/>
      <c r="E230" s="106"/>
      <c r="F230" s="88"/>
      <c r="G230" s="88"/>
      <c r="H230" s="62"/>
      <c r="I230" s="106"/>
      <c r="J230" s="106"/>
      <c r="K230" s="105"/>
      <c r="L230" s="62"/>
      <c r="M230" s="62"/>
      <c r="N230" s="65"/>
      <c r="O230" s="88"/>
      <c r="P230" s="106"/>
      <c r="Q230" s="106"/>
      <c r="R230" s="88"/>
      <c r="S230" s="88"/>
      <c r="T230" s="62"/>
      <c r="U230" s="106"/>
      <c r="V230" s="106"/>
      <c r="W230" s="105"/>
      <c r="Z230" s="25"/>
      <c r="AA230" s="26"/>
      <c r="AB230" s="111" t="s">
        <v>17</v>
      </c>
      <c r="AC230" s="111"/>
      <c r="AD230" s="93"/>
      <c r="AE230" s="27"/>
      <c r="AG230" s="109" t="s">
        <v>18</v>
      </c>
      <c r="AH230" s="110"/>
      <c r="AI230" s="10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05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05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1" t="s">
        <v>17</v>
      </c>
      <c r="E285" s="111"/>
      <c r="F285" s="94"/>
      <c r="G285" s="27"/>
      <c r="I285" s="109" t="s">
        <v>18</v>
      </c>
      <c r="J285" s="110"/>
      <c r="K285" s="107" t="s">
        <v>19</v>
      </c>
      <c r="N285" s="25"/>
      <c r="O285" s="26"/>
      <c r="P285" s="111" t="s">
        <v>17</v>
      </c>
      <c r="Q285" s="111"/>
      <c r="R285" s="94"/>
      <c r="S285" s="27"/>
      <c r="U285" s="109" t="s">
        <v>18</v>
      </c>
      <c r="V285" s="110"/>
      <c r="W285" s="107" t="s">
        <v>19</v>
      </c>
      <c r="Z285" s="25"/>
      <c r="AA285" s="26"/>
      <c r="AB285" s="111" t="s">
        <v>17</v>
      </c>
      <c r="AC285" s="111"/>
      <c r="AD285" s="94"/>
      <c r="AE285" s="27"/>
      <c r="AG285" s="109" t="s">
        <v>18</v>
      </c>
      <c r="AH285" s="110"/>
      <c r="AI285" s="10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1" t="s">
        <v>17</v>
      </c>
      <c r="E340" s="111"/>
      <c r="F340" s="95"/>
      <c r="G340" s="27"/>
      <c r="I340" s="109" t="s">
        <v>18</v>
      </c>
      <c r="J340" s="110"/>
      <c r="K340" s="107" t="s">
        <v>19</v>
      </c>
      <c r="N340" s="25"/>
      <c r="O340" s="26"/>
      <c r="P340" s="111" t="s">
        <v>17</v>
      </c>
      <c r="Q340" s="111"/>
      <c r="R340" s="96"/>
      <c r="S340" s="27"/>
      <c r="U340" s="109" t="s">
        <v>18</v>
      </c>
      <c r="V340" s="110"/>
      <c r="W340" s="107" t="s">
        <v>19</v>
      </c>
      <c r="Z340" s="25"/>
      <c r="AA340" s="26"/>
      <c r="AB340" s="111" t="s">
        <v>17</v>
      </c>
      <c r="AC340" s="111"/>
      <c r="AD340" s="96"/>
      <c r="AE340" s="27"/>
      <c r="AG340" s="109" t="s">
        <v>18</v>
      </c>
      <c r="AH340" s="110"/>
      <c r="AI340" s="10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8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3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3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3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3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3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3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3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3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3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1" t="s">
        <v>17</v>
      </c>
      <c r="E395" s="111"/>
      <c r="F395" s="97"/>
      <c r="G395" s="27"/>
      <c r="I395" s="109" t="s">
        <v>18</v>
      </c>
      <c r="J395" s="110"/>
      <c r="K395" s="107" t="s">
        <v>19</v>
      </c>
      <c r="N395" s="25"/>
      <c r="O395" s="26"/>
      <c r="P395" s="111" t="s">
        <v>17</v>
      </c>
      <c r="Q395" s="111"/>
      <c r="R395" s="97"/>
      <c r="S395" s="27"/>
      <c r="U395" s="109" t="s">
        <v>18</v>
      </c>
      <c r="V395" s="110"/>
      <c r="W395" s="107" t="s">
        <v>19</v>
      </c>
      <c r="Z395" s="25"/>
      <c r="AA395" s="26"/>
      <c r="AB395" s="111" t="s">
        <v>17</v>
      </c>
      <c r="AC395" s="111"/>
      <c r="AD395" s="97"/>
      <c r="AE395" s="27"/>
      <c r="AG395" s="109" t="s">
        <v>18</v>
      </c>
      <c r="AH395" s="110"/>
      <c r="AI395" s="10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8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3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3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3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3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3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3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3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3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3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3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3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3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3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1" t="s">
        <v>17</v>
      </c>
      <c r="E450" s="111"/>
      <c r="F450" s="98"/>
      <c r="G450" s="27"/>
      <c r="I450" s="109" t="s">
        <v>18</v>
      </c>
      <c r="J450" s="110"/>
      <c r="K450" s="107" t="s">
        <v>19</v>
      </c>
      <c r="N450" s="25"/>
      <c r="O450" s="26"/>
      <c r="P450" s="111" t="s">
        <v>17</v>
      </c>
      <c r="Q450" s="111"/>
      <c r="R450" s="98"/>
      <c r="S450" s="27"/>
      <c r="U450" s="109" t="s">
        <v>18</v>
      </c>
      <c r="V450" s="110"/>
      <c r="W450" s="107" t="s">
        <v>19</v>
      </c>
      <c r="Z450" s="25"/>
      <c r="AA450" s="26"/>
      <c r="AB450" s="111" t="s">
        <v>17</v>
      </c>
      <c r="AC450" s="111"/>
      <c r="AD450" s="98"/>
      <c r="AE450" s="27"/>
      <c r="AG450" s="109" t="s">
        <v>18</v>
      </c>
      <c r="AH450" s="110"/>
      <c r="AI450" s="10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46329</v>
      </c>
      <c r="C452" s="83">
        <v>9555</v>
      </c>
      <c r="D452" s="32">
        <f>650*20+9.5*20</f>
        <v>13190</v>
      </c>
      <c r="E452" s="32"/>
      <c r="F452" s="32"/>
      <c r="G452" s="32">
        <f t="shared" ref="G452:G485" si="124">SUM(D452:E452)</f>
        <v>13190</v>
      </c>
      <c r="H452" s="12"/>
      <c r="I452" s="12"/>
      <c r="J452" s="12"/>
      <c r="K452" s="12">
        <f t="shared" ref="K452:K485" si="125">SUM(G452:J452)</f>
        <v>13190</v>
      </c>
      <c r="M452" s="10">
        <v>1</v>
      </c>
      <c r="N452" s="30">
        <v>46329</v>
      </c>
      <c r="O452" s="31">
        <v>9620</v>
      </c>
      <c r="P452" s="32">
        <f>650*216+229*9</f>
        <v>142461</v>
      </c>
      <c r="Q452" s="32">
        <f>-216*6</f>
        <v>-1296</v>
      </c>
      <c r="R452" s="32"/>
      <c r="S452" s="32">
        <f>SUM(P452:Q452)</f>
        <v>141165</v>
      </c>
      <c r="T452" s="12"/>
      <c r="U452" s="12">
        <v>702</v>
      </c>
      <c r="V452" s="12">
        <f>-5460+-630</f>
        <v>-6090</v>
      </c>
      <c r="W452" s="12">
        <f>SUM(S452:V452)</f>
        <v>135777</v>
      </c>
      <c r="Y452" s="10">
        <v>1</v>
      </c>
      <c r="Z452" s="30">
        <v>46329</v>
      </c>
      <c r="AA452" s="31">
        <v>9533</v>
      </c>
      <c r="AB452" s="32">
        <f>650*108+670*5+229*4</f>
        <v>74466</v>
      </c>
      <c r="AC452" s="32">
        <f>-113*6</f>
        <v>-678</v>
      </c>
      <c r="AD452" s="32"/>
      <c r="AE452" s="32">
        <f>SUM(AB452:AC452)</f>
        <v>73788</v>
      </c>
      <c r="AF452" s="12"/>
      <c r="AG452" s="12">
        <v>240</v>
      </c>
      <c r="AH452" s="12">
        <v>-11322</v>
      </c>
      <c r="AI452" s="12">
        <f>SUM(AE452:AH452)</f>
        <v>62706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46329</v>
      </c>
      <c r="C453" s="83">
        <f>C452+1</f>
        <v>9556</v>
      </c>
      <c r="D453" s="32">
        <f>650*53+670+229*2+500</f>
        <v>36078</v>
      </c>
      <c r="E453" s="32"/>
      <c r="F453" s="32"/>
      <c r="G453" s="32">
        <f t="shared" si="124"/>
        <v>36078</v>
      </c>
      <c r="H453" s="12"/>
      <c r="I453" s="12"/>
      <c r="J453" s="12"/>
      <c r="K453" s="12">
        <f t="shared" si="125"/>
        <v>36078</v>
      </c>
      <c r="M453" s="10">
        <v>2</v>
      </c>
      <c r="N453" s="30">
        <v>46329</v>
      </c>
      <c r="O453" s="31">
        <f>O452+1</f>
        <v>9621</v>
      </c>
      <c r="P453" s="32">
        <f>650*80+229</f>
        <v>52229</v>
      </c>
      <c r="Q453" s="32">
        <f>-80*6</f>
        <v>-480</v>
      </c>
      <c r="R453" s="32"/>
      <c r="S453" s="32">
        <f t="shared" ref="S453:S484" si="126">SUM(P453:Q453)</f>
        <v>51749</v>
      </c>
      <c r="T453" s="12"/>
      <c r="U453" s="12">
        <v>36</v>
      </c>
      <c r="V453" s="12"/>
      <c r="W453" s="12">
        <f t="shared" ref="W453:W493" si="127">SUM(S453:V453)</f>
        <v>51785</v>
      </c>
      <c r="Y453" s="10">
        <v>2</v>
      </c>
      <c r="Z453" s="30">
        <v>46329</v>
      </c>
      <c r="AA453" s="31">
        <f>AA452+1</f>
        <v>9534</v>
      </c>
      <c r="AB453" s="32">
        <f>650*216+912*4+872*5+229*5+650*2</f>
        <v>150853</v>
      </c>
      <c r="AC453" s="32">
        <f>-225*6</f>
        <v>-1350</v>
      </c>
      <c r="AD453" s="32"/>
      <c r="AE453" s="32">
        <f t="shared" ref="AE453:AE461" si="128">SUM(AB453:AC453)</f>
        <v>149503</v>
      </c>
      <c r="AF453" s="12"/>
      <c r="AG453" s="12">
        <f>72+3996</f>
        <v>4068</v>
      </c>
      <c r="AH453" s="12">
        <f>-120+-42</f>
        <v>-162</v>
      </c>
      <c r="AI453" s="12">
        <f t="shared" ref="AI453:AI493" si="129">SUM(AE453:AH453)</f>
        <v>153409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46329</v>
      </c>
      <c r="C454" s="83">
        <f t="shared" ref="C454:C455" si="130">C453+1</f>
        <v>9557</v>
      </c>
      <c r="D454" s="33">
        <f>650*15+670+650</f>
        <v>11070</v>
      </c>
      <c r="E454" s="33"/>
      <c r="F454" s="33"/>
      <c r="G454" s="33">
        <f t="shared" si="124"/>
        <v>11070</v>
      </c>
      <c r="H454" s="34"/>
      <c r="I454" s="34"/>
      <c r="J454" s="34"/>
      <c r="K454" s="34">
        <f t="shared" si="125"/>
        <v>11070</v>
      </c>
      <c r="M454" s="10">
        <v>3</v>
      </c>
      <c r="N454" s="30">
        <v>46329</v>
      </c>
      <c r="O454" s="31">
        <f t="shared" ref="O454:O455" si="131">O453+1</f>
        <v>9622</v>
      </c>
      <c r="P454" s="32">
        <f>650*50</f>
        <v>32500</v>
      </c>
      <c r="Q454" s="32"/>
      <c r="R454" s="32"/>
      <c r="S454" s="32">
        <f t="shared" si="126"/>
        <v>32500</v>
      </c>
      <c r="T454" s="12"/>
      <c r="U454" s="12"/>
      <c r="V454" s="12"/>
      <c r="W454" s="12">
        <f t="shared" si="127"/>
        <v>32500</v>
      </c>
      <c r="Y454" s="10">
        <v>3</v>
      </c>
      <c r="Z454" s="30">
        <v>46329</v>
      </c>
      <c r="AA454" s="31">
        <f t="shared" ref="AA454:AA456" si="132">AA453+1</f>
        <v>9535</v>
      </c>
      <c r="AB454" s="33">
        <f>650*50+670*5+622*5+229*2</f>
        <v>39418</v>
      </c>
      <c r="AC454" s="33">
        <f>-60*6</f>
        <v>-360</v>
      </c>
      <c r="AD454" s="32"/>
      <c r="AE454" s="32">
        <f t="shared" si="128"/>
        <v>39058</v>
      </c>
      <c r="AF454" s="12"/>
      <c r="AG454" s="12"/>
      <c r="AH454" s="12"/>
      <c r="AI454" s="12">
        <f t="shared" si="129"/>
        <v>39058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46329</v>
      </c>
      <c r="C455" s="83">
        <f t="shared" si="130"/>
        <v>9558</v>
      </c>
      <c r="D455" s="32">
        <f>650*323+229*13</f>
        <v>212927</v>
      </c>
      <c r="E455" s="32">
        <f>-323*6</f>
        <v>-1938</v>
      </c>
      <c r="F455" s="32"/>
      <c r="G455" s="32">
        <f t="shared" si="124"/>
        <v>210989</v>
      </c>
      <c r="H455" s="12"/>
      <c r="I455" s="12">
        <v>858</v>
      </c>
      <c r="J455" s="12">
        <f>-720+-7770+-252+-6+-13.5</f>
        <v>-8761.5</v>
      </c>
      <c r="K455" s="12">
        <f t="shared" si="125"/>
        <v>203085.5</v>
      </c>
      <c r="M455" s="10">
        <v>4</v>
      </c>
      <c r="N455" s="30">
        <v>46329</v>
      </c>
      <c r="O455" s="31">
        <f t="shared" si="131"/>
        <v>9623</v>
      </c>
      <c r="P455" s="32">
        <f>650*2</f>
        <v>1300</v>
      </c>
      <c r="Q455" s="32"/>
      <c r="R455" s="32"/>
      <c r="S455" s="32">
        <f t="shared" si="126"/>
        <v>1300</v>
      </c>
      <c r="T455" s="12"/>
      <c r="U455" s="12"/>
      <c r="V455" s="12"/>
      <c r="W455" s="12">
        <f t="shared" si="127"/>
        <v>1300</v>
      </c>
      <c r="Y455" s="10">
        <v>4</v>
      </c>
      <c r="Z455" s="30">
        <v>46329</v>
      </c>
      <c r="AA455" s="31">
        <f t="shared" si="132"/>
        <v>9536</v>
      </c>
      <c r="AB455" s="32">
        <f>670*5</f>
        <v>3350</v>
      </c>
      <c r="AC455" s="32"/>
      <c r="AD455" s="32"/>
      <c r="AE455" s="32">
        <f t="shared" si="128"/>
        <v>3350</v>
      </c>
      <c r="AF455" s="12"/>
      <c r="AG455" s="58"/>
      <c r="AH455" s="12">
        <v>-1776</v>
      </c>
      <c r="AI455" s="12">
        <f t="shared" si="129"/>
        <v>1574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/>
      <c r="C456" s="11" t="s">
        <v>27</v>
      </c>
      <c r="D456" s="32"/>
      <c r="E456" s="32"/>
      <c r="F456" s="32"/>
      <c r="G456" s="32">
        <f t="shared" si="124"/>
        <v>0</v>
      </c>
      <c r="H456" s="12"/>
      <c r="I456" s="12"/>
      <c r="J456" s="12"/>
      <c r="K456" s="12">
        <f t="shared" si="125"/>
        <v>0</v>
      </c>
      <c r="M456" s="10">
        <v>5</v>
      </c>
      <c r="N456" s="30"/>
      <c r="O456" s="11" t="s">
        <v>27</v>
      </c>
      <c r="P456" s="32"/>
      <c r="Q456" s="32"/>
      <c r="R456" s="32"/>
      <c r="S456" s="32">
        <f t="shared" si="126"/>
        <v>0</v>
      </c>
      <c r="T456" s="12"/>
      <c r="U456" s="12"/>
      <c r="V456" s="12"/>
      <c r="W456" s="12">
        <f t="shared" si="127"/>
        <v>0</v>
      </c>
      <c r="Y456" s="10">
        <v>5</v>
      </c>
      <c r="Z456" s="30">
        <v>46329</v>
      </c>
      <c r="AA456" s="31">
        <f t="shared" si="132"/>
        <v>9537</v>
      </c>
      <c r="AB456" s="32">
        <f>650*44+973*2</f>
        <v>30546</v>
      </c>
      <c r="AC456" s="32"/>
      <c r="AD456" s="32"/>
      <c r="AE456" s="32">
        <f t="shared" si="128"/>
        <v>30546</v>
      </c>
      <c r="AF456" s="12"/>
      <c r="AG456" s="12"/>
      <c r="AH456" s="12">
        <v>-333</v>
      </c>
      <c r="AI456" s="12">
        <f t="shared" si="129"/>
        <v>30213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83"/>
      <c r="D457" s="32"/>
      <c r="E457" s="32"/>
      <c r="F457" s="32"/>
      <c r="G457" s="32">
        <f t="shared" si="124"/>
        <v>0</v>
      </c>
      <c r="H457" s="12"/>
      <c r="I457" s="12"/>
      <c r="J457" s="12"/>
      <c r="K457" s="12">
        <f t="shared" si="125"/>
        <v>0</v>
      </c>
      <c r="M457" s="10">
        <v>6</v>
      </c>
      <c r="N457" s="30"/>
      <c r="O457" s="31"/>
      <c r="P457" s="32"/>
      <c r="Q457" s="32"/>
      <c r="R457" s="32"/>
      <c r="S457" s="32">
        <f t="shared" si="126"/>
        <v>0</v>
      </c>
      <c r="T457" s="12"/>
      <c r="U457" s="12"/>
      <c r="V457" s="10"/>
      <c r="W457" s="12">
        <f t="shared" si="127"/>
        <v>0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28"/>
        <v>0</v>
      </c>
      <c r="AF457" s="12"/>
      <c r="AG457" s="12"/>
      <c r="AH457" s="10"/>
      <c r="AI457" s="12">
        <f t="shared" si="12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24"/>
        <v>0</v>
      </c>
      <c r="H458" s="12"/>
      <c r="I458" s="12"/>
      <c r="J458" s="12"/>
      <c r="K458" s="12">
        <f t="shared" si="125"/>
        <v>0</v>
      </c>
      <c r="M458" s="10">
        <v>7</v>
      </c>
      <c r="N458" s="30"/>
      <c r="O458" s="31"/>
      <c r="P458" s="32"/>
      <c r="Q458" s="32"/>
      <c r="R458" s="32"/>
      <c r="S458" s="32">
        <f t="shared" si="126"/>
        <v>0</v>
      </c>
      <c r="T458" s="12"/>
      <c r="U458" s="12"/>
      <c r="V458" s="12"/>
      <c r="W458" s="12">
        <f t="shared" si="127"/>
        <v>0</v>
      </c>
      <c r="Y458" s="10">
        <v>7</v>
      </c>
      <c r="Z458" s="30"/>
      <c r="AA458" s="31"/>
      <c r="AB458" s="32"/>
      <c r="AC458" s="32"/>
      <c r="AD458" s="32"/>
      <c r="AE458" s="32">
        <f t="shared" si="128"/>
        <v>0</v>
      </c>
      <c r="AF458" s="12"/>
      <c r="AG458" s="58"/>
      <c r="AH458" s="12"/>
      <c r="AI458" s="12">
        <f t="shared" si="12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24"/>
        <v>0</v>
      </c>
      <c r="H459" s="12"/>
      <c r="I459" s="12"/>
      <c r="J459" s="12"/>
      <c r="K459" s="12">
        <f t="shared" si="125"/>
        <v>0</v>
      </c>
      <c r="M459" s="10">
        <v>8</v>
      </c>
      <c r="N459" s="30"/>
      <c r="O459" s="31"/>
      <c r="P459" s="32"/>
      <c r="Q459" s="32"/>
      <c r="R459" s="32"/>
      <c r="S459" s="32">
        <f t="shared" si="126"/>
        <v>0</v>
      </c>
      <c r="T459" s="12"/>
      <c r="U459" s="12"/>
      <c r="V459" s="12"/>
      <c r="W459" s="12">
        <f t="shared" si="127"/>
        <v>0</v>
      </c>
      <c r="Y459" s="10">
        <v>8</v>
      </c>
      <c r="Z459" s="30"/>
      <c r="AA459" s="31"/>
      <c r="AB459" s="32"/>
      <c r="AC459" s="32"/>
      <c r="AE459" s="32">
        <f t="shared" si="128"/>
        <v>0</v>
      </c>
      <c r="AF459" s="12"/>
      <c r="AG459" s="12"/>
      <c r="AH459" s="12"/>
      <c r="AI459" s="12">
        <f t="shared" si="12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24"/>
        <v>0</v>
      </c>
      <c r="H460" s="12"/>
      <c r="I460" s="12"/>
      <c r="J460" s="12"/>
      <c r="K460" s="12">
        <f t="shared" si="125"/>
        <v>0</v>
      </c>
      <c r="M460" s="10">
        <v>9</v>
      </c>
      <c r="N460" s="30"/>
      <c r="O460" s="31"/>
      <c r="P460" s="32"/>
      <c r="Q460" s="32"/>
      <c r="R460" s="32"/>
      <c r="S460" s="32">
        <f t="shared" si="126"/>
        <v>0</v>
      </c>
      <c r="T460" s="12"/>
      <c r="U460" s="12"/>
      <c r="V460" s="12"/>
      <c r="W460" s="12">
        <f t="shared" si="127"/>
        <v>0</v>
      </c>
      <c r="Y460" s="10">
        <v>9</v>
      </c>
      <c r="Z460" s="30"/>
      <c r="AA460" s="31"/>
      <c r="AB460" s="32"/>
      <c r="AC460" s="32"/>
      <c r="AD460" s="32"/>
      <c r="AE460" s="32">
        <f t="shared" si="128"/>
        <v>0</v>
      </c>
      <c r="AF460" s="12"/>
      <c r="AH460" s="12"/>
      <c r="AI460" s="12">
        <f t="shared" si="12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24"/>
        <v>0</v>
      </c>
      <c r="H461" s="12"/>
      <c r="I461" s="12"/>
      <c r="J461" s="12"/>
      <c r="K461" s="12">
        <f t="shared" si="125"/>
        <v>0</v>
      </c>
      <c r="M461" s="10">
        <v>10</v>
      </c>
      <c r="N461" s="30"/>
      <c r="O461" s="31"/>
      <c r="P461" s="32"/>
      <c r="Q461" s="32"/>
      <c r="R461" s="32"/>
      <c r="S461" s="32">
        <f t="shared" si="126"/>
        <v>0</v>
      </c>
      <c r="T461" s="12"/>
      <c r="U461" s="12"/>
      <c r="V461" s="12"/>
      <c r="W461" s="12">
        <f t="shared" si="12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8"/>
        <v>0</v>
      </c>
      <c r="AF461" s="12"/>
      <c r="AG461" s="12"/>
      <c r="AH461" s="12"/>
      <c r="AI461" s="12">
        <f t="shared" si="12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83"/>
      <c r="D462" s="32"/>
      <c r="E462" s="32"/>
      <c r="F462" s="32"/>
      <c r="G462" s="32">
        <f t="shared" si="124"/>
        <v>0</v>
      </c>
      <c r="H462" s="12"/>
      <c r="I462" s="12"/>
      <c r="J462" s="12"/>
      <c r="K462" s="12">
        <f t="shared" si="125"/>
        <v>0</v>
      </c>
      <c r="M462" s="10">
        <v>11</v>
      </c>
      <c r="N462" s="30"/>
      <c r="O462" s="31"/>
      <c r="P462" s="32"/>
      <c r="Q462" s="32"/>
      <c r="R462" s="32"/>
      <c r="S462" s="32">
        <f t="shared" si="126"/>
        <v>0</v>
      </c>
      <c r="T462" s="12"/>
      <c r="U462" s="12"/>
      <c r="V462" s="12"/>
      <c r="W462" s="12">
        <f t="shared" si="127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84" si="133">SUM(AB462:AC462)</f>
        <v>0</v>
      </c>
      <c r="AF462" s="12"/>
      <c r="AG462" s="12"/>
      <c r="AH462" s="12"/>
      <c r="AI462" s="12">
        <f t="shared" si="12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24"/>
        <v>0</v>
      </c>
      <c r="H463" s="12"/>
      <c r="I463" s="12"/>
      <c r="J463" s="10"/>
      <c r="K463" s="12">
        <f t="shared" si="125"/>
        <v>0</v>
      </c>
      <c r="M463" s="10">
        <v>12</v>
      </c>
      <c r="N463" s="30"/>
      <c r="O463" s="31"/>
      <c r="P463" s="32"/>
      <c r="Q463" s="32"/>
      <c r="R463" s="32"/>
      <c r="S463" s="32">
        <f t="shared" si="126"/>
        <v>0</v>
      </c>
      <c r="T463" s="12"/>
      <c r="U463" s="12"/>
      <c r="V463" s="12"/>
      <c r="W463" s="12">
        <f t="shared" si="12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33"/>
        <v>0</v>
      </c>
      <c r="AF463" s="12"/>
      <c r="AG463" s="12"/>
      <c r="AH463" s="12"/>
      <c r="AI463" s="12">
        <f t="shared" si="12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24"/>
        <v>0</v>
      </c>
      <c r="H464" s="12"/>
      <c r="I464" s="12"/>
      <c r="J464" s="12"/>
      <c r="K464" s="12">
        <f t="shared" si="125"/>
        <v>0</v>
      </c>
      <c r="M464" s="10">
        <v>13</v>
      </c>
      <c r="N464" s="30"/>
      <c r="O464" s="31"/>
      <c r="P464" s="32"/>
      <c r="Q464" s="32"/>
      <c r="R464" s="32"/>
      <c r="S464" s="32">
        <f t="shared" si="126"/>
        <v>0</v>
      </c>
      <c r="T464" s="12"/>
      <c r="U464" s="12"/>
      <c r="V464" s="12"/>
      <c r="W464" s="12">
        <f t="shared" si="12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33"/>
        <v>0</v>
      </c>
      <c r="AF464" s="12"/>
      <c r="AG464" s="12"/>
      <c r="AH464" s="12"/>
      <c r="AI464" s="12">
        <f t="shared" si="12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D465" s="32"/>
      <c r="E465" s="32"/>
      <c r="F465" s="32"/>
      <c r="G465" s="32">
        <f t="shared" si="124"/>
        <v>0</v>
      </c>
      <c r="H465" s="12"/>
      <c r="I465" s="12"/>
      <c r="J465" s="12"/>
      <c r="K465" s="12">
        <f t="shared" si="125"/>
        <v>0</v>
      </c>
      <c r="M465" s="10">
        <v>14</v>
      </c>
      <c r="N465" s="30"/>
      <c r="O465" s="31"/>
      <c r="P465" s="32"/>
      <c r="Q465" s="32"/>
      <c r="R465" s="32"/>
      <c r="S465" s="32">
        <f t="shared" si="126"/>
        <v>0</v>
      </c>
      <c r="T465" s="12"/>
      <c r="U465" s="12"/>
      <c r="V465" s="12"/>
      <c r="W465" s="12">
        <f t="shared" si="12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33"/>
        <v>0</v>
      </c>
      <c r="AF465" s="12"/>
      <c r="AG465" s="12"/>
      <c r="AH465" s="12"/>
      <c r="AI465" s="12">
        <f t="shared" si="12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24"/>
        <v>0</v>
      </c>
      <c r="H466" s="12"/>
      <c r="I466" s="12"/>
      <c r="J466" s="12"/>
      <c r="K466" s="12">
        <f t="shared" si="125"/>
        <v>0</v>
      </c>
      <c r="M466" s="10">
        <v>15</v>
      </c>
      <c r="N466" s="30"/>
      <c r="O466" s="31"/>
      <c r="P466" s="32"/>
      <c r="Q466" s="32"/>
      <c r="R466" s="32"/>
      <c r="S466" s="32">
        <f t="shared" si="126"/>
        <v>0</v>
      </c>
      <c r="T466" s="12"/>
      <c r="U466" s="12"/>
      <c r="V466" s="12"/>
      <c r="W466" s="12">
        <f t="shared" si="12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33"/>
        <v>0</v>
      </c>
      <c r="AF466" s="12"/>
      <c r="AG466" s="12"/>
      <c r="AH466" s="12"/>
      <c r="AI466" s="12">
        <f t="shared" si="12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83"/>
      <c r="D467" s="32"/>
      <c r="E467" s="32"/>
      <c r="F467" s="32"/>
      <c r="G467" s="32">
        <f t="shared" si="124"/>
        <v>0</v>
      </c>
      <c r="H467" s="12"/>
      <c r="I467" s="12"/>
      <c r="J467" s="12"/>
      <c r="K467" s="12">
        <f t="shared" si="125"/>
        <v>0</v>
      </c>
      <c r="M467" s="10">
        <v>16</v>
      </c>
      <c r="N467" s="30"/>
      <c r="O467" s="31"/>
      <c r="P467" s="32"/>
      <c r="Q467" s="32"/>
      <c r="R467" s="32"/>
      <c r="S467" s="32">
        <f t="shared" si="126"/>
        <v>0</v>
      </c>
      <c r="T467" s="12"/>
      <c r="U467" s="12"/>
      <c r="V467" s="12"/>
      <c r="W467" s="12">
        <f t="shared" si="127"/>
        <v>0</v>
      </c>
      <c r="Y467" s="10">
        <v>16</v>
      </c>
      <c r="Z467" s="30"/>
      <c r="AB467" s="32"/>
      <c r="AC467" s="32"/>
      <c r="AD467" s="32"/>
      <c r="AE467" s="32">
        <f t="shared" si="133"/>
        <v>0</v>
      </c>
      <c r="AF467" s="12"/>
      <c r="AG467" s="12"/>
      <c r="AH467" s="12"/>
      <c r="AI467" s="12">
        <f t="shared" si="12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24"/>
        <v>0</v>
      </c>
      <c r="H468" s="12"/>
      <c r="I468" s="12"/>
      <c r="J468" s="12"/>
      <c r="K468" s="12">
        <f t="shared" si="125"/>
        <v>0</v>
      </c>
      <c r="M468" s="10">
        <v>17</v>
      </c>
      <c r="N468" s="30"/>
      <c r="O468" s="31"/>
      <c r="P468" s="35"/>
      <c r="Q468" s="32"/>
      <c r="R468" s="32"/>
      <c r="S468" s="32">
        <f t="shared" si="126"/>
        <v>0</v>
      </c>
      <c r="T468" s="12"/>
      <c r="U468" s="12"/>
      <c r="V468" s="12"/>
      <c r="W468" s="12">
        <f t="shared" si="12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33"/>
        <v>0</v>
      </c>
      <c r="AF468" s="12"/>
      <c r="AG468" s="12"/>
      <c r="AH468" s="12"/>
      <c r="AI468" s="12">
        <f t="shared" si="12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24"/>
        <v>0</v>
      </c>
      <c r="H469" s="12"/>
      <c r="I469" s="12"/>
      <c r="J469" s="12"/>
      <c r="K469" s="12">
        <f t="shared" si="125"/>
        <v>0</v>
      </c>
      <c r="M469" s="10">
        <v>18</v>
      </c>
      <c r="N469" s="30"/>
      <c r="O469" s="31"/>
      <c r="P469" s="32"/>
      <c r="Q469" s="32"/>
      <c r="R469" s="32"/>
      <c r="S469" s="32">
        <f t="shared" si="126"/>
        <v>0</v>
      </c>
      <c r="T469" s="12"/>
      <c r="U469" s="12"/>
      <c r="V469" s="12"/>
      <c r="W469" s="12">
        <f t="shared" si="12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33"/>
        <v>0</v>
      </c>
      <c r="AF469" s="12"/>
      <c r="AG469" s="12"/>
      <c r="AH469" s="12"/>
      <c r="AI469" s="12">
        <f t="shared" si="12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24"/>
        <v>0</v>
      </c>
      <c r="H470" s="12"/>
      <c r="I470" s="12"/>
      <c r="J470" s="12"/>
      <c r="K470" s="12">
        <f t="shared" si="125"/>
        <v>0</v>
      </c>
      <c r="M470" s="10">
        <v>19</v>
      </c>
      <c r="N470" s="30"/>
      <c r="O470" s="31"/>
      <c r="P470" s="32"/>
      <c r="Q470" s="32"/>
      <c r="R470" s="32"/>
      <c r="S470" s="32">
        <f t="shared" si="126"/>
        <v>0</v>
      </c>
      <c r="T470" s="12"/>
      <c r="U470" s="12"/>
      <c r="V470" s="12"/>
      <c r="W470" s="12">
        <f t="shared" si="12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33"/>
        <v>0</v>
      </c>
      <c r="AF470" s="12"/>
      <c r="AG470" s="12"/>
      <c r="AH470" s="12"/>
      <c r="AI470" s="12">
        <f t="shared" si="12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24"/>
        <v>0</v>
      </c>
      <c r="H471" s="12"/>
      <c r="I471" s="12"/>
      <c r="J471" s="12"/>
      <c r="K471" s="12">
        <f t="shared" si="125"/>
        <v>0</v>
      </c>
      <c r="M471" s="10">
        <v>20</v>
      </c>
      <c r="N471" s="30"/>
      <c r="O471" s="31"/>
      <c r="P471" s="32"/>
      <c r="Q471" s="32"/>
      <c r="R471" s="32"/>
      <c r="S471" s="32">
        <f t="shared" si="126"/>
        <v>0</v>
      </c>
      <c r="T471" s="12"/>
      <c r="U471" s="12"/>
      <c r="V471" s="12"/>
      <c r="W471" s="12">
        <f t="shared" si="12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33"/>
        <v>0</v>
      </c>
      <c r="AF471" s="12"/>
      <c r="AG471" s="12"/>
      <c r="AH471" s="12"/>
      <c r="AI471" s="12">
        <f t="shared" si="12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24"/>
        <v>0</v>
      </c>
      <c r="H472" s="10"/>
      <c r="I472" s="10"/>
      <c r="J472" s="10"/>
      <c r="K472" s="12">
        <f t="shared" si="125"/>
        <v>0</v>
      </c>
      <c r="M472" s="10">
        <v>21</v>
      </c>
      <c r="N472" s="30"/>
      <c r="O472" s="31"/>
      <c r="P472" s="46"/>
      <c r="Q472" s="31"/>
      <c r="R472" s="31"/>
      <c r="S472" s="32">
        <f t="shared" si="126"/>
        <v>0</v>
      </c>
      <c r="T472" s="10"/>
      <c r="U472" s="10"/>
      <c r="V472" s="10"/>
      <c r="W472" s="12">
        <f t="shared" si="12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33"/>
        <v>0</v>
      </c>
      <c r="AF472" s="10"/>
      <c r="AG472" s="10"/>
      <c r="AH472" s="10"/>
      <c r="AI472" s="12">
        <f t="shared" si="12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24"/>
        <v>0</v>
      </c>
      <c r="H473" s="10"/>
      <c r="I473" s="10"/>
      <c r="J473" s="10"/>
      <c r="K473" s="12">
        <f t="shared" si="125"/>
        <v>0</v>
      </c>
      <c r="M473" s="10">
        <v>22</v>
      </c>
      <c r="N473" s="30"/>
      <c r="O473" s="31"/>
      <c r="P473" s="45"/>
      <c r="Q473" s="31"/>
      <c r="R473" s="31"/>
      <c r="S473" s="32">
        <f t="shared" si="126"/>
        <v>0</v>
      </c>
      <c r="T473" s="10"/>
      <c r="U473" s="10"/>
      <c r="V473" s="10"/>
      <c r="W473" s="12">
        <f t="shared" si="12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33"/>
        <v>0</v>
      </c>
      <c r="AF473" s="10"/>
      <c r="AG473" s="10"/>
      <c r="AH473" s="10"/>
      <c r="AI473" s="12">
        <f t="shared" si="12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24"/>
        <v>0</v>
      </c>
      <c r="H474" s="10"/>
      <c r="I474" s="10"/>
      <c r="J474" s="12"/>
      <c r="K474" s="12">
        <f t="shared" si="125"/>
        <v>0</v>
      </c>
      <c r="M474" s="10">
        <v>23</v>
      </c>
      <c r="N474" s="30"/>
      <c r="O474" s="31"/>
      <c r="P474" s="47"/>
      <c r="Q474" s="31"/>
      <c r="S474" s="32">
        <f t="shared" si="126"/>
        <v>0</v>
      </c>
      <c r="T474" s="10"/>
      <c r="U474" s="10"/>
      <c r="V474" s="10"/>
      <c r="W474" s="12">
        <f t="shared" si="127"/>
        <v>0</v>
      </c>
      <c r="Y474" s="10">
        <v>23</v>
      </c>
      <c r="Z474" s="30"/>
      <c r="AA474" s="31"/>
      <c r="AB474" s="47"/>
      <c r="AE474" s="32">
        <f t="shared" si="133"/>
        <v>0</v>
      </c>
      <c r="AF474" s="10"/>
      <c r="AG474" s="10"/>
      <c r="AH474" s="10"/>
      <c r="AI474" s="12">
        <f t="shared" si="12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24"/>
        <v>0</v>
      </c>
      <c r="H475" s="10"/>
      <c r="I475" s="10"/>
      <c r="J475" s="10"/>
      <c r="K475" s="12">
        <f t="shared" si="125"/>
        <v>0</v>
      </c>
      <c r="M475" s="10">
        <v>24</v>
      </c>
      <c r="N475" s="30"/>
      <c r="O475" s="31"/>
      <c r="P475" s="47"/>
      <c r="Q475" s="31"/>
      <c r="R475" s="31"/>
      <c r="S475" s="32">
        <f t="shared" si="126"/>
        <v>0</v>
      </c>
      <c r="T475" s="10"/>
      <c r="U475" s="10"/>
      <c r="V475" s="10"/>
      <c r="W475" s="12">
        <f t="shared" si="12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33"/>
        <v>0</v>
      </c>
      <c r="AF475" s="10"/>
      <c r="AG475" s="10"/>
      <c r="AH475" s="10"/>
      <c r="AI475" s="12">
        <f t="shared" si="12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24"/>
        <v>0</v>
      </c>
      <c r="H476" s="10"/>
      <c r="I476" s="10"/>
      <c r="J476" s="10"/>
      <c r="K476" s="12">
        <f t="shared" si="125"/>
        <v>0</v>
      </c>
      <c r="M476" s="10">
        <v>25</v>
      </c>
      <c r="N476" s="30"/>
      <c r="O476" s="31"/>
      <c r="P476" s="47"/>
      <c r="Q476" s="31"/>
      <c r="R476" s="31"/>
      <c r="S476" s="32">
        <f t="shared" si="126"/>
        <v>0</v>
      </c>
      <c r="T476" s="10"/>
      <c r="U476" s="10"/>
      <c r="V476" s="10"/>
      <c r="W476" s="12">
        <f t="shared" si="12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33"/>
        <v>0</v>
      </c>
      <c r="AF476" s="10"/>
      <c r="AG476" s="10"/>
      <c r="AH476" s="10"/>
      <c r="AI476" s="12">
        <f t="shared" si="12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24"/>
        <v>0</v>
      </c>
      <c r="H477" s="10"/>
      <c r="I477" s="10"/>
      <c r="J477" s="10"/>
      <c r="K477" s="12">
        <f t="shared" si="125"/>
        <v>0</v>
      </c>
      <c r="M477" s="10">
        <v>26</v>
      </c>
      <c r="N477" s="30"/>
      <c r="O477" s="31"/>
      <c r="P477" s="47"/>
      <c r="Q477" s="31"/>
      <c r="R477" s="31"/>
      <c r="S477" s="32">
        <f t="shared" si="126"/>
        <v>0</v>
      </c>
      <c r="T477" s="10"/>
      <c r="U477" s="10"/>
      <c r="V477" s="10"/>
      <c r="W477" s="12">
        <f t="shared" si="127"/>
        <v>0</v>
      </c>
      <c r="Y477" s="10">
        <v>26</v>
      </c>
      <c r="Z477" s="30"/>
      <c r="AB477" s="47"/>
      <c r="AC477" s="31"/>
      <c r="AD477" s="31"/>
      <c r="AE477" s="32">
        <f t="shared" si="133"/>
        <v>0</v>
      </c>
      <c r="AF477" s="10"/>
      <c r="AG477" s="10"/>
      <c r="AH477" s="10"/>
      <c r="AI477" s="12">
        <f t="shared" si="12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24"/>
        <v>0</v>
      </c>
      <c r="H478" s="10"/>
      <c r="I478" s="10"/>
      <c r="J478" s="10"/>
      <c r="K478" s="12">
        <f t="shared" si="125"/>
        <v>0</v>
      </c>
      <c r="M478" s="10">
        <v>27</v>
      </c>
      <c r="N478" s="30"/>
      <c r="O478" s="31"/>
      <c r="P478" s="47"/>
      <c r="Q478" s="31"/>
      <c r="R478" s="31"/>
      <c r="S478" s="32">
        <f t="shared" si="126"/>
        <v>0</v>
      </c>
      <c r="T478" s="10"/>
      <c r="U478" s="10"/>
      <c r="V478" s="10"/>
      <c r="W478" s="12">
        <f t="shared" si="12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33"/>
        <v>0</v>
      </c>
      <c r="AF478" s="10"/>
      <c r="AG478" s="10"/>
      <c r="AH478" s="10"/>
      <c r="AI478" s="12">
        <f t="shared" si="12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24"/>
        <v>0</v>
      </c>
      <c r="H479" s="10"/>
      <c r="I479" s="10"/>
      <c r="J479" s="10"/>
      <c r="K479" s="12">
        <f t="shared" si="125"/>
        <v>0</v>
      </c>
      <c r="M479" s="10">
        <v>28</v>
      </c>
      <c r="N479" s="30"/>
      <c r="O479" s="31"/>
      <c r="P479" s="47"/>
      <c r="Q479" s="31"/>
      <c r="R479" s="31"/>
      <c r="S479" s="32">
        <f t="shared" si="126"/>
        <v>0</v>
      </c>
      <c r="T479" s="10"/>
      <c r="U479" s="10"/>
      <c r="V479" s="10"/>
      <c r="W479" s="12">
        <f t="shared" si="12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33"/>
        <v>0</v>
      </c>
      <c r="AF479" s="10"/>
      <c r="AG479" s="10"/>
      <c r="AH479" s="10"/>
      <c r="AI479" s="12">
        <f t="shared" si="12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24"/>
        <v>0</v>
      </c>
      <c r="H480" s="10"/>
      <c r="I480" s="10"/>
      <c r="J480" s="10"/>
      <c r="K480" s="12">
        <f t="shared" si="125"/>
        <v>0</v>
      </c>
      <c r="M480" s="10">
        <v>29</v>
      </c>
      <c r="N480" s="30"/>
      <c r="O480" s="31"/>
      <c r="P480" s="47"/>
      <c r="Q480" s="31"/>
      <c r="R480" s="31"/>
      <c r="S480" s="32">
        <f t="shared" si="126"/>
        <v>0</v>
      </c>
      <c r="T480" s="10"/>
      <c r="U480" s="10"/>
      <c r="V480" s="10"/>
      <c r="W480" s="12">
        <f t="shared" si="12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33"/>
        <v>0</v>
      </c>
      <c r="AF480" s="10"/>
      <c r="AG480" s="10"/>
      <c r="AH480" s="10"/>
      <c r="AI480" s="12">
        <f t="shared" si="12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24"/>
        <v>0</v>
      </c>
      <c r="H481" s="10"/>
      <c r="I481" s="10"/>
      <c r="J481" s="10"/>
      <c r="K481" s="12">
        <f t="shared" si="125"/>
        <v>0</v>
      </c>
      <c r="M481" s="10">
        <v>30</v>
      </c>
      <c r="N481" s="30"/>
      <c r="O481" s="31"/>
      <c r="P481" s="47"/>
      <c r="Q481" s="31"/>
      <c r="R481" s="31"/>
      <c r="S481" s="32">
        <f t="shared" si="126"/>
        <v>0</v>
      </c>
      <c r="T481" s="10"/>
      <c r="U481" s="10"/>
      <c r="V481" s="10"/>
      <c r="W481" s="12">
        <f t="shared" si="12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33"/>
        <v>0</v>
      </c>
      <c r="AF481" s="10"/>
      <c r="AG481" s="10"/>
      <c r="AH481" s="10"/>
      <c r="AI481" s="12">
        <f t="shared" si="12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24"/>
        <v>0</v>
      </c>
      <c r="H482" s="10"/>
      <c r="I482" s="10"/>
      <c r="J482" s="10"/>
      <c r="K482" s="12">
        <f t="shared" si="125"/>
        <v>0</v>
      </c>
      <c r="M482" s="10">
        <v>31</v>
      </c>
      <c r="N482" s="30"/>
      <c r="O482" s="31"/>
      <c r="P482" s="47"/>
      <c r="Q482" s="31"/>
      <c r="R482" s="31"/>
      <c r="S482" s="32">
        <f t="shared" si="126"/>
        <v>0</v>
      </c>
      <c r="T482" s="10"/>
      <c r="U482" s="10"/>
      <c r="V482" s="10"/>
      <c r="W482" s="12">
        <f t="shared" si="12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33"/>
        <v>0</v>
      </c>
      <c r="AF482" s="10"/>
      <c r="AG482" s="10"/>
      <c r="AH482" s="10"/>
      <c r="AI482" s="12">
        <f t="shared" si="12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24"/>
        <v>0</v>
      </c>
      <c r="H483" s="10"/>
      <c r="I483" s="10"/>
      <c r="J483" s="10"/>
      <c r="K483" s="12">
        <f t="shared" si="125"/>
        <v>0</v>
      </c>
      <c r="M483" s="10">
        <v>32</v>
      </c>
      <c r="N483" s="30"/>
      <c r="O483" s="31"/>
      <c r="P483" s="47"/>
      <c r="Q483" s="31"/>
      <c r="R483" s="31"/>
      <c r="S483" s="32">
        <f t="shared" si="126"/>
        <v>0</v>
      </c>
      <c r="T483" s="10"/>
      <c r="U483" s="10"/>
      <c r="V483" s="10"/>
      <c r="W483" s="12">
        <f t="shared" si="12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33"/>
        <v>0</v>
      </c>
      <c r="AF483" s="10"/>
      <c r="AG483" s="10"/>
      <c r="AH483" s="10"/>
      <c r="AI483" s="12">
        <f t="shared" si="12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24"/>
        <v>0</v>
      </c>
      <c r="H484" s="10"/>
      <c r="I484" s="10"/>
      <c r="J484" s="10"/>
      <c r="K484" s="12">
        <f t="shared" si="125"/>
        <v>0</v>
      </c>
      <c r="M484" s="10">
        <v>33</v>
      </c>
      <c r="N484" s="30"/>
      <c r="O484" s="31"/>
      <c r="P484" s="47"/>
      <c r="Q484" s="31"/>
      <c r="R484" s="31"/>
      <c r="S484" s="32">
        <f t="shared" si="126"/>
        <v>0</v>
      </c>
      <c r="T484" s="10"/>
      <c r="U484" s="10"/>
      <c r="V484" s="10"/>
      <c r="W484" s="12">
        <f t="shared" si="12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33"/>
        <v>0</v>
      </c>
      <c r="AF484" s="10"/>
      <c r="AG484" s="10"/>
      <c r="AH484" s="10"/>
      <c r="AI484" s="12">
        <f t="shared" si="12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24"/>
        <v>0</v>
      </c>
      <c r="H485" s="10"/>
      <c r="I485" s="10"/>
      <c r="J485" s="10"/>
      <c r="K485" s="12">
        <f t="shared" si="125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34">SUM(P485:Q485)</f>
        <v>0</v>
      </c>
      <c r="T485" s="10"/>
      <c r="U485" s="10"/>
      <c r="V485" s="10"/>
      <c r="W485" s="12">
        <f t="shared" si="12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35">SUM(AB485:AC485)</f>
        <v>0</v>
      </c>
      <c r="AF485" s="10"/>
      <c r="AG485" s="10"/>
      <c r="AH485" s="10"/>
      <c r="AI485" s="12">
        <f t="shared" si="12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P486" s="47"/>
      <c r="Q486" s="31"/>
      <c r="R486" s="31"/>
      <c r="S486" s="32">
        <f t="shared" si="134"/>
        <v>0</v>
      </c>
      <c r="T486" s="10"/>
      <c r="U486" s="10"/>
      <c r="V486" s="10"/>
      <c r="W486" s="12">
        <f t="shared" si="12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35"/>
        <v>0</v>
      </c>
      <c r="AF486" s="10"/>
      <c r="AG486" s="10"/>
      <c r="AH486" s="10"/>
      <c r="AI486" s="12">
        <f t="shared" si="12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34"/>
        <v>0</v>
      </c>
      <c r="T487" s="10"/>
      <c r="U487" s="10"/>
      <c r="V487" s="10"/>
      <c r="W487" s="12">
        <f t="shared" si="12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35"/>
        <v>0</v>
      </c>
      <c r="AF487" s="10"/>
      <c r="AG487" s="10"/>
      <c r="AH487" s="10"/>
      <c r="AI487" s="12">
        <f t="shared" si="12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O488" s="31"/>
      <c r="P488" s="47"/>
      <c r="Q488" s="31"/>
      <c r="R488" s="31"/>
      <c r="S488" s="32">
        <f t="shared" si="134"/>
        <v>0</v>
      </c>
      <c r="T488" s="10"/>
      <c r="U488" s="10"/>
      <c r="V488" s="10"/>
      <c r="W488" s="12">
        <f t="shared" si="12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35"/>
        <v>0</v>
      </c>
      <c r="AF488" s="10"/>
      <c r="AG488" s="10"/>
      <c r="AH488" s="10"/>
      <c r="AI488" s="12">
        <f t="shared" si="12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34"/>
        <v>0</v>
      </c>
      <c r="T489" s="10"/>
      <c r="U489" s="10"/>
      <c r="V489" s="10"/>
      <c r="W489" s="12">
        <f t="shared" si="12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35"/>
        <v>0</v>
      </c>
      <c r="AF489" s="10"/>
      <c r="AG489" s="10"/>
      <c r="AH489" s="10"/>
      <c r="AI489" s="12">
        <f t="shared" si="12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34"/>
        <v>0</v>
      </c>
      <c r="T490" s="10"/>
      <c r="U490" s="10"/>
      <c r="V490" s="10"/>
      <c r="W490" s="12">
        <f t="shared" si="12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35"/>
        <v>0</v>
      </c>
      <c r="AF490" s="10"/>
      <c r="AG490" s="10"/>
      <c r="AH490" s="10"/>
      <c r="AI490" s="12">
        <f t="shared" si="12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36">SUM(D492:E492)</f>
        <v>0</v>
      </c>
      <c r="H492" s="10"/>
      <c r="I492" s="10"/>
      <c r="J492" s="10"/>
      <c r="K492" s="12">
        <f t="shared" ref="K492" si="137">SUM(G492:J492)</f>
        <v>0</v>
      </c>
      <c r="M492" s="10"/>
      <c r="N492" s="30"/>
      <c r="O492" s="31"/>
      <c r="P492" s="47"/>
      <c r="Q492" s="31"/>
      <c r="R492" s="31"/>
      <c r="S492" s="32">
        <f t="shared" ref="S492" si="138">SUM(P492:Q492)</f>
        <v>0</v>
      </c>
      <c r="T492" s="10"/>
      <c r="U492" s="10"/>
      <c r="V492" s="10"/>
      <c r="W492" s="12">
        <f t="shared" si="127"/>
        <v>0</v>
      </c>
      <c r="Y492" s="10"/>
      <c r="Z492" s="30"/>
      <c r="AA492" s="31"/>
      <c r="AB492" s="47"/>
      <c r="AC492" s="31"/>
      <c r="AD492" s="31"/>
      <c r="AE492" s="32">
        <f t="shared" ref="AE492" si="139">SUM(AB492:AC492)</f>
        <v>0</v>
      </c>
      <c r="AF492" s="10"/>
      <c r="AG492" s="10"/>
      <c r="AH492" s="10"/>
      <c r="AI492" s="12">
        <f t="shared" si="12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273265</v>
      </c>
      <c r="E495" s="38">
        <f t="shared" ref="E495:F495" si="140">SUM(E452:E492)</f>
        <v>-1938</v>
      </c>
      <c r="F495" s="38">
        <f t="shared" si="140"/>
        <v>0</v>
      </c>
      <c r="G495" s="38">
        <f>SUM(G452:G494)</f>
        <v>271327</v>
      </c>
      <c r="H495" s="4"/>
      <c r="I495" s="39">
        <f>SUM(I452:I494)</f>
        <v>858</v>
      </c>
      <c r="J495" s="39">
        <f>SUM(J452:J494)</f>
        <v>-8761.5</v>
      </c>
      <c r="K495" s="40">
        <f>SUM(K452:K494)</f>
        <v>263423.5</v>
      </c>
      <c r="N495" s="57"/>
      <c r="O495" s="57"/>
      <c r="P495" s="38">
        <f>SUM(P452:P494)</f>
        <v>228490</v>
      </c>
      <c r="Q495" s="38">
        <f>SUM(Q452:Q476)</f>
        <v>-1776</v>
      </c>
      <c r="R495" s="38">
        <f>SUM(R452:R476)</f>
        <v>0</v>
      </c>
      <c r="S495" s="38">
        <f>SUM(S452:S494)</f>
        <v>226714</v>
      </c>
      <c r="T495" s="4"/>
      <c r="U495" s="41">
        <f>SUM(U452:U494)</f>
        <v>738</v>
      </c>
      <c r="V495" s="41">
        <f>SUM(V452:V476)</f>
        <v>-6090</v>
      </c>
      <c r="W495" s="42">
        <f>SUM(W452:W494)</f>
        <v>221362</v>
      </c>
      <c r="Z495" s="57"/>
      <c r="AA495" s="57"/>
      <c r="AB495" s="38">
        <f>SUM(AB452:AB494)</f>
        <v>298633</v>
      </c>
      <c r="AC495" s="38">
        <f>SUM(AC452:AC476)</f>
        <v>-2388</v>
      </c>
      <c r="AD495" s="38">
        <f>SUM(AD452:AD476)</f>
        <v>0</v>
      </c>
      <c r="AE495" s="38">
        <f>SUM(AE452:AE494)</f>
        <v>296245</v>
      </c>
      <c r="AF495" s="4"/>
      <c r="AG495" s="41">
        <f>SUM(AG452:AG494)</f>
        <v>4308</v>
      </c>
      <c r="AH495" s="41">
        <f>SUM(AH452:AH476)</f>
        <v>-13593</v>
      </c>
      <c r="AI495" s="42">
        <f>SUM(AI452:AI494)</f>
        <v>286960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35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1" t="s">
        <v>17</v>
      </c>
      <c r="E505" s="111"/>
      <c r="F505" s="99"/>
      <c r="G505" s="27"/>
      <c r="I505" s="109" t="s">
        <v>18</v>
      </c>
      <c r="J505" s="110"/>
      <c r="K505" s="107" t="s">
        <v>19</v>
      </c>
      <c r="N505" s="25"/>
      <c r="O505" s="26"/>
      <c r="P505" s="111" t="s">
        <v>17</v>
      </c>
      <c r="Q505" s="111"/>
      <c r="R505" s="99"/>
      <c r="S505" s="27"/>
      <c r="U505" s="109" t="s">
        <v>18</v>
      </c>
      <c r="V505" s="110"/>
      <c r="W505" s="107" t="s">
        <v>19</v>
      </c>
      <c r="Z505" s="25"/>
      <c r="AA505" s="26"/>
      <c r="AB505" s="111" t="s">
        <v>17</v>
      </c>
      <c r="AC505" s="111"/>
      <c r="AD505" s="99"/>
      <c r="AE505" s="27"/>
      <c r="AG505" s="109" t="s">
        <v>18</v>
      </c>
      <c r="AH505" s="110"/>
      <c r="AI505" s="10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8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0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46359</v>
      </c>
      <c r="C507" s="83">
        <v>9559</v>
      </c>
      <c r="D507" s="32">
        <f>650*8</f>
        <v>5200</v>
      </c>
      <c r="E507" s="32"/>
      <c r="F507" s="32"/>
      <c r="G507" s="32">
        <f t="shared" ref="G507:G540" si="141">SUM(D507:E507)</f>
        <v>5200</v>
      </c>
      <c r="H507" s="12"/>
      <c r="I507" s="12"/>
      <c r="J507" s="12"/>
      <c r="K507" s="12">
        <f t="shared" ref="K507:K540" si="142">SUM(G507:J507)</f>
        <v>5200</v>
      </c>
      <c r="M507" s="10">
        <v>1</v>
      </c>
      <c r="N507" s="30">
        <v>46359</v>
      </c>
      <c r="O507" s="31">
        <v>9624</v>
      </c>
      <c r="P507" s="32">
        <f>650*57+622*10+229*2</f>
        <v>43728</v>
      </c>
      <c r="Q507" s="32"/>
      <c r="R507" s="32"/>
      <c r="S507" s="32">
        <f>SUM(P507:Q507)</f>
        <v>43728</v>
      </c>
      <c r="T507" s="12"/>
      <c r="U507" s="12">
        <f>1110+156+31.5</f>
        <v>1297.5</v>
      </c>
      <c r="V507" s="12"/>
      <c r="W507" s="12">
        <f>SUM(S507:V507)</f>
        <v>45025.5</v>
      </c>
      <c r="Y507" s="10">
        <v>1</v>
      </c>
      <c r="Z507" s="30">
        <v>46359</v>
      </c>
      <c r="AA507" s="31">
        <v>9538</v>
      </c>
      <c r="AB507" s="32">
        <f>650*30+229</f>
        <v>19729</v>
      </c>
      <c r="AC507" s="32"/>
      <c r="AD507" s="32"/>
      <c r="AE507" s="32">
        <f>SUM(AB507:AC507)</f>
        <v>19729</v>
      </c>
      <c r="AF507" s="12"/>
      <c r="AG507" s="12">
        <v>54</v>
      </c>
      <c r="AH507" s="12"/>
      <c r="AI507" s="12">
        <f>SUM(AE507:AH507)</f>
        <v>19783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46359</v>
      </c>
      <c r="C508" s="83">
        <f>C507+1</f>
        <v>9560</v>
      </c>
      <c r="D508" s="32">
        <f>650*378+229*15</f>
        <v>249135</v>
      </c>
      <c r="E508" s="32">
        <f>-378*6</f>
        <v>-2268</v>
      </c>
      <c r="F508" s="32"/>
      <c r="G508" s="32">
        <f t="shared" si="141"/>
        <v>246867</v>
      </c>
      <c r="H508" s="12"/>
      <c r="I508" s="12"/>
      <c r="J508" s="12">
        <f>-270*111+-42*4</f>
        <v>-30138</v>
      </c>
      <c r="K508" s="12">
        <f t="shared" si="142"/>
        <v>216729</v>
      </c>
      <c r="M508" s="10">
        <v>2</v>
      </c>
      <c r="N508" s="30">
        <v>46359</v>
      </c>
      <c r="O508" s="31">
        <f>O507+1</f>
        <v>9625</v>
      </c>
      <c r="P508" s="32">
        <f>650*2+622*4+9.5*6</f>
        <v>3845</v>
      </c>
      <c r="Q508" s="32"/>
      <c r="R508" s="32"/>
      <c r="S508" s="32">
        <f t="shared" ref="S508:S539" si="143">SUM(P508:Q508)</f>
        <v>3845</v>
      </c>
      <c r="T508" s="12"/>
      <c r="U508" s="12"/>
      <c r="V508" s="12"/>
      <c r="W508" s="12">
        <f t="shared" ref="W508:W548" si="144">SUM(S508:V508)</f>
        <v>3845</v>
      </c>
      <c r="Y508" s="10">
        <v>2</v>
      </c>
      <c r="Z508" s="30">
        <v>46359</v>
      </c>
      <c r="AA508" s="31">
        <f>AA507+1</f>
        <v>9539</v>
      </c>
      <c r="AB508" s="32">
        <f>650*125+670*5+622*25+912*2+229*6+650*2</f>
        <v>104648</v>
      </c>
      <c r="AC508" s="32">
        <f>-157*6</f>
        <v>-942</v>
      </c>
      <c r="AD508" s="32"/>
      <c r="AE508" s="32">
        <f t="shared" ref="AE508:AE516" si="145">SUM(AB508:AC508)</f>
        <v>103706</v>
      </c>
      <c r="AF508" s="12"/>
      <c r="AG508" s="12"/>
      <c r="AH508" s="12"/>
      <c r="AI508" s="12">
        <f t="shared" ref="AI508:AI548" si="146">SUM(AE508:AH508)</f>
        <v>103706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46359</v>
      </c>
      <c r="C509" s="83">
        <f t="shared" ref="C509:C515" si="147">C508+1</f>
        <v>9561</v>
      </c>
      <c r="D509" s="33">
        <f>650*37</f>
        <v>24050</v>
      </c>
      <c r="E509" s="33"/>
      <c r="F509" s="33"/>
      <c r="G509" s="33">
        <f t="shared" si="141"/>
        <v>24050</v>
      </c>
      <c r="H509" s="34"/>
      <c r="I509" s="34"/>
      <c r="J509" s="34"/>
      <c r="K509" s="34">
        <f t="shared" si="142"/>
        <v>24050</v>
      </c>
      <c r="M509" s="10">
        <v>3</v>
      </c>
      <c r="N509" s="30">
        <v>46359</v>
      </c>
      <c r="O509" s="31">
        <f t="shared" ref="O509:O518" si="148">O508+1</f>
        <v>9626</v>
      </c>
      <c r="P509" s="32">
        <f>650*4+622*10+9.5*14</f>
        <v>8953</v>
      </c>
      <c r="Q509" s="32"/>
      <c r="R509" s="32"/>
      <c r="S509" s="32">
        <f t="shared" si="143"/>
        <v>8953</v>
      </c>
      <c r="T509" s="12"/>
      <c r="U509" s="12"/>
      <c r="V509" s="12"/>
      <c r="W509" s="12">
        <f t="shared" si="144"/>
        <v>8953</v>
      </c>
      <c r="Y509" s="10">
        <v>3</v>
      </c>
      <c r="Z509" s="30">
        <v>46359</v>
      </c>
      <c r="AA509" s="31">
        <f t="shared" ref="AA509:AA513" si="149">AA508+1</f>
        <v>9540</v>
      </c>
      <c r="AB509" s="33">
        <f>650*8+9.5*8</f>
        <v>5276</v>
      </c>
      <c r="AC509" s="33"/>
      <c r="AD509" s="32"/>
      <c r="AE509" s="32">
        <f t="shared" si="145"/>
        <v>5276</v>
      </c>
      <c r="AF509" s="12"/>
      <c r="AG509" s="12"/>
      <c r="AH509" s="12"/>
      <c r="AI509" s="12">
        <f t="shared" si="146"/>
        <v>5276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46359</v>
      </c>
      <c r="C510" s="83">
        <f t="shared" si="147"/>
        <v>9562</v>
      </c>
      <c r="D510" s="32">
        <f>650+622</f>
        <v>1272</v>
      </c>
      <c r="E510" s="32"/>
      <c r="F510" s="32"/>
      <c r="G510" s="32">
        <f t="shared" si="141"/>
        <v>1272</v>
      </c>
      <c r="H510" s="12"/>
      <c r="I510" s="12"/>
      <c r="J510" s="12"/>
      <c r="K510" s="12">
        <f t="shared" si="142"/>
        <v>1272</v>
      </c>
      <c r="M510" s="10">
        <v>4</v>
      </c>
      <c r="N510" s="30">
        <v>46359</v>
      </c>
      <c r="O510" s="31">
        <f t="shared" si="148"/>
        <v>9627</v>
      </c>
      <c r="P510" s="32">
        <f>650*2+622*5</f>
        <v>4410</v>
      </c>
      <c r="Q510" s="32"/>
      <c r="R510" s="32"/>
      <c r="S510" s="32">
        <f t="shared" si="143"/>
        <v>4410</v>
      </c>
      <c r="T510" s="12"/>
      <c r="U510" s="12"/>
      <c r="V510" s="12"/>
      <c r="W510" s="12">
        <f t="shared" si="144"/>
        <v>4410</v>
      </c>
      <c r="Y510" s="10">
        <v>4</v>
      </c>
      <c r="Z510" s="30">
        <v>46359</v>
      </c>
      <c r="AA510" s="31">
        <f t="shared" si="149"/>
        <v>9541</v>
      </c>
      <c r="AB510" s="32">
        <f>650*100+670*8+229*4</f>
        <v>71276</v>
      </c>
      <c r="AC510" s="32">
        <f>-108*6</f>
        <v>-648</v>
      </c>
      <c r="AD510" s="32"/>
      <c r="AE510" s="32">
        <f t="shared" si="145"/>
        <v>70628</v>
      </c>
      <c r="AF510" s="12"/>
      <c r="AG510" s="58"/>
      <c r="AH510" s="12">
        <v>-5550</v>
      </c>
      <c r="AI510" s="12">
        <f t="shared" si="146"/>
        <v>65078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46359</v>
      </c>
      <c r="C511" s="83">
        <f t="shared" si="147"/>
        <v>9563</v>
      </c>
      <c r="D511" s="32">
        <f>650+622</f>
        <v>1272</v>
      </c>
      <c r="E511" s="32"/>
      <c r="F511" s="32"/>
      <c r="G511" s="32">
        <f t="shared" si="141"/>
        <v>1272</v>
      </c>
      <c r="H511" s="12"/>
      <c r="I511" s="12"/>
      <c r="J511" s="12"/>
      <c r="K511" s="12">
        <f t="shared" si="142"/>
        <v>1272</v>
      </c>
      <c r="M511" s="10">
        <v>5</v>
      </c>
      <c r="N511" s="30">
        <v>46359</v>
      </c>
      <c r="O511" s="31">
        <f t="shared" si="148"/>
        <v>9628</v>
      </c>
      <c r="P511" s="32">
        <f>622*2+9.5*2</f>
        <v>1263</v>
      </c>
      <c r="Q511" s="32"/>
      <c r="R511" s="32"/>
      <c r="S511" s="32">
        <f t="shared" si="143"/>
        <v>1263</v>
      </c>
      <c r="T511" s="12"/>
      <c r="U511" s="12"/>
      <c r="V511" s="12"/>
      <c r="W511" s="12">
        <f t="shared" si="144"/>
        <v>1263</v>
      </c>
      <c r="Y511" s="10">
        <v>5</v>
      </c>
      <c r="Z511" s="30">
        <v>46359</v>
      </c>
      <c r="AA511" s="31">
        <f t="shared" si="149"/>
        <v>9542</v>
      </c>
      <c r="AB511" s="32">
        <f>650*41+670*2+622*5+872*2+229</f>
        <v>33073</v>
      </c>
      <c r="AC511" s="32">
        <v>-300</v>
      </c>
      <c r="AD511" s="32"/>
      <c r="AE511" s="32">
        <f t="shared" si="145"/>
        <v>32773</v>
      </c>
      <c r="AF511" s="12"/>
      <c r="AG511" s="12">
        <v>2.25</v>
      </c>
      <c r="AH511" s="12"/>
      <c r="AI511" s="12">
        <f t="shared" si="146"/>
        <v>32775.25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46359</v>
      </c>
      <c r="C512" s="83">
        <f t="shared" si="147"/>
        <v>9564</v>
      </c>
      <c r="D512" s="32">
        <f>650+622</f>
        <v>1272</v>
      </c>
      <c r="E512" s="32"/>
      <c r="F512" s="32"/>
      <c r="G512" s="32">
        <f t="shared" si="141"/>
        <v>1272</v>
      </c>
      <c r="H512" s="12"/>
      <c r="I512" s="12"/>
      <c r="J512" s="12"/>
      <c r="K512" s="12">
        <f t="shared" si="142"/>
        <v>1272</v>
      </c>
      <c r="M512" s="10">
        <v>6</v>
      </c>
      <c r="N512" s="30">
        <v>46359</v>
      </c>
      <c r="O512" s="31">
        <f t="shared" si="148"/>
        <v>9629</v>
      </c>
      <c r="P512" s="32">
        <f>650*15+622*5+9.5*20</f>
        <v>13050</v>
      </c>
      <c r="Q512" s="32"/>
      <c r="R512" s="32"/>
      <c r="S512" s="32">
        <f t="shared" si="143"/>
        <v>13050</v>
      </c>
      <c r="T512" s="12"/>
      <c r="U512" s="12">
        <v>30</v>
      </c>
      <c r="V512" s="10"/>
      <c r="W512" s="12">
        <f t="shared" si="144"/>
        <v>13080</v>
      </c>
      <c r="Y512" s="10">
        <v>6</v>
      </c>
      <c r="Z512" s="30">
        <v>46359</v>
      </c>
      <c r="AA512" s="31">
        <f t="shared" si="149"/>
        <v>9543</v>
      </c>
      <c r="AB512" s="32">
        <f>650*50+872+229*2</f>
        <v>33830</v>
      </c>
      <c r="AC512" s="32"/>
      <c r="AD512" s="32"/>
      <c r="AE512" s="32">
        <f t="shared" si="145"/>
        <v>33830</v>
      </c>
      <c r="AF512" s="12"/>
      <c r="AG512" s="12"/>
      <c r="AH512" s="10"/>
      <c r="AI512" s="12">
        <f t="shared" si="146"/>
        <v>33830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>
        <v>46359</v>
      </c>
      <c r="C513" s="83">
        <f t="shared" si="147"/>
        <v>9565</v>
      </c>
      <c r="D513" s="32">
        <f>650*2+622</f>
        <v>1922</v>
      </c>
      <c r="E513" s="32"/>
      <c r="F513" s="32"/>
      <c r="G513" s="32">
        <f t="shared" si="141"/>
        <v>1922</v>
      </c>
      <c r="H513" s="12"/>
      <c r="I513" s="12"/>
      <c r="J513" s="12"/>
      <c r="K513" s="12">
        <f t="shared" si="142"/>
        <v>1922</v>
      </c>
      <c r="M513" s="10">
        <v>7</v>
      </c>
      <c r="N513" s="30">
        <v>46359</v>
      </c>
      <c r="O513" s="31">
        <f t="shared" si="148"/>
        <v>9630</v>
      </c>
      <c r="P513" s="32">
        <f>650*4+622*2+9.5*6</f>
        <v>3901</v>
      </c>
      <c r="Q513" s="32"/>
      <c r="R513" s="32"/>
      <c r="S513" s="32">
        <f t="shared" si="143"/>
        <v>3901</v>
      </c>
      <c r="T513" s="12"/>
      <c r="U513" s="12">
        <f>666+27</f>
        <v>693</v>
      </c>
      <c r="V513" s="12"/>
      <c r="W513" s="12">
        <f t="shared" si="144"/>
        <v>4594</v>
      </c>
      <c r="Y513" s="10">
        <v>7</v>
      </c>
      <c r="Z513" s="30">
        <v>46359</v>
      </c>
      <c r="AA513" s="31">
        <f t="shared" si="149"/>
        <v>9544</v>
      </c>
      <c r="AB513" s="32">
        <f>650*8</f>
        <v>5200</v>
      </c>
      <c r="AC513" s="32"/>
      <c r="AD513" s="32"/>
      <c r="AE513" s="32">
        <f t="shared" si="145"/>
        <v>5200</v>
      </c>
      <c r="AF513" s="12"/>
      <c r="AG513" s="58"/>
      <c r="AH513" s="12"/>
      <c r="AI513" s="12">
        <f t="shared" si="146"/>
        <v>5200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>
        <v>46359</v>
      </c>
      <c r="C514" s="83">
        <f t="shared" si="147"/>
        <v>9566</v>
      </c>
      <c r="D514" s="32">
        <f>650</f>
        <v>650</v>
      </c>
      <c r="E514" s="32"/>
      <c r="F514" s="32"/>
      <c r="G514" s="32">
        <f t="shared" si="141"/>
        <v>650</v>
      </c>
      <c r="H514" s="12"/>
      <c r="I514" s="12"/>
      <c r="J514" s="12"/>
      <c r="K514" s="12">
        <f t="shared" si="142"/>
        <v>650</v>
      </c>
      <c r="M514" s="10">
        <v>8</v>
      </c>
      <c r="N514" s="30">
        <v>46359</v>
      </c>
      <c r="O514" s="31">
        <f t="shared" si="148"/>
        <v>9631</v>
      </c>
      <c r="P514" s="32">
        <f>650*5+9.5*5</f>
        <v>3297.5</v>
      </c>
      <c r="Q514" s="32"/>
      <c r="R514" s="32"/>
      <c r="S514" s="32">
        <f t="shared" si="143"/>
        <v>3297.5</v>
      </c>
      <c r="T514" s="12"/>
      <c r="U514" s="12"/>
      <c r="V514" s="12">
        <f>-111+-168</f>
        <v>-279</v>
      </c>
      <c r="W514" s="12">
        <f t="shared" si="144"/>
        <v>3018.5</v>
      </c>
      <c r="Y514" s="10">
        <v>8</v>
      </c>
      <c r="Z514" s="30"/>
      <c r="AA514" s="11" t="s">
        <v>27</v>
      </c>
      <c r="AB514" s="32"/>
      <c r="AC514" s="32"/>
      <c r="AE514" s="32">
        <f t="shared" si="145"/>
        <v>0</v>
      </c>
      <c r="AF514" s="12"/>
      <c r="AG514" s="12"/>
      <c r="AH514" s="12"/>
      <c r="AI514" s="12">
        <f t="shared" si="146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>
        <v>46359</v>
      </c>
      <c r="C515" s="83">
        <f t="shared" si="147"/>
        <v>9567</v>
      </c>
      <c r="D515" s="32">
        <f>650*2</f>
        <v>1300</v>
      </c>
      <c r="E515" s="32"/>
      <c r="F515" s="32"/>
      <c r="G515" s="32">
        <f t="shared" si="141"/>
        <v>1300</v>
      </c>
      <c r="H515" s="12"/>
      <c r="I515" s="12"/>
      <c r="J515" s="12"/>
      <c r="K515" s="12">
        <f t="shared" si="142"/>
        <v>1300</v>
      </c>
      <c r="M515" s="10">
        <v>9</v>
      </c>
      <c r="N515" s="30">
        <v>46359</v>
      </c>
      <c r="O515" s="31">
        <f t="shared" si="148"/>
        <v>9632</v>
      </c>
      <c r="P515" s="32">
        <f>650*2+622+9.5*3</f>
        <v>1950.5</v>
      </c>
      <c r="Q515" s="32"/>
      <c r="R515" s="32"/>
      <c r="S515" s="32">
        <f t="shared" si="143"/>
        <v>1950.5</v>
      </c>
      <c r="T515" s="12"/>
      <c r="U515" s="12"/>
      <c r="V515" s="12"/>
      <c r="W515" s="12">
        <f t="shared" si="144"/>
        <v>1950.5</v>
      </c>
      <c r="Y515" s="10">
        <v>9</v>
      </c>
      <c r="Z515" s="30"/>
      <c r="AA515" s="31"/>
      <c r="AB515" s="32"/>
      <c r="AC515" s="32"/>
      <c r="AD515" s="32"/>
      <c r="AE515" s="32">
        <f t="shared" si="145"/>
        <v>0</v>
      </c>
      <c r="AF515" s="12"/>
      <c r="AH515" s="12"/>
      <c r="AI515" s="12">
        <f t="shared" si="146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11" t="s">
        <v>27</v>
      </c>
      <c r="D516" s="32"/>
      <c r="E516" s="32"/>
      <c r="F516" s="32"/>
      <c r="G516" s="32">
        <f t="shared" si="141"/>
        <v>0</v>
      </c>
      <c r="H516" s="12"/>
      <c r="I516" s="12"/>
      <c r="J516" s="12"/>
      <c r="K516" s="12">
        <f t="shared" si="142"/>
        <v>0</v>
      </c>
      <c r="M516" s="10">
        <v>10</v>
      </c>
      <c r="N516" s="30">
        <v>46359</v>
      </c>
      <c r="O516" s="31">
        <f t="shared" si="148"/>
        <v>9633</v>
      </c>
      <c r="P516" s="32">
        <f>650*2+622+9.5*3</f>
        <v>1950.5</v>
      </c>
      <c r="Q516" s="32"/>
      <c r="R516" s="32"/>
      <c r="S516" s="32">
        <f t="shared" si="143"/>
        <v>1950.5</v>
      </c>
      <c r="T516" s="12"/>
      <c r="U516" s="12"/>
      <c r="V516" s="12"/>
      <c r="W516" s="12">
        <f t="shared" si="144"/>
        <v>1950.5</v>
      </c>
      <c r="Y516" s="10">
        <v>10</v>
      </c>
      <c r="Z516" s="30"/>
      <c r="AA516" s="31"/>
      <c r="AB516" s="32"/>
      <c r="AC516" s="32"/>
      <c r="AD516" s="32"/>
      <c r="AE516" s="32">
        <f t="shared" si="145"/>
        <v>0</v>
      </c>
      <c r="AF516" s="12"/>
      <c r="AG516" s="12"/>
      <c r="AH516" s="12"/>
      <c r="AI516" s="12">
        <f t="shared" si="146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41"/>
        <v>0</v>
      </c>
      <c r="H517" s="12"/>
      <c r="I517" s="12"/>
      <c r="J517" s="12"/>
      <c r="K517" s="12">
        <f t="shared" si="142"/>
        <v>0</v>
      </c>
      <c r="M517" s="10">
        <v>11</v>
      </c>
      <c r="N517" s="30">
        <v>46359</v>
      </c>
      <c r="O517" s="31">
        <f t="shared" si="148"/>
        <v>9634</v>
      </c>
      <c r="P517" s="32">
        <f>650*300+622*50+912*10+229*12+1175</f>
        <v>239143</v>
      </c>
      <c r="Q517" s="32">
        <f>-360*6</f>
        <v>-2160</v>
      </c>
      <c r="R517" s="32"/>
      <c r="S517" s="32">
        <f t="shared" si="143"/>
        <v>236983</v>
      </c>
      <c r="T517" s="12"/>
      <c r="U517" s="12">
        <f>120*5+111*160+78*5</f>
        <v>18750</v>
      </c>
      <c r="V517" s="12">
        <f>-588+-1680+-252</f>
        <v>-2520</v>
      </c>
      <c r="W517" s="12">
        <f t="shared" si="144"/>
        <v>253213</v>
      </c>
      <c r="Y517" s="10">
        <v>11</v>
      </c>
      <c r="Z517" s="30"/>
      <c r="AA517" s="31"/>
      <c r="AB517" s="32"/>
      <c r="AC517" s="32"/>
      <c r="AD517" s="32"/>
      <c r="AE517" s="32">
        <f t="shared" ref="AE517:AE539" si="150">SUM(AB517:AC517)</f>
        <v>0</v>
      </c>
      <c r="AF517" s="12"/>
      <c r="AG517" s="12"/>
      <c r="AH517" s="12"/>
      <c r="AI517" s="12">
        <f t="shared" si="146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41"/>
        <v>0</v>
      </c>
      <c r="H518" s="12"/>
      <c r="I518" s="12"/>
      <c r="J518" s="10"/>
      <c r="K518" s="12">
        <f t="shared" si="142"/>
        <v>0</v>
      </c>
      <c r="M518" s="10">
        <v>12</v>
      </c>
      <c r="N518" s="30">
        <v>46359</v>
      </c>
      <c r="O518" s="31">
        <f t="shared" si="148"/>
        <v>9635</v>
      </c>
      <c r="P518" s="32">
        <f>650*3+9.5</f>
        <v>1959.5</v>
      </c>
      <c r="Q518" s="32"/>
      <c r="R518" s="32"/>
      <c r="S518" s="32">
        <f t="shared" si="143"/>
        <v>1959.5</v>
      </c>
      <c r="T518" s="12"/>
      <c r="U518" s="12"/>
      <c r="V518" s="12"/>
      <c r="W518" s="12">
        <f t="shared" si="144"/>
        <v>1959.5</v>
      </c>
      <c r="Y518" s="10">
        <v>12</v>
      </c>
      <c r="Z518" s="30"/>
      <c r="AA518" s="31"/>
      <c r="AB518" s="32"/>
      <c r="AC518" s="32"/>
      <c r="AD518" s="32"/>
      <c r="AE518" s="32">
        <f t="shared" si="150"/>
        <v>0</v>
      </c>
      <c r="AF518" s="12"/>
      <c r="AG518" s="12"/>
      <c r="AH518" s="12"/>
      <c r="AI518" s="12">
        <f t="shared" si="14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41"/>
        <v>0</v>
      </c>
      <c r="H519" s="12"/>
      <c r="I519" s="12"/>
      <c r="J519" s="12"/>
      <c r="K519" s="12">
        <f t="shared" si="14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43"/>
        <v>0</v>
      </c>
      <c r="T519" s="12"/>
      <c r="U519" s="12"/>
      <c r="V519" s="12"/>
      <c r="W519" s="12">
        <f t="shared" si="14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0"/>
        <v>0</v>
      </c>
      <c r="AF519" s="12"/>
      <c r="AG519" s="12"/>
      <c r="AH519" s="12"/>
      <c r="AI519" s="12">
        <f t="shared" si="14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41"/>
        <v>0</v>
      </c>
      <c r="H520" s="12"/>
      <c r="I520" s="12"/>
      <c r="J520" s="12"/>
      <c r="K520" s="12">
        <f t="shared" si="142"/>
        <v>0</v>
      </c>
      <c r="M520" s="10">
        <v>14</v>
      </c>
      <c r="N520" s="30"/>
      <c r="O520" s="31"/>
      <c r="P520" s="32"/>
      <c r="Q520" s="32"/>
      <c r="R520" s="32"/>
      <c r="S520" s="32">
        <f t="shared" si="143"/>
        <v>0</v>
      </c>
      <c r="T520" s="12"/>
      <c r="U520" s="12"/>
      <c r="V520" s="12"/>
      <c r="W520" s="12">
        <f t="shared" si="14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0"/>
        <v>0</v>
      </c>
      <c r="AF520" s="12"/>
      <c r="AG520" s="12"/>
      <c r="AH520" s="12"/>
      <c r="AI520" s="12">
        <f t="shared" si="14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41"/>
        <v>0</v>
      </c>
      <c r="H521" s="12"/>
      <c r="I521" s="12"/>
      <c r="J521" s="12"/>
      <c r="K521" s="12">
        <f t="shared" si="142"/>
        <v>0</v>
      </c>
      <c r="M521" s="10">
        <v>15</v>
      </c>
      <c r="N521" s="30"/>
      <c r="O521" s="31"/>
      <c r="P521" s="32"/>
      <c r="Q521" s="32"/>
      <c r="R521" s="32"/>
      <c r="S521" s="32">
        <f t="shared" si="143"/>
        <v>0</v>
      </c>
      <c r="T521" s="12"/>
      <c r="U521" s="12"/>
      <c r="V521" s="12"/>
      <c r="W521" s="12">
        <f t="shared" si="14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0"/>
        <v>0</v>
      </c>
      <c r="AF521" s="12"/>
      <c r="AG521" s="12"/>
      <c r="AH521" s="12"/>
      <c r="AI521" s="12">
        <f t="shared" si="14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41"/>
        <v>0</v>
      </c>
      <c r="H522" s="12"/>
      <c r="I522" s="12"/>
      <c r="J522" s="12"/>
      <c r="K522" s="12">
        <f t="shared" si="142"/>
        <v>0</v>
      </c>
      <c r="M522" s="10">
        <v>16</v>
      </c>
      <c r="N522" s="30"/>
      <c r="O522" s="31"/>
      <c r="P522" s="32"/>
      <c r="Q522" s="32"/>
      <c r="R522" s="32"/>
      <c r="S522" s="32">
        <f t="shared" si="143"/>
        <v>0</v>
      </c>
      <c r="T522" s="12"/>
      <c r="U522" s="12"/>
      <c r="V522" s="12"/>
      <c r="W522" s="12">
        <f t="shared" si="144"/>
        <v>0</v>
      </c>
      <c r="Y522" s="10">
        <v>16</v>
      </c>
      <c r="Z522" s="30"/>
      <c r="AB522" s="32"/>
      <c r="AC522" s="32"/>
      <c r="AD522" s="32"/>
      <c r="AE522" s="32">
        <f t="shared" si="150"/>
        <v>0</v>
      </c>
      <c r="AF522" s="12"/>
      <c r="AG522" s="12"/>
      <c r="AH522" s="12"/>
      <c r="AI522" s="12">
        <f t="shared" si="14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41"/>
        <v>0</v>
      </c>
      <c r="H523" s="12"/>
      <c r="I523" s="12"/>
      <c r="J523" s="12"/>
      <c r="K523" s="12">
        <f t="shared" si="142"/>
        <v>0</v>
      </c>
      <c r="M523" s="10">
        <v>17</v>
      </c>
      <c r="N523" s="30"/>
      <c r="O523" s="31"/>
      <c r="P523" s="35"/>
      <c r="Q523" s="32"/>
      <c r="R523" s="32"/>
      <c r="S523" s="32">
        <f t="shared" si="143"/>
        <v>0</v>
      </c>
      <c r="T523" s="12"/>
      <c r="U523" s="12"/>
      <c r="V523" s="12"/>
      <c r="W523" s="12">
        <f t="shared" si="14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0"/>
        <v>0</v>
      </c>
      <c r="AF523" s="12"/>
      <c r="AG523" s="12"/>
      <c r="AH523" s="12"/>
      <c r="AI523" s="12">
        <f t="shared" si="14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41"/>
        <v>0</v>
      </c>
      <c r="H524" s="12"/>
      <c r="I524" s="12"/>
      <c r="J524" s="12"/>
      <c r="K524" s="12">
        <f t="shared" si="142"/>
        <v>0</v>
      </c>
      <c r="M524" s="10">
        <v>18</v>
      </c>
      <c r="N524" s="30"/>
      <c r="O524" s="31"/>
      <c r="P524" s="32"/>
      <c r="Q524" s="32"/>
      <c r="R524" s="32"/>
      <c r="S524" s="32">
        <f t="shared" si="143"/>
        <v>0</v>
      </c>
      <c r="T524" s="12"/>
      <c r="U524" s="12"/>
      <c r="V524" s="12"/>
      <c r="W524" s="12">
        <f t="shared" si="14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0"/>
        <v>0</v>
      </c>
      <c r="AF524" s="12"/>
      <c r="AG524" s="12"/>
      <c r="AH524" s="12"/>
      <c r="AI524" s="12">
        <f t="shared" si="14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41"/>
        <v>0</v>
      </c>
      <c r="H525" s="12"/>
      <c r="I525" s="12"/>
      <c r="J525" s="12"/>
      <c r="K525" s="12">
        <f t="shared" si="142"/>
        <v>0</v>
      </c>
      <c r="M525" s="10">
        <v>19</v>
      </c>
      <c r="N525" s="30"/>
      <c r="O525" s="31"/>
      <c r="P525" s="32"/>
      <c r="Q525" s="32"/>
      <c r="R525" s="32"/>
      <c r="S525" s="32">
        <f t="shared" si="143"/>
        <v>0</v>
      </c>
      <c r="T525" s="12"/>
      <c r="U525" s="12"/>
      <c r="V525" s="12"/>
      <c r="W525" s="12">
        <f t="shared" si="14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0"/>
        <v>0</v>
      </c>
      <c r="AF525" s="12"/>
      <c r="AG525" s="12"/>
      <c r="AH525" s="12"/>
      <c r="AI525" s="12">
        <f t="shared" si="14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41"/>
        <v>0</v>
      </c>
      <c r="H526" s="12"/>
      <c r="I526" s="12"/>
      <c r="J526" s="12"/>
      <c r="K526" s="12">
        <f t="shared" si="142"/>
        <v>0</v>
      </c>
      <c r="M526" s="10">
        <v>20</v>
      </c>
      <c r="N526" s="30"/>
      <c r="O526" s="31"/>
      <c r="P526" s="32"/>
      <c r="Q526" s="32"/>
      <c r="R526" s="32"/>
      <c r="S526" s="32">
        <f t="shared" si="143"/>
        <v>0</v>
      </c>
      <c r="T526" s="12"/>
      <c r="U526" s="12"/>
      <c r="V526" s="12"/>
      <c r="W526" s="12">
        <f t="shared" si="144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0"/>
        <v>0</v>
      </c>
      <c r="AF526" s="12"/>
      <c r="AG526" s="12"/>
      <c r="AH526" s="12"/>
      <c r="AI526" s="12">
        <f t="shared" si="14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/>
      <c r="D527" s="32"/>
      <c r="E527" s="32"/>
      <c r="F527" s="32"/>
      <c r="G527" s="32">
        <f t="shared" si="141"/>
        <v>0</v>
      </c>
      <c r="H527" s="10"/>
      <c r="I527" s="10"/>
      <c r="J527" s="10"/>
      <c r="K527" s="12">
        <f t="shared" si="142"/>
        <v>0</v>
      </c>
      <c r="M527" s="10">
        <v>21</v>
      </c>
      <c r="N527" s="30"/>
      <c r="P527" s="46"/>
      <c r="Q527" s="31"/>
      <c r="R527" s="31"/>
      <c r="S527" s="32">
        <f t="shared" si="143"/>
        <v>0</v>
      </c>
      <c r="T527" s="10"/>
      <c r="U527" s="10"/>
      <c r="V527" s="10"/>
      <c r="W527" s="12">
        <f t="shared" si="144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50"/>
        <v>0</v>
      </c>
      <c r="AF527" s="10"/>
      <c r="AG527" s="10"/>
      <c r="AH527" s="10"/>
      <c r="AI527" s="12">
        <f t="shared" si="14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41"/>
        <v>0</v>
      </c>
      <c r="H528" s="10"/>
      <c r="I528" s="10"/>
      <c r="J528" s="10"/>
      <c r="K528" s="12">
        <f t="shared" si="142"/>
        <v>0</v>
      </c>
      <c r="M528" s="10">
        <v>22</v>
      </c>
      <c r="N528" s="30"/>
      <c r="O528" s="31"/>
      <c r="P528" s="45"/>
      <c r="Q528" s="31"/>
      <c r="R528" s="31"/>
      <c r="S528" s="32">
        <f t="shared" si="143"/>
        <v>0</v>
      </c>
      <c r="T528" s="10"/>
      <c r="U528" s="10"/>
      <c r="V528" s="10"/>
      <c r="W528" s="12">
        <f t="shared" si="144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0"/>
        <v>0</v>
      </c>
      <c r="AF528" s="10"/>
      <c r="AG528" s="10"/>
      <c r="AH528" s="10"/>
      <c r="AI528" s="12">
        <f t="shared" si="14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41"/>
        <v>0</v>
      </c>
      <c r="H529" s="10"/>
      <c r="I529" s="10"/>
      <c r="J529" s="12"/>
      <c r="K529" s="12">
        <f t="shared" si="142"/>
        <v>0</v>
      </c>
      <c r="M529" s="10">
        <v>23</v>
      </c>
      <c r="N529" s="30"/>
      <c r="O529" s="31"/>
      <c r="P529" s="47"/>
      <c r="Q529" s="31"/>
      <c r="S529" s="32">
        <f t="shared" si="143"/>
        <v>0</v>
      </c>
      <c r="T529" s="10"/>
      <c r="U529" s="10"/>
      <c r="V529" s="10"/>
      <c r="W529" s="12">
        <f t="shared" si="144"/>
        <v>0</v>
      </c>
      <c r="Y529" s="10">
        <v>23</v>
      </c>
      <c r="Z529" s="30"/>
      <c r="AA529" s="31"/>
      <c r="AB529" s="47"/>
      <c r="AE529" s="32">
        <f t="shared" si="150"/>
        <v>0</v>
      </c>
      <c r="AF529" s="10"/>
      <c r="AG529" s="10"/>
      <c r="AH529" s="10"/>
      <c r="AI529" s="12">
        <f t="shared" si="14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41"/>
        <v>0</v>
      </c>
      <c r="H530" s="10"/>
      <c r="I530" s="10"/>
      <c r="J530" s="10"/>
      <c r="K530" s="12">
        <f t="shared" si="142"/>
        <v>0</v>
      </c>
      <c r="M530" s="10">
        <v>24</v>
      </c>
      <c r="N530" s="30"/>
      <c r="O530" s="31"/>
      <c r="P530" s="47"/>
      <c r="Q530" s="31"/>
      <c r="R530" s="31"/>
      <c r="S530" s="32">
        <f t="shared" si="143"/>
        <v>0</v>
      </c>
      <c r="T530" s="10"/>
      <c r="U530" s="10"/>
      <c r="V530" s="10"/>
      <c r="W530" s="12">
        <f t="shared" si="14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0"/>
        <v>0</v>
      </c>
      <c r="AF530" s="10"/>
      <c r="AG530" s="10"/>
      <c r="AH530" s="10"/>
      <c r="AI530" s="12">
        <f t="shared" si="14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41"/>
        <v>0</v>
      </c>
      <c r="H531" s="10"/>
      <c r="I531" s="10"/>
      <c r="J531" s="10"/>
      <c r="K531" s="12">
        <f t="shared" si="142"/>
        <v>0</v>
      </c>
      <c r="M531" s="10">
        <v>25</v>
      </c>
      <c r="N531" s="30"/>
      <c r="O531" s="31"/>
      <c r="P531" s="47"/>
      <c r="Q531" s="31"/>
      <c r="R531" s="31"/>
      <c r="S531" s="32">
        <f t="shared" si="143"/>
        <v>0</v>
      </c>
      <c r="T531" s="10"/>
      <c r="U531" s="10"/>
      <c r="V531" s="10"/>
      <c r="W531" s="12">
        <f t="shared" si="144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50"/>
        <v>0</v>
      </c>
      <c r="AF531" s="10"/>
      <c r="AG531" s="10"/>
      <c r="AH531" s="10"/>
      <c r="AI531" s="12">
        <f t="shared" si="14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41"/>
        <v>0</v>
      </c>
      <c r="H532" s="10"/>
      <c r="I532" s="10"/>
      <c r="J532" s="10"/>
      <c r="K532" s="12">
        <f t="shared" si="142"/>
        <v>0</v>
      </c>
      <c r="M532" s="10">
        <v>26</v>
      </c>
      <c r="N532" s="30"/>
      <c r="O532" s="31"/>
      <c r="P532" s="47"/>
      <c r="Q532" s="31"/>
      <c r="R532" s="31"/>
      <c r="S532" s="32">
        <f t="shared" si="143"/>
        <v>0</v>
      </c>
      <c r="T532" s="10"/>
      <c r="U532" s="10"/>
      <c r="V532" s="10"/>
      <c r="W532" s="12">
        <f t="shared" si="144"/>
        <v>0</v>
      </c>
      <c r="Y532" s="10">
        <v>26</v>
      </c>
      <c r="Z532" s="30"/>
      <c r="AB532" s="47"/>
      <c r="AC532" s="31"/>
      <c r="AD532" s="31"/>
      <c r="AE532" s="32">
        <f t="shared" si="150"/>
        <v>0</v>
      </c>
      <c r="AF532" s="10"/>
      <c r="AG532" s="10"/>
      <c r="AH532" s="10"/>
      <c r="AI532" s="12">
        <f t="shared" si="14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41"/>
        <v>0</v>
      </c>
      <c r="H533" s="10"/>
      <c r="I533" s="10"/>
      <c r="J533" s="10"/>
      <c r="K533" s="12">
        <f t="shared" si="142"/>
        <v>0</v>
      </c>
      <c r="M533" s="10">
        <v>27</v>
      </c>
      <c r="N533" s="30"/>
      <c r="O533" s="31"/>
      <c r="P533" s="47"/>
      <c r="Q533" s="31"/>
      <c r="R533" s="31"/>
      <c r="S533" s="32">
        <f t="shared" si="143"/>
        <v>0</v>
      </c>
      <c r="T533" s="10"/>
      <c r="U533" s="10"/>
      <c r="V533" s="10"/>
      <c r="W533" s="12">
        <f t="shared" si="14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0"/>
        <v>0</v>
      </c>
      <c r="AF533" s="10"/>
      <c r="AG533" s="10"/>
      <c r="AH533" s="10"/>
      <c r="AI533" s="12">
        <f t="shared" si="14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41"/>
        <v>0</v>
      </c>
      <c r="H534" s="10"/>
      <c r="I534" s="10"/>
      <c r="J534" s="10"/>
      <c r="K534" s="12">
        <f t="shared" si="142"/>
        <v>0</v>
      </c>
      <c r="M534" s="10">
        <v>28</v>
      </c>
      <c r="N534" s="30"/>
      <c r="O534" s="31"/>
      <c r="P534" s="47"/>
      <c r="Q534" s="31"/>
      <c r="R534" s="31"/>
      <c r="S534" s="32">
        <f t="shared" si="143"/>
        <v>0</v>
      </c>
      <c r="T534" s="10"/>
      <c r="U534" s="10"/>
      <c r="V534" s="10"/>
      <c r="W534" s="12">
        <f t="shared" si="14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0"/>
        <v>0</v>
      </c>
      <c r="AF534" s="10"/>
      <c r="AG534" s="10"/>
      <c r="AH534" s="10"/>
      <c r="AI534" s="12">
        <f t="shared" si="14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41"/>
        <v>0</v>
      </c>
      <c r="H535" s="10"/>
      <c r="I535" s="10"/>
      <c r="J535" s="10"/>
      <c r="K535" s="12">
        <f t="shared" si="142"/>
        <v>0</v>
      </c>
      <c r="M535" s="10">
        <v>29</v>
      </c>
      <c r="N535" s="30"/>
      <c r="O535" s="31"/>
      <c r="P535" s="47"/>
      <c r="Q535" s="31"/>
      <c r="R535" s="31"/>
      <c r="S535" s="32">
        <f t="shared" si="143"/>
        <v>0</v>
      </c>
      <c r="T535" s="10"/>
      <c r="U535" s="10"/>
      <c r="V535" s="10"/>
      <c r="W535" s="12">
        <f t="shared" si="14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0"/>
        <v>0</v>
      </c>
      <c r="AF535" s="10"/>
      <c r="AG535" s="10"/>
      <c r="AH535" s="10"/>
      <c r="AI535" s="12">
        <f t="shared" si="14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41"/>
        <v>0</v>
      </c>
      <c r="H536" s="10"/>
      <c r="I536" s="10"/>
      <c r="J536" s="10"/>
      <c r="K536" s="12">
        <f t="shared" si="142"/>
        <v>0</v>
      </c>
      <c r="M536" s="10">
        <v>30</v>
      </c>
      <c r="N536" s="30"/>
      <c r="O536" s="31"/>
      <c r="P536" s="47"/>
      <c r="Q536" s="31"/>
      <c r="R536" s="31"/>
      <c r="S536" s="32">
        <f t="shared" si="143"/>
        <v>0</v>
      </c>
      <c r="T536" s="10"/>
      <c r="U536" s="10"/>
      <c r="V536" s="10"/>
      <c r="W536" s="12">
        <f t="shared" si="144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0"/>
        <v>0</v>
      </c>
      <c r="AF536" s="10"/>
      <c r="AG536" s="10"/>
      <c r="AH536" s="10"/>
      <c r="AI536" s="12">
        <f t="shared" si="14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41"/>
        <v>0</v>
      </c>
      <c r="H537" s="10"/>
      <c r="I537" s="10"/>
      <c r="J537" s="10"/>
      <c r="K537" s="12">
        <f t="shared" si="142"/>
        <v>0</v>
      </c>
      <c r="M537" s="10">
        <v>31</v>
      </c>
      <c r="N537" s="30"/>
      <c r="O537" s="31"/>
      <c r="P537" s="47"/>
      <c r="Q537" s="31"/>
      <c r="R537" s="31"/>
      <c r="S537" s="32">
        <f t="shared" si="143"/>
        <v>0</v>
      </c>
      <c r="T537" s="10"/>
      <c r="U537" s="10"/>
      <c r="V537" s="10"/>
      <c r="W537" s="12">
        <f t="shared" si="144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0"/>
        <v>0</v>
      </c>
      <c r="AF537" s="10"/>
      <c r="AG537" s="10"/>
      <c r="AH537" s="10"/>
      <c r="AI537" s="12">
        <f t="shared" si="14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41"/>
        <v>0</v>
      </c>
      <c r="H538" s="10"/>
      <c r="I538" s="10"/>
      <c r="J538" s="10"/>
      <c r="K538" s="12">
        <f t="shared" si="142"/>
        <v>0</v>
      </c>
      <c r="M538" s="10">
        <v>32</v>
      </c>
      <c r="N538" s="30"/>
      <c r="O538" s="31"/>
      <c r="P538" s="47"/>
      <c r="Q538" s="31"/>
      <c r="R538" s="31"/>
      <c r="S538" s="32">
        <f t="shared" si="143"/>
        <v>0</v>
      </c>
      <c r="T538" s="10"/>
      <c r="U538" s="10"/>
      <c r="V538" s="10"/>
      <c r="W538" s="12">
        <f t="shared" si="14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0"/>
        <v>0</v>
      </c>
      <c r="AF538" s="10"/>
      <c r="AG538" s="10"/>
      <c r="AH538" s="10"/>
      <c r="AI538" s="12">
        <f t="shared" si="14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41"/>
        <v>0</v>
      </c>
      <c r="H539" s="10"/>
      <c r="I539" s="10"/>
      <c r="J539" s="10"/>
      <c r="K539" s="12">
        <f t="shared" si="142"/>
        <v>0</v>
      </c>
      <c r="M539" s="10">
        <v>33</v>
      </c>
      <c r="N539" s="30"/>
      <c r="O539" s="31"/>
      <c r="P539" s="47"/>
      <c r="Q539" s="31"/>
      <c r="R539" s="31"/>
      <c r="S539" s="32">
        <f t="shared" si="143"/>
        <v>0</v>
      </c>
      <c r="T539" s="10"/>
      <c r="U539" s="10"/>
      <c r="V539" s="10"/>
      <c r="W539" s="12">
        <f t="shared" si="14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0"/>
        <v>0</v>
      </c>
      <c r="AF539" s="10"/>
      <c r="AG539" s="10"/>
      <c r="AH539" s="10"/>
      <c r="AI539" s="12">
        <f t="shared" si="14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41"/>
        <v>0</v>
      </c>
      <c r="H540" s="10"/>
      <c r="I540" s="10"/>
      <c r="J540" s="10"/>
      <c r="K540" s="12">
        <f t="shared" si="14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51">SUM(P540:Q540)</f>
        <v>0</v>
      </c>
      <c r="T540" s="10"/>
      <c r="U540" s="10"/>
      <c r="V540" s="10"/>
      <c r="W540" s="12">
        <f t="shared" si="144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52">SUM(AB540:AC540)</f>
        <v>0</v>
      </c>
      <c r="AF540" s="10"/>
      <c r="AG540" s="10"/>
      <c r="AH540" s="10"/>
      <c r="AI540" s="12">
        <f t="shared" si="146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P541" s="47"/>
      <c r="Q541" s="31"/>
      <c r="R541" s="31"/>
      <c r="S541" s="32">
        <f t="shared" si="151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2"/>
        <v>0</v>
      </c>
      <c r="AF541" s="10"/>
      <c r="AG541" s="10"/>
      <c r="AH541" s="10"/>
      <c r="AI541" s="12">
        <f t="shared" si="14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1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2"/>
        <v>0</v>
      </c>
      <c r="AF542" s="10"/>
      <c r="AG542" s="10"/>
      <c r="AH542" s="10"/>
      <c r="AI542" s="12">
        <f t="shared" si="14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O543" s="31"/>
      <c r="P543" s="47"/>
      <c r="Q543" s="31"/>
      <c r="R543" s="31"/>
      <c r="S543" s="32">
        <f t="shared" si="151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2"/>
        <v>0</v>
      </c>
      <c r="AF543" s="10"/>
      <c r="AG543" s="10"/>
      <c r="AH543" s="10"/>
      <c r="AI543" s="12">
        <f t="shared" si="14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1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2"/>
        <v>0</v>
      </c>
      <c r="AF544" s="10"/>
      <c r="AG544" s="10"/>
      <c r="AH544" s="10"/>
      <c r="AI544" s="12">
        <f t="shared" si="14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1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2"/>
        <v>0</v>
      </c>
      <c r="AF545" s="10"/>
      <c r="AG545" s="10"/>
      <c r="AH545" s="10"/>
      <c r="AI545" s="12">
        <f t="shared" si="14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53">SUM(D547:E547)</f>
        <v>0</v>
      </c>
      <c r="H547" s="10"/>
      <c r="I547" s="10"/>
      <c r="J547" s="10"/>
      <c r="K547" s="12">
        <f t="shared" ref="K547" si="154">SUM(G547:J547)</f>
        <v>0</v>
      </c>
      <c r="M547" s="10"/>
      <c r="N547" s="30"/>
      <c r="O547" s="31"/>
      <c r="P547" s="47"/>
      <c r="Q547" s="31"/>
      <c r="R547" s="31"/>
      <c r="S547" s="32">
        <f t="shared" ref="S547" si="155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56">SUM(AB547:AC547)</f>
        <v>0</v>
      </c>
      <c r="AF547" s="10"/>
      <c r="AG547" s="10"/>
      <c r="AH547" s="10"/>
      <c r="AI547" s="12">
        <f t="shared" si="14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286073</v>
      </c>
      <c r="E550" s="38">
        <f t="shared" ref="E550:F550" si="157">SUM(E507:E547)</f>
        <v>-2268</v>
      </c>
      <c r="F550" s="38">
        <f t="shared" si="157"/>
        <v>0</v>
      </c>
      <c r="G550" s="38">
        <f>SUM(G507:G549)</f>
        <v>283805</v>
      </c>
      <c r="H550" s="4"/>
      <c r="I550" s="39">
        <f>SUM(I507:I549)</f>
        <v>0</v>
      </c>
      <c r="J550" s="39">
        <f>SUM(J507:J549)</f>
        <v>-30138</v>
      </c>
      <c r="K550" s="40">
        <f>SUM(K507:K549)</f>
        <v>253667</v>
      </c>
      <c r="N550" s="57"/>
      <c r="O550" s="57"/>
      <c r="P550" s="38">
        <f>SUM(P507:P549)</f>
        <v>327451</v>
      </c>
      <c r="Q550" s="38">
        <f>SUM(Q507:Q531)</f>
        <v>-2160</v>
      </c>
      <c r="R550" s="38">
        <f>SUM(R507:R531)</f>
        <v>0</v>
      </c>
      <c r="S550" s="38">
        <f>SUM(S507:S549)</f>
        <v>325291</v>
      </c>
      <c r="T550" s="4"/>
      <c r="U550" s="41">
        <f>SUM(U507:U549)</f>
        <v>20770.5</v>
      </c>
      <c r="V550" s="41">
        <f>SUM(V507:V531)</f>
        <v>-2799</v>
      </c>
      <c r="W550" s="42">
        <f>SUM(W507:W549)</f>
        <v>343262.5</v>
      </c>
      <c r="Z550" s="57"/>
      <c r="AA550" s="57"/>
      <c r="AB550" s="38">
        <f>SUM(AB507:AB549)</f>
        <v>273032</v>
      </c>
      <c r="AC550" s="38">
        <f>SUM(AC507:AC531)</f>
        <v>-1890</v>
      </c>
      <c r="AD550" s="38">
        <f>SUM(AD507:AD531)</f>
        <v>0</v>
      </c>
      <c r="AE550" s="38">
        <f>SUM(AE507:AE549)</f>
        <v>271142</v>
      </c>
      <c r="AF550" s="4"/>
      <c r="AG550" s="41">
        <f>SUM(AG507:AG549)</f>
        <v>56.25</v>
      </c>
      <c r="AH550" s="41">
        <f>SUM(AH507:AH531)</f>
        <v>-5550</v>
      </c>
      <c r="AI550" s="42">
        <f>SUM(AI507:AI549)</f>
        <v>265648.25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53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53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53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1" t="s">
        <v>17</v>
      </c>
      <c r="E560" s="111"/>
      <c r="F560" s="100"/>
      <c r="G560" s="27"/>
      <c r="I560" s="109" t="s">
        <v>18</v>
      </c>
      <c r="J560" s="110"/>
      <c r="K560" s="107" t="s">
        <v>19</v>
      </c>
      <c r="N560" s="25"/>
      <c r="O560" s="26"/>
      <c r="P560" s="111" t="s">
        <v>17</v>
      </c>
      <c r="Q560" s="111"/>
      <c r="R560" s="100"/>
      <c r="S560" s="27"/>
      <c r="U560" s="109" t="s">
        <v>18</v>
      </c>
      <c r="V560" s="110"/>
      <c r="W560" s="107" t="s">
        <v>19</v>
      </c>
      <c r="Z560" s="25"/>
      <c r="AA560" s="26"/>
      <c r="AB560" s="111" t="s">
        <v>17</v>
      </c>
      <c r="AC560" s="111"/>
      <c r="AD560" s="100"/>
      <c r="AE560" s="27"/>
      <c r="AG560" s="109" t="s">
        <v>18</v>
      </c>
      <c r="AH560" s="110"/>
      <c r="AI560" s="10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08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08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0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9568</v>
      </c>
      <c r="D562" s="32">
        <f>650*21</f>
        <v>13650</v>
      </c>
      <c r="E562" s="32"/>
      <c r="F562" s="32"/>
      <c r="G562" s="32">
        <f t="shared" ref="G562:G606" si="158">SUM(D562:E562)</f>
        <v>13650</v>
      </c>
      <c r="H562" s="12"/>
      <c r="I562" s="12"/>
      <c r="J562" s="12"/>
      <c r="K562" s="12">
        <f t="shared" ref="K562:K606" si="159">SUM(G562:J562)</f>
        <v>13650</v>
      </c>
      <c r="M562" s="10">
        <v>1</v>
      </c>
      <c r="N562" s="30" t="s">
        <v>66</v>
      </c>
      <c r="O562" s="31">
        <v>9636</v>
      </c>
      <c r="P562" s="32">
        <f>650*7+622*3</f>
        <v>6416</v>
      </c>
      <c r="Q562" s="32"/>
      <c r="R562" s="32"/>
      <c r="S562" s="32">
        <f>SUM(P562:Q562)</f>
        <v>6416</v>
      </c>
      <c r="T562" s="12"/>
      <c r="U562" s="12"/>
      <c r="V562" s="12">
        <v>-666</v>
      </c>
      <c r="W562" s="12">
        <f>SUM(S562:V562)</f>
        <v>5750</v>
      </c>
      <c r="Y562" s="10">
        <v>1</v>
      </c>
      <c r="Z562" s="30" t="s">
        <v>66</v>
      </c>
      <c r="AA562" s="31">
        <v>9545</v>
      </c>
      <c r="AB562" s="32">
        <f>25*650+622*5</f>
        <v>19360</v>
      </c>
      <c r="AC562" s="32"/>
      <c r="AD562" s="32"/>
      <c r="AE562" s="32">
        <f>SUM(AB562:AC562)</f>
        <v>19360</v>
      </c>
      <c r="AF562" s="12"/>
      <c r="AG562" s="12">
        <v>198</v>
      </c>
      <c r="AH562" s="12"/>
      <c r="AI562" s="12">
        <f>SUM(AE562:AH562)</f>
        <v>19558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9569</v>
      </c>
      <c r="D563" s="32">
        <f>650*9</f>
        <v>5850</v>
      </c>
      <c r="E563" s="32">
        <f>-9*6</f>
        <v>-54</v>
      </c>
      <c r="F563" s="32"/>
      <c r="G563" s="32">
        <f t="shared" si="158"/>
        <v>5796</v>
      </c>
      <c r="H563" s="12"/>
      <c r="I563" s="12"/>
      <c r="J563" s="12"/>
      <c r="K563" s="12">
        <f t="shared" si="159"/>
        <v>5796</v>
      </c>
      <c r="M563" s="10">
        <v>2</v>
      </c>
      <c r="N563" s="30" t="s">
        <v>66</v>
      </c>
      <c r="O563" s="31">
        <f>O562+1</f>
        <v>9637</v>
      </c>
      <c r="P563" s="32">
        <f>650*100+670*5+622*20+229*3</f>
        <v>81477</v>
      </c>
      <c r="Q563" s="32"/>
      <c r="R563" s="32"/>
      <c r="S563" s="32">
        <f t="shared" ref="S563:S606" si="160">SUM(P563:Q563)</f>
        <v>81477</v>
      </c>
      <c r="T563" s="12"/>
      <c r="U563" s="12"/>
      <c r="V563" s="12">
        <f>-111*10</f>
        <v>-1110</v>
      </c>
      <c r="W563" s="12">
        <f t="shared" ref="W563:W606" si="161">SUM(S563:V563)</f>
        <v>80367</v>
      </c>
      <c r="Y563" s="10">
        <v>2</v>
      </c>
      <c r="Z563" s="30" t="s">
        <v>66</v>
      </c>
      <c r="AA563" s="31">
        <f>AA562+1</f>
        <v>9546</v>
      </c>
      <c r="AB563" s="32">
        <f>650*50+229*2</f>
        <v>32958</v>
      </c>
      <c r="AC563" s="32">
        <f>-50*6</f>
        <v>-300</v>
      </c>
      <c r="AD563" s="32"/>
      <c r="AE563" s="32">
        <f t="shared" ref="AE563:AE579" si="162">SUM(AB563:AC563)</f>
        <v>32658</v>
      </c>
      <c r="AF563" s="12"/>
      <c r="AG563" s="12"/>
      <c r="AH563" s="12"/>
      <c r="AI563" s="12">
        <f t="shared" ref="AI563:AI606" si="163">SUM(AE563:AH563)</f>
        <v>32658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83">
        <f t="shared" ref="C564:C570" si="164">C563+1</f>
        <v>9570</v>
      </c>
      <c r="D564" s="33">
        <f>650*116+622*10+229</f>
        <v>81849</v>
      </c>
      <c r="E564" s="33"/>
      <c r="F564" s="33"/>
      <c r="G564" s="33">
        <f t="shared" si="158"/>
        <v>81849</v>
      </c>
      <c r="H564" s="34"/>
      <c r="I564" s="34"/>
      <c r="J564" s="34"/>
      <c r="K564" s="34">
        <f t="shared" si="159"/>
        <v>81849</v>
      </c>
      <c r="M564" s="10">
        <v>3</v>
      </c>
      <c r="N564" s="30" t="s">
        <v>66</v>
      </c>
      <c r="O564" s="31">
        <f t="shared" ref="O564:O578" si="165">O563+1</f>
        <v>9638</v>
      </c>
      <c r="P564" s="32">
        <f>650*4+9.5*4</f>
        <v>2638</v>
      </c>
      <c r="Q564" s="32"/>
      <c r="R564" s="32"/>
      <c r="S564" s="32">
        <f t="shared" si="160"/>
        <v>2638</v>
      </c>
      <c r="T564" s="12"/>
      <c r="U564" s="12"/>
      <c r="V564" s="12"/>
      <c r="W564" s="12">
        <f t="shared" si="161"/>
        <v>2638</v>
      </c>
      <c r="Y564" s="10">
        <v>3</v>
      </c>
      <c r="Z564" s="30" t="s">
        <v>66</v>
      </c>
      <c r="AA564" s="31">
        <f t="shared" ref="AA564:AA575" si="166">AA563+1</f>
        <v>9547</v>
      </c>
      <c r="AB564" s="33">
        <f>650*108+229*4</f>
        <v>71116</v>
      </c>
      <c r="AC564" s="33">
        <f>-108*6</f>
        <v>-648</v>
      </c>
      <c r="AD564" s="32"/>
      <c r="AE564" s="32">
        <f t="shared" si="162"/>
        <v>70468</v>
      </c>
      <c r="AF564" s="12"/>
      <c r="AG564" s="12">
        <v>63</v>
      </c>
      <c r="AH564" s="12"/>
      <c r="AI564" s="12">
        <f t="shared" si="163"/>
        <v>70531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83">
        <f t="shared" si="164"/>
        <v>9571</v>
      </c>
      <c r="D565" s="32">
        <f>650*324+229*13</f>
        <v>213577</v>
      </c>
      <c r="E565" s="32">
        <f>-324*6</f>
        <v>-1944</v>
      </c>
      <c r="F565" s="32"/>
      <c r="G565" s="32">
        <f t="shared" si="158"/>
        <v>211633</v>
      </c>
      <c r="H565" s="12"/>
      <c r="I565" s="12">
        <v>432</v>
      </c>
      <c r="J565" s="12">
        <f>-158*111</f>
        <v>-17538</v>
      </c>
      <c r="K565" s="12">
        <f t="shared" si="159"/>
        <v>194527</v>
      </c>
      <c r="M565" s="10">
        <v>4</v>
      </c>
      <c r="N565" s="30" t="s">
        <v>66</v>
      </c>
      <c r="O565" s="31">
        <f t="shared" si="165"/>
        <v>9639</v>
      </c>
      <c r="P565" s="32">
        <f>650*3+670*3+9.5*3</f>
        <v>3988.5</v>
      </c>
      <c r="Q565" s="32"/>
      <c r="R565" s="32"/>
      <c r="S565" s="32">
        <f t="shared" si="160"/>
        <v>3988.5</v>
      </c>
      <c r="T565" s="12"/>
      <c r="U565" s="12"/>
      <c r="V565" s="12"/>
      <c r="W565" s="12">
        <f t="shared" si="161"/>
        <v>3988.5</v>
      </c>
      <c r="Y565" s="10">
        <v>4</v>
      </c>
      <c r="Z565" s="30" t="s">
        <v>66</v>
      </c>
      <c r="AA565" s="31">
        <f t="shared" si="166"/>
        <v>9548</v>
      </c>
      <c r="AB565" s="32">
        <f>650*12+622</f>
        <v>8422</v>
      </c>
      <c r="AC565" s="32"/>
      <c r="AD565" s="32"/>
      <c r="AE565" s="32">
        <f t="shared" si="162"/>
        <v>8422</v>
      </c>
      <c r="AF565" s="12"/>
      <c r="AG565" s="58"/>
      <c r="AH565" s="12">
        <f>-111*12</f>
        <v>-1332</v>
      </c>
      <c r="AI565" s="12">
        <f t="shared" si="163"/>
        <v>7090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83">
        <f t="shared" si="164"/>
        <v>9572</v>
      </c>
      <c r="D566" s="32">
        <f>650*50+622*10</f>
        <v>38720</v>
      </c>
      <c r="E566" s="32"/>
      <c r="F566" s="32"/>
      <c r="G566" s="32">
        <f t="shared" si="158"/>
        <v>38720</v>
      </c>
      <c r="H566" s="12"/>
      <c r="I566" s="12"/>
      <c r="J566" s="12"/>
      <c r="K566" s="12">
        <f t="shared" si="159"/>
        <v>38720</v>
      </c>
      <c r="M566" s="10">
        <v>5</v>
      </c>
      <c r="N566" s="30" t="s">
        <v>66</v>
      </c>
      <c r="O566" s="31">
        <f t="shared" si="165"/>
        <v>9640</v>
      </c>
      <c r="P566" s="32">
        <f>650*35+9.5*5+650*2</f>
        <v>24097.5</v>
      </c>
      <c r="Q566" s="32"/>
      <c r="R566" s="32"/>
      <c r="S566" s="32">
        <f t="shared" si="160"/>
        <v>24097.5</v>
      </c>
      <c r="T566" s="12"/>
      <c r="U566" s="12">
        <v>67.8</v>
      </c>
      <c r="V566" s="12"/>
      <c r="W566" s="12">
        <f t="shared" si="161"/>
        <v>24165.3</v>
      </c>
      <c r="Y566" s="10">
        <v>5</v>
      </c>
      <c r="Z566" s="30" t="s">
        <v>66</v>
      </c>
      <c r="AA566" s="31">
        <f t="shared" si="166"/>
        <v>9549</v>
      </c>
      <c r="AB566" s="32">
        <f>650*12+622*2+9.5*12</f>
        <v>9158</v>
      </c>
      <c r="AC566" s="32"/>
      <c r="AD566" s="32"/>
      <c r="AE566" s="32">
        <f t="shared" si="162"/>
        <v>9158</v>
      </c>
      <c r="AF566" s="12"/>
      <c r="AG566" s="12">
        <f>1.5*12</f>
        <v>18</v>
      </c>
      <c r="AH566" s="12"/>
      <c r="AI566" s="12">
        <f t="shared" si="163"/>
        <v>9176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83">
        <f t="shared" si="164"/>
        <v>9573</v>
      </c>
      <c r="D567" s="32">
        <f>650*125+700*5+670*4+622*10+912*3+1050+872+229*6+650*2+500</f>
        <v>101482</v>
      </c>
      <c r="E567" s="32"/>
      <c r="F567" s="32"/>
      <c r="G567" s="32">
        <f t="shared" si="158"/>
        <v>101482</v>
      </c>
      <c r="H567" s="12"/>
      <c r="I567" s="12">
        <f>78*6+4.5*48</f>
        <v>684</v>
      </c>
      <c r="J567" s="12"/>
      <c r="K567" s="12">
        <f t="shared" si="159"/>
        <v>102166</v>
      </c>
      <c r="M567" s="10">
        <v>6</v>
      </c>
      <c r="N567" s="30" t="s">
        <v>66</v>
      </c>
      <c r="O567" s="31">
        <f t="shared" si="165"/>
        <v>9641</v>
      </c>
      <c r="P567" s="32">
        <f>650*3+9.5*3</f>
        <v>1978.5</v>
      </c>
      <c r="Q567" s="32"/>
      <c r="R567" s="32"/>
      <c r="S567" s="32">
        <f t="shared" si="160"/>
        <v>1978.5</v>
      </c>
      <c r="T567" s="12"/>
      <c r="U567" s="12"/>
      <c r="V567" s="10"/>
      <c r="W567" s="12">
        <f t="shared" si="161"/>
        <v>1978.5</v>
      </c>
      <c r="Y567" s="10">
        <v>6</v>
      </c>
      <c r="Z567" s="30" t="s">
        <v>66</v>
      </c>
      <c r="AA567" s="31">
        <f t="shared" si="166"/>
        <v>9550</v>
      </c>
      <c r="AB567" s="32">
        <f>650*20+229*2</f>
        <v>13458</v>
      </c>
      <c r="AC567" s="32"/>
      <c r="AD567" s="32"/>
      <c r="AE567" s="32">
        <f t="shared" si="162"/>
        <v>13458</v>
      </c>
      <c r="AF567" s="12"/>
      <c r="AG567" s="12"/>
      <c r="AH567" s="10"/>
      <c r="AI567" s="12">
        <f t="shared" si="163"/>
        <v>13458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83">
        <f t="shared" si="164"/>
        <v>9574</v>
      </c>
      <c r="D568" s="32">
        <f>650*31+622*6</f>
        <v>23882</v>
      </c>
      <c r="E568" s="32"/>
      <c r="F568" s="32"/>
      <c r="G568" s="32">
        <f t="shared" si="158"/>
        <v>23882</v>
      </c>
      <c r="H568" s="12"/>
      <c r="I568" s="12"/>
      <c r="J568" s="12">
        <f>-111*22</f>
        <v>-2442</v>
      </c>
      <c r="K568" s="12">
        <f t="shared" si="159"/>
        <v>21440</v>
      </c>
      <c r="M568" s="10">
        <v>7</v>
      </c>
      <c r="N568" s="30" t="s">
        <v>66</v>
      </c>
      <c r="O568" s="31">
        <f t="shared" si="165"/>
        <v>9642</v>
      </c>
      <c r="P568" s="32">
        <f>650*52+622*7+229+650</f>
        <v>39033</v>
      </c>
      <c r="Q568" s="32"/>
      <c r="R568" s="32"/>
      <c r="S568" s="32">
        <f t="shared" si="160"/>
        <v>39033</v>
      </c>
      <c r="T568" s="12"/>
      <c r="U568" s="12">
        <v>189</v>
      </c>
      <c r="V568" s="12"/>
      <c r="W568" s="12">
        <f t="shared" si="161"/>
        <v>39222</v>
      </c>
      <c r="Y568" s="10">
        <v>7</v>
      </c>
      <c r="Z568" s="30" t="s">
        <v>66</v>
      </c>
      <c r="AA568" s="31">
        <v>9653</v>
      </c>
      <c r="AB568" s="32">
        <f>650*50+622*3+229*2</f>
        <v>34824</v>
      </c>
      <c r="AC568" s="32">
        <f>-53*6</f>
        <v>-318</v>
      </c>
      <c r="AD568" s="32"/>
      <c r="AE568" s="32">
        <f t="shared" si="162"/>
        <v>34506</v>
      </c>
      <c r="AF568" s="12"/>
      <c r="AG568" s="58"/>
      <c r="AH568" s="12"/>
      <c r="AI568" s="12">
        <f t="shared" si="163"/>
        <v>34506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11" t="s">
        <v>27</v>
      </c>
      <c r="D569" s="32"/>
      <c r="E569" s="32"/>
      <c r="F569" s="32"/>
      <c r="G569" s="32">
        <f t="shared" si="158"/>
        <v>0</v>
      </c>
      <c r="H569" s="12"/>
      <c r="I569" s="12"/>
      <c r="J569" s="12"/>
      <c r="K569" s="12">
        <f t="shared" si="159"/>
        <v>0</v>
      </c>
      <c r="M569" s="10">
        <v>8</v>
      </c>
      <c r="N569" s="30" t="s">
        <v>66</v>
      </c>
      <c r="O569" s="31">
        <f t="shared" si="165"/>
        <v>9643</v>
      </c>
      <c r="P569" s="32">
        <f>650*3+9.5*3</f>
        <v>1978.5</v>
      </c>
      <c r="Q569" s="32"/>
      <c r="R569" s="32"/>
      <c r="S569" s="32">
        <f t="shared" si="160"/>
        <v>1978.5</v>
      </c>
      <c r="T569" s="12"/>
      <c r="U569" s="12">
        <v>81</v>
      </c>
      <c r="V569" s="12"/>
      <c r="W569" s="12">
        <f t="shared" si="161"/>
        <v>2059.5</v>
      </c>
      <c r="Y569" s="10">
        <v>8</v>
      </c>
      <c r="Z569" s="30" t="s">
        <v>66</v>
      </c>
      <c r="AA569" s="31">
        <f>AA568+1</f>
        <v>9654</v>
      </c>
      <c r="AB569" s="32">
        <f>650*4+670*6</f>
        <v>6620</v>
      </c>
      <c r="AC569" s="32"/>
      <c r="AE569" s="32">
        <f t="shared" si="162"/>
        <v>6620</v>
      </c>
      <c r="AF569" s="12"/>
      <c r="AG569" s="12"/>
      <c r="AH569" s="12"/>
      <c r="AI569" s="12">
        <f t="shared" si="163"/>
        <v>6620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58"/>
        <v>0</v>
      </c>
      <c r="H570" s="12"/>
      <c r="I570" s="12"/>
      <c r="J570" s="12"/>
      <c r="K570" s="12">
        <f t="shared" si="159"/>
        <v>0</v>
      </c>
      <c r="M570" s="10">
        <v>9</v>
      </c>
      <c r="N570" s="30" t="s">
        <v>66</v>
      </c>
      <c r="O570" s="31">
        <f t="shared" si="165"/>
        <v>9644</v>
      </c>
      <c r="P570" s="32">
        <f>650*10+9.5*10</f>
        <v>6595</v>
      </c>
      <c r="Q570" s="32"/>
      <c r="R570" s="32"/>
      <c r="S570" s="32">
        <f t="shared" si="160"/>
        <v>6595</v>
      </c>
      <c r="T570" s="12"/>
      <c r="U570" s="12"/>
      <c r="V570" s="12">
        <v>-666</v>
      </c>
      <c r="W570" s="12">
        <f t="shared" si="161"/>
        <v>5929</v>
      </c>
      <c r="Y570" s="10">
        <v>9</v>
      </c>
      <c r="Z570" s="30" t="s">
        <v>66</v>
      </c>
      <c r="AA570" s="31">
        <f t="shared" si="166"/>
        <v>9655</v>
      </c>
      <c r="AB570" s="32">
        <f>670*10</f>
        <v>6700</v>
      </c>
      <c r="AC570" s="32"/>
      <c r="AD570" s="32"/>
      <c r="AE570" s="32">
        <f t="shared" si="162"/>
        <v>6700</v>
      </c>
      <c r="AF570" s="12"/>
      <c r="AH570" s="12"/>
      <c r="AI570" s="12">
        <f t="shared" si="163"/>
        <v>6700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D571" s="32"/>
      <c r="E571" s="32"/>
      <c r="F571" s="32"/>
      <c r="G571" s="32">
        <f t="shared" si="158"/>
        <v>0</v>
      </c>
      <c r="H571" s="12"/>
      <c r="I571" s="12"/>
      <c r="J571" s="12"/>
      <c r="K571" s="12">
        <f t="shared" si="159"/>
        <v>0</v>
      </c>
      <c r="M571" s="10">
        <v>10</v>
      </c>
      <c r="N571" s="30" t="s">
        <v>66</v>
      </c>
      <c r="O571" s="31">
        <f t="shared" si="165"/>
        <v>9645</v>
      </c>
      <c r="P571" s="32">
        <f>650*6+9.5*6</f>
        <v>3957</v>
      </c>
      <c r="Q571" s="32"/>
      <c r="R571" s="32"/>
      <c r="S571" s="32">
        <f t="shared" si="160"/>
        <v>3957</v>
      </c>
      <c r="T571" s="12"/>
      <c r="U571" s="12">
        <f>111+1.5*6</f>
        <v>120</v>
      </c>
      <c r="V571" s="12"/>
      <c r="W571" s="12">
        <f t="shared" si="161"/>
        <v>4077</v>
      </c>
      <c r="Y571" s="10">
        <v>10</v>
      </c>
      <c r="Z571" s="30" t="s">
        <v>66</v>
      </c>
      <c r="AA571" s="31">
        <f t="shared" si="166"/>
        <v>9656</v>
      </c>
      <c r="AB571" s="32">
        <f>650*20</f>
        <v>13000</v>
      </c>
      <c r="AC571" s="32"/>
      <c r="AD571" s="32"/>
      <c r="AE571" s="32">
        <f t="shared" si="162"/>
        <v>13000</v>
      </c>
      <c r="AF571" s="12"/>
      <c r="AG571" s="12"/>
      <c r="AH571" s="12"/>
      <c r="AI571" s="12">
        <f t="shared" si="163"/>
        <v>13000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58"/>
        <v>0</v>
      </c>
      <c r="H572" s="12"/>
      <c r="I572" s="12"/>
      <c r="J572" s="12"/>
      <c r="K572" s="12">
        <f t="shared" si="159"/>
        <v>0</v>
      </c>
      <c r="M572" s="10">
        <v>11</v>
      </c>
      <c r="N572" s="30" t="s">
        <v>66</v>
      </c>
      <c r="O572" s="31">
        <f t="shared" si="165"/>
        <v>9646</v>
      </c>
      <c r="P572" s="32">
        <f>650*5+47.5</f>
        <v>3297.5</v>
      </c>
      <c r="Q572" s="32"/>
      <c r="R572" s="32"/>
      <c r="S572" s="32">
        <f t="shared" si="160"/>
        <v>3297.5</v>
      </c>
      <c r="T572" s="12"/>
      <c r="U572" s="12"/>
      <c r="V572" s="12">
        <f>-444+-252</f>
        <v>-696</v>
      </c>
      <c r="W572" s="12">
        <f t="shared" si="161"/>
        <v>2601.5</v>
      </c>
      <c r="Y572" s="10">
        <v>11</v>
      </c>
      <c r="Z572" s="30" t="s">
        <v>66</v>
      </c>
      <c r="AA572" s="31">
        <f t="shared" si="166"/>
        <v>9657</v>
      </c>
      <c r="AB572" s="32">
        <f>650*15+622*5</f>
        <v>12860</v>
      </c>
      <c r="AC572" s="32"/>
      <c r="AD572" s="32"/>
      <c r="AE572" s="32">
        <f t="shared" ref="AE572:AE606" si="167">SUM(AB572:AC572)</f>
        <v>12860</v>
      </c>
      <c r="AF572" s="12"/>
      <c r="AG572" s="12"/>
      <c r="AH572" s="12"/>
      <c r="AI572" s="12">
        <f t="shared" si="163"/>
        <v>12860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58"/>
        <v>0</v>
      </c>
      <c r="H573" s="12"/>
      <c r="I573" s="12"/>
      <c r="J573" s="10"/>
      <c r="K573" s="12">
        <f t="shared" si="159"/>
        <v>0</v>
      </c>
      <c r="M573" s="10">
        <v>12</v>
      </c>
      <c r="N573" s="30" t="s">
        <v>66</v>
      </c>
      <c r="O573" s="31">
        <f t="shared" si="165"/>
        <v>9647</v>
      </c>
      <c r="P573" s="32">
        <f>650*13+872+9.5*13</f>
        <v>9445.5</v>
      </c>
      <c r="Q573" s="32"/>
      <c r="R573" s="32"/>
      <c r="S573" s="32">
        <f t="shared" si="160"/>
        <v>9445.5</v>
      </c>
      <c r="T573" s="12"/>
      <c r="U573" s="12">
        <v>13.5</v>
      </c>
      <c r="V573" s="12"/>
      <c r="W573" s="12">
        <f t="shared" si="161"/>
        <v>9459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67"/>
        <v>0</v>
      </c>
      <c r="AF573" s="12"/>
      <c r="AG573" s="12"/>
      <c r="AH573" s="12"/>
      <c r="AI573" s="12">
        <f t="shared" si="16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58"/>
        <v>0</v>
      </c>
      <c r="H574" s="12"/>
      <c r="I574" s="12"/>
      <c r="J574" s="12"/>
      <c r="K574" s="12">
        <f t="shared" si="159"/>
        <v>0</v>
      </c>
      <c r="M574" s="10">
        <v>13</v>
      </c>
      <c r="N574" s="30" t="s">
        <v>66</v>
      </c>
      <c r="O574" s="31">
        <f t="shared" si="165"/>
        <v>9648</v>
      </c>
      <c r="P574" s="32">
        <f>650*9+9.5*9</f>
        <v>5935.5</v>
      </c>
      <c r="Q574" s="32"/>
      <c r="R574" s="32"/>
      <c r="S574" s="32">
        <f t="shared" si="160"/>
        <v>5935.5</v>
      </c>
      <c r="T574" s="12"/>
      <c r="U574" s="12">
        <v>67.5</v>
      </c>
      <c r="V574" s="12"/>
      <c r="W574" s="12">
        <f t="shared" si="161"/>
        <v>6003</v>
      </c>
      <c r="Y574" s="10">
        <v>13</v>
      </c>
      <c r="Z574" s="30"/>
      <c r="AA574" s="31"/>
      <c r="AB574" s="32"/>
      <c r="AC574" s="32"/>
      <c r="AD574" s="32"/>
      <c r="AE574" s="32">
        <f t="shared" si="167"/>
        <v>0</v>
      </c>
      <c r="AF574" s="12"/>
      <c r="AG574" s="12"/>
      <c r="AH574" s="12"/>
      <c r="AI574" s="12">
        <f t="shared" si="16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58"/>
        <v>0</v>
      </c>
      <c r="H575" s="12"/>
      <c r="I575" s="12"/>
      <c r="J575" s="12"/>
      <c r="K575" s="12">
        <f t="shared" si="159"/>
        <v>0</v>
      </c>
      <c r="M575" s="10">
        <v>14</v>
      </c>
      <c r="N575" s="30" t="s">
        <v>66</v>
      </c>
      <c r="O575" s="31">
        <f t="shared" si="165"/>
        <v>9649</v>
      </c>
      <c r="P575" s="32">
        <f>650*8+700*2+622</f>
        <v>7222</v>
      </c>
      <c r="Q575" s="32"/>
      <c r="R575" s="32"/>
      <c r="S575" s="32">
        <f t="shared" si="160"/>
        <v>7222</v>
      </c>
      <c r="T575" s="12"/>
      <c r="U575" s="12"/>
      <c r="V575" s="12">
        <v>-120</v>
      </c>
      <c r="W575" s="12">
        <f t="shared" si="161"/>
        <v>7102</v>
      </c>
      <c r="Y575" s="10">
        <v>14</v>
      </c>
      <c r="Z575" s="30"/>
      <c r="AA575" s="31"/>
      <c r="AB575" s="32"/>
      <c r="AC575" s="32"/>
      <c r="AD575" s="32"/>
      <c r="AE575" s="32">
        <f t="shared" si="167"/>
        <v>0</v>
      </c>
      <c r="AF575" s="12"/>
      <c r="AG575" s="12"/>
      <c r="AH575" s="12"/>
      <c r="AI575" s="12">
        <f t="shared" si="16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58"/>
        <v>0</v>
      </c>
      <c r="H576" s="12"/>
      <c r="I576" s="12"/>
      <c r="J576" s="12"/>
      <c r="K576" s="12">
        <f t="shared" si="159"/>
        <v>0</v>
      </c>
      <c r="M576" s="10">
        <v>15</v>
      </c>
      <c r="N576" s="30" t="s">
        <v>66</v>
      </c>
      <c r="O576" s="31">
        <f t="shared" si="165"/>
        <v>9650</v>
      </c>
      <c r="P576" s="32">
        <f>650*35+670*4+622+229</f>
        <v>26281</v>
      </c>
      <c r="Q576" s="32"/>
      <c r="R576" s="32"/>
      <c r="S576" s="32">
        <f t="shared" si="160"/>
        <v>26281</v>
      </c>
      <c r="T576" s="12"/>
      <c r="U576" s="12"/>
      <c r="V576" s="12"/>
      <c r="W576" s="12">
        <f t="shared" si="161"/>
        <v>26281</v>
      </c>
      <c r="Y576" s="10">
        <v>15</v>
      </c>
      <c r="Z576" s="30"/>
      <c r="AB576" s="32"/>
      <c r="AC576" s="32"/>
      <c r="AD576" s="32"/>
      <c r="AE576" s="32">
        <f t="shared" si="167"/>
        <v>0</v>
      </c>
      <c r="AF576" s="12"/>
      <c r="AG576" s="12"/>
      <c r="AH576" s="12"/>
      <c r="AI576" s="12">
        <f t="shared" si="16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58"/>
        <v>0</v>
      </c>
      <c r="H577" s="12"/>
      <c r="I577" s="12"/>
      <c r="J577" s="12"/>
      <c r="K577" s="12">
        <f t="shared" si="159"/>
        <v>0</v>
      </c>
      <c r="M577" s="10">
        <v>16</v>
      </c>
      <c r="N577" s="30" t="s">
        <v>66</v>
      </c>
      <c r="O577" s="31">
        <v>9575</v>
      </c>
      <c r="P577" s="32">
        <f>650*5</f>
        <v>3250</v>
      </c>
      <c r="Q577" s="32"/>
      <c r="R577" s="32"/>
      <c r="S577" s="32">
        <f t="shared" si="160"/>
        <v>3250</v>
      </c>
      <c r="T577" s="12"/>
      <c r="U577" s="12"/>
      <c r="V577" s="12"/>
      <c r="W577" s="12">
        <f t="shared" si="161"/>
        <v>3250</v>
      </c>
      <c r="Y577" s="10">
        <v>16</v>
      </c>
      <c r="Z577" s="30"/>
      <c r="AB577" s="32"/>
      <c r="AC577" s="32"/>
      <c r="AD577" s="32"/>
      <c r="AE577" s="32">
        <f t="shared" si="167"/>
        <v>0</v>
      </c>
      <c r="AF577" s="12"/>
      <c r="AG577" s="12"/>
      <c r="AH577" s="12"/>
      <c r="AI577" s="12">
        <f t="shared" si="16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58"/>
        <v>0</v>
      </c>
      <c r="H578" s="12"/>
      <c r="I578" s="12"/>
      <c r="J578" s="12"/>
      <c r="K578" s="12">
        <f t="shared" si="159"/>
        <v>0</v>
      </c>
      <c r="M578" s="10">
        <v>17</v>
      </c>
      <c r="N578" s="30"/>
      <c r="O578" s="11" t="s">
        <v>27</v>
      </c>
      <c r="P578" s="35"/>
      <c r="Q578" s="32"/>
      <c r="R578" s="32"/>
      <c r="S578" s="32">
        <f t="shared" si="160"/>
        <v>0</v>
      </c>
      <c r="T578" s="12"/>
      <c r="U578" s="12"/>
      <c r="V578" s="12"/>
      <c r="W578" s="12">
        <f t="shared" si="161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67"/>
        <v>0</v>
      </c>
      <c r="AF578" s="12"/>
      <c r="AG578" s="12"/>
      <c r="AH578" s="12"/>
      <c r="AI578" s="12">
        <f t="shared" si="16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58"/>
        <v>0</v>
      </c>
      <c r="H579" s="12"/>
      <c r="I579" s="12"/>
      <c r="J579" s="12"/>
      <c r="K579" s="12">
        <f t="shared" si="159"/>
        <v>0</v>
      </c>
      <c r="M579" s="10">
        <v>18</v>
      </c>
      <c r="N579" s="30"/>
      <c r="P579" s="32"/>
      <c r="Q579" s="32"/>
      <c r="R579" s="32"/>
      <c r="S579" s="32">
        <f t="shared" si="160"/>
        <v>0</v>
      </c>
      <c r="T579" s="12"/>
      <c r="U579" s="12"/>
      <c r="V579" s="12"/>
      <c r="W579" s="12">
        <f t="shared" si="161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67"/>
        <v>0</v>
      </c>
      <c r="AF579" s="12"/>
      <c r="AG579" s="12"/>
      <c r="AH579" s="12"/>
      <c r="AI579" s="12">
        <f t="shared" si="16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58"/>
        <v>0</v>
      </c>
      <c r="H580" s="12"/>
      <c r="I580" s="12"/>
      <c r="J580" s="12"/>
      <c r="K580" s="12">
        <f t="shared" si="159"/>
        <v>0</v>
      </c>
      <c r="M580" s="10">
        <v>19</v>
      </c>
      <c r="N580" s="30"/>
      <c r="O580" s="31"/>
      <c r="P580" s="32"/>
      <c r="Q580" s="32"/>
      <c r="R580" s="32"/>
      <c r="S580" s="32">
        <f t="shared" si="160"/>
        <v>0</v>
      </c>
      <c r="T580" s="12"/>
      <c r="U580" s="12"/>
      <c r="V580" s="12"/>
      <c r="W580" s="12">
        <f t="shared" si="161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67"/>
        <v>0</v>
      </c>
      <c r="AF580" s="12"/>
      <c r="AG580" s="12"/>
      <c r="AH580" s="12"/>
      <c r="AI580" s="12">
        <f t="shared" si="16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58"/>
        <v>0</v>
      </c>
      <c r="H581" s="12"/>
      <c r="I581" s="12"/>
      <c r="J581" s="12"/>
      <c r="K581" s="12">
        <f t="shared" si="159"/>
        <v>0</v>
      </c>
      <c r="M581" s="10">
        <v>20</v>
      </c>
      <c r="N581" s="30"/>
      <c r="O581" s="31"/>
      <c r="P581" s="32"/>
      <c r="Q581" s="32"/>
      <c r="R581" s="32"/>
      <c r="S581" s="32">
        <f t="shared" si="160"/>
        <v>0</v>
      </c>
      <c r="T581" s="12"/>
      <c r="U581" s="12"/>
      <c r="V581" s="12"/>
      <c r="W581" s="12">
        <f t="shared" si="161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67"/>
        <v>0</v>
      </c>
      <c r="AF581" s="12"/>
      <c r="AG581" s="12"/>
      <c r="AH581" s="12"/>
      <c r="AI581" s="12">
        <f t="shared" si="16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11"/>
      <c r="D582" s="32"/>
      <c r="E582" s="32"/>
      <c r="F582" s="32"/>
      <c r="G582" s="32">
        <f t="shared" si="158"/>
        <v>0</v>
      </c>
      <c r="H582" s="10"/>
      <c r="I582" s="10"/>
      <c r="J582" s="10"/>
      <c r="K582" s="12">
        <f t="shared" si="159"/>
        <v>0</v>
      </c>
      <c r="M582" s="10">
        <v>21</v>
      </c>
      <c r="N582" s="30"/>
      <c r="P582" s="46"/>
      <c r="Q582" s="31"/>
      <c r="R582" s="31"/>
      <c r="S582" s="32">
        <f t="shared" si="160"/>
        <v>0</v>
      </c>
      <c r="T582" s="10"/>
      <c r="U582" s="10"/>
      <c r="V582" s="10"/>
      <c r="W582" s="12">
        <f t="shared" si="161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67"/>
        <v>0</v>
      </c>
      <c r="AF582" s="10"/>
      <c r="AG582" s="10"/>
      <c r="AH582" s="10"/>
      <c r="AI582" s="12">
        <f t="shared" si="16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58"/>
        <v>0</v>
      </c>
      <c r="H583" s="10"/>
      <c r="I583" s="10"/>
      <c r="J583" s="10"/>
      <c r="K583" s="12">
        <f t="shared" si="159"/>
        <v>0</v>
      </c>
      <c r="M583" s="10">
        <v>22</v>
      </c>
      <c r="N583" s="30"/>
      <c r="O583" s="31"/>
      <c r="P583" s="45"/>
      <c r="Q583" s="31"/>
      <c r="R583" s="31"/>
      <c r="S583" s="32">
        <f t="shared" si="160"/>
        <v>0</v>
      </c>
      <c r="T583" s="10"/>
      <c r="U583" s="10"/>
      <c r="V583" s="10"/>
      <c r="W583" s="12">
        <f t="shared" si="161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7"/>
        <v>0</v>
      </c>
      <c r="AF583" s="10"/>
      <c r="AG583" s="10"/>
      <c r="AH583" s="10"/>
      <c r="AI583" s="12">
        <f t="shared" si="16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58"/>
        <v>0</v>
      </c>
      <c r="H584" s="10"/>
      <c r="I584" s="10"/>
      <c r="J584" s="12"/>
      <c r="K584" s="12">
        <f t="shared" si="159"/>
        <v>0</v>
      </c>
      <c r="M584" s="10">
        <v>23</v>
      </c>
      <c r="N584" s="30"/>
      <c r="O584" s="31"/>
      <c r="P584" s="47"/>
      <c r="Q584" s="31"/>
      <c r="S584" s="32">
        <f t="shared" si="160"/>
        <v>0</v>
      </c>
      <c r="T584" s="10"/>
      <c r="U584" s="10"/>
      <c r="V584" s="10"/>
      <c r="W584" s="12">
        <f t="shared" si="161"/>
        <v>0</v>
      </c>
      <c r="Y584" s="10">
        <v>23</v>
      </c>
      <c r="Z584" s="30"/>
      <c r="AA584" s="31"/>
      <c r="AB584" s="47"/>
      <c r="AE584" s="32">
        <f t="shared" si="167"/>
        <v>0</v>
      </c>
      <c r="AF584" s="10"/>
      <c r="AG584" s="10"/>
      <c r="AH584" s="10"/>
      <c r="AI584" s="12">
        <f t="shared" si="16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58"/>
        <v>0</v>
      </c>
      <c r="H585" s="10"/>
      <c r="I585" s="10"/>
      <c r="J585" s="10"/>
      <c r="K585" s="12">
        <f t="shared" si="159"/>
        <v>0</v>
      </c>
      <c r="M585" s="10">
        <v>24</v>
      </c>
      <c r="N585" s="30"/>
      <c r="O585" s="31"/>
      <c r="P585" s="47"/>
      <c r="Q585" s="31"/>
      <c r="R585" s="31"/>
      <c r="S585" s="32">
        <f t="shared" si="160"/>
        <v>0</v>
      </c>
      <c r="T585" s="10"/>
      <c r="U585" s="10"/>
      <c r="V585" s="10"/>
      <c r="W585" s="12">
        <f t="shared" si="161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7"/>
        <v>0</v>
      </c>
      <c r="AF585" s="10"/>
      <c r="AG585" s="10"/>
      <c r="AH585" s="10"/>
      <c r="AI585" s="12">
        <f t="shared" si="16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58"/>
        <v>0</v>
      </c>
      <c r="H586" s="10"/>
      <c r="I586" s="10"/>
      <c r="J586" s="10"/>
      <c r="K586" s="12">
        <f t="shared" si="159"/>
        <v>0</v>
      </c>
      <c r="M586" s="10">
        <v>25</v>
      </c>
      <c r="N586" s="30"/>
      <c r="O586" s="31"/>
      <c r="P586" s="47"/>
      <c r="Q586" s="31"/>
      <c r="R586" s="31"/>
      <c r="S586" s="32">
        <f t="shared" si="160"/>
        <v>0</v>
      </c>
      <c r="T586" s="10"/>
      <c r="U586" s="10"/>
      <c r="V586" s="10"/>
      <c r="W586" s="12">
        <f t="shared" si="161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67"/>
        <v>0</v>
      </c>
      <c r="AF586" s="10"/>
      <c r="AG586" s="10"/>
      <c r="AH586" s="10"/>
      <c r="AI586" s="12">
        <f t="shared" si="16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8"/>
        <v>0</v>
      </c>
      <c r="H587" s="10"/>
      <c r="I587" s="10"/>
      <c r="J587" s="10"/>
      <c r="K587" s="12">
        <f t="shared" si="159"/>
        <v>0</v>
      </c>
      <c r="M587" s="10">
        <v>26</v>
      </c>
      <c r="N587" s="30"/>
      <c r="O587" s="31"/>
      <c r="P587" s="47"/>
      <c r="Q587" s="31"/>
      <c r="R587" s="31"/>
      <c r="S587" s="32">
        <f t="shared" si="160"/>
        <v>0</v>
      </c>
      <c r="T587" s="10"/>
      <c r="U587" s="10"/>
      <c r="V587" s="10"/>
      <c r="W587" s="12">
        <f t="shared" si="161"/>
        <v>0</v>
      </c>
      <c r="Y587" s="10">
        <v>26</v>
      </c>
      <c r="Z587" s="30"/>
      <c r="AB587" s="47"/>
      <c r="AC587" s="31"/>
      <c r="AD587" s="31"/>
      <c r="AE587" s="32">
        <f t="shared" si="167"/>
        <v>0</v>
      </c>
      <c r="AF587" s="10"/>
      <c r="AG587" s="10"/>
      <c r="AH587" s="10"/>
      <c r="AI587" s="12">
        <f t="shared" si="16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8"/>
        <v>0</v>
      </c>
      <c r="H588" s="10"/>
      <c r="I588" s="10"/>
      <c r="J588" s="10"/>
      <c r="K588" s="12">
        <f t="shared" si="159"/>
        <v>0</v>
      </c>
      <c r="M588" s="10">
        <v>27</v>
      </c>
      <c r="N588" s="30"/>
      <c r="O588" s="31"/>
      <c r="P588" s="47"/>
      <c r="Q588" s="31"/>
      <c r="R588" s="31"/>
      <c r="S588" s="32">
        <f t="shared" si="160"/>
        <v>0</v>
      </c>
      <c r="T588" s="10"/>
      <c r="U588" s="10"/>
      <c r="V588" s="10"/>
      <c r="W588" s="12">
        <f t="shared" si="161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7"/>
        <v>0</v>
      </c>
      <c r="AF588" s="10"/>
      <c r="AG588" s="10"/>
      <c r="AH588" s="10"/>
      <c r="AI588" s="12">
        <f t="shared" si="16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8"/>
        <v>0</v>
      </c>
      <c r="H589" s="10"/>
      <c r="I589" s="10"/>
      <c r="J589" s="10"/>
      <c r="K589" s="12">
        <f t="shared" si="159"/>
        <v>0</v>
      </c>
      <c r="M589" s="10">
        <v>28</v>
      </c>
      <c r="N589" s="30"/>
      <c r="O589" s="31"/>
      <c r="P589" s="47"/>
      <c r="Q589" s="31"/>
      <c r="R589" s="31"/>
      <c r="S589" s="32">
        <f t="shared" si="160"/>
        <v>0</v>
      </c>
      <c r="T589" s="10"/>
      <c r="U589" s="10"/>
      <c r="V589" s="10"/>
      <c r="W589" s="12">
        <f t="shared" si="161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7"/>
        <v>0</v>
      </c>
      <c r="AF589" s="10"/>
      <c r="AG589" s="10"/>
      <c r="AH589" s="10"/>
      <c r="AI589" s="12">
        <f t="shared" si="16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8"/>
        <v>0</v>
      </c>
      <c r="H590" s="10"/>
      <c r="I590" s="10"/>
      <c r="J590" s="10"/>
      <c r="K590" s="12">
        <f t="shared" si="159"/>
        <v>0</v>
      </c>
      <c r="M590" s="10">
        <v>29</v>
      </c>
      <c r="N590" s="30"/>
      <c r="O590" s="31"/>
      <c r="P590" s="47"/>
      <c r="Q590" s="31"/>
      <c r="R590" s="31"/>
      <c r="S590" s="32">
        <f t="shared" si="160"/>
        <v>0</v>
      </c>
      <c r="T590" s="10"/>
      <c r="U590" s="10"/>
      <c r="V590" s="10"/>
      <c r="W590" s="12">
        <f t="shared" si="161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7"/>
        <v>0</v>
      </c>
      <c r="AF590" s="10"/>
      <c r="AG590" s="10"/>
      <c r="AH590" s="10"/>
      <c r="AI590" s="12">
        <f t="shared" si="16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8"/>
        <v>0</v>
      </c>
      <c r="H591" s="10"/>
      <c r="I591" s="10"/>
      <c r="J591" s="10"/>
      <c r="K591" s="12">
        <f t="shared" si="159"/>
        <v>0</v>
      </c>
      <c r="M591" s="10">
        <v>30</v>
      </c>
      <c r="N591" s="30"/>
      <c r="O591" s="31"/>
      <c r="P591" s="47"/>
      <c r="Q591" s="31"/>
      <c r="R591" s="31"/>
      <c r="S591" s="32">
        <f t="shared" si="160"/>
        <v>0</v>
      </c>
      <c r="T591" s="10"/>
      <c r="U591" s="10"/>
      <c r="V591" s="10"/>
      <c r="W591" s="12">
        <f t="shared" si="161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7"/>
        <v>0</v>
      </c>
      <c r="AF591" s="10"/>
      <c r="AG591" s="10"/>
      <c r="AH591" s="10"/>
      <c r="AI591" s="12">
        <f t="shared" si="16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8"/>
        <v>0</v>
      </c>
      <c r="H592" s="10"/>
      <c r="I592" s="10"/>
      <c r="J592" s="10"/>
      <c r="K592" s="12">
        <f t="shared" si="159"/>
        <v>0</v>
      </c>
      <c r="M592" s="10">
        <v>31</v>
      </c>
      <c r="N592" s="30"/>
      <c r="O592" s="31"/>
      <c r="P592" s="47"/>
      <c r="Q592" s="31"/>
      <c r="R592" s="31"/>
      <c r="S592" s="32">
        <f t="shared" si="160"/>
        <v>0</v>
      </c>
      <c r="T592" s="10"/>
      <c r="U592" s="10"/>
      <c r="V592" s="10"/>
      <c r="W592" s="12">
        <f t="shared" si="161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7"/>
        <v>0</v>
      </c>
      <c r="AF592" s="10"/>
      <c r="AG592" s="10"/>
      <c r="AH592" s="10"/>
      <c r="AI592" s="12">
        <f t="shared" si="16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8"/>
        <v>0</v>
      </c>
      <c r="H593" s="10"/>
      <c r="I593" s="10"/>
      <c r="J593" s="10"/>
      <c r="K593" s="12">
        <f t="shared" si="159"/>
        <v>0</v>
      </c>
      <c r="M593" s="10">
        <v>32</v>
      </c>
      <c r="N593" s="30"/>
      <c r="O593" s="31"/>
      <c r="P593" s="47"/>
      <c r="Q593" s="31"/>
      <c r="R593" s="31"/>
      <c r="S593" s="32">
        <f t="shared" si="160"/>
        <v>0</v>
      </c>
      <c r="T593" s="10"/>
      <c r="U593" s="10"/>
      <c r="V593" s="10"/>
      <c r="W593" s="12">
        <f t="shared" si="161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7"/>
        <v>0</v>
      </c>
      <c r="AF593" s="10"/>
      <c r="AG593" s="10"/>
      <c r="AH593" s="10"/>
      <c r="AI593" s="12">
        <f t="shared" si="16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8"/>
        <v>0</v>
      </c>
      <c r="H594" s="10"/>
      <c r="I594" s="10"/>
      <c r="J594" s="10"/>
      <c r="K594" s="12">
        <f t="shared" si="159"/>
        <v>0</v>
      </c>
      <c r="M594" s="10">
        <v>33</v>
      </c>
      <c r="N594" s="30"/>
      <c r="O594" s="31"/>
      <c r="P594" s="47"/>
      <c r="Q594" s="31"/>
      <c r="R594" s="31"/>
      <c r="S594" s="32">
        <f t="shared" si="160"/>
        <v>0</v>
      </c>
      <c r="T594" s="10"/>
      <c r="U594" s="10"/>
      <c r="V594" s="10"/>
      <c r="W594" s="12">
        <f t="shared" si="161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7"/>
        <v>0</v>
      </c>
      <c r="AF594" s="10"/>
      <c r="AG594" s="10"/>
      <c r="AH594" s="10"/>
      <c r="AI594" s="12">
        <f t="shared" si="16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8"/>
        <v>0</v>
      </c>
      <c r="H595" s="10"/>
      <c r="I595" s="10"/>
      <c r="J595" s="10"/>
      <c r="K595" s="12">
        <f t="shared" si="159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5" si="168">SUM(P595:Q595)</f>
        <v>0</v>
      </c>
      <c r="T595" s="10"/>
      <c r="U595" s="10"/>
      <c r="V595" s="10"/>
      <c r="W595" s="12">
        <f t="shared" si="161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5" si="169">SUM(AB595:AC595)</f>
        <v>0</v>
      </c>
      <c r="AF595" s="10"/>
      <c r="AG595" s="10"/>
      <c r="AH595" s="10"/>
      <c r="AI595" s="12">
        <f t="shared" si="16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P596" s="47"/>
      <c r="Q596" s="31"/>
      <c r="R596" s="31"/>
      <c r="S596" s="32">
        <f t="shared" si="168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9"/>
        <v>0</v>
      </c>
      <c r="AF596" s="10"/>
      <c r="AG596" s="10"/>
      <c r="AH596" s="10"/>
      <c r="AI596" s="12">
        <f t="shared" si="16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8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9"/>
        <v>0</v>
      </c>
      <c r="AF597" s="10"/>
      <c r="AG597" s="10"/>
      <c r="AH597" s="10"/>
      <c r="AI597" s="12">
        <f t="shared" si="16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O598" s="31"/>
      <c r="P598" s="47"/>
      <c r="Q598" s="31"/>
      <c r="R598" s="31"/>
      <c r="S598" s="32">
        <f t="shared" si="168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9"/>
        <v>0</v>
      </c>
      <c r="AF598" s="10"/>
      <c r="AG598" s="10"/>
      <c r="AH598" s="10"/>
      <c r="AI598" s="12">
        <f t="shared" si="16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8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9"/>
        <v>0</v>
      </c>
      <c r="AF599" s="10"/>
      <c r="AG599" s="10"/>
      <c r="AH599" s="10"/>
      <c r="AI599" s="12">
        <f t="shared" si="16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8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9"/>
        <v>0</v>
      </c>
      <c r="AF600" s="10"/>
      <c r="AG600" s="10"/>
      <c r="AH600" s="10"/>
      <c r="AI600" s="12">
        <f t="shared" si="16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479010</v>
      </c>
      <c r="E605" s="38">
        <f t="shared" ref="E605:G605" si="174">SUM(E562:E602)</f>
        <v>-1998</v>
      </c>
      <c r="F605" s="38">
        <f t="shared" si="174"/>
        <v>0</v>
      </c>
      <c r="G605" s="38">
        <f>SUM(G562:G604)</f>
        <v>477012</v>
      </c>
      <c r="H605" s="4"/>
      <c r="I605" s="39">
        <f>SUM(I562:I604)</f>
        <v>1116</v>
      </c>
      <c r="J605" s="39">
        <f>SUM(J562:J604)</f>
        <v>-19980</v>
      </c>
      <c r="K605" s="40">
        <f>SUM(K562:K604)</f>
        <v>458148</v>
      </c>
      <c r="N605" s="57"/>
      <c r="O605" s="57"/>
      <c r="P605" s="38">
        <f>SUM(P562:P604)</f>
        <v>227590.5</v>
      </c>
      <c r="Q605" s="38">
        <f>SUM(Q562:Q586)</f>
        <v>0</v>
      </c>
      <c r="R605" s="38">
        <f>SUM(R562:R586)</f>
        <v>0</v>
      </c>
      <c r="S605" s="38">
        <f>SUM(S562:S604)</f>
        <v>227590.5</v>
      </c>
      <c r="T605" s="4"/>
      <c r="U605" s="41">
        <f>SUM(U562:U604)</f>
        <v>538.79999999999995</v>
      </c>
      <c r="V605" s="41">
        <f>SUM(V562:V586)</f>
        <v>-3258</v>
      </c>
      <c r="W605" s="42">
        <f>SUM(W562:W604)</f>
        <v>224871.3</v>
      </c>
      <c r="Z605" s="57"/>
      <c r="AA605" s="57"/>
      <c r="AB605" s="38">
        <f>SUM(AB562:AB604)</f>
        <v>228476</v>
      </c>
      <c r="AC605" s="38">
        <f>SUM(AC562:AC586)</f>
        <v>-1266</v>
      </c>
      <c r="AD605" s="38">
        <f>SUM(AD562:AD586)</f>
        <v>0</v>
      </c>
      <c r="AE605" s="38">
        <f>SUM(AE562:AE604)</f>
        <v>227210</v>
      </c>
      <c r="AF605" s="4"/>
      <c r="AG605" s="41">
        <f>SUM(AG562:AG604)</f>
        <v>279</v>
      </c>
      <c r="AH605" s="41">
        <f>SUM(AH562:AH586)</f>
        <v>-1332</v>
      </c>
      <c r="AI605" s="42">
        <f>SUM(AI562:AI604)</f>
        <v>226157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8"/>
      <c r="C607" s="88"/>
      <c r="D607" s="88"/>
      <c r="E607" s="88"/>
      <c r="F607" s="88"/>
      <c r="G607" s="88"/>
      <c r="H607" s="62"/>
      <c r="I607" s="62"/>
      <c r="J607" s="62"/>
      <c r="K607" s="62"/>
      <c r="L607" s="62"/>
      <c r="M607" s="62"/>
      <c r="N607" s="88"/>
      <c r="O607" s="88"/>
      <c r="P607" s="88"/>
      <c r="Q607" s="88"/>
      <c r="R607" s="88"/>
      <c r="S607" s="88"/>
      <c r="T607" s="62"/>
      <c r="U607" s="62"/>
      <c r="V607" s="62"/>
      <c r="W607" s="62"/>
      <c r="X607" s="62"/>
      <c r="Y607" s="62"/>
      <c r="Z607" s="88"/>
      <c r="AA607" s="88"/>
      <c r="AB607" s="88"/>
      <c r="AC607" s="88"/>
      <c r="AD607" s="88"/>
      <c r="AE607" s="88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8"/>
      <c r="C608" s="88"/>
      <c r="D608" s="88"/>
      <c r="E608" s="88"/>
      <c r="F608" s="88"/>
      <c r="G608" s="88"/>
      <c r="H608" s="62"/>
      <c r="I608" s="62"/>
      <c r="J608" s="62"/>
      <c r="K608" s="62"/>
      <c r="L608" s="62"/>
      <c r="M608" s="62"/>
      <c r="N608" s="88"/>
      <c r="O608" s="88"/>
      <c r="P608" s="88"/>
      <c r="Q608" s="88"/>
      <c r="R608" s="88"/>
      <c r="S608" s="88"/>
      <c r="T608" s="62"/>
      <c r="U608" s="62"/>
      <c r="V608" s="62"/>
      <c r="W608" s="62"/>
      <c r="X608" s="62"/>
      <c r="Y608" s="62"/>
      <c r="Z608" s="88"/>
      <c r="AA608" s="88"/>
      <c r="AB608" s="88"/>
      <c r="AC608" s="88"/>
      <c r="AD608" s="88"/>
      <c r="AE608" s="88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8"/>
      <c r="C609" s="88"/>
      <c r="D609" s="88"/>
      <c r="E609" s="88"/>
      <c r="F609" s="88"/>
      <c r="G609" s="88"/>
      <c r="H609" s="62"/>
      <c r="I609" s="62"/>
      <c r="J609" s="62"/>
      <c r="K609" s="62"/>
      <c r="L609" s="62"/>
      <c r="M609" s="62"/>
      <c r="N609" s="88"/>
      <c r="O609" s="88"/>
      <c r="P609" s="88"/>
      <c r="Q609" s="88"/>
      <c r="R609" s="88"/>
      <c r="S609" s="88"/>
      <c r="T609" s="62"/>
      <c r="U609" s="62"/>
      <c r="V609" s="62"/>
      <c r="W609" s="62"/>
      <c r="X609" s="62"/>
      <c r="Y609" s="62"/>
      <c r="Z609" s="88"/>
      <c r="AA609" s="88"/>
      <c r="AB609" s="88"/>
      <c r="AC609" s="88"/>
      <c r="AD609" s="88"/>
      <c r="AE609" s="88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8"/>
      <c r="C610" s="88"/>
      <c r="D610" s="88"/>
      <c r="E610" s="88"/>
      <c r="F610" s="88"/>
      <c r="G610" s="88"/>
      <c r="H610" s="62"/>
      <c r="I610" s="62"/>
      <c r="J610" s="62"/>
      <c r="K610" s="62"/>
      <c r="L610" s="62"/>
      <c r="M610" s="63"/>
      <c r="N610" s="88"/>
      <c r="O610" s="88"/>
      <c r="P610" s="88"/>
      <c r="Q610" s="88"/>
      <c r="R610" s="88"/>
      <c r="S610" s="88"/>
      <c r="T610" s="62"/>
      <c r="U610" s="62"/>
      <c r="V610" s="62"/>
      <c r="W610" s="62"/>
      <c r="X610" s="62"/>
      <c r="Y610" s="63"/>
      <c r="Z610" s="88"/>
      <c r="AA610" s="88"/>
      <c r="AB610" s="88"/>
      <c r="AC610" s="88"/>
      <c r="AD610" s="88"/>
      <c r="AE610" s="88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8"/>
      <c r="C611" s="88"/>
      <c r="D611" s="88"/>
      <c r="E611" s="88"/>
      <c r="F611" s="88"/>
      <c r="G611" s="88"/>
      <c r="H611" s="62"/>
      <c r="I611" s="62"/>
      <c r="J611" s="62"/>
      <c r="K611" s="62"/>
      <c r="L611" s="62"/>
      <c r="M611" s="62"/>
      <c r="N611" s="88"/>
      <c r="O611" s="88"/>
      <c r="P611" s="88"/>
      <c r="Q611" s="88"/>
      <c r="R611" s="88"/>
      <c r="S611" s="88"/>
      <c r="T611" s="62"/>
      <c r="U611" s="62"/>
      <c r="V611" s="62"/>
      <c r="W611" s="62"/>
      <c r="X611" s="62"/>
      <c r="Y611" s="62"/>
      <c r="Z611" s="88"/>
      <c r="AA611" s="88"/>
      <c r="AB611" s="88"/>
      <c r="AC611" s="88"/>
      <c r="AD611" s="88"/>
      <c r="AE611" s="88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8"/>
      <c r="C612" s="88"/>
      <c r="D612" s="88"/>
      <c r="E612" s="88"/>
      <c r="F612" s="88"/>
      <c r="G612" s="88"/>
      <c r="H612" s="62"/>
      <c r="I612" s="88"/>
      <c r="J612" s="73"/>
      <c r="K612" s="62"/>
      <c r="L612" s="62"/>
      <c r="M612" s="62"/>
      <c r="N612" s="88"/>
      <c r="O612" s="88"/>
      <c r="P612" s="88"/>
      <c r="Q612" s="88"/>
      <c r="R612" s="88"/>
      <c r="S612" s="88"/>
      <c r="T612" s="62"/>
      <c r="U612" s="88"/>
      <c r="V612" s="73"/>
      <c r="W612" s="62"/>
      <c r="X612" s="62"/>
      <c r="Y612" s="62"/>
      <c r="Z612" s="88"/>
      <c r="AA612" s="88"/>
      <c r="AB612" s="88"/>
      <c r="AC612" s="88"/>
      <c r="AD612" s="88"/>
      <c r="AE612" s="88"/>
      <c r="AF612" s="62"/>
      <c r="AG612" s="88"/>
      <c r="AH612" s="88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8"/>
      <c r="C613" s="88"/>
      <c r="D613" s="88"/>
      <c r="E613" s="88"/>
      <c r="F613" s="88"/>
      <c r="G613" s="88"/>
      <c r="H613" s="62"/>
      <c r="I613" s="65"/>
      <c r="J613" s="65"/>
      <c r="K613" s="62"/>
      <c r="L613" s="62"/>
      <c r="M613" s="64"/>
      <c r="N613" s="88"/>
      <c r="O613" s="88"/>
      <c r="P613" s="88"/>
      <c r="Q613" s="88"/>
      <c r="R613" s="88"/>
      <c r="S613" s="88"/>
      <c r="T613" s="62"/>
      <c r="U613" s="65"/>
      <c r="V613" s="65"/>
      <c r="W613" s="62"/>
      <c r="X613" s="62"/>
      <c r="Y613" s="64"/>
      <c r="Z613" s="88"/>
      <c r="AA613" s="88"/>
      <c r="AB613" s="88"/>
      <c r="AC613" s="88"/>
      <c r="AD613" s="88"/>
      <c r="AE613" s="88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8"/>
      <c r="C614" s="88"/>
      <c r="D614" s="88"/>
      <c r="E614" s="88"/>
      <c r="F614" s="88"/>
      <c r="G614" s="88"/>
      <c r="H614" s="62"/>
      <c r="I614" s="62"/>
      <c r="J614" s="62"/>
      <c r="K614" s="62"/>
      <c r="L614" s="62"/>
      <c r="M614" s="62"/>
      <c r="N614" s="88"/>
      <c r="O614" s="88"/>
      <c r="P614" s="88"/>
      <c r="Q614" s="88"/>
      <c r="R614" s="88"/>
      <c r="S614" s="88"/>
      <c r="T614" s="62"/>
      <c r="U614" s="62"/>
      <c r="V614" s="62"/>
      <c r="W614" s="62"/>
      <c r="X614" s="62"/>
      <c r="Y614" s="62"/>
      <c r="Z614" s="88"/>
      <c r="AA614" s="88"/>
      <c r="AB614" s="88"/>
      <c r="AC614" s="88"/>
      <c r="AD614" s="88"/>
      <c r="AE614" s="88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8"/>
      <c r="D615" s="106"/>
      <c r="E615" s="106"/>
      <c r="F615" s="88"/>
      <c r="G615" s="88"/>
      <c r="H615" s="62"/>
      <c r="I615" s="106"/>
      <c r="J615" s="106"/>
      <c r="K615" s="105"/>
      <c r="L615" s="62"/>
      <c r="M615" s="62"/>
      <c r="N615" s="65"/>
      <c r="O615" s="88"/>
      <c r="P615" s="106"/>
      <c r="Q615" s="106"/>
      <c r="R615" s="88"/>
      <c r="S615" s="88"/>
      <c r="T615" s="62"/>
      <c r="U615" s="106"/>
      <c r="V615" s="106"/>
      <c r="W615" s="105"/>
      <c r="X615" s="62"/>
      <c r="Y615" s="62"/>
      <c r="Z615" s="65"/>
      <c r="AA615" s="88"/>
      <c r="AB615" s="106"/>
      <c r="AC615" s="106"/>
      <c r="AD615" s="88"/>
      <c r="AE615" s="88"/>
      <c r="AF615" s="62"/>
      <c r="AG615" s="106"/>
      <c r="AH615" s="106"/>
      <c r="AI615" s="105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8"/>
      <c r="C616" s="88"/>
      <c r="D616" s="79"/>
      <c r="E616" s="80"/>
      <c r="F616" s="81"/>
      <c r="G616" s="81"/>
      <c r="H616" s="62"/>
      <c r="I616" s="87"/>
      <c r="J616" s="87"/>
      <c r="K616" s="105"/>
      <c r="L616" s="62"/>
      <c r="M616" s="62"/>
      <c r="N616" s="88"/>
      <c r="O616" s="88"/>
      <c r="P616" s="79"/>
      <c r="Q616" s="81"/>
      <c r="R616" s="81"/>
      <c r="S616" s="81"/>
      <c r="T616" s="62"/>
      <c r="U616" s="87"/>
      <c r="V616" s="87"/>
      <c r="W616" s="105"/>
      <c r="X616" s="62"/>
      <c r="Y616" s="62"/>
      <c r="Z616" s="88"/>
      <c r="AA616" s="88"/>
      <c r="AB616" s="79"/>
      <c r="AC616" s="81"/>
      <c r="AD616" s="81"/>
      <c r="AE616" s="81"/>
      <c r="AF616" s="62"/>
      <c r="AG616" s="87"/>
      <c r="AH616" s="87"/>
      <c r="AI616" s="105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8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8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8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8"/>
      <c r="AB618" s="60"/>
      <c r="AC618" s="62"/>
      <c r="AD618" s="60"/>
      <c r="AE618" s="60"/>
      <c r="AF618" s="61"/>
      <c r="AG618" s="61"/>
      <c r="AH618" s="62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8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8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8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8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8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8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8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8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8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8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8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8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8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8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8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8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8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8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8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8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8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8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8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8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8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8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8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8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8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8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8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2"/>
      <c r="P637" s="89"/>
      <c r="Q637" s="88"/>
      <c r="R637" s="88"/>
      <c r="S637" s="60"/>
      <c r="T637" s="62"/>
      <c r="U637" s="62"/>
      <c r="V637" s="62"/>
      <c r="W637" s="61"/>
      <c r="X637" s="62"/>
      <c r="Y637" s="62"/>
      <c r="Z637" s="66"/>
      <c r="AA637" s="88"/>
      <c r="AB637" s="67"/>
      <c r="AC637" s="88"/>
      <c r="AD637" s="88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8"/>
      <c r="P638" s="89"/>
      <c r="Q638" s="88"/>
      <c r="R638" s="88"/>
      <c r="S638" s="60"/>
      <c r="T638" s="62"/>
      <c r="U638" s="62"/>
      <c r="V638" s="62"/>
      <c r="W638" s="61"/>
      <c r="X638" s="62"/>
      <c r="Y638" s="62"/>
      <c r="Z638" s="66"/>
      <c r="AA638" s="88"/>
      <c r="AB638" s="68"/>
      <c r="AC638" s="88"/>
      <c r="AD638" s="88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8"/>
      <c r="P639" s="69"/>
      <c r="Q639" s="88"/>
      <c r="R639" s="62"/>
      <c r="S639" s="60"/>
      <c r="T639" s="62"/>
      <c r="U639" s="62"/>
      <c r="V639" s="62"/>
      <c r="W639" s="61"/>
      <c r="X639" s="62"/>
      <c r="Y639" s="62"/>
      <c r="Z639" s="66"/>
      <c r="AA639" s="88"/>
      <c r="AB639" s="69"/>
      <c r="AC639" s="88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62"/>
      <c r="P640" s="69"/>
      <c r="Q640" s="88"/>
      <c r="R640" s="88"/>
      <c r="S640" s="60"/>
      <c r="T640" s="62"/>
      <c r="U640" s="62"/>
      <c r="V640" s="62"/>
      <c r="W640" s="61"/>
      <c r="X640" s="62"/>
      <c r="Y640" s="62"/>
      <c r="Z640" s="66"/>
      <c r="AA640" s="88"/>
      <c r="AB640" s="69"/>
      <c r="AC640" s="88"/>
      <c r="AD640" s="88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8"/>
      <c r="P641" s="69"/>
      <c r="Q641" s="88"/>
      <c r="R641" s="88"/>
      <c r="S641" s="60"/>
      <c r="T641" s="62"/>
      <c r="U641" s="62"/>
      <c r="V641" s="62"/>
      <c r="W641" s="61"/>
      <c r="X641" s="62"/>
      <c r="Y641" s="62"/>
      <c r="Z641" s="66"/>
      <c r="AA641" s="88"/>
      <c r="AB641" s="69"/>
      <c r="AC641" s="88"/>
      <c r="AD641" s="88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88"/>
      <c r="R642" s="88"/>
      <c r="S642" s="60"/>
      <c r="T642" s="62"/>
      <c r="U642" s="62"/>
      <c r="V642" s="62"/>
      <c r="W642" s="61"/>
      <c r="X642" s="62"/>
      <c r="Y642" s="62"/>
      <c r="Z642" s="66"/>
      <c r="AA642" s="88"/>
      <c r="AB642" s="69"/>
      <c r="AC642" s="88"/>
      <c r="AD642" s="88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8"/>
      <c r="P643" s="69"/>
      <c r="Q643" s="88"/>
      <c r="R643" s="88"/>
      <c r="S643" s="60"/>
      <c r="T643" s="62"/>
      <c r="U643" s="62"/>
      <c r="V643" s="62"/>
      <c r="W643" s="61"/>
      <c r="X643" s="62"/>
      <c r="Y643" s="62"/>
      <c r="Z643" s="66"/>
      <c r="AA643" s="88"/>
      <c r="AB643" s="69"/>
      <c r="AC643" s="88"/>
      <c r="AD643" s="88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8"/>
      <c r="P644" s="69"/>
      <c r="Q644" s="88"/>
      <c r="R644" s="88"/>
      <c r="S644" s="60"/>
      <c r="T644" s="62"/>
      <c r="U644" s="62"/>
      <c r="V644" s="62"/>
      <c r="W644" s="61"/>
      <c r="X644" s="62"/>
      <c r="Y644" s="62"/>
      <c r="Z644" s="66"/>
      <c r="AA644" s="88"/>
      <c r="AB644" s="69"/>
      <c r="AC644" s="88"/>
      <c r="AD644" s="88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8"/>
      <c r="P645" s="69"/>
      <c r="Q645" s="88"/>
      <c r="R645" s="88"/>
      <c r="S645" s="60"/>
      <c r="T645" s="62"/>
      <c r="U645" s="62"/>
      <c r="V645" s="62"/>
      <c r="W645" s="61"/>
      <c r="X645" s="62"/>
      <c r="Y645" s="62"/>
      <c r="Z645" s="66"/>
      <c r="AA645" s="88"/>
      <c r="AB645" s="69"/>
      <c r="AC645" s="88"/>
      <c r="AD645" s="88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8"/>
      <c r="R646" s="88"/>
      <c r="S646" s="60"/>
      <c r="T646" s="62"/>
      <c r="U646" s="62"/>
      <c r="V646" s="62"/>
      <c r="W646" s="61"/>
      <c r="X646" s="62"/>
      <c r="Y646" s="62"/>
      <c r="Z646" s="66"/>
      <c r="AA646" s="88"/>
      <c r="AB646" s="69"/>
      <c r="AC646" s="88"/>
      <c r="AD646" s="88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8"/>
      <c r="P647" s="69"/>
      <c r="Q647" s="88"/>
      <c r="R647" s="88"/>
      <c r="S647" s="60"/>
      <c r="T647" s="62"/>
      <c r="U647" s="62"/>
      <c r="V647" s="62"/>
      <c r="W647" s="61"/>
      <c r="X647" s="62"/>
      <c r="Y647" s="62"/>
      <c r="Z647" s="66"/>
      <c r="AA647" s="88"/>
      <c r="AB647" s="69"/>
      <c r="AC647" s="88"/>
      <c r="AD647" s="88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8"/>
      <c r="P648" s="69"/>
      <c r="Q648" s="88"/>
      <c r="R648" s="88"/>
      <c r="S648" s="60"/>
      <c r="T648" s="62"/>
      <c r="U648" s="62"/>
      <c r="V648" s="62"/>
      <c r="W648" s="61"/>
      <c r="X648" s="62"/>
      <c r="Y648" s="62"/>
      <c r="Z648" s="66"/>
      <c r="AA648" s="88"/>
      <c r="AB648" s="69"/>
      <c r="AC648" s="88"/>
      <c r="AD648" s="88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8"/>
      <c r="P649" s="69"/>
      <c r="Q649" s="88"/>
      <c r="R649" s="88"/>
      <c r="S649" s="60"/>
      <c r="T649" s="62"/>
      <c r="U649" s="62"/>
      <c r="V649" s="62"/>
      <c r="W649" s="61"/>
      <c r="X649" s="62"/>
      <c r="Y649" s="62"/>
      <c r="Z649" s="66"/>
      <c r="AA649" s="88"/>
      <c r="AB649" s="69"/>
      <c r="AC649" s="88"/>
      <c r="AD649" s="88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8"/>
      <c r="P650" s="69"/>
      <c r="Q650" s="88"/>
      <c r="R650" s="88"/>
      <c r="S650" s="60"/>
      <c r="T650" s="62"/>
      <c r="U650" s="62"/>
      <c r="V650" s="62"/>
      <c r="W650" s="61"/>
      <c r="X650" s="62"/>
      <c r="Y650" s="62"/>
      <c r="Z650" s="66"/>
      <c r="AA650" s="88"/>
      <c r="AB650" s="69"/>
      <c r="AC650" s="88"/>
      <c r="AD650" s="88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8"/>
      <c r="P651" s="69"/>
      <c r="Q651" s="88"/>
      <c r="R651" s="88"/>
      <c r="S651" s="60"/>
      <c r="T651" s="62"/>
      <c r="U651" s="62"/>
      <c r="V651" s="62"/>
      <c r="W651" s="61"/>
      <c r="X651" s="62"/>
      <c r="Y651" s="62"/>
      <c r="Z651" s="66"/>
      <c r="AA651" s="88"/>
      <c r="AB651" s="69"/>
      <c r="AC651" s="88"/>
      <c r="AD651" s="88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8"/>
      <c r="P652" s="69"/>
      <c r="Q652" s="88"/>
      <c r="R652" s="88"/>
      <c r="S652" s="60"/>
      <c r="T652" s="62"/>
      <c r="U652" s="62"/>
      <c r="V652" s="62"/>
      <c r="W652" s="61"/>
      <c r="X652" s="62"/>
      <c r="Y652" s="62"/>
      <c r="Z652" s="66"/>
      <c r="AA652" s="88"/>
      <c r="AB652" s="69"/>
      <c r="AC652" s="88"/>
      <c r="AD652" s="88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8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8"/>
      <c r="R653" s="88"/>
      <c r="S653" s="60"/>
      <c r="T653" s="62"/>
      <c r="U653" s="62"/>
      <c r="V653" s="62"/>
      <c r="W653" s="61"/>
      <c r="X653" s="62"/>
      <c r="Y653" s="62"/>
      <c r="Z653" s="66"/>
      <c r="AA653" s="88"/>
      <c r="AB653" s="69"/>
      <c r="AC653" s="88"/>
      <c r="AD653" s="88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8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8"/>
      <c r="P654" s="69"/>
      <c r="Q654" s="88"/>
      <c r="R654" s="88"/>
      <c r="S654" s="60"/>
      <c r="T654" s="62"/>
      <c r="U654" s="62"/>
      <c r="V654" s="62"/>
      <c r="W654" s="61"/>
      <c r="X654" s="62"/>
      <c r="Y654" s="62"/>
      <c r="Z654" s="66"/>
      <c r="AA654" s="88"/>
      <c r="AB654" s="69"/>
      <c r="AC654" s="88"/>
      <c r="AD654" s="88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8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8"/>
      <c r="P655" s="69"/>
      <c r="Q655" s="88"/>
      <c r="R655" s="88"/>
      <c r="S655" s="60"/>
      <c r="T655" s="62"/>
      <c r="U655" s="62"/>
      <c r="V655" s="62"/>
      <c r="W655" s="61"/>
      <c r="X655" s="62"/>
      <c r="Y655" s="62"/>
      <c r="Z655" s="66"/>
      <c r="AA655" s="88"/>
      <c r="AB655" s="69"/>
      <c r="AC655" s="88"/>
      <c r="AD655" s="88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8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8"/>
      <c r="R656" s="88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8"/>
      <c r="AD656" s="88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8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8"/>
      <c r="P657" s="69"/>
      <c r="Q657" s="88"/>
      <c r="R657" s="88"/>
      <c r="S657" s="60"/>
      <c r="T657" s="62"/>
      <c r="U657" s="62"/>
      <c r="V657" s="62"/>
      <c r="W657" s="61"/>
      <c r="X657" s="62"/>
      <c r="Y657" s="62"/>
      <c r="Z657" s="66"/>
      <c r="AA657" s="88"/>
      <c r="AB657" s="69"/>
      <c r="AC657" s="88"/>
      <c r="AD657" s="88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8"/>
      <c r="O658" s="88"/>
      <c r="P658" s="88"/>
      <c r="Q658" s="88"/>
      <c r="R658" s="88"/>
      <c r="S658" s="88"/>
      <c r="T658" s="62"/>
      <c r="U658" s="62"/>
      <c r="V658" s="62"/>
      <c r="W658" s="61"/>
      <c r="X658" s="62"/>
      <c r="Y658" s="62"/>
      <c r="Z658" s="88"/>
      <c r="AA658" s="88"/>
      <c r="AB658" s="88"/>
      <c r="AC658" s="88"/>
      <c r="AD658" s="88"/>
      <c r="AE658" s="88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8"/>
      <c r="C659" s="88"/>
      <c r="D659" s="88"/>
      <c r="E659" s="88"/>
      <c r="F659" s="88"/>
      <c r="G659" s="88"/>
      <c r="H659" s="62"/>
      <c r="I659" s="62"/>
      <c r="J659" s="62"/>
      <c r="K659" s="62"/>
      <c r="L659" s="62"/>
      <c r="M659" s="62"/>
      <c r="N659" s="88"/>
      <c r="O659" s="88"/>
      <c r="P659" s="88"/>
      <c r="Q659" s="88"/>
      <c r="R659" s="88"/>
      <c r="S659" s="88"/>
      <c r="T659" s="62"/>
      <c r="U659" s="62"/>
      <c r="V659" s="62"/>
      <c r="W659" s="62"/>
      <c r="X659" s="62"/>
      <c r="Y659" s="62"/>
      <c r="Z659" s="88"/>
      <c r="AA659" s="88"/>
      <c r="AB659" s="88"/>
      <c r="AC659" s="88"/>
      <c r="AD659" s="88"/>
      <c r="AE659" s="88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8"/>
      <c r="C660" s="88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8"/>
      <c r="O660" s="88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8"/>
      <c r="AA660" s="88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L662" s="62"/>
      <c r="M662" s="62"/>
      <c r="N662" s="88"/>
      <c r="O662" s="88"/>
      <c r="P662" s="88"/>
      <c r="Q662" s="88"/>
      <c r="R662" s="88"/>
      <c r="S662" s="88"/>
      <c r="T662" s="62"/>
      <c r="U662" s="62"/>
      <c r="V662" s="62"/>
      <c r="W662" s="62"/>
      <c r="X662" s="62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L663" s="62"/>
      <c r="M663" s="62"/>
      <c r="N663" s="88"/>
      <c r="O663" s="88"/>
      <c r="P663" s="88"/>
      <c r="Q663" s="88"/>
      <c r="R663" s="88"/>
      <c r="S663" s="88"/>
      <c r="T663" s="62"/>
      <c r="U663" s="62"/>
      <c r="V663" s="62"/>
      <c r="W663" s="62"/>
      <c r="X663" s="62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L664" s="62"/>
      <c r="M664" s="62"/>
      <c r="N664" s="88"/>
      <c r="O664" s="88"/>
      <c r="P664" s="88"/>
      <c r="Q664" s="88"/>
      <c r="R664" s="88"/>
      <c r="S664" s="88"/>
      <c r="T664" s="62"/>
      <c r="U664" s="62"/>
      <c r="V664" s="62"/>
      <c r="W664" s="62"/>
      <c r="X664" s="62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L665" s="62"/>
      <c r="M665" s="63"/>
      <c r="N665" s="88"/>
      <c r="O665" s="88"/>
      <c r="P665" s="88"/>
      <c r="Q665" s="88"/>
      <c r="R665" s="88"/>
      <c r="S665" s="88"/>
      <c r="T665" s="62"/>
      <c r="U665" s="62"/>
      <c r="V665" s="62"/>
      <c r="W665" s="62"/>
      <c r="X665" s="62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L666" s="62"/>
      <c r="M666" s="62"/>
      <c r="N666" s="88"/>
      <c r="O666" s="88"/>
      <c r="P666" s="88"/>
      <c r="Q666" s="88"/>
      <c r="R666" s="88"/>
      <c r="S666" s="88"/>
      <c r="T666" s="62"/>
      <c r="U666" s="62"/>
      <c r="V666" s="62"/>
      <c r="W666" s="62"/>
      <c r="X666" s="62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L667" s="62"/>
      <c r="M667" s="62"/>
      <c r="N667" s="88"/>
      <c r="O667" s="88"/>
      <c r="P667" s="88"/>
      <c r="Q667" s="88"/>
      <c r="R667" s="88"/>
      <c r="S667" s="88"/>
      <c r="T667" s="62"/>
      <c r="U667" s="88"/>
      <c r="V667" s="73"/>
      <c r="W667" s="62"/>
      <c r="X667" s="62"/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L668" s="62"/>
      <c r="M668" s="64"/>
      <c r="N668" s="88"/>
      <c r="O668" s="88"/>
      <c r="P668" s="88"/>
      <c r="Q668" s="88"/>
      <c r="R668" s="88"/>
      <c r="S668" s="88"/>
      <c r="T668" s="62"/>
      <c r="U668" s="65"/>
      <c r="V668" s="65"/>
      <c r="W668" s="62"/>
      <c r="X668" s="62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L669" s="62"/>
      <c r="M669" s="62"/>
      <c r="N669" s="88"/>
      <c r="O669" s="88"/>
      <c r="P669" s="88"/>
      <c r="Q669" s="88"/>
      <c r="R669" s="88"/>
      <c r="S669" s="88"/>
      <c r="T669" s="62"/>
      <c r="U669" s="62"/>
      <c r="V669" s="62"/>
      <c r="W669" s="62"/>
      <c r="X669" s="62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106"/>
      <c r="E670" s="106"/>
      <c r="F670" s="88"/>
      <c r="G670" s="88"/>
      <c r="H670" s="62"/>
      <c r="I670" s="106"/>
      <c r="J670" s="106"/>
      <c r="K670" s="105"/>
      <c r="L670" s="62"/>
      <c r="M670" s="62"/>
      <c r="N670" s="65"/>
      <c r="O670" s="88"/>
      <c r="P670" s="106"/>
      <c r="Q670" s="106"/>
      <c r="R670" s="88"/>
      <c r="S670" s="88"/>
      <c r="T670" s="62"/>
      <c r="U670" s="106"/>
      <c r="V670" s="106"/>
      <c r="W670" s="105"/>
      <c r="X670" s="62"/>
      <c r="Y670" s="62"/>
      <c r="Z670" s="65"/>
      <c r="AA670" s="88"/>
      <c r="AB670" s="106"/>
      <c r="AC670" s="106"/>
      <c r="AD670" s="88"/>
      <c r="AE670" s="88"/>
      <c r="AF670" s="62"/>
      <c r="AG670" s="106"/>
      <c r="AH670" s="106"/>
      <c r="AI670" s="105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105"/>
      <c r="L671" s="62"/>
      <c r="M671" s="62"/>
      <c r="N671" s="88"/>
      <c r="O671" s="88"/>
      <c r="P671" s="79"/>
      <c r="Q671" s="81"/>
      <c r="R671" s="81"/>
      <c r="S671" s="81"/>
      <c r="T671" s="62"/>
      <c r="U671" s="87"/>
      <c r="V671" s="87"/>
      <c r="W671" s="105"/>
      <c r="X671" s="62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105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8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8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8"/>
      <c r="AB673" s="60"/>
      <c r="AC673" s="62"/>
      <c r="AD673" s="60"/>
      <c r="AE673" s="60"/>
      <c r="AF673" s="61"/>
      <c r="AG673" s="61"/>
      <c r="AH673" s="62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8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8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8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8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8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8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8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8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8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8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8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8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8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8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8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8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8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8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89"/>
      <c r="Q692" s="88"/>
      <c r="R692" s="88"/>
      <c r="S692" s="60"/>
      <c r="T692" s="62"/>
      <c r="U692" s="62"/>
      <c r="V692" s="62"/>
      <c r="W692" s="61"/>
      <c r="X692" s="62"/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8"/>
      <c r="P693" s="89"/>
      <c r="Q693" s="88"/>
      <c r="R693" s="88"/>
      <c r="S693" s="60"/>
      <c r="T693" s="62"/>
      <c r="U693" s="62"/>
      <c r="V693" s="62"/>
      <c r="W693" s="61"/>
      <c r="X693" s="62"/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8"/>
      <c r="P694" s="69"/>
      <c r="Q694" s="88"/>
      <c r="R694" s="62"/>
      <c r="S694" s="60"/>
      <c r="T694" s="62"/>
      <c r="U694" s="62"/>
      <c r="V694" s="62"/>
      <c r="W694" s="61"/>
      <c r="X694" s="62"/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62"/>
      <c r="P695" s="69"/>
      <c r="Q695" s="88"/>
      <c r="R695" s="88"/>
      <c r="S695" s="60"/>
      <c r="T695" s="62"/>
      <c r="U695" s="62"/>
      <c r="V695" s="62"/>
      <c r="W695" s="61"/>
      <c r="X695" s="62"/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8"/>
      <c r="P696" s="69"/>
      <c r="Q696" s="88"/>
      <c r="R696" s="88"/>
      <c r="S696" s="60"/>
      <c r="T696" s="62"/>
      <c r="U696" s="62"/>
      <c r="V696" s="62"/>
      <c r="W696" s="61"/>
      <c r="X696" s="62"/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8"/>
      <c r="R697" s="88"/>
      <c r="S697" s="60"/>
      <c r="T697" s="62"/>
      <c r="U697" s="62"/>
      <c r="V697" s="62"/>
      <c r="W697" s="61"/>
      <c r="X697" s="62"/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8"/>
      <c r="P698" s="69"/>
      <c r="Q698" s="88"/>
      <c r="R698" s="88"/>
      <c r="S698" s="60"/>
      <c r="T698" s="62"/>
      <c r="U698" s="62"/>
      <c r="V698" s="62"/>
      <c r="W698" s="61"/>
      <c r="X698" s="62"/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8"/>
      <c r="P699" s="69"/>
      <c r="Q699" s="88"/>
      <c r="R699" s="88"/>
      <c r="S699" s="60"/>
      <c r="T699" s="62"/>
      <c r="U699" s="62"/>
      <c r="V699" s="62"/>
      <c r="W699" s="61"/>
      <c r="X699" s="62"/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8"/>
      <c r="P700" s="69"/>
      <c r="Q700" s="88"/>
      <c r="R700" s="88"/>
      <c r="S700" s="60"/>
      <c r="T700" s="62"/>
      <c r="U700" s="62"/>
      <c r="V700" s="62"/>
      <c r="W700" s="61"/>
      <c r="X700" s="62"/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8"/>
      <c r="R701" s="88"/>
      <c r="S701" s="60"/>
      <c r="T701" s="62"/>
      <c r="U701" s="62"/>
      <c r="V701" s="62"/>
      <c r="W701" s="61"/>
      <c r="X701" s="62"/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8"/>
      <c r="P702" s="69"/>
      <c r="Q702" s="88"/>
      <c r="R702" s="88"/>
      <c r="S702" s="60"/>
      <c r="T702" s="62"/>
      <c r="U702" s="62"/>
      <c r="V702" s="62"/>
      <c r="W702" s="61"/>
      <c r="X702" s="62"/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8"/>
      <c r="P703" s="69"/>
      <c r="Q703" s="88"/>
      <c r="R703" s="88"/>
      <c r="S703" s="60"/>
      <c r="T703" s="62"/>
      <c r="U703" s="62"/>
      <c r="V703" s="62"/>
      <c r="W703" s="61"/>
      <c r="X703" s="62"/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8"/>
      <c r="P704" s="69"/>
      <c r="Q704" s="88"/>
      <c r="R704" s="88"/>
      <c r="S704" s="60"/>
      <c r="T704" s="62"/>
      <c r="U704" s="62"/>
      <c r="V704" s="62"/>
      <c r="W704" s="61"/>
      <c r="X704" s="62"/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8"/>
      <c r="P705" s="69"/>
      <c r="Q705" s="88"/>
      <c r="R705" s="88"/>
      <c r="S705" s="60"/>
      <c r="T705" s="62"/>
      <c r="U705" s="62"/>
      <c r="V705" s="62"/>
      <c r="W705" s="61"/>
      <c r="X705" s="62"/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8"/>
      <c r="P706" s="69"/>
      <c r="Q706" s="88"/>
      <c r="R706" s="88"/>
      <c r="S706" s="60"/>
      <c r="T706" s="62"/>
      <c r="U706" s="62"/>
      <c r="V706" s="62"/>
      <c r="W706" s="61"/>
      <c r="X706" s="62"/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8"/>
      <c r="P707" s="69"/>
      <c r="Q707" s="88"/>
      <c r="R707" s="88"/>
      <c r="S707" s="60"/>
      <c r="T707" s="62"/>
      <c r="U707" s="62"/>
      <c r="V707" s="62"/>
      <c r="W707" s="61"/>
      <c r="X707" s="62"/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8"/>
      <c r="R708" s="88"/>
      <c r="S708" s="60"/>
      <c r="T708" s="62"/>
      <c r="U708" s="62"/>
      <c r="V708" s="62"/>
      <c r="W708" s="61"/>
      <c r="X708" s="62"/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8"/>
      <c r="P709" s="69"/>
      <c r="Q709" s="88"/>
      <c r="R709" s="88"/>
      <c r="S709" s="60"/>
      <c r="T709" s="62"/>
      <c r="U709" s="62"/>
      <c r="V709" s="62"/>
      <c r="W709" s="61"/>
      <c r="X709" s="62"/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8"/>
      <c r="P710" s="69"/>
      <c r="Q710" s="88"/>
      <c r="R710" s="88"/>
      <c r="S710" s="60"/>
      <c r="T710" s="62"/>
      <c r="U710" s="62"/>
      <c r="V710" s="62"/>
      <c r="W710" s="61"/>
      <c r="X710" s="62"/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8"/>
      <c r="R711" s="88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8"/>
      <c r="P712" s="69"/>
      <c r="Q712" s="88"/>
      <c r="R712" s="88"/>
      <c r="S712" s="60"/>
      <c r="T712" s="62"/>
      <c r="U712" s="62"/>
      <c r="V712" s="62"/>
      <c r="W712" s="61"/>
      <c r="X712" s="62"/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8"/>
      <c r="O713" s="88"/>
      <c r="P713" s="88"/>
      <c r="Q713" s="88"/>
      <c r="R713" s="88"/>
      <c r="S713" s="88"/>
      <c r="T713" s="62"/>
      <c r="U713" s="62"/>
      <c r="V713" s="62"/>
      <c r="W713" s="61"/>
      <c r="X713" s="62"/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L714" s="62"/>
      <c r="M714" s="62"/>
      <c r="N714" s="88"/>
      <c r="O714" s="88"/>
      <c r="P714" s="88"/>
      <c r="Q714" s="88"/>
      <c r="R714" s="88"/>
      <c r="S714" s="88"/>
      <c r="T714" s="62"/>
      <c r="U714" s="62"/>
      <c r="V714" s="62"/>
      <c r="W714" s="62"/>
      <c r="X714" s="62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8"/>
      <c r="O715" s="88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L717" s="62"/>
      <c r="M717" s="62"/>
      <c r="N717" s="88"/>
      <c r="O717" s="88"/>
      <c r="P717" s="88"/>
      <c r="Q717" s="88"/>
      <c r="R717" s="88"/>
      <c r="S717" s="88"/>
      <c r="T717" s="62"/>
      <c r="U717" s="62"/>
      <c r="V717" s="62"/>
      <c r="W717" s="62"/>
      <c r="X717" s="62"/>
      <c r="Y717" s="62"/>
      <c r="Z717" s="88"/>
      <c r="AA717" s="88"/>
      <c r="AB717" s="88"/>
      <c r="AC717" s="88"/>
      <c r="AD717" s="88"/>
      <c r="AE717" s="8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L718" s="62"/>
      <c r="M718" s="62"/>
      <c r="N718" s="88"/>
      <c r="O718" s="88"/>
      <c r="P718" s="88"/>
      <c r="Q718" s="88"/>
      <c r="R718" s="88"/>
      <c r="S718" s="88"/>
      <c r="T718" s="62"/>
      <c r="U718" s="62"/>
      <c r="V718" s="62"/>
      <c r="W718" s="62"/>
      <c r="X718" s="62"/>
      <c r="Y718" s="62"/>
      <c r="Z718" s="88"/>
      <c r="AA718" s="88"/>
      <c r="AB718" s="88"/>
      <c r="AC718" s="88"/>
      <c r="AD718" s="88"/>
      <c r="AE718" s="88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L719" s="62"/>
      <c r="M719" s="62"/>
      <c r="N719" s="88"/>
      <c r="O719" s="88"/>
      <c r="P719" s="88"/>
      <c r="Q719" s="88"/>
      <c r="R719" s="88"/>
      <c r="S719" s="88"/>
      <c r="T719" s="62"/>
      <c r="U719" s="62"/>
      <c r="V719" s="62"/>
      <c r="W719" s="62"/>
      <c r="X719" s="62"/>
      <c r="Y719" s="62"/>
      <c r="Z719" s="88"/>
      <c r="AA719" s="88"/>
      <c r="AB719" s="88"/>
      <c r="AC719" s="88"/>
      <c r="AD719" s="88"/>
      <c r="AE719" s="88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L720" s="62"/>
      <c r="M720" s="63"/>
      <c r="N720" s="88"/>
      <c r="O720" s="88"/>
      <c r="P720" s="88"/>
      <c r="Q720" s="88"/>
      <c r="R720" s="88"/>
      <c r="S720" s="88"/>
      <c r="T720" s="62"/>
      <c r="U720" s="62"/>
      <c r="V720" s="62"/>
      <c r="W720" s="62"/>
      <c r="X720" s="62"/>
      <c r="Y720" s="63"/>
      <c r="Z720" s="88"/>
      <c r="AA720" s="88"/>
      <c r="AB720" s="88"/>
      <c r="AC720" s="88"/>
      <c r="AD720" s="88"/>
      <c r="AE720" s="88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L721" s="62"/>
      <c r="M721" s="62"/>
      <c r="N721" s="88"/>
      <c r="O721" s="88"/>
      <c r="P721" s="88"/>
      <c r="Q721" s="88"/>
      <c r="R721" s="88"/>
      <c r="S721" s="88"/>
      <c r="T721" s="62"/>
      <c r="U721" s="62"/>
      <c r="V721" s="62"/>
      <c r="W721" s="62"/>
      <c r="X721" s="62"/>
      <c r="Y721" s="62"/>
      <c r="Z721" s="88"/>
      <c r="AA721" s="88"/>
      <c r="AB721" s="88"/>
      <c r="AC721" s="88"/>
      <c r="AD721" s="88"/>
      <c r="AE721" s="88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L722" s="62"/>
      <c r="M722" s="62"/>
      <c r="N722" s="88"/>
      <c r="O722" s="88"/>
      <c r="P722" s="88"/>
      <c r="Q722" s="88"/>
      <c r="R722" s="88"/>
      <c r="S722" s="88"/>
      <c r="T722" s="62"/>
      <c r="U722" s="88"/>
      <c r="V722" s="73"/>
      <c r="W722" s="62"/>
      <c r="X722" s="62"/>
      <c r="Y722" s="62"/>
      <c r="Z722" s="88"/>
      <c r="AA722" s="88"/>
      <c r="AB722" s="88"/>
      <c r="AC722" s="88"/>
      <c r="AD722" s="88"/>
      <c r="AE722" s="88"/>
      <c r="AF722" s="62"/>
      <c r="AG722" s="88"/>
      <c r="AH722" s="88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L723" s="62"/>
      <c r="M723" s="64"/>
      <c r="N723" s="88"/>
      <c r="O723" s="88"/>
      <c r="P723" s="88"/>
      <c r="Q723" s="88"/>
      <c r="R723" s="88"/>
      <c r="S723" s="88"/>
      <c r="T723" s="62"/>
      <c r="U723" s="65"/>
      <c r="V723" s="65"/>
      <c r="W723" s="62"/>
      <c r="X723" s="62"/>
      <c r="Y723" s="64"/>
      <c r="Z723" s="88"/>
      <c r="AA723" s="88"/>
      <c r="AB723" s="88"/>
      <c r="AC723" s="88"/>
      <c r="AD723" s="88"/>
      <c r="AE723" s="88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L724" s="62"/>
      <c r="M724" s="62"/>
      <c r="N724" s="88"/>
      <c r="O724" s="88"/>
      <c r="P724" s="88"/>
      <c r="Q724" s="88"/>
      <c r="R724" s="88"/>
      <c r="S724" s="88"/>
      <c r="T724" s="62"/>
      <c r="U724" s="62"/>
      <c r="V724" s="62"/>
      <c r="W724" s="62"/>
      <c r="X724" s="62"/>
      <c r="Y724" s="62"/>
      <c r="Z724" s="88"/>
      <c r="AA724" s="88"/>
      <c r="AB724" s="88"/>
      <c r="AC724" s="88"/>
      <c r="AD724" s="88"/>
      <c r="AE724" s="88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8"/>
      <c r="D725" s="106"/>
      <c r="E725" s="106"/>
      <c r="F725" s="88"/>
      <c r="G725" s="88"/>
      <c r="H725" s="62"/>
      <c r="I725" s="106"/>
      <c r="J725" s="106"/>
      <c r="K725" s="105"/>
      <c r="L725" s="62"/>
      <c r="M725" s="62"/>
      <c r="N725" s="65"/>
      <c r="O725" s="88"/>
      <c r="P725" s="106"/>
      <c r="Q725" s="106"/>
      <c r="R725" s="88"/>
      <c r="S725" s="88"/>
      <c r="T725" s="62"/>
      <c r="U725" s="106"/>
      <c r="V725" s="106"/>
      <c r="W725" s="105"/>
      <c r="X725" s="62"/>
      <c r="Y725" s="62"/>
      <c r="Z725" s="65"/>
      <c r="AA725" s="88"/>
      <c r="AB725" s="106"/>
      <c r="AC725" s="106"/>
      <c r="AD725" s="88"/>
      <c r="AE725" s="88"/>
      <c r="AF725" s="62"/>
      <c r="AG725" s="106"/>
      <c r="AH725" s="106"/>
      <c r="AI725" s="105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105"/>
      <c r="L726" s="62"/>
      <c r="M726" s="62"/>
      <c r="N726" s="88"/>
      <c r="O726" s="88"/>
      <c r="P726" s="79"/>
      <c r="Q726" s="81"/>
      <c r="R726" s="81"/>
      <c r="S726" s="81"/>
      <c r="T726" s="62"/>
      <c r="U726" s="87"/>
      <c r="V726" s="87"/>
      <c r="W726" s="105"/>
      <c r="X726" s="62"/>
      <c r="Y726" s="62"/>
      <c r="Z726" s="88"/>
      <c r="AA726" s="88"/>
      <c r="AB726" s="79"/>
      <c r="AC726" s="81"/>
      <c r="AD726" s="81"/>
      <c r="AE726" s="81"/>
      <c r="AF726" s="62"/>
      <c r="AG726" s="87"/>
      <c r="AH726" s="87"/>
      <c r="AI726" s="105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8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8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8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8"/>
      <c r="AB728" s="60"/>
      <c r="AC728" s="62"/>
      <c r="AD728" s="60"/>
      <c r="AE728" s="60"/>
      <c r="AF728" s="61"/>
      <c r="AG728" s="61"/>
      <c r="AH728" s="62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8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8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8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8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8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8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8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8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8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8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8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8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8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8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8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8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6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8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8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8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8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8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8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8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8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8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8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8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8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8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8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8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8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8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89"/>
      <c r="Q747" s="88"/>
      <c r="R747" s="88"/>
      <c r="S747" s="60"/>
      <c r="T747" s="62"/>
      <c r="U747" s="62"/>
      <c r="V747" s="62"/>
      <c r="W747" s="61"/>
      <c r="X747" s="62"/>
      <c r="Y747" s="62"/>
      <c r="Z747" s="66"/>
      <c r="AA747" s="88"/>
      <c r="AB747" s="67"/>
      <c r="AC747" s="88"/>
      <c r="AD747" s="88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8"/>
      <c r="P748" s="89"/>
      <c r="Q748" s="88"/>
      <c r="R748" s="88"/>
      <c r="S748" s="60"/>
      <c r="T748" s="62"/>
      <c r="U748" s="62"/>
      <c r="V748" s="62"/>
      <c r="W748" s="61"/>
      <c r="X748" s="62"/>
      <c r="Y748" s="62"/>
      <c r="Z748" s="66"/>
      <c r="AA748" s="88"/>
      <c r="AB748" s="68"/>
      <c r="AC748" s="88"/>
      <c r="AD748" s="88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8"/>
      <c r="P749" s="69"/>
      <c r="Q749" s="88"/>
      <c r="R749" s="62"/>
      <c r="S749" s="60"/>
      <c r="T749" s="62"/>
      <c r="U749" s="62"/>
      <c r="V749" s="62"/>
      <c r="W749" s="61"/>
      <c r="X749" s="62"/>
      <c r="Y749" s="62"/>
      <c r="Z749" s="66"/>
      <c r="AA749" s="88"/>
      <c r="AB749" s="69"/>
      <c r="AC749" s="88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62"/>
      <c r="P750" s="69"/>
      <c r="Q750" s="88"/>
      <c r="R750" s="88"/>
      <c r="S750" s="60"/>
      <c r="T750" s="62"/>
      <c r="U750" s="62"/>
      <c r="V750" s="62"/>
      <c r="W750" s="61"/>
      <c r="X750" s="62"/>
      <c r="Y750" s="62"/>
      <c r="Z750" s="66"/>
      <c r="AA750" s="88"/>
      <c r="AB750" s="69"/>
      <c r="AC750" s="88"/>
      <c r="AD750" s="88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8"/>
      <c r="P751" s="69"/>
      <c r="Q751" s="88"/>
      <c r="R751" s="88"/>
      <c r="S751" s="60"/>
      <c r="T751" s="62"/>
      <c r="U751" s="62"/>
      <c r="V751" s="62"/>
      <c r="W751" s="61"/>
      <c r="X751" s="62"/>
      <c r="Y751" s="62"/>
      <c r="Z751" s="66"/>
      <c r="AA751" s="88"/>
      <c r="AB751" s="69"/>
      <c r="AC751" s="88"/>
      <c r="AD751" s="88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8"/>
      <c r="R752" s="88"/>
      <c r="S752" s="60"/>
      <c r="T752" s="62"/>
      <c r="U752" s="62"/>
      <c r="V752" s="62"/>
      <c r="W752" s="61"/>
      <c r="X752" s="62"/>
      <c r="Y752" s="62"/>
      <c r="Z752" s="66"/>
      <c r="AA752" s="88"/>
      <c r="AB752" s="69"/>
      <c r="AC752" s="88"/>
      <c r="AD752" s="88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8"/>
      <c r="P753" s="69"/>
      <c r="Q753" s="88"/>
      <c r="R753" s="88"/>
      <c r="S753" s="60"/>
      <c r="T753" s="62"/>
      <c r="U753" s="62"/>
      <c r="V753" s="62"/>
      <c r="W753" s="61"/>
      <c r="X753" s="62"/>
      <c r="Y753" s="62"/>
      <c r="Z753" s="66"/>
      <c r="AA753" s="88"/>
      <c r="AB753" s="69"/>
      <c r="AC753" s="88"/>
      <c r="AD753" s="88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8"/>
      <c r="P754" s="69"/>
      <c r="Q754" s="88"/>
      <c r="R754" s="88"/>
      <c r="S754" s="60"/>
      <c r="T754" s="62"/>
      <c r="U754" s="62"/>
      <c r="V754" s="62"/>
      <c r="W754" s="61"/>
      <c r="X754" s="62"/>
      <c r="Y754" s="62"/>
      <c r="Z754" s="66"/>
      <c r="AA754" s="88"/>
      <c r="AB754" s="69"/>
      <c r="AC754" s="88"/>
      <c r="AD754" s="88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8"/>
      <c r="P755" s="69"/>
      <c r="Q755" s="88"/>
      <c r="R755" s="88"/>
      <c r="S755" s="60"/>
      <c r="T755" s="62"/>
      <c r="U755" s="62"/>
      <c r="V755" s="62"/>
      <c r="W755" s="61"/>
      <c r="X755" s="62"/>
      <c r="Y755" s="62"/>
      <c r="Z755" s="66"/>
      <c r="AA755" s="88"/>
      <c r="AB755" s="69"/>
      <c r="AC755" s="88"/>
      <c r="AD755" s="88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8"/>
      <c r="R756" s="88"/>
      <c r="S756" s="60"/>
      <c r="T756" s="62"/>
      <c r="U756" s="62"/>
      <c r="V756" s="62"/>
      <c r="W756" s="61"/>
      <c r="X756" s="62"/>
      <c r="Y756" s="62"/>
      <c r="Z756" s="66"/>
      <c r="AA756" s="88"/>
      <c r="AB756" s="69"/>
      <c r="AC756" s="88"/>
      <c r="AD756" s="88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8"/>
      <c r="P757" s="69"/>
      <c r="Q757" s="88"/>
      <c r="R757" s="88"/>
      <c r="S757" s="60"/>
      <c r="T757" s="62"/>
      <c r="U757" s="62"/>
      <c r="V757" s="62"/>
      <c r="W757" s="61"/>
      <c r="X757" s="62"/>
      <c r="Y757" s="62"/>
      <c r="Z757" s="66"/>
      <c r="AA757" s="88"/>
      <c r="AB757" s="69"/>
      <c r="AC757" s="88"/>
      <c r="AD757" s="88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8"/>
      <c r="P758" s="69"/>
      <c r="Q758" s="88"/>
      <c r="R758" s="88"/>
      <c r="S758" s="60"/>
      <c r="T758" s="62"/>
      <c r="U758" s="62"/>
      <c r="V758" s="62"/>
      <c r="W758" s="61"/>
      <c r="X758" s="62"/>
      <c r="Y758" s="62"/>
      <c r="Z758" s="66"/>
      <c r="AA758" s="88"/>
      <c r="AB758" s="69"/>
      <c r="AC758" s="88"/>
      <c r="AD758" s="88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8"/>
      <c r="P759" s="69"/>
      <c r="Q759" s="88"/>
      <c r="R759" s="88"/>
      <c r="S759" s="60"/>
      <c r="T759" s="62"/>
      <c r="U759" s="62"/>
      <c r="V759" s="62"/>
      <c r="W759" s="61"/>
      <c r="X759" s="62"/>
      <c r="Y759" s="62"/>
      <c r="Z759" s="66"/>
      <c r="AA759" s="88"/>
      <c r="AB759" s="69"/>
      <c r="AC759" s="88"/>
      <c r="AD759" s="88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8"/>
      <c r="P760" s="69"/>
      <c r="Q760" s="88"/>
      <c r="R760" s="88"/>
      <c r="S760" s="60"/>
      <c r="T760" s="62"/>
      <c r="U760" s="62"/>
      <c r="V760" s="62"/>
      <c r="W760" s="61"/>
      <c r="X760" s="62"/>
      <c r="Y760" s="62"/>
      <c r="Z760" s="66"/>
      <c r="AA760" s="88"/>
      <c r="AB760" s="69"/>
      <c r="AC760" s="88"/>
      <c r="AD760" s="88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8"/>
      <c r="P761" s="69"/>
      <c r="Q761" s="88"/>
      <c r="R761" s="88"/>
      <c r="S761" s="60"/>
      <c r="T761" s="62"/>
      <c r="U761" s="62"/>
      <c r="V761" s="62"/>
      <c r="W761" s="61"/>
      <c r="X761" s="62"/>
      <c r="Y761" s="62"/>
      <c r="Z761" s="66"/>
      <c r="AA761" s="88"/>
      <c r="AB761" s="69"/>
      <c r="AC761" s="88"/>
      <c r="AD761" s="88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8"/>
      <c r="P762" s="69"/>
      <c r="Q762" s="88"/>
      <c r="R762" s="88"/>
      <c r="S762" s="60"/>
      <c r="T762" s="62"/>
      <c r="U762" s="62"/>
      <c r="V762" s="62"/>
      <c r="W762" s="61"/>
      <c r="X762" s="62"/>
      <c r="Y762" s="62"/>
      <c r="Z762" s="66"/>
      <c r="AA762" s="88"/>
      <c r="AB762" s="69"/>
      <c r="AC762" s="88"/>
      <c r="AD762" s="88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8"/>
      <c r="R763" s="88"/>
      <c r="S763" s="60"/>
      <c r="T763" s="62"/>
      <c r="U763" s="62"/>
      <c r="V763" s="62"/>
      <c r="W763" s="61"/>
      <c r="X763" s="62"/>
      <c r="Y763" s="62"/>
      <c r="Z763" s="66"/>
      <c r="AA763" s="88"/>
      <c r="AB763" s="69"/>
      <c r="AC763" s="88"/>
      <c r="AD763" s="88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8"/>
      <c r="P764" s="69"/>
      <c r="Q764" s="88"/>
      <c r="R764" s="88"/>
      <c r="S764" s="60"/>
      <c r="T764" s="62"/>
      <c r="U764" s="62"/>
      <c r="V764" s="62"/>
      <c r="W764" s="61"/>
      <c r="X764" s="62"/>
      <c r="Y764" s="62"/>
      <c r="Z764" s="66"/>
      <c r="AA764" s="88"/>
      <c r="AB764" s="69"/>
      <c r="AC764" s="88"/>
      <c r="AD764" s="88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8"/>
      <c r="P765" s="69"/>
      <c r="Q765" s="88"/>
      <c r="R765" s="88"/>
      <c r="S765" s="60"/>
      <c r="T765" s="62"/>
      <c r="U765" s="62"/>
      <c r="V765" s="62"/>
      <c r="W765" s="61"/>
      <c r="X765" s="62"/>
      <c r="Y765" s="62"/>
      <c r="Z765" s="66"/>
      <c r="AA765" s="88"/>
      <c r="AB765" s="69"/>
      <c r="AC765" s="88"/>
      <c r="AD765" s="88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8"/>
      <c r="R766" s="88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8"/>
      <c r="AD766" s="88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8"/>
      <c r="P767" s="69"/>
      <c r="Q767" s="88"/>
      <c r="R767" s="88"/>
      <c r="S767" s="60"/>
      <c r="T767" s="62"/>
      <c r="U767" s="62"/>
      <c r="V767" s="62"/>
      <c r="W767" s="61"/>
      <c r="X767" s="62"/>
      <c r="Y767" s="62"/>
      <c r="Z767" s="66"/>
      <c r="AA767" s="88"/>
      <c r="AB767" s="69"/>
      <c r="AC767" s="88"/>
      <c r="AD767" s="88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8"/>
      <c r="O768" s="88"/>
      <c r="P768" s="88"/>
      <c r="Q768" s="88"/>
      <c r="R768" s="88"/>
      <c r="S768" s="88"/>
      <c r="T768" s="62"/>
      <c r="U768" s="62"/>
      <c r="V768" s="62"/>
      <c r="W768" s="61"/>
      <c r="X768" s="62"/>
      <c r="Y768" s="62"/>
      <c r="Z768" s="88"/>
      <c r="AA768" s="88"/>
      <c r="AB768" s="88"/>
      <c r="AC768" s="88"/>
      <c r="AD768" s="88"/>
      <c r="AE768" s="88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L769" s="62"/>
      <c r="M769" s="62"/>
      <c r="N769" s="88"/>
      <c r="O769" s="88"/>
      <c r="P769" s="88"/>
      <c r="Q769" s="88"/>
      <c r="R769" s="88"/>
      <c r="S769" s="88"/>
      <c r="T769" s="62"/>
      <c r="U769" s="62"/>
      <c r="V769" s="62"/>
      <c r="W769" s="62"/>
      <c r="X769" s="62"/>
      <c r="Y769" s="62"/>
      <c r="Z769" s="88"/>
      <c r="AA769" s="88"/>
      <c r="AB769" s="88"/>
      <c r="AC769" s="88"/>
      <c r="AD769" s="88"/>
      <c r="AE769" s="88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8"/>
      <c r="O770" s="88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8"/>
      <c r="AA770" s="88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106"/>
      <c r="E780" s="106"/>
      <c r="F780" s="88"/>
      <c r="G780" s="88"/>
      <c r="H780" s="62"/>
      <c r="I780" s="106"/>
      <c r="J780" s="106"/>
      <c r="K780" s="105"/>
      <c r="L780" s="62"/>
      <c r="M780" s="62"/>
      <c r="N780" s="65"/>
      <c r="O780" s="88"/>
      <c r="P780" s="106"/>
      <c r="Q780" s="106"/>
      <c r="R780" s="88"/>
      <c r="S780" s="88"/>
      <c r="T780" s="62"/>
      <c r="U780" s="106"/>
      <c r="V780" s="106"/>
      <c r="W780" s="105"/>
      <c r="X780" s="62"/>
      <c r="Y780" s="62"/>
      <c r="Z780" s="65"/>
      <c r="AA780" s="88"/>
      <c r="AB780" s="106"/>
      <c r="AC780" s="106"/>
      <c r="AD780" s="88"/>
      <c r="AE780" s="88"/>
      <c r="AF780" s="62"/>
      <c r="AG780" s="106"/>
      <c r="AH780" s="106"/>
      <c r="AI780" s="105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105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105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10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106"/>
      <c r="E835" s="106"/>
      <c r="F835" s="88"/>
      <c r="G835" s="88"/>
      <c r="H835" s="62"/>
      <c r="I835" s="106"/>
      <c r="J835" s="106"/>
      <c r="K835" s="105"/>
      <c r="L835" s="62"/>
      <c r="M835" s="62"/>
      <c r="N835" s="65"/>
      <c r="O835" s="88"/>
      <c r="P835" s="106"/>
      <c r="Q835" s="106"/>
      <c r="R835" s="88"/>
      <c r="S835" s="88"/>
      <c r="T835" s="62"/>
      <c r="U835" s="106"/>
      <c r="V835" s="106"/>
      <c r="W835" s="105"/>
      <c r="X835" s="62"/>
      <c r="Y835" s="62"/>
      <c r="Z835" s="65"/>
      <c r="AA835" s="88"/>
      <c r="AB835" s="106"/>
      <c r="AC835" s="106"/>
      <c r="AD835" s="88"/>
      <c r="AE835" s="88"/>
      <c r="AF835" s="62"/>
      <c r="AG835" s="106"/>
      <c r="AH835" s="106"/>
      <c r="AI835" s="10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105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105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10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106"/>
      <c r="E890" s="106"/>
      <c r="F890" s="88"/>
      <c r="G890" s="88"/>
      <c r="H890" s="62"/>
      <c r="I890" s="106"/>
      <c r="J890" s="106"/>
      <c r="K890" s="105"/>
      <c r="L890" s="62"/>
      <c r="M890" s="62"/>
      <c r="N890" s="65"/>
      <c r="O890" s="88"/>
      <c r="P890" s="106"/>
      <c r="Q890" s="106"/>
      <c r="R890" s="88"/>
      <c r="S890" s="88"/>
      <c r="T890" s="62"/>
      <c r="U890" s="106"/>
      <c r="V890" s="106"/>
      <c r="W890" s="105"/>
      <c r="X890" s="62"/>
      <c r="Y890" s="62"/>
      <c r="Z890" s="65"/>
      <c r="AA890" s="88"/>
      <c r="AB890" s="106"/>
      <c r="AC890" s="106"/>
      <c r="AD890" s="88"/>
      <c r="AE890" s="88"/>
      <c r="AF890" s="62"/>
      <c r="AG890" s="106"/>
      <c r="AH890" s="106"/>
      <c r="AI890" s="10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105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105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10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6"/>
      <c r="E945" s="106"/>
      <c r="F945" s="88"/>
      <c r="G945" s="88"/>
      <c r="H945" s="62"/>
      <c r="I945" s="106"/>
      <c r="J945" s="106"/>
      <c r="K945" s="105"/>
      <c r="L945" s="62"/>
      <c r="M945" s="62"/>
      <c r="N945" s="65"/>
      <c r="O945" s="88"/>
      <c r="P945" s="106"/>
      <c r="Q945" s="106"/>
      <c r="R945" s="88"/>
      <c r="S945" s="88"/>
      <c r="T945" s="62"/>
      <c r="U945" s="106"/>
      <c r="V945" s="106"/>
      <c r="W945" s="105"/>
      <c r="X945" s="62"/>
      <c r="Y945" s="62"/>
      <c r="Z945" s="65"/>
      <c r="AA945" s="88"/>
      <c r="AB945" s="106"/>
      <c r="AC945" s="106"/>
      <c r="AD945" s="88"/>
      <c r="AE945" s="88"/>
      <c r="AF945" s="62"/>
      <c r="AG945" s="106"/>
      <c r="AH945" s="106"/>
      <c r="AI945" s="105"/>
      <c r="AJ945" s="62"/>
      <c r="AK945" s="62"/>
      <c r="AL945" s="65"/>
      <c r="AM945" s="86"/>
      <c r="AN945" s="106"/>
      <c r="AO945" s="106"/>
      <c r="AP945" s="86"/>
      <c r="AQ945" s="86"/>
      <c r="AR945" s="62"/>
      <c r="AS945" s="106"/>
      <c r="AT945" s="106"/>
      <c r="AU945" s="105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5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5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5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6"/>
      <c r="E1000" s="106"/>
      <c r="F1000" s="86"/>
      <c r="G1000" s="86"/>
      <c r="H1000" s="62"/>
      <c r="I1000" s="106"/>
      <c r="J1000" s="106"/>
      <c r="K1000" s="105"/>
      <c r="L1000" s="62"/>
      <c r="M1000" s="62"/>
      <c r="N1000" s="65"/>
      <c r="O1000" s="86"/>
      <c r="P1000" s="106"/>
      <c r="Q1000" s="106"/>
      <c r="R1000" s="86"/>
      <c r="S1000" s="86"/>
      <c r="T1000" s="62"/>
      <c r="U1000" s="106"/>
      <c r="V1000" s="106"/>
      <c r="W1000" s="105"/>
      <c r="X1000" s="62"/>
      <c r="Y1000" s="62"/>
      <c r="Z1000" s="65"/>
      <c r="AA1000" s="86"/>
      <c r="AB1000" s="106"/>
      <c r="AC1000" s="106"/>
      <c r="AD1000" s="86"/>
      <c r="AE1000" s="86"/>
      <c r="AF1000" s="62"/>
      <c r="AG1000" s="106"/>
      <c r="AH1000" s="106"/>
      <c r="AI1000" s="10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5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5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6"/>
      <c r="E1055" s="106"/>
      <c r="F1055" s="86"/>
      <c r="G1055" s="86"/>
      <c r="H1055" s="62"/>
      <c r="I1055" s="106"/>
      <c r="J1055" s="106"/>
      <c r="K1055" s="105"/>
      <c r="L1055" s="62"/>
      <c r="M1055" s="62"/>
      <c r="N1055" s="65"/>
      <c r="O1055" s="86"/>
      <c r="P1055" s="106"/>
      <c r="Q1055" s="106"/>
      <c r="R1055" s="86"/>
      <c r="S1055" s="86"/>
      <c r="T1055" s="62"/>
      <c r="U1055" s="106"/>
      <c r="V1055" s="106"/>
      <c r="W1055" s="105"/>
      <c r="X1055" s="62"/>
      <c r="Y1055" s="62"/>
      <c r="Z1055" s="65"/>
      <c r="AA1055" s="86"/>
      <c r="AB1055" s="106"/>
      <c r="AC1055" s="106"/>
      <c r="AD1055" s="86"/>
      <c r="AE1055" s="86"/>
      <c r="AF1055" s="62"/>
      <c r="AG1055" s="106"/>
      <c r="AH1055" s="106"/>
      <c r="AI1055" s="10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5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5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6"/>
      <c r="E1110" s="106"/>
      <c r="F1110" s="86"/>
      <c r="G1110" s="86"/>
      <c r="H1110" s="62"/>
      <c r="I1110" s="106"/>
      <c r="J1110" s="106"/>
      <c r="K1110" s="105"/>
      <c r="L1110" s="62"/>
      <c r="M1110" s="62"/>
      <c r="N1110" s="65"/>
      <c r="O1110" s="86"/>
      <c r="P1110" s="106"/>
      <c r="Q1110" s="106"/>
      <c r="R1110" s="86"/>
      <c r="S1110" s="86"/>
      <c r="T1110" s="62"/>
      <c r="U1110" s="106"/>
      <c r="V1110" s="106"/>
      <c r="W1110" s="105"/>
      <c r="X1110" s="62"/>
      <c r="Y1110" s="62"/>
      <c r="Z1110" s="65"/>
      <c r="AA1110" s="86"/>
      <c r="AB1110" s="106"/>
      <c r="AC1110" s="106"/>
      <c r="AD1110" s="86"/>
      <c r="AE1110" s="86"/>
      <c r="AF1110" s="62"/>
      <c r="AG1110" s="106"/>
      <c r="AH1110" s="106"/>
      <c r="AI1110" s="10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5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5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6"/>
      <c r="E1165" s="106"/>
      <c r="F1165" s="86"/>
      <c r="G1165" s="86"/>
      <c r="H1165" s="62"/>
      <c r="I1165" s="106"/>
      <c r="J1165" s="106"/>
      <c r="K1165" s="105"/>
      <c r="L1165" s="62"/>
      <c r="M1165" s="62"/>
      <c r="N1165" s="65"/>
      <c r="O1165" s="86"/>
      <c r="P1165" s="106"/>
      <c r="Q1165" s="106"/>
      <c r="R1165" s="86"/>
      <c r="S1165" s="86"/>
      <c r="T1165" s="62"/>
      <c r="U1165" s="106"/>
      <c r="V1165" s="106"/>
      <c r="W1165" s="105"/>
      <c r="X1165" s="62"/>
      <c r="Y1165" s="62"/>
      <c r="Z1165" s="65"/>
      <c r="AA1165" s="86"/>
      <c r="AB1165" s="106"/>
      <c r="AC1165" s="106"/>
      <c r="AD1165" s="86"/>
      <c r="AE1165" s="86"/>
      <c r="AF1165" s="62"/>
      <c r="AG1165" s="106"/>
      <c r="AH1165" s="106"/>
      <c r="AI1165" s="10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5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5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6"/>
      <c r="E1221" s="106"/>
      <c r="F1221" s="86"/>
      <c r="G1221" s="86"/>
      <c r="H1221" s="62"/>
      <c r="I1221" s="106"/>
      <c r="J1221" s="106"/>
      <c r="K1221" s="105"/>
      <c r="L1221" s="62"/>
      <c r="M1221" s="62"/>
      <c r="N1221" s="65"/>
      <c r="O1221" s="86"/>
      <c r="P1221" s="106"/>
      <c r="Q1221" s="106"/>
      <c r="R1221" s="86"/>
      <c r="S1221" s="86"/>
      <c r="T1221" s="62"/>
      <c r="U1221" s="106"/>
      <c r="V1221" s="106"/>
      <c r="W1221" s="105"/>
      <c r="X1221" s="62"/>
      <c r="Y1221" s="62"/>
      <c r="Z1221" s="65"/>
      <c r="AA1221" s="86"/>
      <c r="AB1221" s="106"/>
      <c r="AC1221" s="106"/>
      <c r="AD1221" s="86"/>
      <c r="AE1221" s="86"/>
      <c r="AF1221" s="62"/>
      <c r="AG1221" s="106"/>
      <c r="AH1221" s="106"/>
      <c r="AI1221" s="10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5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5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6"/>
      <c r="E1283" s="106"/>
      <c r="F1283" s="86"/>
      <c r="G1283" s="86"/>
      <c r="H1283" s="62"/>
      <c r="I1283" s="106"/>
      <c r="J1283" s="106"/>
      <c r="K1283" s="105"/>
      <c r="L1283" s="62"/>
      <c r="M1283" s="62"/>
      <c r="N1283" s="65"/>
      <c r="O1283" s="86"/>
      <c r="P1283" s="106"/>
      <c r="Q1283" s="106"/>
      <c r="R1283" s="86"/>
      <c r="S1283" s="86"/>
      <c r="T1283" s="62"/>
      <c r="U1283" s="106"/>
      <c r="V1283" s="106"/>
      <c r="W1283" s="105"/>
      <c r="X1283" s="62"/>
      <c r="Y1283" s="62"/>
      <c r="Z1283" s="65"/>
      <c r="AA1283" s="86"/>
      <c r="AB1283" s="106"/>
      <c r="AC1283" s="106"/>
      <c r="AD1283" s="86"/>
      <c r="AE1283" s="86"/>
      <c r="AF1283" s="62"/>
      <c r="AG1283" s="106"/>
      <c r="AH1283" s="106"/>
      <c r="AI1283" s="10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5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5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2026-03-16T01:29:14Z</dcterms:modified>
</cp:coreProperties>
</file>