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F5444892-12BF-46AD-853B-AD8F1A05D251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MARCH" sheetId="1" r:id="rId1"/>
    <sheet name="DSIS | MARCH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A898" i="2" l="1"/>
  <c r="AA899" i="2" s="1"/>
  <c r="AB899" i="2"/>
  <c r="AB898" i="2"/>
  <c r="AB897" i="2"/>
  <c r="AG896" i="2"/>
  <c r="AB896" i="2"/>
  <c r="AE896" i="2" s="1"/>
  <c r="AI896" i="2" s="1"/>
  <c r="AC895" i="2"/>
  <c r="AB895" i="2"/>
  <c r="AE895" i="2" s="1"/>
  <c r="AI895" i="2" s="1"/>
  <c r="AH894" i="2"/>
  <c r="AH935" i="2" s="1"/>
  <c r="AC894" i="2"/>
  <c r="AE894" i="2" s="1"/>
  <c r="AI894" i="2" s="1"/>
  <c r="AB894" i="2"/>
  <c r="AG893" i="2"/>
  <c r="AG935" i="2" s="1"/>
  <c r="AB893" i="2"/>
  <c r="AG892" i="2"/>
  <c r="AB892" i="2"/>
  <c r="AE892" i="2" s="1"/>
  <c r="AA893" i="2"/>
  <c r="AA894" i="2" s="1"/>
  <c r="AA895" i="2" s="1"/>
  <c r="AA896" i="2" s="1"/>
  <c r="AA897" i="2" s="1"/>
  <c r="AE893" i="2"/>
  <c r="AE897" i="2"/>
  <c r="AI897" i="2" s="1"/>
  <c r="AE898" i="2"/>
  <c r="AI898" i="2" s="1"/>
  <c r="AE899" i="2"/>
  <c r="AI899" i="2" s="1"/>
  <c r="AE900" i="2"/>
  <c r="AI900" i="2" s="1"/>
  <c r="AE901" i="2"/>
  <c r="AI901" i="2" s="1"/>
  <c r="AE902" i="2"/>
  <c r="AI902" i="2"/>
  <c r="AE903" i="2"/>
  <c r="AI903" i="2"/>
  <c r="AE904" i="2"/>
  <c r="AI904" i="2" s="1"/>
  <c r="AE905" i="2"/>
  <c r="AI905" i="2"/>
  <c r="AE906" i="2"/>
  <c r="AI906" i="2"/>
  <c r="AE907" i="2"/>
  <c r="AI907" i="2"/>
  <c r="AE908" i="2"/>
  <c r="AI908" i="2" s="1"/>
  <c r="AE909" i="2"/>
  <c r="AI909" i="2" s="1"/>
  <c r="AE910" i="2"/>
  <c r="AI910" i="2"/>
  <c r="AE911" i="2"/>
  <c r="AI911" i="2"/>
  <c r="AE912" i="2"/>
  <c r="AI912" i="2"/>
  <c r="AE913" i="2"/>
  <c r="AI913" i="2"/>
  <c r="AE914" i="2"/>
  <c r="AI914" i="2"/>
  <c r="AE915" i="2"/>
  <c r="AI915" i="2" s="1"/>
  <c r="AE916" i="2"/>
  <c r="AI916" i="2" s="1"/>
  <c r="AE917" i="2"/>
  <c r="AI917" i="2" s="1"/>
  <c r="AE918" i="2"/>
  <c r="AI918" i="2"/>
  <c r="AE919" i="2"/>
  <c r="AI919" i="2"/>
  <c r="AE920" i="2"/>
  <c r="AI920" i="2"/>
  <c r="AE921" i="2"/>
  <c r="AI921" i="2"/>
  <c r="AE922" i="2"/>
  <c r="AI922" i="2"/>
  <c r="AE923" i="2"/>
  <c r="AI923" i="2" s="1"/>
  <c r="AE924" i="2"/>
  <c r="AI924" i="2" s="1"/>
  <c r="AE925" i="2"/>
  <c r="AI925" i="2" s="1"/>
  <c r="AE926" i="2"/>
  <c r="AI926" i="2"/>
  <c r="AE927" i="2"/>
  <c r="AI927" i="2"/>
  <c r="AE928" i="2"/>
  <c r="AI928" i="2"/>
  <c r="AE929" i="2"/>
  <c r="AI929" i="2"/>
  <c r="AE930" i="2"/>
  <c r="AI930" i="2"/>
  <c r="AI931" i="2"/>
  <c r="AE932" i="2"/>
  <c r="AI932" i="2"/>
  <c r="AI933" i="2"/>
  <c r="AD935" i="2"/>
  <c r="P895" i="2"/>
  <c r="S895" i="2" s="1"/>
  <c r="W895" i="2" s="1"/>
  <c r="P894" i="2"/>
  <c r="S894" i="2" s="1"/>
  <c r="W894" i="2" s="1"/>
  <c r="P893" i="2"/>
  <c r="U892" i="2"/>
  <c r="Q892" i="2"/>
  <c r="S892" i="2" s="1"/>
  <c r="P892" i="2"/>
  <c r="O893" i="2"/>
  <c r="O894" i="2" s="1"/>
  <c r="O895" i="2" s="1"/>
  <c r="S893" i="2"/>
  <c r="W893" i="2"/>
  <c r="V935" i="2"/>
  <c r="S896" i="2"/>
  <c r="W896" i="2" s="1"/>
  <c r="S897" i="2"/>
  <c r="W897" i="2"/>
  <c r="S898" i="2"/>
  <c r="W898" i="2" s="1"/>
  <c r="S899" i="2"/>
  <c r="W899" i="2" s="1"/>
  <c r="S900" i="2"/>
  <c r="W900" i="2" s="1"/>
  <c r="S901" i="2"/>
  <c r="W901" i="2"/>
  <c r="S902" i="2"/>
  <c r="W902" i="2"/>
  <c r="S903" i="2"/>
  <c r="W903" i="2" s="1"/>
  <c r="S904" i="2"/>
  <c r="W904" i="2"/>
  <c r="S905" i="2"/>
  <c r="W905" i="2"/>
  <c r="S906" i="2"/>
  <c r="W906" i="2" s="1"/>
  <c r="S907" i="2"/>
  <c r="W907" i="2" s="1"/>
  <c r="S908" i="2"/>
  <c r="W908" i="2"/>
  <c r="S909" i="2"/>
  <c r="W909" i="2"/>
  <c r="S910" i="2"/>
  <c r="W910" i="2"/>
  <c r="S911" i="2"/>
  <c r="W911" i="2" s="1"/>
  <c r="S912" i="2"/>
  <c r="W912" i="2"/>
  <c r="S913" i="2"/>
  <c r="W913" i="2"/>
  <c r="S914" i="2"/>
  <c r="W914" i="2" s="1"/>
  <c r="S915" i="2"/>
  <c r="W915" i="2" s="1"/>
  <c r="S916" i="2"/>
  <c r="W916" i="2"/>
  <c r="S917" i="2"/>
  <c r="W917" i="2"/>
  <c r="S918" i="2"/>
  <c r="W918" i="2"/>
  <c r="S919" i="2"/>
  <c r="W919" i="2" s="1"/>
  <c r="S920" i="2"/>
  <c r="W920" i="2"/>
  <c r="S921" i="2"/>
  <c r="W921" i="2"/>
  <c r="S922" i="2"/>
  <c r="W922" i="2" s="1"/>
  <c r="S923" i="2"/>
  <c r="W923" i="2" s="1"/>
  <c r="S924" i="2"/>
  <c r="W924" i="2"/>
  <c r="S925" i="2"/>
  <c r="W925" i="2"/>
  <c r="S926" i="2"/>
  <c r="W926" i="2"/>
  <c r="S927" i="2"/>
  <c r="W927" i="2" s="1"/>
  <c r="S928" i="2"/>
  <c r="W928" i="2"/>
  <c r="S929" i="2"/>
  <c r="W929" i="2"/>
  <c r="S930" i="2"/>
  <c r="W930" i="2" s="1"/>
  <c r="W931" i="2"/>
  <c r="S932" i="2"/>
  <c r="W932" i="2"/>
  <c r="W933" i="2"/>
  <c r="R935" i="2"/>
  <c r="U935" i="2"/>
  <c r="J903" i="2"/>
  <c r="J935" i="2" s="1"/>
  <c r="I903" i="2"/>
  <c r="I935" i="2" s="1"/>
  <c r="D903" i="2"/>
  <c r="D902" i="2"/>
  <c r="G902" i="2" s="1"/>
  <c r="K902" i="2" s="1"/>
  <c r="D901" i="2"/>
  <c r="D900" i="2"/>
  <c r="D899" i="2"/>
  <c r="D898" i="2"/>
  <c r="G898" i="2" s="1"/>
  <c r="K898" i="2" s="1"/>
  <c r="D897" i="2"/>
  <c r="G897" i="2" s="1"/>
  <c r="K897" i="2" s="1"/>
  <c r="D896" i="2"/>
  <c r="D895" i="2"/>
  <c r="G895" i="2" s="1"/>
  <c r="K895" i="2" s="1"/>
  <c r="I894" i="2"/>
  <c r="D894" i="2"/>
  <c r="D893" i="2"/>
  <c r="D892" i="2"/>
  <c r="C895" i="2"/>
  <c r="C896" i="2" s="1"/>
  <c r="C897" i="2" s="1"/>
  <c r="C898" i="2" s="1"/>
  <c r="C899" i="2" s="1"/>
  <c r="C900" i="2" s="1"/>
  <c r="C901" i="2" s="1"/>
  <c r="C902" i="2" s="1"/>
  <c r="C903" i="2" s="1"/>
  <c r="C893" i="2"/>
  <c r="G893" i="2"/>
  <c r="K893" i="2" s="1"/>
  <c r="C894" i="2"/>
  <c r="G894" i="2"/>
  <c r="G896" i="2"/>
  <c r="K896" i="2" s="1"/>
  <c r="G899" i="2"/>
  <c r="K899" i="2" s="1"/>
  <c r="G900" i="2"/>
  <c r="K900" i="2"/>
  <c r="G901" i="2"/>
  <c r="K901" i="2" s="1"/>
  <c r="G903" i="2"/>
  <c r="G904" i="2"/>
  <c r="K904" i="2"/>
  <c r="G905" i="2"/>
  <c r="K905" i="2"/>
  <c r="G906" i="2"/>
  <c r="K906" i="2" s="1"/>
  <c r="G907" i="2"/>
  <c r="K907" i="2" s="1"/>
  <c r="G908" i="2"/>
  <c r="K908" i="2"/>
  <c r="G909" i="2"/>
  <c r="K909" i="2"/>
  <c r="G910" i="2"/>
  <c r="K910" i="2"/>
  <c r="G911" i="2"/>
  <c r="K911" i="2" s="1"/>
  <c r="G912" i="2"/>
  <c r="K912" i="2"/>
  <c r="G913" i="2"/>
  <c r="K913" i="2"/>
  <c r="G914" i="2"/>
  <c r="K914" i="2"/>
  <c r="G915" i="2"/>
  <c r="K915" i="2" s="1"/>
  <c r="G916" i="2"/>
  <c r="K916" i="2"/>
  <c r="G917" i="2"/>
  <c r="K917" i="2"/>
  <c r="G918" i="2"/>
  <c r="K918" i="2"/>
  <c r="G919" i="2"/>
  <c r="K919" i="2" s="1"/>
  <c r="G920" i="2"/>
  <c r="K920" i="2"/>
  <c r="G921" i="2"/>
  <c r="K921" i="2"/>
  <c r="G922" i="2"/>
  <c r="K922" i="2"/>
  <c r="G923" i="2"/>
  <c r="K923" i="2" s="1"/>
  <c r="G924" i="2"/>
  <c r="K924" i="2"/>
  <c r="G925" i="2"/>
  <c r="K925" i="2"/>
  <c r="G932" i="2"/>
  <c r="K932" i="2"/>
  <c r="E935" i="2"/>
  <c r="F935" i="2"/>
  <c r="AC935" i="2" l="1"/>
  <c r="AI893" i="2"/>
  <c r="AI892" i="2"/>
  <c r="AB935" i="2"/>
  <c r="AE935" i="2"/>
  <c r="AI935" i="2"/>
  <c r="P935" i="2"/>
  <c r="W892" i="2"/>
  <c r="Q935" i="2"/>
  <c r="W935" i="2"/>
  <c r="S935" i="2"/>
  <c r="K903" i="2"/>
  <c r="D935" i="2"/>
  <c r="K894" i="2"/>
  <c r="G892" i="2"/>
  <c r="K892" i="2" s="1"/>
  <c r="AC842" i="2"/>
  <c r="AB842" i="2"/>
  <c r="AE842" i="2" s="1"/>
  <c r="AI842" i="2" s="1"/>
  <c r="AB841" i="2"/>
  <c r="AC840" i="2"/>
  <c r="AB840" i="2"/>
  <c r="AE840" i="2" s="1"/>
  <c r="AI840" i="2" s="1"/>
  <c r="AC839" i="2"/>
  <c r="AB839" i="2"/>
  <c r="AA839" i="2"/>
  <c r="AA840" i="2"/>
  <c r="AA841" i="2" s="1"/>
  <c r="AA842" i="2" s="1"/>
  <c r="AB838" i="2"/>
  <c r="AE838" i="2"/>
  <c r="AI838" i="2" s="1"/>
  <c r="AC837" i="2"/>
  <c r="AB837" i="2"/>
  <c r="AE837" i="2" s="1"/>
  <c r="AA838" i="2"/>
  <c r="AE839" i="2"/>
  <c r="AI839" i="2" s="1"/>
  <c r="AE841" i="2"/>
  <c r="AI841" i="2" s="1"/>
  <c r="AE843" i="2"/>
  <c r="AI843" i="2"/>
  <c r="AE844" i="2"/>
  <c r="AI844" i="2"/>
  <c r="AE845" i="2"/>
  <c r="AI845" i="2"/>
  <c r="AE846" i="2"/>
  <c r="AI846" i="2"/>
  <c r="AE847" i="2"/>
  <c r="AI847" i="2"/>
  <c r="AE848" i="2"/>
  <c r="AI848" i="2" s="1"/>
  <c r="AE849" i="2"/>
  <c r="AI849" i="2"/>
  <c r="AE850" i="2"/>
  <c r="AI850" i="2" s="1"/>
  <c r="AE851" i="2"/>
  <c r="AI851" i="2"/>
  <c r="AE852" i="2"/>
  <c r="AI852" i="2"/>
  <c r="AE853" i="2"/>
  <c r="AI853" i="2"/>
  <c r="AE854" i="2"/>
  <c r="AI854" i="2"/>
  <c r="AE855" i="2"/>
  <c r="AI855" i="2"/>
  <c r="AE856" i="2"/>
  <c r="AI856" i="2" s="1"/>
  <c r="AE857" i="2"/>
  <c r="AI857" i="2"/>
  <c r="AE858" i="2"/>
  <c r="AI858" i="2" s="1"/>
  <c r="AE859" i="2"/>
  <c r="AI859" i="2"/>
  <c r="AE860" i="2"/>
  <c r="AI860" i="2"/>
  <c r="AE861" i="2"/>
  <c r="AI861" i="2"/>
  <c r="AE862" i="2"/>
  <c r="AI862" i="2"/>
  <c r="AE863" i="2"/>
  <c r="AI863" i="2"/>
  <c r="AE864" i="2"/>
  <c r="AI864" i="2" s="1"/>
  <c r="AE865" i="2"/>
  <c r="AI865" i="2"/>
  <c r="AE866" i="2"/>
  <c r="AI866" i="2" s="1"/>
  <c r="AE867" i="2"/>
  <c r="AI867" i="2"/>
  <c r="AE868" i="2"/>
  <c r="AI868" i="2"/>
  <c r="AE869" i="2"/>
  <c r="AI869" i="2"/>
  <c r="AE870" i="2"/>
  <c r="AI870" i="2"/>
  <c r="AE871" i="2"/>
  <c r="AI871" i="2"/>
  <c r="AE872" i="2"/>
  <c r="AI872" i="2"/>
  <c r="AE873" i="2"/>
  <c r="AI873" i="2"/>
  <c r="AE874" i="2"/>
  <c r="AI874" i="2" s="1"/>
  <c r="AE875" i="2"/>
  <c r="AI875" i="2"/>
  <c r="AI876" i="2"/>
  <c r="AE877" i="2"/>
  <c r="AI877" i="2" s="1"/>
  <c r="AI878" i="2"/>
  <c r="AC880" i="2"/>
  <c r="AD880" i="2"/>
  <c r="AG880" i="2"/>
  <c r="AH880" i="2"/>
  <c r="P846" i="2"/>
  <c r="P845" i="2"/>
  <c r="S845" i="2" s="1"/>
  <c r="W845" i="2" s="1"/>
  <c r="P844" i="2"/>
  <c r="S844" i="2" s="1"/>
  <c r="W844" i="2" s="1"/>
  <c r="P843" i="2"/>
  <c r="P842" i="2"/>
  <c r="S842" i="2" s="1"/>
  <c r="W842" i="2" s="1"/>
  <c r="P841" i="2"/>
  <c r="V840" i="2"/>
  <c r="V880" i="2" s="1"/>
  <c r="P840" i="2"/>
  <c r="S840" i="2" s="1"/>
  <c r="W840" i="2" s="1"/>
  <c r="P839" i="2"/>
  <c r="Q838" i="2"/>
  <c r="Q880" i="2" s="1"/>
  <c r="P838" i="2"/>
  <c r="P837" i="2"/>
  <c r="S837" i="2" s="1"/>
  <c r="W837" i="2" s="1"/>
  <c r="O838" i="2"/>
  <c r="O839" i="2"/>
  <c r="O840" i="2" s="1"/>
  <c r="O841" i="2" s="1"/>
  <c r="O842" i="2" s="1"/>
  <c r="O843" i="2" s="1"/>
  <c r="O844" i="2" s="1"/>
  <c r="O845" i="2" s="1"/>
  <c r="O846" i="2" s="1"/>
  <c r="S841" i="2"/>
  <c r="W841" i="2" s="1"/>
  <c r="S843" i="2"/>
  <c r="W843" i="2" s="1"/>
  <c r="S846" i="2"/>
  <c r="W846" i="2" s="1"/>
  <c r="S847" i="2"/>
  <c r="W847" i="2" s="1"/>
  <c r="S848" i="2"/>
  <c r="W848" i="2" s="1"/>
  <c r="S849" i="2"/>
  <c r="W849" i="2" s="1"/>
  <c r="S850" i="2"/>
  <c r="W850" i="2" s="1"/>
  <c r="S851" i="2"/>
  <c r="W851" i="2" s="1"/>
  <c r="S852" i="2"/>
  <c r="W852" i="2" s="1"/>
  <c r="S853" i="2"/>
  <c r="W853" i="2"/>
  <c r="S854" i="2"/>
  <c r="W854" i="2"/>
  <c r="S855" i="2"/>
  <c r="W855" i="2" s="1"/>
  <c r="S856" i="2"/>
  <c r="W856" i="2" s="1"/>
  <c r="S857" i="2"/>
  <c r="W857" i="2" s="1"/>
  <c r="S858" i="2"/>
  <c r="W858" i="2" s="1"/>
  <c r="S859" i="2"/>
  <c r="W859" i="2" s="1"/>
  <c r="S860" i="2"/>
  <c r="W860" i="2" s="1"/>
  <c r="S861" i="2"/>
  <c r="W861" i="2"/>
  <c r="S862" i="2"/>
  <c r="W862" i="2"/>
  <c r="S863" i="2"/>
  <c r="W863" i="2" s="1"/>
  <c r="S864" i="2"/>
  <c r="W864" i="2" s="1"/>
  <c r="S865" i="2"/>
  <c r="W865" i="2" s="1"/>
  <c r="S866" i="2"/>
  <c r="W866" i="2" s="1"/>
  <c r="S867" i="2"/>
  <c r="W867" i="2" s="1"/>
  <c r="S868" i="2"/>
  <c r="W868" i="2" s="1"/>
  <c r="S869" i="2"/>
  <c r="W869" i="2"/>
  <c r="S870" i="2"/>
  <c r="W870" i="2"/>
  <c r="S871" i="2"/>
  <c r="W871" i="2" s="1"/>
  <c r="S872" i="2"/>
  <c r="W872" i="2" s="1"/>
  <c r="S873" i="2"/>
  <c r="W873" i="2" s="1"/>
  <c r="S874" i="2"/>
  <c r="W874" i="2" s="1"/>
  <c r="S875" i="2"/>
  <c r="W875" i="2" s="1"/>
  <c r="W876" i="2"/>
  <c r="S877" i="2"/>
  <c r="W877" i="2" s="1"/>
  <c r="W878" i="2"/>
  <c r="R880" i="2"/>
  <c r="U880" i="2"/>
  <c r="D843" i="2"/>
  <c r="D842" i="2"/>
  <c r="G842" i="2" s="1"/>
  <c r="K842" i="2" s="1"/>
  <c r="D841" i="2"/>
  <c r="D840" i="2"/>
  <c r="G840" i="2" s="1"/>
  <c r="K840" i="2" s="1"/>
  <c r="D839" i="2"/>
  <c r="G839" i="2" s="1"/>
  <c r="K839" i="2" s="1"/>
  <c r="D838" i="2"/>
  <c r="D837" i="2"/>
  <c r="G837" i="2"/>
  <c r="C838" i="2"/>
  <c r="C839" i="2" s="1"/>
  <c r="C841" i="2" s="1"/>
  <c r="C842" i="2" s="1"/>
  <c r="C843" i="2" s="1"/>
  <c r="G838" i="2"/>
  <c r="K838" i="2" s="1"/>
  <c r="G841" i="2"/>
  <c r="K841" i="2" s="1"/>
  <c r="G843" i="2"/>
  <c r="K843" i="2" s="1"/>
  <c r="G844" i="2"/>
  <c r="K844" i="2" s="1"/>
  <c r="G845" i="2"/>
  <c r="K845" i="2" s="1"/>
  <c r="G846" i="2"/>
  <c r="K846" i="2" s="1"/>
  <c r="G847" i="2"/>
  <c r="K847" i="2"/>
  <c r="G848" i="2"/>
  <c r="K848" i="2"/>
  <c r="G849" i="2"/>
  <c r="K849" i="2"/>
  <c r="G850" i="2"/>
  <c r="K850" i="2" s="1"/>
  <c r="G851" i="2"/>
  <c r="K851" i="2"/>
  <c r="G852" i="2"/>
  <c r="K852" i="2"/>
  <c r="G853" i="2"/>
  <c r="K853" i="2"/>
  <c r="G854" i="2"/>
  <c r="K854" i="2" s="1"/>
  <c r="G855" i="2"/>
  <c r="K855" i="2"/>
  <c r="G856" i="2"/>
  <c r="K856" i="2"/>
  <c r="G857" i="2"/>
  <c r="K857" i="2"/>
  <c r="G858" i="2"/>
  <c r="K858" i="2" s="1"/>
  <c r="G859" i="2"/>
  <c r="K859" i="2"/>
  <c r="G860" i="2"/>
  <c r="K860" i="2"/>
  <c r="G861" i="2"/>
  <c r="K861" i="2"/>
  <c r="G862" i="2"/>
  <c r="K862" i="2" s="1"/>
  <c r="G863" i="2"/>
  <c r="K863" i="2"/>
  <c r="G864" i="2"/>
  <c r="K864" i="2"/>
  <c r="G865" i="2"/>
  <c r="K865" i="2"/>
  <c r="G866" i="2"/>
  <c r="K866" i="2"/>
  <c r="G867" i="2"/>
  <c r="K867" i="2"/>
  <c r="G868" i="2"/>
  <c r="K868" i="2"/>
  <c r="G869" i="2"/>
  <c r="K869" i="2"/>
  <c r="G870" i="2"/>
  <c r="K870" i="2" s="1"/>
  <c r="G877" i="2"/>
  <c r="K877" i="2"/>
  <c r="E880" i="2"/>
  <c r="F880" i="2"/>
  <c r="I880" i="2"/>
  <c r="J880" i="2"/>
  <c r="AB786" i="2"/>
  <c r="AB785" i="2"/>
  <c r="AE785" i="2" s="1"/>
  <c r="AI785" i="2" s="1"/>
  <c r="AC784" i="2"/>
  <c r="AB784" i="2"/>
  <c r="AC783" i="2"/>
  <c r="AB783" i="2"/>
  <c r="AH782" i="2"/>
  <c r="AH825" i="2" s="1"/>
  <c r="AC782" i="2"/>
  <c r="AB782" i="2"/>
  <c r="AE782" i="2"/>
  <c r="AA783" i="2"/>
  <c r="AA785" i="2" s="1"/>
  <c r="AA786" i="2" s="1"/>
  <c r="AE783" i="2"/>
  <c r="AE784" i="2"/>
  <c r="AI784" i="2" s="1"/>
  <c r="AE786" i="2"/>
  <c r="AI786" i="2"/>
  <c r="AE787" i="2"/>
  <c r="AI787" i="2" s="1"/>
  <c r="AE788" i="2"/>
  <c r="AI788" i="2"/>
  <c r="AE789" i="2"/>
  <c r="AI789" i="2" s="1"/>
  <c r="AE790" i="2"/>
  <c r="AI790" i="2" s="1"/>
  <c r="AE791" i="2"/>
  <c r="AI791" i="2" s="1"/>
  <c r="AE792" i="2"/>
  <c r="AI792" i="2" s="1"/>
  <c r="AE793" i="2"/>
  <c r="AI793" i="2" s="1"/>
  <c r="AE794" i="2"/>
  <c r="AI794" i="2" s="1"/>
  <c r="AE795" i="2"/>
  <c r="AI795" i="2" s="1"/>
  <c r="AE796" i="2"/>
  <c r="AI796" i="2"/>
  <c r="AE797" i="2"/>
  <c r="AI797" i="2" s="1"/>
  <c r="AE798" i="2"/>
  <c r="AI798" i="2"/>
  <c r="AE799" i="2"/>
  <c r="AI799" i="2"/>
  <c r="AE800" i="2"/>
  <c r="AI800" i="2" s="1"/>
  <c r="AE801" i="2"/>
  <c r="AI801" i="2"/>
  <c r="AE802" i="2"/>
  <c r="AI802" i="2"/>
  <c r="AE803" i="2"/>
  <c r="AI803" i="2"/>
  <c r="AE804" i="2"/>
  <c r="AI804" i="2" s="1"/>
  <c r="AE805" i="2"/>
  <c r="AI805" i="2" s="1"/>
  <c r="AE806" i="2"/>
  <c r="AI806" i="2"/>
  <c r="AE807" i="2"/>
  <c r="AI807" i="2"/>
  <c r="AE808" i="2"/>
  <c r="AI808" i="2" s="1"/>
  <c r="AE809" i="2"/>
  <c r="AI809" i="2"/>
  <c r="AE810" i="2"/>
  <c r="AI810" i="2"/>
  <c r="AE811" i="2"/>
  <c r="AI811" i="2"/>
  <c r="AE812" i="2"/>
  <c r="AI812" i="2" s="1"/>
  <c r="AE813" i="2"/>
  <c r="AI813" i="2" s="1"/>
  <c r="AE814" i="2"/>
  <c r="AI814" i="2"/>
  <c r="AE815" i="2"/>
  <c r="AI815" i="2"/>
  <c r="AE816" i="2"/>
  <c r="AI816" i="2" s="1"/>
  <c r="AE817" i="2"/>
  <c r="AI817" i="2"/>
  <c r="AE818" i="2"/>
  <c r="AI818" i="2"/>
  <c r="AE819" i="2"/>
  <c r="AI819" i="2"/>
  <c r="AE820" i="2"/>
  <c r="AI820" i="2" s="1"/>
  <c r="AI821" i="2"/>
  <c r="AE822" i="2"/>
  <c r="AI822" i="2"/>
  <c r="AI823" i="2"/>
  <c r="AD825" i="2"/>
  <c r="AG825" i="2"/>
  <c r="P791" i="2"/>
  <c r="P790" i="2"/>
  <c r="P789" i="2"/>
  <c r="P788" i="2"/>
  <c r="S788" i="2" s="1"/>
  <c r="W788" i="2" s="1"/>
  <c r="P787" i="2"/>
  <c r="S787" i="2" s="1"/>
  <c r="W787" i="2" s="1"/>
  <c r="U786" i="2"/>
  <c r="U825" i="2" s="1"/>
  <c r="P786" i="2"/>
  <c r="S786" i="2" s="1"/>
  <c r="P785" i="2"/>
  <c r="P784" i="2"/>
  <c r="S784" i="2" s="1"/>
  <c r="W784" i="2" s="1"/>
  <c r="Q783" i="2"/>
  <c r="S783" i="2" s="1"/>
  <c r="W783" i="2" s="1"/>
  <c r="P783" i="2"/>
  <c r="P782" i="2"/>
  <c r="S782" i="2" s="1"/>
  <c r="W782" i="2" s="1"/>
  <c r="O787" i="2"/>
  <c r="O788" i="2" s="1"/>
  <c r="O789" i="2" s="1"/>
  <c r="O790" i="2" s="1"/>
  <c r="O791" i="2" s="1"/>
  <c r="O783" i="2"/>
  <c r="O784" i="2" s="1"/>
  <c r="O785" i="2" s="1"/>
  <c r="O786" i="2" s="1"/>
  <c r="S785" i="2"/>
  <c r="W785" i="2" s="1"/>
  <c r="S789" i="2"/>
  <c r="W789" i="2" s="1"/>
  <c r="S790" i="2"/>
  <c r="W790" i="2"/>
  <c r="S791" i="2"/>
  <c r="W791" i="2" s="1"/>
  <c r="S792" i="2"/>
  <c r="W792" i="2" s="1"/>
  <c r="S793" i="2"/>
  <c r="W793" i="2"/>
  <c r="S794" i="2"/>
  <c r="W794" i="2" s="1"/>
  <c r="S795" i="2"/>
  <c r="W795" i="2"/>
  <c r="S796" i="2"/>
  <c r="W796" i="2"/>
  <c r="S797" i="2"/>
  <c r="W797" i="2"/>
  <c r="S798" i="2"/>
  <c r="W798" i="2"/>
  <c r="S799" i="2"/>
  <c r="W799" i="2"/>
  <c r="S800" i="2"/>
  <c r="W800" i="2" s="1"/>
  <c r="S801" i="2"/>
  <c r="W801" i="2"/>
  <c r="S802" i="2"/>
  <c r="W802" i="2" s="1"/>
  <c r="S803" i="2"/>
  <c r="W803" i="2"/>
  <c r="S804" i="2"/>
  <c r="W804" i="2"/>
  <c r="S805" i="2"/>
  <c r="W805" i="2"/>
  <c r="S806" i="2"/>
  <c r="W806" i="2"/>
  <c r="S807" i="2"/>
  <c r="W807" i="2"/>
  <c r="S808" i="2"/>
  <c r="W808" i="2" s="1"/>
  <c r="S809" i="2"/>
  <c r="W809" i="2"/>
  <c r="S810" i="2"/>
  <c r="W810" i="2" s="1"/>
  <c r="S811" i="2"/>
  <c r="W811" i="2"/>
  <c r="S812" i="2"/>
  <c r="W812" i="2"/>
  <c r="S813" i="2"/>
  <c r="W813" i="2"/>
  <c r="S814" i="2"/>
  <c r="W814" i="2"/>
  <c r="S815" i="2"/>
  <c r="W815" i="2"/>
  <c r="S816" i="2"/>
  <c r="W816" i="2" s="1"/>
  <c r="S817" i="2"/>
  <c r="W817" i="2"/>
  <c r="S818" i="2"/>
  <c r="W818" i="2" s="1"/>
  <c r="S819" i="2"/>
  <c r="W819" i="2"/>
  <c r="S820" i="2"/>
  <c r="W820" i="2"/>
  <c r="W821" i="2"/>
  <c r="S822" i="2"/>
  <c r="W822" i="2"/>
  <c r="W823" i="2"/>
  <c r="R825" i="2"/>
  <c r="V825" i="2"/>
  <c r="I790" i="2"/>
  <c r="D790" i="2"/>
  <c r="D789" i="2"/>
  <c r="D788" i="2"/>
  <c r="D787" i="2"/>
  <c r="G787" i="2" s="1"/>
  <c r="K787" i="2" s="1"/>
  <c r="J786" i="2"/>
  <c r="J825" i="2" s="1"/>
  <c r="I786" i="2"/>
  <c r="I825" i="2" s="1"/>
  <c r="E786" i="2"/>
  <c r="E825" i="2" s="1"/>
  <c r="D786" i="2"/>
  <c r="G786" i="2" s="1"/>
  <c r="D785" i="2"/>
  <c r="D784" i="2"/>
  <c r="G784" i="2" s="1"/>
  <c r="K784" i="2" s="1"/>
  <c r="D783" i="2"/>
  <c r="D782" i="2"/>
  <c r="G782" i="2"/>
  <c r="C783" i="2"/>
  <c r="C784" i="2" s="1"/>
  <c r="C785" i="2" s="1"/>
  <c r="C786" i="2" s="1"/>
  <c r="C787" i="2" s="1"/>
  <c r="C788" i="2" s="1"/>
  <c r="C790" i="2" s="1"/>
  <c r="G783" i="2"/>
  <c r="K783" i="2" s="1"/>
  <c r="G785" i="2"/>
  <c r="K785" i="2"/>
  <c r="G788" i="2"/>
  <c r="K788" i="2" s="1"/>
  <c r="G789" i="2"/>
  <c r="K789" i="2" s="1"/>
  <c r="G790" i="2"/>
  <c r="K790" i="2"/>
  <c r="G791" i="2"/>
  <c r="K791" i="2"/>
  <c r="G792" i="2"/>
  <c r="K792" i="2" s="1"/>
  <c r="G793" i="2"/>
  <c r="K793" i="2"/>
  <c r="G794" i="2"/>
  <c r="K794" i="2" s="1"/>
  <c r="G795" i="2"/>
  <c r="K795" i="2" s="1"/>
  <c r="G796" i="2"/>
  <c r="K796" i="2"/>
  <c r="G797" i="2"/>
  <c r="K797" i="2" s="1"/>
  <c r="G798" i="2"/>
  <c r="K798" i="2"/>
  <c r="G799" i="2"/>
  <c r="K799" i="2"/>
  <c r="G800" i="2"/>
  <c r="K800" i="2"/>
  <c r="G801" i="2"/>
  <c r="K801" i="2"/>
  <c r="G802" i="2"/>
  <c r="K802" i="2" s="1"/>
  <c r="G803" i="2"/>
  <c r="K803" i="2" s="1"/>
  <c r="G804" i="2"/>
  <c r="K804" i="2"/>
  <c r="G805" i="2"/>
  <c r="K805" i="2" s="1"/>
  <c r="G806" i="2"/>
  <c r="K806" i="2"/>
  <c r="G807" i="2"/>
  <c r="K807" i="2"/>
  <c r="G808" i="2"/>
  <c r="K808" i="2"/>
  <c r="G809" i="2"/>
  <c r="K809" i="2"/>
  <c r="G810" i="2"/>
  <c r="K810" i="2" s="1"/>
  <c r="G811" i="2"/>
  <c r="K811" i="2" s="1"/>
  <c r="G812" i="2"/>
  <c r="K812" i="2"/>
  <c r="G813" i="2"/>
  <c r="K813" i="2" s="1"/>
  <c r="G814" i="2"/>
  <c r="K814" i="2"/>
  <c r="G815" i="2"/>
  <c r="K815" i="2"/>
  <c r="G822" i="2"/>
  <c r="K822" i="2"/>
  <c r="F825" i="2"/>
  <c r="K935" i="2" l="1"/>
  <c r="G935" i="2"/>
  <c r="AE880" i="2"/>
  <c r="AI837" i="2"/>
  <c r="AI880" i="2" s="1"/>
  <c r="AB880" i="2"/>
  <c r="S838" i="2"/>
  <c r="W838" i="2" s="1"/>
  <c r="P880" i="2"/>
  <c r="S839" i="2"/>
  <c r="W839" i="2" s="1"/>
  <c r="W880" i="2" s="1"/>
  <c r="D880" i="2"/>
  <c r="K837" i="2"/>
  <c r="K880" i="2" s="1"/>
  <c r="G880" i="2"/>
  <c r="AC825" i="2"/>
  <c r="AI782" i="2"/>
  <c r="AI783" i="2"/>
  <c r="AI825" i="2" s="1"/>
  <c r="AE825" i="2"/>
  <c r="AB825" i="2"/>
  <c r="W786" i="2"/>
  <c r="Q825" i="2"/>
  <c r="P825" i="2"/>
  <c r="S825" i="2"/>
  <c r="W825" i="2"/>
  <c r="K786" i="2"/>
  <c r="G825" i="2"/>
  <c r="K782" i="2"/>
  <c r="D825" i="2"/>
  <c r="AB743" i="2"/>
  <c r="AB742" i="2"/>
  <c r="AB741" i="2"/>
  <c r="AB740" i="2"/>
  <c r="AB739" i="2"/>
  <c r="AE739" i="2" s="1"/>
  <c r="AI739" i="2" s="1"/>
  <c r="AB738" i="2"/>
  <c r="AC737" i="2"/>
  <c r="AB737" i="2"/>
  <c r="AE737" i="2" s="1"/>
  <c r="AI737" i="2" s="1"/>
  <c r="AB736" i="2"/>
  <c r="AG735" i="2"/>
  <c r="AC735" i="2"/>
  <c r="AB735" i="2"/>
  <c r="AB734" i="2"/>
  <c r="AB733" i="2"/>
  <c r="AB732" i="2"/>
  <c r="AE732" i="2" s="1"/>
  <c r="AI732" i="2" s="1"/>
  <c r="AB731" i="2"/>
  <c r="AE731" i="2" s="1"/>
  <c r="AI731" i="2" s="1"/>
  <c r="AB730" i="2"/>
  <c r="AE730" i="2" s="1"/>
  <c r="AI730" i="2" s="1"/>
  <c r="AB729" i="2"/>
  <c r="AB728" i="2"/>
  <c r="AE728" i="2" s="1"/>
  <c r="AI728" i="2" s="1"/>
  <c r="AB727" i="2"/>
  <c r="AE727" i="2"/>
  <c r="AI727" i="2"/>
  <c r="AA728" i="2"/>
  <c r="AA729" i="2" s="1"/>
  <c r="AA730" i="2" s="1"/>
  <c r="AA731" i="2" s="1"/>
  <c r="AA732" i="2" s="1"/>
  <c r="AA733" i="2" s="1"/>
  <c r="AA734" i="2" s="1"/>
  <c r="AA735" i="2" s="1"/>
  <c r="AA736" i="2" s="1"/>
  <c r="AA737" i="2" s="1"/>
  <c r="AA738" i="2" s="1"/>
  <c r="AA739" i="2" s="1"/>
  <c r="AA740" i="2" s="1"/>
  <c r="AA741" i="2" s="1"/>
  <c r="AA742" i="2" s="1"/>
  <c r="AE729" i="2"/>
  <c r="AI729" i="2"/>
  <c r="AE733" i="2"/>
  <c r="AI733" i="2" s="1"/>
  <c r="AE734" i="2"/>
  <c r="AI734" i="2" s="1"/>
  <c r="AE735" i="2"/>
  <c r="AI735" i="2" s="1"/>
  <c r="AE736" i="2"/>
  <c r="AI736" i="2" s="1"/>
  <c r="AE738" i="2"/>
  <c r="AI738" i="2" s="1"/>
  <c r="AE740" i="2"/>
  <c r="AI740" i="2" s="1"/>
  <c r="AE741" i="2"/>
  <c r="AI741" i="2" s="1"/>
  <c r="AE742" i="2"/>
  <c r="AI742" i="2" s="1"/>
  <c r="AE743" i="2"/>
  <c r="AI743" i="2" s="1"/>
  <c r="AE744" i="2"/>
  <c r="AI744" i="2"/>
  <c r="AE745" i="2"/>
  <c r="AI745" i="2"/>
  <c r="AE746" i="2"/>
  <c r="AI746" i="2"/>
  <c r="AE747" i="2"/>
  <c r="AI747" i="2" s="1"/>
  <c r="AE748" i="2"/>
  <c r="AI748" i="2"/>
  <c r="AE749" i="2"/>
  <c r="AI749" i="2"/>
  <c r="AE750" i="2"/>
  <c r="AI750" i="2"/>
  <c r="AE751" i="2"/>
  <c r="AI751" i="2" s="1"/>
  <c r="AE752" i="2"/>
  <c r="AI752" i="2"/>
  <c r="AE753" i="2"/>
  <c r="AI753" i="2" s="1"/>
  <c r="AE754" i="2"/>
  <c r="AI754" i="2"/>
  <c r="AE755" i="2"/>
  <c r="AI755" i="2" s="1"/>
  <c r="AE756" i="2"/>
  <c r="AI756" i="2"/>
  <c r="AE757" i="2"/>
  <c r="AI757" i="2"/>
  <c r="AE758" i="2"/>
  <c r="AI758" i="2"/>
  <c r="AE759" i="2"/>
  <c r="AI759" i="2"/>
  <c r="AE760" i="2"/>
  <c r="AI760" i="2"/>
  <c r="AE761" i="2"/>
  <c r="AI761" i="2"/>
  <c r="AE762" i="2"/>
  <c r="AI762" i="2"/>
  <c r="AE763" i="2"/>
  <c r="AI763" i="2" s="1"/>
  <c r="AE764" i="2"/>
  <c r="AI764" i="2"/>
  <c r="AE765" i="2"/>
  <c r="AI765" i="2"/>
  <c r="AI766" i="2"/>
  <c r="AE767" i="2"/>
  <c r="AI767" i="2"/>
  <c r="AI768" i="2"/>
  <c r="AC770" i="2"/>
  <c r="AD770" i="2"/>
  <c r="AG770" i="2"/>
  <c r="AH770" i="2"/>
  <c r="P731" i="2"/>
  <c r="P730" i="2"/>
  <c r="S730" i="2" s="1"/>
  <c r="W730" i="2" s="1"/>
  <c r="P729" i="2"/>
  <c r="U728" i="2"/>
  <c r="P728" i="2"/>
  <c r="Q727" i="2"/>
  <c r="S727" i="2" s="1"/>
  <c r="W727" i="2" s="1"/>
  <c r="P727" i="2"/>
  <c r="V770" i="2"/>
  <c r="O728" i="2"/>
  <c r="O729" i="2" s="1"/>
  <c r="O730" i="2" s="1"/>
  <c r="O731" i="2" s="1"/>
  <c r="S728" i="2"/>
  <c r="S729" i="2"/>
  <c r="W729" i="2" s="1"/>
  <c r="S731" i="2"/>
  <c r="W731" i="2" s="1"/>
  <c r="S732" i="2"/>
  <c r="W732" i="2"/>
  <c r="S733" i="2"/>
  <c r="W733" i="2" s="1"/>
  <c r="S734" i="2"/>
  <c r="W734" i="2"/>
  <c r="S735" i="2"/>
  <c r="W735" i="2"/>
  <c r="S736" i="2"/>
  <c r="W736" i="2"/>
  <c r="S737" i="2"/>
  <c r="W737" i="2" s="1"/>
  <c r="S738" i="2"/>
  <c r="W738" i="2"/>
  <c r="S739" i="2"/>
  <c r="W739" i="2"/>
  <c r="S740" i="2"/>
  <c r="W740" i="2"/>
  <c r="S741" i="2"/>
  <c r="W741" i="2"/>
  <c r="S742" i="2"/>
  <c r="W742" i="2"/>
  <c r="S743" i="2"/>
  <c r="W743" i="2"/>
  <c r="S744" i="2"/>
  <c r="W744" i="2"/>
  <c r="S745" i="2"/>
  <c r="W745" i="2" s="1"/>
  <c r="S746" i="2"/>
  <c r="W746" i="2"/>
  <c r="S747" i="2"/>
  <c r="W747" i="2"/>
  <c r="S748" i="2"/>
  <c r="W748" i="2"/>
  <c r="S749" i="2"/>
  <c r="W749" i="2"/>
  <c r="S750" i="2"/>
  <c r="W750" i="2"/>
  <c r="S751" i="2"/>
  <c r="W751" i="2"/>
  <c r="S752" i="2"/>
  <c r="W752" i="2"/>
  <c r="S753" i="2"/>
  <c r="W753" i="2" s="1"/>
  <c r="S754" i="2"/>
  <c r="W754" i="2"/>
  <c r="S755" i="2"/>
  <c r="W755" i="2"/>
  <c r="S756" i="2"/>
  <c r="W756" i="2"/>
  <c r="S757" i="2"/>
  <c r="W757" i="2"/>
  <c r="S758" i="2"/>
  <c r="W758" i="2"/>
  <c r="S759" i="2"/>
  <c r="W759" i="2"/>
  <c r="S760" i="2"/>
  <c r="W760" i="2"/>
  <c r="S761" i="2"/>
  <c r="W761" i="2" s="1"/>
  <c r="S762" i="2"/>
  <c r="W762" i="2"/>
  <c r="S763" i="2"/>
  <c r="W763" i="2"/>
  <c r="S764" i="2"/>
  <c r="W764" i="2"/>
  <c r="S765" i="2"/>
  <c r="W765" i="2"/>
  <c r="W766" i="2"/>
  <c r="S767" i="2"/>
  <c r="W767" i="2" s="1"/>
  <c r="W768" i="2"/>
  <c r="R770" i="2"/>
  <c r="U770" i="2"/>
  <c r="J729" i="2"/>
  <c r="D729" i="2"/>
  <c r="D728" i="2"/>
  <c r="G728" i="2" s="1"/>
  <c r="K728" i="2" s="1"/>
  <c r="J727" i="2"/>
  <c r="J770" i="2" s="1"/>
  <c r="I727" i="2"/>
  <c r="D727" i="2"/>
  <c r="G727" i="2"/>
  <c r="C728" i="2"/>
  <c r="C729" i="2" s="1"/>
  <c r="E770" i="2"/>
  <c r="G729" i="2"/>
  <c r="K729" i="2" s="1"/>
  <c r="I770" i="2"/>
  <c r="G730" i="2"/>
  <c r="K730" i="2" s="1"/>
  <c r="G731" i="2"/>
  <c r="K731" i="2" s="1"/>
  <c r="G732" i="2"/>
  <c r="K732" i="2"/>
  <c r="G733" i="2"/>
  <c r="K733" i="2"/>
  <c r="G734" i="2"/>
  <c r="K734" i="2"/>
  <c r="G735" i="2"/>
  <c r="K735" i="2" s="1"/>
  <c r="G736" i="2"/>
  <c r="K736" i="2" s="1"/>
  <c r="G737" i="2"/>
  <c r="K737" i="2" s="1"/>
  <c r="G738" i="2"/>
  <c r="K738" i="2"/>
  <c r="G739" i="2"/>
  <c r="K739" i="2" s="1"/>
  <c r="G740" i="2"/>
  <c r="K740" i="2"/>
  <c r="G741" i="2"/>
  <c r="K741" i="2"/>
  <c r="G742" i="2"/>
  <c r="K742" i="2"/>
  <c r="G743" i="2"/>
  <c r="K743" i="2"/>
  <c r="G744" i="2"/>
  <c r="K744" i="2" s="1"/>
  <c r="G745" i="2"/>
  <c r="K745" i="2" s="1"/>
  <c r="G746" i="2"/>
  <c r="K746" i="2"/>
  <c r="G747" i="2"/>
  <c r="K747" i="2" s="1"/>
  <c r="G748" i="2"/>
  <c r="K748" i="2"/>
  <c r="G749" i="2"/>
  <c r="K749" i="2"/>
  <c r="G750" i="2"/>
  <c r="K750" i="2"/>
  <c r="G751" i="2"/>
  <c r="K751" i="2"/>
  <c r="G752" i="2"/>
  <c r="K752" i="2" s="1"/>
  <c r="G753" i="2"/>
  <c r="K753" i="2" s="1"/>
  <c r="G754" i="2"/>
  <c r="K754" i="2"/>
  <c r="G755" i="2"/>
  <c r="K755" i="2" s="1"/>
  <c r="G756" i="2"/>
  <c r="K756" i="2"/>
  <c r="G757" i="2"/>
  <c r="K757" i="2"/>
  <c r="G758" i="2"/>
  <c r="K758" i="2"/>
  <c r="G759" i="2"/>
  <c r="K759" i="2"/>
  <c r="G760" i="2"/>
  <c r="K760" i="2" s="1"/>
  <c r="G767" i="2"/>
  <c r="K767" i="2" s="1"/>
  <c r="F770" i="2"/>
  <c r="S880" i="2" l="1"/>
  <c r="K825" i="2"/>
  <c r="AB770" i="2"/>
  <c r="AE770" i="2"/>
  <c r="AI770" i="2"/>
  <c r="P770" i="2"/>
  <c r="Q770" i="2"/>
  <c r="S770" i="2"/>
  <c r="W728" i="2"/>
  <c r="W770" i="2" s="1"/>
  <c r="D770" i="2"/>
  <c r="K727" i="2"/>
  <c r="K770" i="2" s="1"/>
  <c r="G770" i="2"/>
  <c r="AH674" i="2"/>
  <c r="AB674" i="2"/>
  <c r="AB715" i="2" s="1"/>
  <c r="AB673" i="2"/>
  <c r="AH672" i="2"/>
  <c r="AH715" i="2" s="1"/>
  <c r="AB672" i="2"/>
  <c r="AE672" i="2"/>
  <c r="AA673" i="2"/>
  <c r="AA674" i="2" s="1"/>
  <c r="AE673" i="2"/>
  <c r="AI673" i="2" s="1"/>
  <c r="AG715" i="2"/>
  <c r="AE675" i="2"/>
  <c r="AI675" i="2" s="1"/>
  <c r="AE676" i="2"/>
  <c r="AI676" i="2" s="1"/>
  <c r="AE677" i="2"/>
  <c r="AI677" i="2" s="1"/>
  <c r="AE678" i="2"/>
  <c r="AI678" i="2"/>
  <c r="AE679" i="2"/>
  <c r="AI679" i="2"/>
  <c r="AE680" i="2"/>
  <c r="AI680" i="2"/>
  <c r="AE681" i="2"/>
  <c r="AI681" i="2"/>
  <c r="AE682" i="2"/>
  <c r="AI682" i="2"/>
  <c r="AE683" i="2"/>
  <c r="AI683" i="2"/>
  <c r="AE684" i="2"/>
  <c r="AI684" i="2"/>
  <c r="AE685" i="2"/>
  <c r="AI685" i="2"/>
  <c r="AE686" i="2"/>
  <c r="AI686" i="2"/>
  <c r="AE687" i="2"/>
  <c r="AI687" i="2"/>
  <c r="AE688" i="2"/>
  <c r="AI688" i="2"/>
  <c r="AE689" i="2"/>
  <c r="AI689" i="2"/>
  <c r="AE690" i="2"/>
  <c r="AI690" i="2"/>
  <c r="AE691" i="2"/>
  <c r="AI691" i="2"/>
  <c r="AE692" i="2"/>
  <c r="AI692" i="2"/>
  <c r="AE693" i="2"/>
  <c r="AI693" i="2"/>
  <c r="AE694" i="2"/>
  <c r="AI694" i="2"/>
  <c r="AE695" i="2"/>
  <c r="AI695" i="2"/>
  <c r="AE696" i="2"/>
  <c r="AI696" i="2" s="1"/>
  <c r="AE697" i="2"/>
  <c r="AI697" i="2"/>
  <c r="AE698" i="2"/>
  <c r="AI698" i="2"/>
  <c r="AE699" i="2"/>
  <c r="AI699" i="2"/>
  <c r="AE700" i="2"/>
  <c r="AI700" i="2"/>
  <c r="AE701" i="2"/>
  <c r="AI701" i="2"/>
  <c r="AE702" i="2"/>
  <c r="AI702" i="2"/>
  <c r="AE703" i="2"/>
  <c r="AI703" i="2"/>
  <c r="AE704" i="2"/>
  <c r="AI704" i="2"/>
  <c r="AE705" i="2"/>
  <c r="AI705" i="2"/>
  <c r="AE706" i="2"/>
  <c r="AI706" i="2"/>
  <c r="AE707" i="2"/>
  <c r="AI707" i="2"/>
  <c r="AE708" i="2"/>
  <c r="AI708" i="2"/>
  <c r="AE709" i="2"/>
  <c r="AI709" i="2"/>
  <c r="AE710" i="2"/>
  <c r="AI710" i="2"/>
  <c r="AI711" i="2"/>
  <c r="AE712" i="2"/>
  <c r="AI712" i="2"/>
  <c r="AI713" i="2"/>
  <c r="AC715" i="2"/>
  <c r="AD715" i="2"/>
  <c r="P675" i="2"/>
  <c r="V674" i="2"/>
  <c r="Q674" i="2"/>
  <c r="P674" i="2"/>
  <c r="P673" i="2"/>
  <c r="V672" i="2"/>
  <c r="Q672" i="2"/>
  <c r="Q715" i="2" s="1"/>
  <c r="P672" i="2"/>
  <c r="P715" i="2" s="1"/>
  <c r="O673" i="2"/>
  <c r="O674" i="2" s="1"/>
  <c r="O675" i="2" s="1"/>
  <c r="S673" i="2"/>
  <c r="W673" i="2"/>
  <c r="S674" i="2"/>
  <c r="S675" i="2"/>
  <c r="W675" i="2" s="1"/>
  <c r="S676" i="2"/>
  <c r="W676" i="2"/>
  <c r="S677" i="2"/>
  <c r="W677" i="2" s="1"/>
  <c r="S678" i="2"/>
  <c r="W678" i="2" s="1"/>
  <c r="S679" i="2"/>
  <c r="W679" i="2"/>
  <c r="S680" i="2"/>
  <c r="W680" i="2"/>
  <c r="S681" i="2"/>
  <c r="W681" i="2"/>
  <c r="S682" i="2"/>
  <c r="W682" i="2"/>
  <c r="S683" i="2"/>
  <c r="W683" i="2"/>
  <c r="S684" i="2"/>
  <c r="W684" i="2"/>
  <c r="S685" i="2"/>
  <c r="W685" i="2" s="1"/>
  <c r="S686" i="2"/>
  <c r="W686" i="2"/>
  <c r="S687" i="2"/>
  <c r="W687" i="2"/>
  <c r="S688" i="2"/>
  <c r="W688" i="2"/>
  <c r="S689" i="2"/>
  <c r="W689" i="2"/>
  <c r="S690" i="2"/>
  <c r="W690" i="2"/>
  <c r="S691" i="2"/>
  <c r="W691" i="2"/>
  <c r="S692" i="2"/>
  <c r="W692" i="2" s="1"/>
  <c r="S693" i="2"/>
  <c r="W693" i="2" s="1"/>
  <c r="S694" i="2"/>
  <c r="W694" i="2"/>
  <c r="S695" i="2"/>
  <c r="W695" i="2"/>
  <c r="S696" i="2"/>
  <c r="W696" i="2"/>
  <c r="S697" i="2"/>
  <c r="W697" i="2"/>
  <c r="S698" i="2"/>
  <c r="W698" i="2"/>
  <c r="S699" i="2"/>
  <c r="W699" i="2"/>
  <c r="S700" i="2"/>
  <c r="W700" i="2"/>
  <c r="S701" i="2"/>
  <c r="W701" i="2" s="1"/>
  <c r="S702" i="2"/>
  <c r="W702" i="2"/>
  <c r="S703" i="2"/>
  <c r="W703" i="2"/>
  <c r="S704" i="2"/>
  <c r="W704" i="2"/>
  <c r="S705" i="2"/>
  <c r="W705" i="2"/>
  <c r="S706" i="2"/>
  <c r="W706" i="2"/>
  <c r="S707" i="2"/>
  <c r="W707" i="2"/>
  <c r="S708" i="2"/>
  <c r="W708" i="2"/>
  <c r="S709" i="2"/>
  <c r="W709" i="2" s="1"/>
  <c r="S710" i="2"/>
  <c r="W710" i="2"/>
  <c r="W711" i="2"/>
  <c r="S712" i="2"/>
  <c r="W712" i="2" s="1"/>
  <c r="W713" i="2"/>
  <c r="R715" i="2"/>
  <c r="U715" i="2"/>
  <c r="J675" i="2"/>
  <c r="I675" i="2"/>
  <c r="E675" i="2"/>
  <c r="G675" i="2" s="1"/>
  <c r="D675" i="2"/>
  <c r="I674" i="2"/>
  <c r="E674" i="2"/>
  <c r="D674" i="2"/>
  <c r="G674" i="2" s="1"/>
  <c r="K674" i="2" s="1"/>
  <c r="J673" i="2"/>
  <c r="D673" i="2"/>
  <c r="G673" i="2" s="1"/>
  <c r="D672" i="2"/>
  <c r="F715" i="2"/>
  <c r="K712" i="2"/>
  <c r="G712" i="2"/>
  <c r="K705" i="2"/>
  <c r="G705" i="2"/>
  <c r="G704" i="2"/>
  <c r="K704" i="2" s="1"/>
  <c r="G703" i="2"/>
  <c r="K703" i="2" s="1"/>
  <c r="K702" i="2"/>
  <c r="G702" i="2"/>
  <c r="G701" i="2"/>
  <c r="K701" i="2" s="1"/>
  <c r="G700" i="2"/>
  <c r="K700" i="2" s="1"/>
  <c r="K699" i="2"/>
  <c r="G699" i="2"/>
  <c r="K698" i="2"/>
  <c r="G698" i="2"/>
  <c r="K697" i="2"/>
  <c r="G697" i="2"/>
  <c r="G696" i="2"/>
  <c r="K696" i="2" s="1"/>
  <c r="G695" i="2"/>
  <c r="K695" i="2" s="1"/>
  <c r="K694" i="2"/>
  <c r="G694" i="2"/>
  <c r="G693" i="2"/>
  <c r="K693" i="2" s="1"/>
  <c r="G692" i="2"/>
  <c r="K692" i="2" s="1"/>
  <c r="K691" i="2"/>
  <c r="G691" i="2"/>
  <c r="K690" i="2"/>
  <c r="G690" i="2"/>
  <c r="K689" i="2"/>
  <c r="G689" i="2"/>
  <c r="G688" i="2"/>
  <c r="K688" i="2" s="1"/>
  <c r="G687" i="2"/>
  <c r="K687" i="2" s="1"/>
  <c r="K686" i="2"/>
  <c r="G686" i="2"/>
  <c r="G685" i="2"/>
  <c r="K685" i="2" s="1"/>
  <c r="G684" i="2"/>
  <c r="K684" i="2" s="1"/>
  <c r="K683" i="2"/>
  <c r="G683" i="2"/>
  <c r="K682" i="2"/>
  <c r="G682" i="2"/>
  <c r="K681" i="2"/>
  <c r="G681" i="2"/>
  <c r="G680" i="2"/>
  <c r="K680" i="2" s="1"/>
  <c r="G679" i="2"/>
  <c r="K679" i="2" s="1"/>
  <c r="G678" i="2"/>
  <c r="K678" i="2" s="1"/>
  <c r="I715" i="2"/>
  <c r="G677" i="2"/>
  <c r="K677" i="2" s="1"/>
  <c r="G676" i="2"/>
  <c r="K676" i="2" s="1"/>
  <c r="C673" i="2"/>
  <c r="C674" i="2" s="1"/>
  <c r="C675" i="2" s="1"/>
  <c r="AI672" i="2" l="1"/>
  <c r="AE674" i="2"/>
  <c r="AI674" i="2" s="1"/>
  <c r="AE715" i="2"/>
  <c r="W674" i="2"/>
  <c r="V715" i="2"/>
  <c r="S672" i="2"/>
  <c r="W672" i="2" s="1"/>
  <c r="J715" i="2"/>
  <c r="K675" i="2"/>
  <c r="E715" i="2"/>
  <c r="K673" i="2"/>
  <c r="D715" i="2"/>
  <c r="G672" i="2"/>
  <c r="AC621" i="2"/>
  <c r="AC660" i="2" s="1"/>
  <c r="AB621" i="2"/>
  <c r="AG620" i="2"/>
  <c r="AB620" i="2"/>
  <c r="AG619" i="2"/>
  <c r="AB619" i="2"/>
  <c r="AG618" i="2"/>
  <c r="AC618" i="2"/>
  <c r="AB618" i="2"/>
  <c r="AB617" i="2"/>
  <c r="AE617" i="2"/>
  <c r="AI617" i="2" s="1"/>
  <c r="AA618" i="2"/>
  <c r="AA619" i="2" s="1"/>
  <c r="AA620" i="2" s="1"/>
  <c r="AA621" i="2" s="1"/>
  <c r="AE618" i="2"/>
  <c r="AE619" i="2"/>
  <c r="AE622" i="2"/>
  <c r="AI622" i="2"/>
  <c r="AE623" i="2"/>
  <c r="AI623" i="2" s="1"/>
  <c r="AE624" i="2"/>
  <c r="AI624" i="2" s="1"/>
  <c r="AE625" i="2"/>
  <c r="AI625" i="2"/>
  <c r="AE626" i="2"/>
  <c r="AI626" i="2"/>
  <c r="AE627" i="2"/>
  <c r="AI627" i="2" s="1"/>
  <c r="AE628" i="2"/>
  <c r="AI628" i="2" s="1"/>
  <c r="AE629" i="2"/>
  <c r="AI629" i="2"/>
  <c r="AE630" i="2"/>
  <c r="AI630" i="2" s="1"/>
  <c r="AE631" i="2"/>
  <c r="AI631" i="2"/>
  <c r="AE632" i="2"/>
  <c r="AI632" i="2" s="1"/>
  <c r="AE633" i="2"/>
  <c r="AI633" i="2" s="1"/>
  <c r="AE634" i="2"/>
  <c r="AI634" i="2"/>
  <c r="AE635" i="2"/>
  <c r="AI635" i="2"/>
  <c r="AE636" i="2"/>
  <c r="AI636" i="2" s="1"/>
  <c r="AE637" i="2"/>
  <c r="AI637" i="2"/>
  <c r="AE638" i="2"/>
  <c r="AI638" i="2" s="1"/>
  <c r="AE639" i="2"/>
  <c r="AI639" i="2"/>
  <c r="AE640" i="2"/>
  <c r="AI640" i="2"/>
  <c r="AE641" i="2"/>
  <c r="AI641" i="2"/>
  <c r="AE642" i="2"/>
  <c r="AI642" i="2"/>
  <c r="AE643" i="2"/>
  <c r="AI643" i="2"/>
  <c r="AE644" i="2"/>
  <c r="AI644" i="2" s="1"/>
  <c r="AE645" i="2"/>
  <c r="AI645" i="2"/>
  <c r="AE646" i="2"/>
  <c r="AI646" i="2" s="1"/>
  <c r="AE647" i="2"/>
  <c r="AI647" i="2"/>
  <c r="AE648" i="2"/>
  <c r="AI648" i="2"/>
  <c r="AE649" i="2"/>
  <c r="AI649" i="2"/>
  <c r="AE650" i="2"/>
  <c r="AI650" i="2"/>
  <c r="AE651" i="2"/>
  <c r="AI651" i="2"/>
  <c r="AE652" i="2"/>
  <c r="AI652" i="2" s="1"/>
  <c r="AE653" i="2"/>
  <c r="AI653" i="2"/>
  <c r="AE654" i="2"/>
  <c r="AI654" i="2" s="1"/>
  <c r="AE655" i="2"/>
  <c r="AI655" i="2"/>
  <c r="AI656" i="2"/>
  <c r="AE657" i="2"/>
  <c r="AI657" i="2"/>
  <c r="AI658" i="2"/>
  <c r="AD660" i="2"/>
  <c r="AH660" i="2"/>
  <c r="S617" i="2"/>
  <c r="W617" i="2" s="1"/>
  <c r="O618" i="2"/>
  <c r="S618" i="2"/>
  <c r="W618" i="2" s="1"/>
  <c r="O619" i="2"/>
  <c r="O620" i="2" s="1"/>
  <c r="O621" i="2" s="1"/>
  <c r="O622" i="2" s="1"/>
  <c r="O623" i="2" s="1"/>
  <c r="P660" i="2"/>
  <c r="S619" i="2"/>
  <c r="S620" i="2"/>
  <c r="W620" i="2"/>
  <c r="S621" i="2"/>
  <c r="W621" i="2"/>
  <c r="S622" i="2"/>
  <c r="W622" i="2" s="1"/>
  <c r="S623" i="2"/>
  <c r="W623" i="2" s="1"/>
  <c r="S624" i="2"/>
  <c r="W624" i="2" s="1"/>
  <c r="S625" i="2"/>
  <c r="W625" i="2"/>
  <c r="S626" i="2"/>
  <c r="W626" i="2" s="1"/>
  <c r="S627" i="2"/>
  <c r="W627" i="2" s="1"/>
  <c r="V660" i="2"/>
  <c r="S628" i="2"/>
  <c r="W628" i="2" s="1"/>
  <c r="S629" i="2"/>
  <c r="W629" i="2"/>
  <c r="S630" i="2"/>
  <c r="W630" i="2"/>
  <c r="S631" i="2"/>
  <c r="W631" i="2"/>
  <c r="S632" i="2"/>
  <c r="W632" i="2" s="1"/>
  <c r="S633" i="2"/>
  <c r="W633" i="2"/>
  <c r="S634" i="2"/>
  <c r="W634" i="2"/>
  <c r="S635" i="2"/>
  <c r="W635" i="2"/>
  <c r="S636" i="2"/>
  <c r="W636" i="2"/>
  <c r="S637" i="2"/>
  <c r="W637" i="2"/>
  <c r="S638" i="2"/>
  <c r="W638" i="2"/>
  <c r="S639" i="2"/>
  <c r="W639" i="2"/>
  <c r="S640" i="2"/>
  <c r="W640" i="2" s="1"/>
  <c r="S641" i="2"/>
  <c r="W641" i="2"/>
  <c r="S642" i="2"/>
  <c r="W642" i="2"/>
  <c r="S643" i="2"/>
  <c r="W643" i="2"/>
  <c r="S644" i="2"/>
  <c r="W644" i="2"/>
  <c r="S645" i="2"/>
  <c r="W645" i="2"/>
  <c r="S646" i="2"/>
  <c r="W646" i="2"/>
  <c r="S647" i="2"/>
  <c r="W647" i="2"/>
  <c r="S648" i="2"/>
  <c r="W648" i="2" s="1"/>
  <c r="S649" i="2"/>
  <c r="W649" i="2"/>
  <c r="S650" i="2"/>
  <c r="W650" i="2"/>
  <c r="S651" i="2"/>
  <c r="W651" i="2"/>
  <c r="S652" i="2"/>
  <c r="W652" i="2"/>
  <c r="S653" i="2"/>
  <c r="W653" i="2"/>
  <c r="S654" i="2"/>
  <c r="W654" i="2"/>
  <c r="S655" i="2"/>
  <c r="W655" i="2" s="1"/>
  <c r="W656" i="2"/>
  <c r="S657" i="2"/>
  <c r="W657" i="2" s="1"/>
  <c r="W658" i="2"/>
  <c r="Q660" i="2"/>
  <c r="R660" i="2"/>
  <c r="U660" i="2"/>
  <c r="AI715" i="2" l="1"/>
  <c r="W715" i="2"/>
  <c r="S715" i="2"/>
  <c r="G715" i="2"/>
  <c r="K672" i="2"/>
  <c r="K715" i="2" s="1"/>
  <c r="AE621" i="2"/>
  <c r="AI621" i="2" s="1"/>
  <c r="AB660" i="2"/>
  <c r="AE620" i="2"/>
  <c r="AI620" i="2" s="1"/>
  <c r="AI660" i="2" s="1"/>
  <c r="AI619" i="2"/>
  <c r="AG660" i="2"/>
  <c r="AI618" i="2"/>
  <c r="S660" i="2"/>
  <c r="W619" i="2"/>
  <c r="W660" i="2" s="1"/>
  <c r="U566" i="2"/>
  <c r="AE660" i="2" l="1"/>
  <c r="AB572" i="2"/>
  <c r="AE572" i="2" s="1"/>
  <c r="AI572" i="2" s="1"/>
  <c r="AB571" i="2"/>
  <c r="AE571" i="2" s="1"/>
  <c r="AI571" i="2" s="1"/>
  <c r="AB570" i="2"/>
  <c r="AB569" i="2"/>
  <c r="AA569" i="2"/>
  <c r="AA570" i="2"/>
  <c r="AA571" i="2" s="1"/>
  <c r="AA572" i="2" s="1"/>
  <c r="AC568" i="2"/>
  <c r="AC605" i="2" s="1"/>
  <c r="AB568" i="2"/>
  <c r="AB567" i="2"/>
  <c r="AG566" i="2"/>
  <c r="AB566" i="2"/>
  <c r="AH565" i="2"/>
  <c r="AI565" i="2" s="1"/>
  <c r="AB565" i="2"/>
  <c r="AC564" i="2"/>
  <c r="AE564" i="2" s="1"/>
  <c r="AI564" i="2" s="1"/>
  <c r="AB564" i="2"/>
  <c r="AC563" i="2"/>
  <c r="AB563" i="2"/>
  <c r="AB562" i="2"/>
  <c r="AE562" i="2"/>
  <c r="AA563" i="2"/>
  <c r="AE563" i="2"/>
  <c r="AI563" i="2" s="1"/>
  <c r="AA564" i="2"/>
  <c r="AA565" i="2" s="1"/>
  <c r="AA566" i="2" s="1"/>
  <c r="AA567" i="2" s="1"/>
  <c r="AE565" i="2"/>
  <c r="AE566" i="2"/>
  <c r="AI566" i="2" s="1"/>
  <c r="AE567" i="2"/>
  <c r="AI567" i="2" s="1"/>
  <c r="AE569" i="2"/>
  <c r="AI569" i="2" s="1"/>
  <c r="AE570" i="2"/>
  <c r="AI570" i="2" s="1"/>
  <c r="AE573" i="2"/>
  <c r="AI573" i="2" s="1"/>
  <c r="AE574" i="2"/>
  <c r="AI574" i="2" s="1"/>
  <c r="AE575" i="2"/>
  <c r="AI575" i="2"/>
  <c r="AE576" i="2"/>
  <c r="AI576" i="2"/>
  <c r="AE577" i="2"/>
  <c r="AI577" i="2"/>
  <c r="AE578" i="2"/>
  <c r="AI578" i="2"/>
  <c r="AE579" i="2"/>
  <c r="AI579" i="2" s="1"/>
  <c r="AE580" i="2"/>
  <c r="AI580" i="2" s="1"/>
  <c r="AE581" i="2"/>
  <c r="AI581" i="2" s="1"/>
  <c r="AE582" i="2"/>
  <c r="AI582" i="2"/>
  <c r="AE583" i="2"/>
  <c r="AI583" i="2"/>
  <c r="AE584" i="2"/>
  <c r="AI584" i="2"/>
  <c r="AE585" i="2"/>
  <c r="AI585" i="2"/>
  <c r="AE586" i="2"/>
  <c r="AI586" i="2"/>
  <c r="AE587" i="2"/>
  <c r="AI587" i="2" s="1"/>
  <c r="AE588" i="2"/>
  <c r="AI588" i="2" s="1"/>
  <c r="AE589" i="2"/>
  <c r="AI589" i="2"/>
  <c r="AE590" i="2"/>
  <c r="AI590" i="2"/>
  <c r="AE591" i="2"/>
  <c r="AI591" i="2"/>
  <c r="AE592" i="2"/>
  <c r="AI592" i="2"/>
  <c r="AE593" i="2"/>
  <c r="AI593" i="2"/>
  <c r="AE594" i="2"/>
  <c r="AI594" i="2"/>
  <c r="AE595" i="2"/>
  <c r="AI595" i="2"/>
  <c r="AE596" i="2"/>
  <c r="AI596" i="2" s="1"/>
  <c r="AE597" i="2"/>
  <c r="AI597" i="2"/>
  <c r="AE598" i="2"/>
  <c r="AI598" i="2"/>
  <c r="AE599" i="2"/>
  <c r="AI599" i="2"/>
  <c r="AE600" i="2"/>
  <c r="AI600" i="2"/>
  <c r="AI601" i="2"/>
  <c r="AE602" i="2"/>
  <c r="AI602" i="2"/>
  <c r="AI603" i="2"/>
  <c r="AD605" i="2"/>
  <c r="AG605" i="2"/>
  <c r="P577" i="2"/>
  <c r="S577" i="2" s="1"/>
  <c r="W577" i="2" s="1"/>
  <c r="P576" i="2"/>
  <c r="S576" i="2" s="1"/>
  <c r="W576" i="2" s="1"/>
  <c r="P575" i="2"/>
  <c r="S575" i="2" s="1"/>
  <c r="W575" i="2" s="1"/>
  <c r="P574" i="2"/>
  <c r="O574" i="2"/>
  <c r="O575" i="2" s="1"/>
  <c r="O576" i="2" s="1"/>
  <c r="P573" i="2"/>
  <c r="S573" i="2" s="1"/>
  <c r="W573" i="2" s="1"/>
  <c r="V572" i="2"/>
  <c r="P572" i="2"/>
  <c r="S572" i="2"/>
  <c r="U571" i="2"/>
  <c r="U605" i="2" s="1"/>
  <c r="P571" i="2"/>
  <c r="S571" i="2" s="1"/>
  <c r="P570" i="2"/>
  <c r="P569" i="2"/>
  <c r="S569" i="2" s="1"/>
  <c r="W569" i="2" s="1"/>
  <c r="P568" i="2"/>
  <c r="S568" i="2" s="1"/>
  <c r="W568" i="2" s="1"/>
  <c r="P567" i="2"/>
  <c r="S567" i="2" s="1"/>
  <c r="W567" i="2" s="1"/>
  <c r="P566" i="2"/>
  <c r="S566" i="2" s="1"/>
  <c r="W566" i="2" s="1"/>
  <c r="P565" i="2"/>
  <c r="P564" i="2"/>
  <c r="S564" i="2" s="1"/>
  <c r="W564" i="2" s="1"/>
  <c r="V563" i="2"/>
  <c r="P563" i="2"/>
  <c r="P562" i="2"/>
  <c r="S562" i="2" s="1"/>
  <c r="O563" i="2"/>
  <c r="O564" i="2" s="1"/>
  <c r="O565" i="2" s="1"/>
  <c r="O566" i="2" s="1"/>
  <c r="O567" i="2" s="1"/>
  <c r="O568" i="2" s="1"/>
  <c r="O569" i="2" s="1"/>
  <c r="O570" i="2" s="1"/>
  <c r="O571" i="2" s="1"/>
  <c r="O572" i="2" s="1"/>
  <c r="O573" i="2" s="1"/>
  <c r="S563" i="2"/>
  <c r="S565" i="2"/>
  <c r="W565" i="2" s="1"/>
  <c r="S570" i="2"/>
  <c r="W570" i="2" s="1"/>
  <c r="S574" i="2"/>
  <c r="W574" i="2" s="1"/>
  <c r="S578" i="2"/>
  <c r="W578" i="2" s="1"/>
  <c r="S579" i="2"/>
  <c r="W579" i="2" s="1"/>
  <c r="S580" i="2"/>
  <c r="W580" i="2"/>
  <c r="S581" i="2"/>
  <c r="W581" i="2"/>
  <c r="S582" i="2"/>
  <c r="W582" i="2" s="1"/>
  <c r="S583" i="2"/>
  <c r="W583" i="2"/>
  <c r="S584" i="2"/>
  <c r="W584" i="2"/>
  <c r="S585" i="2"/>
  <c r="W585" i="2"/>
  <c r="S586" i="2"/>
  <c r="W586" i="2" s="1"/>
  <c r="S587" i="2"/>
  <c r="W587" i="2" s="1"/>
  <c r="S588" i="2"/>
  <c r="W588" i="2"/>
  <c r="S589" i="2"/>
  <c r="W589" i="2"/>
  <c r="S590" i="2"/>
  <c r="W590" i="2" s="1"/>
  <c r="S591" i="2"/>
  <c r="W591" i="2"/>
  <c r="S592" i="2"/>
  <c r="W592" i="2"/>
  <c r="S593" i="2"/>
  <c r="W593" i="2"/>
  <c r="S594" i="2"/>
  <c r="W594" i="2" s="1"/>
  <c r="S595" i="2"/>
  <c r="W595" i="2" s="1"/>
  <c r="S596" i="2"/>
  <c r="W596" i="2"/>
  <c r="S597" i="2"/>
  <c r="W597" i="2"/>
  <c r="S598" i="2"/>
  <c r="W598" i="2" s="1"/>
  <c r="S599" i="2"/>
  <c r="W599" i="2"/>
  <c r="S600" i="2"/>
  <c r="W600" i="2"/>
  <c r="W601" i="2"/>
  <c r="S602" i="2"/>
  <c r="W602" i="2"/>
  <c r="W603" i="2"/>
  <c r="Q605" i="2"/>
  <c r="R605" i="2"/>
  <c r="J568" i="2"/>
  <c r="J605" i="2" s="1"/>
  <c r="D568" i="2"/>
  <c r="I567" i="2"/>
  <c r="D567" i="2"/>
  <c r="G567" i="2" s="1"/>
  <c r="D566" i="2"/>
  <c r="G566" i="2" s="1"/>
  <c r="K566" i="2" s="1"/>
  <c r="J565" i="2"/>
  <c r="E565" i="2"/>
  <c r="D565" i="2"/>
  <c r="D564" i="2"/>
  <c r="G564" i="2" s="1"/>
  <c r="K564" i="2" s="1"/>
  <c r="E563" i="2"/>
  <c r="D563" i="2"/>
  <c r="D562" i="2"/>
  <c r="G562" i="2"/>
  <c r="K562" i="2" s="1"/>
  <c r="C563" i="2"/>
  <c r="C564" i="2" s="1"/>
  <c r="C565" i="2" s="1"/>
  <c r="C566" i="2" s="1"/>
  <c r="C567" i="2" s="1"/>
  <c r="C568" i="2" s="1"/>
  <c r="E605" i="2"/>
  <c r="G565" i="2"/>
  <c r="K565" i="2" s="1"/>
  <c r="G568" i="2"/>
  <c r="G569" i="2"/>
  <c r="K569" i="2" s="1"/>
  <c r="G570" i="2"/>
  <c r="K570" i="2" s="1"/>
  <c r="G571" i="2"/>
  <c r="K571" i="2"/>
  <c r="G572" i="2"/>
  <c r="K572" i="2"/>
  <c r="G573" i="2"/>
  <c r="K573" i="2"/>
  <c r="G574" i="2"/>
  <c r="K574" i="2"/>
  <c r="G575" i="2"/>
  <c r="K575" i="2"/>
  <c r="G576" i="2"/>
  <c r="K576" i="2" s="1"/>
  <c r="G577" i="2"/>
  <c r="K577" i="2"/>
  <c r="G578" i="2"/>
  <c r="K578" i="2"/>
  <c r="G579" i="2"/>
  <c r="K579" i="2"/>
  <c r="G580" i="2"/>
  <c r="K580" i="2"/>
  <c r="G581" i="2"/>
  <c r="K581" i="2"/>
  <c r="G582" i="2"/>
  <c r="K582" i="2"/>
  <c r="G583" i="2"/>
  <c r="K583" i="2"/>
  <c r="G584" i="2"/>
  <c r="K584" i="2" s="1"/>
  <c r="G585" i="2"/>
  <c r="K585" i="2"/>
  <c r="G586" i="2"/>
  <c r="K586" i="2"/>
  <c r="G587" i="2"/>
  <c r="K587" i="2"/>
  <c r="G588" i="2"/>
  <c r="K588" i="2"/>
  <c r="G589" i="2"/>
  <c r="K589" i="2"/>
  <c r="G590" i="2"/>
  <c r="K590" i="2"/>
  <c r="G591" i="2"/>
  <c r="K591" i="2"/>
  <c r="G592" i="2"/>
  <c r="K592" i="2" s="1"/>
  <c r="G593" i="2"/>
  <c r="K593" i="2"/>
  <c r="G594" i="2"/>
  <c r="K594" i="2"/>
  <c r="G595" i="2"/>
  <c r="K595" i="2"/>
  <c r="G602" i="2"/>
  <c r="K602" i="2"/>
  <c r="F605" i="2"/>
  <c r="W605" i="2" l="1"/>
  <c r="AE568" i="2"/>
  <c r="AI568" i="2" s="1"/>
  <c r="AH605" i="2"/>
  <c r="AI562" i="2"/>
  <c r="AI605" i="2" s="1"/>
  <c r="AE605" i="2"/>
  <c r="AB605" i="2"/>
  <c r="V605" i="2"/>
  <c r="W572" i="2"/>
  <c r="W571" i="2"/>
  <c r="W563" i="2"/>
  <c r="P605" i="2"/>
  <c r="S605" i="2"/>
  <c r="W562" i="2"/>
  <c r="I605" i="2"/>
  <c r="K568" i="2"/>
  <c r="K605" i="2" s="1"/>
  <c r="K567" i="2"/>
  <c r="D605" i="2"/>
  <c r="G563" i="2"/>
  <c r="K563" i="2" s="1"/>
  <c r="G605" i="2"/>
  <c r="AB513" i="2"/>
  <c r="AE513" i="2" s="1"/>
  <c r="AI513" i="2" s="1"/>
  <c r="AB512" i="2"/>
  <c r="AB511" i="2"/>
  <c r="AC510" i="2"/>
  <c r="AB510" i="2"/>
  <c r="AB509" i="2"/>
  <c r="AC508" i="2"/>
  <c r="AB508" i="2"/>
  <c r="AB507" i="2"/>
  <c r="AE507" i="2"/>
  <c r="AI507" i="2" s="1"/>
  <c r="AA508" i="2"/>
  <c r="AA509" i="2" s="1"/>
  <c r="AA510" i="2" s="1"/>
  <c r="AA511" i="2" s="1"/>
  <c r="AA512" i="2" s="1"/>
  <c r="AA513" i="2" s="1"/>
  <c r="AC550" i="2"/>
  <c r="AE509" i="2"/>
  <c r="AI509" i="2" s="1"/>
  <c r="AE510" i="2"/>
  <c r="AI510" i="2" s="1"/>
  <c r="AE511" i="2"/>
  <c r="AI511" i="2" s="1"/>
  <c r="AE512" i="2"/>
  <c r="AI512" i="2" s="1"/>
  <c r="AE514" i="2"/>
  <c r="AI514" i="2"/>
  <c r="AE515" i="2"/>
  <c r="AI515" i="2" s="1"/>
  <c r="AE516" i="2"/>
  <c r="AI516" i="2" s="1"/>
  <c r="AE517" i="2"/>
  <c r="AI517" i="2" s="1"/>
  <c r="AE518" i="2"/>
  <c r="AI518" i="2"/>
  <c r="AE519" i="2"/>
  <c r="AI519" i="2" s="1"/>
  <c r="AE520" i="2"/>
  <c r="AI520" i="2"/>
  <c r="AE521" i="2"/>
  <c r="AI521" i="2"/>
  <c r="AE522" i="2"/>
  <c r="AI522" i="2"/>
  <c r="AE523" i="2"/>
  <c r="AI523" i="2"/>
  <c r="AE524" i="2"/>
  <c r="AI524" i="2" s="1"/>
  <c r="AE525" i="2"/>
  <c r="AI525" i="2"/>
  <c r="AE526" i="2"/>
  <c r="AI526" i="2"/>
  <c r="AE527" i="2"/>
  <c r="AI527" i="2" s="1"/>
  <c r="AE528" i="2"/>
  <c r="AI528" i="2"/>
  <c r="AE529" i="2"/>
  <c r="AI529" i="2"/>
  <c r="AE530" i="2"/>
  <c r="AI530" i="2"/>
  <c r="AE531" i="2"/>
  <c r="AI531" i="2"/>
  <c r="AE532" i="2"/>
  <c r="AI532" i="2" s="1"/>
  <c r="AE533" i="2"/>
  <c r="AI533" i="2"/>
  <c r="AE534" i="2"/>
  <c r="AI534" i="2"/>
  <c r="AE535" i="2"/>
  <c r="AI535" i="2" s="1"/>
  <c r="AE536" i="2"/>
  <c r="AI536" i="2"/>
  <c r="AE537" i="2"/>
  <c r="AI537" i="2"/>
  <c r="AE538" i="2"/>
  <c r="AI538" i="2"/>
  <c r="AE539" i="2"/>
  <c r="AI539" i="2"/>
  <c r="AE540" i="2"/>
  <c r="AI540" i="2" s="1"/>
  <c r="AE541" i="2"/>
  <c r="AI541" i="2"/>
  <c r="AE542" i="2"/>
  <c r="AI542" i="2"/>
  <c r="AE543" i="2"/>
  <c r="AI543" i="2" s="1"/>
  <c r="AE544" i="2"/>
  <c r="AI544" i="2"/>
  <c r="AE545" i="2"/>
  <c r="AI545" i="2"/>
  <c r="AI546" i="2"/>
  <c r="AE547" i="2"/>
  <c r="AI547" i="2"/>
  <c r="AI548" i="2"/>
  <c r="AD550" i="2"/>
  <c r="AG550" i="2"/>
  <c r="AH550" i="2"/>
  <c r="P518" i="2"/>
  <c r="V517" i="2"/>
  <c r="U517" i="2"/>
  <c r="Q517" i="2"/>
  <c r="P517" i="2"/>
  <c r="P516" i="2"/>
  <c r="P515" i="2"/>
  <c r="V514" i="2"/>
  <c r="P514" i="2"/>
  <c r="S514" i="2" s="1"/>
  <c r="W514" i="2" s="1"/>
  <c r="U513" i="2"/>
  <c r="W513" i="2" s="1"/>
  <c r="P513" i="2"/>
  <c r="P512" i="2"/>
  <c r="S512" i="2" s="1"/>
  <c r="W512" i="2" s="1"/>
  <c r="P511" i="2"/>
  <c r="S511" i="2" s="1"/>
  <c r="W511" i="2" s="1"/>
  <c r="P510" i="2"/>
  <c r="S510" i="2" s="1"/>
  <c r="P509" i="2"/>
  <c r="S509" i="2" s="1"/>
  <c r="W509" i="2" s="1"/>
  <c r="P508" i="2"/>
  <c r="U507" i="2"/>
  <c r="P507" i="2"/>
  <c r="S507" i="2"/>
  <c r="V550" i="2"/>
  <c r="O508" i="2"/>
  <c r="O509" i="2" s="1"/>
  <c r="O510" i="2" s="1"/>
  <c r="O511" i="2" s="1"/>
  <c r="O512" i="2" s="1"/>
  <c r="O513" i="2" s="1"/>
  <c r="O514" i="2" s="1"/>
  <c r="O515" i="2" s="1"/>
  <c r="O516" i="2" s="1"/>
  <c r="O517" i="2" s="1"/>
  <c r="O518" i="2" s="1"/>
  <c r="S508" i="2"/>
  <c r="W508" i="2" s="1"/>
  <c r="S513" i="2"/>
  <c r="S515" i="2"/>
  <c r="W515" i="2"/>
  <c r="S516" i="2"/>
  <c r="W516" i="2"/>
  <c r="S517" i="2"/>
  <c r="W517" i="2" s="1"/>
  <c r="S518" i="2"/>
  <c r="W518" i="2" s="1"/>
  <c r="S519" i="2"/>
  <c r="W519" i="2"/>
  <c r="S520" i="2"/>
  <c r="W520" i="2"/>
  <c r="S521" i="2"/>
  <c r="W521" i="2" s="1"/>
  <c r="S522" i="2"/>
  <c r="W522" i="2"/>
  <c r="S523" i="2"/>
  <c r="W523" i="2"/>
  <c r="S524" i="2"/>
  <c r="W524" i="2" s="1"/>
  <c r="S525" i="2"/>
  <c r="W525" i="2" s="1"/>
  <c r="S526" i="2"/>
  <c r="W526" i="2"/>
  <c r="S527" i="2"/>
  <c r="W527" i="2"/>
  <c r="S528" i="2"/>
  <c r="W528" i="2"/>
  <c r="S529" i="2"/>
  <c r="W529" i="2"/>
  <c r="S530" i="2"/>
  <c r="W530" i="2"/>
  <c r="S531" i="2"/>
  <c r="W531" i="2"/>
  <c r="S532" i="2"/>
  <c r="W532" i="2" s="1"/>
  <c r="S533" i="2"/>
  <c r="W533" i="2"/>
  <c r="S534" i="2"/>
  <c r="W534" i="2"/>
  <c r="S535" i="2"/>
  <c r="W535" i="2"/>
  <c r="S536" i="2"/>
  <c r="W536" i="2"/>
  <c r="S537" i="2"/>
  <c r="W537" i="2"/>
  <c r="S538" i="2"/>
  <c r="W538" i="2"/>
  <c r="S539" i="2"/>
  <c r="W539" i="2"/>
  <c r="S540" i="2"/>
  <c r="W540" i="2"/>
  <c r="S541" i="2"/>
  <c r="W541" i="2"/>
  <c r="S542" i="2"/>
  <c r="W542" i="2"/>
  <c r="S543" i="2"/>
  <c r="W543" i="2"/>
  <c r="S544" i="2"/>
  <c r="W544" i="2"/>
  <c r="S545" i="2"/>
  <c r="W545" i="2"/>
  <c r="W546" i="2"/>
  <c r="S547" i="2"/>
  <c r="W547" i="2"/>
  <c r="W548" i="2"/>
  <c r="Q550" i="2"/>
  <c r="R550" i="2"/>
  <c r="D515" i="2"/>
  <c r="G515" i="2" s="1"/>
  <c r="K515" i="2" s="1"/>
  <c r="D514" i="2"/>
  <c r="G514" i="2" s="1"/>
  <c r="K514" i="2" s="1"/>
  <c r="D513" i="2"/>
  <c r="G513" i="2" s="1"/>
  <c r="K513" i="2" s="1"/>
  <c r="D512" i="2"/>
  <c r="D511" i="2"/>
  <c r="G511" i="2" s="1"/>
  <c r="K511" i="2" s="1"/>
  <c r="D510" i="2"/>
  <c r="G510" i="2" s="1"/>
  <c r="K510" i="2" s="1"/>
  <c r="D509" i="2"/>
  <c r="E508" i="2"/>
  <c r="J508" i="2"/>
  <c r="J550" i="2"/>
  <c r="D508" i="2"/>
  <c r="D507" i="2"/>
  <c r="C511" i="2"/>
  <c r="C512" i="2" s="1"/>
  <c r="C513" i="2" s="1"/>
  <c r="C514" i="2" s="1"/>
  <c r="C515" i="2" s="1"/>
  <c r="G507" i="2"/>
  <c r="C508" i="2"/>
  <c r="C509" i="2" s="1"/>
  <c r="C510" i="2" s="1"/>
  <c r="G508" i="2"/>
  <c r="G509" i="2"/>
  <c r="K509" i="2"/>
  <c r="G512" i="2"/>
  <c r="K512" i="2" s="1"/>
  <c r="G516" i="2"/>
  <c r="K516" i="2"/>
  <c r="G517" i="2"/>
  <c r="K517" i="2" s="1"/>
  <c r="G518" i="2"/>
  <c r="K518" i="2" s="1"/>
  <c r="G519" i="2"/>
  <c r="K519" i="2"/>
  <c r="G520" i="2"/>
  <c r="K520" i="2"/>
  <c r="G521" i="2"/>
  <c r="K521" i="2"/>
  <c r="G522" i="2"/>
  <c r="K522" i="2"/>
  <c r="G523" i="2"/>
  <c r="K523" i="2" s="1"/>
  <c r="G524" i="2"/>
  <c r="K524" i="2"/>
  <c r="G525" i="2"/>
  <c r="K525" i="2" s="1"/>
  <c r="G526" i="2"/>
  <c r="K526" i="2" s="1"/>
  <c r="G527" i="2"/>
  <c r="K527" i="2"/>
  <c r="G528" i="2"/>
  <c r="K528" i="2"/>
  <c r="G529" i="2"/>
  <c r="K529" i="2"/>
  <c r="G530" i="2"/>
  <c r="K530" i="2" s="1"/>
  <c r="G531" i="2"/>
  <c r="K531" i="2"/>
  <c r="G532" i="2"/>
  <c r="K532" i="2"/>
  <c r="G533" i="2"/>
  <c r="K533" i="2"/>
  <c r="G534" i="2"/>
  <c r="K534" i="2"/>
  <c r="G535" i="2"/>
  <c r="K535" i="2"/>
  <c r="G536" i="2"/>
  <c r="K536" i="2"/>
  <c r="G537" i="2"/>
  <c r="K537" i="2"/>
  <c r="G538" i="2"/>
  <c r="K538" i="2"/>
  <c r="G539" i="2"/>
  <c r="K539" i="2"/>
  <c r="G540" i="2"/>
  <c r="K540" i="2"/>
  <c r="G547" i="2"/>
  <c r="K547" i="2"/>
  <c r="E550" i="2"/>
  <c r="F550" i="2"/>
  <c r="I550" i="2"/>
  <c r="AB550" i="2" l="1"/>
  <c r="AE508" i="2"/>
  <c r="U550" i="2"/>
  <c r="W507" i="2"/>
  <c r="W550" i="2" s="1"/>
  <c r="W510" i="2"/>
  <c r="S550" i="2"/>
  <c r="P550" i="2"/>
  <c r="K508" i="2"/>
  <c r="K507" i="2"/>
  <c r="G550" i="2"/>
  <c r="D550" i="2"/>
  <c r="AB456" i="2"/>
  <c r="AE456" i="2" s="1"/>
  <c r="AI456" i="2" s="1"/>
  <c r="AB455" i="2"/>
  <c r="AC454" i="2"/>
  <c r="AE454" i="2" s="1"/>
  <c r="AI454" i="2" s="1"/>
  <c r="AB454" i="2"/>
  <c r="AH453" i="2"/>
  <c r="AG453" i="2"/>
  <c r="AC453" i="2"/>
  <c r="AB453" i="2"/>
  <c r="AC452" i="2"/>
  <c r="AB452" i="2"/>
  <c r="AA453" i="2"/>
  <c r="AA454" i="2" s="1"/>
  <c r="AA455" i="2" s="1"/>
  <c r="AA456" i="2" s="1"/>
  <c r="AE455" i="2"/>
  <c r="AI455" i="2" s="1"/>
  <c r="AE457" i="2"/>
  <c r="AI457" i="2" s="1"/>
  <c r="AE458" i="2"/>
  <c r="AI458" i="2" s="1"/>
  <c r="AE459" i="2"/>
  <c r="AI459" i="2" s="1"/>
  <c r="AE460" i="2"/>
  <c r="AI460" i="2"/>
  <c r="AE461" i="2"/>
  <c r="AI461" i="2" s="1"/>
  <c r="AE462" i="2"/>
  <c r="AI462" i="2"/>
  <c r="AE463" i="2"/>
  <c r="AI463" i="2" s="1"/>
  <c r="AE464" i="2"/>
  <c r="AI464" i="2" s="1"/>
  <c r="AE465" i="2"/>
  <c r="AI465" i="2" s="1"/>
  <c r="AE466" i="2"/>
  <c r="AI466" i="2" s="1"/>
  <c r="AE467" i="2"/>
  <c r="AI467" i="2"/>
  <c r="AE468" i="2"/>
  <c r="AI468" i="2" s="1"/>
  <c r="AE469" i="2"/>
  <c r="AI469" i="2" s="1"/>
  <c r="AE470" i="2"/>
  <c r="AI470" i="2"/>
  <c r="AE471" i="2"/>
  <c r="AI471" i="2" s="1"/>
  <c r="AE472" i="2"/>
  <c r="AI472" i="2" s="1"/>
  <c r="AE473" i="2"/>
  <c r="AI473" i="2"/>
  <c r="AE474" i="2"/>
  <c r="AI474" i="2"/>
  <c r="AE475" i="2"/>
  <c r="AI475" i="2"/>
  <c r="AE476" i="2"/>
  <c r="AI476" i="2" s="1"/>
  <c r="AE477" i="2"/>
  <c r="AI477" i="2" s="1"/>
  <c r="AE478" i="2"/>
  <c r="AI478" i="2"/>
  <c r="AE479" i="2"/>
  <c r="AI479" i="2" s="1"/>
  <c r="AE480" i="2"/>
  <c r="AI480" i="2" s="1"/>
  <c r="AE481" i="2"/>
  <c r="AI481" i="2"/>
  <c r="AE482" i="2"/>
  <c r="AI482" i="2"/>
  <c r="AE483" i="2"/>
  <c r="AI483" i="2"/>
  <c r="AE484" i="2"/>
  <c r="AI484" i="2" s="1"/>
  <c r="AE485" i="2"/>
  <c r="AI485" i="2" s="1"/>
  <c r="AE486" i="2"/>
  <c r="AI486" i="2"/>
  <c r="AE487" i="2"/>
  <c r="AI487" i="2" s="1"/>
  <c r="AE488" i="2"/>
  <c r="AI488" i="2" s="1"/>
  <c r="AE489" i="2"/>
  <c r="AI489" i="2"/>
  <c r="AE490" i="2"/>
  <c r="AI490" i="2"/>
  <c r="AI491" i="2"/>
  <c r="AE492" i="2"/>
  <c r="AI492" i="2"/>
  <c r="AI493" i="2"/>
  <c r="AD495" i="2"/>
  <c r="AG495" i="2"/>
  <c r="AH495" i="2"/>
  <c r="P455" i="2"/>
  <c r="P454" i="2"/>
  <c r="S454" i="2" s="1"/>
  <c r="W454" i="2" s="1"/>
  <c r="Q453" i="2"/>
  <c r="P453" i="2"/>
  <c r="V452" i="2"/>
  <c r="Q452" i="2"/>
  <c r="P452" i="2"/>
  <c r="O453" i="2"/>
  <c r="O454" i="2" s="1"/>
  <c r="O455" i="2" s="1"/>
  <c r="S455" i="2"/>
  <c r="W455" i="2" s="1"/>
  <c r="S456" i="2"/>
  <c r="W456" i="2" s="1"/>
  <c r="S457" i="2"/>
  <c r="W457" i="2" s="1"/>
  <c r="S458" i="2"/>
  <c r="W458" i="2" s="1"/>
  <c r="S459" i="2"/>
  <c r="W459" i="2"/>
  <c r="S460" i="2"/>
  <c r="W460" i="2" s="1"/>
  <c r="S461" i="2"/>
  <c r="W461" i="2" s="1"/>
  <c r="S462" i="2"/>
  <c r="W462" i="2" s="1"/>
  <c r="S463" i="2"/>
  <c r="W463" i="2" s="1"/>
  <c r="S464" i="2"/>
  <c r="W464" i="2" s="1"/>
  <c r="S465" i="2"/>
  <c r="W465" i="2" s="1"/>
  <c r="S466" i="2"/>
  <c r="W466" i="2" s="1"/>
  <c r="S467" i="2"/>
  <c r="W467" i="2"/>
  <c r="S468" i="2"/>
  <c r="W468" i="2" s="1"/>
  <c r="S469" i="2"/>
  <c r="W469" i="2"/>
  <c r="S470" i="2"/>
  <c r="W470" i="2" s="1"/>
  <c r="S471" i="2"/>
  <c r="U495" i="2"/>
  <c r="W471" i="2"/>
  <c r="S472" i="2"/>
  <c r="W472" i="2" s="1"/>
  <c r="S473" i="2"/>
  <c r="W473" i="2" s="1"/>
  <c r="S474" i="2"/>
  <c r="W474" i="2" s="1"/>
  <c r="S475" i="2"/>
  <c r="W475" i="2"/>
  <c r="S476" i="2"/>
  <c r="W476" i="2" s="1"/>
  <c r="S477" i="2"/>
  <c r="W477" i="2" s="1"/>
  <c r="S478" i="2"/>
  <c r="W478" i="2" s="1"/>
  <c r="S479" i="2"/>
  <c r="W479" i="2"/>
  <c r="S480" i="2"/>
  <c r="W480" i="2" s="1"/>
  <c r="S481" i="2"/>
  <c r="W481" i="2" s="1"/>
  <c r="S482" i="2"/>
  <c r="W482" i="2" s="1"/>
  <c r="S483" i="2"/>
  <c r="W483" i="2" s="1"/>
  <c r="S484" i="2"/>
  <c r="W484" i="2" s="1"/>
  <c r="S485" i="2"/>
  <c r="W485" i="2" s="1"/>
  <c r="S486" i="2"/>
  <c r="W486" i="2"/>
  <c r="S487" i="2"/>
  <c r="W487" i="2"/>
  <c r="S488" i="2"/>
  <c r="W488" i="2"/>
  <c r="S489" i="2"/>
  <c r="W489" i="2" s="1"/>
  <c r="S490" i="2"/>
  <c r="W490" i="2"/>
  <c r="W491" i="2"/>
  <c r="S492" i="2"/>
  <c r="W492" i="2" s="1"/>
  <c r="W493" i="2"/>
  <c r="R495" i="2"/>
  <c r="V495" i="2"/>
  <c r="J455" i="2"/>
  <c r="J495" i="2" s="1"/>
  <c r="I495" i="2"/>
  <c r="E455" i="2"/>
  <c r="E495" i="2" s="1"/>
  <c r="D455" i="2"/>
  <c r="D454" i="2"/>
  <c r="D453" i="2"/>
  <c r="G453" i="2" s="1"/>
  <c r="K453" i="2" s="1"/>
  <c r="D452" i="2"/>
  <c r="G452" i="2" s="1"/>
  <c r="C453" i="2"/>
  <c r="C454" i="2" s="1"/>
  <c r="C455" i="2" s="1"/>
  <c r="G454" i="2"/>
  <c r="K454" i="2" s="1"/>
  <c r="G456" i="2"/>
  <c r="K456" i="2" s="1"/>
  <c r="G457" i="2"/>
  <c r="K457" i="2" s="1"/>
  <c r="G458" i="2"/>
  <c r="K458" i="2" s="1"/>
  <c r="G459" i="2"/>
  <c r="K459" i="2" s="1"/>
  <c r="G460" i="2"/>
  <c r="K460" i="2" s="1"/>
  <c r="G461" i="2"/>
  <c r="K461" i="2" s="1"/>
  <c r="G462" i="2"/>
  <c r="K462" i="2"/>
  <c r="G463" i="2"/>
  <c r="K463" i="2" s="1"/>
  <c r="G464" i="2"/>
  <c r="K464" i="2" s="1"/>
  <c r="G465" i="2"/>
  <c r="K465" i="2"/>
  <c r="G466" i="2"/>
  <c r="K466" i="2" s="1"/>
  <c r="G467" i="2"/>
  <c r="K467" i="2"/>
  <c r="G468" i="2"/>
  <c r="K468" i="2"/>
  <c r="G469" i="2"/>
  <c r="K469" i="2" s="1"/>
  <c r="G470" i="2"/>
  <c r="K470" i="2"/>
  <c r="G471" i="2"/>
  <c r="K471" i="2"/>
  <c r="G472" i="2"/>
  <c r="K472" i="2" s="1"/>
  <c r="G473" i="2"/>
  <c r="K473" i="2"/>
  <c r="G474" i="2"/>
  <c r="K474" i="2" s="1"/>
  <c r="G475" i="2"/>
  <c r="K475" i="2"/>
  <c r="G476" i="2"/>
  <c r="K476" i="2"/>
  <c r="G477" i="2"/>
  <c r="K477" i="2" s="1"/>
  <c r="G478" i="2"/>
  <c r="K478" i="2"/>
  <c r="G479" i="2"/>
  <c r="K479" i="2"/>
  <c r="G480" i="2"/>
  <c r="K480" i="2" s="1"/>
  <c r="G481" i="2"/>
  <c r="K481" i="2"/>
  <c r="G482" i="2"/>
  <c r="K482" i="2" s="1"/>
  <c r="G483" i="2"/>
  <c r="K483" i="2"/>
  <c r="G484" i="2"/>
  <c r="K484" i="2"/>
  <c r="G485" i="2"/>
  <c r="K485" i="2" s="1"/>
  <c r="G492" i="2"/>
  <c r="K492" i="2"/>
  <c r="F495" i="2"/>
  <c r="AE550" i="2" l="1"/>
  <c r="AI508" i="2"/>
  <c r="AI550" i="2" s="1"/>
  <c r="K550" i="2"/>
  <c r="AC495" i="2"/>
  <c r="AE452" i="2"/>
  <c r="AI452" i="2" s="1"/>
  <c r="AB495" i="2"/>
  <c r="AE453" i="2"/>
  <c r="Q495" i="2"/>
  <c r="S453" i="2"/>
  <c r="W453" i="2" s="1"/>
  <c r="S452" i="2"/>
  <c r="W452" i="2"/>
  <c r="W495" i="2" s="1"/>
  <c r="S495" i="2"/>
  <c r="P495" i="2"/>
  <c r="G455" i="2"/>
  <c r="K455" i="2" s="1"/>
  <c r="G495" i="2"/>
  <c r="K452" i="2"/>
  <c r="D495" i="2"/>
  <c r="AB411" i="2"/>
  <c r="AB410" i="2"/>
  <c r="AB409" i="2"/>
  <c r="AE409" i="2" s="1"/>
  <c r="AI409" i="2" s="1"/>
  <c r="AB408" i="2"/>
  <c r="AE408" i="2" s="1"/>
  <c r="AI408" i="2" s="1"/>
  <c r="AB407" i="2"/>
  <c r="AC407" i="2"/>
  <c r="AB406" i="2"/>
  <c r="AB405" i="2"/>
  <c r="AB404" i="2"/>
  <c r="AB403" i="2"/>
  <c r="AE403" i="2" s="1"/>
  <c r="AI403" i="2" s="1"/>
  <c r="AB402" i="2"/>
  <c r="AB401" i="2"/>
  <c r="AB400" i="2"/>
  <c r="AE400" i="2" s="1"/>
  <c r="AB399" i="2"/>
  <c r="AE399" i="2" s="1"/>
  <c r="AI399" i="2" s="1"/>
  <c r="AB398" i="2"/>
  <c r="AE398" i="2" s="1"/>
  <c r="AI398" i="2" s="1"/>
  <c r="AC397" i="2"/>
  <c r="AE397" i="2" s="1"/>
  <c r="AI397" i="2" s="1"/>
  <c r="AB397" i="2"/>
  <c r="AA398" i="2"/>
  <c r="AA399" i="2"/>
  <c r="AG440" i="2"/>
  <c r="AA400" i="2"/>
  <c r="AA401" i="2" s="1"/>
  <c r="AA402" i="2" s="1"/>
  <c r="AA403" i="2" s="1"/>
  <c r="AA404" i="2" s="1"/>
  <c r="AA405" i="2" s="1"/>
  <c r="AA406" i="2" s="1"/>
  <c r="AA407" i="2" s="1"/>
  <c r="AA408" i="2" s="1"/>
  <c r="AA409" i="2" s="1"/>
  <c r="AA410" i="2" s="1"/>
  <c r="AA411" i="2" s="1"/>
  <c r="AE401" i="2"/>
  <c r="AI401" i="2"/>
  <c r="AE402" i="2"/>
  <c r="AI402" i="2" s="1"/>
  <c r="AE404" i="2"/>
  <c r="AI404" i="2" s="1"/>
  <c r="AE405" i="2"/>
  <c r="AI405" i="2" s="1"/>
  <c r="AE406" i="2"/>
  <c r="AI406" i="2" s="1"/>
  <c r="AE407" i="2"/>
  <c r="AI407" i="2" s="1"/>
  <c r="AE410" i="2"/>
  <c r="AI410" i="2" s="1"/>
  <c r="AE411" i="2"/>
  <c r="AI411" i="2" s="1"/>
  <c r="AE412" i="2"/>
  <c r="AI412" i="2" s="1"/>
  <c r="AE413" i="2"/>
  <c r="AI413" i="2"/>
  <c r="AE414" i="2"/>
  <c r="AI414" i="2"/>
  <c r="AE415" i="2"/>
  <c r="AI415" i="2" s="1"/>
  <c r="AE416" i="2"/>
  <c r="AI416" i="2"/>
  <c r="AE417" i="2"/>
  <c r="AI417" i="2" s="1"/>
  <c r="AE418" i="2"/>
  <c r="AI418" i="2"/>
  <c r="AE419" i="2"/>
  <c r="AI419" i="2" s="1"/>
  <c r="AE420" i="2"/>
  <c r="AI420" i="2" s="1"/>
  <c r="AE421" i="2"/>
  <c r="AI421" i="2"/>
  <c r="AE422" i="2"/>
  <c r="AI422" i="2"/>
  <c r="AE423" i="2"/>
  <c r="AI423" i="2"/>
  <c r="AE424" i="2"/>
  <c r="AI424" i="2"/>
  <c r="AE425" i="2"/>
  <c r="AI425" i="2" s="1"/>
  <c r="AE426" i="2"/>
  <c r="AI426" i="2"/>
  <c r="AE427" i="2"/>
  <c r="AI427" i="2"/>
  <c r="AE428" i="2"/>
  <c r="AI428" i="2" s="1"/>
  <c r="AE429" i="2"/>
  <c r="AI429" i="2"/>
  <c r="AE430" i="2"/>
  <c r="AI430" i="2"/>
  <c r="AE431" i="2"/>
  <c r="AI431" i="2"/>
  <c r="AE432" i="2"/>
  <c r="AI432" i="2"/>
  <c r="AE433" i="2"/>
  <c r="AI433" i="2" s="1"/>
  <c r="AE434" i="2"/>
  <c r="AI434" i="2" s="1"/>
  <c r="AE435" i="2"/>
  <c r="AI435" i="2"/>
  <c r="AI436" i="2"/>
  <c r="AE437" i="2"/>
  <c r="AI437" i="2" s="1"/>
  <c r="AI438" i="2"/>
  <c r="AD440" i="2"/>
  <c r="AH440" i="2"/>
  <c r="V430" i="2"/>
  <c r="Q430" i="2"/>
  <c r="P430" i="2"/>
  <c r="S430" i="2" s="1"/>
  <c r="W430" i="2" s="1"/>
  <c r="P429" i="2"/>
  <c r="S429" i="2"/>
  <c r="W429" i="2" s="1"/>
  <c r="P428" i="2"/>
  <c r="S428" i="2" s="1"/>
  <c r="W428" i="2" s="1"/>
  <c r="P427" i="2"/>
  <c r="P426" i="2"/>
  <c r="P425" i="2"/>
  <c r="S425" i="2" s="1"/>
  <c r="W425" i="2" s="1"/>
  <c r="P424" i="2"/>
  <c r="S424" i="2" s="1"/>
  <c r="W424" i="2" s="1"/>
  <c r="U423" i="2"/>
  <c r="P423" i="2"/>
  <c r="P422" i="2"/>
  <c r="P421" i="2"/>
  <c r="S421" i="2" s="1"/>
  <c r="W421" i="2" s="1"/>
  <c r="P420" i="2"/>
  <c r="S420" i="2" s="1"/>
  <c r="W420" i="2" s="1"/>
  <c r="P419" i="2"/>
  <c r="P418" i="2"/>
  <c r="S418" i="2" s="1"/>
  <c r="W418" i="2" s="1"/>
  <c r="P417" i="2"/>
  <c r="U416" i="2"/>
  <c r="P416" i="2"/>
  <c r="S416" i="2" s="1"/>
  <c r="P415" i="2"/>
  <c r="S415" i="2" s="1"/>
  <c r="W415" i="2" s="1"/>
  <c r="P414" i="2"/>
  <c r="P413" i="2"/>
  <c r="S413" i="2" s="1"/>
  <c r="W413" i="2" s="1"/>
  <c r="P412" i="2"/>
  <c r="P411" i="2"/>
  <c r="S411" i="2" s="1"/>
  <c r="W411" i="2" s="1"/>
  <c r="P410" i="2"/>
  <c r="P409" i="2"/>
  <c r="S409" i="2"/>
  <c r="W409" i="2" s="1"/>
  <c r="P408" i="2"/>
  <c r="P407" i="2"/>
  <c r="P406" i="2"/>
  <c r="S406" i="2" s="1"/>
  <c r="W406" i="2" s="1"/>
  <c r="P405" i="2"/>
  <c r="P404" i="2"/>
  <c r="S404" i="2" s="1"/>
  <c r="W404" i="2" s="1"/>
  <c r="P403" i="2"/>
  <c r="P402" i="2"/>
  <c r="P401" i="2"/>
  <c r="S401" i="2" s="1"/>
  <c r="W401" i="2" s="1"/>
  <c r="P400" i="2"/>
  <c r="P399" i="2"/>
  <c r="P398" i="2"/>
  <c r="P397" i="2"/>
  <c r="S397" i="2"/>
  <c r="W397" i="2" s="1"/>
  <c r="O398" i="2"/>
  <c r="O399" i="2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O411" i="2" s="1"/>
  <c r="O413" i="2" s="1"/>
  <c r="O414" i="2" s="1"/>
  <c r="O415" i="2" s="1"/>
  <c r="O416" i="2" s="1"/>
  <c r="O417" i="2" s="1"/>
  <c r="O418" i="2" s="1"/>
  <c r="O419" i="2" s="1"/>
  <c r="O420" i="2" s="1"/>
  <c r="O421" i="2" s="1"/>
  <c r="O422" i="2" s="1"/>
  <c r="O423" i="2" s="1"/>
  <c r="O424" i="2" s="1"/>
  <c r="O425" i="2" s="1"/>
  <c r="O426" i="2" s="1"/>
  <c r="O427" i="2" s="1"/>
  <c r="O428" i="2" s="1"/>
  <c r="O429" i="2" s="1"/>
  <c r="O430" i="2" s="1"/>
  <c r="S399" i="2"/>
  <c r="W399" i="2" s="1"/>
  <c r="S400" i="2"/>
  <c r="W400" i="2" s="1"/>
  <c r="S402" i="2"/>
  <c r="W402" i="2" s="1"/>
  <c r="S403" i="2"/>
  <c r="W403" i="2" s="1"/>
  <c r="S405" i="2"/>
  <c r="W405" i="2" s="1"/>
  <c r="S407" i="2"/>
  <c r="W407" i="2" s="1"/>
  <c r="S408" i="2"/>
  <c r="W408" i="2" s="1"/>
  <c r="S410" i="2"/>
  <c r="W410" i="2" s="1"/>
  <c r="S412" i="2"/>
  <c r="W412" i="2" s="1"/>
  <c r="S414" i="2"/>
  <c r="W414" i="2" s="1"/>
  <c r="S417" i="2"/>
  <c r="W417" i="2" s="1"/>
  <c r="S419" i="2"/>
  <c r="W419" i="2" s="1"/>
  <c r="S422" i="2"/>
  <c r="W422" i="2" s="1"/>
  <c r="S423" i="2"/>
  <c r="W423" i="2"/>
  <c r="S426" i="2"/>
  <c r="W426" i="2" s="1"/>
  <c r="S427" i="2"/>
  <c r="W427" i="2"/>
  <c r="S431" i="2"/>
  <c r="W431" i="2" s="1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Q440" i="2"/>
  <c r="R440" i="2"/>
  <c r="V440" i="2"/>
  <c r="D405" i="2"/>
  <c r="D409" i="2"/>
  <c r="G409" i="2" s="1"/>
  <c r="K409" i="2" s="1"/>
  <c r="D408" i="2"/>
  <c r="D407" i="2"/>
  <c r="D406" i="2"/>
  <c r="G406" i="2" s="1"/>
  <c r="K406" i="2" s="1"/>
  <c r="D404" i="2"/>
  <c r="G404" i="2" s="1"/>
  <c r="K404" i="2" s="1"/>
  <c r="D403" i="2"/>
  <c r="G403" i="2"/>
  <c r="K403" i="2" s="1"/>
  <c r="D402" i="2"/>
  <c r="G402" i="2" s="1"/>
  <c r="K402" i="2" s="1"/>
  <c r="D401" i="2"/>
  <c r="G401" i="2" s="1"/>
  <c r="K401" i="2" s="1"/>
  <c r="D400" i="2"/>
  <c r="D399" i="2"/>
  <c r="D398" i="2"/>
  <c r="D397" i="2"/>
  <c r="C398" i="2"/>
  <c r="C399" i="2" s="1"/>
  <c r="C400" i="2" s="1"/>
  <c r="C401" i="2" s="1"/>
  <c r="C402" i="2" s="1"/>
  <c r="C403" i="2" s="1"/>
  <c r="C404" i="2" s="1"/>
  <c r="C405" i="2" s="1"/>
  <c r="C407" i="2" s="1"/>
  <c r="C408" i="2" s="1"/>
  <c r="C409" i="2" s="1"/>
  <c r="G398" i="2"/>
  <c r="K398" i="2" s="1"/>
  <c r="G399" i="2"/>
  <c r="K399" i="2" s="1"/>
  <c r="G400" i="2"/>
  <c r="K400" i="2" s="1"/>
  <c r="J440" i="2"/>
  <c r="G405" i="2"/>
  <c r="K405" i="2" s="1"/>
  <c r="G407" i="2"/>
  <c r="K407" i="2" s="1"/>
  <c r="G408" i="2"/>
  <c r="K408" i="2" s="1"/>
  <c r="G410" i="2"/>
  <c r="K410" i="2" s="1"/>
  <c r="G411" i="2"/>
  <c r="K411" i="2" s="1"/>
  <c r="G412" i="2"/>
  <c r="K412" i="2"/>
  <c r="G413" i="2"/>
  <c r="K413" i="2" s="1"/>
  <c r="G414" i="2"/>
  <c r="K414" i="2"/>
  <c r="G415" i="2"/>
  <c r="K415" i="2"/>
  <c r="G416" i="2"/>
  <c r="K416" i="2" s="1"/>
  <c r="G417" i="2"/>
  <c r="K417" i="2"/>
  <c r="G418" i="2"/>
  <c r="K418" i="2" s="1"/>
  <c r="G419" i="2"/>
  <c r="K419" i="2" s="1"/>
  <c r="G420" i="2"/>
  <c r="K420" i="2"/>
  <c r="G421" i="2"/>
  <c r="K421" i="2" s="1"/>
  <c r="G422" i="2"/>
  <c r="K422" i="2"/>
  <c r="G423" i="2"/>
  <c r="K423" i="2"/>
  <c r="G424" i="2"/>
  <c r="K424" i="2" s="1"/>
  <c r="G425" i="2"/>
  <c r="K425" i="2"/>
  <c r="G426" i="2"/>
  <c r="K426" i="2" s="1"/>
  <c r="G427" i="2"/>
  <c r="K427" i="2" s="1"/>
  <c r="G428" i="2"/>
  <c r="K428" i="2"/>
  <c r="G429" i="2"/>
  <c r="K429" i="2" s="1"/>
  <c r="G430" i="2"/>
  <c r="K430" i="2"/>
  <c r="G437" i="2"/>
  <c r="K437" i="2"/>
  <c r="E440" i="2"/>
  <c r="F440" i="2"/>
  <c r="I440" i="2"/>
  <c r="AE495" i="2" l="1"/>
  <c r="AI453" i="2"/>
  <c r="AI495" i="2" s="1"/>
  <c r="K495" i="2"/>
  <c r="AB440" i="2"/>
  <c r="AC440" i="2"/>
  <c r="AI400" i="2"/>
  <c r="AI440" i="2" s="1"/>
  <c r="AE440" i="2"/>
  <c r="U440" i="2"/>
  <c r="W416" i="2"/>
  <c r="P440" i="2"/>
  <c r="S398" i="2"/>
  <c r="W398" i="2" s="1"/>
  <c r="W440" i="2" s="1"/>
  <c r="D440" i="2"/>
  <c r="G397" i="2"/>
  <c r="G440" i="2" s="1"/>
  <c r="AE350" i="2"/>
  <c r="AI350" i="2" s="1"/>
  <c r="AB349" i="2"/>
  <c r="AE349" i="2" s="1"/>
  <c r="AI349" i="2" s="1"/>
  <c r="AB348" i="2"/>
  <c r="AB347" i="2"/>
  <c r="AE347" i="2" s="1"/>
  <c r="AI347" i="2" s="1"/>
  <c r="AB346" i="2"/>
  <c r="AE346" i="2" s="1"/>
  <c r="AI346" i="2" s="1"/>
  <c r="AB345" i="2"/>
  <c r="AE345" i="2" s="1"/>
  <c r="AI345" i="2" s="1"/>
  <c r="AG344" i="2"/>
  <c r="AB344" i="2"/>
  <c r="AE344" i="2" s="1"/>
  <c r="AG343" i="2"/>
  <c r="AB343" i="2"/>
  <c r="AC342" i="2"/>
  <c r="AE342" i="2" s="1"/>
  <c r="AI342" i="2" s="1"/>
  <c r="AB342" i="2"/>
  <c r="AA343" i="2"/>
  <c r="AA344" i="2" s="1"/>
  <c r="AA345" i="2" s="1"/>
  <c r="AA346" i="2" s="1"/>
  <c r="AA347" i="2" s="1"/>
  <c r="AA348" i="2" s="1"/>
  <c r="AC385" i="2"/>
  <c r="AE348" i="2"/>
  <c r="AI348" i="2"/>
  <c r="AE351" i="2"/>
  <c r="AI351" i="2" s="1"/>
  <c r="AE352" i="2"/>
  <c r="AI352" i="2"/>
  <c r="AE353" i="2"/>
  <c r="AI353" i="2"/>
  <c r="AE354" i="2"/>
  <c r="AI354" i="2"/>
  <c r="AE355" i="2"/>
  <c r="AI355" i="2"/>
  <c r="AE356" i="2"/>
  <c r="AI356" i="2" s="1"/>
  <c r="AE357" i="2"/>
  <c r="AI357" i="2" s="1"/>
  <c r="AE358" i="2"/>
  <c r="AI358" i="2"/>
  <c r="AE359" i="2"/>
  <c r="AI359" i="2" s="1"/>
  <c r="AE360" i="2"/>
  <c r="AI360" i="2"/>
  <c r="AE361" i="2"/>
  <c r="AI361" i="2"/>
  <c r="AE362" i="2"/>
  <c r="AI362" i="2"/>
  <c r="AE363" i="2"/>
  <c r="AI363" i="2"/>
  <c r="AE364" i="2"/>
  <c r="AI364" i="2" s="1"/>
  <c r="AE365" i="2"/>
  <c r="AI365" i="2" s="1"/>
  <c r="AE366" i="2"/>
  <c r="AI366" i="2"/>
  <c r="AE367" i="2"/>
  <c r="AI367" i="2" s="1"/>
  <c r="AE368" i="2"/>
  <c r="AI368" i="2"/>
  <c r="AE369" i="2"/>
  <c r="AI369" i="2"/>
  <c r="AE370" i="2"/>
  <c r="AI370" i="2"/>
  <c r="AE371" i="2"/>
  <c r="AI371" i="2"/>
  <c r="AE372" i="2"/>
  <c r="AI372" i="2" s="1"/>
  <c r="AE373" i="2"/>
  <c r="AI373" i="2" s="1"/>
  <c r="AE374" i="2"/>
  <c r="AI374" i="2"/>
  <c r="AE375" i="2"/>
  <c r="AI375" i="2" s="1"/>
  <c r="AE376" i="2"/>
  <c r="AI376" i="2"/>
  <c r="AE377" i="2"/>
  <c r="AI377" i="2"/>
  <c r="AE378" i="2"/>
  <c r="AI378" i="2"/>
  <c r="AE379" i="2"/>
  <c r="AI379" i="2"/>
  <c r="AE380" i="2"/>
  <c r="AI380" i="2" s="1"/>
  <c r="AI381" i="2"/>
  <c r="AE382" i="2"/>
  <c r="AI382" i="2" s="1"/>
  <c r="AI383" i="2"/>
  <c r="AD385" i="2"/>
  <c r="AG385" i="2"/>
  <c r="AH385" i="2"/>
  <c r="P347" i="2"/>
  <c r="S347" i="2" s="1"/>
  <c r="W347" i="2" s="1"/>
  <c r="Q346" i="2"/>
  <c r="P346" i="2"/>
  <c r="Q345" i="2"/>
  <c r="S345" i="2" s="1"/>
  <c r="W345" i="2" s="1"/>
  <c r="P345" i="2"/>
  <c r="Q344" i="2"/>
  <c r="P344" i="2"/>
  <c r="P343" i="2"/>
  <c r="P342" i="2"/>
  <c r="S342" i="2" s="1"/>
  <c r="O343" i="2"/>
  <c r="O344" i="2" s="1"/>
  <c r="O345" i="2" s="1"/>
  <c r="O346" i="2" s="1"/>
  <c r="O347" i="2" s="1"/>
  <c r="U385" i="2"/>
  <c r="S348" i="2"/>
  <c r="W348" i="2"/>
  <c r="S349" i="2"/>
  <c r="W349" i="2"/>
  <c r="S350" i="2"/>
  <c r="W350" i="2"/>
  <c r="S351" i="2"/>
  <c r="W351" i="2"/>
  <c r="S352" i="2"/>
  <c r="W352" i="2"/>
  <c r="S353" i="2"/>
  <c r="W353" i="2" s="1"/>
  <c r="S354" i="2"/>
  <c r="W354" i="2"/>
  <c r="S355" i="2"/>
  <c r="W355" i="2"/>
  <c r="S356" i="2"/>
  <c r="W356" i="2"/>
  <c r="S357" i="2"/>
  <c r="W357" i="2"/>
  <c r="S358" i="2"/>
  <c r="W358" i="2"/>
  <c r="S359" i="2"/>
  <c r="W359" i="2"/>
  <c r="S360" i="2"/>
  <c r="W360" i="2"/>
  <c r="S361" i="2"/>
  <c r="W361" i="2"/>
  <c r="S362" i="2"/>
  <c r="W362" i="2"/>
  <c r="S363" i="2"/>
  <c r="W363" i="2"/>
  <c r="S364" i="2"/>
  <c r="W364" i="2"/>
  <c r="S365" i="2"/>
  <c r="W365" i="2"/>
  <c r="S366" i="2"/>
  <c r="W366" i="2"/>
  <c r="S367" i="2"/>
  <c r="W367" i="2"/>
  <c r="S368" i="2"/>
  <c r="W368" i="2"/>
  <c r="S369" i="2"/>
  <c r="W369" i="2"/>
  <c r="S370" i="2"/>
  <c r="W370" i="2"/>
  <c r="S371" i="2"/>
  <c r="W371" i="2"/>
  <c r="S372" i="2"/>
  <c r="W372" i="2"/>
  <c r="S373" i="2"/>
  <c r="W373" i="2"/>
  <c r="S374" i="2"/>
  <c r="W374" i="2" s="1"/>
  <c r="S375" i="2"/>
  <c r="W375" i="2"/>
  <c r="S376" i="2"/>
  <c r="W376" i="2"/>
  <c r="S377" i="2"/>
  <c r="W377" i="2"/>
  <c r="S378" i="2"/>
  <c r="W378" i="2"/>
  <c r="S379" i="2"/>
  <c r="W379" i="2"/>
  <c r="S380" i="2"/>
  <c r="W380" i="2"/>
  <c r="W381" i="2"/>
  <c r="S382" i="2"/>
  <c r="W382" i="2" s="1"/>
  <c r="W383" i="2"/>
  <c r="R385" i="2"/>
  <c r="V385" i="2"/>
  <c r="J347" i="2"/>
  <c r="D347" i="2"/>
  <c r="D346" i="2"/>
  <c r="D345" i="2"/>
  <c r="D344" i="2"/>
  <c r="I343" i="2"/>
  <c r="E343" i="2"/>
  <c r="D343" i="2"/>
  <c r="D342" i="2"/>
  <c r="S440" i="2" l="1"/>
  <c r="K397" i="2"/>
  <c r="K440" i="2" s="1"/>
  <c r="AB385" i="2"/>
  <c r="AE343" i="2"/>
  <c r="AI343" i="2" s="1"/>
  <c r="AE385" i="2"/>
  <c r="AI344" i="2"/>
  <c r="S346" i="2"/>
  <c r="W346" i="2" s="1"/>
  <c r="Q385" i="2"/>
  <c r="S344" i="2"/>
  <c r="W344" i="2" s="1"/>
  <c r="P385" i="2"/>
  <c r="W342" i="2"/>
  <c r="S343" i="2"/>
  <c r="W343" i="2" s="1"/>
  <c r="G342" i="2"/>
  <c r="K342" i="2" s="1"/>
  <c r="C343" i="2"/>
  <c r="C344" i="2" s="1"/>
  <c r="C345" i="2" s="1"/>
  <c r="C346" i="2" s="1"/>
  <c r="C347" i="2" s="1"/>
  <c r="G343" i="2"/>
  <c r="G344" i="2"/>
  <c r="K344" i="2" s="1"/>
  <c r="G345" i="2"/>
  <c r="K345" i="2"/>
  <c r="G346" i="2"/>
  <c r="K346" i="2"/>
  <c r="G347" i="2"/>
  <c r="K347" i="2" s="1"/>
  <c r="G348" i="2"/>
  <c r="K348" i="2"/>
  <c r="G349" i="2"/>
  <c r="K349" i="2" s="1"/>
  <c r="G350" i="2"/>
  <c r="K350" i="2" s="1"/>
  <c r="G351" i="2"/>
  <c r="K351" i="2"/>
  <c r="G352" i="2"/>
  <c r="K352" i="2" s="1"/>
  <c r="G353" i="2"/>
  <c r="K353" i="2"/>
  <c r="G354" i="2"/>
  <c r="K354" i="2"/>
  <c r="G355" i="2"/>
  <c r="K355" i="2"/>
  <c r="G356" i="2"/>
  <c r="K356" i="2"/>
  <c r="G357" i="2"/>
  <c r="K357" i="2"/>
  <c r="G358" i="2"/>
  <c r="K358" i="2" s="1"/>
  <c r="G359" i="2"/>
  <c r="K359" i="2"/>
  <c r="G360" i="2"/>
  <c r="K360" i="2" s="1"/>
  <c r="G361" i="2"/>
  <c r="K361" i="2"/>
  <c r="G362" i="2"/>
  <c r="K362" i="2"/>
  <c r="G363" i="2"/>
  <c r="K363" i="2"/>
  <c r="G364" i="2"/>
  <c r="K364" i="2"/>
  <c r="G365" i="2"/>
  <c r="K365" i="2"/>
  <c r="G366" i="2"/>
  <c r="K366" i="2"/>
  <c r="G367" i="2"/>
  <c r="K367" i="2"/>
  <c r="G368" i="2"/>
  <c r="K368" i="2" s="1"/>
  <c r="G369" i="2"/>
  <c r="K369" i="2"/>
  <c r="G370" i="2"/>
  <c r="K370" i="2"/>
  <c r="G371" i="2"/>
  <c r="K371" i="2"/>
  <c r="G372" i="2"/>
  <c r="K372" i="2"/>
  <c r="G373" i="2"/>
  <c r="K373" i="2"/>
  <c r="G374" i="2"/>
  <c r="K374" i="2"/>
  <c r="G375" i="2"/>
  <c r="K375" i="2"/>
  <c r="G382" i="2"/>
  <c r="K382" i="2" s="1"/>
  <c r="D385" i="2"/>
  <c r="E385" i="2"/>
  <c r="F385" i="2"/>
  <c r="I385" i="2"/>
  <c r="J385" i="2"/>
  <c r="AI385" i="2" l="1"/>
  <c r="S385" i="2"/>
  <c r="W385" i="2"/>
  <c r="G385" i="2"/>
  <c r="K343" i="2"/>
  <c r="K385" i="2" s="1"/>
  <c r="AC294" i="2"/>
  <c r="AB294" i="2"/>
  <c r="AC293" i="2"/>
  <c r="AB293" i="2"/>
  <c r="AA293" i="2"/>
  <c r="AA294" i="2" s="1"/>
  <c r="AB292" i="2"/>
  <c r="AB291" i="2"/>
  <c r="AC290" i="2"/>
  <c r="AB290" i="2"/>
  <c r="AE290" i="2" s="1"/>
  <c r="AI290" i="2" s="1"/>
  <c r="AC289" i="2"/>
  <c r="AB289" i="2"/>
  <c r="AB330" i="2" s="1"/>
  <c r="AB288" i="2"/>
  <c r="AB287" i="2"/>
  <c r="AA291" i="2"/>
  <c r="AA292" i="2"/>
  <c r="AE287" i="2"/>
  <c r="AI287" i="2" s="1"/>
  <c r="AA288" i="2"/>
  <c r="AA289" i="2" s="1"/>
  <c r="AA290" i="2" s="1"/>
  <c r="AE288" i="2"/>
  <c r="AI288" i="2"/>
  <c r="AE291" i="2"/>
  <c r="AI291" i="2" s="1"/>
  <c r="AE292" i="2"/>
  <c r="AI292" i="2" s="1"/>
  <c r="AE293" i="2"/>
  <c r="AI293" i="2" s="1"/>
  <c r="AE294" i="2"/>
  <c r="AI294" i="2" s="1"/>
  <c r="AE295" i="2"/>
  <c r="AI295" i="2"/>
  <c r="AE296" i="2"/>
  <c r="AI296" i="2"/>
  <c r="AE297" i="2"/>
  <c r="AI297" i="2"/>
  <c r="AE298" i="2"/>
  <c r="AI298" i="2"/>
  <c r="AE299" i="2"/>
  <c r="AI299" i="2"/>
  <c r="AE300" i="2"/>
  <c r="AI300" i="2"/>
  <c r="AE301" i="2"/>
  <c r="AI301" i="2"/>
  <c r="AE302" i="2"/>
  <c r="AI302" i="2"/>
  <c r="AE303" i="2"/>
  <c r="AI303" i="2"/>
  <c r="AE304" i="2"/>
  <c r="AI304" i="2"/>
  <c r="AE305" i="2"/>
  <c r="AI305" i="2"/>
  <c r="AE306" i="2"/>
  <c r="AI306" i="2"/>
  <c r="AE307" i="2"/>
  <c r="AI307" i="2"/>
  <c r="AE308" i="2"/>
  <c r="AI308" i="2"/>
  <c r="AE309" i="2"/>
  <c r="AI309" i="2"/>
  <c r="AE310" i="2"/>
  <c r="AI310" i="2"/>
  <c r="AE311" i="2"/>
  <c r="AI311" i="2"/>
  <c r="AE312" i="2"/>
  <c r="AI312" i="2"/>
  <c r="AE313" i="2"/>
  <c r="AI313" i="2"/>
  <c r="AE314" i="2"/>
  <c r="AI314" i="2"/>
  <c r="AE315" i="2"/>
  <c r="AI315" i="2"/>
  <c r="AE316" i="2"/>
  <c r="AI316" i="2"/>
  <c r="AE317" i="2"/>
  <c r="AI317" i="2"/>
  <c r="AE318" i="2"/>
  <c r="AI318" i="2"/>
  <c r="AE319" i="2"/>
  <c r="AI319" i="2"/>
  <c r="AE320" i="2"/>
  <c r="AI320" i="2"/>
  <c r="AE321" i="2"/>
  <c r="AI321" i="2"/>
  <c r="AE322" i="2"/>
  <c r="AI322" i="2"/>
  <c r="AE323" i="2"/>
  <c r="AI323" i="2"/>
  <c r="AE324" i="2"/>
  <c r="AI324" i="2"/>
  <c r="AE325" i="2"/>
  <c r="AI325" i="2"/>
  <c r="AI326" i="2"/>
  <c r="AE327" i="2"/>
  <c r="AI327" i="2"/>
  <c r="AI328" i="2"/>
  <c r="AC330" i="2"/>
  <c r="AD330" i="2"/>
  <c r="AG330" i="2"/>
  <c r="AH330" i="2"/>
  <c r="P292" i="2"/>
  <c r="P291" i="2"/>
  <c r="S291" i="2" s="1"/>
  <c r="W291" i="2" s="1"/>
  <c r="U290" i="2"/>
  <c r="P290" i="2"/>
  <c r="S290" i="2" s="1"/>
  <c r="W290" i="2" s="1"/>
  <c r="U289" i="2"/>
  <c r="P289" i="2"/>
  <c r="U288" i="2"/>
  <c r="Q288" i="2"/>
  <c r="P288" i="2"/>
  <c r="S288" i="2" s="1"/>
  <c r="V287" i="2"/>
  <c r="V330" i="2" s="1"/>
  <c r="P287" i="2"/>
  <c r="S287" i="2" s="1"/>
  <c r="R330" i="2"/>
  <c r="W328" i="2"/>
  <c r="S327" i="2"/>
  <c r="W327" i="2" s="1"/>
  <c r="W326" i="2"/>
  <c r="S325" i="2"/>
  <c r="W325" i="2" s="1"/>
  <c r="S324" i="2"/>
  <c r="W324" i="2" s="1"/>
  <c r="W323" i="2"/>
  <c r="S323" i="2"/>
  <c r="S322" i="2"/>
  <c r="W322" i="2" s="1"/>
  <c r="W321" i="2"/>
  <c r="S321" i="2"/>
  <c r="S320" i="2"/>
  <c r="W320" i="2" s="1"/>
  <c r="W319" i="2"/>
  <c r="S319" i="2"/>
  <c r="S318" i="2"/>
  <c r="W318" i="2" s="1"/>
  <c r="S317" i="2"/>
  <c r="W317" i="2" s="1"/>
  <c r="S316" i="2"/>
  <c r="W316" i="2" s="1"/>
  <c r="W315" i="2"/>
  <c r="S315" i="2"/>
  <c r="S314" i="2"/>
  <c r="W314" i="2" s="1"/>
  <c r="W313" i="2"/>
  <c r="S313" i="2"/>
  <c r="S312" i="2"/>
  <c r="W312" i="2" s="1"/>
  <c r="W311" i="2"/>
  <c r="S311" i="2"/>
  <c r="S310" i="2"/>
  <c r="W310" i="2" s="1"/>
  <c r="S309" i="2"/>
  <c r="W309" i="2" s="1"/>
  <c r="S308" i="2"/>
  <c r="W308" i="2" s="1"/>
  <c r="W307" i="2"/>
  <c r="S307" i="2"/>
  <c r="S306" i="2"/>
  <c r="W306" i="2" s="1"/>
  <c r="W305" i="2"/>
  <c r="S305" i="2"/>
  <c r="S304" i="2"/>
  <c r="W304" i="2" s="1"/>
  <c r="W303" i="2"/>
  <c r="S303" i="2"/>
  <c r="S302" i="2"/>
  <c r="W302" i="2" s="1"/>
  <c r="S301" i="2"/>
  <c r="W301" i="2" s="1"/>
  <c r="S300" i="2"/>
  <c r="W300" i="2" s="1"/>
  <c r="W299" i="2"/>
  <c r="S299" i="2"/>
  <c r="S298" i="2"/>
  <c r="W298" i="2" s="1"/>
  <c r="W297" i="2"/>
  <c r="S297" i="2"/>
  <c r="S296" i="2"/>
  <c r="W296" i="2" s="1"/>
  <c r="W295" i="2"/>
  <c r="S295" i="2"/>
  <c r="S294" i="2"/>
  <c r="W294" i="2" s="1"/>
  <c r="S293" i="2"/>
  <c r="W293" i="2" s="1"/>
  <c r="S292" i="2"/>
  <c r="W292" i="2" s="1"/>
  <c r="S289" i="2"/>
  <c r="O288" i="2"/>
  <c r="O289" i="2" s="1"/>
  <c r="O290" i="2" s="1"/>
  <c r="O291" i="2" s="1"/>
  <c r="O292" i="2" s="1"/>
  <c r="D292" i="2"/>
  <c r="G292" i="2" s="1"/>
  <c r="K292" i="2" s="1"/>
  <c r="D291" i="2"/>
  <c r="G291" i="2" s="1"/>
  <c r="K291" i="2" s="1"/>
  <c r="D290" i="2"/>
  <c r="G290" i="2" s="1"/>
  <c r="K290" i="2" s="1"/>
  <c r="D289" i="2"/>
  <c r="D288" i="2"/>
  <c r="G288" i="2" s="1"/>
  <c r="K288" i="2" s="1"/>
  <c r="D287" i="2"/>
  <c r="G287" i="2" s="1"/>
  <c r="J330" i="2"/>
  <c r="I330" i="2"/>
  <c r="F330" i="2"/>
  <c r="E330" i="2"/>
  <c r="G327" i="2"/>
  <c r="K327" i="2" s="1"/>
  <c r="G320" i="2"/>
  <c r="K320" i="2" s="1"/>
  <c r="G319" i="2"/>
  <c r="K319" i="2" s="1"/>
  <c r="K318" i="2"/>
  <c r="G318" i="2"/>
  <c r="G317" i="2"/>
  <c r="K317" i="2" s="1"/>
  <c r="G316" i="2"/>
  <c r="K316" i="2" s="1"/>
  <c r="G315" i="2"/>
  <c r="K315" i="2" s="1"/>
  <c r="K314" i="2"/>
  <c r="G314" i="2"/>
  <c r="G313" i="2"/>
  <c r="K313" i="2" s="1"/>
  <c r="G312" i="2"/>
  <c r="K312" i="2" s="1"/>
  <c r="G311" i="2"/>
  <c r="K311" i="2" s="1"/>
  <c r="K310" i="2"/>
  <c r="G310" i="2"/>
  <c r="G309" i="2"/>
  <c r="K309" i="2" s="1"/>
  <c r="G308" i="2"/>
  <c r="K308" i="2" s="1"/>
  <c r="G307" i="2"/>
  <c r="K307" i="2" s="1"/>
  <c r="K306" i="2"/>
  <c r="G306" i="2"/>
  <c r="G305" i="2"/>
  <c r="K305" i="2" s="1"/>
  <c r="G304" i="2"/>
  <c r="K304" i="2" s="1"/>
  <c r="G303" i="2"/>
  <c r="K303" i="2" s="1"/>
  <c r="K302" i="2"/>
  <c r="G302" i="2"/>
  <c r="G301" i="2"/>
  <c r="K301" i="2" s="1"/>
  <c r="G300" i="2"/>
  <c r="K300" i="2" s="1"/>
  <c r="G299" i="2"/>
  <c r="K299" i="2" s="1"/>
  <c r="K298" i="2"/>
  <c r="G298" i="2"/>
  <c r="G297" i="2"/>
  <c r="K297" i="2" s="1"/>
  <c r="G296" i="2"/>
  <c r="K296" i="2" s="1"/>
  <c r="G295" i="2"/>
  <c r="K295" i="2" s="1"/>
  <c r="G294" i="2"/>
  <c r="K294" i="2" s="1"/>
  <c r="G293" i="2"/>
  <c r="K293" i="2" s="1"/>
  <c r="G289" i="2"/>
  <c r="K289" i="2" s="1"/>
  <c r="C288" i="2"/>
  <c r="C289" i="2" s="1"/>
  <c r="C290" i="2" s="1"/>
  <c r="C291" i="2" s="1"/>
  <c r="C292" i="2" s="1"/>
  <c r="AE289" i="2" l="1"/>
  <c r="AI289" i="2" s="1"/>
  <c r="AI330" i="2" s="1"/>
  <c r="U330" i="2"/>
  <c r="W289" i="2"/>
  <c r="W288" i="2"/>
  <c r="S330" i="2"/>
  <c r="W287" i="2"/>
  <c r="P330" i="2"/>
  <c r="Q330" i="2"/>
  <c r="K287" i="2"/>
  <c r="K330" i="2" s="1"/>
  <c r="G330" i="2"/>
  <c r="D330" i="2"/>
  <c r="AB237" i="2"/>
  <c r="AE237" i="2"/>
  <c r="AI237" i="2" s="1"/>
  <c r="AC236" i="2"/>
  <c r="AC275" i="2" s="1"/>
  <c r="AB236" i="2"/>
  <c r="AB235" i="2"/>
  <c r="AH275" i="2"/>
  <c r="AB234" i="2"/>
  <c r="AC233" i="2"/>
  <c r="AB233" i="2"/>
  <c r="AB232" i="2"/>
  <c r="AG275" i="2"/>
  <c r="AD275" i="2"/>
  <c r="AI273" i="2"/>
  <c r="AI272" i="2"/>
  <c r="AE272" i="2"/>
  <c r="AI271" i="2"/>
  <c r="AE270" i="2"/>
  <c r="AI270" i="2" s="1"/>
  <c r="AI269" i="2"/>
  <c r="AE269" i="2"/>
  <c r="AE268" i="2"/>
  <c r="AI268" i="2" s="1"/>
  <c r="AE267" i="2"/>
  <c r="AI267" i="2" s="1"/>
  <c r="AE266" i="2"/>
  <c r="AI266" i="2" s="1"/>
  <c r="AE265" i="2"/>
  <c r="AI265" i="2" s="1"/>
  <c r="AE264" i="2"/>
  <c r="AI264" i="2" s="1"/>
  <c r="AE263" i="2"/>
  <c r="AI263" i="2" s="1"/>
  <c r="AE262" i="2"/>
  <c r="AI262" i="2" s="1"/>
  <c r="AI261" i="2"/>
  <c r="AE261" i="2"/>
  <c r="AE260" i="2"/>
  <c r="AI260" i="2" s="1"/>
  <c r="AE259" i="2"/>
  <c r="AI259" i="2" s="1"/>
  <c r="AE258" i="2"/>
  <c r="AI258" i="2" s="1"/>
  <c r="AE257" i="2"/>
  <c r="AI257" i="2" s="1"/>
  <c r="AE256" i="2"/>
  <c r="AI256" i="2" s="1"/>
  <c r="AE255" i="2"/>
  <c r="AI255" i="2" s="1"/>
  <c r="AE254" i="2"/>
  <c r="AI254" i="2" s="1"/>
  <c r="AI253" i="2"/>
  <c r="AE253" i="2"/>
  <c r="AE252" i="2"/>
  <c r="AI252" i="2" s="1"/>
  <c r="AE251" i="2"/>
  <c r="AI251" i="2" s="1"/>
  <c r="AE250" i="2"/>
  <c r="AI250" i="2" s="1"/>
  <c r="AE249" i="2"/>
  <c r="AI249" i="2" s="1"/>
  <c r="AE248" i="2"/>
  <c r="AI248" i="2" s="1"/>
  <c r="AE247" i="2"/>
  <c r="AI247" i="2" s="1"/>
  <c r="AE246" i="2"/>
  <c r="AI246" i="2" s="1"/>
  <c r="AI245" i="2"/>
  <c r="AE245" i="2"/>
  <c r="AE244" i="2"/>
  <c r="AI244" i="2" s="1"/>
  <c r="AE243" i="2"/>
  <c r="AI243" i="2" s="1"/>
  <c r="AE242" i="2"/>
  <c r="AI242" i="2" s="1"/>
  <c r="AE241" i="2"/>
  <c r="AI241" i="2" s="1"/>
  <c r="AE240" i="2"/>
  <c r="AI240" i="2" s="1"/>
  <c r="AE239" i="2"/>
  <c r="AI239" i="2" s="1"/>
  <c r="AE238" i="2"/>
  <c r="AI238" i="2" s="1"/>
  <c r="AE236" i="2"/>
  <c r="AI236" i="2" s="1"/>
  <c r="AE235" i="2"/>
  <c r="AI235" i="2" s="1"/>
  <c r="AE233" i="2"/>
  <c r="AI233" i="2" s="1"/>
  <c r="AA233" i="2"/>
  <c r="AA234" i="2" s="1"/>
  <c r="AA235" i="2" s="1"/>
  <c r="AA237" i="2" s="1"/>
  <c r="AE330" i="2" l="1"/>
  <c r="W330" i="2"/>
  <c r="AB275" i="2"/>
  <c r="AE234" i="2"/>
  <c r="AI234" i="2" s="1"/>
  <c r="AE232" i="2"/>
  <c r="P183" i="2"/>
  <c r="P182" i="2"/>
  <c r="S182" i="2" s="1"/>
  <c r="W182" i="2" s="1"/>
  <c r="P181" i="2"/>
  <c r="P180" i="2"/>
  <c r="P179" i="2"/>
  <c r="S179" i="2" s="1"/>
  <c r="W179" i="2" s="1"/>
  <c r="P178" i="2"/>
  <c r="V178" i="2"/>
  <c r="V220" i="2" s="1"/>
  <c r="U178" i="2"/>
  <c r="Q178" i="2"/>
  <c r="P177" i="2"/>
  <c r="S177" i="2"/>
  <c r="W177" i="2"/>
  <c r="O178" i="2"/>
  <c r="O179" i="2" s="1"/>
  <c r="O180" i="2" s="1"/>
  <c r="O181" i="2" s="1"/>
  <c r="O182" i="2" s="1"/>
  <c r="O183" i="2" s="1"/>
  <c r="S178" i="2"/>
  <c r="S180" i="2"/>
  <c r="W180" i="2"/>
  <c r="S181" i="2"/>
  <c r="W181" i="2" s="1"/>
  <c r="S183" i="2"/>
  <c r="W183" i="2"/>
  <c r="S184" i="2"/>
  <c r="W184" i="2" s="1"/>
  <c r="S185" i="2"/>
  <c r="W185" i="2" s="1"/>
  <c r="S186" i="2"/>
  <c r="W186" i="2"/>
  <c r="S187" i="2"/>
  <c r="W187" i="2"/>
  <c r="S188" i="2"/>
  <c r="W188" i="2"/>
  <c r="S189" i="2"/>
  <c r="W189" i="2"/>
  <c r="S190" i="2"/>
  <c r="W190" i="2"/>
  <c r="S191" i="2"/>
  <c r="W191" i="2"/>
  <c r="S192" i="2"/>
  <c r="W192" i="2" s="1"/>
  <c r="S193" i="2"/>
  <c r="W193" i="2"/>
  <c r="S194" i="2"/>
  <c r="W194" i="2"/>
  <c r="S195" i="2"/>
  <c r="W195" i="2"/>
  <c r="S196" i="2"/>
  <c r="W196" i="2"/>
  <c r="S197" i="2"/>
  <c r="W197" i="2"/>
  <c r="S198" i="2"/>
  <c r="W198" i="2"/>
  <c r="S199" i="2"/>
  <c r="W199" i="2"/>
  <c r="S200" i="2"/>
  <c r="W200" i="2" s="1"/>
  <c r="S201" i="2"/>
  <c r="W201" i="2"/>
  <c r="S202" i="2"/>
  <c r="W202" i="2"/>
  <c r="S203" i="2"/>
  <c r="W203" i="2"/>
  <c r="S204" i="2"/>
  <c r="W204" i="2"/>
  <c r="S205" i="2"/>
  <c r="W205" i="2"/>
  <c r="S206" i="2"/>
  <c r="W206" i="2"/>
  <c r="S207" i="2"/>
  <c r="W207" i="2"/>
  <c r="S208" i="2"/>
  <c r="W208" i="2" s="1"/>
  <c r="S209" i="2"/>
  <c r="W209" i="2"/>
  <c r="S210" i="2"/>
  <c r="W210" i="2"/>
  <c r="S211" i="2"/>
  <c r="W211" i="2"/>
  <c r="S212" i="2"/>
  <c r="W212" i="2"/>
  <c r="S213" i="2"/>
  <c r="W213" i="2"/>
  <c r="S214" i="2"/>
  <c r="W214" i="2"/>
  <c r="S215" i="2"/>
  <c r="W215" i="2"/>
  <c r="W216" i="2"/>
  <c r="S217" i="2"/>
  <c r="W217" i="2" s="1"/>
  <c r="W218" i="2"/>
  <c r="Q220" i="2"/>
  <c r="R220" i="2"/>
  <c r="U220" i="2"/>
  <c r="I180" i="2"/>
  <c r="I220" i="2" s="1"/>
  <c r="D180" i="2"/>
  <c r="G180" i="2" s="1"/>
  <c r="K180" i="2" s="1"/>
  <c r="D179" i="2"/>
  <c r="D178" i="2"/>
  <c r="G178" i="2" s="1"/>
  <c r="K178" i="2" s="1"/>
  <c r="E177" i="2"/>
  <c r="E220" i="2" s="1"/>
  <c r="D177" i="2"/>
  <c r="C178" i="2"/>
  <c r="C179" i="2" s="1"/>
  <c r="C180" i="2" s="1"/>
  <c r="G179" i="2"/>
  <c r="K179" i="2" s="1"/>
  <c r="G181" i="2"/>
  <c r="K181" i="2"/>
  <c r="G182" i="2"/>
  <c r="K182" i="2"/>
  <c r="G183" i="2"/>
  <c r="K183" i="2" s="1"/>
  <c r="G184" i="2"/>
  <c r="K184" i="2"/>
  <c r="G185" i="2"/>
  <c r="K185" i="2"/>
  <c r="G186" i="2"/>
  <c r="K186" i="2"/>
  <c r="G187" i="2"/>
  <c r="K187" i="2" s="1"/>
  <c r="G188" i="2"/>
  <c r="K188" i="2"/>
  <c r="G189" i="2"/>
  <c r="K189" i="2"/>
  <c r="G190" i="2"/>
  <c r="K190" i="2"/>
  <c r="G191" i="2"/>
  <c r="K191" i="2"/>
  <c r="G192" i="2"/>
  <c r="K192" i="2"/>
  <c r="G193" i="2"/>
  <c r="K193" i="2"/>
  <c r="G194" i="2"/>
  <c r="K194" i="2"/>
  <c r="G195" i="2"/>
  <c r="K195" i="2" s="1"/>
  <c r="G196" i="2"/>
  <c r="K196" i="2"/>
  <c r="G197" i="2"/>
  <c r="K197" i="2"/>
  <c r="G198" i="2"/>
  <c r="K198" i="2"/>
  <c r="G199" i="2"/>
  <c r="K199" i="2"/>
  <c r="G200" i="2"/>
  <c r="K200" i="2"/>
  <c r="G201" i="2"/>
  <c r="K201" i="2"/>
  <c r="G202" i="2"/>
  <c r="K202" i="2"/>
  <c r="G203" i="2"/>
  <c r="K203" i="2" s="1"/>
  <c r="G204" i="2"/>
  <c r="K204" i="2"/>
  <c r="G205" i="2"/>
  <c r="K205" i="2"/>
  <c r="G206" i="2"/>
  <c r="K206" i="2"/>
  <c r="G207" i="2"/>
  <c r="K207" i="2"/>
  <c r="G208" i="2"/>
  <c r="K208" i="2"/>
  <c r="G209" i="2"/>
  <c r="K209" i="2"/>
  <c r="G210" i="2"/>
  <c r="K210" i="2"/>
  <c r="G217" i="2"/>
  <c r="K217" i="2" s="1"/>
  <c r="F220" i="2"/>
  <c r="J220" i="2"/>
  <c r="AI232" i="2" l="1"/>
  <c r="AI275" i="2" s="1"/>
  <c r="AE275" i="2"/>
  <c r="P220" i="2"/>
  <c r="S220" i="2"/>
  <c r="W178" i="2"/>
  <c r="W220" i="2" s="1"/>
  <c r="D220" i="2"/>
  <c r="G177" i="2"/>
  <c r="G220" i="2" s="1"/>
  <c r="AB128" i="2"/>
  <c r="AC127" i="2"/>
  <c r="AB127" i="2"/>
  <c r="AB126" i="2"/>
  <c r="AB125" i="2"/>
  <c r="AE125" i="2" s="1"/>
  <c r="AI125" i="2" s="1"/>
  <c r="AC124" i="2"/>
  <c r="AB124" i="2"/>
  <c r="AE124" i="2" s="1"/>
  <c r="AI124" i="2" s="1"/>
  <c r="AB123" i="2"/>
  <c r="AE123" i="2" s="1"/>
  <c r="AC122" i="2"/>
  <c r="AC165" i="2" s="1"/>
  <c r="AB122" i="2"/>
  <c r="AA123" i="2"/>
  <c r="AA124" i="2" s="1"/>
  <c r="AA125" i="2" s="1"/>
  <c r="AA126" i="2" s="1"/>
  <c r="AA127" i="2" s="1"/>
  <c r="AA128" i="2" s="1"/>
  <c r="AE126" i="2"/>
  <c r="AI126" i="2" s="1"/>
  <c r="AE127" i="2"/>
  <c r="AI127" i="2" s="1"/>
  <c r="AE128" i="2"/>
  <c r="AI128" i="2" s="1"/>
  <c r="AE129" i="2"/>
  <c r="AI129" i="2"/>
  <c r="AE130" i="2"/>
  <c r="AI130" i="2"/>
  <c r="AE131" i="2"/>
  <c r="AI131" i="2"/>
  <c r="AE132" i="2"/>
  <c r="AI132" i="2"/>
  <c r="AE133" i="2"/>
  <c r="AI133" i="2"/>
  <c r="AE134" i="2"/>
  <c r="AI134" i="2" s="1"/>
  <c r="AE135" i="2"/>
  <c r="AI135" i="2"/>
  <c r="AE136" i="2"/>
  <c r="AI136" i="2"/>
  <c r="AE137" i="2"/>
  <c r="AI137" i="2"/>
  <c r="AE138" i="2"/>
  <c r="AI138" i="2"/>
  <c r="AE139" i="2"/>
  <c r="AI139" i="2"/>
  <c r="AE140" i="2"/>
  <c r="AI140" i="2"/>
  <c r="AE141" i="2"/>
  <c r="AI141" i="2"/>
  <c r="AE142" i="2"/>
  <c r="AI142" i="2" s="1"/>
  <c r="AE143" i="2"/>
  <c r="AI143" i="2"/>
  <c r="AE144" i="2"/>
  <c r="AI144" i="2"/>
  <c r="AE145" i="2"/>
  <c r="AI145" i="2"/>
  <c r="AE146" i="2"/>
  <c r="AI146" i="2"/>
  <c r="AE147" i="2"/>
  <c r="AI147" i="2"/>
  <c r="AE148" i="2"/>
  <c r="AI148" i="2"/>
  <c r="AE149" i="2"/>
  <c r="AI149" i="2"/>
  <c r="AE150" i="2"/>
  <c r="AI150" i="2" s="1"/>
  <c r="AE151" i="2"/>
  <c r="AI151" i="2"/>
  <c r="AE152" i="2"/>
  <c r="AI152" i="2"/>
  <c r="AE153" i="2"/>
  <c r="AI153" i="2"/>
  <c r="AE154" i="2"/>
  <c r="AI154" i="2"/>
  <c r="AE155" i="2"/>
  <c r="AI155" i="2"/>
  <c r="AE156" i="2"/>
  <c r="AI156" i="2"/>
  <c r="AE157" i="2"/>
  <c r="AI157" i="2"/>
  <c r="AE158" i="2"/>
  <c r="AI158" i="2" s="1"/>
  <c r="AE159" i="2"/>
  <c r="AI159" i="2"/>
  <c r="AE160" i="2"/>
  <c r="AI160" i="2"/>
  <c r="AI161" i="2"/>
  <c r="AE162" i="2"/>
  <c r="AI162" i="2"/>
  <c r="AI163" i="2"/>
  <c r="AD165" i="2"/>
  <c r="AG165" i="2"/>
  <c r="AH165" i="2"/>
  <c r="P123" i="2"/>
  <c r="S123" i="2" s="1"/>
  <c r="W123" i="2" s="1"/>
  <c r="Q123" i="2"/>
  <c r="P122" i="2"/>
  <c r="V165" i="2"/>
  <c r="U165" i="2"/>
  <c r="O123" i="2"/>
  <c r="S124" i="2"/>
  <c r="W124" i="2" s="1"/>
  <c r="S125" i="2"/>
  <c r="W125" i="2" s="1"/>
  <c r="S126" i="2"/>
  <c r="W126" i="2" s="1"/>
  <c r="S127" i="2"/>
  <c r="W127" i="2" s="1"/>
  <c r="S128" i="2"/>
  <c r="W128" i="2" s="1"/>
  <c r="S129" i="2"/>
  <c r="W129" i="2"/>
  <c r="S130" i="2"/>
  <c r="W130" i="2" s="1"/>
  <c r="S131" i="2"/>
  <c r="W131" i="2" s="1"/>
  <c r="S132" i="2"/>
  <c r="W132" i="2"/>
  <c r="S133" i="2"/>
  <c r="W133" i="2"/>
  <c r="S134" i="2"/>
  <c r="W134" i="2" s="1"/>
  <c r="S135" i="2"/>
  <c r="W135" i="2"/>
  <c r="S136" i="2"/>
  <c r="W136" i="2"/>
  <c r="S137" i="2"/>
  <c r="W137" i="2"/>
  <c r="S138" i="2"/>
  <c r="W138" i="2" s="1"/>
  <c r="S139" i="2"/>
  <c r="W139" i="2" s="1"/>
  <c r="S140" i="2"/>
  <c r="W140" i="2"/>
  <c r="S141" i="2"/>
  <c r="W141" i="2"/>
  <c r="S142" i="2"/>
  <c r="W142" i="2"/>
  <c r="S143" i="2"/>
  <c r="W143" i="2"/>
  <c r="S144" i="2"/>
  <c r="W144" i="2"/>
  <c r="S145" i="2"/>
  <c r="W145" i="2"/>
  <c r="S146" i="2"/>
  <c r="W146" i="2"/>
  <c r="S147" i="2"/>
  <c r="W147" i="2" s="1"/>
  <c r="S148" i="2"/>
  <c r="W148" i="2"/>
  <c r="S149" i="2"/>
  <c r="W149" i="2"/>
  <c r="S150" i="2"/>
  <c r="W150" i="2"/>
  <c r="S151" i="2"/>
  <c r="W151" i="2"/>
  <c r="S152" i="2"/>
  <c r="W152" i="2"/>
  <c r="S153" i="2"/>
  <c r="W153" i="2"/>
  <c r="S154" i="2"/>
  <c r="W154" i="2"/>
  <c r="S155" i="2"/>
  <c r="W155" i="2" s="1"/>
  <c r="S156" i="2"/>
  <c r="W156" i="2"/>
  <c r="S157" i="2"/>
  <c r="W157" i="2"/>
  <c r="S158" i="2"/>
  <c r="W158" i="2"/>
  <c r="S159" i="2"/>
  <c r="W159" i="2" s="1"/>
  <c r="S160" i="2"/>
  <c r="W160" i="2"/>
  <c r="W161" i="2"/>
  <c r="S162" i="2"/>
  <c r="W162" i="2" s="1"/>
  <c r="W163" i="2"/>
  <c r="Q165" i="2"/>
  <c r="R165" i="2"/>
  <c r="I124" i="2"/>
  <c r="D124" i="2"/>
  <c r="G124" i="2" s="1"/>
  <c r="K124" i="2" s="1"/>
  <c r="D123" i="2"/>
  <c r="J122" i="2"/>
  <c r="J165" i="2" s="1"/>
  <c r="I122" i="2"/>
  <c r="E122" i="2"/>
  <c r="E165" i="2" s="1"/>
  <c r="D122" i="2"/>
  <c r="G122" i="2"/>
  <c r="C123" i="2"/>
  <c r="G123" i="2"/>
  <c r="K123" i="2"/>
  <c r="C124" i="2"/>
  <c r="G125" i="2"/>
  <c r="K125" i="2" s="1"/>
  <c r="G126" i="2"/>
  <c r="K126" i="2" s="1"/>
  <c r="G127" i="2"/>
  <c r="K127" i="2"/>
  <c r="G128" i="2"/>
  <c r="K128" i="2" s="1"/>
  <c r="G129" i="2"/>
  <c r="K129" i="2" s="1"/>
  <c r="G130" i="2"/>
  <c r="K130" i="2" s="1"/>
  <c r="G131" i="2"/>
  <c r="K131" i="2"/>
  <c r="G132" i="2"/>
  <c r="K132" i="2" s="1"/>
  <c r="G133" i="2"/>
  <c r="K133" i="2"/>
  <c r="G134" i="2"/>
  <c r="K134" i="2"/>
  <c r="G135" i="2"/>
  <c r="K135" i="2"/>
  <c r="G136" i="2"/>
  <c r="K136" i="2"/>
  <c r="G137" i="2"/>
  <c r="K137" i="2"/>
  <c r="G138" i="2"/>
  <c r="K138" i="2"/>
  <c r="G139" i="2"/>
  <c r="K139" i="2"/>
  <c r="G140" i="2"/>
  <c r="K140" i="2"/>
  <c r="G141" i="2"/>
  <c r="K141" i="2"/>
  <c r="G142" i="2"/>
  <c r="K142" i="2"/>
  <c r="G143" i="2"/>
  <c r="K143" i="2"/>
  <c r="G144" i="2"/>
  <c r="K144" i="2"/>
  <c r="G145" i="2"/>
  <c r="K145" i="2"/>
  <c r="G146" i="2"/>
  <c r="K146" i="2"/>
  <c r="G147" i="2"/>
  <c r="K147" i="2"/>
  <c r="G148" i="2"/>
  <c r="K148" i="2"/>
  <c r="G149" i="2"/>
  <c r="K149" i="2"/>
  <c r="G150" i="2"/>
  <c r="K150" i="2"/>
  <c r="G151" i="2"/>
  <c r="K151" i="2"/>
  <c r="G152" i="2"/>
  <c r="K152" i="2"/>
  <c r="G153" i="2"/>
  <c r="K153" i="2"/>
  <c r="G154" i="2"/>
  <c r="K154" i="2"/>
  <c r="G155" i="2"/>
  <c r="K155" i="2"/>
  <c r="G162" i="2"/>
  <c r="K162" i="2"/>
  <c r="F165" i="2"/>
  <c r="P83" i="2"/>
  <c r="O83" i="2"/>
  <c r="K177" i="2" l="1"/>
  <c r="K220" i="2" s="1"/>
  <c r="AB165" i="2"/>
  <c r="AE122" i="2"/>
  <c r="AI122" i="2" s="1"/>
  <c r="AI123" i="2"/>
  <c r="P165" i="2"/>
  <c r="S122" i="2"/>
  <c r="W122" i="2"/>
  <c r="W165" i="2" s="1"/>
  <c r="S165" i="2"/>
  <c r="I165" i="2"/>
  <c r="D165" i="2"/>
  <c r="K122" i="2"/>
  <c r="K165" i="2" s="1"/>
  <c r="G165" i="2"/>
  <c r="U77" i="2"/>
  <c r="U110" i="2"/>
  <c r="AB72" i="2"/>
  <c r="AB71" i="2"/>
  <c r="AB70" i="2"/>
  <c r="AB69" i="2"/>
  <c r="AC68" i="2"/>
  <c r="AC110" i="2" s="1"/>
  <c r="AB68" i="2"/>
  <c r="AB67" i="2"/>
  <c r="AE67" i="2"/>
  <c r="AA68" i="2"/>
  <c r="AB110" i="2"/>
  <c r="AA69" i="2"/>
  <c r="AA70" i="2" s="1"/>
  <c r="AA71" i="2" s="1"/>
  <c r="AA72" i="2" s="1"/>
  <c r="AE69" i="2"/>
  <c r="AI69" i="2" s="1"/>
  <c r="AE70" i="2"/>
  <c r="AI70" i="2" s="1"/>
  <c r="AE71" i="2"/>
  <c r="AI71" i="2" s="1"/>
  <c r="AE72" i="2"/>
  <c r="AI72" i="2" s="1"/>
  <c r="AE73" i="2"/>
  <c r="AI73" i="2" s="1"/>
  <c r="AE74" i="2"/>
  <c r="AI74" i="2"/>
  <c r="AE75" i="2"/>
  <c r="AI75" i="2" s="1"/>
  <c r="AE76" i="2"/>
  <c r="AI76" i="2" s="1"/>
  <c r="AE77" i="2"/>
  <c r="AI77" i="2"/>
  <c r="AE78" i="2"/>
  <c r="AI78" i="2"/>
  <c r="AE79" i="2"/>
  <c r="AI79" i="2"/>
  <c r="AE80" i="2"/>
  <c r="AI80" i="2" s="1"/>
  <c r="AE81" i="2"/>
  <c r="AI81" i="2"/>
  <c r="AE82" i="2"/>
  <c r="AI82" i="2"/>
  <c r="AE83" i="2"/>
  <c r="AI83" i="2" s="1"/>
  <c r="AE84" i="2"/>
  <c r="AI84" i="2" s="1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 s="1"/>
  <c r="AE92" i="2"/>
  <c r="AI92" i="2" s="1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 s="1"/>
  <c r="AE100" i="2"/>
  <c r="AI100" i="2" s="1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D110" i="2"/>
  <c r="AG110" i="2"/>
  <c r="AH110" i="2"/>
  <c r="P82" i="2"/>
  <c r="P81" i="2"/>
  <c r="P80" i="2"/>
  <c r="P79" i="2"/>
  <c r="P78" i="2"/>
  <c r="P77" i="2"/>
  <c r="P76" i="2"/>
  <c r="S76" i="2" s="1"/>
  <c r="W76" i="2" s="1"/>
  <c r="P75" i="2"/>
  <c r="P74" i="2"/>
  <c r="S74" i="2" s="1"/>
  <c r="W74" i="2" s="1"/>
  <c r="P73" i="2"/>
  <c r="S73" i="2" s="1"/>
  <c r="W73" i="2" s="1"/>
  <c r="P72" i="2"/>
  <c r="Q71" i="2"/>
  <c r="P71" i="2"/>
  <c r="S71" i="2" s="1"/>
  <c r="W71" i="2" s="1"/>
  <c r="P70" i="2"/>
  <c r="P69" i="2"/>
  <c r="P68" i="2"/>
  <c r="S68" i="2" s="1"/>
  <c r="W68" i="2" s="1"/>
  <c r="P67" i="2"/>
  <c r="S67" i="2"/>
  <c r="O68" i="2"/>
  <c r="O69" i="2" s="1"/>
  <c r="O71" i="2" s="1"/>
  <c r="O72" i="2" s="1"/>
  <c r="O73" i="2" s="1"/>
  <c r="O74" i="2" s="1"/>
  <c r="O75" i="2" s="1"/>
  <c r="O76" i="2" s="1"/>
  <c r="O77" i="2" s="1"/>
  <c r="O78" i="2" s="1"/>
  <c r="O79" i="2" s="1"/>
  <c r="O80" i="2" s="1"/>
  <c r="O81" i="2" s="1"/>
  <c r="O82" i="2" s="1"/>
  <c r="Q110" i="2"/>
  <c r="S69" i="2"/>
  <c r="W69" i="2" s="1"/>
  <c r="S70" i="2"/>
  <c r="W70" i="2" s="1"/>
  <c r="S72" i="2"/>
  <c r="W72" i="2" s="1"/>
  <c r="S75" i="2"/>
  <c r="W75" i="2" s="1"/>
  <c r="S77" i="2"/>
  <c r="S78" i="2"/>
  <c r="W78" i="2"/>
  <c r="S79" i="2"/>
  <c r="W79" i="2" s="1"/>
  <c r="S80" i="2"/>
  <c r="W80" i="2" s="1"/>
  <c r="S81" i="2"/>
  <c r="W81" i="2" s="1"/>
  <c r="S82" i="2"/>
  <c r="W82" i="2" s="1"/>
  <c r="S83" i="2"/>
  <c r="W83" i="2" s="1"/>
  <c r="S84" i="2"/>
  <c r="W84" i="2"/>
  <c r="S85" i="2"/>
  <c r="W85" i="2"/>
  <c r="S86" i="2"/>
  <c r="W86" i="2"/>
  <c r="S87" i="2"/>
  <c r="W87" i="2"/>
  <c r="S88" i="2"/>
  <c r="W88" i="2" s="1"/>
  <c r="S89" i="2"/>
  <c r="W89" i="2"/>
  <c r="S90" i="2"/>
  <c r="W90" i="2"/>
  <c r="S91" i="2"/>
  <c r="W91" i="2" s="1"/>
  <c r="S92" i="2"/>
  <c r="W92" i="2"/>
  <c r="S93" i="2"/>
  <c r="W93" i="2"/>
  <c r="S94" i="2"/>
  <c r="W94" i="2"/>
  <c r="S95" i="2"/>
  <c r="W95" i="2"/>
  <c r="S96" i="2"/>
  <c r="W96" i="2" s="1"/>
  <c r="S97" i="2"/>
  <c r="W97" i="2"/>
  <c r="S98" i="2"/>
  <c r="W98" i="2"/>
  <c r="S99" i="2"/>
  <c r="W99" i="2" s="1"/>
  <c r="S100" i="2"/>
  <c r="W100" i="2"/>
  <c r="S101" i="2"/>
  <c r="W101" i="2"/>
  <c r="S102" i="2"/>
  <c r="W102" i="2"/>
  <c r="S103" i="2"/>
  <c r="W103" i="2"/>
  <c r="S104" i="2"/>
  <c r="W104" i="2" s="1"/>
  <c r="S105" i="2"/>
  <c r="W105" i="2"/>
  <c r="W106" i="2"/>
  <c r="S107" i="2"/>
  <c r="W107" i="2"/>
  <c r="W108" i="2"/>
  <c r="R110" i="2"/>
  <c r="V110" i="2"/>
  <c r="D77" i="2"/>
  <c r="G77" i="2" s="1"/>
  <c r="K77" i="2" s="1"/>
  <c r="D76" i="2"/>
  <c r="D75" i="2"/>
  <c r="G75" i="2" s="1"/>
  <c r="K75" i="2" s="1"/>
  <c r="D74" i="2"/>
  <c r="D73" i="2"/>
  <c r="G73" i="2" s="1"/>
  <c r="K73" i="2" s="1"/>
  <c r="D72" i="2"/>
  <c r="G72" i="2" s="1"/>
  <c r="K72" i="2" s="1"/>
  <c r="D71" i="2"/>
  <c r="D70" i="2"/>
  <c r="G70" i="2" s="1"/>
  <c r="K70" i="2" s="1"/>
  <c r="D69" i="2"/>
  <c r="D68" i="2"/>
  <c r="D67" i="2"/>
  <c r="G67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G68" i="2"/>
  <c r="K68" i="2" s="1"/>
  <c r="G69" i="2"/>
  <c r="K69" i="2" s="1"/>
  <c r="G71" i="2"/>
  <c r="K71" i="2" s="1"/>
  <c r="G74" i="2"/>
  <c r="K74" i="2"/>
  <c r="G76" i="2"/>
  <c r="K76" i="2" s="1"/>
  <c r="G78" i="2"/>
  <c r="K78" i="2"/>
  <c r="G79" i="2"/>
  <c r="K79" i="2" s="1"/>
  <c r="G80" i="2"/>
  <c r="K80" i="2" s="1"/>
  <c r="G81" i="2"/>
  <c r="K81" i="2"/>
  <c r="G82" i="2"/>
  <c r="K82" i="2" s="1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/>
  <c r="G90" i="2"/>
  <c r="K90" i="2" s="1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/>
  <c r="G107" i="2"/>
  <c r="K107" i="2"/>
  <c r="E110" i="2"/>
  <c r="F110" i="2"/>
  <c r="I110" i="2"/>
  <c r="J110" i="2"/>
  <c r="AI165" i="2" l="1"/>
  <c r="AE165" i="2"/>
  <c r="AE68" i="2"/>
  <c r="AI68" i="2" s="1"/>
  <c r="AI67" i="2"/>
  <c r="W77" i="2"/>
  <c r="W67" i="2"/>
  <c r="S110" i="2"/>
  <c r="P110" i="2"/>
  <c r="G110" i="2"/>
  <c r="D110" i="2"/>
  <c r="K67" i="2"/>
  <c r="K110" i="2" s="1"/>
  <c r="AB18" i="2"/>
  <c r="AB17" i="2"/>
  <c r="AB16" i="2"/>
  <c r="AB15" i="2"/>
  <c r="AB14" i="2"/>
  <c r="AB13" i="2"/>
  <c r="AC13" i="2"/>
  <c r="AB12" i="2"/>
  <c r="AG12" i="2"/>
  <c r="P19" i="2"/>
  <c r="P18" i="2"/>
  <c r="P16" i="2"/>
  <c r="P15" i="2"/>
  <c r="P14" i="2"/>
  <c r="V13" i="2"/>
  <c r="Q13" i="2"/>
  <c r="P13" i="2"/>
  <c r="P12" i="2"/>
  <c r="E23" i="2"/>
  <c r="D23" i="2"/>
  <c r="E22" i="2"/>
  <c r="D22" i="2"/>
  <c r="D21" i="2"/>
  <c r="D20" i="2"/>
  <c r="D19" i="2"/>
  <c r="D18" i="2"/>
  <c r="D17" i="2"/>
  <c r="D16" i="2"/>
  <c r="D15" i="2"/>
  <c r="D14" i="2"/>
  <c r="D13" i="2"/>
  <c r="D12" i="2"/>
  <c r="AI110" i="2" l="1"/>
  <c r="AE110" i="2"/>
  <c r="W110" i="2"/>
  <c r="A38" i="1"/>
  <c r="A39" i="1"/>
  <c r="A40" i="1"/>
  <c r="AA13" i="2" l="1"/>
  <c r="J34" i="1" l="1"/>
  <c r="D34" i="1" s="1"/>
  <c r="J35" i="1"/>
  <c r="D35" i="1" s="1"/>
  <c r="J36" i="1"/>
  <c r="J37" i="1"/>
  <c r="J27" i="1"/>
  <c r="D27" i="1" s="1"/>
  <c r="J28" i="1"/>
  <c r="D28" i="1" s="1"/>
  <c r="J29" i="1"/>
  <c r="D29" i="1" s="1"/>
  <c r="J30" i="1"/>
  <c r="J20" i="1"/>
  <c r="D20" i="1" s="1"/>
  <c r="J21" i="1"/>
  <c r="D21" i="1" s="1"/>
  <c r="J22" i="1"/>
  <c r="J23" i="1"/>
  <c r="D36" i="1"/>
  <c r="J13" i="1"/>
  <c r="D13" i="1" s="1"/>
  <c r="J14" i="1"/>
  <c r="C14" i="2" l="1"/>
  <c r="C15" i="2" s="1"/>
  <c r="C16" i="2" s="1"/>
  <c r="C17" i="2" s="1"/>
  <c r="C18" i="2" s="1"/>
  <c r="C19" i="2" s="1"/>
  <c r="C20" i="2" s="1"/>
  <c r="C21" i="2" s="1"/>
  <c r="C22" i="2" s="1"/>
  <c r="C23" i="2" s="1"/>
  <c r="J39" i="1" l="1"/>
  <c r="J40" i="1"/>
  <c r="J32" i="1"/>
  <c r="D32" i="1" s="1"/>
  <c r="D23" i="1"/>
  <c r="J25" i="1"/>
  <c r="D25" i="1" s="1"/>
  <c r="J15" i="1"/>
  <c r="D15" i="1" s="1"/>
  <c r="J16" i="1"/>
  <c r="D16" i="1" s="1"/>
  <c r="J18" i="1"/>
  <c r="D18" i="1" s="1"/>
  <c r="D37" i="1"/>
  <c r="D39" i="1"/>
  <c r="D40" i="1" l="1"/>
  <c r="O13" i="2"/>
  <c r="O14" i="2" s="1"/>
  <c r="O15" i="2" s="1"/>
  <c r="O16" i="2" s="1"/>
  <c r="O17" i="2" s="1"/>
  <c r="O18" i="2" s="1"/>
  <c r="O19" i="2" s="1"/>
  <c r="J33" i="1"/>
  <c r="D33" i="1" s="1"/>
  <c r="J26" i="1"/>
  <c r="D26" i="1" s="1"/>
  <c r="J19" i="1"/>
  <c r="D19" i="1" s="1"/>
  <c r="D14" i="1"/>
  <c r="J12" i="1"/>
  <c r="D12" i="1" s="1"/>
  <c r="J11" i="1"/>
  <c r="D11" i="1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4" authorId="0" shapeId="0" xr:uid="{C63AD5AA-1A0E-4693-B01A-77E3EB64D0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5" authorId="0" shapeId="0" xr:uid="{2FB8B2F3-839F-411B-B5C4-E84F94751E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G15" authorId="0" shapeId="0" xr:uid="{CEE0C8EB-8902-4C79-8ED7-D8B30EAE04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22" authorId="0" shapeId="0" xr:uid="{40CF5728-2C11-428E-8364-80D157B2B4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</t>
        </r>
      </text>
    </comment>
    <comment ref="G22" authorId="0" shapeId="0" xr:uid="{B40871B8-547C-4E9C-8C32-62E1D5A685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</t>
        </r>
      </text>
    </comment>
    <comment ref="H22" authorId="0" shapeId="0" xr:uid="{4148E182-A3D3-4366-B37C-50485BEE40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
</t>
        </r>
      </text>
    </comment>
    <comment ref="F25" authorId="0" shapeId="0" xr:uid="{C04F0441-E3A0-401F-9F94-115C654B73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</t>
        </r>
      </text>
    </comment>
    <comment ref="H25" authorId="0" shapeId="0" xr:uid="{6C7EF103-70A1-4C35-BAC1-5F6B457EFD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DSP
RONNEL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B366DF47-71C5-436A-981D-C1EFB7216C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ANIÑON MARGIE
DISUD, SINDANGAN</t>
        </r>
      </text>
    </comment>
    <comment ref="O12" authorId="0" shapeId="0" xr:uid="{9BA64CF4-BF8A-4FB5-AB86-79EDC9F6AF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&amp; CATHLEEN STORE
MARAS, SINDANGAN</t>
        </r>
      </text>
    </comment>
    <comment ref="AA12" authorId="0" shapeId="0" xr:uid="{76DC9140-38B5-49B2-A9C0-D374BDC46B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3" authorId="0" shapeId="0" xr:uid="{147CDA6A-ACFB-4DFB-BC42-DE191B7258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13" authorId="0" shapeId="0" xr:uid="{51B9CAFB-0186-4E70-936B-34EA56640E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13" authorId="0" shapeId="0" xr:uid="{AEBDABDD-F7F6-4602-BA30-D7F7A4B0FD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14" authorId="0" shapeId="0" xr:uid="{9C7A028F-B135-4B6A-BC0A-87BA2B5A6A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14" authorId="0" shapeId="0" xr:uid="{D3BCB7EE-13FE-43E0-B655-619B31A5AD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4" authorId="0" shapeId="0" xr:uid="{7AD69A07-478D-4120-84CA-B66953ABE0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CARMONA STORE
POB EAST, SALUG</t>
        </r>
      </text>
    </comment>
    <comment ref="C15" authorId="0" shapeId="0" xr:uid="{563A731B-678C-4452-B59A-67E484157A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O15" authorId="0" shapeId="0" xr:uid="{B4B472DB-C3DB-4562-A11D-1D85C8C7D8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5" authorId="0" shapeId="0" xr:uid="{91E8C2A1-D685-427B-A91A-EE2CD41A72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G.B. CONVENIENCE STORE
POB EAST, SALUG</t>
        </r>
      </text>
    </comment>
    <comment ref="C16" authorId="0" shapeId="0" xr:uid="{769A8C03-1482-4B74-AD0C-56669D5B0C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 DIONISIO
DISUD, SINDANGAN</t>
        </r>
      </text>
    </comment>
    <comment ref="O16" authorId="0" shapeId="0" xr:uid="{1C06D972-44F2-432C-A732-0F736B6B74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6" authorId="0" shapeId="0" xr:uid="{378EAF27-678A-44A5-A25A-35CEB2C54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POB EAST, SALUG</t>
        </r>
      </text>
    </comment>
    <comment ref="C17" authorId="0" shapeId="0" xr:uid="{0F45B4DC-755A-4134-8731-E80A71C9ED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RICA / CROWN HOTEL
RM, SINDANGAN</t>
        </r>
      </text>
    </comment>
    <comment ref="O17" authorId="0" shapeId="0" xr:uid="{A98F5D17-44F1-4C2E-89EF-38C2272009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
GOLEO, SINDANGAN</t>
        </r>
      </text>
    </comment>
    <comment ref="AA17" authorId="0" shapeId="0" xr:uid="{DE537ABB-B0FF-45F1-BB56-DEA8FF88B9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GOLEO, SINDANGAN</t>
        </r>
      </text>
    </comment>
    <comment ref="C18" authorId="0" shapeId="0" xr:uid="{B592A283-3B58-43BF-85CA-6723894391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DELMER
POB, SINDANGAN</t>
        </r>
      </text>
    </comment>
    <comment ref="O18" authorId="0" shapeId="0" xr:uid="{85DCCE40-148A-49A7-8F90-FD52B91EE6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18" authorId="0" shapeId="0" xr:uid="{0237CA40-74BC-41AC-B3BB-E30DC9FE83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19" authorId="0" shapeId="0" xr:uid="{EFBFED6B-F48E-49B9-9692-CD5760DC6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SOPHIAYEN AVILA
DAPAON, SINDANGAN</t>
        </r>
      </text>
    </comment>
    <comment ref="O19" authorId="0" shapeId="0" xr:uid="{2F7C081A-24D0-4588-AB29-1AD78D6424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ANADIO
POB, BACUNGAN</t>
        </r>
      </text>
    </comment>
    <comment ref="C20" authorId="0" shapeId="0" xr:uid="{27DE70A0-BDDD-45FA-97E9-9E8F45B6E6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SUMALINOG CONCHITA
DAPAON, SINDANGAN</t>
        </r>
      </text>
    </comment>
    <comment ref="C21" authorId="0" shapeId="0" xr:uid="{78F8736B-1997-4561-B373-7DC1E83A33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RICA CROWN HOTEL
RM, SINDANGAN</t>
        </r>
      </text>
    </comment>
    <comment ref="C22" authorId="0" shapeId="0" xr:uid="{DF4ED30E-4D24-48D7-ABAD-42D4504173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C23" authorId="0" shapeId="0" xr:uid="{2D03443F-5390-4303-BCE9-74B07B67A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C67" authorId="0" shapeId="0" xr:uid="{77AC0C61-D2E1-408E-897A-3EB9A847B2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GALLEPOSO
POB, GODOD</t>
        </r>
      </text>
    </comment>
    <comment ref="O67" authorId="0" shapeId="0" xr:uid="{A2558ABF-0DCB-4F06-B7E3-DBC3A59910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DAISY STORE
INUMAN, SINDANGAN</t>
        </r>
      </text>
    </comment>
    <comment ref="AA67" authorId="0" shapeId="0" xr:uid="{C6712635-2B84-4671-8ADB-597FE30981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68" authorId="0" shapeId="0" xr:uid="{DA1DE4EE-42D5-4782-9AA6-F865BED211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68" authorId="0" shapeId="0" xr:uid="{34C0FC0E-CC88-41E1-B4C9-4F5E3F7014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68" authorId="0" shapeId="0" xr:uid="{A2FE8BF2-068C-4E8A-80B0-6CF00C7954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9" authorId="0" shapeId="0" xr:uid="{A14DCE3A-D146-42CC-9347-D21FD5A760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GUINDAL
BALOK, SINDANGAN</t>
        </r>
      </text>
    </comment>
    <comment ref="O69" authorId="0" shapeId="0" xr:uid="{171AE713-1A9A-4338-8631-032418382F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NENENG MAG-ASO
UPPER INUMAN, SINDANGAN</t>
        </r>
      </text>
    </comment>
    <comment ref="AA69" authorId="0" shapeId="0" xr:uid="{C05D6D25-2087-44BC-A620-21AE8C8610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0" authorId="0" shapeId="0" xr:uid="{987DE57D-8148-47E2-8171-3DEC8B96FA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70" authorId="0" shapeId="0" xr:uid="{EAB530E9-9213-4DAA-8844-CACC0E44BD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
MARAS, SINDANGAN</t>
        </r>
      </text>
    </comment>
    <comment ref="AA70" authorId="0" shapeId="0" xr:uid="{9E8AA4BE-320B-472B-8ADD-9704A8019D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71" authorId="0" shapeId="0" xr:uid="{280FB151-98D3-441C-82E3-48B91608DA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71" authorId="0" shapeId="0" xr:uid="{5FE3EEFD-FDDA-400F-B85E-29BF0E074F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71" authorId="0" shapeId="0" xr:uid="{002541A6-EA4F-4271-A12B-93AB360980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SARI-SARI STORE
BAYBAY, LILOY</t>
        </r>
      </text>
    </comment>
    <comment ref="C72" authorId="0" shapeId="0" xr:uid="{B022A180-7AFC-4018-B3B5-923CC88F7E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PODIOTAN
POB, SIAYAN</t>
        </r>
      </text>
    </comment>
    <comment ref="O72" authorId="0" shapeId="0" xr:uid="{095A44F5-6CD6-420B-9A83-9F3F76DF2E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DARIO MALINAW
POB, BACUNGAN</t>
        </r>
      </text>
    </comment>
    <comment ref="AA72" authorId="0" shapeId="0" xr:uid="{38EF8C30-D699-4B68-B4FF-8C43ED248B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HARLAN STORE
BAYBAY, LILOY</t>
        </r>
      </text>
    </comment>
    <comment ref="C73" authorId="0" shapeId="0" xr:uid="{01FEC7EC-E263-47C2-B850-4C8800EB0E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73" authorId="0" shapeId="0" xr:uid="{1A72FBD7-1601-4E80-A236-0CB66D1065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C74" authorId="0" shapeId="0" xr:uid="{63437AA4-3DB5-447C-B09F-43FCCA4A88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TERESITA SAGAYSAY
DICOYONG, SINDANGAN</t>
        </r>
      </text>
    </comment>
    <comment ref="O74" authorId="0" shapeId="0" xr:uid="{46EE75D0-5EFA-4339-8F08-5A9B49812D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JUN-ATS BEACH RESORT
TALINGA, BACUNGAN</t>
        </r>
      </text>
    </comment>
    <comment ref="C75" authorId="0" shapeId="0" xr:uid="{AAD45424-06DA-4B7F-83BD-597822EB14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GLEEN SUMINGGIT
DICOYONG, SINDANGAN</t>
        </r>
      </text>
    </comment>
    <comment ref="O75" authorId="0" shapeId="0" xr:uid="{7D131EF8-72B8-437B-B4FA-5C08906379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C76" authorId="0" shapeId="0" xr:uid="{2BC550D0-8487-4DA0-BE3C-1E2DD344CF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GAÑOLON
DICOYONG, SINDANGAN</t>
        </r>
      </text>
    </comment>
    <comment ref="O76" authorId="0" shapeId="0" xr:uid="{6153569C-168E-44A5-B565-3128E60C81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C77" authorId="0" shapeId="0" xr:uid="{FE46C4AC-E25A-448F-9E61-AA98C476EE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ALONZO MINIMART
GOLEO, SINDANGAN</t>
        </r>
      </text>
    </comment>
    <comment ref="O77" authorId="0" shapeId="0" xr:uid="{605A5EB7-88DD-4D7A-BDC0-E4DF7D4A36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O78" authorId="0" shapeId="0" xr:uid="{C89F7592-453E-491E-9483-4ED6E5E2EB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O79" authorId="0" shapeId="0" xr:uid="{914D931F-7979-4FFF-8C18-D47168F2CB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SHANNE'S STORE
MARAS, SINDANGAN</t>
        </r>
      </text>
    </comment>
    <comment ref="O80" authorId="0" shapeId="0" xr:uid="{6A0A8FCE-DFF9-4F9F-BAD3-F2B8B4D099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ALEH STORE
TINAPLAN, SINDANGAN</t>
        </r>
      </text>
    </comment>
    <comment ref="O81" authorId="0" shapeId="0" xr:uid="{C61FA303-0499-4743-85AE-7D3FB72BD1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82" authorId="0" shapeId="0" xr:uid="{91618302-84BC-4C28-B853-23B1940ABA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JOHN PASAMANTE
AJ DONTAR
GOLEO, SINDANGAN</t>
        </r>
      </text>
    </comment>
    <comment ref="O83" authorId="0" shapeId="0" xr:uid="{8F451678-DE1F-401A-9749-7101B5A40E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D122" authorId="0" shapeId="0" xr:uid="{372879B2-31AE-4A45-929A-0EB1A3579C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22" authorId="0" shapeId="0" xr:uid="{612FACA8-9E44-45AF-AAD2-576C8342E2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AA122" authorId="0" shapeId="0" xr:uid="{5EBD1986-514B-4324-9F48-43028753EF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D123" authorId="0" shapeId="0" xr:uid="{2C8FF8FD-D3BF-489F-8D51-5711D51739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KRYTAL DAWN CATAYAS
POB, SINDANGAN</t>
        </r>
      </text>
    </comment>
    <comment ref="O123" authorId="0" shapeId="0" xr:uid="{F0FA9D93-B63E-4E38-AD2E-B61F2C7A23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3" authorId="0" shapeId="0" xr:uid="{43C3DB6D-CB7C-4799-8345-467C30B597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POB EAST, SALUG</t>
        </r>
      </text>
    </comment>
    <comment ref="D124" authorId="0" shapeId="0" xr:uid="{5582FA3A-ECB1-4522-8ADB-5E93F757C9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AA124" authorId="0" shapeId="0" xr:uid="{DB4911A0-877E-4792-A606-313487C36A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 STORE
POB EAST, SALUG</t>
        </r>
      </text>
    </comment>
    <comment ref="AA125" authorId="0" shapeId="0" xr:uid="{419D1723-E2AC-441F-AA98-8FF4D2693B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STORE
POB EAST, SALUG</t>
        </r>
      </text>
    </comment>
    <comment ref="AA126" authorId="0" shapeId="0" xr:uid="{42EC4FC8-E578-401A-B833-6FED9DACEA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SGE PHARMACY
POB EAST, SALUG</t>
        </r>
      </text>
    </comment>
    <comment ref="AA127" authorId="0" shapeId="0" xr:uid="{2E6B0FDC-EF9B-4D0F-906E-1865908449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AA128" authorId="0" shapeId="0" xr:uid="{BC7E1075-971E-456A-8DE8-AF39907E59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177" authorId="0" shapeId="0" xr:uid="{DF90D825-78F7-42E9-B669-D7D4D36002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77" authorId="0" shapeId="0" xr:uid="{72C284CF-5DD0-488C-9BFF-CCB586D9CB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  <comment ref="C178" authorId="0" shapeId="0" xr:uid="{4EB8D9AF-54BF-41A7-A681-5D6C8CB623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 WENDY
LABAKID, SINDANGAN</t>
        </r>
      </text>
    </comment>
    <comment ref="O178" authorId="0" shapeId="0" xr:uid="{EB4F5CCA-08E6-4C3A-88CC-A2AE4C7B0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179" authorId="0" shapeId="0" xr:uid="{6135F180-4BD0-4EE7-AF36-E8DE0A5F03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AMOD
LABAKID, SINDANGAN</t>
        </r>
      </text>
    </comment>
    <comment ref="O179" authorId="0" shapeId="0" xr:uid="{8A78E488-74D3-4B7E-8D16-F1401A42F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180" authorId="0" shapeId="0" xr:uid="{633C933D-BE44-436F-BC28-B67D24502D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GLEEN OMOS
LABAKIS, SINDANGAN</t>
        </r>
      </text>
    </comment>
    <comment ref="O180" authorId="0" shapeId="0" xr:uid="{8BE920B9-3556-406F-9270-996E0F0F60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O181" authorId="0" shapeId="0" xr:uid="{849A7363-060F-4FC5-9089-A5CB508DFB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82" authorId="0" shapeId="0" xr:uid="{B0192CA2-8E59-4F82-8D8F-F489A501A6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O183" authorId="0" shapeId="0" xr:uid="{E95A799A-BF0E-45FD-B986-2F0426732E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GOLEO, SINDANGAN</t>
        </r>
      </text>
    </comment>
    <comment ref="AA232" authorId="0" shapeId="0" xr:uid="{CB4F0BC9-8847-4B80-9EE3-10D6BA6660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 MARCO
GOLEO, SINDANGAN</t>
        </r>
      </text>
    </comment>
    <comment ref="AA233" authorId="0" shapeId="0" xr:uid="{BE27FA96-8E7E-4AD1-873F-3590F31158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AA234" authorId="0" shapeId="0" xr:uid="{2BE3AACE-7206-4905-A4FD-01F3F73DF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MARK LOUIE
BACONG, SALUG</t>
        </r>
      </text>
    </comment>
    <comment ref="AA235" authorId="0" shapeId="0" xr:uid="{1C2BC539-2836-441C-867C-45AA54629C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AA236" authorId="0" shapeId="0" xr:uid="{D9B3A877-E5E5-4404-A9E0-EA25033881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AA237" authorId="0" shapeId="0" xr:uid="{3F759137-3636-4E03-B4AD-26B6FCC09E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
POB EAST, SALUG</t>
        </r>
      </text>
    </comment>
    <comment ref="C287" authorId="0" shapeId="0" xr:uid="{B49A20C9-9BD4-4CB2-81AB-A5807D413F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287" authorId="0" shapeId="0" xr:uid="{A429B2E5-A2A5-4158-BF15-871CD5F358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287" authorId="0" shapeId="0" xr:uid="{35BC91C0-18EE-4CE0-838D-40BA1DBAC8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BENJUN PALANAS
BAYBAY, LILOY</t>
        </r>
      </text>
    </comment>
    <comment ref="C288" authorId="0" shapeId="0" xr:uid="{E4F50B57-C5AD-4915-9CDE-11E6259E43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
POB, SIAYAN</t>
        </r>
      </text>
    </comment>
    <comment ref="O288" authorId="0" shapeId="0" xr:uid="{44A08B02-C307-41DA-940F-548DBEFF37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288" authorId="0" shapeId="0" xr:uid="{0344E73F-5AC1-4B93-AEC0-4921C8871E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
BAYBAY, LILOY</t>
        </r>
      </text>
    </comment>
    <comment ref="C289" authorId="0" shapeId="0" xr:uid="{7769A459-BFFC-4AA7-9B46-89C1F9BE4C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PODIOTAN
POB, SIAYAN</t>
        </r>
      </text>
    </comment>
    <comment ref="O289" authorId="0" shapeId="0" xr:uid="{A2E3CBA7-50A5-4625-A12F-8F32BFAC73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289" authorId="0" shapeId="0" xr:uid="{2136EB17-CEEB-409B-9AE9-AB78E5302C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290" authorId="0" shapeId="0" xr:uid="{1DF31A93-246C-4415-859F-3FFFD4F3C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ASUSENA
DAGAO, SIAYAN</t>
        </r>
      </text>
    </comment>
    <comment ref="O290" authorId="0" shapeId="0" xr:uid="{5C822EF8-4D74-49AE-98A2-8B46D87CFA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290" authorId="0" shapeId="0" xr:uid="{D383F88C-7BDE-4950-BB10-64E59296A3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291" authorId="0" shapeId="0" xr:uid="{3ED4146D-7C20-4573-B8F1-55143702C1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ALICMAN, RAMEL
POB, SIAYAN</t>
        </r>
      </text>
    </comment>
    <comment ref="O291" authorId="0" shapeId="0" xr:uid="{A41F595B-76B1-47C1-B394-CB0D0AC748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UPPPER INUMAN, SINDANGAN</t>
        </r>
      </text>
    </comment>
    <comment ref="AA291" authorId="0" shapeId="0" xr:uid="{42C02557-630B-49C5-9DA2-87D77CFA9C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92" authorId="0" shapeId="0" xr:uid="{7870D867-89B6-499C-A433-704185332E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292" authorId="0" shapeId="0" xr:uid="{23E49385-A272-4A80-B8B1-42BB019AF0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292" authorId="0" shapeId="0" xr:uid="{2A0BC0D4-9C5C-484E-9C0C-6BAAE0ECEA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STORE
GOLEO, SINDANGAN</t>
        </r>
      </text>
    </comment>
    <comment ref="AA293" authorId="0" shapeId="0" xr:uid="{BD6EB3BF-02FD-4C86-ADF7-91F5B43813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AA294" authorId="0" shapeId="0" xr:uid="{A11AC542-0542-4324-969A-DC9672E628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342" authorId="0" shapeId="0" xr:uid="{E4EB0E24-9B68-47D0-B1E2-7D554C58DB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342" authorId="0" shapeId="0" xr:uid="{E0C04A5D-490A-42E0-83BF-1053BD9166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342" authorId="0" shapeId="0" xr:uid="{B47A96AC-1470-47A1-86D3-333281FE08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343" authorId="0" shapeId="0" xr:uid="{689656AC-D261-410B-A924-3D3AA5CDD6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343" authorId="0" shapeId="0" xr:uid="{19415238-D70C-4ECA-B8F0-0EE56BDF4C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343" authorId="0" shapeId="0" xr:uid="{9BA82701-DBDA-420F-BDAD-CA1CDFB478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344" authorId="0" shapeId="0" xr:uid="{CEEBB0BF-1589-41E2-AF39-B5DF83AC6E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344" authorId="0" shapeId="0" xr:uid="{AF56A97C-DB55-43E7-B861-B1C8D8115A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344" authorId="0" shapeId="0" xr:uid="{67B264CC-93C2-4C61-9681-0FFAA9A0F9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345" authorId="0" shapeId="0" xr:uid="{7602E9F0-0025-45BB-A4B6-82B7D5CA65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345" authorId="0" shapeId="0" xr:uid="{84A1D0A2-482C-4496-91ED-CF14FC33CF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345" authorId="0" shapeId="0" xr:uid="{2F2AB035-EB82-425A-A160-993580581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346" authorId="0" shapeId="0" xr:uid="{63D4E294-6D6E-4A56-A4DF-753D7F97B3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346" authorId="0" shapeId="0" xr:uid="{BE3179EA-D480-43C1-8612-C1A8D8A75D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346" authorId="0" shapeId="0" xr:uid="{A190F996-E6CA-4F07-9B9E-3B1977C433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STORE
BACONG, SALUG</t>
        </r>
      </text>
    </comment>
    <comment ref="C347" authorId="0" shapeId="0" xr:uid="{DCEF73B7-3636-4F3C-B968-7840994ABA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LINDO JOSEFINA
DISUD, SINDANGAN</t>
        </r>
      </text>
    </comment>
    <comment ref="O347" authorId="0" shapeId="0" xr:uid="{727679A1-AD98-43E7-AD14-F3CE240F48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347" authorId="0" shapeId="0" xr:uid="{A7CF34C7-32B9-4ECD-927C-07AB13D832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MARY ANN LIPAYO
CANAWAN, SALUG</t>
        </r>
      </text>
    </comment>
    <comment ref="AA348" authorId="0" shapeId="0" xr:uid="{A206CF5F-B87F-4E77-9BE9-DDC07A1F9C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AA349" authorId="0" shapeId="0" xr:uid="{92DA8E7F-24D2-459F-833E-3EDE7F8205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</t>
        </r>
      </text>
    </comment>
    <comment ref="AA350" authorId="0" shapeId="0" xr:uid="{05D194F0-405E-4AD1-B225-8E6F64B2DB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</t>
        </r>
      </text>
    </comment>
    <comment ref="C397" authorId="0" shapeId="0" xr:uid="{541CA5A7-8E4A-4A75-909D-B68AF61C17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VINA, MEJORADA
PIAO, SINDANGAN</t>
        </r>
      </text>
    </comment>
    <comment ref="O397" authorId="0" shapeId="0" xr:uid="{52DA144F-8D8D-4A7C-987F-5354CBB339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397" authorId="0" shapeId="0" xr:uid="{C2659B42-D3CC-412C-BFF7-6FDCE67BF8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398" authorId="0" shapeId="0" xr:uid="{530EB1B7-62BA-4ECE-9F88-0DA5F8A83D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SHIRLY ESTOSATA
PIAO, SINDANGAN</t>
        </r>
      </text>
    </comment>
    <comment ref="O398" authorId="0" shapeId="0" xr:uid="{B4543B74-FDEC-4B36-9031-5490B6D184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398" authorId="0" shapeId="0" xr:uid="{008DD6EA-AC66-4905-920A-E5975F8088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399" authorId="0" shapeId="0" xr:uid="{A9D1EE19-CD66-4ACF-8885-ED4B7182E2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399" authorId="0" shapeId="0" xr:uid="{F5D4CAC5-8023-4CD9-B90C-725A178A3D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ANDAYA LUCENA
UPPER INUMAN, SINDANGAN</t>
        </r>
      </text>
    </comment>
    <comment ref="AA399" authorId="0" shapeId="0" xr:uid="{ABE73331-6A38-4AEC-AA11-85F4C6A032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400" authorId="0" shapeId="0" xr:uid="{EC899378-6198-459B-BB72-4EC6E47BCC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DEGURO STORE
BALOK, SINDANGAN</t>
        </r>
      </text>
    </comment>
    <comment ref="O400" authorId="0" shapeId="0" xr:uid="{F786138D-D89C-4AFE-A7F0-1F73B02CEF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400" authorId="0" shapeId="0" xr:uid="{3FBF6A15-9BC4-4375-9AEF-426DD5A6ED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ALCAZAR STORE
VILLA SUICIDAL, LILOY</t>
        </r>
      </text>
    </comment>
    <comment ref="C401" authorId="0" shapeId="0" xr:uid="{A28D2E47-7E14-499C-88BE-6AA1CDA804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EVERLYN MAGWATE
LAGAG, SINDANGAN</t>
        </r>
      </text>
    </comment>
    <comment ref="O401" authorId="0" shapeId="0" xr:uid="{7369065A-69FC-4657-A862-0958BE142B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REN VARIETY STORE
UPPER INUMAN, SINDANGAN</t>
        </r>
      </text>
    </comment>
    <comment ref="AA401" authorId="0" shapeId="0" xr:uid="{2F460666-94AB-43B2-8150-029FF1595A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CAMANSI STORE
VILLA SUICIDAL, LILOY</t>
        </r>
      </text>
    </comment>
    <comment ref="C402" authorId="0" shapeId="0" xr:uid="{D7154A49-7FDB-41D4-8F4C-B0E9C7A899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AZUSINA
DAGAO, SIAYAN</t>
        </r>
      </text>
    </comment>
    <comment ref="O402" authorId="0" shapeId="0" xr:uid="{378CF274-ACE8-46BB-B6D6-DC96AB5084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LOLITA SILVANO
UPPER INUMAN, SINDANGAN</t>
        </r>
      </text>
    </comment>
    <comment ref="AA402" authorId="0" shapeId="0" xr:uid="{096BAAAD-0401-485E-9741-379F0C887C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ESTALAO STORE
VILLA SUICIDAL, LILOY</t>
        </r>
      </text>
    </comment>
    <comment ref="C403" authorId="0" shapeId="0" xr:uid="{27DBEF9F-AEDC-4948-8FEB-40816AC137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403" authorId="0" shapeId="0" xr:uid="{085EFC32-1661-492C-AFEC-FBE05D5A24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AA403" authorId="0" shapeId="0" xr:uid="{E3FFE205-9B2F-47B6-B4D3-6781E74B04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FRITZIE ANN PACARO
LAMAO, LILOY</t>
        </r>
      </text>
    </comment>
    <comment ref="C404" authorId="0" shapeId="0" xr:uid="{A67EB62D-0A91-4AE7-8F6A-C46966A8EB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NORA HUNDO
DAGAO, SIAYAN</t>
        </r>
      </text>
    </comment>
    <comment ref="O404" authorId="0" shapeId="0" xr:uid="{B0653C97-E422-454F-8965-50FA512A43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EMA BATION
MARAS, SINDANGAN</t>
        </r>
      </text>
    </comment>
    <comment ref="AA404" authorId="0" shapeId="0" xr:uid="{507BFF0D-C469-459B-B463-8D5D82AEBC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RAUL FORMOSO
LAMAO, LILOY</t>
        </r>
      </text>
    </comment>
    <comment ref="C405" authorId="0" shapeId="0" xr:uid="{261DDE7E-C417-4B35-95EF-92E18ADED5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SINDANGAN</t>
        </r>
      </text>
    </comment>
    <comment ref="O405" authorId="0" shapeId="0" xr:uid="{41748478-7053-4C77-ABD1-4D6AD00513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AA405" authorId="0" shapeId="0" xr:uid="{FD845712-4CAA-4312-9A17-E6D60FCC77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LAMAO, LILOY</t>
        </r>
      </text>
    </comment>
    <comment ref="C406" authorId="0" shapeId="0" xr:uid="{A234DE2A-08E8-4DE3-B0B2-3A89CE3215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OMAO
RIVERSIDE SIAYAN</t>
        </r>
      </text>
    </comment>
    <comment ref="O406" authorId="0" shapeId="0" xr:uid="{A50D14D9-A220-451A-86E8-67B28F67A4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SHANNE'S STORE
MARAS, SINDANGAN</t>
        </r>
      </text>
    </comment>
    <comment ref="AA406" authorId="0" shapeId="0" xr:uid="{4979B1B0-016B-42E8-90F1-904A353F23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407" authorId="0" shapeId="0" xr:uid="{5F479657-E3E2-491E-899B-5829DE96B4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LANGAN
POB, SIAYAN</t>
        </r>
      </text>
    </comment>
    <comment ref="O407" authorId="0" shapeId="0" xr:uid="{CE0B0711-71C3-49E4-A83C-823CD4AFF5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A407" authorId="0" shapeId="0" xr:uid="{EFF3D5CB-604A-4E6C-82EB-B7B91C5309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408" authorId="0" shapeId="0" xr:uid="{B2CDB8FD-F3D1-4B86-A53B-E0E93F6092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O408" authorId="0" shapeId="0" xr:uid="{DF610491-3740-4221-8926-6A95DCDE73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AA408" authorId="0" shapeId="0" xr:uid="{2266B5EA-07D7-4347-8D22-AA9235D73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NELMY STORE
KAYOK, LILOY</t>
        </r>
      </text>
    </comment>
    <comment ref="C409" authorId="0" shapeId="0" xr:uid="{AB0C0BCF-C866-410B-9D7B-51448174B7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JEZELLE
POB, SIAYAN</t>
        </r>
      </text>
    </comment>
    <comment ref="O409" authorId="0" shapeId="0" xr:uid="{713B38E3-A533-470F-AD96-044BCDF6D2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BEATRIZ SAMONTE
MARAS, SINDANGAN</t>
        </r>
      </text>
    </comment>
    <comment ref="AA409" authorId="0" shapeId="0" xr:uid="{4C5E9EFA-52D6-4699-8326-77B7A9AD97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O410" authorId="0" shapeId="0" xr:uid="{06669E13-EDA8-4037-84BF-65A8DA649E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GERMATA STORE
MARAS, SINDANGAN</t>
        </r>
      </text>
    </comment>
    <comment ref="AA410" authorId="0" shapeId="0" xr:uid="{22392886-00E8-4BA1-9BF6-A53ACC6129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ELENA GANTALAO
KAYOK, LILOY</t>
        </r>
      </text>
    </comment>
    <comment ref="O411" authorId="0" shapeId="0" xr:uid="{8E55DD22-9076-4AB1-9E48-7EE5D7E809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REYNALDO EBALLES
MARAS, SINDANGAN</t>
        </r>
      </text>
    </comment>
    <comment ref="AA411" authorId="0" shapeId="0" xr:uid="{E47AE2F2-3ED8-4217-9C47-3F0F81DD56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GOLEO, SINDANGAN</t>
        </r>
      </text>
    </comment>
    <comment ref="O412" authorId="0" shapeId="0" xr:uid="{F40A0C62-F893-4CB6-9428-F1EAB92696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BACUNGAN</t>
        </r>
      </text>
    </comment>
    <comment ref="O413" authorId="0" shapeId="0" xr:uid="{A6A2D823-EE80-443D-9CF2-69930CD061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FERVEY STORE
TALINGA, SINDANGAN</t>
        </r>
      </text>
    </comment>
    <comment ref="O414" authorId="0" shapeId="0" xr:uid="{7429C9C9-1DB6-40B1-B7BF-12E0DF5C38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O415" authorId="0" shapeId="0" xr:uid="{33281D0A-4F27-4519-872C-73C1EF9427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
TALINGA, SINDANGAN</t>
        </r>
      </text>
    </comment>
    <comment ref="O416" authorId="0" shapeId="0" xr:uid="{F0137BB8-8162-47A5-AEBF-39F9C93594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O417" authorId="0" shapeId="0" xr:uid="{966D0DB6-743B-4B7B-A398-62D46A97B4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SAPPAL STORE
TALINGA, BACUNGAN</t>
        </r>
      </text>
    </comment>
    <comment ref="O418" authorId="0" shapeId="0" xr:uid="{678CB0FF-5E5F-4472-ABD3-7C29DC245D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O419" authorId="0" shapeId="0" xr:uid="{F4E34677-6C9D-41E5-BE90-CD9A59638B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 EATERY
PAGLINAWAN</t>
        </r>
      </text>
    </comment>
    <comment ref="O420" authorId="0" shapeId="0" xr:uid="{07B3B0FA-CFFE-4219-84B2-22A3429B9B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MARAS, SINDANGAN</t>
        </r>
      </text>
    </comment>
    <comment ref="O421" authorId="0" shapeId="0" xr:uid="{9D56F683-0EB1-4065-9D91-4749C14D38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MARIFE BILLIONES
UPPER INUMAN, SINDANGAN</t>
        </r>
      </text>
    </comment>
    <comment ref="O422" authorId="0" shapeId="0" xr:uid="{9009418A-9C6A-4F41-AE74-E803908882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NENENG MAG-ASO
UPPER INUMAN</t>
        </r>
      </text>
    </comment>
    <comment ref="O423" authorId="0" shapeId="0" xr:uid="{F491AAAF-DD42-4990-8CC7-0D16BF4412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RIOLA STORE
ILAYA INUMAN, SINDANGAN</t>
        </r>
      </text>
    </comment>
    <comment ref="O424" authorId="0" shapeId="0" xr:uid="{87768EFE-00B0-4DF5-8FCC-64D76F32C0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MERLYN
LOWER INUMAN, SINDANGAN</t>
        </r>
      </text>
    </comment>
    <comment ref="O425" authorId="0" shapeId="0" xr:uid="{F9387C36-B92E-4FA0-A009-3EB822F916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426" authorId="0" shapeId="0" xr:uid="{11D0745B-3961-44A9-9F23-567DA00C2B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427" authorId="0" shapeId="0" xr:uid="{01DC4F81-5943-48B4-A786-5C2B16AD78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GERIAN
GOLEO, SINDANGAN</t>
        </r>
      </text>
    </comment>
    <comment ref="O428" authorId="0" shapeId="0" xr:uid="{CF424D1A-0486-48DD-AFBE-83C3E0D61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CRISTINE YANO'S
GOLEO, SINDANGAN</t>
        </r>
      </text>
    </comment>
    <comment ref="O429" authorId="0" shapeId="0" xr:uid="{C91EE618-B7D0-4D13-A70D-A541585E29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430" authorId="0" shapeId="0" xr:uid="{0A30AB88-5C85-43AB-92B0-7DE73BF839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C452" authorId="0" shapeId="0" xr:uid="{739B41EF-A2D6-4472-A330-E5EAF479AF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 BATION
PIAO, SINDANGAN</t>
        </r>
      </text>
    </comment>
    <comment ref="O452" authorId="0" shapeId="0" xr:uid="{18DA8B83-1882-4D0A-89E5-EEBB251C66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BACUNGAN, SINDANGAN</t>
        </r>
      </text>
    </comment>
    <comment ref="AA452" authorId="0" shapeId="0" xr:uid="{2C7573A8-47BB-49E1-9461-078D60C6A6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</t>
        </r>
      </text>
    </comment>
    <comment ref="C453" authorId="0" shapeId="0" xr:uid="{4FDAA053-1ABD-4126-98BD-CE02F681F3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CHARLE'S ELMEDORIAL
POB, SINDANGAN</t>
        </r>
      </text>
    </comment>
    <comment ref="O453" authorId="0" shapeId="0" xr:uid="{8013E524-1AF1-4252-84E4-8B18F07803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453" authorId="0" shapeId="0" xr:uid="{33609376-F47B-468C-825E-16B2BE5833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454" authorId="0" shapeId="0" xr:uid="{ABC656F8-1C35-42D7-BA13-D684935118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CRYSTAL DAWN CATAYAS
POB, SINDANGAN</t>
        </r>
      </text>
    </comment>
    <comment ref="O454" authorId="0" shapeId="0" xr:uid="{668384C0-6856-41F8-A3DE-10D2DEFE07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BACUNGAN, SINDANGAN</t>
        </r>
      </text>
    </comment>
    <comment ref="AA454" authorId="0" shapeId="0" xr:uid="{2CDCD7E8-0887-4AE8-A0CA-BA55CB71F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455" authorId="0" shapeId="0" xr:uid="{E7BCB45D-EA52-4950-8C56-A92BB9E556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455" authorId="0" shapeId="0" xr:uid="{3045DF10-15C0-4209-AFBA-18C255591F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455" authorId="0" shapeId="0" xr:uid="{B221CB19-33E1-47BC-84A4-338A66ED77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VANGIE PABUAYA
POB EAST, SALUG</t>
        </r>
      </text>
    </comment>
    <comment ref="AA456" authorId="0" shapeId="0" xr:uid="{7E46FA37-541D-47A8-BE98-783D09DFE5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507" authorId="0" shapeId="0" xr:uid="{A48A3AE1-722B-49CE-8E75-43A992B2ED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SINDANGAN</t>
        </r>
      </text>
    </comment>
    <comment ref="O507" authorId="0" shapeId="0" xr:uid="{A1B7FB54-FCBF-4A91-94B9-452366B34D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507" authorId="0" shapeId="0" xr:uid="{5CCD48A4-C650-4CE0-9D69-32A3942740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508" authorId="0" shapeId="0" xr:uid="{5F91A8E5-DEC0-4DB1-A447-5E0197385E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508" authorId="0" shapeId="0" xr:uid="{EB43951B-1331-42AE-8631-FE46B39B06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LUMINGIN STORE
TINAPLAN, SINDANGAN</t>
        </r>
      </text>
    </comment>
    <comment ref="AA508" authorId="0" shapeId="0" xr:uid="{AE5C2E40-4CA8-47D3-8439-F56FEF72E1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509" authorId="0" shapeId="0" xr:uid="{810BA9D4-FF45-42A0-BD38-EF79924EFD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509" authorId="0" shapeId="0" xr:uid="{C9C1FA23-4B42-4883-B681-181399091B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BERNIE CONDES
TINAPLAN, SINDANGAN</t>
        </r>
      </text>
    </comment>
    <comment ref="AA509" authorId="0" shapeId="0" xr:uid="{CCE19C40-AF73-487C-BC86-4925A51192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ALBIOS STORE
KAYOK, LILOY</t>
        </r>
      </text>
    </comment>
    <comment ref="C510" authorId="0" shapeId="0" xr:uid="{15E61BA5-C654-4CEE-B133-35871FD841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PERLA CANOY
GUNYAN, SIAYAN</t>
        </r>
      </text>
    </comment>
    <comment ref="O510" authorId="0" shapeId="0" xr:uid="{C0F879B9-AD48-4507-AE1F-2DC6331ED6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DYLEN TAMAC
TINAPLAN, SINDANGAN</t>
        </r>
      </text>
    </comment>
    <comment ref="AA510" authorId="0" shapeId="0" xr:uid="{01BBFAC4-4491-4777-822A-68DD59D2F4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BAYBAY, LILOY</t>
        </r>
      </text>
    </comment>
    <comment ref="C511" authorId="0" shapeId="0" xr:uid="{10A66592-F18E-4DAD-9FA8-642F183A10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PANDIC STORE
MUÑOZ, SIAYAN</t>
        </r>
      </text>
    </comment>
    <comment ref="O511" authorId="0" shapeId="0" xr:uid="{91F191E2-34E2-46C1-9DF3-1AA92055B7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MARILYN DADAN
TINAPLAN, SINDANGAN</t>
        </r>
      </text>
    </comment>
    <comment ref="AA511" authorId="0" shapeId="0" xr:uid="{AD390563-7BD7-480C-9165-CEACA6DA10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12" authorId="0" shapeId="0" xr:uid="{CA7C894C-8B09-4A17-9C63-97B817118C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RICKY GRAPA
MUÑOZ, SIAYAN</t>
        </r>
      </text>
    </comment>
    <comment ref="O512" authorId="0" shapeId="0" xr:uid="{78D45509-4E10-4A03-9028-012A5693B8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JUMAWAN STORE
TINAPLAN, SINDANGAN</t>
        </r>
      </text>
    </comment>
    <comment ref="AA512" authorId="0" shapeId="0" xr:uid="{A6335006-DF4E-46C7-9ED6-BB95A3F1D3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GENITA'S SARI-SARI STORE
BAYBAY, LILOY</t>
        </r>
      </text>
    </comment>
    <comment ref="C513" authorId="0" shapeId="0" xr:uid="{F6592073-AF3C-41FE-8200-193C00CF1F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ESTRELLA STORE
MUÑOZ, SIAYAN</t>
        </r>
      </text>
    </comment>
    <comment ref="O513" authorId="0" shapeId="0" xr:uid="{2AF5E739-A232-4C84-8ADB-B6AF4D6C7B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MARIALYN
TINAPLAN, SINDANGAN</t>
        </r>
      </text>
    </comment>
    <comment ref="AA513" authorId="0" shapeId="0" xr:uid="{F8DC3E6E-D1E9-47F3-ADAB-A545011648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GOLEO, SINDANGAN</t>
        </r>
      </text>
    </comment>
    <comment ref="C514" authorId="0" shapeId="0" xr:uid="{F341865E-3CDA-4B12-B09D-9D0858AF43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ADAZA
POB, SIAYAN</t>
        </r>
      </text>
    </comment>
    <comment ref="O514" authorId="0" shapeId="0" xr:uid="{F1276EA1-CD1A-499D-86A8-BEB8F15215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JUMAWAN JERRY
TINAPLAN, SINDANGAN</t>
        </r>
      </text>
    </comment>
    <comment ref="C515" authorId="0" shapeId="0" xr:uid="{59676563-6469-4E7E-A488-BE11FA2087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O515" authorId="0" shapeId="0" xr:uid="{442CE163-B5C5-45B6-8614-3BE53F4087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DALMAN STORE
DAGUHOY, SINDANGAN</t>
        </r>
      </text>
    </comment>
    <comment ref="O516" authorId="0" shapeId="0" xr:uid="{27E50BB5-BAC8-4B47-BA53-5C9683A43F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ASENTESTA STORE
DAGUHOY, SINDANGAN</t>
        </r>
      </text>
    </comment>
    <comment ref="O517" authorId="0" shapeId="0" xr:uid="{A5F20022-A697-449C-96AB-09009FB1C1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O518" authorId="0" shapeId="0" xr:uid="{857521F8-309C-4CF1-BAD9-9B892CB0EA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C562" authorId="0" shapeId="0" xr:uid="{F7382BC4-1BF3-4CAD-901C-BCE8FF4B1B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562" authorId="0" shapeId="0" xr:uid="{C28F826B-0165-4F49-842E-7E46655F2F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DAISY STORE
INUMAN, SINDANGAN</t>
        </r>
      </text>
    </comment>
    <comment ref="AA562" authorId="0" shapeId="0" xr:uid="{8574BF25-3565-476C-AA4C-DD3BCD53FF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563" authorId="0" shapeId="0" xr:uid="{6BF6BFED-1AC2-4126-B68B-64B608FD86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563" authorId="0" shapeId="0" xr:uid="{4AAC3F11-ACED-44E4-805A-54AFFF4FEE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563" authorId="0" shapeId="0" xr:uid="{2EA641FA-47F4-433A-9939-975CF55496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564" authorId="0" shapeId="0" xr:uid="{595CDB86-CDDC-4547-8227-85DFD60E7C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
POB, SIAYAN</t>
        </r>
      </text>
    </comment>
    <comment ref="O564" authorId="0" shapeId="0" xr:uid="{0A27555B-0C3A-4D73-BEDD-8FA3DA7444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564" authorId="0" shapeId="0" xr:uid="{B1382911-15E1-4829-B865-0679998163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565" authorId="0" shapeId="0" xr:uid="{8ACD6686-7909-448B-92D0-D59E95B921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565" authorId="0" shapeId="0" xr:uid="{58164F9C-6FDA-4DE6-B7DD-B46398AA1F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OXALES STORE
MANDIH, SINDANGAN</t>
        </r>
      </text>
    </comment>
    <comment ref="AA565" authorId="0" shapeId="0" xr:uid="{65D77A1A-8B1C-407A-BD02-32B1719387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66" authorId="0" shapeId="0" xr:uid="{4923A96E-B52B-41E6-A2E0-CDF61FB5A4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566" authorId="0" shapeId="0" xr:uid="{62AF50F4-DFC4-4989-9DF9-9C13F9816F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566" authorId="0" shapeId="0" xr:uid="{5B966BD4-D52B-4C6E-8C4E-B25C14C6F0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SOLEN STORE
BAYBAY, LILOY</t>
        </r>
      </text>
    </comment>
    <comment ref="C567" authorId="0" shapeId="0" xr:uid="{55F099B0-1D2A-4355-A9BF-0DF57200F9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 CONVENIENCE
RM, SALUG</t>
        </r>
      </text>
    </comment>
    <comment ref="O567" authorId="0" shapeId="0" xr:uid="{DE7CCA16-8925-47AC-99E9-5CBF639473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567" authorId="0" shapeId="0" xr:uid="{658A7E2E-0E29-4048-8420-C92EFCAC8A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568" authorId="0" shapeId="0" xr:uid="{16316F23-D352-41E5-B29B-BE75339F57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</t>
        </r>
      </text>
    </comment>
    <comment ref="O568" authorId="0" shapeId="0" xr:uid="{36CAC869-C9D3-41DA-99F1-2843D323D9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568" authorId="0" shapeId="0" xr:uid="{64983275-836D-44B6-9B4C-5642E5FF3B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O569" authorId="0" shapeId="0" xr:uid="{262B9CD5-89A2-4551-8D4B-8242F80B21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569" authorId="0" shapeId="0" xr:uid="{631F9071-CFAA-4EAB-ACE3-84D9438741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POB EAST, SALUG</t>
        </r>
      </text>
    </comment>
    <comment ref="O570" authorId="0" shapeId="0" xr:uid="{24F568FD-94C9-4B0F-A99F-C9CF5B8B75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N STORE
TALINGA, BACUNGAN</t>
        </r>
      </text>
    </comment>
    <comment ref="AA570" authorId="0" shapeId="0" xr:uid="{71C8B474-16D0-41B4-A9EE-80193FA86E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PABUAYA
POB EAST, SALUG</t>
        </r>
      </text>
    </comment>
    <comment ref="O571" authorId="0" shapeId="0" xr:uid="{43EDC16D-8AAE-43F1-A682-BE859C331C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 SALOMIA
TALINGA, BACUNGAN</t>
        </r>
      </text>
    </comment>
    <comment ref="AA571" authorId="0" shapeId="0" xr:uid="{4B95974E-AB8A-47ED-A48A-6DFEEFA5EE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572" authorId="0" shapeId="0" xr:uid="{5C60CBC2-3F9B-4038-AA94-41D39B3D0B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NYAH STORE
TALINGA, BACUNGAN</t>
        </r>
      </text>
    </comment>
    <comment ref="AA572" authorId="0" shapeId="0" xr:uid="{554CCCEE-68C1-4D5C-9E6C-1FDDA0C5EA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STORE
GOLEO, SINDANGAN</t>
        </r>
      </text>
    </comment>
    <comment ref="O573" authorId="0" shapeId="0" xr:uid="{CB9B1197-34B3-4054-8571-04BD9C8E60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
TALINGA, BACUNGAN</t>
        </r>
      </text>
    </comment>
    <comment ref="O574" authorId="0" shapeId="0" xr:uid="{C0EBADC0-0293-4A37-A7CA-BBB3DE8DB2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O575" authorId="0" shapeId="0" xr:uid="{F9397E54-74CE-43E7-ADFB-EC84E7D800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RESONABLE STORE
MARAS, SINDANGAN</t>
        </r>
      </text>
    </comment>
    <comment ref="O576" authorId="0" shapeId="0" xr:uid="{0844DDAC-0D33-417A-A300-CEFDB22067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O577" authorId="0" shapeId="0" xr:uid="{C6CCBAF5-65ED-43EA-889E-91FC5082B6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578" authorId="0" shapeId="0" xr:uid="{E0FB175E-AAAE-4492-936E-1FC52CD388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O617" authorId="0" shapeId="0" xr:uid="{E94A8693-09EF-4639-8F3F-73F13CF752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617" authorId="0" shapeId="0" xr:uid="{2DD4C5C0-A215-4C13-BD11-C8E2066B40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ZENAIDA MAÑOSA
POB, SALUG</t>
        </r>
      </text>
    </comment>
    <comment ref="O618" authorId="0" shapeId="0" xr:uid="{F1B930BA-8693-496F-841D-BC49C7B2B9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DARIO MALINAW
POB, BACUNGAN</t>
        </r>
      </text>
    </comment>
    <comment ref="AA618" authorId="0" shapeId="0" xr:uid="{EEFB7A5D-4A3C-4227-B0F0-7E1BFA341F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POB, SALUG</t>
        </r>
      </text>
    </comment>
    <comment ref="O619" authorId="0" shapeId="0" xr:uid="{DB34504E-D83A-45E0-8EB0-25939B42FA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 STORE
POB, BACUNGAN</t>
        </r>
      </text>
    </comment>
    <comment ref="AA619" authorId="0" shapeId="0" xr:uid="{9F2CA444-4999-45DD-8011-E73DC185DC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COMMENDADOR
POB, SALUG</t>
        </r>
      </text>
    </comment>
    <comment ref="O620" authorId="0" shapeId="0" xr:uid="{6E40C513-20E8-4D24-A03E-CD472519E1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620" authorId="0" shapeId="0" xr:uid="{CE194C3F-8DA2-4DE3-AB90-2983E9897D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621" authorId="0" shapeId="0" xr:uid="{D3F09678-AB36-4E51-B994-5D8368E45B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21" authorId="0" shapeId="0" xr:uid="{C48E95C3-3393-4294-8D57-A0DD1FC166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622" authorId="0" shapeId="0" xr:uid="{1E812BCF-D20F-44BB-A4E8-8296B49495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623" authorId="0" shapeId="0" xr:uid="{E0729EBB-5DD6-4C18-9000-FF6A512A14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C672" authorId="0" shapeId="0" xr:uid="{EADB99D9-4392-48F6-AF54-97D628E66B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672" authorId="0" shapeId="0" xr:uid="{47E81E94-5D5C-4855-ABE7-F99BB055F4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672" authorId="0" shapeId="0" xr:uid="{FB6BE35A-4A30-4D3D-A0B1-CC2DC1A2F0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673" authorId="0" shapeId="0" xr:uid="{ECACD153-583B-4232-A253-D32080827E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LIZIEL BAYAWA
BALOK, SINDANGAN</t>
        </r>
      </text>
    </comment>
    <comment ref="O673" authorId="0" shapeId="0" xr:uid="{CA98534D-36BB-41AE-B451-32AA4CA86E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673" authorId="0" shapeId="0" xr:uid="{C9262E6D-6D82-4D1D-A24C-46EEF84C5E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674" authorId="0" shapeId="0" xr:uid="{A647D89B-234C-4D93-920C-19D1AB7B46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74" authorId="0" shapeId="0" xr:uid="{CB1A9E62-199A-47F4-BAFC-6F6C0402F8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674" authorId="0" shapeId="0" xr:uid="{24EB302C-72F7-4826-AF62-6FBCADC373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75" authorId="0" shapeId="0" xr:uid="{33463648-BE50-4A0C-A7E5-E2DACA9EDD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675" authorId="0" shapeId="0" xr:uid="{E7CAA7DA-4968-4766-8FC7-688C05EE3F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C727" authorId="0" shapeId="0" xr:uid="{0AA3672F-C494-46DA-9028-79FE46AF09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POB, SINDANGAN</t>
        </r>
      </text>
    </comment>
    <comment ref="O727" authorId="0" shapeId="0" xr:uid="{4A45AE26-6B66-4C62-BD1F-B7FAA200F7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727" authorId="0" shapeId="0" xr:uid="{D0F3DDB0-0595-45AD-B87B-3EA10B417F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FLORDELUNA JUMAWAN
BACONG, SALUG</t>
        </r>
      </text>
    </comment>
    <comment ref="C728" authorId="0" shapeId="0" xr:uid="{B9235E93-FA95-46D7-8255-00F312852F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POB, SINDANGAN</t>
        </r>
      </text>
    </comment>
    <comment ref="O728" authorId="0" shapeId="0" xr:uid="{4C5B6DF8-761E-4F9D-AB92-6AE53DCA6E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728" authorId="0" shapeId="0" xr:uid="{A952E6CE-4217-4FFF-8ADE-51C8D41FA0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4J'S BAKESHOP
BACONG, SALUG</t>
        </r>
      </text>
    </comment>
    <comment ref="C729" authorId="0" shapeId="0" xr:uid="{A35D5FF5-8997-4154-AF21-7E460346EE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 RUSIANA
DISUD, SINDANGAN</t>
        </r>
      </text>
    </comment>
    <comment ref="O729" authorId="0" shapeId="0" xr:uid="{2D479D89-4B71-4D2E-880D-D11B70D393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729" authorId="0" shapeId="0" xr:uid="{5750A184-1DE9-4801-91C7-DDE7875527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RETUYA STORE
BACONG, SALUG</t>
        </r>
      </text>
    </comment>
    <comment ref="O730" authorId="0" shapeId="0" xr:uid="{B2B5B188-8DEB-4020-900D-1F5A59BDFD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730" authorId="0" shapeId="0" xr:uid="{A7BB039D-6EB3-4CF0-9B50-7A82B4D89D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BACONG, SALUG</t>
        </r>
      </text>
    </comment>
    <comment ref="O731" authorId="0" shapeId="0" xr:uid="{74C4AC68-C016-47CD-B38A-5D997E7997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731" authorId="0" shapeId="0" xr:uid="{B7DCAC29-5B4B-4DBB-9C34-20D9BFCD29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ALIT
BACONG, SALUG</t>
        </r>
      </text>
    </comment>
    <comment ref="AA732" authorId="0" shapeId="0" xr:uid="{60FC9033-FDB5-4DD4-8A83-108B449388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MAC LORE
STO NIÑO, SALUG</t>
        </r>
      </text>
    </comment>
    <comment ref="AA733" authorId="0" shapeId="0" xr:uid="{86AEFDA2-FA07-4398-97C2-D2CE21DD0C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CUEVAS
STO NIÑO, SALUG</t>
        </r>
      </text>
    </comment>
    <comment ref="AA734" authorId="0" shapeId="0" xr:uid="{C1A7E221-AA44-418B-9967-529D453F5D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TROCIO ANALYN
BACONG, SALUG</t>
        </r>
      </text>
    </comment>
    <comment ref="AA735" authorId="0" shapeId="0" xr:uid="{B01F8A26-F336-4795-85CD-0804D10D52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CANALOAN, SALUG</t>
        </r>
      </text>
    </comment>
    <comment ref="AA736" authorId="0" shapeId="0" xr:uid="{951BD32F-0BE7-49C1-9102-A74B67397F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ANN LIPAYO
CANAWAN, SALUG</t>
        </r>
      </text>
    </comment>
    <comment ref="AA737" authorId="0" shapeId="0" xr:uid="{2C6AB829-C7FC-48CA-9C55-89D13F8D2C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 EAST, SALUG</t>
        </r>
      </text>
    </comment>
    <comment ref="AA738" authorId="0" shapeId="0" xr:uid="{C4FC65E7-D989-45C8-B6CE-93649A6494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GOODS STORE
POB EAST, SALUG</t>
        </r>
      </text>
    </comment>
    <comment ref="AA739" authorId="0" shapeId="0" xr:uid="{1C31D8A6-DBA9-4D36-AD39-FD9FA5039E6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CARLITO
BACONG, SALUG</t>
        </r>
      </text>
    </comment>
    <comment ref="AA740" authorId="0" shapeId="0" xr:uid="{5D10BFF1-1C02-4F9D-80BC-74771530F7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NAONG STORE
BACONG, SALUG</t>
        </r>
      </text>
    </comment>
    <comment ref="AA741" authorId="0" shapeId="0" xr:uid="{44D57961-6724-4AC6-9049-B0A5926D8C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NALE
GOLEO, SINDANGAN</t>
        </r>
      </text>
    </comment>
    <comment ref="AA742" authorId="0" shapeId="0" xr:uid="{F09C726E-8408-46C4-B192-56D7C05EAA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AA743" authorId="0" shapeId="0" xr:uid="{33B6FB40-2F9D-473B-8819-DB4ED254260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SAN MIGUEL BREWERY INC.</t>
        </r>
      </text>
    </comment>
    <comment ref="C782" authorId="0" shapeId="0" xr:uid="{4FB7C226-2A2F-490F-8D7A-7A8473461A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POB, SINDANGAN</t>
        </r>
      </text>
    </comment>
    <comment ref="O782" authorId="0" shapeId="0" xr:uid="{899A0BB5-7F9A-4333-B508-4AA3C814AE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782" authorId="0" shapeId="0" xr:uid="{9FC2173C-CB5A-484C-A454-1D04B08319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783" authorId="0" shapeId="0" xr:uid="{FF25E494-A7B0-4E72-94F3-51D79A1B75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783" authorId="0" shapeId="0" xr:uid="{733D21BD-B40D-4080-B4EC-A40EFB569C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783" authorId="0" shapeId="0" xr:uid="{A1E190E7-597D-41AA-BFBA-C9C023DA8B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784" authorId="0" shapeId="0" xr:uid="{F29B06ED-42B1-43D7-B295-9FD86ED534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PODIOTAN
POB, SIAYAN</t>
        </r>
      </text>
    </comment>
    <comment ref="O784" authorId="0" shapeId="0" xr:uid="{812CFF98-4F9C-495E-8CE0-DFB5A10417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784" authorId="0" shapeId="0" xr:uid="{A44933DC-6A0E-495B-946E-BEA297F7C1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785" authorId="0" shapeId="0" xr:uid="{7734148C-0672-496B-B1C2-08EABA218A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POB, SIAYAN</t>
        </r>
      </text>
    </comment>
    <comment ref="O785" authorId="0" shapeId="0" xr:uid="{E0CA7E07-7DC1-4B11-B7F8-64C21CE07C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MARTIN STORE
PALANDOK, BACUNGAN</t>
        </r>
      </text>
    </comment>
    <comment ref="AA785" authorId="0" shapeId="0" xr:uid="{CD6E67A4-1585-4BD5-B80C-645227B4EB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86" authorId="0" shapeId="0" xr:uid="{BA2655F5-7A44-4ECA-BF97-2BD0192A84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786" authorId="0" shapeId="0" xr:uid="{36DEDDCE-D416-4835-BD64-3290FA4D43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786" authorId="0" shapeId="0" xr:uid="{0B1F35E6-6DA3-4913-A6DE-2CAF8D3738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 BATION
PIAO, SINDANGAN</t>
        </r>
      </text>
    </comment>
    <comment ref="C787" authorId="0" shapeId="0" xr:uid="{92E3B391-C690-409E-B66A-00C9925235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POB, SIAYAN</t>
        </r>
      </text>
    </comment>
    <comment ref="O787" authorId="0" shapeId="0" xr:uid="{4657FD6C-C20C-40C1-9EF0-30016F559A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STORE
PALANDOK, BACUNGAN</t>
        </r>
      </text>
    </comment>
    <comment ref="C788" authorId="0" shapeId="0" xr:uid="{9370334C-0E48-4D44-A50B-A4DF052FDA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788" authorId="0" shapeId="0" xr:uid="{3D90D06D-BE12-4DB6-9070-C7374DDD48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C789" authorId="0" shapeId="0" xr:uid="{03C3AFE6-27B5-4C6C-B315-9629ABC263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789" authorId="0" shapeId="0" xr:uid="{4A5C9442-1C6E-4180-B167-A368DA4A89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ADEN'S STORE
TALINGA, BACUNGAN</t>
        </r>
      </text>
    </comment>
    <comment ref="C790" authorId="0" shapeId="0" xr:uid="{9D26518D-DF3C-4751-9E78-15973B3058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SIR NEIL BAGUIO</t>
        </r>
      </text>
    </comment>
    <comment ref="O790" authorId="0" shapeId="0" xr:uid="{D3CE5974-C04A-44EA-8AF3-A8345995C0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O791" authorId="0" shapeId="0" xr:uid="{B5B55408-F063-4EDE-8DED-086BC45656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C837" authorId="0" shapeId="0" xr:uid="{2D9A7BCA-8DED-436F-8DE7-5E4C3A023A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DENOYAN, SIAYAN</t>
        </r>
      </text>
    </comment>
    <comment ref="O837" authorId="0" shapeId="0" xr:uid="{B652B568-287A-491E-A88D-E58826A045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837" authorId="0" shapeId="0" xr:uid="{18D86D9E-2064-4284-A9DD-84D062EC2C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838" authorId="0" shapeId="0" xr:uid="{6C072B0C-4506-442D-B3F1-918A5AF19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DENOYAN, SIAYAN</t>
        </r>
      </text>
    </comment>
    <comment ref="O838" authorId="0" shapeId="0" xr:uid="{0D95AA9D-77B7-4A3C-B47E-EC65D1D53A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838" authorId="0" shapeId="0" xr:uid="{4C8E7622-D2C9-4744-889A-939C1D5262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839" authorId="0" shapeId="0" xr:uid="{00D50E0E-FE52-4C8D-A2C9-840716D246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AZUSINA
DAGAO, SIAYAN</t>
        </r>
      </text>
    </comment>
    <comment ref="O839" authorId="0" shapeId="0" xr:uid="{706EEDAA-17A3-4F2E-BA80-6B749AFE46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839" authorId="0" shapeId="0" xr:uid="{4798E6A2-4355-47AE-8DF5-97894FF6C7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EMOTEN STORE
POB EAST, SALUG</t>
        </r>
      </text>
    </comment>
    <comment ref="C840" authorId="0" shapeId="0" xr:uid="{B241AA09-988F-43BA-A99C-DC1EACA8EF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840" authorId="0" shapeId="0" xr:uid="{1D6BA980-7E7D-476E-BD8B-4EC6859F7A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840" authorId="0" shapeId="0" xr:uid="{DE36A58E-9D5E-4840-B7B7-3139F418F6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841" authorId="0" shapeId="0" xr:uid="{AAC71FE7-A385-464B-84BE-1702130536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841" authorId="0" shapeId="0" xr:uid="{0B532DC9-A8A0-481C-9FA4-79ED310A70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FERVEY STORE
TALINGA, SINDANGAN</t>
        </r>
      </text>
    </comment>
    <comment ref="AA841" authorId="0" shapeId="0" xr:uid="{0D26F965-61D7-4CE3-9AC4-1235C12336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842" authorId="0" shapeId="0" xr:uid="{C5C533FB-88F7-4A9D-95D7-10809D38EA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842" authorId="0" shapeId="0" xr:uid="{BFEB0064-4E39-476C-B2C2-C1C3D91371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FAYE SANOPAO
MARAS, SINDANGAN</t>
        </r>
      </text>
    </comment>
    <comment ref="AA842" authorId="0" shapeId="0" xr:uid="{18AE79E4-C97A-4E64-98E9-DB6B913FBF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AMIT STORE
BACONG, SALUG</t>
        </r>
      </text>
    </comment>
    <comment ref="C843" authorId="0" shapeId="0" xr:uid="{312C240C-C52B-4786-AEEA-7239C32451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MABEL FAYE GABIOLA
DAGAO, SIAYAN</t>
        </r>
      </text>
    </comment>
    <comment ref="O843" authorId="0" shapeId="0" xr:uid="{C99604B9-32E9-4E90-B48C-C6796CCEBA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O844" authorId="0" shapeId="0" xr:uid="{BB2219FE-F8C8-4E80-9AE7-AA3D367772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O845" authorId="0" shapeId="0" xr:uid="{C2FBF2BF-E408-41EC-ACA2-D29C1E82AD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846" authorId="0" shapeId="0" xr:uid="{E0161F1D-F6E1-4533-B30B-5DDB613DF3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C892" authorId="0" shapeId="0" xr:uid="{B73A67E0-1DBF-450F-B072-9195E7EEC3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892" authorId="0" shapeId="0" xr:uid="{42DAAAD9-7AC7-4BC2-AA45-21A0F5CBC6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892" authorId="0" shapeId="0" xr:uid="{69BEE74A-9D8B-4996-9802-17B0C79FE5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POB EAST, SALUG</t>
        </r>
      </text>
    </comment>
    <comment ref="C893" authorId="0" shapeId="0" xr:uid="{AA5FCD45-80F4-4434-9BAB-2122430D96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AVILLA
DAPAON, SINDANGAN</t>
        </r>
      </text>
    </comment>
    <comment ref="O893" authorId="0" shapeId="0" xr:uid="{50FDC39C-6636-4AE6-A6B7-2DE0C52D21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893" authorId="0" shapeId="0" xr:uid="{4FA7EBB1-CF8A-4C42-B5EA-5EFF3E5F52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894" authorId="0" shapeId="0" xr:uid="{898B3213-98AA-4714-9F83-FD929AEC43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894" authorId="0" shapeId="0" xr:uid="{191B5328-F849-40C0-BC17-E051976D73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894" authorId="0" shapeId="0" xr:uid="{2A0C332C-3BEA-4A0B-A5FB-3681367249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895" authorId="0" shapeId="0" xr:uid="{F4F77430-A5D3-4F15-A54E-33FD8F691C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 CATAYAS
POB, SINDANGAN</t>
        </r>
      </text>
    </comment>
    <comment ref="O895" authorId="0" shapeId="0" xr:uid="{57E9665F-6B1E-494B-80DB-050C91D2D9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895" authorId="0" shapeId="0" xr:uid="{AC2D2DB5-B79B-4CD9-AD44-4B6BD313A9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896" authorId="0" shapeId="0" xr:uid="{57CA3B68-BD87-49A4-9A18-9AE10BCE1C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ROSALYN BALASE
POB, SINDANGAN</t>
        </r>
      </text>
    </comment>
    <comment ref="AA896" authorId="0" shapeId="0" xr:uid="{7327789A-2246-45FC-93E7-8557A13D7F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 STORE
POB EAST, SALUG</t>
        </r>
      </text>
    </comment>
    <comment ref="C897" authorId="0" shapeId="0" xr:uid="{158FB475-BFF2-45AF-87F7-E0AC8AE35D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ROSEMARIE CABABAT
POB, SINDANGAN</t>
        </r>
      </text>
    </comment>
    <comment ref="AA897" authorId="0" shapeId="0" xr:uid="{1430045D-D9FA-49BD-8FB1-CFA6FB9497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JENG JENG
CANAWAN, SALUG</t>
        </r>
      </text>
    </comment>
    <comment ref="C898" authorId="0" shapeId="0" xr:uid="{32655AA0-08F7-4BDC-B4F4-B57057DBE8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CHRISTINE CABILLO
POB, SINDANGAN</t>
        </r>
      </text>
    </comment>
    <comment ref="AA898" authorId="0" shapeId="0" xr:uid="{4F4DAF57-E087-47C7-BFF3-EF26A6D4B9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STORE
BACONG, SALUG</t>
        </r>
      </text>
    </comment>
    <comment ref="C899" authorId="0" shapeId="0" xr:uid="{1CC2B576-BE63-4DCC-AB7C-32CBD34B43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CERNAN
POB, SINDANGAN</t>
        </r>
      </text>
    </comment>
    <comment ref="AA899" authorId="0" shapeId="0" xr:uid="{AABEB828-A779-4711-9E38-45CF55CE09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RETUYA STORE
BACONG, SALUG</t>
        </r>
      </text>
    </comment>
    <comment ref="C900" authorId="0" shapeId="0" xr:uid="{22E1A0DB-4074-4BF6-A452-997F9126D6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DIOSDADA TORIÑO
POB, SINDANGAN</t>
        </r>
      </text>
    </comment>
    <comment ref="C901" authorId="0" shapeId="0" xr:uid="{7581CB0E-8BB9-4F67-A391-FFF4B54A0F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VANESSA RADA
POB, SINDANGAN</t>
        </r>
      </text>
    </comment>
    <comment ref="C902" authorId="0" shapeId="0" xr:uid="{D91515D4-071D-4923-88D0-3895B61909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LIZA MAE DELACRUZ
POB, SINDANGAN</t>
        </r>
      </text>
    </comment>
    <comment ref="C903" authorId="0" shapeId="0" xr:uid="{EB0749A8-4872-4D1D-B333-5E44807013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</commentList>
</comments>
</file>

<file path=xl/sharedStrings.xml><?xml version="1.0" encoding="utf-8"?>
<sst xmlns="http://schemas.openxmlformats.org/spreadsheetml/2006/main" count="1168" uniqueCount="86">
  <si>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</si>
  <si>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</si>
  <si>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</si>
  <si>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</si>
  <si>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</si>
  <si>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</si>
  <si>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</si>
  <si>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</si>
  <si>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</si>
  <si>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</si>
  <si>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</si>
  <si>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</si>
  <si>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</si>
  <si>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</si>
  <si>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</si>
  <si>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</si>
  <si>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</si>
  <si>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</si>
  <si>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</si>
  <si>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</si>
  <si>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</si>
  <si>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</si>
  <si>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</si>
  <si>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</si>
  <si>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</si>
  <si>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</si>
  <si>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</si>
  <si>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</si>
  <si>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</si>
  <si>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</si>
  <si>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</si>
  <si>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</si>
  <si>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</si>
  <si>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</si>
  <si>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</si>
  <si>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GICA, GRACE</t>
  </si>
  <si>
    <t>R3</t>
  </si>
  <si>
    <t>R4</t>
  </si>
  <si>
    <t>MARCH 2026</t>
  </si>
  <si>
    <t>MARCH 02, 2026</t>
  </si>
  <si>
    <t>9150,9401-9411/9340-9347/9377-9383</t>
  </si>
  <si>
    <t>MARCH 03, 2026</t>
  </si>
  <si>
    <t>TUESDAY</t>
  </si>
  <si>
    <t>9412-9422/9348-9350,9451-9463/9384-9389</t>
  </si>
  <si>
    <t>WEDNESDAY</t>
  </si>
  <si>
    <t>MARCH 04, 2026</t>
  </si>
  <si>
    <t>9423-9425/9464-9465/9390-9396</t>
  </si>
  <si>
    <t>THURSDAY</t>
  </si>
  <si>
    <t>MARCH 05, 2026</t>
  </si>
  <si>
    <t>9426-9429/9467-9473</t>
  </si>
  <si>
    <t>FRIDAY</t>
  </si>
  <si>
    <t>MARCH 06, 2026</t>
  </si>
  <si>
    <t>//9397-9400,9501-9502</t>
  </si>
  <si>
    <t>SATURDAY</t>
  </si>
  <si>
    <t>MARCH 07, 2026</t>
  </si>
  <si>
    <t>9430-9435/9474-9479/9503-9510</t>
  </si>
  <si>
    <t>MARCH 09, 2026</t>
  </si>
  <si>
    <t>9436-9441/9480-9485/9511-9517,9651-9652</t>
  </si>
  <si>
    <t>MARCH 10, 2026</t>
  </si>
  <si>
    <t>9442-9450,9551-9554/9486-9500,9601-9619/9518-9532</t>
  </si>
  <si>
    <t>MARCH 11, 2026</t>
  </si>
  <si>
    <t>9555-9558/9620-9623/9533-9537</t>
  </si>
  <si>
    <t>MARCH 12, 2026</t>
  </si>
  <si>
    <t>9559-9567/9624-9635/9538-9544</t>
  </si>
  <si>
    <t>NO TRIP</t>
  </si>
  <si>
    <t>MARCH 14, 2026</t>
  </si>
  <si>
    <t>03/14/2026</t>
  </si>
  <si>
    <t>MARCH 16, 2026</t>
  </si>
  <si>
    <t>03/16/2026</t>
  </si>
  <si>
    <t>/9701-9708/9576-9580</t>
  </si>
  <si>
    <t>9568-9574/9636-9650,9575,9708/9545-9550,9653-9657</t>
  </si>
  <si>
    <t>MARCH 17, 2026</t>
  </si>
  <si>
    <t>03/17/2026</t>
  </si>
  <si>
    <t>9581-9584/9709-9712/9659-9661</t>
  </si>
  <si>
    <t>MARCH 18, 2026</t>
  </si>
  <si>
    <t>03/18/2026</t>
  </si>
  <si>
    <t>9585-9587/9713-9717/9662-9677,9751</t>
  </si>
  <si>
    <t>MARCH 19, 2026</t>
  </si>
  <si>
    <t>03/19/2026</t>
  </si>
  <si>
    <t>MARCH 20, 2026</t>
  </si>
  <si>
    <t>03/20/2026</t>
  </si>
  <si>
    <t>9588-9597/9718-9727/9678-9683</t>
  </si>
  <si>
    <t>9598-9600,9801-9804/9728-9737/9685-9690</t>
  </si>
  <si>
    <t>MARCH 23, 2026</t>
  </si>
  <si>
    <t>03/23/2026</t>
  </si>
  <si>
    <t>9805-9816/9738-9741/9691-9698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</si>
</sst>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9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topLeftCell="A7" zoomScaleNormal="100" workbookViewId="0">
      <selection activeCell="C33" sqref="C33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8" t="s">
        <v>38</v>
      </c>
      <c r="B6" s="108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36</v>
      </c>
      <c r="I8" s="52" t="s">
        <v>37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3" t="s">
        <v>6</v>
      </c>
      <c r="C10" s="44" t="s">
        <v>29</v>
      </c>
      <c r="D10" s="55" t="s">
        <v>29</v>
      </c>
      <c r="F10" s="14"/>
      <c r="G10" s="14"/>
      <c r="H10" s="14"/>
      <c r="I10" s="14"/>
      <c r="J10" s="59"/>
    </row>
    <row r="11" spans="1:10" x14ac:dyDescent="0.25">
      <c r="A11" s="10">
        <f>A10+1</f>
        <v>2</v>
      </c>
      <c r="B11" s="11" t="s">
        <v>7</v>
      </c>
      <c r="C11" s="12" t="s">
        <v>40</v>
      </c>
      <c r="D11" s="16">
        <f t="shared" ref="D11:D25" si="0">J11</f>
        <v>713188.5</v>
      </c>
      <c r="F11" s="14">
        <v>225644</v>
      </c>
      <c r="G11" s="14">
        <v>266864.5</v>
      </c>
      <c r="H11" s="14">
        <v>220680</v>
      </c>
      <c r="I11" s="14"/>
      <c r="J11" s="17">
        <f t="shared" ref="J11:J40" si="1">F11+G11+H11</f>
        <v>713188.5</v>
      </c>
    </row>
    <row r="12" spans="1:10" x14ac:dyDescent="0.25">
      <c r="A12" s="10">
        <f t="shared" ref="A12:A40" si="2">A11+1</f>
        <v>3</v>
      </c>
      <c r="B12" s="43" t="s">
        <v>8</v>
      </c>
      <c r="C12" s="12" t="s">
        <v>43</v>
      </c>
      <c r="D12" s="16">
        <f t="shared" si="0"/>
        <v>700012.5</v>
      </c>
      <c r="F12" s="14">
        <v>275938</v>
      </c>
      <c r="G12" s="14">
        <v>191876.5</v>
      </c>
      <c r="H12" s="14">
        <v>232198</v>
      </c>
      <c r="I12" s="14"/>
      <c r="J12" s="17">
        <f t="shared" si="1"/>
        <v>700012.5</v>
      </c>
    </row>
    <row r="13" spans="1:10" x14ac:dyDescent="0.25">
      <c r="A13" s="10">
        <f t="shared" si="2"/>
        <v>4</v>
      </c>
      <c r="B13" s="56" t="s">
        <v>9</v>
      </c>
      <c r="C13" s="12" t="s">
        <v>46</v>
      </c>
      <c r="D13" s="16">
        <f t="shared" si="0"/>
        <v>744049</v>
      </c>
      <c r="F13" s="14">
        <v>328350</v>
      </c>
      <c r="G13" s="14">
        <v>214462</v>
      </c>
      <c r="H13" s="14">
        <v>201237</v>
      </c>
      <c r="I13" s="14"/>
      <c r="J13" s="17">
        <f t="shared" si="1"/>
        <v>744049</v>
      </c>
    </row>
    <row r="14" spans="1:10" x14ac:dyDescent="0.25">
      <c r="A14" s="10">
        <f t="shared" si="2"/>
        <v>5</v>
      </c>
      <c r="B14" s="11" t="s">
        <v>30</v>
      </c>
      <c r="C14" s="12" t="s">
        <v>49</v>
      </c>
      <c r="D14" s="16">
        <f t="shared" si="0"/>
        <v>485815</v>
      </c>
      <c r="F14" s="14">
        <v>255824</v>
      </c>
      <c r="G14" s="14">
        <v>229991</v>
      </c>
      <c r="H14" s="14"/>
      <c r="I14" s="14"/>
      <c r="J14" s="17">
        <f t="shared" si="1"/>
        <v>485815</v>
      </c>
    </row>
    <row r="15" spans="1:10" x14ac:dyDescent="0.25">
      <c r="A15" s="10">
        <f t="shared" si="2"/>
        <v>6</v>
      </c>
      <c r="B15" s="43" t="s">
        <v>4</v>
      </c>
      <c r="C15" s="12" t="s">
        <v>52</v>
      </c>
      <c r="D15" s="16">
        <f t="shared" si="0"/>
        <v>306997</v>
      </c>
      <c r="F15" s="14"/>
      <c r="G15" s="14"/>
      <c r="H15" s="14">
        <v>306997</v>
      </c>
      <c r="I15" s="14"/>
      <c r="J15" s="17">
        <f t="shared" si="1"/>
        <v>306997</v>
      </c>
    </row>
    <row r="16" spans="1:10" x14ac:dyDescent="0.25">
      <c r="A16" s="10">
        <f t="shared" si="2"/>
        <v>7</v>
      </c>
      <c r="B16" s="56" t="s">
        <v>5</v>
      </c>
      <c r="C16" s="12" t="s">
        <v>55</v>
      </c>
      <c r="D16" s="16">
        <f t="shared" si="0"/>
        <v>926482</v>
      </c>
      <c r="F16" s="14">
        <v>275589</v>
      </c>
      <c r="G16" s="14">
        <v>298710</v>
      </c>
      <c r="H16" s="14">
        <v>352183</v>
      </c>
      <c r="I16" s="14"/>
      <c r="J16" s="17">
        <f t="shared" si="1"/>
        <v>926482</v>
      </c>
    </row>
    <row r="17" spans="1:10" x14ac:dyDescent="0.25">
      <c r="A17" s="10">
        <f t="shared" si="2"/>
        <v>8</v>
      </c>
      <c r="B17" s="13" t="s">
        <v>6</v>
      </c>
      <c r="C17" s="44" t="s">
        <v>29</v>
      </c>
      <c r="D17" s="55" t="s">
        <v>29</v>
      </c>
      <c r="F17" s="14"/>
      <c r="G17" s="14"/>
      <c r="H17" s="14"/>
      <c r="I17" s="14"/>
      <c r="J17" s="59"/>
    </row>
    <row r="18" spans="1:10" x14ac:dyDescent="0.25">
      <c r="A18" s="10">
        <f t="shared" si="2"/>
        <v>9</v>
      </c>
      <c r="B18" s="11" t="s">
        <v>7</v>
      </c>
      <c r="C18" s="12" t="s">
        <v>57</v>
      </c>
      <c r="D18" s="16">
        <f t="shared" si="0"/>
        <v>1174563.45</v>
      </c>
      <c r="F18" s="14">
        <v>447814</v>
      </c>
      <c r="G18" s="14">
        <v>424974</v>
      </c>
      <c r="H18" s="14">
        <v>301775.44999999995</v>
      </c>
      <c r="I18" s="14"/>
      <c r="J18" s="17">
        <f t="shared" si="1"/>
        <v>1174563.45</v>
      </c>
    </row>
    <row r="19" spans="1:10" x14ac:dyDescent="0.25">
      <c r="A19" s="10">
        <f t="shared" si="2"/>
        <v>10</v>
      </c>
      <c r="B19" s="43" t="s">
        <v>8</v>
      </c>
      <c r="C19" s="12" t="s">
        <v>59</v>
      </c>
      <c r="D19" s="16">
        <f t="shared" si="0"/>
        <v>693547.1</v>
      </c>
      <c r="F19" s="14">
        <v>228575</v>
      </c>
      <c r="G19" s="14">
        <v>226490.6</v>
      </c>
      <c r="H19" s="14">
        <v>238481.5</v>
      </c>
      <c r="I19" s="14"/>
      <c r="J19" s="17">
        <f t="shared" si="1"/>
        <v>693547.1</v>
      </c>
    </row>
    <row r="20" spans="1:10" x14ac:dyDescent="0.25">
      <c r="A20" s="10">
        <f t="shared" si="2"/>
        <v>11</v>
      </c>
      <c r="B20" s="56" t="s">
        <v>9</v>
      </c>
      <c r="C20" s="12" t="s">
        <v>61</v>
      </c>
      <c r="D20" s="16">
        <f t="shared" si="0"/>
        <v>794286</v>
      </c>
      <c r="F20" s="14">
        <v>271327</v>
      </c>
      <c r="G20" s="14">
        <v>226714</v>
      </c>
      <c r="H20" s="14">
        <v>296245</v>
      </c>
      <c r="I20" s="14"/>
      <c r="J20" s="17">
        <f t="shared" si="1"/>
        <v>794286</v>
      </c>
    </row>
    <row r="21" spans="1:10" x14ac:dyDescent="0.25">
      <c r="A21" s="10">
        <f t="shared" si="2"/>
        <v>12</v>
      </c>
      <c r="B21" s="11" t="s">
        <v>30</v>
      </c>
      <c r="C21" s="12" t="s">
        <v>63</v>
      </c>
      <c r="D21" s="16">
        <f t="shared" si="0"/>
        <v>880238</v>
      </c>
      <c r="F21" s="14">
        <v>283805</v>
      </c>
      <c r="G21" s="14">
        <v>325291</v>
      </c>
      <c r="H21" s="14">
        <v>271142</v>
      </c>
      <c r="I21" s="14"/>
      <c r="J21" s="17">
        <f t="shared" si="1"/>
        <v>880238</v>
      </c>
    </row>
    <row r="22" spans="1:10" x14ac:dyDescent="0.25">
      <c r="A22" s="10">
        <f t="shared" si="2"/>
        <v>13</v>
      </c>
      <c r="B22" s="43" t="s">
        <v>4</v>
      </c>
      <c r="C22" s="44" t="s">
        <v>64</v>
      </c>
      <c r="D22" s="55" t="s">
        <v>64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56" t="s">
        <v>5</v>
      </c>
      <c r="C23" s="12" t="s">
        <v>70</v>
      </c>
      <c r="D23" s="16">
        <f t="shared" si="0"/>
        <v>942834.5</v>
      </c>
      <c r="F23" s="14">
        <v>477012</v>
      </c>
      <c r="G23" s="14">
        <v>238612.5</v>
      </c>
      <c r="H23" s="14">
        <v>227210</v>
      </c>
      <c r="I23" s="14"/>
      <c r="J23" s="17">
        <f t="shared" si="1"/>
        <v>942834.5</v>
      </c>
    </row>
    <row r="24" spans="1:10" x14ac:dyDescent="0.25">
      <c r="A24" s="10">
        <f t="shared" si="2"/>
        <v>15</v>
      </c>
      <c r="B24" s="13" t="s">
        <v>6</v>
      </c>
      <c r="C24" s="44" t="s">
        <v>29</v>
      </c>
      <c r="D24" s="55" t="s">
        <v>29</v>
      </c>
      <c r="F24" s="14"/>
      <c r="G24" s="14"/>
      <c r="H24" s="14"/>
      <c r="I24" s="14"/>
      <c r="J24" s="59"/>
    </row>
    <row r="25" spans="1:10" x14ac:dyDescent="0.25">
      <c r="A25" s="10">
        <f t="shared" si="2"/>
        <v>16</v>
      </c>
      <c r="B25" s="11" t="s">
        <v>7</v>
      </c>
      <c r="C25" s="12" t="s">
        <v>69</v>
      </c>
      <c r="D25" s="16">
        <f t="shared" si="0"/>
        <v>735472</v>
      </c>
      <c r="F25" s="14"/>
      <c r="G25" s="14">
        <v>382343</v>
      </c>
      <c r="H25" s="14">
        <v>353129</v>
      </c>
      <c r="I25" s="14"/>
      <c r="J25" s="17">
        <f t="shared" si="1"/>
        <v>735472</v>
      </c>
    </row>
    <row r="26" spans="1:10" x14ac:dyDescent="0.25">
      <c r="A26" s="10">
        <f t="shared" si="2"/>
        <v>17</v>
      </c>
      <c r="B26" s="43" t="s">
        <v>8</v>
      </c>
      <c r="C26" s="12" t="s">
        <v>73</v>
      </c>
      <c r="D26" s="16">
        <f t="shared" ref="D26:D29" si="3">J26</f>
        <v>1400157</v>
      </c>
      <c r="F26" s="14">
        <v>672621</v>
      </c>
      <c r="G26" s="14">
        <v>275739</v>
      </c>
      <c r="H26" s="14">
        <v>451797</v>
      </c>
      <c r="I26" s="14"/>
      <c r="J26" s="17">
        <f t="shared" si="1"/>
        <v>1400157</v>
      </c>
    </row>
    <row r="27" spans="1:10" x14ac:dyDescent="0.25">
      <c r="A27" s="10">
        <f t="shared" si="2"/>
        <v>18</v>
      </c>
      <c r="B27" s="56" t="s">
        <v>9</v>
      </c>
      <c r="C27" s="12" t="s">
        <v>76</v>
      </c>
      <c r="D27" s="16">
        <f t="shared" si="3"/>
        <v>876415.52</v>
      </c>
      <c r="F27" s="14">
        <v>347972</v>
      </c>
      <c r="G27" s="14">
        <v>261968.5</v>
      </c>
      <c r="H27" s="14">
        <v>266475.02</v>
      </c>
      <c r="I27" s="14"/>
      <c r="J27" s="17">
        <f t="shared" si="1"/>
        <v>876415.52</v>
      </c>
    </row>
    <row r="28" spans="1:10" x14ac:dyDescent="0.25">
      <c r="A28" s="10">
        <f t="shared" si="2"/>
        <v>19</v>
      </c>
      <c r="B28" s="11" t="s">
        <v>30</v>
      </c>
      <c r="C28" s="12" t="s">
        <v>81</v>
      </c>
      <c r="D28" s="16">
        <f t="shared" si="3"/>
        <v>976940.5</v>
      </c>
      <c r="F28" s="14">
        <v>383624</v>
      </c>
      <c r="G28" s="14">
        <v>227782.5</v>
      </c>
      <c r="H28" s="14">
        <v>365534</v>
      </c>
      <c r="I28" s="14"/>
      <c r="J28" s="17">
        <f t="shared" si="1"/>
        <v>976940.5</v>
      </c>
    </row>
    <row r="29" spans="1:10" x14ac:dyDescent="0.25">
      <c r="A29" s="10">
        <f t="shared" si="2"/>
        <v>20</v>
      </c>
      <c r="B29" s="43" t="s">
        <v>4</v>
      </c>
      <c r="C29" s="12" t="s">
        <v>82</v>
      </c>
      <c r="D29" s="16">
        <f t="shared" si="3"/>
        <v>851652</v>
      </c>
      <c r="F29" s="14">
        <v>293210.5</v>
      </c>
      <c r="G29" s="14">
        <v>293089.5</v>
      </c>
      <c r="H29" s="14">
        <v>265352</v>
      </c>
      <c r="I29" s="14"/>
      <c r="J29" s="17">
        <f t="shared" si="1"/>
        <v>851652</v>
      </c>
    </row>
    <row r="30" spans="1:10" x14ac:dyDescent="0.25">
      <c r="A30" s="10">
        <f t="shared" si="2"/>
        <v>21</v>
      </c>
      <c r="B30" s="56" t="s">
        <v>5</v>
      </c>
      <c r="C30" s="44" t="s">
        <v>64</v>
      </c>
      <c r="D30" s="55" t="s">
        <v>64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13" t="s">
        <v>6</v>
      </c>
      <c r="C31" s="44" t="s">
        <v>29</v>
      </c>
      <c r="D31" s="55" t="s">
        <v>29</v>
      </c>
      <c r="E31" s="14"/>
      <c r="F31" s="14"/>
      <c r="G31" s="14"/>
      <c r="H31" s="14"/>
      <c r="I31" s="14"/>
      <c r="J31" s="59"/>
    </row>
    <row r="32" spans="1:10" x14ac:dyDescent="0.25">
      <c r="A32" s="10">
        <f t="shared" si="2"/>
        <v>23</v>
      </c>
      <c r="B32" s="11" t="s">
        <v>7</v>
      </c>
      <c r="C32" s="12" t="s">
        <v>85</v>
      </c>
      <c r="D32" s="16">
        <f t="shared" ref="D32:D39" si="4">J32</f>
        <v>997685.5</v>
      </c>
      <c r="E32" s="15"/>
      <c r="F32" s="15">
        <v>377761</v>
      </c>
      <c r="G32" s="14">
        <v>301093.5</v>
      </c>
      <c r="H32" s="14">
        <v>318831</v>
      </c>
      <c r="I32" s="54"/>
      <c r="J32" s="17">
        <f t="shared" si="1"/>
        <v>997685.5</v>
      </c>
    </row>
    <row r="33" spans="1:10" x14ac:dyDescent="0.25">
      <c r="A33" s="10">
        <f t="shared" si="2"/>
        <v>24</v>
      </c>
      <c r="B33" s="43" t="s">
        <v>8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9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1" t="s">
        <v>30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43" t="s">
        <v>4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5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13" t="s">
        <v>6</v>
      </c>
      <c r="C38" s="44" t="s">
        <v>29</v>
      </c>
      <c r="D38" s="55" t="s">
        <v>29</v>
      </c>
      <c r="E38" s="14"/>
      <c r="F38" s="14"/>
      <c r="G38" s="14"/>
      <c r="H38" s="14"/>
      <c r="I38" s="14"/>
      <c r="J38" s="59"/>
    </row>
    <row r="39" spans="1:10" x14ac:dyDescent="0.25">
      <c r="A39" s="10">
        <f t="shared" si="2"/>
        <v>30</v>
      </c>
      <c r="B39" s="56" t="s">
        <v>7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>
        <f t="shared" si="2"/>
        <v>31</v>
      </c>
      <c r="B40" s="56" t="s">
        <v>8</v>
      </c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9" t="s">
        <v>10</v>
      </c>
      <c r="B42" s="110"/>
      <c r="C42" s="111"/>
      <c r="D42" s="48">
        <f>SUM(D2:D41)</f>
        <v>14200335.57</v>
      </c>
      <c r="J42" s="49">
        <f>SUM(J10:J41)</f>
        <v>14200335.57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opLeftCell="A909" zoomScaleNormal="100" workbookViewId="0">
      <selection activeCell="A936" sqref="A936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35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6" t="s">
        <v>17</v>
      </c>
      <c r="E10" s="116"/>
      <c r="F10" s="75"/>
      <c r="G10" s="27"/>
      <c r="I10" s="117" t="s">
        <v>18</v>
      </c>
      <c r="J10" s="118"/>
      <c r="K10" s="112" t="s">
        <v>19</v>
      </c>
      <c r="N10" s="25"/>
      <c r="O10" s="26"/>
      <c r="P10" s="116" t="s">
        <v>17</v>
      </c>
      <c r="Q10" s="116"/>
      <c r="R10" s="75"/>
      <c r="S10" s="27"/>
      <c r="U10" s="117" t="s">
        <v>18</v>
      </c>
      <c r="V10" s="118"/>
      <c r="W10" s="112" t="s">
        <v>19</v>
      </c>
      <c r="Z10" s="25"/>
      <c r="AA10" s="26"/>
      <c r="AB10" s="116" t="s">
        <v>17</v>
      </c>
      <c r="AC10" s="116"/>
      <c r="AD10" s="75"/>
      <c r="AE10" s="27"/>
      <c r="AG10" s="117" t="s">
        <v>18</v>
      </c>
      <c r="AH10" s="118"/>
      <c r="AI10" s="112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13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13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13"/>
    </row>
    <row r="12" spans="1:35" x14ac:dyDescent="0.25">
      <c r="A12" s="10">
        <v>1</v>
      </c>
      <c r="B12" s="30">
        <v>46056</v>
      </c>
      <c r="C12" s="83">
        <v>9150</v>
      </c>
      <c r="D12" s="32">
        <f>650*10+670*2+650</f>
        <v>8490</v>
      </c>
      <c r="E12" s="32"/>
      <c r="F12" s="32"/>
      <c r="G12" s="32">
        <f t="shared" ref="G12:G45" si="0">SUM(D12:E12)</f>
        <v>8490</v>
      </c>
      <c r="H12" s="12"/>
      <c r="I12" s="12">
        <v>27</v>
      </c>
      <c r="J12" s="12"/>
      <c r="K12" s="12">
        <f t="shared" ref="K12:K45" si="1">SUM(G12:J12)</f>
        <v>8517</v>
      </c>
      <c r="M12" s="10">
        <v>1</v>
      </c>
      <c r="N12" s="30">
        <v>46056</v>
      </c>
      <c r="O12" s="31">
        <v>9340</v>
      </c>
      <c r="P12" s="32">
        <f>650*2+9.5*2</f>
        <v>1319</v>
      </c>
      <c r="Q12" s="32"/>
      <c r="R12" s="32"/>
      <c r="S12" s="32">
        <f>SUM(P12:Q12)</f>
        <v>1319</v>
      </c>
      <c r="T12" s="12"/>
      <c r="U12" s="12"/>
      <c r="V12" s="12">
        <v>-333</v>
      </c>
      <c r="W12" s="12">
        <f>SUM(S12:V12)</f>
        <v>986</v>
      </c>
      <c r="Y12" s="10">
        <v>1</v>
      </c>
      <c r="Z12" s="30">
        <v>46056</v>
      </c>
      <c r="AA12" s="31">
        <v>9377</v>
      </c>
      <c r="AB12" s="32">
        <f>650*110+622*40+872+229*6</f>
        <v>98626</v>
      </c>
      <c r="AC12" s="32"/>
      <c r="AD12" s="32"/>
      <c r="AE12" s="32">
        <f>SUM(AB12:AC12)</f>
        <v>98626</v>
      </c>
      <c r="AF12" s="12"/>
      <c r="AG12" s="12">
        <f>2109+459</f>
        <v>2568</v>
      </c>
      <c r="AH12" s="12"/>
      <c r="AI12" s="12">
        <f>SUM(AE12:AH12)</f>
        <v>101194</v>
      </c>
    </row>
    <row r="13" spans="1:35" x14ac:dyDescent="0.25">
      <c r="A13" s="10">
        <v>2</v>
      </c>
      <c r="B13" s="30">
        <v>46056</v>
      </c>
      <c r="C13" s="83">
        <v>9401</v>
      </c>
      <c r="D13" s="32">
        <f>650*5+670*2+973+622*5+912+872+9.5*10+500</f>
        <v>11052</v>
      </c>
      <c r="E13" s="32"/>
      <c r="F13" s="32"/>
      <c r="G13" s="32">
        <f t="shared" si="0"/>
        <v>11052</v>
      </c>
      <c r="H13" s="12"/>
      <c r="I13" s="12"/>
      <c r="J13" s="12"/>
      <c r="K13" s="12">
        <f t="shared" si="1"/>
        <v>11052</v>
      </c>
      <c r="M13" s="10">
        <v>2</v>
      </c>
      <c r="N13" s="30">
        <v>46056</v>
      </c>
      <c r="O13" s="31">
        <f>O12+1</f>
        <v>9341</v>
      </c>
      <c r="P13" s="32">
        <f>650*200+622*20+912*10+229*9+650*2</f>
        <v>154921</v>
      </c>
      <c r="Q13" s="32">
        <f>-230*6</f>
        <v>-1380</v>
      </c>
      <c r="R13" s="32"/>
      <c r="S13" s="32">
        <f t="shared" ref="S13:S44" si="2">SUM(P13:Q13)</f>
        <v>153541</v>
      </c>
      <c r="T13" s="12"/>
      <c r="U13" s="12">
        <v>234</v>
      </c>
      <c r="V13" s="12">
        <f>-8658+-924</f>
        <v>-9582</v>
      </c>
      <c r="W13" s="12">
        <f t="shared" ref="W13:W44" si="3">SUM(S13:V13)</f>
        <v>144193</v>
      </c>
      <c r="Y13" s="10">
        <v>2</v>
      </c>
      <c r="Z13" s="30">
        <v>46056</v>
      </c>
      <c r="AA13" s="31">
        <f>AA12+1</f>
        <v>9378</v>
      </c>
      <c r="AB13" s="32">
        <f>650*98+670*5+622*10+912+872+229*4</f>
        <v>75970</v>
      </c>
      <c r="AC13" s="32">
        <f>-115*6</f>
        <v>-690</v>
      </c>
      <c r="AD13" s="32"/>
      <c r="AE13" s="32">
        <f t="shared" ref="AE13:AE44" si="4">SUM(AB13:AC13)</f>
        <v>75280</v>
      </c>
      <c r="AF13" s="12"/>
      <c r="AG13" s="12"/>
      <c r="AH13" s="12"/>
      <c r="AI13" s="12">
        <f t="shared" ref="AI13:AI44" si="5">SUM(AE13:AH13)</f>
        <v>75280</v>
      </c>
    </row>
    <row r="14" spans="1:35" x14ac:dyDescent="0.25">
      <c r="A14" s="10">
        <v>3</v>
      </c>
      <c r="B14" s="30">
        <v>46056</v>
      </c>
      <c r="C14" s="83">
        <f t="shared" ref="C14:C23" si="6">C13+1</f>
        <v>9402</v>
      </c>
      <c r="D14" s="33">
        <f>650*4+9.5*4</f>
        <v>2638</v>
      </c>
      <c r="E14" s="33"/>
      <c r="F14" s="33"/>
      <c r="G14" s="33">
        <f t="shared" si="0"/>
        <v>2638</v>
      </c>
      <c r="H14" s="34"/>
      <c r="I14" s="34"/>
      <c r="J14" s="34"/>
      <c r="K14" s="34">
        <f t="shared" si="1"/>
        <v>2638</v>
      </c>
      <c r="M14" s="10">
        <v>3</v>
      </c>
      <c r="N14" s="30">
        <v>46056</v>
      </c>
      <c r="O14" s="31">
        <f t="shared" ref="O14:O19" si="7">O13+1</f>
        <v>9342</v>
      </c>
      <c r="P14" s="32">
        <f>650*26</f>
        <v>16900</v>
      </c>
      <c r="Q14" s="32"/>
      <c r="R14" s="32"/>
      <c r="S14" s="32">
        <f t="shared" si="2"/>
        <v>16900</v>
      </c>
      <c r="T14" s="12"/>
      <c r="U14" s="12"/>
      <c r="V14" s="12"/>
      <c r="W14" s="12">
        <f t="shared" si="3"/>
        <v>16900</v>
      </c>
      <c r="Y14" s="10">
        <v>3</v>
      </c>
      <c r="Z14" s="30">
        <v>46056</v>
      </c>
      <c r="AA14" s="31">
        <f t="shared" ref="AA14:AA18" si="8">AA13+1</f>
        <v>9379</v>
      </c>
      <c r="AB14" s="33">
        <f>650*18+622*2+229</f>
        <v>13173</v>
      </c>
      <c r="AC14" s="33"/>
      <c r="AD14" s="32"/>
      <c r="AE14" s="32">
        <f t="shared" si="4"/>
        <v>13173</v>
      </c>
      <c r="AF14" s="12"/>
      <c r="AG14" s="12"/>
      <c r="AH14" s="12"/>
      <c r="AI14" s="12">
        <f t="shared" si="5"/>
        <v>13173</v>
      </c>
    </row>
    <row r="15" spans="1:35" x14ac:dyDescent="0.25">
      <c r="A15" s="10">
        <v>4</v>
      </c>
      <c r="B15" s="30">
        <v>46056</v>
      </c>
      <c r="C15" s="83">
        <f t="shared" si="6"/>
        <v>9403</v>
      </c>
      <c r="D15" s="32">
        <f>650*3+670+622+9.5*4</f>
        <v>3280</v>
      </c>
      <c r="E15" s="32"/>
      <c r="F15" s="32"/>
      <c r="G15" s="32">
        <f t="shared" si="0"/>
        <v>3280</v>
      </c>
      <c r="H15" s="12"/>
      <c r="I15" s="12"/>
      <c r="J15" s="12"/>
      <c r="K15" s="12">
        <f t="shared" si="1"/>
        <v>3280</v>
      </c>
      <c r="M15" s="10">
        <v>4</v>
      </c>
      <c r="N15" s="30">
        <v>46056</v>
      </c>
      <c r="O15" s="31">
        <f t="shared" si="7"/>
        <v>9343</v>
      </c>
      <c r="P15" s="32">
        <f>650*60+486.5+622*10+456</f>
        <v>46162.5</v>
      </c>
      <c r="Q15" s="32"/>
      <c r="R15" s="32"/>
      <c r="S15" s="32">
        <f t="shared" si="2"/>
        <v>46162.5</v>
      </c>
      <c r="T15" s="12"/>
      <c r="U15" s="12"/>
      <c r="V15" s="12">
        <v>-222</v>
      </c>
      <c r="W15" s="12">
        <f t="shared" si="3"/>
        <v>45940.5</v>
      </c>
      <c r="Y15" s="10">
        <v>4</v>
      </c>
      <c r="Z15" s="30">
        <v>46056</v>
      </c>
      <c r="AA15" s="31">
        <f t="shared" si="8"/>
        <v>9380</v>
      </c>
      <c r="AB15" s="32">
        <f>650*15+670*4+622*5+229</f>
        <v>15769</v>
      </c>
      <c r="AC15" s="32"/>
      <c r="AD15" s="32"/>
      <c r="AE15" s="32">
        <f t="shared" si="4"/>
        <v>15769</v>
      </c>
      <c r="AF15" s="12"/>
      <c r="AH15" s="12"/>
      <c r="AI15" s="12">
        <f t="shared" si="5"/>
        <v>15769</v>
      </c>
    </row>
    <row r="16" spans="1:35" x14ac:dyDescent="0.25">
      <c r="A16" s="10">
        <v>5</v>
      </c>
      <c r="B16" s="30">
        <v>46056</v>
      </c>
      <c r="C16" s="83">
        <f t="shared" si="6"/>
        <v>9404</v>
      </c>
      <c r="D16" s="32">
        <f>650*4+622*2+9.5*6</f>
        <v>3901</v>
      </c>
      <c r="E16" s="32"/>
      <c r="F16" s="32"/>
      <c r="G16" s="32">
        <f t="shared" si="0"/>
        <v>3901</v>
      </c>
      <c r="H16" s="12"/>
      <c r="I16" s="12"/>
      <c r="J16" s="12"/>
      <c r="K16" s="12">
        <f t="shared" si="1"/>
        <v>3901</v>
      </c>
      <c r="M16" s="10">
        <v>5</v>
      </c>
      <c r="N16" s="30">
        <v>46056</v>
      </c>
      <c r="O16" s="31">
        <f t="shared" si="7"/>
        <v>9344</v>
      </c>
      <c r="P16" s="32">
        <f>650*20+622*10+1102</f>
        <v>20322</v>
      </c>
      <c r="Q16" s="32"/>
      <c r="R16" s="32"/>
      <c r="S16" s="32">
        <f t="shared" si="2"/>
        <v>20322</v>
      </c>
      <c r="T16" s="12"/>
      <c r="U16" s="12">
        <v>216</v>
      </c>
      <c r="V16" s="12"/>
      <c r="W16" s="12">
        <f t="shared" si="3"/>
        <v>20538</v>
      </c>
      <c r="Y16" s="10">
        <v>5</v>
      </c>
      <c r="Z16" s="30">
        <v>46056</v>
      </c>
      <c r="AA16" s="31">
        <f t="shared" si="8"/>
        <v>9381</v>
      </c>
      <c r="AB16" s="32">
        <f>650*20</f>
        <v>13000</v>
      </c>
      <c r="AC16" s="32"/>
      <c r="AD16" s="32"/>
      <c r="AE16" s="32">
        <f t="shared" ref="AE16:AE21" si="9">SUM(AB16:AC16)</f>
        <v>13000</v>
      </c>
      <c r="AF16" s="12"/>
      <c r="AG16" s="12"/>
      <c r="AH16" s="12">
        <v>-555</v>
      </c>
      <c r="AI16" s="12">
        <f t="shared" si="5"/>
        <v>12445</v>
      </c>
    </row>
    <row r="17" spans="1:35" x14ac:dyDescent="0.25">
      <c r="A17" s="10">
        <v>6</v>
      </c>
      <c r="B17" s="30">
        <v>46056</v>
      </c>
      <c r="C17" s="83">
        <f t="shared" si="6"/>
        <v>9405</v>
      </c>
      <c r="D17" s="32">
        <f>650*4+670*4+872+500</f>
        <v>6652</v>
      </c>
      <c r="E17" s="32"/>
      <c r="F17" s="32"/>
      <c r="G17" s="32">
        <f t="shared" si="0"/>
        <v>6652</v>
      </c>
      <c r="H17" s="12"/>
      <c r="I17" s="12"/>
      <c r="J17" s="12"/>
      <c r="K17" s="12">
        <f t="shared" si="1"/>
        <v>6652</v>
      </c>
      <c r="M17" s="10">
        <v>6</v>
      </c>
      <c r="N17" s="30">
        <v>46056</v>
      </c>
      <c r="O17" s="31">
        <f t="shared" si="7"/>
        <v>9345</v>
      </c>
      <c r="P17" s="32">
        <v>670</v>
      </c>
      <c r="Q17" s="32"/>
      <c r="R17" s="32"/>
      <c r="S17" s="32">
        <f t="shared" si="2"/>
        <v>670</v>
      </c>
      <c r="T17" s="12"/>
      <c r="U17" s="12"/>
      <c r="V17" s="10"/>
      <c r="W17" s="12">
        <f t="shared" si="3"/>
        <v>670</v>
      </c>
      <c r="Y17" s="10">
        <v>6</v>
      </c>
      <c r="Z17" s="30">
        <v>46056</v>
      </c>
      <c r="AA17" s="31">
        <f t="shared" si="8"/>
        <v>9382</v>
      </c>
      <c r="AB17" s="32">
        <f>650*5</f>
        <v>3250</v>
      </c>
      <c r="AC17" s="32"/>
      <c r="AD17" s="32"/>
      <c r="AE17" s="32">
        <f t="shared" si="9"/>
        <v>3250</v>
      </c>
      <c r="AF17" s="12"/>
      <c r="AG17" s="12"/>
      <c r="AH17" s="10"/>
      <c r="AI17" s="12">
        <f t="shared" si="5"/>
        <v>3250</v>
      </c>
    </row>
    <row r="18" spans="1:35" x14ac:dyDescent="0.25">
      <c r="A18" s="10">
        <v>7</v>
      </c>
      <c r="B18" s="30">
        <v>46056</v>
      </c>
      <c r="C18" s="83">
        <f t="shared" si="6"/>
        <v>9406</v>
      </c>
      <c r="D18" s="32">
        <f>22*650</f>
        <v>14300</v>
      </c>
      <c r="E18" s="32"/>
      <c r="F18" s="32"/>
      <c r="G18" s="32">
        <f t="shared" si="0"/>
        <v>14300</v>
      </c>
      <c r="H18" s="12"/>
      <c r="I18" s="12"/>
      <c r="J18" s="12"/>
      <c r="K18" s="12">
        <f t="shared" si="1"/>
        <v>14300</v>
      </c>
      <c r="M18" s="10">
        <v>7</v>
      </c>
      <c r="N18" s="30">
        <v>46056</v>
      </c>
      <c r="O18" s="31">
        <f t="shared" si="7"/>
        <v>9346</v>
      </c>
      <c r="P18" s="32">
        <f>650*11</f>
        <v>7150</v>
      </c>
      <c r="Q18" s="32"/>
      <c r="R18" s="32"/>
      <c r="S18" s="32">
        <f t="shared" si="2"/>
        <v>7150</v>
      </c>
      <c r="T18" s="12"/>
      <c r="U18" s="12">
        <v>27</v>
      </c>
      <c r="V18" s="12"/>
      <c r="W18" s="12">
        <f t="shared" si="3"/>
        <v>7177</v>
      </c>
      <c r="Y18" s="10">
        <v>7</v>
      </c>
      <c r="Z18" s="30">
        <v>46056</v>
      </c>
      <c r="AA18" s="31">
        <f t="shared" si="8"/>
        <v>9383</v>
      </c>
      <c r="AB18" s="32">
        <f>1582</f>
        <v>1582</v>
      </c>
      <c r="AC18" s="32"/>
      <c r="AD18" s="32"/>
      <c r="AE18" s="32">
        <f t="shared" si="9"/>
        <v>1582</v>
      </c>
      <c r="AF18" s="12"/>
      <c r="AG18" s="58"/>
      <c r="AH18" s="12"/>
      <c r="AI18" s="12">
        <f t="shared" si="5"/>
        <v>1582</v>
      </c>
    </row>
    <row r="19" spans="1:35" x14ac:dyDescent="0.25">
      <c r="A19" s="10">
        <v>8</v>
      </c>
      <c r="B19" s="30">
        <v>46056</v>
      </c>
      <c r="C19" s="83">
        <f t="shared" si="6"/>
        <v>9407</v>
      </c>
      <c r="D19" s="32">
        <f>650*15+670*3+622*10</f>
        <v>17980</v>
      </c>
      <c r="E19" s="32"/>
      <c r="F19" s="32"/>
      <c r="G19" s="32">
        <f t="shared" si="0"/>
        <v>17980</v>
      </c>
      <c r="H19" s="12"/>
      <c r="I19" s="12"/>
      <c r="J19" s="12"/>
      <c r="K19" s="12">
        <f t="shared" si="1"/>
        <v>17980</v>
      </c>
      <c r="M19" s="10">
        <v>8</v>
      </c>
      <c r="N19" s="30">
        <v>46056</v>
      </c>
      <c r="O19" s="31">
        <f t="shared" si="7"/>
        <v>9347</v>
      </c>
      <c r="P19" s="32">
        <f>650*32</f>
        <v>20800</v>
      </c>
      <c r="Q19" s="32"/>
      <c r="R19" s="32"/>
      <c r="S19" s="32">
        <f t="shared" si="2"/>
        <v>20800</v>
      </c>
      <c r="T19" s="12"/>
      <c r="U19" s="12"/>
      <c r="V19" s="12">
        <v>-666</v>
      </c>
      <c r="W19" s="12">
        <f t="shared" si="3"/>
        <v>20134</v>
      </c>
      <c r="Y19" s="10">
        <v>8</v>
      </c>
      <c r="Z19" s="30"/>
      <c r="AA19" s="11" t="s">
        <v>27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>
        <v>46056</v>
      </c>
      <c r="C20" s="83">
        <f t="shared" si="6"/>
        <v>9408</v>
      </c>
      <c r="D20" s="32">
        <f>650*15</f>
        <v>9750</v>
      </c>
      <c r="E20" s="32"/>
      <c r="F20" s="32"/>
      <c r="G20" s="32">
        <f t="shared" si="0"/>
        <v>9750</v>
      </c>
      <c r="H20" s="12"/>
      <c r="I20" s="12"/>
      <c r="J20" s="12">
        <v>-1554</v>
      </c>
      <c r="K20" s="12">
        <f t="shared" si="1"/>
        <v>8196</v>
      </c>
      <c r="M20" s="10">
        <v>9</v>
      </c>
      <c r="N20" s="30"/>
      <c r="O20" s="11" t="s">
        <v>27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>
        <v>46056</v>
      </c>
      <c r="C21" s="83">
        <f t="shared" si="6"/>
        <v>9409</v>
      </c>
      <c r="D21" s="32">
        <f>912</f>
        <v>912</v>
      </c>
      <c r="E21" s="32"/>
      <c r="F21" s="32"/>
      <c r="G21" s="32">
        <f t="shared" si="0"/>
        <v>912</v>
      </c>
      <c r="H21" s="12"/>
      <c r="I21" s="12"/>
      <c r="J21" s="12"/>
      <c r="K21" s="12">
        <f t="shared" si="1"/>
        <v>912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>
        <v>46056</v>
      </c>
      <c r="C22" s="83">
        <f t="shared" si="6"/>
        <v>9410</v>
      </c>
      <c r="D22" s="32">
        <f>650*216+229*5</f>
        <v>141545</v>
      </c>
      <c r="E22" s="32">
        <f>-216*6</f>
        <v>-1296</v>
      </c>
      <c r="F22" s="32"/>
      <c r="G22" s="32">
        <f t="shared" si="0"/>
        <v>140249</v>
      </c>
      <c r="H22" s="12"/>
      <c r="I22" s="12">
        <v>9768</v>
      </c>
      <c r="J22" s="12"/>
      <c r="K22" s="12">
        <f t="shared" si="1"/>
        <v>150017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46056</v>
      </c>
      <c r="C23" s="83">
        <f t="shared" si="6"/>
        <v>9411</v>
      </c>
      <c r="D23" s="32">
        <f>650*10</f>
        <v>6500</v>
      </c>
      <c r="E23" s="32">
        <f>-10*6</f>
        <v>-60</v>
      </c>
      <c r="F23" s="32"/>
      <c r="G23" s="32">
        <f t="shared" si="0"/>
        <v>6440</v>
      </c>
      <c r="H23" s="12"/>
      <c r="I23" s="12"/>
      <c r="J23" s="10"/>
      <c r="K23" s="12">
        <f t="shared" si="1"/>
        <v>6440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 t="s">
        <v>27</v>
      </c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227000</v>
      </c>
      <c r="E55" s="38">
        <f t="shared" ref="E55:F55" si="18">SUM(E12:E52)</f>
        <v>-1356</v>
      </c>
      <c r="F55" s="38">
        <f t="shared" si="18"/>
        <v>0</v>
      </c>
      <c r="G55" s="38">
        <f>SUM(G12:G54)</f>
        <v>225644</v>
      </c>
      <c r="H55" s="4"/>
      <c r="I55" s="39">
        <f>SUM(I12:I54)</f>
        <v>9795</v>
      </c>
      <c r="J55" s="39">
        <f>SUM(J12:J54)</f>
        <v>-1554</v>
      </c>
      <c r="K55" s="40">
        <f>SUM(K12:K54)</f>
        <v>233885</v>
      </c>
      <c r="N55" s="57"/>
      <c r="O55" s="57"/>
      <c r="P55" s="38">
        <f>SUM(P12:P54)</f>
        <v>268244.5</v>
      </c>
      <c r="Q55" s="38">
        <f>SUM(Q12:Q36)</f>
        <v>-1380</v>
      </c>
      <c r="R55" s="38">
        <f>SUM(R12:R36)</f>
        <v>0</v>
      </c>
      <c r="S55" s="38">
        <f>SUM(S12:S54)</f>
        <v>266864.5</v>
      </c>
      <c r="T55" s="4"/>
      <c r="U55" s="41">
        <f>SUM(U12:U54)</f>
        <v>477</v>
      </c>
      <c r="V55" s="41">
        <f>SUM(V12:V36)</f>
        <v>-10803</v>
      </c>
      <c r="W55" s="42">
        <f>SUM(W12:W54)</f>
        <v>256538.5</v>
      </c>
      <c r="Z55" s="57"/>
      <c r="AA55" s="57"/>
      <c r="AB55" s="38">
        <f>SUM(AB12:AB54)</f>
        <v>221370</v>
      </c>
      <c r="AC55" s="38">
        <f>SUM(AC12:AC36)</f>
        <v>-690</v>
      </c>
      <c r="AD55" s="38">
        <f>SUM(AD12:AD36)</f>
        <v>0</v>
      </c>
      <c r="AE55" s="38">
        <f>SUM(AE12:AE54)</f>
        <v>220680</v>
      </c>
      <c r="AF55" s="4"/>
      <c r="AG55" s="41">
        <f>SUM(AG12:AG54)</f>
        <v>2568</v>
      </c>
      <c r="AH55" s="41">
        <f>SUM(AH12:AH36)</f>
        <v>-555</v>
      </c>
      <c r="AI55" s="42">
        <f>SUM(AI12:AI54)</f>
        <v>222693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42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42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42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41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41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41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35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6" t="s">
        <v>17</v>
      </c>
      <c r="E65" s="116"/>
      <c r="F65" s="90"/>
      <c r="G65" s="27"/>
      <c r="I65" s="117" t="s">
        <v>18</v>
      </c>
      <c r="J65" s="118"/>
      <c r="K65" s="112" t="s">
        <v>19</v>
      </c>
      <c r="N65" s="25"/>
      <c r="O65" s="26"/>
      <c r="P65" s="116" t="s">
        <v>17</v>
      </c>
      <c r="Q65" s="116"/>
      <c r="R65" s="90"/>
      <c r="S65" s="27"/>
      <c r="U65" s="117" t="s">
        <v>18</v>
      </c>
      <c r="V65" s="118"/>
      <c r="W65" s="112" t="s">
        <v>19</v>
      </c>
      <c r="Z65" s="25"/>
      <c r="AA65" s="26"/>
      <c r="AB65" s="116" t="s">
        <v>17</v>
      </c>
      <c r="AC65" s="116"/>
      <c r="AD65" s="90"/>
      <c r="AE65" s="27"/>
      <c r="AG65" s="117" t="s">
        <v>18</v>
      </c>
      <c r="AH65" s="118"/>
      <c r="AI65" s="112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13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13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13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46084</v>
      </c>
      <c r="C67" s="83">
        <v>9412</v>
      </c>
      <c r="D67" s="32">
        <f>650*78+700*2+15*622</f>
        <v>61430</v>
      </c>
      <c r="E67" s="32"/>
      <c r="F67" s="32"/>
      <c r="G67" s="32">
        <f t="shared" ref="G67:G100" si="19">SUM(D67:E67)</f>
        <v>61430</v>
      </c>
      <c r="H67" s="12"/>
      <c r="I67" s="12"/>
      <c r="J67" s="12"/>
      <c r="K67" s="12">
        <f t="shared" ref="K67:K100" si="20">SUM(G67:J67)</f>
        <v>61430</v>
      </c>
      <c r="M67" s="10">
        <v>1</v>
      </c>
      <c r="N67" s="30">
        <v>46084</v>
      </c>
      <c r="O67" s="31">
        <v>9348</v>
      </c>
      <c r="P67" s="32">
        <f>650*5+622*2</f>
        <v>4494</v>
      </c>
      <c r="Q67" s="32"/>
      <c r="R67" s="32"/>
      <c r="S67" s="32">
        <f>SUM(P67:Q67)</f>
        <v>4494</v>
      </c>
      <c r="T67" s="12"/>
      <c r="U67" s="12"/>
      <c r="V67" s="12"/>
      <c r="W67" s="12">
        <f>SUM(S67:V67)</f>
        <v>4494</v>
      </c>
      <c r="Y67" s="10">
        <v>1</v>
      </c>
      <c r="Z67" s="30">
        <v>46084</v>
      </c>
      <c r="AA67" s="31">
        <v>9384</v>
      </c>
      <c r="AB67" s="32">
        <f>650*50+229*2</f>
        <v>32958</v>
      </c>
      <c r="AC67" s="32"/>
      <c r="AD67" s="32"/>
      <c r="AE67" s="32">
        <f>SUM(AB67:AC67)</f>
        <v>32958</v>
      </c>
      <c r="AF67" s="12"/>
      <c r="AG67" s="12"/>
      <c r="AH67" s="12"/>
      <c r="AI67" s="12">
        <f>SUM(AE67:AH67)</f>
        <v>32958</v>
      </c>
      <c r="AK67" s="62"/>
      <c r="AL67" s="65"/>
      <c r="AM67" s="86"/>
      <c r="AN67" s="115"/>
      <c r="AO67" s="115"/>
      <c r="AP67" s="86"/>
      <c r="AQ67" s="62"/>
      <c r="AR67" s="115"/>
      <c r="AS67" s="115"/>
      <c r="AT67" s="114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46084</v>
      </c>
      <c r="C68" s="83">
        <f>C67+1</f>
        <v>9413</v>
      </c>
      <c r="D68" s="32">
        <f>650*14+670+622</f>
        <v>10392</v>
      </c>
      <c r="E68" s="32"/>
      <c r="F68" s="32"/>
      <c r="G68" s="32">
        <f t="shared" si="19"/>
        <v>10392</v>
      </c>
      <c r="H68" s="12"/>
      <c r="I68" s="12"/>
      <c r="J68" s="12"/>
      <c r="K68" s="12">
        <f t="shared" si="20"/>
        <v>10392</v>
      </c>
      <c r="M68" s="10">
        <v>2</v>
      </c>
      <c r="N68" s="30">
        <v>46084</v>
      </c>
      <c r="O68" s="31">
        <f>O67+1</f>
        <v>9349</v>
      </c>
      <c r="P68" s="32">
        <f>650*20+622*2+9.5*22</f>
        <v>14453</v>
      </c>
      <c r="Q68" s="32"/>
      <c r="R68" s="32"/>
      <c r="S68" s="32">
        <f t="shared" ref="S68:S99" si="21">SUM(P68:Q68)</f>
        <v>14453</v>
      </c>
      <c r="T68" s="12"/>
      <c r="U68" s="12"/>
      <c r="V68" s="12"/>
      <c r="W68" s="12">
        <f t="shared" ref="W68:W99" si="22">SUM(S68:V68)</f>
        <v>14453</v>
      </c>
      <c r="Y68" s="10">
        <v>2</v>
      </c>
      <c r="Z68" s="30">
        <v>46084</v>
      </c>
      <c r="AA68" s="31">
        <f>AA67+1</f>
        <v>9385</v>
      </c>
      <c r="AB68" s="32">
        <f>650*120+670*10+622*20+872*3+229*5+500</f>
        <v>101401</v>
      </c>
      <c r="AC68" s="32">
        <f>-153*6</f>
        <v>-918</v>
      </c>
      <c r="AD68" s="32"/>
      <c r="AE68" s="32">
        <f t="shared" ref="AE68:AE70" si="23">SUM(AB68:AC68)</f>
        <v>100483</v>
      </c>
      <c r="AF68" s="12"/>
      <c r="AG68" s="12"/>
      <c r="AH68" s="12"/>
      <c r="AI68" s="12">
        <f t="shared" ref="AI68:AI108" si="24">SUM(AE68:AH68)</f>
        <v>100483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14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46084</v>
      </c>
      <c r="C69" s="83">
        <f t="shared" ref="C69:C77" si="25">C68+1</f>
        <v>9414</v>
      </c>
      <c r="D69" s="33">
        <f>650*2+9.5*2</f>
        <v>1319</v>
      </c>
      <c r="E69" s="33"/>
      <c r="F69" s="33"/>
      <c r="G69" s="33">
        <f t="shared" si="19"/>
        <v>1319</v>
      </c>
      <c r="H69" s="34"/>
      <c r="I69" s="34"/>
      <c r="J69" s="34"/>
      <c r="K69" s="34">
        <f t="shared" si="20"/>
        <v>1319</v>
      </c>
      <c r="M69" s="10">
        <v>3</v>
      </c>
      <c r="N69" s="30">
        <v>46084</v>
      </c>
      <c r="O69" s="31">
        <f t="shared" ref="O69:O83" si="26">O68+1</f>
        <v>9350</v>
      </c>
      <c r="P69" s="32">
        <f>650*2+9.5*2</f>
        <v>1319</v>
      </c>
      <c r="Q69" s="32"/>
      <c r="R69" s="32"/>
      <c r="S69" s="32">
        <f t="shared" si="21"/>
        <v>1319</v>
      </c>
      <c r="T69" s="12"/>
      <c r="U69" s="12"/>
      <c r="V69" s="12"/>
      <c r="W69" s="12">
        <f t="shared" si="22"/>
        <v>1319</v>
      </c>
      <c r="Y69" s="10">
        <v>3</v>
      </c>
      <c r="Z69" s="30">
        <v>46084</v>
      </c>
      <c r="AA69" s="31">
        <f t="shared" ref="AA69:AA72" si="27">AA68+1</f>
        <v>9386</v>
      </c>
      <c r="AB69" s="33">
        <f>650*20+670*3+973+622*3+229</f>
        <v>18078</v>
      </c>
      <c r="AC69" s="33"/>
      <c r="AD69" s="32"/>
      <c r="AE69" s="32">
        <f t="shared" si="23"/>
        <v>18078</v>
      </c>
      <c r="AF69" s="12"/>
      <c r="AG69" s="12"/>
      <c r="AH69" s="12"/>
      <c r="AI69" s="12">
        <f t="shared" si="24"/>
        <v>18078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46084</v>
      </c>
      <c r="C70" s="83">
        <f t="shared" si="25"/>
        <v>9415</v>
      </c>
      <c r="D70" s="32">
        <f>650*6+9.5*6+650</f>
        <v>4607</v>
      </c>
      <c r="E70" s="32"/>
      <c r="F70" s="32"/>
      <c r="G70" s="32">
        <f t="shared" si="19"/>
        <v>4607</v>
      </c>
      <c r="H70" s="12"/>
      <c r="I70" s="12"/>
      <c r="J70" s="12"/>
      <c r="K70" s="12">
        <f t="shared" si="20"/>
        <v>4607</v>
      </c>
      <c r="M70" s="10">
        <v>4</v>
      </c>
      <c r="N70" s="30">
        <v>46084</v>
      </c>
      <c r="O70" s="31">
        <v>9451</v>
      </c>
      <c r="P70" s="32">
        <f>650*10+9.5*10</f>
        <v>6595</v>
      </c>
      <c r="Q70" s="32"/>
      <c r="R70" s="32"/>
      <c r="S70" s="32">
        <f t="shared" si="21"/>
        <v>6595</v>
      </c>
      <c r="T70" s="12"/>
      <c r="U70" s="12"/>
      <c r="V70" s="12"/>
      <c r="W70" s="12">
        <f t="shared" si="22"/>
        <v>6595</v>
      </c>
      <c r="Y70" s="10">
        <v>4</v>
      </c>
      <c r="Z70" s="30">
        <v>46084</v>
      </c>
      <c r="AA70" s="31">
        <f t="shared" si="27"/>
        <v>9387</v>
      </c>
      <c r="AB70" s="32">
        <f>650*50+229*2+650</f>
        <v>33608</v>
      </c>
      <c r="AC70" s="32"/>
      <c r="AD70" s="32"/>
      <c r="AE70" s="32">
        <f t="shared" si="23"/>
        <v>33608</v>
      </c>
      <c r="AF70" s="12"/>
      <c r="AH70" s="12"/>
      <c r="AI70" s="12">
        <f t="shared" si="24"/>
        <v>33608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46084</v>
      </c>
      <c r="C71" s="83">
        <f t="shared" si="25"/>
        <v>9416</v>
      </c>
      <c r="D71" s="32">
        <f>650*107</f>
        <v>69550</v>
      </c>
      <c r="E71" s="32"/>
      <c r="F71" s="32"/>
      <c r="G71" s="32">
        <f t="shared" si="19"/>
        <v>69550</v>
      </c>
      <c r="H71" s="12"/>
      <c r="I71" s="12"/>
      <c r="J71" s="12"/>
      <c r="K71" s="12">
        <f t="shared" si="20"/>
        <v>69550</v>
      </c>
      <c r="M71" s="10">
        <v>5</v>
      </c>
      <c r="N71" s="30">
        <v>46084</v>
      </c>
      <c r="O71" s="31">
        <f t="shared" si="26"/>
        <v>9452</v>
      </c>
      <c r="P71" s="32">
        <f>650*100+622*22+229*2</f>
        <v>79142</v>
      </c>
      <c r="Q71" s="32">
        <f>-122*6</f>
        <v>-732</v>
      </c>
      <c r="R71" s="32"/>
      <c r="S71" s="32">
        <f t="shared" si="21"/>
        <v>78410</v>
      </c>
      <c r="T71" s="12"/>
      <c r="U71" s="12"/>
      <c r="V71" s="12">
        <v>-2520</v>
      </c>
      <c r="W71" s="12">
        <f t="shared" si="22"/>
        <v>75890</v>
      </c>
      <c r="Y71" s="10">
        <v>5</v>
      </c>
      <c r="Z71" s="30">
        <v>46084</v>
      </c>
      <c r="AA71" s="31">
        <f t="shared" si="27"/>
        <v>9388</v>
      </c>
      <c r="AB71" s="32">
        <f>650*30+670*7+622*13+229</f>
        <v>32505</v>
      </c>
      <c r="AC71" s="32"/>
      <c r="AD71" s="32"/>
      <c r="AE71" s="32">
        <f t="shared" ref="AE71:AE76" si="28">SUM(AB71:AC71)</f>
        <v>32505</v>
      </c>
      <c r="AF71" s="12"/>
      <c r="AG71" s="12"/>
      <c r="AH71" s="12"/>
      <c r="AI71" s="12">
        <f t="shared" si="24"/>
        <v>32505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46084</v>
      </c>
      <c r="C72" s="83">
        <f t="shared" si="25"/>
        <v>9417</v>
      </c>
      <c r="D72" s="32">
        <f>650*120+670*5+622*5+650</f>
        <v>85110</v>
      </c>
      <c r="E72" s="32"/>
      <c r="F72" s="32"/>
      <c r="G72" s="32">
        <f t="shared" si="19"/>
        <v>85110</v>
      </c>
      <c r="H72" s="12"/>
      <c r="I72" s="12">
        <v>2664</v>
      </c>
      <c r="J72" s="12"/>
      <c r="K72" s="12">
        <f t="shared" si="20"/>
        <v>87774</v>
      </c>
      <c r="M72" s="10">
        <v>6</v>
      </c>
      <c r="N72" s="30">
        <v>46084</v>
      </c>
      <c r="O72" s="31">
        <f t="shared" si="26"/>
        <v>9453</v>
      </c>
      <c r="P72" s="32">
        <f>650*12+670*2+9.5*12</f>
        <v>9254</v>
      </c>
      <c r="Q72" s="32"/>
      <c r="R72" s="32"/>
      <c r="S72" s="32">
        <f t="shared" si="21"/>
        <v>9254</v>
      </c>
      <c r="T72" s="12"/>
      <c r="U72" s="12"/>
      <c r="V72" s="10"/>
      <c r="W72" s="12">
        <f t="shared" si="22"/>
        <v>9254</v>
      </c>
      <c r="Y72" s="10">
        <v>6</v>
      </c>
      <c r="Z72" s="30">
        <v>46084</v>
      </c>
      <c r="AA72" s="31">
        <f t="shared" si="27"/>
        <v>9389</v>
      </c>
      <c r="AB72" s="32">
        <f>650*21+229*4</f>
        <v>14566</v>
      </c>
      <c r="AC72" s="32"/>
      <c r="AD72" s="32"/>
      <c r="AE72" s="32">
        <f t="shared" si="28"/>
        <v>14566</v>
      </c>
      <c r="AF72" s="12"/>
      <c r="AG72" s="12"/>
      <c r="AH72" s="10"/>
      <c r="AI72" s="12">
        <f t="shared" si="24"/>
        <v>14566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46084</v>
      </c>
      <c r="C73" s="83">
        <f t="shared" si="25"/>
        <v>9418</v>
      </c>
      <c r="D73" s="32">
        <f>650*31+622*4</f>
        <v>22638</v>
      </c>
      <c r="E73" s="32"/>
      <c r="F73" s="32"/>
      <c r="G73" s="32">
        <f t="shared" si="19"/>
        <v>22638</v>
      </c>
      <c r="H73" s="12"/>
      <c r="I73" s="12"/>
      <c r="J73" s="12"/>
      <c r="K73" s="12">
        <f t="shared" si="20"/>
        <v>22638</v>
      </c>
      <c r="M73" s="10">
        <v>7</v>
      </c>
      <c r="N73" s="30">
        <v>46084</v>
      </c>
      <c r="O73" s="31">
        <f t="shared" si="26"/>
        <v>9454</v>
      </c>
      <c r="P73" s="32">
        <f>650*30+622*2+229</f>
        <v>20973</v>
      </c>
      <c r="Q73" s="32"/>
      <c r="R73" s="32"/>
      <c r="S73" s="32">
        <f t="shared" si="21"/>
        <v>20973</v>
      </c>
      <c r="T73" s="12"/>
      <c r="U73" s="12">
        <v>36</v>
      </c>
      <c r="V73" s="12"/>
      <c r="W73" s="12">
        <f t="shared" si="22"/>
        <v>21009</v>
      </c>
      <c r="Y73" s="10">
        <v>7</v>
      </c>
      <c r="Z73" s="30"/>
      <c r="AA73" s="11" t="s">
        <v>27</v>
      </c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46084</v>
      </c>
      <c r="C74" s="83">
        <f t="shared" si="25"/>
        <v>9419</v>
      </c>
      <c r="D74" s="32">
        <f>650*8+622*2</f>
        <v>6444</v>
      </c>
      <c r="E74" s="32"/>
      <c r="F74" s="32"/>
      <c r="G74" s="32">
        <f t="shared" si="19"/>
        <v>6444</v>
      </c>
      <c r="H74" s="12"/>
      <c r="I74" s="12">
        <v>36</v>
      </c>
      <c r="J74" s="12"/>
      <c r="K74" s="12">
        <f t="shared" si="20"/>
        <v>6480</v>
      </c>
      <c r="M74" s="10">
        <v>8</v>
      </c>
      <c r="N74" s="30">
        <v>46084</v>
      </c>
      <c r="O74" s="31">
        <f t="shared" si="26"/>
        <v>9455</v>
      </c>
      <c r="P74" s="32">
        <f>650*10+9.5*10</f>
        <v>6595</v>
      </c>
      <c r="Q74" s="32"/>
      <c r="R74" s="32"/>
      <c r="S74" s="32">
        <f t="shared" si="21"/>
        <v>6595</v>
      </c>
      <c r="T74" s="12"/>
      <c r="U74" s="12"/>
      <c r="V74" s="12"/>
      <c r="W74" s="12">
        <f t="shared" si="22"/>
        <v>6595</v>
      </c>
      <c r="Y74" s="10">
        <v>8</v>
      </c>
      <c r="Z74" s="30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46084</v>
      </c>
      <c r="C75" s="83">
        <f t="shared" si="25"/>
        <v>9420</v>
      </c>
      <c r="D75" s="32">
        <f>650*14+622*4+9.5*20</f>
        <v>11778</v>
      </c>
      <c r="E75" s="32"/>
      <c r="F75" s="32"/>
      <c r="G75" s="32">
        <f t="shared" si="19"/>
        <v>11778</v>
      </c>
      <c r="H75" s="12"/>
      <c r="I75" s="12"/>
      <c r="J75" s="12"/>
      <c r="K75" s="12">
        <f t="shared" si="20"/>
        <v>11778</v>
      </c>
      <c r="M75" s="10">
        <v>9</v>
      </c>
      <c r="N75" s="30">
        <v>46084</v>
      </c>
      <c r="O75" s="31">
        <f t="shared" si="26"/>
        <v>9456</v>
      </c>
      <c r="P75" s="32">
        <f>650*9+1102+650*2</f>
        <v>8252</v>
      </c>
      <c r="Q75" s="32"/>
      <c r="R75" s="32"/>
      <c r="S75" s="32">
        <f t="shared" si="21"/>
        <v>8252</v>
      </c>
      <c r="T75" s="12"/>
      <c r="U75" s="12"/>
      <c r="V75" s="12"/>
      <c r="W75" s="12">
        <f t="shared" si="22"/>
        <v>8252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46084</v>
      </c>
      <c r="C76" s="83">
        <f t="shared" si="25"/>
        <v>9421</v>
      </c>
      <c r="D76" s="32">
        <f>700</f>
        <v>700</v>
      </c>
      <c r="E76" s="32"/>
      <c r="F76" s="32"/>
      <c r="G76" s="32">
        <f t="shared" si="19"/>
        <v>700</v>
      </c>
      <c r="H76" s="12"/>
      <c r="I76" s="12"/>
      <c r="J76" s="12"/>
      <c r="K76" s="12">
        <f t="shared" si="20"/>
        <v>700</v>
      </c>
      <c r="M76" s="10">
        <v>10</v>
      </c>
      <c r="N76" s="30">
        <v>46084</v>
      </c>
      <c r="O76" s="31">
        <f t="shared" si="26"/>
        <v>9457</v>
      </c>
      <c r="P76" s="32">
        <f>622*8</f>
        <v>4976</v>
      </c>
      <c r="Q76" s="32"/>
      <c r="R76" s="32"/>
      <c r="S76" s="32">
        <f t="shared" si="21"/>
        <v>4976</v>
      </c>
      <c r="T76" s="12"/>
      <c r="U76" s="12">
        <v>13.5</v>
      </c>
      <c r="V76" s="12"/>
      <c r="W76" s="12">
        <f t="shared" si="22"/>
        <v>4989.5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46084</v>
      </c>
      <c r="C77" s="83">
        <f t="shared" si="25"/>
        <v>9422</v>
      </c>
      <c r="D77" s="32">
        <f>650*2+670</f>
        <v>1970</v>
      </c>
      <c r="E77" s="32"/>
      <c r="F77" s="32"/>
      <c r="G77" s="32">
        <f t="shared" si="19"/>
        <v>1970</v>
      </c>
      <c r="H77" s="12"/>
      <c r="I77" s="12"/>
      <c r="J77" s="12"/>
      <c r="K77" s="12">
        <f t="shared" si="20"/>
        <v>1970</v>
      </c>
      <c r="M77" s="10">
        <v>11</v>
      </c>
      <c r="N77" s="30">
        <v>46084</v>
      </c>
      <c r="O77" s="31">
        <f t="shared" si="26"/>
        <v>9458</v>
      </c>
      <c r="P77" s="32">
        <f>650*13+622+9.5*14</f>
        <v>9205</v>
      </c>
      <c r="Q77" s="32"/>
      <c r="R77" s="32"/>
      <c r="S77" s="32">
        <f t="shared" si="21"/>
        <v>9205</v>
      </c>
      <c r="T77" s="12"/>
      <c r="U77" s="12">
        <f>4.5+13*1.5</f>
        <v>24</v>
      </c>
      <c r="V77" s="12">
        <v>-111</v>
      </c>
      <c r="W77" s="12">
        <f t="shared" si="22"/>
        <v>9118</v>
      </c>
      <c r="Y77" s="10">
        <v>11</v>
      </c>
      <c r="Z77" s="30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>
        <v>46084</v>
      </c>
      <c r="O78" s="31">
        <f t="shared" si="26"/>
        <v>9459</v>
      </c>
      <c r="P78" s="32">
        <f>650*2+622+9.5*3</f>
        <v>1950.5</v>
      </c>
      <c r="Q78" s="32"/>
      <c r="R78" s="32"/>
      <c r="S78" s="32">
        <f t="shared" si="21"/>
        <v>1950.5</v>
      </c>
      <c r="T78" s="12"/>
      <c r="U78" s="12"/>
      <c r="V78" s="12"/>
      <c r="W78" s="12">
        <f t="shared" si="22"/>
        <v>1950.5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83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>
        <v>46084</v>
      </c>
      <c r="O79" s="31">
        <f t="shared" si="26"/>
        <v>9460</v>
      </c>
      <c r="P79" s="32">
        <f>650*4+622*3+9.5*7</f>
        <v>4532.5</v>
      </c>
      <c r="Q79" s="32"/>
      <c r="R79" s="32"/>
      <c r="S79" s="32">
        <f t="shared" si="21"/>
        <v>4532.5</v>
      </c>
      <c r="T79" s="12"/>
      <c r="U79" s="12"/>
      <c r="V79" s="12"/>
      <c r="W79" s="12">
        <f t="shared" si="22"/>
        <v>4532.5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83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>
        <v>46084</v>
      </c>
      <c r="O80" s="31">
        <f t="shared" si="26"/>
        <v>9461</v>
      </c>
      <c r="P80" s="32">
        <f>622*30</f>
        <v>18660</v>
      </c>
      <c r="Q80" s="32"/>
      <c r="R80" s="32"/>
      <c r="S80" s="32">
        <f t="shared" si="21"/>
        <v>18660</v>
      </c>
      <c r="T80" s="12"/>
      <c r="U80" s="12">
        <v>999</v>
      </c>
      <c r="V80" s="12"/>
      <c r="W80" s="12">
        <f t="shared" si="22"/>
        <v>19659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>
        <v>46084</v>
      </c>
      <c r="O81" s="31">
        <f t="shared" si="26"/>
        <v>9462</v>
      </c>
      <c r="P81" s="32">
        <f>650*3+9.5*3</f>
        <v>1978.5</v>
      </c>
      <c r="Q81" s="32"/>
      <c r="R81" s="32"/>
      <c r="S81" s="32">
        <f t="shared" si="21"/>
        <v>1978.5</v>
      </c>
      <c r="T81" s="12"/>
      <c r="U81" s="12"/>
      <c r="V81" s="12"/>
      <c r="W81" s="12">
        <f t="shared" si="22"/>
        <v>1978.5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>
        <v>46084</v>
      </c>
      <c r="O82" s="31">
        <f t="shared" si="26"/>
        <v>9463</v>
      </c>
      <c r="P82" s="32">
        <f>229</f>
        <v>229</v>
      </c>
      <c r="Q82" s="32"/>
      <c r="R82" s="32"/>
      <c r="S82" s="32">
        <f t="shared" si="21"/>
        <v>229</v>
      </c>
      <c r="T82" s="12"/>
      <c r="U82" s="12">
        <v>36</v>
      </c>
      <c r="V82" s="12"/>
      <c r="W82" s="12">
        <f t="shared" si="22"/>
        <v>265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>
        <v>46084</v>
      </c>
      <c r="O83" s="31">
        <f t="shared" si="26"/>
        <v>9464</v>
      </c>
      <c r="P83" s="35">
        <f>650*4</f>
        <v>2600</v>
      </c>
      <c r="Q83" s="32"/>
      <c r="R83" s="32"/>
      <c r="S83" s="32">
        <f t="shared" si="21"/>
        <v>2600</v>
      </c>
      <c r="T83" s="12"/>
      <c r="U83" s="12"/>
      <c r="V83" s="12"/>
      <c r="W83" s="12">
        <f t="shared" si="22"/>
        <v>2600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11" t="s">
        <v>27</v>
      </c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Q89" s="31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si="24"/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24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24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24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24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24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4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24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4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275938</v>
      </c>
      <c r="E110" s="38">
        <f t="shared" ref="E110:F110" si="37">SUM(E67:E107)</f>
        <v>0</v>
      </c>
      <c r="F110" s="38">
        <f t="shared" si="37"/>
        <v>0</v>
      </c>
      <c r="G110" s="38">
        <f>SUM(G67:G109)</f>
        <v>275938</v>
      </c>
      <c r="H110" s="4"/>
      <c r="I110" s="39">
        <f>SUM(I67:I109)</f>
        <v>2700</v>
      </c>
      <c r="J110" s="39">
        <f>SUM(J67:J109)</f>
        <v>0</v>
      </c>
      <c r="K110" s="40">
        <f>SUM(K67:K109)</f>
        <v>278638</v>
      </c>
      <c r="N110" s="57"/>
      <c r="O110" s="57"/>
      <c r="P110" s="38">
        <f>SUM(P67:P109)</f>
        <v>195208.5</v>
      </c>
      <c r="Q110" s="38">
        <f>SUM(Q67:Q91)</f>
        <v>-732</v>
      </c>
      <c r="R110" s="38">
        <f>SUM(R67:R91)</f>
        <v>0</v>
      </c>
      <c r="S110" s="38">
        <f>SUM(S67:S109)</f>
        <v>194476.5</v>
      </c>
      <c r="T110" s="4"/>
      <c r="U110" s="41">
        <f>SUM(U67:U109)</f>
        <v>1108.5</v>
      </c>
      <c r="V110" s="41">
        <f>SUM(V67:V91)</f>
        <v>-2631</v>
      </c>
      <c r="W110" s="42">
        <f>SUM(W67:W109)</f>
        <v>192954</v>
      </c>
      <c r="Z110" s="57"/>
      <c r="AA110" s="57"/>
      <c r="AB110" s="38">
        <f>SUM(AB67:AB109)</f>
        <v>233116</v>
      </c>
      <c r="AC110" s="38">
        <f>SUM(AC67:AC91)</f>
        <v>-918</v>
      </c>
      <c r="AD110" s="38">
        <f>SUM(AD67:AD91)</f>
        <v>0</v>
      </c>
      <c r="AE110" s="38">
        <f>SUM(AE67:AE109)</f>
        <v>232198</v>
      </c>
      <c r="AF110" s="4"/>
      <c r="AG110" s="41">
        <f>SUM(AG67:AG109)</f>
        <v>0</v>
      </c>
      <c r="AH110" s="41">
        <f>SUM(AH67:AH91)</f>
        <v>0</v>
      </c>
      <c r="AI110" s="42">
        <f>SUM(AI67:AI109)</f>
        <v>232198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35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6" t="s">
        <v>17</v>
      </c>
      <c r="E120" s="116"/>
      <c r="F120" s="91"/>
      <c r="G120" s="27"/>
      <c r="I120" s="117" t="s">
        <v>18</v>
      </c>
      <c r="J120" s="118"/>
      <c r="K120" s="112" t="s">
        <v>19</v>
      </c>
      <c r="N120" s="25"/>
      <c r="O120" s="26"/>
      <c r="P120" s="116" t="s">
        <v>17</v>
      </c>
      <c r="Q120" s="116"/>
      <c r="R120" s="91"/>
      <c r="S120" s="27"/>
      <c r="U120" s="117" t="s">
        <v>18</v>
      </c>
      <c r="V120" s="118"/>
      <c r="W120" s="112" t="s">
        <v>19</v>
      </c>
      <c r="Z120" s="25"/>
      <c r="AA120" s="26"/>
      <c r="AB120" s="116" t="s">
        <v>17</v>
      </c>
      <c r="AC120" s="116"/>
      <c r="AD120" s="91"/>
      <c r="AE120" s="27"/>
      <c r="AG120" s="117" t="s">
        <v>18</v>
      </c>
      <c r="AH120" s="118"/>
      <c r="AI120" s="112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13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13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13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46115</v>
      </c>
      <c r="C122" s="83">
        <v>9423</v>
      </c>
      <c r="D122" s="32">
        <f>216*650+108*622+912*10+229*13</f>
        <v>219673</v>
      </c>
      <c r="E122" s="32">
        <f>-334*6</f>
        <v>-2004</v>
      </c>
      <c r="F122" s="32"/>
      <c r="G122" s="32">
        <f t="shared" ref="G122:G155" si="38">SUM(D122:E122)</f>
        <v>217669</v>
      </c>
      <c r="H122" s="12"/>
      <c r="I122" s="12">
        <f>120*7+111*103+78*10</f>
        <v>13053</v>
      </c>
      <c r="J122" s="12">
        <f>-252+-9+-19.5</f>
        <v>-280.5</v>
      </c>
      <c r="K122" s="12">
        <f t="shared" ref="K122:K155" si="39">SUM(G122:J122)</f>
        <v>230441.5</v>
      </c>
      <c r="M122" s="10">
        <v>1</v>
      </c>
      <c r="N122" s="30">
        <v>46115</v>
      </c>
      <c r="O122" s="31">
        <v>9464</v>
      </c>
      <c r="P122" s="32">
        <f>650*2</f>
        <v>1300</v>
      </c>
      <c r="Q122" s="32"/>
      <c r="R122" s="32"/>
      <c r="S122" s="32">
        <f>SUM(P122:Q122)</f>
        <v>1300</v>
      </c>
      <c r="T122" s="12"/>
      <c r="U122" s="12">
        <v>22.5</v>
      </c>
      <c r="V122" s="12"/>
      <c r="W122" s="12">
        <f>SUM(S122:V122)</f>
        <v>1322.5</v>
      </c>
      <c r="Y122" s="10">
        <v>1</v>
      </c>
      <c r="Z122" s="30">
        <v>46115</v>
      </c>
      <c r="AA122" s="31">
        <v>9390</v>
      </c>
      <c r="AB122" s="32">
        <f>650*40+622*10</f>
        <v>32220</v>
      </c>
      <c r="AC122" s="32">
        <f>-50*6</f>
        <v>-300</v>
      </c>
      <c r="AD122" s="32"/>
      <c r="AE122" s="32">
        <f>SUM(AB122:AC122)</f>
        <v>31920</v>
      </c>
      <c r="AF122" s="12"/>
      <c r="AG122" s="12"/>
      <c r="AH122" s="12"/>
      <c r="AI122" s="12">
        <f>SUM(AE122:AH122)</f>
        <v>31920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46115</v>
      </c>
      <c r="C123" s="83">
        <f>C122+1</f>
        <v>9424</v>
      </c>
      <c r="D123" s="32">
        <f>650*12+670+622*4+9.5*16</f>
        <v>11110</v>
      </c>
      <c r="E123" s="32"/>
      <c r="F123" s="32"/>
      <c r="G123" s="32">
        <f t="shared" si="38"/>
        <v>11110</v>
      </c>
      <c r="H123" s="12"/>
      <c r="I123" s="12"/>
      <c r="J123" s="12"/>
      <c r="K123" s="12">
        <f t="shared" si="39"/>
        <v>11110</v>
      </c>
      <c r="M123" s="10">
        <v>2</v>
      </c>
      <c r="N123" s="30">
        <v>46115</v>
      </c>
      <c r="O123" s="31">
        <f>O122+1</f>
        <v>9465</v>
      </c>
      <c r="P123" s="32">
        <f>650*324+229*14+650*2</f>
        <v>215106</v>
      </c>
      <c r="Q123" s="32">
        <f>-324*6</f>
        <v>-1944</v>
      </c>
      <c r="R123" s="32"/>
      <c r="S123" s="32">
        <f t="shared" ref="S123:S154" si="40">SUM(P123:Q123)</f>
        <v>213162</v>
      </c>
      <c r="T123" s="12"/>
      <c r="U123" s="12">
        <v>858</v>
      </c>
      <c r="V123" s="12">
        <v>-420</v>
      </c>
      <c r="W123" s="12">
        <f t="shared" ref="W123:W154" si="41">SUM(S123:V123)</f>
        <v>213600</v>
      </c>
      <c r="Y123" s="10">
        <v>2</v>
      </c>
      <c r="Z123" s="30">
        <v>46115</v>
      </c>
      <c r="AA123" s="31">
        <f>AA122+1</f>
        <v>9391</v>
      </c>
      <c r="AB123" s="32">
        <f>650*23+229</f>
        <v>15179</v>
      </c>
      <c r="AC123" s="32"/>
      <c r="AD123" s="32"/>
      <c r="AE123" s="32">
        <f t="shared" ref="AE123:AE131" si="42">SUM(AB123:AC123)</f>
        <v>15179</v>
      </c>
      <c r="AF123" s="12"/>
      <c r="AG123" s="12"/>
      <c r="AH123" s="12"/>
      <c r="AI123" s="12">
        <f t="shared" ref="AI123:AI163" si="43">SUM(AE123:AH123)</f>
        <v>15179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46115</v>
      </c>
      <c r="C124" s="83">
        <f t="shared" ref="C124" si="44">C123+1</f>
        <v>9425</v>
      </c>
      <c r="D124" s="33">
        <f>650*131+670*5+700*3+622*5+1050*2+872*3+229*5</f>
        <v>99571</v>
      </c>
      <c r="E124" s="33"/>
      <c r="F124" s="33"/>
      <c r="G124" s="33">
        <f t="shared" si="38"/>
        <v>99571</v>
      </c>
      <c r="H124" s="34"/>
      <c r="I124" s="34">
        <f>390+378</f>
        <v>768</v>
      </c>
      <c r="J124" s="34"/>
      <c r="K124" s="34">
        <f t="shared" si="39"/>
        <v>100339</v>
      </c>
      <c r="M124" s="10">
        <v>3</v>
      </c>
      <c r="N124" s="30"/>
      <c r="O124" s="11" t="s">
        <v>27</v>
      </c>
      <c r="P124" s="32"/>
      <c r="Q124" s="32"/>
      <c r="R124" s="32"/>
      <c r="S124" s="32">
        <f t="shared" si="40"/>
        <v>0</v>
      </c>
      <c r="T124" s="12"/>
      <c r="U124" s="12"/>
      <c r="V124" s="12"/>
      <c r="W124" s="12">
        <f t="shared" si="41"/>
        <v>0</v>
      </c>
      <c r="Y124" s="10">
        <v>3</v>
      </c>
      <c r="Z124" s="30">
        <v>46115</v>
      </c>
      <c r="AA124" s="31">
        <f t="shared" ref="AA124:AA128" si="45">AA123+1</f>
        <v>9392</v>
      </c>
      <c r="AB124" s="33">
        <f>650*80+229*3</f>
        <v>52687</v>
      </c>
      <c r="AC124" s="33">
        <f>-80*6</f>
        <v>-480</v>
      </c>
      <c r="AD124" s="32"/>
      <c r="AE124" s="32">
        <f t="shared" si="42"/>
        <v>52207</v>
      </c>
      <c r="AF124" s="12"/>
      <c r="AG124" s="12"/>
      <c r="AH124" s="12"/>
      <c r="AI124" s="12">
        <f t="shared" si="43"/>
        <v>52207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11" t="s">
        <v>27</v>
      </c>
      <c r="D125" s="32"/>
      <c r="E125" s="32"/>
      <c r="F125" s="32"/>
      <c r="G125" s="32">
        <f t="shared" si="38"/>
        <v>0</v>
      </c>
      <c r="H125" s="12"/>
      <c r="I125" s="12"/>
      <c r="J125" s="12"/>
      <c r="K125" s="12">
        <f t="shared" si="39"/>
        <v>0</v>
      </c>
      <c r="M125" s="10">
        <v>4</v>
      </c>
      <c r="N125" s="30"/>
      <c r="O125" s="31"/>
      <c r="P125" s="32"/>
      <c r="Q125" s="32"/>
      <c r="R125" s="32"/>
      <c r="S125" s="32">
        <f t="shared" si="40"/>
        <v>0</v>
      </c>
      <c r="T125" s="12"/>
      <c r="U125" s="12"/>
      <c r="V125" s="12"/>
      <c r="W125" s="12">
        <f t="shared" si="41"/>
        <v>0</v>
      </c>
      <c r="Y125" s="10">
        <v>4</v>
      </c>
      <c r="Z125" s="30">
        <v>46115</v>
      </c>
      <c r="AA125" s="31">
        <f t="shared" si="45"/>
        <v>9393</v>
      </c>
      <c r="AB125" s="32">
        <f>650*55+622*6+229*2</f>
        <v>39940</v>
      </c>
      <c r="AC125" s="32"/>
      <c r="AD125" s="32"/>
      <c r="AE125" s="32">
        <f t="shared" si="42"/>
        <v>39940</v>
      </c>
      <c r="AF125" s="12"/>
      <c r="AG125">
        <v>61.5</v>
      </c>
      <c r="AH125" s="12"/>
      <c r="AI125" s="12">
        <f t="shared" si="43"/>
        <v>40001.5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3"/>
      <c r="D126" s="32"/>
      <c r="E126" s="32"/>
      <c r="F126" s="32"/>
      <c r="G126" s="32">
        <f t="shared" si="38"/>
        <v>0</v>
      </c>
      <c r="H126" s="12"/>
      <c r="I126" s="12"/>
      <c r="J126" s="12"/>
      <c r="K126" s="12">
        <f t="shared" si="39"/>
        <v>0</v>
      </c>
      <c r="M126" s="10">
        <v>5</v>
      </c>
      <c r="N126" s="30"/>
      <c r="O126" s="31"/>
      <c r="P126" s="32"/>
      <c r="Q126" s="32"/>
      <c r="R126" s="32"/>
      <c r="S126" s="32">
        <f t="shared" si="40"/>
        <v>0</v>
      </c>
      <c r="T126" s="12"/>
      <c r="U126" s="12"/>
      <c r="V126" s="12"/>
      <c r="W126" s="12">
        <f t="shared" si="41"/>
        <v>0</v>
      </c>
      <c r="Y126" s="10">
        <v>5</v>
      </c>
      <c r="Z126" s="30">
        <v>46115</v>
      </c>
      <c r="AA126" s="31">
        <f t="shared" si="45"/>
        <v>9394</v>
      </c>
      <c r="AB126" s="32">
        <f>1175+650*9</f>
        <v>7025</v>
      </c>
      <c r="AC126" s="32"/>
      <c r="AD126" s="32"/>
      <c r="AE126" s="32">
        <f t="shared" si="42"/>
        <v>7025</v>
      </c>
      <c r="AF126" s="12"/>
      <c r="AG126" s="12"/>
      <c r="AH126" s="12"/>
      <c r="AI126" s="12">
        <f t="shared" si="43"/>
        <v>7025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3"/>
      <c r="D127" s="32"/>
      <c r="E127" s="32"/>
      <c r="F127" s="32"/>
      <c r="G127" s="32">
        <f t="shared" si="38"/>
        <v>0</v>
      </c>
      <c r="H127" s="12"/>
      <c r="I127" s="12"/>
      <c r="J127" s="12"/>
      <c r="K127" s="12">
        <f t="shared" si="39"/>
        <v>0</v>
      </c>
      <c r="M127" s="10">
        <v>6</v>
      </c>
      <c r="N127" s="30"/>
      <c r="O127" s="31"/>
      <c r="P127" s="32"/>
      <c r="Q127" s="32"/>
      <c r="R127" s="32"/>
      <c r="S127" s="32">
        <f t="shared" si="40"/>
        <v>0</v>
      </c>
      <c r="T127" s="12"/>
      <c r="U127" s="12"/>
      <c r="V127" s="10"/>
      <c r="W127" s="12">
        <f t="shared" si="41"/>
        <v>0</v>
      </c>
      <c r="Y127" s="10">
        <v>6</v>
      </c>
      <c r="Z127" s="30">
        <v>46115</v>
      </c>
      <c r="AA127" s="31">
        <f t="shared" si="45"/>
        <v>9395</v>
      </c>
      <c r="AB127" s="32">
        <f>650*50+622*13+229*2</f>
        <v>41044</v>
      </c>
      <c r="AC127" s="32">
        <f>-63*6</f>
        <v>-378</v>
      </c>
      <c r="AD127" s="32"/>
      <c r="AE127" s="32">
        <f t="shared" si="42"/>
        <v>40666</v>
      </c>
      <c r="AF127" s="12"/>
      <c r="AG127" s="12"/>
      <c r="AH127" s="10"/>
      <c r="AI127" s="12">
        <f t="shared" si="43"/>
        <v>40666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38"/>
        <v>0</v>
      </c>
      <c r="H128" s="12"/>
      <c r="I128" s="12"/>
      <c r="J128" s="12"/>
      <c r="K128" s="12">
        <f t="shared" si="39"/>
        <v>0</v>
      </c>
      <c r="M128" s="10">
        <v>7</v>
      </c>
      <c r="N128" s="30"/>
      <c r="O128" s="31"/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>
        <v>46115</v>
      </c>
      <c r="AA128" s="31">
        <f t="shared" si="45"/>
        <v>9396</v>
      </c>
      <c r="AB128" s="32">
        <f>650*22</f>
        <v>14300</v>
      </c>
      <c r="AC128" s="32"/>
      <c r="AD128" s="32"/>
      <c r="AE128" s="32">
        <f t="shared" si="42"/>
        <v>14300</v>
      </c>
      <c r="AF128" s="12"/>
      <c r="AG128" s="58"/>
      <c r="AH128" s="12"/>
      <c r="AI128" s="12">
        <f t="shared" si="43"/>
        <v>14300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38"/>
        <v>0</v>
      </c>
      <c r="H129" s="12"/>
      <c r="I129" s="12"/>
      <c r="J129" s="12"/>
      <c r="K129" s="12">
        <f t="shared" si="39"/>
        <v>0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/>
      <c r="AA129" s="11" t="s">
        <v>27</v>
      </c>
      <c r="AB129" s="32"/>
      <c r="AC129" s="32"/>
      <c r="AE129" s="32">
        <f t="shared" si="42"/>
        <v>0</v>
      </c>
      <c r="AF129" s="12"/>
      <c r="AG129" s="12"/>
      <c r="AH129" s="12"/>
      <c r="AI129" s="12">
        <f t="shared" si="43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38"/>
        <v>0</v>
      </c>
      <c r="H130" s="12"/>
      <c r="I130" s="12"/>
      <c r="J130" s="12"/>
      <c r="K130" s="12">
        <f t="shared" si="39"/>
        <v>0</v>
      </c>
      <c r="M130" s="10">
        <v>9</v>
      </c>
      <c r="N130" s="30"/>
      <c r="O130" s="3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/>
      <c r="AA130" s="31"/>
      <c r="AC130" s="32"/>
      <c r="AD130" s="32"/>
      <c r="AE130" s="32">
        <f t="shared" si="42"/>
        <v>0</v>
      </c>
      <c r="AF130" s="12"/>
      <c r="AH130" s="12"/>
      <c r="AI130" s="12">
        <f t="shared" si="43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8"/>
        <v>0</v>
      </c>
      <c r="H131" s="12"/>
      <c r="I131" s="12"/>
      <c r="J131" s="12"/>
      <c r="K131" s="12">
        <f t="shared" si="39"/>
        <v>0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31"/>
      <c r="AB131" s="32"/>
      <c r="AC131" s="32"/>
      <c r="AD131" s="32"/>
      <c r="AE131" s="32">
        <f t="shared" si="42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38"/>
        <v>0</v>
      </c>
      <c r="H132" s="12"/>
      <c r="I132" s="12"/>
      <c r="J132" s="12"/>
      <c r="K132" s="12">
        <f t="shared" si="39"/>
        <v>0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B132" s="32"/>
      <c r="AC132" s="32"/>
      <c r="AD132" s="32"/>
      <c r="AE132" s="32">
        <f t="shared" ref="AE132:AE154" si="46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8"/>
        <v>0</v>
      </c>
      <c r="H133" s="12"/>
      <c r="I133" s="12"/>
      <c r="J133" s="10"/>
      <c r="K133" s="12">
        <f t="shared" si="39"/>
        <v>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B133" s="32"/>
      <c r="AC133" s="32"/>
      <c r="AD133" s="32"/>
      <c r="AE133" s="32">
        <f t="shared" si="46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38"/>
        <v>0</v>
      </c>
      <c r="H134" s="12"/>
      <c r="I134" s="12"/>
      <c r="J134" s="12"/>
      <c r="K134" s="12">
        <f t="shared" si="39"/>
        <v>0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6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38"/>
        <v>0</v>
      </c>
      <c r="H135" s="12"/>
      <c r="I135" s="12"/>
      <c r="J135" s="12"/>
      <c r="K135" s="12">
        <f t="shared" si="39"/>
        <v>0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6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8"/>
        <v>0</v>
      </c>
      <c r="H136" s="12"/>
      <c r="I136" s="12"/>
      <c r="J136" s="12"/>
      <c r="K136" s="12">
        <f t="shared" si="39"/>
        <v>0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6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8"/>
        <v>0</v>
      </c>
      <c r="H137" s="12"/>
      <c r="I137" s="12"/>
      <c r="J137" s="12"/>
      <c r="K137" s="12">
        <f t="shared" si="39"/>
        <v>0</v>
      </c>
      <c r="M137" s="10">
        <v>16</v>
      </c>
      <c r="N137" s="30"/>
      <c r="O137" s="31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6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38"/>
        <v>0</v>
      </c>
      <c r="H138" s="12"/>
      <c r="I138" s="12"/>
      <c r="J138" s="12"/>
      <c r="K138" s="12">
        <f t="shared" si="39"/>
        <v>0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6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3"/>
      <c r="D139" s="32"/>
      <c r="E139" s="32"/>
      <c r="F139" s="32"/>
      <c r="G139" s="32">
        <f t="shared" si="38"/>
        <v>0</v>
      </c>
      <c r="H139" s="12"/>
      <c r="I139" s="12"/>
      <c r="J139" s="12"/>
      <c r="K139" s="12">
        <f t="shared" si="39"/>
        <v>0</v>
      </c>
      <c r="M139" s="10">
        <v>18</v>
      </c>
      <c r="N139" s="30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6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8"/>
        <v>0</v>
      </c>
      <c r="H140" s="12"/>
      <c r="I140" s="12"/>
      <c r="J140" s="12"/>
      <c r="K140" s="12">
        <f t="shared" si="39"/>
        <v>0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6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8"/>
        <v>0</v>
      </c>
      <c r="H141" s="12"/>
      <c r="I141" s="12"/>
      <c r="J141" s="12"/>
      <c r="K141" s="12">
        <f t="shared" si="39"/>
        <v>0</v>
      </c>
      <c r="M141" s="10">
        <v>20</v>
      </c>
      <c r="N141" s="30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6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8"/>
        <v>0</v>
      </c>
      <c r="H142" s="10"/>
      <c r="I142" s="10"/>
      <c r="J142" s="10"/>
      <c r="K142" s="12">
        <f t="shared" si="39"/>
        <v>0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6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8"/>
        <v>0</v>
      </c>
      <c r="H143" s="10"/>
      <c r="I143" s="10"/>
      <c r="J143" s="10"/>
      <c r="K143" s="12">
        <f t="shared" si="39"/>
        <v>0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6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8"/>
        <v>0</v>
      </c>
      <c r="H144" s="10"/>
      <c r="I144" s="10"/>
      <c r="J144" s="12"/>
      <c r="K144" s="12">
        <f t="shared" si="39"/>
        <v>0</v>
      </c>
      <c r="M144" s="10">
        <v>23</v>
      </c>
      <c r="N144" s="30"/>
      <c r="O144" s="31"/>
      <c r="P144" s="47"/>
      <c r="Q144" s="31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E144" s="32">
        <f t="shared" si="46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8"/>
        <v>0</v>
      </c>
      <c r="H145" s="10"/>
      <c r="I145" s="10"/>
      <c r="J145" s="10"/>
      <c r="K145" s="12">
        <f t="shared" si="39"/>
        <v>0</v>
      </c>
      <c r="M145" s="10">
        <v>24</v>
      </c>
      <c r="N145" s="30"/>
      <c r="O145" s="3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6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6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6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6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6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O150" s="31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6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O151" s="31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6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6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O153" s="31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6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6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7">SUM(P155:Q155)</f>
        <v>0</v>
      </c>
      <c r="T155" s="10"/>
      <c r="U155" s="10"/>
      <c r="V155" s="10"/>
      <c r="W155" s="12">
        <f t="shared" ref="W155:W163" si="48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49">SUM(AB155:AC155)</f>
        <v>0</v>
      </c>
      <c r="AF155" s="10"/>
      <c r="AG155" s="10"/>
      <c r="AH155" s="10"/>
      <c r="AI155" s="12">
        <f t="shared" si="43"/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7"/>
        <v>0</v>
      </c>
      <c r="T156" s="10"/>
      <c r="U156" s="10"/>
      <c r="V156" s="10"/>
      <c r="W156" s="12">
        <f t="shared" si="48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9"/>
        <v>0</v>
      </c>
      <c r="AF156" s="10"/>
      <c r="AG156" s="10"/>
      <c r="AH156" s="10"/>
      <c r="AI156" s="12">
        <f t="shared" si="43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7"/>
        <v>0</v>
      </c>
      <c r="T157" s="10"/>
      <c r="U157" s="10"/>
      <c r="V157" s="10"/>
      <c r="W157" s="12">
        <f t="shared" si="48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9"/>
        <v>0</v>
      </c>
      <c r="AF157" s="10"/>
      <c r="AG157" s="10"/>
      <c r="AH157" s="10"/>
      <c r="AI157" s="12">
        <f t="shared" si="43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7"/>
        <v>0</v>
      </c>
      <c r="T158" s="10"/>
      <c r="U158" s="10"/>
      <c r="V158" s="10"/>
      <c r="W158" s="12">
        <f t="shared" si="48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9"/>
        <v>0</v>
      </c>
      <c r="AF158" s="10"/>
      <c r="AG158" s="10"/>
      <c r="AH158" s="10"/>
      <c r="AI158" s="12">
        <f t="shared" si="43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7"/>
        <v>0</v>
      </c>
      <c r="T159" s="10"/>
      <c r="U159" s="10"/>
      <c r="V159" s="10"/>
      <c r="W159" s="12">
        <f t="shared" si="48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9"/>
        <v>0</v>
      </c>
      <c r="AF159" s="10"/>
      <c r="AG159" s="10"/>
      <c r="AH159" s="10"/>
      <c r="AI159" s="12">
        <f t="shared" si="43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7"/>
        <v>0</v>
      </c>
      <c r="T160" s="10"/>
      <c r="U160" s="10"/>
      <c r="V160" s="10"/>
      <c r="W160" s="12">
        <f t="shared" si="48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9"/>
        <v>0</v>
      </c>
      <c r="AF160" s="10"/>
      <c r="AG160" s="10"/>
      <c r="AH160" s="10"/>
      <c r="AI160" s="12">
        <f t="shared" si="43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8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43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0">SUM(D162:E162)</f>
        <v>0</v>
      </c>
      <c r="H162" s="10"/>
      <c r="I162" s="10"/>
      <c r="J162" s="10"/>
      <c r="K162" s="12">
        <f t="shared" ref="K162" si="51">SUM(G162:J162)</f>
        <v>0</v>
      </c>
      <c r="M162" s="10"/>
      <c r="N162" s="30"/>
      <c r="O162" s="31"/>
      <c r="P162" s="47"/>
      <c r="Q162" s="31"/>
      <c r="R162" s="31"/>
      <c r="S162" s="32">
        <f t="shared" ref="S162" si="52">SUM(P162:Q162)</f>
        <v>0</v>
      </c>
      <c r="T162" s="10"/>
      <c r="U162" s="10"/>
      <c r="V162" s="10"/>
      <c r="W162" s="12">
        <f t="shared" si="48"/>
        <v>0</v>
      </c>
      <c r="Y162" s="10"/>
      <c r="Z162" s="30"/>
      <c r="AA162" s="31"/>
      <c r="AB162" s="47"/>
      <c r="AC162" s="31"/>
      <c r="AD162" s="31"/>
      <c r="AE162" s="32">
        <f t="shared" ref="AE162" si="53">SUM(AB162:AC162)</f>
        <v>0</v>
      </c>
      <c r="AF162" s="10"/>
      <c r="AG162" s="10"/>
      <c r="AH162" s="10"/>
      <c r="AI162" s="12">
        <f t="shared" si="43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8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43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330354</v>
      </c>
      <c r="E165" s="38">
        <f t="shared" ref="E165:F165" si="54">SUM(E122:E162)</f>
        <v>-2004</v>
      </c>
      <c r="F165" s="38">
        <f t="shared" si="54"/>
        <v>0</v>
      </c>
      <c r="G165" s="38">
        <f>SUM(G122:G164)</f>
        <v>328350</v>
      </c>
      <c r="H165" s="4"/>
      <c r="I165" s="39">
        <f>SUM(I122:I164)</f>
        <v>13821</v>
      </c>
      <c r="J165" s="39">
        <f>SUM(J122:J164)</f>
        <v>-280.5</v>
      </c>
      <c r="K165" s="40">
        <f>SUM(K122:K164)</f>
        <v>341890.5</v>
      </c>
      <c r="N165" s="57"/>
      <c r="O165" s="57"/>
      <c r="P165" s="38">
        <f>SUM(P122:P164)</f>
        <v>216406</v>
      </c>
      <c r="Q165" s="38">
        <f>SUM(Q122:Q146)</f>
        <v>-1944</v>
      </c>
      <c r="R165" s="38">
        <f>SUM(R122:R146)</f>
        <v>0</v>
      </c>
      <c r="S165" s="38">
        <f>SUM(S122:S164)</f>
        <v>214462</v>
      </c>
      <c r="T165" s="4"/>
      <c r="U165" s="41">
        <f>SUM(U122:U164)</f>
        <v>880.5</v>
      </c>
      <c r="V165" s="41">
        <f>SUM(V122:V146)</f>
        <v>-420</v>
      </c>
      <c r="W165" s="42">
        <f>SUM(W122:W164)</f>
        <v>214922.5</v>
      </c>
      <c r="Z165" s="57"/>
      <c r="AA165" s="57"/>
      <c r="AB165" s="38">
        <f>SUM(AB122:AB164)</f>
        <v>202395</v>
      </c>
      <c r="AC165" s="38">
        <f>SUM(AC122:AC146)</f>
        <v>-1158</v>
      </c>
      <c r="AD165" s="38">
        <f>SUM(AD122:AD146)</f>
        <v>0</v>
      </c>
      <c r="AE165" s="38">
        <f>SUM(AE122:AE164)</f>
        <v>201237</v>
      </c>
      <c r="AF165" s="4"/>
      <c r="AG165" s="41">
        <f>SUM(AG122:AG164)</f>
        <v>61.5</v>
      </c>
      <c r="AH165" s="41">
        <f>SUM(AH122:AH146)</f>
        <v>0</v>
      </c>
      <c r="AI165" s="42">
        <f>SUM(AI122:AI164)</f>
        <v>201298.5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s="62"/>
      <c r="Z167" s="88"/>
      <c r="AA167" s="88"/>
      <c r="AB167" s="88"/>
      <c r="AC167" s="88"/>
      <c r="AD167" s="88"/>
      <c r="AE167" s="88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s="62"/>
      <c r="Z168" s="88"/>
      <c r="AA168" s="88"/>
      <c r="AB168" s="88"/>
      <c r="AC168" s="88"/>
      <c r="AD168" s="88"/>
      <c r="AE168" s="88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Y169" s="62"/>
      <c r="Z169" s="88"/>
      <c r="AA169" s="88"/>
      <c r="AB169" s="88"/>
      <c r="AC169" s="88"/>
      <c r="AD169" s="88"/>
      <c r="AE169" s="88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63"/>
      <c r="Z170" s="88"/>
      <c r="AA170" s="88"/>
      <c r="AB170" s="88"/>
      <c r="AC170" s="88"/>
      <c r="AD170" s="88"/>
      <c r="AE170" s="88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Y171" s="62"/>
      <c r="Z171" s="88"/>
      <c r="AA171" s="88"/>
      <c r="AB171" s="88"/>
      <c r="AC171" s="88"/>
      <c r="AD171" s="88"/>
      <c r="AE171" s="88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s="62"/>
      <c r="Z172" s="88"/>
      <c r="AA172" s="88"/>
      <c r="AB172" s="88"/>
      <c r="AC172" s="88"/>
      <c r="AD172" s="88"/>
      <c r="AE172" s="88"/>
      <c r="AF172" s="62"/>
      <c r="AG172" s="88"/>
      <c r="AH172" s="88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64"/>
      <c r="Z173" s="88"/>
      <c r="AA173" s="88"/>
      <c r="AB173" s="88"/>
      <c r="AC173" s="88"/>
      <c r="AD173" s="88"/>
      <c r="AE173" s="88"/>
      <c r="AF173" s="62"/>
      <c r="AG173" s="65"/>
      <c r="AH173" s="65"/>
      <c r="AI173" s="62"/>
      <c r="AJ173" s="62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Y174" s="62"/>
      <c r="Z174" s="88"/>
      <c r="AA174" s="88"/>
      <c r="AB174" s="88"/>
      <c r="AC174" s="88"/>
      <c r="AD174" s="88"/>
      <c r="AE174" s="88"/>
      <c r="AF174" s="62"/>
      <c r="AG174" s="62"/>
      <c r="AH174" s="62"/>
      <c r="AI174" s="62"/>
      <c r="AJ174" s="62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6" t="s">
        <v>17</v>
      </c>
      <c r="E175" s="116"/>
      <c r="F175" s="92"/>
      <c r="G175" s="27"/>
      <c r="I175" s="117" t="s">
        <v>18</v>
      </c>
      <c r="J175" s="118"/>
      <c r="K175" s="112" t="s">
        <v>19</v>
      </c>
      <c r="N175" s="25"/>
      <c r="O175" s="26"/>
      <c r="P175" s="116" t="s">
        <v>17</v>
      </c>
      <c r="Q175" s="116"/>
      <c r="R175" s="92"/>
      <c r="S175" s="27"/>
      <c r="U175" s="117" t="s">
        <v>18</v>
      </c>
      <c r="V175" s="118"/>
      <c r="W175" s="112" t="s">
        <v>19</v>
      </c>
      <c r="Y175" s="62"/>
      <c r="Z175" s="65"/>
      <c r="AA175" s="88"/>
      <c r="AB175" s="115"/>
      <c r="AC175" s="115"/>
      <c r="AD175" s="88"/>
      <c r="AE175" s="88"/>
      <c r="AF175" s="62"/>
      <c r="AG175" s="115"/>
      <c r="AH175" s="115"/>
      <c r="AI175" s="114"/>
      <c r="AJ175" s="62"/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13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13"/>
      <c r="Y176" s="62"/>
      <c r="Z176" s="88"/>
      <c r="AA176" s="88"/>
      <c r="AB176" s="79"/>
      <c r="AC176" s="81"/>
      <c r="AD176" s="81"/>
      <c r="AE176" s="81"/>
      <c r="AF176" s="62"/>
      <c r="AG176" s="87"/>
      <c r="AH176" s="87"/>
      <c r="AI176" s="114"/>
      <c r="AJ176" s="62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46145</v>
      </c>
      <c r="C177" s="83">
        <v>9426</v>
      </c>
      <c r="D177" s="32">
        <f>650*324+1582+229*10</f>
        <v>214472</v>
      </c>
      <c r="E177" s="32">
        <f>-325*6</f>
        <v>-1950</v>
      </c>
      <c r="F177" s="32"/>
      <c r="G177" s="32">
        <f t="shared" ref="G177:G210" si="55">SUM(D177:E177)</f>
        <v>212522</v>
      </c>
      <c r="H177" s="12"/>
      <c r="I177" s="12"/>
      <c r="J177" s="12">
        <v>-11988</v>
      </c>
      <c r="K177" s="12">
        <f t="shared" ref="K177:K210" si="56">SUM(G177:J177)</f>
        <v>200534</v>
      </c>
      <c r="M177" s="10">
        <v>1</v>
      </c>
      <c r="N177" s="30">
        <v>46145</v>
      </c>
      <c r="O177" s="31">
        <v>9467</v>
      </c>
      <c r="P177" s="32">
        <f>650*7+622*2</f>
        <v>5794</v>
      </c>
      <c r="Q177" s="32"/>
      <c r="R177" s="32"/>
      <c r="S177" s="32">
        <f>SUM(P177:Q177)</f>
        <v>5794</v>
      </c>
      <c r="T177" s="12"/>
      <c r="U177" s="12"/>
      <c r="V177" s="12">
        <v>-888</v>
      </c>
      <c r="W177" s="12">
        <f>SUM(S177:V177)</f>
        <v>4906</v>
      </c>
      <c r="Y177" s="62"/>
      <c r="Z177" s="66"/>
      <c r="AA177" s="88"/>
      <c r="AB177" s="60"/>
      <c r="AC177" s="60"/>
      <c r="AD177" s="60"/>
      <c r="AE177" s="60"/>
      <c r="AF177" s="61"/>
      <c r="AG177" s="61"/>
      <c r="AH177" s="61"/>
      <c r="AI177" s="61"/>
      <c r="AJ177" s="62"/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46145</v>
      </c>
      <c r="C178" s="83">
        <f>C177+1</f>
        <v>9427</v>
      </c>
      <c r="D178" s="32">
        <f>650*30+622*10+1582</f>
        <v>27302</v>
      </c>
      <c r="E178" s="32"/>
      <c r="F178" s="32"/>
      <c r="G178" s="32">
        <f t="shared" si="55"/>
        <v>27302</v>
      </c>
      <c r="H178" s="12"/>
      <c r="I178" s="12"/>
      <c r="J178" s="12"/>
      <c r="K178" s="12">
        <f t="shared" si="56"/>
        <v>27302</v>
      </c>
      <c r="M178" s="10">
        <v>2</v>
      </c>
      <c r="N178" s="30">
        <v>46145</v>
      </c>
      <c r="O178" s="31">
        <f>O177+1</f>
        <v>9468</v>
      </c>
      <c r="P178" s="32">
        <f>650*175+1667*4+872*2+622*20+1175*5+1175*4+1102*14+229*5+650*30</f>
        <v>181250</v>
      </c>
      <c r="Q178" s="32">
        <f>-197*6</f>
        <v>-1182</v>
      </c>
      <c r="R178" s="32"/>
      <c r="S178" s="32">
        <f t="shared" ref="S178:S209" si="57">SUM(P178:Q178)</f>
        <v>180068</v>
      </c>
      <c r="T178" s="12"/>
      <c r="U178" s="12">
        <f>120*2+78*3</f>
        <v>474</v>
      </c>
      <c r="V178" s="12">
        <f>-23*111+-42*10</f>
        <v>-2973</v>
      </c>
      <c r="W178" s="12">
        <f t="shared" ref="W178:W209" si="58">SUM(S178:V178)</f>
        <v>177569</v>
      </c>
      <c r="Y178" s="62"/>
      <c r="Z178" s="66"/>
      <c r="AA178" s="88"/>
      <c r="AB178" s="60"/>
      <c r="AC178" s="62"/>
      <c r="AD178" s="60"/>
      <c r="AE178" s="60"/>
      <c r="AF178" s="61"/>
      <c r="AG178" s="61"/>
      <c r="AH178" s="62"/>
      <c r="AI178" s="61"/>
      <c r="AJ178" s="62"/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46145</v>
      </c>
      <c r="C179" s="83">
        <f t="shared" ref="C179:C180" si="59">C178+1</f>
        <v>9428</v>
      </c>
      <c r="D179" s="33">
        <f>650*10</f>
        <v>6500</v>
      </c>
      <c r="E179" s="33"/>
      <c r="F179" s="33"/>
      <c r="G179" s="33">
        <f t="shared" si="55"/>
        <v>6500</v>
      </c>
      <c r="H179" s="34"/>
      <c r="I179" s="34"/>
      <c r="J179" s="34"/>
      <c r="K179" s="34">
        <f t="shared" si="56"/>
        <v>6500</v>
      </c>
      <c r="M179" s="10">
        <v>3</v>
      </c>
      <c r="N179" s="30">
        <v>46145</v>
      </c>
      <c r="O179" s="31">
        <f t="shared" ref="O179:O183" si="60">O178+1</f>
        <v>9469</v>
      </c>
      <c r="P179" s="32">
        <f>1175+1582</f>
        <v>2757</v>
      </c>
      <c r="Q179" s="32"/>
      <c r="R179" s="32"/>
      <c r="S179" s="32">
        <f t="shared" si="57"/>
        <v>2757</v>
      </c>
      <c r="T179" s="12"/>
      <c r="U179" s="12"/>
      <c r="V179" s="12"/>
      <c r="W179" s="12">
        <f t="shared" si="58"/>
        <v>2757</v>
      </c>
      <c r="Y179" s="62"/>
      <c r="Z179" s="66"/>
      <c r="AA179" s="88"/>
      <c r="AB179" s="60"/>
      <c r="AC179" s="60"/>
      <c r="AD179" s="60"/>
      <c r="AE179" s="60"/>
      <c r="AF179" s="61"/>
      <c r="AG179" s="61"/>
      <c r="AH179" s="61"/>
      <c r="AI179" s="61"/>
      <c r="AJ179" s="62"/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46145</v>
      </c>
      <c r="C180" s="83">
        <f t="shared" si="59"/>
        <v>9429</v>
      </c>
      <c r="D180" s="32">
        <f>650*13+1050</f>
        <v>9500</v>
      </c>
      <c r="E180" s="32"/>
      <c r="F180" s="32"/>
      <c r="G180" s="32">
        <f t="shared" si="55"/>
        <v>9500</v>
      </c>
      <c r="H180" s="12"/>
      <c r="I180" s="12">
        <f>7*4.5</f>
        <v>31.5</v>
      </c>
      <c r="J180" s="12"/>
      <c r="K180" s="12">
        <f t="shared" si="56"/>
        <v>9531.5</v>
      </c>
      <c r="M180" s="10">
        <v>4</v>
      </c>
      <c r="N180" s="30">
        <v>46145</v>
      </c>
      <c r="O180" s="31">
        <f t="shared" si="60"/>
        <v>9470</v>
      </c>
      <c r="P180" s="32">
        <f>650*50+229*2</f>
        <v>32958</v>
      </c>
      <c r="Q180" s="32"/>
      <c r="R180" s="32"/>
      <c r="S180" s="32">
        <f t="shared" si="57"/>
        <v>32958</v>
      </c>
      <c r="T180" s="12"/>
      <c r="U180" s="12"/>
      <c r="V180" s="12">
        <v>-444</v>
      </c>
      <c r="W180" s="12">
        <f t="shared" si="58"/>
        <v>32514</v>
      </c>
      <c r="Y180" s="62"/>
      <c r="Z180" s="66"/>
      <c r="AA180" s="88"/>
      <c r="AB180" s="60"/>
      <c r="AC180" s="60"/>
      <c r="AD180" s="60"/>
      <c r="AE180" s="60"/>
      <c r="AF180" s="61"/>
      <c r="AG180" s="62"/>
      <c r="AH180" s="61"/>
      <c r="AI180" s="61"/>
      <c r="AJ180" s="62"/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55"/>
        <v>0</v>
      </c>
      <c r="H181" s="12"/>
      <c r="I181" s="12"/>
      <c r="J181" s="12"/>
      <c r="K181" s="12">
        <f t="shared" si="56"/>
        <v>0</v>
      </c>
      <c r="M181" s="10">
        <v>5</v>
      </c>
      <c r="N181" s="30">
        <v>46145</v>
      </c>
      <c r="O181" s="31">
        <f t="shared" si="60"/>
        <v>9471</v>
      </c>
      <c r="P181" s="32">
        <f>650*3+670</f>
        <v>2620</v>
      </c>
      <c r="Q181" s="32"/>
      <c r="R181" s="32"/>
      <c r="S181" s="32">
        <f t="shared" si="57"/>
        <v>2620</v>
      </c>
      <c r="T181" s="12"/>
      <c r="U181" s="12"/>
      <c r="V181" s="12"/>
      <c r="W181" s="12">
        <f t="shared" si="58"/>
        <v>2620</v>
      </c>
      <c r="Y181" s="62"/>
      <c r="Z181" s="66"/>
      <c r="AA181" s="88"/>
      <c r="AB181" s="60"/>
      <c r="AC181" s="60"/>
      <c r="AD181" s="60"/>
      <c r="AE181" s="60"/>
      <c r="AF181" s="61"/>
      <c r="AG181" s="61"/>
      <c r="AH181" s="61"/>
      <c r="AI181" s="61"/>
      <c r="AJ181" s="62"/>
      <c r="AK181" s="62"/>
      <c r="AL181" s="65"/>
      <c r="AM181" s="86"/>
      <c r="AN181" s="115"/>
      <c r="AO181" s="115"/>
      <c r="AP181" s="86"/>
      <c r="AQ181" s="62"/>
      <c r="AR181" s="115"/>
      <c r="AS181" s="115"/>
      <c r="AT181" s="114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55"/>
        <v>0</v>
      </c>
      <c r="H182" s="12"/>
      <c r="I182" s="12"/>
      <c r="J182" s="12"/>
      <c r="K182" s="12">
        <f t="shared" si="56"/>
        <v>0</v>
      </c>
      <c r="M182" s="10">
        <v>6</v>
      </c>
      <c r="N182" s="30">
        <v>46145</v>
      </c>
      <c r="O182" s="31">
        <f t="shared" si="60"/>
        <v>9472</v>
      </c>
      <c r="P182" s="32">
        <f>650*5+622*2</f>
        <v>4494</v>
      </c>
      <c r="Q182" s="32"/>
      <c r="R182" s="32"/>
      <c r="S182" s="32">
        <f t="shared" si="57"/>
        <v>4494</v>
      </c>
      <c r="T182" s="12"/>
      <c r="U182" s="12"/>
      <c r="V182" s="10">
        <v>-666</v>
      </c>
      <c r="W182" s="12">
        <f t="shared" si="58"/>
        <v>3828</v>
      </c>
      <c r="Y182" s="62"/>
      <c r="Z182" s="66"/>
      <c r="AA182" s="65"/>
      <c r="AB182" s="60"/>
      <c r="AC182" s="60"/>
      <c r="AD182" s="60"/>
      <c r="AE182" s="60"/>
      <c r="AF182" s="61"/>
      <c r="AG182" s="61"/>
      <c r="AH182" s="62"/>
      <c r="AI182" s="61"/>
      <c r="AJ182" s="62"/>
      <c r="AK182" s="62"/>
      <c r="AL182" s="86"/>
      <c r="AM182" s="86"/>
      <c r="AN182" s="86"/>
      <c r="AO182" s="85"/>
      <c r="AP182" s="85"/>
      <c r="AQ182" s="62"/>
      <c r="AR182" s="85"/>
      <c r="AS182" s="85"/>
      <c r="AT182" s="114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55"/>
        <v>0</v>
      </c>
      <c r="H183" s="12"/>
      <c r="I183" s="12"/>
      <c r="J183" s="12"/>
      <c r="K183" s="12">
        <f t="shared" si="56"/>
        <v>0</v>
      </c>
      <c r="M183" s="10">
        <v>7</v>
      </c>
      <c r="N183" s="30">
        <v>46145</v>
      </c>
      <c r="O183" s="31">
        <f t="shared" si="60"/>
        <v>9473</v>
      </c>
      <c r="P183" s="32">
        <f>650*2</f>
        <v>1300</v>
      </c>
      <c r="Q183" s="32"/>
      <c r="R183" s="32"/>
      <c r="S183" s="32">
        <f t="shared" si="57"/>
        <v>1300</v>
      </c>
      <c r="T183" s="12"/>
      <c r="U183" s="12"/>
      <c r="V183" s="12"/>
      <c r="W183" s="12">
        <f t="shared" si="58"/>
        <v>1300</v>
      </c>
      <c r="Y183" s="62"/>
      <c r="Z183" s="66"/>
      <c r="AA183" s="88"/>
      <c r="AB183" s="60"/>
      <c r="AC183" s="60"/>
      <c r="AD183" s="60"/>
      <c r="AE183" s="60"/>
      <c r="AF183" s="61"/>
      <c r="AG183" s="61"/>
      <c r="AH183" s="61"/>
      <c r="AI183" s="61"/>
      <c r="AJ183" s="62"/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55"/>
        <v>0</v>
      </c>
      <c r="H184" s="12"/>
      <c r="I184" s="12"/>
      <c r="J184" s="12"/>
      <c r="K184" s="12">
        <f t="shared" si="56"/>
        <v>0</v>
      </c>
      <c r="M184" s="10">
        <v>8</v>
      </c>
      <c r="N184" s="30"/>
      <c r="O184" s="11" t="s">
        <v>27</v>
      </c>
      <c r="P184" s="32"/>
      <c r="Q184" s="32"/>
      <c r="R184" s="32"/>
      <c r="S184" s="32">
        <f t="shared" si="57"/>
        <v>0</v>
      </c>
      <c r="T184" s="12"/>
      <c r="U184" s="12"/>
      <c r="V184" s="12"/>
      <c r="W184" s="12">
        <f t="shared" si="58"/>
        <v>0</v>
      </c>
      <c r="Y184" s="62"/>
      <c r="Z184" s="66"/>
      <c r="AA184" s="88"/>
      <c r="AB184" s="60"/>
      <c r="AC184" s="60"/>
      <c r="AD184" s="62"/>
      <c r="AE184" s="60"/>
      <c r="AF184" s="61"/>
      <c r="AG184" s="61"/>
      <c r="AH184" s="61"/>
      <c r="AI184" s="61"/>
      <c r="AJ184" s="62"/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83"/>
      <c r="D185" s="32"/>
      <c r="E185" s="32"/>
      <c r="F185" s="32"/>
      <c r="G185" s="32">
        <f t="shared" si="55"/>
        <v>0</v>
      </c>
      <c r="H185" s="12"/>
      <c r="I185" s="12"/>
      <c r="J185" s="12"/>
      <c r="K185" s="12">
        <f t="shared" si="56"/>
        <v>0</v>
      </c>
      <c r="M185" s="10">
        <v>9</v>
      </c>
      <c r="N185" s="30"/>
      <c r="O185" s="31"/>
      <c r="P185" s="32"/>
      <c r="Q185" s="32"/>
      <c r="R185" s="32"/>
      <c r="S185" s="32">
        <f t="shared" si="57"/>
        <v>0</v>
      </c>
      <c r="T185" s="12"/>
      <c r="U185" s="12"/>
      <c r="V185" s="12"/>
      <c r="W185" s="12">
        <f t="shared" si="58"/>
        <v>0</v>
      </c>
      <c r="Y185" s="62"/>
      <c r="Z185" s="66"/>
      <c r="AA185" s="88"/>
      <c r="AB185" s="62"/>
      <c r="AC185" s="60"/>
      <c r="AD185" s="60"/>
      <c r="AE185" s="60"/>
      <c r="AF185" s="61"/>
      <c r="AG185" s="62"/>
      <c r="AH185" s="61"/>
      <c r="AI185" s="61"/>
      <c r="AJ185" s="62"/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55"/>
        <v>0</v>
      </c>
      <c r="H186" s="12"/>
      <c r="I186" s="12"/>
      <c r="J186" s="12"/>
      <c r="K186" s="12">
        <f t="shared" si="56"/>
        <v>0</v>
      </c>
      <c r="M186" s="10">
        <v>10</v>
      </c>
      <c r="N186" s="30"/>
      <c r="O186" s="31"/>
      <c r="P186" s="32"/>
      <c r="Q186" s="32"/>
      <c r="R186" s="32"/>
      <c r="S186" s="32">
        <f t="shared" si="57"/>
        <v>0</v>
      </c>
      <c r="T186" s="12"/>
      <c r="U186" s="12"/>
      <c r="V186" s="12"/>
      <c r="W186" s="12">
        <f t="shared" si="58"/>
        <v>0</v>
      </c>
      <c r="Y186" s="62"/>
      <c r="Z186" s="66"/>
      <c r="AA186" s="88"/>
      <c r="AB186" s="60"/>
      <c r="AC186" s="60"/>
      <c r="AD186" s="60"/>
      <c r="AE186" s="60"/>
      <c r="AF186" s="61"/>
      <c r="AG186" s="61"/>
      <c r="AH186" s="61"/>
      <c r="AI186" s="61"/>
      <c r="AJ186" s="62"/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D187" s="32"/>
      <c r="E187" s="32"/>
      <c r="F187" s="32"/>
      <c r="G187" s="32">
        <f t="shared" si="55"/>
        <v>0</v>
      </c>
      <c r="H187" s="12"/>
      <c r="I187" s="12"/>
      <c r="J187" s="12"/>
      <c r="K187" s="12">
        <f t="shared" si="56"/>
        <v>0</v>
      </c>
      <c r="M187" s="10">
        <v>11</v>
      </c>
      <c r="N187" s="30"/>
      <c r="P187" s="32"/>
      <c r="Q187" s="32"/>
      <c r="R187" s="32"/>
      <c r="S187" s="32">
        <f t="shared" si="57"/>
        <v>0</v>
      </c>
      <c r="T187" s="12"/>
      <c r="U187" s="12"/>
      <c r="V187" s="12"/>
      <c r="W187" s="12">
        <f t="shared" si="58"/>
        <v>0</v>
      </c>
      <c r="Y187" s="62"/>
      <c r="Z187" s="66"/>
      <c r="AA187" s="88"/>
      <c r="AB187" s="60"/>
      <c r="AC187" s="60"/>
      <c r="AD187" s="60"/>
      <c r="AE187" s="60"/>
      <c r="AF187" s="61"/>
      <c r="AG187" s="61"/>
      <c r="AH187" s="61"/>
      <c r="AI187" s="61"/>
      <c r="AJ187" s="62"/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57"/>
      <c r="D188" s="32"/>
      <c r="E188" s="32"/>
      <c r="F188" s="32"/>
      <c r="G188" s="32">
        <f t="shared" si="55"/>
        <v>0</v>
      </c>
      <c r="H188" s="12"/>
      <c r="I188" s="12"/>
      <c r="J188" s="10"/>
      <c r="K188" s="12">
        <f t="shared" si="56"/>
        <v>0</v>
      </c>
      <c r="M188" s="10">
        <v>12</v>
      </c>
      <c r="N188" s="30"/>
      <c r="O188" s="31"/>
      <c r="P188" s="32"/>
      <c r="Q188" s="32"/>
      <c r="R188" s="32"/>
      <c r="S188" s="32">
        <f t="shared" si="57"/>
        <v>0</v>
      </c>
      <c r="T188" s="12"/>
      <c r="U188" s="12"/>
      <c r="V188" s="12"/>
      <c r="W188" s="12">
        <f t="shared" si="58"/>
        <v>0</v>
      </c>
      <c r="Y188" s="62"/>
      <c r="Z188" s="66"/>
      <c r="AA188" s="88"/>
      <c r="AB188" s="60"/>
      <c r="AC188" s="60"/>
      <c r="AD188" s="60"/>
      <c r="AE188" s="60"/>
      <c r="AF188" s="61"/>
      <c r="AG188" s="61"/>
      <c r="AH188" s="61"/>
      <c r="AI188" s="61"/>
      <c r="AJ188" s="62"/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55"/>
        <v>0</v>
      </c>
      <c r="H189" s="12"/>
      <c r="I189" s="12"/>
      <c r="J189" s="12"/>
      <c r="K189" s="12">
        <f t="shared" si="56"/>
        <v>0</v>
      </c>
      <c r="M189" s="10">
        <v>13</v>
      </c>
      <c r="N189" s="30"/>
      <c r="O189" s="31"/>
      <c r="P189" s="32"/>
      <c r="Q189" s="32"/>
      <c r="R189" s="32"/>
      <c r="S189" s="32">
        <f t="shared" si="57"/>
        <v>0</v>
      </c>
      <c r="T189" s="12"/>
      <c r="U189" s="12"/>
      <c r="V189" s="12"/>
      <c r="W189" s="12">
        <f t="shared" si="58"/>
        <v>0</v>
      </c>
      <c r="Y189" s="62"/>
      <c r="Z189" s="66"/>
      <c r="AA189" s="88"/>
      <c r="AB189" s="60"/>
      <c r="AC189" s="60"/>
      <c r="AD189" s="60"/>
      <c r="AE189" s="60"/>
      <c r="AF189" s="61"/>
      <c r="AG189" s="61"/>
      <c r="AH189" s="61"/>
      <c r="AI189" s="61"/>
      <c r="AJ189" s="62"/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5"/>
        <v>0</v>
      </c>
      <c r="H190" s="12"/>
      <c r="I190" s="12"/>
      <c r="J190" s="12"/>
      <c r="K190" s="12">
        <f t="shared" si="56"/>
        <v>0</v>
      </c>
      <c r="M190" s="10">
        <v>14</v>
      </c>
      <c r="N190" s="30"/>
      <c r="O190" s="31"/>
      <c r="P190" s="32"/>
      <c r="Q190" s="32"/>
      <c r="R190" s="32"/>
      <c r="S190" s="32">
        <f t="shared" si="57"/>
        <v>0</v>
      </c>
      <c r="T190" s="12"/>
      <c r="U190" s="12"/>
      <c r="V190" s="12"/>
      <c r="W190" s="12">
        <f t="shared" si="58"/>
        <v>0</v>
      </c>
      <c r="Y190" s="62"/>
      <c r="Z190" s="66"/>
      <c r="AA190" s="88"/>
      <c r="AB190" s="60"/>
      <c r="AC190" s="60"/>
      <c r="AD190" s="60"/>
      <c r="AE190" s="60"/>
      <c r="AF190" s="61"/>
      <c r="AG190" s="61"/>
      <c r="AH190" s="61"/>
      <c r="AI190" s="61"/>
      <c r="AJ190" s="62"/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5"/>
        <v>0</v>
      </c>
      <c r="H191" s="12"/>
      <c r="I191" s="12"/>
      <c r="J191" s="12"/>
      <c r="K191" s="12">
        <f t="shared" si="56"/>
        <v>0</v>
      </c>
      <c r="M191" s="10">
        <v>15</v>
      </c>
      <c r="N191" s="30"/>
      <c r="O191" s="31"/>
      <c r="P191" s="32"/>
      <c r="Q191" s="32"/>
      <c r="R191" s="32"/>
      <c r="S191" s="32">
        <f t="shared" si="57"/>
        <v>0</v>
      </c>
      <c r="T191" s="12"/>
      <c r="U191" s="12"/>
      <c r="V191" s="12"/>
      <c r="W191" s="12">
        <f t="shared" si="58"/>
        <v>0</v>
      </c>
      <c r="Y191" s="62"/>
      <c r="Z191" s="66"/>
      <c r="AA191" s="88"/>
      <c r="AB191" s="60"/>
      <c r="AC191" s="60"/>
      <c r="AD191" s="60"/>
      <c r="AE191" s="60"/>
      <c r="AF191" s="61"/>
      <c r="AG191" s="61"/>
      <c r="AH191" s="61"/>
      <c r="AI191" s="61"/>
      <c r="AJ191" s="62"/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55"/>
        <v>0</v>
      </c>
      <c r="H192" s="12"/>
      <c r="I192" s="12"/>
      <c r="J192" s="12"/>
      <c r="K192" s="12">
        <f t="shared" si="56"/>
        <v>0</v>
      </c>
      <c r="M192" s="10">
        <v>16</v>
      </c>
      <c r="N192" s="30"/>
      <c r="O192" s="31"/>
      <c r="P192" s="32"/>
      <c r="Q192" s="32"/>
      <c r="R192" s="32"/>
      <c r="S192" s="32">
        <f t="shared" si="57"/>
        <v>0</v>
      </c>
      <c r="T192" s="12"/>
      <c r="U192" s="12"/>
      <c r="V192" s="12"/>
      <c r="W192" s="12">
        <f t="shared" si="58"/>
        <v>0</v>
      </c>
      <c r="Y192" s="62"/>
      <c r="Z192" s="66"/>
      <c r="AA192" s="62"/>
      <c r="AB192" s="60"/>
      <c r="AC192" s="60"/>
      <c r="AD192" s="60"/>
      <c r="AE192" s="60"/>
      <c r="AF192" s="61"/>
      <c r="AG192" s="61"/>
      <c r="AH192" s="61"/>
      <c r="AI192" s="61"/>
      <c r="AJ192" s="62"/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55"/>
        <v>0</v>
      </c>
      <c r="H193" s="12"/>
      <c r="I193" s="12"/>
      <c r="J193" s="12"/>
      <c r="K193" s="12">
        <f t="shared" si="56"/>
        <v>0</v>
      </c>
      <c r="M193" s="10">
        <v>17</v>
      </c>
      <c r="N193" s="30"/>
      <c r="O193" s="31"/>
      <c r="P193" s="35"/>
      <c r="Q193" s="32"/>
      <c r="R193" s="32"/>
      <c r="S193" s="32">
        <f t="shared" si="57"/>
        <v>0</v>
      </c>
      <c r="T193" s="12"/>
      <c r="U193" s="12"/>
      <c r="V193" s="12"/>
      <c r="W193" s="12">
        <f t="shared" si="58"/>
        <v>0</v>
      </c>
      <c r="Y193" s="62"/>
      <c r="Z193" s="66"/>
      <c r="AA193" s="88"/>
      <c r="AB193" s="60"/>
      <c r="AC193" s="60"/>
      <c r="AD193" s="60"/>
      <c r="AE193" s="60"/>
      <c r="AF193" s="61"/>
      <c r="AG193" s="61"/>
      <c r="AH193" s="61"/>
      <c r="AI193" s="61"/>
      <c r="AJ193" s="62"/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3"/>
      <c r="D194" s="32"/>
      <c r="E194" s="32"/>
      <c r="F194" s="32"/>
      <c r="G194" s="32">
        <f t="shared" si="55"/>
        <v>0</v>
      </c>
      <c r="H194" s="12"/>
      <c r="I194" s="12"/>
      <c r="J194" s="12"/>
      <c r="K194" s="12">
        <f t="shared" si="56"/>
        <v>0</v>
      </c>
      <c r="M194" s="10">
        <v>18</v>
      </c>
      <c r="N194" s="30"/>
      <c r="P194" s="32"/>
      <c r="Q194" s="32"/>
      <c r="R194" s="32"/>
      <c r="S194" s="32">
        <f t="shared" si="57"/>
        <v>0</v>
      </c>
      <c r="T194" s="12"/>
      <c r="U194" s="12"/>
      <c r="V194" s="12"/>
      <c r="W194" s="12">
        <f t="shared" si="58"/>
        <v>0</v>
      </c>
      <c r="Y194" s="62"/>
      <c r="Z194" s="66"/>
      <c r="AA194" s="88"/>
      <c r="AB194" s="60"/>
      <c r="AC194" s="60"/>
      <c r="AD194" s="60"/>
      <c r="AE194" s="60"/>
      <c r="AF194" s="61"/>
      <c r="AG194" s="61"/>
      <c r="AH194" s="61"/>
      <c r="AI194" s="61"/>
      <c r="AJ194" s="62"/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5"/>
        <v>0</v>
      </c>
      <c r="H195" s="12"/>
      <c r="I195" s="12"/>
      <c r="J195" s="12"/>
      <c r="K195" s="12">
        <f t="shared" si="56"/>
        <v>0</v>
      </c>
      <c r="M195" s="10">
        <v>19</v>
      </c>
      <c r="N195" s="30"/>
      <c r="O195" s="31"/>
      <c r="P195" s="32"/>
      <c r="Q195" s="32"/>
      <c r="R195" s="32"/>
      <c r="S195" s="32">
        <f t="shared" si="57"/>
        <v>0</v>
      </c>
      <c r="T195" s="12"/>
      <c r="U195" s="12"/>
      <c r="V195" s="12"/>
      <c r="W195" s="12">
        <f t="shared" si="58"/>
        <v>0</v>
      </c>
      <c r="Y195" s="62"/>
      <c r="Z195" s="66"/>
      <c r="AA195" s="88"/>
      <c r="AB195" s="60"/>
      <c r="AC195" s="60"/>
      <c r="AD195" s="60"/>
      <c r="AE195" s="60"/>
      <c r="AF195" s="61"/>
      <c r="AG195" s="61"/>
      <c r="AH195" s="61"/>
      <c r="AI195" s="61"/>
      <c r="AJ195" s="62"/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5"/>
        <v>0</v>
      </c>
      <c r="H196" s="12"/>
      <c r="I196" s="12"/>
      <c r="J196" s="12"/>
      <c r="K196" s="12">
        <f t="shared" si="56"/>
        <v>0</v>
      </c>
      <c r="M196" s="10">
        <v>20</v>
      </c>
      <c r="N196" s="30"/>
      <c r="P196" s="32"/>
      <c r="Q196" s="32"/>
      <c r="R196" s="32"/>
      <c r="S196" s="32">
        <f t="shared" si="57"/>
        <v>0</v>
      </c>
      <c r="T196" s="12"/>
      <c r="U196" s="12"/>
      <c r="V196" s="12"/>
      <c r="W196" s="12">
        <f t="shared" si="58"/>
        <v>0</v>
      </c>
      <c r="Y196" s="62"/>
      <c r="Z196" s="66"/>
      <c r="AA196" s="62"/>
      <c r="AB196" s="60"/>
      <c r="AC196" s="60"/>
      <c r="AD196" s="60"/>
      <c r="AE196" s="60"/>
      <c r="AF196" s="61"/>
      <c r="AG196" s="61"/>
      <c r="AH196" s="61"/>
      <c r="AI196" s="61"/>
      <c r="AJ196" s="62"/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55"/>
        <v>0</v>
      </c>
      <c r="H197" s="10"/>
      <c r="I197" s="10"/>
      <c r="J197" s="10"/>
      <c r="K197" s="12">
        <f t="shared" si="56"/>
        <v>0</v>
      </c>
      <c r="M197" s="10">
        <v>21</v>
      </c>
      <c r="N197" s="30"/>
      <c r="O197" s="31"/>
      <c r="P197" s="46"/>
      <c r="Q197" s="31"/>
      <c r="R197" s="31"/>
      <c r="S197" s="32">
        <f t="shared" si="57"/>
        <v>0</v>
      </c>
      <c r="T197" s="10"/>
      <c r="U197" s="10"/>
      <c r="V197" s="10"/>
      <c r="W197" s="12">
        <f t="shared" si="58"/>
        <v>0</v>
      </c>
      <c r="Y197" s="62"/>
      <c r="Z197" s="66"/>
      <c r="AA197" s="88"/>
      <c r="AB197" s="67"/>
      <c r="AC197" s="88"/>
      <c r="AD197" s="88"/>
      <c r="AE197" s="60"/>
      <c r="AF197" s="62"/>
      <c r="AG197" s="62"/>
      <c r="AH197" s="62"/>
      <c r="AI197" s="61"/>
      <c r="AJ197" s="62"/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5"/>
        <v>0</v>
      </c>
      <c r="H198" s="10"/>
      <c r="I198" s="10"/>
      <c r="J198" s="10"/>
      <c r="K198" s="12">
        <f t="shared" si="56"/>
        <v>0</v>
      </c>
      <c r="M198" s="10">
        <v>22</v>
      </c>
      <c r="N198" s="30"/>
      <c r="O198" s="31"/>
      <c r="P198" s="45"/>
      <c r="Q198" s="31"/>
      <c r="R198" s="31"/>
      <c r="S198" s="32">
        <f t="shared" si="57"/>
        <v>0</v>
      </c>
      <c r="T198" s="10"/>
      <c r="U198" s="10"/>
      <c r="V198" s="10"/>
      <c r="W198" s="12">
        <f t="shared" si="58"/>
        <v>0</v>
      </c>
      <c r="Y198" s="62"/>
      <c r="Z198" s="66"/>
      <c r="AA198" s="88"/>
      <c r="AB198" s="68"/>
      <c r="AC198" s="88"/>
      <c r="AD198" s="88"/>
      <c r="AE198" s="60"/>
      <c r="AF198" s="62"/>
      <c r="AG198" s="62"/>
      <c r="AH198" s="62"/>
      <c r="AI198" s="61"/>
      <c r="AJ198" s="62"/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5"/>
        <v>0</v>
      </c>
      <c r="H199" s="10"/>
      <c r="I199" s="10"/>
      <c r="J199" s="12"/>
      <c r="K199" s="12">
        <f t="shared" si="56"/>
        <v>0</v>
      </c>
      <c r="M199" s="10">
        <v>23</v>
      </c>
      <c r="N199" s="30"/>
      <c r="O199" s="31"/>
      <c r="P199" s="47"/>
      <c r="Q199" s="31"/>
      <c r="S199" s="32">
        <f t="shared" si="57"/>
        <v>0</v>
      </c>
      <c r="T199" s="10"/>
      <c r="U199" s="10"/>
      <c r="V199" s="10"/>
      <c r="W199" s="12">
        <f t="shared" si="58"/>
        <v>0</v>
      </c>
      <c r="Y199" s="62"/>
      <c r="Z199" s="66"/>
      <c r="AA199" s="88"/>
      <c r="AB199" s="69"/>
      <c r="AC199" s="62"/>
      <c r="AD199" s="62"/>
      <c r="AE199" s="60"/>
      <c r="AF199" s="62"/>
      <c r="AG199" s="62"/>
      <c r="AH199" s="62"/>
      <c r="AI199" s="61"/>
      <c r="AJ199" s="62"/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5"/>
        <v>0</v>
      </c>
      <c r="H200" s="10"/>
      <c r="I200" s="10"/>
      <c r="J200" s="10"/>
      <c r="K200" s="12">
        <f t="shared" si="56"/>
        <v>0</v>
      </c>
      <c r="M200" s="10">
        <v>24</v>
      </c>
      <c r="N200" s="30"/>
      <c r="O200" s="31"/>
      <c r="P200" s="47"/>
      <c r="Q200" s="31"/>
      <c r="R200" s="31"/>
      <c r="S200" s="32">
        <f t="shared" si="57"/>
        <v>0</v>
      </c>
      <c r="T200" s="10"/>
      <c r="U200" s="10"/>
      <c r="V200" s="10"/>
      <c r="W200" s="12">
        <f t="shared" si="58"/>
        <v>0</v>
      </c>
      <c r="Y200" s="62"/>
      <c r="Z200" s="66"/>
      <c r="AA200" s="88"/>
      <c r="AB200" s="69"/>
      <c r="AC200" s="88"/>
      <c r="AD200" s="88"/>
      <c r="AE200" s="60"/>
      <c r="AF200" s="62"/>
      <c r="AG200" s="62"/>
      <c r="AH200" s="62"/>
      <c r="AI200" s="61"/>
      <c r="AJ200" s="62"/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5"/>
        <v>0</v>
      </c>
      <c r="H201" s="10"/>
      <c r="I201" s="10"/>
      <c r="J201" s="10"/>
      <c r="K201" s="12">
        <f t="shared" si="56"/>
        <v>0</v>
      </c>
      <c r="M201" s="10">
        <v>25</v>
      </c>
      <c r="N201" s="30"/>
      <c r="O201" s="31"/>
      <c r="P201" s="47"/>
      <c r="Q201" s="31"/>
      <c r="R201" s="31"/>
      <c r="S201" s="32">
        <f t="shared" si="57"/>
        <v>0</v>
      </c>
      <c r="T201" s="10"/>
      <c r="U201" s="10"/>
      <c r="V201" s="10"/>
      <c r="W201" s="12">
        <f t="shared" si="58"/>
        <v>0</v>
      </c>
      <c r="Y201" s="62"/>
      <c r="Z201" s="66"/>
      <c r="AA201" s="88"/>
      <c r="AB201" s="69"/>
      <c r="AC201" s="88"/>
      <c r="AD201" s="88"/>
      <c r="AE201" s="60"/>
      <c r="AF201" s="62"/>
      <c r="AG201" s="62"/>
      <c r="AH201" s="62"/>
      <c r="AI201" s="61"/>
      <c r="AJ201" s="62"/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5"/>
        <v>0</v>
      </c>
      <c r="H202" s="10"/>
      <c r="I202" s="10"/>
      <c r="J202" s="10"/>
      <c r="K202" s="12">
        <f t="shared" si="56"/>
        <v>0</v>
      </c>
      <c r="M202" s="10">
        <v>26</v>
      </c>
      <c r="N202" s="30"/>
      <c r="O202" s="31"/>
      <c r="P202" s="47"/>
      <c r="Q202" s="31"/>
      <c r="R202" s="31"/>
      <c r="S202" s="32">
        <f t="shared" si="57"/>
        <v>0</v>
      </c>
      <c r="T202" s="10"/>
      <c r="U202" s="10"/>
      <c r="V202" s="10"/>
      <c r="W202" s="12">
        <f t="shared" si="58"/>
        <v>0</v>
      </c>
      <c r="Y202" s="62"/>
      <c r="Z202" s="66"/>
      <c r="AA202" s="88"/>
      <c r="AB202" s="69"/>
      <c r="AC202" s="88"/>
      <c r="AD202" s="88"/>
      <c r="AE202" s="60"/>
      <c r="AF202" s="62"/>
      <c r="AG202" s="62"/>
      <c r="AH202" s="62"/>
      <c r="AI202" s="61"/>
      <c r="AJ202" s="62"/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5"/>
        <v>0</v>
      </c>
      <c r="H203" s="10"/>
      <c r="I203" s="10"/>
      <c r="J203" s="10"/>
      <c r="K203" s="12">
        <f t="shared" si="56"/>
        <v>0</v>
      </c>
      <c r="M203" s="10">
        <v>27</v>
      </c>
      <c r="N203" s="30"/>
      <c r="O203" s="31"/>
      <c r="P203" s="47"/>
      <c r="Q203" s="31"/>
      <c r="R203" s="31"/>
      <c r="S203" s="32">
        <f t="shared" si="57"/>
        <v>0</v>
      </c>
      <c r="T203" s="10"/>
      <c r="U203" s="10"/>
      <c r="V203" s="10"/>
      <c r="W203" s="12">
        <f t="shared" si="58"/>
        <v>0</v>
      </c>
      <c r="Y203" s="62"/>
      <c r="Z203" s="66"/>
      <c r="AA203" s="88"/>
      <c r="AB203" s="69"/>
      <c r="AC203" s="88"/>
      <c r="AD203" s="88"/>
      <c r="AE203" s="60"/>
      <c r="AF203" s="62"/>
      <c r="AG203" s="62"/>
      <c r="AH203" s="62"/>
      <c r="AI203" s="61"/>
      <c r="AJ203" s="62"/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5"/>
        <v>0</v>
      </c>
      <c r="H204" s="10"/>
      <c r="I204" s="10"/>
      <c r="J204" s="10"/>
      <c r="K204" s="12">
        <f t="shared" si="56"/>
        <v>0</v>
      </c>
      <c r="M204" s="10">
        <v>28</v>
      </c>
      <c r="N204" s="30"/>
      <c r="O204" s="31"/>
      <c r="P204" s="47"/>
      <c r="Q204" s="31"/>
      <c r="R204" s="31"/>
      <c r="S204" s="32">
        <f t="shared" si="57"/>
        <v>0</v>
      </c>
      <c r="T204" s="10"/>
      <c r="U204" s="10"/>
      <c r="V204" s="10"/>
      <c r="W204" s="12">
        <f t="shared" si="58"/>
        <v>0</v>
      </c>
      <c r="Y204" s="62"/>
      <c r="Z204" s="66"/>
      <c r="AA204" s="88"/>
      <c r="AB204" s="69"/>
      <c r="AC204" s="88"/>
      <c r="AD204" s="88"/>
      <c r="AE204" s="60"/>
      <c r="AF204" s="62"/>
      <c r="AG204" s="62"/>
      <c r="AH204" s="62"/>
      <c r="AI204" s="61"/>
      <c r="AJ204" s="62"/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55"/>
        <v>0</v>
      </c>
      <c r="H205" s="10"/>
      <c r="I205" s="10"/>
      <c r="J205" s="10"/>
      <c r="K205" s="12">
        <f t="shared" si="56"/>
        <v>0</v>
      </c>
      <c r="M205" s="10">
        <v>29</v>
      </c>
      <c r="N205" s="30"/>
      <c r="O205" s="31"/>
      <c r="P205" s="47"/>
      <c r="Q205" s="31"/>
      <c r="R205" s="31"/>
      <c r="S205" s="32">
        <f t="shared" si="57"/>
        <v>0</v>
      </c>
      <c r="T205" s="10"/>
      <c r="U205" s="10"/>
      <c r="V205" s="10"/>
      <c r="W205" s="12">
        <f t="shared" si="58"/>
        <v>0</v>
      </c>
      <c r="Y205" s="62"/>
      <c r="Z205" s="66"/>
      <c r="AA205" s="88"/>
      <c r="AB205" s="69"/>
      <c r="AC205" s="88"/>
      <c r="AD205" s="88"/>
      <c r="AE205" s="60"/>
      <c r="AF205" s="62"/>
      <c r="AG205" s="62"/>
      <c r="AH205" s="62"/>
      <c r="AI205" s="61"/>
      <c r="AJ205" s="62"/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5"/>
        <v>0</v>
      </c>
      <c r="H206" s="10"/>
      <c r="I206" s="10"/>
      <c r="J206" s="10"/>
      <c r="K206" s="12">
        <f t="shared" si="56"/>
        <v>0</v>
      </c>
      <c r="M206" s="10">
        <v>30</v>
      </c>
      <c r="N206" s="30"/>
      <c r="O206" s="31"/>
      <c r="P206" s="47"/>
      <c r="Q206" s="31"/>
      <c r="R206" s="31"/>
      <c r="S206" s="32">
        <f t="shared" si="57"/>
        <v>0</v>
      </c>
      <c r="T206" s="10"/>
      <c r="U206" s="10"/>
      <c r="V206" s="10"/>
      <c r="W206" s="12">
        <f t="shared" si="58"/>
        <v>0</v>
      </c>
      <c r="Y206" s="62"/>
      <c r="Z206" s="66"/>
      <c r="AA206" s="88"/>
      <c r="AB206" s="69"/>
      <c r="AC206" s="88"/>
      <c r="AD206" s="88"/>
      <c r="AE206" s="60"/>
      <c r="AF206" s="62"/>
      <c r="AG206" s="62"/>
      <c r="AH206" s="62"/>
      <c r="AI206" s="61"/>
      <c r="AJ206" s="62"/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5"/>
        <v>0</v>
      </c>
      <c r="H207" s="10"/>
      <c r="I207" s="10"/>
      <c r="J207" s="10"/>
      <c r="K207" s="12">
        <f t="shared" si="56"/>
        <v>0</v>
      </c>
      <c r="M207" s="10">
        <v>31</v>
      </c>
      <c r="N207" s="30"/>
      <c r="O207" s="31"/>
      <c r="P207" s="47"/>
      <c r="Q207" s="31"/>
      <c r="R207" s="31"/>
      <c r="S207" s="32">
        <f t="shared" si="57"/>
        <v>0</v>
      </c>
      <c r="T207" s="10"/>
      <c r="U207" s="10"/>
      <c r="V207" s="10"/>
      <c r="W207" s="12">
        <f t="shared" si="58"/>
        <v>0</v>
      </c>
      <c r="Y207" s="62"/>
      <c r="Z207" s="66"/>
      <c r="AA207" s="88"/>
      <c r="AB207" s="69"/>
      <c r="AC207" s="88"/>
      <c r="AD207" s="88"/>
      <c r="AE207" s="60"/>
      <c r="AF207" s="62"/>
      <c r="AG207" s="62"/>
      <c r="AH207" s="62"/>
      <c r="AI207" s="61"/>
      <c r="AJ207" s="62"/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5"/>
        <v>0</v>
      </c>
      <c r="H208" s="10"/>
      <c r="I208" s="10"/>
      <c r="J208" s="10"/>
      <c r="K208" s="12">
        <f t="shared" si="56"/>
        <v>0</v>
      </c>
      <c r="M208" s="10">
        <v>32</v>
      </c>
      <c r="N208" s="30"/>
      <c r="O208" s="31"/>
      <c r="P208" s="47"/>
      <c r="Q208" s="31"/>
      <c r="R208" s="31"/>
      <c r="S208" s="32">
        <f t="shared" si="57"/>
        <v>0</v>
      </c>
      <c r="T208" s="10"/>
      <c r="U208" s="10"/>
      <c r="V208" s="10"/>
      <c r="W208" s="12">
        <f t="shared" si="58"/>
        <v>0</v>
      </c>
      <c r="Y208" s="62"/>
      <c r="Z208" s="66"/>
      <c r="AA208" s="88"/>
      <c r="AB208" s="69"/>
      <c r="AC208" s="88"/>
      <c r="AD208" s="88"/>
      <c r="AE208" s="60"/>
      <c r="AF208" s="62"/>
      <c r="AG208" s="62"/>
      <c r="AH208" s="62"/>
      <c r="AI208" s="61"/>
      <c r="AJ208" s="62"/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5"/>
        <v>0</v>
      </c>
      <c r="H209" s="10"/>
      <c r="I209" s="10"/>
      <c r="J209" s="10"/>
      <c r="K209" s="12">
        <f t="shared" si="56"/>
        <v>0</v>
      </c>
      <c r="M209" s="10">
        <v>33</v>
      </c>
      <c r="N209" s="30"/>
      <c r="O209" s="31"/>
      <c r="P209" s="47"/>
      <c r="Q209" s="31"/>
      <c r="R209" s="31"/>
      <c r="S209" s="32">
        <f t="shared" si="57"/>
        <v>0</v>
      </c>
      <c r="T209" s="10"/>
      <c r="U209" s="10"/>
      <c r="V209" s="10"/>
      <c r="W209" s="12">
        <f t="shared" si="58"/>
        <v>0</v>
      </c>
      <c r="Y209" s="62"/>
      <c r="Z209" s="66"/>
      <c r="AA209" s="88"/>
      <c r="AB209" s="69"/>
      <c r="AC209" s="88"/>
      <c r="AD209" s="88"/>
      <c r="AE209" s="60"/>
      <c r="AF209" s="62"/>
      <c r="AG209" s="62"/>
      <c r="AH209" s="62"/>
      <c r="AI209" s="61"/>
      <c r="AJ209" s="62"/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5"/>
        <v>0</v>
      </c>
      <c r="H210" s="10"/>
      <c r="I210" s="10"/>
      <c r="J210" s="10"/>
      <c r="K210" s="12">
        <f t="shared" si="56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1">SUM(P210:Q210)</f>
        <v>0</v>
      </c>
      <c r="T210" s="10"/>
      <c r="U210" s="10"/>
      <c r="V210" s="10"/>
      <c r="W210" s="12">
        <f t="shared" ref="W210:W218" si="62">SUM(S210:V210)</f>
        <v>0</v>
      </c>
      <c r="Y210" s="62"/>
      <c r="Z210" s="66"/>
      <c r="AA210" s="88"/>
      <c r="AB210" s="69"/>
      <c r="AC210" s="88"/>
      <c r="AD210" s="88"/>
      <c r="AE210" s="60"/>
      <c r="AF210" s="62"/>
      <c r="AG210" s="62"/>
      <c r="AH210" s="62"/>
      <c r="AI210" s="61"/>
      <c r="AJ210" s="62"/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1"/>
        <v>0</v>
      </c>
      <c r="T211" s="10"/>
      <c r="U211" s="10"/>
      <c r="V211" s="10"/>
      <c r="W211" s="12">
        <f t="shared" si="62"/>
        <v>0</v>
      </c>
      <c r="Y211" s="62"/>
      <c r="Z211" s="66"/>
      <c r="AA211" s="88"/>
      <c r="AB211" s="69"/>
      <c r="AC211" s="88"/>
      <c r="AD211" s="88"/>
      <c r="AE211" s="60"/>
      <c r="AF211" s="62"/>
      <c r="AG211" s="62"/>
      <c r="AH211" s="62"/>
      <c r="AI211" s="61"/>
      <c r="AJ211" s="62"/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1"/>
        <v>0</v>
      </c>
      <c r="T212" s="10"/>
      <c r="U212" s="10"/>
      <c r="V212" s="10"/>
      <c r="W212" s="12">
        <f t="shared" si="62"/>
        <v>0</v>
      </c>
      <c r="Y212" s="62"/>
      <c r="Z212" s="66"/>
      <c r="AA212" s="88"/>
      <c r="AB212" s="69"/>
      <c r="AC212" s="88"/>
      <c r="AD212" s="88"/>
      <c r="AE212" s="60"/>
      <c r="AF212" s="62"/>
      <c r="AG212" s="62"/>
      <c r="AH212" s="62"/>
      <c r="AI212" s="61"/>
      <c r="AJ212" s="62"/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1"/>
        <v>0</v>
      </c>
      <c r="T213" s="10"/>
      <c r="U213" s="10"/>
      <c r="V213" s="10"/>
      <c r="W213" s="12">
        <f t="shared" si="62"/>
        <v>0</v>
      </c>
      <c r="Y213" s="62"/>
      <c r="Z213" s="66"/>
      <c r="AA213" s="88"/>
      <c r="AB213" s="69"/>
      <c r="AC213" s="88"/>
      <c r="AD213" s="88"/>
      <c r="AE213" s="60"/>
      <c r="AF213" s="62"/>
      <c r="AG213" s="62"/>
      <c r="AH213" s="62"/>
      <c r="AI213" s="61"/>
      <c r="AJ213" s="62"/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1"/>
        <v>0</v>
      </c>
      <c r="T214" s="10"/>
      <c r="U214" s="10"/>
      <c r="V214" s="10"/>
      <c r="W214" s="12">
        <f t="shared" si="62"/>
        <v>0</v>
      </c>
      <c r="Y214" s="62"/>
      <c r="Z214" s="66"/>
      <c r="AA214" s="88"/>
      <c r="AB214" s="69"/>
      <c r="AC214" s="88"/>
      <c r="AD214" s="88"/>
      <c r="AE214" s="60"/>
      <c r="AF214" s="62"/>
      <c r="AG214" s="62"/>
      <c r="AH214" s="62"/>
      <c r="AI214" s="61"/>
      <c r="AJ214" s="62"/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1"/>
        <v>0</v>
      </c>
      <c r="T215" s="10"/>
      <c r="U215" s="10"/>
      <c r="V215" s="10"/>
      <c r="W215" s="12">
        <f t="shared" si="62"/>
        <v>0</v>
      </c>
      <c r="Y215" s="62"/>
      <c r="Z215" s="66"/>
      <c r="AA215" s="88"/>
      <c r="AB215" s="69"/>
      <c r="AC215" s="88"/>
      <c r="AD215" s="88"/>
      <c r="AE215" s="60"/>
      <c r="AF215" s="62"/>
      <c r="AG215" s="62"/>
      <c r="AH215" s="62"/>
      <c r="AI215" s="61"/>
      <c r="AJ215" s="62"/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2"/>
        <v>0</v>
      </c>
      <c r="Y216" s="62"/>
      <c r="Z216" s="66"/>
      <c r="AA216" s="62"/>
      <c r="AB216" s="69"/>
      <c r="AC216" s="88"/>
      <c r="AD216" s="88"/>
      <c r="AE216" s="60"/>
      <c r="AF216" s="62"/>
      <c r="AG216" s="62"/>
      <c r="AH216" s="62"/>
      <c r="AI216" s="61"/>
      <c r="AJ216" s="62"/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3">SUM(D217:E217)</f>
        <v>0</v>
      </c>
      <c r="H217" s="10"/>
      <c r="I217" s="10"/>
      <c r="J217" s="10"/>
      <c r="K217" s="12">
        <f t="shared" ref="K217" si="64">SUM(G217:J217)</f>
        <v>0</v>
      </c>
      <c r="M217" s="10"/>
      <c r="N217" s="30"/>
      <c r="O217" s="31"/>
      <c r="P217" s="47"/>
      <c r="Q217" s="31"/>
      <c r="R217" s="31"/>
      <c r="S217" s="32">
        <f t="shared" ref="S217" si="65">SUM(P217:Q217)</f>
        <v>0</v>
      </c>
      <c r="T217" s="10"/>
      <c r="U217" s="10"/>
      <c r="V217" s="10"/>
      <c r="W217" s="12">
        <f t="shared" si="62"/>
        <v>0</v>
      </c>
      <c r="Y217" s="62"/>
      <c r="Z217" s="66"/>
      <c r="AA217" s="88"/>
      <c r="AB217" s="69"/>
      <c r="AC217" s="88"/>
      <c r="AD217" s="88"/>
      <c r="AE217" s="60"/>
      <c r="AF217" s="62"/>
      <c r="AG217" s="62"/>
      <c r="AH217" s="62"/>
      <c r="AI217" s="61"/>
      <c r="AJ217" s="62"/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2"/>
        <v>0</v>
      </c>
      <c r="Y218" s="62"/>
      <c r="Z218" s="88"/>
      <c r="AA218" s="88"/>
      <c r="AB218" s="88"/>
      <c r="AC218" s="88"/>
      <c r="AD218" s="88"/>
      <c r="AE218" s="88"/>
      <c r="AF218" s="62"/>
      <c r="AG218" s="62"/>
      <c r="AH218" s="62"/>
      <c r="AI218" s="61"/>
      <c r="AJ218" s="62"/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Y219" s="62"/>
      <c r="Z219" s="88"/>
      <c r="AA219" s="88"/>
      <c r="AB219" s="88"/>
      <c r="AC219" s="88"/>
      <c r="AD219" s="88"/>
      <c r="AE219" s="88"/>
      <c r="AF219" s="62"/>
      <c r="AG219" s="62"/>
      <c r="AH219" s="62"/>
      <c r="AI219" s="62"/>
      <c r="AJ219" s="62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257774</v>
      </c>
      <c r="E220" s="38">
        <f t="shared" ref="E220:F220" si="66">SUM(E177:E217)</f>
        <v>-1950</v>
      </c>
      <c r="F220" s="38">
        <f t="shared" si="66"/>
        <v>0</v>
      </c>
      <c r="G220" s="38">
        <f>SUM(G177:G219)</f>
        <v>255824</v>
      </c>
      <c r="H220" s="4"/>
      <c r="I220" s="39">
        <f>SUM(I177:I219)</f>
        <v>31.5</v>
      </c>
      <c r="J220" s="39">
        <f>SUM(J177:J219)</f>
        <v>-11988</v>
      </c>
      <c r="K220" s="40">
        <f>SUM(K177:K219)</f>
        <v>243867.5</v>
      </c>
      <c r="N220" s="57"/>
      <c r="O220" s="57"/>
      <c r="P220" s="38">
        <f>SUM(P177:P219)</f>
        <v>231173</v>
      </c>
      <c r="Q220" s="38">
        <f>SUM(Q177:Q201)</f>
        <v>-1182</v>
      </c>
      <c r="R220" s="38">
        <f>SUM(R177:R201)</f>
        <v>0</v>
      </c>
      <c r="S220" s="38">
        <f>SUM(S177:S219)</f>
        <v>229991</v>
      </c>
      <c r="T220" s="4"/>
      <c r="U220" s="41">
        <f>SUM(U177:U219)</f>
        <v>474</v>
      </c>
      <c r="V220" s="41">
        <f>SUM(V177:V201)</f>
        <v>-4971</v>
      </c>
      <c r="W220" s="42">
        <f>SUM(W177:W219)</f>
        <v>225494</v>
      </c>
      <c r="Y220" s="62"/>
      <c r="Z220" s="88"/>
      <c r="AA220" s="88"/>
      <c r="AB220" s="70"/>
      <c r="AC220" s="70"/>
      <c r="AD220" s="70"/>
      <c r="AE220" s="70"/>
      <c r="AF220" s="63"/>
      <c r="AG220" s="71"/>
      <c r="AH220" s="71"/>
      <c r="AI220" s="71"/>
      <c r="AJ220" s="62"/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88"/>
      <c r="C222" s="88"/>
      <c r="D222" s="88"/>
      <c r="E222" s="88"/>
      <c r="F222" s="88"/>
      <c r="G222" s="88"/>
      <c r="H222" s="62"/>
      <c r="I222" s="62"/>
      <c r="J222" s="62"/>
      <c r="K222" s="62"/>
      <c r="L222" s="62"/>
      <c r="M222" s="62"/>
      <c r="N222" s="88"/>
      <c r="O222" s="88"/>
      <c r="P222" s="88"/>
      <c r="Q222" s="88"/>
      <c r="R222" s="88"/>
      <c r="S222" s="88"/>
      <c r="T222" s="62"/>
      <c r="U222" s="62"/>
      <c r="V222" s="62"/>
      <c r="W222" s="62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88"/>
      <c r="C223" s="88"/>
      <c r="D223" s="88"/>
      <c r="E223" s="88"/>
      <c r="F223" s="88"/>
      <c r="G223" s="88"/>
      <c r="H223" s="62"/>
      <c r="I223" s="62"/>
      <c r="J223" s="62"/>
      <c r="K223" s="62"/>
      <c r="L223" s="62"/>
      <c r="M223" s="62"/>
      <c r="N223" s="88"/>
      <c r="O223" s="88"/>
      <c r="P223" s="88"/>
      <c r="Q223" s="88"/>
      <c r="R223" s="88"/>
      <c r="S223" s="88"/>
      <c r="T223" s="62"/>
      <c r="U223" s="62"/>
      <c r="V223" s="62"/>
      <c r="W223" s="62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88"/>
      <c r="C224" s="88"/>
      <c r="D224" s="88"/>
      <c r="E224" s="88"/>
      <c r="F224" s="88"/>
      <c r="G224" s="88"/>
      <c r="H224" s="62"/>
      <c r="I224" s="62"/>
      <c r="J224" s="62"/>
      <c r="K224" s="62"/>
      <c r="L224" s="62"/>
      <c r="M224" s="62"/>
      <c r="N224" s="88"/>
      <c r="O224" s="88"/>
      <c r="P224" s="88"/>
      <c r="Q224" s="88"/>
      <c r="R224" s="88"/>
      <c r="S224" s="88"/>
      <c r="T224" s="62"/>
      <c r="U224" s="62"/>
      <c r="V224" s="62"/>
      <c r="W224" s="62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88"/>
      <c r="C225" s="88"/>
      <c r="D225" s="88"/>
      <c r="E225" s="88"/>
      <c r="F225" s="88"/>
      <c r="G225" s="88"/>
      <c r="H225" s="62"/>
      <c r="I225" s="62"/>
      <c r="J225" s="62"/>
      <c r="K225" s="62"/>
      <c r="L225" s="62"/>
      <c r="M225" s="63"/>
      <c r="N225" s="88"/>
      <c r="O225" s="88"/>
      <c r="P225" s="88"/>
      <c r="Q225" s="88"/>
      <c r="R225" s="88"/>
      <c r="S225" s="88"/>
      <c r="T225" s="62"/>
      <c r="U225" s="62"/>
      <c r="V225" s="62"/>
      <c r="W225" s="62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88"/>
      <c r="C226" s="88"/>
      <c r="D226" s="88"/>
      <c r="E226" s="88"/>
      <c r="F226" s="88"/>
      <c r="G226" s="88"/>
      <c r="H226" s="62"/>
      <c r="I226" s="62"/>
      <c r="J226" s="62"/>
      <c r="K226" s="62"/>
      <c r="L226" s="62"/>
      <c r="M226" s="62"/>
      <c r="N226" s="88"/>
      <c r="O226" s="88"/>
      <c r="P226" s="88"/>
      <c r="Q226" s="88"/>
      <c r="R226" s="88"/>
      <c r="S226" s="88"/>
      <c r="T226" s="62"/>
      <c r="U226" s="62"/>
      <c r="V226" s="62"/>
      <c r="W226" s="62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88"/>
      <c r="C227" s="88"/>
      <c r="D227" s="88"/>
      <c r="E227" s="88"/>
      <c r="F227" s="88"/>
      <c r="G227" s="88"/>
      <c r="H227" s="62"/>
      <c r="I227" s="88"/>
      <c r="J227" s="73"/>
      <c r="K227" s="62"/>
      <c r="L227" s="62"/>
      <c r="M227" s="62"/>
      <c r="N227" s="88"/>
      <c r="O227" s="88"/>
      <c r="P227" s="88"/>
      <c r="Q227" s="88"/>
      <c r="R227" s="88"/>
      <c r="S227" s="88"/>
      <c r="T227" s="62"/>
      <c r="U227" s="88"/>
      <c r="V227" s="73"/>
      <c r="W227" s="62"/>
      <c r="Y227" t="s">
        <v>50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88"/>
      <c r="C228" s="88"/>
      <c r="D228" s="88"/>
      <c r="E228" s="88"/>
      <c r="F228" s="88"/>
      <c r="G228" s="88"/>
      <c r="H228" s="62"/>
      <c r="I228" s="65"/>
      <c r="J228" s="65"/>
      <c r="K228" s="62"/>
      <c r="L228" s="62"/>
      <c r="M228" s="64"/>
      <c r="N228" s="88"/>
      <c r="O228" s="88"/>
      <c r="P228" s="88"/>
      <c r="Q228" s="88"/>
      <c r="R228" s="88"/>
      <c r="S228" s="88"/>
      <c r="T228" s="62"/>
      <c r="U228" s="65"/>
      <c r="V228" s="65"/>
      <c r="W228" s="62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35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88"/>
      <c r="C229" s="88"/>
      <c r="D229" s="88"/>
      <c r="E229" s="88"/>
      <c r="F229" s="88"/>
      <c r="G229" s="88"/>
      <c r="H229" s="62"/>
      <c r="I229" s="62"/>
      <c r="J229" s="62"/>
      <c r="K229" s="62"/>
      <c r="L229" s="62"/>
      <c r="M229" s="62"/>
      <c r="N229" s="88"/>
      <c r="O229" s="88"/>
      <c r="P229" s="88"/>
      <c r="Q229" s="88"/>
      <c r="R229" s="88"/>
      <c r="S229" s="88"/>
      <c r="T229" s="62"/>
      <c r="U229" s="62"/>
      <c r="V229" s="62"/>
      <c r="W229" s="62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88"/>
      <c r="D230" s="115"/>
      <c r="E230" s="115"/>
      <c r="F230" s="88"/>
      <c r="G230" s="88"/>
      <c r="H230" s="62"/>
      <c r="I230" s="115"/>
      <c r="J230" s="115"/>
      <c r="K230" s="114"/>
      <c r="L230" s="62"/>
      <c r="M230" s="62"/>
      <c r="N230" s="65"/>
      <c r="O230" s="88"/>
      <c r="P230" s="115"/>
      <c r="Q230" s="115"/>
      <c r="R230" s="88"/>
      <c r="S230" s="88"/>
      <c r="T230" s="62"/>
      <c r="U230" s="115"/>
      <c r="V230" s="115"/>
      <c r="W230" s="114"/>
      <c r="Z230" s="25"/>
      <c r="AA230" s="26"/>
      <c r="AB230" s="116" t="s">
        <v>17</v>
      </c>
      <c r="AC230" s="116"/>
      <c r="AD230" s="93"/>
      <c r="AE230" s="27"/>
      <c r="AG230" s="117" t="s">
        <v>18</v>
      </c>
      <c r="AH230" s="118"/>
      <c r="AI230" s="112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A231" s="62"/>
      <c r="B231" s="88"/>
      <c r="C231" s="88"/>
      <c r="D231" s="79"/>
      <c r="E231" s="80"/>
      <c r="F231" s="81"/>
      <c r="G231" s="81"/>
      <c r="H231" s="62"/>
      <c r="I231" s="87"/>
      <c r="J231" s="87"/>
      <c r="K231" s="114"/>
      <c r="L231" s="62"/>
      <c r="M231" s="62"/>
      <c r="N231" s="88"/>
      <c r="O231" s="88"/>
      <c r="P231" s="79"/>
      <c r="Q231" s="81"/>
      <c r="R231" s="81"/>
      <c r="S231" s="81"/>
      <c r="T231" s="62"/>
      <c r="U231" s="87"/>
      <c r="V231" s="87"/>
      <c r="W231" s="114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13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L232" s="62"/>
      <c r="M232" s="62"/>
      <c r="N232" s="66"/>
      <c r="O232" s="88"/>
      <c r="P232" s="60"/>
      <c r="Q232" s="60"/>
      <c r="R232" s="60"/>
      <c r="S232" s="60"/>
      <c r="T232" s="61"/>
      <c r="U232" s="61"/>
      <c r="V232" s="61"/>
      <c r="W232" s="61"/>
      <c r="Y232" s="10">
        <v>1</v>
      </c>
      <c r="Z232" s="30">
        <v>46176</v>
      </c>
      <c r="AA232" s="31">
        <v>9397</v>
      </c>
      <c r="AB232" s="32">
        <f>229*5</f>
        <v>1145</v>
      </c>
      <c r="AC232" s="32"/>
      <c r="AD232" s="32"/>
      <c r="AE232" s="32">
        <f>SUM(AB232:AC232)</f>
        <v>1145</v>
      </c>
      <c r="AF232" s="12"/>
      <c r="AG232" s="12">
        <v>390</v>
      </c>
      <c r="AH232" s="12"/>
      <c r="AI232" s="12">
        <f>SUM(AE232:AH232)</f>
        <v>1535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L233" s="62"/>
      <c r="M233" s="62"/>
      <c r="N233" s="66"/>
      <c r="O233" s="88"/>
      <c r="P233" s="60"/>
      <c r="Q233" s="60"/>
      <c r="R233" s="60"/>
      <c r="S233" s="60"/>
      <c r="T233" s="61"/>
      <c r="U233" s="61"/>
      <c r="V233" s="61"/>
      <c r="W233" s="61"/>
      <c r="Y233" s="10">
        <v>2</v>
      </c>
      <c r="Z233" s="30">
        <v>46176</v>
      </c>
      <c r="AA233" s="31">
        <f>AA232+1</f>
        <v>9398</v>
      </c>
      <c r="AB233" s="32">
        <f>650*234+670*10+622*108+229*5</f>
        <v>227121</v>
      </c>
      <c r="AC233" s="32">
        <f>-352*6</f>
        <v>-2112</v>
      </c>
      <c r="AD233" s="32"/>
      <c r="AE233" s="32">
        <f t="shared" ref="AE233:AE241" si="67">SUM(AB233:AC233)</f>
        <v>225009</v>
      </c>
      <c r="AF233" s="12"/>
      <c r="AG233" s="12">
        <v>108</v>
      </c>
      <c r="AH233" s="12"/>
      <c r="AI233" s="12">
        <f t="shared" ref="AI233:AI273" si="68">SUM(AE233:AH233)</f>
        <v>225117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L234" s="62"/>
      <c r="M234" s="62"/>
      <c r="N234" s="66"/>
      <c r="O234" s="88"/>
      <c r="P234" s="60"/>
      <c r="Q234" s="60"/>
      <c r="R234" s="60"/>
      <c r="S234" s="60"/>
      <c r="T234" s="61"/>
      <c r="U234" s="61"/>
      <c r="V234" s="61"/>
      <c r="W234" s="61"/>
      <c r="Y234" s="10">
        <v>3</v>
      </c>
      <c r="Z234" s="30">
        <v>46176</v>
      </c>
      <c r="AA234" s="31">
        <f t="shared" ref="AA234:AA237" si="69">AA233+1</f>
        <v>9399</v>
      </c>
      <c r="AB234" s="33">
        <f>650*30+622*2+229</f>
        <v>20973</v>
      </c>
      <c r="AC234" s="33"/>
      <c r="AD234" s="32"/>
      <c r="AE234" s="32">
        <f t="shared" si="67"/>
        <v>20973</v>
      </c>
      <c r="AF234" s="12"/>
      <c r="AG234" s="12">
        <v>78</v>
      </c>
      <c r="AH234" s="12">
        <v>-1443</v>
      </c>
      <c r="AI234" s="12">
        <f t="shared" si="68"/>
        <v>19608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4"/>
      <c r="D235" s="60"/>
      <c r="E235" s="60"/>
      <c r="F235" s="60"/>
      <c r="G235" s="60"/>
      <c r="H235" s="61"/>
      <c r="I235" s="61"/>
      <c r="J235" s="61"/>
      <c r="K235" s="61"/>
      <c r="L235" s="62"/>
      <c r="M235" s="62"/>
      <c r="N235" s="66"/>
      <c r="O235" s="88"/>
      <c r="P235" s="60"/>
      <c r="Q235" s="60"/>
      <c r="R235" s="60"/>
      <c r="S235" s="60"/>
      <c r="T235" s="61"/>
      <c r="U235" s="61"/>
      <c r="V235" s="61"/>
      <c r="W235" s="61"/>
      <c r="Y235" s="10">
        <v>4</v>
      </c>
      <c r="Z235" s="30">
        <v>46176</v>
      </c>
      <c r="AA235" s="31">
        <f t="shared" si="69"/>
        <v>9400</v>
      </c>
      <c r="AB235" s="32">
        <f>650*26</f>
        <v>16900</v>
      </c>
      <c r="AC235" s="32"/>
      <c r="AD235" s="32"/>
      <c r="AE235" s="32">
        <f t="shared" si="67"/>
        <v>16900</v>
      </c>
      <c r="AF235" s="12"/>
      <c r="AG235" s="58">
        <v>111</v>
      </c>
      <c r="AH235" s="12"/>
      <c r="AI235" s="12">
        <f t="shared" si="68"/>
        <v>17011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L236" s="62"/>
      <c r="M236" s="62"/>
      <c r="N236" s="66"/>
      <c r="O236" s="88"/>
      <c r="P236" s="60"/>
      <c r="Q236" s="60"/>
      <c r="R236" s="60"/>
      <c r="S236" s="60"/>
      <c r="T236" s="61"/>
      <c r="U236" s="61"/>
      <c r="V236" s="61"/>
      <c r="W236" s="61"/>
      <c r="Y236" s="10">
        <v>5</v>
      </c>
      <c r="Z236" s="30">
        <v>46176</v>
      </c>
      <c r="AA236" s="31">
        <v>9501</v>
      </c>
      <c r="AB236" s="32">
        <f>650*60+229*2</f>
        <v>39458</v>
      </c>
      <c r="AC236" s="32">
        <f>-60*6</f>
        <v>-360</v>
      </c>
      <c r="AD236" s="32"/>
      <c r="AE236" s="32">
        <f t="shared" si="67"/>
        <v>39098</v>
      </c>
      <c r="AF236" s="12"/>
      <c r="AG236" s="12"/>
      <c r="AH236" s="12"/>
      <c r="AI236" s="12">
        <f t="shared" si="68"/>
        <v>39098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L237" s="62"/>
      <c r="M237" s="62"/>
      <c r="N237" s="66"/>
      <c r="O237" s="88"/>
      <c r="P237" s="60"/>
      <c r="Q237" s="60"/>
      <c r="R237" s="60"/>
      <c r="S237" s="60"/>
      <c r="T237" s="61"/>
      <c r="U237" s="61"/>
      <c r="V237" s="62"/>
      <c r="W237" s="61"/>
      <c r="Y237" s="10">
        <v>6</v>
      </c>
      <c r="Z237" s="30">
        <v>46176</v>
      </c>
      <c r="AA237" s="31">
        <f t="shared" si="69"/>
        <v>9502</v>
      </c>
      <c r="AB237" s="32">
        <f>650*5+622</f>
        <v>3872</v>
      </c>
      <c r="AC237" s="32"/>
      <c r="AD237" s="32"/>
      <c r="AE237" s="32">
        <f t="shared" si="67"/>
        <v>3872</v>
      </c>
      <c r="AF237" s="12"/>
      <c r="AG237" s="12"/>
      <c r="AH237" s="10"/>
      <c r="AI237" s="12">
        <f t="shared" si="68"/>
        <v>3872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L238" s="62"/>
      <c r="M238" s="62"/>
      <c r="N238" s="66"/>
      <c r="O238" s="88"/>
      <c r="P238" s="60"/>
      <c r="Q238" s="60"/>
      <c r="R238" s="60"/>
      <c r="S238" s="60"/>
      <c r="T238" s="61"/>
      <c r="U238" s="61"/>
      <c r="V238" s="61"/>
      <c r="W238" s="61"/>
      <c r="Y238" s="10">
        <v>7</v>
      </c>
      <c r="Z238" s="30"/>
      <c r="AA238" s="11" t="s">
        <v>27</v>
      </c>
      <c r="AB238" s="32"/>
      <c r="AC238" s="32"/>
      <c r="AD238" s="32"/>
      <c r="AE238" s="32">
        <f t="shared" si="67"/>
        <v>0</v>
      </c>
      <c r="AF238" s="12"/>
      <c r="AG238" s="58"/>
      <c r="AH238" s="12"/>
      <c r="AI238" s="12">
        <f t="shared" si="6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L239" s="62"/>
      <c r="M239" s="62"/>
      <c r="N239" s="66"/>
      <c r="O239" s="88"/>
      <c r="P239" s="60"/>
      <c r="Q239" s="60"/>
      <c r="R239" s="60"/>
      <c r="S239" s="60"/>
      <c r="T239" s="61"/>
      <c r="U239" s="61"/>
      <c r="V239" s="61"/>
      <c r="W239" s="61"/>
      <c r="Y239" s="10">
        <v>8</v>
      </c>
      <c r="Z239" s="30"/>
      <c r="AB239" s="32"/>
      <c r="AC239" s="32"/>
      <c r="AE239" s="32">
        <f t="shared" si="67"/>
        <v>0</v>
      </c>
      <c r="AF239" s="12"/>
      <c r="AG239" s="12"/>
      <c r="AH239" s="12"/>
      <c r="AI239" s="12">
        <f t="shared" si="6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4"/>
      <c r="D240" s="60"/>
      <c r="E240" s="60"/>
      <c r="F240" s="60"/>
      <c r="G240" s="60"/>
      <c r="H240" s="61"/>
      <c r="I240" s="61"/>
      <c r="J240" s="61"/>
      <c r="K240" s="61"/>
      <c r="L240" s="62"/>
      <c r="M240" s="62"/>
      <c r="N240" s="66"/>
      <c r="O240" s="88"/>
      <c r="P240" s="60"/>
      <c r="Q240" s="60"/>
      <c r="R240" s="60"/>
      <c r="S240" s="60"/>
      <c r="T240" s="61"/>
      <c r="U240" s="61"/>
      <c r="V240" s="61"/>
      <c r="W240" s="61"/>
      <c r="Y240" s="10">
        <v>9</v>
      </c>
      <c r="Z240" s="30"/>
      <c r="AA240" s="31"/>
      <c r="AC240" s="32"/>
      <c r="AD240" s="32"/>
      <c r="AE240" s="32">
        <f t="shared" si="67"/>
        <v>0</v>
      </c>
      <c r="AF240" s="12"/>
      <c r="AH240" s="12"/>
      <c r="AI240" s="12">
        <f t="shared" si="6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L241" s="62"/>
      <c r="M241" s="62"/>
      <c r="N241" s="66"/>
      <c r="O241" s="88"/>
      <c r="P241" s="60"/>
      <c r="Q241" s="60"/>
      <c r="R241" s="60"/>
      <c r="S241" s="60"/>
      <c r="T241" s="61"/>
      <c r="U241" s="61"/>
      <c r="V241" s="61"/>
      <c r="W241" s="61"/>
      <c r="Y241" s="10">
        <v>10</v>
      </c>
      <c r="Z241" s="30"/>
      <c r="AA241" s="31"/>
      <c r="AB241" s="32"/>
      <c r="AC241" s="32"/>
      <c r="AD241" s="32"/>
      <c r="AE241" s="32">
        <f t="shared" si="67"/>
        <v>0</v>
      </c>
      <c r="AF241" s="12"/>
      <c r="AG241" s="12"/>
      <c r="AH241" s="12"/>
      <c r="AI241" s="12">
        <f t="shared" si="6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65"/>
      <c r="D242" s="60"/>
      <c r="E242" s="60"/>
      <c r="F242" s="60"/>
      <c r="G242" s="60"/>
      <c r="H242" s="61"/>
      <c r="I242" s="61"/>
      <c r="J242" s="61"/>
      <c r="K242" s="61"/>
      <c r="L242" s="62"/>
      <c r="M242" s="62"/>
      <c r="N242" s="66"/>
      <c r="O242" s="88"/>
      <c r="P242" s="60"/>
      <c r="Q242" s="60"/>
      <c r="R242" s="60"/>
      <c r="S242" s="60"/>
      <c r="T242" s="61"/>
      <c r="U242" s="61"/>
      <c r="V242" s="61"/>
      <c r="W242" s="61"/>
      <c r="Y242" s="10">
        <v>11</v>
      </c>
      <c r="Z242" s="30"/>
      <c r="AB242" s="32"/>
      <c r="AC242" s="32"/>
      <c r="AD242" s="32"/>
      <c r="AE242" s="32">
        <f t="shared" ref="AE242:AE264" si="70">SUM(AB242:AC242)</f>
        <v>0</v>
      </c>
      <c r="AF242" s="12"/>
      <c r="AG242" s="12"/>
      <c r="AH242" s="12"/>
      <c r="AI242" s="12">
        <f t="shared" si="6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88"/>
      <c r="D243" s="60"/>
      <c r="E243" s="60"/>
      <c r="F243" s="60"/>
      <c r="G243" s="60"/>
      <c r="H243" s="61"/>
      <c r="I243" s="61"/>
      <c r="J243" s="62"/>
      <c r="K243" s="61"/>
      <c r="L243" s="62"/>
      <c r="M243" s="62"/>
      <c r="N243" s="66"/>
      <c r="O243" s="88"/>
      <c r="P243" s="60"/>
      <c r="Q243" s="60"/>
      <c r="R243" s="60"/>
      <c r="S243" s="60"/>
      <c r="T243" s="61"/>
      <c r="U243" s="61"/>
      <c r="V243" s="61"/>
      <c r="W243" s="61"/>
      <c r="Y243" s="10">
        <v>12</v>
      </c>
      <c r="Z243" s="30"/>
      <c r="AB243" s="32"/>
      <c r="AC243" s="32"/>
      <c r="AD243" s="32"/>
      <c r="AE243" s="32">
        <f t="shared" si="70"/>
        <v>0</v>
      </c>
      <c r="AF243" s="12"/>
      <c r="AG243" s="12"/>
      <c r="AH243" s="12"/>
      <c r="AI243" s="12">
        <f t="shared" si="6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4"/>
      <c r="D244" s="60"/>
      <c r="E244" s="60"/>
      <c r="F244" s="60"/>
      <c r="G244" s="60"/>
      <c r="H244" s="61"/>
      <c r="I244" s="61"/>
      <c r="J244" s="61"/>
      <c r="K244" s="61"/>
      <c r="L244" s="62"/>
      <c r="M244" s="62"/>
      <c r="N244" s="66"/>
      <c r="O244" s="88"/>
      <c r="P244" s="60"/>
      <c r="Q244" s="60"/>
      <c r="R244" s="60"/>
      <c r="S244" s="60"/>
      <c r="T244" s="61"/>
      <c r="U244" s="61"/>
      <c r="V244" s="61"/>
      <c r="W244" s="61"/>
      <c r="Y244" s="10">
        <v>13</v>
      </c>
      <c r="Z244" s="30"/>
      <c r="AA244" s="31"/>
      <c r="AB244" s="32"/>
      <c r="AC244" s="32"/>
      <c r="AD244" s="32"/>
      <c r="AE244" s="32">
        <f t="shared" si="70"/>
        <v>0</v>
      </c>
      <c r="AF244" s="12"/>
      <c r="AG244" s="12"/>
      <c r="AH244" s="12"/>
      <c r="AI244" s="12">
        <f t="shared" si="6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L245" s="62"/>
      <c r="M245" s="62"/>
      <c r="N245" s="66"/>
      <c r="O245" s="88"/>
      <c r="P245" s="60"/>
      <c r="Q245" s="60"/>
      <c r="R245" s="60"/>
      <c r="S245" s="60"/>
      <c r="T245" s="61"/>
      <c r="U245" s="61"/>
      <c r="V245" s="61"/>
      <c r="W245" s="61"/>
      <c r="Y245" s="10">
        <v>14</v>
      </c>
      <c r="Z245" s="30"/>
      <c r="AA245" s="31"/>
      <c r="AB245" s="32"/>
      <c r="AC245" s="32"/>
      <c r="AD245" s="32"/>
      <c r="AE245" s="32">
        <f t="shared" si="70"/>
        <v>0</v>
      </c>
      <c r="AF245" s="12"/>
      <c r="AG245" s="12"/>
      <c r="AH245" s="12"/>
      <c r="AI245" s="12">
        <f t="shared" si="6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L246" s="62"/>
      <c r="M246" s="62"/>
      <c r="N246" s="66"/>
      <c r="O246" s="88"/>
      <c r="P246" s="60"/>
      <c r="Q246" s="60"/>
      <c r="R246" s="60"/>
      <c r="S246" s="60"/>
      <c r="T246" s="61"/>
      <c r="U246" s="61"/>
      <c r="V246" s="61"/>
      <c r="W246" s="61"/>
      <c r="Y246" s="10">
        <v>15</v>
      </c>
      <c r="Z246" s="30"/>
      <c r="AA246" s="31"/>
      <c r="AB246" s="32"/>
      <c r="AC246" s="32"/>
      <c r="AD246" s="32"/>
      <c r="AE246" s="32">
        <f t="shared" si="70"/>
        <v>0</v>
      </c>
      <c r="AF246" s="12"/>
      <c r="AG246" s="12"/>
      <c r="AH246" s="12"/>
      <c r="AI246" s="12">
        <f t="shared" si="6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88"/>
      <c r="D247" s="60"/>
      <c r="E247" s="60"/>
      <c r="F247" s="60"/>
      <c r="G247" s="60"/>
      <c r="H247" s="61"/>
      <c r="I247" s="61"/>
      <c r="J247" s="61"/>
      <c r="K247" s="61"/>
      <c r="L247" s="62"/>
      <c r="M247" s="62"/>
      <c r="N247" s="66"/>
      <c r="O247" s="88"/>
      <c r="P247" s="60"/>
      <c r="Q247" s="60"/>
      <c r="R247" s="60"/>
      <c r="S247" s="60"/>
      <c r="T247" s="61"/>
      <c r="U247" s="61"/>
      <c r="V247" s="61"/>
      <c r="W247" s="61"/>
      <c r="Y247" s="10">
        <v>16</v>
      </c>
      <c r="Z247" s="30"/>
      <c r="AB247" s="32"/>
      <c r="AC247" s="32"/>
      <c r="AD247" s="32"/>
      <c r="AE247" s="32">
        <f t="shared" si="70"/>
        <v>0</v>
      </c>
      <c r="AF247" s="12"/>
      <c r="AG247" s="12"/>
      <c r="AH247" s="12"/>
      <c r="AI247" s="12">
        <f t="shared" si="6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4"/>
      <c r="D248" s="60"/>
      <c r="E248" s="60"/>
      <c r="F248" s="60"/>
      <c r="G248" s="60"/>
      <c r="H248" s="61"/>
      <c r="I248" s="61"/>
      <c r="J248" s="61"/>
      <c r="K248" s="61"/>
      <c r="L248" s="62"/>
      <c r="M248" s="62"/>
      <c r="N248" s="66"/>
      <c r="O248" s="88"/>
      <c r="P248" s="60"/>
      <c r="Q248" s="60"/>
      <c r="R248" s="60"/>
      <c r="S248" s="60"/>
      <c r="T248" s="61"/>
      <c r="U248" s="61"/>
      <c r="V248" s="61"/>
      <c r="W248" s="61"/>
      <c r="Y248" s="10">
        <v>17</v>
      </c>
      <c r="Z248" s="30"/>
      <c r="AA248" s="31"/>
      <c r="AB248" s="35"/>
      <c r="AC248" s="32"/>
      <c r="AD248" s="32"/>
      <c r="AE248" s="32">
        <f t="shared" si="70"/>
        <v>0</v>
      </c>
      <c r="AF248" s="12"/>
      <c r="AG248" s="12"/>
      <c r="AH248" s="12"/>
      <c r="AI248" s="12">
        <f t="shared" si="6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84"/>
      <c r="D249" s="60"/>
      <c r="E249" s="60"/>
      <c r="F249" s="60"/>
      <c r="G249" s="60"/>
      <c r="H249" s="61"/>
      <c r="I249" s="61"/>
      <c r="J249" s="61"/>
      <c r="K249" s="61"/>
      <c r="L249" s="62"/>
      <c r="M249" s="62"/>
      <c r="N249" s="66"/>
      <c r="O249" s="88"/>
      <c r="P249" s="60"/>
      <c r="Q249" s="60"/>
      <c r="R249" s="60"/>
      <c r="S249" s="60"/>
      <c r="T249" s="61"/>
      <c r="U249" s="61"/>
      <c r="V249" s="61"/>
      <c r="W249" s="61"/>
      <c r="Y249" s="10">
        <v>18</v>
      </c>
      <c r="Z249" s="30"/>
      <c r="AA249" s="31"/>
      <c r="AB249" s="32"/>
      <c r="AC249" s="32"/>
      <c r="AD249" s="32"/>
      <c r="AE249" s="32">
        <f t="shared" si="70"/>
        <v>0</v>
      </c>
      <c r="AF249" s="12"/>
      <c r="AG249" s="12"/>
      <c r="AH249" s="12"/>
      <c r="AI249" s="12">
        <f t="shared" si="6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L250" s="62"/>
      <c r="M250" s="62"/>
      <c r="N250" s="66"/>
      <c r="O250" s="88"/>
      <c r="P250" s="60"/>
      <c r="Q250" s="60"/>
      <c r="R250" s="60"/>
      <c r="S250" s="60"/>
      <c r="T250" s="61"/>
      <c r="U250" s="61"/>
      <c r="V250" s="61"/>
      <c r="W250" s="61"/>
      <c r="Y250" s="10">
        <v>19</v>
      </c>
      <c r="Z250" s="30"/>
      <c r="AA250" s="31"/>
      <c r="AB250" s="32"/>
      <c r="AC250" s="32"/>
      <c r="AD250" s="32"/>
      <c r="AE250" s="32">
        <f t="shared" si="70"/>
        <v>0</v>
      </c>
      <c r="AF250" s="12"/>
      <c r="AG250" s="12"/>
      <c r="AH250" s="12"/>
      <c r="AI250" s="12">
        <f t="shared" si="6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4"/>
      <c r="D251" s="60"/>
      <c r="E251" s="60"/>
      <c r="F251" s="60"/>
      <c r="G251" s="60"/>
      <c r="H251" s="61"/>
      <c r="I251" s="61"/>
      <c r="J251" s="61"/>
      <c r="K251" s="61"/>
      <c r="L251" s="62"/>
      <c r="M251" s="62"/>
      <c r="N251" s="66"/>
      <c r="O251" s="88"/>
      <c r="P251" s="60"/>
      <c r="Q251" s="60"/>
      <c r="R251" s="60"/>
      <c r="S251" s="60"/>
      <c r="T251" s="61"/>
      <c r="U251" s="61"/>
      <c r="V251" s="61"/>
      <c r="W251" s="61"/>
      <c r="Y251" s="10">
        <v>20</v>
      </c>
      <c r="Z251" s="30"/>
      <c r="AB251" s="32"/>
      <c r="AC251" s="32"/>
      <c r="AD251" s="32"/>
      <c r="AE251" s="32">
        <f t="shared" si="70"/>
        <v>0</v>
      </c>
      <c r="AF251" s="12"/>
      <c r="AG251" s="12"/>
      <c r="AH251" s="12"/>
      <c r="AI251" s="12">
        <f t="shared" si="6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8"/>
      <c r="D252" s="60"/>
      <c r="E252" s="60"/>
      <c r="F252" s="60"/>
      <c r="G252" s="60"/>
      <c r="H252" s="62"/>
      <c r="I252" s="62"/>
      <c r="J252" s="62"/>
      <c r="K252" s="61"/>
      <c r="L252" s="62"/>
      <c r="M252" s="62"/>
      <c r="N252" s="66"/>
      <c r="O252" s="88"/>
      <c r="P252" s="89"/>
      <c r="Q252" s="88"/>
      <c r="R252" s="88"/>
      <c r="S252" s="60"/>
      <c r="T252" s="62"/>
      <c r="U252" s="62"/>
      <c r="V252" s="62"/>
      <c r="W252" s="61"/>
      <c r="Y252" s="10">
        <v>21</v>
      </c>
      <c r="Z252" s="30"/>
      <c r="AA252" s="31"/>
      <c r="AB252" s="46"/>
      <c r="AC252" s="31"/>
      <c r="AD252" s="31"/>
      <c r="AE252" s="32">
        <f t="shared" si="70"/>
        <v>0</v>
      </c>
      <c r="AF252" s="10"/>
      <c r="AG252" s="10"/>
      <c r="AH252" s="10"/>
      <c r="AI252" s="12">
        <f t="shared" si="6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L253" s="62"/>
      <c r="M253" s="62"/>
      <c r="N253" s="66"/>
      <c r="O253" s="88"/>
      <c r="P253" s="89"/>
      <c r="Q253" s="88"/>
      <c r="R253" s="88"/>
      <c r="S253" s="60"/>
      <c r="T253" s="62"/>
      <c r="U253" s="62"/>
      <c r="V253" s="62"/>
      <c r="W253" s="61"/>
      <c r="Y253" s="10">
        <v>22</v>
      </c>
      <c r="Z253" s="30"/>
      <c r="AA253" s="31"/>
      <c r="AB253" s="45"/>
      <c r="AC253" s="31"/>
      <c r="AD253" s="31"/>
      <c r="AE253" s="32">
        <f t="shared" si="70"/>
        <v>0</v>
      </c>
      <c r="AF253" s="10"/>
      <c r="AG253" s="10"/>
      <c r="AH253" s="10"/>
      <c r="AI253" s="12">
        <f t="shared" si="6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L254" s="62"/>
      <c r="M254" s="62"/>
      <c r="N254" s="66"/>
      <c r="O254" s="88"/>
      <c r="P254" s="69"/>
      <c r="Q254" s="88"/>
      <c r="R254" s="62"/>
      <c r="S254" s="60"/>
      <c r="T254" s="62"/>
      <c r="U254" s="62"/>
      <c r="V254" s="62"/>
      <c r="W254" s="61"/>
      <c r="Y254" s="10">
        <v>23</v>
      </c>
      <c r="Z254" s="30"/>
      <c r="AA254" s="31"/>
      <c r="AB254" s="47"/>
      <c r="AE254" s="32">
        <f t="shared" si="70"/>
        <v>0</v>
      </c>
      <c r="AF254" s="10"/>
      <c r="AG254" s="10"/>
      <c r="AH254" s="10"/>
      <c r="AI254" s="12">
        <f t="shared" si="6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L255" s="62"/>
      <c r="M255" s="62"/>
      <c r="N255" s="66"/>
      <c r="O255" s="65"/>
      <c r="P255" s="69"/>
      <c r="Q255" s="88"/>
      <c r="R255" s="88"/>
      <c r="S255" s="60"/>
      <c r="T255" s="62"/>
      <c r="U255" s="62"/>
      <c r="V255" s="62"/>
      <c r="W255" s="61"/>
      <c r="Y255" s="10">
        <v>24</v>
      </c>
      <c r="Z255" s="30"/>
      <c r="AA255" s="31"/>
      <c r="AB255" s="47"/>
      <c r="AC255" s="31"/>
      <c r="AD255" s="31"/>
      <c r="AE255" s="32">
        <f t="shared" si="70"/>
        <v>0</v>
      </c>
      <c r="AF255" s="10"/>
      <c r="AG255" s="10"/>
      <c r="AH255" s="10"/>
      <c r="AI255" s="12">
        <f t="shared" si="6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L256" s="62"/>
      <c r="M256" s="62"/>
      <c r="N256" s="66"/>
      <c r="O256" s="88"/>
      <c r="P256" s="69"/>
      <c r="Q256" s="88"/>
      <c r="R256" s="88"/>
      <c r="S256" s="60"/>
      <c r="T256" s="62"/>
      <c r="U256" s="62"/>
      <c r="V256" s="62"/>
      <c r="W256" s="61"/>
      <c r="Y256" s="10">
        <v>25</v>
      </c>
      <c r="Z256" s="30"/>
      <c r="AA256" s="31"/>
      <c r="AB256" s="47"/>
      <c r="AC256" s="31"/>
      <c r="AD256" s="31"/>
      <c r="AE256" s="32">
        <f t="shared" si="70"/>
        <v>0</v>
      </c>
      <c r="AF256" s="10"/>
      <c r="AG256" s="10"/>
      <c r="AH256" s="10"/>
      <c r="AI256" s="12">
        <f t="shared" si="6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L257" s="62"/>
      <c r="M257" s="62"/>
      <c r="N257" s="66"/>
      <c r="O257" s="62"/>
      <c r="P257" s="69"/>
      <c r="Q257" s="88"/>
      <c r="R257" s="88"/>
      <c r="S257" s="60"/>
      <c r="T257" s="62"/>
      <c r="U257" s="62"/>
      <c r="V257" s="62"/>
      <c r="W257" s="61"/>
      <c r="Y257" s="10">
        <v>26</v>
      </c>
      <c r="Z257" s="30"/>
      <c r="AA257" s="31"/>
      <c r="AB257" s="47"/>
      <c r="AC257" s="31"/>
      <c r="AD257" s="31"/>
      <c r="AE257" s="32">
        <f t="shared" si="70"/>
        <v>0</v>
      </c>
      <c r="AF257" s="10"/>
      <c r="AG257" s="10"/>
      <c r="AH257" s="10"/>
      <c r="AI257" s="12">
        <f t="shared" si="6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L258" s="62"/>
      <c r="M258" s="62"/>
      <c r="N258" s="66"/>
      <c r="O258" s="88"/>
      <c r="P258" s="69"/>
      <c r="Q258" s="88"/>
      <c r="R258" s="88"/>
      <c r="S258" s="60"/>
      <c r="T258" s="62"/>
      <c r="U258" s="62"/>
      <c r="V258" s="62"/>
      <c r="W258" s="61"/>
      <c r="Y258" s="10">
        <v>27</v>
      </c>
      <c r="Z258" s="30"/>
      <c r="AA258" s="31"/>
      <c r="AB258" s="47"/>
      <c r="AC258" s="31"/>
      <c r="AD258" s="31"/>
      <c r="AE258" s="32">
        <f t="shared" si="70"/>
        <v>0</v>
      </c>
      <c r="AF258" s="10"/>
      <c r="AG258" s="10"/>
      <c r="AH258" s="10"/>
      <c r="AI258" s="12">
        <f t="shared" si="6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L259" s="62"/>
      <c r="M259" s="62"/>
      <c r="N259" s="66"/>
      <c r="O259" s="88"/>
      <c r="P259" s="69"/>
      <c r="Q259" s="88"/>
      <c r="R259" s="88"/>
      <c r="S259" s="60"/>
      <c r="T259" s="62"/>
      <c r="U259" s="62"/>
      <c r="V259" s="62"/>
      <c r="W259" s="61"/>
      <c r="Y259" s="10">
        <v>28</v>
      </c>
      <c r="Z259" s="30"/>
      <c r="AA259" s="31"/>
      <c r="AB259" s="47"/>
      <c r="AC259" s="31"/>
      <c r="AD259" s="31"/>
      <c r="AE259" s="32">
        <f t="shared" si="70"/>
        <v>0</v>
      </c>
      <c r="AF259" s="10"/>
      <c r="AG259" s="10"/>
      <c r="AH259" s="10"/>
      <c r="AI259" s="12">
        <f t="shared" si="6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8"/>
      <c r="D260" s="60"/>
      <c r="E260" s="60"/>
      <c r="F260" s="60"/>
      <c r="G260" s="60"/>
      <c r="H260" s="62"/>
      <c r="I260" s="62"/>
      <c r="J260" s="62"/>
      <c r="K260" s="61"/>
      <c r="L260" s="62"/>
      <c r="M260" s="62"/>
      <c r="N260" s="66"/>
      <c r="O260" s="88"/>
      <c r="P260" s="69"/>
      <c r="Q260" s="88"/>
      <c r="R260" s="88"/>
      <c r="S260" s="60"/>
      <c r="T260" s="62"/>
      <c r="U260" s="62"/>
      <c r="V260" s="62"/>
      <c r="W260" s="61"/>
      <c r="Y260" s="10">
        <v>29</v>
      </c>
      <c r="Z260" s="30"/>
      <c r="AA260" s="31"/>
      <c r="AB260" s="47"/>
      <c r="AC260" s="31"/>
      <c r="AD260" s="31"/>
      <c r="AE260" s="32">
        <f t="shared" si="70"/>
        <v>0</v>
      </c>
      <c r="AF260" s="10"/>
      <c r="AG260" s="10"/>
      <c r="AH260" s="10"/>
      <c r="AI260" s="12">
        <f t="shared" si="6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L261" s="62"/>
      <c r="M261" s="62"/>
      <c r="N261" s="66"/>
      <c r="O261" s="62"/>
      <c r="P261" s="69"/>
      <c r="Q261" s="88"/>
      <c r="R261" s="88"/>
      <c r="S261" s="60"/>
      <c r="T261" s="62"/>
      <c r="U261" s="62"/>
      <c r="V261" s="62"/>
      <c r="W261" s="61"/>
      <c r="Y261" s="10">
        <v>30</v>
      </c>
      <c r="Z261" s="30"/>
      <c r="AA261" s="31"/>
      <c r="AB261" s="47"/>
      <c r="AC261" s="31"/>
      <c r="AD261" s="31"/>
      <c r="AE261" s="32">
        <f t="shared" si="70"/>
        <v>0</v>
      </c>
      <c r="AF261" s="10"/>
      <c r="AG261" s="10"/>
      <c r="AH261" s="10"/>
      <c r="AI261" s="12">
        <f t="shared" si="6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L262" s="62"/>
      <c r="M262" s="62"/>
      <c r="N262" s="66"/>
      <c r="O262" s="88"/>
      <c r="P262" s="69"/>
      <c r="Q262" s="88"/>
      <c r="R262" s="88"/>
      <c r="S262" s="60"/>
      <c r="T262" s="62"/>
      <c r="U262" s="62"/>
      <c r="V262" s="62"/>
      <c r="W262" s="61"/>
      <c r="Y262" s="10">
        <v>31</v>
      </c>
      <c r="Z262" s="30"/>
      <c r="AA262" s="31"/>
      <c r="AB262" s="47"/>
      <c r="AC262" s="31"/>
      <c r="AD262" s="31"/>
      <c r="AE262" s="32">
        <f t="shared" si="70"/>
        <v>0</v>
      </c>
      <c r="AF262" s="10"/>
      <c r="AG262" s="10"/>
      <c r="AH262" s="10"/>
      <c r="AI262" s="12">
        <f t="shared" si="6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L263" s="62"/>
      <c r="M263" s="62"/>
      <c r="N263" s="66"/>
      <c r="O263" s="88"/>
      <c r="P263" s="69"/>
      <c r="Q263" s="88"/>
      <c r="R263" s="88"/>
      <c r="S263" s="60"/>
      <c r="T263" s="62"/>
      <c r="U263" s="62"/>
      <c r="V263" s="62"/>
      <c r="W263" s="61"/>
      <c r="Y263" s="10">
        <v>32</v>
      </c>
      <c r="Z263" s="30"/>
      <c r="AA263" s="31"/>
      <c r="AB263" s="47"/>
      <c r="AC263" s="31"/>
      <c r="AD263" s="31"/>
      <c r="AE263" s="32">
        <f t="shared" si="70"/>
        <v>0</v>
      </c>
      <c r="AF263" s="10"/>
      <c r="AG263" s="10"/>
      <c r="AH263" s="10"/>
      <c r="AI263" s="12">
        <f t="shared" si="6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L264" s="62"/>
      <c r="M264" s="62"/>
      <c r="N264" s="66"/>
      <c r="O264" s="88"/>
      <c r="P264" s="69"/>
      <c r="Q264" s="88"/>
      <c r="R264" s="88"/>
      <c r="S264" s="60"/>
      <c r="T264" s="62"/>
      <c r="U264" s="62"/>
      <c r="V264" s="62"/>
      <c r="W264" s="61"/>
      <c r="Y264" s="10">
        <v>33</v>
      </c>
      <c r="Z264" s="30"/>
      <c r="AA264" s="31"/>
      <c r="AB264" s="47"/>
      <c r="AC264" s="31"/>
      <c r="AD264" s="31"/>
      <c r="AE264" s="32">
        <f t="shared" si="70"/>
        <v>0</v>
      </c>
      <c r="AF264" s="10"/>
      <c r="AG264" s="10"/>
      <c r="AH264" s="10"/>
      <c r="AI264" s="12">
        <f t="shared" si="6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L265" s="62"/>
      <c r="M265" s="62"/>
      <c r="N265" s="66"/>
      <c r="O265" s="88"/>
      <c r="P265" s="69"/>
      <c r="Q265" s="88"/>
      <c r="R265" s="88"/>
      <c r="S265" s="60"/>
      <c r="T265" s="62"/>
      <c r="U265" s="62"/>
      <c r="V265" s="62"/>
      <c r="W265" s="61"/>
      <c r="Y265" s="10">
        <v>34</v>
      </c>
      <c r="Z265" s="30"/>
      <c r="AA265" s="31"/>
      <c r="AB265" s="47"/>
      <c r="AC265" s="31"/>
      <c r="AD265" s="31"/>
      <c r="AE265" s="32">
        <f t="shared" ref="AE265:AE270" si="71">SUM(AB265:AC265)</f>
        <v>0</v>
      </c>
      <c r="AF265" s="10"/>
      <c r="AG265" s="10"/>
      <c r="AH265" s="10"/>
      <c r="AI265" s="12">
        <f t="shared" si="68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L266" s="62"/>
      <c r="M266" s="62"/>
      <c r="N266" s="66"/>
      <c r="O266" s="88"/>
      <c r="P266" s="69"/>
      <c r="Q266" s="88"/>
      <c r="R266" s="88"/>
      <c r="S266" s="60"/>
      <c r="T266" s="62"/>
      <c r="U266" s="62"/>
      <c r="V266" s="62"/>
      <c r="W266" s="61"/>
      <c r="Y266" s="10">
        <v>35</v>
      </c>
      <c r="Z266" s="30"/>
      <c r="AA266" s="31"/>
      <c r="AB266" s="47"/>
      <c r="AC266" s="31"/>
      <c r="AD266" s="31"/>
      <c r="AE266" s="32">
        <f t="shared" si="71"/>
        <v>0</v>
      </c>
      <c r="AF266" s="10"/>
      <c r="AG266" s="10"/>
      <c r="AH266" s="10"/>
      <c r="AI266" s="12">
        <f t="shared" si="68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L267" s="62"/>
      <c r="M267" s="62"/>
      <c r="N267" s="66"/>
      <c r="O267" s="88"/>
      <c r="P267" s="69"/>
      <c r="Q267" s="88"/>
      <c r="R267" s="88"/>
      <c r="S267" s="60"/>
      <c r="T267" s="62"/>
      <c r="U267" s="62"/>
      <c r="V267" s="62"/>
      <c r="W267" s="61"/>
      <c r="Y267" s="10">
        <v>36</v>
      </c>
      <c r="Z267" s="30"/>
      <c r="AA267" s="31"/>
      <c r="AB267" s="47"/>
      <c r="AC267" s="31"/>
      <c r="AD267" s="31"/>
      <c r="AE267" s="32">
        <f t="shared" si="71"/>
        <v>0</v>
      </c>
      <c r="AF267" s="10"/>
      <c r="AG267" s="10"/>
      <c r="AH267" s="10"/>
      <c r="AI267" s="12">
        <f t="shared" si="68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88"/>
      <c r="D268" s="60"/>
      <c r="E268" s="60"/>
      <c r="F268" s="60"/>
      <c r="G268" s="60"/>
      <c r="H268" s="62"/>
      <c r="I268" s="62"/>
      <c r="J268" s="62"/>
      <c r="K268" s="61"/>
      <c r="L268" s="62"/>
      <c r="M268" s="62"/>
      <c r="N268" s="66"/>
      <c r="O268" s="62"/>
      <c r="P268" s="69"/>
      <c r="Q268" s="88"/>
      <c r="R268" s="88"/>
      <c r="S268" s="60"/>
      <c r="T268" s="62"/>
      <c r="U268" s="62"/>
      <c r="V268" s="62"/>
      <c r="W268" s="61"/>
      <c r="Y268" s="10">
        <v>37</v>
      </c>
      <c r="Z268" s="30"/>
      <c r="AA268" s="31"/>
      <c r="AB268" s="47"/>
      <c r="AC268" s="31"/>
      <c r="AD268" s="31"/>
      <c r="AE268" s="32">
        <f t="shared" si="71"/>
        <v>0</v>
      </c>
      <c r="AF268" s="10"/>
      <c r="AG268" s="10"/>
      <c r="AH268" s="10"/>
      <c r="AI268" s="12">
        <f t="shared" si="68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88"/>
      <c r="D269" s="60"/>
      <c r="E269" s="60"/>
      <c r="F269" s="60"/>
      <c r="G269" s="60"/>
      <c r="H269" s="62"/>
      <c r="I269" s="62"/>
      <c r="J269" s="62"/>
      <c r="K269" s="61"/>
      <c r="L269" s="62"/>
      <c r="M269" s="62"/>
      <c r="N269" s="66"/>
      <c r="O269" s="88"/>
      <c r="P269" s="69"/>
      <c r="Q269" s="88"/>
      <c r="R269" s="88"/>
      <c r="S269" s="60"/>
      <c r="T269" s="62"/>
      <c r="U269" s="62"/>
      <c r="V269" s="62"/>
      <c r="W269" s="61"/>
      <c r="Y269" s="10">
        <v>38</v>
      </c>
      <c r="Z269" s="30"/>
      <c r="AA269" s="31"/>
      <c r="AB269" s="47"/>
      <c r="AC269" s="31"/>
      <c r="AD269" s="31"/>
      <c r="AE269" s="32">
        <f t="shared" si="71"/>
        <v>0</v>
      </c>
      <c r="AF269" s="10"/>
      <c r="AG269" s="10"/>
      <c r="AH269" s="10"/>
      <c r="AI269" s="12">
        <f t="shared" si="68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88"/>
      <c r="D270" s="60"/>
      <c r="E270" s="60"/>
      <c r="F270" s="60"/>
      <c r="G270" s="60"/>
      <c r="H270" s="62"/>
      <c r="I270" s="62"/>
      <c r="J270" s="62"/>
      <c r="K270" s="61"/>
      <c r="L270" s="62"/>
      <c r="M270" s="62"/>
      <c r="N270" s="66"/>
      <c r="O270" s="88"/>
      <c r="P270" s="69"/>
      <c r="Q270" s="88"/>
      <c r="R270" s="88"/>
      <c r="S270" s="60"/>
      <c r="T270" s="62"/>
      <c r="U270" s="62"/>
      <c r="V270" s="62"/>
      <c r="W270" s="61"/>
      <c r="Y270" s="10">
        <v>39</v>
      </c>
      <c r="Z270" s="30"/>
      <c r="AA270" s="31"/>
      <c r="AB270" s="47"/>
      <c r="AC270" s="31"/>
      <c r="AD270" s="31"/>
      <c r="AE270" s="32">
        <f t="shared" si="71"/>
        <v>0</v>
      </c>
      <c r="AF270" s="10"/>
      <c r="AG270" s="10"/>
      <c r="AH270" s="10"/>
      <c r="AI270" s="12">
        <f t="shared" si="68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88"/>
      <c r="D271" s="60"/>
      <c r="E271" s="60"/>
      <c r="F271" s="60"/>
      <c r="G271" s="60"/>
      <c r="H271" s="62"/>
      <c r="I271" s="62"/>
      <c r="J271" s="62"/>
      <c r="K271" s="61"/>
      <c r="L271" s="62"/>
      <c r="M271" s="62"/>
      <c r="N271" s="66"/>
      <c r="O271" s="62"/>
      <c r="P271" s="69"/>
      <c r="Q271" s="88"/>
      <c r="R271" s="88"/>
      <c r="S271" s="60"/>
      <c r="T271" s="62"/>
      <c r="U271" s="62"/>
      <c r="V271" s="62"/>
      <c r="W271" s="61"/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68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88"/>
      <c r="D272" s="60"/>
      <c r="E272" s="60"/>
      <c r="F272" s="60"/>
      <c r="G272" s="60"/>
      <c r="H272" s="62"/>
      <c r="I272" s="62"/>
      <c r="J272" s="62"/>
      <c r="K272" s="61"/>
      <c r="L272" s="62"/>
      <c r="M272" s="62"/>
      <c r="N272" s="66"/>
      <c r="O272" s="88"/>
      <c r="P272" s="69"/>
      <c r="Q272" s="88"/>
      <c r="R272" s="88"/>
      <c r="S272" s="60"/>
      <c r="T272" s="62"/>
      <c r="U272" s="62"/>
      <c r="V272" s="62"/>
      <c r="W272" s="61"/>
      <c r="Y272" s="10"/>
      <c r="Z272" s="30"/>
      <c r="AA272" s="31"/>
      <c r="AB272" s="47"/>
      <c r="AC272" s="31"/>
      <c r="AD272" s="31"/>
      <c r="AE272" s="32">
        <f t="shared" ref="AE272" si="72">SUM(AB272:AC272)</f>
        <v>0</v>
      </c>
      <c r="AF272" s="10"/>
      <c r="AG272" s="10"/>
      <c r="AH272" s="10"/>
      <c r="AI272" s="12">
        <f t="shared" si="68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L273" s="62"/>
      <c r="M273" s="62"/>
      <c r="N273" s="88"/>
      <c r="O273" s="88"/>
      <c r="P273" s="88"/>
      <c r="Q273" s="88"/>
      <c r="R273" s="88"/>
      <c r="S273" s="88"/>
      <c r="T273" s="62"/>
      <c r="U273" s="62"/>
      <c r="V273" s="62"/>
      <c r="W273" s="61"/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68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88"/>
      <c r="C274" s="88"/>
      <c r="D274" s="88"/>
      <c r="E274" s="88"/>
      <c r="F274" s="88"/>
      <c r="G274" s="88"/>
      <c r="H274" s="62"/>
      <c r="I274" s="62"/>
      <c r="J274" s="62"/>
      <c r="K274" s="62"/>
      <c r="L274" s="62"/>
      <c r="M274" s="62"/>
      <c r="N274" s="88"/>
      <c r="O274" s="88"/>
      <c r="P274" s="88"/>
      <c r="Q274" s="88"/>
      <c r="R274" s="88"/>
      <c r="S274" s="88"/>
      <c r="T274" s="62"/>
      <c r="U274" s="62"/>
      <c r="V274" s="62"/>
      <c r="W274" s="62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88"/>
      <c r="C275" s="88"/>
      <c r="D275" s="70"/>
      <c r="E275" s="70"/>
      <c r="F275" s="70"/>
      <c r="G275" s="70"/>
      <c r="H275" s="63"/>
      <c r="I275" s="70"/>
      <c r="J275" s="70"/>
      <c r="K275" s="70"/>
      <c r="L275" s="62"/>
      <c r="M275" s="62"/>
      <c r="N275" s="88"/>
      <c r="O275" s="88"/>
      <c r="P275" s="70"/>
      <c r="Q275" s="70"/>
      <c r="R275" s="70"/>
      <c r="S275" s="70"/>
      <c r="T275" s="63"/>
      <c r="U275" s="71"/>
      <c r="V275" s="71"/>
      <c r="W275" s="71"/>
      <c r="Z275" s="57"/>
      <c r="AA275" s="57"/>
      <c r="AB275" s="38">
        <f>SUM(AB232:AB274)</f>
        <v>309469</v>
      </c>
      <c r="AC275" s="38">
        <f>SUM(AC232:AC256)</f>
        <v>-2472</v>
      </c>
      <c r="AD275" s="38">
        <f>SUM(AD232:AD256)</f>
        <v>0</v>
      </c>
      <c r="AE275" s="38">
        <f>SUM(AE232:AE274)</f>
        <v>306997</v>
      </c>
      <c r="AF275" s="4"/>
      <c r="AG275" s="41">
        <f>SUM(AG232:AG274)</f>
        <v>687</v>
      </c>
      <c r="AH275" s="41">
        <f>SUM(AH232:AH256)</f>
        <v>-1443</v>
      </c>
      <c r="AI275" s="42">
        <f>SUM(AI232:AI274)</f>
        <v>306241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53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53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53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54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54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54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35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6" t="s">
        <v>17</v>
      </c>
      <c r="E285" s="116"/>
      <c r="F285" s="94"/>
      <c r="G285" s="27"/>
      <c r="I285" s="117" t="s">
        <v>18</v>
      </c>
      <c r="J285" s="118"/>
      <c r="K285" s="112" t="s">
        <v>19</v>
      </c>
      <c r="N285" s="25"/>
      <c r="O285" s="26"/>
      <c r="P285" s="116" t="s">
        <v>17</v>
      </c>
      <c r="Q285" s="116"/>
      <c r="R285" s="94"/>
      <c r="S285" s="27"/>
      <c r="U285" s="117" t="s">
        <v>18</v>
      </c>
      <c r="V285" s="118"/>
      <c r="W285" s="112" t="s">
        <v>19</v>
      </c>
      <c r="Z285" s="25"/>
      <c r="AA285" s="26"/>
      <c r="AB285" s="116" t="s">
        <v>17</v>
      </c>
      <c r="AC285" s="116"/>
      <c r="AD285" s="94"/>
      <c r="AE285" s="27"/>
      <c r="AG285" s="117" t="s">
        <v>18</v>
      </c>
      <c r="AH285" s="118"/>
      <c r="AI285" s="112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13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13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13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46206</v>
      </c>
      <c r="C287" s="83">
        <v>9430</v>
      </c>
      <c r="D287" s="32">
        <f>650*201+622*10+1582*2+650*2</f>
        <v>141334</v>
      </c>
      <c r="E287" s="32"/>
      <c r="F287" s="32"/>
      <c r="G287" s="32">
        <f t="shared" ref="G287:G320" si="73">SUM(D287:E287)</f>
        <v>141334</v>
      </c>
      <c r="H287" s="12"/>
      <c r="I287" s="12"/>
      <c r="J287" s="12"/>
      <c r="K287" s="12">
        <f t="shared" ref="K287:K320" si="74">SUM(G287:J287)</f>
        <v>141334</v>
      </c>
      <c r="M287" s="10">
        <v>1</v>
      </c>
      <c r="N287" s="30">
        <v>46206</v>
      </c>
      <c r="O287" s="31">
        <v>9474</v>
      </c>
      <c r="P287" s="32">
        <f>650*80+670*3+622*20+872*2+229*2</f>
        <v>68652</v>
      </c>
      <c r="Q287" s="32"/>
      <c r="R287" s="32"/>
      <c r="S287" s="32">
        <f>SUM(P287:Q287)</f>
        <v>68652</v>
      </c>
      <c r="T287" s="12"/>
      <c r="U287" s="12"/>
      <c r="V287" s="12">
        <f>-111+-84*3</f>
        <v>-363</v>
      </c>
      <c r="W287" s="12">
        <f>SUM(S287:V287)</f>
        <v>68289</v>
      </c>
      <c r="Y287" s="10">
        <v>1</v>
      </c>
      <c r="Z287" s="30">
        <v>46206</v>
      </c>
      <c r="AA287" s="31">
        <v>9503</v>
      </c>
      <c r="AB287" s="32">
        <f>650*15+650*15</f>
        <v>19500</v>
      </c>
      <c r="AC287" s="32"/>
      <c r="AD287" s="32"/>
      <c r="AE287" s="32">
        <f>SUM(AB287:AC287)</f>
        <v>19500</v>
      </c>
      <c r="AF287" s="12"/>
      <c r="AG287" s="12"/>
      <c r="AH287" s="12"/>
      <c r="AI287" s="12">
        <f>SUM(AE287:AH287)</f>
        <v>19500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46206</v>
      </c>
      <c r="C288" s="83">
        <f>C287+1</f>
        <v>9431</v>
      </c>
      <c r="D288" s="32">
        <f>650*10</f>
        <v>6500</v>
      </c>
      <c r="E288" s="32"/>
      <c r="F288" s="32"/>
      <c r="G288" s="32">
        <f t="shared" si="73"/>
        <v>6500</v>
      </c>
      <c r="H288" s="12"/>
      <c r="I288" s="12"/>
      <c r="J288" s="12"/>
      <c r="K288" s="12">
        <f t="shared" si="74"/>
        <v>6500</v>
      </c>
      <c r="M288" s="10">
        <v>2</v>
      </c>
      <c r="N288" s="30">
        <v>46206</v>
      </c>
      <c r="O288" s="31">
        <f>O287+1</f>
        <v>9475</v>
      </c>
      <c r="P288" s="32">
        <f>650*180+622*20+229*5</f>
        <v>130585</v>
      </c>
      <c r="Q288" s="32">
        <f>-200*6</f>
        <v>-1200</v>
      </c>
      <c r="R288" s="32"/>
      <c r="S288" s="32">
        <f t="shared" ref="S288:S319" si="75">SUM(P288:Q288)</f>
        <v>129385</v>
      </c>
      <c r="T288" s="12"/>
      <c r="U288" s="12">
        <f>148*111+78*5</f>
        <v>16818</v>
      </c>
      <c r="V288" s="12">
        <v>-672</v>
      </c>
      <c r="W288" s="12">
        <f t="shared" ref="W288:W328" si="76">SUM(S288:V288)</f>
        <v>145531</v>
      </c>
      <c r="Y288" s="10">
        <v>2</v>
      </c>
      <c r="Z288" s="30">
        <v>46206</v>
      </c>
      <c r="AA288" s="31">
        <f>AA287+1</f>
        <v>9504</v>
      </c>
      <c r="AB288" s="32">
        <f>1102*2</f>
        <v>2204</v>
      </c>
      <c r="AC288" s="32"/>
      <c r="AD288" s="32"/>
      <c r="AE288" s="32">
        <f t="shared" ref="AE288:AE296" si="77">SUM(AB288:AC288)</f>
        <v>2204</v>
      </c>
      <c r="AF288" s="12"/>
      <c r="AG288" s="12"/>
      <c r="AH288" s="12"/>
      <c r="AI288" s="12">
        <f t="shared" ref="AI288:AI328" si="78">SUM(AE288:AH288)</f>
        <v>2204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46206</v>
      </c>
      <c r="C289" s="83">
        <f t="shared" ref="C289:C292" si="79">C288+1</f>
        <v>9432</v>
      </c>
      <c r="D289" s="33">
        <f>650*90+622*5+650</f>
        <v>62260</v>
      </c>
      <c r="E289" s="33"/>
      <c r="F289" s="33"/>
      <c r="G289" s="33">
        <f t="shared" si="73"/>
        <v>62260</v>
      </c>
      <c r="H289" s="34"/>
      <c r="I289" s="34">
        <v>777</v>
      </c>
      <c r="J289" s="34"/>
      <c r="K289" s="34">
        <f t="shared" si="74"/>
        <v>63037</v>
      </c>
      <c r="M289" s="10">
        <v>3</v>
      </c>
      <c r="N289" s="30">
        <v>46206</v>
      </c>
      <c r="O289" s="31">
        <f t="shared" ref="O289:O292" si="80">O288+1</f>
        <v>9476</v>
      </c>
      <c r="P289" s="32">
        <f>650*72+622*28+229</f>
        <v>64445</v>
      </c>
      <c r="Q289" s="32"/>
      <c r="R289" s="32"/>
      <c r="S289" s="32">
        <f t="shared" si="75"/>
        <v>64445</v>
      </c>
      <c r="T289" s="12"/>
      <c r="U289" s="12">
        <f>3108+1.5*9</f>
        <v>3121.5</v>
      </c>
      <c r="V289" s="12"/>
      <c r="W289" s="12">
        <f t="shared" si="76"/>
        <v>67566.5</v>
      </c>
      <c r="Y289" s="10">
        <v>3</v>
      </c>
      <c r="Z289" s="30">
        <v>46206</v>
      </c>
      <c r="AA289" s="31">
        <f t="shared" ref="AA289:AA294" si="81">AA288+1</f>
        <v>9505</v>
      </c>
      <c r="AB289" s="33">
        <f>650*108+229*4</f>
        <v>71116</v>
      </c>
      <c r="AC289" s="33">
        <f>-108*6</f>
        <v>-648</v>
      </c>
      <c r="AD289" s="32"/>
      <c r="AE289" s="32">
        <f t="shared" si="77"/>
        <v>70468</v>
      </c>
      <c r="AF289" s="12"/>
      <c r="AG289" s="12"/>
      <c r="AH289" s="12"/>
      <c r="AI289" s="12">
        <f t="shared" si="78"/>
        <v>70468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46206</v>
      </c>
      <c r="C290" s="83">
        <f t="shared" si="79"/>
        <v>9433</v>
      </c>
      <c r="D290" s="32">
        <f>650*11+229</f>
        <v>7379</v>
      </c>
      <c r="E290" s="32"/>
      <c r="F290" s="32"/>
      <c r="G290" s="32">
        <f t="shared" si="73"/>
        <v>7379</v>
      </c>
      <c r="H290" s="12"/>
      <c r="I290" s="12"/>
      <c r="J290" s="12"/>
      <c r="K290" s="12">
        <f t="shared" si="74"/>
        <v>7379</v>
      </c>
      <c r="M290" s="10">
        <v>4</v>
      </c>
      <c r="N290" s="30">
        <v>46206</v>
      </c>
      <c r="O290" s="31">
        <f t="shared" si="80"/>
        <v>9477</v>
      </c>
      <c r="P290" s="32">
        <f>650*8+229+650</f>
        <v>6079</v>
      </c>
      <c r="Q290" s="32"/>
      <c r="R290" s="32"/>
      <c r="S290" s="32">
        <f t="shared" si="75"/>
        <v>6079</v>
      </c>
      <c r="T290" s="12"/>
      <c r="U290" s="12">
        <f>42+15</f>
        <v>57</v>
      </c>
      <c r="V290" s="12"/>
      <c r="W290" s="12">
        <f t="shared" si="76"/>
        <v>6136</v>
      </c>
      <c r="Y290" s="10">
        <v>4</v>
      </c>
      <c r="Z290" s="30">
        <v>46206</v>
      </c>
      <c r="AA290" s="31">
        <f t="shared" si="81"/>
        <v>9506</v>
      </c>
      <c r="AB290" s="32">
        <f>650*216+670*10+622*20+872*2+229*10</f>
        <v>163574</v>
      </c>
      <c r="AC290" s="32">
        <f>-248*6</f>
        <v>-1488</v>
      </c>
      <c r="AD290" s="32"/>
      <c r="AE290" s="32">
        <f t="shared" si="77"/>
        <v>162086</v>
      </c>
      <c r="AF290" s="12"/>
      <c r="AG290" s="58"/>
      <c r="AH290" s="12"/>
      <c r="AI290" s="12">
        <f t="shared" si="78"/>
        <v>162086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46206</v>
      </c>
      <c r="C291" s="83">
        <f t="shared" si="79"/>
        <v>9434</v>
      </c>
      <c r="D291" s="32">
        <f>650*7+700+622*2</f>
        <v>6494</v>
      </c>
      <c r="E291" s="32"/>
      <c r="F291" s="32"/>
      <c r="G291" s="32">
        <f t="shared" si="73"/>
        <v>6494</v>
      </c>
      <c r="H291" s="12"/>
      <c r="I291" s="12"/>
      <c r="J291" s="12"/>
      <c r="K291" s="12">
        <f t="shared" si="74"/>
        <v>6494</v>
      </c>
      <c r="M291" s="10">
        <v>5</v>
      </c>
      <c r="N291" s="30">
        <v>46206</v>
      </c>
      <c r="O291" s="31">
        <f t="shared" si="80"/>
        <v>9478</v>
      </c>
      <c r="P291" s="32">
        <f>650*42+229</f>
        <v>27529</v>
      </c>
      <c r="Q291" s="32"/>
      <c r="R291" s="32"/>
      <c r="S291" s="32">
        <f t="shared" si="75"/>
        <v>27529</v>
      </c>
      <c r="T291" s="12"/>
      <c r="U291" s="12"/>
      <c r="V291" s="12">
        <v>-666</v>
      </c>
      <c r="W291" s="12">
        <f t="shared" si="76"/>
        <v>26863</v>
      </c>
      <c r="Y291" s="10">
        <v>5</v>
      </c>
      <c r="Z291" s="30">
        <v>46206</v>
      </c>
      <c r="AA291" s="31">
        <f t="shared" si="81"/>
        <v>9507</v>
      </c>
      <c r="AB291" s="32">
        <f>650*32+670*2+622+1582</f>
        <v>24344</v>
      </c>
      <c r="AC291" s="32"/>
      <c r="AD291" s="32"/>
      <c r="AE291" s="32">
        <f t="shared" si="77"/>
        <v>24344</v>
      </c>
      <c r="AF291" s="12"/>
      <c r="AG291" s="12"/>
      <c r="AH291" s="12">
        <v>-888</v>
      </c>
      <c r="AI291" s="12">
        <f t="shared" si="78"/>
        <v>23456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46206</v>
      </c>
      <c r="C292" s="83">
        <f t="shared" si="79"/>
        <v>9435</v>
      </c>
      <c r="D292" s="32">
        <f>973*50+1050*2+872</f>
        <v>51622</v>
      </c>
      <c r="E292" s="32"/>
      <c r="F292" s="32"/>
      <c r="G292" s="32">
        <f t="shared" si="73"/>
        <v>51622</v>
      </c>
      <c r="H292" s="12"/>
      <c r="I292" s="12"/>
      <c r="J292" s="12"/>
      <c r="K292" s="12">
        <f t="shared" si="74"/>
        <v>51622</v>
      </c>
      <c r="M292" s="10">
        <v>6</v>
      </c>
      <c r="N292" s="30">
        <v>46206</v>
      </c>
      <c r="O292" s="31">
        <f t="shared" si="80"/>
        <v>9479</v>
      </c>
      <c r="P292" s="32">
        <f>650*3+670</f>
        <v>2620</v>
      </c>
      <c r="Q292" s="32"/>
      <c r="R292" s="32"/>
      <c r="S292" s="32">
        <f t="shared" si="75"/>
        <v>2620</v>
      </c>
      <c r="T292" s="12"/>
      <c r="U292" s="12">
        <v>103.5</v>
      </c>
      <c r="V292" s="10"/>
      <c r="W292" s="12">
        <f t="shared" si="76"/>
        <v>2723.5</v>
      </c>
      <c r="Y292" s="10">
        <v>6</v>
      </c>
      <c r="Z292" s="30">
        <v>46206</v>
      </c>
      <c r="AA292" s="31">
        <f t="shared" si="81"/>
        <v>9508</v>
      </c>
      <c r="AB292" s="32">
        <f>650*14</f>
        <v>9100</v>
      </c>
      <c r="AC292" s="32"/>
      <c r="AD292" s="32"/>
      <c r="AE292" s="32">
        <f t="shared" si="77"/>
        <v>9100</v>
      </c>
      <c r="AF292" s="12"/>
      <c r="AG292" s="12"/>
      <c r="AH292" s="10">
        <v>-78</v>
      </c>
      <c r="AI292" s="12">
        <f t="shared" si="78"/>
        <v>9022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11" t="s">
        <v>27</v>
      </c>
      <c r="D293" s="32"/>
      <c r="E293" s="32"/>
      <c r="F293" s="32"/>
      <c r="G293" s="32">
        <f t="shared" si="73"/>
        <v>0</v>
      </c>
      <c r="H293" s="12"/>
      <c r="I293" s="12"/>
      <c r="J293" s="12"/>
      <c r="K293" s="12">
        <f t="shared" si="74"/>
        <v>0</v>
      </c>
      <c r="M293" s="10">
        <v>7</v>
      </c>
      <c r="N293" s="30"/>
      <c r="O293" s="11" t="s">
        <v>27</v>
      </c>
      <c r="P293" s="32"/>
      <c r="Q293" s="32"/>
      <c r="R293" s="32"/>
      <c r="S293" s="32">
        <f t="shared" si="75"/>
        <v>0</v>
      </c>
      <c r="T293" s="12"/>
      <c r="U293" s="12"/>
      <c r="V293" s="12"/>
      <c r="W293" s="12">
        <f t="shared" si="76"/>
        <v>0</v>
      </c>
      <c r="Y293" s="10">
        <v>7</v>
      </c>
      <c r="Z293" s="30">
        <v>46206</v>
      </c>
      <c r="AA293" s="31">
        <f t="shared" si="81"/>
        <v>9509</v>
      </c>
      <c r="AB293" s="32">
        <f>650*32+622*18+229*5</f>
        <v>33141</v>
      </c>
      <c r="AC293" s="32">
        <f>-50*6</f>
        <v>-300</v>
      </c>
      <c r="AD293" s="32"/>
      <c r="AE293" s="32">
        <f t="shared" si="77"/>
        <v>32841</v>
      </c>
      <c r="AF293" s="12"/>
      <c r="AG293" s="58"/>
      <c r="AH293" s="12"/>
      <c r="AI293" s="12">
        <f t="shared" si="78"/>
        <v>32841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83"/>
      <c r="D294" s="32"/>
      <c r="E294" s="32"/>
      <c r="F294" s="32"/>
      <c r="G294" s="32">
        <f t="shared" si="73"/>
        <v>0</v>
      </c>
      <c r="H294" s="12"/>
      <c r="I294" s="12"/>
      <c r="J294" s="12"/>
      <c r="K294" s="12">
        <f t="shared" si="74"/>
        <v>0</v>
      </c>
      <c r="M294" s="10">
        <v>8</v>
      </c>
      <c r="N294" s="30"/>
      <c r="P294" s="32"/>
      <c r="Q294" s="32"/>
      <c r="R294" s="32"/>
      <c r="S294" s="32">
        <f t="shared" si="75"/>
        <v>0</v>
      </c>
      <c r="T294" s="12"/>
      <c r="U294" s="12"/>
      <c r="V294" s="12"/>
      <c r="W294" s="12">
        <f t="shared" si="76"/>
        <v>0</v>
      </c>
      <c r="Y294" s="10">
        <v>8</v>
      </c>
      <c r="Z294" s="30">
        <v>46206</v>
      </c>
      <c r="AA294" s="31">
        <f t="shared" si="81"/>
        <v>9510</v>
      </c>
      <c r="AB294" s="32">
        <f>650*30+622*20</f>
        <v>31940</v>
      </c>
      <c r="AC294" s="32">
        <f>-50*6</f>
        <v>-300</v>
      </c>
      <c r="AE294" s="32">
        <f t="shared" si="77"/>
        <v>31640</v>
      </c>
      <c r="AF294" s="12"/>
      <c r="AG294" s="12"/>
      <c r="AH294" s="12"/>
      <c r="AI294" s="12">
        <f t="shared" si="78"/>
        <v>31640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D295" s="32"/>
      <c r="E295" s="32"/>
      <c r="F295" s="32"/>
      <c r="G295" s="32">
        <f t="shared" si="73"/>
        <v>0</v>
      </c>
      <c r="H295" s="12"/>
      <c r="I295" s="12"/>
      <c r="J295" s="12"/>
      <c r="K295" s="12">
        <f t="shared" si="74"/>
        <v>0</v>
      </c>
      <c r="M295" s="10">
        <v>9</v>
      </c>
      <c r="N295" s="30"/>
      <c r="O295" s="31"/>
      <c r="P295" s="32"/>
      <c r="Q295" s="32"/>
      <c r="R295" s="32"/>
      <c r="S295" s="32">
        <f t="shared" si="75"/>
        <v>0</v>
      </c>
      <c r="T295" s="12"/>
      <c r="U295" s="12"/>
      <c r="V295" s="12"/>
      <c r="W295" s="12">
        <f t="shared" si="76"/>
        <v>0</v>
      </c>
      <c r="Y295" s="10">
        <v>9</v>
      </c>
      <c r="Z295" s="30"/>
      <c r="AA295" s="11" t="s">
        <v>27</v>
      </c>
      <c r="AC295" s="32"/>
      <c r="AD295" s="32"/>
      <c r="AE295" s="32">
        <f t="shared" si="77"/>
        <v>0</v>
      </c>
      <c r="AF295" s="12"/>
      <c r="AH295" s="12"/>
      <c r="AI295" s="12">
        <f t="shared" si="78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3"/>
      <c r="D296" s="32"/>
      <c r="E296" s="32"/>
      <c r="F296" s="32"/>
      <c r="G296" s="32">
        <f t="shared" si="73"/>
        <v>0</v>
      </c>
      <c r="H296" s="12"/>
      <c r="I296" s="12"/>
      <c r="J296" s="12"/>
      <c r="K296" s="12">
        <f t="shared" si="74"/>
        <v>0</v>
      </c>
      <c r="M296" s="10">
        <v>10</v>
      </c>
      <c r="N296" s="30"/>
      <c r="O296" s="31"/>
      <c r="P296" s="32"/>
      <c r="Q296" s="32"/>
      <c r="R296" s="32"/>
      <c r="S296" s="32">
        <f t="shared" si="75"/>
        <v>0</v>
      </c>
      <c r="T296" s="12"/>
      <c r="U296" s="12"/>
      <c r="V296" s="12"/>
      <c r="W296" s="12">
        <f t="shared" si="76"/>
        <v>0</v>
      </c>
      <c r="Y296" s="10">
        <v>10</v>
      </c>
      <c r="Z296" s="30"/>
      <c r="AA296" s="31"/>
      <c r="AB296" s="32"/>
      <c r="AC296" s="32"/>
      <c r="AD296" s="32"/>
      <c r="AE296" s="32">
        <f t="shared" si="77"/>
        <v>0</v>
      </c>
      <c r="AF296" s="12"/>
      <c r="AG296" s="12"/>
      <c r="AH296" s="12"/>
      <c r="AI296" s="12">
        <f t="shared" si="78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3"/>
      <c r="D297" s="32"/>
      <c r="E297" s="32"/>
      <c r="F297" s="32"/>
      <c r="G297" s="32">
        <f t="shared" si="73"/>
        <v>0</v>
      </c>
      <c r="H297" s="12"/>
      <c r="I297" s="12"/>
      <c r="J297" s="12"/>
      <c r="K297" s="12">
        <f t="shared" si="74"/>
        <v>0</v>
      </c>
      <c r="M297" s="10">
        <v>11</v>
      </c>
      <c r="N297" s="30"/>
      <c r="P297" s="32"/>
      <c r="Q297" s="32"/>
      <c r="R297" s="32"/>
      <c r="S297" s="32">
        <f t="shared" si="75"/>
        <v>0</v>
      </c>
      <c r="T297" s="12"/>
      <c r="U297" s="12"/>
      <c r="V297" s="12"/>
      <c r="W297" s="12">
        <f t="shared" si="76"/>
        <v>0</v>
      </c>
      <c r="Y297" s="10">
        <v>11</v>
      </c>
      <c r="Z297" s="30"/>
      <c r="AA297" s="31"/>
      <c r="AB297" s="32"/>
      <c r="AC297" s="32"/>
      <c r="AD297" s="32"/>
      <c r="AE297" s="32">
        <f t="shared" ref="AE297:AE319" si="82">SUM(AB297:AC297)</f>
        <v>0</v>
      </c>
      <c r="AF297" s="12"/>
      <c r="AG297" s="12"/>
      <c r="AH297" s="12"/>
      <c r="AI297" s="12">
        <f t="shared" si="78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3"/>
      <c r="D298" s="32"/>
      <c r="E298" s="32"/>
      <c r="F298" s="32"/>
      <c r="G298" s="32">
        <f t="shared" si="73"/>
        <v>0</v>
      </c>
      <c r="H298" s="12"/>
      <c r="I298" s="12"/>
      <c r="J298" s="10"/>
      <c r="K298" s="12">
        <f t="shared" si="74"/>
        <v>0</v>
      </c>
      <c r="M298" s="10">
        <v>12</v>
      </c>
      <c r="N298" s="30"/>
      <c r="O298" s="31"/>
      <c r="P298" s="32"/>
      <c r="Q298" s="32"/>
      <c r="R298" s="32"/>
      <c r="S298" s="32">
        <f t="shared" si="75"/>
        <v>0</v>
      </c>
      <c r="T298" s="12"/>
      <c r="U298" s="12"/>
      <c r="V298" s="12"/>
      <c r="W298" s="12">
        <f t="shared" si="76"/>
        <v>0</v>
      </c>
      <c r="Y298" s="10">
        <v>12</v>
      </c>
      <c r="Z298" s="30"/>
      <c r="AA298" s="31"/>
      <c r="AB298" s="32"/>
      <c r="AC298" s="32"/>
      <c r="AD298" s="32"/>
      <c r="AE298" s="32">
        <f t="shared" si="82"/>
        <v>0</v>
      </c>
      <c r="AF298" s="12"/>
      <c r="AG298" s="12"/>
      <c r="AH298" s="12"/>
      <c r="AI298" s="12">
        <f t="shared" si="78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73"/>
        <v>0</v>
      </c>
      <c r="H299" s="12"/>
      <c r="I299" s="12"/>
      <c r="J299" s="12"/>
      <c r="K299" s="12">
        <f t="shared" si="74"/>
        <v>0</v>
      </c>
      <c r="M299" s="10">
        <v>13</v>
      </c>
      <c r="N299" s="30"/>
      <c r="O299" s="31"/>
      <c r="P299" s="32"/>
      <c r="Q299" s="32"/>
      <c r="R299" s="32"/>
      <c r="S299" s="32">
        <f t="shared" si="75"/>
        <v>0</v>
      </c>
      <c r="T299" s="12"/>
      <c r="U299" s="12"/>
      <c r="V299" s="12"/>
      <c r="W299" s="12">
        <f t="shared" si="76"/>
        <v>0</v>
      </c>
      <c r="Y299" s="10">
        <v>13</v>
      </c>
      <c r="Z299" s="30"/>
      <c r="AA299" s="31"/>
      <c r="AB299" s="32"/>
      <c r="AC299" s="32"/>
      <c r="AD299" s="32"/>
      <c r="AE299" s="32">
        <f t="shared" si="82"/>
        <v>0</v>
      </c>
      <c r="AF299" s="12"/>
      <c r="AG299" s="12"/>
      <c r="AH299" s="12"/>
      <c r="AI299" s="12">
        <f t="shared" si="78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73"/>
        <v>0</v>
      </c>
      <c r="H300" s="12"/>
      <c r="I300" s="12"/>
      <c r="J300" s="12"/>
      <c r="K300" s="12">
        <f t="shared" si="74"/>
        <v>0</v>
      </c>
      <c r="M300" s="10">
        <v>14</v>
      </c>
      <c r="N300" s="30"/>
      <c r="O300" s="31"/>
      <c r="P300" s="32"/>
      <c r="Q300" s="32"/>
      <c r="R300" s="32"/>
      <c r="S300" s="32">
        <f t="shared" si="75"/>
        <v>0</v>
      </c>
      <c r="T300" s="12"/>
      <c r="U300" s="12"/>
      <c r="V300" s="12"/>
      <c r="W300" s="12">
        <f t="shared" si="76"/>
        <v>0</v>
      </c>
      <c r="Y300" s="10">
        <v>14</v>
      </c>
      <c r="Z300" s="30"/>
      <c r="AA300" s="31"/>
      <c r="AB300" s="32"/>
      <c r="AC300" s="32"/>
      <c r="AD300" s="32"/>
      <c r="AE300" s="32">
        <f t="shared" si="82"/>
        <v>0</v>
      </c>
      <c r="AF300" s="12"/>
      <c r="AG300" s="12"/>
      <c r="AH300" s="12"/>
      <c r="AI300" s="12">
        <f t="shared" si="78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73"/>
        <v>0</v>
      </c>
      <c r="H301" s="12"/>
      <c r="I301" s="12"/>
      <c r="J301" s="12"/>
      <c r="K301" s="12">
        <f t="shared" si="74"/>
        <v>0</v>
      </c>
      <c r="M301" s="10">
        <v>15</v>
      </c>
      <c r="N301" s="30"/>
      <c r="O301" s="31"/>
      <c r="P301" s="32"/>
      <c r="Q301" s="32"/>
      <c r="R301" s="32"/>
      <c r="S301" s="32">
        <f t="shared" si="75"/>
        <v>0</v>
      </c>
      <c r="T301" s="12"/>
      <c r="U301" s="12"/>
      <c r="V301" s="12"/>
      <c r="W301" s="12">
        <f t="shared" si="76"/>
        <v>0</v>
      </c>
      <c r="Y301" s="10">
        <v>15</v>
      </c>
      <c r="Z301" s="30"/>
      <c r="AA301" s="31"/>
      <c r="AB301" s="32"/>
      <c r="AC301" s="32"/>
      <c r="AD301" s="32"/>
      <c r="AE301" s="32">
        <f t="shared" si="82"/>
        <v>0</v>
      </c>
      <c r="AF301" s="12"/>
      <c r="AG301" s="12"/>
      <c r="AH301" s="12"/>
      <c r="AI301" s="12">
        <f t="shared" si="78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83"/>
      <c r="D302" s="32"/>
      <c r="E302" s="32"/>
      <c r="F302" s="32"/>
      <c r="G302" s="32">
        <f t="shared" si="73"/>
        <v>0</v>
      </c>
      <c r="H302" s="12"/>
      <c r="I302" s="12"/>
      <c r="J302" s="12"/>
      <c r="K302" s="12">
        <f t="shared" si="74"/>
        <v>0</v>
      </c>
      <c r="M302" s="10">
        <v>16</v>
      </c>
      <c r="N302" s="30"/>
      <c r="O302" s="31"/>
      <c r="P302" s="32"/>
      <c r="Q302" s="32"/>
      <c r="R302" s="32"/>
      <c r="S302" s="32">
        <f t="shared" si="75"/>
        <v>0</v>
      </c>
      <c r="T302" s="12"/>
      <c r="U302" s="12"/>
      <c r="V302" s="12"/>
      <c r="W302" s="12">
        <f t="shared" si="76"/>
        <v>0</v>
      </c>
      <c r="Y302" s="10">
        <v>16</v>
      </c>
      <c r="Z302" s="30"/>
      <c r="AB302" s="32"/>
      <c r="AC302" s="32"/>
      <c r="AD302" s="32"/>
      <c r="AE302" s="32">
        <f t="shared" si="82"/>
        <v>0</v>
      </c>
      <c r="AF302" s="12"/>
      <c r="AG302" s="12"/>
      <c r="AH302" s="12"/>
      <c r="AI302" s="12">
        <f t="shared" si="78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73"/>
        <v>0</v>
      </c>
      <c r="H303" s="12"/>
      <c r="I303" s="12"/>
      <c r="J303" s="12"/>
      <c r="K303" s="12">
        <f t="shared" si="74"/>
        <v>0</v>
      </c>
      <c r="M303" s="10">
        <v>17</v>
      </c>
      <c r="N303" s="30"/>
      <c r="O303" s="31"/>
      <c r="P303" s="35"/>
      <c r="Q303" s="32"/>
      <c r="R303" s="32"/>
      <c r="S303" s="32">
        <f t="shared" si="75"/>
        <v>0</v>
      </c>
      <c r="T303" s="12"/>
      <c r="U303" s="12"/>
      <c r="V303" s="12"/>
      <c r="W303" s="12">
        <f t="shared" si="76"/>
        <v>0</v>
      </c>
      <c r="Y303" s="10">
        <v>17</v>
      </c>
      <c r="Z303" s="30"/>
      <c r="AA303" s="31"/>
      <c r="AB303" s="35"/>
      <c r="AC303" s="32"/>
      <c r="AD303" s="32"/>
      <c r="AE303" s="32">
        <f t="shared" si="82"/>
        <v>0</v>
      </c>
      <c r="AF303" s="12"/>
      <c r="AG303" s="12"/>
      <c r="AH303" s="12"/>
      <c r="AI303" s="12">
        <f t="shared" si="78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73"/>
        <v>0</v>
      </c>
      <c r="H304" s="12"/>
      <c r="I304" s="12"/>
      <c r="J304" s="12"/>
      <c r="K304" s="12">
        <f t="shared" si="74"/>
        <v>0</v>
      </c>
      <c r="M304" s="10">
        <v>18</v>
      </c>
      <c r="N304" s="30"/>
      <c r="P304" s="32"/>
      <c r="Q304" s="32"/>
      <c r="R304" s="32"/>
      <c r="S304" s="32">
        <f t="shared" si="75"/>
        <v>0</v>
      </c>
      <c r="T304" s="12"/>
      <c r="U304" s="12"/>
      <c r="V304" s="12"/>
      <c r="W304" s="12">
        <f t="shared" si="76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2"/>
        <v>0</v>
      </c>
      <c r="AF304" s="12"/>
      <c r="AG304" s="12"/>
      <c r="AH304" s="12"/>
      <c r="AI304" s="12">
        <f t="shared" si="78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73"/>
        <v>0</v>
      </c>
      <c r="H305" s="12"/>
      <c r="I305" s="12"/>
      <c r="J305" s="12"/>
      <c r="K305" s="12">
        <f t="shared" si="74"/>
        <v>0</v>
      </c>
      <c r="M305" s="10">
        <v>19</v>
      </c>
      <c r="N305" s="30"/>
      <c r="O305" s="31"/>
      <c r="P305" s="32"/>
      <c r="Q305" s="32"/>
      <c r="R305" s="32"/>
      <c r="S305" s="32">
        <f t="shared" si="75"/>
        <v>0</v>
      </c>
      <c r="T305" s="12"/>
      <c r="U305" s="12"/>
      <c r="V305" s="12"/>
      <c r="W305" s="12">
        <f t="shared" si="76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2"/>
        <v>0</v>
      </c>
      <c r="AF305" s="12"/>
      <c r="AG305" s="12"/>
      <c r="AH305" s="12"/>
      <c r="AI305" s="12">
        <f t="shared" si="78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73"/>
        <v>0</v>
      </c>
      <c r="H306" s="12"/>
      <c r="I306" s="12"/>
      <c r="J306" s="12"/>
      <c r="K306" s="12">
        <f t="shared" si="74"/>
        <v>0</v>
      </c>
      <c r="M306" s="10">
        <v>20</v>
      </c>
      <c r="N306" s="30"/>
      <c r="P306" s="32"/>
      <c r="Q306" s="32"/>
      <c r="R306" s="32"/>
      <c r="S306" s="32">
        <f t="shared" si="75"/>
        <v>0</v>
      </c>
      <c r="T306" s="12"/>
      <c r="U306" s="12"/>
      <c r="V306" s="12"/>
      <c r="W306" s="12">
        <f t="shared" si="76"/>
        <v>0</v>
      </c>
      <c r="Y306" s="10">
        <v>20</v>
      </c>
      <c r="Z306" s="30"/>
      <c r="AB306" s="32"/>
      <c r="AC306" s="32"/>
      <c r="AD306" s="32"/>
      <c r="AE306" s="32">
        <f t="shared" si="82"/>
        <v>0</v>
      </c>
      <c r="AF306" s="12"/>
      <c r="AG306" s="12"/>
      <c r="AH306" s="12"/>
      <c r="AI306" s="12">
        <f t="shared" si="78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73"/>
        <v>0</v>
      </c>
      <c r="H307" s="10"/>
      <c r="I307" s="10"/>
      <c r="J307" s="10"/>
      <c r="K307" s="12">
        <f t="shared" si="74"/>
        <v>0</v>
      </c>
      <c r="M307" s="10">
        <v>21</v>
      </c>
      <c r="N307" s="30"/>
      <c r="O307" s="31"/>
      <c r="P307" s="46"/>
      <c r="Q307" s="31"/>
      <c r="R307" s="31"/>
      <c r="S307" s="32">
        <f t="shared" si="75"/>
        <v>0</v>
      </c>
      <c r="T307" s="10"/>
      <c r="U307" s="10"/>
      <c r="V307" s="10"/>
      <c r="W307" s="12">
        <f t="shared" si="76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2"/>
        <v>0</v>
      </c>
      <c r="AF307" s="10"/>
      <c r="AG307" s="10"/>
      <c r="AH307" s="10"/>
      <c r="AI307" s="12">
        <f t="shared" si="78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73"/>
        <v>0</v>
      </c>
      <c r="H308" s="10"/>
      <c r="I308" s="10"/>
      <c r="J308" s="10"/>
      <c r="K308" s="12">
        <f t="shared" si="74"/>
        <v>0</v>
      </c>
      <c r="M308" s="10">
        <v>22</v>
      </c>
      <c r="N308" s="30"/>
      <c r="O308" s="31"/>
      <c r="P308" s="45"/>
      <c r="Q308" s="31"/>
      <c r="R308" s="31"/>
      <c r="S308" s="32">
        <f t="shared" si="75"/>
        <v>0</v>
      </c>
      <c r="T308" s="10"/>
      <c r="U308" s="10"/>
      <c r="V308" s="10"/>
      <c r="W308" s="12">
        <f t="shared" si="76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2"/>
        <v>0</v>
      </c>
      <c r="AF308" s="10"/>
      <c r="AG308" s="10"/>
      <c r="AH308" s="10"/>
      <c r="AI308" s="12">
        <f t="shared" si="78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73"/>
        <v>0</v>
      </c>
      <c r="H309" s="10"/>
      <c r="I309" s="10"/>
      <c r="J309" s="12"/>
      <c r="K309" s="12">
        <f t="shared" si="74"/>
        <v>0</v>
      </c>
      <c r="M309" s="10">
        <v>23</v>
      </c>
      <c r="N309" s="30"/>
      <c r="O309" s="31"/>
      <c r="P309" s="47"/>
      <c r="Q309" s="31"/>
      <c r="S309" s="32">
        <f t="shared" si="75"/>
        <v>0</v>
      </c>
      <c r="T309" s="10"/>
      <c r="U309" s="10"/>
      <c r="V309" s="10"/>
      <c r="W309" s="12">
        <f t="shared" si="76"/>
        <v>0</v>
      </c>
      <c r="Y309" s="10">
        <v>23</v>
      </c>
      <c r="Z309" s="30"/>
      <c r="AA309" s="31"/>
      <c r="AB309" s="47"/>
      <c r="AE309" s="32">
        <f t="shared" si="82"/>
        <v>0</v>
      </c>
      <c r="AF309" s="10"/>
      <c r="AG309" s="10"/>
      <c r="AH309" s="10"/>
      <c r="AI309" s="12">
        <f t="shared" si="78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73"/>
        <v>0</v>
      </c>
      <c r="H310" s="10"/>
      <c r="I310" s="10"/>
      <c r="J310" s="10"/>
      <c r="K310" s="12">
        <f t="shared" si="74"/>
        <v>0</v>
      </c>
      <c r="M310" s="10">
        <v>24</v>
      </c>
      <c r="N310" s="30"/>
      <c r="O310" s="31"/>
      <c r="P310" s="47"/>
      <c r="Q310" s="31"/>
      <c r="R310" s="31"/>
      <c r="S310" s="32">
        <f t="shared" si="75"/>
        <v>0</v>
      </c>
      <c r="T310" s="10"/>
      <c r="U310" s="10"/>
      <c r="V310" s="10"/>
      <c r="W310" s="12">
        <f t="shared" si="76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2"/>
        <v>0</v>
      </c>
      <c r="AF310" s="10"/>
      <c r="AG310" s="10"/>
      <c r="AH310" s="10"/>
      <c r="AI310" s="12">
        <f t="shared" si="78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73"/>
        <v>0</v>
      </c>
      <c r="H311" s="10"/>
      <c r="I311" s="10"/>
      <c r="J311" s="10"/>
      <c r="K311" s="12">
        <f t="shared" si="74"/>
        <v>0</v>
      </c>
      <c r="M311" s="10">
        <v>25</v>
      </c>
      <c r="N311" s="30"/>
      <c r="O311" s="31"/>
      <c r="P311" s="47"/>
      <c r="Q311" s="31"/>
      <c r="R311" s="31"/>
      <c r="S311" s="32">
        <f t="shared" si="75"/>
        <v>0</v>
      </c>
      <c r="T311" s="10"/>
      <c r="U311" s="10"/>
      <c r="V311" s="10"/>
      <c r="W311" s="12">
        <f t="shared" si="76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2"/>
        <v>0</v>
      </c>
      <c r="AF311" s="10"/>
      <c r="AG311" s="10"/>
      <c r="AH311" s="10"/>
      <c r="AI311" s="12">
        <f t="shared" si="78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73"/>
        <v>0</v>
      </c>
      <c r="H312" s="10"/>
      <c r="I312" s="10"/>
      <c r="J312" s="10"/>
      <c r="K312" s="12">
        <f t="shared" si="74"/>
        <v>0</v>
      </c>
      <c r="M312" s="10">
        <v>26</v>
      </c>
      <c r="N312" s="30"/>
      <c r="O312" s="31"/>
      <c r="P312" s="47"/>
      <c r="Q312" s="31"/>
      <c r="R312" s="31"/>
      <c r="S312" s="32">
        <f t="shared" si="75"/>
        <v>0</v>
      </c>
      <c r="T312" s="10"/>
      <c r="U312" s="10"/>
      <c r="V312" s="10"/>
      <c r="W312" s="12">
        <f t="shared" si="76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2"/>
        <v>0</v>
      </c>
      <c r="AF312" s="10"/>
      <c r="AG312" s="10"/>
      <c r="AH312" s="10"/>
      <c r="AI312" s="12">
        <f t="shared" si="78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73"/>
        <v>0</v>
      </c>
      <c r="H313" s="10"/>
      <c r="I313" s="10"/>
      <c r="J313" s="10"/>
      <c r="K313" s="12">
        <f t="shared" si="74"/>
        <v>0</v>
      </c>
      <c r="M313" s="10">
        <v>27</v>
      </c>
      <c r="N313" s="30"/>
      <c r="O313" s="31"/>
      <c r="P313" s="47"/>
      <c r="Q313" s="31"/>
      <c r="R313" s="31"/>
      <c r="S313" s="32">
        <f t="shared" si="75"/>
        <v>0</v>
      </c>
      <c r="T313" s="10"/>
      <c r="U313" s="10"/>
      <c r="V313" s="10"/>
      <c r="W313" s="12">
        <f t="shared" si="76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2"/>
        <v>0</v>
      </c>
      <c r="AF313" s="10"/>
      <c r="AG313" s="10"/>
      <c r="AH313" s="10"/>
      <c r="AI313" s="12">
        <f t="shared" si="78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73"/>
        <v>0</v>
      </c>
      <c r="H314" s="10"/>
      <c r="I314" s="10"/>
      <c r="J314" s="10"/>
      <c r="K314" s="12">
        <f t="shared" si="74"/>
        <v>0</v>
      </c>
      <c r="M314" s="10">
        <v>28</v>
      </c>
      <c r="N314" s="30"/>
      <c r="O314" s="31"/>
      <c r="P314" s="47"/>
      <c r="Q314" s="31"/>
      <c r="R314" s="31"/>
      <c r="S314" s="32">
        <f t="shared" si="75"/>
        <v>0</v>
      </c>
      <c r="T314" s="10"/>
      <c r="U314" s="10"/>
      <c r="V314" s="10"/>
      <c r="W314" s="12">
        <f t="shared" si="76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2"/>
        <v>0</v>
      </c>
      <c r="AF314" s="10"/>
      <c r="AG314" s="10"/>
      <c r="AH314" s="10"/>
      <c r="AI314" s="12">
        <f t="shared" si="78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73"/>
        <v>0</v>
      </c>
      <c r="H315" s="10"/>
      <c r="I315" s="10"/>
      <c r="J315" s="10"/>
      <c r="K315" s="12">
        <f t="shared" si="74"/>
        <v>0</v>
      </c>
      <c r="M315" s="10">
        <v>29</v>
      </c>
      <c r="N315" s="30"/>
      <c r="O315" s="31"/>
      <c r="P315" s="47"/>
      <c r="Q315" s="31"/>
      <c r="R315" s="31"/>
      <c r="S315" s="32">
        <f t="shared" si="75"/>
        <v>0</v>
      </c>
      <c r="T315" s="10"/>
      <c r="U315" s="10"/>
      <c r="V315" s="10"/>
      <c r="W315" s="12">
        <f t="shared" si="76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2"/>
        <v>0</v>
      </c>
      <c r="AF315" s="10"/>
      <c r="AG315" s="10"/>
      <c r="AH315" s="10"/>
      <c r="AI315" s="12">
        <f t="shared" si="78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73"/>
        <v>0</v>
      </c>
      <c r="H316" s="10"/>
      <c r="I316" s="10"/>
      <c r="J316" s="10"/>
      <c r="K316" s="12">
        <f t="shared" si="74"/>
        <v>0</v>
      </c>
      <c r="M316" s="10">
        <v>30</v>
      </c>
      <c r="N316" s="30"/>
      <c r="O316" s="31"/>
      <c r="P316" s="47"/>
      <c r="Q316" s="31"/>
      <c r="R316" s="31"/>
      <c r="S316" s="32">
        <f t="shared" si="75"/>
        <v>0</v>
      </c>
      <c r="T316" s="10"/>
      <c r="U316" s="10"/>
      <c r="V316" s="10"/>
      <c r="W316" s="12">
        <f t="shared" si="76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2"/>
        <v>0</v>
      </c>
      <c r="AF316" s="10"/>
      <c r="AG316" s="10"/>
      <c r="AH316" s="10"/>
      <c r="AI316" s="12">
        <f t="shared" si="78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73"/>
        <v>0</v>
      </c>
      <c r="H317" s="10"/>
      <c r="I317" s="10"/>
      <c r="J317" s="10"/>
      <c r="K317" s="12">
        <f t="shared" si="74"/>
        <v>0</v>
      </c>
      <c r="M317" s="10">
        <v>31</v>
      </c>
      <c r="N317" s="30"/>
      <c r="O317" s="31"/>
      <c r="P317" s="47"/>
      <c r="Q317" s="31"/>
      <c r="R317" s="31"/>
      <c r="S317" s="32">
        <f t="shared" si="75"/>
        <v>0</v>
      </c>
      <c r="T317" s="10"/>
      <c r="U317" s="10"/>
      <c r="V317" s="10"/>
      <c r="W317" s="12">
        <f t="shared" si="76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2"/>
        <v>0</v>
      </c>
      <c r="AF317" s="10"/>
      <c r="AG317" s="10"/>
      <c r="AH317" s="10"/>
      <c r="AI317" s="12">
        <f t="shared" si="78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73"/>
        <v>0</v>
      </c>
      <c r="H318" s="10"/>
      <c r="I318" s="10"/>
      <c r="J318" s="10"/>
      <c r="K318" s="12">
        <f t="shared" si="74"/>
        <v>0</v>
      </c>
      <c r="M318" s="10">
        <v>32</v>
      </c>
      <c r="N318" s="30"/>
      <c r="O318" s="31"/>
      <c r="P318" s="47"/>
      <c r="Q318" s="31"/>
      <c r="R318" s="31"/>
      <c r="S318" s="32">
        <f t="shared" si="75"/>
        <v>0</v>
      </c>
      <c r="T318" s="10"/>
      <c r="U318" s="10"/>
      <c r="V318" s="10"/>
      <c r="W318" s="12">
        <f t="shared" si="76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2"/>
        <v>0</v>
      </c>
      <c r="AF318" s="10"/>
      <c r="AG318" s="10"/>
      <c r="AH318" s="10"/>
      <c r="AI318" s="12">
        <f t="shared" si="78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73"/>
        <v>0</v>
      </c>
      <c r="H319" s="10"/>
      <c r="I319" s="10"/>
      <c r="J319" s="10"/>
      <c r="K319" s="12">
        <f t="shared" si="74"/>
        <v>0</v>
      </c>
      <c r="M319" s="10">
        <v>33</v>
      </c>
      <c r="N319" s="30"/>
      <c r="O319" s="31"/>
      <c r="P319" s="47"/>
      <c r="Q319" s="31"/>
      <c r="R319" s="31"/>
      <c r="S319" s="32">
        <f t="shared" si="75"/>
        <v>0</v>
      </c>
      <c r="T319" s="10"/>
      <c r="U319" s="10"/>
      <c r="V319" s="10"/>
      <c r="W319" s="12">
        <f t="shared" si="76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2"/>
        <v>0</v>
      </c>
      <c r="AF319" s="10"/>
      <c r="AG319" s="10"/>
      <c r="AH319" s="10"/>
      <c r="AI319" s="12">
        <f t="shared" si="78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73"/>
        <v>0</v>
      </c>
      <c r="H320" s="10"/>
      <c r="I320" s="10"/>
      <c r="J320" s="10"/>
      <c r="K320" s="12">
        <f t="shared" si="74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83">SUM(P320:Q320)</f>
        <v>0</v>
      </c>
      <c r="T320" s="10"/>
      <c r="U320" s="10"/>
      <c r="V320" s="10"/>
      <c r="W320" s="12">
        <f t="shared" si="76"/>
        <v>0</v>
      </c>
      <c r="Y320" s="10">
        <v>34</v>
      </c>
      <c r="Z320" s="30"/>
      <c r="AA320" s="31"/>
      <c r="AB320" s="47"/>
      <c r="AC320" s="31"/>
      <c r="AD320" s="31"/>
      <c r="AE320" s="32">
        <f t="shared" ref="AE320:AE325" si="84">SUM(AB320:AC320)</f>
        <v>0</v>
      </c>
      <c r="AF320" s="10"/>
      <c r="AG320" s="10"/>
      <c r="AH320" s="10"/>
      <c r="AI320" s="12">
        <f t="shared" si="78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83"/>
        <v>0</v>
      </c>
      <c r="T321" s="10"/>
      <c r="U321" s="10"/>
      <c r="V321" s="10"/>
      <c r="W321" s="12">
        <f t="shared" si="76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4"/>
        <v>0</v>
      </c>
      <c r="AF321" s="10"/>
      <c r="AG321" s="10"/>
      <c r="AH321" s="10"/>
      <c r="AI321" s="12">
        <f t="shared" si="78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83"/>
        <v>0</v>
      </c>
      <c r="T322" s="10"/>
      <c r="U322" s="10"/>
      <c r="V322" s="10"/>
      <c r="W322" s="12">
        <f t="shared" si="76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4"/>
        <v>0</v>
      </c>
      <c r="AF322" s="10"/>
      <c r="AG322" s="10"/>
      <c r="AH322" s="10"/>
      <c r="AI322" s="12">
        <f t="shared" si="78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83"/>
        <v>0</v>
      </c>
      <c r="T323" s="10"/>
      <c r="U323" s="10"/>
      <c r="V323" s="10"/>
      <c r="W323" s="12">
        <f t="shared" si="76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4"/>
        <v>0</v>
      </c>
      <c r="AF323" s="10"/>
      <c r="AG323" s="10"/>
      <c r="AH323" s="10"/>
      <c r="AI323" s="12">
        <f t="shared" si="78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83"/>
        <v>0</v>
      </c>
      <c r="T324" s="10"/>
      <c r="U324" s="10"/>
      <c r="V324" s="10"/>
      <c r="W324" s="12">
        <f t="shared" si="76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4"/>
        <v>0</v>
      </c>
      <c r="AF324" s="10"/>
      <c r="AG324" s="10"/>
      <c r="AH324" s="10"/>
      <c r="AI324" s="12">
        <f t="shared" si="78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83"/>
        <v>0</v>
      </c>
      <c r="T325" s="10"/>
      <c r="U325" s="10"/>
      <c r="V325" s="10"/>
      <c r="W325" s="12">
        <f t="shared" si="76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4"/>
        <v>0</v>
      </c>
      <c r="AF325" s="10"/>
      <c r="AG325" s="10"/>
      <c r="AH325" s="10"/>
      <c r="AI325" s="12">
        <f t="shared" si="78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76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78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85">SUM(D327:E327)</f>
        <v>0</v>
      </c>
      <c r="H327" s="10"/>
      <c r="I327" s="10"/>
      <c r="J327" s="10"/>
      <c r="K327" s="12">
        <f t="shared" ref="K327" si="86">SUM(G327:J327)</f>
        <v>0</v>
      </c>
      <c r="M327" s="10"/>
      <c r="N327" s="30"/>
      <c r="O327" s="31"/>
      <c r="P327" s="47"/>
      <c r="Q327" s="31"/>
      <c r="R327" s="31"/>
      <c r="S327" s="32">
        <f t="shared" ref="S327" si="87">SUM(P327:Q327)</f>
        <v>0</v>
      </c>
      <c r="T327" s="10"/>
      <c r="U327" s="10"/>
      <c r="V327" s="10"/>
      <c r="W327" s="12">
        <f t="shared" si="76"/>
        <v>0</v>
      </c>
      <c r="Y327" s="10"/>
      <c r="Z327" s="30"/>
      <c r="AA327" s="31"/>
      <c r="AB327" s="47"/>
      <c r="AC327" s="31"/>
      <c r="AD327" s="31"/>
      <c r="AE327" s="32">
        <f t="shared" ref="AE327" si="88">SUM(AB327:AC327)</f>
        <v>0</v>
      </c>
      <c r="AF327" s="10"/>
      <c r="AG327" s="10"/>
      <c r="AH327" s="10"/>
      <c r="AI327" s="12">
        <f t="shared" si="78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76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78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275589</v>
      </c>
      <c r="E330" s="38">
        <f t="shared" ref="E330:F330" si="89">SUM(E287:E327)</f>
        <v>0</v>
      </c>
      <c r="F330" s="38">
        <f t="shared" si="89"/>
        <v>0</v>
      </c>
      <c r="G330" s="38">
        <f>SUM(G287:G329)</f>
        <v>275589</v>
      </c>
      <c r="H330" s="4"/>
      <c r="I330" s="39">
        <f>SUM(I287:I329)</f>
        <v>777</v>
      </c>
      <c r="J330" s="39">
        <f>SUM(J287:J329)</f>
        <v>0</v>
      </c>
      <c r="K330" s="40">
        <f>SUM(K287:K329)</f>
        <v>276366</v>
      </c>
      <c r="N330" s="57"/>
      <c r="O330" s="57"/>
      <c r="P330" s="38">
        <f>SUM(P287:P329)</f>
        <v>299910</v>
      </c>
      <c r="Q330" s="38">
        <f>SUM(Q287:Q311)</f>
        <v>-1200</v>
      </c>
      <c r="R330" s="38">
        <f>SUM(R287:R311)</f>
        <v>0</v>
      </c>
      <c r="S330" s="38">
        <f>SUM(S287:S329)</f>
        <v>298710</v>
      </c>
      <c r="T330" s="4"/>
      <c r="U330" s="41">
        <f>SUM(U287:U329)</f>
        <v>20100</v>
      </c>
      <c r="V330" s="41">
        <f>SUM(V287:V311)</f>
        <v>-1701</v>
      </c>
      <c r="W330" s="42">
        <f>SUM(W287:W329)</f>
        <v>317109</v>
      </c>
      <c r="Z330" s="57"/>
      <c r="AA330" s="57"/>
      <c r="AB330" s="38">
        <f>SUM(AB287:AB329)</f>
        <v>354919</v>
      </c>
      <c r="AC330" s="38">
        <f>SUM(AC287:AC311)</f>
        <v>-2736</v>
      </c>
      <c r="AD330" s="38">
        <f>SUM(AD287:AD311)</f>
        <v>0</v>
      </c>
      <c r="AE330" s="38">
        <f>SUM(AE287:AE329)</f>
        <v>352183</v>
      </c>
      <c r="AF330" s="4"/>
      <c r="AG330" s="41">
        <f>SUM(AG287:AG329)</f>
        <v>0</v>
      </c>
      <c r="AH330" s="41">
        <f>SUM(AH287:AH311)</f>
        <v>-966</v>
      </c>
      <c r="AI330" s="42">
        <f>SUM(AI287:AI329)</f>
        <v>351217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34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34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34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35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6" t="s">
        <v>17</v>
      </c>
      <c r="E340" s="116"/>
      <c r="F340" s="95"/>
      <c r="G340" s="27"/>
      <c r="I340" s="117" t="s">
        <v>18</v>
      </c>
      <c r="J340" s="118"/>
      <c r="K340" s="112" t="s">
        <v>19</v>
      </c>
      <c r="N340" s="25"/>
      <c r="O340" s="26"/>
      <c r="P340" s="116" t="s">
        <v>17</v>
      </c>
      <c r="Q340" s="116"/>
      <c r="R340" s="96"/>
      <c r="S340" s="27"/>
      <c r="U340" s="117" t="s">
        <v>18</v>
      </c>
      <c r="V340" s="118"/>
      <c r="W340" s="112" t="s">
        <v>19</v>
      </c>
      <c r="Z340" s="25"/>
      <c r="AA340" s="26"/>
      <c r="AB340" s="116" t="s">
        <v>17</v>
      </c>
      <c r="AC340" s="116"/>
      <c r="AD340" s="96"/>
      <c r="AE340" s="27"/>
      <c r="AG340" s="117" t="s">
        <v>18</v>
      </c>
      <c r="AH340" s="118"/>
      <c r="AI340" s="112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13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13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13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46268</v>
      </c>
      <c r="C342" s="83">
        <v>9436</v>
      </c>
      <c r="D342" s="32">
        <f>650*19+622*2</f>
        <v>13594</v>
      </c>
      <c r="E342" s="32"/>
      <c r="F342" s="32"/>
      <c r="G342" s="32">
        <f t="shared" ref="G342:G375" si="90">SUM(D342:E342)</f>
        <v>13594</v>
      </c>
      <c r="H342" s="12"/>
      <c r="I342" s="12"/>
      <c r="J342" s="12"/>
      <c r="K342" s="12">
        <f t="shared" ref="K342:K375" si="91">SUM(G342:J342)</f>
        <v>13594</v>
      </c>
      <c r="M342" s="10">
        <v>1</v>
      </c>
      <c r="N342" s="30">
        <v>46268</v>
      </c>
      <c r="O342" s="31">
        <v>9480</v>
      </c>
      <c r="P342" s="32">
        <f>650*35+622*10+229</f>
        <v>29199</v>
      </c>
      <c r="Q342" s="32"/>
      <c r="R342" s="32"/>
      <c r="S342" s="32">
        <f>SUM(P342:Q342)</f>
        <v>29199</v>
      </c>
      <c r="T342" s="12"/>
      <c r="U342" s="12">
        <v>27</v>
      </c>
      <c r="V342" s="12"/>
      <c r="W342" s="12">
        <f>SUM(S342:V342)</f>
        <v>29226</v>
      </c>
      <c r="Y342" s="10">
        <v>1</v>
      </c>
      <c r="Z342" s="30">
        <v>46268</v>
      </c>
      <c r="AA342" s="31">
        <v>9511</v>
      </c>
      <c r="AB342" s="32">
        <f>650*40+622*10+229*2</f>
        <v>32678</v>
      </c>
      <c r="AC342" s="32">
        <f>-50*6</f>
        <v>-300</v>
      </c>
      <c r="AD342" s="32"/>
      <c r="AE342" s="32">
        <f>SUM(AB342:AC342)</f>
        <v>32378</v>
      </c>
      <c r="AF342" s="12"/>
      <c r="AG342" s="12"/>
      <c r="AH342" s="12"/>
      <c r="AI342" s="12">
        <f>SUM(AE342:AH342)</f>
        <v>32378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46268</v>
      </c>
      <c r="C343" s="83">
        <f>C342+1</f>
        <v>9437</v>
      </c>
      <c r="D343" s="32">
        <f>650*432+670*48+622*54+229*20</f>
        <v>351128</v>
      </c>
      <c r="E343" s="32">
        <f>-534*6</f>
        <v>-3204</v>
      </c>
      <c r="F343" s="32"/>
      <c r="G343" s="32">
        <f t="shared" si="90"/>
        <v>347924</v>
      </c>
      <c r="H343" s="12"/>
      <c r="I343" s="12">
        <f>22089+1560</f>
        <v>23649</v>
      </c>
      <c r="J343" s="12">
        <v>-11592</v>
      </c>
      <c r="K343" s="12">
        <f t="shared" si="91"/>
        <v>359981</v>
      </c>
      <c r="M343" s="10">
        <v>2</v>
      </c>
      <c r="N343" s="30">
        <v>46268</v>
      </c>
      <c r="O343" s="31">
        <f>O342+1</f>
        <v>9481</v>
      </c>
      <c r="P343" s="32">
        <f>650*49+229</f>
        <v>32079</v>
      </c>
      <c r="Q343" s="32"/>
      <c r="R343" s="32"/>
      <c r="S343" s="32">
        <f t="shared" ref="S343:S374" si="92">SUM(P343:Q343)</f>
        <v>32079</v>
      </c>
      <c r="T343" s="12"/>
      <c r="U343" s="12"/>
      <c r="V343" s="12">
        <v>-1665</v>
      </c>
      <c r="W343" s="12">
        <f t="shared" ref="W343:W383" si="93">SUM(S343:V343)</f>
        <v>30414</v>
      </c>
      <c r="Y343" s="10">
        <v>2</v>
      </c>
      <c r="Z343" s="30">
        <v>46268</v>
      </c>
      <c r="AA343" s="31">
        <f>AA342+1</f>
        <v>9512</v>
      </c>
      <c r="AB343" s="32">
        <f>650*196+622*20+872*2+229*9</f>
        <v>143645</v>
      </c>
      <c r="AC343" s="32"/>
      <c r="AD343" s="32"/>
      <c r="AE343" s="32">
        <f t="shared" ref="AE343:AE351" si="94">SUM(AB343:AC343)</f>
        <v>143645</v>
      </c>
      <c r="AF343" s="12"/>
      <c r="AG343" s="12">
        <f>216*111+8*78</f>
        <v>24600</v>
      </c>
      <c r="AH343" s="12"/>
      <c r="AI343" s="12">
        <f t="shared" ref="AI343:AI383" si="95">SUM(AE343:AH343)</f>
        <v>168245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46268</v>
      </c>
      <c r="C344" s="83">
        <f t="shared" ref="C344:C347" si="96">C343+1</f>
        <v>9438</v>
      </c>
      <c r="D344" s="33">
        <f>62*650+670*3+622*8</f>
        <v>47286</v>
      </c>
      <c r="E344" s="33"/>
      <c r="F344" s="33"/>
      <c r="G344" s="33">
        <f t="shared" si="90"/>
        <v>47286</v>
      </c>
      <c r="H344" s="34"/>
      <c r="I344" s="34">
        <v>135</v>
      </c>
      <c r="J344" s="34"/>
      <c r="K344" s="34">
        <f t="shared" si="91"/>
        <v>47421</v>
      </c>
      <c r="M344" s="10">
        <v>3</v>
      </c>
      <c r="N344" s="30">
        <v>46268</v>
      </c>
      <c r="O344" s="31">
        <f t="shared" ref="O344:O347" si="97">O343+1</f>
        <v>9482</v>
      </c>
      <c r="P344" s="32">
        <f>650*130+622*20+229*2</f>
        <v>97398</v>
      </c>
      <c r="Q344" s="32">
        <f>-150*6</f>
        <v>-900</v>
      </c>
      <c r="R344" s="32"/>
      <c r="S344" s="32">
        <f t="shared" si="92"/>
        <v>96498</v>
      </c>
      <c r="T344" s="12"/>
      <c r="U344" s="12">
        <v>72</v>
      </c>
      <c r="V344" s="12"/>
      <c r="W344" s="12">
        <f t="shared" si="93"/>
        <v>96570</v>
      </c>
      <c r="Y344" s="10">
        <v>3</v>
      </c>
      <c r="Z344" s="30">
        <v>46268</v>
      </c>
      <c r="AA344" s="31">
        <f t="shared" ref="AA344:AA348" si="98">AA343+1</f>
        <v>9513</v>
      </c>
      <c r="AB344" s="33">
        <f>650*31+670+622*10+229</f>
        <v>27269</v>
      </c>
      <c r="AC344" s="33"/>
      <c r="AD344" s="32"/>
      <c r="AE344" s="32">
        <f t="shared" si="94"/>
        <v>27269</v>
      </c>
      <c r="AF344" s="12"/>
      <c r="AG344" s="12">
        <f>17*1.5</f>
        <v>25.5</v>
      </c>
      <c r="AH344" s="12"/>
      <c r="AI344" s="12">
        <f t="shared" si="95"/>
        <v>27294.5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46268</v>
      </c>
      <c r="C345" s="83">
        <f t="shared" si="96"/>
        <v>9439</v>
      </c>
      <c r="D345" s="32">
        <f>650*24+912+1308+500+1582*2</f>
        <v>21484</v>
      </c>
      <c r="E345" s="32"/>
      <c r="F345" s="32"/>
      <c r="G345" s="32">
        <f t="shared" si="90"/>
        <v>21484</v>
      </c>
      <c r="H345" s="12"/>
      <c r="I345" s="12">
        <v>513</v>
      </c>
      <c r="J345" s="12"/>
      <c r="K345" s="12">
        <f t="shared" si="91"/>
        <v>21997</v>
      </c>
      <c r="M345" s="10">
        <v>4</v>
      </c>
      <c r="N345" s="30">
        <v>46268</v>
      </c>
      <c r="O345" s="31">
        <f t="shared" si="97"/>
        <v>9483</v>
      </c>
      <c r="P345" s="32">
        <f>650*216+622*88+229*13</f>
        <v>198113</v>
      </c>
      <c r="Q345" s="32">
        <f>-304*6</f>
        <v>-1824</v>
      </c>
      <c r="R345" s="32"/>
      <c r="S345" s="32">
        <f t="shared" si="92"/>
        <v>196289</v>
      </c>
      <c r="T345" s="12"/>
      <c r="U345" s="12">
        <v>780</v>
      </c>
      <c r="V345" s="12">
        <v>-420</v>
      </c>
      <c r="W345" s="12">
        <f t="shared" si="93"/>
        <v>196649</v>
      </c>
      <c r="Y345" s="10">
        <v>4</v>
      </c>
      <c r="Z345" s="30">
        <v>46268</v>
      </c>
      <c r="AA345" s="31">
        <f t="shared" si="98"/>
        <v>9514</v>
      </c>
      <c r="AB345" s="32">
        <f>650*35+670*3+622*10+229*2</f>
        <v>31438</v>
      </c>
      <c r="AC345" s="32"/>
      <c r="AD345" s="32"/>
      <c r="AE345" s="32">
        <f t="shared" si="94"/>
        <v>31438</v>
      </c>
      <c r="AF345" s="12"/>
      <c r="AG345" s="58"/>
      <c r="AH345" s="12"/>
      <c r="AI345" s="12">
        <f t="shared" si="95"/>
        <v>31438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46268</v>
      </c>
      <c r="C346" s="83">
        <f t="shared" si="96"/>
        <v>9440</v>
      </c>
      <c r="D346" s="32">
        <f>650*14+670*3+622*3</f>
        <v>12976</v>
      </c>
      <c r="E346" s="32"/>
      <c r="F346" s="32"/>
      <c r="G346" s="32">
        <f t="shared" si="90"/>
        <v>12976</v>
      </c>
      <c r="H346" s="12"/>
      <c r="I346" s="12">
        <v>27</v>
      </c>
      <c r="J346" s="12"/>
      <c r="K346" s="12">
        <f t="shared" si="91"/>
        <v>13003</v>
      </c>
      <c r="M346" s="10">
        <v>5</v>
      </c>
      <c r="N346" s="30">
        <v>46268</v>
      </c>
      <c r="O346" s="31">
        <f t="shared" si="97"/>
        <v>9484</v>
      </c>
      <c r="P346" s="32">
        <f>650*108+229*3</f>
        <v>70887</v>
      </c>
      <c r="Q346" s="32">
        <f>-108*6</f>
        <v>-648</v>
      </c>
      <c r="R346" s="32"/>
      <c r="S346" s="32">
        <f t="shared" si="92"/>
        <v>70239</v>
      </c>
      <c r="T346" s="12"/>
      <c r="U346" s="12">
        <v>234</v>
      </c>
      <c r="V346" s="12"/>
      <c r="W346" s="12">
        <f t="shared" si="93"/>
        <v>70473</v>
      </c>
      <c r="Y346" s="10">
        <v>5</v>
      </c>
      <c r="Z346" s="30">
        <v>46268</v>
      </c>
      <c r="AA346" s="31">
        <f t="shared" si="98"/>
        <v>9515</v>
      </c>
      <c r="AB346" s="32">
        <f>670*2+913+622*5</f>
        <v>5363</v>
      </c>
      <c r="AC346" s="32"/>
      <c r="AD346" s="32"/>
      <c r="AE346" s="32">
        <f t="shared" si="94"/>
        <v>5363</v>
      </c>
      <c r="AF346" s="12"/>
      <c r="AG346" s="12">
        <v>11.25</v>
      </c>
      <c r="AH346" s="12"/>
      <c r="AI346" s="12">
        <f t="shared" si="95"/>
        <v>5374.25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46268</v>
      </c>
      <c r="C347" s="83">
        <f t="shared" si="96"/>
        <v>9441</v>
      </c>
      <c r="D347" s="32">
        <f>650*7</f>
        <v>4550</v>
      </c>
      <c r="E347" s="32"/>
      <c r="F347" s="32"/>
      <c r="G347" s="32">
        <f t="shared" si="90"/>
        <v>4550</v>
      </c>
      <c r="H347" s="12"/>
      <c r="I347" s="12"/>
      <c r="J347" s="12">
        <f>-111*28</f>
        <v>-3108</v>
      </c>
      <c r="K347" s="12">
        <f t="shared" si="91"/>
        <v>1442</v>
      </c>
      <c r="M347" s="10">
        <v>6</v>
      </c>
      <c r="N347" s="30">
        <v>46268</v>
      </c>
      <c r="O347" s="31">
        <f t="shared" si="97"/>
        <v>9485</v>
      </c>
      <c r="P347" s="32">
        <f>670</f>
        <v>670</v>
      </c>
      <c r="Q347" s="32"/>
      <c r="R347" s="32"/>
      <c r="S347" s="32">
        <f t="shared" si="92"/>
        <v>670</v>
      </c>
      <c r="T347" s="12"/>
      <c r="U347" s="12"/>
      <c r="V347" s="10">
        <v>-234</v>
      </c>
      <c r="W347" s="12">
        <f t="shared" si="93"/>
        <v>436</v>
      </c>
      <c r="Y347" s="10">
        <v>6</v>
      </c>
      <c r="Z347" s="30">
        <v>46268</v>
      </c>
      <c r="AA347" s="31">
        <f t="shared" si="98"/>
        <v>9516</v>
      </c>
      <c r="AB347" s="32">
        <f>650*17+622*3+229</f>
        <v>13145</v>
      </c>
      <c r="AC347" s="32"/>
      <c r="AD347" s="32"/>
      <c r="AE347" s="32">
        <f t="shared" si="94"/>
        <v>13145</v>
      </c>
      <c r="AF347" s="12"/>
      <c r="AG347" s="12"/>
      <c r="AH347" s="10"/>
      <c r="AI347" s="12">
        <f t="shared" si="95"/>
        <v>13145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/>
      <c r="C348" s="11" t="s">
        <v>27</v>
      </c>
      <c r="D348" s="32"/>
      <c r="E348" s="32"/>
      <c r="F348" s="32"/>
      <c r="G348" s="32">
        <f t="shared" si="90"/>
        <v>0</v>
      </c>
      <c r="H348" s="12"/>
      <c r="I348" s="12"/>
      <c r="J348" s="12"/>
      <c r="K348" s="12">
        <f t="shared" si="91"/>
        <v>0</v>
      </c>
      <c r="M348" s="10">
        <v>7</v>
      </c>
      <c r="N348" s="30"/>
      <c r="O348" s="11" t="s">
        <v>27</v>
      </c>
      <c r="P348" s="32"/>
      <c r="Q348" s="32"/>
      <c r="R348" s="32"/>
      <c r="S348" s="32">
        <f t="shared" si="92"/>
        <v>0</v>
      </c>
      <c r="T348" s="12"/>
      <c r="U348" s="12"/>
      <c r="V348" s="12"/>
      <c r="W348" s="12">
        <f t="shared" si="93"/>
        <v>0</v>
      </c>
      <c r="Y348" s="10">
        <v>7</v>
      </c>
      <c r="Z348" s="30">
        <v>46268</v>
      </c>
      <c r="AA348" s="31">
        <f t="shared" si="98"/>
        <v>9517</v>
      </c>
      <c r="AB348" s="32">
        <f>650*50+670*5+622*5+1582</f>
        <v>40542</v>
      </c>
      <c r="AC348" s="32"/>
      <c r="AD348" s="32"/>
      <c r="AE348" s="32">
        <f t="shared" si="94"/>
        <v>40542</v>
      </c>
      <c r="AF348" s="12"/>
      <c r="AG348" s="58"/>
      <c r="AH348" s="12"/>
      <c r="AI348" s="12">
        <f t="shared" si="95"/>
        <v>40542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/>
      <c r="C349" s="83"/>
      <c r="D349" s="32"/>
      <c r="E349" s="32"/>
      <c r="F349" s="32"/>
      <c r="G349" s="32">
        <f t="shared" si="90"/>
        <v>0</v>
      </c>
      <c r="H349" s="12"/>
      <c r="I349" s="12"/>
      <c r="J349" s="12"/>
      <c r="K349" s="12">
        <f t="shared" si="91"/>
        <v>0</v>
      </c>
      <c r="M349" s="10">
        <v>8</v>
      </c>
      <c r="N349" s="30"/>
      <c r="P349" s="32"/>
      <c r="Q349" s="32"/>
      <c r="R349" s="32"/>
      <c r="S349" s="32">
        <f t="shared" si="92"/>
        <v>0</v>
      </c>
      <c r="T349" s="12"/>
      <c r="U349" s="12"/>
      <c r="V349" s="12"/>
      <c r="W349" s="12">
        <f t="shared" si="93"/>
        <v>0</v>
      </c>
      <c r="Y349" s="10">
        <v>8</v>
      </c>
      <c r="Z349" s="30">
        <v>46268</v>
      </c>
      <c r="AA349" s="31">
        <v>9651</v>
      </c>
      <c r="AB349" s="32">
        <f>6431.54</f>
        <v>6431.54</v>
      </c>
      <c r="AC349" s="32"/>
      <c r="AE349" s="32">
        <f t="shared" si="94"/>
        <v>6431.54</v>
      </c>
      <c r="AF349" s="12"/>
      <c r="AG349" s="12"/>
      <c r="AH349" s="12"/>
      <c r="AI349" s="12">
        <f t="shared" si="95"/>
        <v>6431.54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83"/>
      <c r="D350" s="32"/>
      <c r="E350" s="32"/>
      <c r="F350" s="32"/>
      <c r="G350" s="32">
        <f t="shared" si="90"/>
        <v>0</v>
      </c>
      <c r="H350" s="12"/>
      <c r="I350" s="12"/>
      <c r="J350" s="12"/>
      <c r="K350" s="12">
        <f t="shared" si="91"/>
        <v>0</v>
      </c>
      <c r="M350" s="10">
        <v>9</v>
      </c>
      <c r="N350" s="30"/>
      <c r="O350" s="31"/>
      <c r="P350" s="32"/>
      <c r="Q350" s="32"/>
      <c r="R350" s="32"/>
      <c r="S350" s="32">
        <f t="shared" si="92"/>
        <v>0</v>
      </c>
      <c r="T350" s="12"/>
      <c r="U350" s="12"/>
      <c r="V350" s="12"/>
      <c r="W350" s="12">
        <f t="shared" si="93"/>
        <v>0</v>
      </c>
      <c r="Y350" s="10">
        <v>9</v>
      </c>
      <c r="Z350" s="30">
        <v>46268</v>
      </c>
      <c r="AA350" s="31">
        <v>9652</v>
      </c>
      <c r="AB350" s="32">
        <v>1563.91</v>
      </c>
      <c r="AC350" s="32"/>
      <c r="AD350" s="32"/>
      <c r="AE350" s="32">
        <f t="shared" si="94"/>
        <v>1563.91</v>
      </c>
      <c r="AF350" s="12"/>
      <c r="AH350" s="12"/>
      <c r="AI350" s="12">
        <f t="shared" si="95"/>
        <v>1563.91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3"/>
      <c r="D351" s="32"/>
      <c r="E351" s="32"/>
      <c r="F351" s="32"/>
      <c r="G351" s="32">
        <f t="shared" si="90"/>
        <v>0</v>
      </c>
      <c r="H351" s="12"/>
      <c r="I351" s="12"/>
      <c r="J351" s="12"/>
      <c r="K351" s="12">
        <f t="shared" si="91"/>
        <v>0</v>
      </c>
      <c r="M351" s="10">
        <v>10</v>
      </c>
      <c r="N351" s="30"/>
      <c r="O351" s="31"/>
      <c r="P351" s="32"/>
      <c r="Q351" s="32"/>
      <c r="R351" s="32"/>
      <c r="S351" s="32">
        <f t="shared" si="92"/>
        <v>0</v>
      </c>
      <c r="T351" s="12"/>
      <c r="U351" s="12"/>
      <c r="V351" s="12"/>
      <c r="W351" s="12">
        <f t="shared" si="93"/>
        <v>0</v>
      </c>
      <c r="Y351" s="10">
        <v>10</v>
      </c>
      <c r="Z351" s="30"/>
      <c r="AA351" s="11" t="s">
        <v>27</v>
      </c>
      <c r="AB351" s="32"/>
      <c r="AC351" s="32"/>
      <c r="AD351" s="32"/>
      <c r="AE351" s="32">
        <f t="shared" si="94"/>
        <v>0</v>
      </c>
      <c r="AF351" s="12"/>
      <c r="AG351" s="12"/>
      <c r="AH351" s="12"/>
      <c r="AI351" s="12">
        <f t="shared" si="95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D352" s="32"/>
      <c r="E352" s="32"/>
      <c r="F352" s="32"/>
      <c r="G352" s="32">
        <f t="shared" si="90"/>
        <v>0</v>
      </c>
      <c r="H352" s="12"/>
      <c r="I352" s="12"/>
      <c r="J352" s="12"/>
      <c r="K352" s="12">
        <f t="shared" si="91"/>
        <v>0</v>
      </c>
      <c r="M352" s="10">
        <v>11</v>
      </c>
      <c r="N352" s="30"/>
      <c r="P352" s="32"/>
      <c r="Q352" s="32"/>
      <c r="R352" s="32"/>
      <c r="S352" s="32">
        <f t="shared" si="92"/>
        <v>0</v>
      </c>
      <c r="T352" s="12"/>
      <c r="U352" s="12"/>
      <c r="V352" s="12"/>
      <c r="W352" s="12">
        <f t="shared" si="93"/>
        <v>0</v>
      </c>
      <c r="Y352" s="10">
        <v>11</v>
      </c>
      <c r="Z352" s="30"/>
      <c r="AB352" s="32"/>
      <c r="AC352" s="32"/>
      <c r="AD352" s="32"/>
      <c r="AE352" s="32">
        <f t="shared" ref="AE352:AE374" si="99">SUM(AB352:AC352)</f>
        <v>0</v>
      </c>
      <c r="AF352" s="12"/>
      <c r="AG352" s="12"/>
      <c r="AH352" s="12"/>
      <c r="AI352" s="12">
        <f t="shared" si="95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3"/>
      <c r="D353" s="32"/>
      <c r="E353" s="32"/>
      <c r="F353" s="32"/>
      <c r="G353" s="32">
        <f t="shared" si="90"/>
        <v>0</v>
      </c>
      <c r="H353" s="12"/>
      <c r="I353" s="12"/>
      <c r="J353" s="10"/>
      <c r="K353" s="12">
        <f t="shared" si="91"/>
        <v>0</v>
      </c>
      <c r="M353" s="10">
        <v>12</v>
      </c>
      <c r="N353" s="30"/>
      <c r="O353" s="31"/>
      <c r="P353" s="32"/>
      <c r="Q353" s="32"/>
      <c r="R353" s="32"/>
      <c r="S353" s="32">
        <f t="shared" si="92"/>
        <v>0</v>
      </c>
      <c r="T353" s="12"/>
      <c r="U353" s="12"/>
      <c r="V353" s="12"/>
      <c r="W353" s="12">
        <f t="shared" si="93"/>
        <v>0</v>
      </c>
      <c r="Y353" s="10">
        <v>12</v>
      </c>
      <c r="Z353" s="30"/>
      <c r="AA353" s="31"/>
      <c r="AB353" s="32"/>
      <c r="AC353" s="32"/>
      <c r="AD353" s="32"/>
      <c r="AE353" s="32">
        <f t="shared" si="99"/>
        <v>0</v>
      </c>
      <c r="AF353" s="12"/>
      <c r="AG353" s="12"/>
      <c r="AH353" s="12"/>
      <c r="AI353" s="12">
        <f t="shared" si="95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3"/>
      <c r="D354" s="32"/>
      <c r="E354" s="32"/>
      <c r="F354" s="32"/>
      <c r="G354" s="32">
        <f t="shared" si="90"/>
        <v>0</v>
      </c>
      <c r="H354" s="12"/>
      <c r="I354" s="12"/>
      <c r="J354" s="12"/>
      <c r="K354" s="12">
        <f t="shared" si="91"/>
        <v>0</v>
      </c>
      <c r="M354" s="10">
        <v>13</v>
      </c>
      <c r="N354" s="30"/>
      <c r="O354" s="31"/>
      <c r="P354" s="32"/>
      <c r="Q354" s="32"/>
      <c r="R354" s="32"/>
      <c r="S354" s="32">
        <f t="shared" si="92"/>
        <v>0</v>
      </c>
      <c r="T354" s="12"/>
      <c r="U354" s="12"/>
      <c r="V354" s="12"/>
      <c r="W354" s="12">
        <f t="shared" si="93"/>
        <v>0</v>
      </c>
      <c r="Y354" s="10">
        <v>13</v>
      </c>
      <c r="Z354" s="30"/>
      <c r="AA354" s="31"/>
      <c r="AB354" s="32"/>
      <c r="AC354" s="32"/>
      <c r="AD354" s="32"/>
      <c r="AE354" s="32">
        <f t="shared" si="99"/>
        <v>0</v>
      </c>
      <c r="AF354" s="12"/>
      <c r="AG354" s="12"/>
      <c r="AH354" s="12"/>
      <c r="AI354" s="12">
        <f t="shared" si="95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90"/>
        <v>0</v>
      </c>
      <c r="H355" s="12"/>
      <c r="I355" s="12"/>
      <c r="J355" s="12"/>
      <c r="K355" s="12">
        <f t="shared" si="91"/>
        <v>0</v>
      </c>
      <c r="M355" s="10">
        <v>14</v>
      </c>
      <c r="N355" s="30"/>
      <c r="O355" s="31"/>
      <c r="P355" s="32"/>
      <c r="Q355" s="32"/>
      <c r="R355" s="32"/>
      <c r="S355" s="32">
        <f t="shared" si="92"/>
        <v>0</v>
      </c>
      <c r="T355" s="12"/>
      <c r="U355" s="12"/>
      <c r="V355" s="12"/>
      <c r="W355" s="12">
        <f t="shared" si="93"/>
        <v>0</v>
      </c>
      <c r="Y355" s="10">
        <v>14</v>
      </c>
      <c r="Z355" s="30"/>
      <c r="AA355" s="31"/>
      <c r="AB355" s="32"/>
      <c r="AC355" s="32"/>
      <c r="AD355" s="32"/>
      <c r="AE355" s="32">
        <f t="shared" si="99"/>
        <v>0</v>
      </c>
      <c r="AF355" s="12"/>
      <c r="AG355" s="12"/>
      <c r="AH355" s="12"/>
      <c r="AI355" s="12">
        <f t="shared" si="95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90"/>
        <v>0</v>
      </c>
      <c r="H356" s="12"/>
      <c r="I356" s="12"/>
      <c r="J356" s="12"/>
      <c r="K356" s="12">
        <f t="shared" si="91"/>
        <v>0</v>
      </c>
      <c r="M356" s="10">
        <v>15</v>
      </c>
      <c r="N356" s="30"/>
      <c r="O356" s="31"/>
      <c r="P356" s="32"/>
      <c r="Q356" s="32"/>
      <c r="R356" s="32"/>
      <c r="S356" s="32">
        <f t="shared" si="92"/>
        <v>0</v>
      </c>
      <c r="T356" s="12"/>
      <c r="U356" s="12"/>
      <c r="V356" s="12"/>
      <c r="W356" s="12">
        <f t="shared" si="93"/>
        <v>0</v>
      </c>
      <c r="Y356" s="10">
        <v>15</v>
      </c>
      <c r="Z356" s="30"/>
      <c r="AA356" s="31"/>
      <c r="AB356" s="32"/>
      <c r="AC356" s="32"/>
      <c r="AD356" s="32"/>
      <c r="AE356" s="32">
        <f t="shared" si="99"/>
        <v>0</v>
      </c>
      <c r="AF356" s="12"/>
      <c r="AG356" s="12"/>
      <c r="AH356" s="12"/>
      <c r="AI356" s="12">
        <f t="shared" si="95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83"/>
      <c r="D357" s="32"/>
      <c r="E357" s="32"/>
      <c r="F357" s="32"/>
      <c r="G357" s="32">
        <f t="shared" si="90"/>
        <v>0</v>
      </c>
      <c r="H357" s="12"/>
      <c r="I357" s="12"/>
      <c r="J357" s="12"/>
      <c r="K357" s="12">
        <f t="shared" si="91"/>
        <v>0</v>
      </c>
      <c r="M357" s="10">
        <v>16</v>
      </c>
      <c r="N357" s="30"/>
      <c r="O357" s="31"/>
      <c r="P357" s="32"/>
      <c r="Q357" s="32"/>
      <c r="R357" s="32"/>
      <c r="S357" s="32">
        <f t="shared" si="92"/>
        <v>0</v>
      </c>
      <c r="T357" s="12"/>
      <c r="U357" s="12"/>
      <c r="V357" s="12"/>
      <c r="W357" s="12">
        <f t="shared" si="93"/>
        <v>0</v>
      </c>
      <c r="Y357" s="10">
        <v>16</v>
      </c>
      <c r="Z357" s="30"/>
      <c r="AB357" s="32"/>
      <c r="AC357" s="32"/>
      <c r="AD357" s="32"/>
      <c r="AE357" s="32">
        <f t="shared" si="99"/>
        <v>0</v>
      </c>
      <c r="AF357" s="12"/>
      <c r="AG357" s="12"/>
      <c r="AH357" s="12"/>
      <c r="AI357" s="12">
        <f t="shared" si="95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90"/>
        <v>0</v>
      </c>
      <c r="H358" s="12"/>
      <c r="I358" s="12"/>
      <c r="J358" s="12"/>
      <c r="K358" s="12">
        <f t="shared" si="91"/>
        <v>0</v>
      </c>
      <c r="M358" s="10">
        <v>17</v>
      </c>
      <c r="N358" s="30"/>
      <c r="O358" s="31"/>
      <c r="P358" s="35"/>
      <c r="Q358" s="32"/>
      <c r="R358" s="32"/>
      <c r="S358" s="32">
        <f t="shared" si="92"/>
        <v>0</v>
      </c>
      <c r="T358" s="12"/>
      <c r="U358" s="12"/>
      <c r="V358" s="12"/>
      <c r="W358" s="12">
        <f t="shared" si="93"/>
        <v>0</v>
      </c>
      <c r="Y358" s="10">
        <v>17</v>
      </c>
      <c r="Z358" s="30"/>
      <c r="AA358" s="31"/>
      <c r="AB358" s="35"/>
      <c r="AC358" s="32"/>
      <c r="AD358" s="32"/>
      <c r="AE358" s="32">
        <f t="shared" si="99"/>
        <v>0</v>
      </c>
      <c r="AF358" s="12"/>
      <c r="AG358" s="12"/>
      <c r="AH358" s="12"/>
      <c r="AI358" s="12">
        <f t="shared" si="95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90"/>
        <v>0</v>
      </c>
      <c r="H359" s="12"/>
      <c r="I359" s="12"/>
      <c r="J359" s="12"/>
      <c r="K359" s="12">
        <f t="shared" si="91"/>
        <v>0</v>
      </c>
      <c r="M359" s="10">
        <v>18</v>
      </c>
      <c r="N359" s="30"/>
      <c r="P359" s="32"/>
      <c r="Q359" s="32"/>
      <c r="R359" s="32"/>
      <c r="S359" s="32">
        <f t="shared" si="92"/>
        <v>0</v>
      </c>
      <c r="T359" s="12"/>
      <c r="U359" s="12"/>
      <c r="V359" s="12"/>
      <c r="W359" s="12">
        <f t="shared" si="93"/>
        <v>0</v>
      </c>
      <c r="Y359" s="10">
        <v>18</v>
      </c>
      <c r="Z359" s="30"/>
      <c r="AA359" s="31"/>
      <c r="AB359" s="32"/>
      <c r="AC359" s="32"/>
      <c r="AD359" s="32"/>
      <c r="AE359" s="32">
        <f t="shared" si="99"/>
        <v>0</v>
      </c>
      <c r="AF359" s="12"/>
      <c r="AG359" s="12"/>
      <c r="AH359" s="12"/>
      <c r="AI359" s="12">
        <f t="shared" si="95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90"/>
        <v>0</v>
      </c>
      <c r="H360" s="12"/>
      <c r="I360" s="12"/>
      <c r="J360" s="12"/>
      <c r="K360" s="12">
        <f t="shared" si="91"/>
        <v>0</v>
      </c>
      <c r="M360" s="10">
        <v>19</v>
      </c>
      <c r="N360" s="30"/>
      <c r="O360" s="31"/>
      <c r="P360" s="32"/>
      <c r="Q360" s="32"/>
      <c r="R360" s="32"/>
      <c r="S360" s="32">
        <f t="shared" si="92"/>
        <v>0</v>
      </c>
      <c r="T360" s="12"/>
      <c r="U360" s="12"/>
      <c r="V360" s="12"/>
      <c r="W360" s="12">
        <f t="shared" si="93"/>
        <v>0</v>
      </c>
      <c r="Y360" s="10">
        <v>19</v>
      </c>
      <c r="Z360" s="30"/>
      <c r="AA360" s="31"/>
      <c r="AB360" s="32"/>
      <c r="AC360" s="32"/>
      <c r="AD360" s="32"/>
      <c r="AE360" s="32">
        <f t="shared" si="99"/>
        <v>0</v>
      </c>
      <c r="AF360" s="12"/>
      <c r="AG360" s="12"/>
      <c r="AH360" s="12"/>
      <c r="AI360" s="12">
        <f t="shared" si="95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90"/>
        <v>0</v>
      </c>
      <c r="H361" s="12"/>
      <c r="I361" s="12"/>
      <c r="J361" s="12"/>
      <c r="K361" s="12">
        <f t="shared" si="91"/>
        <v>0</v>
      </c>
      <c r="M361" s="10">
        <v>20</v>
      </c>
      <c r="N361" s="30"/>
      <c r="P361" s="32"/>
      <c r="Q361" s="32"/>
      <c r="R361" s="32"/>
      <c r="S361" s="32">
        <f t="shared" si="92"/>
        <v>0</v>
      </c>
      <c r="T361" s="12"/>
      <c r="U361" s="12"/>
      <c r="V361" s="12"/>
      <c r="W361" s="12">
        <f t="shared" si="93"/>
        <v>0</v>
      </c>
      <c r="Y361" s="10">
        <v>20</v>
      </c>
      <c r="Z361" s="30"/>
      <c r="AB361" s="32"/>
      <c r="AC361" s="32"/>
      <c r="AD361" s="32"/>
      <c r="AE361" s="32">
        <f t="shared" si="99"/>
        <v>0</v>
      </c>
      <c r="AF361" s="12"/>
      <c r="AG361" s="12"/>
      <c r="AH361" s="12"/>
      <c r="AI361" s="12">
        <f t="shared" si="95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83"/>
      <c r="D362" s="32"/>
      <c r="E362" s="32"/>
      <c r="F362" s="32"/>
      <c r="G362" s="32">
        <f t="shared" si="90"/>
        <v>0</v>
      </c>
      <c r="H362" s="10"/>
      <c r="I362" s="10"/>
      <c r="J362" s="10"/>
      <c r="K362" s="12">
        <f t="shared" si="91"/>
        <v>0</v>
      </c>
      <c r="M362" s="10">
        <v>21</v>
      </c>
      <c r="N362" s="30"/>
      <c r="O362" s="31"/>
      <c r="P362" s="46"/>
      <c r="Q362" s="31"/>
      <c r="R362" s="31"/>
      <c r="S362" s="32">
        <f t="shared" si="92"/>
        <v>0</v>
      </c>
      <c r="T362" s="10"/>
      <c r="U362" s="10"/>
      <c r="V362" s="10"/>
      <c r="W362" s="12">
        <f t="shared" si="93"/>
        <v>0</v>
      </c>
      <c r="Y362" s="10">
        <v>21</v>
      </c>
      <c r="Z362" s="30"/>
      <c r="AA362" s="31"/>
      <c r="AB362" s="46"/>
      <c r="AC362" s="31"/>
      <c r="AD362" s="31"/>
      <c r="AE362" s="32">
        <f t="shared" si="99"/>
        <v>0</v>
      </c>
      <c r="AF362" s="10"/>
      <c r="AG362" s="10"/>
      <c r="AH362" s="10"/>
      <c r="AI362" s="12">
        <f t="shared" si="95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90"/>
        <v>0</v>
      </c>
      <c r="H363" s="10"/>
      <c r="I363" s="10"/>
      <c r="J363" s="10"/>
      <c r="K363" s="12">
        <f t="shared" si="91"/>
        <v>0</v>
      </c>
      <c r="M363" s="10">
        <v>22</v>
      </c>
      <c r="N363" s="30"/>
      <c r="O363" s="31"/>
      <c r="P363" s="45"/>
      <c r="Q363" s="31"/>
      <c r="R363" s="31"/>
      <c r="S363" s="32">
        <f t="shared" si="92"/>
        <v>0</v>
      </c>
      <c r="T363" s="10"/>
      <c r="U363" s="10"/>
      <c r="V363" s="10"/>
      <c r="W363" s="12">
        <f t="shared" si="93"/>
        <v>0</v>
      </c>
      <c r="Y363" s="10">
        <v>22</v>
      </c>
      <c r="Z363" s="30"/>
      <c r="AA363" s="31"/>
      <c r="AB363" s="45"/>
      <c r="AC363" s="31"/>
      <c r="AD363" s="31"/>
      <c r="AE363" s="32">
        <f t="shared" si="99"/>
        <v>0</v>
      </c>
      <c r="AF363" s="10"/>
      <c r="AG363" s="10"/>
      <c r="AH363" s="10"/>
      <c r="AI363" s="12">
        <f t="shared" si="95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90"/>
        <v>0</v>
      </c>
      <c r="H364" s="10"/>
      <c r="I364" s="10"/>
      <c r="J364" s="12"/>
      <c r="K364" s="12">
        <f t="shared" si="91"/>
        <v>0</v>
      </c>
      <c r="M364" s="10">
        <v>23</v>
      </c>
      <c r="N364" s="30"/>
      <c r="O364" s="31"/>
      <c r="P364" s="47"/>
      <c r="Q364" s="31"/>
      <c r="S364" s="32">
        <f t="shared" si="92"/>
        <v>0</v>
      </c>
      <c r="T364" s="10"/>
      <c r="U364" s="10"/>
      <c r="V364" s="10"/>
      <c r="W364" s="12">
        <f t="shared" si="93"/>
        <v>0</v>
      </c>
      <c r="Y364" s="10">
        <v>23</v>
      </c>
      <c r="Z364" s="30"/>
      <c r="AA364" s="31"/>
      <c r="AB364" s="47"/>
      <c r="AE364" s="32">
        <f t="shared" si="99"/>
        <v>0</v>
      </c>
      <c r="AF364" s="10"/>
      <c r="AG364" s="10"/>
      <c r="AH364" s="10"/>
      <c r="AI364" s="12">
        <f t="shared" si="95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90"/>
        <v>0</v>
      </c>
      <c r="H365" s="10"/>
      <c r="I365" s="10"/>
      <c r="J365" s="10"/>
      <c r="K365" s="12">
        <f t="shared" si="91"/>
        <v>0</v>
      </c>
      <c r="M365" s="10">
        <v>24</v>
      </c>
      <c r="N365" s="30"/>
      <c r="O365" s="31"/>
      <c r="P365" s="47"/>
      <c r="Q365" s="31"/>
      <c r="R365" s="31"/>
      <c r="S365" s="32">
        <f t="shared" si="92"/>
        <v>0</v>
      </c>
      <c r="T365" s="10"/>
      <c r="U365" s="10"/>
      <c r="V365" s="10"/>
      <c r="W365" s="12">
        <f t="shared" si="93"/>
        <v>0</v>
      </c>
      <c r="Y365" s="10">
        <v>24</v>
      </c>
      <c r="Z365" s="30"/>
      <c r="AA365" s="31"/>
      <c r="AB365" s="47"/>
      <c r="AC365" s="31"/>
      <c r="AD365" s="31"/>
      <c r="AE365" s="32">
        <f t="shared" si="99"/>
        <v>0</v>
      </c>
      <c r="AF365" s="10"/>
      <c r="AG365" s="10"/>
      <c r="AH365" s="10"/>
      <c r="AI365" s="12">
        <f t="shared" si="95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90"/>
        <v>0</v>
      </c>
      <c r="H366" s="10"/>
      <c r="I366" s="10"/>
      <c r="J366" s="10"/>
      <c r="K366" s="12">
        <f t="shared" si="91"/>
        <v>0</v>
      </c>
      <c r="M366" s="10">
        <v>25</v>
      </c>
      <c r="N366" s="30"/>
      <c r="O366" s="31"/>
      <c r="P366" s="47"/>
      <c r="Q366" s="31"/>
      <c r="R366" s="31"/>
      <c r="S366" s="32">
        <f t="shared" si="92"/>
        <v>0</v>
      </c>
      <c r="T366" s="10"/>
      <c r="U366" s="10"/>
      <c r="V366" s="10"/>
      <c r="W366" s="12">
        <f t="shared" si="93"/>
        <v>0</v>
      </c>
      <c r="Y366" s="10">
        <v>25</v>
      </c>
      <c r="Z366" s="30"/>
      <c r="AA366" s="31"/>
      <c r="AB366" s="47"/>
      <c r="AC366" s="31"/>
      <c r="AD366" s="31"/>
      <c r="AE366" s="32">
        <f t="shared" si="99"/>
        <v>0</v>
      </c>
      <c r="AF366" s="10"/>
      <c r="AG366" s="10"/>
      <c r="AH366" s="10"/>
      <c r="AI366" s="12">
        <f t="shared" si="95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90"/>
        <v>0</v>
      </c>
      <c r="H367" s="10"/>
      <c r="I367" s="10"/>
      <c r="J367" s="10"/>
      <c r="K367" s="12">
        <f t="shared" si="91"/>
        <v>0</v>
      </c>
      <c r="M367" s="10">
        <v>26</v>
      </c>
      <c r="N367" s="30"/>
      <c r="O367" s="31"/>
      <c r="P367" s="47"/>
      <c r="Q367" s="31"/>
      <c r="R367" s="31"/>
      <c r="S367" s="32">
        <f t="shared" si="92"/>
        <v>0</v>
      </c>
      <c r="T367" s="10"/>
      <c r="U367" s="10"/>
      <c r="V367" s="10"/>
      <c r="W367" s="12">
        <f t="shared" si="93"/>
        <v>0</v>
      </c>
      <c r="Y367" s="10">
        <v>26</v>
      </c>
      <c r="Z367" s="30"/>
      <c r="AA367" s="31"/>
      <c r="AB367" s="47"/>
      <c r="AC367" s="31"/>
      <c r="AD367" s="31"/>
      <c r="AE367" s="32">
        <f t="shared" si="99"/>
        <v>0</v>
      </c>
      <c r="AF367" s="10"/>
      <c r="AG367" s="10"/>
      <c r="AH367" s="10"/>
      <c r="AI367" s="12">
        <f t="shared" si="95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90"/>
        <v>0</v>
      </c>
      <c r="H368" s="10"/>
      <c r="I368" s="10"/>
      <c r="J368" s="10"/>
      <c r="K368" s="12">
        <f t="shared" si="91"/>
        <v>0</v>
      </c>
      <c r="M368" s="10">
        <v>27</v>
      </c>
      <c r="N368" s="30"/>
      <c r="O368" s="31"/>
      <c r="P368" s="47"/>
      <c r="Q368" s="31"/>
      <c r="R368" s="31"/>
      <c r="S368" s="32">
        <f t="shared" si="92"/>
        <v>0</v>
      </c>
      <c r="T368" s="10"/>
      <c r="U368" s="10"/>
      <c r="V368" s="10"/>
      <c r="W368" s="12">
        <f t="shared" si="93"/>
        <v>0</v>
      </c>
      <c r="Y368" s="10">
        <v>27</v>
      </c>
      <c r="Z368" s="30"/>
      <c r="AA368" s="31"/>
      <c r="AB368" s="47"/>
      <c r="AC368" s="31"/>
      <c r="AD368" s="31"/>
      <c r="AE368" s="32">
        <f t="shared" si="99"/>
        <v>0</v>
      </c>
      <c r="AF368" s="10"/>
      <c r="AG368" s="10"/>
      <c r="AH368" s="10"/>
      <c r="AI368" s="12">
        <f t="shared" si="95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90"/>
        <v>0</v>
      </c>
      <c r="H369" s="10"/>
      <c r="I369" s="10"/>
      <c r="J369" s="10"/>
      <c r="K369" s="12">
        <f t="shared" si="91"/>
        <v>0</v>
      </c>
      <c r="M369" s="10">
        <v>28</v>
      </c>
      <c r="N369" s="30"/>
      <c r="O369" s="31"/>
      <c r="P369" s="47"/>
      <c r="Q369" s="31"/>
      <c r="R369" s="31"/>
      <c r="S369" s="32">
        <f t="shared" si="92"/>
        <v>0</v>
      </c>
      <c r="T369" s="10"/>
      <c r="U369" s="10"/>
      <c r="V369" s="10"/>
      <c r="W369" s="12">
        <f t="shared" si="93"/>
        <v>0</v>
      </c>
      <c r="Y369" s="10">
        <v>28</v>
      </c>
      <c r="Z369" s="30"/>
      <c r="AA369" s="31"/>
      <c r="AB369" s="47"/>
      <c r="AC369" s="31"/>
      <c r="AD369" s="31"/>
      <c r="AE369" s="32">
        <f t="shared" si="99"/>
        <v>0</v>
      </c>
      <c r="AF369" s="10"/>
      <c r="AG369" s="10"/>
      <c r="AH369" s="10"/>
      <c r="AI369" s="12">
        <f t="shared" si="95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90"/>
        <v>0</v>
      </c>
      <c r="H370" s="10"/>
      <c r="I370" s="10"/>
      <c r="J370" s="10"/>
      <c r="K370" s="12">
        <f t="shared" si="91"/>
        <v>0</v>
      </c>
      <c r="M370" s="10">
        <v>29</v>
      </c>
      <c r="N370" s="30"/>
      <c r="O370" s="31"/>
      <c r="P370" s="47"/>
      <c r="Q370" s="31"/>
      <c r="R370" s="31"/>
      <c r="S370" s="32">
        <f t="shared" si="92"/>
        <v>0</v>
      </c>
      <c r="T370" s="10"/>
      <c r="U370" s="10"/>
      <c r="V370" s="10"/>
      <c r="W370" s="12">
        <f t="shared" si="93"/>
        <v>0</v>
      </c>
      <c r="Y370" s="10">
        <v>29</v>
      </c>
      <c r="Z370" s="30"/>
      <c r="AA370" s="31"/>
      <c r="AB370" s="47"/>
      <c r="AC370" s="31"/>
      <c r="AD370" s="31"/>
      <c r="AE370" s="32">
        <f t="shared" si="99"/>
        <v>0</v>
      </c>
      <c r="AF370" s="10"/>
      <c r="AG370" s="10"/>
      <c r="AH370" s="10"/>
      <c r="AI370" s="12">
        <f t="shared" si="95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90"/>
        <v>0</v>
      </c>
      <c r="H371" s="10"/>
      <c r="I371" s="10"/>
      <c r="J371" s="10"/>
      <c r="K371" s="12">
        <f t="shared" si="91"/>
        <v>0</v>
      </c>
      <c r="M371" s="10">
        <v>30</v>
      </c>
      <c r="N371" s="30"/>
      <c r="O371" s="31"/>
      <c r="P371" s="47"/>
      <c r="Q371" s="31"/>
      <c r="R371" s="31"/>
      <c r="S371" s="32">
        <f t="shared" si="92"/>
        <v>0</v>
      </c>
      <c r="T371" s="10"/>
      <c r="U371" s="10"/>
      <c r="V371" s="10"/>
      <c r="W371" s="12">
        <f t="shared" si="93"/>
        <v>0</v>
      </c>
      <c r="Y371" s="10">
        <v>30</v>
      </c>
      <c r="Z371" s="30"/>
      <c r="AA371" s="31"/>
      <c r="AB371" s="47"/>
      <c r="AC371" s="31"/>
      <c r="AD371" s="31"/>
      <c r="AE371" s="32">
        <f t="shared" si="99"/>
        <v>0</v>
      </c>
      <c r="AF371" s="10"/>
      <c r="AG371" s="10"/>
      <c r="AH371" s="10"/>
      <c r="AI371" s="12">
        <f t="shared" si="95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90"/>
        <v>0</v>
      </c>
      <c r="H372" s="10"/>
      <c r="I372" s="10"/>
      <c r="J372" s="10"/>
      <c r="K372" s="12">
        <f t="shared" si="91"/>
        <v>0</v>
      </c>
      <c r="M372" s="10">
        <v>31</v>
      </c>
      <c r="N372" s="30"/>
      <c r="O372" s="31"/>
      <c r="P372" s="47"/>
      <c r="Q372" s="31"/>
      <c r="R372" s="31"/>
      <c r="S372" s="32">
        <f t="shared" si="92"/>
        <v>0</v>
      </c>
      <c r="T372" s="10"/>
      <c r="U372" s="10"/>
      <c r="V372" s="10"/>
      <c r="W372" s="12">
        <f t="shared" si="93"/>
        <v>0</v>
      </c>
      <c r="Y372" s="10">
        <v>31</v>
      </c>
      <c r="Z372" s="30"/>
      <c r="AA372" s="31"/>
      <c r="AB372" s="47"/>
      <c r="AC372" s="31"/>
      <c r="AD372" s="31"/>
      <c r="AE372" s="32">
        <f t="shared" si="99"/>
        <v>0</v>
      </c>
      <c r="AF372" s="10"/>
      <c r="AG372" s="10"/>
      <c r="AH372" s="10"/>
      <c r="AI372" s="12">
        <f t="shared" si="95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90"/>
        <v>0</v>
      </c>
      <c r="H373" s="10"/>
      <c r="I373" s="10"/>
      <c r="J373" s="10"/>
      <c r="K373" s="12">
        <f t="shared" si="91"/>
        <v>0</v>
      </c>
      <c r="M373" s="10">
        <v>32</v>
      </c>
      <c r="N373" s="30"/>
      <c r="O373" s="31"/>
      <c r="P373" s="47"/>
      <c r="Q373" s="31"/>
      <c r="R373" s="31"/>
      <c r="S373" s="32">
        <f t="shared" si="92"/>
        <v>0</v>
      </c>
      <c r="T373" s="10"/>
      <c r="U373" s="10"/>
      <c r="V373" s="10"/>
      <c r="W373" s="12">
        <f t="shared" si="93"/>
        <v>0</v>
      </c>
      <c r="Y373" s="10">
        <v>32</v>
      </c>
      <c r="Z373" s="30"/>
      <c r="AA373" s="31"/>
      <c r="AB373" s="47"/>
      <c r="AC373" s="31"/>
      <c r="AD373" s="31"/>
      <c r="AE373" s="32">
        <f t="shared" si="99"/>
        <v>0</v>
      </c>
      <c r="AF373" s="10"/>
      <c r="AG373" s="10"/>
      <c r="AH373" s="10"/>
      <c r="AI373" s="12">
        <f t="shared" si="95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90"/>
        <v>0</v>
      </c>
      <c r="H374" s="10"/>
      <c r="I374" s="10"/>
      <c r="J374" s="10"/>
      <c r="K374" s="12">
        <f t="shared" si="91"/>
        <v>0</v>
      </c>
      <c r="M374" s="10">
        <v>33</v>
      </c>
      <c r="N374" s="30"/>
      <c r="O374" s="31"/>
      <c r="P374" s="47"/>
      <c r="Q374" s="31"/>
      <c r="R374" s="31"/>
      <c r="S374" s="32">
        <f t="shared" si="92"/>
        <v>0</v>
      </c>
      <c r="T374" s="10"/>
      <c r="U374" s="10"/>
      <c r="V374" s="10"/>
      <c r="W374" s="12">
        <f t="shared" si="93"/>
        <v>0</v>
      </c>
      <c r="Y374" s="10">
        <v>33</v>
      </c>
      <c r="Z374" s="30"/>
      <c r="AA374" s="31"/>
      <c r="AB374" s="47"/>
      <c r="AC374" s="31"/>
      <c r="AD374" s="31"/>
      <c r="AE374" s="32">
        <f t="shared" si="99"/>
        <v>0</v>
      </c>
      <c r="AF374" s="10"/>
      <c r="AG374" s="10"/>
      <c r="AH374" s="10"/>
      <c r="AI374" s="12">
        <f t="shared" si="95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90"/>
        <v>0</v>
      </c>
      <c r="H375" s="10"/>
      <c r="I375" s="10"/>
      <c r="J375" s="10"/>
      <c r="K375" s="12">
        <f t="shared" si="91"/>
        <v>0</v>
      </c>
      <c r="M375" s="10">
        <v>34</v>
      </c>
      <c r="N375" s="30"/>
      <c r="O375" s="31"/>
      <c r="P375" s="47"/>
      <c r="Q375" s="31"/>
      <c r="R375" s="31"/>
      <c r="S375" s="32">
        <f t="shared" ref="S375:S380" si="100">SUM(P375:Q375)</f>
        <v>0</v>
      </c>
      <c r="T375" s="10"/>
      <c r="U375" s="10"/>
      <c r="V375" s="10"/>
      <c r="W375" s="12">
        <f t="shared" si="93"/>
        <v>0</v>
      </c>
      <c r="Y375" s="10">
        <v>34</v>
      </c>
      <c r="Z375" s="30"/>
      <c r="AA375" s="31"/>
      <c r="AB375" s="47"/>
      <c r="AC375" s="31"/>
      <c r="AD375" s="31"/>
      <c r="AE375" s="32">
        <f t="shared" ref="AE375:AE380" si="101">SUM(AB375:AC375)</f>
        <v>0</v>
      </c>
      <c r="AF375" s="10"/>
      <c r="AG375" s="10"/>
      <c r="AH375" s="10"/>
      <c r="AI375" s="12">
        <f t="shared" si="95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00"/>
        <v>0</v>
      </c>
      <c r="T376" s="10"/>
      <c r="U376" s="10"/>
      <c r="V376" s="10"/>
      <c r="W376" s="12">
        <f t="shared" si="93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01"/>
        <v>0</v>
      </c>
      <c r="AF376" s="10"/>
      <c r="AG376" s="10"/>
      <c r="AH376" s="10"/>
      <c r="AI376" s="12">
        <f t="shared" si="95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00"/>
        <v>0</v>
      </c>
      <c r="T377" s="10"/>
      <c r="U377" s="10"/>
      <c r="V377" s="10"/>
      <c r="W377" s="12">
        <f t="shared" si="93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01"/>
        <v>0</v>
      </c>
      <c r="AF377" s="10"/>
      <c r="AG377" s="10"/>
      <c r="AH377" s="10"/>
      <c r="AI377" s="12">
        <f t="shared" si="95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00"/>
        <v>0</v>
      </c>
      <c r="T378" s="10"/>
      <c r="U378" s="10"/>
      <c r="V378" s="10"/>
      <c r="W378" s="12">
        <f t="shared" si="93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01"/>
        <v>0</v>
      </c>
      <c r="AF378" s="10"/>
      <c r="AG378" s="10"/>
      <c r="AH378" s="10"/>
      <c r="AI378" s="12">
        <f t="shared" si="95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00"/>
        <v>0</v>
      </c>
      <c r="T379" s="10"/>
      <c r="U379" s="10"/>
      <c r="V379" s="10"/>
      <c r="W379" s="12">
        <f t="shared" si="93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01"/>
        <v>0</v>
      </c>
      <c r="AF379" s="10"/>
      <c r="AG379" s="10"/>
      <c r="AH379" s="10"/>
      <c r="AI379" s="12">
        <f t="shared" si="95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00"/>
        <v>0</v>
      </c>
      <c r="T380" s="10"/>
      <c r="U380" s="10"/>
      <c r="V380" s="10"/>
      <c r="W380" s="12">
        <f t="shared" si="93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01"/>
        <v>0</v>
      </c>
      <c r="AF380" s="10"/>
      <c r="AG380" s="10"/>
      <c r="AH380" s="10"/>
      <c r="AI380" s="12">
        <f t="shared" si="95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93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5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02">SUM(D382:E382)</f>
        <v>0</v>
      </c>
      <c r="H382" s="10"/>
      <c r="I382" s="10"/>
      <c r="J382" s="10"/>
      <c r="K382" s="12">
        <f t="shared" ref="K382" si="103">SUM(G382:J382)</f>
        <v>0</v>
      </c>
      <c r="M382" s="10"/>
      <c r="N382" s="30"/>
      <c r="O382" s="31"/>
      <c r="P382" s="47"/>
      <c r="Q382" s="31"/>
      <c r="R382" s="31"/>
      <c r="S382" s="32">
        <f t="shared" ref="S382" si="104">SUM(P382:Q382)</f>
        <v>0</v>
      </c>
      <c r="T382" s="10"/>
      <c r="U382" s="10"/>
      <c r="V382" s="10"/>
      <c r="W382" s="12">
        <f t="shared" si="93"/>
        <v>0</v>
      </c>
      <c r="Y382" s="10"/>
      <c r="Z382" s="30"/>
      <c r="AA382" s="31"/>
      <c r="AB382" s="47"/>
      <c r="AC382" s="31"/>
      <c r="AD382" s="31"/>
      <c r="AE382" s="32">
        <f t="shared" ref="AE382" si="105">SUM(AB382:AC382)</f>
        <v>0</v>
      </c>
      <c r="AF382" s="10"/>
      <c r="AG382" s="10"/>
      <c r="AH382" s="10"/>
      <c r="AI382" s="12">
        <f t="shared" si="95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93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5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451018</v>
      </c>
      <c r="E385" s="38">
        <f t="shared" ref="E385:F385" si="106">SUM(E342:E382)</f>
        <v>-3204</v>
      </c>
      <c r="F385" s="38">
        <f t="shared" si="106"/>
        <v>0</v>
      </c>
      <c r="G385" s="38">
        <f>SUM(G342:G384)</f>
        <v>447814</v>
      </c>
      <c r="H385" s="4"/>
      <c r="I385" s="39">
        <f>SUM(I342:I384)</f>
        <v>24324</v>
      </c>
      <c r="J385" s="39">
        <f>SUM(J342:J384)</f>
        <v>-14700</v>
      </c>
      <c r="K385" s="40">
        <f>SUM(K342:K384)</f>
        <v>457438</v>
      </c>
      <c r="N385" s="57"/>
      <c r="O385" s="57"/>
      <c r="P385" s="38">
        <f>SUM(P342:P384)</f>
        <v>428346</v>
      </c>
      <c r="Q385" s="38">
        <f>SUM(Q342:Q366)</f>
        <v>-3372</v>
      </c>
      <c r="R385" s="38">
        <f>SUM(R342:R366)</f>
        <v>0</v>
      </c>
      <c r="S385" s="38">
        <f>SUM(S342:S384)</f>
        <v>424974</v>
      </c>
      <c r="T385" s="4"/>
      <c r="U385" s="41">
        <f>SUM(U342:U384)</f>
        <v>1113</v>
      </c>
      <c r="V385" s="41">
        <f>SUM(V342:V366)</f>
        <v>-2319</v>
      </c>
      <c r="W385" s="42">
        <f>SUM(W342:W384)</f>
        <v>423768</v>
      </c>
      <c r="Z385" s="57"/>
      <c r="AA385" s="57"/>
      <c r="AB385" s="38">
        <f>SUM(AB342:AB384)</f>
        <v>302075.44999999995</v>
      </c>
      <c r="AC385" s="38">
        <f>SUM(AC342:AC366)</f>
        <v>-300</v>
      </c>
      <c r="AD385" s="38">
        <f>SUM(AD342:AD366)</f>
        <v>0</v>
      </c>
      <c r="AE385" s="38">
        <f>SUM(AE342:AE384)</f>
        <v>301775.44999999995</v>
      </c>
      <c r="AF385" s="4"/>
      <c r="AG385" s="41">
        <f>SUM(AG342:AG384)</f>
        <v>24636.75</v>
      </c>
      <c r="AH385" s="41">
        <f>SUM(AH342:AH366)</f>
        <v>0</v>
      </c>
      <c r="AI385" s="42">
        <f>SUM(AI342:AI384)</f>
        <v>326412.19999999995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42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42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42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35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6" t="s">
        <v>17</v>
      </c>
      <c r="E395" s="116"/>
      <c r="F395" s="97"/>
      <c r="G395" s="27"/>
      <c r="I395" s="117" t="s">
        <v>18</v>
      </c>
      <c r="J395" s="118"/>
      <c r="K395" s="112" t="s">
        <v>19</v>
      </c>
      <c r="N395" s="25"/>
      <c r="O395" s="26"/>
      <c r="P395" s="116" t="s">
        <v>17</v>
      </c>
      <c r="Q395" s="116"/>
      <c r="R395" s="97"/>
      <c r="S395" s="27"/>
      <c r="U395" s="117" t="s">
        <v>18</v>
      </c>
      <c r="V395" s="118"/>
      <c r="W395" s="112" t="s">
        <v>19</v>
      </c>
      <c r="Z395" s="25"/>
      <c r="AA395" s="26"/>
      <c r="AB395" s="116" t="s">
        <v>17</v>
      </c>
      <c r="AC395" s="116"/>
      <c r="AD395" s="97"/>
      <c r="AE395" s="27"/>
      <c r="AG395" s="117" t="s">
        <v>18</v>
      </c>
      <c r="AH395" s="118"/>
      <c r="AI395" s="112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13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13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13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46298</v>
      </c>
      <c r="C397" s="83">
        <v>9442</v>
      </c>
      <c r="D397" s="32">
        <f>650*12+670+622*3+9.5*15</f>
        <v>10478.5</v>
      </c>
      <c r="E397" s="32"/>
      <c r="F397" s="32"/>
      <c r="G397" s="32">
        <f t="shared" ref="G397:G430" si="107">SUM(D397:E397)</f>
        <v>10478.5</v>
      </c>
      <c r="H397" s="12"/>
      <c r="I397" s="12"/>
      <c r="J397" s="12"/>
      <c r="K397" s="12">
        <f t="shared" ref="K397:K430" si="108">SUM(G397:J397)</f>
        <v>10478.5</v>
      </c>
      <c r="M397" s="10">
        <v>1</v>
      </c>
      <c r="N397" s="30">
        <v>46298</v>
      </c>
      <c r="O397" s="31">
        <v>9486</v>
      </c>
      <c r="P397" s="32">
        <f>650*7+622*2+9.5*9</f>
        <v>5879.5</v>
      </c>
      <c r="Q397" s="32"/>
      <c r="R397" s="32"/>
      <c r="S397" s="32">
        <f>SUM(P397:Q397)</f>
        <v>5879.5</v>
      </c>
      <c r="T397" s="12"/>
      <c r="U397" s="12"/>
      <c r="V397" s="12"/>
      <c r="W397" s="12">
        <f>SUM(S397:V397)</f>
        <v>5879.5</v>
      </c>
      <c r="Y397" s="10">
        <v>1</v>
      </c>
      <c r="Z397" s="30">
        <v>46298</v>
      </c>
      <c r="AA397" s="31">
        <v>9518</v>
      </c>
      <c r="AB397" s="32">
        <f>108*650+229*4+500*3</f>
        <v>72616</v>
      </c>
      <c r="AC397" s="32">
        <f>-108*6</f>
        <v>-648</v>
      </c>
      <c r="AD397" s="32"/>
      <c r="AE397" s="32">
        <f>SUM(AB397:AC397)</f>
        <v>71968</v>
      </c>
      <c r="AF397" s="12"/>
      <c r="AG397" s="12"/>
      <c r="AH397" s="12"/>
      <c r="AI397" s="12">
        <f>SUM(AE397:AH397)</f>
        <v>71968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46298</v>
      </c>
      <c r="C398" s="83">
        <f>C397+1</f>
        <v>9443</v>
      </c>
      <c r="D398" s="32">
        <f>650*7+670+9.5*7</f>
        <v>5286.5</v>
      </c>
      <c r="E398" s="32"/>
      <c r="F398" s="32"/>
      <c r="G398" s="32">
        <f t="shared" si="107"/>
        <v>5286.5</v>
      </c>
      <c r="H398" s="12"/>
      <c r="I398" s="12"/>
      <c r="J398" s="12"/>
      <c r="K398" s="12">
        <f t="shared" si="108"/>
        <v>5286.5</v>
      </c>
      <c r="M398" s="10">
        <v>2</v>
      </c>
      <c r="N398" s="30">
        <v>46298</v>
      </c>
      <c r="O398" s="31">
        <f>O397+1</f>
        <v>9487</v>
      </c>
      <c r="P398" s="32">
        <f>650*12+9.5*12</f>
        <v>7914</v>
      </c>
      <c r="Q398" s="32"/>
      <c r="R398" s="32"/>
      <c r="S398" s="32">
        <f t="shared" ref="S398:S429" si="109">SUM(P398:Q398)</f>
        <v>7914</v>
      </c>
      <c r="T398" s="12"/>
      <c r="U398" s="12"/>
      <c r="V398" s="12"/>
      <c r="W398" s="12">
        <f t="shared" ref="W398:W438" si="110">SUM(S398:V398)</f>
        <v>7914</v>
      </c>
      <c r="Y398" s="10">
        <v>2</v>
      </c>
      <c r="Z398" s="30">
        <v>46298</v>
      </c>
      <c r="AA398" s="31">
        <f>AA397+1</f>
        <v>9519</v>
      </c>
      <c r="AB398" s="32">
        <f>650*40+971+622*6+912*2+872*2+229*4</f>
        <v>35187</v>
      </c>
      <c r="AC398" s="32"/>
      <c r="AD398" s="32"/>
      <c r="AE398" s="32">
        <f t="shared" ref="AE398:AE406" si="111">SUM(AB398:AC398)</f>
        <v>35187</v>
      </c>
      <c r="AF398" s="12"/>
      <c r="AG398" s="12"/>
      <c r="AH398" s="12"/>
      <c r="AI398" s="12">
        <f t="shared" ref="AI398:AI438" si="112">SUM(AE398:AH398)</f>
        <v>35187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46298</v>
      </c>
      <c r="C399" s="83">
        <f t="shared" ref="C399:C409" si="113">C398+1</f>
        <v>9444</v>
      </c>
      <c r="D399" s="33">
        <f>650*10+670+622+650</f>
        <v>8442</v>
      </c>
      <c r="E399" s="33"/>
      <c r="F399" s="33"/>
      <c r="G399" s="33">
        <f t="shared" si="107"/>
        <v>8442</v>
      </c>
      <c r="H399" s="34"/>
      <c r="I399" s="34"/>
      <c r="J399" s="34"/>
      <c r="K399" s="34">
        <f t="shared" si="108"/>
        <v>8442</v>
      </c>
      <c r="M399" s="10">
        <v>3</v>
      </c>
      <c r="N399" s="30">
        <v>46298</v>
      </c>
      <c r="O399" s="31">
        <f t="shared" ref="O399:O430" si="114">O398+1</f>
        <v>9488</v>
      </c>
      <c r="P399" s="32">
        <f>650+622+9.5*2</f>
        <v>1291</v>
      </c>
      <c r="Q399" s="32"/>
      <c r="R399" s="32"/>
      <c r="S399" s="32">
        <f t="shared" si="109"/>
        <v>1291</v>
      </c>
      <c r="T399" s="12"/>
      <c r="U399" s="12"/>
      <c r="V399" s="12"/>
      <c r="W399" s="12">
        <f t="shared" si="110"/>
        <v>1291</v>
      </c>
      <c r="Y399" s="10">
        <v>3</v>
      </c>
      <c r="Z399" s="30">
        <v>46298</v>
      </c>
      <c r="AA399" s="31">
        <f t="shared" ref="AA399:AA411" si="115">AA398+1</f>
        <v>9520</v>
      </c>
      <c r="AB399" s="33">
        <f>650*35+9.5*15</f>
        <v>22892.5</v>
      </c>
      <c r="AC399" s="33"/>
      <c r="AD399" s="32"/>
      <c r="AE399" s="32">
        <f t="shared" si="111"/>
        <v>22892.5</v>
      </c>
      <c r="AF399" s="12"/>
      <c r="AG399" s="12"/>
      <c r="AH399" s="12">
        <v>-1110</v>
      </c>
      <c r="AI399" s="12">
        <f t="shared" si="112"/>
        <v>21782.5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46298</v>
      </c>
      <c r="C400" s="83">
        <f t="shared" si="113"/>
        <v>9445</v>
      </c>
      <c r="D400" s="32">
        <f>650*10+9.5*10</f>
        <v>6595</v>
      </c>
      <c r="E400" s="32"/>
      <c r="F400" s="32"/>
      <c r="G400" s="32">
        <f t="shared" si="107"/>
        <v>6595</v>
      </c>
      <c r="H400" s="12"/>
      <c r="I400" s="12"/>
      <c r="J400" s="12"/>
      <c r="K400" s="12">
        <f t="shared" si="108"/>
        <v>6595</v>
      </c>
      <c r="M400" s="10">
        <v>4</v>
      </c>
      <c r="N400" s="30">
        <v>46298</v>
      </c>
      <c r="O400" s="31">
        <f t="shared" si="114"/>
        <v>9489</v>
      </c>
      <c r="P400" s="32">
        <f>650*2+622*3+9.5*5</f>
        <v>3213.5</v>
      </c>
      <c r="Q400" s="32"/>
      <c r="R400" s="32"/>
      <c r="S400" s="32">
        <f t="shared" si="109"/>
        <v>3213.5</v>
      </c>
      <c r="T400" s="12"/>
      <c r="U400" s="12"/>
      <c r="V400" s="12"/>
      <c r="W400" s="12">
        <f t="shared" si="110"/>
        <v>3213.5</v>
      </c>
      <c r="Y400" s="10">
        <v>4</v>
      </c>
      <c r="Z400" s="30">
        <v>46298</v>
      </c>
      <c r="AA400" s="31">
        <f t="shared" si="115"/>
        <v>9521</v>
      </c>
      <c r="AB400" s="32">
        <f>650*2+9.5*2</f>
        <v>1319</v>
      </c>
      <c r="AC400" s="32"/>
      <c r="AD400" s="32"/>
      <c r="AE400" s="32">
        <f t="shared" si="111"/>
        <v>1319</v>
      </c>
      <c r="AF400" s="12"/>
      <c r="AG400" s="58"/>
      <c r="AH400" s="12"/>
      <c r="AI400" s="12">
        <f t="shared" si="112"/>
        <v>1319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46298</v>
      </c>
      <c r="C401" s="83">
        <f t="shared" si="113"/>
        <v>9446</v>
      </c>
      <c r="D401" s="32">
        <f>650*6+9.5*6</f>
        <v>3957</v>
      </c>
      <c r="E401" s="32"/>
      <c r="F401" s="32"/>
      <c r="G401" s="32">
        <f t="shared" si="107"/>
        <v>3957</v>
      </c>
      <c r="H401" s="12"/>
      <c r="I401" s="12"/>
      <c r="J401" s="12"/>
      <c r="K401" s="12">
        <f t="shared" si="108"/>
        <v>3957</v>
      </c>
      <c r="M401" s="10">
        <v>5</v>
      </c>
      <c r="N401" s="30">
        <v>46298</v>
      </c>
      <c r="O401" s="31">
        <f t="shared" si="114"/>
        <v>9490</v>
      </c>
      <c r="P401" s="32">
        <f>650*9+9.5*9</f>
        <v>5935.5</v>
      </c>
      <c r="Q401" s="32"/>
      <c r="R401" s="32"/>
      <c r="S401" s="32">
        <f t="shared" si="109"/>
        <v>5935.5</v>
      </c>
      <c r="T401" s="12"/>
      <c r="U401" s="12">
        <v>27</v>
      </c>
      <c r="V401" s="12"/>
      <c r="W401" s="12">
        <f t="shared" si="110"/>
        <v>5962.5</v>
      </c>
      <c r="Y401" s="10">
        <v>5</v>
      </c>
      <c r="Z401" s="30">
        <v>46298</v>
      </c>
      <c r="AA401" s="31">
        <f t="shared" si="115"/>
        <v>9522</v>
      </c>
      <c r="AB401" s="32">
        <f>650*11+622*4+9.5*15</f>
        <v>9780.5</v>
      </c>
      <c r="AC401" s="32"/>
      <c r="AD401" s="32"/>
      <c r="AE401" s="32">
        <f t="shared" si="111"/>
        <v>9780.5</v>
      </c>
      <c r="AF401" s="12"/>
      <c r="AG401" s="12"/>
      <c r="AH401" s="12"/>
      <c r="AI401" s="12">
        <f t="shared" si="112"/>
        <v>9780.5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46298</v>
      </c>
      <c r="C402" s="83">
        <f t="shared" si="113"/>
        <v>9447</v>
      </c>
      <c r="D402" s="32">
        <f>650*28+650</f>
        <v>18850</v>
      </c>
      <c r="E402" s="32"/>
      <c r="F402" s="32"/>
      <c r="G402" s="32">
        <f t="shared" si="107"/>
        <v>18850</v>
      </c>
      <c r="H402" s="12"/>
      <c r="I402" s="12"/>
      <c r="J402" s="12"/>
      <c r="K402" s="12">
        <f t="shared" si="108"/>
        <v>18850</v>
      </c>
      <c r="M402" s="10">
        <v>6</v>
      </c>
      <c r="N402" s="30">
        <v>46298</v>
      </c>
      <c r="O402" s="31">
        <f t="shared" si="114"/>
        <v>9491</v>
      </c>
      <c r="P402" s="32">
        <f>622+9.5</f>
        <v>631.5</v>
      </c>
      <c r="Q402" s="32"/>
      <c r="R402" s="32"/>
      <c r="S402" s="32">
        <f t="shared" si="109"/>
        <v>631.5</v>
      </c>
      <c r="T402" s="12"/>
      <c r="U402" s="12"/>
      <c r="V402" s="10"/>
      <c r="W402" s="12">
        <f t="shared" si="110"/>
        <v>631.5</v>
      </c>
      <c r="Y402" s="10">
        <v>6</v>
      </c>
      <c r="Z402" s="30">
        <v>46298</v>
      </c>
      <c r="AA402" s="31">
        <f t="shared" si="115"/>
        <v>9523</v>
      </c>
      <c r="AB402" s="32">
        <f>650*2+622+9.5*3</f>
        <v>1950.5</v>
      </c>
      <c r="AC402" s="32"/>
      <c r="AD402" s="32"/>
      <c r="AE402" s="32">
        <f t="shared" si="111"/>
        <v>1950.5</v>
      </c>
      <c r="AF402" s="12"/>
      <c r="AG402" s="12"/>
      <c r="AH402" s="10"/>
      <c r="AI402" s="12">
        <f t="shared" si="112"/>
        <v>1950.5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46298</v>
      </c>
      <c r="C403" s="83">
        <f t="shared" si="113"/>
        <v>9448</v>
      </c>
      <c r="D403" s="32">
        <f>650*25+622*4</f>
        <v>18738</v>
      </c>
      <c r="E403" s="32"/>
      <c r="F403" s="32"/>
      <c r="G403" s="32">
        <f t="shared" si="107"/>
        <v>18738</v>
      </c>
      <c r="H403" s="12"/>
      <c r="I403" s="12"/>
      <c r="J403" s="12"/>
      <c r="K403" s="12">
        <f t="shared" si="108"/>
        <v>18738</v>
      </c>
      <c r="M403" s="10">
        <v>7</v>
      </c>
      <c r="N403" s="30">
        <v>46298</v>
      </c>
      <c r="O403" s="31">
        <f t="shared" si="114"/>
        <v>9492</v>
      </c>
      <c r="P403" s="32">
        <f>650*10+622*2+9.5*12</f>
        <v>7858</v>
      </c>
      <c r="Q403" s="32"/>
      <c r="R403" s="32"/>
      <c r="S403" s="32">
        <f t="shared" si="109"/>
        <v>7858</v>
      </c>
      <c r="T403" s="12"/>
      <c r="U403" s="12"/>
      <c r="V403" s="12"/>
      <c r="W403" s="12">
        <f t="shared" si="110"/>
        <v>7858</v>
      </c>
      <c r="Y403" s="10">
        <v>7</v>
      </c>
      <c r="Z403" s="30">
        <v>46298</v>
      </c>
      <c r="AA403" s="31">
        <f t="shared" si="115"/>
        <v>9524</v>
      </c>
      <c r="AB403" s="32">
        <f>650*10+670*2+9.5*10</f>
        <v>7935</v>
      </c>
      <c r="AC403" s="32"/>
      <c r="AD403" s="32"/>
      <c r="AE403" s="32">
        <f t="shared" si="111"/>
        <v>7935</v>
      </c>
      <c r="AF403" s="12"/>
      <c r="AG403" s="58"/>
      <c r="AH403" s="12"/>
      <c r="AI403" s="12">
        <f t="shared" si="112"/>
        <v>7935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46298</v>
      </c>
      <c r="C404" s="83">
        <f t="shared" si="113"/>
        <v>9449</v>
      </c>
      <c r="D404" s="32">
        <f>650*4+9.5*4</f>
        <v>2638</v>
      </c>
      <c r="E404" s="32"/>
      <c r="F404" s="32"/>
      <c r="G404" s="32">
        <f t="shared" si="107"/>
        <v>2638</v>
      </c>
      <c r="H404" s="12"/>
      <c r="I404" s="12"/>
      <c r="J404" s="12"/>
      <c r="K404" s="12">
        <f t="shared" si="108"/>
        <v>2638</v>
      </c>
      <c r="M404" s="10">
        <v>8</v>
      </c>
      <c r="N404" s="30">
        <v>46298</v>
      </c>
      <c r="O404" s="31">
        <f t="shared" si="114"/>
        <v>9493</v>
      </c>
      <c r="P404" s="32">
        <f>650*3+9.5*3</f>
        <v>1978.5</v>
      </c>
      <c r="Q404" s="32"/>
      <c r="R404" s="32"/>
      <c r="S404" s="32">
        <f t="shared" si="109"/>
        <v>1978.5</v>
      </c>
      <c r="T404" s="12"/>
      <c r="U404" s="12"/>
      <c r="V404" s="12"/>
      <c r="W404" s="12">
        <f t="shared" si="110"/>
        <v>1978.5</v>
      </c>
      <c r="Y404" s="10">
        <v>8</v>
      </c>
      <c r="Z404" s="30">
        <v>46298</v>
      </c>
      <c r="AA404" s="31">
        <f t="shared" si="115"/>
        <v>9525</v>
      </c>
      <c r="AB404" s="32">
        <f>650*5+622+9.5*6</f>
        <v>3929</v>
      </c>
      <c r="AC404" s="32"/>
      <c r="AE404" s="32">
        <f t="shared" si="111"/>
        <v>3929</v>
      </c>
      <c r="AF404" s="12"/>
      <c r="AG404" s="12"/>
      <c r="AH404" s="12"/>
      <c r="AI404" s="12">
        <f t="shared" si="112"/>
        <v>3929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46298</v>
      </c>
      <c r="C405" s="83">
        <f t="shared" si="113"/>
        <v>9450</v>
      </c>
      <c r="D405" s="32">
        <f>650*124+229</f>
        <v>80829</v>
      </c>
      <c r="E405" s="32"/>
      <c r="F405" s="32"/>
      <c r="G405" s="32">
        <f t="shared" si="107"/>
        <v>80829</v>
      </c>
      <c r="H405" s="12"/>
      <c r="I405" s="12"/>
      <c r="J405" s="12"/>
      <c r="K405" s="12">
        <f t="shared" si="108"/>
        <v>80829</v>
      </c>
      <c r="M405" s="10">
        <v>9</v>
      </c>
      <c r="N405" s="30">
        <v>46298</v>
      </c>
      <c r="O405" s="31">
        <f t="shared" si="114"/>
        <v>9494</v>
      </c>
      <c r="P405" s="32">
        <f>650*15+9.5*15</f>
        <v>9892.5</v>
      </c>
      <c r="Q405" s="32"/>
      <c r="R405" s="32"/>
      <c r="S405" s="32">
        <f t="shared" si="109"/>
        <v>9892.5</v>
      </c>
      <c r="T405" s="12"/>
      <c r="U405" s="12"/>
      <c r="V405" s="12"/>
      <c r="W405" s="12">
        <f t="shared" si="110"/>
        <v>9892.5</v>
      </c>
      <c r="Y405" s="10">
        <v>9</v>
      </c>
      <c r="Z405" s="30">
        <v>46298</v>
      </c>
      <c r="AA405" s="31">
        <f t="shared" si="115"/>
        <v>9526</v>
      </c>
      <c r="AB405" s="32">
        <f>650+622+9.5*2</f>
        <v>1291</v>
      </c>
      <c r="AC405" s="32"/>
      <c r="AD405" s="32"/>
      <c r="AE405" s="32">
        <f t="shared" si="111"/>
        <v>1291</v>
      </c>
      <c r="AF405" s="12"/>
      <c r="AH405" s="12"/>
      <c r="AI405" s="12">
        <f t="shared" si="112"/>
        <v>1291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46298</v>
      </c>
      <c r="C406" s="83">
        <v>9551</v>
      </c>
      <c r="D406" s="32">
        <f>650*13+9.5*13</f>
        <v>8573.5</v>
      </c>
      <c r="E406" s="32"/>
      <c r="F406" s="32"/>
      <c r="G406" s="32">
        <f t="shared" si="107"/>
        <v>8573.5</v>
      </c>
      <c r="H406" s="12"/>
      <c r="I406" s="12"/>
      <c r="J406" s="12"/>
      <c r="K406" s="12">
        <f t="shared" si="108"/>
        <v>8573.5</v>
      </c>
      <c r="M406" s="10">
        <v>10</v>
      </c>
      <c r="N406" s="30">
        <v>46298</v>
      </c>
      <c r="O406" s="31">
        <f t="shared" si="114"/>
        <v>9495</v>
      </c>
      <c r="P406" s="32">
        <f>650*3+9.5*3</f>
        <v>1978.5</v>
      </c>
      <c r="Q406" s="32"/>
      <c r="R406" s="32"/>
      <c r="S406" s="32">
        <f t="shared" si="109"/>
        <v>1978.5</v>
      </c>
      <c r="T406" s="12"/>
      <c r="U406" s="12"/>
      <c r="V406" s="12"/>
      <c r="W406" s="12">
        <f t="shared" si="110"/>
        <v>1978.5</v>
      </c>
      <c r="Y406" s="10">
        <v>10</v>
      </c>
      <c r="Z406" s="30">
        <v>46298</v>
      </c>
      <c r="AA406" s="31">
        <f t="shared" si="115"/>
        <v>9527</v>
      </c>
      <c r="AB406" s="32">
        <f>650*4+670+9.5*4</f>
        <v>3308</v>
      </c>
      <c r="AC406" s="32"/>
      <c r="AD406" s="32"/>
      <c r="AE406" s="32">
        <f t="shared" si="111"/>
        <v>3308</v>
      </c>
      <c r="AF406" s="12"/>
      <c r="AG406" s="12"/>
      <c r="AH406" s="12"/>
      <c r="AI406" s="12">
        <f t="shared" si="112"/>
        <v>3308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46298</v>
      </c>
      <c r="C407" s="83">
        <f t="shared" si="113"/>
        <v>9552</v>
      </c>
      <c r="D407" s="32">
        <f>650*15+9.5*15</f>
        <v>9892.5</v>
      </c>
      <c r="E407" s="32"/>
      <c r="F407" s="32"/>
      <c r="G407" s="32">
        <f t="shared" si="107"/>
        <v>9892.5</v>
      </c>
      <c r="H407" s="12"/>
      <c r="I407" s="12"/>
      <c r="J407" s="12"/>
      <c r="K407" s="12">
        <f t="shared" si="108"/>
        <v>9892.5</v>
      </c>
      <c r="M407" s="10">
        <v>11</v>
      </c>
      <c r="N407" s="30">
        <v>46298</v>
      </c>
      <c r="O407" s="31">
        <f t="shared" si="114"/>
        <v>9496</v>
      </c>
      <c r="P407" s="32">
        <f>650*2+670+9.5*2</f>
        <v>1989</v>
      </c>
      <c r="Q407" s="32"/>
      <c r="R407" s="32"/>
      <c r="S407" s="32">
        <f t="shared" si="109"/>
        <v>1989</v>
      </c>
      <c r="T407" s="12"/>
      <c r="U407" s="12"/>
      <c r="V407" s="12"/>
      <c r="W407" s="12">
        <f t="shared" si="110"/>
        <v>1989</v>
      </c>
      <c r="Y407" s="10">
        <v>11</v>
      </c>
      <c r="Z407" s="30">
        <v>46298</v>
      </c>
      <c r="AA407" s="31">
        <f t="shared" si="115"/>
        <v>9528</v>
      </c>
      <c r="AB407" s="32">
        <f>650*80+229*3</f>
        <v>52687</v>
      </c>
      <c r="AC407" s="32">
        <f>-80*6</f>
        <v>-480</v>
      </c>
      <c r="AD407" s="32"/>
      <c r="AE407" s="32">
        <f t="shared" ref="AE407:AE429" si="116">SUM(AB407:AC407)</f>
        <v>52207</v>
      </c>
      <c r="AF407" s="12"/>
      <c r="AG407" s="12"/>
      <c r="AH407" s="12"/>
      <c r="AI407" s="12">
        <f t="shared" si="112"/>
        <v>52207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46298</v>
      </c>
      <c r="C408" s="83">
        <f t="shared" si="113"/>
        <v>9553</v>
      </c>
      <c r="D408" s="32">
        <f>650*20+622*7+229</f>
        <v>17583</v>
      </c>
      <c r="E408" s="32"/>
      <c r="F408" s="32"/>
      <c r="G408" s="32">
        <f t="shared" si="107"/>
        <v>17583</v>
      </c>
      <c r="H408" s="12"/>
      <c r="I408" s="12"/>
      <c r="J408" s="10"/>
      <c r="K408" s="12">
        <f t="shared" si="108"/>
        <v>17583</v>
      </c>
      <c r="M408" s="10">
        <v>12</v>
      </c>
      <c r="N408" s="30">
        <v>46298</v>
      </c>
      <c r="O408" s="31">
        <f t="shared" si="114"/>
        <v>9497</v>
      </c>
      <c r="P408" s="32">
        <f>650*4+9.5*4</f>
        <v>2638</v>
      </c>
      <c r="Q408" s="32"/>
      <c r="R408" s="32"/>
      <c r="S408" s="32">
        <f t="shared" si="109"/>
        <v>2638</v>
      </c>
      <c r="T408" s="12"/>
      <c r="U408" s="12"/>
      <c r="V408" s="12"/>
      <c r="W408" s="12">
        <f t="shared" si="110"/>
        <v>2638</v>
      </c>
      <c r="Y408" s="10">
        <v>12</v>
      </c>
      <c r="Z408" s="30">
        <v>46298</v>
      </c>
      <c r="AA408" s="31">
        <f t="shared" si="115"/>
        <v>9529</v>
      </c>
      <c r="AB408" s="32">
        <f>650*10+670+622*2</f>
        <v>8414</v>
      </c>
      <c r="AC408" s="32"/>
      <c r="AD408" s="32"/>
      <c r="AE408" s="32">
        <f t="shared" si="116"/>
        <v>8414</v>
      </c>
      <c r="AF408" s="12"/>
      <c r="AG408" s="12"/>
      <c r="AH408" s="12"/>
      <c r="AI408" s="12">
        <f t="shared" si="112"/>
        <v>8414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46298</v>
      </c>
      <c r="C409" s="83">
        <f t="shared" si="113"/>
        <v>9554</v>
      </c>
      <c r="D409" s="32">
        <f>650*50+622*5+1102</f>
        <v>36712</v>
      </c>
      <c r="E409" s="32"/>
      <c r="F409" s="32"/>
      <c r="G409" s="32">
        <f t="shared" si="107"/>
        <v>36712</v>
      </c>
      <c r="H409" s="12"/>
      <c r="I409" s="12"/>
      <c r="J409" s="12"/>
      <c r="K409" s="12">
        <f t="shared" si="108"/>
        <v>36712</v>
      </c>
      <c r="M409" s="10">
        <v>13</v>
      </c>
      <c r="N409" s="30">
        <v>46298</v>
      </c>
      <c r="O409" s="31">
        <f t="shared" si="114"/>
        <v>9498</v>
      </c>
      <c r="P409" s="32">
        <f>650+9.5</f>
        <v>659.5</v>
      </c>
      <c r="Q409" s="32"/>
      <c r="R409" s="32"/>
      <c r="S409" s="32">
        <f t="shared" si="109"/>
        <v>659.5</v>
      </c>
      <c r="T409" s="12"/>
      <c r="U409" s="12"/>
      <c r="V409" s="12"/>
      <c r="W409" s="12">
        <f t="shared" si="110"/>
        <v>659.5</v>
      </c>
      <c r="Y409" s="10">
        <v>13</v>
      </c>
      <c r="Z409" s="30">
        <v>46298</v>
      </c>
      <c r="AA409" s="31">
        <f t="shared" si="115"/>
        <v>9530</v>
      </c>
      <c r="AB409" s="32">
        <f>650*10+670+622*4+229</f>
        <v>9887</v>
      </c>
      <c r="AC409" s="32"/>
      <c r="AD409" s="32"/>
      <c r="AE409" s="32">
        <f t="shared" si="116"/>
        <v>9887</v>
      </c>
      <c r="AF409" s="12"/>
      <c r="AG409" s="12"/>
      <c r="AH409" s="12"/>
      <c r="AI409" s="12">
        <f t="shared" si="112"/>
        <v>9887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11" t="s">
        <v>27</v>
      </c>
      <c r="D410" s="32"/>
      <c r="E410" s="32"/>
      <c r="F410" s="32"/>
      <c r="G410" s="32">
        <f t="shared" si="107"/>
        <v>0</v>
      </c>
      <c r="H410" s="12"/>
      <c r="I410" s="12"/>
      <c r="J410" s="12"/>
      <c r="K410" s="12">
        <f t="shared" si="108"/>
        <v>0</v>
      </c>
      <c r="M410" s="10">
        <v>14</v>
      </c>
      <c r="N410" s="30">
        <v>46298</v>
      </c>
      <c r="O410" s="31">
        <f t="shared" si="114"/>
        <v>9499</v>
      </c>
      <c r="P410" s="32">
        <f>650*7+622*2+9.5*9</f>
        <v>5879.5</v>
      </c>
      <c r="Q410" s="32"/>
      <c r="R410" s="32"/>
      <c r="S410" s="32">
        <f t="shared" si="109"/>
        <v>5879.5</v>
      </c>
      <c r="T410" s="12"/>
      <c r="U410" s="12"/>
      <c r="V410" s="12"/>
      <c r="W410" s="12">
        <f t="shared" si="110"/>
        <v>5879.5</v>
      </c>
      <c r="Y410" s="10">
        <v>14</v>
      </c>
      <c r="Z410" s="30">
        <v>46298</v>
      </c>
      <c r="AA410" s="31">
        <f t="shared" si="115"/>
        <v>9531</v>
      </c>
      <c r="AB410" s="32">
        <f>622*2+9.5*2</f>
        <v>1263</v>
      </c>
      <c r="AC410" s="32"/>
      <c r="AD410" s="32"/>
      <c r="AE410" s="32">
        <f t="shared" si="116"/>
        <v>1263</v>
      </c>
      <c r="AF410" s="12"/>
      <c r="AG410" s="12"/>
      <c r="AH410" s="12"/>
      <c r="AI410" s="12">
        <f t="shared" si="112"/>
        <v>1263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07"/>
        <v>0</v>
      </c>
      <c r="H411" s="12"/>
      <c r="I411" s="12"/>
      <c r="J411" s="12"/>
      <c r="K411" s="12">
        <f t="shared" si="108"/>
        <v>0</v>
      </c>
      <c r="M411" s="10">
        <v>15</v>
      </c>
      <c r="N411" s="30">
        <v>46298</v>
      </c>
      <c r="O411" s="31">
        <f t="shared" si="114"/>
        <v>9500</v>
      </c>
      <c r="P411" s="32">
        <f>650*8+670+622*2+9.5*10</f>
        <v>7209</v>
      </c>
      <c r="Q411" s="32"/>
      <c r="R411" s="32"/>
      <c r="S411" s="32">
        <f t="shared" si="109"/>
        <v>7209</v>
      </c>
      <c r="T411" s="12"/>
      <c r="U411" s="12"/>
      <c r="V411" s="12"/>
      <c r="W411" s="12">
        <f t="shared" si="110"/>
        <v>7209</v>
      </c>
      <c r="Y411" s="10">
        <v>15</v>
      </c>
      <c r="Z411" s="30">
        <v>46298</v>
      </c>
      <c r="AA411" s="31">
        <f t="shared" si="115"/>
        <v>9532</v>
      </c>
      <c r="AB411" s="32">
        <f>650*11</f>
        <v>7150</v>
      </c>
      <c r="AC411" s="32"/>
      <c r="AD411" s="32"/>
      <c r="AE411" s="32">
        <f t="shared" si="116"/>
        <v>7150</v>
      </c>
      <c r="AF411" s="12"/>
      <c r="AG411" s="12"/>
      <c r="AH411" s="12">
        <v>-333</v>
      </c>
      <c r="AI411" s="12">
        <f t="shared" si="112"/>
        <v>6817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83"/>
      <c r="D412" s="32"/>
      <c r="E412" s="32"/>
      <c r="F412" s="32"/>
      <c r="G412" s="32">
        <f t="shared" si="107"/>
        <v>0</v>
      </c>
      <c r="H412" s="12"/>
      <c r="I412" s="12"/>
      <c r="J412" s="12"/>
      <c r="K412" s="12">
        <f t="shared" si="108"/>
        <v>0</v>
      </c>
      <c r="M412" s="10">
        <v>16</v>
      </c>
      <c r="N412" s="30">
        <v>46298</v>
      </c>
      <c r="O412" s="31">
        <v>9601</v>
      </c>
      <c r="P412" s="32">
        <f>650*4+670+700</f>
        <v>3970</v>
      </c>
      <c r="Q412" s="32"/>
      <c r="R412" s="32"/>
      <c r="S412" s="32">
        <f t="shared" si="109"/>
        <v>3970</v>
      </c>
      <c r="T412" s="12"/>
      <c r="U412" s="12">
        <v>54</v>
      </c>
      <c r="V412" s="12"/>
      <c r="W412" s="12">
        <f t="shared" si="110"/>
        <v>4024</v>
      </c>
      <c r="Y412" s="10">
        <v>16</v>
      </c>
      <c r="Z412" s="30"/>
      <c r="AA412" s="11" t="s">
        <v>27</v>
      </c>
      <c r="AB412" s="32"/>
      <c r="AC412" s="32"/>
      <c r="AD412" s="32"/>
      <c r="AE412" s="32">
        <f t="shared" si="116"/>
        <v>0</v>
      </c>
      <c r="AF412" s="12"/>
      <c r="AG412" s="12"/>
      <c r="AH412" s="12"/>
      <c r="AI412" s="12">
        <f t="shared" si="112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07"/>
        <v>0</v>
      </c>
      <c r="H413" s="12"/>
      <c r="I413" s="12"/>
      <c r="J413" s="12"/>
      <c r="K413" s="12">
        <f t="shared" si="108"/>
        <v>0</v>
      </c>
      <c r="M413" s="10">
        <v>17</v>
      </c>
      <c r="N413" s="30">
        <v>46298</v>
      </c>
      <c r="O413" s="31">
        <f t="shared" si="114"/>
        <v>9602</v>
      </c>
      <c r="P413" s="35">
        <f>670</f>
        <v>670</v>
      </c>
      <c r="Q413" s="32"/>
      <c r="R413" s="32"/>
      <c r="S413" s="32">
        <f t="shared" si="109"/>
        <v>670</v>
      </c>
      <c r="T413" s="12"/>
      <c r="U413" s="12"/>
      <c r="V413" s="12"/>
      <c r="W413" s="12">
        <f t="shared" si="110"/>
        <v>670</v>
      </c>
      <c r="Y413" s="10">
        <v>17</v>
      </c>
      <c r="Z413" s="30"/>
      <c r="AA413" s="31"/>
      <c r="AB413" s="35"/>
      <c r="AC413" s="32"/>
      <c r="AD413" s="32"/>
      <c r="AE413" s="32">
        <f t="shared" si="116"/>
        <v>0</v>
      </c>
      <c r="AF413" s="12"/>
      <c r="AG413" s="12"/>
      <c r="AH413" s="12"/>
      <c r="AI413" s="12">
        <f t="shared" si="112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07"/>
        <v>0</v>
      </c>
      <c r="H414" s="12"/>
      <c r="I414" s="12"/>
      <c r="J414" s="12"/>
      <c r="K414" s="12">
        <f t="shared" si="108"/>
        <v>0</v>
      </c>
      <c r="M414" s="10">
        <v>18</v>
      </c>
      <c r="N414" s="30">
        <v>46298</v>
      </c>
      <c r="O414" s="31">
        <f t="shared" si="114"/>
        <v>9603</v>
      </c>
      <c r="P414" s="32">
        <f>650*2</f>
        <v>1300</v>
      </c>
      <c r="Q414" s="32"/>
      <c r="R414" s="32"/>
      <c r="S414" s="32">
        <f t="shared" si="109"/>
        <v>1300</v>
      </c>
      <c r="T414" s="12"/>
      <c r="U414" s="12"/>
      <c r="V414" s="12"/>
      <c r="W414" s="12">
        <f t="shared" si="110"/>
        <v>1300</v>
      </c>
      <c r="Y414" s="10">
        <v>18</v>
      </c>
      <c r="Z414" s="30"/>
      <c r="AA414" s="31"/>
      <c r="AB414" s="32"/>
      <c r="AC414" s="32"/>
      <c r="AD414" s="32"/>
      <c r="AE414" s="32">
        <f t="shared" si="116"/>
        <v>0</v>
      </c>
      <c r="AF414" s="12"/>
      <c r="AG414" s="12"/>
      <c r="AH414" s="12"/>
      <c r="AI414" s="12">
        <f t="shared" si="112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07"/>
        <v>0</v>
      </c>
      <c r="H415" s="12"/>
      <c r="I415" s="12"/>
      <c r="J415" s="12"/>
      <c r="K415" s="12">
        <f t="shared" si="108"/>
        <v>0</v>
      </c>
      <c r="M415" s="10">
        <v>19</v>
      </c>
      <c r="N415" s="30">
        <v>46298</v>
      </c>
      <c r="O415" s="31">
        <f t="shared" si="114"/>
        <v>9604</v>
      </c>
      <c r="P415" s="32">
        <f>650*2</f>
        <v>1300</v>
      </c>
      <c r="Q415" s="32"/>
      <c r="R415" s="32"/>
      <c r="S415" s="32">
        <f t="shared" si="109"/>
        <v>1300</v>
      </c>
      <c r="T415" s="12"/>
      <c r="U415" s="12"/>
      <c r="V415" s="12"/>
      <c r="W415" s="12">
        <f t="shared" si="110"/>
        <v>1300</v>
      </c>
      <c r="Y415" s="10">
        <v>19</v>
      </c>
      <c r="Z415" s="30"/>
      <c r="AA415" s="31"/>
      <c r="AB415" s="32"/>
      <c r="AC415" s="32"/>
      <c r="AD415" s="32"/>
      <c r="AE415" s="32">
        <f t="shared" si="116"/>
        <v>0</v>
      </c>
      <c r="AF415" s="12"/>
      <c r="AG415" s="12"/>
      <c r="AH415" s="12"/>
      <c r="AI415" s="12">
        <f t="shared" si="112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07"/>
        <v>0</v>
      </c>
      <c r="H416" s="12"/>
      <c r="I416" s="12"/>
      <c r="J416" s="12"/>
      <c r="K416" s="12">
        <f t="shared" si="108"/>
        <v>0</v>
      </c>
      <c r="M416" s="10">
        <v>20</v>
      </c>
      <c r="N416" s="30">
        <v>46298</v>
      </c>
      <c r="O416" s="31">
        <f t="shared" si="114"/>
        <v>9605</v>
      </c>
      <c r="P416" s="32">
        <f>650*60+622*10+229*2</f>
        <v>45678</v>
      </c>
      <c r="Q416" s="32"/>
      <c r="R416" s="32"/>
      <c r="S416" s="32">
        <f t="shared" si="109"/>
        <v>45678</v>
      </c>
      <c r="T416" s="12"/>
      <c r="U416" s="12">
        <f>78+94.5+36</f>
        <v>208.5</v>
      </c>
      <c r="V416" s="12"/>
      <c r="W416" s="12">
        <f t="shared" si="110"/>
        <v>45886.5</v>
      </c>
      <c r="Y416" s="10">
        <v>20</v>
      </c>
      <c r="Z416" s="30"/>
      <c r="AA416" s="31"/>
      <c r="AB416" s="32"/>
      <c r="AC416" s="32"/>
      <c r="AD416" s="32"/>
      <c r="AE416" s="32">
        <f t="shared" si="116"/>
        <v>0</v>
      </c>
      <c r="AF416" s="12"/>
      <c r="AG416" s="12"/>
      <c r="AH416" s="12"/>
      <c r="AI416" s="12">
        <f t="shared" si="112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D417" s="32"/>
      <c r="E417" s="32"/>
      <c r="F417" s="32"/>
      <c r="G417" s="32">
        <f t="shared" si="107"/>
        <v>0</v>
      </c>
      <c r="H417" s="10"/>
      <c r="I417" s="10"/>
      <c r="J417" s="10"/>
      <c r="K417" s="12">
        <f t="shared" si="108"/>
        <v>0</v>
      </c>
      <c r="M417" s="10">
        <v>21</v>
      </c>
      <c r="N417" s="30">
        <v>46298</v>
      </c>
      <c r="O417" s="31">
        <f t="shared" si="114"/>
        <v>9606</v>
      </c>
      <c r="P417" s="46">
        <f>650*5+622*2+9.5*7</f>
        <v>4560.5</v>
      </c>
      <c r="Q417" s="31"/>
      <c r="R417" s="31"/>
      <c r="S417" s="32">
        <f t="shared" si="109"/>
        <v>4560.5</v>
      </c>
      <c r="T417" s="10"/>
      <c r="U417" s="10"/>
      <c r="V417" s="10"/>
      <c r="W417" s="12">
        <f t="shared" si="110"/>
        <v>4560.5</v>
      </c>
      <c r="Y417" s="10">
        <v>21</v>
      </c>
      <c r="Z417" s="30"/>
      <c r="AA417" s="31"/>
      <c r="AB417" s="46"/>
      <c r="AC417" s="31"/>
      <c r="AD417" s="31"/>
      <c r="AE417" s="32">
        <f t="shared" si="116"/>
        <v>0</v>
      </c>
      <c r="AF417" s="10"/>
      <c r="AG417" s="10"/>
      <c r="AH417" s="10"/>
      <c r="AI417" s="12">
        <f t="shared" si="112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07"/>
        <v>0</v>
      </c>
      <c r="H418" s="10"/>
      <c r="I418" s="10"/>
      <c r="J418" s="10"/>
      <c r="K418" s="12">
        <f t="shared" si="108"/>
        <v>0</v>
      </c>
      <c r="M418" s="10">
        <v>22</v>
      </c>
      <c r="N418" s="30">
        <v>46298</v>
      </c>
      <c r="O418" s="31">
        <f t="shared" si="114"/>
        <v>9607</v>
      </c>
      <c r="P418" s="45">
        <f>650+9.5</f>
        <v>659.5</v>
      </c>
      <c r="Q418" s="31"/>
      <c r="R418" s="31"/>
      <c r="S418" s="32">
        <f t="shared" si="109"/>
        <v>659.5</v>
      </c>
      <c r="T418" s="10"/>
      <c r="U418" s="10"/>
      <c r="V418" s="10"/>
      <c r="W418" s="12">
        <f t="shared" si="110"/>
        <v>659.5</v>
      </c>
      <c r="Y418" s="10">
        <v>22</v>
      </c>
      <c r="Z418" s="30"/>
      <c r="AA418" s="31"/>
      <c r="AB418" s="45"/>
      <c r="AC418" s="31"/>
      <c r="AD418" s="31"/>
      <c r="AE418" s="32">
        <f t="shared" si="116"/>
        <v>0</v>
      </c>
      <c r="AF418" s="10"/>
      <c r="AG418" s="10"/>
      <c r="AH418" s="10"/>
      <c r="AI418" s="12">
        <f t="shared" si="112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07"/>
        <v>0</v>
      </c>
      <c r="H419" s="10"/>
      <c r="I419" s="10"/>
      <c r="J419" s="12"/>
      <c r="K419" s="12">
        <f t="shared" si="108"/>
        <v>0</v>
      </c>
      <c r="M419" s="10">
        <v>23</v>
      </c>
      <c r="N419" s="30">
        <v>46298</v>
      </c>
      <c r="O419" s="31">
        <f t="shared" si="114"/>
        <v>9608</v>
      </c>
      <c r="P419" s="47">
        <f>1300+622+9.5*3</f>
        <v>1950.5</v>
      </c>
      <c r="Q419" s="31"/>
      <c r="S419" s="32">
        <f t="shared" si="109"/>
        <v>1950.5</v>
      </c>
      <c r="T419" s="10"/>
      <c r="U419" s="10"/>
      <c r="V419" s="10"/>
      <c r="W419" s="12">
        <f t="shared" si="110"/>
        <v>1950.5</v>
      </c>
      <c r="Y419" s="10">
        <v>23</v>
      </c>
      <c r="Z419" s="30"/>
      <c r="AA419" s="31"/>
      <c r="AB419" s="47"/>
      <c r="AE419" s="32">
        <f t="shared" si="116"/>
        <v>0</v>
      </c>
      <c r="AF419" s="10"/>
      <c r="AG419" s="10"/>
      <c r="AH419" s="10"/>
      <c r="AI419" s="12">
        <f t="shared" si="112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07"/>
        <v>0</v>
      </c>
      <c r="H420" s="10"/>
      <c r="I420" s="10"/>
      <c r="J420" s="10"/>
      <c r="K420" s="12">
        <f t="shared" si="108"/>
        <v>0</v>
      </c>
      <c r="M420" s="10">
        <v>24</v>
      </c>
      <c r="N420" s="30">
        <v>46298</v>
      </c>
      <c r="O420" s="31">
        <f t="shared" si="114"/>
        <v>9609</v>
      </c>
      <c r="P420" s="47">
        <f>650*5+229</f>
        <v>3479</v>
      </c>
      <c r="Q420" s="31"/>
      <c r="R420" s="31"/>
      <c r="S420" s="32">
        <f t="shared" si="109"/>
        <v>3479</v>
      </c>
      <c r="T420" s="10"/>
      <c r="U420" s="10"/>
      <c r="V420" s="10"/>
      <c r="W420" s="12">
        <f t="shared" si="110"/>
        <v>3479</v>
      </c>
      <c r="Y420" s="10">
        <v>24</v>
      </c>
      <c r="Z420" s="30"/>
      <c r="AA420" s="31"/>
      <c r="AB420" s="47"/>
      <c r="AC420" s="31"/>
      <c r="AD420" s="31"/>
      <c r="AE420" s="32">
        <f t="shared" si="116"/>
        <v>0</v>
      </c>
      <c r="AF420" s="10"/>
      <c r="AG420" s="10"/>
      <c r="AH420" s="10"/>
      <c r="AI420" s="12">
        <f t="shared" si="112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07"/>
        <v>0</v>
      </c>
      <c r="H421" s="10"/>
      <c r="I421" s="10"/>
      <c r="J421" s="10"/>
      <c r="K421" s="12">
        <f t="shared" si="108"/>
        <v>0</v>
      </c>
      <c r="M421" s="10">
        <v>25</v>
      </c>
      <c r="N421" s="30">
        <v>46298</v>
      </c>
      <c r="O421" s="31">
        <f t="shared" si="114"/>
        <v>9610</v>
      </c>
      <c r="P421" s="47">
        <f>650*5+622+9.5*6</f>
        <v>3929</v>
      </c>
      <c r="Q421" s="31"/>
      <c r="R421" s="31"/>
      <c r="S421" s="32">
        <f t="shared" si="109"/>
        <v>3929</v>
      </c>
      <c r="T421" s="10"/>
      <c r="U421" s="10"/>
      <c r="V421" s="10">
        <v>-222</v>
      </c>
      <c r="W421" s="12">
        <f t="shared" si="110"/>
        <v>3707</v>
      </c>
      <c r="Y421" s="10">
        <v>25</v>
      </c>
      <c r="Z421" s="30"/>
      <c r="AA421" s="31"/>
      <c r="AB421" s="47"/>
      <c r="AC421" s="31"/>
      <c r="AD421" s="31"/>
      <c r="AE421" s="32">
        <f t="shared" si="116"/>
        <v>0</v>
      </c>
      <c r="AF421" s="10"/>
      <c r="AG421" s="10"/>
      <c r="AH421" s="10"/>
      <c r="AI421" s="12">
        <f t="shared" si="112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07"/>
        <v>0</v>
      </c>
      <c r="H422" s="10"/>
      <c r="I422" s="10"/>
      <c r="J422" s="10"/>
      <c r="K422" s="12">
        <f t="shared" si="108"/>
        <v>0</v>
      </c>
      <c r="M422" s="10">
        <v>26</v>
      </c>
      <c r="N422" s="30">
        <v>46298</v>
      </c>
      <c r="O422" s="31">
        <f t="shared" si="114"/>
        <v>9611</v>
      </c>
      <c r="P422" s="47">
        <f>650*2+9.5*2</f>
        <v>1319</v>
      </c>
      <c r="Q422" s="31"/>
      <c r="R422" s="31"/>
      <c r="S422" s="32">
        <f t="shared" si="109"/>
        <v>1319</v>
      </c>
      <c r="T422" s="10"/>
      <c r="U422" s="10"/>
      <c r="V422" s="10"/>
      <c r="W422" s="12">
        <f t="shared" si="110"/>
        <v>1319</v>
      </c>
      <c r="Y422" s="10">
        <v>26</v>
      </c>
      <c r="Z422" s="30"/>
      <c r="AB422" s="47"/>
      <c r="AC422" s="31"/>
      <c r="AD422" s="31"/>
      <c r="AE422" s="32">
        <f t="shared" si="116"/>
        <v>0</v>
      </c>
      <c r="AF422" s="10"/>
      <c r="AG422" s="10"/>
      <c r="AH422" s="10"/>
      <c r="AI422" s="12">
        <f t="shared" si="112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07"/>
        <v>0</v>
      </c>
      <c r="H423" s="10"/>
      <c r="I423" s="10"/>
      <c r="J423" s="10"/>
      <c r="K423" s="12">
        <f t="shared" si="108"/>
        <v>0</v>
      </c>
      <c r="M423" s="10">
        <v>27</v>
      </c>
      <c r="N423" s="30">
        <v>46298</v>
      </c>
      <c r="O423" s="31">
        <f t="shared" si="114"/>
        <v>9612</v>
      </c>
      <c r="P423" s="47">
        <f>650*12+9.5*12</f>
        <v>7914</v>
      </c>
      <c r="Q423" s="31"/>
      <c r="R423" s="31"/>
      <c r="S423" s="32">
        <f t="shared" si="109"/>
        <v>7914</v>
      </c>
      <c r="T423" s="10"/>
      <c r="U423" s="10">
        <f>4.5*2</f>
        <v>9</v>
      </c>
      <c r="V423" s="10"/>
      <c r="W423" s="12">
        <f t="shared" si="110"/>
        <v>7923</v>
      </c>
      <c r="Y423" s="10">
        <v>27</v>
      </c>
      <c r="Z423" s="30"/>
      <c r="AA423" s="31"/>
      <c r="AB423" s="47"/>
      <c r="AC423" s="31"/>
      <c r="AD423" s="31"/>
      <c r="AE423" s="32">
        <f t="shared" si="116"/>
        <v>0</v>
      </c>
      <c r="AF423" s="10"/>
      <c r="AG423" s="10"/>
      <c r="AH423" s="10"/>
      <c r="AI423" s="12">
        <f t="shared" si="112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07"/>
        <v>0</v>
      </c>
      <c r="H424" s="10"/>
      <c r="I424" s="10"/>
      <c r="J424" s="10"/>
      <c r="K424" s="12">
        <f t="shared" si="108"/>
        <v>0</v>
      </c>
      <c r="M424" s="10">
        <v>28</v>
      </c>
      <c r="N424" s="30">
        <v>46298</v>
      </c>
      <c r="O424" s="31">
        <f t="shared" si="114"/>
        <v>9613</v>
      </c>
      <c r="P424" s="47">
        <f>650*2+9.5*2</f>
        <v>1319</v>
      </c>
      <c r="Q424" s="31"/>
      <c r="R424" s="31"/>
      <c r="S424" s="32">
        <f t="shared" si="109"/>
        <v>1319</v>
      </c>
      <c r="T424" s="10"/>
      <c r="U424" s="10"/>
      <c r="V424" s="10"/>
      <c r="W424" s="12">
        <f t="shared" si="110"/>
        <v>1319</v>
      </c>
      <c r="Y424" s="10">
        <v>28</v>
      </c>
      <c r="Z424" s="30"/>
      <c r="AA424" s="31"/>
      <c r="AB424" s="47"/>
      <c r="AC424" s="31"/>
      <c r="AD424" s="31"/>
      <c r="AE424" s="32">
        <f t="shared" si="116"/>
        <v>0</v>
      </c>
      <c r="AF424" s="10"/>
      <c r="AG424" s="10"/>
      <c r="AH424" s="10"/>
      <c r="AI424" s="12">
        <f t="shared" si="112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07"/>
        <v>0</v>
      </c>
      <c r="H425" s="10"/>
      <c r="I425" s="10"/>
      <c r="J425" s="10"/>
      <c r="K425" s="12">
        <f t="shared" si="108"/>
        <v>0</v>
      </c>
      <c r="M425" s="10">
        <v>29</v>
      </c>
      <c r="N425" s="30">
        <v>46298</v>
      </c>
      <c r="O425" s="31">
        <f t="shared" si="114"/>
        <v>9614</v>
      </c>
      <c r="P425" s="47">
        <f>650*6+670+9.5*6</f>
        <v>4627</v>
      </c>
      <c r="Q425" s="31"/>
      <c r="R425" s="31"/>
      <c r="S425" s="32">
        <f t="shared" si="109"/>
        <v>4627</v>
      </c>
      <c r="T425" s="10"/>
      <c r="U425" s="10"/>
      <c r="V425" s="10"/>
      <c r="W425" s="12">
        <f t="shared" si="110"/>
        <v>4627</v>
      </c>
      <c r="Y425" s="10">
        <v>29</v>
      </c>
      <c r="Z425" s="30"/>
      <c r="AA425" s="31"/>
      <c r="AB425" s="47"/>
      <c r="AC425" s="31"/>
      <c r="AD425" s="31"/>
      <c r="AE425" s="32">
        <f t="shared" si="116"/>
        <v>0</v>
      </c>
      <c r="AF425" s="10"/>
      <c r="AG425" s="10"/>
      <c r="AH425" s="10"/>
      <c r="AI425" s="12">
        <f t="shared" si="112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07"/>
        <v>0</v>
      </c>
      <c r="H426" s="10"/>
      <c r="I426" s="10"/>
      <c r="J426" s="10"/>
      <c r="K426" s="12">
        <f t="shared" si="108"/>
        <v>0</v>
      </c>
      <c r="M426" s="10">
        <v>30</v>
      </c>
      <c r="N426" s="30">
        <v>46298</v>
      </c>
      <c r="O426" s="31">
        <f t="shared" si="114"/>
        <v>9615</v>
      </c>
      <c r="P426" s="47">
        <f>650*2+622+9.5*3</f>
        <v>1950.5</v>
      </c>
      <c r="Q426" s="31"/>
      <c r="R426" s="31"/>
      <c r="S426" s="32">
        <f t="shared" si="109"/>
        <v>1950.5</v>
      </c>
      <c r="T426" s="10"/>
      <c r="U426" s="10"/>
      <c r="V426" s="10"/>
      <c r="W426" s="12">
        <f t="shared" si="110"/>
        <v>1950.5</v>
      </c>
      <c r="Y426" s="10">
        <v>30</v>
      </c>
      <c r="Z426" s="30"/>
      <c r="AA426" s="31"/>
      <c r="AB426" s="47"/>
      <c r="AC426" s="31"/>
      <c r="AD426" s="31"/>
      <c r="AE426" s="32">
        <f t="shared" si="116"/>
        <v>0</v>
      </c>
      <c r="AF426" s="10"/>
      <c r="AG426" s="10"/>
      <c r="AH426" s="10"/>
      <c r="AI426" s="12">
        <f t="shared" si="112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07"/>
        <v>0</v>
      </c>
      <c r="H427" s="10"/>
      <c r="I427" s="10"/>
      <c r="J427" s="10"/>
      <c r="K427" s="12">
        <f t="shared" si="108"/>
        <v>0</v>
      </c>
      <c r="M427" s="10">
        <v>31</v>
      </c>
      <c r="N427" s="30">
        <v>46298</v>
      </c>
      <c r="O427" s="31">
        <f t="shared" si="114"/>
        <v>9616</v>
      </c>
      <c r="P427" s="47">
        <f>650*5+622+9.5*6</f>
        <v>3929</v>
      </c>
      <c r="Q427" s="31"/>
      <c r="R427" s="31"/>
      <c r="S427" s="32">
        <f t="shared" si="109"/>
        <v>3929</v>
      </c>
      <c r="T427" s="10"/>
      <c r="U427" s="10"/>
      <c r="V427" s="10"/>
      <c r="W427" s="12">
        <f t="shared" si="110"/>
        <v>3929</v>
      </c>
      <c r="Y427" s="10">
        <v>31</v>
      </c>
      <c r="Z427" s="30"/>
      <c r="AA427" s="31"/>
      <c r="AB427" s="47"/>
      <c r="AC427" s="31"/>
      <c r="AD427" s="31"/>
      <c r="AE427" s="32">
        <f t="shared" si="116"/>
        <v>0</v>
      </c>
      <c r="AF427" s="10"/>
      <c r="AG427" s="10"/>
      <c r="AH427" s="10"/>
      <c r="AI427" s="12">
        <f t="shared" si="112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07"/>
        <v>0</v>
      </c>
      <c r="H428" s="10"/>
      <c r="I428" s="10"/>
      <c r="J428" s="10"/>
      <c r="K428" s="12">
        <f t="shared" si="108"/>
        <v>0</v>
      </c>
      <c r="M428" s="10">
        <v>32</v>
      </c>
      <c r="N428" s="30">
        <v>46298</v>
      </c>
      <c r="O428" s="31">
        <f t="shared" si="114"/>
        <v>9617</v>
      </c>
      <c r="P428" s="47">
        <f>650*2+9.5*2</f>
        <v>1319</v>
      </c>
      <c r="Q428" s="31"/>
      <c r="R428" s="31"/>
      <c r="S428" s="32">
        <f t="shared" si="109"/>
        <v>1319</v>
      </c>
      <c r="T428" s="10"/>
      <c r="U428" s="10"/>
      <c r="V428" s="10"/>
      <c r="W428" s="12">
        <f t="shared" si="110"/>
        <v>1319</v>
      </c>
      <c r="Y428" s="10">
        <v>32</v>
      </c>
      <c r="Z428" s="30"/>
      <c r="AA428" s="31"/>
      <c r="AB428" s="47"/>
      <c r="AC428" s="31"/>
      <c r="AD428" s="31"/>
      <c r="AE428" s="32">
        <f t="shared" si="116"/>
        <v>0</v>
      </c>
      <c r="AF428" s="10"/>
      <c r="AG428" s="10"/>
      <c r="AH428" s="10"/>
      <c r="AI428" s="12">
        <f t="shared" si="112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07"/>
        <v>0</v>
      </c>
      <c r="H429" s="10"/>
      <c r="I429" s="10"/>
      <c r="J429" s="10"/>
      <c r="K429" s="12">
        <f t="shared" si="108"/>
        <v>0</v>
      </c>
      <c r="M429" s="10">
        <v>33</v>
      </c>
      <c r="N429" s="30">
        <v>46298</v>
      </c>
      <c r="O429" s="31">
        <f t="shared" si="114"/>
        <v>9618</v>
      </c>
      <c r="P429" s="47">
        <f>1659.1</f>
        <v>1659.1</v>
      </c>
      <c r="Q429" s="31"/>
      <c r="R429" s="31"/>
      <c r="S429" s="32">
        <f t="shared" si="109"/>
        <v>1659.1</v>
      </c>
      <c r="T429" s="10"/>
      <c r="U429" s="10"/>
      <c r="V429" s="10"/>
      <c r="W429" s="12">
        <f t="shared" si="110"/>
        <v>1659.1</v>
      </c>
      <c r="Y429" s="10">
        <v>33</v>
      </c>
      <c r="Z429" s="30"/>
      <c r="AA429" s="31"/>
      <c r="AB429" s="47"/>
      <c r="AC429" s="31"/>
      <c r="AD429" s="31"/>
      <c r="AE429" s="32">
        <f t="shared" si="116"/>
        <v>0</v>
      </c>
      <c r="AF429" s="10"/>
      <c r="AG429" s="10"/>
      <c r="AH429" s="10"/>
      <c r="AI429" s="12">
        <f t="shared" si="112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07"/>
        <v>0</v>
      </c>
      <c r="H430" s="10"/>
      <c r="I430" s="10"/>
      <c r="J430" s="10"/>
      <c r="K430" s="12">
        <f t="shared" si="108"/>
        <v>0</v>
      </c>
      <c r="M430" s="10">
        <v>34</v>
      </c>
      <c r="N430" s="30">
        <v>46298</v>
      </c>
      <c r="O430" s="31">
        <f t="shared" si="114"/>
        <v>9619</v>
      </c>
      <c r="P430" s="47">
        <f>650*108+229*2</f>
        <v>70658</v>
      </c>
      <c r="Q430" s="31">
        <f>-108*6</f>
        <v>-648</v>
      </c>
      <c r="R430" s="31"/>
      <c r="S430" s="32">
        <f t="shared" ref="S430:S435" si="117">SUM(P430:Q430)</f>
        <v>70010</v>
      </c>
      <c r="T430" s="10"/>
      <c r="U430" s="10"/>
      <c r="V430" s="10">
        <f>-111*121</f>
        <v>-13431</v>
      </c>
      <c r="W430" s="12">
        <f t="shared" si="110"/>
        <v>56579</v>
      </c>
      <c r="Y430" s="10">
        <v>34</v>
      </c>
      <c r="Z430" s="30"/>
      <c r="AA430" s="31"/>
      <c r="AB430" s="47"/>
      <c r="AC430" s="31"/>
      <c r="AD430" s="31"/>
      <c r="AE430" s="32">
        <f t="shared" ref="AE430:AE435" si="118">SUM(AB430:AC430)</f>
        <v>0</v>
      </c>
      <c r="AF430" s="10"/>
      <c r="AG430" s="10"/>
      <c r="AH430" s="10"/>
      <c r="AI430" s="12">
        <f t="shared" si="112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11" t="s">
        <v>27</v>
      </c>
      <c r="P431" s="47"/>
      <c r="Q431" s="31"/>
      <c r="R431" s="31"/>
      <c r="S431" s="32">
        <f t="shared" si="117"/>
        <v>0</v>
      </c>
      <c r="T431" s="10"/>
      <c r="U431" s="10"/>
      <c r="V431" s="10"/>
      <c r="W431" s="12">
        <f t="shared" si="110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18"/>
        <v>0</v>
      </c>
      <c r="AF431" s="10"/>
      <c r="AG431" s="10"/>
      <c r="AH431" s="10"/>
      <c r="AI431" s="12">
        <f t="shared" si="112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17"/>
        <v>0</v>
      </c>
      <c r="T432" s="10"/>
      <c r="U432" s="10"/>
      <c r="V432" s="10"/>
      <c r="W432" s="12">
        <f t="shared" si="110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18"/>
        <v>0</v>
      </c>
      <c r="AF432" s="10"/>
      <c r="AG432" s="10"/>
      <c r="AH432" s="10"/>
      <c r="AI432" s="12">
        <f t="shared" si="112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O433" s="31"/>
      <c r="P433" s="47"/>
      <c r="Q433" s="31"/>
      <c r="R433" s="31"/>
      <c r="S433" s="32">
        <f t="shared" si="117"/>
        <v>0</v>
      </c>
      <c r="T433" s="10"/>
      <c r="U433" s="10"/>
      <c r="V433" s="10"/>
      <c r="W433" s="12">
        <f t="shared" si="110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18"/>
        <v>0</v>
      </c>
      <c r="AF433" s="10"/>
      <c r="AG433" s="10"/>
      <c r="AH433" s="10"/>
      <c r="AI433" s="12">
        <f t="shared" si="112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17"/>
        <v>0</v>
      </c>
      <c r="T434" s="10"/>
      <c r="U434" s="10"/>
      <c r="V434" s="10"/>
      <c r="W434" s="12">
        <f t="shared" si="110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18"/>
        <v>0</v>
      </c>
      <c r="AF434" s="10"/>
      <c r="AG434" s="10"/>
      <c r="AH434" s="10"/>
      <c r="AI434" s="12">
        <f t="shared" si="112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17"/>
        <v>0</v>
      </c>
      <c r="T435" s="10"/>
      <c r="U435" s="10"/>
      <c r="V435" s="10"/>
      <c r="W435" s="12">
        <f t="shared" si="110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18"/>
        <v>0</v>
      </c>
      <c r="AF435" s="10"/>
      <c r="AG435" s="10"/>
      <c r="AH435" s="10"/>
      <c r="AI435" s="12">
        <f t="shared" si="112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10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12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19">SUM(D437:E437)</f>
        <v>0</v>
      </c>
      <c r="H437" s="10"/>
      <c r="I437" s="10"/>
      <c r="J437" s="10"/>
      <c r="K437" s="12">
        <f t="shared" ref="K437" si="120">SUM(G437:J437)</f>
        <v>0</v>
      </c>
      <c r="M437" s="10"/>
      <c r="N437" s="30"/>
      <c r="O437" s="31"/>
      <c r="P437" s="47"/>
      <c r="Q437" s="31"/>
      <c r="R437" s="31"/>
      <c r="S437" s="32">
        <f t="shared" ref="S437" si="121">SUM(P437:Q437)</f>
        <v>0</v>
      </c>
      <c r="T437" s="10"/>
      <c r="U437" s="10"/>
      <c r="V437" s="10"/>
      <c r="W437" s="12">
        <f t="shared" si="110"/>
        <v>0</v>
      </c>
      <c r="Y437" s="10"/>
      <c r="Z437" s="30"/>
      <c r="AA437" s="31"/>
      <c r="AB437" s="47"/>
      <c r="AC437" s="31"/>
      <c r="AD437" s="31"/>
      <c r="AE437" s="32">
        <f t="shared" ref="AE437" si="122">SUM(AB437:AC437)</f>
        <v>0</v>
      </c>
      <c r="AF437" s="10"/>
      <c r="AG437" s="10"/>
      <c r="AH437" s="10"/>
      <c r="AI437" s="12">
        <f t="shared" si="112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10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12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228575</v>
      </c>
      <c r="E440" s="38">
        <f t="shared" ref="E440:F440" si="123">SUM(E397:E437)</f>
        <v>0</v>
      </c>
      <c r="F440" s="38">
        <f t="shared" si="123"/>
        <v>0</v>
      </c>
      <c r="G440" s="38">
        <f>SUM(G397:G439)</f>
        <v>228575</v>
      </c>
      <c r="H440" s="4"/>
      <c r="I440" s="39">
        <f>SUM(I397:I439)</f>
        <v>0</v>
      </c>
      <c r="J440" s="39">
        <f>SUM(J397:J439)</f>
        <v>0</v>
      </c>
      <c r="K440" s="40">
        <f>SUM(K397:K439)</f>
        <v>228575</v>
      </c>
      <c r="N440" s="57"/>
      <c r="O440" s="57"/>
      <c r="P440" s="38">
        <f>SUM(P397:P439)</f>
        <v>227138.6</v>
      </c>
      <c r="Q440" s="38">
        <f>SUM(Q397:Q421)</f>
        <v>0</v>
      </c>
      <c r="R440" s="38">
        <f>SUM(R397:R421)</f>
        <v>0</v>
      </c>
      <c r="S440" s="38">
        <f>SUM(S397:S439)</f>
        <v>226490.6</v>
      </c>
      <c r="T440" s="4"/>
      <c r="U440" s="41">
        <f>SUM(U397:U439)</f>
        <v>298.5</v>
      </c>
      <c r="V440" s="41">
        <f>SUM(V397:V421)</f>
        <v>-222</v>
      </c>
      <c r="W440" s="42">
        <f>SUM(W397:W439)</f>
        <v>213136.1</v>
      </c>
      <c r="Z440" s="57"/>
      <c r="AA440" s="57"/>
      <c r="AB440" s="38">
        <f>SUM(AB397:AB439)</f>
        <v>239609.5</v>
      </c>
      <c r="AC440" s="38">
        <f>SUM(AC397:AC421)</f>
        <v>-1128</v>
      </c>
      <c r="AD440" s="38">
        <f>SUM(AD397:AD421)</f>
        <v>0</v>
      </c>
      <c r="AE440" s="38">
        <f>SUM(AE397:AE439)</f>
        <v>238481.5</v>
      </c>
      <c r="AF440" s="4"/>
      <c r="AG440" s="41">
        <f>SUM(AG397:AG439)</f>
        <v>0</v>
      </c>
      <c r="AH440" s="41">
        <f>SUM(AH397:AH421)</f>
        <v>-1443</v>
      </c>
      <c r="AI440" s="42">
        <f>SUM(AI397:AI439)</f>
        <v>237038.5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44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44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44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60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60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60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35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6" t="s">
        <v>17</v>
      </c>
      <c r="E450" s="116"/>
      <c r="F450" s="98"/>
      <c r="G450" s="27"/>
      <c r="I450" s="117" t="s">
        <v>18</v>
      </c>
      <c r="J450" s="118"/>
      <c r="K450" s="112" t="s">
        <v>19</v>
      </c>
      <c r="N450" s="25"/>
      <c r="O450" s="26"/>
      <c r="P450" s="116" t="s">
        <v>17</v>
      </c>
      <c r="Q450" s="116"/>
      <c r="R450" s="98"/>
      <c r="S450" s="27"/>
      <c r="U450" s="117" t="s">
        <v>18</v>
      </c>
      <c r="V450" s="118"/>
      <c r="W450" s="112" t="s">
        <v>19</v>
      </c>
      <c r="Z450" s="25"/>
      <c r="AA450" s="26"/>
      <c r="AB450" s="116" t="s">
        <v>17</v>
      </c>
      <c r="AC450" s="116"/>
      <c r="AD450" s="98"/>
      <c r="AE450" s="27"/>
      <c r="AG450" s="117" t="s">
        <v>18</v>
      </c>
      <c r="AH450" s="118"/>
      <c r="AI450" s="112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13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13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13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46329</v>
      </c>
      <c r="C452" s="83">
        <v>9555</v>
      </c>
      <c r="D452" s="32">
        <f>650*20+9.5*20</f>
        <v>13190</v>
      </c>
      <c r="E452" s="32"/>
      <c r="F452" s="32"/>
      <c r="G452" s="32">
        <f t="shared" ref="G452:G485" si="124">SUM(D452:E452)</f>
        <v>13190</v>
      </c>
      <c r="H452" s="12"/>
      <c r="I452" s="12"/>
      <c r="J452" s="12"/>
      <c r="K452" s="12">
        <f t="shared" ref="K452:K485" si="125">SUM(G452:J452)</f>
        <v>13190</v>
      </c>
      <c r="M452" s="10">
        <v>1</v>
      </c>
      <c r="N452" s="30">
        <v>46329</v>
      </c>
      <c r="O452" s="31">
        <v>9620</v>
      </c>
      <c r="P452" s="32">
        <f>650*216+229*9</f>
        <v>142461</v>
      </c>
      <c r="Q452" s="32">
        <f>-216*6</f>
        <v>-1296</v>
      </c>
      <c r="R452" s="32"/>
      <c r="S452" s="32">
        <f>SUM(P452:Q452)</f>
        <v>141165</v>
      </c>
      <c r="T452" s="12"/>
      <c r="U452" s="12">
        <v>702</v>
      </c>
      <c r="V452" s="12">
        <f>-5460+-630</f>
        <v>-6090</v>
      </c>
      <c r="W452" s="12">
        <f>SUM(S452:V452)</f>
        <v>135777</v>
      </c>
      <c r="Y452" s="10">
        <v>1</v>
      </c>
      <c r="Z452" s="30">
        <v>46329</v>
      </c>
      <c r="AA452" s="31">
        <v>9533</v>
      </c>
      <c r="AB452" s="32">
        <f>650*108+670*5+229*4</f>
        <v>74466</v>
      </c>
      <c r="AC452" s="32">
        <f>-113*6</f>
        <v>-678</v>
      </c>
      <c r="AD452" s="32"/>
      <c r="AE452" s="32">
        <f>SUM(AB452:AC452)</f>
        <v>73788</v>
      </c>
      <c r="AF452" s="12"/>
      <c r="AG452" s="12">
        <v>240</v>
      </c>
      <c r="AH452" s="12">
        <v>-11322</v>
      </c>
      <c r="AI452" s="12">
        <f>SUM(AE452:AH452)</f>
        <v>62706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46329</v>
      </c>
      <c r="C453" s="83">
        <f>C452+1</f>
        <v>9556</v>
      </c>
      <c r="D453" s="32">
        <f>650*53+670+229*2+500</f>
        <v>36078</v>
      </c>
      <c r="E453" s="32"/>
      <c r="F453" s="32"/>
      <c r="G453" s="32">
        <f t="shared" si="124"/>
        <v>36078</v>
      </c>
      <c r="H453" s="12"/>
      <c r="I453" s="12"/>
      <c r="J453" s="12"/>
      <c r="K453" s="12">
        <f t="shared" si="125"/>
        <v>36078</v>
      </c>
      <c r="M453" s="10">
        <v>2</v>
      </c>
      <c r="N453" s="30">
        <v>46329</v>
      </c>
      <c r="O453" s="31">
        <f>O452+1</f>
        <v>9621</v>
      </c>
      <c r="P453" s="32">
        <f>650*80+229</f>
        <v>52229</v>
      </c>
      <c r="Q453" s="32">
        <f>-80*6</f>
        <v>-480</v>
      </c>
      <c r="R453" s="32"/>
      <c r="S453" s="32">
        <f t="shared" ref="S453:S484" si="126">SUM(P453:Q453)</f>
        <v>51749</v>
      </c>
      <c r="T453" s="12"/>
      <c r="U453" s="12">
        <v>36</v>
      </c>
      <c r="V453" s="12"/>
      <c r="W453" s="12">
        <f t="shared" ref="W453:W493" si="127">SUM(S453:V453)</f>
        <v>51785</v>
      </c>
      <c r="Y453" s="10">
        <v>2</v>
      </c>
      <c r="Z453" s="30">
        <v>46329</v>
      </c>
      <c r="AA453" s="31">
        <f>AA452+1</f>
        <v>9534</v>
      </c>
      <c r="AB453" s="32">
        <f>650*216+912*4+872*5+229*5+650*2</f>
        <v>150853</v>
      </c>
      <c r="AC453" s="32">
        <f>-225*6</f>
        <v>-1350</v>
      </c>
      <c r="AD453" s="32"/>
      <c r="AE453" s="32">
        <f t="shared" ref="AE453:AE461" si="128">SUM(AB453:AC453)</f>
        <v>149503</v>
      </c>
      <c r="AF453" s="12"/>
      <c r="AG453" s="12">
        <f>72+3996</f>
        <v>4068</v>
      </c>
      <c r="AH453" s="12">
        <f>-120+-42</f>
        <v>-162</v>
      </c>
      <c r="AI453" s="12">
        <f t="shared" ref="AI453:AI493" si="129">SUM(AE453:AH453)</f>
        <v>153409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46329</v>
      </c>
      <c r="C454" s="83">
        <f t="shared" ref="C454:C455" si="130">C453+1</f>
        <v>9557</v>
      </c>
      <c r="D454" s="33">
        <f>650*15+670+650</f>
        <v>11070</v>
      </c>
      <c r="E454" s="33"/>
      <c r="F454" s="33"/>
      <c r="G454" s="33">
        <f t="shared" si="124"/>
        <v>11070</v>
      </c>
      <c r="H454" s="34"/>
      <c r="I454" s="34"/>
      <c r="J454" s="34"/>
      <c r="K454" s="34">
        <f t="shared" si="125"/>
        <v>11070</v>
      </c>
      <c r="M454" s="10">
        <v>3</v>
      </c>
      <c r="N454" s="30">
        <v>46329</v>
      </c>
      <c r="O454" s="31">
        <f t="shared" ref="O454:O455" si="131">O453+1</f>
        <v>9622</v>
      </c>
      <c r="P454" s="32">
        <f>650*50</f>
        <v>32500</v>
      </c>
      <c r="Q454" s="32"/>
      <c r="R454" s="32"/>
      <c r="S454" s="32">
        <f t="shared" si="126"/>
        <v>32500</v>
      </c>
      <c r="T454" s="12"/>
      <c r="U454" s="12"/>
      <c r="V454" s="12"/>
      <c r="W454" s="12">
        <f t="shared" si="127"/>
        <v>32500</v>
      </c>
      <c r="Y454" s="10">
        <v>3</v>
      </c>
      <c r="Z454" s="30">
        <v>46329</v>
      </c>
      <c r="AA454" s="31">
        <f t="shared" ref="AA454:AA456" si="132">AA453+1</f>
        <v>9535</v>
      </c>
      <c r="AB454" s="33">
        <f>650*50+670*5+622*5+229*2</f>
        <v>39418</v>
      </c>
      <c r="AC454" s="33">
        <f>-60*6</f>
        <v>-360</v>
      </c>
      <c r="AD454" s="32"/>
      <c r="AE454" s="32">
        <f t="shared" si="128"/>
        <v>39058</v>
      </c>
      <c r="AF454" s="12"/>
      <c r="AG454" s="12"/>
      <c r="AH454" s="12"/>
      <c r="AI454" s="12">
        <f t="shared" si="129"/>
        <v>39058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46329</v>
      </c>
      <c r="C455" s="83">
        <f t="shared" si="130"/>
        <v>9558</v>
      </c>
      <c r="D455" s="32">
        <f>650*323+229*13</f>
        <v>212927</v>
      </c>
      <c r="E455" s="32">
        <f>-323*6</f>
        <v>-1938</v>
      </c>
      <c r="F455" s="32"/>
      <c r="G455" s="32">
        <f t="shared" si="124"/>
        <v>210989</v>
      </c>
      <c r="H455" s="12"/>
      <c r="I455" s="12">
        <v>858</v>
      </c>
      <c r="J455" s="12">
        <f>-720+-7770+-252+-6+-13.5</f>
        <v>-8761.5</v>
      </c>
      <c r="K455" s="12">
        <f t="shared" si="125"/>
        <v>203085.5</v>
      </c>
      <c r="M455" s="10">
        <v>4</v>
      </c>
      <c r="N455" s="30">
        <v>46329</v>
      </c>
      <c r="O455" s="31">
        <f t="shared" si="131"/>
        <v>9623</v>
      </c>
      <c r="P455" s="32">
        <f>650*2</f>
        <v>1300</v>
      </c>
      <c r="Q455" s="32"/>
      <c r="R455" s="32"/>
      <c r="S455" s="32">
        <f t="shared" si="126"/>
        <v>1300</v>
      </c>
      <c r="T455" s="12"/>
      <c r="U455" s="12"/>
      <c r="V455" s="12"/>
      <c r="W455" s="12">
        <f t="shared" si="127"/>
        <v>1300</v>
      </c>
      <c r="Y455" s="10">
        <v>4</v>
      </c>
      <c r="Z455" s="30">
        <v>46329</v>
      </c>
      <c r="AA455" s="31">
        <f t="shared" si="132"/>
        <v>9536</v>
      </c>
      <c r="AB455" s="32">
        <f>670*5</f>
        <v>3350</v>
      </c>
      <c r="AC455" s="32"/>
      <c r="AD455" s="32"/>
      <c r="AE455" s="32">
        <f t="shared" si="128"/>
        <v>3350</v>
      </c>
      <c r="AF455" s="12"/>
      <c r="AG455" s="58"/>
      <c r="AH455" s="12">
        <v>-1776</v>
      </c>
      <c r="AI455" s="12">
        <f t="shared" si="129"/>
        <v>1574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/>
      <c r="C456" s="11" t="s">
        <v>27</v>
      </c>
      <c r="D456" s="32"/>
      <c r="E456" s="32"/>
      <c r="F456" s="32"/>
      <c r="G456" s="32">
        <f t="shared" si="124"/>
        <v>0</v>
      </c>
      <c r="H456" s="12"/>
      <c r="I456" s="12"/>
      <c r="J456" s="12"/>
      <c r="K456" s="12">
        <f t="shared" si="125"/>
        <v>0</v>
      </c>
      <c r="M456" s="10">
        <v>5</v>
      </c>
      <c r="N456" s="30"/>
      <c r="O456" s="11" t="s">
        <v>27</v>
      </c>
      <c r="P456" s="32"/>
      <c r="Q456" s="32"/>
      <c r="R456" s="32"/>
      <c r="S456" s="32">
        <f t="shared" si="126"/>
        <v>0</v>
      </c>
      <c r="T456" s="12"/>
      <c r="U456" s="12"/>
      <c r="V456" s="12"/>
      <c r="W456" s="12">
        <f t="shared" si="127"/>
        <v>0</v>
      </c>
      <c r="Y456" s="10">
        <v>5</v>
      </c>
      <c r="Z456" s="30">
        <v>46329</v>
      </c>
      <c r="AA456" s="31">
        <f t="shared" si="132"/>
        <v>9537</v>
      </c>
      <c r="AB456" s="32">
        <f>650*44+973*2</f>
        <v>30546</v>
      </c>
      <c r="AC456" s="32"/>
      <c r="AD456" s="32"/>
      <c r="AE456" s="32">
        <f t="shared" si="128"/>
        <v>30546</v>
      </c>
      <c r="AF456" s="12"/>
      <c r="AG456" s="12"/>
      <c r="AH456" s="12">
        <v>-333</v>
      </c>
      <c r="AI456" s="12">
        <f t="shared" si="129"/>
        <v>30213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/>
      <c r="C457" s="83"/>
      <c r="D457" s="32"/>
      <c r="E457" s="32"/>
      <c r="F457" s="32"/>
      <c r="G457" s="32">
        <f t="shared" si="124"/>
        <v>0</v>
      </c>
      <c r="H457" s="12"/>
      <c r="I457" s="12"/>
      <c r="J457" s="12"/>
      <c r="K457" s="12">
        <f t="shared" si="125"/>
        <v>0</v>
      </c>
      <c r="M457" s="10">
        <v>6</v>
      </c>
      <c r="N457" s="30"/>
      <c r="O457" s="31"/>
      <c r="P457" s="32"/>
      <c r="Q457" s="32"/>
      <c r="R457" s="32"/>
      <c r="S457" s="32">
        <f t="shared" si="126"/>
        <v>0</v>
      </c>
      <c r="T457" s="12"/>
      <c r="U457" s="12"/>
      <c r="V457" s="10"/>
      <c r="W457" s="12">
        <f t="shared" si="127"/>
        <v>0</v>
      </c>
      <c r="Y457" s="10">
        <v>6</v>
      </c>
      <c r="Z457" s="30"/>
      <c r="AA457" s="11" t="s">
        <v>27</v>
      </c>
      <c r="AB457" s="32"/>
      <c r="AC457" s="32"/>
      <c r="AD457" s="32"/>
      <c r="AE457" s="32">
        <f t="shared" si="128"/>
        <v>0</v>
      </c>
      <c r="AF457" s="12"/>
      <c r="AG457" s="12"/>
      <c r="AH457" s="10"/>
      <c r="AI457" s="12">
        <f t="shared" si="129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/>
      <c r="C458" s="83"/>
      <c r="D458" s="32"/>
      <c r="E458" s="32"/>
      <c r="F458" s="32"/>
      <c r="G458" s="32">
        <f t="shared" si="124"/>
        <v>0</v>
      </c>
      <c r="H458" s="12"/>
      <c r="I458" s="12"/>
      <c r="J458" s="12"/>
      <c r="K458" s="12">
        <f t="shared" si="125"/>
        <v>0</v>
      </c>
      <c r="M458" s="10">
        <v>7</v>
      </c>
      <c r="N458" s="30"/>
      <c r="O458" s="31"/>
      <c r="P458" s="32"/>
      <c r="Q458" s="32"/>
      <c r="R458" s="32"/>
      <c r="S458" s="32">
        <f t="shared" si="126"/>
        <v>0</v>
      </c>
      <c r="T458" s="12"/>
      <c r="U458" s="12"/>
      <c r="V458" s="12"/>
      <c r="W458" s="12">
        <f t="shared" si="127"/>
        <v>0</v>
      </c>
      <c r="Y458" s="10">
        <v>7</v>
      </c>
      <c r="Z458" s="30"/>
      <c r="AA458" s="31"/>
      <c r="AB458" s="32"/>
      <c r="AC458" s="32"/>
      <c r="AD458" s="32"/>
      <c r="AE458" s="32">
        <f t="shared" si="128"/>
        <v>0</v>
      </c>
      <c r="AF458" s="12"/>
      <c r="AG458" s="58"/>
      <c r="AH458" s="12"/>
      <c r="AI458" s="12">
        <f t="shared" si="129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83"/>
      <c r="D459" s="32"/>
      <c r="E459" s="32"/>
      <c r="F459" s="32"/>
      <c r="G459" s="32">
        <f t="shared" si="124"/>
        <v>0</v>
      </c>
      <c r="H459" s="12"/>
      <c r="I459" s="12"/>
      <c r="J459" s="12"/>
      <c r="K459" s="12">
        <f t="shared" si="125"/>
        <v>0</v>
      </c>
      <c r="M459" s="10">
        <v>8</v>
      </c>
      <c r="N459" s="30"/>
      <c r="O459" s="31"/>
      <c r="P459" s="32"/>
      <c r="Q459" s="32"/>
      <c r="R459" s="32"/>
      <c r="S459" s="32">
        <f t="shared" si="126"/>
        <v>0</v>
      </c>
      <c r="T459" s="12"/>
      <c r="U459" s="12"/>
      <c r="V459" s="12"/>
      <c r="W459" s="12">
        <f t="shared" si="127"/>
        <v>0</v>
      </c>
      <c r="Y459" s="10">
        <v>8</v>
      </c>
      <c r="Z459" s="30"/>
      <c r="AA459" s="31"/>
      <c r="AB459" s="32"/>
      <c r="AC459" s="32"/>
      <c r="AE459" s="32">
        <f t="shared" si="128"/>
        <v>0</v>
      </c>
      <c r="AF459" s="12"/>
      <c r="AG459" s="12"/>
      <c r="AH459" s="12"/>
      <c r="AI459" s="12">
        <f t="shared" si="129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83"/>
      <c r="D460" s="32"/>
      <c r="E460" s="32"/>
      <c r="F460" s="32"/>
      <c r="G460" s="32">
        <f t="shared" si="124"/>
        <v>0</v>
      </c>
      <c r="H460" s="12"/>
      <c r="I460" s="12"/>
      <c r="J460" s="12"/>
      <c r="K460" s="12">
        <f t="shared" si="125"/>
        <v>0</v>
      </c>
      <c r="M460" s="10">
        <v>9</v>
      </c>
      <c r="N460" s="30"/>
      <c r="O460" s="31"/>
      <c r="P460" s="32"/>
      <c r="Q460" s="32"/>
      <c r="R460" s="32"/>
      <c r="S460" s="32">
        <f t="shared" si="126"/>
        <v>0</v>
      </c>
      <c r="T460" s="12"/>
      <c r="U460" s="12"/>
      <c r="V460" s="12"/>
      <c r="W460" s="12">
        <f t="shared" si="127"/>
        <v>0</v>
      </c>
      <c r="Y460" s="10">
        <v>9</v>
      </c>
      <c r="Z460" s="30"/>
      <c r="AA460" s="31"/>
      <c r="AB460" s="32"/>
      <c r="AC460" s="32"/>
      <c r="AD460" s="32"/>
      <c r="AE460" s="32">
        <f t="shared" si="128"/>
        <v>0</v>
      </c>
      <c r="AF460" s="12"/>
      <c r="AH460" s="12"/>
      <c r="AI460" s="12">
        <f t="shared" si="129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83"/>
      <c r="D461" s="32"/>
      <c r="E461" s="32"/>
      <c r="F461" s="32"/>
      <c r="G461" s="32">
        <f t="shared" si="124"/>
        <v>0</v>
      </c>
      <c r="H461" s="12"/>
      <c r="I461" s="12"/>
      <c r="J461" s="12"/>
      <c r="K461" s="12">
        <f t="shared" si="125"/>
        <v>0</v>
      </c>
      <c r="M461" s="10">
        <v>10</v>
      </c>
      <c r="N461" s="30"/>
      <c r="O461" s="31"/>
      <c r="P461" s="32"/>
      <c r="Q461" s="32"/>
      <c r="R461" s="32"/>
      <c r="S461" s="32">
        <f t="shared" si="126"/>
        <v>0</v>
      </c>
      <c r="T461" s="12"/>
      <c r="U461" s="12"/>
      <c r="V461" s="12"/>
      <c r="W461" s="12">
        <f t="shared" si="127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28"/>
        <v>0</v>
      </c>
      <c r="AF461" s="12"/>
      <c r="AG461" s="12"/>
      <c r="AH461" s="12"/>
      <c r="AI461" s="12">
        <f t="shared" si="129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C462" s="83"/>
      <c r="D462" s="32"/>
      <c r="E462" s="32"/>
      <c r="F462" s="32"/>
      <c r="G462" s="32">
        <f t="shared" si="124"/>
        <v>0</v>
      </c>
      <c r="H462" s="12"/>
      <c r="I462" s="12"/>
      <c r="J462" s="12"/>
      <c r="K462" s="12">
        <f t="shared" si="125"/>
        <v>0</v>
      </c>
      <c r="M462" s="10">
        <v>11</v>
      </c>
      <c r="N462" s="30"/>
      <c r="O462" s="31"/>
      <c r="P462" s="32"/>
      <c r="Q462" s="32"/>
      <c r="R462" s="32"/>
      <c r="S462" s="32">
        <f t="shared" si="126"/>
        <v>0</v>
      </c>
      <c r="T462" s="12"/>
      <c r="U462" s="12"/>
      <c r="V462" s="12"/>
      <c r="W462" s="12">
        <f t="shared" si="127"/>
        <v>0</v>
      </c>
      <c r="Y462" s="10">
        <v>11</v>
      </c>
      <c r="Z462" s="30"/>
      <c r="AA462" s="31"/>
      <c r="AB462" s="32"/>
      <c r="AC462" s="32"/>
      <c r="AD462" s="32"/>
      <c r="AE462" s="32">
        <f t="shared" ref="AE462:AE484" si="133">SUM(AB462:AC462)</f>
        <v>0</v>
      </c>
      <c r="AF462" s="12"/>
      <c r="AG462" s="12"/>
      <c r="AH462" s="12"/>
      <c r="AI462" s="12">
        <f t="shared" si="129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83"/>
      <c r="D463" s="32"/>
      <c r="E463" s="32"/>
      <c r="F463" s="32"/>
      <c r="G463" s="32">
        <f t="shared" si="124"/>
        <v>0</v>
      </c>
      <c r="H463" s="12"/>
      <c r="I463" s="12"/>
      <c r="J463" s="10"/>
      <c r="K463" s="12">
        <f t="shared" si="125"/>
        <v>0</v>
      </c>
      <c r="M463" s="10">
        <v>12</v>
      </c>
      <c r="N463" s="30"/>
      <c r="O463" s="31"/>
      <c r="P463" s="32"/>
      <c r="Q463" s="32"/>
      <c r="R463" s="32"/>
      <c r="S463" s="32">
        <f t="shared" si="126"/>
        <v>0</v>
      </c>
      <c r="T463" s="12"/>
      <c r="U463" s="12"/>
      <c r="V463" s="12"/>
      <c r="W463" s="12">
        <f t="shared" si="127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33"/>
        <v>0</v>
      </c>
      <c r="AF463" s="12"/>
      <c r="AG463" s="12"/>
      <c r="AH463" s="12"/>
      <c r="AI463" s="12">
        <f t="shared" si="129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83"/>
      <c r="D464" s="32"/>
      <c r="E464" s="32"/>
      <c r="F464" s="32"/>
      <c r="G464" s="32">
        <f t="shared" si="124"/>
        <v>0</v>
      </c>
      <c r="H464" s="12"/>
      <c r="I464" s="12"/>
      <c r="J464" s="12"/>
      <c r="K464" s="12">
        <f t="shared" si="125"/>
        <v>0</v>
      </c>
      <c r="M464" s="10">
        <v>13</v>
      </c>
      <c r="N464" s="30"/>
      <c r="O464" s="31"/>
      <c r="P464" s="32"/>
      <c r="Q464" s="32"/>
      <c r="R464" s="32"/>
      <c r="S464" s="32">
        <f t="shared" si="126"/>
        <v>0</v>
      </c>
      <c r="T464" s="12"/>
      <c r="U464" s="12"/>
      <c r="V464" s="12"/>
      <c r="W464" s="12">
        <f t="shared" si="127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33"/>
        <v>0</v>
      </c>
      <c r="AF464" s="12"/>
      <c r="AG464" s="12"/>
      <c r="AH464" s="12"/>
      <c r="AI464" s="12">
        <f t="shared" si="129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D465" s="32"/>
      <c r="E465" s="32"/>
      <c r="F465" s="32"/>
      <c r="G465" s="32">
        <f t="shared" si="124"/>
        <v>0</v>
      </c>
      <c r="H465" s="12"/>
      <c r="I465" s="12"/>
      <c r="J465" s="12"/>
      <c r="K465" s="12">
        <f t="shared" si="125"/>
        <v>0</v>
      </c>
      <c r="M465" s="10">
        <v>14</v>
      </c>
      <c r="N465" s="30"/>
      <c r="O465" s="31"/>
      <c r="P465" s="32"/>
      <c r="Q465" s="32"/>
      <c r="R465" s="32"/>
      <c r="S465" s="32">
        <f t="shared" si="126"/>
        <v>0</v>
      </c>
      <c r="T465" s="12"/>
      <c r="U465" s="12"/>
      <c r="V465" s="12"/>
      <c r="W465" s="12">
        <f t="shared" si="127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33"/>
        <v>0</v>
      </c>
      <c r="AF465" s="12"/>
      <c r="AG465" s="12"/>
      <c r="AH465" s="12"/>
      <c r="AI465" s="12">
        <f t="shared" si="129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83"/>
      <c r="D466" s="32"/>
      <c r="E466" s="32"/>
      <c r="F466" s="32"/>
      <c r="G466" s="32">
        <f t="shared" si="124"/>
        <v>0</v>
      </c>
      <c r="H466" s="12"/>
      <c r="I466" s="12"/>
      <c r="J466" s="12"/>
      <c r="K466" s="12">
        <f t="shared" si="125"/>
        <v>0</v>
      </c>
      <c r="M466" s="10">
        <v>15</v>
      </c>
      <c r="N466" s="30"/>
      <c r="O466" s="31"/>
      <c r="P466" s="32"/>
      <c r="Q466" s="32"/>
      <c r="R466" s="32"/>
      <c r="S466" s="32">
        <f t="shared" si="126"/>
        <v>0</v>
      </c>
      <c r="T466" s="12"/>
      <c r="U466" s="12"/>
      <c r="V466" s="12"/>
      <c r="W466" s="12">
        <f t="shared" si="127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33"/>
        <v>0</v>
      </c>
      <c r="AF466" s="12"/>
      <c r="AG466" s="12"/>
      <c r="AH466" s="12"/>
      <c r="AI466" s="12">
        <f t="shared" si="129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C467" s="83"/>
      <c r="D467" s="32"/>
      <c r="E467" s="32"/>
      <c r="F467" s="32"/>
      <c r="G467" s="32">
        <f t="shared" si="124"/>
        <v>0</v>
      </c>
      <c r="H467" s="12"/>
      <c r="I467" s="12"/>
      <c r="J467" s="12"/>
      <c r="K467" s="12">
        <f t="shared" si="125"/>
        <v>0</v>
      </c>
      <c r="M467" s="10">
        <v>16</v>
      </c>
      <c r="N467" s="30"/>
      <c r="O467" s="31"/>
      <c r="P467" s="32"/>
      <c r="Q467" s="32"/>
      <c r="R467" s="32"/>
      <c r="S467" s="32">
        <f t="shared" si="126"/>
        <v>0</v>
      </c>
      <c r="T467" s="12"/>
      <c r="U467" s="12"/>
      <c r="V467" s="12"/>
      <c r="W467" s="12">
        <f t="shared" si="127"/>
        <v>0</v>
      </c>
      <c r="Y467" s="10">
        <v>16</v>
      </c>
      <c r="Z467" s="30"/>
      <c r="AB467" s="32"/>
      <c r="AC467" s="32"/>
      <c r="AD467" s="32"/>
      <c r="AE467" s="32">
        <f t="shared" si="133"/>
        <v>0</v>
      </c>
      <c r="AF467" s="12"/>
      <c r="AG467" s="12"/>
      <c r="AH467" s="12"/>
      <c r="AI467" s="12">
        <f t="shared" si="129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3"/>
      <c r="D468" s="32"/>
      <c r="E468" s="32"/>
      <c r="F468" s="32"/>
      <c r="G468" s="32">
        <f t="shared" si="124"/>
        <v>0</v>
      </c>
      <c r="H468" s="12"/>
      <c r="I468" s="12"/>
      <c r="J468" s="12"/>
      <c r="K468" s="12">
        <f t="shared" si="125"/>
        <v>0</v>
      </c>
      <c r="M468" s="10">
        <v>17</v>
      </c>
      <c r="N468" s="30"/>
      <c r="O468" s="31"/>
      <c r="P468" s="35"/>
      <c r="Q468" s="32"/>
      <c r="R468" s="32"/>
      <c r="S468" s="32">
        <f t="shared" si="126"/>
        <v>0</v>
      </c>
      <c r="T468" s="12"/>
      <c r="U468" s="12"/>
      <c r="V468" s="12"/>
      <c r="W468" s="12">
        <f t="shared" si="127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33"/>
        <v>0</v>
      </c>
      <c r="AF468" s="12"/>
      <c r="AG468" s="12"/>
      <c r="AH468" s="12"/>
      <c r="AI468" s="12">
        <f t="shared" si="129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83"/>
      <c r="D469" s="32"/>
      <c r="E469" s="32"/>
      <c r="F469" s="32"/>
      <c r="G469" s="32">
        <f t="shared" si="124"/>
        <v>0</v>
      </c>
      <c r="H469" s="12"/>
      <c r="I469" s="12"/>
      <c r="J469" s="12"/>
      <c r="K469" s="12">
        <f t="shared" si="125"/>
        <v>0</v>
      </c>
      <c r="M469" s="10">
        <v>18</v>
      </c>
      <c r="N469" s="30"/>
      <c r="O469" s="31"/>
      <c r="P469" s="32"/>
      <c r="Q469" s="32"/>
      <c r="R469" s="32"/>
      <c r="S469" s="32">
        <f t="shared" si="126"/>
        <v>0</v>
      </c>
      <c r="T469" s="12"/>
      <c r="U469" s="12"/>
      <c r="V469" s="12"/>
      <c r="W469" s="12">
        <f t="shared" si="127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33"/>
        <v>0</v>
      </c>
      <c r="AF469" s="12"/>
      <c r="AG469" s="12"/>
      <c r="AH469" s="12"/>
      <c r="AI469" s="12">
        <f t="shared" si="129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3"/>
      <c r="D470" s="32"/>
      <c r="E470" s="32"/>
      <c r="F470" s="32"/>
      <c r="G470" s="32">
        <f t="shared" si="124"/>
        <v>0</v>
      </c>
      <c r="H470" s="12"/>
      <c r="I470" s="12"/>
      <c r="J470" s="12"/>
      <c r="K470" s="12">
        <f t="shared" si="125"/>
        <v>0</v>
      </c>
      <c r="M470" s="10">
        <v>19</v>
      </c>
      <c r="N470" s="30"/>
      <c r="O470" s="31"/>
      <c r="P470" s="32"/>
      <c r="Q470" s="32"/>
      <c r="R470" s="32"/>
      <c r="S470" s="32">
        <f t="shared" si="126"/>
        <v>0</v>
      </c>
      <c r="T470" s="12"/>
      <c r="U470" s="12"/>
      <c r="V470" s="12"/>
      <c r="W470" s="12">
        <f t="shared" si="127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33"/>
        <v>0</v>
      </c>
      <c r="AF470" s="12"/>
      <c r="AG470" s="12"/>
      <c r="AH470" s="12"/>
      <c r="AI470" s="12">
        <f t="shared" si="129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3"/>
      <c r="D471" s="32"/>
      <c r="E471" s="32"/>
      <c r="F471" s="32"/>
      <c r="G471" s="32">
        <f t="shared" si="124"/>
        <v>0</v>
      </c>
      <c r="H471" s="12"/>
      <c r="I471" s="12"/>
      <c r="J471" s="12"/>
      <c r="K471" s="12">
        <f t="shared" si="125"/>
        <v>0</v>
      </c>
      <c r="M471" s="10">
        <v>20</v>
      </c>
      <c r="N471" s="30"/>
      <c r="O471" s="31"/>
      <c r="P471" s="32"/>
      <c r="Q471" s="32"/>
      <c r="R471" s="32"/>
      <c r="S471" s="32">
        <f t="shared" si="126"/>
        <v>0</v>
      </c>
      <c r="T471" s="12"/>
      <c r="U471" s="12"/>
      <c r="V471" s="12"/>
      <c r="W471" s="12">
        <f t="shared" si="127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33"/>
        <v>0</v>
      </c>
      <c r="AF471" s="12"/>
      <c r="AG471" s="12"/>
      <c r="AH471" s="12"/>
      <c r="AI471" s="12">
        <f t="shared" si="129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57"/>
      <c r="D472" s="32"/>
      <c r="E472" s="32"/>
      <c r="F472" s="32"/>
      <c r="G472" s="32">
        <f t="shared" si="124"/>
        <v>0</v>
      </c>
      <c r="H472" s="10"/>
      <c r="I472" s="10"/>
      <c r="J472" s="10"/>
      <c r="K472" s="12">
        <f t="shared" si="125"/>
        <v>0</v>
      </c>
      <c r="M472" s="10">
        <v>21</v>
      </c>
      <c r="N472" s="30"/>
      <c r="O472" s="31"/>
      <c r="P472" s="46"/>
      <c r="Q472" s="31"/>
      <c r="R472" s="31"/>
      <c r="S472" s="32">
        <f t="shared" si="126"/>
        <v>0</v>
      </c>
      <c r="T472" s="10"/>
      <c r="U472" s="10"/>
      <c r="V472" s="10"/>
      <c r="W472" s="12">
        <f t="shared" si="127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33"/>
        <v>0</v>
      </c>
      <c r="AF472" s="10"/>
      <c r="AG472" s="10"/>
      <c r="AH472" s="10"/>
      <c r="AI472" s="12">
        <f t="shared" si="129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3"/>
      <c r="D473" s="32"/>
      <c r="E473" s="32"/>
      <c r="F473" s="32"/>
      <c r="G473" s="32">
        <f t="shared" si="124"/>
        <v>0</v>
      </c>
      <c r="H473" s="10"/>
      <c r="I473" s="10"/>
      <c r="J473" s="10"/>
      <c r="K473" s="12">
        <f t="shared" si="125"/>
        <v>0</v>
      </c>
      <c r="M473" s="10">
        <v>22</v>
      </c>
      <c r="N473" s="30"/>
      <c r="O473" s="31"/>
      <c r="P473" s="45"/>
      <c r="Q473" s="31"/>
      <c r="R473" s="31"/>
      <c r="S473" s="32">
        <f t="shared" si="126"/>
        <v>0</v>
      </c>
      <c r="T473" s="10"/>
      <c r="U473" s="10"/>
      <c r="V473" s="10"/>
      <c r="W473" s="12">
        <f t="shared" si="127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33"/>
        <v>0</v>
      </c>
      <c r="AF473" s="10"/>
      <c r="AG473" s="10"/>
      <c r="AH473" s="10"/>
      <c r="AI473" s="12">
        <f t="shared" si="129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24"/>
        <v>0</v>
      </c>
      <c r="H474" s="10"/>
      <c r="I474" s="10"/>
      <c r="J474" s="12"/>
      <c r="K474" s="12">
        <f t="shared" si="125"/>
        <v>0</v>
      </c>
      <c r="M474" s="10">
        <v>23</v>
      </c>
      <c r="N474" s="30"/>
      <c r="O474" s="31"/>
      <c r="P474" s="47"/>
      <c r="Q474" s="31"/>
      <c r="S474" s="32">
        <f t="shared" si="126"/>
        <v>0</v>
      </c>
      <c r="T474" s="10"/>
      <c r="U474" s="10"/>
      <c r="V474" s="10"/>
      <c r="W474" s="12">
        <f t="shared" si="127"/>
        <v>0</v>
      </c>
      <c r="Y474" s="10">
        <v>23</v>
      </c>
      <c r="Z474" s="30"/>
      <c r="AA474" s="31"/>
      <c r="AB474" s="47"/>
      <c r="AE474" s="32">
        <f t="shared" si="133"/>
        <v>0</v>
      </c>
      <c r="AF474" s="10"/>
      <c r="AG474" s="10"/>
      <c r="AH474" s="10"/>
      <c r="AI474" s="12">
        <f t="shared" si="129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24"/>
        <v>0</v>
      </c>
      <c r="H475" s="10"/>
      <c r="I475" s="10"/>
      <c r="J475" s="10"/>
      <c r="K475" s="12">
        <f t="shared" si="125"/>
        <v>0</v>
      </c>
      <c r="M475" s="10">
        <v>24</v>
      </c>
      <c r="N475" s="30"/>
      <c r="O475" s="31"/>
      <c r="P475" s="47"/>
      <c r="Q475" s="31"/>
      <c r="R475" s="31"/>
      <c r="S475" s="32">
        <f t="shared" si="126"/>
        <v>0</v>
      </c>
      <c r="T475" s="10"/>
      <c r="U475" s="10"/>
      <c r="V475" s="10"/>
      <c r="W475" s="12">
        <f t="shared" si="127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33"/>
        <v>0</v>
      </c>
      <c r="AF475" s="10"/>
      <c r="AG475" s="10"/>
      <c r="AH475" s="10"/>
      <c r="AI475" s="12">
        <f t="shared" si="129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24"/>
        <v>0</v>
      </c>
      <c r="H476" s="10"/>
      <c r="I476" s="10"/>
      <c r="J476" s="10"/>
      <c r="K476" s="12">
        <f t="shared" si="125"/>
        <v>0</v>
      </c>
      <c r="M476" s="10">
        <v>25</v>
      </c>
      <c r="N476" s="30"/>
      <c r="O476" s="31"/>
      <c r="P476" s="47"/>
      <c r="Q476" s="31"/>
      <c r="R476" s="31"/>
      <c r="S476" s="32">
        <f t="shared" si="126"/>
        <v>0</v>
      </c>
      <c r="T476" s="10"/>
      <c r="U476" s="10"/>
      <c r="V476" s="10"/>
      <c r="W476" s="12">
        <f t="shared" si="127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33"/>
        <v>0</v>
      </c>
      <c r="AF476" s="10"/>
      <c r="AG476" s="10"/>
      <c r="AH476" s="10"/>
      <c r="AI476" s="12">
        <f t="shared" si="129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24"/>
        <v>0</v>
      </c>
      <c r="H477" s="10"/>
      <c r="I477" s="10"/>
      <c r="J477" s="10"/>
      <c r="K477" s="12">
        <f t="shared" si="125"/>
        <v>0</v>
      </c>
      <c r="M477" s="10">
        <v>26</v>
      </c>
      <c r="N477" s="30"/>
      <c r="O477" s="31"/>
      <c r="P477" s="47"/>
      <c r="Q477" s="31"/>
      <c r="R477" s="31"/>
      <c r="S477" s="32">
        <f t="shared" si="126"/>
        <v>0</v>
      </c>
      <c r="T477" s="10"/>
      <c r="U477" s="10"/>
      <c r="V477" s="10"/>
      <c r="W477" s="12">
        <f t="shared" si="127"/>
        <v>0</v>
      </c>
      <c r="Y477" s="10">
        <v>26</v>
      </c>
      <c r="Z477" s="30"/>
      <c r="AB477" s="47"/>
      <c r="AC477" s="31"/>
      <c r="AD477" s="31"/>
      <c r="AE477" s="32">
        <f t="shared" si="133"/>
        <v>0</v>
      </c>
      <c r="AF477" s="10"/>
      <c r="AG477" s="10"/>
      <c r="AH477" s="10"/>
      <c r="AI477" s="12">
        <f t="shared" si="129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24"/>
        <v>0</v>
      </c>
      <c r="H478" s="10"/>
      <c r="I478" s="10"/>
      <c r="J478" s="10"/>
      <c r="K478" s="12">
        <f t="shared" si="125"/>
        <v>0</v>
      </c>
      <c r="M478" s="10">
        <v>27</v>
      </c>
      <c r="N478" s="30"/>
      <c r="O478" s="31"/>
      <c r="P478" s="47"/>
      <c r="Q478" s="31"/>
      <c r="R478" s="31"/>
      <c r="S478" s="32">
        <f t="shared" si="126"/>
        <v>0</v>
      </c>
      <c r="T478" s="10"/>
      <c r="U478" s="10"/>
      <c r="V478" s="10"/>
      <c r="W478" s="12">
        <f t="shared" si="127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33"/>
        <v>0</v>
      </c>
      <c r="AF478" s="10"/>
      <c r="AG478" s="10"/>
      <c r="AH478" s="10"/>
      <c r="AI478" s="12">
        <f t="shared" si="129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24"/>
        <v>0</v>
      </c>
      <c r="H479" s="10"/>
      <c r="I479" s="10"/>
      <c r="J479" s="10"/>
      <c r="K479" s="12">
        <f t="shared" si="125"/>
        <v>0</v>
      </c>
      <c r="M479" s="10">
        <v>28</v>
      </c>
      <c r="N479" s="30"/>
      <c r="O479" s="31"/>
      <c r="P479" s="47"/>
      <c r="Q479" s="31"/>
      <c r="R479" s="31"/>
      <c r="S479" s="32">
        <f t="shared" si="126"/>
        <v>0</v>
      </c>
      <c r="T479" s="10"/>
      <c r="U479" s="10"/>
      <c r="V479" s="10"/>
      <c r="W479" s="12">
        <f t="shared" si="127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33"/>
        <v>0</v>
      </c>
      <c r="AF479" s="10"/>
      <c r="AG479" s="10"/>
      <c r="AH479" s="10"/>
      <c r="AI479" s="12">
        <f t="shared" si="129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3"/>
      <c r="D480" s="32"/>
      <c r="E480" s="32"/>
      <c r="F480" s="32"/>
      <c r="G480" s="32">
        <f t="shared" si="124"/>
        <v>0</v>
      </c>
      <c r="H480" s="10"/>
      <c r="I480" s="10"/>
      <c r="J480" s="10"/>
      <c r="K480" s="12">
        <f t="shared" si="125"/>
        <v>0</v>
      </c>
      <c r="M480" s="10">
        <v>29</v>
      </c>
      <c r="N480" s="30"/>
      <c r="O480" s="31"/>
      <c r="P480" s="47"/>
      <c r="Q480" s="31"/>
      <c r="R480" s="31"/>
      <c r="S480" s="32">
        <f t="shared" si="126"/>
        <v>0</v>
      </c>
      <c r="T480" s="10"/>
      <c r="U480" s="10"/>
      <c r="V480" s="10"/>
      <c r="W480" s="12">
        <f t="shared" si="127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33"/>
        <v>0</v>
      </c>
      <c r="AF480" s="10"/>
      <c r="AG480" s="10"/>
      <c r="AH480" s="10"/>
      <c r="AI480" s="12">
        <f t="shared" si="129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24"/>
        <v>0</v>
      </c>
      <c r="H481" s="10"/>
      <c r="I481" s="10"/>
      <c r="J481" s="10"/>
      <c r="K481" s="12">
        <f t="shared" si="125"/>
        <v>0</v>
      </c>
      <c r="M481" s="10">
        <v>30</v>
      </c>
      <c r="N481" s="30"/>
      <c r="O481" s="31"/>
      <c r="P481" s="47"/>
      <c r="Q481" s="31"/>
      <c r="R481" s="31"/>
      <c r="S481" s="32">
        <f t="shared" si="126"/>
        <v>0</v>
      </c>
      <c r="T481" s="10"/>
      <c r="U481" s="10"/>
      <c r="V481" s="10"/>
      <c r="W481" s="12">
        <f t="shared" si="127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33"/>
        <v>0</v>
      </c>
      <c r="AF481" s="10"/>
      <c r="AG481" s="10"/>
      <c r="AH481" s="10"/>
      <c r="AI481" s="12">
        <f t="shared" si="129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3"/>
      <c r="D482" s="32"/>
      <c r="E482" s="32"/>
      <c r="F482" s="32"/>
      <c r="G482" s="32">
        <f t="shared" si="124"/>
        <v>0</v>
      </c>
      <c r="H482" s="10"/>
      <c r="I482" s="10"/>
      <c r="J482" s="10"/>
      <c r="K482" s="12">
        <f t="shared" si="125"/>
        <v>0</v>
      </c>
      <c r="M482" s="10">
        <v>31</v>
      </c>
      <c r="N482" s="30"/>
      <c r="O482" s="31"/>
      <c r="P482" s="47"/>
      <c r="Q482" s="31"/>
      <c r="R482" s="31"/>
      <c r="S482" s="32">
        <f t="shared" si="126"/>
        <v>0</v>
      </c>
      <c r="T482" s="10"/>
      <c r="U482" s="10"/>
      <c r="V482" s="10"/>
      <c r="W482" s="12">
        <f t="shared" si="127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33"/>
        <v>0</v>
      </c>
      <c r="AF482" s="10"/>
      <c r="AG482" s="10"/>
      <c r="AH482" s="10"/>
      <c r="AI482" s="12">
        <f t="shared" si="129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24"/>
        <v>0</v>
      </c>
      <c r="H483" s="10"/>
      <c r="I483" s="10"/>
      <c r="J483" s="10"/>
      <c r="K483" s="12">
        <f t="shared" si="125"/>
        <v>0</v>
      </c>
      <c r="M483" s="10">
        <v>32</v>
      </c>
      <c r="N483" s="30"/>
      <c r="O483" s="31"/>
      <c r="P483" s="47"/>
      <c r="Q483" s="31"/>
      <c r="R483" s="31"/>
      <c r="S483" s="32">
        <f t="shared" si="126"/>
        <v>0</v>
      </c>
      <c r="T483" s="10"/>
      <c r="U483" s="10"/>
      <c r="V483" s="10"/>
      <c r="W483" s="12">
        <f t="shared" si="127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33"/>
        <v>0</v>
      </c>
      <c r="AF483" s="10"/>
      <c r="AG483" s="10"/>
      <c r="AH483" s="10"/>
      <c r="AI483" s="12">
        <f t="shared" si="129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24"/>
        <v>0</v>
      </c>
      <c r="H484" s="10"/>
      <c r="I484" s="10"/>
      <c r="J484" s="10"/>
      <c r="K484" s="12">
        <f t="shared" si="125"/>
        <v>0</v>
      </c>
      <c r="M484" s="10">
        <v>33</v>
      </c>
      <c r="N484" s="30"/>
      <c r="O484" s="31"/>
      <c r="P484" s="47"/>
      <c r="Q484" s="31"/>
      <c r="R484" s="31"/>
      <c r="S484" s="32">
        <f t="shared" si="126"/>
        <v>0</v>
      </c>
      <c r="T484" s="10"/>
      <c r="U484" s="10"/>
      <c r="V484" s="10"/>
      <c r="W484" s="12">
        <f t="shared" si="127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33"/>
        <v>0</v>
      </c>
      <c r="AF484" s="10"/>
      <c r="AG484" s="10"/>
      <c r="AH484" s="10"/>
      <c r="AI484" s="12">
        <f t="shared" si="129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24"/>
        <v>0</v>
      </c>
      <c r="H485" s="10"/>
      <c r="I485" s="10"/>
      <c r="J485" s="10"/>
      <c r="K485" s="12">
        <f t="shared" si="125"/>
        <v>0</v>
      </c>
      <c r="M485" s="10">
        <v>34</v>
      </c>
      <c r="N485" s="30"/>
      <c r="O485" s="31"/>
      <c r="P485" s="47"/>
      <c r="Q485" s="31"/>
      <c r="R485" s="31"/>
      <c r="S485" s="32">
        <f t="shared" ref="S485:S490" si="134">SUM(P485:Q485)</f>
        <v>0</v>
      </c>
      <c r="T485" s="10"/>
      <c r="U485" s="10"/>
      <c r="V485" s="10"/>
      <c r="W485" s="12">
        <f t="shared" si="127"/>
        <v>0</v>
      </c>
      <c r="Y485" s="10">
        <v>34</v>
      </c>
      <c r="Z485" s="30"/>
      <c r="AA485" s="31"/>
      <c r="AB485" s="47"/>
      <c r="AC485" s="31"/>
      <c r="AD485" s="31"/>
      <c r="AE485" s="32">
        <f t="shared" ref="AE485:AE490" si="135">SUM(AB485:AC485)</f>
        <v>0</v>
      </c>
      <c r="AF485" s="10"/>
      <c r="AG485" s="10"/>
      <c r="AH485" s="10"/>
      <c r="AI485" s="12">
        <f t="shared" si="129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P486" s="47"/>
      <c r="Q486" s="31"/>
      <c r="R486" s="31"/>
      <c r="S486" s="32">
        <f t="shared" si="134"/>
        <v>0</v>
      </c>
      <c r="T486" s="10"/>
      <c r="U486" s="10"/>
      <c r="V486" s="10"/>
      <c r="W486" s="12">
        <f t="shared" si="127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35"/>
        <v>0</v>
      </c>
      <c r="AF486" s="10"/>
      <c r="AG486" s="10"/>
      <c r="AH486" s="10"/>
      <c r="AI486" s="12">
        <f t="shared" si="129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34"/>
        <v>0</v>
      </c>
      <c r="T487" s="10"/>
      <c r="U487" s="10"/>
      <c r="V487" s="10"/>
      <c r="W487" s="12">
        <f t="shared" si="127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35"/>
        <v>0</v>
      </c>
      <c r="AF487" s="10"/>
      <c r="AG487" s="10"/>
      <c r="AH487" s="10"/>
      <c r="AI487" s="12">
        <f t="shared" si="129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O488" s="31"/>
      <c r="P488" s="47"/>
      <c r="Q488" s="31"/>
      <c r="R488" s="31"/>
      <c r="S488" s="32">
        <f t="shared" si="134"/>
        <v>0</v>
      </c>
      <c r="T488" s="10"/>
      <c r="U488" s="10"/>
      <c r="V488" s="10"/>
      <c r="W488" s="12">
        <f t="shared" si="127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35"/>
        <v>0</v>
      </c>
      <c r="AF488" s="10"/>
      <c r="AG488" s="10"/>
      <c r="AH488" s="10"/>
      <c r="AI488" s="12">
        <f t="shared" si="129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34"/>
        <v>0</v>
      </c>
      <c r="T489" s="10"/>
      <c r="U489" s="10"/>
      <c r="V489" s="10"/>
      <c r="W489" s="12">
        <f t="shared" si="127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35"/>
        <v>0</v>
      </c>
      <c r="AF489" s="10"/>
      <c r="AG489" s="10"/>
      <c r="AH489" s="10"/>
      <c r="AI489" s="12">
        <f t="shared" si="129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34"/>
        <v>0</v>
      </c>
      <c r="T490" s="10"/>
      <c r="U490" s="10"/>
      <c r="V490" s="10"/>
      <c r="W490" s="12">
        <f t="shared" si="127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35"/>
        <v>0</v>
      </c>
      <c r="AF490" s="10"/>
      <c r="AG490" s="10"/>
      <c r="AH490" s="10"/>
      <c r="AI490" s="12">
        <f t="shared" si="129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27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29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36">SUM(D492:E492)</f>
        <v>0</v>
      </c>
      <c r="H492" s="10"/>
      <c r="I492" s="10"/>
      <c r="J492" s="10"/>
      <c r="K492" s="12">
        <f t="shared" ref="K492" si="137">SUM(G492:J492)</f>
        <v>0</v>
      </c>
      <c r="M492" s="10"/>
      <c r="N492" s="30"/>
      <c r="O492" s="31"/>
      <c r="P492" s="47"/>
      <c r="Q492" s="31"/>
      <c r="R492" s="31"/>
      <c r="S492" s="32">
        <f t="shared" ref="S492" si="138">SUM(P492:Q492)</f>
        <v>0</v>
      </c>
      <c r="T492" s="10"/>
      <c r="U492" s="10"/>
      <c r="V492" s="10"/>
      <c r="W492" s="12">
        <f t="shared" si="127"/>
        <v>0</v>
      </c>
      <c r="Y492" s="10"/>
      <c r="Z492" s="30"/>
      <c r="AA492" s="31"/>
      <c r="AB492" s="47"/>
      <c r="AC492" s="31"/>
      <c r="AD492" s="31"/>
      <c r="AE492" s="32">
        <f t="shared" ref="AE492" si="139">SUM(AB492:AC492)</f>
        <v>0</v>
      </c>
      <c r="AF492" s="10"/>
      <c r="AG492" s="10"/>
      <c r="AH492" s="10"/>
      <c r="AI492" s="12">
        <f t="shared" si="129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27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29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273265</v>
      </c>
      <c r="E495" s="38">
        <f t="shared" ref="E495:F495" si="140">SUM(E452:E492)</f>
        <v>-1938</v>
      </c>
      <c r="F495" s="38">
        <f t="shared" si="140"/>
        <v>0</v>
      </c>
      <c r="G495" s="38">
        <f>SUM(G452:G494)</f>
        <v>271327</v>
      </c>
      <c r="H495" s="4"/>
      <c r="I495" s="39">
        <f>SUM(I452:I494)</f>
        <v>858</v>
      </c>
      <c r="J495" s="39">
        <f>SUM(J452:J494)</f>
        <v>-8761.5</v>
      </c>
      <c r="K495" s="40">
        <f>SUM(K452:K494)</f>
        <v>263423.5</v>
      </c>
      <c r="N495" s="57"/>
      <c r="O495" s="57"/>
      <c r="P495" s="38">
        <f>SUM(P452:P494)</f>
        <v>228490</v>
      </c>
      <c r="Q495" s="38">
        <f>SUM(Q452:Q476)</f>
        <v>-1776</v>
      </c>
      <c r="R495" s="38">
        <f>SUM(R452:R476)</f>
        <v>0</v>
      </c>
      <c r="S495" s="38">
        <f>SUM(S452:S494)</f>
        <v>226714</v>
      </c>
      <c r="T495" s="4"/>
      <c r="U495" s="41">
        <f>SUM(U452:U494)</f>
        <v>738</v>
      </c>
      <c r="V495" s="41">
        <f>SUM(V452:V476)</f>
        <v>-6090</v>
      </c>
      <c r="W495" s="42">
        <f>SUM(W452:W494)</f>
        <v>221362</v>
      </c>
      <c r="Z495" s="57"/>
      <c r="AA495" s="57"/>
      <c r="AB495" s="38">
        <f>SUM(AB452:AB494)</f>
        <v>298633</v>
      </c>
      <c r="AC495" s="38">
        <f>SUM(AC452:AC476)</f>
        <v>-2388</v>
      </c>
      <c r="AD495" s="38">
        <f>SUM(AD452:AD476)</f>
        <v>0</v>
      </c>
      <c r="AE495" s="38">
        <f>SUM(AE452:AE494)</f>
        <v>296245</v>
      </c>
      <c r="AF495" s="4"/>
      <c r="AG495" s="41">
        <f>SUM(AG452:AG494)</f>
        <v>4308</v>
      </c>
      <c r="AH495" s="41">
        <f>SUM(AH452:AH476)</f>
        <v>-13593</v>
      </c>
      <c r="AI495" s="42">
        <f>SUM(AI452:AI494)</f>
        <v>286960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47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47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47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62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62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21" t="s">
        <v>62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35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16" t="s">
        <v>17</v>
      </c>
      <c r="E505" s="116"/>
      <c r="F505" s="99"/>
      <c r="G505" s="27"/>
      <c r="I505" s="117" t="s">
        <v>18</v>
      </c>
      <c r="J505" s="118"/>
      <c r="K505" s="112" t="s">
        <v>19</v>
      </c>
      <c r="N505" s="25"/>
      <c r="O505" s="26"/>
      <c r="P505" s="116" t="s">
        <v>17</v>
      </c>
      <c r="Q505" s="116"/>
      <c r="R505" s="99"/>
      <c r="S505" s="27"/>
      <c r="U505" s="117" t="s">
        <v>18</v>
      </c>
      <c r="V505" s="118"/>
      <c r="W505" s="112" t="s">
        <v>19</v>
      </c>
      <c r="Z505" s="25"/>
      <c r="AA505" s="26"/>
      <c r="AB505" s="116" t="s">
        <v>17</v>
      </c>
      <c r="AC505" s="116"/>
      <c r="AD505" s="99"/>
      <c r="AE505" s="27"/>
      <c r="AG505" s="117" t="s">
        <v>18</v>
      </c>
      <c r="AH505" s="118"/>
      <c r="AI505" s="112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13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13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32</v>
      </c>
      <c r="AE506" s="78" t="s">
        <v>24</v>
      </c>
      <c r="AG506" s="29" t="s">
        <v>25</v>
      </c>
      <c r="AH506" s="29" t="s">
        <v>26</v>
      </c>
      <c r="AI506" s="113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46359</v>
      </c>
      <c r="C507" s="83">
        <v>9559</v>
      </c>
      <c r="D507" s="32">
        <f>650*8</f>
        <v>5200</v>
      </c>
      <c r="E507" s="32"/>
      <c r="F507" s="32"/>
      <c r="G507" s="32">
        <f t="shared" ref="G507:G540" si="141">SUM(D507:E507)</f>
        <v>5200</v>
      </c>
      <c r="H507" s="12"/>
      <c r="I507" s="12"/>
      <c r="J507" s="12"/>
      <c r="K507" s="12">
        <f t="shared" ref="K507:K540" si="142">SUM(G507:J507)</f>
        <v>5200</v>
      </c>
      <c r="M507" s="10">
        <v>1</v>
      </c>
      <c r="N507" s="30">
        <v>46359</v>
      </c>
      <c r="O507" s="31">
        <v>9624</v>
      </c>
      <c r="P507" s="32">
        <f>650*57+622*10+229*2</f>
        <v>43728</v>
      </c>
      <c r="Q507" s="32"/>
      <c r="R507" s="32"/>
      <c r="S507" s="32">
        <f>SUM(P507:Q507)</f>
        <v>43728</v>
      </c>
      <c r="T507" s="12"/>
      <c r="U507" s="12">
        <f>1110+156+31.5</f>
        <v>1297.5</v>
      </c>
      <c r="V507" s="12"/>
      <c r="W507" s="12">
        <f>SUM(S507:V507)</f>
        <v>45025.5</v>
      </c>
      <c r="Y507" s="10">
        <v>1</v>
      </c>
      <c r="Z507" s="30">
        <v>46359</v>
      </c>
      <c r="AA507" s="31">
        <v>9538</v>
      </c>
      <c r="AB507" s="32">
        <f>650*30+229</f>
        <v>19729</v>
      </c>
      <c r="AC507" s="32"/>
      <c r="AD507" s="32"/>
      <c r="AE507" s="32">
        <f>SUM(AB507:AC507)</f>
        <v>19729</v>
      </c>
      <c r="AF507" s="12"/>
      <c r="AG507" s="12">
        <v>54</v>
      </c>
      <c r="AH507" s="12"/>
      <c r="AI507" s="12">
        <f>SUM(AE507:AH507)</f>
        <v>19783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46359</v>
      </c>
      <c r="C508" s="83">
        <f>C507+1</f>
        <v>9560</v>
      </c>
      <c r="D508" s="32">
        <f>650*378+229*15</f>
        <v>249135</v>
      </c>
      <c r="E508" s="32">
        <f>-378*6</f>
        <v>-2268</v>
      </c>
      <c r="F508" s="32"/>
      <c r="G508" s="32">
        <f t="shared" si="141"/>
        <v>246867</v>
      </c>
      <c r="H508" s="12"/>
      <c r="I508" s="12"/>
      <c r="J508" s="12">
        <f>-270*111+-42*4</f>
        <v>-30138</v>
      </c>
      <c r="K508" s="12">
        <f t="shared" si="142"/>
        <v>216729</v>
      </c>
      <c r="M508" s="10">
        <v>2</v>
      </c>
      <c r="N508" s="30">
        <v>46359</v>
      </c>
      <c r="O508" s="31">
        <f>O507+1</f>
        <v>9625</v>
      </c>
      <c r="P508" s="32">
        <f>650*2+622*4+9.5*6</f>
        <v>3845</v>
      </c>
      <c r="Q508" s="32"/>
      <c r="R508" s="32"/>
      <c r="S508" s="32">
        <f t="shared" ref="S508:S539" si="143">SUM(P508:Q508)</f>
        <v>3845</v>
      </c>
      <c r="T508" s="12"/>
      <c r="U508" s="12"/>
      <c r="V508" s="12"/>
      <c r="W508" s="12">
        <f t="shared" ref="W508:W548" si="144">SUM(S508:V508)</f>
        <v>3845</v>
      </c>
      <c r="Y508" s="10">
        <v>2</v>
      </c>
      <c r="Z508" s="30">
        <v>46359</v>
      </c>
      <c r="AA508" s="31">
        <f>AA507+1</f>
        <v>9539</v>
      </c>
      <c r="AB508" s="32">
        <f>650*125+670*5+622*25+912*2+229*6+650*2</f>
        <v>104648</v>
      </c>
      <c r="AC508" s="32">
        <f>-157*6</f>
        <v>-942</v>
      </c>
      <c r="AD508" s="32"/>
      <c r="AE508" s="32">
        <f t="shared" ref="AE508:AE516" si="145">SUM(AB508:AC508)</f>
        <v>103706</v>
      </c>
      <c r="AF508" s="12"/>
      <c r="AG508" s="12"/>
      <c r="AH508" s="12"/>
      <c r="AI508" s="12">
        <f t="shared" ref="AI508:AI548" si="146">SUM(AE508:AH508)</f>
        <v>103706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46359</v>
      </c>
      <c r="C509" s="83">
        <f t="shared" ref="C509:C515" si="147">C508+1</f>
        <v>9561</v>
      </c>
      <c r="D509" s="33">
        <f>650*37</f>
        <v>24050</v>
      </c>
      <c r="E509" s="33"/>
      <c r="F509" s="33"/>
      <c r="G509" s="33">
        <f t="shared" si="141"/>
        <v>24050</v>
      </c>
      <c r="H509" s="34"/>
      <c r="I509" s="34"/>
      <c r="J509" s="34"/>
      <c r="K509" s="34">
        <f t="shared" si="142"/>
        <v>24050</v>
      </c>
      <c r="M509" s="10">
        <v>3</v>
      </c>
      <c r="N509" s="30">
        <v>46359</v>
      </c>
      <c r="O509" s="31">
        <f t="shared" ref="O509:O518" si="148">O508+1</f>
        <v>9626</v>
      </c>
      <c r="P509" s="32">
        <f>650*4+622*10+9.5*14</f>
        <v>8953</v>
      </c>
      <c r="Q509" s="32"/>
      <c r="R509" s="32"/>
      <c r="S509" s="32">
        <f t="shared" si="143"/>
        <v>8953</v>
      </c>
      <c r="T509" s="12"/>
      <c r="U509" s="12"/>
      <c r="V509" s="12"/>
      <c r="W509" s="12">
        <f t="shared" si="144"/>
        <v>8953</v>
      </c>
      <c r="Y509" s="10">
        <v>3</v>
      </c>
      <c r="Z509" s="30">
        <v>46359</v>
      </c>
      <c r="AA509" s="31">
        <f t="shared" ref="AA509:AA513" si="149">AA508+1</f>
        <v>9540</v>
      </c>
      <c r="AB509" s="33">
        <f>650*8+9.5*8</f>
        <v>5276</v>
      </c>
      <c r="AC509" s="33"/>
      <c r="AD509" s="32"/>
      <c r="AE509" s="32">
        <f t="shared" si="145"/>
        <v>5276</v>
      </c>
      <c r="AF509" s="12"/>
      <c r="AG509" s="12"/>
      <c r="AH509" s="12"/>
      <c r="AI509" s="12">
        <f t="shared" si="146"/>
        <v>5276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46359</v>
      </c>
      <c r="C510" s="83">
        <f t="shared" si="147"/>
        <v>9562</v>
      </c>
      <c r="D510" s="32">
        <f>650+622</f>
        <v>1272</v>
      </c>
      <c r="E510" s="32"/>
      <c r="F510" s="32"/>
      <c r="G510" s="32">
        <f t="shared" si="141"/>
        <v>1272</v>
      </c>
      <c r="H510" s="12"/>
      <c r="I510" s="12"/>
      <c r="J510" s="12"/>
      <c r="K510" s="12">
        <f t="shared" si="142"/>
        <v>1272</v>
      </c>
      <c r="M510" s="10">
        <v>4</v>
      </c>
      <c r="N510" s="30">
        <v>46359</v>
      </c>
      <c r="O510" s="31">
        <f t="shared" si="148"/>
        <v>9627</v>
      </c>
      <c r="P510" s="32">
        <f>650*2+622*5</f>
        <v>4410</v>
      </c>
      <c r="Q510" s="32"/>
      <c r="R510" s="32"/>
      <c r="S510" s="32">
        <f t="shared" si="143"/>
        <v>4410</v>
      </c>
      <c r="T510" s="12"/>
      <c r="U510" s="12"/>
      <c r="V510" s="12"/>
      <c r="W510" s="12">
        <f t="shared" si="144"/>
        <v>4410</v>
      </c>
      <c r="Y510" s="10">
        <v>4</v>
      </c>
      <c r="Z510" s="30">
        <v>46359</v>
      </c>
      <c r="AA510" s="31">
        <f t="shared" si="149"/>
        <v>9541</v>
      </c>
      <c r="AB510" s="32">
        <f>650*100+670*8+229*4</f>
        <v>71276</v>
      </c>
      <c r="AC510" s="32">
        <f>-108*6</f>
        <v>-648</v>
      </c>
      <c r="AD510" s="32"/>
      <c r="AE510" s="32">
        <f t="shared" si="145"/>
        <v>70628</v>
      </c>
      <c r="AF510" s="12"/>
      <c r="AG510" s="58"/>
      <c r="AH510" s="12">
        <v>-5550</v>
      </c>
      <c r="AI510" s="12">
        <f t="shared" si="146"/>
        <v>65078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>
        <v>46359</v>
      </c>
      <c r="C511" s="83">
        <f t="shared" si="147"/>
        <v>9563</v>
      </c>
      <c r="D511" s="32">
        <f>650+622</f>
        <v>1272</v>
      </c>
      <c r="E511" s="32"/>
      <c r="F511" s="32"/>
      <c r="G511" s="32">
        <f t="shared" si="141"/>
        <v>1272</v>
      </c>
      <c r="H511" s="12"/>
      <c r="I511" s="12"/>
      <c r="J511" s="12"/>
      <c r="K511" s="12">
        <f t="shared" si="142"/>
        <v>1272</v>
      </c>
      <c r="M511" s="10">
        <v>5</v>
      </c>
      <c r="N511" s="30">
        <v>46359</v>
      </c>
      <c r="O511" s="31">
        <f t="shared" si="148"/>
        <v>9628</v>
      </c>
      <c r="P511" s="32">
        <f>622*2+9.5*2</f>
        <v>1263</v>
      </c>
      <c r="Q511" s="32"/>
      <c r="R511" s="32"/>
      <c r="S511" s="32">
        <f t="shared" si="143"/>
        <v>1263</v>
      </c>
      <c r="T511" s="12"/>
      <c r="U511" s="12"/>
      <c r="V511" s="12"/>
      <c r="W511" s="12">
        <f t="shared" si="144"/>
        <v>1263</v>
      </c>
      <c r="Y511" s="10">
        <v>5</v>
      </c>
      <c r="Z511" s="30">
        <v>46359</v>
      </c>
      <c r="AA511" s="31">
        <f t="shared" si="149"/>
        <v>9542</v>
      </c>
      <c r="AB511" s="32">
        <f>650*41+670*2+622*5+872*2+229</f>
        <v>33073</v>
      </c>
      <c r="AC511" s="32">
        <v>-300</v>
      </c>
      <c r="AD511" s="32"/>
      <c r="AE511" s="32">
        <f t="shared" si="145"/>
        <v>32773</v>
      </c>
      <c r="AF511" s="12"/>
      <c r="AG511" s="12">
        <v>2.25</v>
      </c>
      <c r="AH511" s="12"/>
      <c r="AI511" s="12">
        <f t="shared" si="146"/>
        <v>32775.25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>
        <v>46359</v>
      </c>
      <c r="C512" s="83">
        <f t="shared" si="147"/>
        <v>9564</v>
      </c>
      <c r="D512" s="32">
        <f>650+622</f>
        <v>1272</v>
      </c>
      <c r="E512" s="32"/>
      <c r="F512" s="32"/>
      <c r="G512" s="32">
        <f t="shared" si="141"/>
        <v>1272</v>
      </c>
      <c r="H512" s="12"/>
      <c r="I512" s="12"/>
      <c r="J512" s="12"/>
      <c r="K512" s="12">
        <f t="shared" si="142"/>
        <v>1272</v>
      </c>
      <c r="M512" s="10">
        <v>6</v>
      </c>
      <c r="N512" s="30">
        <v>46359</v>
      </c>
      <c r="O512" s="31">
        <f t="shared" si="148"/>
        <v>9629</v>
      </c>
      <c r="P512" s="32">
        <f>650*15+622*5+9.5*20</f>
        <v>13050</v>
      </c>
      <c r="Q512" s="32"/>
      <c r="R512" s="32"/>
      <c r="S512" s="32">
        <f t="shared" si="143"/>
        <v>13050</v>
      </c>
      <c r="T512" s="12"/>
      <c r="U512" s="12">
        <v>30</v>
      </c>
      <c r="V512" s="10"/>
      <c r="W512" s="12">
        <f t="shared" si="144"/>
        <v>13080</v>
      </c>
      <c r="Y512" s="10">
        <v>6</v>
      </c>
      <c r="Z512" s="30">
        <v>46359</v>
      </c>
      <c r="AA512" s="31">
        <f t="shared" si="149"/>
        <v>9543</v>
      </c>
      <c r="AB512" s="32">
        <f>650*50+872+229*2</f>
        <v>33830</v>
      </c>
      <c r="AC512" s="32"/>
      <c r="AD512" s="32"/>
      <c r="AE512" s="32">
        <f t="shared" si="145"/>
        <v>33830</v>
      </c>
      <c r="AF512" s="12"/>
      <c r="AG512" s="12"/>
      <c r="AH512" s="10"/>
      <c r="AI512" s="12">
        <f t="shared" si="146"/>
        <v>33830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>
        <v>46359</v>
      </c>
      <c r="C513" s="83">
        <f t="shared" si="147"/>
        <v>9565</v>
      </c>
      <c r="D513" s="32">
        <f>650*2+622</f>
        <v>1922</v>
      </c>
      <c r="E513" s="32"/>
      <c r="F513" s="32"/>
      <c r="G513" s="32">
        <f t="shared" si="141"/>
        <v>1922</v>
      </c>
      <c r="H513" s="12"/>
      <c r="I513" s="12"/>
      <c r="J513" s="12"/>
      <c r="K513" s="12">
        <f t="shared" si="142"/>
        <v>1922</v>
      </c>
      <c r="M513" s="10">
        <v>7</v>
      </c>
      <c r="N513" s="30">
        <v>46359</v>
      </c>
      <c r="O513" s="31">
        <f t="shared" si="148"/>
        <v>9630</v>
      </c>
      <c r="P513" s="32">
        <f>650*4+622*2+9.5*6</f>
        <v>3901</v>
      </c>
      <c r="Q513" s="32"/>
      <c r="R513" s="32"/>
      <c r="S513" s="32">
        <f t="shared" si="143"/>
        <v>3901</v>
      </c>
      <c r="T513" s="12"/>
      <c r="U513" s="12">
        <f>666+27</f>
        <v>693</v>
      </c>
      <c r="V513" s="12"/>
      <c r="W513" s="12">
        <f t="shared" si="144"/>
        <v>4594</v>
      </c>
      <c r="Y513" s="10">
        <v>7</v>
      </c>
      <c r="Z513" s="30">
        <v>46359</v>
      </c>
      <c r="AA513" s="31">
        <f t="shared" si="149"/>
        <v>9544</v>
      </c>
      <c r="AB513" s="32">
        <f>650*8</f>
        <v>5200</v>
      </c>
      <c r="AC513" s="32"/>
      <c r="AD513" s="32"/>
      <c r="AE513" s="32">
        <f t="shared" si="145"/>
        <v>5200</v>
      </c>
      <c r="AF513" s="12"/>
      <c r="AG513" s="58"/>
      <c r="AH513" s="12"/>
      <c r="AI513" s="12">
        <f t="shared" si="146"/>
        <v>5200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>
        <v>46359</v>
      </c>
      <c r="C514" s="83">
        <f t="shared" si="147"/>
        <v>9566</v>
      </c>
      <c r="D514" s="32">
        <f>650</f>
        <v>650</v>
      </c>
      <c r="E514" s="32"/>
      <c r="F514" s="32"/>
      <c r="G514" s="32">
        <f t="shared" si="141"/>
        <v>650</v>
      </c>
      <c r="H514" s="12"/>
      <c r="I514" s="12"/>
      <c r="J514" s="12"/>
      <c r="K514" s="12">
        <f t="shared" si="142"/>
        <v>650</v>
      </c>
      <c r="M514" s="10">
        <v>8</v>
      </c>
      <c r="N514" s="30">
        <v>46359</v>
      </c>
      <c r="O514" s="31">
        <f t="shared" si="148"/>
        <v>9631</v>
      </c>
      <c r="P514" s="32">
        <f>650*5+9.5*5</f>
        <v>3297.5</v>
      </c>
      <c r="Q514" s="32"/>
      <c r="R514" s="32"/>
      <c r="S514" s="32">
        <f t="shared" si="143"/>
        <v>3297.5</v>
      </c>
      <c r="T514" s="12"/>
      <c r="U514" s="12"/>
      <c r="V514" s="12">
        <f>-111+-168</f>
        <v>-279</v>
      </c>
      <c r="W514" s="12">
        <f t="shared" si="144"/>
        <v>3018.5</v>
      </c>
      <c r="Y514" s="10">
        <v>8</v>
      </c>
      <c r="Z514" s="30"/>
      <c r="AA514" s="11" t="s">
        <v>27</v>
      </c>
      <c r="AB514" s="32"/>
      <c r="AC514" s="32"/>
      <c r="AE514" s="32">
        <f t="shared" si="145"/>
        <v>0</v>
      </c>
      <c r="AF514" s="12"/>
      <c r="AG514" s="12"/>
      <c r="AH514" s="12"/>
      <c r="AI514" s="12">
        <f t="shared" si="146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>
        <v>46359</v>
      </c>
      <c r="C515" s="83">
        <f t="shared" si="147"/>
        <v>9567</v>
      </c>
      <c r="D515" s="32">
        <f>650*2</f>
        <v>1300</v>
      </c>
      <c r="E515" s="32"/>
      <c r="F515" s="32"/>
      <c r="G515" s="32">
        <f t="shared" si="141"/>
        <v>1300</v>
      </c>
      <c r="H515" s="12"/>
      <c r="I515" s="12"/>
      <c r="J515" s="12"/>
      <c r="K515" s="12">
        <f t="shared" si="142"/>
        <v>1300</v>
      </c>
      <c r="M515" s="10">
        <v>9</v>
      </c>
      <c r="N515" s="30">
        <v>46359</v>
      </c>
      <c r="O515" s="31">
        <f t="shared" si="148"/>
        <v>9632</v>
      </c>
      <c r="P515" s="32">
        <f>650*2+622+9.5*3</f>
        <v>1950.5</v>
      </c>
      <c r="Q515" s="32"/>
      <c r="R515" s="32"/>
      <c r="S515" s="32">
        <f t="shared" si="143"/>
        <v>1950.5</v>
      </c>
      <c r="T515" s="12"/>
      <c r="U515" s="12"/>
      <c r="V515" s="12"/>
      <c r="W515" s="12">
        <f t="shared" si="144"/>
        <v>1950.5</v>
      </c>
      <c r="Y515" s="10">
        <v>9</v>
      </c>
      <c r="Z515" s="30"/>
      <c r="AA515" s="31"/>
      <c r="AB515" s="32"/>
      <c r="AC515" s="32"/>
      <c r="AD515" s="32"/>
      <c r="AE515" s="32">
        <f t="shared" si="145"/>
        <v>0</v>
      </c>
      <c r="AF515" s="12"/>
      <c r="AH515" s="12"/>
      <c r="AI515" s="12">
        <f t="shared" si="146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11" t="s">
        <v>27</v>
      </c>
      <c r="D516" s="32"/>
      <c r="E516" s="32"/>
      <c r="F516" s="32"/>
      <c r="G516" s="32">
        <f t="shared" si="141"/>
        <v>0</v>
      </c>
      <c r="H516" s="12"/>
      <c r="I516" s="12"/>
      <c r="J516" s="12"/>
      <c r="K516" s="12">
        <f t="shared" si="142"/>
        <v>0</v>
      </c>
      <c r="M516" s="10">
        <v>10</v>
      </c>
      <c r="N516" s="30">
        <v>46359</v>
      </c>
      <c r="O516" s="31">
        <f t="shared" si="148"/>
        <v>9633</v>
      </c>
      <c r="P516" s="32">
        <f>650*2+622+9.5*3</f>
        <v>1950.5</v>
      </c>
      <c r="Q516" s="32"/>
      <c r="R516" s="32"/>
      <c r="S516" s="32">
        <f t="shared" si="143"/>
        <v>1950.5</v>
      </c>
      <c r="T516" s="12"/>
      <c r="U516" s="12"/>
      <c r="V516" s="12"/>
      <c r="W516" s="12">
        <f t="shared" si="144"/>
        <v>1950.5</v>
      </c>
      <c r="Y516" s="10">
        <v>10</v>
      </c>
      <c r="Z516" s="30"/>
      <c r="AA516" s="31"/>
      <c r="AB516" s="32"/>
      <c r="AC516" s="32"/>
      <c r="AD516" s="32"/>
      <c r="AE516" s="32">
        <f t="shared" si="145"/>
        <v>0</v>
      </c>
      <c r="AF516" s="12"/>
      <c r="AG516" s="12"/>
      <c r="AH516" s="12"/>
      <c r="AI516" s="12">
        <f t="shared" si="146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83"/>
      <c r="D517" s="32"/>
      <c r="E517" s="32"/>
      <c r="F517" s="32"/>
      <c r="G517" s="32">
        <f t="shared" si="141"/>
        <v>0</v>
      </c>
      <c r="H517" s="12"/>
      <c r="I517" s="12"/>
      <c r="J517" s="12"/>
      <c r="K517" s="12">
        <f t="shared" si="142"/>
        <v>0</v>
      </c>
      <c r="M517" s="10">
        <v>11</v>
      </c>
      <c r="N517" s="30">
        <v>46359</v>
      </c>
      <c r="O517" s="31">
        <f t="shared" si="148"/>
        <v>9634</v>
      </c>
      <c r="P517" s="32">
        <f>650*300+622*50+912*10+229*12+1175</f>
        <v>239143</v>
      </c>
      <c r="Q517" s="32">
        <f>-360*6</f>
        <v>-2160</v>
      </c>
      <c r="R517" s="32"/>
      <c r="S517" s="32">
        <f t="shared" si="143"/>
        <v>236983</v>
      </c>
      <c r="T517" s="12"/>
      <c r="U517" s="12">
        <f>120*5+111*160+78*5</f>
        <v>18750</v>
      </c>
      <c r="V517" s="12">
        <f>-588+-1680+-252</f>
        <v>-2520</v>
      </c>
      <c r="W517" s="12">
        <f t="shared" si="144"/>
        <v>253213</v>
      </c>
      <c r="Y517" s="10">
        <v>11</v>
      </c>
      <c r="Z517" s="30"/>
      <c r="AA517" s="31"/>
      <c r="AB517" s="32"/>
      <c r="AC517" s="32"/>
      <c r="AD517" s="32"/>
      <c r="AE517" s="32">
        <f t="shared" ref="AE517:AE539" si="150">SUM(AB517:AC517)</f>
        <v>0</v>
      </c>
      <c r="AF517" s="12"/>
      <c r="AG517" s="12"/>
      <c r="AH517" s="12"/>
      <c r="AI517" s="12">
        <f t="shared" si="146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3"/>
      <c r="D518" s="32"/>
      <c r="E518" s="32"/>
      <c r="F518" s="32"/>
      <c r="G518" s="32">
        <f t="shared" si="141"/>
        <v>0</v>
      </c>
      <c r="H518" s="12"/>
      <c r="I518" s="12"/>
      <c r="J518" s="10"/>
      <c r="K518" s="12">
        <f t="shared" si="142"/>
        <v>0</v>
      </c>
      <c r="M518" s="10">
        <v>12</v>
      </c>
      <c r="N518" s="30">
        <v>46359</v>
      </c>
      <c r="O518" s="31">
        <f t="shared" si="148"/>
        <v>9635</v>
      </c>
      <c r="P518" s="32">
        <f>650*3+9.5</f>
        <v>1959.5</v>
      </c>
      <c r="Q518" s="32"/>
      <c r="R518" s="32"/>
      <c r="S518" s="32">
        <f t="shared" si="143"/>
        <v>1959.5</v>
      </c>
      <c r="T518" s="12"/>
      <c r="U518" s="12"/>
      <c r="V518" s="12"/>
      <c r="W518" s="12">
        <f t="shared" si="144"/>
        <v>1959.5</v>
      </c>
      <c r="Y518" s="10">
        <v>12</v>
      </c>
      <c r="Z518" s="30"/>
      <c r="AA518" s="31"/>
      <c r="AB518" s="32"/>
      <c r="AC518" s="32"/>
      <c r="AD518" s="32"/>
      <c r="AE518" s="32">
        <f t="shared" si="150"/>
        <v>0</v>
      </c>
      <c r="AF518" s="12"/>
      <c r="AG518" s="12"/>
      <c r="AH518" s="12"/>
      <c r="AI518" s="12">
        <f t="shared" si="146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83"/>
      <c r="D519" s="32"/>
      <c r="E519" s="32"/>
      <c r="F519" s="32"/>
      <c r="G519" s="32">
        <f t="shared" si="141"/>
        <v>0</v>
      </c>
      <c r="H519" s="12"/>
      <c r="I519" s="12"/>
      <c r="J519" s="12"/>
      <c r="K519" s="12">
        <f t="shared" si="142"/>
        <v>0</v>
      </c>
      <c r="M519" s="10">
        <v>13</v>
      </c>
      <c r="N519" s="30"/>
      <c r="O519" s="11" t="s">
        <v>27</v>
      </c>
      <c r="P519" s="32"/>
      <c r="Q519" s="32"/>
      <c r="R519" s="32"/>
      <c r="S519" s="32">
        <f t="shared" si="143"/>
        <v>0</v>
      </c>
      <c r="T519" s="12"/>
      <c r="U519" s="12"/>
      <c r="V519" s="12"/>
      <c r="W519" s="12">
        <f t="shared" si="144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50"/>
        <v>0</v>
      </c>
      <c r="AF519" s="12"/>
      <c r="AG519" s="12"/>
      <c r="AH519" s="12"/>
      <c r="AI519" s="12">
        <f t="shared" si="146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3"/>
      <c r="D520" s="32"/>
      <c r="E520" s="32"/>
      <c r="F520" s="32"/>
      <c r="G520" s="32">
        <f t="shared" si="141"/>
        <v>0</v>
      </c>
      <c r="H520" s="12"/>
      <c r="I520" s="12"/>
      <c r="J520" s="12"/>
      <c r="K520" s="12">
        <f t="shared" si="142"/>
        <v>0</v>
      </c>
      <c r="M520" s="10">
        <v>14</v>
      </c>
      <c r="N520" s="30"/>
      <c r="O520" s="31"/>
      <c r="P520" s="32"/>
      <c r="Q520" s="32"/>
      <c r="R520" s="32"/>
      <c r="S520" s="32">
        <f t="shared" si="143"/>
        <v>0</v>
      </c>
      <c r="T520" s="12"/>
      <c r="U520" s="12"/>
      <c r="V520" s="12"/>
      <c r="W520" s="12">
        <f t="shared" si="144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50"/>
        <v>0</v>
      </c>
      <c r="AF520" s="12"/>
      <c r="AG520" s="12"/>
      <c r="AH520" s="12"/>
      <c r="AI520" s="12">
        <f t="shared" si="146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3"/>
      <c r="D521" s="32"/>
      <c r="E521" s="32"/>
      <c r="F521" s="32"/>
      <c r="G521" s="32">
        <f t="shared" si="141"/>
        <v>0</v>
      </c>
      <c r="H521" s="12"/>
      <c r="I521" s="12"/>
      <c r="J521" s="12"/>
      <c r="K521" s="12">
        <f t="shared" si="142"/>
        <v>0</v>
      </c>
      <c r="M521" s="10">
        <v>15</v>
      </c>
      <c r="N521" s="30"/>
      <c r="O521" s="31"/>
      <c r="P521" s="32"/>
      <c r="Q521" s="32"/>
      <c r="R521" s="32"/>
      <c r="S521" s="32">
        <f t="shared" si="143"/>
        <v>0</v>
      </c>
      <c r="T521" s="12"/>
      <c r="U521" s="12"/>
      <c r="V521" s="12"/>
      <c r="W521" s="12">
        <f t="shared" si="144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50"/>
        <v>0</v>
      </c>
      <c r="AF521" s="12"/>
      <c r="AG521" s="12"/>
      <c r="AH521" s="12"/>
      <c r="AI521" s="12">
        <f t="shared" si="146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83"/>
      <c r="D522" s="32"/>
      <c r="E522" s="32"/>
      <c r="F522" s="32"/>
      <c r="G522" s="32">
        <f t="shared" si="141"/>
        <v>0</v>
      </c>
      <c r="H522" s="12"/>
      <c r="I522" s="12"/>
      <c r="J522" s="12"/>
      <c r="K522" s="12">
        <f t="shared" si="142"/>
        <v>0</v>
      </c>
      <c r="M522" s="10">
        <v>16</v>
      </c>
      <c r="N522" s="30"/>
      <c r="O522" s="31"/>
      <c r="P522" s="32"/>
      <c r="Q522" s="32"/>
      <c r="R522" s="32"/>
      <c r="S522" s="32">
        <f t="shared" si="143"/>
        <v>0</v>
      </c>
      <c r="T522" s="12"/>
      <c r="U522" s="12"/>
      <c r="V522" s="12"/>
      <c r="W522" s="12">
        <f t="shared" si="144"/>
        <v>0</v>
      </c>
      <c r="Y522" s="10">
        <v>16</v>
      </c>
      <c r="Z522" s="30"/>
      <c r="AB522" s="32"/>
      <c r="AC522" s="32"/>
      <c r="AD522" s="32"/>
      <c r="AE522" s="32">
        <f t="shared" si="150"/>
        <v>0</v>
      </c>
      <c r="AF522" s="12"/>
      <c r="AG522" s="12"/>
      <c r="AH522" s="12"/>
      <c r="AI522" s="12">
        <f t="shared" si="146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41"/>
        <v>0</v>
      </c>
      <c r="H523" s="12"/>
      <c r="I523" s="12"/>
      <c r="J523" s="12"/>
      <c r="K523" s="12">
        <f t="shared" si="142"/>
        <v>0</v>
      </c>
      <c r="M523" s="10">
        <v>17</v>
      </c>
      <c r="N523" s="30"/>
      <c r="O523" s="31"/>
      <c r="P523" s="35"/>
      <c r="Q523" s="32"/>
      <c r="R523" s="32"/>
      <c r="S523" s="32">
        <f t="shared" si="143"/>
        <v>0</v>
      </c>
      <c r="T523" s="12"/>
      <c r="U523" s="12"/>
      <c r="V523" s="12"/>
      <c r="W523" s="12">
        <f t="shared" si="144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50"/>
        <v>0</v>
      </c>
      <c r="AF523" s="12"/>
      <c r="AG523" s="12"/>
      <c r="AH523" s="12"/>
      <c r="AI523" s="12">
        <f t="shared" si="146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41"/>
        <v>0</v>
      </c>
      <c r="H524" s="12"/>
      <c r="I524" s="12"/>
      <c r="J524" s="12"/>
      <c r="K524" s="12">
        <f t="shared" si="142"/>
        <v>0</v>
      </c>
      <c r="M524" s="10">
        <v>18</v>
      </c>
      <c r="N524" s="30"/>
      <c r="O524" s="31"/>
      <c r="P524" s="32"/>
      <c r="Q524" s="32"/>
      <c r="R524" s="32"/>
      <c r="S524" s="32">
        <f t="shared" si="143"/>
        <v>0</v>
      </c>
      <c r="T524" s="12"/>
      <c r="U524" s="12"/>
      <c r="V524" s="12"/>
      <c r="W524" s="12">
        <f t="shared" si="144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50"/>
        <v>0</v>
      </c>
      <c r="AF524" s="12"/>
      <c r="AG524" s="12"/>
      <c r="AH524" s="12"/>
      <c r="AI524" s="12">
        <f t="shared" si="146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41"/>
        <v>0</v>
      </c>
      <c r="H525" s="12"/>
      <c r="I525" s="12"/>
      <c r="J525" s="12"/>
      <c r="K525" s="12">
        <f t="shared" si="142"/>
        <v>0</v>
      </c>
      <c r="M525" s="10">
        <v>19</v>
      </c>
      <c r="N525" s="30"/>
      <c r="O525" s="31"/>
      <c r="P525" s="32"/>
      <c r="Q525" s="32"/>
      <c r="R525" s="32"/>
      <c r="S525" s="32">
        <f t="shared" si="143"/>
        <v>0</v>
      </c>
      <c r="T525" s="12"/>
      <c r="U525" s="12"/>
      <c r="V525" s="12"/>
      <c r="W525" s="12">
        <f t="shared" si="144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50"/>
        <v>0</v>
      </c>
      <c r="AF525" s="12"/>
      <c r="AG525" s="12"/>
      <c r="AH525" s="12"/>
      <c r="AI525" s="12">
        <f t="shared" si="146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41"/>
        <v>0</v>
      </c>
      <c r="H526" s="12"/>
      <c r="I526" s="12"/>
      <c r="J526" s="12"/>
      <c r="K526" s="12">
        <f t="shared" si="142"/>
        <v>0</v>
      </c>
      <c r="M526" s="10">
        <v>20</v>
      </c>
      <c r="N526" s="30"/>
      <c r="O526" s="31"/>
      <c r="P526" s="32"/>
      <c r="Q526" s="32"/>
      <c r="R526" s="32"/>
      <c r="S526" s="32">
        <f t="shared" si="143"/>
        <v>0</v>
      </c>
      <c r="T526" s="12"/>
      <c r="U526" s="12"/>
      <c r="V526" s="12"/>
      <c r="W526" s="12">
        <f t="shared" si="144"/>
        <v>0</v>
      </c>
      <c r="Y526" s="10">
        <v>20</v>
      </c>
      <c r="Z526" s="30"/>
      <c r="AA526" s="31"/>
      <c r="AB526" s="32"/>
      <c r="AC526" s="32"/>
      <c r="AD526" s="32"/>
      <c r="AE526" s="32">
        <f t="shared" si="150"/>
        <v>0</v>
      </c>
      <c r="AF526" s="12"/>
      <c r="AG526" s="12"/>
      <c r="AH526" s="12"/>
      <c r="AI526" s="12">
        <f t="shared" si="146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11"/>
      <c r="D527" s="32"/>
      <c r="E527" s="32"/>
      <c r="F527" s="32"/>
      <c r="G527" s="32">
        <f t="shared" si="141"/>
        <v>0</v>
      </c>
      <c r="H527" s="10"/>
      <c r="I527" s="10"/>
      <c r="J527" s="10"/>
      <c r="K527" s="12">
        <f t="shared" si="142"/>
        <v>0</v>
      </c>
      <c r="M527" s="10">
        <v>21</v>
      </c>
      <c r="N527" s="30"/>
      <c r="P527" s="46"/>
      <c r="Q527" s="31"/>
      <c r="R527" s="31"/>
      <c r="S527" s="32">
        <f t="shared" si="143"/>
        <v>0</v>
      </c>
      <c r="T527" s="10"/>
      <c r="U527" s="10"/>
      <c r="V527" s="10"/>
      <c r="W527" s="12">
        <f t="shared" si="144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50"/>
        <v>0</v>
      </c>
      <c r="AF527" s="10"/>
      <c r="AG527" s="10"/>
      <c r="AH527" s="10"/>
      <c r="AI527" s="12">
        <f t="shared" si="146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D528" s="32"/>
      <c r="E528" s="32"/>
      <c r="F528" s="32"/>
      <c r="G528" s="32">
        <f t="shared" si="141"/>
        <v>0</v>
      </c>
      <c r="H528" s="10"/>
      <c r="I528" s="10"/>
      <c r="J528" s="10"/>
      <c r="K528" s="12">
        <f t="shared" si="142"/>
        <v>0</v>
      </c>
      <c r="M528" s="10">
        <v>22</v>
      </c>
      <c r="N528" s="30"/>
      <c r="O528" s="31"/>
      <c r="P528" s="45"/>
      <c r="Q528" s="31"/>
      <c r="R528" s="31"/>
      <c r="S528" s="32">
        <f t="shared" si="143"/>
        <v>0</v>
      </c>
      <c r="T528" s="10"/>
      <c r="U528" s="10"/>
      <c r="V528" s="10"/>
      <c r="W528" s="12">
        <f t="shared" si="144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50"/>
        <v>0</v>
      </c>
      <c r="AF528" s="10"/>
      <c r="AG528" s="10"/>
      <c r="AH528" s="10"/>
      <c r="AI528" s="12">
        <f t="shared" si="146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41"/>
        <v>0</v>
      </c>
      <c r="H529" s="10"/>
      <c r="I529" s="10"/>
      <c r="J529" s="12"/>
      <c r="K529" s="12">
        <f t="shared" si="142"/>
        <v>0</v>
      </c>
      <c r="M529" s="10">
        <v>23</v>
      </c>
      <c r="N529" s="30"/>
      <c r="O529" s="31"/>
      <c r="P529" s="47"/>
      <c r="Q529" s="31"/>
      <c r="S529" s="32">
        <f t="shared" si="143"/>
        <v>0</v>
      </c>
      <c r="T529" s="10"/>
      <c r="U529" s="10"/>
      <c r="V529" s="10"/>
      <c r="W529" s="12">
        <f t="shared" si="144"/>
        <v>0</v>
      </c>
      <c r="Y529" s="10">
        <v>23</v>
      </c>
      <c r="Z529" s="30"/>
      <c r="AA529" s="31"/>
      <c r="AB529" s="47"/>
      <c r="AE529" s="32">
        <f t="shared" si="150"/>
        <v>0</v>
      </c>
      <c r="AF529" s="10"/>
      <c r="AG529" s="10"/>
      <c r="AH529" s="10"/>
      <c r="AI529" s="12">
        <f t="shared" si="146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41"/>
        <v>0</v>
      </c>
      <c r="H530" s="10"/>
      <c r="I530" s="10"/>
      <c r="J530" s="10"/>
      <c r="K530" s="12">
        <f t="shared" si="142"/>
        <v>0</v>
      </c>
      <c r="M530" s="10">
        <v>24</v>
      </c>
      <c r="N530" s="30"/>
      <c r="O530" s="31"/>
      <c r="P530" s="47"/>
      <c r="Q530" s="31"/>
      <c r="R530" s="31"/>
      <c r="S530" s="32">
        <f t="shared" si="143"/>
        <v>0</v>
      </c>
      <c r="T530" s="10"/>
      <c r="U530" s="10"/>
      <c r="V530" s="10"/>
      <c r="W530" s="12">
        <f t="shared" si="144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50"/>
        <v>0</v>
      </c>
      <c r="AF530" s="10"/>
      <c r="AG530" s="10"/>
      <c r="AH530" s="10"/>
      <c r="AI530" s="12">
        <f t="shared" si="146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41"/>
        <v>0</v>
      </c>
      <c r="H531" s="10"/>
      <c r="I531" s="10"/>
      <c r="J531" s="10"/>
      <c r="K531" s="12">
        <f t="shared" si="142"/>
        <v>0</v>
      </c>
      <c r="M531" s="10">
        <v>25</v>
      </c>
      <c r="N531" s="30"/>
      <c r="O531" s="31"/>
      <c r="P531" s="47"/>
      <c r="Q531" s="31"/>
      <c r="R531" s="31"/>
      <c r="S531" s="32">
        <f t="shared" si="143"/>
        <v>0</v>
      </c>
      <c r="T531" s="10"/>
      <c r="U531" s="10"/>
      <c r="V531" s="10"/>
      <c r="W531" s="12">
        <f t="shared" si="144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50"/>
        <v>0</v>
      </c>
      <c r="AF531" s="10"/>
      <c r="AG531" s="10"/>
      <c r="AH531" s="10"/>
      <c r="AI531" s="12">
        <f t="shared" si="146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41"/>
        <v>0</v>
      </c>
      <c r="H532" s="10"/>
      <c r="I532" s="10"/>
      <c r="J532" s="10"/>
      <c r="K532" s="12">
        <f t="shared" si="142"/>
        <v>0</v>
      </c>
      <c r="M532" s="10">
        <v>26</v>
      </c>
      <c r="N532" s="30"/>
      <c r="O532" s="31"/>
      <c r="P532" s="47"/>
      <c r="Q532" s="31"/>
      <c r="R532" s="31"/>
      <c r="S532" s="32">
        <f t="shared" si="143"/>
        <v>0</v>
      </c>
      <c r="T532" s="10"/>
      <c r="U532" s="10"/>
      <c r="V532" s="10"/>
      <c r="W532" s="12">
        <f t="shared" si="144"/>
        <v>0</v>
      </c>
      <c r="Y532" s="10">
        <v>26</v>
      </c>
      <c r="Z532" s="30"/>
      <c r="AB532" s="47"/>
      <c r="AC532" s="31"/>
      <c r="AD532" s="31"/>
      <c r="AE532" s="32">
        <f t="shared" si="150"/>
        <v>0</v>
      </c>
      <c r="AF532" s="10"/>
      <c r="AG532" s="10"/>
      <c r="AH532" s="10"/>
      <c r="AI532" s="12">
        <f t="shared" si="146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41"/>
        <v>0</v>
      </c>
      <c r="H533" s="10"/>
      <c r="I533" s="10"/>
      <c r="J533" s="10"/>
      <c r="K533" s="12">
        <f t="shared" si="142"/>
        <v>0</v>
      </c>
      <c r="M533" s="10">
        <v>27</v>
      </c>
      <c r="N533" s="30"/>
      <c r="O533" s="31"/>
      <c r="P533" s="47"/>
      <c r="Q533" s="31"/>
      <c r="R533" s="31"/>
      <c r="S533" s="32">
        <f t="shared" si="143"/>
        <v>0</v>
      </c>
      <c r="T533" s="10"/>
      <c r="U533" s="10"/>
      <c r="V533" s="10"/>
      <c r="W533" s="12">
        <f t="shared" si="144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50"/>
        <v>0</v>
      </c>
      <c r="AF533" s="10"/>
      <c r="AG533" s="10"/>
      <c r="AH533" s="10"/>
      <c r="AI533" s="12">
        <f t="shared" si="146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41"/>
        <v>0</v>
      </c>
      <c r="H534" s="10"/>
      <c r="I534" s="10"/>
      <c r="J534" s="10"/>
      <c r="K534" s="12">
        <f t="shared" si="142"/>
        <v>0</v>
      </c>
      <c r="M534" s="10">
        <v>28</v>
      </c>
      <c r="N534" s="30"/>
      <c r="O534" s="31"/>
      <c r="P534" s="47"/>
      <c r="Q534" s="31"/>
      <c r="R534" s="31"/>
      <c r="S534" s="32">
        <f t="shared" si="143"/>
        <v>0</v>
      </c>
      <c r="T534" s="10"/>
      <c r="U534" s="10"/>
      <c r="V534" s="10"/>
      <c r="W534" s="12">
        <f t="shared" si="144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50"/>
        <v>0</v>
      </c>
      <c r="AF534" s="10"/>
      <c r="AG534" s="10"/>
      <c r="AH534" s="10"/>
      <c r="AI534" s="12">
        <f t="shared" si="146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41"/>
        <v>0</v>
      </c>
      <c r="H535" s="10"/>
      <c r="I535" s="10"/>
      <c r="J535" s="10"/>
      <c r="K535" s="12">
        <f t="shared" si="142"/>
        <v>0</v>
      </c>
      <c r="M535" s="10">
        <v>29</v>
      </c>
      <c r="N535" s="30"/>
      <c r="O535" s="31"/>
      <c r="P535" s="47"/>
      <c r="Q535" s="31"/>
      <c r="R535" s="31"/>
      <c r="S535" s="32">
        <f t="shared" si="143"/>
        <v>0</v>
      </c>
      <c r="T535" s="10"/>
      <c r="U535" s="10"/>
      <c r="V535" s="10"/>
      <c r="W535" s="12">
        <f t="shared" si="144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50"/>
        <v>0</v>
      </c>
      <c r="AF535" s="10"/>
      <c r="AG535" s="10"/>
      <c r="AH535" s="10"/>
      <c r="AI535" s="12">
        <f t="shared" si="146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41"/>
        <v>0</v>
      </c>
      <c r="H536" s="10"/>
      <c r="I536" s="10"/>
      <c r="J536" s="10"/>
      <c r="K536" s="12">
        <f t="shared" si="142"/>
        <v>0</v>
      </c>
      <c r="M536" s="10">
        <v>30</v>
      </c>
      <c r="N536" s="30"/>
      <c r="O536" s="31"/>
      <c r="P536" s="47"/>
      <c r="Q536" s="31"/>
      <c r="R536" s="31"/>
      <c r="S536" s="32">
        <f t="shared" si="143"/>
        <v>0</v>
      </c>
      <c r="T536" s="10"/>
      <c r="U536" s="10"/>
      <c r="V536" s="10"/>
      <c r="W536" s="12">
        <f t="shared" si="144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50"/>
        <v>0</v>
      </c>
      <c r="AF536" s="10"/>
      <c r="AG536" s="10"/>
      <c r="AH536" s="10"/>
      <c r="AI536" s="12">
        <f t="shared" si="146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41"/>
        <v>0</v>
      </c>
      <c r="H537" s="10"/>
      <c r="I537" s="10"/>
      <c r="J537" s="10"/>
      <c r="K537" s="12">
        <f t="shared" si="142"/>
        <v>0</v>
      </c>
      <c r="M537" s="10">
        <v>31</v>
      </c>
      <c r="N537" s="30"/>
      <c r="O537" s="31"/>
      <c r="P537" s="47"/>
      <c r="Q537" s="31"/>
      <c r="R537" s="31"/>
      <c r="S537" s="32">
        <f t="shared" si="143"/>
        <v>0</v>
      </c>
      <c r="T537" s="10"/>
      <c r="U537" s="10"/>
      <c r="V537" s="10"/>
      <c r="W537" s="12">
        <f t="shared" si="144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50"/>
        <v>0</v>
      </c>
      <c r="AF537" s="10"/>
      <c r="AG537" s="10"/>
      <c r="AH537" s="10"/>
      <c r="AI537" s="12">
        <f t="shared" si="146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41"/>
        <v>0</v>
      </c>
      <c r="H538" s="10"/>
      <c r="I538" s="10"/>
      <c r="J538" s="10"/>
      <c r="K538" s="12">
        <f t="shared" si="142"/>
        <v>0</v>
      </c>
      <c r="M538" s="10">
        <v>32</v>
      </c>
      <c r="N538" s="30"/>
      <c r="O538" s="31"/>
      <c r="P538" s="47"/>
      <c r="Q538" s="31"/>
      <c r="R538" s="31"/>
      <c r="S538" s="32">
        <f t="shared" si="143"/>
        <v>0</v>
      </c>
      <c r="T538" s="10"/>
      <c r="U538" s="10"/>
      <c r="V538" s="10"/>
      <c r="W538" s="12">
        <f t="shared" si="144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50"/>
        <v>0</v>
      </c>
      <c r="AF538" s="10"/>
      <c r="AG538" s="10"/>
      <c r="AH538" s="10"/>
      <c r="AI538" s="12">
        <f t="shared" si="146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41"/>
        <v>0</v>
      </c>
      <c r="H539" s="10"/>
      <c r="I539" s="10"/>
      <c r="J539" s="10"/>
      <c r="K539" s="12">
        <f t="shared" si="142"/>
        <v>0</v>
      </c>
      <c r="M539" s="10">
        <v>33</v>
      </c>
      <c r="N539" s="30"/>
      <c r="O539" s="31"/>
      <c r="P539" s="47"/>
      <c r="Q539" s="31"/>
      <c r="R539" s="31"/>
      <c r="S539" s="32">
        <f t="shared" si="143"/>
        <v>0</v>
      </c>
      <c r="T539" s="10"/>
      <c r="U539" s="10"/>
      <c r="V539" s="10"/>
      <c r="W539" s="12">
        <f t="shared" si="144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50"/>
        <v>0</v>
      </c>
      <c r="AF539" s="10"/>
      <c r="AG539" s="10"/>
      <c r="AH539" s="10"/>
      <c r="AI539" s="12">
        <f t="shared" si="146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41"/>
        <v>0</v>
      </c>
      <c r="H540" s="10"/>
      <c r="I540" s="10"/>
      <c r="J540" s="10"/>
      <c r="K540" s="12">
        <f t="shared" si="142"/>
        <v>0</v>
      </c>
      <c r="M540" s="10">
        <v>34</v>
      </c>
      <c r="N540" s="30"/>
      <c r="O540" s="31"/>
      <c r="P540" s="47"/>
      <c r="Q540" s="31"/>
      <c r="R540" s="31"/>
      <c r="S540" s="32">
        <f t="shared" ref="S540:S545" si="151">SUM(P540:Q540)</f>
        <v>0</v>
      </c>
      <c r="T540" s="10"/>
      <c r="U540" s="10"/>
      <c r="V540" s="10"/>
      <c r="W540" s="12">
        <f t="shared" si="144"/>
        <v>0</v>
      </c>
      <c r="Y540" s="10">
        <v>34</v>
      </c>
      <c r="Z540" s="30"/>
      <c r="AA540" s="31"/>
      <c r="AB540" s="47"/>
      <c r="AC540" s="31"/>
      <c r="AD540" s="31"/>
      <c r="AE540" s="32">
        <f t="shared" ref="AE540:AE545" si="152">SUM(AB540:AC540)</f>
        <v>0</v>
      </c>
      <c r="AF540" s="10"/>
      <c r="AG540" s="10"/>
      <c r="AH540" s="10"/>
      <c r="AI540" s="12">
        <f t="shared" si="146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P541" s="47"/>
      <c r="Q541" s="31"/>
      <c r="R541" s="31"/>
      <c r="S541" s="32">
        <f t="shared" si="151"/>
        <v>0</v>
      </c>
      <c r="T541" s="10"/>
      <c r="U541" s="10"/>
      <c r="V541" s="10"/>
      <c r="W541" s="12">
        <f t="shared" si="144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52"/>
        <v>0</v>
      </c>
      <c r="AF541" s="10"/>
      <c r="AG541" s="10"/>
      <c r="AH541" s="10"/>
      <c r="AI541" s="12">
        <f t="shared" si="146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51"/>
        <v>0</v>
      </c>
      <c r="T542" s="10"/>
      <c r="U542" s="10"/>
      <c r="V542" s="10"/>
      <c r="W542" s="12">
        <f t="shared" si="144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52"/>
        <v>0</v>
      </c>
      <c r="AF542" s="10"/>
      <c r="AG542" s="10"/>
      <c r="AH542" s="10"/>
      <c r="AI542" s="12">
        <f t="shared" si="146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O543" s="31"/>
      <c r="P543" s="47"/>
      <c r="Q543" s="31"/>
      <c r="R543" s="31"/>
      <c r="S543" s="32">
        <f t="shared" si="151"/>
        <v>0</v>
      </c>
      <c r="T543" s="10"/>
      <c r="U543" s="10"/>
      <c r="V543" s="10"/>
      <c r="W543" s="12">
        <f t="shared" si="144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52"/>
        <v>0</v>
      </c>
      <c r="AF543" s="10"/>
      <c r="AG543" s="10"/>
      <c r="AH543" s="10"/>
      <c r="AI543" s="12">
        <f t="shared" si="146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51"/>
        <v>0</v>
      </c>
      <c r="T544" s="10"/>
      <c r="U544" s="10"/>
      <c r="V544" s="10"/>
      <c r="W544" s="12">
        <f t="shared" si="144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52"/>
        <v>0</v>
      </c>
      <c r="AF544" s="10"/>
      <c r="AG544" s="10"/>
      <c r="AH544" s="10"/>
      <c r="AI544" s="12">
        <f t="shared" si="146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51"/>
        <v>0</v>
      </c>
      <c r="T545" s="10"/>
      <c r="U545" s="10"/>
      <c r="V545" s="10"/>
      <c r="W545" s="12">
        <f t="shared" si="144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52"/>
        <v>0</v>
      </c>
      <c r="AF545" s="10"/>
      <c r="AG545" s="10"/>
      <c r="AH545" s="10"/>
      <c r="AI545" s="12">
        <f t="shared" si="146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44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46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53">SUM(D547:E547)</f>
        <v>0</v>
      </c>
      <c r="H547" s="10"/>
      <c r="I547" s="10"/>
      <c r="J547" s="10"/>
      <c r="K547" s="12">
        <f t="shared" ref="K547" si="154">SUM(G547:J547)</f>
        <v>0</v>
      </c>
      <c r="M547" s="10"/>
      <c r="N547" s="30"/>
      <c r="O547" s="31"/>
      <c r="P547" s="47"/>
      <c r="Q547" s="31"/>
      <c r="R547" s="31"/>
      <c r="S547" s="32">
        <f t="shared" ref="S547" si="155">SUM(P547:Q547)</f>
        <v>0</v>
      </c>
      <c r="T547" s="10"/>
      <c r="U547" s="10"/>
      <c r="V547" s="10"/>
      <c r="W547" s="12">
        <f t="shared" si="144"/>
        <v>0</v>
      </c>
      <c r="Y547" s="10"/>
      <c r="Z547" s="30"/>
      <c r="AA547" s="31"/>
      <c r="AB547" s="47"/>
      <c r="AC547" s="31"/>
      <c r="AD547" s="31"/>
      <c r="AE547" s="32">
        <f t="shared" ref="AE547" si="156">SUM(AB547:AC547)</f>
        <v>0</v>
      </c>
      <c r="AF547" s="10"/>
      <c r="AG547" s="10"/>
      <c r="AH547" s="10"/>
      <c r="AI547" s="12">
        <f t="shared" si="146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44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46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286073</v>
      </c>
      <c r="E550" s="38">
        <f t="shared" ref="E550:F550" si="157">SUM(E507:E547)</f>
        <v>-2268</v>
      </c>
      <c r="F550" s="38">
        <f t="shared" si="157"/>
        <v>0</v>
      </c>
      <c r="G550" s="38">
        <f>SUM(G507:G549)</f>
        <v>283805</v>
      </c>
      <c r="H550" s="4"/>
      <c r="I550" s="39">
        <f>SUM(I507:I549)</f>
        <v>0</v>
      </c>
      <c r="J550" s="39">
        <f>SUM(J507:J549)</f>
        <v>-30138</v>
      </c>
      <c r="K550" s="40">
        <f>SUM(K507:K549)</f>
        <v>253667</v>
      </c>
      <c r="N550" s="57"/>
      <c r="O550" s="57"/>
      <c r="P550" s="38">
        <f>SUM(P507:P549)</f>
        <v>327451</v>
      </c>
      <c r="Q550" s="38">
        <f>SUM(Q507:Q531)</f>
        <v>-2160</v>
      </c>
      <c r="R550" s="38">
        <f>SUM(R507:R531)</f>
        <v>0</v>
      </c>
      <c r="S550" s="38">
        <f>SUM(S507:S549)</f>
        <v>325291</v>
      </c>
      <c r="T550" s="4"/>
      <c r="U550" s="41">
        <f>SUM(U507:U549)</f>
        <v>20770.5</v>
      </c>
      <c r="V550" s="41">
        <f>SUM(V507:V531)</f>
        <v>-2799</v>
      </c>
      <c r="W550" s="42">
        <f>SUM(W507:W549)</f>
        <v>343262.5</v>
      </c>
      <c r="Z550" s="57"/>
      <c r="AA550" s="57"/>
      <c r="AB550" s="38">
        <f>SUM(AB507:AB549)</f>
        <v>273032</v>
      </c>
      <c r="AC550" s="38">
        <f>SUM(AC507:AC531)</f>
        <v>-1890</v>
      </c>
      <c r="AD550" s="38">
        <f>SUM(AD507:AD531)</f>
        <v>0</v>
      </c>
      <c r="AE550" s="38">
        <f>SUM(AE507:AE549)</f>
        <v>271142</v>
      </c>
      <c r="AF550" s="4"/>
      <c r="AG550" s="41">
        <f>SUM(AG507:AG549)</f>
        <v>56.25</v>
      </c>
      <c r="AH550" s="41">
        <f>SUM(AH507:AH531)</f>
        <v>-5550</v>
      </c>
      <c r="AI550" s="42">
        <f>SUM(AI507:AI549)</f>
        <v>265648.25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53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53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53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65</v>
      </c>
      <c r="B558" s="20"/>
      <c r="C558" s="57"/>
      <c r="D558" s="57"/>
      <c r="E558" s="57"/>
      <c r="G558" s="57"/>
      <c r="I558" s="22" t="s">
        <v>16</v>
      </c>
      <c r="J558" s="23" t="s">
        <v>31</v>
      </c>
      <c r="K558" s="24"/>
      <c r="M558" s="21" t="s">
        <v>65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33</v>
      </c>
      <c r="W558" s="24"/>
      <c r="Y558" s="21" t="s">
        <v>65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35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16" t="s">
        <v>17</v>
      </c>
      <c r="E560" s="116"/>
      <c r="F560" s="100"/>
      <c r="G560" s="27"/>
      <c r="I560" s="117" t="s">
        <v>18</v>
      </c>
      <c r="J560" s="118"/>
      <c r="K560" s="112" t="s">
        <v>19</v>
      </c>
      <c r="N560" s="25"/>
      <c r="O560" s="26"/>
      <c r="P560" s="116" t="s">
        <v>17</v>
      </c>
      <c r="Q560" s="116"/>
      <c r="R560" s="100"/>
      <c r="S560" s="27"/>
      <c r="U560" s="117" t="s">
        <v>18</v>
      </c>
      <c r="V560" s="118"/>
      <c r="W560" s="112" t="s">
        <v>19</v>
      </c>
      <c r="Z560" s="25"/>
      <c r="AA560" s="26"/>
      <c r="AB560" s="116" t="s">
        <v>17</v>
      </c>
      <c r="AC560" s="116"/>
      <c r="AD560" s="100"/>
      <c r="AE560" s="27"/>
      <c r="AG560" s="117" t="s">
        <v>18</v>
      </c>
      <c r="AH560" s="118"/>
      <c r="AI560" s="112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32</v>
      </c>
      <c r="G561" s="78" t="s">
        <v>24</v>
      </c>
      <c r="I561" s="29" t="s">
        <v>25</v>
      </c>
      <c r="J561" s="29" t="s">
        <v>26</v>
      </c>
      <c r="K561" s="113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32</v>
      </c>
      <c r="S561" s="78" t="s">
        <v>24</v>
      </c>
      <c r="U561" s="29" t="s">
        <v>25</v>
      </c>
      <c r="V561" s="29" t="s">
        <v>26</v>
      </c>
      <c r="W561" s="113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13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66</v>
      </c>
      <c r="C562" s="83">
        <v>9568</v>
      </c>
      <c r="D562" s="32">
        <f>650*21</f>
        <v>13650</v>
      </c>
      <c r="E562" s="32"/>
      <c r="F562" s="32"/>
      <c r="G562" s="32">
        <f t="shared" ref="G562:G595" si="158">SUM(D562:E562)</f>
        <v>13650</v>
      </c>
      <c r="H562" s="12"/>
      <c r="I562" s="12"/>
      <c r="J562" s="12"/>
      <c r="K562" s="12">
        <f t="shared" ref="K562:K595" si="159">SUM(G562:J562)</f>
        <v>13650</v>
      </c>
      <c r="M562" s="10">
        <v>1</v>
      </c>
      <c r="N562" s="30" t="s">
        <v>66</v>
      </c>
      <c r="O562" s="31">
        <v>9636</v>
      </c>
      <c r="P562" s="32">
        <f>650*7+622*3</f>
        <v>6416</v>
      </c>
      <c r="Q562" s="32"/>
      <c r="R562" s="32"/>
      <c r="S562" s="32">
        <f>SUM(P562:Q562)</f>
        <v>6416</v>
      </c>
      <c r="T562" s="12"/>
      <c r="U562" s="12"/>
      <c r="V562" s="12">
        <v>-666</v>
      </c>
      <c r="W562" s="12">
        <f>SUM(S562:V562)</f>
        <v>5750</v>
      </c>
      <c r="Y562" s="10">
        <v>1</v>
      </c>
      <c r="Z562" s="30" t="s">
        <v>66</v>
      </c>
      <c r="AA562" s="31">
        <v>9545</v>
      </c>
      <c r="AB562" s="32">
        <f>25*650+622*5</f>
        <v>19360</v>
      </c>
      <c r="AC562" s="32"/>
      <c r="AD562" s="32"/>
      <c r="AE562" s="32">
        <f>SUM(AB562:AC562)</f>
        <v>19360</v>
      </c>
      <c r="AF562" s="12"/>
      <c r="AG562" s="12">
        <v>198</v>
      </c>
      <c r="AH562" s="12"/>
      <c r="AI562" s="12">
        <f>SUM(AE562:AH562)</f>
        <v>19558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66</v>
      </c>
      <c r="C563" s="83">
        <f>C562+1</f>
        <v>9569</v>
      </c>
      <c r="D563" s="32">
        <f>650*9</f>
        <v>5850</v>
      </c>
      <c r="E563" s="32">
        <f>-9*6</f>
        <v>-54</v>
      </c>
      <c r="F563" s="32"/>
      <c r="G563" s="32">
        <f t="shared" si="158"/>
        <v>5796</v>
      </c>
      <c r="H563" s="12"/>
      <c r="I563" s="12"/>
      <c r="J563" s="12"/>
      <c r="K563" s="12">
        <f t="shared" si="159"/>
        <v>5796</v>
      </c>
      <c r="M563" s="10">
        <v>2</v>
      </c>
      <c r="N563" s="30" t="s">
        <v>66</v>
      </c>
      <c r="O563" s="31">
        <f>O562+1</f>
        <v>9637</v>
      </c>
      <c r="P563" s="32">
        <f>650*100+670*5+622*20+229*3</f>
        <v>81477</v>
      </c>
      <c r="Q563" s="32"/>
      <c r="R563" s="32"/>
      <c r="S563" s="32">
        <f t="shared" ref="S563:S594" si="160">SUM(P563:Q563)</f>
        <v>81477</v>
      </c>
      <c r="T563" s="12"/>
      <c r="U563" s="12"/>
      <c r="V563" s="12">
        <f>-111*10</f>
        <v>-1110</v>
      </c>
      <c r="W563" s="12">
        <f t="shared" ref="W563:W603" si="161">SUM(S563:V563)</f>
        <v>80367</v>
      </c>
      <c r="Y563" s="10">
        <v>2</v>
      </c>
      <c r="Z563" s="30" t="s">
        <v>66</v>
      </c>
      <c r="AA563" s="31">
        <f>AA562+1</f>
        <v>9546</v>
      </c>
      <c r="AB563" s="32">
        <f>650*50+229*2</f>
        <v>32958</v>
      </c>
      <c r="AC563" s="32">
        <f>-50*6</f>
        <v>-300</v>
      </c>
      <c r="AD563" s="32"/>
      <c r="AE563" s="32">
        <f t="shared" ref="AE563:AE571" si="162">SUM(AB563:AC563)</f>
        <v>32658</v>
      </c>
      <c r="AF563" s="12"/>
      <c r="AG563" s="12"/>
      <c r="AH563" s="12"/>
      <c r="AI563" s="12">
        <f t="shared" ref="AI563:AI603" si="163">SUM(AE563:AH563)</f>
        <v>32658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66</v>
      </c>
      <c r="C564" s="83">
        <f t="shared" ref="C564:C568" si="164">C563+1</f>
        <v>9570</v>
      </c>
      <c r="D564" s="33">
        <f>650*116+622*10+229</f>
        <v>81849</v>
      </c>
      <c r="E564" s="33"/>
      <c r="F564" s="33"/>
      <c r="G564" s="33">
        <f t="shared" si="158"/>
        <v>81849</v>
      </c>
      <c r="H564" s="34"/>
      <c r="I564" s="34"/>
      <c r="J564" s="34"/>
      <c r="K564" s="34">
        <f t="shared" si="159"/>
        <v>81849</v>
      </c>
      <c r="M564" s="10">
        <v>3</v>
      </c>
      <c r="N564" s="30" t="s">
        <v>66</v>
      </c>
      <c r="O564" s="31">
        <f t="shared" ref="O564:O576" si="165">O563+1</f>
        <v>9638</v>
      </c>
      <c r="P564" s="32">
        <f>650*4+9.5*4</f>
        <v>2638</v>
      </c>
      <c r="Q564" s="32"/>
      <c r="R564" s="32"/>
      <c r="S564" s="32">
        <f t="shared" si="160"/>
        <v>2638</v>
      </c>
      <c r="T564" s="12"/>
      <c r="U564" s="12"/>
      <c r="V564" s="12"/>
      <c r="W564" s="12">
        <f t="shared" si="161"/>
        <v>2638</v>
      </c>
      <c r="Y564" s="10">
        <v>3</v>
      </c>
      <c r="Z564" s="30" t="s">
        <v>66</v>
      </c>
      <c r="AA564" s="31">
        <f t="shared" ref="AA564:AA572" si="166">AA563+1</f>
        <v>9547</v>
      </c>
      <c r="AB564" s="33">
        <f>650*108+229*4</f>
        <v>71116</v>
      </c>
      <c r="AC564" s="33">
        <f>-108*6</f>
        <v>-648</v>
      </c>
      <c r="AD564" s="32"/>
      <c r="AE564" s="32">
        <f t="shared" si="162"/>
        <v>70468</v>
      </c>
      <c r="AF564" s="12"/>
      <c r="AG564" s="12">
        <v>63</v>
      </c>
      <c r="AH564" s="12"/>
      <c r="AI564" s="12">
        <f t="shared" si="163"/>
        <v>70531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66</v>
      </c>
      <c r="C565" s="83">
        <f t="shared" si="164"/>
        <v>9571</v>
      </c>
      <c r="D565" s="32">
        <f>650*324+229*13</f>
        <v>213577</v>
      </c>
      <c r="E565" s="32">
        <f>-324*6</f>
        <v>-1944</v>
      </c>
      <c r="F565" s="32"/>
      <c r="G565" s="32">
        <f t="shared" si="158"/>
        <v>211633</v>
      </c>
      <c r="H565" s="12"/>
      <c r="I565" s="12">
        <v>432</v>
      </c>
      <c r="J565" s="12">
        <f>-158*111</f>
        <v>-17538</v>
      </c>
      <c r="K565" s="12">
        <f t="shared" si="159"/>
        <v>194527</v>
      </c>
      <c r="M565" s="10">
        <v>4</v>
      </c>
      <c r="N565" s="30" t="s">
        <v>66</v>
      </c>
      <c r="O565" s="31">
        <f t="shared" si="165"/>
        <v>9639</v>
      </c>
      <c r="P565" s="32">
        <f>650*3+670*3+9.5*3</f>
        <v>3988.5</v>
      </c>
      <c r="Q565" s="32"/>
      <c r="R565" s="32"/>
      <c r="S565" s="32">
        <f t="shared" si="160"/>
        <v>3988.5</v>
      </c>
      <c r="T565" s="12"/>
      <c r="U565" s="12"/>
      <c r="V565" s="12"/>
      <c r="W565" s="12">
        <f t="shared" si="161"/>
        <v>3988.5</v>
      </c>
      <c r="Y565" s="10">
        <v>4</v>
      </c>
      <c r="Z565" s="30" t="s">
        <v>66</v>
      </c>
      <c r="AA565" s="31">
        <f t="shared" si="166"/>
        <v>9548</v>
      </c>
      <c r="AB565" s="32">
        <f>650*12+622</f>
        <v>8422</v>
      </c>
      <c r="AC565" s="32"/>
      <c r="AD565" s="32"/>
      <c r="AE565" s="32">
        <f t="shared" si="162"/>
        <v>8422</v>
      </c>
      <c r="AF565" s="12"/>
      <c r="AG565" s="58"/>
      <c r="AH565" s="12">
        <f>-111*12</f>
        <v>-1332</v>
      </c>
      <c r="AI565" s="12">
        <f t="shared" si="163"/>
        <v>7090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66</v>
      </c>
      <c r="C566" s="83">
        <f t="shared" si="164"/>
        <v>9572</v>
      </c>
      <c r="D566" s="32">
        <f>650*50+622*10</f>
        <v>38720</v>
      </c>
      <c r="E566" s="32"/>
      <c r="F566" s="32"/>
      <c r="G566" s="32">
        <f t="shared" si="158"/>
        <v>38720</v>
      </c>
      <c r="H566" s="12"/>
      <c r="I566" s="12"/>
      <c r="J566" s="12"/>
      <c r="K566" s="12">
        <f t="shared" si="159"/>
        <v>38720</v>
      </c>
      <c r="M566" s="10">
        <v>5</v>
      </c>
      <c r="N566" s="30" t="s">
        <v>66</v>
      </c>
      <c r="O566" s="31">
        <f t="shared" si="165"/>
        <v>9640</v>
      </c>
      <c r="P566" s="32">
        <f>650*35+9.5*5+650*2</f>
        <v>24097.5</v>
      </c>
      <c r="Q566" s="32"/>
      <c r="R566" s="32"/>
      <c r="S566" s="32">
        <f t="shared" si="160"/>
        <v>24097.5</v>
      </c>
      <c r="T566" s="12"/>
      <c r="U566" s="12">
        <f>4.5*15</f>
        <v>67.5</v>
      </c>
      <c r="V566" s="12"/>
      <c r="W566" s="12">
        <f t="shared" si="161"/>
        <v>24165</v>
      </c>
      <c r="Y566" s="10">
        <v>5</v>
      </c>
      <c r="Z566" s="30" t="s">
        <v>66</v>
      </c>
      <c r="AA566" s="31">
        <f t="shared" si="166"/>
        <v>9549</v>
      </c>
      <c r="AB566" s="32">
        <f>650*12+622*2+9.5*12</f>
        <v>9158</v>
      </c>
      <c r="AC566" s="32"/>
      <c r="AD566" s="32"/>
      <c r="AE566" s="32">
        <f t="shared" si="162"/>
        <v>9158</v>
      </c>
      <c r="AF566" s="12"/>
      <c r="AG566" s="12">
        <f>1.5*12</f>
        <v>18</v>
      </c>
      <c r="AH566" s="12"/>
      <c r="AI566" s="12">
        <f t="shared" si="163"/>
        <v>9176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66</v>
      </c>
      <c r="C567" s="83">
        <f t="shared" si="164"/>
        <v>9573</v>
      </c>
      <c r="D567" s="32">
        <f>650*125+700*5+670*4+622*10+912*3+1050+872+229*6+650*2+500</f>
        <v>101482</v>
      </c>
      <c r="E567" s="32"/>
      <c r="F567" s="32"/>
      <c r="G567" s="32">
        <f t="shared" si="158"/>
        <v>101482</v>
      </c>
      <c r="H567" s="12"/>
      <c r="I567" s="12">
        <f>78*6+4.5*48</f>
        <v>684</v>
      </c>
      <c r="J567" s="12"/>
      <c r="K567" s="12">
        <f t="shared" si="159"/>
        <v>102166</v>
      </c>
      <c r="M567" s="10">
        <v>6</v>
      </c>
      <c r="N567" s="30" t="s">
        <v>66</v>
      </c>
      <c r="O567" s="31">
        <f t="shared" si="165"/>
        <v>9641</v>
      </c>
      <c r="P567" s="32">
        <f>650*3+9.5*3</f>
        <v>1978.5</v>
      </c>
      <c r="Q567" s="32"/>
      <c r="R567" s="32"/>
      <c r="S567" s="32">
        <f t="shared" si="160"/>
        <v>1978.5</v>
      </c>
      <c r="T567" s="12"/>
      <c r="U567" s="12"/>
      <c r="V567" s="10"/>
      <c r="W567" s="12">
        <f t="shared" si="161"/>
        <v>1978.5</v>
      </c>
      <c r="Y567" s="10">
        <v>6</v>
      </c>
      <c r="Z567" s="30" t="s">
        <v>66</v>
      </c>
      <c r="AA567" s="31">
        <f t="shared" si="166"/>
        <v>9550</v>
      </c>
      <c r="AB567" s="32">
        <f>650*20+229*2</f>
        <v>13458</v>
      </c>
      <c r="AC567" s="32"/>
      <c r="AD567" s="32"/>
      <c r="AE567" s="32">
        <f t="shared" si="162"/>
        <v>13458</v>
      </c>
      <c r="AF567" s="12"/>
      <c r="AG567" s="12"/>
      <c r="AH567" s="10"/>
      <c r="AI567" s="12">
        <f t="shared" si="163"/>
        <v>13458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 t="s">
        <v>66</v>
      </c>
      <c r="C568" s="83">
        <f t="shared" si="164"/>
        <v>9574</v>
      </c>
      <c r="D568" s="32">
        <f>650*31+622*6</f>
        <v>23882</v>
      </c>
      <c r="E568" s="32"/>
      <c r="F568" s="32"/>
      <c r="G568" s="32">
        <f t="shared" si="158"/>
        <v>23882</v>
      </c>
      <c r="H568" s="12"/>
      <c r="I568" s="12"/>
      <c r="J568" s="12">
        <f>-111*22</f>
        <v>-2442</v>
      </c>
      <c r="K568" s="12">
        <f t="shared" si="159"/>
        <v>21440</v>
      </c>
      <c r="M568" s="10">
        <v>7</v>
      </c>
      <c r="N568" s="30" t="s">
        <v>66</v>
      </c>
      <c r="O568" s="31">
        <f t="shared" si="165"/>
        <v>9642</v>
      </c>
      <c r="P568" s="32">
        <f>650*52+622*7+229+650</f>
        <v>39033</v>
      </c>
      <c r="Q568" s="32"/>
      <c r="R568" s="32"/>
      <c r="S568" s="32">
        <f t="shared" si="160"/>
        <v>39033</v>
      </c>
      <c r="T568" s="12"/>
      <c r="U568" s="12">
        <v>189</v>
      </c>
      <c r="V568" s="12"/>
      <c r="W568" s="12">
        <f t="shared" si="161"/>
        <v>39222</v>
      </c>
      <c r="Y568" s="10">
        <v>7</v>
      </c>
      <c r="Z568" s="30" t="s">
        <v>66</v>
      </c>
      <c r="AA568" s="31">
        <v>9653</v>
      </c>
      <c r="AB568" s="32">
        <f>650*50+622*3+229*2</f>
        <v>34824</v>
      </c>
      <c r="AC568" s="32">
        <f>-53*6</f>
        <v>-318</v>
      </c>
      <c r="AD568" s="32"/>
      <c r="AE568" s="32">
        <f t="shared" si="162"/>
        <v>34506</v>
      </c>
      <c r="AF568" s="12"/>
      <c r="AG568" s="58"/>
      <c r="AH568" s="12"/>
      <c r="AI568" s="12">
        <f t="shared" si="163"/>
        <v>34506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/>
      <c r="C569" s="11" t="s">
        <v>27</v>
      </c>
      <c r="D569" s="32"/>
      <c r="E569" s="32"/>
      <c r="F569" s="32"/>
      <c r="G569" s="32">
        <f t="shared" si="158"/>
        <v>0</v>
      </c>
      <c r="H569" s="12"/>
      <c r="I569" s="12"/>
      <c r="J569" s="12"/>
      <c r="K569" s="12">
        <f t="shared" si="159"/>
        <v>0</v>
      </c>
      <c r="M569" s="10">
        <v>8</v>
      </c>
      <c r="N569" s="30" t="s">
        <v>66</v>
      </c>
      <c r="O569" s="31">
        <f t="shared" si="165"/>
        <v>9643</v>
      </c>
      <c r="P569" s="32">
        <f>650*3+9.5*3</f>
        <v>1978.5</v>
      </c>
      <c r="Q569" s="32"/>
      <c r="R569" s="32"/>
      <c r="S569" s="32">
        <f t="shared" si="160"/>
        <v>1978.5</v>
      </c>
      <c r="T569" s="12"/>
      <c r="U569" s="12">
        <v>81</v>
      </c>
      <c r="V569" s="12"/>
      <c r="W569" s="12">
        <f t="shared" si="161"/>
        <v>2059.5</v>
      </c>
      <c r="Y569" s="10">
        <v>8</v>
      </c>
      <c r="Z569" s="30" t="s">
        <v>66</v>
      </c>
      <c r="AA569" s="31">
        <f>AA568+1</f>
        <v>9654</v>
      </c>
      <c r="AB569" s="32">
        <f>650*4+670*6</f>
        <v>6620</v>
      </c>
      <c r="AC569" s="32"/>
      <c r="AE569" s="32">
        <f t="shared" si="162"/>
        <v>6620</v>
      </c>
      <c r="AF569" s="12"/>
      <c r="AG569" s="12"/>
      <c r="AH569" s="12"/>
      <c r="AI569" s="12">
        <f t="shared" si="163"/>
        <v>6620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/>
      <c r="C570" s="83"/>
      <c r="D570" s="32"/>
      <c r="E570" s="32"/>
      <c r="F570" s="32"/>
      <c r="G570" s="32">
        <f t="shared" si="158"/>
        <v>0</v>
      </c>
      <c r="H570" s="12"/>
      <c r="I570" s="12"/>
      <c r="J570" s="12"/>
      <c r="K570" s="12">
        <f t="shared" si="159"/>
        <v>0</v>
      </c>
      <c r="M570" s="10">
        <v>9</v>
      </c>
      <c r="N570" s="30" t="s">
        <v>66</v>
      </c>
      <c r="O570" s="31">
        <f t="shared" si="165"/>
        <v>9644</v>
      </c>
      <c r="P570" s="32">
        <f>650*10+9.5*10</f>
        <v>6595</v>
      </c>
      <c r="Q570" s="32"/>
      <c r="R570" s="32"/>
      <c r="S570" s="32">
        <f t="shared" si="160"/>
        <v>6595</v>
      </c>
      <c r="T570" s="12"/>
      <c r="U570" s="12"/>
      <c r="V570" s="12">
        <v>-666</v>
      </c>
      <c r="W570" s="12">
        <f t="shared" si="161"/>
        <v>5929</v>
      </c>
      <c r="Y570" s="10">
        <v>9</v>
      </c>
      <c r="Z570" s="30" t="s">
        <v>66</v>
      </c>
      <c r="AA570" s="31">
        <f t="shared" si="166"/>
        <v>9655</v>
      </c>
      <c r="AB570" s="32">
        <f>670*10</f>
        <v>6700</v>
      </c>
      <c r="AC570" s="32"/>
      <c r="AD570" s="32"/>
      <c r="AE570" s="32">
        <f t="shared" si="162"/>
        <v>6700</v>
      </c>
      <c r="AF570" s="12"/>
      <c r="AH570" s="12"/>
      <c r="AI570" s="12">
        <f t="shared" si="163"/>
        <v>6700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/>
      <c r="D571" s="32"/>
      <c r="E571" s="32"/>
      <c r="F571" s="32"/>
      <c r="G571" s="32">
        <f t="shared" si="158"/>
        <v>0</v>
      </c>
      <c r="H571" s="12"/>
      <c r="I571" s="12"/>
      <c r="J571" s="12"/>
      <c r="K571" s="12">
        <f t="shared" si="159"/>
        <v>0</v>
      </c>
      <c r="M571" s="10">
        <v>10</v>
      </c>
      <c r="N571" s="30" t="s">
        <v>66</v>
      </c>
      <c r="O571" s="31">
        <f t="shared" si="165"/>
        <v>9645</v>
      </c>
      <c r="P571" s="32">
        <f>650*6+9.5*6</f>
        <v>3957</v>
      </c>
      <c r="Q571" s="32"/>
      <c r="R571" s="32"/>
      <c r="S571" s="32">
        <f t="shared" si="160"/>
        <v>3957</v>
      </c>
      <c r="T571" s="12"/>
      <c r="U571" s="12">
        <f>111+1.5*6</f>
        <v>120</v>
      </c>
      <c r="V571" s="12"/>
      <c r="W571" s="12">
        <f t="shared" si="161"/>
        <v>4077</v>
      </c>
      <c r="Y571" s="10">
        <v>10</v>
      </c>
      <c r="Z571" s="30" t="s">
        <v>66</v>
      </c>
      <c r="AA571" s="31">
        <f t="shared" si="166"/>
        <v>9656</v>
      </c>
      <c r="AB571" s="32">
        <f>650*20</f>
        <v>13000</v>
      </c>
      <c r="AC571" s="32"/>
      <c r="AD571" s="32"/>
      <c r="AE571" s="32">
        <f t="shared" si="162"/>
        <v>13000</v>
      </c>
      <c r="AF571" s="12"/>
      <c r="AG571" s="12"/>
      <c r="AH571" s="12"/>
      <c r="AI571" s="12">
        <f t="shared" si="163"/>
        <v>13000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C572" s="83"/>
      <c r="D572" s="32"/>
      <c r="E572" s="32"/>
      <c r="F572" s="32"/>
      <c r="G572" s="32">
        <f t="shared" si="158"/>
        <v>0</v>
      </c>
      <c r="H572" s="12"/>
      <c r="I572" s="12"/>
      <c r="J572" s="12"/>
      <c r="K572" s="12">
        <f t="shared" si="159"/>
        <v>0</v>
      </c>
      <c r="M572" s="10">
        <v>11</v>
      </c>
      <c r="N572" s="30" t="s">
        <v>66</v>
      </c>
      <c r="O572" s="31">
        <f t="shared" si="165"/>
        <v>9646</v>
      </c>
      <c r="P572" s="32">
        <f>650*5+47.5</f>
        <v>3297.5</v>
      </c>
      <c r="Q572" s="32"/>
      <c r="R572" s="32"/>
      <c r="S572" s="32">
        <f t="shared" si="160"/>
        <v>3297.5</v>
      </c>
      <c r="T572" s="12"/>
      <c r="U572" s="12"/>
      <c r="V572" s="12">
        <f>-444+-252</f>
        <v>-696</v>
      </c>
      <c r="W572" s="12">
        <f t="shared" si="161"/>
        <v>2601.5</v>
      </c>
      <c r="Y572" s="10">
        <v>11</v>
      </c>
      <c r="Z572" s="30" t="s">
        <v>66</v>
      </c>
      <c r="AA572" s="31">
        <f t="shared" si="166"/>
        <v>9657</v>
      </c>
      <c r="AB572" s="32">
        <f>650*15+622*5</f>
        <v>12860</v>
      </c>
      <c r="AC572" s="32"/>
      <c r="AD572" s="32"/>
      <c r="AE572" s="32">
        <f t="shared" ref="AE572:AE594" si="167">SUM(AB572:AC572)</f>
        <v>12860</v>
      </c>
      <c r="AF572" s="12"/>
      <c r="AG572" s="12"/>
      <c r="AH572" s="12"/>
      <c r="AI572" s="12">
        <f t="shared" si="163"/>
        <v>12860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3"/>
      <c r="D573" s="32"/>
      <c r="E573" s="32"/>
      <c r="F573" s="32"/>
      <c r="G573" s="32">
        <f t="shared" si="158"/>
        <v>0</v>
      </c>
      <c r="H573" s="12"/>
      <c r="I573" s="12"/>
      <c r="J573" s="10"/>
      <c r="K573" s="12">
        <f t="shared" si="159"/>
        <v>0</v>
      </c>
      <c r="M573" s="10">
        <v>12</v>
      </c>
      <c r="N573" s="30" t="s">
        <v>66</v>
      </c>
      <c r="O573" s="31">
        <f t="shared" si="165"/>
        <v>9647</v>
      </c>
      <c r="P573" s="32">
        <f>650*13+872+9.5*13</f>
        <v>9445.5</v>
      </c>
      <c r="Q573" s="32"/>
      <c r="R573" s="32"/>
      <c r="S573" s="32">
        <f t="shared" si="160"/>
        <v>9445.5</v>
      </c>
      <c r="T573" s="12"/>
      <c r="U573" s="12">
        <v>13.5</v>
      </c>
      <c r="V573" s="12"/>
      <c r="W573" s="12">
        <f t="shared" si="161"/>
        <v>9459</v>
      </c>
      <c r="Y573" s="10">
        <v>12</v>
      </c>
      <c r="Z573" s="30"/>
      <c r="AA573" s="11" t="s">
        <v>27</v>
      </c>
      <c r="AB573" s="32"/>
      <c r="AC573" s="32"/>
      <c r="AD573" s="32"/>
      <c r="AE573" s="32">
        <f t="shared" si="167"/>
        <v>0</v>
      </c>
      <c r="AF573" s="12"/>
      <c r="AG573" s="12"/>
      <c r="AH573" s="12"/>
      <c r="AI573" s="12">
        <f t="shared" si="163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83"/>
      <c r="D574" s="32"/>
      <c r="E574" s="32"/>
      <c r="F574" s="32"/>
      <c r="G574" s="32">
        <f t="shared" si="158"/>
        <v>0</v>
      </c>
      <c r="H574" s="12"/>
      <c r="I574" s="12"/>
      <c r="J574" s="12"/>
      <c r="K574" s="12">
        <f t="shared" si="159"/>
        <v>0</v>
      </c>
      <c r="M574" s="10">
        <v>13</v>
      </c>
      <c r="N574" s="30" t="s">
        <v>66</v>
      </c>
      <c r="O574" s="31">
        <f t="shared" si="165"/>
        <v>9648</v>
      </c>
      <c r="P574" s="32">
        <f>650*9+9.5*9</f>
        <v>5935.5</v>
      </c>
      <c r="Q574" s="32"/>
      <c r="R574" s="32"/>
      <c r="S574" s="32">
        <f t="shared" si="160"/>
        <v>5935.5</v>
      </c>
      <c r="T574" s="12"/>
      <c r="U574" s="12">
        <v>67.5</v>
      </c>
      <c r="V574" s="12"/>
      <c r="W574" s="12">
        <f t="shared" si="161"/>
        <v>6003</v>
      </c>
      <c r="Y574" s="10">
        <v>13</v>
      </c>
      <c r="Z574" s="30"/>
      <c r="AA574" s="31"/>
      <c r="AB574" s="32"/>
      <c r="AC574" s="32"/>
      <c r="AD574" s="32"/>
      <c r="AE574" s="32">
        <f t="shared" si="167"/>
        <v>0</v>
      </c>
      <c r="AF574" s="12"/>
      <c r="AG574" s="12"/>
      <c r="AH574" s="12"/>
      <c r="AI574" s="12">
        <f t="shared" si="163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3"/>
      <c r="D575" s="32"/>
      <c r="E575" s="32"/>
      <c r="F575" s="32"/>
      <c r="G575" s="32">
        <f t="shared" si="158"/>
        <v>0</v>
      </c>
      <c r="H575" s="12"/>
      <c r="I575" s="12"/>
      <c r="J575" s="12"/>
      <c r="K575" s="12">
        <f t="shared" si="159"/>
        <v>0</v>
      </c>
      <c r="M575" s="10">
        <v>14</v>
      </c>
      <c r="N575" s="30" t="s">
        <v>66</v>
      </c>
      <c r="O575" s="31">
        <f t="shared" si="165"/>
        <v>9649</v>
      </c>
      <c r="P575" s="32">
        <f>650*8+700*2+622</f>
        <v>7222</v>
      </c>
      <c r="Q575" s="32"/>
      <c r="R575" s="32"/>
      <c r="S575" s="32">
        <f t="shared" si="160"/>
        <v>7222</v>
      </c>
      <c r="T575" s="12"/>
      <c r="U575" s="12"/>
      <c r="V575" s="12">
        <v>-120</v>
      </c>
      <c r="W575" s="12">
        <f t="shared" si="161"/>
        <v>7102</v>
      </c>
      <c r="Y575" s="10">
        <v>14</v>
      </c>
      <c r="Z575" s="30"/>
      <c r="AA575" s="31"/>
      <c r="AB575" s="32"/>
      <c r="AC575" s="32"/>
      <c r="AD575" s="32"/>
      <c r="AE575" s="32">
        <f t="shared" si="167"/>
        <v>0</v>
      </c>
      <c r="AF575" s="12"/>
      <c r="AG575" s="12"/>
      <c r="AH575" s="12"/>
      <c r="AI575" s="12">
        <f t="shared" si="163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3"/>
      <c r="D576" s="32"/>
      <c r="E576" s="32"/>
      <c r="F576" s="32"/>
      <c r="G576" s="32">
        <f t="shared" si="158"/>
        <v>0</v>
      </c>
      <c r="H576" s="12"/>
      <c r="I576" s="12"/>
      <c r="J576" s="12"/>
      <c r="K576" s="12">
        <f t="shared" si="159"/>
        <v>0</v>
      </c>
      <c r="M576" s="10">
        <v>15</v>
      </c>
      <c r="N576" s="30" t="s">
        <v>66</v>
      </c>
      <c r="O576" s="31">
        <f t="shared" si="165"/>
        <v>9650</v>
      </c>
      <c r="P576" s="32">
        <f>650*35+670*4+622+229</f>
        <v>26281</v>
      </c>
      <c r="Q576" s="32"/>
      <c r="R576" s="32"/>
      <c r="S576" s="32">
        <f t="shared" si="160"/>
        <v>26281</v>
      </c>
      <c r="T576" s="12"/>
      <c r="U576" s="12"/>
      <c r="V576" s="12"/>
      <c r="W576" s="12">
        <f t="shared" si="161"/>
        <v>26281</v>
      </c>
      <c r="Y576" s="10">
        <v>15</v>
      </c>
      <c r="Z576" s="30"/>
      <c r="AB576" s="32"/>
      <c r="AC576" s="32"/>
      <c r="AD576" s="32"/>
      <c r="AE576" s="32">
        <f t="shared" si="167"/>
        <v>0</v>
      </c>
      <c r="AF576" s="12"/>
      <c r="AG576" s="12"/>
      <c r="AH576" s="12"/>
      <c r="AI576" s="12">
        <f t="shared" si="163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83"/>
      <c r="D577" s="32"/>
      <c r="E577" s="32"/>
      <c r="F577" s="32"/>
      <c r="G577" s="32">
        <f t="shared" si="158"/>
        <v>0</v>
      </c>
      <c r="H577" s="12"/>
      <c r="I577" s="12"/>
      <c r="J577" s="12"/>
      <c r="K577" s="12">
        <f t="shared" si="159"/>
        <v>0</v>
      </c>
      <c r="M577" s="10">
        <v>16</v>
      </c>
      <c r="N577" s="30" t="s">
        <v>66</v>
      </c>
      <c r="O577" s="31">
        <v>9575</v>
      </c>
      <c r="P577" s="32">
        <f>650*5</f>
        <v>3250</v>
      </c>
      <c r="Q577" s="32"/>
      <c r="R577" s="32"/>
      <c r="S577" s="32">
        <f t="shared" si="160"/>
        <v>3250</v>
      </c>
      <c r="T577" s="12"/>
      <c r="U577" s="12"/>
      <c r="V577" s="12"/>
      <c r="W577" s="12">
        <f t="shared" si="161"/>
        <v>3250</v>
      </c>
      <c r="Y577" s="10">
        <v>16</v>
      </c>
      <c r="Z577" s="30"/>
      <c r="AB577" s="32"/>
      <c r="AC577" s="32"/>
      <c r="AD577" s="32"/>
      <c r="AE577" s="32">
        <f t="shared" si="167"/>
        <v>0</v>
      </c>
      <c r="AF577" s="12"/>
      <c r="AG577" s="12"/>
      <c r="AH577" s="12"/>
      <c r="AI577" s="12">
        <f t="shared" si="163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3"/>
      <c r="D578" s="32"/>
      <c r="E578" s="32"/>
      <c r="F578" s="32"/>
      <c r="G578" s="32">
        <f t="shared" si="158"/>
        <v>0</v>
      </c>
      <c r="H578" s="12"/>
      <c r="I578" s="12"/>
      <c r="J578" s="12"/>
      <c r="K578" s="12">
        <f t="shared" si="159"/>
        <v>0</v>
      </c>
      <c r="M578" s="10">
        <v>17</v>
      </c>
      <c r="N578" s="30" t="s">
        <v>66</v>
      </c>
      <c r="O578" s="31">
        <v>9708</v>
      </c>
      <c r="P578" s="35">
        <v>11022</v>
      </c>
      <c r="Q578" s="32"/>
      <c r="R578" s="32"/>
      <c r="S578" s="32">
        <f t="shared" si="160"/>
        <v>11022</v>
      </c>
      <c r="T578" s="12"/>
      <c r="U578" s="12"/>
      <c r="V578" s="12"/>
      <c r="W578" s="12">
        <f t="shared" si="161"/>
        <v>11022</v>
      </c>
      <c r="Y578" s="10">
        <v>17</v>
      </c>
      <c r="Z578" s="30"/>
      <c r="AA578" s="31"/>
      <c r="AB578" s="35"/>
      <c r="AC578" s="32"/>
      <c r="AD578" s="32"/>
      <c r="AE578" s="32">
        <f t="shared" si="167"/>
        <v>0</v>
      </c>
      <c r="AF578" s="12"/>
      <c r="AG578" s="12"/>
      <c r="AH578" s="12"/>
      <c r="AI578" s="12">
        <f t="shared" si="163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83"/>
      <c r="D579" s="32"/>
      <c r="E579" s="32"/>
      <c r="F579" s="32"/>
      <c r="G579" s="32">
        <f t="shared" si="158"/>
        <v>0</v>
      </c>
      <c r="H579" s="12"/>
      <c r="I579" s="12"/>
      <c r="J579" s="12"/>
      <c r="K579" s="12">
        <f t="shared" si="159"/>
        <v>0</v>
      </c>
      <c r="M579" s="10">
        <v>18</v>
      </c>
      <c r="N579" s="30"/>
      <c r="O579" s="11" t="s">
        <v>27</v>
      </c>
      <c r="P579" s="32"/>
      <c r="Q579" s="32"/>
      <c r="R579" s="32"/>
      <c r="S579" s="32">
        <f t="shared" si="160"/>
        <v>0</v>
      </c>
      <c r="T579" s="12"/>
      <c r="U579" s="12"/>
      <c r="V579" s="12"/>
      <c r="W579" s="12">
        <f t="shared" si="161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67"/>
        <v>0</v>
      </c>
      <c r="AF579" s="12"/>
      <c r="AG579" s="12"/>
      <c r="AH579" s="12"/>
      <c r="AI579" s="12">
        <f t="shared" si="163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83"/>
      <c r="D580" s="32"/>
      <c r="E580" s="32"/>
      <c r="F580" s="32"/>
      <c r="G580" s="32">
        <f t="shared" si="158"/>
        <v>0</v>
      </c>
      <c r="H580" s="12"/>
      <c r="I580" s="12"/>
      <c r="J580" s="12"/>
      <c r="K580" s="12">
        <f t="shared" si="159"/>
        <v>0</v>
      </c>
      <c r="M580" s="10">
        <v>19</v>
      </c>
      <c r="N580" s="30"/>
      <c r="O580" s="31"/>
      <c r="P580" s="32"/>
      <c r="Q580" s="32"/>
      <c r="R580" s="32"/>
      <c r="S580" s="32">
        <f t="shared" si="160"/>
        <v>0</v>
      </c>
      <c r="T580" s="12"/>
      <c r="U580" s="12"/>
      <c r="V580" s="12"/>
      <c r="W580" s="12">
        <f t="shared" si="161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67"/>
        <v>0</v>
      </c>
      <c r="AF580" s="12"/>
      <c r="AG580" s="12"/>
      <c r="AH580" s="12"/>
      <c r="AI580" s="12">
        <f t="shared" si="163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3"/>
      <c r="D581" s="32"/>
      <c r="E581" s="32"/>
      <c r="F581" s="32"/>
      <c r="G581" s="32">
        <f t="shared" si="158"/>
        <v>0</v>
      </c>
      <c r="H581" s="12"/>
      <c r="I581" s="12"/>
      <c r="J581" s="12"/>
      <c r="K581" s="12">
        <f t="shared" si="159"/>
        <v>0</v>
      </c>
      <c r="M581" s="10">
        <v>20</v>
      </c>
      <c r="N581" s="30"/>
      <c r="O581" s="31"/>
      <c r="P581" s="32"/>
      <c r="Q581" s="32"/>
      <c r="R581" s="32"/>
      <c r="S581" s="32">
        <f t="shared" si="160"/>
        <v>0</v>
      </c>
      <c r="T581" s="12"/>
      <c r="U581" s="12"/>
      <c r="V581" s="12"/>
      <c r="W581" s="12">
        <f t="shared" si="161"/>
        <v>0</v>
      </c>
      <c r="Y581" s="10">
        <v>20</v>
      </c>
      <c r="Z581" s="30"/>
      <c r="AA581" s="31"/>
      <c r="AB581" s="32"/>
      <c r="AC581" s="32"/>
      <c r="AD581" s="32"/>
      <c r="AE581" s="32">
        <f t="shared" si="167"/>
        <v>0</v>
      </c>
      <c r="AF581" s="12"/>
      <c r="AG581" s="12"/>
      <c r="AH581" s="12"/>
      <c r="AI581" s="12">
        <f t="shared" si="163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11"/>
      <c r="D582" s="32"/>
      <c r="E582" s="32"/>
      <c r="F582" s="32"/>
      <c r="G582" s="32">
        <f t="shared" si="158"/>
        <v>0</v>
      </c>
      <c r="H582" s="10"/>
      <c r="I582" s="10"/>
      <c r="J582" s="10"/>
      <c r="K582" s="12">
        <f t="shared" si="159"/>
        <v>0</v>
      </c>
      <c r="M582" s="10">
        <v>21</v>
      </c>
      <c r="N582" s="30"/>
      <c r="P582" s="46"/>
      <c r="Q582" s="31"/>
      <c r="R582" s="31"/>
      <c r="S582" s="32">
        <f t="shared" si="160"/>
        <v>0</v>
      </c>
      <c r="T582" s="10"/>
      <c r="U582" s="10"/>
      <c r="V582" s="10"/>
      <c r="W582" s="12">
        <f t="shared" si="161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67"/>
        <v>0</v>
      </c>
      <c r="AF582" s="10"/>
      <c r="AG582" s="10"/>
      <c r="AH582" s="10"/>
      <c r="AI582" s="12">
        <f t="shared" si="163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57"/>
      <c r="D583" s="32"/>
      <c r="E583" s="32"/>
      <c r="F583" s="32"/>
      <c r="G583" s="32">
        <f t="shared" si="158"/>
        <v>0</v>
      </c>
      <c r="H583" s="10"/>
      <c r="I583" s="10"/>
      <c r="J583" s="10"/>
      <c r="K583" s="12">
        <f t="shared" si="159"/>
        <v>0</v>
      </c>
      <c r="M583" s="10">
        <v>22</v>
      </c>
      <c r="N583" s="30"/>
      <c r="O583" s="31"/>
      <c r="P583" s="45"/>
      <c r="Q583" s="31"/>
      <c r="R583" s="31"/>
      <c r="S583" s="32">
        <f t="shared" si="160"/>
        <v>0</v>
      </c>
      <c r="T583" s="10"/>
      <c r="U583" s="10"/>
      <c r="V583" s="10"/>
      <c r="W583" s="12">
        <f t="shared" si="161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67"/>
        <v>0</v>
      </c>
      <c r="AF583" s="10"/>
      <c r="AG583" s="10"/>
      <c r="AH583" s="10"/>
      <c r="AI583" s="12">
        <f t="shared" si="163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83"/>
      <c r="D584" s="32"/>
      <c r="E584" s="32"/>
      <c r="F584" s="32"/>
      <c r="G584" s="32">
        <f t="shared" si="158"/>
        <v>0</v>
      </c>
      <c r="H584" s="10"/>
      <c r="I584" s="10"/>
      <c r="J584" s="12"/>
      <c r="K584" s="12">
        <f t="shared" si="159"/>
        <v>0</v>
      </c>
      <c r="M584" s="10">
        <v>23</v>
      </c>
      <c r="N584" s="30"/>
      <c r="O584" s="31"/>
      <c r="P584" s="47"/>
      <c r="Q584" s="31"/>
      <c r="S584" s="32">
        <f t="shared" si="160"/>
        <v>0</v>
      </c>
      <c r="T584" s="10"/>
      <c r="U584" s="10"/>
      <c r="V584" s="10"/>
      <c r="W584" s="12">
        <f t="shared" si="161"/>
        <v>0</v>
      </c>
      <c r="Y584" s="10">
        <v>23</v>
      </c>
      <c r="Z584" s="30"/>
      <c r="AA584" s="31"/>
      <c r="AB584" s="47"/>
      <c r="AE584" s="32">
        <f t="shared" si="167"/>
        <v>0</v>
      </c>
      <c r="AF584" s="10"/>
      <c r="AG584" s="10"/>
      <c r="AH584" s="10"/>
      <c r="AI584" s="12">
        <f t="shared" si="163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83"/>
      <c r="D585" s="32"/>
      <c r="E585" s="32"/>
      <c r="F585" s="32"/>
      <c r="G585" s="32">
        <f t="shared" si="158"/>
        <v>0</v>
      </c>
      <c r="H585" s="10"/>
      <c r="I585" s="10"/>
      <c r="J585" s="10"/>
      <c r="K585" s="12">
        <f t="shared" si="159"/>
        <v>0</v>
      </c>
      <c r="M585" s="10">
        <v>24</v>
      </c>
      <c r="N585" s="30"/>
      <c r="O585" s="31"/>
      <c r="P585" s="47"/>
      <c r="Q585" s="31"/>
      <c r="R585" s="31"/>
      <c r="S585" s="32">
        <f t="shared" si="160"/>
        <v>0</v>
      </c>
      <c r="T585" s="10"/>
      <c r="U585" s="10"/>
      <c r="V585" s="10"/>
      <c r="W585" s="12">
        <f t="shared" si="161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67"/>
        <v>0</v>
      </c>
      <c r="AF585" s="10"/>
      <c r="AG585" s="10"/>
      <c r="AH585" s="10"/>
      <c r="AI585" s="12">
        <f t="shared" si="163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83"/>
      <c r="D586" s="32"/>
      <c r="E586" s="32"/>
      <c r="F586" s="32"/>
      <c r="G586" s="32">
        <f t="shared" si="158"/>
        <v>0</v>
      </c>
      <c r="H586" s="10"/>
      <c r="I586" s="10"/>
      <c r="J586" s="10"/>
      <c r="K586" s="12">
        <f t="shared" si="159"/>
        <v>0</v>
      </c>
      <c r="M586" s="10">
        <v>25</v>
      </c>
      <c r="N586" s="30"/>
      <c r="O586" s="31"/>
      <c r="P586" s="47"/>
      <c r="Q586" s="31"/>
      <c r="R586" s="31"/>
      <c r="S586" s="32">
        <f t="shared" si="160"/>
        <v>0</v>
      </c>
      <c r="T586" s="10"/>
      <c r="U586" s="10"/>
      <c r="V586" s="10"/>
      <c r="W586" s="12">
        <f t="shared" si="161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67"/>
        <v>0</v>
      </c>
      <c r="AF586" s="10"/>
      <c r="AG586" s="10"/>
      <c r="AH586" s="10"/>
      <c r="AI586" s="12">
        <f t="shared" si="163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58"/>
        <v>0</v>
      </c>
      <c r="H587" s="10"/>
      <c r="I587" s="10"/>
      <c r="J587" s="10"/>
      <c r="K587" s="12">
        <f t="shared" si="159"/>
        <v>0</v>
      </c>
      <c r="M587" s="10">
        <v>26</v>
      </c>
      <c r="N587" s="30"/>
      <c r="O587" s="31"/>
      <c r="P587" s="47"/>
      <c r="Q587" s="31"/>
      <c r="R587" s="31"/>
      <c r="S587" s="32">
        <f t="shared" si="160"/>
        <v>0</v>
      </c>
      <c r="T587" s="10"/>
      <c r="U587" s="10"/>
      <c r="V587" s="10"/>
      <c r="W587" s="12">
        <f t="shared" si="161"/>
        <v>0</v>
      </c>
      <c r="Y587" s="10">
        <v>26</v>
      </c>
      <c r="Z587" s="30"/>
      <c r="AB587" s="47"/>
      <c r="AC587" s="31"/>
      <c r="AD587" s="31"/>
      <c r="AE587" s="32">
        <f t="shared" si="167"/>
        <v>0</v>
      </c>
      <c r="AF587" s="10"/>
      <c r="AG587" s="10"/>
      <c r="AH587" s="10"/>
      <c r="AI587" s="12">
        <f t="shared" si="163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58"/>
        <v>0</v>
      </c>
      <c r="H588" s="10"/>
      <c r="I588" s="10"/>
      <c r="J588" s="10"/>
      <c r="K588" s="12">
        <f t="shared" si="159"/>
        <v>0</v>
      </c>
      <c r="M588" s="10">
        <v>27</v>
      </c>
      <c r="N588" s="30"/>
      <c r="O588" s="31"/>
      <c r="P588" s="47"/>
      <c r="Q588" s="31"/>
      <c r="R588" s="31"/>
      <c r="S588" s="32">
        <f t="shared" si="160"/>
        <v>0</v>
      </c>
      <c r="T588" s="10"/>
      <c r="U588" s="10"/>
      <c r="V588" s="10"/>
      <c r="W588" s="12">
        <f t="shared" si="161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67"/>
        <v>0</v>
      </c>
      <c r="AF588" s="10"/>
      <c r="AG588" s="10"/>
      <c r="AH588" s="10"/>
      <c r="AI588" s="12">
        <f t="shared" si="163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58"/>
        <v>0</v>
      </c>
      <c r="H589" s="10"/>
      <c r="I589" s="10"/>
      <c r="J589" s="10"/>
      <c r="K589" s="12">
        <f t="shared" si="159"/>
        <v>0</v>
      </c>
      <c r="M589" s="10">
        <v>28</v>
      </c>
      <c r="N589" s="30"/>
      <c r="O589" s="31"/>
      <c r="P589" s="47"/>
      <c r="Q589" s="31"/>
      <c r="R589" s="31"/>
      <c r="S589" s="32">
        <f t="shared" si="160"/>
        <v>0</v>
      </c>
      <c r="T589" s="10"/>
      <c r="U589" s="10"/>
      <c r="V589" s="10"/>
      <c r="W589" s="12">
        <f t="shared" si="161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67"/>
        <v>0</v>
      </c>
      <c r="AF589" s="10"/>
      <c r="AG589" s="10"/>
      <c r="AH589" s="10"/>
      <c r="AI589" s="12">
        <f t="shared" si="163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58"/>
        <v>0</v>
      </c>
      <c r="H590" s="10"/>
      <c r="I590" s="10"/>
      <c r="J590" s="10"/>
      <c r="K590" s="12">
        <f t="shared" si="159"/>
        <v>0</v>
      </c>
      <c r="M590" s="10">
        <v>29</v>
      </c>
      <c r="N590" s="30"/>
      <c r="O590" s="31"/>
      <c r="P590" s="47"/>
      <c r="Q590" s="31"/>
      <c r="R590" s="31"/>
      <c r="S590" s="32">
        <f t="shared" si="160"/>
        <v>0</v>
      </c>
      <c r="T590" s="10"/>
      <c r="U590" s="10"/>
      <c r="V590" s="10"/>
      <c r="W590" s="12">
        <f t="shared" si="161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67"/>
        <v>0</v>
      </c>
      <c r="AF590" s="10"/>
      <c r="AG590" s="10"/>
      <c r="AH590" s="10"/>
      <c r="AI590" s="12">
        <f t="shared" si="163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58"/>
        <v>0</v>
      </c>
      <c r="H591" s="10"/>
      <c r="I591" s="10"/>
      <c r="J591" s="10"/>
      <c r="K591" s="12">
        <f t="shared" si="159"/>
        <v>0</v>
      </c>
      <c r="M591" s="10">
        <v>30</v>
      </c>
      <c r="N591" s="30"/>
      <c r="O591" s="31"/>
      <c r="P591" s="47"/>
      <c r="Q591" s="31"/>
      <c r="R591" s="31"/>
      <c r="S591" s="32">
        <f t="shared" si="160"/>
        <v>0</v>
      </c>
      <c r="T591" s="10"/>
      <c r="U591" s="10"/>
      <c r="V591" s="10"/>
      <c r="W591" s="12">
        <f t="shared" si="161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67"/>
        <v>0</v>
      </c>
      <c r="AF591" s="10"/>
      <c r="AG591" s="10"/>
      <c r="AH591" s="10"/>
      <c r="AI591" s="12">
        <f t="shared" si="163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83"/>
      <c r="D592" s="32"/>
      <c r="E592" s="32"/>
      <c r="F592" s="32"/>
      <c r="G592" s="32">
        <f t="shared" si="158"/>
        <v>0</v>
      </c>
      <c r="H592" s="10"/>
      <c r="I592" s="10"/>
      <c r="J592" s="10"/>
      <c r="K592" s="12">
        <f t="shared" si="159"/>
        <v>0</v>
      </c>
      <c r="M592" s="10">
        <v>31</v>
      </c>
      <c r="N592" s="30"/>
      <c r="O592" s="31"/>
      <c r="P592" s="47"/>
      <c r="Q592" s="31"/>
      <c r="R592" s="31"/>
      <c r="S592" s="32">
        <f t="shared" si="160"/>
        <v>0</v>
      </c>
      <c r="T592" s="10"/>
      <c r="U592" s="10"/>
      <c r="V592" s="10"/>
      <c r="W592" s="12">
        <f t="shared" si="161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67"/>
        <v>0</v>
      </c>
      <c r="AF592" s="10"/>
      <c r="AG592" s="10"/>
      <c r="AH592" s="10"/>
      <c r="AI592" s="12">
        <f t="shared" si="163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58"/>
        <v>0</v>
      </c>
      <c r="H593" s="10"/>
      <c r="I593" s="10"/>
      <c r="J593" s="10"/>
      <c r="K593" s="12">
        <f t="shared" si="159"/>
        <v>0</v>
      </c>
      <c r="M593" s="10">
        <v>32</v>
      </c>
      <c r="N593" s="30"/>
      <c r="O593" s="31"/>
      <c r="P593" s="47"/>
      <c r="Q593" s="31"/>
      <c r="R593" s="31"/>
      <c r="S593" s="32">
        <f t="shared" si="160"/>
        <v>0</v>
      </c>
      <c r="T593" s="10"/>
      <c r="U593" s="10"/>
      <c r="V593" s="10"/>
      <c r="W593" s="12">
        <f t="shared" si="161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67"/>
        <v>0</v>
      </c>
      <c r="AF593" s="10"/>
      <c r="AG593" s="10"/>
      <c r="AH593" s="10"/>
      <c r="AI593" s="12">
        <f t="shared" si="163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58"/>
        <v>0</v>
      </c>
      <c r="H594" s="10"/>
      <c r="I594" s="10"/>
      <c r="J594" s="10"/>
      <c r="K594" s="12">
        <f t="shared" si="159"/>
        <v>0</v>
      </c>
      <c r="M594" s="10">
        <v>33</v>
      </c>
      <c r="N594" s="30"/>
      <c r="O594" s="31"/>
      <c r="P594" s="47"/>
      <c r="Q594" s="31"/>
      <c r="R594" s="31"/>
      <c r="S594" s="32">
        <f t="shared" si="160"/>
        <v>0</v>
      </c>
      <c r="T594" s="10"/>
      <c r="U594" s="10"/>
      <c r="V594" s="10"/>
      <c r="W594" s="12">
        <f t="shared" si="161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67"/>
        <v>0</v>
      </c>
      <c r="AF594" s="10"/>
      <c r="AG594" s="10"/>
      <c r="AH594" s="10"/>
      <c r="AI594" s="12">
        <f t="shared" si="163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58"/>
        <v>0</v>
      </c>
      <c r="H595" s="10"/>
      <c r="I595" s="10"/>
      <c r="J595" s="10"/>
      <c r="K595" s="12">
        <f t="shared" si="159"/>
        <v>0</v>
      </c>
      <c r="M595" s="10">
        <v>34</v>
      </c>
      <c r="N595" s="30"/>
      <c r="O595" s="31"/>
      <c r="P595" s="47"/>
      <c r="Q595" s="31"/>
      <c r="R595" s="31"/>
      <c r="S595" s="32">
        <f t="shared" ref="S595:S600" si="168">SUM(P595:Q595)</f>
        <v>0</v>
      </c>
      <c r="T595" s="10"/>
      <c r="U595" s="10"/>
      <c r="V595" s="10"/>
      <c r="W595" s="12">
        <f t="shared" si="161"/>
        <v>0</v>
      </c>
      <c r="Y595" s="10">
        <v>34</v>
      </c>
      <c r="Z595" s="30"/>
      <c r="AA595" s="31"/>
      <c r="AB595" s="47"/>
      <c r="AC595" s="31"/>
      <c r="AD595" s="31"/>
      <c r="AE595" s="32">
        <f t="shared" ref="AE595:AE600" si="169">SUM(AB595:AC595)</f>
        <v>0</v>
      </c>
      <c r="AF595" s="10"/>
      <c r="AG595" s="10"/>
      <c r="AH595" s="10"/>
      <c r="AI595" s="12">
        <f t="shared" si="163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P596" s="47"/>
      <c r="Q596" s="31"/>
      <c r="R596" s="31"/>
      <c r="S596" s="32">
        <f t="shared" si="168"/>
        <v>0</v>
      </c>
      <c r="T596" s="10"/>
      <c r="U596" s="10"/>
      <c r="V596" s="10"/>
      <c r="W596" s="12">
        <f t="shared" si="161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69"/>
        <v>0</v>
      </c>
      <c r="AF596" s="10"/>
      <c r="AG596" s="10"/>
      <c r="AH596" s="10"/>
      <c r="AI596" s="12">
        <f t="shared" si="163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68"/>
        <v>0</v>
      </c>
      <c r="T597" s="10"/>
      <c r="U597" s="10"/>
      <c r="V597" s="10"/>
      <c r="W597" s="12">
        <f t="shared" si="161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69"/>
        <v>0</v>
      </c>
      <c r="AF597" s="10"/>
      <c r="AG597" s="10"/>
      <c r="AH597" s="10"/>
      <c r="AI597" s="12">
        <f t="shared" si="163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O598" s="31"/>
      <c r="P598" s="47"/>
      <c r="Q598" s="31"/>
      <c r="R598" s="31"/>
      <c r="S598" s="32">
        <f t="shared" si="168"/>
        <v>0</v>
      </c>
      <c r="T598" s="10"/>
      <c r="U598" s="10"/>
      <c r="V598" s="10"/>
      <c r="W598" s="12">
        <f t="shared" si="161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69"/>
        <v>0</v>
      </c>
      <c r="AF598" s="10"/>
      <c r="AG598" s="10"/>
      <c r="AH598" s="10"/>
      <c r="AI598" s="12">
        <f t="shared" si="163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68"/>
        <v>0</v>
      </c>
      <c r="T599" s="10"/>
      <c r="U599" s="10"/>
      <c r="V599" s="10"/>
      <c r="W599" s="12">
        <f t="shared" si="161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69"/>
        <v>0</v>
      </c>
      <c r="AF599" s="10"/>
      <c r="AG599" s="10"/>
      <c r="AH599" s="10"/>
      <c r="AI599" s="12">
        <f t="shared" si="163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68"/>
        <v>0</v>
      </c>
      <c r="T600" s="10"/>
      <c r="U600" s="10"/>
      <c r="V600" s="10"/>
      <c r="W600" s="12">
        <f t="shared" si="161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69"/>
        <v>0</v>
      </c>
      <c r="AF600" s="10"/>
      <c r="AG600" s="10"/>
      <c r="AH600" s="10"/>
      <c r="AI600" s="12">
        <f t="shared" si="163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61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63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70">SUM(D602:E602)</f>
        <v>0</v>
      </c>
      <c r="H602" s="10"/>
      <c r="I602" s="10"/>
      <c r="J602" s="10"/>
      <c r="K602" s="12">
        <f t="shared" ref="K602" si="171">SUM(G602:J602)</f>
        <v>0</v>
      </c>
      <c r="M602" s="10"/>
      <c r="N602" s="30"/>
      <c r="O602" s="31"/>
      <c r="P602" s="47"/>
      <c r="Q602" s="31"/>
      <c r="R602" s="31"/>
      <c r="S602" s="32">
        <f t="shared" ref="S602" si="172">SUM(P602:Q602)</f>
        <v>0</v>
      </c>
      <c r="T602" s="10"/>
      <c r="U602" s="10"/>
      <c r="V602" s="10"/>
      <c r="W602" s="12">
        <f t="shared" si="161"/>
        <v>0</v>
      </c>
      <c r="Y602" s="10"/>
      <c r="Z602" s="30"/>
      <c r="AA602" s="31"/>
      <c r="AB602" s="47"/>
      <c r="AC602" s="31"/>
      <c r="AD602" s="31"/>
      <c r="AE602" s="32">
        <f t="shared" ref="AE602" si="173">SUM(AB602:AC602)</f>
        <v>0</v>
      </c>
      <c r="AF602" s="10"/>
      <c r="AG602" s="10"/>
      <c r="AH602" s="10"/>
      <c r="AI602" s="12">
        <f t="shared" si="163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61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63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479010</v>
      </c>
      <c r="E605" s="38">
        <f t="shared" ref="E605:F605" si="174">SUM(E562:E602)</f>
        <v>-1998</v>
      </c>
      <c r="F605" s="38">
        <f t="shared" si="174"/>
        <v>0</v>
      </c>
      <c r="G605" s="38">
        <f>SUM(G562:G604)</f>
        <v>477012</v>
      </c>
      <c r="H605" s="4"/>
      <c r="I605" s="39">
        <f>SUM(I562:I604)</f>
        <v>1116</v>
      </c>
      <c r="J605" s="39">
        <f>SUM(J562:J604)</f>
        <v>-19980</v>
      </c>
      <c r="K605" s="40">
        <f>SUM(K562:K604)</f>
        <v>458148</v>
      </c>
      <c r="N605" s="57"/>
      <c r="O605" s="57"/>
      <c r="P605" s="38">
        <f>SUM(P562:P604)</f>
        <v>238612.5</v>
      </c>
      <c r="Q605" s="38">
        <f>SUM(Q562:Q586)</f>
        <v>0</v>
      </c>
      <c r="R605" s="38">
        <f>SUM(R562:R586)</f>
        <v>0</v>
      </c>
      <c r="S605" s="38">
        <f>SUM(S562:S604)</f>
        <v>238612.5</v>
      </c>
      <c r="T605" s="4"/>
      <c r="U605" s="41">
        <f>SUM(U562:U604)</f>
        <v>538.5</v>
      </c>
      <c r="V605" s="41">
        <f>SUM(V562:V586)</f>
        <v>-3258</v>
      </c>
      <c r="W605" s="42">
        <f>SUM(W562:W604)</f>
        <v>235893</v>
      </c>
      <c r="Z605" s="57"/>
      <c r="AA605" s="57"/>
      <c r="AB605" s="38">
        <f>SUM(AB562:AB604)</f>
        <v>228476</v>
      </c>
      <c r="AC605" s="38">
        <f>SUM(AC562:AC586)</f>
        <v>-1266</v>
      </c>
      <c r="AD605" s="38">
        <f>SUM(AD562:AD586)</f>
        <v>0</v>
      </c>
      <c r="AE605" s="38">
        <f>SUM(AE562:AE604)</f>
        <v>227210</v>
      </c>
      <c r="AF605" s="4"/>
      <c r="AG605" s="41">
        <f>SUM(AG562:AG604)</f>
        <v>279</v>
      </c>
      <c r="AH605" s="41">
        <f>SUM(AH562:AH586)</f>
        <v>-1332</v>
      </c>
      <c r="AI605" s="42">
        <f>SUM(AI562:AI604)</f>
        <v>226157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103"/>
      <c r="C607" s="103"/>
      <c r="D607" s="103"/>
      <c r="E607" s="103"/>
      <c r="F607" s="103"/>
      <c r="G607" s="103"/>
      <c r="H607" s="62"/>
      <c r="I607" s="62"/>
      <c r="J607" s="62"/>
      <c r="K607" s="62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103"/>
      <c r="C608" s="103"/>
      <c r="D608" s="103"/>
      <c r="E608" s="103"/>
      <c r="F608" s="103"/>
      <c r="G608" s="103"/>
      <c r="H608" s="62"/>
      <c r="I608" s="62"/>
      <c r="J608" s="62"/>
      <c r="K608" s="62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103"/>
      <c r="C609" s="103"/>
      <c r="D609" s="103"/>
      <c r="E609" s="103"/>
      <c r="F609" s="103"/>
      <c r="G609" s="103"/>
      <c r="H609" s="62"/>
      <c r="I609" s="62"/>
      <c r="J609" s="62"/>
      <c r="K609" s="62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103"/>
      <c r="C610" s="103"/>
      <c r="D610" s="103"/>
      <c r="E610" s="103"/>
      <c r="F610" s="103"/>
      <c r="G610" s="103"/>
      <c r="H610" s="62"/>
      <c r="I610" s="62"/>
      <c r="J610" s="62"/>
      <c r="K610" s="62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103"/>
      <c r="C611" s="103"/>
      <c r="D611" s="103"/>
      <c r="E611" s="103"/>
      <c r="F611" s="103"/>
      <c r="G611" s="103"/>
      <c r="H611" s="62"/>
      <c r="I611" s="62"/>
      <c r="J611" s="62"/>
      <c r="K611" s="62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103"/>
      <c r="C612" s="103"/>
      <c r="D612" s="103"/>
      <c r="E612" s="103"/>
      <c r="F612" s="103"/>
      <c r="G612" s="103"/>
      <c r="H612" s="62"/>
      <c r="I612" s="103"/>
      <c r="J612" s="73"/>
      <c r="K612" s="62"/>
      <c r="M612" t="s">
        <v>34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34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103"/>
      <c r="C613" s="103"/>
      <c r="D613" s="103"/>
      <c r="E613" s="103"/>
      <c r="F613" s="103"/>
      <c r="G613" s="103"/>
      <c r="H613" s="62"/>
      <c r="I613" s="65"/>
      <c r="J613" s="65"/>
      <c r="K613" s="62"/>
      <c r="M613" s="21" t="s">
        <v>67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33</v>
      </c>
      <c r="W613" s="24"/>
      <c r="Y613" s="21" t="s">
        <v>67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35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103"/>
      <c r="C614" s="103"/>
      <c r="D614" s="103"/>
      <c r="E614" s="103"/>
      <c r="F614" s="103"/>
      <c r="G614" s="103"/>
      <c r="H614" s="62"/>
      <c r="I614" s="62"/>
      <c r="J614" s="62"/>
      <c r="K614" s="62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103"/>
      <c r="D615" s="115"/>
      <c r="E615" s="115"/>
      <c r="F615" s="103"/>
      <c r="G615" s="103"/>
      <c r="H615" s="62"/>
      <c r="I615" s="115"/>
      <c r="J615" s="115"/>
      <c r="K615" s="114"/>
      <c r="N615" s="25"/>
      <c r="O615" s="26"/>
      <c r="P615" s="116" t="s">
        <v>17</v>
      </c>
      <c r="Q615" s="116"/>
      <c r="R615" s="101"/>
      <c r="S615" s="27"/>
      <c r="U615" s="117" t="s">
        <v>18</v>
      </c>
      <c r="V615" s="118"/>
      <c r="W615" s="112" t="s">
        <v>19</v>
      </c>
      <c r="Z615" s="25"/>
      <c r="AA615" s="26"/>
      <c r="AB615" s="116" t="s">
        <v>17</v>
      </c>
      <c r="AC615" s="116"/>
      <c r="AD615" s="101"/>
      <c r="AE615" s="27"/>
      <c r="AG615" s="117" t="s">
        <v>18</v>
      </c>
      <c r="AH615" s="118"/>
      <c r="AI615" s="112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A616" s="62"/>
      <c r="B616" s="103"/>
      <c r="C616" s="103"/>
      <c r="D616" s="79"/>
      <c r="E616" s="80"/>
      <c r="F616" s="81"/>
      <c r="G616" s="81"/>
      <c r="H616" s="62"/>
      <c r="I616" s="102"/>
      <c r="J616" s="102"/>
      <c r="K616" s="114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32</v>
      </c>
      <c r="S616" s="78" t="s">
        <v>24</v>
      </c>
      <c r="U616" s="29" t="s">
        <v>25</v>
      </c>
      <c r="V616" s="29" t="s">
        <v>26</v>
      </c>
      <c r="W616" s="113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32</v>
      </c>
      <c r="AE616" s="78" t="s">
        <v>24</v>
      </c>
      <c r="AG616" s="29" t="s">
        <v>25</v>
      </c>
      <c r="AH616" s="29" t="s">
        <v>26</v>
      </c>
      <c r="AI616" s="113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M617" s="10">
        <v>1</v>
      </c>
      <c r="N617" s="30" t="s">
        <v>68</v>
      </c>
      <c r="O617" s="31">
        <v>9701</v>
      </c>
      <c r="P617" s="32">
        <v>13538</v>
      </c>
      <c r="Q617" s="32"/>
      <c r="R617" s="32"/>
      <c r="S617" s="32">
        <f>SUM(P617:Q617)</f>
        <v>13538</v>
      </c>
      <c r="T617" s="12"/>
      <c r="U617" s="12"/>
      <c r="V617" s="12"/>
      <c r="W617" s="12">
        <f>SUM(S617:V617)</f>
        <v>13538</v>
      </c>
      <c r="Y617" s="10">
        <v>1</v>
      </c>
      <c r="Z617" s="30" t="s">
        <v>68</v>
      </c>
      <c r="AA617" s="31">
        <v>9576</v>
      </c>
      <c r="AB617" s="32">
        <f>670*2</f>
        <v>1340</v>
      </c>
      <c r="AC617" s="32"/>
      <c r="AD617" s="32"/>
      <c r="AE617" s="32">
        <f>SUM(AB617:AC617)</f>
        <v>1340</v>
      </c>
      <c r="AF617" s="12"/>
      <c r="AG617" s="12"/>
      <c r="AH617" s="12"/>
      <c r="AI617" s="12">
        <f>SUM(AE617:AH617)</f>
        <v>1340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M618" s="10">
        <v>2</v>
      </c>
      <c r="N618" s="30" t="s">
        <v>68</v>
      </c>
      <c r="O618" s="31">
        <f>O617+1</f>
        <v>9702</v>
      </c>
      <c r="P618" s="32">
        <v>6595</v>
      </c>
      <c r="Q618" s="32"/>
      <c r="R618" s="32"/>
      <c r="S618" s="32">
        <f t="shared" ref="S618:S655" si="175">SUM(P618:Q618)</f>
        <v>6595</v>
      </c>
      <c r="T618" s="12"/>
      <c r="U618" s="12"/>
      <c r="V618" s="12">
        <v>-222</v>
      </c>
      <c r="W618" s="12">
        <f t="shared" ref="W618:W658" si="176">SUM(S618:V618)</f>
        <v>6373</v>
      </c>
      <c r="Y618" s="10">
        <v>2</v>
      </c>
      <c r="Z618" s="30" t="s">
        <v>68</v>
      </c>
      <c r="AA618" s="31">
        <f>AA617+1</f>
        <v>9577</v>
      </c>
      <c r="AB618" s="32">
        <f>650*216</f>
        <v>140400</v>
      </c>
      <c r="AC618" s="32">
        <f>-216*6</f>
        <v>-1296</v>
      </c>
      <c r="AD618" s="32"/>
      <c r="AE618" s="32">
        <f t="shared" ref="AE618:AE626" si="177">SUM(AB618:AC618)</f>
        <v>139104</v>
      </c>
      <c r="AF618" s="12"/>
      <c r="AG618" s="12">
        <f>666+54</f>
        <v>720</v>
      </c>
      <c r="AH618" s="12"/>
      <c r="AI618" s="12">
        <f t="shared" ref="AI618:AI658" si="178">SUM(AE618:AH618)</f>
        <v>139824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M619" s="10">
        <v>3</v>
      </c>
      <c r="N619" s="30" t="s">
        <v>68</v>
      </c>
      <c r="O619" s="31">
        <f t="shared" ref="O619:O623" si="179">O618+1</f>
        <v>9703</v>
      </c>
      <c r="P619" s="32">
        <v>97398</v>
      </c>
      <c r="Q619" s="32">
        <v>-900</v>
      </c>
      <c r="R619" s="32"/>
      <c r="S619" s="32">
        <f t="shared" si="175"/>
        <v>96498</v>
      </c>
      <c r="T619" s="12"/>
      <c r="U619" s="12">
        <v>72</v>
      </c>
      <c r="V619" s="12"/>
      <c r="W619" s="12">
        <f t="shared" si="176"/>
        <v>96570</v>
      </c>
      <c r="Y619" s="10">
        <v>3</v>
      </c>
      <c r="Z619" s="30" t="s">
        <v>68</v>
      </c>
      <c r="AA619" s="31">
        <f t="shared" ref="AA619:AA621" si="180">AA618+1</f>
        <v>9578</v>
      </c>
      <c r="AB619" s="33">
        <f>650*35+622*5</f>
        <v>25860</v>
      </c>
      <c r="AC619" s="33"/>
      <c r="AD619" s="32"/>
      <c r="AE619" s="32">
        <f t="shared" si="177"/>
        <v>25860</v>
      </c>
      <c r="AF619" s="12"/>
      <c r="AG619" s="12">
        <f>30*4.5</f>
        <v>135</v>
      </c>
      <c r="AH619" s="12"/>
      <c r="AI619" s="12">
        <f t="shared" si="178"/>
        <v>25995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M620" s="10">
        <v>4</v>
      </c>
      <c r="N620" s="30" t="s">
        <v>68</v>
      </c>
      <c r="O620" s="31">
        <f t="shared" si="179"/>
        <v>9704</v>
      </c>
      <c r="P620" s="32"/>
      <c r="Q620" s="32"/>
      <c r="R620" s="32"/>
      <c r="S620" s="32">
        <f t="shared" si="175"/>
        <v>0</v>
      </c>
      <c r="T620" s="12"/>
      <c r="U620" s="12"/>
      <c r="V620" s="12"/>
      <c r="W620" s="12">
        <f t="shared" si="176"/>
        <v>0</v>
      </c>
      <c r="Y620" s="10">
        <v>4</v>
      </c>
      <c r="Z620" s="30" t="s">
        <v>68</v>
      </c>
      <c r="AA620" s="31">
        <f t="shared" si="180"/>
        <v>9579</v>
      </c>
      <c r="AB620" s="32">
        <f>650*226+229*5</f>
        <v>148045</v>
      </c>
      <c r="AC620" s="32"/>
      <c r="AD620" s="32"/>
      <c r="AE620" s="32">
        <f t="shared" si="177"/>
        <v>148045</v>
      </c>
      <c r="AF620" s="12"/>
      <c r="AG620" s="58">
        <f>226*111+78*5</f>
        <v>25476</v>
      </c>
      <c r="AH620" s="12"/>
      <c r="AI620" s="12">
        <f t="shared" si="178"/>
        <v>173521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M621" s="10">
        <v>5</v>
      </c>
      <c r="N621" s="30" t="s">
        <v>68</v>
      </c>
      <c r="O621" s="31">
        <f t="shared" si="179"/>
        <v>9705</v>
      </c>
      <c r="P621" s="32">
        <v>230152</v>
      </c>
      <c r="Q621" s="32">
        <v>-2082</v>
      </c>
      <c r="R621" s="32"/>
      <c r="S621" s="32">
        <f t="shared" si="175"/>
        <v>228070</v>
      </c>
      <c r="T621" s="12"/>
      <c r="U621" s="12">
        <v>936</v>
      </c>
      <c r="V621" s="12">
        <v>-588</v>
      </c>
      <c r="W621" s="12">
        <f t="shared" si="176"/>
        <v>228418</v>
      </c>
      <c r="Y621" s="10">
        <v>5</v>
      </c>
      <c r="Z621" s="30" t="s">
        <v>68</v>
      </c>
      <c r="AA621" s="31">
        <f t="shared" si="180"/>
        <v>9580</v>
      </c>
      <c r="AB621" s="32">
        <f>650*43+622*18</f>
        <v>39146</v>
      </c>
      <c r="AC621" s="32">
        <f>-61*6</f>
        <v>-366</v>
      </c>
      <c r="AD621" s="32"/>
      <c r="AE621" s="32">
        <f t="shared" si="177"/>
        <v>38780</v>
      </c>
      <c r="AF621" s="12"/>
      <c r="AG621" s="12"/>
      <c r="AH621" s="12">
        <v>-3441</v>
      </c>
      <c r="AI621" s="12">
        <f t="shared" si="178"/>
        <v>35339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M622" s="10">
        <v>6</v>
      </c>
      <c r="N622" s="30" t="s">
        <v>68</v>
      </c>
      <c r="O622" s="31">
        <f t="shared" si="179"/>
        <v>9706</v>
      </c>
      <c r="P622" s="32">
        <v>13000</v>
      </c>
      <c r="Q622" s="32"/>
      <c r="R622" s="32"/>
      <c r="S622" s="32">
        <f t="shared" si="175"/>
        <v>13000</v>
      </c>
      <c r="T622" s="12"/>
      <c r="U622" s="12"/>
      <c r="V622" s="10"/>
      <c r="W622" s="12">
        <f t="shared" si="176"/>
        <v>13000</v>
      </c>
      <c r="Y622" s="10">
        <v>6</v>
      </c>
      <c r="Z622" s="30"/>
      <c r="AA622" s="11" t="s">
        <v>27</v>
      </c>
      <c r="AB622" s="32"/>
      <c r="AC622" s="32"/>
      <c r="AD622" s="32"/>
      <c r="AE622" s="32">
        <f t="shared" si="177"/>
        <v>0</v>
      </c>
      <c r="AF622" s="12"/>
      <c r="AG622" s="12"/>
      <c r="AH622" s="10"/>
      <c r="AI622" s="12">
        <f t="shared" si="178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M623" s="10">
        <v>7</v>
      </c>
      <c r="N623" s="30" t="s">
        <v>68</v>
      </c>
      <c r="O623" s="31">
        <f t="shared" si="179"/>
        <v>9707</v>
      </c>
      <c r="P623" s="32">
        <v>24642</v>
      </c>
      <c r="Q623" s="32"/>
      <c r="R623" s="32"/>
      <c r="S623" s="32">
        <f t="shared" si="175"/>
        <v>24642</v>
      </c>
      <c r="T623" s="12"/>
      <c r="U623" s="12">
        <v>108</v>
      </c>
      <c r="V623" s="12"/>
      <c r="W623" s="12">
        <f t="shared" si="176"/>
        <v>24750</v>
      </c>
      <c r="Y623" s="10">
        <v>7</v>
      </c>
      <c r="Z623" s="30"/>
      <c r="AA623" s="31"/>
      <c r="AB623" s="32"/>
      <c r="AC623" s="32"/>
      <c r="AD623" s="32"/>
      <c r="AE623" s="32">
        <f t="shared" si="177"/>
        <v>0</v>
      </c>
      <c r="AF623" s="12"/>
      <c r="AG623" s="58"/>
      <c r="AH623" s="12"/>
      <c r="AI623" s="12">
        <f t="shared" si="178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M624" s="10">
        <v>8</v>
      </c>
      <c r="N624" s="30"/>
      <c r="O624" s="11" t="s">
        <v>27</v>
      </c>
      <c r="P624" s="32"/>
      <c r="Q624" s="32"/>
      <c r="R624" s="32"/>
      <c r="S624" s="32">
        <f t="shared" si="175"/>
        <v>0</v>
      </c>
      <c r="T624" s="12"/>
      <c r="U624" s="12"/>
      <c r="V624" s="12"/>
      <c r="W624" s="12">
        <f t="shared" si="176"/>
        <v>0</v>
      </c>
      <c r="Y624" s="10">
        <v>8</v>
      </c>
      <c r="Z624" s="30"/>
      <c r="AA624" s="31"/>
      <c r="AB624" s="32"/>
      <c r="AC624" s="32"/>
      <c r="AE624" s="32">
        <f t="shared" si="177"/>
        <v>0</v>
      </c>
      <c r="AF624" s="12"/>
      <c r="AG624" s="12"/>
      <c r="AH624" s="12"/>
      <c r="AI624" s="12">
        <f t="shared" si="178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65"/>
      <c r="D625" s="60"/>
      <c r="E625" s="60"/>
      <c r="F625" s="60"/>
      <c r="G625" s="60"/>
      <c r="H625" s="61"/>
      <c r="I625" s="61"/>
      <c r="J625" s="61"/>
      <c r="K625" s="61"/>
      <c r="M625" s="10">
        <v>9</v>
      </c>
      <c r="N625" s="30"/>
      <c r="P625" s="32"/>
      <c r="Q625" s="32"/>
      <c r="R625" s="32"/>
      <c r="S625" s="32">
        <f t="shared" si="175"/>
        <v>0</v>
      </c>
      <c r="T625" s="12"/>
      <c r="U625" s="12"/>
      <c r="V625" s="12"/>
      <c r="W625" s="12">
        <f t="shared" si="176"/>
        <v>0</v>
      </c>
      <c r="Y625" s="10">
        <v>9</v>
      </c>
      <c r="Z625" s="30"/>
      <c r="AA625" s="31"/>
      <c r="AB625" s="32"/>
      <c r="AC625" s="32"/>
      <c r="AD625" s="32"/>
      <c r="AE625" s="32">
        <f t="shared" si="177"/>
        <v>0</v>
      </c>
      <c r="AF625" s="12"/>
      <c r="AH625" s="12"/>
      <c r="AI625" s="12">
        <f t="shared" si="178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M626" s="10">
        <v>10</v>
      </c>
      <c r="N626" s="30"/>
      <c r="O626" s="31"/>
      <c r="P626" s="32"/>
      <c r="Q626" s="32"/>
      <c r="R626" s="32"/>
      <c r="S626" s="32">
        <f t="shared" si="175"/>
        <v>0</v>
      </c>
      <c r="T626" s="12"/>
      <c r="U626" s="12"/>
      <c r="V626" s="12"/>
      <c r="W626" s="12">
        <f t="shared" si="176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77"/>
        <v>0</v>
      </c>
      <c r="AF626" s="12"/>
      <c r="AG626" s="12"/>
      <c r="AH626" s="12"/>
      <c r="AI626" s="12">
        <f t="shared" si="178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M627" s="10">
        <v>11</v>
      </c>
      <c r="N627" s="30"/>
      <c r="O627" s="31"/>
      <c r="P627" s="32"/>
      <c r="Q627" s="32"/>
      <c r="R627" s="32"/>
      <c r="S627" s="32">
        <f t="shared" si="175"/>
        <v>0</v>
      </c>
      <c r="T627" s="12"/>
      <c r="U627" s="12"/>
      <c r="V627" s="12"/>
      <c r="W627" s="12">
        <f t="shared" si="176"/>
        <v>0</v>
      </c>
      <c r="Y627" s="10">
        <v>11</v>
      </c>
      <c r="Z627" s="30"/>
      <c r="AA627" s="31"/>
      <c r="AB627" s="32"/>
      <c r="AC627" s="32"/>
      <c r="AD627" s="32"/>
      <c r="AE627" s="32">
        <f t="shared" ref="AE627:AE649" si="181">SUM(AB627:AC627)</f>
        <v>0</v>
      </c>
      <c r="AF627" s="12"/>
      <c r="AG627" s="12"/>
      <c r="AH627" s="12"/>
      <c r="AI627" s="12">
        <f t="shared" si="178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103"/>
      <c r="D628" s="60"/>
      <c r="E628" s="60"/>
      <c r="F628" s="60"/>
      <c r="G628" s="60"/>
      <c r="H628" s="61"/>
      <c r="I628" s="61"/>
      <c r="J628" s="62"/>
      <c r="K628" s="61"/>
      <c r="M628" s="10">
        <v>12</v>
      </c>
      <c r="N628" s="30"/>
      <c r="O628" s="31"/>
      <c r="P628" s="32"/>
      <c r="Q628" s="32"/>
      <c r="R628" s="32"/>
      <c r="S628" s="32">
        <f t="shared" si="175"/>
        <v>0</v>
      </c>
      <c r="T628" s="12"/>
      <c r="U628" s="12"/>
      <c r="V628" s="12"/>
      <c r="W628" s="12">
        <f t="shared" si="176"/>
        <v>0</v>
      </c>
      <c r="Y628" s="10">
        <v>12</v>
      </c>
      <c r="Z628" s="30"/>
      <c r="AB628" s="32"/>
      <c r="AC628" s="32"/>
      <c r="AD628" s="32"/>
      <c r="AE628" s="32">
        <f t="shared" si="181"/>
        <v>0</v>
      </c>
      <c r="AF628" s="12"/>
      <c r="AG628" s="12"/>
      <c r="AH628" s="12"/>
      <c r="AI628" s="12">
        <f t="shared" si="178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M629" s="10">
        <v>13</v>
      </c>
      <c r="N629" s="30"/>
      <c r="O629" s="31"/>
      <c r="P629" s="32"/>
      <c r="Q629" s="32"/>
      <c r="R629" s="32"/>
      <c r="S629" s="32">
        <f t="shared" si="175"/>
        <v>0</v>
      </c>
      <c r="T629" s="12"/>
      <c r="U629" s="12"/>
      <c r="V629" s="12"/>
      <c r="W629" s="12">
        <f t="shared" si="176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81"/>
        <v>0</v>
      </c>
      <c r="AF629" s="12"/>
      <c r="AG629" s="12"/>
      <c r="AH629" s="12"/>
      <c r="AI629" s="12">
        <f t="shared" si="178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M630" s="10">
        <v>14</v>
      </c>
      <c r="N630" s="30"/>
      <c r="O630" s="31"/>
      <c r="P630" s="32"/>
      <c r="Q630" s="32"/>
      <c r="R630" s="32"/>
      <c r="S630" s="32">
        <f t="shared" si="175"/>
        <v>0</v>
      </c>
      <c r="T630" s="12"/>
      <c r="U630" s="12"/>
      <c r="V630" s="12"/>
      <c r="W630" s="12">
        <f t="shared" si="176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81"/>
        <v>0</v>
      </c>
      <c r="AF630" s="12"/>
      <c r="AG630" s="12"/>
      <c r="AH630" s="12"/>
      <c r="AI630" s="12">
        <f t="shared" si="178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M631" s="10">
        <v>15</v>
      </c>
      <c r="N631" s="30"/>
      <c r="O631" s="31"/>
      <c r="P631" s="32"/>
      <c r="Q631" s="32"/>
      <c r="R631" s="32"/>
      <c r="S631" s="32">
        <f t="shared" si="175"/>
        <v>0</v>
      </c>
      <c r="T631" s="12"/>
      <c r="U631" s="12"/>
      <c r="V631" s="12"/>
      <c r="W631" s="12">
        <f t="shared" si="176"/>
        <v>0</v>
      </c>
      <c r="Y631" s="10">
        <v>15</v>
      </c>
      <c r="Z631" s="30"/>
      <c r="AB631" s="32"/>
      <c r="AC631" s="32"/>
      <c r="AD631" s="32"/>
      <c r="AE631" s="32">
        <f t="shared" si="181"/>
        <v>0</v>
      </c>
      <c r="AF631" s="12"/>
      <c r="AG631" s="12"/>
      <c r="AH631" s="12"/>
      <c r="AI631" s="12">
        <f t="shared" si="178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4"/>
      <c r="D632" s="60"/>
      <c r="E632" s="60"/>
      <c r="F632" s="60"/>
      <c r="G632" s="60"/>
      <c r="H632" s="61"/>
      <c r="I632" s="61"/>
      <c r="J632" s="61"/>
      <c r="K632" s="61"/>
      <c r="M632" s="10">
        <v>16</v>
      </c>
      <c r="N632" s="30"/>
      <c r="O632" s="31"/>
      <c r="P632" s="32"/>
      <c r="Q632" s="32"/>
      <c r="R632" s="32"/>
      <c r="S632" s="32">
        <f t="shared" si="175"/>
        <v>0</v>
      </c>
      <c r="T632" s="12"/>
      <c r="U632" s="12"/>
      <c r="V632" s="12"/>
      <c r="W632" s="12">
        <f t="shared" si="176"/>
        <v>0</v>
      </c>
      <c r="Y632" s="10">
        <v>16</v>
      </c>
      <c r="Z632" s="30"/>
      <c r="AB632" s="32"/>
      <c r="AC632" s="32"/>
      <c r="AD632" s="32"/>
      <c r="AE632" s="32">
        <f t="shared" si="181"/>
        <v>0</v>
      </c>
      <c r="AF632" s="12"/>
      <c r="AG632" s="12"/>
      <c r="AH632" s="12"/>
      <c r="AI632" s="12">
        <f t="shared" si="178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M633" s="10">
        <v>17</v>
      </c>
      <c r="N633" s="30"/>
      <c r="O633" s="31"/>
      <c r="P633" s="35"/>
      <c r="Q633" s="32"/>
      <c r="R633" s="32"/>
      <c r="S633" s="32">
        <f t="shared" si="175"/>
        <v>0</v>
      </c>
      <c r="T633" s="12"/>
      <c r="U633" s="12"/>
      <c r="V633" s="12"/>
      <c r="W633" s="12">
        <f t="shared" si="176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81"/>
        <v>0</v>
      </c>
      <c r="AF633" s="12"/>
      <c r="AG633" s="12"/>
      <c r="AH633" s="12"/>
      <c r="AI633" s="12">
        <f t="shared" si="178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M634" s="10">
        <v>18</v>
      </c>
      <c r="N634" s="30"/>
      <c r="O634" s="31"/>
      <c r="P634" s="32"/>
      <c r="Q634" s="32"/>
      <c r="R634" s="32"/>
      <c r="S634" s="32">
        <f t="shared" si="175"/>
        <v>0</v>
      </c>
      <c r="T634" s="12"/>
      <c r="U634" s="12"/>
      <c r="V634" s="12"/>
      <c r="W634" s="12">
        <f t="shared" si="176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81"/>
        <v>0</v>
      </c>
      <c r="AF634" s="12"/>
      <c r="AG634" s="12"/>
      <c r="AH634" s="12"/>
      <c r="AI634" s="12">
        <f t="shared" si="178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M635" s="10">
        <v>19</v>
      </c>
      <c r="N635" s="30"/>
      <c r="O635" s="31"/>
      <c r="P635" s="32"/>
      <c r="Q635" s="32"/>
      <c r="R635" s="32"/>
      <c r="S635" s="32">
        <f t="shared" si="175"/>
        <v>0</v>
      </c>
      <c r="T635" s="12"/>
      <c r="U635" s="12"/>
      <c r="V635" s="12"/>
      <c r="W635" s="12">
        <f t="shared" si="176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81"/>
        <v>0</v>
      </c>
      <c r="AF635" s="12"/>
      <c r="AG635" s="12"/>
      <c r="AH635" s="12"/>
      <c r="AI635" s="12">
        <f t="shared" si="178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M636" s="10">
        <v>20</v>
      </c>
      <c r="N636" s="30"/>
      <c r="O636" s="31"/>
      <c r="P636" s="32"/>
      <c r="Q636" s="32"/>
      <c r="R636" s="32"/>
      <c r="S636" s="32">
        <f t="shared" si="175"/>
        <v>0</v>
      </c>
      <c r="T636" s="12"/>
      <c r="U636" s="12"/>
      <c r="V636" s="12"/>
      <c r="W636" s="12">
        <f t="shared" si="176"/>
        <v>0</v>
      </c>
      <c r="Y636" s="10">
        <v>20</v>
      </c>
      <c r="Z636" s="30"/>
      <c r="AA636" s="31"/>
      <c r="AB636" s="32"/>
      <c r="AC636" s="32"/>
      <c r="AD636" s="32"/>
      <c r="AE636" s="32">
        <f t="shared" si="181"/>
        <v>0</v>
      </c>
      <c r="AF636" s="12"/>
      <c r="AG636" s="12"/>
      <c r="AH636" s="12"/>
      <c r="AI636" s="12">
        <f t="shared" si="178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65"/>
      <c r="D637" s="60"/>
      <c r="E637" s="60"/>
      <c r="F637" s="60"/>
      <c r="G637" s="60"/>
      <c r="H637" s="62"/>
      <c r="I637" s="62"/>
      <c r="J637" s="62"/>
      <c r="K637" s="61"/>
      <c r="M637" s="10">
        <v>21</v>
      </c>
      <c r="N637" s="30"/>
      <c r="O637" s="31"/>
      <c r="P637" s="46"/>
      <c r="Q637" s="31"/>
      <c r="R637" s="31"/>
      <c r="S637" s="32">
        <f t="shared" si="175"/>
        <v>0</v>
      </c>
      <c r="T637" s="10"/>
      <c r="U637" s="10"/>
      <c r="V637" s="10"/>
      <c r="W637" s="12">
        <f t="shared" si="176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81"/>
        <v>0</v>
      </c>
      <c r="AF637" s="10"/>
      <c r="AG637" s="10"/>
      <c r="AH637" s="10"/>
      <c r="AI637" s="12">
        <f t="shared" si="178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103"/>
      <c r="D638" s="60"/>
      <c r="E638" s="60"/>
      <c r="F638" s="60"/>
      <c r="G638" s="60"/>
      <c r="H638" s="62"/>
      <c r="I638" s="62"/>
      <c r="J638" s="62"/>
      <c r="K638" s="61"/>
      <c r="M638" s="10">
        <v>22</v>
      </c>
      <c r="N638" s="30"/>
      <c r="O638" s="31"/>
      <c r="P638" s="45"/>
      <c r="Q638" s="31"/>
      <c r="R638" s="31"/>
      <c r="S638" s="32">
        <f t="shared" si="175"/>
        <v>0</v>
      </c>
      <c r="T638" s="10"/>
      <c r="U638" s="10"/>
      <c r="V638" s="10"/>
      <c r="W638" s="12">
        <f t="shared" si="176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81"/>
        <v>0</v>
      </c>
      <c r="AF638" s="10"/>
      <c r="AG638" s="10"/>
      <c r="AH638" s="10"/>
      <c r="AI638" s="12">
        <f t="shared" si="178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M639" s="10">
        <v>23</v>
      </c>
      <c r="N639" s="30"/>
      <c r="O639" s="31"/>
      <c r="P639" s="47"/>
      <c r="Q639" s="31"/>
      <c r="S639" s="32">
        <f t="shared" si="175"/>
        <v>0</v>
      </c>
      <c r="T639" s="10"/>
      <c r="U639" s="10"/>
      <c r="V639" s="10"/>
      <c r="W639" s="12">
        <f t="shared" si="176"/>
        <v>0</v>
      </c>
      <c r="Y639" s="10">
        <v>23</v>
      </c>
      <c r="Z639" s="30"/>
      <c r="AA639" s="31"/>
      <c r="AB639" s="47"/>
      <c r="AE639" s="32">
        <f t="shared" si="181"/>
        <v>0</v>
      </c>
      <c r="AF639" s="10"/>
      <c r="AG639" s="10"/>
      <c r="AH639" s="10"/>
      <c r="AI639" s="12">
        <f t="shared" si="178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M640" s="10">
        <v>24</v>
      </c>
      <c r="N640" s="30"/>
      <c r="O640" s="31"/>
      <c r="P640" s="47"/>
      <c r="Q640" s="31"/>
      <c r="R640" s="31"/>
      <c r="S640" s="32">
        <f t="shared" si="175"/>
        <v>0</v>
      </c>
      <c r="T640" s="10"/>
      <c r="U640" s="10"/>
      <c r="V640" s="10"/>
      <c r="W640" s="12">
        <f t="shared" si="176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81"/>
        <v>0</v>
      </c>
      <c r="AF640" s="10"/>
      <c r="AG640" s="10"/>
      <c r="AH640" s="10"/>
      <c r="AI640" s="12">
        <f t="shared" si="178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M641" s="10">
        <v>25</v>
      </c>
      <c r="N641" s="30"/>
      <c r="O641" s="31"/>
      <c r="P641" s="47"/>
      <c r="Q641" s="31"/>
      <c r="R641" s="31"/>
      <c r="S641" s="32">
        <f t="shared" si="175"/>
        <v>0</v>
      </c>
      <c r="T641" s="10"/>
      <c r="U641" s="10"/>
      <c r="V641" s="10"/>
      <c r="W641" s="12">
        <f t="shared" si="176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81"/>
        <v>0</v>
      </c>
      <c r="AF641" s="10"/>
      <c r="AG641" s="10"/>
      <c r="AH641" s="10"/>
      <c r="AI641" s="12">
        <f t="shared" si="178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M642" s="10">
        <v>26</v>
      </c>
      <c r="N642" s="30"/>
      <c r="O642" s="31"/>
      <c r="P642" s="47"/>
      <c r="Q642" s="31"/>
      <c r="R642" s="31"/>
      <c r="S642" s="32">
        <f t="shared" si="175"/>
        <v>0</v>
      </c>
      <c r="T642" s="10"/>
      <c r="U642" s="10"/>
      <c r="V642" s="10"/>
      <c r="W642" s="12">
        <f t="shared" si="176"/>
        <v>0</v>
      </c>
      <c r="Y642" s="10">
        <v>26</v>
      </c>
      <c r="Z642" s="30"/>
      <c r="AB642" s="47"/>
      <c r="AC642" s="31"/>
      <c r="AD642" s="31"/>
      <c r="AE642" s="32">
        <f t="shared" si="181"/>
        <v>0</v>
      </c>
      <c r="AF642" s="10"/>
      <c r="AG642" s="10"/>
      <c r="AH642" s="10"/>
      <c r="AI642" s="12">
        <f t="shared" si="178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M643" s="10">
        <v>27</v>
      </c>
      <c r="N643" s="30"/>
      <c r="O643" s="31"/>
      <c r="P643" s="47"/>
      <c r="Q643" s="31"/>
      <c r="R643" s="31"/>
      <c r="S643" s="32">
        <f t="shared" si="175"/>
        <v>0</v>
      </c>
      <c r="T643" s="10"/>
      <c r="U643" s="10"/>
      <c r="V643" s="10"/>
      <c r="W643" s="12">
        <f t="shared" si="176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81"/>
        <v>0</v>
      </c>
      <c r="AF643" s="10"/>
      <c r="AG643" s="10"/>
      <c r="AH643" s="10"/>
      <c r="AI643" s="12">
        <f t="shared" si="178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M644" s="10">
        <v>28</v>
      </c>
      <c r="N644" s="30"/>
      <c r="O644" s="31"/>
      <c r="P644" s="47"/>
      <c r="Q644" s="31"/>
      <c r="R644" s="31"/>
      <c r="S644" s="32">
        <f t="shared" si="175"/>
        <v>0</v>
      </c>
      <c r="T644" s="10"/>
      <c r="U644" s="10"/>
      <c r="V644" s="10"/>
      <c r="W644" s="12">
        <f t="shared" si="176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81"/>
        <v>0</v>
      </c>
      <c r="AF644" s="10"/>
      <c r="AG644" s="10"/>
      <c r="AH644" s="10"/>
      <c r="AI644" s="12">
        <f t="shared" si="178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M645" s="10">
        <v>29</v>
      </c>
      <c r="N645" s="30"/>
      <c r="O645" s="31"/>
      <c r="P645" s="47"/>
      <c r="Q645" s="31"/>
      <c r="R645" s="31"/>
      <c r="S645" s="32">
        <f t="shared" si="175"/>
        <v>0</v>
      </c>
      <c r="T645" s="10"/>
      <c r="U645" s="10"/>
      <c r="V645" s="10"/>
      <c r="W645" s="12">
        <f t="shared" si="176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81"/>
        <v>0</v>
      </c>
      <c r="AF645" s="10"/>
      <c r="AG645" s="10"/>
      <c r="AH645" s="10"/>
      <c r="AI645" s="12">
        <f t="shared" si="178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M646" s="10">
        <v>30</v>
      </c>
      <c r="N646" s="30"/>
      <c r="O646" s="31"/>
      <c r="P646" s="47"/>
      <c r="Q646" s="31"/>
      <c r="R646" s="31"/>
      <c r="S646" s="32">
        <f t="shared" si="175"/>
        <v>0</v>
      </c>
      <c r="T646" s="10"/>
      <c r="U646" s="10"/>
      <c r="V646" s="10"/>
      <c r="W646" s="12">
        <f t="shared" si="176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81"/>
        <v>0</v>
      </c>
      <c r="AF646" s="10"/>
      <c r="AG646" s="10"/>
      <c r="AH646" s="10"/>
      <c r="AI646" s="12">
        <f t="shared" si="178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M647" s="10">
        <v>31</v>
      </c>
      <c r="N647" s="30"/>
      <c r="O647" s="31"/>
      <c r="P647" s="47"/>
      <c r="Q647" s="31"/>
      <c r="R647" s="31"/>
      <c r="S647" s="32">
        <f t="shared" si="175"/>
        <v>0</v>
      </c>
      <c r="T647" s="10"/>
      <c r="U647" s="10"/>
      <c r="V647" s="10"/>
      <c r="W647" s="12">
        <f t="shared" si="176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81"/>
        <v>0</v>
      </c>
      <c r="AF647" s="10"/>
      <c r="AG647" s="10"/>
      <c r="AH647" s="10"/>
      <c r="AI647" s="12">
        <f t="shared" si="178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M648" s="10">
        <v>32</v>
      </c>
      <c r="N648" s="30"/>
      <c r="O648" s="31"/>
      <c r="P648" s="47"/>
      <c r="Q648" s="31"/>
      <c r="R648" s="31"/>
      <c r="S648" s="32">
        <f t="shared" si="175"/>
        <v>0</v>
      </c>
      <c r="T648" s="10"/>
      <c r="U648" s="10"/>
      <c r="V648" s="10"/>
      <c r="W648" s="12">
        <f t="shared" si="176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81"/>
        <v>0</v>
      </c>
      <c r="AF648" s="10"/>
      <c r="AG648" s="10"/>
      <c r="AH648" s="10"/>
      <c r="AI648" s="12">
        <f t="shared" si="178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M649" s="10">
        <v>33</v>
      </c>
      <c r="N649" s="30"/>
      <c r="O649" s="31"/>
      <c r="P649" s="47"/>
      <c r="Q649" s="31"/>
      <c r="R649" s="31"/>
      <c r="S649" s="32">
        <f t="shared" si="175"/>
        <v>0</v>
      </c>
      <c r="T649" s="10"/>
      <c r="U649" s="10"/>
      <c r="V649" s="10"/>
      <c r="W649" s="12">
        <f t="shared" si="176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81"/>
        <v>0</v>
      </c>
      <c r="AF649" s="10"/>
      <c r="AG649" s="10"/>
      <c r="AH649" s="10"/>
      <c r="AI649" s="12">
        <f t="shared" si="178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M650" s="10">
        <v>34</v>
      </c>
      <c r="N650" s="30"/>
      <c r="O650" s="31"/>
      <c r="P650" s="47"/>
      <c r="Q650" s="31"/>
      <c r="R650" s="31"/>
      <c r="S650" s="32">
        <f t="shared" si="175"/>
        <v>0</v>
      </c>
      <c r="T650" s="10"/>
      <c r="U650" s="10"/>
      <c r="V650" s="10"/>
      <c r="W650" s="12">
        <f t="shared" si="176"/>
        <v>0</v>
      </c>
      <c r="Y650" s="10">
        <v>34</v>
      </c>
      <c r="Z650" s="30"/>
      <c r="AA650" s="31"/>
      <c r="AB650" s="47"/>
      <c r="AC650" s="31"/>
      <c r="AD650" s="31"/>
      <c r="AE650" s="32">
        <f t="shared" ref="AE650:AE655" si="182">SUM(AB650:AC650)</f>
        <v>0</v>
      </c>
      <c r="AF650" s="10"/>
      <c r="AG650" s="10"/>
      <c r="AH650" s="10"/>
      <c r="AI650" s="12">
        <f t="shared" si="178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M651" s="10">
        <v>35</v>
      </c>
      <c r="N651" s="30"/>
      <c r="P651" s="47"/>
      <c r="Q651" s="31"/>
      <c r="R651" s="31"/>
      <c r="S651" s="32">
        <f t="shared" si="175"/>
        <v>0</v>
      </c>
      <c r="T651" s="10"/>
      <c r="U651" s="10"/>
      <c r="V651" s="10"/>
      <c r="W651" s="12">
        <f t="shared" si="176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82"/>
        <v>0</v>
      </c>
      <c r="AF651" s="10"/>
      <c r="AG651" s="10"/>
      <c r="AH651" s="10"/>
      <c r="AI651" s="12">
        <f t="shared" si="178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M652" s="10">
        <v>36</v>
      </c>
      <c r="N652" s="30"/>
      <c r="O652" s="31"/>
      <c r="P652" s="47"/>
      <c r="Q652" s="31"/>
      <c r="R652" s="31"/>
      <c r="S652" s="32">
        <f t="shared" si="175"/>
        <v>0</v>
      </c>
      <c r="T652" s="10"/>
      <c r="U652" s="10"/>
      <c r="V652" s="10"/>
      <c r="W652" s="12">
        <f t="shared" si="176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82"/>
        <v>0</v>
      </c>
      <c r="AF652" s="10"/>
      <c r="AG652" s="10"/>
      <c r="AH652" s="10"/>
      <c r="AI652" s="12">
        <f t="shared" si="178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103"/>
      <c r="D653" s="60"/>
      <c r="E653" s="60"/>
      <c r="F653" s="60"/>
      <c r="G653" s="60"/>
      <c r="H653" s="62"/>
      <c r="I653" s="62"/>
      <c r="J653" s="62"/>
      <c r="K653" s="61"/>
      <c r="M653" s="10">
        <v>37</v>
      </c>
      <c r="N653" s="30"/>
      <c r="O653" s="31"/>
      <c r="P653" s="47"/>
      <c r="Q653" s="31"/>
      <c r="R653" s="31"/>
      <c r="S653" s="32">
        <f t="shared" si="175"/>
        <v>0</v>
      </c>
      <c r="T653" s="10"/>
      <c r="U653" s="10"/>
      <c r="V653" s="10"/>
      <c r="W653" s="12">
        <f t="shared" si="176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82"/>
        <v>0</v>
      </c>
      <c r="AF653" s="10"/>
      <c r="AG653" s="10"/>
      <c r="AH653" s="10"/>
      <c r="AI653" s="12">
        <f t="shared" si="178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103"/>
      <c r="D654" s="60"/>
      <c r="E654" s="60"/>
      <c r="F654" s="60"/>
      <c r="G654" s="60"/>
      <c r="H654" s="62"/>
      <c r="I654" s="62"/>
      <c r="J654" s="62"/>
      <c r="K654" s="61"/>
      <c r="M654" s="10">
        <v>38</v>
      </c>
      <c r="N654" s="30"/>
      <c r="O654" s="31"/>
      <c r="P654" s="47"/>
      <c r="Q654" s="31"/>
      <c r="R654" s="31"/>
      <c r="S654" s="32">
        <f t="shared" si="175"/>
        <v>0</v>
      </c>
      <c r="T654" s="10"/>
      <c r="U654" s="10"/>
      <c r="V654" s="10"/>
      <c r="W654" s="12">
        <f t="shared" si="176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82"/>
        <v>0</v>
      </c>
      <c r="AF654" s="10"/>
      <c r="AG654" s="10"/>
      <c r="AH654" s="10"/>
      <c r="AI654" s="12">
        <f t="shared" si="178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103"/>
      <c r="D655" s="60"/>
      <c r="E655" s="60"/>
      <c r="F655" s="60"/>
      <c r="G655" s="60"/>
      <c r="H655" s="62"/>
      <c r="I655" s="62"/>
      <c r="J655" s="62"/>
      <c r="K655" s="61"/>
      <c r="M655" s="10">
        <v>39</v>
      </c>
      <c r="N655" s="30"/>
      <c r="O655" s="31"/>
      <c r="P655" s="47"/>
      <c r="Q655" s="31"/>
      <c r="R655" s="31"/>
      <c r="S655" s="32">
        <f t="shared" si="175"/>
        <v>0</v>
      </c>
      <c r="T655" s="10"/>
      <c r="U655" s="10"/>
      <c r="V655" s="10"/>
      <c r="W655" s="12">
        <f t="shared" si="176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82"/>
        <v>0</v>
      </c>
      <c r="AF655" s="10"/>
      <c r="AG655" s="10"/>
      <c r="AH655" s="10"/>
      <c r="AI655" s="12">
        <f t="shared" si="178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103"/>
      <c r="D656" s="60"/>
      <c r="E656" s="60"/>
      <c r="F656" s="60"/>
      <c r="G656" s="60"/>
      <c r="H656" s="62"/>
      <c r="I656" s="62"/>
      <c r="J656" s="62"/>
      <c r="K656" s="61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76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78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103"/>
      <c r="D657" s="60"/>
      <c r="E657" s="60"/>
      <c r="F657" s="60"/>
      <c r="G657" s="60"/>
      <c r="H657" s="62"/>
      <c r="I657" s="62"/>
      <c r="J657" s="62"/>
      <c r="K657" s="61"/>
      <c r="M657" s="10"/>
      <c r="N657" s="30"/>
      <c r="O657" s="31"/>
      <c r="P657" s="47"/>
      <c r="Q657" s="31"/>
      <c r="R657" s="31"/>
      <c r="S657" s="32">
        <f t="shared" ref="S657" si="183">SUM(P657:Q657)</f>
        <v>0</v>
      </c>
      <c r="T657" s="10"/>
      <c r="U657" s="10"/>
      <c r="V657" s="10"/>
      <c r="W657" s="12">
        <f t="shared" si="176"/>
        <v>0</v>
      </c>
      <c r="Y657" s="10"/>
      <c r="Z657" s="30"/>
      <c r="AA657" s="31"/>
      <c r="AB657" s="47"/>
      <c r="AC657" s="31"/>
      <c r="AD657" s="31"/>
      <c r="AE657" s="32">
        <f t="shared" ref="AE657" si="184">SUM(AB657:AC657)</f>
        <v>0</v>
      </c>
      <c r="AF657" s="10"/>
      <c r="AG657" s="10"/>
      <c r="AH657" s="10"/>
      <c r="AI657" s="12">
        <f t="shared" si="178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76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78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103"/>
      <c r="C659" s="103"/>
      <c r="D659" s="103"/>
      <c r="E659" s="103"/>
      <c r="F659" s="103"/>
      <c r="G659" s="103"/>
      <c r="H659" s="62"/>
      <c r="I659" s="62"/>
      <c r="J659" s="62"/>
      <c r="K659" s="62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103"/>
      <c r="C660" s="103"/>
      <c r="D660" s="70"/>
      <c r="E660" s="70"/>
      <c r="F660" s="70"/>
      <c r="G660" s="70"/>
      <c r="H660" s="63"/>
      <c r="I660" s="70"/>
      <c r="J660" s="70"/>
      <c r="K660" s="70"/>
      <c r="N660" s="57"/>
      <c r="O660" s="57"/>
      <c r="P660" s="38">
        <f>SUM(P617:P659)</f>
        <v>385325</v>
      </c>
      <c r="Q660" s="38">
        <f>SUM(Q617:Q641)</f>
        <v>-2982</v>
      </c>
      <c r="R660" s="38">
        <f>SUM(R617:R641)</f>
        <v>0</v>
      </c>
      <c r="S660" s="38">
        <f>SUM(S617:S659)</f>
        <v>382343</v>
      </c>
      <c r="T660" s="4"/>
      <c r="U660" s="41">
        <f>SUM(U617:U659)</f>
        <v>1116</v>
      </c>
      <c r="V660" s="41">
        <f>SUM(V617:V641)</f>
        <v>-810</v>
      </c>
      <c r="W660" s="42">
        <f>SUM(W617:W659)</f>
        <v>382649</v>
      </c>
      <c r="Z660" s="57"/>
      <c r="AA660" s="57"/>
      <c r="AB660" s="38">
        <f>SUM(AB617:AB659)</f>
        <v>354791</v>
      </c>
      <c r="AC660" s="38">
        <f>SUM(AC617:AC641)</f>
        <v>-1662</v>
      </c>
      <c r="AD660" s="38">
        <f>SUM(AD617:AD641)</f>
        <v>0</v>
      </c>
      <c r="AE660" s="38">
        <f>SUM(AE617:AE659)</f>
        <v>353129</v>
      </c>
      <c r="AF660" s="4"/>
      <c r="AG660" s="41">
        <f>SUM(AG617:AG659)</f>
        <v>26331</v>
      </c>
      <c r="AH660" s="41">
        <f>SUM(AH617:AH641)</f>
        <v>-3441</v>
      </c>
      <c r="AI660" s="42">
        <f>SUM(AI617:AI659)</f>
        <v>376019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42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42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42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71</v>
      </c>
      <c r="B668" s="20"/>
      <c r="C668" s="57"/>
      <c r="D668" s="57"/>
      <c r="E668" s="57"/>
      <c r="G668" s="57"/>
      <c r="I668" s="22" t="s">
        <v>16</v>
      </c>
      <c r="J668" s="23" t="s">
        <v>31</v>
      </c>
      <c r="K668" s="24"/>
      <c r="M668" s="21" t="s">
        <v>71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33</v>
      </c>
      <c r="W668" s="24"/>
      <c r="Y668" s="21" t="s">
        <v>71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35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16" t="s">
        <v>17</v>
      </c>
      <c r="E670" s="116"/>
      <c r="F670" s="104"/>
      <c r="G670" s="27"/>
      <c r="I670" s="117" t="s">
        <v>18</v>
      </c>
      <c r="J670" s="118"/>
      <c r="K670" s="112" t="s">
        <v>19</v>
      </c>
      <c r="N670" s="25"/>
      <c r="O670" s="26"/>
      <c r="P670" s="116" t="s">
        <v>17</v>
      </c>
      <c r="Q670" s="116"/>
      <c r="R670" s="104"/>
      <c r="S670" s="27"/>
      <c r="U670" s="117" t="s">
        <v>18</v>
      </c>
      <c r="V670" s="118"/>
      <c r="W670" s="112" t="s">
        <v>19</v>
      </c>
      <c r="Z670" s="25"/>
      <c r="AA670" s="26"/>
      <c r="AB670" s="116" t="s">
        <v>17</v>
      </c>
      <c r="AC670" s="116"/>
      <c r="AD670" s="104"/>
      <c r="AE670" s="27"/>
      <c r="AG670" s="117" t="s">
        <v>18</v>
      </c>
      <c r="AH670" s="118"/>
      <c r="AI670" s="112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32</v>
      </c>
      <c r="G671" s="78" t="s">
        <v>24</v>
      </c>
      <c r="I671" s="29" t="s">
        <v>25</v>
      </c>
      <c r="J671" s="29" t="s">
        <v>26</v>
      </c>
      <c r="K671" s="113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32</v>
      </c>
      <c r="S671" s="78" t="s">
        <v>24</v>
      </c>
      <c r="U671" s="29" t="s">
        <v>25</v>
      </c>
      <c r="V671" s="29" t="s">
        <v>26</v>
      </c>
      <c r="W671" s="113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32</v>
      </c>
      <c r="AE671" s="78" t="s">
        <v>24</v>
      </c>
      <c r="AG671" s="29" t="s">
        <v>25</v>
      </c>
      <c r="AH671" s="29" t="s">
        <v>26</v>
      </c>
      <c r="AI671" s="113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72</v>
      </c>
      <c r="C672" s="83">
        <v>9581</v>
      </c>
      <c r="D672" s="32">
        <f>650*57+670*3+622*10</f>
        <v>45280</v>
      </c>
      <c r="E672" s="32"/>
      <c r="F672" s="32"/>
      <c r="G672" s="32">
        <f t="shared" ref="G672:G705" si="185">SUM(D672:E672)</f>
        <v>45280</v>
      </c>
      <c r="H672" s="12"/>
      <c r="I672" s="12"/>
      <c r="J672" s="12"/>
      <c r="K672" s="12">
        <f t="shared" ref="K672:K705" si="186">SUM(G672:J672)</f>
        <v>45280</v>
      </c>
      <c r="M672" s="10">
        <v>1</v>
      </c>
      <c r="N672" s="30" t="s">
        <v>72</v>
      </c>
      <c r="O672" s="31">
        <v>9709</v>
      </c>
      <c r="P672" s="32">
        <f>650*216+229*6</f>
        <v>141774</v>
      </c>
      <c r="Q672" s="32">
        <f>-216*6</f>
        <v>-1296</v>
      </c>
      <c r="R672" s="32"/>
      <c r="S672" s="32">
        <f>SUM(P672:Q672)</f>
        <v>140478</v>
      </c>
      <c r="T672" s="12"/>
      <c r="U672" s="12">
        <v>5439</v>
      </c>
      <c r="V672" s="12">
        <f>-672+-210</f>
        <v>-882</v>
      </c>
      <c r="W672" s="12">
        <f>SUM(S672:V672)</f>
        <v>145035</v>
      </c>
      <c r="Y672" s="10">
        <v>1</v>
      </c>
      <c r="Z672" s="30" t="s">
        <v>72</v>
      </c>
      <c r="AA672" s="31">
        <v>9659</v>
      </c>
      <c r="AB672" s="32">
        <f>414166</f>
        <v>414166</v>
      </c>
      <c r="AC672" s="32"/>
      <c r="AD672" s="32"/>
      <c r="AE672" s="32">
        <f>SUM(AB672:AC672)</f>
        <v>414166</v>
      </c>
      <c r="AF672" s="12"/>
      <c r="AG672" s="12"/>
      <c r="AH672" s="12">
        <f>-120+-7548+-3948+-28980</f>
        <v>-40596</v>
      </c>
      <c r="AI672" s="12">
        <f>SUM(AE672:AH672)</f>
        <v>373570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72</v>
      </c>
      <c r="C673" s="83">
        <f>C672+1</f>
        <v>9582</v>
      </c>
      <c r="D673" s="32">
        <f>650*27</f>
        <v>17550</v>
      </c>
      <c r="E673" s="32"/>
      <c r="F673" s="32"/>
      <c r="G673" s="32">
        <f t="shared" si="185"/>
        <v>17550</v>
      </c>
      <c r="H673" s="12"/>
      <c r="I673" s="12"/>
      <c r="J673" s="12">
        <f>-26*111</f>
        <v>-2886</v>
      </c>
      <c r="K673" s="12">
        <f t="shared" si="186"/>
        <v>14664</v>
      </c>
      <c r="M673" s="10">
        <v>2</v>
      </c>
      <c r="N673" s="30" t="s">
        <v>72</v>
      </c>
      <c r="O673" s="31">
        <f>O672+1</f>
        <v>9710</v>
      </c>
      <c r="P673" s="32">
        <f>650*7+670+9.5*5</f>
        <v>5267.5</v>
      </c>
      <c r="Q673" s="32"/>
      <c r="R673" s="32"/>
      <c r="S673" s="32">
        <f t="shared" ref="S673:S710" si="187">SUM(P673:Q673)</f>
        <v>5267.5</v>
      </c>
      <c r="T673" s="12"/>
      <c r="U673" s="12"/>
      <c r="V673" s="12">
        <v>-555</v>
      </c>
      <c r="W673" s="12">
        <f t="shared" ref="W673:W713" si="188">SUM(S673:V673)</f>
        <v>4712.5</v>
      </c>
      <c r="Y673" s="10">
        <v>2</v>
      </c>
      <c r="Z673" s="30" t="s">
        <v>72</v>
      </c>
      <c r="AA673" s="31">
        <f>AA672+1</f>
        <v>9660</v>
      </c>
      <c r="AB673" s="32">
        <f>21521</f>
        <v>21521</v>
      </c>
      <c r="AC673" s="32"/>
      <c r="AD673" s="32"/>
      <c r="AE673" s="32">
        <f t="shared" ref="AE673:AE710" si="189">SUM(AB673:AC673)</f>
        <v>21521</v>
      </c>
      <c r="AF673" s="12"/>
      <c r="AG673" s="12"/>
      <c r="AH673" s="12"/>
      <c r="AI673" s="12">
        <f t="shared" ref="AI673:AI713" si="190">SUM(AE673:AH673)</f>
        <v>21521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72</v>
      </c>
      <c r="C674" s="83">
        <f t="shared" ref="C674:C675" si="191">C673+1</f>
        <v>9583</v>
      </c>
      <c r="D674" s="33">
        <f>650*540+622*108+912*10+1050*10+872*10+229*27</f>
        <v>452699</v>
      </c>
      <c r="E674" s="33">
        <f>-678*6</f>
        <v>-4068</v>
      </c>
      <c r="F674" s="33"/>
      <c r="G674" s="33">
        <f t="shared" si="185"/>
        <v>448631</v>
      </c>
      <c r="H674" s="34"/>
      <c r="I674" s="34">
        <f>120*9+200*111+19*78</f>
        <v>24762</v>
      </c>
      <c r="J674" s="34"/>
      <c r="K674" s="34">
        <f t="shared" si="186"/>
        <v>473393</v>
      </c>
      <c r="M674" s="10">
        <v>3</v>
      </c>
      <c r="N674" s="30" t="s">
        <v>72</v>
      </c>
      <c r="O674" s="31">
        <f t="shared" ref="O674:O675" si="192">O673+1</f>
        <v>9711</v>
      </c>
      <c r="P674" s="32">
        <f>650*170+622*30+229*6</f>
        <v>130534</v>
      </c>
      <c r="Q674" s="32">
        <f>-200*6</f>
        <v>-1200</v>
      </c>
      <c r="R674" s="32"/>
      <c r="S674" s="32">
        <f t="shared" si="187"/>
        <v>129334</v>
      </c>
      <c r="T674" s="12"/>
      <c r="U674" s="12">
        <v>312</v>
      </c>
      <c r="V674" s="12">
        <f>-480+-14208+-420+-546</f>
        <v>-15654</v>
      </c>
      <c r="W674" s="12">
        <f t="shared" si="188"/>
        <v>113992</v>
      </c>
      <c r="Y674" s="10">
        <v>3</v>
      </c>
      <c r="Z674" s="30" t="s">
        <v>72</v>
      </c>
      <c r="AA674" s="31">
        <f t="shared" ref="AA674" si="193">AA673+1</f>
        <v>9661</v>
      </c>
      <c r="AB674" s="33">
        <f>650*20+622*5</f>
        <v>16110</v>
      </c>
      <c r="AC674" s="33"/>
      <c r="AD674" s="32"/>
      <c r="AE674" s="32">
        <f t="shared" si="189"/>
        <v>16110</v>
      </c>
      <c r="AF674" s="12"/>
      <c r="AG674" s="12"/>
      <c r="AH674" s="12">
        <f>-240+-333+-84*2</f>
        <v>-741</v>
      </c>
      <c r="AI674" s="12">
        <f t="shared" si="190"/>
        <v>15369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72</v>
      </c>
      <c r="C675" s="83">
        <f t="shared" si="191"/>
        <v>9584</v>
      </c>
      <c r="D675" s="32">
        <f>650*216+1102+1175+9120+5250+1950+2061+1500</f>
        <v>162558</v>
      </c>
      <c r="E675" s="32">
        <f>-233*6</f>
        <v>-1398</v>
      </c>
      <c r="F675" s="32"/>
      <c r="G675" s="32">
        <f t="shared" si="185"/>
        <v>161160</v>
      </c>
      <c r="H675" s="12"/>
      <c r="I675" s="12">
        <f>360+624</f>
        <v>984</v>
      </c>
      <c r="J675" s="12">
        <f>-13875+-84+-15</f>
        <v>-13974</v>
      </c>
      <c r="K675" s="12">
        <f t="shared" si="186"/>
        <v>148170</v>
      </c>
      <c r="M675" s="10">
        <v>4</v>
      </c>
      <c r="N675" s="30" t="s">
        <v>72</v>
      </c>
      <c r="O675" s="31">
        <f t="shared" si="192"/>
        <v>9712</v>
      </c>
      <c r="P675" s="32">
        <f>650+9.5</f>
        <v>659.5</v>
      </c>
      <c r="Q675" s="32"/>
      <c r="R675" s="32"/>
      <c r="S675" s="32">
        <f t="shared" si="187"/>
        <v>659.5</v>
      </c>
      <c r="T675" s="12"/>
      <c r="U675" s="12"/>
      <c r="V675" s="12"/>
      <c r="W675" s="12">
        <f t="shared" si="188"/>
        <v>659.5</v>
      </c>
      <c r="Y675" s="10">
        <v>4</v>
      </c>
      <c r="Z675" s="30"/>
      <c r="AA675" s="11" t="s">
        <v>27</v>
      </c>
      <c r="AB675" s="32"/>
      <c r="AC675" s="32"/>
      <c r="AD675" s="32"/>
      <c r="AE675" s="32">
        <f t="shared" si="189"/>
        <v>0</v>
      </c>
      <c r="AF675" s="12"/>
      <c r="AG675" s="58"/>
      <c r="AH675" s="12"/>
      <c r="AI675" s="12">
        <f t="shared" si="190"/>
        <v>0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/>
      <c r="C676" s="11" t="s">
        <v>27</v>
      </c>
      <c r="D676" s="32"/>
      <c r="E676" s="32"/>
      <c r="F676" s="32"/>
      <c r="G676" s="32">
        <f t="shared" si="185"/>
        <v>0</v>
      </c>
      <c r="H676" s="12"/>
      <c r="I676" s="12"/>
      <c r="J676" s="12"/>
      <c r="K676" s="12">
        <f t="shared" si="186"/>
        <v>0</v>
      </c>
      <c r="M676" s="10">
        <v>5</v>
      </c>
      <c r="N676" s="30"/>
      <c r="O676" s="11" t="s">
        <v>27</v>
      </c>
      <c r="P676" s="32"/>
      <c r="Q676" s="32"/>
      <c r="R676" s="32"/>
      <c r="S676" s="32">
        <f t="shared" si="187"/>
        <v>0</v>
      </c>
      <c r="T676" s="12"/>
      <c r="U676" s="12"/>
      <c r="V676" s="12"/>
      <c r="W676" s="12">
        <f t="shared" si="188"/>
        <v>0</v>
      </c>
      <c r="Y676" s="10">
        <v>5</v>
      </c>
      <c r="Z676" s="30"/>
      <c r="AA676" s="31"/>
      <c r="AB676" s="32"/>
      <c r="AC676" s="32"/>
      <c r="AD676" s="32"/>
      <c r="AE676" s="32">
        <f t="shared" si="189"/>
        <v>0</v>
      </c>
      <c r="AF676" s="12"/>
      <c r="AG676" s="12"/>
      <c r="AH676" s="12"/>
      <c r="AI676" s="12">
        <f t="shared" si="190"/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/>
      <c r="C677" s="83"/>
      <c r="D677" s="32"/>
      <c r="E677" s="32"/>
      <c r="F677" s="32"/>
      <c r="G677" s="32">
        <f t="shared" si="185"/>
        <v>0</v>
      </c>
      <c r="H677" s="12"/>
      <c r="I677" s="12"/>
      <c r="J677" s="12"/>
      <c r="K677" s="12">
        <f t="shared" si="186"/>
        <v>0</v>
      </c>
      <c r="M677" s="10">
        <v>6</v>
      </c>
      <c r="N677" s="30"/>
      <c r="O677" s="31"/>
      <c r="P677" s="32"/>
      <c r="Q677" s="32"/>
      <c r="R677" s="32"/>
      <c r="S677" s="32">
        <f t="shared" si="187"/>
        <v>0</v>
      </c>
      <c r="T677" s="12"/>
      <c r="U677" s="12"/>
      <c r="V677" s="10"/>
      <c r="W677" s="12">
        <f t="shared" si="188"/>
        <v>0</v>
      </c>
      <c r="Y677" s="10">
        <v>6</v>
      </c>
      <c r="Z677" s="30"/>
      <c r="AB677" s="32"/>
      <c r="AC677" s="32"/>
      <c r="AD677" s="32"/>
      <c r="AE677" s="32">
        <f t="shared" si="189"/>
        <v>0</v>
      </c>
      <c r="AF677" s="12"/>
      <c r="AG677" s="12"/>
      <c r="AH677" s="10"/>
      <c r="AI677" s="12">
        <f t="shared" si="190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/>
      <c r="C678" s="83"/>
      <c r="D678" s="32"/>
      <c r="E678" s="32"/>
      <c r="F678" s="32"/>
      <c r="G678" s="32">
        <f t="shared" si="185"/>
        <v>0</v>
      </c>
      <c r="H678" s="12"/>
      <c r="I678" s="12"/>
      <c r="J678" s="12"/>
      <c r="K678" s="12">
        <f t="shared" si="186"/>
        <v>0</v>
      </c>
      <c r="M678" s="10">
        <v>7</v>
      </c>
      <c r="N678" s="30"/>
      <c r="O678" s="31"/>
      <c r="P678" s="32"/>
      <c r="Q678" s="32"/>
      <c r="R678" s="32"/>
      <c r="S678" s="32">
        <f t="shared" si="187"/>
        <v>0</v>
      </c>
      <c r="T678" s="12"/>
      <c r="U678" s="12"/>
      <c r="V678" s="12"/>
      <c r="W678" s="12">
        <f t="shared" si="188"/>
        <v>0</v>
      </c>
      <c r="Y678" s="10">
        <v>7</v>
      </c>
      <c r="Z678" s="30"/>
      <c r="AA678" s="31"/>
      <c r="AB678" s="32"/>
      <c r="AC678" s="32"/>
      <c r="AD678" s="32"/>
      <c r="AE678" s="32">
        <f t="shared" si="189"/>
        <v>0</v>
      </c>
      <c r="AF678" s="12"/>
      <c r="AG678" s="58"/>
      <c r="AH678" s="12"/>
      <c r="AI678" s="12">
        <f t="shared" si="190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/>
      <c r="D679" s="32"/>
      <c r="E679" s="32"/>
      <c r="F679" s="32"/>
      <c r="G679" s="32">
        <f t="shared" si="185"/>
        <v>0</v>
      </c>
      <c r="H679" s="12"/>
      <c r="I679" s="12"/>
      <c r="J679" s="12"/>
      <c r="K679" s="12">
        <f t="shared" si="186"/>
        <v>0</v>
      </c>
      <c r="M679" s="10">
        <v>8</v>
      </c>
      <c r="N679" s="30"/>
      <c r="O679" s="11"/>
      <c r="P679" s="32"/>
      <c r="Q679" s="32"/>
      <c r="R679" s="32"/>
      <c r="S679" s="32">
        <f t="shared" si="187"/>
        <v>0</v>
      </c>
      <c r="T679" s="12"/>
      <c r="U679" s="12"/>
      <c r="V679" s="12"/>
      <c r="W679" s="12">
        <f t="shared" si="188"/>
        <v>0</v>
      </c>
      <c r="Y679" s="10">
        <v>8</v>
      </c>
      <c r="Z679" s="30"/>
      <c r="AA679" s="31"/>
      <c r="AB679" s="32"/>
      <c r="AC679" s="32"/>
      <c r="AE679" s="32">
        <f t="shared" si="189"/>
        <v>0</v>
      </c>
      <c r="AF679" s="12"/>
      <c r="AG679" s="12"/>
      <c r="AH679" s="12"/>
      <c r="AI679" s="12">
        <f t="shared" si="190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/>
      <c r="C680" s="83"/>
      <c r="D680" s="32"/>
      <c r="E680" s="32"/>
      <c r="F680" s="32"/>
      <c r="G680" s="32">
        <f t="shared" si="185"/>
        <v>0</v>
      </c>
      <c r="H680" s="12"/>
      <c r="I680" s="12"/>
      <c r="J680" s="12"/>
      <c r="K680" s="12">
        <f t="shared" si="186"/>
        <v>0</v>
      </c>
      <c r="M680" s="10">
        <v>9</v>
      </c>
      <c r="N680" s="30"/>
      <c r="P680" s="32"/>
      <c r="Q680" s="32"/>
      <c r="R680" s="32"/>
      <c r="S680" s="32">
        <f t="shared" si="187"/>
        <v>0</v>
      </c>
      <c r="T680" s="12"/>
      <c r="U680" s="12"/>
      <c r="V680" s="12"/>
      <c r="W680" s="12">
        <f t="shared" si="188"/>
        <v>0</v>
      </c>
      <c r="Y680" s="10">
        <v>9</v>
      </c>
      <c r="Z680" s="30"/>
      <c r="AA680" s="31"/>
      <c r="AB680" s="32"/>
      <c r="AC680" s="32"/>
      <c r="AD680" s="32"/>
      <c r="AE680" s="32">
        <f t="shared" si="189"/>
        <v>0</v>
      </c>
      <c r="AF680" s="12"/>
      <c r="AH680" s="12"/>
      <c r="AI680" s="12">
        <f t="shared" si="190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/>
      <c r="C681" s="57"/>
      <c r="D681" s="32"/>
      <c r="E681" s="32"/>
      <c r="F681" s="32"/>
      <c r="G681" s="32">
        <f t="shared" si="185"/>
        <v>0</v>
      </c>
      <c r="H681" s="12"/>
      <c r="I681" s="12"/>
      <c r="J681" s="12"/>
      <c r="K681" s="12">
        <f t="shared" si="186"/>
        <v>0</v>
      </c>
      <c r="M681" s="10">
        <v>10</v>
      </c>
      <c r="N681" s="30"/>
      <c r="O681" s="31"/>
      <c r="P681" s="32"/>
      <c r="Q681" s="32"/>
      <c r="R681" s="32"/>
      <c r="S681" s="32">
        <f t="shared" si="187"/>
        <v>0</v>
      </c>
      <c r="T681" s="12"/>
      <c r="U681" s="12"/>
      <c r="V681" s="12"/>
      <c r="W681" s="12">
        <f t="shared" si="188"/>
        <v>0</v>
      </c>
      <c r="Y681" s="10">
        <v>10</v>
      </c>
      <c r="Z681" s="30"/>
      <c r="AA681" s="31"/>
      <c r="AB681" s="32"/>
      <c r="AC681" s="32"/>
      <c r="AD681" s="32"/>
      <c r="AE681" s="32">
        <f t="shared" si="189"/>
        <v>0</v>
      </c>
      <c r="AF681" s="12"/>
      <c r="AG681" s="12"/>
      <c r="AH681" s="12"/>
      <c r="AI681" s="12">
        <f t="shared" si="190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83"/>
      <c r="D682" s="32"/>
      <c r="E682" s="32"/>
      <c r="F682" s="32"/>
      <c r="G682" s="32">
        <f t="shared" si="185"/>
        <v>0</v>
      </c>
      <c r="H682" s="12"/>
      <c r="I682" s="12"/>
      <c r="J682" s="12"/>
      <c r="K682" s="12">
        <f t="shared" si="186"/>
        <v>0</v>
      </c>
      <c r="M682" s="10">
        <v>11</v>
      </c>
      <c r="N682" s="30"/>
      <c r="O682" s="31"/>
      <c r="P682" s="32"/>
      <c r="Q682" s="32"/>
      <c r="R682" s="32"/>
      <c r="S682" s="32">
        <f t="shared" si="187"/>
        <v>0</v>
      </c>
      <c r="T682" s="12"/>
      <c r="U682" s="12"/>
      <c r="V682" s="12"/>
      <c r="W682" s="12">
        <f t="shared" si="188"/>
        <v>0</v>
      </c>
      <c r="Y682" s="10">
        <v>11</v>
      </c>
      <c r="Z682" s="30"/>
      <c r="AA682" s="31"/>
      <c r="AB682" s="32"/>
      <c r="AC682" s="32"/>
      <c r="AD682" s="32"/>
      <c r="AE682" s="32">
        <f t="shared" si="189"/>
        <v>0</v>
      </c>
      <c r="AF682" s="12"/>
      <c r="AG682" s="12"/>
      <c r="AH682" s="12"/>
      <c r="AI682" s="12">
        <f t="shared" si="190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83"/>
      <c r="D683" s="32"/>
      <c r="E683" s="32"/>
      <c r="F683" s="32"/>
      <c r="G683" s="32">
        <f t="shared" si="185"/>
        <v>0</v>
      </c>
      <c r="H683" s="12"/>
      <c r="I683" s="12"/>
      <c r="J683" s="10"/>
      <c r="K683" s="12">
        <f t="shared" si="186"/>
        <v>0</v>
      </c>
      <c r="M683" s="10">
        <v>12</v>
      </c>
      <c r="N683" s="30"/>
      <c r="O683" s="31"/>
      <c r="P683" s="32"/>
      <c r="Q683" s="32"/>
      <c r="R683" s="32"/>
      <c r="S683" s="32">
        <f t="shared" si="187"/>
        <v>0</v>
      </c>
      <c r="T683" s="12"/>
      <c r="U683" s="12"/>
      <c r="V683" s="12"/>
      <c r="W683" s="12">
        <f t="shared" si="188"/>
        <v>0</v>
      </c>
      <c r="Y683" s="10">
        <v>12</v>
      </c>
      <c r="Z683" s="30"/>
      <c r="AB683" s="32"/>
      <c r="AC683" s="32"/>
      <c r="AD683" s="32"/>
      <c r="AE683" s="32">
        <f t="shared" si="189"/>
        <v>0</v>
      </c>
      <c r="AF683" s="12"/>
      <c r="AG683" s="12"/>
      <c r="AH683" s="12"/>
      <c r="AI683" s="12">
        <f t="shared" si="190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83"/>
      <c r="D684" s="32"/>
      <c r="E684" s="32"/>
      <c r="F684" s="32"/>
      <c r="G684" s="32">
        <f t="shared" si="185"/>
        <v>0</v>
      </c>
      <c r="H684" s="12"/>
      <c r="I684" s="12"/>
      <c r="J684" s="12"/>
      <c r="K684" s="12">
        <f t="shared" si="186"/>
        <v>0</v>
      </c>
      <c r="M684" s="10">
        <v>13</v>
      </c>
      <c r="N684" s="30"/>
      <c r="O684" s="31"/>
      <c r="P684" s="32"/>
      <c r="Q684" s="32"/>
      <c r="R684" s="32"/>
      <c r="S684" s="32">
        <f t="shared" si="187"/>
        <v>0</v>
      </c>
      <c r="T684" s="12"/>
      <c r="U684" s="12"/>
      <c r="V684" s="12"/>
      <c r="W684" s="12">
        <f t="shared" si="188"/>
        <v>0</v>
      </c>
      <c r="Y684" s="10">
        <v>13</v>
      </c>
      <c r="Z684" s="30"/>
      <c r="AA684" s="31"/>
      <c r="AB684" s="32"/>
      <c r="AC684" s="32"/>
      <c r="AD684" s="32"/>
      <c r="AE684" s="32">
        <f t="shared" si="189"/>
        <v>0</v>
      </c>
      <c r="AF684" s="12"/>
      <c r="AG684" s="12"/>
      <c r="AH684" s="12"/>
      <c r="AI684" s="12">
        <f t="shared" si="190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83"/>
      <c r="D685" s="32"/>
      <c r="E685" s="32"/>
      <c r="F685" s="32"/>
      <c r="G685" s="32">
        <f t="shared" si="185"/>
        <v>0</v>
      </c>
      <c r="H685" s="12"/>
      <c r="I685" s="12"/>
      <c r="J685" s="12"/>
      <c r="K685" s="12">
        <f t="shared" si="186"/>
        <v>0</v>
      </c>
      <c r="M685" s="10">
        <v>14</v>
      </c>
      <c r="N685" s="30"/>
      <c r="O685" s="31"/>
      <c r="P685" s="32"/>
      <c r="Q685" s="32"/>
      <c r="R685" s="32"/>
      <c r="S685" s="32">
        <f t="shared" si="187"/>
        <v>0</v>
      </c>
      <c r="T685" s="12"/>
      <c r="U685" s="12"/>
      <c r="V685" s="12"/>
      <c r="W685" s="12">
        <f t="shared" si="188"/>
        <v>0</v>
      </c>
      <c r="Y685" s="10">
        <v>14</v>
      </c>
      <c r="Z685" s="30"/>
      <c r="AA685" s="31"/>
      <c r="AB685" s="32"/>
      <c r="AC685" s="32"/>
      <c r="AD685" s="32"/>
      <c r="AE685" s="32">
        <f t="shared" si="189"/>
        <v>0</v>
      </c>
      <c r="AF685" s="12"/>
      <c r="AG685" s="12"/>
      <c r="AH685" s="12"/>
      <c r="AI685" s="12">
        <f t="shared" si="190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83"/>
      <c r="D686" s="32"/>
      <c r="E686" s="32"/>
      <c r="F686" s="32"/>
      <c r="G686" s="32">
        <f t="shared" si="185"/>
        <v>0</v>
      </c>
      <c r="H686" s="12"/>
      <c r="I686" s="12"/>
      <c r="J686" s="12"/>
      <c r="K686" s="12">
        <f t="shared" si="186"/>
        <v>0</v>
      </c>
      <c r="M686" s="10">
        <v>15</v>
      </c>
      <c r="N686" s="30"/>
      <c r="O686" s="31"/>
      <c r="P686" s="32"/>
      <c r="Q686" s="32"/>
      <c r="R686" s="32"/>
      <c r="S686" s="32">
        <f t="shared" si="187"/>
        <v>0</v>
      </c>
      <c r="T686" s="12"/>
      <c r="U686" s="12"/>
      <c r="V686" s="12"/>
      <c r="W686" s="12">
        <f t="shared" si="188"/>
        <v>0</v>
      </c>
      <c r="Y686" s="10">
        <v>15</v>
      </c>
      <c r="Z686" s="30"/>
      <c r="AB686" s="32"/>
      <c r="AC686" s="32"/>
      <c r="AD686" s="32"/>
      <c r="AE686" s="32">
        <f t="shared" si="189"/>
        <v>0</v>
      </c>
      <c r="AF686" s="12"/>
      <c r="AG686" s="12"/>
      <c r="AH686" s="12"/>
      <c r="AI686" s="12">
        <f t="shared" si="190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C687" s="83"/>
      <c r="D687" s="32"/>
      <c r="E687" s="32"/>
      <c r="F687" s="32"/>
      <c r="G687" s="32">
        <f t="shared" si="185"/>
        <v>0</v>
      </c>
      <c r="H687" s="12"/>
      <c r="I687" s="12"/>
      <c r="J687" s="12"/>
      <c r="K687" s="12">
        <f t="shared" si="186"/>
        <v>0</v>
      </c>
      <c r="M687" s="10">
        <v>16</v>
      </c>
      <c r="N687" s="30"/>
      <c r="O687" s="31"/>
      <c r="P687" s="32"/>
      <c r="Q687" s="32"/>
      <c r="R687" s="32"/>
      <c r="S687" s="32">
        <f t="shared" si="187"/>
        <v>0</v>
      </c>
      <c r="T687" s="12"/>
      <c r="U687" s="12"/>
      <c r="V687" s="12"/>
      <c r="W687" s="12">
        <f t="shared" si="188"/>
        <v>0</v>
      </c>
      <c r="Y687" s="10">
        <v>16</v>
      </c>
      <c r="Z687" s="30"/>
      <c r="AB687" s="32"/>
      <c r="AC687" s="32"/>
      <c r="AD687" s="32"/>
      <c r="AE687" s="32">
        <f t="shared" si="189"/>
        <v>0</v>
      </c>
      <c r="AF687" s="12"/>
      <c r="AG687" s="12"/>
      <c r="AH687" s="12"/>
      <c r="AI687" s="12">
        <f t="shared" si="190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83"/>
      <c r="D688" s="32"/>
      <c r="E688" s="32"/>
      <c r="F688" s="32"/>
      <c r="G688" s="32">
        <f t="shared" si="185"/>
        <v>0</v>
      </c>
      <c r="H688" s="12"/>
      <c r="I688" s="12"/>
      <c r="J688" s="12"/>
      <c r="K688" s="12">
        <f t="shared" si="186"/>
        <v>0</v>
      </c>
      <c r="M688" s="10">
        <v>17</v>
      </c>
      <c r="N688" s="30"/>
      <c r="O688" s="31"/>
      <c r="P688" s="35"/>
      <c r="Q688" s="32"/>
      <c r="R688" s="32"/>
      <c r="S688" s="32">
        <f t="shared" si="187"/>
        <v>0</v>
      </c>
      <c r="T688" s="12"/>
      <c r="U688" s="12"/>
      <c r="V688" s="12"/>
      <c r="W688" s="12">
        <f t="shared" si="188"/>
        <v>0</v>
      </c>
      <c r="Y688" s="10">
        <v>17</v>
      </c>
      <c r="Z688" s="30"/>
      <c r="AA688" s="31"/>
      <c r="AB688" s="35"/>
      <c r="AC688" s="32"/>
      <c r="AD688" s="32"/>
      <c r="AE688" s="32">
        <f t="shared" si="189"/>
        <v>0</v>
      </c>
      <c r="AF688" s="12"/>
      <c r="AG688" s="12"/>
      <c r="AH688" s="12"/>
      <c r="AI688" s="12">
        <f t="shared" si="190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83"/>
      <c r="D689" s="32"/>
      <c r="E689" s="32"/>
      <c r="F689" s="32"/>
      <c r="G689" s="32">
        <f t="shared" si="185"/>
        <v>0</v>
      </c>
      <c r="H689" s="12"/>
      <c r="I689" s="12"/>
      <c r="J689" s="12"/>
      <c r="K689" s="12">
        <f t="shared" si="186"/>
        <v>0</v>
      </c>
      <c r="M689" s="10">
        <v>18</v>
      </c>
      <c r="N689" s="30"/>
      <c r="O689" s="31"/>
      <c r="P689" s="32"/>
      <c r="Q689" s="32"/>
      <c r="R689" s="32"/>
      <c r="S689" s="32">
        <f t="shared" si="187"/>
        <v>0</v>
      </c>
      <c r="T689" s="12"/>
      <c r="U689" s="12"/>
      <c r="V689" s="12"/>
      <c r="W689" s="12">
        <f t="shared" si="188"/>
        <v>0</v>
      </c>
      <c r="Y689" s="10">
        <v>18</v>
      </c>
      <c r="Z689" s="30"/>
      <c r="AA689" s="31"/>
      <c r="AB689" s="32"/>
      <c r="AC689" s="32"/>
      <c r="AD689" s="32"/>
      <c r="AE689" s="32">
        <f t="shared" si="189"/>
        <v>0</v>
      </c>
      <c r="AF689" s="12"/>
      <c r="AG689" s="12"/>
      <c r="AH689" s="12"/>
      <c r="AI689" s="12">
        <f t="shared" si="190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83"/>
      <c r="D690" s="32"/>
      <c r="E690" s="32"/>
      <c r="F690" s="32"/>
      <c r="G690" s="32">
        <f t="shared" si="185"/>
        <v>0</v>
      </c>
      <c r="H690" s="12"/>
      <c r="I690" s="12"/>
      <c r="J690" s="12"/>
      <c r="K690" s="12">
        <f t="shared" si="186"/>
        <v>0</v>
      </c>
      <c r="M690" s="10">
        <v>19</v>
      </c>
      <c r="N690" s="30"/>
      <c r="O690" s="31"/>
      <c r="P690" s="32"/>
      <c r="Q690" s="32"/>
      <c r="R690" s="32"/>
      <c r="S690" s="32">
        <f t="shared" si="187"/>
        <v>0</v>
      </c>
      <c r="T690" s="12"/>
      <c r="U690" s="12"/>
      <c r="V690" s="12"/>
      <c r="W690" s="12">
        <f t="shared" si="188"/>
        <v>0</v>
      </c>
      <c r="Y690" s="10">
        <v>19</v>
      </c>
      <c r="Z690" s="30"/>
      <c r="AA690" s="31"/>
      <c r="AB690" s="32"/>
      <c r="AC690" s="32"/>
      <c r="AD690" s="32"/>
      <c r="AE690" s="32">
        <f t="shared" si="189"/>
        <v>0</v>
      </c>
      <c r="AF690" s="12"/>
      <c r="AG690" s="12"/>
      <c r="AH690" s="12"/>
      <c r="AI690" s="12">
        <f t="shared" si="190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83"/>
      <c r="D691" s="32"/>
      <c r="E691" s="32"/>
      <c r="F691" s="32"/>
      <c r="G691" s="32">
        <f t="shared" si="185"/>
        <v>0</v>
      </c>
      <c r="H691" s="12"/>
      <c r="I691" s="12"/>
      <c r="J691" s="12"/>
      <c r="K691" s="12">
        <f t="shared" si="186"/>
        <v>0</v>
      </c>
      <c r="M691" s="10">
        <v>20</v>
      </c>
      <c r="N691" s="30"/>
      <c r="O691" s="31"/>
      <c r="P691" s="32"/>
      <c r="Q691" s="32"/>
      <c r="R691" s="32"/>
      <c r="S691" s="32">
        <f t="shared" si="187"/>
        <v>0</v>
      </c>
      <c r="T691" s="12"/>
      <c r="U691" s="12"/>
      <c r="V691" s="12"/>
      <c r="W691" s="12">
        <f t="shared" si="188"/>
        <v>0</v>
      </c>
      <c r="Y691" s="10">
        <v>20</v>
      </c>
      <c r="Z691" s="30"/>
      <c r="AA691" s="31"/>
      <c r="AB691" s="32"/>
      <c r="AC691" s="32"/>
      <c r="AD691" s="32"/>
      <c r="AE691" s="32">
        <f t="shared" si="189"/>
        <v>0</v>
      </c>
      <c r="AF691" s="12"/>
      <c r="AG691" s="12"/>
      <c r="AH691" s="12"/>
      <c r="AI691" s="12">
        <f t="shared" si="190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11"/>
      <c r="D692" s="32"/>
      <c r="E692" s="32"/>
      <c r="F692" s="32"/>
      <c r="G692" s="32">
        <f t="shared" si="185"/>
        <v>0</v>
      </c>
      <c r="H692" s="10"/>
      <c r="I692" s="10"/>
      <c r="J692" s="10"/>
      <c r="K692" s="12">
        <f t="shared" si="186"/>
        <v>0</v>
      </c>
      <c r="M692" s="10">
        <v>21</v>
      </c>
      <c r="N692" s="30"/>
      <c r="O692" s="31"/>
      <c r="P692" s="46"/>
      <c r="Q692" s="31"/>
      <c r="R692" s="31"/>
      <c r="S692" s="32">
        <f t="shared" si="187"/>
        <v>0</v>
      </c>
      <c r="T692" s="10"/>
      <c r="U692" s="10"/>
      <c r="V692" s="10"/>
      <c r="W692" s="12">
        <f t="shared" si="188"/>
        <v>0</v>
      </c>
      <c r="Y692" s="10">
        <v>21</v>
      </c>
      <c r="Z692" s="30"/>
      <c r="AA692" s="31"/>
      <c r="AB692" s="46"/>
      <c r="AC692" s="31"/>
      <c r="AD692" s="31"/>
      <c r="AE692" s="32">
        <f t="shared" si="189"/>
        <v>0</v>
      </c>
      <c r="AF692" s="10"/>
      <c r="AG692" s="10"/>
      <c r="AH692" s="10"/>
      <c r="AI692" s="12">
        <f t="shared" si="190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57"/>
      <c r="D693" s="32"/>
      <c r="E693" s="32"/>
      <c r="F693" s="32"/>
      <c r="G693" s="32">
        <f t="shared" si="185"/>
        <v>0</v>
      </c>
      <c r="H693" s="10"/>
      <c r="I693" s="10"/>
      <c r="J693" s="10"/>
      <c r="K693" s="12">
        <f t="shared" si="186"/>
        <v>0</v>
      </c>
      <c r="M693" s="10">
        <v>22</v>
      </c>
      <c r="N693" s="30"/>
      <c r="O693" s="31"/>
      <c r="P693" s="45"/>
      <c r="Q693" s="31"/>
      <c r="R693" s="31"/>
      <c r="S693" s="32">
        <f t="shared" si="187"/>
        <v>0</v>
      </c>
      <c r="T693" s="10"/>
      <c r="U693" s="10"/>
      <c r="V693" s="10"/>
      <c r="W693" s="12">
        <f t="shared" si="188"/>
        <v>0</v>
      </c>
      <c r="Y693" s="10">
        <v>22</v>
      </c>
      <c r="Z693" s="30"/>
      <c r="AA693" s="31"/>
      <c r="AB693" s="45"/>
      <c r="AC693" s="31"/>
      <c r="AD693" s="31"/>
      <c r="AE693" s="32">
        <f t="shared" si="189"/>
        <v>0</v>
      </c>
      <c r="AF693" s="10"/>
      <c r="AG693" s="10"/>
      <c r="AH693" s="10"/>
      <c r="AI693" s="12">
        <f t="shared" si="190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83"/>
      <c r="D694" s="32"/>
      <c r="E694" s="32"/>
      <c r="F694" s="32"/>
      <c r="G694" s="32">
        <f t="shared" si="185"/>
        <v>0</v>
      </c>
      <c r="H694" s="10"/>
      <c r="I694" s="10"/>
      <c r="J694" s="12"/>
      <c r="K694" s="12">
        <f t="shared" si="186"/>
        <v>0</v>
      </c>
      <c r="M694" s="10">
        <v>23</v>
      </c>
      <c r="N694" s="30"/>
      <c r="O694" s="31"/>
      <c r="P694" s="47"/>
      <c r="Q694" s="31"/>
      <c r="S694" s="32">
        <f t="shared" si="187"/>
        <v>0</v>
      </c>
      <c r="T694" s="10"/>
      <c r="U694" s="10"/>
      <c r="V694" s="10"/>
      <c r="W694" s="12">
        <f t="shared" si="188"/>
        <v>0</v>
      </c>
      <c r="Y694" s="10">
        <v>23</v>
      </c>
      <c r="Z694" s="30"/>
      <c r="AA694" s="31"/>
      <c r="AB694" s="47"/>
      <c r="AE694" s="32">
        <f t="shared" si="189"/>
        <v>0</v>
      </c>
      <c r="AF694" s="10"/>
      <c r="AG694" s="10"/>
      <c r="AH694" s="10"/>
      <c r="AI694" s="12">
        <f t="shared" si="190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83"/>
      <c r="D695" s="32"/>
      <c r="E695" s="32"/>
      <c r="F695" s="32"/>
      <c r="G695" s="32">
        <f t="shared" si="185"/>
        <v>0</v>
      </c>
      <c r="H695" s="10"/>
      <c r="I695" s="10"/>
      <c r="J695" s="10"/>
      <c r="K695" s="12">
        <f t="shared" si="186"/>
        <v>0</v>
      </c>
      <c r="M695" s="10">
        <v>24</v>
      </c>
      <c r="N695" s="30"/>
      <c r="O695" s="31"/>
      <c r="P695" s="47"/>
      <c r="Q695" s="31"/>
      <c r="R695" s="31"/>
      <c r="S695" s="32">
        <f t="shared" si="187"/>
        <v>0</v>
      </c>
      <c r="T695" s="10"/>
      <c r="U695" s="10"/>
      <c r="V695" s="10"/>
      <c r="W695" s="12">
        <f t="shared" si="188"/>
        <v>0</v>
      </c>
      <c r="Y695" s="10">
        <v>24</v>
      </c>
      <c r="Z695" s="30"/>
      <c r="AA695" s="31"/>
      <c r="AB695" s="47"/>
      <c r="AC695" s="31"/>
      <c r="AD695" s="31"/>
      <c r="AE695" s="32">
        <f t="shared" si="189"/>
        <v>0</v>
      </c>
      <c r="AF695" s="10"/>
      <c r="AG695" s="10"/>
      <c r="AH695" s="10"/>
      <c r="AI695" s="12">
        <f t="shared" si="190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83"/>
      <c r="D696" s="32"/>
      <c r="E696" s="32"/>
      <c r="F696" s="32"/>
      <c r="G696" s="32">
        <f t="shared" si="185"/>
        <v>0</v>
      </c>
      <c r="H696" s="10"/>
      <c r="I696" s="10"/>
      <c r="J696" s="10"/>
      <c r="K696" s="12">
        <f t="shared" si="186"/>
        <v>0</v>
      </c>
      <c r="M696" s="10">
        <v>25</v>
      </c>
      <c r="N696" s="30"/>
      <c r="O696" s="31"/>
      <c r="P696" s="47"/>
      <c r="Q696" s="31"/>
      <c r="R696" s="31"/>
      <c r="S696" s="32">
        <f t="shared" si="187"/>
        <v>0</v>
      </c>
      <c r="T696" s="10"/>
      <c r="U696" s="10"/>
      <c r="V696" s="10"/>
      <c r="W696" s="12">
        <f t="shared" si="188"/>
        <v>0</v>
      </c>
      <c r="Y696" s="10">
        <v>25</v>
      </c>
      <c r="Z696" s="30"/>
      <c r="AA696" s="31"/>
      <c r="AB696" s="47"/>
      <c r="AC696" s="31"/>
      <c r="AD696" s="31"/>
      <c r="AE696" s="32">
        <f t="shared" si="189"/>
        <v>0</v>
      </c>
      <c r="AF696" s="10"/>
      <c r="AG696" s="10"/>
      <c r="AH696" s="10"/>
      <c r="AI696" s="12">
        <f t="shared" si="190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3"/>
      <c r="D697" s="32"/>
      <c r="E697" s="32"/>
      <c r="F697" s="32"/>
      <c r="G697" s="32">
        <f t="shared" si="185"/>
        <v>0</v>
      </c>
      <c r="H697" s="10"/>
      <c r="I697" s="10"/>
      <c r="J697" s="10"/>
      <c r="K697" s="12">
        <f t="shared" si="186"/>
        <v>0</v>
      </c>
      <c r="M697" s="10">
        <v>26</v>
      </c>
      <c r="N697" s="30"/>
      <c r="O697" s="31"/>
      <c r="P697" s="47"/>
      <c r="Q697" s="31"/>
      <c r="R697" s="31"/>
      <c r="S697" s="32">
        <f t="shared" si="187"/>
        <v>0</v>
      </c>
      <c r="T697" s="10"/>
      <c r="U697" s="10"/>
      <c r="V697" s="10"/>
      <c r="W697" s="12">
        <f t="shared" si="188"/>
        <v>0</v>
      </c>
      <c r="Y697" s="10">
        <v>26</v>
      </c>
      <c r="Z697" s="30"/>
      <c r="AB697" s="47"/>
      <c r="AC697" s="31"/>
      <c r="AD697" s="31"/>
      <c r="AE697" s="32">
        <f t="shared" si="189"/>
        <v>0</v>
      </c>
      <c r="AF697" s="10"/>
      <c r="AG697" s="10"/>
      <c r="AH697" s="10"/>
      <c r="AI697" s="12">
        <f t="shared" si="190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3"/>
      <c r="D698" s="32"/>
      <c r="E698" s="32"/>
      <c r="F698" s="32"/>
      <c r="G698" s="32">
        <f t="shared" si="185"/>
        <v>0</v>
      </c>
      <c r="H698" s="10"/>
      <c r="I698" s="10"/>
      <c r="J698" s="10"/>
      <c r="K698" s="12">
        <f t="shared" si="186"/>
        <v>0</v>
      </c>
      <c r="M698" s="10">
        <v>27</v>
      </c>
      <c r="N698" s="30"/>
      <c r="O698" s="31"/>
      <c r="P698" s="47"/>
      <c r="Q698" s="31"/>
      <c r="R698" s="31"/>
      <c r="S698" s="32">
        <f t="shared" si="187"/>
        <v>0</v>
      </c>
      <c r="T698" s="10"/>
      <c r="U698" s="10"/>
      <c r="V698" s="10"/>
      <c r="W698" s="12">
        <f t="shared" si="188"/>
        <v>0</v>
      </c>
      <c r="Y698" s="10">
        <v>27</v>
      </c>
      <c r="Z698" s="30"/>
      <c r="AA698" s="31"/>
      <c r="AB698" s="47"/>
      <c r="AC698" s="31"/>
      <c r="AD698" s="31"/>
      <c r="AE698" s="32">
        <f t="shared" si="189"/>
        <v>0</v>
      </c>
      <c r="AF698" s="10"/>
      <c r="AG698" s="10"/>
      <c r="AH698" s="10"/>
      <c r="AI698" s="12">
        <f t="shared" si="190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3"/>
      <c r="D699" s="32"/>
      <c r="E699" s="32"/>
      <c r="F699" s="32"/>
      <c r="G699" s="32">
        <f t="shared" si="185"/>
        <v>0</v>
      </c>
      <c r="H699" s="10"/>
      <c r="I699" s="10"/>
      <c r="J699" s="10"/>
      <c r="K699" s="12">
        <f t="shared" si="186"/>
        <v>0</v>
      </c>
      <c r="M699" s="10">
        <v>28</v>
      </c>
      <c r="N699" s="30"/>
      <c r="O699" s="31"/>
      <c r="P699" s="47"/>
      <c r="Q699" s="31"/>
      <c r="R699" s="31"/>
      <c r="S699" s="32">
        <f t="shared" si="187"/>
        <v>0</v>
      </c>
      <c r="T699" s="10"/>
      <c r="U699" s="10"/>
      <c r="V699" s="10"/>
      <c r="W699" s="12">
        <f t="shared" si="188"/>
        <v>0</v>
      </c>
      <c r="Y699" s="10">
        <v>28</v>
      </c>
      <c r="Z699" s="30"/>
      <c r="AA699" s="31"/>
      <c r="AB699" s="47"/>
      <c r="AC699" s="31"/>
      <c r="AD699" s="31"/>
      <c r="AE699" s="32">
        <f t="shared" si="189"/>
        <v>0</v>
      </c>
      <c r="AF699" s="10"/>
      <c r="AG699" s="10"/>
      <c r="AH699" s="10"/>
      <c r="AI699" s="12">
        <f t="shared" si="190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3"/>
      <c r="D700" s="32"/>
      <c r="E700" s="32"/>
      <c r="F700" s="32"/>
      <c r="G700" s="32">
        <f t="shared" si="185"/>
        <v>0</v>
      </c>
      <c r="H700" s="10"/>
      <c r="I700" s="10"/>
      <c r="J700" s="10"/>
      <c r="K700" s="12">
        <f t="shared" si="186"/>
        <v>0</v>
      </c>
      <c r="M700" s="10">
        <v>29</v>
      </c>
      <c r="N700" s="30"/>
      <c r="O700" s="31"/>
      <c r="P700" s="47"/>
      <c r="Q700" s="31"/>
      <c r="R700" s="31"/>
      <c r="S700" s="32">
        <f t="shared" si="187"/>
        <v>0</v>
      </c>
      <c r="T700" s="10"/>
      <c r="U700" s="10"/>
      <c r="V700" s="10"/>
      <c r="W700" s="12">
        <f t="shared" si="188"/>
        <v>0</v>
      </c>
      <c r="Y700" s="10">
        <v>29</v>
      </c>
      <c r="Z700" s="30"/>
      <c r="AA700" s="31"/>
      <c r="AB700" s="47"/>
      <c r="AC700" s="31"/>
      <c r="AD700" s="31"/>
      <c r="AE700" s="32">
        <f t="shared" si="189"/>
        <v>0</v>
      </c>
      <c r="AF700" s="10"/>
      <c r="AG700" s="10"/>
      <c r="AH700" s="10"/>
      <c r="AI700" s="12">
        <f t="shared" si="190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3"/>
      <c r="D701" s="32"/>
      <c r="E701" s="32"/>
      <c r="F701" s="32"/>
      <c r="G701" s="32">
        <f t="shared" si="185"/>
        <v>0</v>
      </c>
      <c r="H701" s="10"/>
      <c r="I701" s="10"/>
      <c r="J701" s="10"/>
      <c r="K701" s="12">
        <f t="shared" si="186"/>
        <v>0</v>
      </c>
      <c r="M701" s="10">
        <v>30</v>
      </c>
      <c r="N701" s="30"/>
      <c r="O701" s="31"/>
      <c r="P701" s="47"/>
      <c r="Q701" s="31"/>
      <c r="R701" s="31"/>
      <c r="S701" s="32">
        <f t="shared" si="187"/>
        <v>0</v>
      </c>
      <c r="T701" s="10"/>
      <c r="U701" s="10"/>
      <c r="V701" s="10"/>
      <c r="W701" s="12">
        <f t="shared" si="188"/>
        <v>0</v>
      </c>
      <c r="Y701" s="10">
        <v>30</v>
      </c>
      <c r="Z701" s="30"/>
      <c r="AA701" s="31"/>
      <c r="AB701" s="47"/>
      <c r="AC701" s="31"/>
      <c r="AD701" s="31"/>
      <c r="AE701" s="32">
        <f t="shared" si="189"/>
        <v>0</v>
      </c>
      <c r="AF701" s="10"/>
      <c r="AG701" s="10"/>
      <c r="AH701" s="10"/>
      <c r="AI701" s="12">
        <f t="shared" si="190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83"/>
      <c r="D702" s="32"/>
      <c r="E702" s="32"/>
      <c r="F702" s="32"/>
      <c r="G702" s="32">
        <f t="shared" si="185"/>
        <v>0</v>
      </c>
      <c r="H702" s="10"/>
      <c r="I702" s="10"/>
      <c r="J702" s="10"/>
      <c r="K702" s="12">
        <f t="shared" si="186"/>
        <v>0</v>
      </c>
      <c r="M702" s="10">
        <v>31</v>
      </c>
      <c r="N702" s="30"/>
      <c r="O702" s="31"/>
      <c r="P702" s="47"/>
      <c r="Q702" s="31"/>
      <c r="R702" s="31"/>
      <c r="S702" s="32">
        <f t="shared" si="187"/>
        <v>0</v>
      </c>
      <c r="T702" s="10"/>
      <c r="U702" s="10"/>
      <c r="V702" s="10"/>
      <c r="W702" s="12">
        <f t="shared" si="188"/>
        <v>0</v>
      </c>
      <c r="Y702" s="10">
        <v>31</v>
      </c>
      <c r="Z702" s="30"/>
      <c r="AA702" s="31"/>
      <c r="AB702" s="47"/>
      <c r="AC702" s="31"/>
      <c r="AD702" s="31"/>
      <c r="AE702" s="32">
        <f t="shared" si="189"/>
        <v>0</v>
      </c>
      <c r="AF702" s="10"/>
      <c r="AG702" s="10"/>
      <c r="AH702" s="10"/>
      <c r="AI702" s="12">
        <f t="shared" si="190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3"/>
      <c r="D703" s="32"/>
      <c r="E703" s="32"/>
      <c r="F703" s="32"/>
      <c r="G703" s="32">
        <f t="shared" si="185"/>
        <v>0</v>
      </c>
      <c r="H703" s="10"/>
      <c r="I703" s="10"/>
      <c r="J703" s="10"/>
      <c r="K703" s="12">
        <f t="shared" si="186"/>
        <v>0</v>
      </c>
      <c r="M703" s="10">
        <v>32</v>
      </c>
      <c r="N703" s="30"/>
      <c r="O703" s="31"/>
      <c r="P703" s="47"/>
      <c r="Q703" s="31"/>
      <c r="R703" s="31"/>
      <c r="S703" s="32">
        <f t="shared" si="187"/>
        <v>0</v>
      </c>
      <c r="T703" s="10"/>
      <c r="U703" s="10"/>
      <c r="V703" s="10"/>
      <c r="W703" s="12">
        <f t="shared" si="188"/>
        <v>0</v>
      </c>
      <c r="Y703" s="10">
        <v>32</v>
      </c>
      <c r="Z703" s="30"/>
      <c r="AA703" s="31"/>
      <c r="AB703" s="47"/>
      <c r="AC703" s="31"/>
      <c r="AD703" s="31"/>
      <c r="AE703" s="32">
        <f t="shared" si="189"/>
        <v>0</v>
      </c>
      <c r="AF703" s="10"/>
      <c r="AG703" s="10"/>
      <c r="AH703" s="10"/>
      <c r="AI703" s="12">
        <f t="shared" si="190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3"/>
      <c r="D704" s="32"/>
      <c r="E704" s="32"/>
      <c r="F704" s="32"/>
      <c r="G704" s="32">
        <f t="shared" si="185"/>
        <v>0</v>
      </c>
      <c r="H704" s="10"/>
      <c r="I704" s="10"/>
      <c r="J704" s="10"/>
      <c r="K704" s="12">
        <f t="shared" si="186"/>
        <v>0</v>
      </c>
      <c r="M704" s="10">
        <v>33</v>
      </c>
      <c r="N704" s="30"/>
      <c r="O704" s="31"/>
      <c r="P704" s="47"/>
      <c r="Q704" s="31"/>
      <c r="R704" s="31"/>
      <c r="S704" s="32">
        <f t="shared" si="187"/>
        <v>0</v>
      </c>
      <c r="T704" s="10"/>
      <c r="U704" s="10"/>
      <c r="V704" s="10"/>
      <c r="W704" s="12">
        <f t="shared" si="188"/>
        <v>0</v>
      </c>
      <c r="Y704" s="10">
        <v>33</v>
      </c>
      <c r="Z704" s="30"/>
      <c r="AA704" s="31"/>
      <c r="AB704" s="47"/>
      <c r="AC704" s="31"/>
      <c r="AD704" s="31"/>
      <c r="AE704" s="32">
        <f t="shared" si="189"/>
        <v>0</v>
      </c>
      <c r="AF704" s="10"/>
      <c r="AG704" s="10"/>
      <c r="AH704" s="10"/>
      <c r="AI704" s="12">
        <f t="shared" si="190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3"/>
      <c r="D705" s="32"/>
      <c r="E705" s="32"/>
      <c r="F705" s="32"/>
      <c r="G705" s="32">
        <f t="shared" si="185"/>
        <v>0</v>
      </c>
      <c r="H705" s="10"/>
      <c r="I705" s="10"/>
      <c r="J705" s="10"/>
      <c r="K705" s="12">
        <f t="shared" si="186"/>
        <v>0</v>
      </c>
      <c r="M705" s="10">
        <v>34</v>
      </c>
      <c r="N705" s="30"/>
      <c r="O705" s="31"/>
      <c r="P705" s="47"/>
      <c r="Q705" s="31"/>
      <c r="R705" s="31"/>
      <c r="S705" s="32">
        <f t="shared" si="187"/>
        <v>0</v>
      </c>
      <c r="T705" s="10"/>
      <c r="U705" s="10"/>
      <c r="V705" s="10"/>
      <c r="W705" s="12">
        <f t="shared" si="188"/>
        <v>0</v>
      </c>
      <c r="Y705" s="10">
        <v>34</v>
      </c>
      <c r="Z705" s="30"/>
      <c r="AA705" s="31"/>
      <c r="AB705" s="47"/>
      <c r="AC705" s="31"/>
      <c r="AD705" s="31"/>
      <c r="AE705" s="32">
        <f t="shared" si="189"/>
        <v>0</v>
      </c>
      <c r="AF705" s="10"/>
      <c r="AG705" s="10"/>
      <c r="AH705" s="10"/>
      <c r="AI705" s="12">
        <f t="shared" si="190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3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P706" s="47"/>
      <c r="Q706" s="31"/>
      <c r="R706" s="31"/>
      <c r="S706" s="32">
        <f t="shared" si="187"/>
        <v>0</v>
      </c>
      <c r="T706" s="10"/>
      <c r="U706" s="10"/>
      <c r="V706" s="10"/>
      <c r="W706" s="12">
        <f t="shared" si="188"/>
        <v>0</v>
      </c>
      <c r="Y706" s="10">
        <v>35</v>
      </c>
      <c r="Z706" s="30"/>
      <c r="AA706" s="31"/>
      <c r="AB706" s="47"/>
      <c r="AC706" s="31"/>
      <c r="AD706" s="31"/>
      <c r="AE706" s="32">
        <f t="shared" si="189"/>
        <v>0</v>
      </c>
      <c r="AF706" s="10"/>
      <c r="AG706" s="10"/>
      <c r="AH706" s="10"/>
      <c r="AI706" s="12">
        <f t="shared" si="190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3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187"/>
        <v>0</v>
      </c>
      <c r="T707" s="10"/>
      <c r="U707" s="10"/>
      <c r="V707" s="10"/>
      <c r="W707" s="12">
        <f t="shared" si="188"/>
        <v>0</v>
      </c>
      <c r="Y707" s="10">
        <v>36</v>
      </c>
      <c r="Z707" s="30"/>
      <c r="AA707" s="31"/>
      <c r="AB707" s="47"/>
      <c r="AC707" s="31"/>
      <c r="AD707" s="31"/>
      <c r="AE707" s="32">
        <f t="shared" si="189"/>
        <v>0</v>
      </c>
      <c r="AF707" s="10"/>
      <c r="AG707" s="10"/>
      <c r="AH707" s="10"/>
      <c r="AI707" s="12">
        <f t="shared" si="190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O708" s="31"/>
      <c r="P708" s="47"/>
      <c r="Q708" s="31"/>
      <c r="R708" s="31"/>
      <c r="S708" s="32">
        <f t="shared" si="187"/>
        <v>0</v>
      </c>
      <c r="T708" s="10"/>
      <c r="U708" s="10"/>
      <c r="V708" s="10"/>
      <c r="W708" s="12">
        <f t="shared" si="188"/>
        <v>0</v>
      </c>
      <c r="Y708" s="10">
        <v>37</v>
      </c>
      <c r="Z708" s="30"/>
      <c r="AA708" s="31"/>
      <c r="AB708" s="47"/>
      <c r="AC708" s="31"/>
      <c r="AD708" s="31"/>
      <c r="AE708" s="32">
        <f t="shared" si="189"/>
        <v>0</v>
      </c>
      <c r="AF708" s="10"/>
      <c r="AG708" s="10"/>
      <c r="AH708" s="10"/>
      <c r="AI708" s="12">
        <f t="shared" si="190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187"/>
        <v>0</v>
      </c>
      <c r="T709" s="10"/>
      <c r="U709" s="10"/>
      <c r="V709" s="10"/>
      <c r="W709" s="12">
        <f t="shared" si="188"/>
        <v>0</v>
      </c>
      <c r="Y709" s="10">
        <v>38</v>
      </c>
      <c r="Z709" s="30"/>
      <c r="AA709" s="31"/>
      <c r="AB709" s="47"/>
      <c r="AC709" s="31"/>
      <c r="AD709" s="31"/>
      <c r="AE709" s="32">
        <f t="shared" si="189"/>
        <v>0</v>
      </c>
      <c r="AF709" s="10"/>
      <c r="AG709" s="10"/>
      <c r="AH709" s="10"/>
      <c r="AI709" s="12">
        <f t="shared" si="190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187"/>
        <v>0</v>
      </c>
      <c r="T710" s="10"/>
      <c r="U710" s="10"/>
      <c r="V710" s="10"/>
      <c r="W710" s="12">
        <f t="shared" si="188"/>
        <v>0</v>
      </c>
      <c r="Y710" s="10">
        <v>39</v>
      </c>
      <c r="Z710" s="30"/>
      <c r="AA710" s="31"/>
      <c r="AB710" s="47"/>
      <c r="AC710" s="31"/>
      <c r="AD710" s="31"/>
      <c r="AE710" s="32">
        <f t="shared" si="189"/>
        <v>0</v>
      </c>
      <c r="AF710" s="10"/>
      <c r="AG710" s="10"/>
      <c r="AH710" s="10"/>
      <c r="AI710" s="12">
        <f t="shared" si="190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88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190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194">SUM(D712:E712)</f>
        <v>0</v>
      </c>
      <c r="H712" s="10"/>
      <c r="I712" s="10"/>
      <c r="J712" s="10"/>
      <c r="K712" s="12">
        <f t="shared" ref="K712" si="195">SUM(G712:J712)</f>
        <v>0</v>
      </c>
      <c r="M712" s="10"/>
      <c r="N712" s="30"/>
      <c r="O712" s="31"/>
      <c r="P712" s="47"/>
      <c r="Q712" s="31"/>
      <c r="R712" s="31"/>
      <c r="S712" s="32">
        <f t="shared" ref="S712" si="196">SUM(P712:Q712)</f>
        <v>0</v>
      </c>
      <c r="T712" s="10"/>
      <c r="U712" s="10"/>
      <c r="V712" s="10"/>
      <c r="W712" s="12">
        <f t="shared" si="188"/>
        <v>0</v>
      </c>
      <c r="Y712" s="10"/>
      <c r="Z712" s="30"/>
      <c r="AA712" s="31"/>
      <c r="AB712" s="47"/>
      <c r="AC712" s="31"/>
      <c r="AD712" s="31"/>
      <c r="AE712" s="32">
        <f t="shared" ref="AE712" si="197">SUM(AB712:AC712)</f>
        <v>0</v>
      </c>
      <c r="AF712" s="10"/>
      <c r="AG712" s="10"/>
      <c r="AH712" s="10"/>
      <c r="AI712" s="12">
        <f t="shared" si="190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88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190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678087</v>
      </c>
      <c r="E715" s="38">
        <f t="shared" ref="E715:F715" si="198">SUM(E672:E712)</f>
        <v>-5466</v>
      </c>
      <c r="F715" s="38">
        <f t="shared" si="198"/>
        <v>0</v>
      </c>
      <c r="G715" s="38">
        <f>SUM(G672:G714)</f>
        <v>672621</v>
      </c>
      <c r="H715" s="4"/>
      <c r="I715" s="39">
        <f>SUM(I672:I714)</f>
        <v>25746</v>
      </c>
      <c r="J715" s="39">
        <f>SUM(J672:J714)</f>
        <v>-16860</v>
      </c>
      <c r="K715" s="40">
        <f>SUM(K672:K714)</f>
        <v>681507</v>
      </c>
      <c r="N715" s="57"/>
      <c r="O715" s="57"/>
      <c r="P715" s="38">
        <f>SUM(P672:P714)</f>
        <v>278235</v>
      </c>
      <c r="Q715" s="38">
        <f>SUM(Q672:Q696)</f>
        <v>-2496</v>
      </c>
      <c r="R715" s="38">
        <f>SUM(R672:R696)</f>
        <v>0</v>
      </c>
      <c r="S715" s="38">
        <f>SUM(S672:S714)</f>
        <v>275739</v>
      </c>
      <c r="T715" s="4"/>
      <c r="U715" s="41">
        <f>SUM(U672:U714)</f>
        <v>5751</v>
      </c>
      <c r="V715" s="41">
        <f>SUM(V672:V696)</f>
        <v>-17091</v>
      </c>
      <c r="W715" s="42">
        <f>SUM(W672:W714)</f>
        <v>264399</v>
      </c>
      <c r="Z715" s="57"/>
      <c r="AA715" s="57"/>
      <c r="AB715" s="38">
        <f>SUM(AB672:AB714)</f>
        <v>451797</v>
      </c>
      <c r="AC715" s="38">
        <f>SUM(AC672:AC696)</f>
        <v>0</v>
      </c>
      <c r="AD715" s="38">
        <f>SUM(AD672:AD696)</f>
        <v>0</v>
      </c>
      <c r="AE715" s="38">
        <f>SUM(AE672:AE714)</f>
        <v>451797</v>
      </c>
      <c r="AF715" s="4"/>
      <c r="AG715" s="41">
        <f>SUM(AG672:AG714)</f>
        <v>0</v>
      </c>
      <c r="AH715" s="41">
        <f>SUM(AH672:AH696)</f>
        <v>-41337</v>
      </c>
      <c r="AI715" s="42">
        <f>SUM(AI672:AI714)</f>
        <v>410460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44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44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44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74</v>
      </c>
      <c r="B723" s="20"/>
      <c r="C723" s="57"/>
      <c r="D723" s="57"/>
      <c r="E723" s="57"/>
      <c r="G723" s="57"/>
      <c r="I723" s="22" t="s">
        <v>16</v>
      </c>
      <c r="J723" s="23" t="s">
        <v>31</v>
      </c>
      <c r="K723" s="24"/>
      <c r="M723" s="21" t="s">
        <v>74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33</v>
      </c>
      <c r="W723" s="24"/>
      <c r="Y723" s="21" t="s">
        <v>74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35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16" t="s">
        <v>17</v>
      </c>
      <c r="E725" s="116"/>
      <c r="F725" s="105"/>
      <c r="G725" s="27"/>
      <c r="I725" s="117" t="s">
        <v>18</v>
      </c>
      <c r="J725" s="118"/>
      <c r="K725" s="112" t="s">
        <v>19</v>
      </c>
      <c r="N725" s="25"/>
      <c r="O725" s="26"/>
      <c r="P725" s="116" t="s">
        <v>17</v>
      </c>
      <c r="Q725" s="116"/>
      <c r="R725" s="105"/>
      <c r="S725" s="27"/>
      <c r="U725" s="117" t="s">
        <v>18</v>
      </c>
      <c r="V725" s="118"/>
      <c r="W725" s="112" t="s">
        <v>19</v>
      </c>
      <c r="Z725" s="25"/>
      <c r="AA725" s="26"/>
      <c r="AB725" s="116" t="s">
        <v>17</v>
      </c>
      <c r="AC725" s="116"/>
      <c r="AD725" s="105"/>
      <c r="AE725" s="27"/>
      <c r="AG725" s="117" t="s">
        <v>18</v>
      </c>
      <c r="AH725" s="118"/>
      <c r="AI725" s="112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7" t="s">
        <v>22</v>
      </c>
      <c r="E726" s="76" t="s">
        <v>23</v>
      </c>
      <c r="F726" s="78" t="s">
        <v>32</v>
      </c>
      <c r="G726" s="78" t="s">
        <v>24</v>
      </c>
      <c r="I726" s="29" t="s">
        <v>25</v>
      </c>
      <c r="J726" s="29" t="s">
        <v>26</v>
      </c>
      <c r="K726" s="113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32</v>
      </c>
      <c r="S726" s="78" t="s">
        <v>24</v>
      </c>
      <c r="U726" s="29" t="s">
        <v>25</v>
      </c>
      <c r="V726" s="29" t="s">
        <v>26</v>
      </c>
      <c r="W726" s="113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32</v>
      </c>
      <c r="AE726" s="78" t="s">
        <v>24</v>
      </c>
      <c r="AG726" s="29" t="s">
        <v>25</v>
      </c>
      <c r="AH726" s="29" t="s">
        <v>26</v>
      </c>
      <c r="AI726" s="113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75</v>
      </c>
      <c r="C727" s="83">
        <v>9585</v>
      </c>
      <c r="D727" s="32">
        <f>650*300+20*670+973*10+700*10+912*10+1050*40+872*25+500*5+500*10</f>
        <v>305550</v>
      </c>
      <c r="E727" s="32"/>
      <c r="F727" s="32"/>
      <c r="G727" s="32">
        <f t="shared" ref="G727:G760" si="199">SUM(D727:E727)</f>
        <v>305550</v>
      </c>
      <c r="H727" s="12"/>
      <c r="I727" s="12">
        <f>13440+36630</f>
        <v>50070</v>
      </c>
      <c r="J727" s="12">
        <f>-120+-2886+-27048</f>
        <v>-30054</v>
      </c>
      <c r="K727" s="12">
        <f t="shared" ref="K727:K760" si="200">SUM(G727:J727)</f>
        <v>325566</v>
      </c>
      <c r="M727" s="10">
        <v>1</v>
      </c>
      <c r="N727" s="30" t="s">
        <v>75</v>
      </c>
      <c r="O727" s="31">
        <v>9713</v>
      </c>
      <c r="P727" s="32">
        <f>650*324+229*13</f>
        <v>213577</v>
      </c>
      <c r="Q727" s="32">
        <f>-324*6</f>
        <v>-1944</v>
      </c>
      <c r="R727" s="32"/>
      <c r="S727" s="32">
        <f>SUM(P727:Q727)</f>
        <v>211633</v>
      </c>
      <c r="T727" s="12"/>
      <c r="U727" s="12">
        <v>780</v>
      </c>
      <c r="V727" s="12">
        <v>-420</v>
      </c>
      <c r="W727" s="12">
        <f>SUM(S727:V727)</f>
        <v>211993</v>
      </c>
      <c r="Y727" s="10">
        <v>1</v>
      </c>
      <c r="Z727" s="30" t="s">
        <v>75</v>
      </c>
      <c r="AA727" s="31">
        <v>9662</v>
      </c>
      <c r="AB727" s="32">
        <f>650*2</f>
        <v>1300</v>
      </c>
      <c r="AC727" s="32"/>
      <c r="AD727" s="32"/>
      <c r="AE727" s="32">
        <f>SUM(AB727:AC727)</f>
        <v>1300</v>
      </c>
      <c r="AF727" s="12"/>
      <c r="AG727" s="12"/>
      <c r="AH727" s="12"/>
      <c r="AI727" s="12">
        <f>SUM(AE727:AH727)</f>
        <v>1300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75</v>
      </c>
      <c r="C728" s="83">
        <f>C727+1</f>
        <v>9586</v>
      </c>
      <c r="D728" s="32">
        <f>1582+1582+1582+1950+1175*5+872*10+1582+650*5</f>
        <v>26123</v>
      </c>
      <c r="E728" s="32"/>
      <c r="F728" s="32"/>
      <c r="G728" s="32">
        <f t="shared" si="199"/>
        <v>26123</v>
      </c>
      <c r="H728" s="12"/>
      <c r="I728" s="12"/>
      <c r="J728" s="12"/>
      <c r="K728" s="12">
        <f t="shared" si="200"/>
        <v>26123</v>
      </c>
      <c r="M728" s="10">
        <v>2</v>
      </c>
      <c r="N728" s="30" t="s">
        <v>75</v>
      </c>
      <c r="O728" s="31">
        <f>O727+1</f>
        <v>9714</v>
      </c>
      <c r="P728" s="32">
        <f>650*44+622*5+229</f>
        <v>31939</v>
      </c>
      <c r="Q728" s="32"/>
      <c r="R728" s="32"/>
      <c r="S728" s="32">
        <f t="shared" ref="S728:S765" si="201">SUM(P728:Q728)</f>
        <v>31939</v>
      </c>
      <c r="T728" s="12"/>
      <c r="U728" s="12">
        <f>36+81</f>
        <v>117</v>
      </c>
      <c r="V728" s="12"/>
      <c r="W728" s="12">
        <f t="shared" ref="W728:W768" si="202">SUM(S728:V728)</f>
        <v>32056</v>
      </c>
      <c r="Y728" s="10">
        <v>2</v>
      </c>
      <c r="Z728" s="30" t="s">
        <v>75</v>
      </c>
      <c r="AA728" s="31">
        <f>AA727+1</f>
        <v>9663</v>
      </c>
      <c r="AB728" s="32">
        <f>650*3+9.5*3</f>
        <v>1978.5</v>
      </c>
      <c r="AC728" s="32"/>
      <c r="AD728" s="32"/>
      <c r="AE728" s="32">
        <f t="shared" ref="AE728:AE765" si="203">SUM(AB728:AC728)</f>
        <v>1978.5</v>
      </c>
      <c r="AF728" s="12"/>
      <c r="AG728" s="12"/>
      <c r="AH728" s="12"/>
      <c r="AI728" s="12">
        <f t="shared" ref="AI728:AI768" si="204">SUM(AE728:AH728)</f>
        <v>1978.5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75</v>
      </c>
      <c r="C729" s="83">
        <f t="shared" ref="C729" si="205">C728+1</f>
        <v>9587</v>
      </c>
      <c r="D729" s="33">
        <f>650*14+670+973*2+622*7+229</f>
        <v>16299</v>
      </c>
      <c r="E729" s="33"/>
      <c r="F729" s="33"/>
      <c r="G729" s="33">
        <f t="shared" si="199"/>
        <v>16299</v>
      </c>
      <c r="H729" s="34"/>
      <c r="I729" s="34"/>
      <c r="J729" s="34">
        <f>-1887+-11844</f>
        <v>-13731</v>
      </c>
      <c r="K729" s="34">
        <f t="shared" si="200"/>
        <v>2568</v>
      </c>
      <c r="M729" s="10">
        <v>3</v>
      </c>
      <c r="N729" s="30" t="s">
        <v>75</v>
      </c>
      <c r="O729" s="31">
        <f t="shared" ref="O729:O731" si="206">O728+1</f>
        <v>9715</v>
      </c>
      <c r="P729" s="32">
        <f>650*17+622*2+9.5*5</f>
        <v>12341.5</v>
      </c>
      <c r="Q729" s="32"/>
      <c r="R729" s="32"/>
      <c r="S729" s="32">
        <f t="shared" si="201"/>
        <v>12341.5</v>
      </c>
      <c r="T729" s="12"/>
      <c r="U729" s="12"/>
      <c r="V729" s="12"/>
      <c r="W729" s="12">
        <f t="shared" si="202"/>
        <v>12341.5</v>
      </c>
      <c r="Y729" s="10">
        <v>3</v>
      </c>
      <c r="Z729" s="30" t="s">
        <v>75</v>
      </c>
      <c r="AA729" s="31">
        <f t="shared" ref="AA729:AA742" si="207">AA728+1</f>
        <v>9664</v>
      </c>
      <c r="AB729" s="33">
        <f>650*8+622*7+229</f>
        <v>9783</v>
      </c>
      <c r="AC729" s="33"/>
      <c r="AD729" s="32"/>
      <c r="AE729" s="32">
        <f t="shared" si="203"/>
        <v>9783</v>
      </c>
      <c r="AF729" s="12"/>
      <c r="AG729" s="12"/>
      <c r="AH729" s="12"/>
      <c r="AI729" s="12">
        <f t="shared" si="204"/>
        <v>9783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/>
      <c r="C730" s="11" t="s">
        <v>27</v>
      </c>
      <c r="D730" s="32"/>
      <c r="E730" s="32"/>
      <c r="F730" s="32"/>
      <c r="G730" s="32">
        <f t="shared" si="199"/>
        <v>0</v>
      </c>
      <c r="H730" s="12"/>
      <c r="I730" s="12"/>
      <c r="J730" s="12"/>
      <c r="K730" s="12">
        <f t="shared" si="200"/>
        <v>0</v>
      </c>
      <c r="M730" s="10">
        <v>4</v>
      </c>
      <c r="N730" s="30" t="s">
        <v>75</v>
      </c>
      <c r="O730" s="31">
        <f t="shared" si="206"/>
        <v>9716</v>
      </c>
      <c r="P730" s="32">
        <f>670+973+500</f>
        <v>2143</v>
      </c>
      <c r="Q730" s="32"/>
      <c r="R730" s="32"/>
      <c r="S730" s="32">
        <f t="shared" si="201"/>
        <v>2143</v>
      </c>
      <c r="T730" s="12"/>
      <c r="U730" s="12"/>
      <c r="V730" s="12"/>
      <c r="W730" s="12">
        <f t="shared" si="202"/>
        <v>2143</v>
      </c>
      <c r="Y730" s="10">
        <v>4</v>
      </c>
      <c r="Z730" s="30" t="s">
        <v>75</v>
      </c>
      <c r="AA730" s="31">
        <f t="shared" si="207"/>
        <v>9665</v>
      </c>
      <c r="AB730" s="32">
        <f>650*15+622*5+229</f>
        <v>13089</v>
      </c>
      <c r="AC730" s="32"/>
      <c r="AD730" s="32"/>
      <c r="AE730" s="32">
        <f t="shared" si="203"/>
        <v>13089</v>
      </c>
      <c r="AF730" s="12"/>
      <c r="AG730" s="58">
        <v>20.25</v>
      </c>
      <c r="AH730" s="12"/>
      <c r="AI730" s="12">
        <f t="shared" si="204"/>
        <v>13109.25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/>
      <c r="C731" s="83"/>
      <c r="D731" s="32"/>
      <c r="E731" s="32"/>
      <c r="F731" s="32"/>
      <c r="G731" s="32">
        <f t="shared" si="199"/>
        <v>0</v>
      </c>
      <c r="H731" s="12"/>
      <c r="I731" s="12"/>
      <c r="J731" s="12"/>
      <c r="K731" s="12">
        <f t="shared" si="200"/>
        <v>0</v>
      </c>
      <c r="M731" s="10">
        <v>5</v>
      </c>
      <c r="N731" s="30" t="s">
        <v>75</v>
      </c>
      <c r="O731" s="31">
        <f t="shared" si="206"/>
        <v>9717</v>
      </c>
      <c r="P731" s="32">
        <f>650*3+912+1050</f>
        <v>3912</v>
      </c>
      <c r="Q731" s="32"/>
      <c r="R731" s="32"/>
      <c r="S731" s="32">
        <f t="shared" si="201"/>
        <v>3912</v>
      </c>
      <c r="T731" s="12"/>
      <c r="U731" s="12"/>
      <c r="V731" s="12"/>
      <c r="W731" s="12">
        <f t="shared" si="202"/>
        <v>3912</v>
      </c>
      <c r="Y731" s="10">
        <v>5</v>
      </c>
      <c r="Z731" s="30" t="s">
        <v>75</v>
      </c>
      <c r="AA731" s="31">
        <f t="shared" si="207"/>
        <v>9666</v>
      </c>
      <c r="AB731" s="32">
        <f>650*9+622*2+9.5*11</f>
        <v>7198.5</v>
      </c>
      <c r="AC731" s="32"/>
      <c r="AD731" s="32"/>
      <c r="AE731" s="32">
        <f t="shared" si="203"/>
        <v>7198.5</v>
      </c>
      <c r="AF731" s="12"/>
      <c r="AG731" s="12">
        <v>4.5</v>
      </c>
      <c r="AH731" s="12"/>
      <c r="AI731" s="12">
        <f t="shared" si="204"/>
        <v>7203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/>
      <c r="C732" s="83"/>
      <c r="D732" s="32"/>
      <c r="E732" s="32"/>
      <c r="F732" s="32"/>
      <c r="G732" s="32">
        <f t="shared" si="199"/>
        <v>0</v>
      </c>
      <c r="H732" s="12"/>
      <c r="I732" s="12"/>
      <c r="J732" s="12"/>
      <c r="K732" s="12">
        <f t="shared" si="200"/>
        <v>0</v>
      </c>
      <c r="M732" s="10">
        <v>6</v>
      </c>
      <c r="N732" s="30"/>
      <c r="O732" s="11" t="s">
        <v>27</v>
      </c>
      <c r="P732" s="32"/>
      <c r="Q732" s="32"/>
      <c r="R732" s="32"/>
      <c r="S732" s="32">
        <f t="shared" si="201"/>
        <v>0</v>
      </c>
      <c r="T732" s="12"/>
      <c r="U732" s="12"/>
      <c r="V732" s="10"/>
      <c r="W732" s="12">
        <f t="shared" si="202"/>
        <v>0</v>
      </c>
      <c r="Y732" s="10">
        <v>6</v>
      </c>
      <c r="Z732" s="30" t="s">
        <v>75</v>
      </c>
      <c r="AA732" s="31">
        <f t="shared" si="207"/>
        <v>9667</v>
      </c>
      <c r="AB732" s="32">
        <f>650*25+622*10+229</f>
        <v>22699</v>
      </c>
      <c r="AC732" s="32"/>
      <c r="AD732" s="32"/>
      <c r="AE732" s="32">
        <f t="shared" si="203"/>
        <v>22699</v>
      </c>
      <c r="AF732" s="12"/>
      <c r="AG732" s="12"/>
      <c r="AH732" s="10">
        <v>-163.5</v>
      </c>
      <c r="AI732" s="12">
        <f t="shared" si="204"/>
        <v>22535.5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/>
      <c r="C733" s="83"/>
      <c r="D733" s="32"/>
      <c r="E733" s="32"/>
      <c r="F733" s="32"/>
      <c r="G733" s="32">
        <f t="shared" si="199"/>
        <v>0</v>
      </c>
      <c r="H733" s="12"/>
      <c r="I733" s="12"/>
      <c r="J733" s="12"/>
      <c r="K733" s="12">
        <f t="shared" si="200"/>
        <v>0</v>
      </c>
      <c r="M733" s="10">
        <v>7</v>
      </c>
      <c r="N733" s="30"/>
      <c r="O733" s="31"/>
      <c r="P733" s="32"/>
      <c r="Q733" s="32"/>
      <c r="R733" s="32"/>
      <c r="S733" s="32">
        <f t="shared" si="201"/>
        <v>0</v>
      </c>
      <c r="T733" s="12"/>
      <c r="U733" s="12"/>
      <c r="V733" s="12"/>
      <c r="W733" s="12">
        <f t="shared" si="202"/>
        <v>0</v>
      </c>
      <c r="Y733" s="10">
        <v>7</v>
      </c>
      <c r="Z733" s="30" t="s">
        <v>75</v>
      </c>
      <c r="AA733" s="31">
        <f t="shared" si="207"/>
        <v>9668</v>
      </c>
      <c r="AB733" s="32">
        <f>650*2+9.5*2</f>
        <v>1319</v>
      </c>
      <c r="AC733" s="32"/>
      <c r="AD733" s="32"/>
      <c r="AE733" s="32">
        <f t="shared" si="203"/>
        <v>1319</v>
      </c>
      <c r="AF733" s="12"/>
      <c r="AG733" s="58"/>
      <c r="AH733" s="12"/>
      <c r="AI733" s="12">
        <f t="shared" si="204"/>
        <v>1319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/>
      <c r="C734" s="83"/>
      <c r="D734" s="32"/>
      <c r="E734" s="32"/>
      <c r="F734" s="32"/>
      <c r="G734" s="32">
        <f t="shared" si="199"/>
        <v>0</v>
      </c>
      <c r="H734" s="12"/>
      <c r="I734" s="12"/>
      <c r="J734" s="12"/>
      <c r="K734" s="12">
        <f t="shared" si="200"/>
        <v>0</v>
      </c>
      <c r="M734" s="10">
        <v>8</v>
      </c>
      <c r="N734" s="30"/>
      <c r="O734" s="31"/>
      <c r="P734" s="32"/>
      <c r="Q734" s="32"/>
      <c r="R734" s="32"/>
      <c r="S734" s="32">
        <f t="shared" si="201"/>
        <v>0</v>
      </c>
      <c r="T734" s="12"/>
      <c r="U734" s="12"/>
      <c r="V734" s="12"/>
      <c r="W734" s="12">
        <f t="shared" si="202"/>
        <v>0</v>
      </c>
      <c r="Y734" s="10">
        <v>8</v>
      </c>
      <c r="Z734" s="30" t="s">
        <v>75</v>
      </c>
      <c r="AA734" s="31">
        <f t="shared" si="207"/>
        <v>9669</v>
      </c>
      <c r="AB734" s="32">
        <f>650*10+9.5*10</f>
        <v>6595</v>
      </c>
      <c r="AC734" s="32"/>
      <c r="AE734" s="32">
        <f t="shared" si="203"/>
        <v>6595</v>
      </c>
      <c r="AF734" s="12"/>
      <c r="AG734" s="12"/>
      <c r="AH734" s="12"/>
      <c r="AI734" s="12">
        <f t="shared" si="204"/>
        <v>6595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/>
      <c r="C735" s="83"/>
      <c r="D735" s="32"/>
      <c r="E735" s="32"/>
      <c r="F735" s="32"/>
      <c r="G735" s="32">
        <f t="shared" si="199"/>
        <v>0</v>
      </c>
      <c r="H735" s="12"/>
      <c r="I735" s="12"/>
      <c r="J735" s="12"/>
      <c r="K735" s="12">
        <f t="shared" si="200"/>
        <v>0</v>
      </c>
      <c r="M735" s="10">
        <v>9</v>
      </c>
      <c r="N735" s="30"/>
      <c r="O735" s="31"/>
      <c r="P735" s="32"/>
      <c r="Q735" s="32"/>
      <c r="R735" s="32"/>
      <c r="S735" s="32">
        <f t="shared" si="201"/>
        <v>0</v>
      </c>
      <c r="T735" s="12"/>
      <c r="U735" s="12"/>
      <c r="V735" s="12"/>
      <c r="W735" s="12">
        <f t="shared" si="202"/>
        <v>0</v>
      </c>
      <c r="Y735" s="10">
        <v>9</v>
      </c>
      <c r="Z735" s="30" t="s">
        <v>75</v>
      </c>
      <c r="AA735" s="31">
        <f t="shared" si="207"/>
        <v>9670</v>
      </c>
      <c r="AB735" s="32">
        <f>75*650+622*25+229</f>
        <v>64529</v>
      </c>
      <c r="AC735" s="32">
        <f>-100*6</f>
        <v>-600</v>
      </c>
      <c r="AD735" s="32"/>
      <c r="AE735" s="32">
        <f t="shared" si="203"/>
        <v>63929</v>
      </c>
      <c r="AF735" s="12"/>
      <c r="AG735">
        <f>111*30+78</f>
        <v>3408</v>
      </c>
      <c r="AH735" s="12"/>
      <c r="AI735" s="12">
        <f t="shared" si="204"/>
        <v>67337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/>
      <c r="C736" s="83"/>
      <c r="D736" s="32"/>
      <c r="E736" s="32"/>
      <c r="F736" s="32"/>
      <c r="G736" s="32">
        <f t="shared" si="199"/>
        <v>0</v>
      </c>
      <c r="H736" s="12"/>
      <c r="I736" s="12"/>
      <c r="J736" s="12"/>
      <c r="K736" s="12">
        <f t="shared" si="200"/>
        <v>0</v>
      </c>
      <c r="M736" s="10">
        <v>10</v>
      </c>
      <c r="N736" s="30"/>
      <c r="O736" s="31"/>
      <c r="P736" s="32"/>
      <c r="Q736" s="32"/>
      <c r="R736" s="32"/>
      <c r="S736" s="32">
        <f t="shared" si="201"/>
        <v>0</v>
      </c>
      <c r="T736" s="12"/>
      <c r="U736" s="12"/>
      <c r="V736" s="12"/>
      <c r="W736" s="12">
        <f t="shared" si="202"/>
        <v>0</v>
      </c>
      <c r="Y736" s="10">
        <v>10</v>
      </c>
      <c r="Z736" s="30" t="s">
        <v>75</v>
      </c>
      <c r="AA736" s="31">
        <f t="shared" si="207"/>
        <v>9671</v>
      </c>
      <c r="AB736" s="32">
        <f>650*7+9.5*12</f>
        <v>4664</v>
      </c>
      <c r="AC736" s="32"/>
      <c r="AD736" s="32"/>
      <c r="AE736" s="32">
        <f t="shared" si="203"/>
        <v>4664</v>
      </c>
      <c r="AF736" s="12"/>
      <c r="AG736" s="12"/>
      <c r="AH736" s="12"/>
      <c r="AI736" s="12">
        <f t="shared" si="204"/>
        <v>4664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/>
      <c r="C737" s="83"/>
      <c r="D737" s="32"/>
      <c r="E737" s="32"/>
      <c r="F737" s="32"/>
      <c r="G737" s="32">
        <f t="shared" si="199"/>
        <v>0</v>
      </c>
      <c r="H737" s="12"/>
      <c r="I737" s="12"/>
      <c r="J737" s="12"/>
      <c r="K737" s="12">
        <f t="shared" si="200"/>
        <v>0</v>
      </c>
      <c r="M737" s="10">
        <v>11</v>
      </c>
      <c r="N737" s="30"/>
      <c r="P737" s="32"/>
      <c r="Q737" s="32"/>
      <c r="R737" s="32"/>
      <c r="S737" s="32">
        <f t="shared" si="201"/>
        <v>0</v>
      </c>
      <c r="T737" s="12"/>
      <c r="U737" s="12"/>
      <c r="V737" s="12"/>
      <c r="W737" s="12">
        <f t="shared" si="202"/>
        <v>0</v>
      </c>
      <c r="Y737" s="10">
        <v>11</v>
      </c>
      <c r="Z737" s="30" t="s">
        <v>75</v>
      </c>
      <c r="AA737" s="31">
        <f t="shared" si="207"/>
        <v>9672</v>
      </c>
      <c r="AB737" s="32">
        <f>650*80+622*20+872+229*4</f>
        <v>66228</v>
      </c>
      <c r="AC737" s="32">
        <f>-101*6</f>
        <v>-606</v>
      </c>
      <c r="AD737" s="32"/>
      <c r="AE737" s="32">
        <f t="shared" si="203"/>
        <v>65622</v>
      </c>
      <c r="AF737" s="12"/>
      <c r="AG737" s="12"/>
      <c r="AH737" s="12"/>
      <c r="AI737" s="12">
        <f t="shared" si="204"/>
        <v>65622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/>
      <c r="C738" s="83"/>
      <c r="D738" s="32"/>
      <c r="E738" s="32"/>
      <c r="F738" s="32"/>
      <c r="G738" s="32">
        <f t="shared" si="199"/>
        <v>0</v>
      </c>
      <c r="H738" s="12"/>
      <c r="I738" s="12"/>
      <c r="J738" s="10"/>
      <c r="K738" s="12">
        <f t="shared" si="200"/>
        <v>0</v>
      </c>
      <c r="M738" s="10">
        <v>12</v>
      </c>
      <c r="N738" s="30"/>
      <c r="O738" s="31"/>
      <c r="P738" s="32"/>
      <c r="Q738" s="32"/>
      <c r="R738" s="32"/>
      <c r="S738" s="32">
        <f t="shared" si="201"/>
        <v>0</v>
      </c>
      <c r="T738" s="12"/>
      <c r="U738" s="12"/>
      <c r="V738" s="12"/>
      <c r="W738" s="12">
        <f t="shared" si="202"/>
        <v>0</v>
      </c>
      <c r="Y738" s="10">
        <v>12</v>
      </c>
      <c r="Z738" s="30" t="s">
        <v>75</v>
      </c>
      <c r="AA738" s="31">
        <f t="shared" si="207"/>
        <v>9673</v>
      </c>
      <c r="AB738" s="32">
        <f>650*55+622*4+229*2</f>
        <v>38696</v>
      </c>
      <c r="AC738" s="32"/>
      <c r="AD738" s="32"/>
      <c r="AE738" s="32">
        <f t="shared" si="203"/>
        <v>38696</v>
      </c>
      <c r="AF738" s="12"/>
      <c r="AG738" s="12">
        <v>49.5</v>
      </c>
      <c r="AH738" s="12"/>
      <c r="AI738" s="12">
        <f t="shared" si="204"/>
        <v>38745.5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/>
      <c r="C739" s="83"/>
      <c r="D739" s="32"/>
      <c r="E739" s="32"/>
      <c r="F739" s="32"/>
      <c r="G739" s="32">
        <f t="shared" si="199"/>
        <v>0</v>
      </c>
      <c r="H739" s="12"/>
      <c r="I739" s="12"/>
      <c r="J739" s="12"/>
      <c r="K739" s="12">
        <f t="shared" si="200"/>
        <v>0</v>
      </c>
      <c r="M739" s="10">
        <v>13</v>
      </c>
      <c r="N739" s="30"/>
      <c r="O739" s="31"/>
      <c r="P739" s="32"/>
      <c r="Q739" s="32"/>
      <c r="R739" s="32"/>
      <c r="S739" s="32">
        <f t="shared" si="201"/>
        <v>0</v>
      </c>
      <c r="T739" s="12"/>
      <c r="U739" s="12"/>
      <c r="V739" s="12"/>
      <c r="W739" s="12">
        <f t="shared" si="202"/>
        <v>0</v>
      </c>
      <c r="Y739" s="10">
        <v>13</v>
      </c>
      <c r="Z739" s="30" t="s">
        <v>75</v>
      </c>
      <c r="AA739" s="31">
        <f t="shared" si="207"/>
        <v>9674</v>
      </c>
      <c r="AB739" s="32">
        <f>650*2</f>
        <v>1300</v>
      </c>
      <c r="AC739" s="32"/>
      <c r="AD739" s="32"/>
      <c r="AE739" s="32">
        <f t="shared" si="203"/>
        <v>1300</v>
      </c>
      <c r="AF739" s="12"/>
      <c r="AG739" s="12"/>
      <c r="AH739" s="12"/>
      <c r="AI739" s="12">
        <f t="shared" si="204"/>
        <v>1300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/>
      <c r="C740" s="83"/>
      <c r="D740" s="32"/>
      <c r="E740" s="32"/>
      <c r="F740" s="32"/>
      <c r="G740" s="32">
        <f t="shared" si="199"/>
        <v>0</v>
      </c>
      <c r="H740" s="12"/>
      <c r="I740" s="12"/>
      <c r="J740" s="12"/>
      <c r="K740" s="12">
        <f t="shared" si="200"/>
        <v>0</v>
      </c>
      <c r="M740" s="10">
        <v>14</v>
      </c>
      <c r="N740" s="30"/>
      <c r="O740" s="31"/>
      <c r="P740" s="32"/>
      <c r="Q740" s="32"/>
      <c r="R740" s="32"/>
      <c r="S740" s="32">
        <f t="shared" si="201"/>
        <v>0</v>
      </c>
      <c r="T740" s="12"/>
      <c r="U740" s="12"/>
      <c r="V740" s="12"/>
      <c r="W740" s="12">
        <f t="shared" si="202"/>
        <v>0</v>
      </c>
      <c r="Y740" s="10">
        <v>14</v>
      </c>
      <c r="Z740" s="30" t="s">
        <v>75</v>
      </c>
      <c r="AA740" s="31">
        <f t="shared" si="207"/>
        <v>9675</v>
      </c>
      <c r="AB740" s="32">
        <f>650*4+670+9.5*4</f>
        <v>3308</v>
      </c>
      <c r="AC740" s="32"/>
      <c r="AD740" s="32"/>
      <c r="AE740" s="32">
        <f t="shared" si="203"/>
        <v>3308</v>
      </c>
      <c r="AF740" s="12"/>
      <c r="AG740" s="12"/>
      <c r="AH740" s="12"/>
      <c r="AI740" s="12">
        <f t="shared" si="204"/>
        <v>3308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/>
      <c r="C741" s="83"/>
      <c r="D741" s="32"/>
      <c r="E741" s="32"/>
      <c r="F741" s="32"/>
      <c r="G741" s="32">
        <f t="shared" si="199"/>
        <v>0</v>
      </c>
      <c r="H741" s="12"/>
      <c r="I741" s="12"/>
      <c r="J741" s="12"/>
      <c r="K741" s="12">
        <f t="shared" si="200"/>
        <v>0</v>
      </c>
      <c r="M741" s="10">
        <v>15</v>
      </c>
      <c r="N741" s="30"/>
      <c r="O741" s="31"/>
      <c r="P741" s="32"/>
      <c r="Q741" s="32"/>
      <c r="R741" s="32"/>
      <c r="S741" s="32">
        <f t="shared" si="201"/>
        <v>0</v>
      </c>
      <c r="T741" s="12"/>
      <c r="U741" s="12"/>
      <c r="V741" s="12"/>
      <c r="W741" s="12">
        <f t="shared" si="202"/>
        <v>0</v>
      </c>
      <c r="Y741" s="10">
        <v>15</v>
      </c>
      <c r="Z741" s="30" t="s">
        <v>75</v>
      </c>
      <c r="AA741" s="31">
        <f t="shared" si="207"/>
        <v>9676</v>
      </c>
      <c r="AB741" s="32">
        <f>650*16</f>
        <v>10400</v>
      </c>
      <c r="AC741" s="32"/>
      <c r="AD741" s="32"/>
      <c r="AE741" s="32">
        <f t="shared" si="203"/>
        <v>10400</v>
      </c>
      <c r="AF741" s="12"/>
      <c r="AG741" s="12"/>
      <c r="AH741" s="12">
        <v>-666</v>
      </c>
      <c r="AI741" s="12">
        <f t="shared" si="204"/>
        <v>9734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/>
      <c r="D742" s="32"/>
      <c r="E742" s="32"/>
      <c r="F742" s="32"/>
      <c r="G742" s="32">
        <f t="shared" si="199"/>
        <v>0</v>
      </c>
      <c r="H742" s="12"/>
      <c r="I742" s="12"/>
      <c r="J742" s="12"/>
      <c r="K742" s="12">
        <f t="shared" si="200"/>
        <v>0</v>
      </c>
      <c r="M742" s="10">
        <v>16</v>
      </c>
      <c r="N742" s="30"/>
      <c r="O742" s="31"/>
      <c r="P742" s="32"/>
      <c r="Q742" s="32"/>
      <c r="R742" s="32"/>
      <c r="S742" s="32">
        <f t="shared" si="201"/>
        <v>0</v>
      </c>
      <c r="T742" s="12"/>
      <c r="U742" s="12"/>
      <c r="V742" s="12"/>
      <c r="W742" s="12">
        <f t="shared" si="202"/>
        <v>0</v>
      </c>
      <c r="Y742" s="10">
        <v>16</v>
      </c>
      <c r="Z742" s="30" t="s">
        <v>75</v>
      </c>
      <c r="AA742" s="31">
        <f t="shared" si="207"/>
        <v>9677</v>
      </c>
      <c r="AB742" s="32">
        <f>18*9.5+650*18</f>
        <v>11871</v>
      </c>
      <c r="AC742" s="32"/>
      <c r="AD742" s="32"/>
      <c r="AE742" s="32">
        <f t="shared" si="203"/>
        <v>11871</v>
      </c>
      <c r="AF742" s="12"/>
      <c r="AG742" s="12"/>
      <c r="AH742" s="12"/>
      <c r="AI742" s="12">
        <f t="shared" si="204"/>
        <v>11871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/>
      <c r="C743" s="83"/>
      <c r="D743" s="32"/>
      <c r="E743" s="32"/>
      <c r="F743" s="32"/>
      <c r="G743" s="32">
        <f t="shared" si="199"/>
        <v>0</v>
      </c>
      <c r="H743" s="12"/>
      <c r="I743" s="12"/>
      <c r="J743" s="12"/>
      <c r="K743" s="12">
        <f t="shared" si="200"/>
        <v>0</v>
      </c>
      <c r="M743" s="10">
        <v>17</v>
      </c>
      <c r="N743" s="30"/>
      <c r="O743" s="31"/>
      <c r="P743" s="35"/>
      <c r="Q743" s="32"/>
      <c r="R743" s="32"/>
      <c r="S743" s="32">
        <f t="shared" si="201"/>
        <v>0</v>
      </c>
      <c r="T743" s="12"/>
      <c r="U743" s="12"/>
      <c r="V743" s="12"/>
      <c r="W743" s="12">
        <f t="shared" si="202"/>
        <v>0</v>
      </c>
      <c r="Y743" s="10">
        <v>17</v>
      </c>
      <c r="Z743" s="30" t="s">
        <v>75</v>
      </c>
      <c r="AA743" s="31">
        <v>9751</v>
      </c>
      <c r="AB743" s="35">
        <f>2723.02</f>
        <v>2723.02</v>
      </c>
      <c r="AC743" s="32"/>
      <c r="AD743" s="32"/>
      <c r="AE743" s="32">
        <f t="shared" si="203"/>
        <v>2723.02</v>
      </c>
      <c r="AF743" s="12"/>
      <c r="AG743" s="12"/>
      <c r="AH743" s="12"/>
      <c r="AI743" s="12">
        <f t="shared" si="204"/>
        <v>2723.02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83"/>
      <c r="D744" s="32"/>
      <c r="E744" s="32"/>
      <c r="F744" s="32"/>
      <c r="G744" s="32">
        <f t="shared" si="199"/>
        <v>0</v>
      </c>
      <c r="H744" s="12"/>
      <c r="I744" s="12"/>
      <c r="J744" s="12"/>
      <c r="K744" s="12">
        <f t="shared" si="200"/>
        <v>0</v>
      </c>
      <c r="M744" s="10">
        <v>18</v>
      </c>
      <c r="N744" s="30"/>
      <c r="O744" s="31"/>
      <c r="P744" s="32"/>
      <c r="Q744" s="32"/>
      <c r="R744" s="32"/>
      <c r="S744" s="32">
        <f t="shared" si="201"/>
        <v>0</v>
      </c>
      <c r="T744" s="12"/>
      <c r="U744" s="12"/>
      <c r="V744" s="12"/>
      <c r="W744" s="12">
        <f t="shared" si="202"/>
        <v>0</v>
      </c>
      <c r="Y744" s="10">
        <v>18</v>
      </c>
      <c r="Z744" s="30"/>
      <c r="AA744" s="11" t="s">
        <v>27</v>
      </c>
      <c r="AB744" s="32"/>
      <c r="AC744" s="32"/>
      <c r="AD744" s="32"/>
      <c r="AE744" s="32">
        <f t="shared" si="203"/>
        <v>0</v>
      </c>
      <c r="AF744" s="12"/>
      <c r="AG744" s="12"/>
      <c r="AH744" s="12"/>
      <c r="AI744" s="12">
        <f t="shared" si="204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83"/>
      <c r="D745" s="32"/>
      <c r="E745" s="32"/>
      <c r="F745" s="32"/>
      <c r="G745" s="32">
        <f t="shared" si="199"/>
        <v>0</v>
      </c>
      <c r="H745" s="12"/>
      <c r="I745" s="12"/>
      <c r="J745" s="12"/>
      <c r="K745" s="12">
        <f t="shared" si="200"/>
        <v>0</v>
      </c>
      <c r="M745" s="10">
        <v>19</v>
      </c>
      <c r="N745" s="30"/>
      <c r="O745" s="31"/>
      <c r="P745" s="32"/>
      <c r="Q745" s="32"/>
      <c r="R745" s="32"/>
      <c r="S745" s="32">
        <f t="shared" si="201"/>
        <v>0</v>
      </c>
      <c r="T745" s="12"/>
      <c r="U745" s="12"/>
      <c r="V745" s="12"/>
      <c r="W745" s="12">
        <f t="shared" si="202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03"/>
        <v>0</v>
      </c>
      <c r="AF745" s="12"/>
      <c r="AG745" s="12"/>
      <c r="AH745" s="12"/>
      <c r="AI745" s="12">
        <f t="shared" si="204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83"/>
      <c r="D746" s="32"/>
      <c r="E746" s="32"/>
      <c r="F746" s="32"/>
      <c r="G746" s="32">
        <f t="shared" si="199"/>
        <v>0</v>
      </c>
      <c r="H746" s="12"/>
      <c r="I746" s="12"/>
      <c r="J746" s="12"/>
      <c r="K746" s="12">
        <f t="shared" si="200"/>
        <v>0</v>
      </c>
      <c r="M746" s="10">
        <v>20</v>
      </c>
      <c r="N746" s="30"/>
      <c r="O746" s="31"/>
      <c r="P746" s="32"/>
      <c r="Q746" s="32"/>
      <c r="R746" s="32"/>
      <c r="S746" s="32">
        <f t="shared" si="201"/>
        <v>0</v>
      </c>
      <c r="T746" s="12"/>
      <c r="U746" s="12"/>
      <c r="V746" s="12"/>
      <c r="W746" s="12">
        <f t="shared" si="202"/>
        <v>0</v>
      </c>
      <c r="Y746" s="10">
        <v>20</v>
      </c>
      <c r="Z746" s="30"/>
      <c r="AA746" s="31"/>
      <c r="AB746" s="32"/>
      <c r="AC746" s="32"/>
      <c r="AD746" s="32"/>
      <c r="AE746" s="32">
        <f t="shared" si="203"/>
        <v>0</v>
      </c>
      <c r="AF746" s="12"/>
      <c r="AG746" s="12"/>
      <c r="AH746" s="12"/>
      <c r="AI746" s="12">
        <f t="shared" si="204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C747" s="11"/>
      <c r="D747" s="32"/>
      <c r="E747" s="32"/>
      <c r="F747" s="32"/>
      <c r="G747" s="32">
        <f t="shared" si="199"/>
        <v>0</v>
      </c>
      <c r="H747" s="10"/>
      <c r="I747" s="10"/>
      <c r="J747" s="10"/>
      <c r="K747" s="12">
        <f t="shared" si="200"/>
        <v>0</v>
      </c>
      <c r="M747" s="10">
        <v>21</v>
      </c>
      <c r="N747" s="30"/>
      <c r="O747" s="31"/>
      <c r="P747" s="46"/>
      <c r="Q747" s="31"/>
      <c r="R747" s="31"/>
      <c r="S747" s="32">
        <f t="shared" si="201"/>
        <v>0</v>
      </c>
      <c r="T747" s="10"/>
      <c r="U747" s="10"/>
      <c r="V747" s="10"/>
      <c r="W747" s="12">
        <f t="shared" si="202"/>
        <v>0</v>
      </c>
      <c r="Y747" s="10">
        <v>21</v>
      </c>
      <c r="Z747" s="30"/>
      <c r="AA747" s="31"/>
      <c r="AB747" s="46"/>
      <c r="AC747" s="31"/>
      <c r="AD747" s="31"/>
      <c r="AE747" s="32">
        <f t="shared" si="203"/>
        <v>0</v>
      </c>
      <c r="AF747" s="10"/>
      <c r="AG747" s="10"/>
      <c r="AH747" s="10"/>
      <c r="AI747" s="12">
        <f t="shared" si="204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57"/>
      <c r="D748" s="32"/>
      <c r="E748" s="32"/>
      <c r="F748" s="32"/>
      <c r="G748" s="32">
        <f t="shared" si="199"/>
        <v>0</v>
      </c>
      <c r="H748" s="10"/>
      <c r="I748" s="10"/>
      <c r="J748" s="10"/>
      <c r="K748" s="12">
        <f t="shared" si="200"/>
        <v>0</v>
      </c>
      <c r="M748" s="10">
        <v>22</v>
      </c>
      <c r="N748" s="30"/>
      <c r="O748" s="31"/>
      <c r="P748" s="45"/>
      <c r="Q748" s="31"/>
      <c r="R748" s="31"/>
      <c r="S748" s="32">
        <f t="shared" si="201"/>
        <v>0</v>
      </c>
      <c r="T748" s="10"/>
      <c r="U748" s="10"/>
      <c r="V748" s="10"/>
      <c r="W748" s="12">
        <f t="shared" si="202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03"/>
        <v>0</v>
      </c>
      <c r="AF748" s="10"/>
      <c r="AG748" s="10"/>
      <c r="AH748" s="10"/>
      <c r="AI748" s="12">
        <f t="shared" si="204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83"/>
      <c r="D749" s="32"/>
      <c r="E749" s="32"/>
      <c r="F749" s="32"/>
      <c r="G749" s="32">
        <f t="shared" si="199"/>
        <v>0</v>
      </c>
      <c r="H749" s="10"/>
      <c r="I749" s="10"/>
      <c r="J749" s="12"/>
      <c r="K749" s="12">
        <f t="shared" si="200"/>
        <v>0</v>
      </c>
      <c r="M749" s="10">
        <v>23</v>
      </c>
      <c r="N749" s="30"/>
      <c r="O749" s="31"/>
      <c r="P749" s="47"/>
      <c r="Q749" s="31"/>
      <c r="S749" s="32">
        <f t="shared" si="201"/>
        <v>0</v>
      </c>
      <c r="T749" s="10"/>
      <c r="U749" s="10"/>
      <c r="V749" s="10"/>
      <c r="W749" s="12">
        <f t="shared" si="202"/>
        <v>0</v>
      </c>
      <c r="Y749" s="10">
        <v>23</v>
      </c>
      <c r="Z749" s="30"/>
      <c r="AA749" s="31"/>
      <c r="AB749" s="47"/>
      <c r="AE749" s="32">
        <f t="shared" si="203"/>
        <v>0</v>
      </c>
      <c r="AF749" s="10"/>
      <c r="AG749" s="10"/>
      <c r="AH749" s="10"/>
      <c r="AI749" s="12">
        <f t="shared" si="204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83"/>
      <c r="D750" s="32"/>
      <c r="E750" s="32"/>
      <c r="F750" s="32"/>
      <c r="G750" s="32">
        <f t="shared" si="199"/>
        <v>0</v>
      </c>
      <c r="H750" s="10"/>
      <c r="I750" s="10"/>
      <c r="J750" s="10"/>
      <c r="K750" s="12">
        <f t="shared" si="200"/>
        <v>0</v>
      </c>
      <c r="M750" s="10">
        <v>24</v>
      </c>
      <c r="N750" s="30"/>
      <c r="O750" s="31"/>
      <c r="P750" s="47"/>
      <c r="Q750" s="31"/>
      <c r="R750" s="31"/>
      <c r="S750" s="32">
        <f t="shared" si="201"/>
        <v>0</v>
      </c>
      <c r="T750" s="10"/>
      <c r="U750" s="10"/>
      <c r="V750" s="10"/>
      <c r="W750" s="12">
        <f t="shared" si="202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03"/>
        <v>0</v>
      </c>
      <c r="AF750" s="10"/>
      <c r="AG750" s="10"/>
      <c r="AH750" s="10"/>
      <c r="AI750" s="12">
        <f t="shared" si="204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83"/>
      <c r="D751" s="32"/>
      <c r="E751" s="32"/>
      <c r="F751" s="32"/>
      <c r="G751" s="32">
        <f t="shared" si="199"/>
        <v>0</v>
      </c>
      <c r="H751" s="10"/>
      <c r="I751" s="10"/>
      <c r="J751" s="10"/>
      <c r="K751" s="12">
        <f t="shared" si="200"/>
        <v>0</v>
      </c>
      <c r="M751" s="10">
        <v>25</v>
      </c>
      <c r="N751" s="30"/>
      <c r="O751" s="31"/>
      <c r="P751" s="47"/>
      <c r="Q751" s="31"/>
      <c r="R751" s="31"/>
      <c r="S751" s="32">
        <f t="shared" si="201"/>
        <v>0</v>
      </c>
      <c r="T751" s="10"/>
      <c r="U751" s="10"/>
      <c r="V751" s="10"/>
      <c r="W751" s="12">
        <f t="shared" si="202"/>
        <v>0</v>
      </c>
      <c r="Y751" s="10">
        <v>25</v>
      </c>
      <c r="Z751" s="30"/>
      <c r="AA751" s="31"/>
      <c r="AB751" s="47"/>
      <c r="AC751" s="31"/>
      <c r="AD751" s="31"/>
      <c r="AE751" s="32">
        <f t="shared" si="203"/>
        <v>0</v>
      </c>
      <c r="AF751" s="10"/>
      <c r="AG751" s="10"/>
      <c r="AH751" s="10"/>
      <c r="AI751" s="12">
        <f t="shared" si="204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83"/>
      <c r="D752" s="32"/>
      <c r="E752" s="32"/>
      <c r="F752" s="32"/>
      <c r="G752" s="32">
        <f t="shared" si="199"/>
        <v>0</v>
      </c>
      <c r="H752" s="10"/>
      <c r="I752" s="10"/>
      <c r="J752" s="10"/>
      <c r="K752" s="12">
        <f t="shared" si="200"/>
        <v>0</v>
      </c>
      <c r="M752" s="10">
        <v>26</v>
      </c>
      <c r="N752" s="30"/>
      <c r="O752" s="31"/>
      <c r="P752" s="47"/>
      <c r="Q752" s="31"/>
      <c r="R752" s="31"/>
      <c r="S752" s="32">
        <f t="shared" si="201"/>
        <v>0</v>
      </c>
      <c r="T752" s="10"/>
      <c r="U752" s="10"/>
      <c r="V752" s="10"/>
      <c r="W752" s="12">
        <f t="shared" si="202"/>
        <v>0</v>
      </c>
      <c r="Y752" s="10">
        <v>26</v>
      </c>
      <c r="Z752" s="30"/>
      <c r="AA752" s="31"/>
      <c r="AB752" s="47"/>
      <c r="AC752" s="31"/>
      <c r="AD752" s="31"/>
      <c r="AE752" s="32">
        <f t="shared" si="203"/>
        <v>0</v>
      </c>
      <c r="AF752" s="10"/>
      <c r="AG752" s="10"/>
      <c r="AH752" s="10"/>
      <c r="AI752" s="12">
        <f t="shared" si="204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83"/>
      <c r="D753" s="32"/>
      <c r="E753" s="32"/>
      <c r="F753" s="32"/>
      <c r="G753" s="32">
        <f t="shared" si="199"/>
        <v>0</v>
      </c>
      <c r="H753" s="10"/>
      <c r="I753" s="10"/>
      <c r="J753" s="10"/>
      <c r="K753" s="12">
        <f t="shared" si="200"/>
        <v>0</v>
      </c>
      <c r="M753" s="10">
        <v>27</v>
      </c>
      <c r="N753" s="30"/>
      <c r="O753" s="31"/>
      <c r="P753" s="47"/>
      <c r="Q753" s="31"/>
      <c r="R753" s="31"/>
      <c r="S753" s="32">
        <f t="shared" si="201"/>
        <v>0</v>
      </c>
      <c r="T753" s="10"/>
      <c r="U753" s="10"/>
      <c r="V753" s="10"/>
      <c r="W753" s="12">
        <f t="shared" si="202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03"/>
        <v>0</v>
      </c>
      <c r="AF753" s="10"/>
      <c r="AG753" s="10"/>
      <c r="AH753" s="10"/>
      <c r="AI753" s="12">
        <f t="shared" si="204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83"/>
      <c r="D754" s="32"/>
      <c r="E754" s="32"/>
      <c r="F754" s="32"/>
      <c r="G754" s="32">
        <f t="shared" si="199"/>
        <v>0</v>
      </c>
      <c r="H754" s="10"/>
      <c r="I754" s="10"/>
      <c r="J754" s="10"/>
      <c r="K754" s="12">
        <f t="shared" si="200"/>
        <v>0</v>
      </c>
      <c r="M754" s="10">
        <v>28</v>
      </c>
      <c r="N754" s="30"/>
      <c r="O754" s="31"/>
      <c r="P754" s="47"/>
      <c r="Q754" s="31"/>
      <c r="R754" s="31"/>
      <c r="S754" s="32">
        <f t="shared" si="201"/>
        <v>0</v>
      </c>
      <c r="T754" s="10"/>
      <c r="U754" s="10"/>
      <c r="V754" s="10"/>
      <c r="W754" s="12">
        <f t="shared" si="202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03"/>
        <v>0</v>
      </c>
      <c r="AF754" s="10"/>
      <c r="AG754" s="10"/>
      <c r="AH754" s="10"/>
      <c r="AI754" s="12">
        <f t="shared" si="204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83"/>
      <c r="D755" s="32"/>
      <c r="E755" s="32"/>
      <c r="F755" s="32"/>
      <c r="G755" s="32">
        <f t="shared" si="199"/>
        <v>0</v>
      </c>
      <c r="H755" s="10"/>
      <c r="I755" s="10"/>
      <c r="J755" s="10"/>
      <c r="K755" s="12">
        <f t="shared" si="200"/>
        <v>0</v>
      </c>
      <c r="M755" s="10">
        <v>29</v>
      </c>
      <c r="N755" s="30"/>
      <c r="O755" s="31"/>
      <c r="P755" s="47"/>
      <c r="Q755" s="31"/>
      <c r="R755" s="31"/>
      <c r="S755" s="32">
        <f t="shared" si="201"/>
        <v>0</v>
      </c>
      <c r="T755" s="10"/>
      <c r="U755" s="10"/>
      <c r="V755" s="10"/>
      <c r="W755" s="12">
        <f t="shared" si="202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03"/>
        <v>0</v>
      </c>
      <c r="AF755" s="10"/>
      <c r="AG755" s="10"/>
      <c r="AH755" s="10"/>
      <c r="AI755" s="12">
        <f t="shared" si="204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83"/>
      <c r="D756" s="32"/>
      <c r="E756" s="32"/>
      <c r="F756" s="32"/>
      <c r="G756" s="32">
        <f t="shared" si="199"/>
        <v>0</v>
      </c>
      <c r="H756" s="10"/>
      <c r="I756" s="10"/>
      <c r="J756" s="10"/>
      <c r="K756" s="12">
        <f t="shared" si="200"/>
        <v>0</v>
      </c>
      <c r="M756" s="10">
        <v>30</v>
      </c>
      <c r="N756" s="30"/>
      <c r="O756" s="31"/>
      <c r="P756" s="47"/>
      <c r="Q756" s="31"/>
      <c r="R756" s="31"/>
      <c r="S756" s="32">
        <f t="shared" si="201"/>
        <v>0</v>
      </c>
      <c r="T756" s="10"/>
      <c r="U756" s="10"/>
      <c r="V756" s="10"/>
      <c r="W756" s="12">
        <f t="shared" si="202"/>
        <v>0</v>
      </c>
      <c r="Y756" s="10">
        <v>30</v>
      </c>
      <c r="Z756" s="30"/>
      <c r="AB756" s="47"/>
      <c r="AC756" s="31"/>
      <c r="AD756" s="31"/>
      <c r="AE756" s="32">
        <f t="shared" si="203"/>
        <v>0</v>
      </c>
      <c r="AF756" s="10"/>
      <c r="AG756" s="10"/>
      <c r="AH756" s="10"/>
      <c r="AI756" s="12">
        <f t="shared" si="204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83"/>
      <c r="D757" s="32"/>
      <c r="E757" s="32"/>
      <c r="F757" s="32"/>
      <c r="G757" s="32">
        <f t="shared" si="199"/>
        <v>0</v>
      </c>
      <c r="H757" s="10"/>
      <c r="I757" s="10"/>
      <c r="J757" s="10"/>
      <c r="K757" s="12">
        <f t="shared" si="200"/>
        <v>0</v>
      </c>
      <c r="M757" s="10">
        <v>31</v>
      </c>
      <c r="N757" s="30"/>
      <c r="O757" s="31"/>
      <c r="P757" s="47"/>
      <c r="Q757" s="31"/>
      <c r="R757" s="31"/>
      <c r="S757" s="32">
        <f t="shared" si="201"/>
        <v>0</v>
      </c>
      <c r="T757" s="10"/>
      <c r="U757" s="10"/>
      <c r="V757" s="10"/>
      <c r="W757" s="12">
        <f t="shared" si="202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03"/>
        <v>0</v>
      </c>
      <c r="AF757" s="10"/>
      <c r="AG757" s="10"/>
      <c r="AH757" s="10"/>
      <c r="AI757" s="12">
        <f t="shared" si="204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83"/>
      <c r="D758" s="32"/>
      <c r="E758" s="32"/>
      <c r="F758" s="32"/>
      <c r="G758" s="32">
        <f t="shared" si="199"/>
        <v>0</v>
      </c>
      <c r="H758" s="10"/>
      <c r="I758" s="10"/>
      <c r="J758" s="10"/>
      <c r="K758" s="12">
        <f t="shared" si="200"/>
        <v>0</v>
      </c>
      <c r="M758" s="10">
        <v>32</v>
      </c>
      <c r="N758" s="30"/>
      <c r="O758" s="31"/>
      <c r="P758" s="47"/>
      <c r="Q758" s="31"/>
      <c r="R758" s="31"/>
      <c r="S758" s="32">
        <f t="shared" si="201"/>
        <v>0</v>
      </c>
      <c r="T758" s="10"/>
      <c r="U758" s="10"/>
      <c r="V758" s="10"/>
      <c r="W758" s="12">
        <f t="shared" si="202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03"/>
        <v>0</v>
      </c>
      <c r="AF758" s="10"/>
      <c r="AG758" s="10"/>
      <c r="AH758" s="10"/>
      <c r="AI758" s="12">
        <f t="shared" si="204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83"/>
      <c r="D759" s="32"/>
      <c r="E759" s="32"/>
      <c r="F759" s="32"/>
      <c r="G759" s="32">
        <f t="shared" si="199"/>
        <v>0</v>
      </c>
      <c r="H759" s="10"/>
      <c r="I759" s="10"/>
      <c r="J759" s="10"/>
      <c r="K759" s="12">
        <f t="shared" si="200"/>
        <v>0</v>
      </c>
      <c r="M759" s="10">
        <v>33</v>
      </c>
      <c r="N759" s="30"/>
      <c r="O759" s="31"/>
      <c r="P759" s="47"/>
      <c r="Q759" s="31"/>
      <c r="R759" s="31"/>
      <c r="S759" s="32">
        <f t="shared" si="201"/>
        <v>0</v>
      </c>
      <c r="T759" s="10"/>
      <c r="U759" s="10"/>
      <c r="V759" s="10"/>
      <c r="W759" s="12">
        <f t="shared" si="202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03"/>
        <v>0</v>
      </c>
      <c r="AF759" s="10"/>
      <c r="AG759" s="10"/>
      <c r="AH759" s="10"/>
      <c r="AI759" s="12">
        <f t="shared" si="204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83"/>
      <c r="D760" s="32"/>
      <c r="E760" s="32"/>
      <c r="F760" s="32"/>
      <c r="G760" s="32">
        <f t="shared" si="199"/>
        <v>0</v>
      </c>
      <c r="H760" s="10"/>
      <c r="I760" s="10"/>
      <c r="J760" s="10"/>
      <c r="K760" s="12">
        <f t="shared" si="200"/>
        <v>0</v>
      </c>
      <c r="M760" s="10">
        <v>34</v>
      </c>
      <c r="N760" s="30"/>
      <c r="O760" s="31"/>
      <c r="P760" s="47"/>
      <c r="Q760" s="31"/>
      <c r="R760" s="31"/>
      <c r="S760" s="32">
        <f t="shared" si="201"/>
        <v>0</v>
      </c>
      <c r="T760" s="10"/>
      <c r="U760" s="10"/>
      <c r="V760" s="10"/>
      <c r="W760" s="12">
        <f t="shared" si="202"/>
        <v>0</v>
      </c>
      <c r="Y760" s="10">
        <v>34</v>
      </c>
      <c r="Z760" s="30"/>
      <c r="AA760" s="31"/>
      <c r="AB760" s="47"/>
      <c r="AC760" s="31"/>
      <c r="AD760" s="31"/>
      <c r="AE760" s="32">
        <f t="shared" si="203"/>
        <v>0</v>
      </c>
      <c r="AF760" s="10"/>
      <c r="AG760" s="10"/>
      <c r="AH760" s="10"/>
      <c r="AI760" s="12">
        <f t="shared" si="204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83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P761" s="47"/>
      <c r="Q761" s="31"/>
      <c r="R761" s="31"/>
      <c r="S761" s="32">
        <f t="shared" si="201"/>
        <v>0</v>
      </c>
      <c r="T761" s="10"/>
      <c r="U761" s="10"/>
      <c r="V761" s="10"/>
      <c r="W761" s="12">
        <f t="shared" si="202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03"/>
        <v>0</v>
      </c>
      <c r="AF761" s="10"/>
      <c r="AG761" s="10"/>
      <c r="AH761" s="10"/>
      <c r="AI761" s="12">
        <f t="shared" si="204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83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01"/>
        <v>0</v>
      </c>
      <c r="T762" s="10"/>
      <c r="U762" s="10"/>
      <c r="V762" s="10"/>
      <c r="W762" s="12">
        <f t="shared" si="202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03"/>
        <v>0</v>
      </c>
      <c r="AF762" s="10"/>
      <c r="AG762" s="10"/>
      <c r="AH762" s="10"/>
      <c r="AI762" s="12">
        <f t="shared" si="204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O763" s="31"/>
      <c r="P763" s="47"/>
      <c r="Q763" s="31"/>
      <c r="R763" s="31"/>
      <c r="S763" s="32">
        <f t="shared" si="201"/>
        <v>0</v>
      </c>
      <c r="T763" s="10"/>
      <c r="U763" s="10"/>
      <c r="V763" s="10"/>
      <c r="W763" s="12">
        <f t="shared" si="202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03"/>
        <v>0</v>
      </c>
      <c r="AF763" s="10"/>
      <c r="AG763" s="10"/>
      <c r="AH763" s="10"/>
      <c r="AI763" s="12">
        <f t="shared" si="204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01"/>
        <v>0</v>
      </c>
      <c r="T764" s="10"/>
      <c r="U764" s="10"/>
      <c r="V764" s="10"/>
      <c r="W764" s="12">
        <f t="shared" si="202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03"/>
        <v>0</v>
      </c>
      <c r="AF764" s="10"/>
      <c r="AG764" s="10"/>
      <c r="AH764" s="10"/>
      <c r="AI764" s="12">
        <f t="shared" si="204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01"/>
        <v>0</v>
      </c>
      <c r="T765" s="10"/>
      <c r="U765" s="10"/>
      <c r="V765" s="10"/>
      <c r="W765" s="12">
        <f t="shared" si="202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03"/>
        <v>0</v>
      </c>
      <c r="AF765" s="10"/>
      <c r="AG765" s="10"/>
      <c r="AH765" s="10"/>
      <c r="AI765" s="12">
        <f t="shared" si="204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02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04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08">SUM(D767:E767)</f>
        <v>0</v>
      </c>
      <c r="H767" s="10"/>
      <c r="I767" s="10"/>
      <c r="J767" s="10"/>
      <c r="K767" s="12">
        <f t="shared" ref="K767" si="209">SUM(G767:J767)</f>
        <v>0</v>
      </c>
      <c r="M767" s="10"/>
      <c r="N767" s="30"/>
      <c r="O767" s="31"/>
      <c r="P767" s="47"/>
      <c r="Q767" s="31"/>
      <c r="R767" s="31"/>
      <c r="S767" s="32">
        <f t="shared" ref="S767" si="210">SUM(P767:Q767)</f>
        <v>0</v>
      </c>
      <c r="T767" s="10"/>
      <c r="U767" s="10"/>
      <c r="V767" s="10"/>
      <c r="W767" s="12">
        <f t="shared" si="202"/>
        <v>0</v>
      </c>
      <c r="Y767" s="10"/>
      <c r="Z767" s="30"/>
      <c r="AA767" s="31"/>
      <c r="AB767" s="47"/>
      <c r="AC767" s="31"/>
      <c r="AD767" s="31"/>
      <c r="AE767" s="32">
        <f t="shared" ref="AE767" si="211">SUM(AB767:AC767)</f>
        <v>0</v>
      </c>
      <c r="AF767" s="10"/>
      <c r="AG767" s="10"/>
      <c r="AH767" s="10"/>
      <c r="AI767" s="12">
        <f t="shared" si="204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02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04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347972</v>
      </c>
      <c r="E770" s="38">
        <f t="shared" ref="E770:F770" si="212">SUM(E727:E767)</f>
        <v>0</v>
      </c>
      <c r="F770" s="38">
        <f t="shared" si="212"/>
        <v>0</v>
      </c>
      <c r="G770" s="38">
        <f>SUM(G727:G769)</f>
        <v>347972</v>
      </c>
      <c r="H770" s="4"/>
      <c r="I770" s="39">
        <f>SUM(I727:I769)</f>
        <v>50070</v>
      </c>
      <c r="J770" s="39">
        <f>SUM(J727:J769)</f>
        <v>-43785</v>
      </c>
      <c r="K770" s="40">
        <f>SUM(K727:K769)</f>
        <v>354257</v>
      </c>
      <c r="N770" s="57"/>
      <c r="O770" s="57"/>
      <c r="P770" s="38">
        <f>SUM(P727:P769)</f>
        <v>263912.5</v>
      </c>
      <c r="Q770" s="38">
        <f>SUM(Q727:Q751)</f>
        <v>-1944</v>
      </c>
      <c r="R770" s="38">
        <f>SUM(R727:R751)</f>
        <v>0</v>
      </c>
      <c r="S770" s="38">
        <f>SUM(S727:S769)</f>
        <v>261968.5</v>
      </c>
      <c r="T770" s="4"/>
      <c r="U770" s="41">
        <f>SUM(U727:U769)</f>
        <v>897</v>
      </c>
      <c r="V770" s="41">
        <f>SUM(V727:V751)</f>
        <v>-420</v>
      </c>
      <c r="W770" s="42">
        <f>SUM(W727:W769)</f>
        <v>262445.5</v>
      </c>
      <c r="Z770" s="57"/>
      <c r="AA770" s="57"/>
      <c r="AB770" s="38">
        <f>SUM(AB727:AB769)</f>
        <v>267681.02</v>
      </c>
      <c r="AC770" s="38">
        <f>SUM(AC727:AC751)</f>
        <v>-1206</v>
      </c>
      <c r="AD770" s="38">
        <f>SUM(AD727:AD751)</f>
        <v>0</v>
      </c>
      <c r="AE770" s="38">
        <f>SUM(AE727:AE769)</f>
        <v>266475.02</v>
      </c>
      <c r="AF770" s="4"/>
      <c r="AG770" s="41">
        <f>SUM(AG727:AG769)</f>
        <v>3482.25</v>
      </c>
      <c r="AH770" s="41">
        <f>SUM(AH727:AH751)</f>
        <v>-829.5</v>
      </c>
      <c r="AI770" s="42">
        <f>SUM(AI727:AI769)</f>
        <v>269127.77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t="s">
        <v>0</v>
      </c>
      <c r="B772" s="57"/>
      <c r="C772" s="57"/>
      <c r="D772" s="57"/>
      <c r="E772" s="57"/>
      <c r="G772" s="57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28</v>
      </c>
      <c r="B773" s="57"/>
      <c r="C773" s="57"/>
      <c r="D773" s="57"/>
      <c r="E773" s="57"/>
      <c r="G773" s="57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B774" s="57"/>
      <c r="C774" s="57"/>
      <c r="D774" s="57"/>
      <c r="E774" s="57"/>
      <c r="G774" s="57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4" t="s">
        <v>14</v>
      </c>
      <c r="B775" s="57"/>
      <c r="C775" s="57"/>
      <c r="D775" s="57"/>
      <c r="E775" s="57"/>
      <c r="G775" s="57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B776" s="57"/>
      <c r="C776" s="57"/>
      <c r="D776" s="57"/>
      <c r="E776" s="57"/>
      <c r="G776" s="57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t="s">
        <v>47</v>
      </c>
      <c r="B777" s="57"/>
      <c r="C777" s="57"/>
      <c r="D777" s="57"/>
      <c r="E777" s="57"/>
      <c r="G777" s="57"/>
      <c r="I777" s="57" t="s">
        <v>15</v>
      </c>
      <c r="J777" s="19">
        <v>1</v>
      </c>
      <c r="M777" t="s">
        <v>47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47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21" t="s">
        <v>77</v>
      </c>
      <c r="B778" s="20"/>
      <c r="C778" s="57"/>
      <c r="D778" s="57"/>
      <c r="E778" s="57"/>
      <c r="G778" s="57"/>
      <c r="I778" s="22" t="s">
        <v>16</v>
      </c>
      <c r="J778" s="23" t="s">
        <v>31</v>
      </c>
      <c r="K778" s="24"/>
      <c r="M778" s="21" t="s">
        <v>77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33</v>
      </c>
      <c r="W778" s="24"/>
      <c r="Y778" s="21" t="s">
        <v>77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35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B779" s="57"/>
      <c r="C779" s="57"/>
      <c r="D779" s="57"/>
      <c r="E779" s="57"/>
      <c r="G779" s="57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25"/>
      <c r="C780" s="26"/>
      <c r="D780" s="116" t="s">
        <v>17</v>
      </c>
      <c r="E780" s="116"/>
      <c r="F780" s="106"/>
      <c r="G780" s="27"/>
      <c r="I780" s="117" t="s">
        <v>18</v>
      </c>
      <c r="J780" s="118"/>
      <c r="K780" s="112" t="s">
        <v>19</v>
      </c>
      <c r="N780" s="25"/>
      <c r="O780" s="26"/>
      <c r="P780" s="116" t="s">
        <v>17</v>
      </c>
      <c r="Q780" s="116"/>
      <c r="R780" s="106"/>
      <c r="S780" s="27"/>
      <c r="U780" s="117" t="s">
        <v>18</v>
      </c>
      <c r="V780" s="118"/>
      <c r="W780" s="112" t="s">
        <v>19</v>
      </c>
      <c r="Z780" s="25"/>
      <c r="AA780" s="26"/>
      <c r="AB780" s="116" t="s">
        <v>17</v>
      </c>
      <c r="AC780" s="116"/>
      <c r="AD780" s="106"/>
      <c r="AE780" s="27"/>
      <c r="AG780" s="117" t="s">
        <v>18</v>
      </c>
      <c r="AH780" s="118"/>
      <c r="AI780" s="112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B781" s="28" t="s">
        <v>20</v>
      </c>
      <c r="C781" s="28" t="s">
        <v>21</v>
      </c>
      <c r="D781" s="77" t="s">
        <v>22</v>
      </c>
      <c r="E781" s="76" t="s">
        <v>23</v>
      </c>
      <c r="F781" s="78" t="s">
        <v>32</v>
      </c>
      <c r="G781" s="78" t="s">
        <v>24</v>
      </c>
      <c r="I781" s="29" t="s">
        <v>25</v>
      </c>
      <c r="J781" s="29" t="s">
        <v>26</v>
      </c>
      <c r="K781" s="113"/>
      <c r="N781" s="28" t="s">
        <v>20</v>
      </c>
      <c r="O781" s="28" t="s">
        <v>21</v>
      </c>
      <c r="P781" s="77" t="s">
        <v>22</v>
      </c>
      <c r="Q781" s="78" t="s">
        <v>23</v>
      </c>
      <c r="R781" s="78" t="s">
        <v>32</v>
      </c>
      <c r="S781" s="78" t="s">
        <v>24</v>
      </c>
      <c r="U781" s="29" t="s">
        <v>25</v>
      </c>
      <c r="V781" s="29" t="s">
        <v>26</v>
      </c>
      <c r="W781" s="113"/>
      <c r="Z781" s="28" t="s">
        <v>20</v>
      </c>
      <c r="AA781" s="28" t="s">
        <v>21</v>
      </c>
      <c r="AB781" s="77" t="s">
        <v>22</v>
      </c>
      <c r="AC781" s="78" t="s">
        <v>23</v>
      </c>
      <c r="AD781" s="78" t="s">
        <v>32</v>
      </c>
      <c r="AE781" s="78" t="s">
        <v>24</v>
      </c>
      <c r="AG781" s="29" t="s">
        <v>25</v>
      </c>
      <c r="AH781" s="29" t="s">
        <v>26</v>
      </c>
      <c r="AI781" s="113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10">
        <v>1</v>
      </c>
      <c r="B782" s="30" t="s">
        <v>78</v>
      </c>
      <c r="C782" s="83">
        <v>9588</v>
      </c>
      <c r="D782" s="32">
        <f>650*3+670+9.5*8</f>
        <v>2696</v>
      </c>
      <c r="E782" s="32"/>
      <c r="F782" s="32"/>
      <c r="G782" s="32">
        <f t="shared" ref="G782:G815" si="213">SUM(D782:E782)</f>
        <v>2696</v>
      </c>
      <c r="H782" s="12"/>
      <c r="I782" s="12"/>
      <c r="J782" s="12"/>
      <c r="K782" s="12">
        <f t="shared" ref="K782:K815" si="214">SUM(G782:J782)</f>
        <v>2696</v>
      </c>
      <c r="M782" s="10">
        <v>1</v>
      </c>
      <c r="N782" s="30" t="s">
        <v>78</v>
      </c>
      <c r="O782" s="31">
        <v>9718</v>
      </c>
      <c r="P782" s="32">
        <f>650*58+229*2</f>
        <v>38158</v>
      </c>
      <c r="Q782" s="32"/>
      <c r="R782" s="32"/>
      <c r="S782" s="32">
        <f>SUM(P782:Q782)</f>
        <v>38158</v>
      </c>
      <c r="T782" s="12"/>
      <c r="U782" s="12"/>
      <c r="V782" s="12"/>
      <c r="W782" s="12">
        <f>SUM(S782:V782)</f>
        <v>38158</v>
      </c>
      <c r="Y782" s="10">
        <v>1</v>
      </c>
      <c r="Z782" s="30" t="s">
        <v>78</v>
      </c>
      <c r="AA782" s="31">
        <v>9678</v>
      </c>
      <c r="AB782" s="32">
        <f>650*58+622*50+229*6</f>
        <v>70174</v>
      </c>
      <c r="AC782" s="32">
        <f>-108*6</f>
        <v>-648</v>
      </c>
      <c r="AD782" s="32"/>
      <c r="AE782" s="32">
        <f>SUM(AB782:AC782)</f>
        <v>69526</v>
      </c>
      <c r="AF782" s="12"/>
      <c r="AG782" s="12"/>
      <c r="AH782" s="12">
        <f>-111*214+-78*10</f>
        <v>-24534</v>
      </c>
      <c r="AI782" s="12">
        <f>SUM(AE782:AH782)</f>
        <v>44992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2</v>
      </c>
      <c r="B783" s="30" t="s">
        <v>78</v>
      </c>
      <c r="C783" s="83">
        <f>C782+1</f>
        <v>9589</v>
      </c>
      <c r="D783" s="32">
        <f>650*3+670*2+622+9.5*4</f>
        <v>3950</v>
      </c>
      <c r="E783" s="32"/>
      <c r="F783" s="32"/>
      <c r="G783" s="32">
        <f t="shared" si="213"/>
        <v>3950</v>
      </c>
      <c r="H783" s="12"/>
      <c r="I783" s="12">
        <v>18</v>
      </c>
      <c r="J783" s="12"/>
      <c r="K783" s="12">
        <f t="shared" si="214"/>
        <v>3968</v>
      </c>
      <c r="M783" s="10">
        <v>2</v>
      </c>
      <c r="N783" s="30" t="s">
        <v>78</v>
      </c>
      <c r="O783" s="31">
        <f>O782+1</f>
        <v>9719</v>
      </c>
      <c r="P783" s="32">
        <f>650*83+670*4+622*17+229*2</f>
        <v>67662</v>
      </c>
      <c r="Q783" s="32">
        <f>-104*6</f>
        <v>-624</v>
      </c>
      <c r="R783" s="32"/>
      <c r="S783" s="32">
        <f t="shared" ref="S783:S820" si="215">SUM(P783:Q783)</f>
        <v>67038</v>
      </c>
      <c r="T783" s="12"/>
      <c r="U783" s="12">
        <v>72</v>
      </c>
      <c r="V783" s="12"/>
      <c r="W783" s="12">
        <f t="shared" ref="W783:W823" si="216">SUM(S783:V783)</f>
        <v>67110</v>
      </c>
      <c r="Y783" s="10">
        <v>2</v>
      </c>
      <c r="Z783" s="30" t="s">
        <v>78</v>
      </c>
      <c r="AA783" s="31">
        <f>AA782+1</f>
        <v>9679</v>
      </c>
      <c r="AB783" s="32">
        <f>650*75+229*3</f>
        <v>49437</v>
      </c>
      <c r="AC783" s="32">
        <f>-75*6</f>
        <v>-450</v>
      </c>
      <c r="AD783" s="32"/>
      <c r="AE783" s="32">
        <f t="shared" ref="AE783:AE820" si="217">SUM(AB783:AC783)</f>
        <v>48987</v>
      </c>
      <c r="AF783" s="12"/>
      <c r="AG783" s="12"/>
      <c r="AH783" s="12"/>
      <c r="AI783" s="12">
        <f t="shared" ref="AI783:AI823" si="218">SUM(AE783:AH783)</f>
        <v>48987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3</v>
      </c>
      <c r="B784" s="30" t="s">
        <v>78</v>
      </c>
      <c r="C784" s="83">
        <f t="shared" ref="C784:C790" si="219">C783+1</f>
        <v>9590</v>
      </c>
      <c r="D784" s="33">
        <f>650*100+670*2+622*14</f>
        <v>75048</v>
      </c>
      <c r="E784" s="33"/>
      <c r="F784" s="33"/>
      <c r="G784" s="33">
        <f t="shared" si="213"/>
        <v>75048</v>
      </c>
      <c r="H784" s="34"/>
      <c r="I784" s="34"/>
      <c r="J784" s="34"/>
      <c r="K784" s="34">
        <f t="shared" si="214"/>
        <v>75048</v>
      </c>
      <c r="M784" s="10">
        <v>3</v>
      </c>
      <c r="N784" s="30" t="s">
        <v>78</v>
      </c>
      <c r="O784" s="31">
        <f t="shared" ref="O784:O791" si="220">O783+1</f>
        <v>9720</v>
      </c>
      <c r="P784" s="32">
        <f>650*25+229</f>
        <v>16479</v>
      </c>
      <c r="Q784" s="32"/>
      <c r="R784" s="32"/>
      <c r="S784" s="32">
        <f t="shared" si="215"/>
        <v>16479</v>
      </c>
      <c r="T784" s="12"/>
      <c r="U784" s="12"/>
      <c r="V784" s="12">
        <v>-777</v>
      </c>
      <c r="W784" s="12">
        <f t="shared" si="216"/>
        <v>15702</v>
      </c>
      <c r="Y784" s="10">
        <v>3</v>
      </c>
      <c r="Z784" s="30" t="s">
        <v>78</v>
      </c>
      <c r="AA784" s="31">
        <v>9681</v>
      </c>
      <c r="AB784" s="33">
        <f>650*280+670*5+622*60+1050*10+229*10</f>
        <v>235460</v>
      </c>
      <c r="AC784" s="33">
        <f>-355*6</f>
        <v>-2130</v>
      </c>
      <c r="AD784" s="32"/>
      <c r="AE784" s="32">
        <f t="shared" si="217"/>
        <v>233330</v>
      </c>
      <c r="AF784" s="12"/>
      <c r="AG784" s="12"/>
      <c r="AH784" s="12"/>
      <c r="AI784" s="12">
        <f t="shared" si="218"/>
        <v>233330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4</v>
      </c>
      <c r="B785" s="30" t="s">
        <v>78</v>
      </c>
      <c r="C785" s="83">
        <f t="shared" si="219"/>
        <v>9591</v>
      </c>
      <c r="D785" s="32">
        <f>650*8+622*2+9.5*10</f>
        <v>6539</v>
      </c>
      <c r="E785" s="32"/>
      <c r="F785" s="32"/>
      <c r="G785" s="32">
        <f t="shared" si="213"/>
        <v>6539</v>
      </c>
      <c r="H785" s="12"/>
      <c r="I785" s="12"/>
      <c r="J785" s="12"/>
      <c r="K785" s="12">
        <f t="shared" si="214"/>
        <v>6539</v>
      </c>
      <c r="M785" s="10">
        <v>4</v>
      </c>
      <c r="N785" s="30" t="s">
        <v>78</v>
      </c>
      <c r="O785" s="31">
        <f t="shared" si="220"/>
        <v>9721</v>
      </c>
      <c r="P785" s="32">
        <f>650*3+9.5*3</f>
        <v>1978.5</v>
      </c>
      <c r="Q785" s="32"/>
      <c r="R785" s="32"/>
      <c r="S785" s="32">
        <f t="shared" si="215"/>
        <v>1978.5</v>
      </c>
      <c r="T785" s="12"/>
      <c r="U785" s="12"/>
      <c r="V785" s="12">
        <v>-240</v>
      </c>
      <c r="W785" s="12">
        <f t="shared" si="216"/>
        <v>1738.5</v>
      </c>
      <c r="Y785" s="10">
        <v>4</v>
      </c>
      <c r="Z785" s="30" t="s">
        <v>78</v>
      </c>
      <c r="AA785" s="31">
        <f t="shared" ref="AA785:AA786" si="221">AA784+1</f>
        <v>9682</v>
      </c>
      <c r="AB785" s="32">
        <f>650*13+670*2</f>
        <v>9790</v>
      </c>
      <c r="AC785" s="32"/>
      <c r="AD785" s="32"/>
      <c r="AE785" s="32">
        <f t="shared" si="217"/>
        <v>9790</v>
      </c>
      <c r="AF785" s="12"/>
      <c r="AG785" s="58"/>
      <c r="AH785" s="12"/>
      <c r="AI785" s="12">
        <f t="shared" si="218"/>
        <v>9790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5</v>
      </c>
      <c r="B786" s="30" t="s">
        <v>78</v>
      </c>
      <c r="C786" s="83">
        <f t="shared" si="219"/>
        <v>9592</v>
      </c>
      <c r="D786" s="32">
        <f>650*324+229*13</f>
        <v>213577</v>
      </c>
      <c r="E786" s="32">
        <f>-324*6</f>
        <v>-1944</v>
      </c>
      <c r="F786" s="32"/>
      <c r="G786" s="32">
        <f t="shared" si="213"/>
        <v>211633</v>
      </c>
      <c r="H786" s="12"/>
      <c r="I786" s="12">
        <f>156+1.5*216</f>
        <v>480</v>
      </c>
      <c r="J786" s="12">
        <f>-120+-12210+-7140</f>
        <v>-19470</v>
      </c>
      <c r="K786" s="12">
        <f t="shared" si="214"/>
        <v>192643</v>
      </c>
      <c r="M786" s="10">
        <v>5</v>
      </c>
      <c r="N786" s="30" t="s">
        <v>78</v>
      </c>
      <c r="O786" s="31">
        <f t="shared" si="220"/>
        <v>9722</v>
      </c>
      <c r="P786" s="32">
        <f>650*93+229*3</f>
        <v>61137</v>
      </c>
      <c r="Q786" s="32"/>
      <c r="R786" s="32"/>
      <c r="S786" s="32">
        <f t="shared" si="215"/>
        <v>61137</v>
      </c>
      <c r="T786" s="12"/>
      <c r="U786" s="12">
        <f>108+162</f>
        <v>270</v>
      </c>
      <c r="V786" s="12"/>
      <c r="W786" s="12">
        <f t="shared" si="216"/>
        <v>61407</v>
      </c>
      <c r="Y786" s="10">
        <v>5</v>
      </c>
      <c r="Z786" s="30" t="s">
        <v>78</v>
      </c>
      <c r="AA786" s="31">
        <f t="shared" si="221"/>
        <v>9683</v>
      </c>
      <c r="AB786" s="32">
        <f>650*4+622*2+9.5*6</f>
        <v>3901</v>
      </c>
      <c r="AC786" s="32"/>
      <c r="AD786" s="32"/>
      <c r="AE786" s="32">
        <f t="shared" si="217"/>
        <v>3901</v>
      </c>
      <c r="AF786" s="12"/>
      <c r="AG786" s="12"/>
      <c r="AH786" s="12"/>
      <c r="AI786" s="12">
        <f t="shared" si="218"/>
        <v>3901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6</v>
      </c>
      <c r="B787" s="30" t="s">
        <v>78</v>
      </c>
      <c r="C787" s="83">
        <f t="shared" si="219"/>
        <v>9593</v>
      </c>
      <c r="D787" s="32">
        <f>622*2+9.5*2</f>
        <v>1263</v>
      </c>
      <c r="E787" s="32"/>
      <c r="F787" s="32"/>
      <c r="G787" s="32">
        <f t="shared" si="213"/>
        <v>1263</v>
      </c>
      <c r="H787" s="12"/>
      <c r="I787" s="12"/>
      <c r="J787" s="12"/>
      <c r="K787" s="12">
        <f t="shared" si="214"/>
        <v>1263</v>
      </c>
      <c r="M787" s="10">
        <v>6</v>
      </c>
      <c r="N787" s="30" t="s">
        <v>78</v>
      </c>
      <c r="O787" s="31">
        <f t="shared" si="220"/>
        <v>9723</v>
      </c>
      <c r="P787" s="32">
        <f>650*20+9.5*20</f>
        <v>13190</v>
      </c>
      <c r="Q787" s="32"/>
      <c r="R787" s="32"/>
      <c r="S787" s="32">
        <f t="shared" si="215"/>
        <v>13190</v>
      </c>
      <c r="T787" s="12"/>
      <c r="U787" s="12">
        <v>189</v>
      </c>
      <c r="V787" s="10"/>
      <c r="W787" s="12">
        <f t="shared" si="216"/>
        <v>13379</v>
      </c>
      <c r="Y787" s="10">
        <v>6</v>
      </c>
      <c r="Z787" s="30"/>
      <c r="AA787" s="11" t="s">
        <v>27</v>
      </c>
      <c r="AB787" s="32"/>
      <c r="AC787" s="32"/>
      <c r="AD787" s="32"/>
      <c r="AE787" s="32">
        <f t="shared" si="217"/>
        <v>0</v>
      </c>
      <c r="AF787" s="12"/>
      <c r="AG787" s="12"/>
      <c r="AH787" s="10"/>
      <c r="AI787" s="12">
        <f t="shared" si="218"/>
        <v>0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7</v>
      </c>
      <c r="B788" s="30" t="s">
        <v>78</v>
      </c>
      <c r="C788" s="83">
        <f t="shared" si="219"/>
        <v>9594</v>
      </c>
      <c r="D788" s="32">
        <f>650*18</f>
        <v>11700</v>
      </c>
      <c r="E788" s="32"/>
      <c r="F788" s="32"/>
      <c r="G788" s="32">
        <f t="shared" si="213"/>
        <v>11700</v>
      </c>
      <c r="H788" s="12"/>
      <c r="I788" s="12"/>
      <c r="J788" s="12"/>
      <c r="K788" s="12">
        <f t="shared" si="214"/>
        <v>11700</v>
      </c>
      <c r="M788" s="10">
        <v>7</v>
      </c>
      <c r="N788" s="30" t="s">
        <v>78</v>
      </c>
      <c r="O788" s="31">
        <f t="shared" si="220"/>
        <v>9724</v>
      </c>
      <c r="P788" s="32">
        <f>650*18</f>
        <v>11700</v>
      </c>
      <c r="Q788" s="32"/>
      <c r="R788" s="32"/>
      <c r="S788" s="32">
        <f t="shared" si="215"/>
        <v>11700</v>
      </c>
      <c r="T788" s="12"/>
      <c r="U788" s="12">
        <v>18</v>
      </c>
      <c r="V788" s="12"/>
      <c r="W788" s="12">
        <f t="shared" si="216"/>
        <v>11718</v>
      </c>
      <c r="Y788" s="10">
        <v>7</v>
      </c>
      <c r="Z788" s="30"/>
      <c r="AA788" s="31"/>
      <c r="AB788" s="32"/>
      <c r="AC788" s="32"/>
      <c r="AD788" s="32"/>
      <c r="AE788" s="32">
        <f t="shared" si="217"/>
        <v>0</v>
      </c>
      <c r="AF788" s="12"/>
      <c r="AG788" s="58"/>
      <c r="AH788" s="12"/>
      <c r="AI788" s="12">
        <f t="shared" si="218"/>
        <v>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8</v>
      </c>
      <c r="B789" s="30" t="s">
        <v>78</v>
      </c>
      <c r="C789" s="83">
        <v>9596</v>
      </c>
      <c r="D789" s="32">
        <f>973*65+912*2+872*2+500</f>
        <v>67313</v>
      </c>
      <c r="E789" s="32"/>
      <c r="F789" s="32"/>
      <c r="G789" s="32">
        <f t="shared" si="213"/>
        <v>67313</v>
      </c>
      <c r="H789" s="12"/>
      <c r="I789" s="12"/>
      <c r="J789" s="12"/>
      <c r="K789" s="12">
        <f t="shared" si="214"/>
        <v>67313</v>
      </c>
      <c r="M789" s="10">
        <v>8</v>
      </c>
      <c r="N789" s="30" t="s">
        <v>78</v>
      </c>
      <c r="O789" s="31">
        <f t="shared" si="220"/>
        <v>9725</v>
      </c>
      <c r="P789" s="32">
        <f>650*9+973</f>
        <v>6823</v>
      </c>
      <c r="Q789" s="32"/>
      <c r="R789" s="32"/>
      <c r="S789" s="32">
        <f t="shared" si="215"/>
        <v>6823</v>
      </c>
      <c r="T789" s="12"/>
      <c r="U789" s="12"/>
      <c r="V789" s="12"/>
      <c r="W789" s="12">
        <f t="shared" si="216"/>
        <v>6823</v>
      </c>
      <c r="Y789" s="10">
        <v>8</v>
      </c>
      <c r="Z789" s="30"/>
      <c r="AA789" s="31"/>
      <c r="AB789" s="32"/>
      <c r="AC789" s="32"/>
      <c r="AE789" s="32">
        <f t="shared" si="217"/>
        <v>0</v>
      </c>
      <c r="AF789" s="12"/>
      <c r="AG789" s="12"/>
      <c r="AH789" s="12"/>
      <c r="AI789" s="12">
        <f t="shared" si="218"/>
        <v>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9</v>
      </c>
      <c r="B790" s="30" t="s">
        <v>78</v>
      </c>
      <c r="C790" s="83">
        <f t="shared" si="219"/>
        <v>9597</v>
      </c>
      <c r="D790" s="32">
        <f>700*2+1582+500</f>
        <v>3482</v>
      </c>
      <c r="E790" s="32"/>
      <c r="F790" s="32"/>
      <c r="G790" s="32">
        <f t="shared" si="213"/>
        <v>3482</v>
      </c>
      <c r="H790" s="12"/>
      <c r="I790" s="12">
        <f>240+222</f>
        <v>462</v>
      </c>
      <c r="J790" s="12"/>
      <c r="K790" s="12">
        <f t="shared" si="214"/>
        <v>3944</v>
      </c>
      <c r="M790" s="10">
        <v>9</v>
      </c>
      <c r="N790" s="30" t="s">
        <v>78</v>
      </c>
      <c r="O790" s="31">
        <f t="shared" si="220"/>
        <v>9726</v>
      </c>
      <c r="P790" s="32">
        <f>650*14+229</f>
        <v>9329</v>
      </c>
      <c r="Q790" s="32"/>
      <c r="R790" s="32"/>
      <c r="S790" s="32">
        <f t="shared" si="215"/>
        <v>9329</v>
      </c>
      <c r="T790" s="12"/>
      <c r="U790" s="12"/>
      <c r="V790" s="12"/>
      <c r="W790" s="12">
        <f t="shared" si="216"/>
        <v>9329</v>
      </c>
      <c r="Y790" s="10">
        <v>9</v>
      </c>
      <c r="Z790" s="30"/>
      <c r="AA790" s="31"/>
      <c r="AB790" s="32"/>
      <c r="AC790" s="32"/>
      <c r="AD790" s="32"/>
      <c r="AE790" s="32">
        <f t="shared" si="217"/>
        <v>0</v>
      </c>
      <c r="AF790" s="12"/>
      <c r="AH790" s="12"/>
      <c r="AI790" s="12">
        <f t="shared" si="218"/>
        <v>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10</v>
      </c>
      <c r="B791" s="30"/>
      <c r="C791" s="11" t="s">
        <v>27</v>
      </c>
      <c r="D791" s="32"/>
      <c r="E791" s="32"/>
      <c r="F791" s="32"/>
      <c r="G791" s="32">
        <f t="shared" si="213"/>
        <v>0</v>
      </c>
      <c r="H791" s="12"/>
      <c r="I791" s="12"/>
      <c r="J791" s="12"/>
      <c r="K791" s="12">
        <f t="shared" si="214"/>
        <v>0</v>
      </c>
      <c r="M791" s="10">
        <v>10</v>
      </c>
      <c r="N791" s="30" t="s">
        <v>78</v>
      </c>
      <c r="O791" s="31">
        <f t="shared" si="220"/>
        <v>9727</v>
      </c>
      <c r="P791" s="32">
        <f>650*3</f>
        <v>1950</v>
      </c>
      <c r="Q791" s="32"/>
      <c r="R791" s="32"/>
      <c r="S791" s="32">
        <f t="shared" si="215"/>
        <v>1950</v>
      </c>
      <c r="T791" s="12"/>
      <c r="U791" s="12"/>
      <c r="V791" s="12"/>
      <c r="W791" s="12">
        <f t="shared" si="216"/>
        <v>1950</v>
      </c>
      <c r="Y791" s="10">
        <v>10</v>
      </c>
      <c r="Z791" s="30"/>
      <c r="AA791" s="31"/>
      <c r="AB791" s="32"/>
      <c r="AC791" s="32"/>
      <c r="AD791" s="32"/>
      <c r="AE791" s="32">
        <f t="shared" si="217"/>
        <v>0</v>
      </c>
      <c r="AF791" s="12"/>
      <c r="AG791" s="12"/>
      <c r="AH791" s="12"/>
      <c r="AI791" s="12">
        <f t="shared" si="218"/>
        <v>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11</v>
      </c>
      <c r="B792" s="30"/>
      <c r="C792" s="83"/>
      <c r="D792" s="32"/>
      <c r="E792" s="32"/>
      <c r="F792" s="32"/>
      <c r="G792" s="32">
        <f t="shared" si="213"/>
        <v>0</v>
      </c>
      <c r="H792" s="12"/>
      <c r="I792" s="12"/>
      <c r="J792" s="12"/>
      <c r="K792" s="12">
        <f t="shared" si="214"/>
        <v>0</v>
      </c>
      <c r="M792" s="10">
        <v>11</v>
      </c>
      <c r="N792" s="30"/>
      <c r="O792" s="11" t="s">
        <v>27</v>
      </c>
      <c r="P792" s="32"/>
      <c r="Q792" s="32"/>
      <c r="R792" s="32"/>
      <c r="S792" s="32">
        <f t="shared" si="215"/>
        <v>0</v>
      </c>
      <c r="T792" s="12"/>
      <c r="U792" s="12"/>
      <c r="V792" s="12"/>
      <c r="W792" s="12">
        <f t="shared" si="216"/>
        <v>0</v>
      </c>
      <c r="Y792" s="10">
        <v>11</v>
      </c>
      <c r="Z792" s="30"/>
      <c r="AA792" s="31"/>
      <c r="AB792" s="32"/>
      <c r="AC792" s="32"/>
      <c r="AD792" s="32"/>
      <c r="AE792" s="32">
        <f t="shared" si="217"/>
        <v>0</v>
      </c>
      <c r="AF792" s="12"/>
      <c r="AG792" s="12"/>
      <c r="AH792" s="12"/>
      <c r="AI792" s="12">
        <f t="shared" si="218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12</v>
      </c>
      <c r="B793" s="30"/>
      <c r="C793" s="83"/>
      <c r="D793" s="32"/>
      <c r="E793" s="32"/>
      <c r="F793" s="32"/>
      <c r="G793" s="32">
        <f t="shared" si="213"/>
        <v>0</v>
      </c>
      <c r="H793" s="12"/>
      <c r="I793" s="12"/>
      <c r="J793" s="10"/>
      <c r="K793" s="12">
        <f t="shared" si="214"/>
        <v>0</v>
      </c>
      <c r="M793" s="10">
        <v>12</v>
      </c>
      <c r="N793" s="30"/>
      <c r="O793" s="31"/>
      <c r="P793" s="32"/>
      <c r="Q793" s="32"/>
      <c r="R793" s="32"/>
      <c r="S793" s="32">
        <f t="shared" si="215"/>
        <v>0</v>
      </c>
      <c r="T793" s="12"/>
      <c r="U793" s="12"/>
      <c r="V793" s="12"/>
      <c r="W793" s="12">
        <f t="shared" si="216"/>
        <v>0</v>
      </c>
      <c r="Y793" s="10">
        <v>12</v>
      </c>
      <c r="Z793" s="30"/>
      <c r="AA793" s="31"/>
      <c r="AB793" s="32"/>
      <c r="AC793" s="32"/>
      <c r="AD793" s="32"/>
      <c r="AE793" s="32">
        <f t="shared" si="217"/>
        <v>0</v>
      </c>
      <c r="AF793" s="12"/>
      <c r="AG793" s="12"/>
      <c r="AH793" s="12"/>
      <c r="AI793" s="12">
        <f t="shared" si="218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13</v>
      </c>
      <c r="B794" s="30"/>
      <c r="C794" s="83"/>
      <c r="D794" s="32"/>
      <c r="E794" s="32"/>
      <c r="F794" s="32"/>
      <c r="G794" s="32">
        <f t="shared" si="213"/>
        <v>0</v>
      </c>
      <c r="H794" s="12"/>
      <c r="I794" s="12"/>
      <c r="J794" s="12"/>
      <c r="K794" s="12">
        <f t="shared" si="214"/>
        <v>0</v>
      </c>
      <c r="M794" s="10">
        <v>13</v>
      </c>
      <c r="N794" s="30"/>
      <c r="O794" s="31"/>
      <c r="P794" s="32"/>
      <c r="Q794" s="32"/>
      <c r="R794" s="32"/>
      <c r="S794" s="32">
        <f t="shared" si="215"/>
        <v>0</v>
      </c>
      <c r="T794" s="12"/>
      <c r="U794" s="12"/>
      <c r="V794" s="12"/>
      <c r="W794" s="12">
        <f t="shared" si="216"/>
        <v>0</v>
      </c>
      <c r="Y794" s="10">
        <v>13</v>
      </c>
      <c r="Z794" s="30"/>
      <c r="AA794" s="31"/>
      <c r="AB794" s="32"/>
      <c r="AC794" s="32"/>
      <c r="AD794" s="32"/>
      <c r="AE794" s="32">
        <f t="shared" si="217"/>
        <v>0</v>
      </c>
      <c r="AF794" s="12"/>
      <c r="AG794" s="12"/>
      <c r="AH794" s="12"/>
      <c r="AI794" s="12">
        <f t="shared" si="218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14</v>
      </c>
      <c r="B795" s="30"/>
      <c r="C795" s="83"/>
      <c r="D795" s="32"/>
      <c r="E795" s="32"/>
      <c r="F795" s="32"/>
      <c r="G795" s="32">
        <f t="shared" si="213"/>
        <v>0</v>
      </c>
      <c r="H795" s="12"/>
      <c r="I795" s="12"/>
      <c r="J795" s="12"/>
      <c r="K795" s="12">
        <f t="shared" si="214"/>
        <v>0</v>
      </c>
      <c r="M795" s="10">
        <v>14</v>
      </c>
      <c r="N795" s="30"/>
      <c r="O795" s="31"/>
      <c r="P795" s="32"/>
      <c r="Q795" s="32"/>
      <c r="R795" s="32"/>
      <c r="S795" s="32">
        <f t="shared" si="215"/>
        <v>0</v>
      </c>
      <c r="T795" s="12"/>
      <c r="U795" s="12"/>
      <c r="V795" s="12"/>
      <c r="W795" s="12">
        <f t="shared" si="216"/>
        <v>0</v>
      </c>
      <c r="Y795" s="10">
        <v>14</v>
      </c>
      <c r="Z795" s="30"/>
      <c r="AA795" s="31"/>
      <c r="AB795" s="32"/>
      <c r="AC795" s="32"/>
      <c r="AD795" s="32"/>
      <c r="AE795" s="32">
        <f t="shared" si="217"/>
        <v>0</v>
      </c>
      <c r="AF795" s="12"/>
      <c r="AG795" s="12"/>
      <c r="AH795" s="12"/>
      <c r="AI795" s="12">
        <f t="shared" si="218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15</v>
      </c>
      <c r="B796" s="30"/>
      <c r="C796" s="83"/>
      <c r="D796" s="32"/>
      <c r="E796" s="32"/>
      <c r="F796" s="32"/>
      <c r="G796" s="32">
        <f t="shared" si="213"/>
        <v>0</v>
      </c>
      <c r="H796" s="12"/>
      <c r="I796" s="12"/>
      <c r="J796" s="12"/>
      <c r="K796" s="12">
        <f t="shared" si="214"/>
        <v>0</v>
      </c>
      <c r="M796" s="10">
        <v>15</v>
      </c>
      <c r="N796" s="30"/>
      <c r="O796" s="31"/>
      <c r="P796" s="32"/>
      <c r="Q796" s="32"/>
      <c r="R796" s="32"/>
      <c r="S796" s="32">
        <f t="shared" si="215"/>
        <v>0</v>
      </c>
      <c r="T796" s="12"/>
      <c r="U796" s="12"/>
      <c r="V796" s="12"/>
      <c r="W796" s="12">
        <f t="shared" si="216"/>
        <v>0</v>
      </c>
      <c r="Y796" s="10">
        <v>15</v>
      </c>
      <c r="Z796" s="30"/>
      <c r="AA796" s="31"/>
      <c r="AB796" s="32"/>
      <c r="AC796" s="32"/>
      <c r="AD796" s="32"/>
      <c r="AE796" s="32">
        <f t="shared" si="217"/>
        <v>0</v>
      </c>
      <c r="AF796" s="12"/>
      <c r="AG796" s="12"/>
      <c r="AH796" s="12"/>
      <c r="AI796" s="12">
        <f t="shared" si="218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16</v>
      </c>
      <c r="B797" s="30"/>
      <c r="C797" s="83"/>
      <c r="D797" s="32"/>
      <c r="E797" s="32"/>
      <c r="F797" s="32"/>
      <c r="G797" s="32">
        <f t="shared" si="213"/>
        <v>0</v>
      </c>
      <c r="H797" s="12"/>
      <c r="I797" s="12"/>
      <c r="J797" s="12"/>
      <c r="K797" s="12">
        <f t="shared" si="214"/>
        <v>0</v>
      </c>
      <c r="M797" s="10">
        <v>16</v>
      </c>
      <c r="N797" s="30"/>
      <c r="O797" s="11"/>
      <c r="P797" s="32"/>
      <c r="Q797" s="32"/>
      <c r="R797" s="32"/>
      <c r="S797" s="32">
        <f t="shared" si="215"/>
        <v>0</v>
      </c>
      <c r="T797" s="12"/>
      <c r="U797" s="12"/>
      <c r="V797" s="12"/>
      <c r="W797" s="12">
        <f t="shared" si="216"/>
        <v>0</v>
      </c>
      <c r="Y797" s="10">
        <v>16</v>
      </c>
      <c r="Z797" s="30"/>
      <c r="AA797" s="31"/>
      <c r="AB797" s="32"/>
      <c r="AC797" s="32"/>
      <c r="AD797" s="32"/>
      <c r="AE797" s="32">
        <f t="shared" si="217"/>
        <v>0</v>
      </c>
      <c r="AF797" s="12"/>
      <c r="AG797" s="12"/>
      <c r="AH797" s="12"/>
      <c r="AI797" s="12">
        <f t="shared" si="218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17</v>
      </c>
      <c r="B798" s="30"/>
      <c r="C798" s="83"/>
      <c r="D798" s="32"/>
      <c r="E798" s="32"/>
      <c r="F798" s="32"/>
      <c r="G798" s="32">
        <f t="shared" si="213"/>
        <v>0</v>
      </c>
      <c r="H798" s="12"/>
      <c r="I798" s="12"/>
      <c r="J798" s="12"/>
      <c r="K798" s="12">
        <f t="shared" si="214"/>
        <v>0</v>
      </c>
      <c r="M798" s="10">
        <v>17</v>
      </c>
      <c r="N798" s="30"/>
      <c r="O798" s="31"/>
      <c r="P798" s="35"/>
      <c r="Q798" s="32"/>
      <c r="R798" s="32"/>
      <c r="S798" s="32">
        <f t="shared" si="215"/>
        <v>0</v>
      </c>
      <c r="T798" s="12"/>
      <c r="U798" s="12"/>
      <c r="V798" s="12"/>
      <c r="W798" s="12">
        <f t="shared" si="216"/>
        <v>0</v>
      </c>
      <c r="Y798" s="10">
        <v>17</v>
      </c>
      <c r="Z798" s="30"/>
      <c r="AA798" s="31"/>
      <c r="AB798" s="35"/>
      <c r="AC798" s="32"/>
      <c r="AD798" s="32"/>
      <c r="AE798" s="32">
        <f t="shared" si="217"/>
        <v>0</v>
      </c>
      <c r="AF798" s="12"/>
      <c r="AG798" s="12"/>
      <c r="AH798" s="12"/>
      <c r="AI798" s="12">
        <f t="shared" si="218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18</v>
      </c>
      <c r="B799" s="30"/>
      <c r="C799" s="83"/>
      <c r="D799" s="32"/>
      <c r="E799" s="32"/>
      <c r="F799" s="32"/>
      <c r="G799" s="32">
        <f t="shared" si="213"/>
        <v>0</v>
      </c>
      <c r="H799" s="12"/>
      <c r="I799" s="12"/>
      <c r="J799" s="12"/>
      <c r="K799" s="12">
        <f t="shared" si="214"/>
        <v>0</v>
      </c>
      <c r="M799" s="10">
        <v>18</v>
      </c>
      <c r="N799" s="30"/>
      <c r="O799" s="31"/>
      <c r="P799" s="32"/>
      <c r="Q799" s="32"/>
      <c r="R799" s="32"/>
      <c r="S799" s="32">
        <f t="shared" si="215"/>
        <v>0</v>
      </c>
      <c r="T799" s="12"/>
      <c r="U799" s="12"/>
      <c r="V799" s="12"/>
      <c r="W799" s="12">
        <f t="shared" si="216"/>
        <v>0</v>
      </c>
      <c r="Y799" s="10">
        <v>18</v>
      </c>
      <c r="Z799" s="30"/>
      <c r="AB799" s="32"/>
      <c r="AC799" s="32"/>
      <c r="AD799" s="32"/>
      <c r="AE799" s="32">
        <f t="shared" si="217"/>
        <v>0</v>
      </c>
      <c r="AF799" s="12"/>
      <c r="AG799" s="12"/>
      <c r="AH799" s="12"/>
      <c r="AI799" s="12">
        <f t="shared" si="218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19</v>
      </c>
      <c r="B800" s="30"/>
      <c r="C800" s="83"/>
      <c r="D800" s="32"/>
      <c r="E800" s="32"/>
      <c r="F800" s="32"/>
      <c r="G800" s="32">
        <f t="shared" si="213"/>
        <v>0</v>
      </c>
      <c r="H800" s="12"/>
      <c r="I800" s="12"/>
      <c r="J800" s="12"/>
      <c r="K800" s="12">
        <f t="shared" si="214"/>
        <v>0</v>
      </c>
      <c r="M800" s="10">
        <v>19</v>
      </c>
      <c r="N800" s="30"/>
      <c r="O800" s="31"/>
      <c r="P800" s="32"/>
      <c r="Q800" s="32"/>
      <c r="R800" s="32"/>
      <c r="S800" s="32">
        <f t="shared" si="215"/>
        <v>0</v>
      </c>
      <c r="T800" s="12"/>
      <c r="U800" s="12"/>
      <c r="V800" s="12"/>
      <c r="W800" s="12">
        <f t="shared" si="216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17"/>
        <v>0</v>
      </c>
      <c r="AF800" s="12"/>
      <c r="AG800" s="12"/>
      <c r="AH800" s="12"/>
      <c r="AI800" s="12">
        <f t="shared" si="218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20</v>
      </c>
      <c r="B801" s="30"/>
      <c r="C801" s="83"/>
      <c r="D801" s="32"/>
      <c r="E801" s="32"/>
      <c r="F801" s="32"/>
      <c r="G801" s="32">
        <f t="shared" si="213"/>
        <v>0</v>
      </c>
      <c r="H801" s="12"/>
      <c r="I801" s="12"/>
      <c r="J801" s="12"/>
      <c r="K801" s="12">
        <f t="shared" si="214"/>
        <v>0</v>
      </c>
      <c r="M801" s="10">
        <v>20</v>
      </c>
      <c r="N801" s="30"/>
      <c r="O801" s="31"/>
      <c r="P801" s="32"/>
      <c r="Q801" s="32"/>
      <c r="R801" s="32"/>
      <c r="S801" s="32">
        <f t="shared" si="215"/>
        <v>0</v>
      </c>
      <c r="T801" s="12"/>
      <c r="U801" s="12"/>
      <c r="V801" s="12"/>
      <c r="W801" s="12">
        <f t="shared" si="216"/>
        <v>0</v>
      </c>
      <c r="Y801" s="10">
        <v>20</v>
      </c>
      <c r="Z801" s="30"/>
      <c r="AA801" s="31"/>
      <c r="AB801" s="32"/>
      <c r="AC801" s="32"/>
      <c r="AD801" s="32"/>
      <c r="AE801" s="32">
        <f t="shared" si="217"/>
        <v>0</v>
      </c>
      <c r="AF801" s="12"/>
      <c r="AG801" s="12"/>
      <c r="AH801" s="12"/>
      <c r="AI801" s="12">
        <f t="shared" si="218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21</v>
      </c>
      <c r="B802" s="30"/>
      <c r="D802" s="32"/>
      <c r="E802" s="32"/>
      <c r="F802" s="32"/>
      <c r="G802" s="32">
        <f t="shared" si="213"/>
        <v>0</v>
      </c>
      <c r="H802" s="10"/>
      <c r="I802" s="10"/>
      <c r="J802" s="10"/>
      <c r="K802" s="12">
        <f t="shared" si="214"/>
        <v>0</v>
      </c>
      <c r="M802" s="10">
        <v>21</v>
      </c>
      <c r="N802" s="30"/>
      <c r="O802" s="31"/>
      <c r="P802" s="46"/>
      <c r="Q802" s="31"/>
      <c r="R802" s="31"/>
      <c r="S802" s="32">
        <f t="shared" si="215"/>
        <v>0</v>
      </c>
      <c r="T802" s="10"/>
      <c r="U802" s="10"/>
      <c r="V802" s="10"/>
      <c r="W802" s="12">
        <f t="shared" si="216"/>
        <v>0</v>
      </c>
      <c r="Y802" s="10">
        <v>21</v>
      </c>
      <c r="Z802" s="30"/>
      <c r="AA802" s="31"/>
      <c r="AB802" s="46"/>
      <c r="AC802" s="31"/>
      <c r="AD802" s="31"/>
      <c r="AE802" s="32">
        <f t="shared" si="217"/>
        <v>0</v>
      </c>
      <c r="AF802" s="10"/>
      <c r="AG802" s="10"/>
      <c r="AH802" s="10"/>
      <c r="AI802" s="12">
        <f t="shared" si="218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22</v>
      </c>
      <c r="B803" s="30"/>
      <c r="C803" s="57"/>
      <c r="D803" s="32"/>
      <c r="E803" s="32"/>
      <c r="F803" s="32"/>
      <c r="G803" s="32">
        <f t="shared" si="213"/>
        <v>0</v>
      </c>
      <c r="H803" s="10"/>
      <c r="I803" s="10"/>
      <c r="J803" s="10"/>
      <c r="K803" s="12">
        <f t="shared" si="214"/>
        <v>0</v>
      </c>
      <c r="M803" s="10">
        <v>22</v>
      </c>
      <c r="N803" s="30"/>
      <c r="O803" s="31"/>
      <c r="P803" s="45"/>
      <c r="Q803" s="31"/>
      <c r="R803" s="31"/>
      <c r="S803" s="32">
        <f t="shared" si="215"/>
        <v>0</v>
      </c>
      <c r="T803" s="10"/>
      <c r="U803" s="10"/>
      <c r="V803" s="10"/>
      <c r="W803" s="12">
        <f t="shared" si="216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17"/>
        <v>0</v>
      </c>
      <c r="AF803" s="10"/>
      <c r="AG803" s="10"/>
      <c r="AH803" s="10"/>
      <c r="AI803" s="12">
        <f t="shared" si="218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23</v>
      </c>
      <c r="B804" s="30"/>
      <c r="C804" s="83"/>
      <c r="D804" s="32"/>
      <c r="E804" s="32"/>
      <c r="F804" s="32"/>
      <c r="G804" s="32">
        <f t="shared" si="213"/>
        <v>0</v>
      </c>
      <c r="H804" s="10"/>
      <c r="I804" s="10"/>
      <c r="J804" s="12"/>
      <c r="K804" s="12">
        <f t="shared" si="214"/>
        <v>0</v>
      </c>
      <c r="M804" s="10">
        <v>23</v>
      </c>
      <c r="N804" s="30"/>
      <c r="O804" s="31"/>
      <c r="P804" s="47"/>
      <c r="Q804" s="31"/>
      <c r="S804" s="32">
        <f t="shared" si="215"/>
        <v>0</v>
      </c>
      <c r="T804" s="10"/>
      <c r="U804" s="10"/>
      <c r="V804" s="10"/>
      <c r="W804" s="12">
        <f t="shared" si="216"/>
        <v>0</v>
      </c>
      <c r="Y804" s="10">
        <v>23</v>
      </c>
      <c r="Z804" s="30"/>
      <c r="AA804" s="31"/>
      <c r="AB804" s="47"/>
      <c r="AE804" s="32">
        <f t="shared" si="217"/>
        <v>0</v>
      </c>
      <c r="AF804" s="10"/>
      <c r="AG804" s="10"/>
      <c r="AH804" s="10"/>
      <c r="AI804" s="12">
        <f t="shared" si="218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24</v>
      </c>
      <c r="B805" s="30"/>
      <c r="C805" s="83"/>
      <c r="D805" s="32"/>
      <c r="E805" s="32"/>
      <c r="F805" s="32"/>
      <c r="G805" s="32">
        <f t="shared" si="213"/>
        <v>0</v>
      </c>
      <c r="H805" s="10"/>
      <c r="I805" s="10"/>
      <c r="J805" s="10"/>
      <c r="K805" s="12">
        <f t="shared" si="214"/>
        <v>0</v>
      </c>
      <c r="M805" s="10">
        <v>24</v>
      </c>
      <c r="N805" s="30"/>
      <c r="O805" s="31"/>
      <c r="P805" s="47"/>
      <c r="Q805" s="31"/>
      <c r="R805" s="31"/>
      <c r="S805" s="32">
        <f t="shared" si="215"/>
        <v>0</v>
      </c>
      <c r="T805" s="10"/>
      <c r="U805" s="10"/>
      <c r="V805" s="10"/>
      <c r="W805" s="12">
        <f t="shared" si="216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17"/>
        <v>0</v>
      </c>
      <c r="AF805" s="10"/>
      <c r="AG805" s="10"/>
      <c r="AH805" s="10"/>
      <c r="AI805" s="12">
        <f t="shared" si="218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25</v>
      </c>
      <c r="B806" s="30"/>
      <c r="C806" s="83"/>
      <c r="D806" s="32"/>
      <c r="E806" s="32"/>
      <c r="F806" s="32"/>
      <c r="G806" s="32">
        <f t="shared" si="213"/>
        <v>0</v>
      </c>
      <c r="H806" s="10"/>
      <c r="I806" s="10"/>
      <c r="J806" s="10"/>
      <c r="K806" s="12">
        <f t="shared" si="214"/>
        <v>0</v>
      </c>
      <c r="M806" s="10">
        <v>25</v>
      </c>
      <c r="N806" s="30"/>
      <c r="O806" s="31"/>
      <c r="P806" s="47"/>
      <c r="Q806" s="31"/>
      <c r="R806" s="31"/>
      <c r="S806" s="32">
        <f t="shared" si="215"/>
        <v>0</v>
      </c>
      <c r="T806" s="10"/>
      <c r="U806" s="10"/>
      <c r="V806" s="10"/>
      <c r="W806" s="12">
        <f t="shared" si="216"/>
        <v>0</v>
      </c>
      <c r="Y806" s="10">
        <v>25</v>
      </c>
      <c r="Z806" s="30"/>
      <c r="AA806" s="31"/>
      <c r="AB806" s="47"/>
      <c r="AC806" s="31"/>
      <c r="AD806" s="31"/>
      <c r="AE806" s="32">
        <f t="shared" si="217"/>
        <v>0</v>
      </c>
      <c r="AF806" s="10"/>
      <c r="AG806" s="10"/>
      <c r="AH806" s="10"/>
      <c r="AI806" s="12">
        <f t="shared" si="218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26</v>
      </c>
      <c r="B807" s="30"/>
      <c r="C807" s="83"/>
      <c r="D807" s="32"/>
      <c r="E807" s="32"/>
      <c r="F807" s="32"/>
      <c r="G807" s="32">
        <f t="shared" si="213"/>
        <v>0</v>
      </c>
      <c r="H807" s="10"/>
      <c r="I807" s="10"/>
      <c r="J807" s="10"/>
      <c r="K807" s="12">
        <f t="shared" si="214"/>
        <v>0</v>
      </c>
      <c r="M807" s="10">
        <v>26</v>
      </c>
      <c r="N807" s="30"/>
      <c r="O807" s="31"/>
      <c r="P807" s="47"/>
      <c r="Q807" s="31"/>
      <c r="R807" s="31"/>
      <c r="S807" s="32">
        <f t="shared" si="215"/>
        <v>0</v>
      </c>
      <c r="T807" s="10"/>
      <c r="U807" s="10"/>
      <c r="V807" s="10"/>
      <c r="W807" s="12">
        <f t="shared" si="216"/>
        <v>0</v>
      </c>
      <c r="Y807" s="10">
        <v>26</v>
      </c>
      <c r="Z807" s="30"/>
      <c r="AA807" s="31"/>
      <c r="AB807" s="47"/>
      <c r="AC807" s="31"/>
      <c r="AD807" s="31"/>
      <c r="AE807" s="32">
        <f t="shared" si="217"/>
        <v>0</v>
      </c>
      <c r="AF807" s="10"/>
      <c r="AG807" s="10"/>
      <c r="AH807" s="10"/>
      <c r="AI807" s="12">
        <f t="shared" si="218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27</v>
      </c>
      <c r="B808" s="30"/>
      <c r="C808" s="83"/>
      <c r="D808" s="32"/>
      <c r="E808" s="32"/>
      <c r="F808" s="32"/>
      <c r="G808" s="32">
        <f t="shared" si="213"/>
        <v>0</v>
      </c>
      <c r="H808" s="10"/>
      <c r="I808" s="10"/>
      <c r="J808" s="10"/>
      <c r="K808" s="12">
        <f t="shared" si="214"/>
        <v>0</v>
      </c>
      <c r="M808" s="10">
        <v>27</v>
      </c>
      <c r="N808" s="30"/>
      <c r="O808" s="31"/>
      <c r="P808" s="47"/>
      <c r="Q808" s="31"/>
      <c r="R808" s="31"/>
      <c r="S808" s="32">
        <f t="shared" si="215"/>
        <v>0</v>
      </c>
      <c r="T808" s="10"/>
      <c r="U808" s="10"/>
      <c r="V808" s="10"/>
      <c r="W808" s="12">
        <f t="shared" si="216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17"/>
        <v>0</v>
      </c>
      <c r="AF808" s="10"/>
      <c r="AG808" s="10"/>
      <c r="AH808" s="10"/>
      <c r="AI808" s="12">
        <f t="shared" si="218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28</v>
      </c>
      <c r="B809" s="30"/>
      <c r="C809" s="83"/>
      <c r="D809" s="32"/>
      <c r="E809" s="32"/>
      <c r="F809" s="32"/>
      <c r="G809" s="32">
        <f t="shared" si="213"/>
        <v>0</v>
      </c>
      <c r="H809" s="10"/>
      <c r="I809" s="10"/>
      <c r="J809" s="10"/>
      <c r="K809" s="12">
        <f t="shared" si="214"/>
        <v>0</v>
      </c>
      <c r="M809" s="10">
        <v>28</v>
      </c>
      <c r="N809" s="30"/>
      <c r="O809" s="31"/>
      <c r="P809" s="47"/>
      <c r="Q809" s="31"/>
      <c r="R809" s="31"/>
      <c r="S809" s="32">
        <f t="shared" si="215"/>
        <v>0</v>
      </c>
      <c r="T809" s="10"/>
      <c r="U809" s="10"/>
      <c r="V809" s="10"/>
      <c r="W809" s="12">
        <f t="shared" si="216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17"/>
        <v>0</v>
      </c>
      <c r="AF809" s="10"/>
      <c r="AG809" s="10"/>
      <c r="AH809" s="10"/>
      <c r="AI809" s="12">
        <f t="shared" si="218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29</v>
      </c>
      <c r="B810" s="30"/>
      <c r="C810" s="83"/>
      <c r="D810" s="32"/>
      <c r="E810" s="32"/>
      <c r="F810" s="32"/>
      <c r="G810" s="32">
        <f t="shared" si="213"/>
        <v>0</v>
      </c>
      <c r="H810" s="10"/>
      <c r="I810" s="10"/>
      <c r="J810" s="10"/>
      <c r="K810" s="12">
        <f t="shared" si="214"/>
        <v>0</v>
      </c>
      <c r="M810" s="10">
        <v>29</v>
      </c>
      <c r="N810" s="30"/>
      <c r="O810" s="31"/>
      <c r="P810" s="47"/>
      <c r="Q810" s="31"/>
      <c r="R810" s="31"/>
      <c r="S810" s="32">
        <f t="shared" si="215"/>
        <v>0</v>
      </c>
      <c r="T810" s="10"/>
      <c r="U810" s="10"/>
      <c r="V810" s="10"/>
      <c r="W810" s="12">
        <f t="shared" si="216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17"/>
        <v>0</v>
      </c>
      <c r="AF810" s="10"/>
      <c r="AG810" s="10"/>
      <c r="AH810" s="10"/>
      <c r="AI810" s="12">
        <f t="shared" si="218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30</v>
      </c>
      <c r="B811" s="30"/>
      <c r="C811" s="83"/>
      <c r="D811" s="32"/>
      <c r="E811" s="32"/>
      <c r="F811" s="32"/>
      <c r="G811" s="32">
        <f t="shared" si="213"/>
        <v>0</v>
      </c>
      <c r="H811" s="10"/>
      <c r="I811" s="10"/>
      <c r="J811" s="10"/>
      <c r="K811" s="12">
        <f t="shared" si="214"/>
        <v>0</v>
      </c>
      <c r="M811" s="10">
        <v>30</v>
      </c>
      <c r="N811" s="30"/>
      <c r="O811" s="31"/>
      <c r="P811" s="47"/>
      <c r="Q811" s="31"/>
      <c r="R811" s="31"/>
      <c r="S811" s="32">
        <f t="shared" si="215"/>
        <v>0</v>
      </c>
      <c r="T811" s="10"/>
      <c r="U811" s="10"/>
      <c r="V811" s="10"/>
      <c r="W811" s="12">
        <f t="shared" si="216"/>
        <v>0</v>
      </c>
      <c r="Y811" s="10">
        <v>30</v>
      </c>
      <c r="Z811" s="30"/>
      <c r="AB811" s="47"/>
      <c r="AC811" s="31"/>
      <c r="AD811" s="31"/>
      <c r="AE811" s="32">
        <f t="shared" si="217"/>
        <v>0</v>
      </c>
      <c r="AF811" s="10"/>
      <c r="AG811" s="10"/>
      <c r="AH811" s="10"/>
      <c r="AI811" s="12">
        <f t="shared" si="218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31</v>
      </c>
      <c r="B812" s="30"/>
      <c r="C812" s="83"/>
      <c r="D812" s="32"/>
      <c r="E812" s="32"/>
      <c r="F812" s="32"/>
      <c r="G812" s="32">
        <f t="shared" si="213"/>
        <v>0</v>
      </c>
      <c r="H812" s="10"/>
      <c r="I812" s="10"/>
      <c r="J812" s="10"/>
      <c r="K812" s="12">
        <f t="shared" si="214"/>
        <v>0</v>
      </c>
      <c r="M812" s="10">
        <v>31</v>
      </c>
      <c r="N812" s="30"/>
      <c r="O812" s="31"/>
      <c r="P812" s="47"/>
      <c r="Q812" s="31"/>
      <c r="R812" s="31"/>
      <c r="S812" s="32">
        <f t="shared" si="215"/>
        <v>0</v>
      </c>
      <c r="T812" s="10"/>
      <c r="U812" s="10"/>
      <c r="V812" s="10"/>
      <c r="W812" s="12">
        <f t="shared" si="216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17"/>
        <v>0</v>
      </c>
      <c r="AF812" s="10"/>
      <c r="AG812" s="10"/>
      <c r="AH812" s="10"/>
      <c r="AI812" s="12">
        <f t="shared" si="218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32</v>
      </c>
      <c r="B813" s="30"/>
      <c r="C813" s="83"/>
      <c r="D813" s="32"/>
      <c r="E813" s="32"/>
      <c r="F813" s="32"/>
      <c r="G813" s="32">
        <f t="shared" si="213"/>
        <v>0</v>
      </c>
      <c r="H813" s="10"/>
      <c r="I813" s="10"/>
      <c r="J813" s="10"/>
      <c r="K813" s="12">
        <f t="shared" si="214"/>
        <v>0</v>
      </c>
      <c r="M813" s="10">
        <v>32</v>
      </c>
      <c r="N813" s="30"/>
      <c r="O813" s="31"/>
      <c r="P813" s="47"/>
      <c r="Q813" s="31"/>
      <c r="R813" s="31"/>
      <c r="S813" s="32">
        <f t="shared" si="215"/>
        <v>0</v>
      </c>
      <c r="T813" s="10"/>
      <c r="U813" s="10"/>
      <c r="V813" s="10"/>
      <c r="W813" s="12">
        <f t="shared" si="216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17"/>
        <v>0</v>
      </c>
      <c r="AF813" s="10"/>
      <c r="AG813" s="10"/>
      <c r="AH813" s="10"/>
      <c r="AI813" s="12">
        <f t="shared" si="218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33</v>
      </c>
      <c r="B814" s="30"/>
      <c r="C814" s="83"/>
      <c r="D814" s="32"/>
      <c r="E814" s="32"/>
      <c r="F814" s="32"/>
      <c r="G814" s="32">
        <f t="shared" si="213"/>
        <v>0</v>
      </c>
      <c r="H814" s="10"/>
      <c r="I814" s="10"/>
      <c r="J814" s="10"/>
      <c r="K814" s="12">
        <f t="shared" si="214"/>
        <v>0</v>
      </c>
      <c r="M814" s="10">
        <v>33</v>
      </c>
      <c r="N814" s="30"/>
      <c r="O814" s="31"/>
      <c r="P814" s="47"/>
      <c r="Q814" s="31"/>
      <c r="R814" s="31"/>
      <c r="S814" s="32">
        <f t="shared" si="215"/>
        <v>0</v>
      </c>
      <c r="T814" s="10"/>
      <c r="U814" s="10"/>
      <c r="V814" s="10"/>
      <c r="W814" s="12">
        <f t="shared" si="216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17"/>
        <v>0</v>
      </c>
      <c r="AF814" s="10"/>
      <c r="AG814" s="10"/>
      <c r="AH814" s="10"/>
      <c r="AI814" s="12">
        <f t="shared" si="218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/>
      <c r="B815" s="30"/>
      <c r="C815" s="83"/>
      <c r="D815" s="32"/>
      <c r="E815" s="32"/>
      <c r="F815" s="32"/>
      <c r="G815" s="32">
        <f t="shared" si="213"/>
        <v>0</v>
      </c>
      <c r="H815" s="10"/>
      <c r="I815" s="10"/>
      <c r="J815" s="10"/>
      <c r="K815" s="12">
        <f t="shared" si="214"/>
        <v>0</v>
      </c>
      <c r="M815" s="10">
        <v>34</v>
      </c>
      <c r="N815" s="30"/>
      <c r="O815" s="31"/>
      <c r="P815" s="47"/>
      <c r="Q815" s="31"/>
      <c r="R815" s="31"/>
      <c r="S815" s="32">
        <f t="shared" si="215"/>
        <v>0</v>
      </c>
      <c r="T815" s="10"/>
      <c r="U815" s="10"/>
      <c r="V815" s="10"/>
      <c r="W815" s="12">
        <f t="shared" si="216"/>
        <v>0</v>
      </c>
      <c r="Y815" s="10">
        <v>34</v>
      </c>
      <c r="Z815" s="30"/>
      <c r="AA815" s="31"/>
      <c r="AB815" s="47"/>
      <c r="AC815" s="31"/>
      <c r="AD815" s="31"/>
      <c r="AE815" s="32">
        <f t="shared" si="217"/>
        <v>0</v>
      </c>
      <c r="AF815" s="10"/>
      <c r="AG815" s="10"/>
      <c r="AH815" s="10"/>
      <c r="AI815" s="12">
        <f t="shared" si="218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83"/>
      <c r="D816" s="32"/>
      <c r="E816" s="32"/>
      <c r="F816" s="32"/>
      <c r="G816" s="32"/>
      <c r="H816" s="10"/>
      <c r="I816" s="10"/>
      <c r="J816" s="10"/>
      <c r="K816" s="12"/>
      <c r="M816" s="10">
        <v>35</v>
      </c>
      <c r="N816" s="30"/>
      <c r="P816" s="47"/>
      <c r="Q816" s="31"/>
      <c r="R816" s="31"/>
      <c r="S816" s="32">
        <f t="shared" si="215"/>
        <v>0</v>
      </c>
      <c r="T816" s="10"/>
      <c r="U816" s="10"/>
      <c r="V816" s="10"/>
      <c r="W816" s="12">
        <f t="shared" si="216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17"/>
        <v>0</v>
      </c>
      <c r="AF816" s="10"/>
      <c r="AG816" s="10"/>
      <c r="AH816" s="10"/>
      <c r="AI816" s="12">
        <f t="shared" si="218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83"/>
      <c r="D817" s="32"/>
      <c r="E817" s="32"/>
      <c r="F817" s="32"/>
      <c r="G817" s="32"/>
      <c r="H817" s="10"/>
      <c r="I817" s="10"/>
      <c r="J817" s="10"/>
      <c r="K817" s="12"/>
      <c r="M817" s="10">
        <v>36</v>
      </c>
      <c r="N817" s="30"/>
      <c r="O817" s="31"/>
      <c r="P817" s="47"/>
      <c r="Q817" s="31"/>
      <c r="R817" s="31"/>
      <c r="S817" s="32">
        <f t="shared" si="215"/>
        <v>0</v>
      </c>
      <c r="T817" s="10"/>
      <c r="U817" s="10"/>
      <c r="V817" s="10"/>
      <c r="W817" s="12">
        <f t="shared" si="216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17"/>
        <v>0</v>
      </c>
      <c r="AF817" s="10"/>
      <c r="AG817" s="10"/>
      <c r="AH817" s="10"/>
      <c r="AI817" s="12">
        <f t="shared" si="218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31"/>
      <c r="D818" s="32"/>
      <c r="E818" s="32"/>
      <c r="F818" s="32"/>
      <c r="G818" s="32"/>
      <c r="H818" s="10"/>
      <c r="I818" s="10"/>
      <c r="J818" s="10"/>
      <c r="K818" s="12"/>
      <c r="M818" s="10">
        <v>37</v>
      </c>
      <c r="N818" s="30"/>
      <c r="O818" s="31"/>
      <c r="P818" s="47"/>
      <c r="Q818" s="31"/>
      <c r="R818" s="31"/>
      <c r="S818" s="32">
        <f t="shared" si="215"/>
        <v>0</v>
      </c>
      <c r="T818" s="10"/>
      <c r="U818" s="10"/>
      <c r="V818" s="10"/>
      <c r="W818" s="12">
        <f t="shared" si="216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17"/>
        <v>0</v>
      </c>
      <c r="AF818" s="10"/>
      <c r="AG818" s="10"/>
      <c r="AH818" s="10"/>
      <c r="AI818" s="12">
        <f t="shared" si="218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38</v>
      </c>
      <c r="N819" s="30"/>
      <c r="O819" s="31"/>
      <c r="P819" s="47"/>
      <c r="Q819" s="31"/>
      <c r="R819" s="31"/>
      <c r="S819" s="32">
        <f t="shared" si="215"/>
        <v>0</v>
      </c>
      <c r="T819" s="10"/>
      <c r="U819" s="10"/>
      <c r="V819" s="10"/>
      <c r="W819" s="12">
        <f t="shared" si="216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17"/>
        <v>0</v>
      </c>
      <c r="AF819" s="10"/>
      <c r="AG819" s="10"/>
      <c r="AH819" s="10"/>
      <c r="AI819" s="12">
        <f t="shared" si="218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39</v>
      </c>
      <c r="N820" s="30"/>
      <c r="O820" s="31"/>
      <c r="P820" s="47"/>
      <c r="Q820" s="31"/>
      <c r="R820" s="31"/>
      <c r="S820" s="32">
        <f t="shared" si="215"/>
        <v>0</v>
      </c>
      <c r="T820" s="10"/>
      <c r="U820" s="10"/>
      <c r="V820" s="10"/>
      <c r="W820" s="12">
        <f t="shared" si="216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17"/>
        <v>0</v>
      </c>
      <c r="AF820" s="10"/>
      <c r="AG820" s="10"/>
      <c r="AH820" s="10"/>
      <c r="AI820" s="12">
        <f t="shared" si="218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16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18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>
        <f t="shared" ref="G822" si="222">SUM(D822:E822)</f>
        <v>0</v>
      </c>
      <c r="H822" s="10"/>
      <c r="I822" s="10"/>
      <c r="J822" s="10"/>
      <c r="K822" s="12">
        <f t="shared" ref="K822" si="223">SUM(G822:J822)</f>
        <v>0</v>
      </c>
      <c r="M822" s="10"/>
      <c r="N822" s="30"/>
      <c r="O822" s="31"/>
      <c r="P822" s="47"/>
      <c r="Q822" s="31"/>
      <c r="R822" s="31"/>
      <c r="S822" s="32">
        <f t="shared" ref="S822" si="224">SUM(P822:Q822)</f>
        <v>0</v>
      </c>
      <c r="T822" s="10"/>
      <c r="U822" s="10"/>
      <c r="V822" s="10"/>
      <c r="W822" s="12">
        <f t="shared" si="216"/>
        <v>0</v>
      </c>
      <c r="Y822" s="10"/>
      <c r="Z822" s="30"/>
      <c r="AA822" s="31"/>
      <c r="AB822" s="47"/>
      <c r="AC822" s="31"/>
      <c r="AD822" s="31"/>
      <c r="AE822" s="32">
        <f t="shared" ref="AE822" si="225">SUM(AB822:AC822)</f>
        <v>0</v>
      </c>
      <c r="AF822" s="10"/>
      <c r="AG822" s="10"/>
      <c r="AH822" s="10"/>
      <c r="AI822" s="12">
        <f t="shared" si="218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0"/>
      <c r="D823" s="32"/>
      <c r="E823" s="32"/>
      <c r="F823" s="32"/>
      <c r="G823" s="32"/>
      <c r="H823" s="10"/>
      <c r="I823" s="10"/>
      <c r="J823" s="10"/>
      <c r="K823" s="12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16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18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B824" s="57"/>
      <c r="C824" s="57"/>
      <c r="D824" s="36"/>
      <c r="E824" s="36"/>
      <c r="F824" s="36"/>
      <c r="G824" s="36"/>
      <c r="H824" s="37"/>
      <c r="I824" s="37"/>
      <c r="J824" s="37"/>
      <c r="K824" s="37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8">
        <f>SUM(D782:D824)</f>
        <v>385568</v>
      </c>
      <c r="E825" s="38">
        <f t="shared" ref="E825:F825" si="226">SUM(E782:E822)</f>
        <v>-1944</v>
      </c>
      <c r="F825" s="38">
        <f t="shared" si="226"/>
        <v>0</v>
      </c>
      <c r="G825" s="38">
        <f>SUM(G782:G824)</f>
        <v>383624</v>
      </c>
      <c r="H825" s="4"/>
      <c r="I825" s="39">
        <f>SUM(I782:I824)</f>
        <v>960</v>
      </c>
      <c r="J825" s="39">
        <f>SUM(J782:J824)</f>
        <v>-19470</v>
      </c>
      <c r="K825" s="40">
        <f>SUM(K782:K824)</f>
        <v>365114</v>
      </c>
      <c r="N825" s="57"/>
      <c r="O825" s="57"/>
      <c r="P825" s="38">
        <f>SUM(P782:P824)</f>
        <v>228406.5</v>
      </c>
      <c r="Q825" s="38">
        <f>SUM(Q782:Q806)</f>
        <v>-624</v>
      </c>
      <c r="R825" s="38">
        <f>SUM(R782:R806)</f>
        <v>0</v>
      </c>
      <c r="S825" s="38">
        <f>SUM(S782:S824)</f>
        <v>227782.5</v>
      </c>
      <c r="T825" s="4"/>
      <c r="U825" s="41">
        <f>SUM(U782:U824)</f>
        <v>549</v>
      </c>
      <c r="V825" s="41">
        <f>SUM(V782:V806)</f>
        <v>-1017</v>
      </c>
      <c r="W825" s="42">
        <f>SUM(W782:W824)</f>
        <v>227314.5</v>
      </c>
      <c r="Z825" s="57"/>
      <c r="AA825" s="57"/>
      <c r="AB825" s="38">
        <f>SUM(AB782:AB824)</f>
        <v>368762</v>
      </c>
      <c r="AC825" s="38">
        <f>SUM(AC782:AC806)</f>
        <v>-3228</v>
      </c>
      <c r="AD825" s="38">
        <f>SUM(AD782:AD806)</f>
        <v>0</v>
      </c>
      <c r="AE825" s="38">
        <f>SUM(AE782:AE824)</f>
        <v>365534</v>
      </c>
      <c r="AF825" s="4"/>
      <c r="AG825" s="41">
        <f>SUM(AG782:AG824)</f>
        <v>0</v>
      </c>
      <c r="AH825" s="41">
        <f>SUM(AH782:AH806)</f>
        <v>-24534</v>
      </c>
      <c r="AI825" s="42">
        <f>SUM(AI782:AI824)</f>
        <v>341000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50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50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50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79</v>
      </c>
      <c r="B833" s="20"/>
      <c r="C833" s="57"/>
      <c r="D833" s="57"/>
      <c r="E833" s="57"/>
      <c r="G833" s="57"/>
      <c r="I833" s="22" t="s">
        <v>16</v>
      </c>
      <c r="J833" s="23" t="s">
        <v>31</v>
      </c>
      <c r="K833" s="24"/>
      <c r="M833" s="21" t="s">
        <v>79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33</v>
      </c>
      <c r="W833" s="24"/>
      <c r="Y833" s="21" t="s">
        <v>79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35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16" t="s">
        <v>17</v>
      </c>
      <c r="E835" s="116"/>
      <c r="F835" s="106"/>
      <c r="G835" s="27"/>
      <c r="I835" s="117" t="s">
        <v>18</v>
      </c>
      <c r="J835" s="118"/>
      <c r="K835" s="112" t="s">
        <v>19</v>
      </c>
      <c r="N835" s="25"/>
      <c r="O835" s="26"/>
      <c r="P835" s="116" t="s">
        <v>17</v>
      </c>
      <c r="Q835" s="116"/>
      <c r="R835" s="106"/>
      <c r="S835" s="27"/>
      <c r="U835" s="117" t="s">
        <v>18</v>
      </c>
      <c r="V835" s="118"/>
      <c r="W835" s="112" t="s">
        <v>19</v>
      </c>
      <c r="Z835" s="25"/>
      <c r="AA835" s="26"/>
      <c r="AB835" s="116" t="s">
        <v>17</v>
      </c>
      <c r="AC835" s="116"/>
      <c r="AD835" s="106"/>
      <c r="AE835" s="27"/>
      <c r="AG835" s="117" t="s">
        <v>18</v>
      </c>
      <c r="AH835" s="118"/>
      <c r="AI835" s="112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7" t="s">
        <v>22</v>
      </c>
      <c r="E836" s="76" t="s">
        <v>23</v>
      </c>
      <c r="F836" s="78" t="s">
        <v>32</v>
      </c>
      <c r="G836" s="78" t="s">
        <v>24</v>
      </c>
      <c r="I836" s="29" t="s">
        <v>25</v>
      </c>
      <c r="J836" s="29" t="s">
        <v>26</v>
      </c>
      <c r="K836" s="113"/>
      <c r="N836" s="28" t="s">
        <v>20</v>
      </c>
      <c r="O836" s="28" t="s">
        <v>21</v>
      </c>
      <c r="P836" s="77" t="s">
        <v>22</v>
      </c>
      <c r="Q836" s="78" t="s">
        <v>23</v>
      </c>
      <c r="R836" s="78" t="s">
        <v>32</v>
      </c>
      <c r="S836" s="78" t="s">
        <v>24</v>
      </c>
      <c r="U836" s="29" t="s">
        <v>25</v>
      </c>
      <c r="V836" s="29" t="s">
        <v>26</v>
      </c>
      <c r="W836" s="113"/>
      <c r="Z836" s="28" t="s">
        <v>20</v>
      </c>
      <c r="AA836" s="28" t="s">
        <v>21</v>
      </c>
      <c r="AB836" s="77" t="s">
        <v>22</v>
      </c>
      <c r="AC836" s="78" t="s">
        <v>23</v>
      </c>
      <c r="AD836" s="78" t="s">
        <v>32</v>
      </c>
      <c r="AE836" s="78" t="s">
        <v>24</v>
      </c>
      <c r="AG836" s="29" t="s">
        <v>25</v>
      </c>
      <c r="AH836" s="29" t="s">
        <v>26</v>
      </c>
      <c r="AI836" s="113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80</v>
      </c>
      <c r="C837" s="83">
        <v>9598</v>
      </c>
      <c r="D837" s="32">
        <f>650*20+229</f>
        <v>13229</v>
      </c>
      <c r="E837" s="32"/>
      <c r="F837" s="32"/>
      <c r="G837" s="32">
        <f t="shared" ref="G837:G870" si="227">SUM(D837:E837)</f>
        <v>13229</v>
      </c>
      <c r="H837" s="12"/>
      <c r="I837" s="12"/>
      <c r="J837" s="12"/>
      <c r="K837" s="12">
        <f t="shared" ref="K837:K870" si="228">SUM(G837:J837)</f>
        <v>13229</v>
      </c>
      <c r="M837" s="10">
        <v>1</v>
      </c>
      <c r="N837" s="30" t="s">
        <v>80</v>
      </c>
      <c r="O837" s="31">
        <v>9728</v>
      </c>
      <c r="P837" s="32">
        <f>650*103+670*4+622*20+229*3</f>
        <v>82757</v>
      </c>
      <c r="Q837" s="32"/>
      <c r="R837" s="32"/>
      <c r="S837" s="32">
        <f>SUM(P837:Q837)</f>
        <v>82757</v>
      </c>
      <c r="T837" s="12"/>
      <c r="U837" s="12">
        <v>405</v>
      </c>
      <c r="V837" s="12"/>
      <c r="W837" s="12">
        <f>SUM(S837:V837)</f>
        <v>83162</v>
      </c>
      <c r="Y837" s="10">
        <v>1</v>
      </c>
      <c r="Z837" s="30" t="s">
        <v>80</v>
      </c>
      <c r="AA837" s="31">
        <v>9685</v>
      </c>
      <c r="AB837" s="32">
        <f>650*50</f>
        <v>32500</v>
      </c>
      <c r="AC837" s="32">
        <f>-50*6</f>
        <v>-300</v>
      </c>
      <c r="AD837" s="32"/>
      <c r="AE837" s="32">
        <f>SUM(AB837:AC837)</f>
        <v>32200</v>
      </c>
      <c r="AF837" s="12"/>
      <c r="AG837" s="12"/>
      <c r="AH837" s="12"/>
      <c r="AI837" s="12">
        <f>SUM(AE837:AH837)</f>
        <v>32200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80</v>
      </c>
      <c r="C838" s="83">
        <f>C837+1</f>
        <v>9599</v>
      </c>
      <c r="D838" s="32">
        <f>650*2</f>
        <v>1300</v>
      </c>
      <c r="E838" s="32"/>
      <c r="F838" s="32"/>
      <c r="G838" s="32">
        <f t="shared" si="227"/>
        <v>1300</v>
      </c>
      <c r="H838" s="12"/>
      <c r="I838" s="12"/>
      <c r="J838" s="12"/>
      <c r="K838" s="12">
        <f t="shared" si="228"/>
        <v>1300</v>
      </c>
      <c r="M838" s="10">
        <v>2</v>
      </c>
      <c r="N838" s="30" t="s">
        <v>80</v>
      </c>
      <c r="O838" s="31">
        <f>O837+1</f>
        <v>9729</v>
      </c>
      <c r="P838" s="32">
        <f>108*650+229*3</f>
        <v>70887</v>
      </c>
      <c r="Q838" s="32">
        <f>-108*6</f>
        <v>-648</v>
      </c>
      <c r="R838" s="32"/>
      <c r="S838" s="32">
        <f t="shared" ref="S838:S875" si="229">SUM(P838:Q838)</f>
        <v>70239</v>
      </c>
      <c r="T838" s="12"/>
      <c r="U838" s="12">
        <v>108</v>
      </c>
      <c r="V838" s="12"/>
      <c r="W838" s="12">
        <f t="shared" ref="W838:W878" si="230">SUM(S838:V838)</f>
        <v>70347</v>
      </c>
      <c r="Y838" s="10">
        <v>2</v>
      </c>
      <c r="Z838" s="30" t="s">
        <v>80</v>
      </c>
      <c r="AA838" s="31">
        <f>AA837+1</f>
        <v>9686</v>
      </c>
      <c r="AB838" s="32">
        <f>650*53+872+229</f>
        <v>35551</v>
      </c>
      <c r="AC838" s="32"/>
      <c r="AD838" s="32"/>
      <c r="AE838" s="32">
        <f t="shared" ref="AE838:AE875" si="231">SUM(AB838:AC838)</f>
        <v>35551</v>
      </c>
      <c r="AF838" s="12"/>
      <c r="AG838" s="12">
        <v>12</v>
      </c>
      <c r="AH838" s="12"/>
      <c r="AI838" s="12">
        <f t="shared" ref="AI838:AI878" si="232">SUM(AE838:AH838)</f>
        <v>35563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80</v>
      </c>
      <c r="C839" s="83">
        <f t="shared" ref="C839:C843" si="233">C838+1</f>
        <v>9600</v>
      </c>
      <c r="D839" s="33">
        <f>650*40+229</f>
        <v>26229</v>
      </c>
      <c r="E839" s="33"/>
      <c r="F839" s="33"/>
      <c r="G839" s="33">
        <f t="shared" si="227"/>
        <v>26229</v>
      </c>
      <c r="H839" s="34"/>
      <c r="I839" s="34"/>
      <c r="J839" s="34"/>
      <c r="K839" s="34">
        <f t="shared" si="228"/>
        <v>26229</v>
      </c>
      <c r="M839" s="10">
        <v>3</v>
      </c>
      <c r="N839" s="30" t="s">
        <v>80</v>
      </c>
      <c r="O839" s="31">
        <f t="shared" ref="O839:O846" si="234">O838+1</f>
        <v>9730</v>
      </c>
      <c r="P839" s="32">
        <f>650*22+622*10</f>
        <v>20520</v>
      </c>
      <c r="Q839" s="32"/>
      <c r="R839" s="32"/>
      <c r="S839" s="32">
        <f t="shared" si="229"/>
        <v>20520</v>
      </c>
      <c r="T839" s="12"/>
      <c r="U839" s="12">
        <v>27</v>
      </c>
      <c r="V839" s="12"/>
      <c r="W839" s="12">
        <f t="shared" si="230"/>
        <v>20547</v>
      </c>
      <c r="Y839" s="10">
        <v>3</v>
      </c>
      <c r="Z839" s="30" t="s">
        <v>80</v>
      </c>
      <c r="AA839" s="31">
        <f t="shared" ref="AA839:AA842" si="235">AA838+1</f>
        <v>9687</v>
      </c>
      <c r="AB839" s="33">
        <f>650*108+670*7+229*4</f>
        <v>75806</v>
      </c>
      <c r="AC839" s="33">
        <f>-115*6</f>
        <v>-690</v>
      </c>
      <c r="AD839" s="32"/>
      <c r="AE839" s="32">
        <f t="shared" si="231"/>
        <v>75116</v>
      </c>
      <c r="AF839" s="12"/>
      <c r="AG839" s="12"/>
      <c r="AH839" s="12"/>
      <c r="AI839" s="12">
        <f t="shared" si="232"/>
        <v>75116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 t="s">
        <v>80</v>
      </c>
      <c r="C840" s="83">
        <v>9801</v>
      </c>
      <c r="D840" s="32">
        <f>650*16+9.5*16</f>
        <v>10552</v>
      </c>
      <c r="E840" s="32"/>
      <c r="F840" s="32"/>
      <c r="G840" s="32">
        <f t="shared" si="227"/>
        <v>10552</v>
      </c>
      <c r="H840" s="12"/>
      <c r="I840" s="12"/>
      <c r="J840" s="12">
        <v>-2442</v>
      </c>
      <c r="K840" s="12">
        <f t="shared" si="228"/>
        <v>8110</v>
      </c>
      <c r="M840" s="10">
        <v>4</v>
      </c>
      <c r="N840" s="30" t="s">
        <v>80</v>
      </c>
      <c r="O840" s="31">
        <f t="shared" si="234"/>
        <v>9731</v>
      </c>
      <c r="P840" s="32">
        <f>650*4+622*2+9.5*6</f>
        <v>3901</v>
      </c>
      <c r="Q840" s="32"/>
      <c r="R840" s="32"/>
      <c r="S840" s="32">
        <f t="shared" si="229"/>
        <v>3901</v>
      </c>
      <c r="T840" s="12"/>
      <c r="U840" s="12"/>
      <c r="V840" s="12">
        <f>-555+-78</f>
        <v>-633</v>
      </c>
      <c r="W840" s="12">
        <f t="shared" si="230"/>
        <v>3268</v>
      </c>
      <c r="Y840" s="10">
        <v>4</v>
      </c>
      <c r="Z840" s="30" t="s">
        <v>80</v>
      </c>
      <c r="AA840" s="31">
        <f t="shared" si="235"/>
        <v>9688</v>
      </c>
      <c r="AB840" s="32">
        <f>650*150+622*20+872*2+229*7</f>
        <v>113287</v>
      </c>
      <c r="AC840" s="32">
        <f>-172*6</f>
        <v>-1032</v>
      </c>
      <c r="AD840" s="32"/>
      <c r="AE840" s="32">
        <f t="shared" si="231"/>
        <v>112255</v>
      </c>
      <c r="AF840" s="12"/>
      <c r="AG840" s="58"/>
      <c r="AH840" s="12"/>
      <c r="AI840" s="12">
        <f t="shared" si="232"/>
        <v>112255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 t="s">
        <v>80</v>
      </c>
      <c r="C841" s="83">
        <f t="shared" si="233"/>
        <v>9802</v>
      </c>
      <c r="D841" s="32">
        <f>650*127+622*10+229*4</f>
        <v>89686</v>
      </c>
      <c r="E841" s="32"/>
      <c r="F841" s="32"/>
      <c r="G841" s="32">
        <f t="shared" si="227"/>
        <v>89686</v>
      </c>
      <c r="H841" s="12"/>
      <c r="I841" s="12"/>
      <c r="J841" s="12"/>
      <c r="K841" s="12">
        <f t="shared" si="228"/>
        <v>89686</v>
      </c>
      <c r="M841" s="10">
        <v>5</v>
      </c>
      <c r="N841" s="30" t="s">
        <v>80</v>
      </c>
      <c r="O841" s="31">
        <f t="shared" si="234"/>
        <v>9732</v>
      </c>
      <c r="P841" s="32">
        <f>650*2+9.5*2</f>
        <v>1319</v>
      </c>
      <c r="Q841" s="32"/>
      <c r="R841" s="32"/>
      <c r="S841" s="32">
        <f t="shared" si="229"/>
        <v>1319</v>
      </c>
      <c r="T841" s="12"/>
      <c r="U841" s="12"/>
      <c r="V841" s="12"/>
      <c r="W841" s="12">
        <f t="shared" si="230"/>
        <v>1319</v>
      </c>
      <c r="Y841" s="10">
        <v>5</v>
      </c>
      <c r="Z841" s="30" t="s">
        <v>80</v>
      </c>
      <c r="AA841" s="31">
        <f t="shared" si="235"/>
        <v>9689</v>
      </c>
      <c r="AB841" s="32">
        <f>650*6+622*5</f>
        <v>7010</v>
      </c>
      <c r="AC841" s="32"/>
      <c r="AD841" s="32"/>
      <c r="AE841" s="32">
        <f t="shared" si="231"/>
        <v>7010</v>
      </c>
      <c r="AF841" s="12"/>
      <c r="AG841" s="12"/>
      <c r="AH841" s="12">
        <v>-1776</v>
      </c>
      <c r="AI841" s="12">
        <f t="shared" si="232"/>
        <v>5234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 t="s">
        <v>80</v>
      </c>
      <c r="C842" s="83">
        <f t="shared" si="233"/>
        <v>9803</v>
      </c>
      <c r="D842" s="32">
        <f>650*216+1050+872</f>
        <v>142322</v>
      </c>
      <c r="E842" s="32"/>
      <c r="F842" s="32"/>
      <c r="G842" s="32">
        <f t="shared" si="227"/>
        <v>142322</v>
      </c>
      <c r="H842" s="12"/>
      <c r="I842" s="12"/>
      <c r="J842" s="12">
        <v>-468</v>
      </c>
      <c r="K842" s="12">
        <f t="shared" si="228"/>
        <v>141854</v>
      </c>
      <c r="M842" s="10">
        <v>6</v>
      </c>
      <c r="N842" s="30" t="s">
        <v>80</v>
      </c>
      <c r="O842" s="31">
        <f t="shared" si="234"/>
        <v>9733</v>
      </c>
      <c r="P842" s="32">
        <f>650+622+9.5*2</f>
        <v>1291</v>
      </c>
      <c r="Q842" s="32"/>
      <c r="R842" s="32"/>
      <c r="S842" s="32">
        <f t="shared" si="229"/>
        <v>1291</v>
      </c>
      <c r="T842" s="12"/>
      <c r="U842" s="12"/>
      <c r="V842" s="10"/>
      <c r="W842" s="12">
        <f t="shared" si="230"/>
        <v>1291</v>
      </c>
      <c r="Y842" s="10">
        <v>6</v>
      </c>
      <c r="Z842" s="30" t="s">
        <v>80</v>
      </c>
      <c r="AA842" s="31">
        <f t="shared" si="235"/>
        <v>9690</v>
      </c>
      <c r="AB842" s="32">
        <f>650*5</f>
        <v>3250</v>
      </c>
      <c r="AC842" s="32">
        <f>-5*6</f>
        <v>-30</v>
      </c>
      <c r="AD842" s="32"/>
      <c r="AE842" s="32">
        <f t="shared" si="231"/>
        <v>3220</v>
      </c>
      <c r="AF842" s="12"/>
      <c r="AG842" s="12"/>
      <c r="AH842" s="10"/>
      <c r="AI842" s="12">
        <f t="shared" si="232"/>
        <v>3220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 t="s">
        <v>80</v>
      </c>
      <c r="C843" s="83">
        <f t="shared" si="233"/>
        <v>9804</v>
      </c>
      <c r="D843" s="32">
        <f>650*15+9.5*15</f>
        <v>9892.5</v>
      </c>
      <c r="E843" s="32"/>
      <c r="F843" s="32"/>
      <c r="G843" s="32">
        <f t="shared" si="227"/>
        <v>9892.5</v>
      </c>
      <c r="H843" s="12"/>
      <c r="I843" s="12"/>
      <c r="J843" s="12"/>
      <c r="K843" s="12">
        <f t="shared" si="228"/>
        <v>9892.5</v>
      </c>
      <c r="M843" s="10">
        <v>7</v>
      </c>
      <c r="N843" s="30" t="s">
        <v>80</v>
      </c>
      <c r="O843" s="31">
        <f t="shared" si="234"/>
        <v>9734</v>
      </c>
      <c r="P843" s="32">
        <f>650*2+9.5*2</f>
        <v>1319</v>
      </c>
      <c r="Q843" s="32"/>
      <c r="R843" s="32"/>
      <c r="S843" s="32">
        <f t="shared" si="229"/>
        <v>1319</v>
      </c>
      <c r="T843" s="12"/>
      <c r="U843" s="12"/>
      <c r="V843" s="12"/>
      <c r="W843" s="12">
        <f t="shared" si="230"/>
        <v>1319</v>
      </c>
      <c r="Y843" s="10">
        <v>7</v>
      </c>
      <c r="Z843" s="30"/>
      <c r="AA843" s="11" t="s">
        <v>27</v>
      </c>
      <c r="AB843" s="32"/>
      <c r="AC843" s="32"/>
      <c r="AD843" s="32"/>
      <c r="AE843" s="32">
        <f t="shared" si="231"/>
        <v>0</v>
      </c>
      <c r="AF843" s="12"/>
      <c r="AG843" s="58"/>
      <c r="AH843" s="12"/>
      <c r="AI843" s="12">
        <f t="shared" si="232"/>
        <v>0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/>
      <c r="C844" s="11" t="s">
        <v>27</v>
      </c>
      <c r="D844" s="32"/>
      <c r="E844" s="32"/>
      <c r="F844" s="32"/>
      <c r="G844" s="32">
        <f t="shared" si="227"/>
        <v>0</v>
      </c>
      <c r="H844" s="12"/>
      <c r="I844" s="12"/>
      <c r="J844" s="12"/>
      <c r="K844" s="12">
        <f t="shared" si="228"/>
        <v>0</v>
      </c>
      <c r="M844" s="10">
        <v>8</v>
      </c>
      <c r="N844" s="30" t="s">
        <v>80</v>
      </c>
      <c r="O844" s="31">
        <f t="shared" si="234"/>
        <v>9735</v>
      </c>
      <c r="P844" s="32">
        <f>650*6+622+9.5*7</f>
        <v>4588.5</v>
      </c>
      <c r="Q844" s="32"/>
      <c r="R844" s="32"/>
      <c r="S844" s="32">
        <f t="shared" si="229"/>
        <v>4588.5</v>
      </c>
      <c r="T844" s="12"/>
      <c r="U844" s="12"/>
      <c r="V844" s="12">
        <v>-1260</v>
      </c>
      <c r="W844" s="12">
        <f t="shared" si="230"/>
        <v>3328.5</v>
      </c>
      <c r="Y844" s="10">
        <v>8</v>
      </c>
      <c r="Z844" s="30"/>
      <c r="AA844" s="31"/>
      <c r="AB844" s="32"/>
      <c r="AC844" s="32"/>
      <c r="AE844" s="32">
        <f t="shared" si="231"/>
        <v>0</v>
      </c>
      <c r="AF844" s="12"/>
      <c r="AG844" s="12"/>
      <c r="AH844" s="12"/>
      <c r="AI844" s="12">
        <f t="shared" si="232"/>
        <v>0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/>
      <c r="C845" s="83"/>
      <c r="D845" s="32"/>
      <c r="E845" s="32"/>
      <c r="F845" s="32"/>
      <c r="G845" s="32">
        <f t="shared" si="227"/>
        <v>0</v>
      </c>
      <c r="H845" s="12"/>
      <c r="I845" s="12"/>
      <c r="J845" s="12"/>
      <c r="K845" s="12">
        <f t="shared" si="228"/>
        <v>0</v>
      </c>
      <c r="M845" s="10">
        <v>9</v>
      </c>
      <c r="N845" s="30" t="s">
        <v>80</v>
      </c>
      <c r="O845" s="31">
        <f t="shared" si="234"/>
        <v>9736</v>
      </c>
      <c r="P845" s="32">
        <f>650*124+670*5+700*5+622*2+1050+872*3+229*5</f>
        <v>93505</v>
      </c>
      <c r="Q845" s="32"/>
      <c r="R845" s="32"/>
      <c r="S845" s="32">
        <f t="shared" si="229"/>
        <v>93505</v>
      </c>
      <c r="T845" s="12"/>
      <c r="U845" s="12">
        <v>1053</v>
      </c>
      <c r="V845" s="12"/>
      <c r="W845" s="12">
        <f t="shared" si="230"/>
        <v>94558</v>
      </c>
      <c r="Y845" s="10">
        <v>9</v>
      </c>
      <c r="Z845" s="30"/>
      <c r="AA845" s="31"/>
      <c r="AB845" s="32"/>
      <c r="AC845" s="32"/>
      <c r="AD845" s="32"/>
      <c r="AE845" s="32">
        <f t="shared" si="231"/>
        <v>0</v>
      </c>
      <c r="AF845" s="12"/>
      <c r="AH845" s="12"/>
      <c r="AI845" s="12">
        <f t="shared" si="232"/>
        <v>0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83"/>
      <c r="D846" s="32"/>
      <c r="E846" s="32"/>
      <c r="F846" s="32"/>
      <c r="G846" s="32">
        <f t="shared" si="227"/>
        <v>0</v>
      </c>
      <c r="H846" s="12"/>
      <c r="I846" s="12"/>
      <c r="J846" s="12"/>
      <c r="K846" s="12">
        <f t="shared" si="228"/>
        <v>0</v>
      </c>
      <c r="M846" s="10">
        <v>10</v>
      </c>
      <c r="N846" s="30" t="s">
        <v>80</v>
      </c>
      <c r="O846" s="31">
        <f t="shared" si="234"/>
        <v>9737</v>
      </c>
      <c r="P846" s="32">
        <f>650*21</f>
        <v>13650</v>
      </c>
      <c r="Q846" s="32"/>
      <c r="R846" s="32"/>
      <c r="S846" s="32">
        <f t="shared" si="229"/>
        <v>13650</v>
      </c>
      <c r="T846" s="12"/>
      <c r="U846" s="12"/>
      <c r="V846" s="12"/>
      <c r="W846" s="12">
        <f t="shared" si="230"/>
        <v>13650</v>
      </c>
      <c r="Y846" s="10">
        <v>10</v>
      </c>
      <c r="Z846" s="30"/>
      <c r="AA846" s="31"/>
      <c r="AB846" s="32"/>
      <c r="AC846" s="32"/>
      <c r="AD846" s="32"/>
      <c r="AE846" s="32">
        <f t="shared" si="231"/>
        <v>0</v>
      </c>
      <c r="AF846" s="12"/>
      <c r="AG846" s="12"/>
      <c r="AH846" s="12"/>
      <c r="AI846" s="12">
        <f t="shared" si="232"/>
        <v>0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C847" s="83"/>
      <c r="D847" s="32"/>
      <c r="E847" s="32"/>
      <c r="F847" s="32"/>
      <c r="G847" s="32">
        <f t="shared" si="227"/>
        <v>0</v>
      </c>
      <c r="H847" s="12"/>
      <c r="I847" s="12"/>
      <c r="J847" s="12"/>
      <c r="K847" s="12">
        <f t="shared" si="228"/>
        <v>0</v>
      </c>
      <c r="M847" s="10">
        <v>11</v>
      </c>
      <c r="N847" s="30"/>
      <c r="O847" s="11" t="s">
        <v>27</v>
      </c>
      <c r="P847" s="32"/>
      <c r="Q847" s="32"/>
      <c r="R847" s="32"/>
      <c r="S847" s="32">
        <f t="shared" si="229"/>
        <v>0</v>
      </c>
      <c r="T847" s="12"/>
      <c r="U847" s="12"/>
      <c r="V847" s="12"/>
      <c r="W847" s="12">
        <f t="shared" si="230"/>
        <v>0</v>
      </c>
      <c r="Y847" s="10">
        <v>11</v>
      </c>
      <c r="Z847" s="30"/>
      <c r="AA847" s="31"/>
      <c r="AB847" s="32"/>
      <c r="AC847" s="32"/>
      <c r="AD847" s="32"/>
      <c r="AE847" s="32">
        <f t="shared" si="231"/>
        <v>0</v>
      </c>
      <c r="AF847" s="12"/>
      <c r="AG847" s="12"/>
      <c r="AH847" s="12"/>
      <c r="AI847" s="12">
        <f t="shared" si="232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83"/>
      <c r="D848" s="32"/>
      <c r="E848" s="32"/>
      <c r="F848" s="32"/>
      <c r="G848" s="32">
        <f t="shared" si="227"/>
        <v>0</v>
      </c>
      <c r="H848" s="12"/>
      <c r="I848" s="12"/>
      <c r="J848" s="10"/>
      <c r="K848" s="12">
        <f t="shared" si="228"/>
        <v>0</v>
      </c>
      <c r="M848" s="10">
        <v>12</v>
      </c>
      <c r="N848" s="30"/>
      <c r="O848" s="31"/>
      <c r="P848" s="32"/>
      <c r="Q848" s="32"/>
      <c r="R848" s="32"/>
      <c r="S848" s="32">
        <f t="shared" si="229"/>
        <v>0</v>
      </c>
      <c r="T848" s="12"/>
      <c r="U848" s="12"/>
      <c r="V848" s="12"/>
      <c r="W848" s="12">
        <f t="shared" si="230"/>
        <v>0</v>
      </c>
      <c r="Y848" s="10">
        <v>12</v>
      </c>
      <c r="Z848" s="30"/>
      <c r="AA848" s="31"/>
      <c r="AB848" s="32"/>
      <c r="AC848" s="32"/>
      <c r="AD848" s="32"/>
      <c r="AE848" s="32">
        <f t="shared" si="231"/>
        <v>0</v>
      </c>
      <c r="AF848" s="12"/>
      <c r="AG848" s="12"/>
      <c r="AH848" s="12"/>
      <c r="AI848" s="12">
        <f t="shared" si="232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83"/>
      <c r="D849" s="32"/>
      <c r="E849" s="32"/>
      <c r="F849" s="32"/>
      <c r="G849" s="32">
        <f t="shared" si="227"/>
        <v>0</v>
      </c>
      <c r="H849" s="12"/>
      <c r="I849" s="12"/>
      <c r="J849" s="12"/>
      <c r="K849" s="12">
        <f t="shared" si="228"/>
        <v>0</v>
      </c>
      <c r="M849" s="10">
        <v>13</v>
      </c>
      <c r="N849" s="30"/>
      <c r="O849" s="31"/>
      <c r="P849" s="32"/>
      <c r="Q849" s="32"/>
      <c r="R849" s="32"/>
      <c r="S849" s="32">
        <f t="shared" si="229"/>
        <v>0</v>
      </c>
      <c r="T849" s="12"/>
      <c r="U849" s="12"/>
      <c r="V849" s="12"/>
      <c r="W849" s="12">
        <f t="shared" si="230"/>
        <v>0</v>
      </c>
      <c r="Y849" s="10">
        <v>13</v>
      </c>
      <c r="Z849" s="30"/>
      <c r="AA849" s="31"/>
      <c r="AB849" s="32"/>
      <c r="AC849" s="32"/>
      <c r="AD849" s="32"/>
      <c r="AE849" s="32">
        <f t="shared" si="231"/>
        <v>0</v>
      </c>
      <c r="AF849" s="12"/>
      <c r="AG849" s="12"/>
      <c r="AH849" s="12"/>
      <c r="AI849" s="12">
        <f t="shared" si="232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83"/>
      <c r="D850" s="32"/>
      <c r="E850" s="32"/>
      <c r="F850" s="32"/>
      <c r="G850" s="32">
        <f t="shared" si="227"/>
        <v>0</v>
      </c>
      <c r="H850" s="12"/>
      <c r="I850" s="12"/>
      <c r="J850" s="12"/>
      <c r="K850" s="12">
        <f t="shared" si="228"/>
        <v>0</v>
      </c>
      <c r="M850" s="10">
        <v>14</v>
      </c>
      <c r="N850" s="30"/>
      <c r="O850" s="31"/>
      <c r="P850" s="32"/>
      <c r="Q850" s="32"/>
      <c r="R850" s="32"/>
      <c r="S850" s="32">
        <f t="shared" si="229"/>
        <v>0</v>
      </c>
      <c r="T850" s="12"/>
      <c r="U850" s="12"/>
      <c r="V850" s="12"/>
      <c r="W850" s="12">
        <f t="shared" si="230"/>
        <v>0</v>
      </c>
      <c r="Y850" s="10">
        <v>14</v>
      </c>
      <c r="Z850" s="30"/>
      <c r="AA850" s="31"/>
      <c r="AB850" s="32"/>
      <c r="AC850" s="32"/>
      <c r="AD850" s="32"/>
      <c r="AE850" s="32">
        <f t="shared" si="231"/>
        <v>0</v>
      </c>
      <c r="AF850" s="12"/>
      <c r="AG850" s="12"/>
      <c r="AH850" s="12"/>
      <c r="AI850" s="12">
        <f t="shared" si="232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83"/>
      <c r="D851" s="32"/>
      <c r="E851" s="32"/>
      <c r="F851" s="32"/>
      <c r="G851" s="32">
        <f t="shared" si="227"/>
        <v>0</v>
      </c>
      <c r="H851" s="12"/>
      <c r="I851" s="12"/>
      <c r="J851" s="12"/>
      <c r="K851" s="12">
        <f t="shared" si="228"/>
        <v>0</v>
      </c>
      <c r="M851" s="10">
        <v>15</v>
      </c>
      <c r="N851" s="30"/>
      <c r="O851" s="31"/>
      <c r="P851" s="32"/>
      <c r="Q851" s="32"/>
      <c r="R851" s="32"/>
      <c r="S851" s="32">
        <f t="shared" si="229"/>
        <v>0</v>
      </c>
      <c r="T851" s="12"/>
      <c r="U851" s="12"/>
      <c r="V851" s="12"/>
      <c r="W851" s="12">
        <f t="shared" si="230"/>
        <v>0</v>
      </c>
      <c r="Y851" s="10">
        <v>15</v>
      </c>
      <c r="Z851" s="30"/>
      <c r="AA851" s="31"/>
      <c r="AB851" s="32"/>
      <c r="AC851" s="32"/>
      <c r="AD851" s="32"/>
      <c r="AE851" s="32">
        <f t="shared" si="231"/>
        <v>0</v>
      </c>
      <c r="AF851" s="12"/>
      <c r="AG851" s="12"/>
      <c r="AH851" s="12"/>
      <c r="AI851" s="12">
        <f t="shared" si="232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C852" s="11"/>
      <c r="D852" s="32"/>
      <c r="E852" s="32"/>
      <c r="F852" s="32"/>
      <c r="G852" s="32">
        <f t="shared" si="227"/>
        <v>0</v>
      </c>
      <c r="H852" s="12"/>
      <c r="I852" s="12"/>
      <c r="J852" s="12"/>
      <c r="K852" s="12">
        <f t="shared" si="228"/>
        <v>0</v>
      </c>
      <c r="M852" s="10">
        <v>16</v>
      </c>
      <c r="N852" s="30"/>
      <c r="O852" s="11"/>
      <c r="P852" s="32"/>
      <c r="Q852" s="32"/>
      <c r="R852" s="32"/>
      <c r="S852" s="32">
        <f t="shared" si="229"/>
        <v>0</v>
      </c>
      <c r="T852" s="12"/>
      <c r="U852" s="12"/>
      <c r="V852" s="12"/>
      <c r="W852" s="12">
        <f t="shared" si="230"/>
        <v>0</v>
      </c>
      <c r="Y852" s="10">
        <v>16</v>
      </c>
      <c r="Z852" s="30"/>
      <c r="AA852" s="11"/>
      <c r="AB852" s="32"/>
      <c r="AC852" s="32"/>
      <c r="AD852" s="32"/>
      <c r="AE852" s="32">
        <f t="shared" si="231"/>
        <v>0</v>
      </c>
      <c r="AF852" s="12"/>
      <c r="AG852" s="12"/>
      <c r="AH852" s="12"/>
      <c r="AI852" s="12">
        <f t="shared" si="232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83"/>
      <c r="D853" s="32"/>
      <c r="E853" s="32"/>
      <c r="F853" s="32"/>
      <c r="G853" s="32">
        <f t="shared" si="227"/>
        <v>0</v>
      </c>
      <c r="H853" s="12"/>
      <c r="I853" s="12"/>
      <c r="J853" s="12"/>
      <c r="K853" s="12">
        <f t="shared" si="228"/>
        <v>0</v>
      </c>
      <c r="M853" s="10">
        <v>17</v>
      </c>
      <c r="N853" s="30"/>
      <c r="O853" s="31"/>
      <c r="P853" s="35"/>
      <c r="Q853" s="32"/>
      <c r="R853" s="32"/>
      <c r="S853" s="32">
        <f t="shared" si="229"/>
        <v>0</v>
      </c>
      <c r="T853" s="12"/>
      <c r="U853" s="12"/>
      <c r="V853" s="12"/>
      <c r="W853" s="12">
        <f t="shared" si="230"/>
        <v>0</v>
      </c>
      <c r="Y853" s="10">
        <v>17</v>
      </c>
      <c r="Z853" s="30"/>
      <c r="AA853" s="31"/>
      <c r="AB853" s="35"/>
      <c r="AC853" s="32"/>
      <c r="AD853" s="32"/>
      <c r="AE853" s="32">
        <f t="shared" si="231"/>
        <v>0</v>
      </c>
      <c r="AF853" s="12"/>
      <c r="AG853" s="12"/>
      <c r="AH853" s="12"/>
      <c r="AI853" s="12">
        <f t="shared" si="232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83"/>
      <c r="D854" s="32"/>
      <c r="E854" s="32"/>
      <c r="F854" s="32"/>
      <c r="G854" s="32">
        <f t="shared" si="227"/>
        <v>0</v>
      </c>
      <c r="H854" s="12"/>
      <c r="I854" s="12"/>
      <c r="J854" s="12"/>
      <c r="K854" s="12">
        <f t="shared" si="228"/>
        <v>0</v>
      </c>
      <c r="M854" s="10">
        <v>18</v>
      </c>
      <c r="N854" s="30"/>
      <c r="O854" s="31"/>
      <c r="P854" s="32"/>
      <c r="Q854" s="32"/>
      <c r="R854" s="32"/>
      <c r="S854" s="32">
        <f t="shared" si="229"/>
        <v>0</v>
      </c>
      <c r="T854" s="12"/>
      <c r="U854" s="12"/>
      <c r="V854" s="12"/>
      <c r="W854" s="12">
        <f t="shared" si="230"/>
        <v>0</v>
      </c>
      <c r="Y854" s="10">
        <v>18</v>
      </c>
      <c r="Z854" s="30"/>
      <c r="AB854" s="32"/>
      <c r="AC854" s="32"/>
      <c r="AD854" s="32"/>
      <c r="AE854" s="32">
        <f t="shared" si="231"/>
        <v>0</v>
      </c>
      <c r="AF854" s="12"/>
      <c r="AG854" s="12"/>
      <c r="AH854" s="12"/>
      <c r="AI854" s="12">
        <f t="shared" si="232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83"/>
      <c r="D855" s="32"/>
      <c r="E855" s="32"/>
      <c r="F855" s="32"/>
      <c r="G855" s="32">
        <f t="shared" si="227"/>
        <v>0</v>
      </c>
      <c r="H855" s="12"/>
      <c r="I855" s="12"/>
      <c r="J855" s="12"/>
      <c r="K855" s="12">
        <f t="shared" si="228"/>
        <v>0</v>
      </c>
      <c r="M855" s="10">
        <v>19</v>
      </c>
      <c r="N855" s="30"/>
      <c r="O855" s="31"/>
      <c r="P855" s="32"/>
      <c r="Q855" s="32"/>
      <c r="R855" s="32"/>
      <c r="S855" s="32">
        <f t="shared" si="229"/>
        <v>0</v>
      </c>
      <c r="T855" s="12"/>
      <c r="U855" s="12"/>
      <c r="V855" s="12"/>
      <c r="W855" s="12">
        <f t="shared" si="230"/>
        <v>0</v>
      </c>
      <c r="Y855" s="10">
        <v>19</v>
      </c>
      <c r="Z855" s="30"/>
      <c r="AA855" s="31"/>
      <c r="AB855" s="32"/>
      <c r="AC855" s="32"/>
      <c r="AD855" s="32"/>
      <c r="AE855" s="32">
        <f t="shared" si="231"/>
        <v>0</v>
      </c>
      <c r="AF855" s="12"/>
      <c r="AG855" s="12"/>
      <c r="AH855" s="12"/>
      <c r="AI855" s="12">
        <f t="shared" si="232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83"/>
      <c r="D856" s="32"/>
      <c r="E856" s="32"/>
      <c r="F856" s="32"/>
      <c r="G856" s="32">
        <f t="shared" si="227"/>
        <v>0</v>
      </c>
      <c r="H856" s="12"/>
      <c r="I856" s="12"/>
      <c r="J856" s="12"/>
      <c r="K856" s="12">
        <f t="shared" si="228"/>
        <v>0</v>
      </c>
      <c r="M856" s="10">
        <v>20</v>
      </c>
      <c r="N856" s="30"/>
      <c r="O856" s="31"/>
      <c r="P856" s="32"/>
      <c r="Q856" s="32"/>
      <c r="R856" s="32"/>
      <c r="S856" s="32">
        <f t="shared" si="229"/>
        <v>0</v>
      </c>
      <c r="T856" s="12"/>
      <c r="U856" s="12"/>
      <c r="V856" s="12"/>
      <c r="W856" s="12">
        <f t="shared" si="230"/>
        <v>0</v>
      </c>
      <c r="Y856" s="10">
        <v>20</v>
      </c>
      <c r="Z856" s="30"/>
      <c r="AA856" s="31"/>
      <c r="AB856" s="32"/>
      <c r="AC856" s="32"/>
      <c r="AD856" s="32"/>
      <c r="AE856" s="32">
        <f t="shared" si="231"/>
        <v>0</v>
      </c>
      <c r="AF856" s="12"/>
      <c r="AG856" s="12"/>
      <c r="AH856" s="12"/>
      <c r="AI856" s="12">
        <f t="shared" si="232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57"/>
      <c r="D857" s="32"/>
      <c r="E857" s="32"/>
      <c r="F857" s="32"/>
      <c r="G857" s="32">
        <f t="shared" si="227"/>
        <v>0</v>
      </c>
      <c r="H857" s="10"/>
      <c r="I857" s="10"/>
      <c r="J857" s="10"/>
      <c r="K857" s="12">
        <f t="shared" si="228"/>
        <v>0</v>
      </c>
      <c r="M857" s="10">
        <v>21</v>
      </c>
      <c r="N857" s="30"/>
      <c r="O857" s="31"/>
      <c r="P857" s="46"/>
      <c r="Q857" s="31"/>
      <c r="R857" s="31"/>
      <c r="S857" s="32">
        <f t="shared" si="229"/>
        <v>0</v>
      </c>
      <c r="T857" s="10"/>
      <c r="U857" s="10"/>
      <c r="V857" s="10"/>
      <c r="W857" s="12">
        <f t="shared" si="230"/>
        <v>0</v>
      </c>
      <c r="Y857" s="10">
        <v>21</v>
      </c>
      <c r="Z857" s="30"/>
      <c r="AA857" s="31"/>
      <c r="AB857" s="46"/>
      <c r="AC857" s="31"/>
      <c r="AD857" s="31"/>
      <c r="AE857" s="32">
        <f t="shared" si="231"/>
        <v>0</v>
      </c>
      <c r="AF857" s="10"/>
      <c r="AG857" s="10"/>
      <c r="AH857" s="10"/>
      <c r="AI857" s="12">
        <f t="shared" si="232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57"/>
      <c r="D858" s="32"/>
      <c r="E858" s="32"/>
      <c r="F858" s="32"/>
      <c r="G858" s="32">
        <f t="shared" si="227"/>
        <v>0</v>
      </c>
      <c r="H858" s="10"/>
      <c r="I858" s="10"/>
      <c r="J858" s="10"/>
      <c r="K858" s="12">
        <f t="shared" si="228"/>
        <v>0</v>
      </c>
      <c r="M858" s="10">
        <v>22</v>
      </c>
      <c r="N858" s="30"/>
      <c r="O858" s="31"/>
      <c r="P858" s="45"/>
      <c r="Q858" s="31"/>
      <c r="R858" s="31"/>
      <c r="S858" s="32">
        <f t="shared" si="229"/>
        <v>0</v>
      </c>
      <c r="T858" s="10"/>
      <c r="U858" s="10"/>
      <c r="V858" s="10"/>
      <c r="W858" s="12">
        <f t="shared" si="230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31"/>
        <v>0</v>
      </c>
      <c r="AF858" s="10"/>
      <c r="AG858" s="10"/>
      <c r="AH858" s="10"/>
      <c r="AI858" s="12">
        <f t="shared" si="232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83"/>
      <c r="D859" s="32"/>
      <c r="E859" s="32"/>
      <c r="F859" s="32"/>
      <c r="G859" s="32">
        <f t="shared" si="227"/>
        <v>0</v>
      </c>
      <c r="H859" s="10"/>
      <c r="I859" s="10"/>
      <c r="J859" s="12"/>
      <c r="K859" s="12">
        <f t="shared" si="228"/>
        <v>0</v>
      </c>
      <c r="M859" s="10">
        <v>23</v>
      </c>
      <c r="N859" s="30"/>
      <c r="O859" s="31"/>
      <c r="P859" s="47"/>
      <c r="Q859" s="31"/>
      <c r="S859" s="32">
        <f t="shared" si="229"/>
        <v>0</v>
      </c>
      <c r="T859" s="10"/>
      <c r="U859" s="10"/>
      <c r="V859" s="10"/>
      <c r="W859" s="12">
        <f t="shared" si="230"/>
        <v>0</v>
      </c>
      <c r="Y859" s="10">
        <v>23</v>
      </c>
      <c r="Z859" s="30"/>
      <c r="AA859" s="31"/>
      <c r="AB859" s="47"/>
      <c r="AE859" s="32">
        <f t="shared" si="231"/>
        <v>0</v>
      </c>
      <c r="AF859" s="10"/>
      <c r="AG859" s="10"/>
      <c r="AH859" s="10"/>
      <c r="AI859" s="12">
        <f t="shared" si="232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83"/>
      <c r="D860" s="32"/>
      <c r="E860" s="32"/>
      <c r="F860" s="32"/>
      <c r="G860" s="32">
        <f t="shared" si="227"/>
        <v>0</v>
      </c>
      <c r="H860" s="10"/>
      <c r="I860" s="10"/>
      <c r="J860" s="10"/>
      <c r="K860" s="12">
        <f t="shared" si="228"/>
        <v>0</v>
      </c>
      <c r="M860" s="10">
        <v>24</v>
      </c>
      <c r="N860" s="30"/>
      <c r="O860" s="31"/>
      <c r="P860" s="47"/>
      <c r="Q860" s="31"/>
      <c r="R860" s="31"/>
      <c r="S860" s="32">
        <f t="shared" si="229"/>
        <v>0</v>
      </c>
      <c r="T860" s="10"/>
      <c r="U860" s="10"/>
      <c r="V860" s="10"/>
      <c r="W860" s="12">
        <f t="shared" si="230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31"/>
        <v>0</v>
      </c>
      <c r="AF860" s="10"/>
      <c r="AG860" s="10"/>
      <c r="AH860" s="10"/>
      <c r="AI860" s="12">
        <f t="shared" si="232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83"/>
      <c r="D861" s="32"/>
      <c r="E861" s="32"/>
      <c r="F861" s="32"/>
      <c r="G861" s="32">
        <f t="shared" si="227"/>
        <v>0</v>
      </c>
      <c r="H861" s="10"/>
      <c r="I861" s="10"/>
      <c r="J861" s="10"/>
      <c r="K861" s="12">
        <f t="shared" si="228"/>
        <v>0</v>
      </c>
      <c r="M861" s="10">
        <v>25</v>
      </c>
      <c r="N861" s="30"/>
      <c r="O861" s="31"/>
      <c r="P861" s="47"/>
      <c r="Q861" s="31"/>
      <c r="R861" s="31"/>
      <c r="S861" s="32">
        <f t="shared" si="229"/>
        <v>0</v>
      </c>
      <c r="T861" s="10"/>
      <c r="U861" s="10"/>
      <c r="V861" s="10"/>
      <c r="W861" s="12">
        <f t="shared" si="230"/>
        <v>0</v>
      </c>
      <c r="Y861" s="10">
        <v>25</v>
      </c>
      <c r="Z861" s="30"/>
      <c r="AA861" s="31"/>
      <c r="AB861" s="47"/>
      <c r="AC861" s="31"/>
      <c r="AD861" s="31"/>
      <c r="AE861" s="32">
        <f t="shared" si="231"/>
        <v>0</v>
      </c>
      <c r="AF861" s="10"/>
      <c r="AG861" s="10"/>
      <c r="AH861" s="10"/>
      <c r="AI861" s="12">
        <f t="shared" si="232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83"/>
      <c r="D862" s="32"/>
      <c r="E862" s="32"/>
      <c r="F862" s="32"/>
      <c r="G862" s="32">
        <f t="shared" si="227"/>
        <v>0</v>
      </c>
      <c r="H862" s="10"/>
      <c r="I862" s="10"/>
      <c r="J862" s="10"/>
      <c r="K862" s="12">
        <f t="shared" si="228"/>
        <v>0</v>
      </c>
      <c r="M862" s="10">
        <v>26</v>
      </c>
      <c r="N862" s="30"/>
      <c r="O862" s="31"/>
      <c r="P862" s="47"/>
      <c r="Q862" s="31"/>
      <c r="R862" s="31"/>
      <c r="S862" s="32">
        <f t="shared" si="229"/>
        <v>0</v>
      </c>
      <c r="T862" s="10"/>
      <c r="U862" s="10"/>
      <c r="V862" s="10"/>
      <c r="W862" s="12">
        <f t="shared" si="230"/>
        <v>0</v>
      </c>
      <c r="Y862" s="10">
        <v>26</v>
      </c>
      <c r="Z862" s="30"/>
      <c r="AA862" s="31"/>
      <c r="AB862" s="47"/>
      <c r="AC862" s="31"/>
      <c r="AD862" s="31"/>
      <c r="AE862" s="32">
        <f t="shared" si="231"/>
        <v>0</v>
      </c>
      <c r="AF862" s="10"/>
      <c r="AG862" s="10"/>
      <c r="AH862" s="10"/>
      <c r="AI862" s="12">
        <f t="shared" si="232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83"/>
      <c r="D863" s="32"/>
      <c r="E863" s="32"/>
      <c r="F863" s="32"/>
      <c r="G863" s="32">
        <f t="shared" si="227"/>
        <v>0</v>
      </c>
      <c r="H863" s="10"/>
      <c r="I863" s="10"/>
      <c r="J863" s="10"/>
      <c r="K863" s="12">
        <f t="shared" si="228"/>
        <v>0</v>
      </c>
      <c r="M863" s="10">
        <v>27</v>
      </c>
      <c r="N863" s="30"/>
      <c r="O863" s="31"/>
      <c r="P863" s="47"/>
      <c r="Q863" s="31"/>
      <c r="R863" s="31"/>
      <c r="S863" s="32">
        <f t="shared" si="229"/>
        <v>0</v>
      </c>
      <c r="T863" s="10"/>
      <c r="U863" s="10"/>
      <c r="V863" s="10"/>
      <c r="W863" s="12">
        <f t="shared" si="230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31"/>
        <v>0</v>
      </c>
      <c r="AF863" s="10"/>
      <c r="AG863" s="10"/>
      <c r="AH863" s="10"/>
      <c r="AI863" s="12">
        <f t="shared" si="232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83"/>
      <c r="D864" s="32"/>
      <c r="E864" s="32"/>
      <c r="F864" s="32"/>
      <c r="G864" s="32">
        <f t="shared" si="227"/>
        <v>0</v>
      </c>
      <c r="H864" s="10"/>
      <c r="I864" s="10"/>
      <c r="J864" s="10"/>
      <c r="K864" s="12">
        <f t="shared" si="228"/>
        <v>0</v>
      </c>
      <c r="M864" s="10">
        <v>28</v>
      </c>
      <c r="N864" s="30"/>
      <c r="O864" s="31"/>
      <c r="P864" s="47"/>
      <c r="Q864" s="31"/>
      <c r="R864" s="31"/>
      <c r="S864" s="32">
        <f t="shared" si="229"/>
        <v>0</v>
      </c>
      <c r="T864" s="10"/>
      <c r="U864" s="10"/>
      <c r="V864" s="10"/>
      <c r="W864" s="12">
        <f t="shared" si="230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31"/>
        <v>0</v>
      </c>
      <c r="AF864" s="10"/>
      <c r="AG864" s="10"/>
      <c r="AH864" s="10"/>
      <c r="AI864" s="12">
        <f t="shared" si="232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83"/>
      <c r="D865" s="32"/>
      <c r="E865" s="32"/>
      <c r="F865" s="32"/>
      <c r="G865" s="32">
        <f t="shared" si="227"/>
        <v>0</v>
      </c>
      <c r="H865" s="10"/>
      <c r="I865" s="10"/>
      <c r="J865" s="10"/>
      <c r="K865" s="12">
        <f t="shared" si="228"/>
        <v>0</v>
      </c>
      <c r="M865" s="10">
        <v>29</v>
      </c>
      <c r="N865" s="30"/>
      <c r="O865" s="31"/>
      <c r="P865" s="47"/>
      <c r="Q865" s="31"/>
      <c r="R865" s="31"/>
      <c r="S865" s="32">
        <f t="shared" si="229"/>
        <v>0</v>
      </c>
      <c r="T865" s="10"/>
      <c r="U865" s="10"/>
      <c r="V865" s="10"/>
      <c r="W865" s="12">
        <f t="shared" si="230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31"/>
        <v>0</v>
      </c>
      <c r="AF865" s="10"/>
      <c r="AG865" s="10"/>
      <c r="AH865" s="10"/>
      <c r="AI865" s="12">
        <f t="shared" si="232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83"/>
      <c r="D866" s="32"/>
      <c r="E866" s="32"/>
      <c r="F866" s="32"/>
      <c r="G866" s="32">
        <f t="shared" si="227"/>
        <v>0</v>
      </c>
      <c r="H866" s="10"/>
      <c r="I866" s="10"/>
      <c r="J866" s="10"/>
      <c r="K866" s="12">
        <f t="shared" si="228"/>
        <v>0</v>
      </c>
      <c r="M866" s="10">
        <v>30</v>
      </c>
      <c r="N866" s="30"/>
      <c r="O866" s="31"/>
      <c r="P866" s="47"/>
      <c r="Q866" s="31"/>
      <c r="R866" s="31"/>
      <c r="S866" s="32">
        <f t="shared" si="229"/>
        <v>0</v>
      </c>
      <c r="T866" s="10"/>
      <c r="U866" s="10"/>
      <c r="V866" s="10"/>
      <c r="W866" s="12">
        <f t="shared" si="230"/>
        <v>0</v>
      </c>
      <c r="Y866" s="10">
        <v>30</v>
      </c>
      <c r="Z866" s="30"/>
      <c r="AB866" s="47"/>
      <c r="AC866" s="31"/>
      <c r="AD866" s="31"/>
      <c r="AE866" s="32">
        <f t="shared" si="231"/>
        <v>0</v>
      </c>
      <c r="AF866" s="10"/>
      <c r="AG866" s="10"/>
      <c r="AH866" s="10"/>
      <c r="AI866" s="12">
        <f t="shared" si="232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83"/>
      <c r="D867" s="32"/>
      <c r="E867" s="32"/>
      <c r="F867" s="32"/>
      <c r="G867" s="32">
        <f t="shared" si="227"/>
        <v>0</v>
      </c>
      <c r="H867" s="10"/>
      <c r="I867" s="10"/>
      <c r="J867" s="10"/>
      <c r="K867" s="12">
        <f t="shared" si="228"/>
        <v>0</v>
      </c>
      <c r="M867" s="10">
        <v>31</v>
      </c>
      <c r="N867" s="30"/>
      <c r="O867" s="31"/>
      <c r="P867" s="47"/>
      <c r="Q867" s="31"/>
      <c r="R867" s="31"/>
      <c r="S867" s="32">
        <f t="shared" si="229"/>
        <v>0</v>
      </c>
      <c r="T867" s="10"/>
      <c r="U867" s="10"/>
      <c r="V867" s="10"/>
      <c r="W867" s="12">
        <f t="shared" si="230"/>
        <v>0</v>
      </c>
      <c r="Y867" s="10">
        <v>31</v>
      </c>
      <c r="Z867" s="30"/>
      <c r="AA867" s="31"/>
      <c r="AB867" s="47"/>
      <c r="AC867" s="31"/>
      <c r="AD867" s="31"/>
      <c r="AE867" s="32">
        <f t="shared" si="231"/>
        <v>0</v>
      </c>
      <c r="AF867" s="10"/>
      <c r="AG867" s="10"/>
      <c r="AH867" s="10"/>
      <c r="AI867" s="12">
        <f t="shared" si="232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83"/>
      <c r="D868" s="32"/>
      <c r="E868" s="32"/>
      <c r="F868" s="32"/>
      <c r="G868" s="32">
        <f t="shared" si="227"/>
        <v>0</v>
      </c>
      <c r="H868" s="10"/>
      <c r="I868" s="10"/>
      <c r="J868" s="10"/>
      <c r="K868" s="12">
        <f t="shared" si="228"/>
        <v>0</v>
      </c>
      <c r="M868" s="10">
        <v>32</v>
      </c>
      <c r="N868" s="30"/>
      <c r="O868" s="31"/>
      <c r="P868" s="47"/>
      <c r="Q868" s="31"/>
      <c r="R868" s="31"/>
      <c r="S868" s="32">
        <f t="shared" si="229"/>
        <v>0</v>
      </c>
      <c r="T868" s="10"/>
      <c r="U868" s="10"/>
      <c r="V868" s="10"/>
      <c r="W868" s="12">
        <f t="shared" si="230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31"/>
        <v>0</v>
      </c>
      <c r="AF868" s="10"/>
      <c r="AG868" s="10"/>
      <c r="AH868" s="10"/>
      <c r="AI868" s="12">
        <f t="shared" si="232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83"/>
      <c r="D869" s="32"/>
      <c r="E869" s="32"/>
      <c r="F869" s="32"/>
      <c r="G869" s="32">
        <f t="shared" si="227"/>
        <v>0</v>
      </c>
      <c r="H869" s="10"/>
      <c r="I869" s="10"/>
      <c r="J869" s="10"/>
      <c r="K869" s="12">
        <f t="shared" si="228"/>
        <v>0</v>
      </c>
      <c r="M869" s="10">
        <v>33</v>
      </c>
      <c r="N869" s="30"/>
      <c r="O869" s="31"/>
      <c r="P869" s="47"/>
      <c r="Q869" s="31"/>
      <c r="R869" s="31"/>
      <c r="S869" s="32">
        <f t="shared" si="229"/>
        <v>0</v>
      </c>
      <c r="T869" s="10"/>
      <c r="U869" s="10"/>
      <c r="V869" s="10"/>
      <c r="W869" s="12">
        <f t="shared" si="230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31"/>
        <v>0</v>
      </c>
      <c r="AF869" s="10"/>
      <c r="AG869" s="10"/>
      <c r="AH869" s="10"/>
      <c r="AI869" s="12">
        <f t="shared" si="232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83"/>
      <c r="D870" s="32"/>
      <c r="E870" s="32"/>
      <c r="F870" s="32"/>
      <c r="G870" s="32">
        <f t="shared" si="227"/>
        <v>0</v>
      </c>
      <c r="H870" s="10"/>
      <c r="I870" s="10"/>
      <c r="J870" s="10"/>
      <c r="K870" s="12">
        <f t="shared" si="228"/>
        <v>0</v>
      </c>
      <c r="M870" s="10">
        <v>34</v>
      </c>
      <c r="N870" s="30"/>
      <c r="O870" s="31"/>
      <c r="P870" s="47"/>
      <c r="Q870" s="31"/>
      <c r="R870" s="31"/>
      <c r="S870" s="32">
        <f t="shared" si="229"/>
        <v>0</v>
      </c>
      <c r="T870" s="10"/>
      <c r="U870" s="10"/>
      <c r="V870" s="10"/>
      <c r="W870" s="12">
        <f t="shared" si="230"/>
        <v>0</v>
      </c>
      <c r="Y870" s="10">
        <v>34</v>
      </c>
      <c r="Z870" s="30"/>
      <c r="AA870" s="31"/>
      <c r="AB870" s="47"/>
      <c r="AC870" s="31"/>
      <c r="AD870" s="31"/>
      <c r="AE870" s="32">
        <f t="shared" si="231"/>
        <v>0</v>
      </c>
      <c r="AF870" s="10"/>
      <c r="AG870" s="10"/>
      <c r="AH870" s="10"/>
      <c r="AI870" s="12">
        <f t="shared" si="232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83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P871" s="47"/>
      <c r="Q871" s="31"/>
      <c r="R871" s="31"/>
      <c r="S871" s="32">
        <f t="shared" si="229"/>
        <v>0</v>
      </c>
      <c r="T871" s="10"/>
      <c r="U871" s="10"/>
      <c r="V871" s="10"/>
      <c r="W871" s="12">
        <f t="shared" si="230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31"/>
        <v>0</v>
      </c>
      <c r="AF871" s="10"/>
      <c r="AG871" s="10"/>
      <c r="AH871" s="10"/>
      <c r="AI871" s="12">
        <f t="shared" si="232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83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29"/>
        <v>0</v>
      </c>
      <c r="T872" s="10"/>
      <c r="U872" s="10"/>
      <c r="V872" s="10"/>
      <c r="W872" s="12">
        <f t="shared" si="230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31"/>
        <v>0</v>
      </c>
      <c r="AF872" s="10"/>
      <c r="AG872" s="10"/>
      <c r="AH872" s="10"/>
      <c r="AI872" s="12">
        <f t="shared" si="232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O873" s="31"/>
      <c r="P873" s="47"/>
      <c r="Q873" s="31"/>
      <c r="R873" s="31"/>
      <c r="S873" s="32">
        <f t="shared" si="229"/>
        <v>0</v>
      </c>
      <c r="T873" s="10"/>
      <c r="U873" s="10"/>
      <c r="V873" s="10"/>
      <c r="W873" s="12">
        <f t="shared" si="230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31"/>
        <v>0</v>
      </c>
      <c r="AF873" s="10"/>
      <c r="AG873" s="10"/>
      <c r="AH873" s="10"/>
      <c r="AI873" s="12">
        <f t="shared" si="232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29"/>
        <v>0</v>
      </c>
      <c r="T874" s="10"/>
      <c r="U874" s="10"/>
      <c r="V874" s="10"/>
      <c r="W874" s="12">
        <f t="shared" si="230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31"/>
        <v>0</v>
      </c>
      <c r="AF874" s="10"/>
      <c r="AG874" s="10"/>
      <c r="AH874" s="10"/>
      <c r="AI874" s="12">
        <f t="shared" si="232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29"/>
        <v>0</v>
      </c>
      <c r="T875" s="10"/>
      <c r="U875" s="10"/>
      <c r="V875" s="10"/>
      <c r="W875" s="12">
        <f t="shared" si="230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31"/>
        <v>0</v>
      </c>
      <c r="AF875" s="10"/>
      <c r="AG875" s="10"/>
      <c r="AH875" s="10"/>
      <c r="AI875" s="12">
        <f t="shared" si="232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30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32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36">SUM(D877:E877)</f>
        <v>0</v>
      </c>
      <c r="H877" s="10"/>
      <c r="I877" s="10"/>
      <c r="J877" s="10"/>
      <c r="K877" s="12">
        <f t="shared" ref="K877" si="237">SUM(G877:J877)</f>
        <v>0</v>
      </c>
      <c r="M877" s="10"/>
      <c r="N877" s="30"/>
      <c r="O877" s="31"/>
      <c r="P877" s="47"/>
      <c r="Q877" s="31"/>
      <c r="R877" s="31"/>
      <c r="S877" s="32">
        <f t="shared" ref="S877" si="238">SUM(P877:Q877)</f>
        <v>0</v>
      </c>
      <c r="T877" s="10"/>
      <c r="U877" s="10"/>
      <c r="V877" s="10"/>
      <c r="W877" s="12">
        <f t="shared" si="230"/>
        <v>0</v>
      </c>
      <c r="Y877" s="10"/>
      <c r="Z877" s="30"/>
      <c r="AA877" s="31"/>
      <c r="AB877" s="47"/>
      <c r="AC877" s="31"/>
      <c r="AD877" s="31"/>
      <c r="AE877" s="32">
        <f t="shared" ref="AE877" si="239">SUM(AB877:AC877)</f>
        <v>0</v>
      </c>
      <c r="AF877" s="10"/>
      <c r="AG877" s="10"/>
      <c r="AH877" s="10"/>
      <c r="AI877" s="12">
        <f t="shared" si="232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30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32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293210.5</v>
      </c>
      <c r="E880" s="38">
        <f t="shared" ref="E880:F880" si="240">SUM(E837:E877)</f>
        <v>0</v>
      </c>
      <c r="F880" s="38">
        <f t="shared" si="240"/>
        <v>0</v>
      </c>
      <c r="G880" s="38">
        <f>SUM(G837:G879)</f>
        <v>293210.5</v>
      </c>
      <c r="H880" s="4"/>
      <c r="I880" s="39">
        <f>SUM(I837:I879)</f>
        <v>0</v>
      </c>
      <c r="J880" s="39">
        <f>SUM(J837:J879)</f>
        <v>-2910</v>
      </c>
      <c r="K880" s="40">
        <f>SUM(K837:K879)</f>
        <v>290300.5</v>
      </c>
      <c r="N880" s="57"/>
      <c r="O880" s="57"/>
      <c r="P880" s="38">
        <f>SUM(P837:P879)</f>
        <v>293737.5</v>
      </c>
      <c r="Q880" s="38">
        <f>SUM(Q837:Q861)</f>
        <v>-648</v>
      </c>
      <c r="R880" s="38">
        <f>SUM(R837:R861)</f>
        <v>0</v>
      </c>
      <c r="S880" s="38">
        <f>SUM(S837:S879)</f>
        <v>293089.5</v>
      </c>
      <c r="T880" s="4"/>
      <c r="U880" s="41">
        <f>SUM(U837:U879)</f>
        <v>1593</v>
      </c>
      <c r="V880" s="41">
        <f>SUM(V837:V861)</f>
        <v>-1893</v>
      </c>
      <c r="W880" s="42">
        <f>SUM(W837:W879)</f>
        <v>292789.5</v>
      </c>
      <c r="Z880" s="57"/>
      <c r="AA880" s="57"/>
      <c r="AB880" s="38">
        <f>SUM(AB837:AB879)</f>
        <v>267404</v>
      </c>
      <c r="AC880" s="38">
        <f>SUM(AC837:AC861)</f>
        <v>-2052</v>
      </c>
      <c r="AD880" s="38">
        <f>SUM(AD837:AD861)</f>
        <v>0</v>
      </c>
      <c r="AE880" s="38">
        <f>SUM(AE837:AE879)</f>
        <v>265352</v>
      </c>
      <c r="AF880" s="4"/>
      <c r="AG880" s="41">
        <f>SUM(AG837:AG879)</f>
        <v>12</v>
      </c>
      <c r="AH880" s="41">
        <f>SUM(AH837:AH861)</f>
        <v>-1776</v>
      </c>
      <c r="AI880" s="42">
        <f>SUM(AI837:AI879)</f>
        <v>263588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t="s">
        <v>0</v>
      </c>
      <c r="B882" s="57"/>
      <c r="C882" s="57"/>
      <c r="D882" s="57"/>
      <c r="E882" s="57"/>
      <c r="G882" s="57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28</v>
      </c>
      <c r="B883" s="57"/>
      <c r="C883" s="57"/>
      <c r="D883" s="57"/>
      <c r="E883" s="57"/>
      <c r="G883" s="57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B884" s="57"/>
      <c r="C884" s="57"/>
      <c r="D884" s="57"/>
      <c r="E884" s="57"/>
      <c r="G884" s="57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4" t="s">
        <v>14</v>
      </c>
      <c r="B885" s="57"/>
      <c r="C885" s="57"/>
      <c r="D885" s="57"/>
      <c r="E885" s="57"/>
      <c r="G885" s="57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B886" s="57"/>
      <c r="C886" s="57"/>
      <c r="D886" s="57"/>
      <c r="E886" s="57"/>
      <c r="G886" s="57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t="s">
        <v>34</v>
      </c>
      <c r="B887" s="57"/>
      <c r="C887" s="57"/>
      <c r="D887" s="57"/>
      <c r="E887" s="57"/>
      <c r="G887" s="57"/>
      <c r="I887" s="57" t="s">
        <v>15</v>
      </c>
      <c r="J887" s="19">
        <v>1</v>
      </c>
      <c r="M887" t="s">
        <v>34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34</v>
      </c>
      <c r="Z887" s="57"/>
      <c r="AA887" s="57"/>
      <c r="AB887" s="57"/>
      <c r="AC887" s="57"/>
      <c r="AD887" s="57"/>
      <c r="AE887" s="57"/>
      <c r="AG887" s="57" t="s">
        <v>15</v>
      </c>
      <c r="AH887" s="20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21" t="s">
        <v>83</v>
      </c>
      <c r="B888" s="20"/>
      <c r="C888" s="57"/>
      <c r="D888" s="57"/>
      <c r="E888" s="57"/>
      <c r="G888" s="57"/>
      <c r="I888" s="22" t="s">
        <v>16</v>
      </c>
      <c r="J888" s="23" t="s">
        <v>31</v>
      </c>
      <c r="K888" s="24"/>
      <c r="M888" s="21" t="s">
        <v>83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33</v>
      </c>
      <c r="W888" s="24"/>
      <c r="Y888" s="21" t="s">
        <v>83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35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B889" s="57"/>
      <c r="C889" s="57"/>
      <c r="D889" s="57"/>
      <c r="E889" s="57"/>
      <c r="G889" s="57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25"/>
      <c r="C890" s="26"/>
      <c r="D890" s="116" t="s">
        <v>17</v>
      </c>
      <c r="E890" s="116"/>
      <c r="F890" s="107"/>
      <c r="G890" s="27"/>
      <c r="I890" s="117" t="s">
        <v>18</v>
      </c>
      <c r="J890" s="118"/>
      <c r="K890" s="112" t="s">
        <v>19</v>
      </c>
      <c r="N890" s="25"/>
      <c r="O890" s="26"/>
      <c r="P890" s="116" t="s">
        <v>17</v>
      </c>
      <c r="Q890" s="116"/>
      <c r="R890" s="107"/>
      <c r="S890" s="27"/>
      <c r="U890" s="117" t="s">
        <v>18</v>
      </c>
      <c r="V890" s="118"/>
      <c r="W890" s="112" t="s">
        <v>19</v>
      </c>
      <c r="Z890" s="25"/>
      <c r="AA890" s="26"/>
      <c r="AB890" s="116" t="s">
        <v>17</v>
      </c>
      <c r="AC890" s="116"/>
      <c r="AD890" s="107"/>
      <c r="AE890" s="27"/>
      <c r="AG890" s="117" t="s">
        <v>18</v>
      </c>
      <c r="AH890" s="118"/>
      <c r="AI890" s="112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B891" s="28" t="s">
        <v>20</v>
      </c>
      <c r="C891" s="28" t="s">
        <v>21</v>
      </c>
      <c r="D891" s="77" t="s">
        <v>22</v>
      </c>
      <c r="E891" s="76" t="s">
        <v>23</v>
      </c>
      <c r="F891" s="78" t="s">
        <v>32</v>
      </c>
      <c r="G891" s="78" t="s">
        <v>24</v>
      </c>
      <c r="I891" s="29" t="s">
        <v>25</v>
      </c>
      <c r="J891" s="29" t="s">
        <v>26</v>
      </c>
      <c r="K891" s="113"/>
      <c r="N891" s="28" t="s">
        <v>20</v>
      </c>
      <c r="O891" s="28" t="s">
        <v>21</v>
      </c>
      <c r="P891" s="77" t="s">
        <v>22</v>
      </c>
      <c r="Q891" s="78" t="s">
        <v>23</v>
      </c>
      <c r="R891" s="78" t="s">
        <v>32</v>
      </c>
      <c r="S891" s="78" t="s">
        <v>24</v>
      </c>
      <c r="U891" s="29" t="s">
        <v>25</v>
      </c>
      <c r="V891" s="29" t="s">
        <v>26</v>
      </c>
      <c r="W891" s="113"/>
      <c r="Z891" s="28" t="s">
        <v>20</v>
      </c>
      <c r="AA891" s="28" t="s">
        <v>21</v>
      </c>
      <c r="AB891" s="77" t="s">
        <v>22</v>
      </c>
      <c r="AC891" s="78" t="s">
        <v>23</v>
      </c>
      <c r="AD891" s="78" t="s">
        <v>32</v>
      </c>
      <c r="AE891" s="78" t="s">
        <v>24</v>
      </c>
      <c r="AG891" s="29" t="s">
        <v>25</v>
      </c>
      <c r="AH891" s="29" t="s">
        <v>26</v>
      </c>
      <c r="AI891" s="113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10">
        <v>1</v>
      </c>
      <c r="B892" s="30" t="s">
        <v>84</v>
      </c>
      <c r="C892" s="83">
        <v>9805</v>
      </c>
      <c r="D892" s="32">
        <f>650*60</f>
        <v>39000</v>
      </c>
      <c r="E892" s="32"/>
      <c r="F892" s="32"/>
      <c r="G892" s="32">
        <f t="shared" ref="G892:G936" si="241">SUM(D892:E892)</f>
        <v>39000</v>
      </c>
      <c r="H892" s="12"/>
      <c r="I892" s="12"/>
      <c r="J892" s="12"/>
      <c r="K892" s="12">
        <f t="shared" ref="K892:K936" si="242">SUM(G892:J892)</f>
        <v>39000</v>
      </c>
      <c r="M892" s="10">
        <v>1</v>
      </c>
      <c r="N892" s="30" t="s">
        <v>84</v>
      </c>
      <c r="O892" s="31">
        <v>9738</v>
      </c>
      <c r="P892" s="32">
        <f>650*324+622*108+872+229*18+650*2</f>
        <v>284070</v>
      </c>
      <c r="Q892" s="32">
        <f>-433*6</f>
        <v>-2598</v>
      </c>
      <c r="R892" s="32"/>
      <c r="S892" s="32">
        <f>SUM(P892:Q892)</f>
        <v>281472</v>
      </c>
      <c r="T892" s="12"/>
      <c r="U892" s="12">
        <f>120+936</f>
        <v>1056</v>
      </c>
      <c r="V892" s="12">
        <v>-588</v>
      </c>
      <c r="W892" s="12">
        <f>SUM(S892:V892)</f>
        <v>281940</v>
      </c>
      <c r="Y892" s="10">
        <v>1</v>
      </c>
      <c r="Z892" s="30" t="s">
        <v>84</v>
      </c>
      <c r="AA892" s="31">
        <v>9691</v>
      </c>
      <c r="AB892" s="32">
        <f>650*20+670+622*6+229+650</f>
        <v>18281</v>
      </c>
      <c r="AC892" s="32"/>
      <c r="AD892" s="32"/>
      <c r="AE892" s="32">
        <f>SUM(AB892:AC892)</f>
        <v>18281</v>
      </c>
      <c r="AF892" s="12"/>
      <c r="AG892" s="12">
        <f>4.5*3+2.25+1.5*4</f>
        <v>21.75</v>
      </c>
      <c r="AH892" s="12"/>
      <c r="AI892" s="12">
        <f>SUM(AE892:AH892)</f>
        <v>18302.75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2</v>
      </c>
      <c r="B893" s="30" t="s">
        <v>84</v>
      </c>
      <c r="C893" s="83">
        <f>C892+1</f>
        <v>9806</v>
      </c>
      <c r="D893" s="32">
        <f>650*45</f>
        <v>29250</v>
      </c>
      <c r="E893" s="32"/>
      <c r="F893" s="32"/>
      <c r="G893" s="32">
        <f t="shared" si="241"/>
        <v>29250</v>
      </c>
      <c r="H893" s="12"/>
      <c r="I893" s="12"/>
      <c r="J893" s="12"/>
      <c r="K893" s="12">
        <f t="shared" si="242"/>
        <v>29250</v>
      </c>
      <c r="M893" s="10">
        <v>2</v>
      </c>
      <c r="N893" s="30" t="s">
        <v>84</v>
      </c>
      <c r="O893" s="31">
        <f>O892+1</f>
        <v>9739</v>
      </c>
      <c r="P893" s="32">
        <f>650*5+670+9.5*5</f>
        <v>3967.5</v>
      </c>
      <c r="Q893" s="32"/>
      <c r="R893" s="32"/>
      <c r="S893" s="32">
        <f t="shared" ref="S893:S936" si="243">SUM(P893:Q893)</f>
        <v>3967.5</v>
      </c>
      <c r="T893" s="12"/>
      <c r="U893" s="12"/>
      <c r="V893" s="12"/>
      <c r="W893" s="12">
        <f t="shared" ref="W893:W936" si="244">SUM(S893:V893)</f>
        <v>3967.5</v>
      </c>
      <c r="Y893" s="10">
        <v>2</v>
      </c>
      <c r="Z893" s="30" t="s">
        <v>84</v>
      </c>
      <c r="AA893" s="31">
        <f>AA892+1</f>
        <v>9692</v>
      </c>
      <c r="AB893" s="32">
        <f>650*50+622*10+229</f>
        <v>38949</v>
      </c>
      <c r="AC893" s="32"/>
      <c r="AD893" s="32"/>
      <c r="AE893" s="32">
        <f t="shared" ref="AE893:AE936" si="245">SUM(AB893:AC893)</f>
        <v>38949</v>
      </c>
      <c r="AF893" s="12"/>
      <c r="AG893" s="12">
        <f>94.5+16.5</f>
        <v>111</v>
      </c>
      <c r="AH893" s="12"/>
      <c r="AI893" s="12">
        <f t="shared" ref="AI893:AI936" si="246">SUM(AE893:AH893)</f>
        <v>39060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3</v>
      </c>
      <c r="B894" s="30" t="s">
        <v>84</v>
      </c>
      <c r="C894" s="83">
        <f t="shared" ref="C894:C906" si="247">C893+1</f>
        <v>9807</v>
      </c>
      <c r="D894" s="33">
        <f>1946+1175+2736+2100+2616+1175+1000+1300</f>
        <v>14048</v>
      </c>
      <c r="E894" s="33"/>
      <c r="F894" s="33"/>
      <c r="G894" s="33">
        <f t="shared" si="241"/>
        <v>14048</v>
      </c>
      <c r="H894" s="34"/>
      <c r="I894" s="34">
        <f>135*1.5</f>
        <v>202.5</v>
      </c>
      <c r="J894" s="34"/>
      <c r="K894" s="34">
        <f t="shared" si="242"/>
        <v>14250.5</v>
      </c>
      <c r="M894" s="10">
        <v>3</v>
      </c>
      <c r="N894" s="30" t="s">
        <v>84</v>
      </c>
      <c r="O894" s="31">
        <f t="shared" ref="O894:O901" si="248">O893+1</f>
        <v>9740</v>
      </c>
      <c r="P894" s="32">
        <f>650*15+622*2+872+500+650</f>
        <v>13016</v>
      </c>
      <c r="Q894" s="32"/>
      <c r="R894" s="32"/>
      <c r="S894" s="32">
        <f t="shared" si="243"/>
        <v>13016</v>
      </c>
      <c r="T894" s="12"/>
      <c r="U894" s="12"/>
      <c r="V894" s="12">
        <v>-111</v>
      </c>
      <c r="W894" s="12">
        <f t="shared" si="244"/>
        <v>12905</v>
      </c>
      <c r="Y894" s="10">
        <v>3</v>
      </c>
      <c r="Z894" s="30" t="s">
        <v>84</v>
      </c>
      <c r="AA894" s="31">
        <f t="shared" ref="AA894:AA899" si="249">AA893+1</f>
        <v>9693</v>
      </c>
      <c r="AB894" s="33">
        <f>650*216+229*6</f>
        <v>141774</v>
      </c>
      <c r="AC894" s="33">
        <f>-216*6</f>
        <v>-1296</v>
      </c>
      <c r="AD894" s="32"/>
      <c r="AE894" s="32">
        <f t="shared" si="245"/>
        <v>140478</v>
      </c>
      <c r="AF894" s="12"/>
      <c r="AG894" s="12"/>
      <c r="AH894" s="12">
        <f>-720+-111*77</f>
        <v>-9267</v>
      </c>
      <c r="AI894" s="12">
        <f t="shared" si="246"/>
        <v>131211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4</v>
      </c>
      <c r="B895" s="30" t="s">
        <v>84</v>
      </c>
      <c r="C895" s="83">
        <f t="shared" si="247"/>
        <v>9808</v>
      </c>
      <c r="D895" s="32">
        <f>650*21+229</f>
        <v>13879</v>
      </c>
      <c r="E895" s="32"/>
      <c r="F895" s="32"/>
      <c r="G895" s="32">
        <f t="shared" si="241"/>
        <v>13879</v>
      </c>
      <c r="H895" s="12"/>
      <c r="I895" s="12"/>
      <c r="J895" s="12"/>
      <c r="K895" s="12">
        <f t="shared" si="242"/>
        <v>13879</v>
      </c>
      <c r="M895" s="10">
        <v>4</v>
      </c>
      <c r="N895" s="30" t="s">
        <v>84</v>
      </c>
      <c r="O895" s="31">
        <f t="shared" si="248"/>
        <v>9741</v>
      </c>
      <c r="P895" s="32">
        <f>650*4+9.5*4</f>
        <v>2638</v>
      </c>
      <c r="Q895" s="32"/>
      <c r="R895" s="32"/>
      <c r="S895" s="32">
        <f t="shared" si="243"/>
        <v>2638</v>
      </c>
      <c r="T895" s="12"/>
      <c r="U895" s="12"/>
      <c r="V895" s="12"/>
      <c r="W895" s="12">
        <f t="shared" si="244"/>
        <v>2638</v>
      </c>
      <c r="Y895" s="10">
        <v>4</v>
      </c>
      <c r="Z895" s="30" t="s">
        <v>84</v>
      </c>
      <c r="AA895" s="31">
        <f t="shared" si="249"/>
        <v>9694</v>
      </c>
      <c r="AB895" s="32">
        <f>650*50+229*2</f>
        <v>32958</v>
      </c>
      <c r="AC895" s="32">
        <f>-50*6</f>
        <v>-300</v>
      </c>
      <c r="AD895" s="32"/>
      <c r="AE895" s="32">
        <f t="shared" si="245"/>
        <v>32658</v>
      </c>
      <c r="AF895" s="12"/>
      <c r="AG895" s="58"/>
      <c r="AH895" s="12"/>
      <c r="AI895" s="12">
        <f t="shared" si="246"/>
        <v>32658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5</v>
      </c>
      <c r="B896" s="30" t="s">
        <v>84</v>
      </c>
      <c r="C896" s="83">
        <f t="shared" si="247"/>
        <v>9809</v>
      </c>
      <c r="D896" s="32">
        <f>650*10</f>
        <v>6500</v>
      </c>
      <c r="E896" s="32"/>
      <c r="F896" s="32"/>
      <c r="G896" s="32">
        <f t="shared" si="241"/>
        <v>6500</v>
      </c>
      <c r="H896" s="12"/>
      <c r="I896" s="12"/>
      <c r="J896" s="12"/>
      <c r="K896" s="12">
        <f t="shared" si="242"/>
        <v>6500</v>
      </c>
      <c r="M896" s="10">
        <v>5</v>
      </c>
      <c r="N896" s="30"/>
      <c r="O896" s="11" t="s">
        <v>27</v>
      </c>
      <c r="P896" s="32"/>
      <c r="Q896" s="32"/>
      <c r="R896" s="32"/>
      <c r="S896" s="32">
        <f t="shared" si="243"/>
        <v>0</v>
      </c>
      <c r="T896" s="12"/>
      <c r="U896" s="12"/>
      <c r="V896" s="12"/>
      <c r="W896" s="12">
        <f t="shared" si="244"/>
        <v>0</v>
      </c>
      <c r="Y896" s="10">
        <v>5</v>
      </c>
      <c r="Z896" s="30" t="s">
        <v>84</v>
      </c>
      <c r="AA896" s="31">
        <f t="shared" si="249"/>
        <v>9695</v>
      </c>
      <c r="AB896" s="32">
        <f>650*100+670*8+622*10+229*3</f>
        <v>77267</v>
      </c>
      <c r="AC896" s="32">
        <v>-708</v>
      </c>
      <c r="AD896" s="32"/>
      <c r="AE896" s="32">
        <f t="shared" si="245"/>
        <v>76559</v>
      </c>
      <c r="AF896" s="12"/>
      <c r="AG896" s="12">
        <f>111*12+4.5*4</f>
        <v>1350</v>
      </c>
      <c r="AH896" s="12"/>
      <c r="AI896" s="12">
        <f t="shared" si="246"/>
        <v>77909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6</v>
      </c>
      <c r="B897" s="30" t="s">
        <v>84</v>
      </c>
      <c r="C897" s="83">
        <f t="shared" si="247"/>
        <v>9810</v>
      </c>
      <c r="D897" s="32">
        <f>650*2</f>
        <v>1300</v>
      </c>
      <c r="E897" s="32"/>
      <c r="F897" s="32"/>
      <c r="G897" s="32">
        <f t="shared" si="241"/>
        <v>1300</v>
      </c>
      <c r="H897" s="12"/>
      <c r="I897" s="12"/>
      <c r="J897" s="12"/>
      <c r="K897" s="12">
        <f t="shared" si="242"/>
        <v>1300</v>
      </c>
      <c r="M897" s="10">
        <v>6</v>
      </c>
      <c r="N897" s="30"/>
      <c r="O897" s="31"/>
      <c r="P897" s="32"/>
      <c r="Q897" s="32"/>
      <c r="R897" s="32"/>
      <c r="S897" s="32">
        <f t="shared" si="243"/>
        <v>0</v>
      </c>
      <c r="T897" s="12"/>
      <c r="U897" s="12"/>
      <c r="V897" s="10"/>
      <c r="W897" s="12">
        <f t="shared" si="244"/>
        <v>0</v>
      </c>
      <c r="Y897" s="10">
        <v>6</v>
      </c>
      <c r="Z897" s="30" t="s">
        <v>84</v>
      </c>
      <c r="AA897" s="31">
        <f t="shared" si="249"/>
        <v>9696</v>
      </c>
      <c r="AB897" s="32">
        <f>650*5+622*2</f>
        <v>4494</v>
      </c>
      <c r="AC897" s="32"/>
      <c r="AD897" s="32"/>
      <c r="AE897" s="32">
        <f t="shared" si="245"/>
        <v>4494</v>
      </c>
      <c r="AF897" s="12"/>
      <c r="AG897" s="12"/>
      <c r="AH897" s="10"/>
      <c r="AI897" s="12">
        <f t="shared" si="246"/>
        <v>4494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7</v>
      </c>
      <c r="B898" s="30" t="s">
        <v>84</v>
      </c>
      <c r="C898" s="83">
        <f t="shared" si="247"/>
        <v>9811</v>
      </c>
      <c r="D898" s="32">
        <f>650*5</f>
        <v>3250</v>
      </c>
      <c r="E898" s="32"/>
      <c r="F898" s="32"/>
      <c r="G898" s="32">
        <f t="shared" si="241"/>
        <v>3250</v>
      </c>
      <c r="H898" s="12"/>
      <c r="I898" s="12"/>
      <c r="J898" s="12"/>
      <c r="K898" s="12">
        <f t="shared" si="242"/>
        <v>3250</v>
      </c>
      <c r="M898" s="10">
        <v>7</v>
      </c>
      <c r="N898" s="30"/>
      <c r="O898" s="31"/>
      <c r="P898" s="32"/>
      <c r="Q898" s="32"/>
      <c r="R898" s="32"/>
      <c r="S898" s="32">
        <f t="shared" si="243"/>
        <v>0</v>
      </c>
      <c r="T898" s="12"/>
      <c r="U898" s="12"/>
      <c r="V898" s="12"/>
      <c r="W898" s="12">
        <f t="shared" si="244"/>
        <v>0</v>
      </c>
      <c r="Y898" s="10">
        <v>7</v>
      </c>
      <c r="Z898" s="30" t="s">
        <v>84</v>
      </c>
      <c r="AA898" s="31">
        <f t="shared" si="249"/>
        <v>9697</v>
      </c>
      <c r="AB898" s="32">
        <f>650*10</f>
        <v>6500</v>
      </c>
      <c r="AC898" s="32"/>
      <c r="AD898" s="32"/>
      <c r="AE898" s="32">
        <f t="shared" si="245"/>
        <v>6500</v>
      </c>
      <c r="AF898" s="12"/>
      <c r="AG898" s="58"/>
      <c r="AH898" s="12"/>
      <c r="AI898" s="12">
        <f t="shared" si="246"/>
        <v>6500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8</v>
      </c>
      <c r="B899" s="30" t="s">
        <v>84</v>
      </c>
      <c r="C899" s="83">
        <f t="shared" si="247"/>
        <v>9812</v>
      </c>
      <c r="D899" s="32">
        <f>650*5</f>
        <v>3250</v>
      </c>
      <c r="E899" s="32"/>
      <c r="F899" s="32"/>
      <c r="G899" s="32">
        <f t="shared" si="241"/>
        <v>3250</v>
      </c>
      <c r="H899" s="12"/>
      <c r="I899" s="12"/>
      <c r="J899" s="12"/>
      <c r="K899" s="12">
        <f t="shared" si="242"/>
        <v>3250</v>
      </c>
      <c r="M899" s="10">
        <v>8</v>
      </c>
      <c r="N899" s="30"/>
      <c r="O899" s="31"/>
      <c r="P899" s="32"/>
      <c r="Q899" s="32"/>
      <c r="R899" s="32"/>
      <c r="S899" s="32">
        <f t="shared" si="243"/>
        <v>0</v>
      </c>
      <c r="T899" s="12"/>
      <c r="U899" s="12"/>
      <c r="V899" s="12"/>
      <c r="W899" s="12">
        <f t="shared" si="244"/>
        <v>0</v>
      </c>
      <c r="Y899" s="10">
        <v>8</v>
      </c>
      <c r="Z899" s="30" t="s">
        <v>84</v>
      </c>
      <c r="AA899" s="31">
        <f t="shared" si="249"/>
        <v>9698</v>
      </c>
      <c r="AB899" s="32">
        <f>912</f>
        <v>912</v>
      </c>
      <c r="AC899" s="32"/>
      <c r="AE899" s="32">
        <f t="shared" si="245"/>
        <v>912</v>
      </c>
      <c r="AF899" s="12"/>
      <c r="AG899" s="12"/>
      <c r="AH899" s="12"/>
      <c r="AI899" s="12">
        <f t="shared" si="246"/>
        <v>912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9</v>
      </c>
      <c r="B900" s="30" t="s">
        <v>84</v>
      </c>
      <c r="C900" s="83">
        <f t="shared" si="247"/>
        <v>9813</v>
      </c>
      <c r="D900" s="32">
        <f>650*5</f>
        <v>3250</v>
      </c>
      <c r="E900" s="32"/>
      <c r="F900" s="32"/>
      <c r="G900" s="32">
        <f t="shared" si="241"/>
        <v>3250</v>
      </c>
      <c r="H900" s="12"/>
      <c r="I900" s="12"/>
      <c r="J900" s="12"/>
      <c r="K900" s="12">
        <f t="shared" si="242"/>
        <v>3250</v>
      </c>
      <c r="M900" s="10">
        <v>9</v>
      </c>
      <c r="N900" s="30"/>
      <c r="O900" s="31"/>
      <c r="P900" s="32"/>
      <c r="Q900" s="32"/>
      <c r="R900" s="32"/>
      <c r="S900" s="32">
        <f t="shared" si="243"/>
        <v>0</v>
      </c>
      <c r="T900" s="12"/>
      <c r="U900" s="12"/>
      <c r="V900" s="12"/>
      <c r="W900" s="12">
        <f t="shared" si="244"/>
        <v>0</v>
      </c>
      <c r="Y900" s="10">
        <v>9</v>
      </c>
      <c r="Z900" s="30"/>
      <c r="AA900" s="11" t="s">
        <v>27</v>
      </c>
      <c r="AB900" s="32"/>
      <c r="AC900" s="32"/>
      <c r="AD900" s="32"/>
      <c r="AE900" s="32">
        <f t="shared" si="245"/>
        <v>0</v>
      </c>
      <c r="AF900" s="12"/>
      <c r="AH900" s="12"/>
      <c r="AI900" s="12">
        <f t="shared" si="246"/>
        <v>0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10</v>
      </c>
      <c r="B901" s="30" t="s">
        <v>84</v>
      </c>
      <c r="C901" s="83">
        <f t="shared" si="247"/>
        <v>9814</v>
      </c>
      <c r="D901" s="32">
        <f>650*10</f>
        <v>6500</v>
      </c>
      <c r="E901" s="32"/>
      <c r="F901" s="32"/>
      <c r="G901" s="32">
        <f t="shared" si="241"/>
        <v>6500</v>
      </c>
      <c r="H901" s="12"/>
      <c r="I901" s="12"/>
      <c r="J901" s="12"/>
      <c r="K901" s="12">
        <f t="shared" si="242"/>
        <v>6500</v>
      </c>
      <c r="M901" s="10">
        <v>10</v>
      </c>
      <c r="N901" s="30"/>
      <c r="O901" s="31"/>
      <c r="P901" s="32"/>
      <c r="Q901" s="32"/>
      <c r="R901" s="32"/>
      <c r="S901" s="32">
        <f t="shared" si="243"/>
        <v>0</v>
      </c>
      <c r="T901" s="12"/>
      <c r="U901" s="12"/>
      <c r="V901" s="12"/>
      <c r="W901" s="12">
        <f t="shared" si="244"/>
        <v>0</v>
      </c>
      <c r="Y901" s="10">
        <v>10</v>
      </c>
      <c r="Z901" s="30"/>
      <c r="AA901" s="31"/>
      <c r="AB901" s="32"/>
      <c r="AC901" s="32"/>
      <c r="AD901" s="32"/>
      <c r="AE901" s="32">
        <f t="shared" si="245"/>
        <v>0</v>
      </c>
      <c r="AF901" s="12"/>
      <c r="AG901" s="12"/>
      <c r="AH901" s="12"/>
      <c r="AI901" s="12">
        <f t="shared" si="246"/>
        <v>0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11</v>
      </c>
      <c r="B902" s="30" t="s">
        <v>84</v>
      </c>
      <c r="C902" s="83">
        <f t="shared" si="247"/>
        <v>9815</v>
      </c>
      <c r="D902" s="32">
        <f>650*5</f>
        <v>3250</v>
      </c>
      <c r="E902" s="32"/>
      <c r="F902" s="32"/>
      <c r="G902" s="32">
        <f t="shared" si="241"/>
        <v>3250</v>
      </c>
      <c r="H902" s="12"/>
      <c r="I902" s="12"/>
      <c r="J902" s="12"/>
      <c r="K902" s="12">
        <f t="shared" si="242"/>
        <v>3250</v>
      </c>
      <c r="M902" s="10">
        <v>11</v>
      </c>
      <c r="N902" s="30"/>
      <c r="O902" s="11"/>
      <c r="P902" s="32"/>
      <c r="Q902" s="32"/>
      <c r="R902" s="32"/>
      <c r="S902" s="32">
        <f t="shared" si="243"/>
        <v>0</v>
      </c>
      <c r="T902" s="12"/>
      <c r="U902" s="12"/>
      <c r="V902" s="12"/>
      <c r="W902" s="12">
        <f t="shared" si="244"/>
        <v>0</v>
      </c>
      <c r="Y902" s="10">
        <v>11</v>
      </c>
      <c r="Z902" s="30"/>
      <c r="AA902" s="31"/>
      <c r="AB902" s="32"/>
      <c r="AC902" s="32"/>
      <c r="AD902" s="32"/>
      <c r="AE902" s="32">
        <f t="shared" si="245"/>
        <v>0</v>
      </c>
      <c r="AF902" s="12"/>
      <c r="AG902" s="12"/>
      <c r="AH902" s="12"/>
      <c r="AI902" s="12">
        <f t="shared" si="246"/>
        <v>0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12</v>
      </c>
      <c r="B903" s="30" t="s">
        <v>84</v>
      </c>
      <c r="C903" s="83">
        <f t="shared" si="247"/>
        <v>9816</v>
      </c>
      <c r="D903" s="32">
        <f>650*312+670*10+622*72</f>
        <v>254284</v>
      </c>
      <c r="E903" s="32"/>
      <c r="F903" s="32"/>
      <c r="G903" s="32">
        <f t="shared" si="241"/>
        <v>254284</v>
      </c>
      <c r="H903" s="12"/>
      <c r="I903" s="12">
        <f>111*121</f>
        <v>13431</v>
      </c>
      <c r="J903" s="10">
        <f>-720+-84+-1.5+-18</f>
        <v>-823.5</v>
      </c>
      <c r="K903" s="12">
        <f t="shared" si="242"/>
        <v>266891.5</v>
      </c>
      <c r="M903" s="10">
        <v>12</v>
      </c>
      <c r="N903" s="30"/>
      <c r="O903" s="31"/>
      <c r="P903" s="32"/>
      <c r="Q903" s="32"/>
      <c r="R903" s="32"/>
      <c r="S903" s="32">
        <f t="shared" si="243"/>
        <v>0</v>
      </c>
      <c r="T903" s="12"/>
      <c r="U903" s="12"/>
      <c r="V903" s="12"/>
      <c r="W903" s="12">
        <f t="shared" si="244"/>
        <v>0</v>
      </c>
      <c r="Y903" s="10">
        <v>12</v>
      </c>
      <c r="Z903" s="30"/>
      <c r="AA903" s="31"/>
      <c r="AB903" s="32"/>
      <c r="AC903" s="32"/>
      <c r="AD903" s="32"/>
      <c r="AE903" s="32">
        <f t="shared" si="245"/>
        <v>0</v>
      </c>
      <c r="AF903" s="12"/>
      <c r="AG903" s="12"/>
      <c r="AH903" s="12"/>
      <c r="AI903" s="12">
        <f t="shared" si="246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13</v>
      </c>
      <c r="B904" s="30"/>
      <c r="C904" s="11" t="s">
        <v>27</v>
      </c>
      <c r="D904" s="32"/>
      <c r="E904" s="32"/>
      <c r="F904" s="32"/>
      <c r="G904" s="32">
        <f t="shared" si="241"/>
        <v>0</v>
      </c>
      <c r="H904" s="12"/>
      <c r="I904" s="12"/>
      <c r="J904" s="12"/>
      <c r="K904" s="12">
        <f t="shared" si="242"/>
        <v>0</v>
      </c>
      <c r="M904" s="10">
        <v>13</v>
      </c>
      <c r="N904" s="30"/>
      <c r="O904" s="31"/>
      <c r="P904" s="32"/>
      <c r="Q904" s="32"/>
      <c r="R904" s="32"/>
      <c r="S904" s="32">
        <f t="shared" si="243"/>
        <v>0</v>
      </c>
      <c r="T904" s="12"/>
      <c r="U904" s="12"/>
      <c r="V904" s="12"/>
      <c r="W904" s="12">
        <f t="shared" si="244"/>
        <v>0</v>
      </c>
      <c r="Y904" s="10">
        <v>13</v>
      </c>
      <c r="Z904" s="30"/>
      <c r="AB904" s="32"/>
      <c r="AC904" s="32"/>
      <c r="AD904" s="32"/>
      <c r="AE904" s="32">
        <f t="shared" si="245"/>
        <v>0</v>
      </c>
      <c r="AF904" s="12"/>
      <c r="AG904" s="12"/>
      <c r="AH904" s="12"/>
      <c r="AI904" s="12">
        <f t="shared" si="246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14</v>
      </c>
      <c r="B905" s="30"/>
      <c r="C905" s="83"/>
      <c r="D905" s="32"/>
      <c r="E905" s="32"/>
      <c r="F905" s="32"/>
      <c r="G905" s="32">
        <f t="shared" si="241"/>
        <v>0</v>
      </c>
      <c r="H905" s="12"/>
      <c r="I905" s="12"/>
      <c r="J905" s="12"/>
      <c r="K905" s="12">
        <f t="shared" si="242"/>
        <v>0</v>
      </c>
      <c r="M905" s="10">
        <v>14</v>
      </c>
      <c r="N905" s="30"/>
      <c r="O905" s="31"/>
      <c r="P905" s="32"/>
      <c r="Q905" s="32"/>
      <c r="R905" s="32"/>
      <c r="S905" s="32">
        <f t="shared" si="243"/>
        <v>0</v>
      </c>
      <c r="T905" s="12"/>
      <c r="U905" s="12"/>
      <c r="V905" s="12"/>
      <c r="W905" s="12">
        <f t="shared" si="244"/>
        <v>0</v>
      </c>
      <c r="Y905" s="10">
        <v>14</v>
      </c>
      <c r="Z905" s="30"/>
      <c r="AA905" s="31"/>
      <c r="AB905" s="32"/>
      <c r="AC905" s="32"/>
      <c r="AD905" s="32"/>
      <c r="AE905" s="32">
        <f t="shared" si="245"/>
        <v>0</v>
      </c>
      <c r="AF905" s="12"/>
      <c r="AG905" s="12"/>
      <c r="AH905" s="12"/>
      <c r="AI905" s="12">
        <f t="shared" si="246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15</v>
      </c>
      <c r="B906" s="30"/>
      <c r="C906" s="83"/>
      <c r="D906" s="32"/>
      <c r="E906" s="32"/>
      <c r="F906" s="32"/>
      <c r="G906" s="32">
        <f t="shared" si="241"/>
        <v>0</v>
      </c>
      <c r="H906" s="12"/>
      <c r="I906" s="12"/>
      <c r="J906" s="12"/>
      <c r="K906" s="12">
        <f t="shared" si="242"/>
        <v>0</v>
      </c>
      <c r="M906" s="10">
        <v>15</v>
      </c>
      <c r="N906" s="30"/>
      <c r="O906" s="31"/>
      <c r="P906" s="32"/>
      <c r="Q906" s="32"/>
      <c r="R906" s="32"/>
      <c r="S906" s="32">
        <f t="shared" si="243"/>
        <v>0</v>
      </c>
      <c r="T906" s="12"/>
      <c r="U906" s="12"/>
      <c r="V906" s="12"/>
      <c r="W906" s="12">
        <f t="shared" si="244"/>
        <v>0</v>
      </c>
      <c r="Y906" s="10">
        <v>15</v>
      </c>
      <c r="Z906" s="30"/>
      <c r="AA906" s="31"/>
      <c r="AB906" s="32"/>
      <c r="AC906" s="32"/>
      <c r="AD906" s="32"/>
      <c r="AE906" s="32">
        <f t="shared" si="245"/>
        <v>0</v>
      </c>
      <c r="AF906" s="12"/>
      <c r="AG906" s="12"/>
      <c r="AH906" s="12"/>
      <c r="AI906" s="12">
        <f t="shared" si="246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16</v>
      </c>
      <c r="B907" s="30"/>
      <c r="C907" s="11"/>
      <c r="D907" s="32"/>
      <c r="E907" s="32"/>
      <c r="F907" s="32"/>
      <c r="G907" s="32">
        <f t="shared" si="241"/>
        <v>0</v>
      </c>
      <c r="H907" s="12"/>
      <c r="I907" s="12"/>
      <c r="J907" s="12"/>
      <c r="K907" s="12">
        <f t="shared" si="242"/>
        <v>0</v>
      </c>
      <c r="M907" s="10">
        <v>16</v>
      </c>
      <c r="N907" s="30"/>
      <c r="O907" s="11"/>
      <c r="P907" s="32"/>
      <c r="Q907" s="32"/>
      <c r="R907" s="32"/>
      <c r="S907" s="32">
        <f t="shared" si="243"/>
        <v>0</v>
      </c>
      <c r="T907" s="12"/>
      <c r="U907" s="12"/>
      <c r="V907" s="12"/>
      <c r="W907" s="12">
        <f t="shared" si="244"/>
        <v>0</v>
      </c>
      <c r="Y907" s="10">
        <v>16</v>
      </c>
      <c r="Z907" s="30"/>
      <c r="AA907" s="11"/>
      <c r="AB907" s="32"/>
      <c r="AC907" s="32"/>
      <c r="AD907" s="32"/>
      <c r="AE907" s="32">
        <f t="shared" si="245"/>
        <v>0</v>
      </c>
      <c r="AF907" s="12"/>
      <c r="AG907" s="12"/>
      <c r="AH907" s="12"/>
      <c r="AI907" s="12">
        <f t="shared" si="246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17</v>
      </c>
      <c r="B908" s="30"/>
      <c r="C908" s="83"/>
      <c r="D908" s="32"/>
      <c r="E908" s="32"/>
      <c r="F908" s="32"/>
      <c r="G908" s="32">
        <f t="shared" si="241"/>
        <v>0</v>
      </c>
      <c r="H908" s="12"/>
      <c r="I908" s="12"/>
      <c r="J908" s="12"/>
      <c r="K908" s="12">
        <f t="shared" si="242"/>
        <v>0</v>
      </c>
      <c r="M908" s="10">
        <v>17</v>
      </c>
      <c r="N908" s="30"/>
      <c r="O908" s="31"/>
      <c r="P908" s="35"/>
      <c r="Q908" s="32"/>
      <c r="R908" s="32"/>
      <c r="S908" s="32">
        <f t="shared" si="243"/>
        <v>0</v>
      </c>
      <c r="T908" s="12"/>
      <c r="U908" s="12"/>
      <c r="V908" s="12"/>
      <c r="W908" s="12">
        <f t="shared" si="244"/>
        <v>0</v>
      </c>
      <c r="Y908" s="10">
        <v>17</v>
      </c>
      <c r="Z908" s="30"/>
      <c r="AA908" s="31"/>
      <c r="AB908" s="35"/>
      <c r="AC908" s="32"/>
      <c r="AD908" s="32"/>
      <c r="AE908" s="32">
        <f t="shared" si="245"/>
        <v>0</v>
      </c>
      <c r="AF908" s="12"/>
      <c r="AG908" s="12"/>
      <c r="AH908" s="12"/>
      <c r="AI908" s="12">
        <f t="shared" si="246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18</v>
      </c>
      <c r="B909" s="30"/>
      <c r="C909" s="83"/>
      <c r="D909" s="32"/>
      <c r="E909" s="32"/>
      <c r="F909" s="32"/>
      <c r="G909" s="32">
        <f t="shared" si="241"/>
        <v>0</v>
      </c>
      <c r="H909" s="12"/>
      <c r="I909" s="12"/>
      <c r="J909" s="12"/>
      <c r="K909" s="12">
        <f t="shared" si="242"/>
        <v>0</v>
      </c>
      <c r="M909" s="10">
        <v>18</v>
      </c>
      <c r="N909" s="30"/>
      <c r="O909" s="31"/>
      <c r="P909" s="32"/>
      <c r="Q909" s="32"/>
      <c r="R909" s="32"/>
      <c r="S909" s="32">
        <f t="shared" si="243"/>
        <v>0</v>
      </c>
      <c r="T909" s="12"/>
      <c r="U909" s="12"/>
      <c r="V909" s="12"/>
      <c r="W909" s="12">
        <f t="shared" si="244"/>
        <v>0</v>
      </c>
      <c r="Y909" s="10">
        <v>18</v>
      </c>
      <c r="Z909" s="30"/>
      <c r="AB909" s="32"/>
      <c r="AC909" s="32"/>
      <c r="AD909" s="32"/>
      <c r="AE909" s="32">
        <f t="shared" si="245"/>
        <v>0</v>
      </c>
      <c r="AF909" s="12"/>
      <c r="AG909" s="12"/>
      <c r="AH909" s="12"/>
      <c r="AI909" s="12">
        <f t="shared" si="246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19</v>
      </c>
      <c r="B910" s="30"/>
      <c r="C910" s="83"/>
      <c r="D910" s="32"/>
      <c r="E910" s="32"/>
      <c r="F910" s="32"/>
      <c r="G910" s="32">
        <f t="shared" si="241"/>
        <v>0</v>
      </c>
      <c r="H910" s="12"/>
      <c r="I910" s="12"/>
      <c r="J910" s="12"/>
      <c r="K910" s="12">
        <f t="shared" si="242"/>
        <v>0</v>
      </c>
      <c r="M910" s="10">
        <v>19</v>
      </c>
      <c r="N910" s="30"/>
      <c r="O910" s="31"/>
      <c r="P910" s="32"/>
      <c r="Q910" s="32"/>
      <c r="R910" s="32"/>
      <c r="S910" s="32">
        <f t="shared" si="243"/>
        <v>0</v>
      </c>
      <c r="T910" s="12"/>
      <c r="U910" s="12"/>
      <c r="V910" s="12"/>
      <c r="W910" s="12">
        <f t="shared" si="244"/>
        <v>0</v>
      </c>
      <c r="Y910" s="10">
        <v>19</v>
      </c>
      <c r="Z910" s="30"/>
      <c r="AA910" s="31"/>
      <c r="AB910" s="32"/>
      <c r="AC910" s="32"/>
      <c r="AD910" s="32"/>
      <c r="AE910" s="32">
        <f t="shared" si="245"/>
        <v>0</v>
      </c>
      <c r="AF910" s="12"/>
      <c r="AG910" s="12"/>
      <c r="AH910" s="12"/>
      <c r="AI910" s="12">
        <f t="shared" si="246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20</v>
      </c>
      <c r="B911" s="30"/>
      <c r="C911" s="83"/>
      <c r="D911" s="32"/>
      <c r="E911" s="32"/>
      <c r="F911" s="32"/>
      <c r="G911" s="32">
        <f t="shared" si="241"/>
        <v>0</v>
      </c>
      <c r="H911" s="12"/>
      <c r="I911" s="12"/>
      <c r="J911" s="12"/>
      <c r="K911" s="12">
        <f t="shared" si="242"/>
        <v>0</v>
      </c>
      <c r="M911" s="10">
        <v>20</v>
      </c>
      <c r="N911" s="30"/>
      <c r="O911" s="31"/>
      <c r="P911" s="32"/>
      <c r="Q911" s="32"/>
      <c r="R911" s="32"/>
      <c r="S911" s="32">
        <f t="shared" si="243"/>
        <v>0</v>
      </c>
      <c r="T911" s="12"/>
      <c r="U911" s="12"/>
      <c r="V911" s="12"/>
      <c r="W911" s="12">
        <f t="shared" si="244"/>
        <v>0</v>
      </c>
      <c r="Y911" s="10">
        <v>20</v>
      </c>
      <c r="Z911" s="30"/>
      <c r="AA911" s="31"/>
      <c r="AB911" s="32"/>
      <c r="AC911" s="32"/>
      <c r="AD911" s="32"/>
      <c r="AE911" s="32">
        <f t="shared" si="245"/>
        <v>0</v>
      </c>
      <c r="AF911" s="12"/>
      <c r="AG911" s="12"/>
      <c r="AH911" s="12"/>
      <c r="AI911" s="12">
        <f t="shared" si="246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21</v>
      </c>
      <c r="B912" s="30"/>
      <c r="C912" s="57"/>
      <c r="D912" s="32"/>
      <c r="E912" s="32"/>
      <c r="F912" s="32"/>
      <c r="G912" s="32">
        <f t="shared" si="241"/>
        <v>0</v>
      </c>
      <c r="H912" s="10"/>
      <c r="I912" s="10"/>
      <c r="J912" s="10"/>
      <c r="K912" s="12">
        <f t="shared" si="242"/>
        <v>0</v>
      </c>
      <c r="M912" s="10">
        <v>21</v>
      </c>
      <c r="N912" s="30"/>
      <c r="O912" s="31"/>
      <c r="P912" s="46"/>
      <c r="Q912" s="31"/>
      <c r="R912" s="31"/>
      <c r="S912" s="32">
        <f t="shared" si="243"/>
        <v>0</v>
      </c>
      <c r="T912" s="10"/>
      <c r="U912" s="10"/>
      <c r="V912" s="10"/>
      <c r="W912" s="12">
        <f t="shared" si="244"/>
        <v>0</v>
      </c>
      <c r="Y912" s="10">
        <v>21</v>
      </c>
      <c r="Z912" s="30"/>
      <c r="AA912" s="31"/>
      <c r="AB912" s="46"/>
      <c r="AC912" s="31"/>
      <c r="AD912" s="31"/>
      <c r="AE912" s="32">
        <f t="shared" si="245"/>
        <v>0</v>
      </c>
      <c r="AF912" s="10"/>
      <c r="AG912" s="10"/>
      <c r="AH912" s="10"/>
      <c r="AI912" s="12">
        <f t="shared" si="246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22</v>
      </c>
      <c r="B913" s="30"/>
      <c r="C913" s="57"/>
      <c r="D913" s="32"/>
      <c r="E913" s="32"/>
      <c r="F913" s="32"/>
      <c r="G913" s="32">
        <f t="shared" si="241"/>
        <v>0</v>
      </c>
      <c r="H913" s="10"/>
      <c r="I913" s="10"/>
      <c r="J913" s="10"/>
      <c r="K913" s="12">
        <f t="shared" si="242"/>
        <v>0</v>
      </c>
      <c r="M913" s="10">
        <v>22</v>
      </c>
      <c r="N913" s="30"/>
      <c r="O913" s="31"/>
      <c r="P913" s="45"/>
      <c r="Q913" s="31"/>
      <c r="R913" s="31"/>
      <c r="S913" s="32">
        <f t="shared" si="243"/>
        <v>0</v>
      </c>
      <c r="T913" s="10"/>
      <c r="U913" s="10"/>
      <c r="V913" s="10"/>
      <c r="W913" s="12">
        <f t="shared" si="244"/>
        <v>0</v>
      </c>
      <c r="Y913" s="10">
        <v>22</v>
      </c>
      <c r="Z913" s="30"/>
      <c r="AA913" s="31"/>
      <c r="AB913" s="45"/>
      <c r="AC913" s="31"/>
      <c r="AD913" s="31"/>
      <c r="AE913" s="32">
        <f t="shared" si="245"/>
        <v>0</v>
      </c>
      <c r="AF913" s="10"/>
      <c r="AG913" s="10"/>
      <c r="AH913" s="10"/>
      <c r="AI913" s="12">
        <f t="shared" si="246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23</v>
      </c>
      <c r="B914" s="30"/>
      <c r="C914" s="83"/>
      <c r="D914" s="32"/>
      <c r="E914" s="32"/>
      <c r="F914" s="32"/>
      <c r="G914" s="32">
        <f t="shared" si="241"/>
        <v>0</v>
      </c>
      <c r="H914" s="10"/>
      <c r="I914" s="10"/>
      <c r="J914" s="12"/>
      <c r="K914" s="12">
        <f t="shared" si="242"/>
        <v>0</v>
      </c>
      <c r="M914" s="10">
        <v>23</v>
      </c>
      <c r="N914" s="30"/>
      <c r="O914" s="31"/>
      <c r="P914" s="47"/>
      <c r="Q914" s="31"/>
      <c r="S914" s="32">
        <f t="shared" si="243"/>
        <v>0</v>
      </c>
      <c r="T914" s="10"/>
      <c r="U914" s="10"/>
      <c r="V914" s="10"/>
      <c r="W914" s="12">
        <f t="shared" si="244"/>
        <v>0</v>
      </c>
      <c r="Y914" s="10">
        <v>23</v>
      </c>
      <c r="Z914" s="30"/>
      <c r="AA914" s="31"/>
      <c r="AB914" s="47"/>
      <c r="AE914" s="32">
        <f t="shared" si="245"/>
        <v>0</v>
      </c>
      <c r="AF914" s="10"/>
      <c r="AG914" s="10"/>
      <c r="AH914" s="10"/>
      <c r="AI914" s="12">
        <f t="shared" si="246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24</v>
      </c>
      <c r="B915" s="30"/>
      <c r="C915" s="83"/>
      <c r="D915" s="32"/>
      <c r="E915" s="32"/>
      <c r="F915" s="32"/>
      <c r="G915" s="32">
        <f t="shared" si="241"/>
        <v>0</v>
      </c>
      <c r="H915" s="10"/>
      <c r="I915" s="10"/>
      <c r="J915" s="10"/>
      <c r="K915" s="12">
        <f t="shared" si="242"/>
        <v>0</v>
      </c>
      <c r="M915" s="10">
        <v>24</v>
      </c>
      <c r="N915" s="30"/>
      <c r="O915" s="31"/>
      <c r="P915" s="47"/>
      <c r="Q915" s="31"/>
      <c r="R915" s="31"/>
      <c r="S915" s="32">
        <f t="shared" si="243"/>
        <v>0</v>
      </c>
      <c r="T915" s="10"/>
      <c r="U915" s="10"/>
      <c r="V915" s="10"/>
      <c r="W915" s="12">
        <f t="shared" si="244"/>
        <v>0</v>
      </c>
      <c r="Y915" s="10">
        <v>24</v>
      </c>
      <c r="Z915" s="30"/>
      <c r="AA915" s="31"/>
      <c r="AB915" s="47"/>
      <c r="AC915" s="31"/>
      <c r="AD915" s="31"/>
      <c r="AE915" s="32">
        <f t="shared" si="245"/>
        <v>0</v>
      </c>
      <c r="AF915" s="10"/>
      <c r="AG915" s="10"/>
      <c r="AH915" s="10"/>
      <c r="AI915" s="12">
        <f t="shared" si="246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25</v>
      </c>
      <c r="B916" s="30"/>
      <c r="C916" s="83"/>
      <c r="D916" s="32"/>
      <c r="E916" s="32"/>
      <c r="F916" s="32"/>
      <c r="G916" s="32">
        <f t="shared" si="241"/>
        <v>0</v>
      </c>
      <c r="H916" s="10"/>
      <c r="I916" s="10"/>
      <c r="J916" s="10"/>
      <c r="K916" s="12">
        <f t="shared" si="242"/>
        <v>0</v>
      </c>
      <c r="M916" s="10">
        <v>25</v>
      </c>
      <c r="N916" s="30"/>
      <c r="O916" s="31"/>
      <c r="P916" s="47"/>
      <c r="Q916" s="31"/>
      <c r="R916" s="31"/>
      <c r="S916" s="32">
        <f t="shared" si="243"/>
        <v>0</v>
      </c>
      <c r="T916" s="10"/>
      <c r="U916" s="10"/>
      <c r="V916" s="10"/>
      <c r="W916" s="12">
        <f t="shared" si="244"/>
        <v>0</v>
      </c>
      <c r="Y916" s="10">
        <v>25</v>
      </c>
      <c r="Z916" s="30"/>
      <c r="AA916" s="31"/>
      <c r="AB916" s="47"/>
      <c r="AC916" s="31"/>
      <c r="AD916" s="31"/>
      <c r="AE916" s="32">
        <f t="shared" si="245"/>
        <v>0</v>
      </c>
      <c r="AF916" s="10"/>
      <c r="AG916" s="10"/>
      <c r="AH916" s="10"/>
      <c r="AI916" s="12">
        <f t="shared" si="246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26</v>
      </c>
      <c r="B917" s="30"/>
      <c r="C917" s="83"/>
      <c r="D917" s="32"/>
      <c r="E917" s="32"/>
      <c r="F917" s="32"/>
      <c r="G917" s="32">
        <f t="shared" si="241"/>
        <v>0</v>
      </c>
      <c r="H917" s="10"/>
      <c r="I917" s="10"/>
      <c r="J917" s="10"/>
      <c r="K917" s="12">
        <f t="shared" si="242"/>
        <v>0</v>
      </c>
      <c r="M917" s="10">
        <v>26</v>
      </c>
      <c r="N917" s="30"/>
      <c r="O917" s="31"/>
      <c r="P917" s="47"/>
      <c r="Q917" s="31"/>
      <c r="R917" s="31"/>
      <c r="S917" s="32">
        <f t="shared" si="243"/>
        <v>0</v>
      </c>
      <c r="T917" s="10"/>
      <c r="U917" s="10"/>
      <c r="V917" s="10"/>
      <c r="W917" s="12">
        <f t="shared" si="244"/>
        <v>0</v>
      </c>
      <c r="Y917" s="10">
        <v>26</v>
      </c>
      <c r="Z917" s="30"/>
      <c r="AA917" s="31"/>
      <c r="AB917" s="47"/>
      <c r="AC917" s="31"/>
      <c r="AD917" s="31"/>
      <c r="AE917" s="32">
        <f t="shared" si="245"/>
        <v>0</v>
      </c>
      <c r="AF917" s="10"/>
      <c r="AG917" s="10"/>
      <c r="AH917" s="10"/>
      <c r="AI917" s="12">
        <f t="shared" si="246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27</v>
      </c>
      <c r="B918" s="30"/>
      <c r="C918" s="83"/>
      <c r="D918" s="32"/>
      <c r="E918" s="32"/>
      <c r="F918" s="32"/>
      <c r="G918" s="32">
        <f t="shared" si="241"/>
        <v>0</v>
      </c>
      <c r="H918" s="10"/>
      <c r="I918" s="10"/>
      <c r="J918" s="10"/>
      <c r="K918" s="12">
        <f t="shared" si="242"/>
        <v>0</v>
      </c>
      <c r="M918" s="10">
        <v>27</v>
      </c>
      <c r="N918" s="30"/>
      <c r="O918" s="31"/>
      <c r="P918" s="47"/>
      <c r="Q918" s="31"/>
      <c r="R918" s="31"/>
      <c r="S918" s="32">
        <f t="shared" si="243"/>
        <v>0</v>
      </c>
      <c r="T918" s="10"/>
      <c r="U918" s="10"/>
      <c r="V918" s="10"/>
      <c r="W918" s="12">
        <f t="shared" si="244"/>
        <v>0</v>
      </c>
      <c r="Y918" s="10">
        <v>27</v>
      </c>
      <c r="Z918" s="30"/>
      <c r="AA918" s="31"/>
      <c r="AB918" s="47"/>
      <c r="AC918" s="31"/>
      <c r="AD918" s="31"/>
      <c r="AE918" s="32">
        <f t="shared" si="245"/>
        <v>0</v>
      </c>
      <c r="AF918" s="10"/>
      <c r="AG918" s="10"/>
      <c r="AH918" s="10"/>
      <c r="AI918" s="12">
        <f t="shared" si="246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28</v>
      </c>
      <c r="B919" s="30"/>
      <c r="C919" s="83"/>
      <c r="D919" s="32"/>
      <c r="E919" s="32"/>
      <c r="F919" s="32"/>
      <c r="G919" s="32">
        <f t="shared" si="241"/>
        <v>0</v>
      </c>
      <c r="H919" s="10"/>
      <c r="I919" s="10"/>
      <c r="J919" s="10"/>
      <c r="K919" s="12">
        <f t="shared" si="242"/>
        <v>0</v>
      </c>
      <c r="M919" s="10">
        <v>28</v>
      </c>
      <c r="N919" s="30"/>
      <c r="O919" s="31"/>
      <c r="P919" s="47"/>
      <c r="Q919" s="31"/>
      <c r="R919" s="31"/>
      <c r="S919" s="32">
        <f t="shared" si="243"/>
        <v>0</v>
      </c>
      <c r="T919" s="10"/>
      <c r="U919" s="10"/>
      <c r="V919" s="10"/>
      <c r="W919" s="12">
        <f t="shared" si="244"/>
        <v>0</v>
      </c>
      <c r="Y919" s="10">
        <v>28</v>
      </c>
      <c r="Z919" s="30"/>
      <c r="AA919" s="31"/>
      <c r="AB919" s="47"/>
      <c r="AC919" s="31"/>
      <c r="AD919" s="31"/>
      <c r="AE919" s="32">
        <f t="shared" si="245"/>
        <v>0</v>
      </c>
      <c r="AF919" s="10"/>
      <c r="AG919" s="10"/>
      <c r="AH919" s="10"/>
      <c r="AI919" s="12">
        <f t="shared" si="246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29</v>
      </c>
      <c r="B920" s="30"/>
      <c r="C920" s="83"/>
      <c r="D920" s="32"/>
      <c r="E920" s="32"/>
      <c r="F920" s="32"/>
      <c r="G920" s="32">
        <f t="shared" si="241"/>
        <v>0</v>
      </c>
      <c r="H920" s="10"/>
      <c r="I920" s="10"/>
      <c r="J920" s="10"/>
      <c r="K920" s="12">
        <f t="shared" si="242"/>
        <v>0</v>
      </c>
      <c r="M920" s="10">
        <v>29</v>
      </c>
      <c r="N920" s="30"/>
      <c r="O920" s="31"/>
      <c r="P920" s="47"/>
      <c r="Q920" s="31"/>
      <c r="R920" s="31"/>
      <c r="S920" s="32">
        <f t="shared" si="243"/>
        <v>0</v>
      </c>
      <c r="T920" s="10"/>
      <c r="U920" s="10"/>
      <c r="V920" s="10"/>
      <c r="W920" s="12">
        <f t="shared" si="244"/>
        <v>0</v>
      </c>
      <c r="Y920" s="10">
        <v>29</v>
      </c>
      <c r="Z920" s="30"/>
      <c r="AA920" s="31"/>
      <c r="AB920" s="47"/>
      <c r="AC920" s="31"/>
      <c r="AD920" s="31"/>
      <c r="AE920" s="32">
        <f t="shared" si="245"/>
        <v>0</v>
      </c>
      <c r="AF920" s="10"/>
      <c r="AG920" s="10"/>
      <c r="AH920" s="10"/>
      <c r="AI920" s="12">
        <f t="shared" si="246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30</v>
      </c>
      <c r="B921" s="30"/>
      <c r="C921" s="83"/>
      <c r="D921" s="32"/>
      <c r="E921" s="32"/>
      <c r="F921" s="32"/>
      <c r="G921" s="32">
        <f t="shared" si="241"/>
        <v>0</v>
      </c>
      <c r="H921" s="10"/>
      <c r="I921" s="10"/>
      <c r="J921" s="10"/>
      <c r="K921" s="12">
        <f t="shared" si="242"/>
        <v>0</v>
      </c>
      <c r="M921" s="10">
        <v>30</v>
      </c>
      <c r="N921" s="30"/>
      <c r="O921" s="31"/>
      <c r="P921" s="47"/>
      <c r="Q921" s="31"/>
      <c r="R921" s="31"/>
      <c r="S921" s="32">
        <f t="shared" si="243"/>
        <v>0</v>
      </c>
      <c r="T921" s="10"/>
      <c r="U921" s="10"/>
      <c r="V921" s="10"/>
      <c r="W921" s="12">
        <f t="shared" si="244"/>
        <v>0</v>
      </c>
      <c r="Y921" s="10">
        <v>30</v>
      </c>
      <c r="Z921" s="30"/>
      <c r="AB921" s="47"/>
      <c r="AC921" s="31"/>
      <c r="AD921" s="31"/>
      <c r="AE921" s="32">
        <f t="shared" si="245"/>
        <v>0</v>
      </c>
      <c r="AF921" s="10"/>
      <c r="AG921" s="10"/>
      <c r="AH921" s="10"/>
      <c r="AI921" s="12">
        <f t="shared" si="246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31</v>
      </c>
      <c r="B922" s="30"/>
      <c r="C922" s="83"/>
      <c r="D922" s="32"/>
      <c r="E922" s="32"/>
      <c r="F922" s="32"/>
      <c r="G922" s="32">
        <f t="shared" si="241"/>
        <v>0</v>
      </c>
      <c r="H922" s="10"/>
      <c r="I922" s="10"/>
      <c r="J922" s="10"/>
      <c r="K922" s="12">
        <f t="shared" si="242"/>
        <v>0</v>
      </c>
      <c r="M922" s="10">
        <v>31</v>
      </c>
      <c r="N922" s="30"/>
      <c r="O922" s="31"/>
      <c r="P922" s="47"/>
      <c r="Q922" s="31"/>
      <c r="R922" s="31"/>
      <c r="S922" s="32">
        <f t="shared" si="243"/>
        <v>0</v>
      </c>
      <c r="T922" s="10"/>
      <c r="U922" s="10"/>
      <c r="V922" s="10"/>
      <c r="W922" s="12">
        <f t="shared" si="244"/>
        <v>0</v>
      </c>
      <c r="Y922" s="10">
        <v>31</v>
      </c>
      <c r="Z922" s="30"/>
      <c r="AA922" s="31"/>
      <c r="AB922" s="47"/>
      <c r="AC922" s="31"/>
      <c r="AD922" s="31"/>
      <c r="AE922" s="32">
        <f t="shared" si="245"/>
        <v>0</v>
      </c>
      <c r="AF922" s="10"/>
      <c r="AG922" s="10"/>
      <c r="AH922" s="10"/>
      <c r="AI922" s="12">
        <f t="shared" si="246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32</v>
      </c>
      <c r="B923" s="30"/>
      <c r="C923" s="83"/>
      <c r="D923" s="32"/>
      <c r="E923" s="32"/>
      <c r="F923" s="32"/>
      <c r="G923" s="32">
        <f t="shared" si="241"/>
        <v>0</v>
      </c>
      <c r="H923" s="10"/>
      <c r="I923" s="10"/>
      <c r="J923" s="10"/>
      <c r="K923" s="12">
        <f t="shared" si="242"/>
        <v>0</v>
      </c>
      <c r="M923" s="10">
        <v>32</v>
      </c>
      <c r="N923" s="30"/>
      <c r="O923" s="31"/>
      <c r="P923" s="47"/>
      <c r="Q923" s="31"/>
      <c r="R923" s="31"/>
      <c r="S923" s="32">
        <f t="shared" si="243"/>
        <v>0</v>
      </c>
      <c r="T923" s="10"/>
      <c r="U923" s="10"/>
      <c r="V923" s="10"/>
      <c r="W923" s="12">
        <f t="shared" si="244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45"/>
        <v>0</v>
      </c>
      <c r="AF923" s="10"/>
      <c r="AG923" s="10"/>
      <c r="AH923" s="10"/>
      <c r="AI923" s="12">
        <f t="shared" si="246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33</v>
      </c>
      <c r="B924" s="30"/>
      <c r="C924" s="83"/>
      <c r="D924" s="32"/>
      <c r="E924" s="32"/>
      <c r="F924" s="32"/>
      <c r="G924" s="32">
        <f t="shared" si="241"/>
        <v>0</v>
      </c>
      <c r="H924" s="10"/>
      <c r="I924" s="10"/>
      <c r="J924" s="10"/>
      <c r="K924" s="12">
        <f t="shared" si="242"/>
        <v>0</v>
      </c>
      <c r="M924" s="10">
        <v>33</v>
      </c>
      <c r="N924" s="30"/>
      <c r="O924" s="31"/>
      <c r="P924" s="47"/>
      <c r="Q924" s="31"/>
      <c r="R924" s="31"/>
      <c r="S924" s="32">
        <f t="shared" si="243"/>
        <v>0</v>
      </c>
      <c r="T924" s="10"/>
      <c r="U924" s="10"/>
      <c r="V924" s="10"/>
      <c r="W924" s="12">
        <f t="shared" si="244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45"/>
        <v>0</v>
      </c>
      <c r="AF924" s="10"/>
      <c r="AG924" s="10"/>
      <c r="AH924" s="10"/>
      <c r="AI924" s="12">
        <f t="shared" si="246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/>
      <c r="B925" s="30"/>
      <c r="C925" s="83"/>
      <c r="D925" s="32"/>
      <c r="E925" s="32"/>
      <c r="F925" s="32"/>
      <c r="G925" s="32">
        <f t="shared" si="241"/>
        <v>0</v>
      </c>
      <c r="H925" s="10"/>
      <c r="I925" s="10"/>
      <c r="J925" s="10"/>
      <c r="K925" s="12">
        <f t="shared" si="242"/>
        <v>0</v>
      </c>
      <c r="M925" s="10">
        <v>34</v>
      </c>
      <c r="N925" s="30"/>
      <c r="O925" s="31"/>
      <c r="P925" s="47"/>
      <c r="Q925" s="31"/>
      <c r="R925" s="31"/>
      <c r="S925" s="32">
        <f t="shared" si="243"/>
        <v>0</v>
      </c>
      <c r="T925" s="10"/>
      <c r="U925" s="10"/>
      <c r="V925" s="10"/>
      <c r="W925" s="12">
        <f t="shared" si="244"/>
        <v>0</v>
      </c>
      <c r="Y925" s="10">
        <v>34</v>
      </c>
      <c r="Z925" s="30"/>
      <c r="AA925" s="31"/>
      <c r="AB925" s="47"/>
      <c r="AC925" s="31"/>
      <c r="AD925" s="31"/>
      <c r="AE925" s="32">
        <f t="shared" si="245"/>
        <v>0</v>
      </c>
      <c r="AF925" s="10"/>
      <c r="AG925" s="10"/>
      <c r="AH925" s="10"/>
      <c r="AI925" s="12">
        <f t="shared" si="246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83"/>
      <c r="D926" s="32"/>
      <c r="E926" s="32"/>
      <c r="F926" s="32"/>
      <c r="G926" s="32"/>
      <c r="H926" s="10"/>
      <c r="I926" s="10"/>
      <c r="J926" s="10"/>
      <c r="K926" s="12"/>
      <c r="M926" s="10">
        <v>35</v>
      </c>
      <c r="N926" s="30"/>
      <c r="P926" s="47"/>
      <c r="Q926" s="31"/>
      <c r="R926" s="31"/>
      <c r="S926" s="32">
        <f t="shared" si="243"/>
        <v>0</v>
      </c>
      <c r="T926" s="10"/>
      <c r="U926" s="10"/>
      <c r="V926" s="10"/>
      <c r="W926" s="12">
        <f t="shared" si="244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45"/>
        <v>0</v>
      </c>
      <c r="AF926" s="10"/>
      <c r="AG926" s="10"/>
      <c r="AH926" s="10"/>
      <c r="AI926" s="12">
        <f t="shared" si="246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83"/>
      <c r="D927" s="32"/>
      <c r="E927" s="32"/>
      <c r="F927" s="32"/>
      <c r="G927" s="32"/>
      <c r="H927" s="10"/>
      <c r="I927" s="10"/>
      <c r="J927" s="10"/>
      <c r="K927" s="12"/>
      <c r="M927" s="10">
        <v>36</v>
      </c>
      <c r="N927" s="30"/>
      <c r="O927" s="31"/>
      <c r="P927" s="47"/>
      <c r="Q927" s="31"/>
      <c r="R927" s="31"/>
      <c r="S927" s="32">
        <f t="shared" si="243"/>
        <v>0</v>
      </c>
      <c r="T927" s="10"/>
      <c r="U927" s="10"/>
      <c r="V927" s="10"/>
      <c r="W927" s="12">
        <f t="shared" si="244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45"/>
        <v>0</v>
      </c>
      <c r="AF927" s="10"/>
      <c r="AG927" s="10"/>
      <c r="AH927" s="10"/>
      <c r="AI927" s="12">
        <f t="shared" si="246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31"/>
      <c r="D928" s="32"/>
      <c r="E928" s="32"/>
      <c r="F928" s="32"/>
      <c r="G928" s="32"/>
      <c r="H928" s="10"/>
      <c r="I928" s="10"/>
      <c r="J928" s="10"/>
      <c r="K928" s="12"/>
      <c r="M928" s="10">
        <v>37</v>
      </c>
      <c r="N928" s="30"/>
      <c r="O928" s="31"/>
      <c r="P928" s="47"/>
      <c r="Q928" s="31"/>
      <c r="R928" s="31"/>
      <c r="S928" s="32">
        <f t="shared" si="243"/>
        <v>0</v>
      </c>
      <c r="T928" s="10"/>
      <c r="U928" s="10"/>
      <c r="V928" s="10"/>
      <c r="W928" s="12">
        <f t="shared" si="244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45"/>
        <v>0</v>
      </c>
      <c r="AF928" s="10"/>
      <c r="AG928" s="10"/>
      <c r="AH928" s="10"/>
      <c r="AI928" s="12">
        <f t="shared" si="246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38</v>
      </c>
      <c r="N929" s="30"/>
      <c r="O929" s="31"/>
      <c r="P929" s="47"/>
      <c r="Q929" s="31"/>
      <c r="R929" s="31"/>
      <c r="S929" s="32">
        <f t="shared" si="243"/>
        <v>0</v>
      </c>
      <c r="T929" s="10"/>
      <c r="U929" s="10"/>
      <c r="V929" s="10"/>
      <c r="W929" s="12">
        <f t="shared" si="244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45"/>
        <v>0</v>
      </c>
      <c r="AF929" s="10"/>
      <c r="AG929" s="10"/>
      <c r="AH929" s="10"/>
      <c r="AI929" s="12">
        <f t="shared" si="246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39</v>
      </c>
      <c r="N930" s="30"/>
      <c r="O930" s="31"/>
      <c r="P930" s="47"/>
      <c r="Q930" s="31"/>
      <c r="R930" s="31"/>
      <c r="S930" s="32">
        <f t="shared" si="243"/>
        <v>0</v>
      </c>
      <c r="T930" s="10"/>
      <c r="U930" s="10"/>
      <c r="V930" s="10"/>
      <c r="W930" s="12">
        <f t="shared" si="244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45"/>
        <v>0</v>
      </c>
      <c r="AF930" s="10"/>
      <c r="AG930" s="10"/>
      <c r="AH930" s="10"/>
      <c r="AI930" s="12">
        <f t="shared" si="246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44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46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>
        <f t="shared" ref="G932" si="250">SUM(D932:E932)</f>
        <v>0</v>
      </c>
      <c r="H932" s="10"/>
      <c r="I932" s="10"/>
      <c r="J932" s="10"/>
      <c r="K932" s="12">
        <f t="shared" ref="K932" si="251">SUM(G932:J932)</f>
        <v>0</v>
      </c>
      <c r="M932" s="10"/>
      <c r="N932" s="30"/>
      <c r="O932" s="31"/>
      <c r="P932" s="47"/>
      <c r="Q932" s="31"/>
      <c r="R932" s="31"/>
      <c r="S932" s="32">
        <f t="shared" ref="S932" si="252">SUM(P932:Q932)</f>
        <v>0</v>
      </c>
      <c r="T932" s="10"/>
      <c r="U932" s="10"/>
      <c r="V932" s="10"/>
      <c r="W932" s="12">
        <f t="shared" si="244"/>
        <v>0</v>
      </c>
      <c r="Y932" s="10"/>
      <c r="Z932" s="30"/>
      <c r="AA932" s="31"/>
      <c r="AB932" s="47"/>
      <c r="AC932" s="31"/>
      <c r="AD932" s="31"/>
      <c r="AE932" s="32">
        <f t="shared" ref="AE932" si="253">SUM(AB932:AC932)</f>
        <v>0</v>
      </c>
      <c r="AF932" s="10"/>
      <c r="AG932" s="10"/>
      <c r="AH932" s="10"/>
      <c r="AI932" s="12">
        <f t="shared" si="246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0"/>
      <c r="D933" s="32"/>
      <c r="E933" s="32"/>
      <c r="F933" s="32"/>
      <c r="G933" s="32"/>
      <c r="H933" s="10"/>
      <c r="I933" s="10"/>
      <c r="J933" s="10"/>
      <c r="K933" s="12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44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46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B934" s="57"/>
      <c r="C934" s="57"/>
      <c r="D934" s="36"/>
      <c r="E934" s="36"/>
      <c r="F934" s="36"/>
      <c r="G934" s="36"/>
      <c r="H934" s="37"/>
      <c r="I934" s="37"/>
      <c r="J934" s="37"/>
      <c r="K934" s="37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8">
        <f>SUM(D892:D934)</f>
        <v>377761</v>
      </c>
      <c r="E935" s="38">
        <f t="shared" ref="E935:G935" si="254">SUM(E892:E932)</f>
        <v>0</v>
      </c>
      <c r="F935" s="38">
        <f t="shared" si="254"/>
        <v>0</v>
      </c>
      <c r="G935" s="38">
        <f>SUM(G892:G934)</f>
        <v>377761</v>
      </c>
      <c r="H935" s="4"/>
      <c r="I935" s="39">
        <f>SUM(I892:I934)</f>
        <v>13633.5</v>
      </c>
      <c r="J935" s="39">
        <f>SUM(J892:J934)</f>
        <v>-823.5</v>
      </c>
      <c r="K935" s="40">
        <f>SUM(K892:K934)</f>
        <v>390571</v>
      </c>
      <c r="N935" s="57"/>
      <c r="O935" s="57"/>
      <c r="P935" s="38">
        <f>SUM(P892:P934)</f>
        <v>303691.5</v>
      </c>
      <c r="Q935" s="38">
        <f>SUM(Q892:Q916)</f>
        <v>-2598</v>
      </c>
      <c r="R935" s="38">
        <f>SUM(R892:R916)</f>
        <v>0</v>
      </c>
      <c r="S935" s="38">
        <f>SUM(S892:S934)</f>
        <v>301093.5</v>
      </c>
      <c r="T935" s="4"/>
      <c r="U935" s="41">
        <f>SUM(U892:U934)</f>
        <v>1056</v>
      </c>
      <c r="V935" s="41">
        <f>SUM(V892:V916)</f>
        <v>-699</v>
      </c>
      <c r="W935" s="42">
        <f>SUM(W892:W934)</f>
        <v>301450.5</v>
      </c>
      <c r="Z935" s="57"/>
      <c r="AA935" s="57"/>
      <c r="AB935" s="38">
        <f>SUM(AB892:AB934)</f>
        <v>321135</v>
      </c>
      <c r="AC935" s="38">
        <f>SUM(AC892:AC916)</f>
        <v>-2304</v>
      </c>
      <c r="AD935" s="38">
        <f>SUM(AD892:AD916)</f>
        <v>0</v>
      </c>
      <c r="AE935" s="38">
        <f>SUM(AE892:AE934)</f>
        <v>318831</v>
      </c>
      <c r="AF935" s="4"/>
      <c r="AG935" s="41">
        <f>SUM(AG892:AG934)</f>
        <v>1482.75</v>
      </c>
      <c r="AH935" s="41">
        <f>SUM(AH892:AH916)</f>
        <v>-9267</v>
      </c>
      <c r="AI935" s="42">
        <f>SUM(AI892:AI934)</f>
        <v>311046.75</v>
      </c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8"/>
      <c r="C937" s="88"/>
      <c r="D937" s="88"/>
      <c r="E937" s="88"/>
      <c r="F937" s="88"/>
      <c r="G937" s="88"/>
      <c r="H937" s="62"/>
      <c r="I937" s="62"/>
      <c r="J937" s="62"/>
      <c r="K937" s="62"/>
      <c r="L937" s="62"/>
      <c r="M937" s="62"/>
      <c r="N937" s="88"/>
      <c r="O937" s="88"/>
      <c r="P937" s="88"/>
      <c r="Q937" s="88"/>
      <c r="R937" s="88"/>
      <c r="S937" s="88"/>
      <c r="T937" s="62"/>
      <c r="U937" s="62"/>
      <c r="V937" s="62"/>
      <c r="W937" s="62"/>
      <c r="X937" s="62"/>
      <c r="Y937" s="62"/>
      <c r="Z937" s="88"/>
      <c r="AA937" s="88"/>
      <c r="AB937" s="88"/>
      <c r="AC937" s="88"/>
      <c r="AD937" s="88"/>
      <c r="AE937" s="88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8"/>
      <c r="C938" s="88"/>
      <c r="D938" s="88"/>
      <c r="E938" s="88"/>
      <c r="F938" s="88"/>
      <c r="G938" s="88"/>
      <c r="H938" s="62"/>
      <c r="I938" s="62"/>
      <c r="J938" s="62"/>
      <c r="K938" s="62"/>
      <c r="L938" s="62"/>
      <c r="M938" s="62"/>
      <c r="N938" s="88"/>
      <c r="O938" s="88"/>
      <c r="P938" s="88"/>
      <c r="Q938" s="88"/>
      <c r="R938" s="88"/>
      <c r="S938" s="88"/>
      <c r="T938" s="62"/>
      <c r="U938" s="62"/>
      <c r="V938" s="62"/>
      <c r="W938" s="62"/>
      <c r="X938" s="62"/>
      <c r="Y938" s="62"/>
      <c r="Z938" s="88"/>
      <c r="AA938" s="88"/>
      <c r="AB938" s="88"/>
      <c r="AC938" s="88"/>
      <c r="AD938" s="88"/>
      <c r="AE938" s="88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8"/>
      <c r="C939" s="88"/>
      <c r="D939" s="88"/>
      <c r="E939" s="88"/>
      <c r="F939" s="88"/>
      <c r="G939" s="88"/>
      <c r="H939" s="62"/>
      <c r="I939" s="62"/>
      <c r="J939" s="62"/>
      <c r="K939" s="62"/>
      <c r="L939" s="62"/>
      <c r="M939" s="62"/>
      <c r="N939" s="88"/>
      <c r="O939" s="88"/>
      <c r="P939" s="88"/>
      <c r="Q939" s="88"/>
      <c r="R939" s="88"/>
      <c r="S939" s="88"/>
      <c r="T939" s="62"/>
      <c r="U939" s="62"/>
      <c r="V939" s="62"/>
      <c r="W939" s="62"/>
      <c r="X939" s="62"/>
      <c r="Y939" s="62"/>
      <c r="Z939" s="88"/>
      <c r="AA939" s="88"/>
      <c r="AB939" s="88"/>
      <c r="AC939" s="88"/>
      <c r="AD939" s="88"/>
      <c r="AE939" s="88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8"/>
      <c r="C940" s="88"/>
      <c r="D940" s="88"/>
      <c r="E940" s="88"/>
      <c r="F940" s="88"/>
      <c r="G940" s="88"/>
      <c r="H940" s="62"/>
      <c r="I940" s="62"/>
      <c r="J940" s="62"/>
      <c r="K940" s="62"/>
      <c r="L940" s="62"/>
      <c r="M940" s="63"/>
      <c r="N940" s="88"/>
      <c r="O940" s="88"/>
      <c r="P940" s="88"/>
      <c r="Q940" s="88"/>
      <c r="R940" s="88"/>
      <c r="S940" s="88"/>
      <c r="T940" s="62"/>
      <c r="U940" s="62"/>
      <c r="V940" s="62"/>
      <c r="W940" s="62"/>
      <c r="X940" s="62"/>
      <c r="Y940" s="63"/>
      <c r="Z940" s="88"/>
      <c r="AA940" s="88"/>
      <c r="AB940" s="88"/>
      <c r="AC940" s="88"/>
      <c r="AD940" s="88"/>
      <c r="AE940" s="88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8"/>
      <c r="C941" s="88"/>
      <c r="D941" s="88"/>
      <c r="E941" s="88"/>
      <c r="F941" s="88"/>
      <c r="G941" s="88"/>
      <c r="H941" s="62"/>
      <c r="I941" s="62"/>
      <c r="J941" s="62"/>
      <c r="K941" s="62"/>
      <c r="L941" s="62"/>
      <c r="M941" s="62"/>
      <c r="N941" s="88"/>
      <c r="O941" s="88"/>
      <c r="P941" s="88"/>
      <c r="Q941" s="88"/>
      <c r="R941" s="88"/>
      <c r="S941" s="88"/>
      <c r="T941" s="62"/>
      <c r="U941" s="62"/>
      <c r="V941" s="62"/>
      <c r="W941" s="62"/>
      <c r="X941" s="62"/>
      <c r="Y941" s="62"/>
      <c r="Z941" s="88"/>
      <c r="AA941" s="88"/>
      <c r="AB941" s="88"/>
      <c r="AC941" s="88"/>
      <c r="AD941" s="88"/>
      <c r="AE941" s="88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8"/>
      <c r="C942" s="88"/>
      <c r="D942" s="88"/>
      <c r="E942" s="88"/>
      <c r="F942" s="88"/>
      <c r="G942" s="88"/>
      <c r="H942" s="62"/>
      <c r="I942" s="88"/>
      <c r="J942" s="73"/>
      <c r="K942" s="62"/>
      <c r="L942" s="62"/>
      <c r="M942" s="62"/>
      <c r="N942" s="88"/>
      <c r="O942" s="88"/>
      <c r="P942" s="88"/>
      <c r="Q942" s="88"/>
      <c r="R942" s="88"/>
      <c r="S942" s="88"/>
      <c r="T942" s="62"/>
      <c r="U942" s="88"/>
      <c r="V942" s="73"/>
      <c r="W942" s="62"/>
      <c r="X942" s="62"/>
      <c r="Y942" s="62"/>
      <c r="Z942" s="88"/>
      <c r="AA942" s="88"/>
      <c r="AB942" s="88"/>
      <c r="AC942" s="88"/>
      <c r="AD942" s="88"/>
      <c r="AE942" s="88"/>
      <c r="AF942" s="62"/>
      <c r="AG942" s="88"/>
      <c r="AH942" s="88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8"/>
      <c r="C943" s="88"/>
      <c r="D943" s="88"/>
      <c r="E943" s="88"/>
      <c r="F943" s="88"/>
      <c r="G943" s="88"/>
      <c r="H943" s="62"/>
      <c r="I943" s="65"/>
      <c r="J943" s="65"/>
      <c r="K943" s="62"/>
      <c r="L943" s="62"/>
      <c r="M943" s="64"/>
      <c r="N943" s="88"/>
      <c r="O943" s="88"/>
      <c r="P943" s="88"/>
      <c r="Q943" s="88"/>
      <c r="R943" s="88"/>
      <c r="S943" s="88"/>
      <c r="T943" s="62"/>
      <c r="U943" s="65"/>
      <c r="V943" s="65"/>
      <c r="W943" s="62"/>
      <c r="X943" s="62"/>
      <c r="Y943" s="64"/>
      <c r="Z943" s="88"/>
      <c r="AA943" s="88"/>
      <c r="AB943" s="88"/>
      <c r="AC943" s="88"/>
      <c r="AD943" s="88"/>
      <c r="AE943" s="88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8"/>
      <c r="C944" s="88"/>
      <c r="D944" s="88"/>
      <c r="E944" s="88"/>
      <c r="F944" s="88"/>
      <c r="G944" s="88"/>
      <c r="H944" s="62"/>
      <c r="I944" s="62"/>
      <c r="J944" s="62"/>
      <c r="K944" s="62"/>
      <c r="L944" s="62"/>
      <c r="M944" s="62"/>
      <c r="N944" s="88"/>
      <c r="O944" s="88"/>
      <c r="P944" s="88"/>
      <c r="Q944" s="88"/>
      <c r="R944" s="88"/>
      <c r="S944" s="88"/>
      <c r="T944" s="62"/>
      <c r="U944" s="62"/>
      <c r="V944" s="62"/>
      <c r="W944" s="62"/>
      <c r="X944" s="62"/>
      <c r="Y944" s="62"/>
      <c r="Z944" s="88"/>
      <c r="AA944" s="88"/>
      <c r="AB944" s="88"/>
      <c r="AC944" s="88"/>
      <c r="AD944" s="88"/>
      <c r="AE944" s="88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8"/>
      <c r="D945" s="115"/>
      <c r="E945" s="115"/>
      <c r="F945" s="88"/>
      <c r="G945" s="88"/>
      <c r="H945" s="62"/>
      <c r="I945" s="115"/>
      <c r="J945" s="115"/>
      <c r="K945" s="114"/>
      <c r="L945" s="62"/>
      <c r="M945" s="62"/>
      <c r="N945" s="65"/>
      <c r="O945" s="88"/>
      <c r="P945" s="115"/>
      <c r="Q945" s="115"/>
      <c r="R945" s="88"/>
      <c r="S945" s="88"/>
      <c r="T945" s="62"/>
      <c r="U945" s="115"/>
      <c r="V945" s="115"/>
      <c r="W945" s="114"/>
      <c r="X945" s="62"/>
      <c r="Y945" s="62"/>
      <c r="Z945" s="65"/>
      <c r="AA945" s="88"/>
      <c r="AB945" s="115"/>
      <c r="AC945" s="115"/>
      <c r="AD945" s="88"/>
      <c r="AE945" s="88"/>
      <c r="AF945" s="62"/>
      <c r="AG945" s="115"/>
      <c r="AH945" s="115"/>
      <c r="AI945" s="114"/>
      <c r="AJ945" s="62"/>
      <c r="AK945" s="62"/>
      <c r="AL945" s="65"/>
      <c r="AM945" s="86"/>
      <c r="AN945" s="115"/>
      <c r="AO945" s="115"/>
      <c r="AP945" s="86"/>
      <c r="AQ945" s="86"/>
      <c r="AR945" s="62"/>
      <c r="AS945" s="115"/>
      <c r="AT945" s="115"/>
      <c r="AU945" s="114"/>
      <c r="AV945" s="62"/>
      <c r="AW945" s="62"/>
      <c r="AX945" s="62"/>
      <c r="AY945" s="62"/>
      <c r="AZ945" s="62"/>
    </row>
    <row r="946" spans="1:52" x14ac:dyDescent="0.25">
      <c r="A946" s="62"/>
      <c r="B946" s="88"/>
      <c r="C946" s="88"/>
      <c r="D946" s="79"/>
      <c r="E946" s="80"/>
      <c r="F946" s="81"/>
      <c r="G946" s="81"/>
      <c r="H946" s="62"/>
      <c r="I946" s="87"/>
      <c r="J946" s="87"/>
      <c r="K946" s="114"/>
      <c r="L946" s="62"/>
      <c r="M946" s="62"/>
      <c r="N946" s="88"/>
      <c r="O946" s="88"/>
      <c r="P946" s="79"/>
      <c r="Q946" s="81"/>
      <c r="R946" s="81"/>
      <c r="S946" s="81"/>
      <c r="T946" s="62"/>
      <c r="U946" s="87"/>
      <c r="V946" s="87"/>
      <c r="W946" s="114"/>
      <c r="X946" s="62"/>
      <c r="Y946" s="62"/>
      <c r="Z946" s="88"/>
      <c r="AA946" s="88"/>
      <c r="AB946" s="79"/>
      <c r="AC946" s="81"/>
      <c r="AD946" s="81"/>
      <c r="AE946" s="81"/>
      <c r="AF946" s="62"/>
      <c r="AG946" s="87"/>
      <c r="AH946" s="87"/>
      <c r="AI946" s="114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14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8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8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8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8"/>
      <c r="AB948" s="60"/>
      <c r="AC948" s="62"/>
      <c r="AD948" s="60"/>
      <c r="AE948" s="60"/>
      <c r="AF948" s="61"/>
      <c r="AG948" s="61"/>
      <c r="AH948" s="62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8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8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8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8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8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8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65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8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8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8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8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8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8"/>
      <c r="AB955" s="62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8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8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8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8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6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8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8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8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62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8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8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8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8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62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8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8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8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8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8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8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8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8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8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8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8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8"/>
      <c r="P967" s="89"/>
      <c r="Q967" s="88"/>
      <c r="R967" s="88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88"/>
      <c r="AD967" s="88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9"/>
      <c r="Q968" s="88"/>
      <c r="R968" s="88"/>
      <c r="S968" s="60"/>
      <c r="T968" s="62"/>
      <c r="U968" s="62"/>
      <c r="V968" s="62"/>
      <c r="W968" s="61"/>
      <c r="X968" s="62"/>
      <c r="Y968" s="62"/>
      <c r="Z968" s="66"/>
      <c r="AA968" s="88"/>
      <c r="AB968" s="68"/>
      <c r="AC968" s="88"/>
      <c r="AD968" s="88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8"/>
      <c r="P969" s="69"/>
      <c r="Q969" s="88"/>
      <c r="R969" s="62"/>
      <c r="S969" s="60"/>
      <c r="T969" s="62"/>
      <c r="U969" s="62"/>
      <c r="V969" s="62"/>
      <c r="W969" s="61"/>
      <c r="X969" s="62"/>
      <c r="Y969" s="62"/>
      <c r="Z969" s="66"/>
      <c r="AA969" s="88"/>
      <c r="AB969" s="69"/>
      <c r="AC969" s="88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8"/>
      <c r="R970" s="88"/>
      <c r="S970" s="60"/>
      <c r="T970" s="62"/>
      <c r="U970" s="62"/>
      <c r="V970" s="62"/>
      <c r="W970" s="61"/>
      <c r="X970" s="62"/>
      <c r="Y970" s="62"/>
      <c r="Z970" s="66"/>
      <c r="AA970" s="88"/>
      <c r="AB970" s="69"/>
      <c r="AC970" s="88"/>
      <c r="AD970" s="88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8"/>
      <c r="P971" s="69"/>
      <c r="Q971" s="88"/>
      <c r="R971" s="88"/>
      <c r="S971" s="60"/>
      <c r="T971" s="62"/>
      <c r="U971" s="62"/>
      <c r="V971" s="62"/>
      <c r="W971" s="61"/>
      <c r="X971" s="62"/>
      <c r="Y971" s="62"/>
      <c r="Z971" s="66"/>
      <c r="AA971" s="88"/>
      <c r="AB971" s="69"/>
      <c r="AC971" s="88"/>
      <c r="AD971" s="88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8"/>
      <c r="P972" s="69"/>
      <c r="Q972" s="88"/>
      <c r="R972" s="88"/>
      <c r="S972" s="60"/>
      <c r="T972" s="62"/>
      <c r="U972" s="62"/>
      <c r="V972" s="62"/>
      <c r="W972" s="61"/>
      <c r="X972" s="62"/>
      <c r="Y972" s="62"/>
      <c r="Z972" s="66"/>
      <c r="AA972" s="88"/>
      <c r="AB972" s="69"/>
      <c r="AC972" s="88"/>
      <c r="AD972" s="88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8"/>
      <c r="P973" s="69"/>
      <c r="Q973" s="88"/>
      <c r="R973" s="88"/>
      <c r="S973" s="60"/>
      <c r="T973" s="62"/>
      <c r="U973" s="62"/>
      <c r="V973" s="62"/>
      <c r="W973" s="61"/>
      <c r="X973" s="62"/>
      <c r="Y973" s="62"/>
      <c r="Z973" s="66"/>
      <c r="AA973" s="88"/>
      <c r="AB973" s="69"/>
      <c r="AC973" s="88"/>
      <c r="AD973" s="88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8"/>
      <c r="P974" s="69"/>
      <c r="Q974" s="88"/>
      <c r="R974" s="88"/>
      <c r="S974" s="60"/>
      <c r="T974" s="62"/>
      <c r="U974" s="62"/>
      <c r="V974" s="62"/>
      <c r="W974" s="61"/>
      <c r="X974" s="62"/>
      <c r="Y974" s="62"/>
      <c r="Z974" s="66"/>
      <c r="AA974" s="88"/>
      <c r="AB974" s="69"/>
      <c r="AC974" s="88"/>
      <c r="AD974" s="88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8"/>
      <c r="P975" s="69"/>
      <c r="Q975" s="88"/>
      <c r="R975" s="88"/>
      <c r="S975" s="60"/>
      <c r="T975" s="62"/>
      <c r="U975" s="62"/>
      <c r="V975" s="62"/>
      <c r="W975" s="61"/>
      <c r="X975" s="62"/>
      <c r="Y975" s="62"/>
      <c r="Z975" s="66"/>
      <c r="AA975" s="88"/>
      <c r="AB975" s="69"/>
      <c r="AC975" s="88"/>
      <c r="AD975" s="88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8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8"/>
      <c r="R976" s="88"/>
      <c r="S976" s="60"/>
      <c r="T976" s="62"/>
      <c r="U976" s="62"/>
      <c r="V976" s="62"/>
      <c r="W976" s="61"/>
      <c r="X976" s="62"/>
      <c r="Y976" s="62"/>
      <c r="Z976" s="66"/>
      <c r="AA976" s="88"/>
      <c r="AB976" s="69"/>
      <c r="AC976" s="88"/>
      <c r="AD976" s="88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8"/>
      <c r="P977" s="69"/>
      <c r="Q977" s="88"/>
      <c r="R977" s="88"/>
      <c r="S977" s="60"/>
      <c r="T977" s="62"/>
      <c r="U977" s="62"/>
      <c r="V977" s="62"/>
      <c r="W977" s="61"/>
      <c r="X977" s="62"/>
      <c r="Y977" s="62"/>
      <c r="Z977" s="66"/>
      <c r="AA977" s="88"/>
      <c r="AB977" s="69"/>
      <c r="AC977" s="88"/>
      <c r="AD977" s="88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8"/>
      <c r="P978" s="69"/>
      <c r="Q978" s="88"/>
      <c r="R978" s="88"/>
      <c r="S978" s="60"/>
      <c r="T978" s="62"/>
      <c r="U978" s="62"/>
      <c r="V978" s="62"/>
      <c r="W978" s="61"/>
      <c r="X978" s="62"/>
      <c r="Y978" s="62"/>
      <c r="Z978" s="66"/>
      <c r="AA978" s="88"/>
      <c r="AB978" s="69"/>
      <c r="AC978" s="88"/>
      <c r="AD978" s="88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8"/>
      <c r="P979" s="69"/>
      <c r="Q979" s="88"/>
      <c r="R979" s="88"/>
      <c r="S979" s="60"/>
      <c r="T979" s="62"/>
      <c r="U979" s="62"/>
      <c r="V979" s="62"/>
      <c r="W979" s="61"/>
      <c r="X979" s="62"/>
      <c r="Y979" s="62"/>
      <c r="Z979" s="66"/>
      <c r="AA979" s="88"/>
      <c r="AB979" s="69"/>
      <c r="AC979" s="88"/>
      <c r="AD979" s="88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8"/>
      <c r="P980" s="69"/>
      <c r="Q980" s="88"/>
      <c r="R980" s="88"/>
      <c r="S980" s="60"/>
      <c r="T980" s="62"/>
      <c r="U980" s="62"/>
      <c r="V980" s="62"/>
      <c r="W980" s="61"/>
      <c r="X980" s="62"/>
      <c r="Y980" s="62"/>
      <c r="Z980" s="66"/>
      <c r="AA980" s="88"/>
      <c r="AB980" s="69"/>
      <c r="AC980" s="88"/>
      <c r="AD980" s="88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8"/>
      <c r="P981" s="69"/>
      <c r="Q981" s="88"/>
      <c r="R981" s="88"/>
      <c r="S981" s="60"/>
      <c r="T981" s="62"/>
      <c r="U981" s="62"/>
      <c r="V981" s="62"/>
      <c r="W981" s="61"/>
      <c r="X981" s="62"/>
      <c r="Y981" s="62"/>
      <c r="Z981" s="66"/>
      <c r="AA981" s="88"/>
      <c r="AB981" s="69"/>
      <c r="AC981" s="88"/>
      <c r="AD981" s="88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8"/>
      <c r="P982" s="69"/>
      <c r="Q982" s="88"/>
      <c r="R982" s="88"/>
      <c r="S982" s="60"/>
      <c r="T982" s="62"/>
      <c r="U982" s="62"/>
      <c r="V982" s="62"/>
      <c r="W982" s="61"/>
      <c r="X982" s="62"/>
      <c r="Y982" s="62"/>
      <c r="Z982" s="66"/>
      <c r="AA982" s="88"/>
      <c r="AB982" s="69"/>
      <c r="AC982" s="88"/>
      <c r="AD982" s="88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8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8"/>
      <c r="R983" s="88"/>
      <c r="S983" s="60"/>
      <c r="T983" s="62"/>
      <c r="U983" s="62"/>
      <c r="V983" s="62"/>
      <c r="W983" s="61"/>
      <c r="X983" s="62"/>
      <c r="Y983" s="62"/>
      <c r="Z983" s="66"/>
      <c r="AA983" s="88"/>
      <c r="AB983" s="69"/>
      <c r="AC983" s="88"/>
      <c r="AD983" s="88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8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8"/>
      <c r="P984" s="69"/>
      <c r="Q984" s="88"/>
      <c r="R984" s="88"/>
      <c r="S984" s="60"/>
      <c r="T984" s="62"/>
      <c r="U984" s="62"/>
      <c r="V984" s="62"/>
      <c r="W984" s="61"/>
      <c r="X984" s="62"/>
      <c r="Y984" s="62"/>
      <c r="Z984" s="66"/>
      <c r="AA984" s="88"/>
      <c r="AB984" s="69"/>
      <c r="AC984" s="88"/>
      <c r="AD984" s="88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8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8"/>
      <c r="P985" s="69"/>
      <c r="Q985" s="88"/>
      <c r="R985" s="88"/>
      <c r="S985" s="60"/>
      <c r="T985" s="62"/>
      <c r="U985" s="62"/>
      <c r="V985" s="62"/>
      <c r="W985" s="61"/>
      <c r="X985" s="62"/>
      <c r="Y985" s="62"/>
      <c r="Z985" s="66"/>
      <c r="AA985" s="88"/>
      <c r="AB985" s="69"/>
      <c r="AC985" s="88"/>
      <c r="AD985" s="88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8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8"/>
      <c r="R986" s="88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8"/>
      <c r="AD986" s="88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8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8"/>
      <c r="P987" s="69"/>
      <c r="Q987" s="88"/>
      <c r="R987" s="88"/>
      <c r="S987" s="60"/>
      <c r="T987" s="62"/>
      <c r="U987" s="62"/>
      <c r="V987" s="62"/>
      <c r="W987" s="61"/>
      <c r="X987" s="62"/>
      <c r="Y987" s="62"/>
      <c r="Z987" s="66"/>
      <c r="AA987" s="88"/>
      <c r="AB987" s="69"/>
      <c r="AC987" s="88"/>
      <c r="AD987" s="88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8"/>
      <c r="O988" s="88"/>
      <c r="P988" s="88"/>
      <c r="Q988" s="88"/>
      <c r="R988" s="88"/>
      <c r="S988" s="88"/>
      <c r="T988" s="62"/>
      <c r="U988" s="62"/>
      <c r="V988" s="62"/>
      <c r="W988" s="61"/>
      <c r="X988" s="62"/>
      <c r="Y988" s="62"/>
      <c r="Z988" s="88"/>
      <c r="AA988" s="88"/>
      <c r="AB988" s="88"/>
      <c r="AC988" s="88"/>
      <c r="AD988" s="88"/>
      <c r="AE988" s="88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8"/>
      <c r="C989" s="88"/>
      <c r="D989" s="88"/>
      <c r="E989" s="88"/>
      <c r="F989" s="88"/>
      <c r="G989" s="88"/>
      <c r="H989" s="62"/>
      <c r="I989" s="62"/>
      <c r="J989" s="62"/>
      <c r="K989" s="62"/>
      <c r="L989" s="62"/>
      <c r="M989" s="62"/>
      <c r="N989" s="88"/>
      <c r="O989" s="88"/>
      <c r="P989" s="88"/>
      <c r="Q989" s="88"/>
      <c r="R989" s="88"/>
      <c r="S989" s="88"/>
      <c r="T989" s="62"/>
      <c r="U989" s="62"/>
      <c r="V989" s="62"/>
      <c r="W989" s="62"/>
      <c r="X989" s="62"/>
      <c r="Y989" s="62"/>
      <c r="Z989" s="88"/>
      <c r="AA989" s="88"/>
      <c r="AB989" s="88"/>
      <c r="AC989" s="88"/>
      <c r="AD989" s="88"/>
      <c r="AE989" s="88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8"/>
      <c r="C990" s="88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8"/>
      <c r="O990" s="88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8"/>
      <c r="AA990" s="88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15"/>
      <c r="E1000" s="115"/>
      <c r="F1000" s="86"/>
      <c r="G1000" s="86"/>
      <c r="H1000" s="62"/>
      <c r="I1000" s="115"/>
      <c r="J1000" s="115"/>
      <c r="K1000" s="114"/>
      <c r="L1000" s="62"/>
      <c r="M1000" s="62"/>
      <c r="N1000" s="65"/>
      <c r="O1000" s="86"/>
      <c r="P1000" s="115"/>
      <c r="Q1000" s="115"/>
      <c r="R1000" s="86"/>
      <c r="S1000" s="86"/>
      <c r="T1000" s="62"/>
      <c r="U1000" s="115"/>
      <c r="V1000" s="115"/>
      <c r="W1000" s="114"/>
      <c r="X1000" s="62"/>
      <c r="Y1000" s="62"/>
      <c r="Z1000" s="65"/>
      <c r="AA1000" s="86"/>
      <c r="AB1000" s="115"/>
      <c r="AC1000" s="115"/>
      <c r="AD1000" s="86"/>
      <c r="AE1000" s="86"/>
      <c r="AF1000" s="62"/>
      <c r="AG1000" s="115"/>
      <c r="AH1000" s="115"/>
      <c r="AI1000" s="114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14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14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14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15"/>
      <c r="E1055" s="115"/>
      <c r="F1055" s="86"/>
      <c r="G1055" s="86"/>
      <c r="H1055" s="62"/>
      <c r="I1055" s="115"/>
      <c r="J1055" s="115"/>
      <c r="K1055" s="114"/>
      <c r="L1055" s="62"/>
      <c r="M1055" s="62"/>
      <c r="N1055" s="65"/>
      <c r="O1055" s="86"/>
      <c r="P1055" s="115"/>
      <c r="Q1055" s="115"/>
      <c r="R1055" s="86"/>
      <c r="S1055" s="86"/>
      <c r="T1055" s="62"/>
      <c r="U1055" s="115"/>
      <c r="V1055" s="115"/>
      <c r="W1055" s="114"/>
      <c r="X1055" s="62"/>
      <c r="Y1055" s="62"/>
      <c r="Z1055" s="65"/>
      <c r="AA1055" s="86"/>
      <c r="AB1055" s="115"/>
      <c r="AC1055" s="115"/>
      <c r="AD1055" s="86"/>
      <c r="AE1055" s="86"/>
      <c r="AF1055" s="62"/>
      <c r="AG1055" s="115"/>
      <c r="AH1055" s="115"/>
      <c r="AI1055" s="114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14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14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14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15"/>
      <c r="E1110" s="115"/>
      <c r="F1110" s="86"/>
      <c r="G1110" s="86"/>
      <c r="H1110" s="62"/>
      <c r="I1110" s="115"/>
      <c r="J1110" s="115"/>
      <c r="K1110" s="114"/>
      <c r="L1110" s="62"/>
      <c r="M1110" s="62"/>
      <c r="N1110" s="65"/>
      <c r="O1110" s="86"/>
      <c r="P1110" s="115"/>
      <c r="Q1110" s="115"/>
      <c r="R1110" s="86"/>
      <c r="S1110" s="86"/>
      <c r="T1110" s="62"/>
      <c r="U1110" s="115"/>
      <c r="V1110" s="115"/>
      <c r="W1110" s="114"/>
      <c r="X1110" s="62"/>
      <c r="Y1110" s="62"/>
      <c r="Z1110" s="65"/>
      <c r="AA1110" s="86"/>
      <c r="AB1110" s="115"/>
      <c r="AC1110" s="115"/>
      <c r="AD1110" s="86"/>
      <c r="AE1110" s="86"/>
      <c r="AF1110" s="62"/>
      <c r="AG1110" s="115"/>
      <c r="AH1110" s="115"/>
      <c r="AI1110" s="114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14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14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14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15"/>
      <c r="E1165" s="115"/>
      <c r="F1165" s="86"/>
      <c r="G1165" s="86"/>
      <c r="H1165" s="62"/>
      <c r="I1165" s="115"/>
      <c r="J1165" s="115"/>
      <c r="K1165" s="114"/>
      <c r="L1165" s="62"/>
      <c r="M1165" s="62"/>
      <c r="N1165" s="65"/>
      <c r="O1165" s="86"/>
      <c r="P1165" s="115"/>
      <c r="Q1165" s="115"/>
      <c r="R1165" s="86"/>
      <c r="S1165" s="86"/>
      <c r="T1165" s="62"/>
      <c r="U1165" s="115"/>
      <c r="V1165" s="115"/>
      <c r="W1165" s="114"/>
      <c r="X1165" s="62"/>
      <c r="Y1165" s="62"/>
      <c r="Z1165" s="65"/>
      <c r="AA1165" s="86"/>
      <c r="AB1165" s="115"/>
      <c r="AC1165" s="115"/>
      <c r="AD1165" s="86"/>
      <c r="AE1165" s="86"/>
      <c r="AF1165" s="62"/>
      <c r="AG1165" s="115"/>
      <c r="AH1165" s="115"/>
      <c r="AI1165" s="114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14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14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14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15"/>
      <c r="E1221" s="115"/>
      <c r="F1221" s="86"/>
      <c r="G1221" s="86"/>
      <c r="H1221" s="62"/>
      <c r="I1221" s="115"/>
      <c r="J1221" s="115"/>
      <c r="K1221" s="114"/>
      <c r="L1221" s="62"/>
      <c r="M1221" s="62"/>
      <c r="N1221" s="65"/>
      <c r="O1221" s="86"/>
      <c r="P1221" s="115"/>
      <c r="Q1221" s="115"/>
      <c r="R1221" s="86"/>
      <c r="S1221" s="86"/>
      <c r="T1221" s="62"/>
      <c r="U1221" s="115"/>
      <c r="V1221" s="115"/>
      <c r="W1221" s="114"/>
      <c r="X1221" s="62"/>
      <c r="Y1221" s="62"/>
      <c r="Z1221" s="65"/>
      <c r="AA1221" s="86"/>
      <c r="AB1221" s="115"/>
      <c r="AC1221" s="115"/>
      <c r="AD1221" s="86"/>
      <c r="AE1221" s="86"/>
      <c r="AF1221" s="62"/>
      <c r="AG1221" s="115"/>
      <c r="AH1221" s="115"/>
      <c r="AI1221" s="114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14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14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14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15"/>
      <c r="E1283" s="115"/>
      <c r="F1283" s="86"/>
      <c r="G1283" s="86"/>
      <c r="H1283" s="62"/>
      <c r="I1283" s="115"/>
      <c r="J1283" s="115"/>
      <c r="K1283" s="114"/>
      <c r="L1283" s="62"/>
      <c r="M1283" s="62"/>
      <c r="N1283" s="65"/>
      <c r="O1283" s="86"/>
      <c r="P1283" s="115"/>
      <c r="Q1283" s="115"/>
      <c r="R1283" s="86"/>
      <c r="S1283" s="86"/>
      <c r="T1283" s="62"/>
      <c r="U1283" s="115"/>
      <c r="V1283" s="115"/>
      <c r="W1283" s="114"/>
      <c r="X1283" s="62"/>
      <c r="Y1283" s="62"/>
      <c r="Z1283" s="65"/>
      <c r="AA1283" s="86"/>
      <c r="AB1283" s="115"/>
      <c r="AC1283" s="115"/>
      <c r="AD1283" s="86"/>
      <c r="AE1283" s="86"/>
      <c r="AF1283" s="62"/>
      <c r="AG1283" s="115"/>
      <c r="AH1283" s="115"/>
      <c r="AI1283" s="114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14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14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14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MARCH</vt:lpstr>
      <vt:lpstr>DSIS | MARCH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2026-03-24T01:26:15Z</dcterms:modified>
</cp:coreProperties>
</file>