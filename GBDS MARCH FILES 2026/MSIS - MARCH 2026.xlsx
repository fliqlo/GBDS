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2380EAE-1A65-49F0-92B1-D902027158D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007" i="2" l="1"/>
  <c r="AE1007" i="2" s="1"/>
  <c r="AI1007" i="2" s="1"/>
  <c r="AB1007" i="2"/>
  <c r="AB1006" i="2"/>
  <c r="AE1006" i="2" s="1"/>
  <c r="AI1006" i="2" s="1"/>
  <c r="AB1005" i="2"/>
  <c r="AE1005" i="2" s="1"/>
  <c r="AI1005" i="2" s="1"/>
  <c r="AB1004" i="2"/>
  <c r="AE1004" i="2" s="1"/>
  <c r="AI1004" i="2" s="1"/>
  <c r="AG1003" i="2"/>
  <c r="AG1045" i="2" s="1"/>
  <c r="AC1003" i="2"/>
  <c r="AB1003" i="2"/>
  <c r="AG1002" i="2"/>
  <c r="AB1002" i="2"/>
  <c r="AA1003" i="2"/>
  <c r="AA1005" i="2" s="1"/>
  <c r="AA1006" i="2" s="1"/>
  <c r="AA1007" i="2" s="1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 s="1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 s="1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H1045" i="2"/>
  <c r="P1006" i="2"/>
  <c r="S1006" i="2" s="1"/>
  <c r="W1006" i="2" s="1"/>
  <c r="P1005" i="2"/>
  <c r="P1004" i="2"/>
  <c r="S1004" i="2" s="1"/>
  <c r="W1004" i="2" s="1"/>
  <c r="U1003" i="2"/>
  <c r="P1003" i="2"/>
  <c r="U1002" i="2"/>
  <c r="Q1002" i="2"/>
  <c r="Q1045" i="2" s="1"/>
  <c r="P1002" i="2"/>
  <c r="O1003" i="2"/>
  <c r="O1005" i="2" s="1"/>
  <c r="O1006" i="2" s="1"/>
  <c r="S1003" i="2"/>
  <c r="S1007" i="2"/>
  <c r="W1007" i="2" s="1"/>
  <c r="S1008" i="2"/>
  <c r="W1008" i="2" s="1"/>
  <c r="V1045" i="2"/>
  <c r="S1009" i="2"/>
  <c r="W1009" i="2" s="1"/>
  <c r="S1010" i="2"/>
  <c r="W1010" i="2" s="1"/>
  <c r="S1011" i="2"/>
  <c r="W1011" i="2" s="1"/>
  <c r="S1012" i="2"/>
  <c r="W1012" i="2" s="1"/>
  <c r="S1013" i="2"/>
  <c r="W1013" i="2"/>
  <c r="S1014" i="2"/>
  <c r="W1014" i="2"/>
  <c r="S1015" i="2"/>
  <c r="W1015" i="2"/>
  <c r="S1016" i="2"/>
  <c r="W1016" i="2"/>
  <c r="S1017" i="2"/>
  <c r="W1017" i="2" s="1"/>
  <c r="S1018" i="2"/>
  <c r="W1018" i="2" s="1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 s="1"/>
  <c r="S1026" i="2"/>
  <c r="W1026" i="2" s="1"/>
  <c r="S1027" i="2"/>
  <c r="W1027" i="2" s="1"/>
  <c r="S1028" i="2"/>
  <c r="W1028" i="2" s="1"/>
  <c r="S1029" i="2"/>
  <c r="W1029" i="2"/>
  <c r="S1030" i="2"/>
  <c r="W1030" i="2"/>
  <c r="S1031" i="2"/>
  <c r="W1031" i="2"/>
  <c r="S1032" i="2"/>
  <c r="W1032" i="2"/>
  <c r="S1033" i="2"/>
  <c r="W1033" i="2" s="1"/>
  <c r="S1034" i="2"/>
  <c r="W1034" i="2" s="1"/>
  <c r="S1035" i="2"/>
  <c r="W1035" i="2" s="1"/>
  <c r="S1036" i="2"/>
  <c r="W1036" i="2" s="1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R1045" i="2"/>
  <c r="AC1045" i="2" l="1"/>
  <c r="AE1003" i="2"/>
  <c r="AI1003" i="2" s="1"/>
  <c r="AB1045" i="2"/>
  <c r="AE1002" i="2"/>
  <c r="AI1002" i="2" s="1"/>
  <c r="AE1045" i="2"/>
  <c r="P1045" i="2"/>
  <c r="W1003" i="2"/>
  <c r="U1045" i="2"/>
  <c r="S1002" i="2"/>
  <c r="W1002" i="2" s="1"/>
  <c r="S1005" i="2"/>
  <c r="W1005" i="2" s="1"/>
  <c r="AB952" i="2"/>
  <c r="AE952" i="2" s="1"/>
  <c r="AI952" i="2" s="1"/>
  <c r="AB951" i="2"/>
  <c r="AE951" i="2" s="1"/>
  <c r="AI951" i="2" s="1"/>
  <c r="AB950" i="2"/>
  <c r="AB949" i="2"/>
  <c r="AB948" i="2"/>
  <c r="AB947" i="2"/>
  <c r="AA948" i="2"/>
  <c r="AA949" i="2" s="1"/>
  <c r="AA950" i="2" s="1"/>
  <c r="AA951" i="2" s="1"/>
  <c r="AA952" i="2" s="1"/>
  <c r="AE948" i="2"/>
  <c r="AI948" i="2" s="1"/>
  <c r="AC990" i="2"/>
  <c r="AE949" i="2"/>
  <c r="AI949" i="2"/>
  <c r="AE950" i="2"/>
  <c r="AI950" i="2" s="1"/>
  <c r="AE953" i="2"/>
  <c r="AI953" i="2" s="1"/>
  <c r="AE954" i="2"/>
  <c r="AI954" i="2" s="1"/>
  <c r="AE955" i="2"/>
  <c r="AI955" i="2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 s="1"/>
  <c r="AE962" i="2"/>
  <c r="AI962" i="2"/>
  <c r="AE963" i="2"/>
  <c r="AI963" i="2"/>
  <c r="AE964" i="2"/>
  <c r="AI964" i="2" s="1"/>
  <c r="AE965" i="2"/>
  <c r="AI965" i="2" s="1"/>
  <c r="AE966" i="2"/>
  <c r="AI966" i="2"/>
  <c r="AE967" i="2"/>
  <c r="AI967" i="2"/>
  <c r="AE968" i="2"/>
  <c r="AI968" i="2" s="1"/>
  <c r="AE969" i="2"/>
  <c r="AI969" i="2" s="1"/>
  <c r="AE970" i="2"/>
  <c r="AI970" i="2"/>
  <c r="AE971" i="2"/>
  <c r="AI971" i="2"/>
  <c r="AE972" i="2"/>
  <c r="AI972" i="2" s="1"/>
  <c r="AE973" i="2"/>
  <c r="AI973" i="2" s="1"/>
  <c r="AE974" i="2"/>
  <c r="AI974" i="2"/>
  <c r="AE975" i="2"/>
  <c r="AI975" i="2"/>
  <c r="AE976" i="2"/>
  <c r="AI976" i="2" s="1"/>
  <c r="AE977" i="2"/>
  <c r="AI977" i="2" s="1"/>
  <c r="AE978" i="2"/>
  <c r="AI978" i="2"/>
  <c r="AE979" i="2"/>
  <c r="AI979" i="2"/>
  <c r="AE980" i="2"/>
  <c r="AI980" i="2" s="1"/>
  <c r="AE981" i="2"/>
  <c r="AI981" i="2" s="1"/>
  <c r="AE982" i="2"/>
  <c r="AI982" i="2"/>
  <c r="AE983" i="2"/>
  <c r="AI983" i="2"/>
  <c r="AE984" i="2"/>
  <c r="AI984" i="2" s="1"/>
  <c r="AE985" i="2"/>
  <c r="AI985" i="2" s="1"/>
  <c r="AI986" i="2"/>
  <c r="AE987" i="2"/>
  <c r="AI987" i="2" s="1"/>
  <c r="AI988" i="2"/>
  <c r="AD990" i="2"/>
  <c r="AG990" i="2"/>
  <c r="AH990" i="2"/>
  <c r="V953" i="2"/>
  <c r="V990" i="2" s="1"/>
  <c r="Q953" i="2"/>
  <c r="S953" i="2" s="1"/>
  <c r="W953" i="2" s="1"/>
  <c r="P953" i="2"/>
  <c r="U952" i="2"/>
  <c r="U990" i="2" s="1"/>
  <c r="Q952" i="2"/>
  <c r="P952" i="2"/>
  <c r="S952" i="2" s="1"/>
  <c r="W952" i="2" s="1"/>
  <c r="P951" i="2"/>
  <c r="S951" i="2" s="1"/>
  <c r="W951" i="2" s="1"/>
  <c r="P950" i="2"/>
  <c r="S950" i="2" s="1"/>
  <c r="W950" i="2" s="1"/>
  <c r="P949" i="2"/>
  <c r="P948" i="2"/>
  <c r="P947" i="2"/>
  <c r="O951" i="2"/>
  <c r="O952" i="2" s="1"/>
  <c r="O953" i="2" s="1"/>
  <c r="O948" i="2"/>
  <c r="S948" i="2"/>
  <c r="W948" i="2" s="1"/>
  <c r="O949" i="2"/>
  <c r="O950" i="2" s="1"/>
  <c r="S949" i="2"/>
  <c r="W949" i="2" s="1"/>
  <c r="S954" i="2"/>
  <c r="W954" i="2"/>
  <c r="S955" i="2"/>
  <c r="W955" i="2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 s="1"/>
  <c r="S974" i="2"/>
  <c r="W974" i="2" s="1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 s="1"/>
  <c r="S983" i="2"/>
  <c r="W983" i="2"/>
  <c r="S984" i="2"/>
  <c r="W984" i="2"/>
  <c r="S985" i="2"/>
  <c r="W985" i="2"/>
  <c r="W986" i="2"/>
  <c r="S987" i="2"/>
  <c r="W987" i="2"/>
  <c r="W988" i="2"/>
  <c r="R990" i="2"/>
  <c r="J950" i="2"/>
  <c r="J990" i="2" s="1"/>
  <c r="D950" i="2"/>
  <c r="G950" i="2" s="1"/>
  <c r="D949" i="2"/>
  <c r="G949" i="2" s="1"/>
  <c r="K949" i="2" s="1"/>
  <c r="D948" i="2"/>
  <c r="I947" i="2"/>
  <c r="E947" i="2"/>
  <c r="E990" i="2" s="1"/>
  <c r="D947" i="2"/>
  <c r="G947" i="2" s="1"/>
  <c r="K947" i="2" s="1"/>
  <c r="C948" i="2"/>
  <c r="C949" i="2" s="1"/>
  <c r="C950" i="2" s="1"/>
  <c r="G951" i="2"/>
  <c r="K951" i="2"/>
  <c r="G952" i="2"/>
  <c r="K952" i="2" s="1"/>
  <c r="G953" i="2"/>
  <c r="K953" i="2"/>
  <c r="G954" i="2"/>
  <c r="K954" i="2" s="1"/>
  <c r="G955" i="2"/>
  <c r="K955" i="2"/>
  <c r="G956" i="2"/>
  <c r="K956" i="2" s="1"/>
  <c r="G957" i="2"/>
  <c r="K957" i="2"/>
  <c r="G958" i="2"/>
  <c r="K958" i="2" s="1"/>
  <c r="G959" i="2"/>
  <c r="K959" i="2"/>
  <c r="G960" i="2"/>
  <c r="K960" i="2"/>
  <c r="G961" i="2"/>
  <c r="K961" i="2" s="1"/>
  <c r="G962" i="2"/>
  <c r="K962" i="2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 s="1"/>
  <c r="G970" i="2"/>
  <c r="K970" i="2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/>
  <c r="G987" i="2"/>
  <c r="K987" i="2"/>
  <c r="F990" i="2"/>
  <c r="I990" i="2"/>
  <c r="AI1045" i="2" l="1"/>
  <c r="W1045" i="2"/>
  <c r="S1045" i="2"/>
  <c r="AB990" i="2"/>
  <c r="AE947" i="2"/>
  <c r="AI947" i="2" s="1"/>
  <c r="AI990" i="2" s="1"/>
  <c r="Q990" i="2"/>
  <c r="P990" i="2"/>
  <c r="S947" i="2"/>
  <c r="W947" i="2" s="1"/>
  <c r="W990" i="2"/>
  <c r="S990" i="2"/>
  <c r="K950" i="2"/>
  <c r="D990" i="2"/>
  <c r="G948" i="2"/>
  <c r="K948" i="2" s="1"/>
  <c r="K990" i="2"/>
  <c r="G990" i="2"/>
  <c r="AA898" i="2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E990" i="2" l="1"/>
  <c r="AC935" i="2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  <comment ref="F30" authorId="0" shapeId="0" xr:uid="{18543D32-ED49-4506-88E7-726EFB4D4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30" authorId="0" shapeId="0" xr:uid="{CB4D1CEC-9712-41B8-ABA4-92D50153CE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0" authorId="0" shapeId="0" xr:uid="{654D5819-85D9-41CD-A241-2FD56A08E2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3" authorId="0" shapeId="0" xr:uid="{297E6368-5456-4082-9F2A-AD7080C6A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34" authorId="0" shapeId="0" xr:uid="{D6A1D33B-E281-470D-B2B0-93700DFFEB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47" authorId="0" shapeId="0" xr:uid="{E845E55C-58FF-4B4B-A42C-04A6DC2A6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JUN CATIG
GUNYAN, SIAYAN</t>
        </r>
      </text>
    </comment>
    <comment ref="O947" authorId="0" shapeId="0" xr:uid="{40F95725-13BB-4F15-9FFD-1791EBC67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947" authorId="0" shapeId="0" xr:uid="{73C0D8EB-D253-4E1F-92C6-7026FFDA27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F4D631DB-4F35-421A-9AEB-2DA0F53953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LANIE, SUERTE
POB, SIAYAN</t>
        </r>
      </text>
    </comment>
    <comment ref="O948" authorId="0" shapeId="0" xr:uid="{82386E18-532D-4B50-9C5B-8DB91DDC8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48" authorId="0" shapeId="0" xr:uid="{47B49593-DF4E-43C8-89DA-A0150A41A9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949" authorId="0" shapeId="0" xr:uid="{873067B4-927C-440A-A411-A7ECDAE1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POB, SIAYAN</t>
        </r>
      </text>
    </comment>
    <comment ref="O949" authorId="0" shapeId="0" xr:uid="{75838087-8AFB-44F5-8920-740072C0B1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
UPPER INUMAN, SINDANGAN</t>
        </r>
      </text>
    </comment>
    <comment ref="AA949" authorId="0" shapeId="0" xr:uid="{5A901664-F2A9-4815-8F6E-B80B7905C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950" authorId="0" shapeId="0" xr:uid="{7280F4BB-1721-4EAC-9484-7BA030BC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SABANATE
DAGAO, SIAYAN</t>
        </r>
      </text>
    </comment>
    <comment ref="O950" authorId="0" shapeId="0" xr:uid="{D2A7EEA6-B3A6-4B33-89BF-551626F64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950" authorId="0" shapeId="0" xr:uid="{52ECCD97-E635-4E4C-BCE2-9407FDF90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1" authorId="0" shapeId="0" xr:uid="{F4C3CEC4-E4DF-47D1-A88F-5E184C783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UPPER INUMAN, SINDANGAN</t>
        </r>
      </text>
    </comment>
    <comment ref="AA951" authorId="0" shapeId="0" xr:uid="{7C770E15-5FB3-4AB6-86E7-4CF31673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O952" authorId="0" shapeId="0" xr:uid="{221E1816-FE58-4360-9033-32A00A3F5F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52" authorId="0" shapeId="0" xr:uid="{60BD9B21-4C72-43E5-B37F-81581B14D2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O953" authorId="0" shapeId="0" xr:uid="{788C3555-2C28-4075-A5D7-489BC0BA5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002" authorId="0" shapeId="0" xr:uid="{E77446CF-D8C8-4BD0-954F-072B338A1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2" authorId="0" shapeId="0" xr:uid="{4A470945-5C7D-4C59-9A0A-7FAB28D32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3" authorId="0" shapeId="0" xr:uid="{8092C57E-AA34-4EFC-8FB8-15E4369E8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003" authorId="0" shapeId="0" xr:uid="{76C0BE5E-1AA1-495E-A60A-70A39AF28D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1004" authorId="0" shapeId="0" xr:uid="{08CCF192-3EDE-4F96-8EF2-55A6A3994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1004" authorId="0" shapeId="0" xr:uid="{CCCA67FF-73A3-47FE-8377-C1EC00B616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1005" authorId="0" shapeId="0" xr:uid="{F303C98E-EAA9-4ACF-9C76-EF7F34637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5" authorId="0" shapeId="0" xr:uid="{7925FC86-9826-4A69-A42A-DC00CA693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006" authorId="0" shapeId="0" xr:uid="{47499744-430E-4972-9980-EE895ECDAD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006" authorId="0" shapeId="0" xr:uid="{9F7BDD22-57A6-4757-B241-743C806EC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1007" authorId="0" shapeId="0" xr:uid="{9592280C-A1BB-4E84-BEFD-D9FB35070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<sst xmlns="http://schemas.openxmlformats.org/spreadsheetml/2006/main" count="1298" uniqueCount="93">
  <si>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</si>
  <si>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</si>
  <si>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</si>
  <si>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</si>
  <si>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</si>
  <si>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</si>
  <si>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</si>
  <si>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</si>
  <si>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</si>
  <si>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</si>
  <si>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</si>
  <si>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</si>
  <si>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</si>
  <si>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</si>
  <si>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</si>
  <si>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</si>
  <si>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</si>
  <si>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</si>
  <si>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</si>
  <si>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</si>
  <si>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</si>
  <si>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</si>
  <si>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</si>
  <si>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</si>
  <si>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</si>
  <si>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</si>
  <si>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</si>
  <si>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</si>
  <si>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</si>
  <si>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</si>
  <si>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</si>
  <si>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</si>
  <si>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</si>
  <si>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</si>
  <si>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</si>
  <si>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</si>
  <si>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</si>
  <si>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</si>
  <si>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</si>
  <si>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</si>
  <si>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</si>
  <si>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</si>
  <si>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</si>
  <si>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</si>
  <si>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</si>
  <si>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</si>
  <si>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</si>
  <si>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</si>
  <si>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</si>
  <si>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</si>
  <si>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</si>
  <si>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</si>
  <si>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</si>
  <si>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</si>
  <si>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</si>
  <si>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</si>
  <si>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</si>
  <si>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</si>
  <si>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</si>
  <si>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</si>
  <si>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</si>
  <si>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</si>
  <si>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</si>
  <si>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</si>
  <si>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</si>
  <si>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</si>
  <si>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</si>
  <si>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</si>
  <si>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</si>
  <si>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</si>
  <si>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</si>
  <si>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</si>
  <si>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</si>
  <si>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</si>
  <si>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</si>
  <si>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</si>
  <si>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</si>
  <si>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</si>
  <si>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</si>
  <si>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</si>
  <si>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</si>
  <si>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</si>
  <si>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</si>
  <si>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</si>
  <si>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</si>
  <si>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</si>
  <si>
    <t>MARCH 24, 2026</t>
  </si>
  <si>
    <t>03/24/2026</t>
  </si>
  <si>
    <t>LOPEZ, GINA GRACE</t>
  </si>
  <si>
    <t>9817-9820/9742-9748/9752-9757</t>
  </si>
  <si>
    <t>MARCH 25, 2026</t>
  </si>
  <si>
    <t>03/25/2026</t>
  </si>
  <si>
    <t>/9749-9750,9851-9853/9699-9700,9758-9761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</si>
</sst>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5" sqref="F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38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 t="s">
        <v>89</v>
      </c>
      <c r="D33" s="16">
        <f t="shared" si="4"/>
        <v>856084.5</v>
      </c>
      <c r="E33" s="15"/>
      <c r="F33" s="15">
        <v>300133</v>
      </c>
      <c r="G33" s="14">
    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="A34" s="10">
        <f>A33+1</f>
        <v>25</v>
      </c>
      <c r="B34" s="56" t="s">
        <v>9</v>
      </c>
      <c r="C34" s="12" t="s">
        <v>92</v>
      </c>
      <c r="D34" s="16">
        <f t="shared" si="4"/>
        <v>561524</v>
      </c>
      <c r="E34" s="14"/>
      <c r="F34" s="15"/>
      <c r="G34" s="14">
        <v>196855</v>
      </c>
      <c r="H34" s="14">
        <v>364669</v>
      </c>
      <c r="I34" s="14"/>
      <c r="J34" s="17">
        <f t="shared" si="1"/>
        <v>561524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15617944.07</v>
      </c>
      <c r="J42" s="49">
        <f>SUM(J10:J41)</f>
        <v>15617944.07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019" zoomScaleNormal="100" workbookViewId="0">
      <selection activeCell="A1046" sqref="A104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90"/>
      <c r="G65" s="27"/>
      <c r="I65" s="116" t="s">
        <v>18</v>
      </c>
      <c r="J65" s="117"/>
      <c r="K65" s="114" t="s">
        <v>19</v>
      </c>
      <c r="N65" s="25"/>
      <c r="O65" s="26"/>
      <c r="P65" s="118" t="s">
        <v>17</v>
      </c>
      <c r="Q65" s="118"/>
      <c r="R65" s="90"/>
      <c r="S65" s="27"/>
      <c r="U65" s="116" t="s">
        <v>18</v>
      </c>
      <c r="V65" s="117"/>
      <c r="W65" s="114" t="s">
        <v>19</v>
      </c>
      <c r="Z65" s="25"/>
      <c r="AA65" s="26"/>
      <c r="AB65" s="118" t="s">
        <v>17</v>
      </c>
      <c r="AC65" s="118"/>
      <c r="AD65" s="90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20"/>
      <c r="AO67" s="120"/>
      <c r="AP67" s="86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1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1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1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2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2"/>
      <c r="S175" s="27"/>
      <c r="U175" s="116" t="s">
        <v>18</v>
      </c>
      <c r="V175" s="117"/>
      <c r="W175" s="114" t="s">
        <v>19</v>
      </c>
      <c r="Y175" s="62"/>
      <c r="Z175" s="65"/>
      <c r="AA175" s="88"/>
      <c r="AB175" s="120"/>
      <c r="AC175" s="120"/>
      <c r="AD175" s="88"/>
      <c r="AE175" s="88"/>
      <c r="AF175" s="62"/>
      <c r="AG175" s="120"/>
      <c r="AH175" s="120"/>
      <c r="AI175" s="119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5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9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20"/>
      <c r="AO181" s="120"/>
      <c r="AP181" s="86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20"/>
      <c r="E230" s="120"/>
      <c r="F230" s="88"/>
      <c r="G230" s="88"/>
      <c r="H230" s="62"/>
      <c r="I230" s="120"/>
      <c r="J230" s="120"/>
      <c r="K230" s="119"/>
      <c r="L230" s="62"/>
      <c r="M230" s="62"/>
      <c r="N230" s="65"/>
      <c r="O230" s="88"/>
      <c r="P230" s="120"/>
      <c r="Q230" s="120"/>
      <c r="R230" s="88"/>
      <c r="S230" s="88"/>
      <c r="T230" s="62"/>
      <c r="U230" s="120"/>
      <c r="V230" s="120"/>
      <c r="W230" s="119"/>
      <c r="Z230" s="25"/>
      <c r="AA230" s="26"/>
      <c r="AB230" s="118" t="s">
        <v>17</v>
      </c>
      <c r="AC230" s="118"/>
      <c r="AD230" s="93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9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4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4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4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5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6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6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7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7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7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8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8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8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99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99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99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8" t="s">
        <v>17</v>
      </c>
      <c r="E560" s="118"/>
      <c r="F560" s="100"/>
      <c r="G560" s="27"/>
      <c r="I560" s="116" t="s">
        <v>18</v>
      </c>
      <c r="J560" s="117"/>
      <c r="K560" s="114" t="s">
        <v>19</v>
      </c>
      <c r="N560" s="25"/>
      <c r="O560" s="26"/>
      <c r="P560" s="118" t="s">
        <v>17</v>
      </c>
      <c r="Q560" s="118"/>
      <c r="R560" s="100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0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20"/>
      <c r="E615" s="120"/>
      <c r="F615" s="103"/>
      <c r="G615" s="103"/>
      <c r="H615" s="62"/>
      <c r="I615" s="120"/>
      <c r="J615" s="120"/>
      <c r="K615" s="119"/>
      <c r="N615" s="25"/>
      <c r="O615" s="26"/>
      <c r="P615" s="118" t="s">
        <v>17</v>
      </c>
      <c r="Q615" s="118"/>
      <c r="R615" s="101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101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104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104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104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5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5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5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8" t="s">
        <v>17</v>
      </c>
      <c r="E780" s="118"/>
      <c r="F780" s="106"/>
      <c r="G780" s="27"/>
      <c r="I780" s="116" t="s">
        <v>18</v>
      </c>
      <c r="J780" s="117"/>
      <c r="K780" s="114" t="s">
        <v>19</v>
      </c>
      <c r="N780" s="25"/>
      <c r="O780" s="26"/>
      <c r="P780" s="118" t="s">
        <v>17</v>
      </c>
      <c r="Q780" s="118"/>
      <c r="R780" s="106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6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5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3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3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3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3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3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3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3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3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3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3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3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3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6"/>
      <c r="G835" s="27"/>
      <c r="I835" s="116" t="s">
        <v>18</v>
      </c>
      <c r="J835" s="117"/>
      <c r="K835" s="114" t="s">
        <v>19</v>
      </c>
      <c r="N835" s="25"/>
      <c r="O835" s="26"/>
      <c r="P835" s="118" t="s">
        <v>17</v>
      </c>
      <c r="Q835" s="118"/>
      <c r="R835" s="106"/>
      <c r="S835" s="27"/>
      <c r="U835" s="116" t="s">
        <v>18</v>
      </c>
      <c r="V835" s="117"/>
      <c r="W835" s="114" t="s">
        <v>19</v>
      </c>
      <c r="Z835" s="25"/>
      <c r="AA835" s="26"/>
      <c r="AB835" s="118" t="s">
        <v>17</v>
      </c>
      <c r="AC835" s="118"/>
      <c r="AD835" s="106"/>
      <c r="AE835" s="27"/>
      <c r="AG835" s="116" t="s">
        <v>18</v>
      </c>
      <c r="AH835" s="117"/>
      <c r="AI835" s="11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5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5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3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3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3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3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3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3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3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7"/>
      <c r="G890" s="27"/>
      <c r="I890" s="116" t="s">
        <v>18</v>
      </c>
      <c r="J890" s="117"/>
      <c r="K890" s="114" t="s">
        <v>19</v>
      </c>
      <c r="N890" s="25"/>
      <c r="O890" s="26"/>
      <c r="P890" s="118" t="s">
        <v>17</v>
      </c>
      <c r="Q890" s="118"/>
      <c r="R890" s="107"/>
      <c r="S890" s="27"/>
      <c r="U890" s="116" t="s">
        <v>18</v>
      </c>
      <c r="V890" s="117"/>
      <c r="W890" s="114" t="s">
        <v>19</v>
      </c>
      <c r="Z890" s="25"/>
      <c r="AA890" s="26"/>
      <c r="AB890" s="118" t="s">
        <v>17</v>
      </c>
      <c r="AC890" s="118"/>
      <c r="AD890" s="107"/>
      <c r="AE890" s="27"/>
      <c r="AG890" s="116" t="s">
        <v>18</v>
      </c>
      <c r="AH890" s="117"/>
      <c r="AI890" s="11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5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5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9805</v>
      </c>
      <c r="D892" s="32">
        <f>650*60</f>
        <v>39000</v>
      </c>
      <c r="E892" s="32"/>
      <c r="F892" s="32"/>
      <c r="G892" s="32">
        <f t="shared" ref="G892:G925" si="241">SUM(D892:E892)</f>
        <v>39000</v>
      </c>
      <c r="H892" s="12"/>
      <c r="I892" s="12"/>
      <c r="J892" s="12"/>
      <c r="K892" s="12">
        <f t="shared" ref="K892:K925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0" si="243">SUM(P893:Q893)</f>
        <v>3967.5</v>
      </c>
      <c r="T893" s="12"/>
      <c r="U893" s="12"/>
      <c r="V893" s="12"/>
      <c r="W893" s="12">
        <f t="shared" ref="W893:W933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0" si="245">SUM(AB893:AC893)</f>
        <v>38949</v>
      </c>
      <c r="AF893" s="12"/>
      <c r="AG893" s="12">
        <f>94.5+16.5</f>
        <v>111</v>
      </c>
      <c r="AH893" s="12"/>
      <c r="AI893" s="12">
        <f t="shared" ref="AI893:AI933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3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895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3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42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42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42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88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8" t="s">
        <v>17</v>
      </c>
      <c r="E945" s="118"/>
      <c r="F945" s="108"/>
      <c r="G945" s="27"/>
      <c r="I945" s="116" t="s">
        <v>18</v>
      </c>
      <c r="J945" s="117"/>
      <c r="K945" s="114" t="s">
        <v>19</v>
      </c>
      <c r="N945" s="25"/>
      <c r="O945" s="26"/>
      <c r="P945" s="118" t="s">
        <v>17</v>
      </c>
      <c r="Q945" s="118"/>
      <c r="R945" s="108"/>
      <c r="S945" s="27"/>
      <c r="U945" s="116" t="s">
        <v>18</v>
      </c>
      <c r="V945" s="117"/>
      <c r="W945" s="114" t="s">
        <v>19</v>
      </c>
      <c r="Z945" s="25"/>
      <c r="AA945" s="26"/>
      <c r="AB945" s="118" t="s">
        <v>17</v>
      </c>
      <c r="AC945" s="118"/>
      <c r="AD945" s="108"/>
      <c r="AE945" s="27"/>
      <c r="AG945" s="116" t="s">
        <v>18</v>
      </c>
      <c r="AH945" s="117"/>
      <c r="AI945" s="114" t="s">
        <v>19</v>
      </c>
      <c r="AK945" s="62"/>
      <c r="AL945" s="65"/>
      <c r="AM945" s="86"/>
      <c r="AN945" s="120"/>
      <c r="AO945" s="120"/>
      <c r="AP945" s="86"/>
      <c r="AQ945" s="86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5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5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5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9817</v>
      </c>
      <c r="D947" s="32">
        <f>650*432+229*13</f>
        <v>283777</v>
      </c>
      <c r="E947" s="32">
        <f>-432*6</f>
        <v>-2592</v>
      </c>
      <c r="F947" s="32"/>
      <c r="G947" s="32">
        <f t="shared" ref="G947:G980" si="255">SUM(D947:E947)</f>
        <v>281185</v>
      </c>
      <c r="H947" s="12"/>
      <c r="I947" s="12">
        <f>27*111+312*1.5+4.5*66</f>
        <v>3762</v>
      </c>
      <c r="J947" s="12"/>
      <c r="K947" s="12">
        <f t="shared" ref="K947:K980" si="256">SUM(G947:J947)</f>
        <v>284947</v>
      </c>
      <c r="M947" s="10">
        <v>1</v>
      </c>
      <c r="N947" s="30" t="s">
        <v>87</v>
      </c>
      <c r="O947" s="31">
        <v>9742</v>
      </c>
      <c r="P947" s="32">
        <f>650*8+700*2+622</f>
        <v>7222</v>
      </c>
      <c r="Q947" s="32"/>
      <c r="R947" s="32"/>
      <c r="S947" s="32">
        <f>SUM(P947:Q947)</f>
        <v>7222</v>
      </c>
      <c r="T947" s="12"/>
      <c r="U947" s="12"/>
      <c r="V947" s="12"/>
      <c r="W947" s="12">
        <f>SUM(S947:V947)</f>
        <v>7222</v>
      </c>
      <c r="Y947" s="10">
        <v>1</v>
      </c>
      <c r="Z947" s="30" t="s">
        <v>87</v>
      </c>
      <c r="AA947" s="31">
        <v>9752</v>
      </c>
      <c r="AB947" s="32">
        <f>650*324+229*13</f>
        <v>213577</v>
      </c>
      <c r="AC947" s="32"/>
      <c r="AD947" s="32"/>
      <c r="AE947" s="32">
        <f>SUM(AB947:AC947)</f>
        <v>213577</v>
      </c>
      <c r="AF947" s="12"/>
      <c r="AG947" s="12"/>
      <c r="AH947" s="12"/>
      <c r="AI947" s="12">
        <f>SUM(AE947:AH947)</f>
        <v>213577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9818</v>
      </c>
      <c r="D948" s="32">
        <f>650*16</f>
        <v>10400</v>
      </c>
      <c r="E948" s="32"/>
      <c r="F948" s="32"/>
      <c r="G948" s="32">
        <f t="shared" si="255"/>
        <v>10400</v>
      </c>
      <c r="H948" s="12"/>
      <c r="I948" s="12"/>
      <c r="J948" s="12"/>
      <c r="K948" s="12">
        <f t="shared" si="256"/>
        <v>10400</v>
      </c>
      <c r="M948" s="10">
        <v>2</v>
      </c>
      <c r="N948" s="30" t="s">
        <v>87</v>
      </c>
      <c r="O948" s="31">
        <f>O947+1</f>
        <v>9743</v>
      </c>
      <c r="P948" s="32">
        <f>650*16+9.5*16</f>
        <v>10552</v>
      </c>
      <c r="Q948" s="32"/>
      <c r="R948" s="32"/>
      <c r="S948" s="32">
        <f t="shared" ref="S948:S985" si="257">SUM(P948:Q948)</f>
        <v>10552</v>
      </c>
      <c r="T948" s="12"/>
      <c r="U948" s="12"/>
      <c r="V948" s="12">
        <v>-444</v>
      </c>
      <c r="W948" s="12">
        <f t="shared" ref="W948:W988" si="258">SUM(S948:V948)</f>
        <v>10108</v>
      </c>
      <c r="Y948" s="10">
        <v>2</v>
      </c>
      <c r="Z948" s="30" t="s">
        <v>87</v>
      </c>
      <c r="AA948" s="31">
        <f>AA947+1</f>
        <v>9753</v>
      </c>
      <c r="AB948" s="32">
        <f>650*40+670+973*2+622*7+912+1050*2+229*2+500*2</f>
        <v>37440</v>
      </c>
      <c r="AC948" s="32"/>
      <c r="AD948" s="32"/>
      <c r="AE948" s="32">
        <f t="shared" ref="AE948:AE985" si="259">SUM(AB948:AC948)</f>
        <v>37440</v>
      </c>
      <c r="AF948" s="12"/>
      <c r="AG948" s="12"/>
      <c r="AH948" s="12"/>
      <c r="AI948" s="12">
        <f t="shared" ref="AI948:AI988" si="260">SUM(AE948:AH948)</f>
        <v>37440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0" si="261">C948+1</f>
        <v>9819</v>
      </c>
      <c r="D949" s="33">
        <f>650*4+9.5*4</f>
        <v>2638</v>
      </c>
      <c r="E949" s="33"/>
      <c r="F949" s="33"/>
      <c r="G949" s="33">
        <f t="shared" si="255"/>
        <v>2638</v>
      </c>
      <c r="H949" s="34"/>
      <c r="I949" s="34"/>
      <c r="J949" s="34"/>
      <c r="K949" s="34">
        <f t="shared" si="256"/>
        <v>2638</v>
      </c>
      <c r="M949" s="10">
        <v>3</v>
      </c>
      <c r="N949" s="30" t="s">
        <v>87</v>
      </c>
      <c r="O949" s="31">
        <f t="shared" ref="O949:O953" si="262">O948+1</f>
        <v>9744</v>
      </c>
      <c r="P949" s="32">
        <f>650*2+622+9.5*3</f>
        <v>1950.5</v>
      </c>
      <c r="Q949" s="32"/>
      <c r="R949" s="32"/>
      <c r="S949" s="32">
        <f t="shared" si="257"/>
        <v>1950.5</v>
      </c>
      <c r="T949" s="12"/>
      <c r="U949" s="12">
        <v>4.5</v>
      </c>
      <c r="V949" s="12">
        <v>-444</v>
      </c>
      <c r="W949" s="12">
        <f t="shared" si="258"/>
        <v>1511</v>
      </c>
      <c r="Y949" s="10">
        <v>3</v>
      </c>
      <c r="Z949" s="30" t="s">
        <v>87</v>
      </c>
      <c r="AA949" s="31">
        <f t="shared" ref="AA949:AA952" si="263">AA948+1</f>
        <v>9754</v>
      </c>
      <c r="AB949" s="33">
        <f>650*50+229*2</f>
        <v>32958</v>
      </c>
      <c r="AC949" s="33"/>
      <c r="AD949" s="32"/>
      <c r="AE949" s="32">
        <f t="shared" si="259"/>
        <v>32958</v>
      </c>
      <c r="AF949" s="12"/>
      <c r="AG949" s="12">
        <v>156</v>
      </c>
      <c r="AH949" s="12"/>
      <c r="AI949" s="12">
        <f t="shared" si="260"/>
        <v>33114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61"/>
        <v>9820</v>
      </c>
      <c r="D950" s="32">
        <f>650*6+670*3</f>
        <v>5910</v>
      </c>
      <c r="E950" s="32"/>
      <c r="F950" s="32"/>
      <c r="G950" s="32">
        <f t="shared" si="255"/>
        <v>5910</v>
      </c>
      <c r="H950" s="12"/>
      <c r="I950" s="12"/>
      <c r="J950" s="12">
        <f>-111*29</f>
        <v>-3219</v>
      </c>
      <c r="K950" s="12">
        <f t="shared" si="256"/>
        <v>2691</v>
      </c>
      <c r="M950" s="10">
        <v>4</v>
      </c>
      <c r="N950" s="30" t="s">
        <v>87</v>
      </c>
      <c r="O950" s="31">
        <f t="shared" si="262"/>
        <v>9745</v>
      </c>
      <c r="P950" s="32">
        <f>650+9.5</f>
        <v>659.5</v>
      </c>
      <c r="Q950" s="32"/>
      <c r="R950" s="32"/>
      <c r="S950" s="32">
        <f t="shared" si="257"/>
        <v>659.5</v>
      </c>
      <c r="T950" s="12"/>
      <c r="U950" s="12"/>
      <c r="V950" s="12"/>
      <c r="W950" s="12">
        <f t="shared" si="258"/>
        <v>659.5</v>
      </c>
      <c r="Y950" s="10">
        <v>4</v>
      </c>
      <c r="Z950" s="30" t="s">
        <v>87</v>
      </c>
      <c r="AA950" s="31">
        <f t="shared" si="263"/>
        <v>9755</v>
      </c>
      <c r="AB950" s="32">
        <f>650*5+670*2+622*3</f>
        <v>6456</v>
      </c>
      <c r="AC950" s="32"/>
      <c r="AD950" s="32"/>
      <c r="AE950" s="32">
        <f t="shared" si="259"/>
        <v>6456</v>
      </c>
      <c r="AF950" s="12"/>
      <c r="AG950" s="58">
        <v>840</v>
      </c>
      <c r="AH950" s="12"/>
      <c r="AI950" s="12">
        <f t="shared" si="260"/>
        <v>7296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55"/>
        <v>0</v>
      </c>
      <c r="H951" s="12"/>
      <c r="I951" s="12"/>
      <c r="J951" s="12"/>
      <c r="K951" s="12">
        <f t="shared" si="256"/>
        <v>0</v>
      </c>
      <c r="M951" s="10">
        <v>5</v>
      </c>
      <c r="N951" s="30" t="s">
        <v>87</v>
      </c>
      <c r="O951" s="31">
        <f t="shared" si="262"/>
        <v>9746</v>
      </c>
      <c r="P951" s="32">
        <f>650*4+622+9.5*5</f>
        <v>3269.5</v>
      </c>
      <c r="Q951" s="32"/>
      <c r="R951" s="32"/>
      <c r="S951" s="32">
        <f t="shared" si="257"/>
        <v>3269.5</v>
      </c>
      <c r="T951" s="12"/>
      <c r="U951" s="12"/>
      <c r="V951" s="12"/>
      <c r="W951" s="12">
        <f t="shared" si="258"/>
        <v>3269.5</v>
      </c>
      <c r="Y951" s="10">
        <v>5</v>
      </c>
      <c r="Z951" s="30" t="s">
        <v>87</v>
      </c>
      <c r="AA951" s="31">
        <f t="shared" si="263"/>
        <v>9756</v>
      </c>
      <c r="AB951" s="32">
        <f>650*7+670</f>
        <v>5220</v>
      </c>
      <c r="AC951" s="32"/>
      <c r="AD951" s="32"/>
      <c r="AE951" s="32">
        <f t="shared" si="259"/>
        <v>5220</v>
      </c>
      <c r="AF951" s="12"/>
      <c r="AG951" s="12"/>
      <c r="AH951" s="12"/>
      <c r="AI951" s="12">
        <f t="shared" si="260"/>
        <v>5220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55"/>
        <v>0</v>
      </c>
      <c r="H952" s="12"/>
      <c r="I952" s="12"/>
      <c r="J952" s="12"/>
      <c r="K952" s="12">
        <f t="shared" si="256"/>
        <v>0</v>
      </c>
      <c r="M952" s="10">
        <v>6</v>
      </c>
      <c r="N952" s="30" t="s">
        <v>87</v>
      </c>
      <c r="O952" s="31">
        <f t="shared" si="262"/>
        <v>9747</v>
      </c>
      <c r="P952" s="32">
        <f>650*140+670*4+229*2</f>
        <v>94138</v>
      </c>
      <c r="Q952" s="32">
        <f>-144*6</f>
        <v>-864</v>
      </c>
      <c r="R952" s="32"/>
      <c r="S952" s="32">
        <f t="shared" si="257"/>
        <v>93274</v>
      </c>
      <c r="T952" s="12"/>
      <c r="U952" s="12">
        <f>48*1.5</f>
        <v>72</v>
      </c>
      <c r="V952" s="10"/>
      <c r="W952" s="12">
        <f t="shared" si="258"/>
        <v>93346</v>
      </c>
      <c r="Y952" s="10">
        <v>6</v>
      </c>
      <c r="Z952" s="30" t="s">
        <v>87</v>
      </c>
      <c r="AA952" s="31">
        <f t="shared" si="263"/>
        <v>9757</v>
      </c>
      <c r="AB952" s="32">
        <f>650*15+670+622*5+229</f>
        <v>13759</v>
      </c>
      <c r="AC952" s="32"/>
      <c r="AD952" s="32"/>
      <c r="AE952" s="32">
        <f t="shared" si="259"/>
        <v>13759</v>
      </c>
      <c r="AF952" s="12"/>
      <c r="AG952" s="12"/>
      <c r="AH952" s="10"/>
      <c r="AI952" s="12">
        <f t="shared" si="260"/>
        <v>13759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55"/>
        <v>0</v>
      </c>
      <c r="H953" s="12"/>
      <c r="I953" s="12"/>
      <c r="J953" s="12"/>
      <c r="K953" s="12">
        <f t="shared" si="256"/>
        <v>0</v>
      </c>
      <c r="M953" s="10">
        <v>7</v>
      </c>
      <c r="N953" s="30" t="s">
        <v>87</v>
      </c>
      <c r="O953" s="31">
        <f t="shared" si="262"/>
        <v>9748</v>
      </c>
      <c r="P953" s="32">
        <f>650*180+622*20+229*6</f>
        <v>130814</v>
      </c>
      <c r="Q953" s="32">
        <f>-200*6</f>
        <v>-1200</v>
      </c>
      <c r="R953" s="32"/>
      <c r="S953" s="32">
        <f t="shared" si="257"/>
        <v>129614</v>
      </c>
      <c r="T953" s="12"/>
      <c r="U953" s="12">
        <v>312</v>
      </c>
      <c r="V953" s="12">
        <f>-3996+-336</f>
        <v>-4332</v>
      </c>
      <c r="W953" s="12">
        <f t="shared" si="258"/>
        <v>125594</v>
      </c>
      <c r="Y953" s="10">
        <v>7</v>
      </c>
      <c r="Z953" s="30"/>
      <c r="AA953" s="11" t="s">
        <v>27</v>
      </c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55"/>
        <v>0</v>
      </c>
      <c r="H954" s="12"/>
      <c r="I954" s="12"/>
      <c r="J954" s="12"/>
      <c r="K954" s="12">
        <f t="shared" si="256"/>
        <v>0</v>
      </c>
      <c r="M954" s="10">
        <v>8</v>
      </c>
      <c r="N954" s="30"/>
      <c r="O954" s="11" t="s">
        <v>27</v>
      </c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55"/>
        <v>0</v>
      </c>
      <c r="H955" s="12"/>
      <c r="I955" s="12"/>
      <c r="J955" s="12"/>
      <c r="K955" s="12">
        <f t="shared" si="256"/>
        <v>0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11"/>
      <c r="AB955" s="32"/>
      <c r="AC955" s="32"/>
      <c r="AD955" s="32"/>
      <c r="AE955" s="32">
        <f t="shared" si="259"/>
        <v>0</v>
      </c>
      <c r="AF955" s="12"/>
      <c r="AH955" s="12"/>
      <c r="AI955" s="12">
        <f t="shared" si="260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55"/>
        <v>0</v>
      </c>
      <c r="H956" s="12"/>
      <c r="I956" s="12"/>
      <c r="J956" s="12"/>
      <c r="K956" s="12">
        <f t="shared" si="256"/>
        <v>0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55"/>
        <v>0</v>
      </c>
      <c r="H957" s="12"/>
      <c r="I957" s="12"/>
      <c r="J957" s="12"/>
      <c r="K957" s="12">
        <f t="shared" si="256"/>
        <v>0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55"/>
        <v>0</v>
      </c>
      <c r="H958" s="12"/>
      <c r="I958" s="12"/>
      <c r="J958" s="10"/>
      <c r="K958" s="12">
        <f t="shared" si="256"/>
        <v>0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11"/>
      <c r="D959" s="32"/>
      <c r="E959" s="32"/>
      <c r="F959" s="32"/>
      <c r="G959" s="32">
        <f t="shared" si="255"/>
        <v>0</v>
      </c>
      <c r="H959" s="12"/>
      <c r="I959" s="12"/>
      <c r="J959" s="12"/>
      <c r="K959" s="12">
        <f t="shared" si="256"/>
        <v>0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O960" s="31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1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O976" s="31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O977" s="31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O980" s="31"/>
      <c r="P980" s="47"/>
      <c r="Q980" s="31"/>
      <c r="R980" s="31"/>
      <c r="S980" s="32">
        <f t="shared" si="257"/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P981" s="47"/>
      <c r="Q981" s="31"/>
      <c r="R981" s="31"/>
      <c r="S981" s="32">
        <f t="shared" si="257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57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O983" s="31"/>
      <c r="P983" s="47"/>
      <c r="Q983" s="31"/>
      <c r="R983" s="31"/>
      <c r="S983" s="32">
        <f t="shared" si="257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57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57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4">SUM(D987:E987)</f>
        <v>0</v>
      </c>
      <c r="H987" s="10"/>
      <c r="I987" s="10"/>
      <c r="J987" s="10"/>
      <c r="K987" s="12">
        <f t="shared" ref="K987" si="265">SUM(G987:J987)</f>
        <v>0</v>
      </c>
      <c r="M987" s="10"/>
      <c r="N987" s="30"/>
      <c r="O987" s="31"/>
      <c r="P987" s="47"/>
      <c r="Q987" s="31"/>
      <c r="R987" s="31"/>
      <c r="S987" s="32">
        <f t="shared" ref="S987" si="266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7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302725</v>
      </c>
      <c r="E990" s="38">
        <f t="shared" ref="E990:F990" si="268">SUM(E947:E987)</f>
        <v>-2592</v>
      </c>
      <c r="F990" s="38">
        <f t="shared" si="268"/>
        <v>0</v>
      </c>
      <c r="G990" s="38">
        <f>SUM(G947:G989)</f>
        <v>300133</v>
      </c>
      <c r="H990" s="4"/>
      <c r="I990" s="39">
        <f>SUM(I947:I989)</f>
        <v>3762</v>
      </c>
      <c r="J990" s="39">
        <f>SUM(J947:J989)</f>
        <v>-3219</v>
      </c>
      <c r="K990" s="40">
        <f>SUM(K947:K989)</f>
        <v>300676</v>
      </c>
      <c r="N990" s="57"/>
      <c r="O990" s="57"/>
      <c r="P990" s="38">
        <f>SUM(P947:P989)</f>
        <v>248605.5</v>
      </c>
      <c r="Q990" s="38">
        <f>SUM(Q947:Q971)</f>
        <v>-2064</v>
      </c>
      <c r="R990" s="38">
        <f>SUM(R947:R971)</f>
        <v>0</v>
      </c>
      <c r="S990" s="38">
        <f>SUM(S947:S989)</f>
        <v>246541.5</v>
      </c>
      <c r="T990" s="4"/>
      <c r="U990" s="41">
        <f>SUM(U947:U989)</f>
        <v>388.5</v>
      </c>
      <c r="V990" s="41">
        <f>SUM(V947:V971)</f>
        <v>-5220</v>
      </c>
      <c r="W990" s="42">
        <f>SUM(W947:W989)</f>
        <v>241710</v>
      </c>
      <c r="Z990" s="57"/>
      <c r="AA990" s="57"/>
      <c r="AB990" s="38">
        <f>SUM(AB947:AB989)</f>
        <v>309410</v>
      </c>
      <c r="AC990" s="38">
        <f>SUM(AC947:AC971)</f>
        <v>0</v>
      </c>
      <c r="AD990" s="38">
        <f>SUM(AD947:AD971)</f>
        <v>0</v>
      </c>
      <c r="AE990" s="38">
        <f>SUM(AE947:AE989)</f>
        <v>309410</v>
      </c>
      <c r="AF990" s="4"/>
      <c r="AG990" s="41">
        <f>SUM(AG947:AG989)</f>
        <v>996</v>
      </c>
      <c r="AH990" s="41">
        <f>SUM(AH947:AH971)</f>
        <v>0</v>
      </c>
      <c r="AI990" s="42">
        <f>SUM(AI947:AI989)</f>
        <v>310406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M997" t="s">
        <v>44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M998" s="21" t="s">
        <v>90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90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88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20"/>
      <c r="E1000" s="120"/>
      <c r="F1000" s="86"/>
      <c r="G1000" s="86"/>
      <c r="H1000" s="62"/>
      <c r="I1000" s="120"/>
      <c r="J1000" s="120"/>
      <c r="K1000" s="119"/>
      <c r="N1000" s="25"/>
      <c r="O1000" s="26"/>
      <c r="P1000" s="118" t="s">
        <v>17</v>
      </c>
      <c r="Q1000" s="118"/>
      <c r="R1000" s="109"/>
      <c r="S1000" s="27"/>
      <c r="U1000" s="116" t="s">
        <v>18</v>
      </c>
      <c r="V1000" s="117"/>
      <c r="W1000" s="114" t="s">
        <v>19</v>
      </c>
      <c r="Z1000" s="25"/>
      <c r="AA1000" s="26"/>
      <c r="AB1000" s="118" t="s">
        <v>17</v>
      </c>
      <c r="AC1000" s="118"/>
      <c r="AD1000" s="109"/>
      <c r="AE1000" s="27"/>
      <c r="AG1000" s="116" t="s">
        <v>18</v>
      </c>
      <c r="AH1000" s="117"/>
      <c r="AI1000" s="114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9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5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5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M1002" s="10">
        <v>1</v>
      </c>
      <c r="N1002" s="30" t="s">
        <v>91</v>
      </c>
      <c r="O1002" s="31">
        <v>9749</v>
      </c>
      <c r="P1002" s="32">
        <f>650*216+229*9</f>
        <v>142461</v>
      </c>
      <c r="Q1002" s="32">
        <f>-216*6</f>
        <v>-1296</v>
      </c>
      <c r="R1002" s="32"/>
      <c r="S1002" s="32">
        <f>SUM(P1002:Q1002)</f>
        <v>141165</v>
      </c>
      <c r="T1002" s="12"/>
      <c r="U1002" s="12">
        <f>71*111+78*8</f>
        <v>8505</v>
      </c>
      <c r="V1002" s="12">
        <v>-1680</v>
      </c>
      <c r="W1002" s="12">
        <f>SUM(S1002:V1002)</f>
        <v>147990</v>
      </c>
      <c r="Y1002" s="10">
        <v>1</v>
      </c>
      <c r="Z1002" s="30" t="s">
        <v>91</v>
      </c>
      <c r="AA1002" s="31">
        <v>9699</v>
      </c>
      <c r="AB1002" s="32">
        <f>650*166+622*50+229*10</f>
        <v>141290</v>
      </c>
      <c r="AC1002" s="32"/>
      <c r="AD1002" s="32"/>
      <c r="AE1002" s="32">
        <f>SUM(AB1002:AC1002)</f>
        <v>141290</v>
      </c>
      <c r="AF1002" s="12"/>
      <c r="AG1002" s="12">
        <f>54*111+1.5*206+4.5*84</f>
        <v>6681</v>
      </c>
      <c r="AH1002" s="12"/>
      <c r="AI1002" s="12">
        <f>SUM(AE1002:AH1002)</f>
        <v>147971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M1003" s="10">
        <v>2</v>
      </c>
      <c r="N1003" s="30" t="s">
        <v>91</v>
      </c>
      <c r="O1003" s="31">
        <f>O1002+1</f>
        <v>9750</v>
      </c>
      <c r="P1003" s="32">
        <f>650*39+670*2</f>
        <v>26690</v>
      </c>
      <c r="Q1003" s="32"/>
      <c r="R1003" s="32"/>
      <c r="S1003" s="32">
        <f t="shared" ref="S1003:S1046" si="269">SUM(P1003:Q1003)</f>
        <v>26690</v>
      </c>
      <c r="T1003" s="12"/>
      <c r="U1003" s="12">
        <f>4.5*19+2.25*3</f>
        <v>92.25</v>
      </c>
      <c r="V1003" s="12"/>
      <c r="W1003" s="12">
        <f t="shared" ref="W1003:W1046" si="270">SUM(S1003:V1003)</f>
        <v>26782.25</v>
      </c>
      <c r="Y1003" s="10">
        <v>2</v>
      </c>
      <c r="Z1003" s="30" t="s">
        <v>91</v>
      </c>
      <c r="AA1003" s="31">
        <f>AA1002+1</f>
        <v>9700</v>
      </c>
      <c r="AB1003" s="32">
        <f>650*245+622*25+229*7</f>
        <v>176403</v>
      </c>
      <c r="AC1003" s="32">
        <f>-270*6</f>
        <v>-1620</v>
      </c>
      <c r="AD1003" s="32"/>
      <c r="AE1003" s="32">
        <f t="shared" ref="AE1003:AE1046" si="271">SUM(AB1003:AC1003)</f>
        <v>174783</v>
      </c>
      <c r="AF1003" s="12"/>
      <c r="AG1003" s="12">
        <f>78*2+1.5*61</f>
        <v>247.5</v>
      </c>
      <c r="AH1003" s="12"/>
      <c r="AI1003" s="12">
        <f t="shared" ref="AI1003:AI1046" si="272">SUM(AE1003:AH1003)</f>
        <v>175030.5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M1004" s="10">
        <v>3</v>
      </c>
      <c r="N1004" s="30" t="s">
        <v>91</v>
      </c>
      <c r="O1004" s="31">
        <v>9851</v>
      </c>
      <c r="P1004" s="32">
        <f>650*20+9.5*20</f>
        <v>13190</v>
      </c>
      <c r="Q1004" s="32"/>
      <c r="R1004" s="32"/>
      <c r="S1004" s="32">
        <f t="shared" si="269"/>
        <v>13190</v>
      </c>
      <c r="T1004" s="12"/>
      <c r="U1004" s="12">
        <v>30</v>
      </c>
      <c r="V1004" s="12"/>
      <c r="W1004" s="12">
        <f t="shared" si="270"/>
        <v>13220</v>
      </c>
      <c r="Y1004" s="10">
        <v>3</v>
      </c>
      <c r="Z1004" s="30" t="s">
        <v>91</v>
      </c>
      <c r="AA1004" s="31">
        <v>9758</v>
      </c>
      <c r="AB1004" s="33">
        <f>650*29+872</f>
        <v>19722</v>
      </c>
      <c r="AC1004" s="33"/>
      <c r="AD1004" s="32"/>
      <c r="AE1004" s="32">
        <f t="shared" si="271"/>
        <v>19722</v>
      </c>
      <c r="AF1004" s="12"/>
      <c r="AG1004" s="12"/>
      <c r="AH1004" s="12"/>
      <c r="AI1004" s="12">
        <f t="shared" si="272"/>
        <v>19722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M1005" s="10">
        <v>4</v>
      </c>
      <c r="N1005" s="30" t="s">
        <v>91</v>
      </c>
      <c r="O1005" s="31">
        <f t="shared" ref="O1004:O1008" si="273">O1004+1</f>
        <v>9852</v>
      </c>
      <c r="P1005" s="32">
        <f>650*20+9.5*20</f>
        <v>13190</v>
      </c>
      <c r="Q1005" s="32"/>
      <c r="R1005" s="32"/>
      <c r="S1005" s="32">
        <f t="shared" si="269"/>
        <v>13190</v>
      </c>
      <c r="T1005" s="12"/>
      <c r="U1005" s="12"/>
      <c r="V1005" s="12">
        <v>-777</v>
      </c>
      <c r="W1005" s="12">
        <f t="shared" si="270"/>
        <v>12413</v>
      </c>
      <c r="Y1005" s="10">
        <v>4</v>
      </c>
      <c r="Z1005" s="30" t="s">
        <v>91</v>
      </c>
      <c r="AA1005" s="31">
        <f t="shared" ref="AA1004:AA1007" si="274">AA1004+1</f>
        <v>9759</v>
      </c>
      <c r="AB1005" s="32">
        <f>650*14+670</f>
        <v>9770</v>
      </c>
      <c r="AC1005" s="32"/>
      <c r="AD1005" s="32"/>
      <c r="AE1005" s="32">
        <f t="shared" si="271"/>
        <v>9770</v>
      </c>
      <c r="AF1005" s="12"/>
      <c r="AG1005" s="58"/>
      <c r="AH1005" s="12"/>
      <c r="AI1005" s="12">
        <f t="shared" si="272"/>
        <v>9770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M1006" s="10">
        <v>5</v>
      </c>
      <c r="N1006" s="30" t="s">
        <v>91</v>
      </c>
      <c r="O1006" s="31">
        <f t="shared" si="273"/>
        <v>9853</v>
      </c>
      <c r="P1006" s="32">
        <f>650*3+670</f>
        <v>2620</v>
      </c>
      <c r="Q1006" s="32"/>
      <c r="R1006" s="32"/>
      <c r="S1006" s="32">
        <f t="shared" si="269"/>
        <v>2620</v>
      </c>
      <c r="T1006" s="12"/>
      <c r="U1006" s="12"/>
      <c r="V1006" s="12"/>
      <c r="W1006" s="12">
        <f t="shared" si="270"/>
        <v>2620</v>
      </c>
      <c r="Y1006" s="10">
        <v>5</v>
      </c>
      <c r="Z1006" s="30" t="s">
        <v>91</v>
      </c>
      <c r="AA1006" s="31">
        <f t="shared" si="274"/>
        <v>9760</v>
      </c>
      <c r="AB1006" s="32">
        <f>650*15+670+872*2+500</f>
        <v>12664</v>
      </c>
      <c r="AC1006" s="32"/>
      <c r="AD1006" s="32"/>
      <c r="AE1006" s="32">
        <f t="shared" si="271"/>
        <v>12664</v>
      </c>
      <c r="AF1006" s="12"/>
      <c r="AG1006" s="12"/>
      <c r="AH1006" s="12">
        <v>-1776</v>
      </c>
      <c r="AI1006" s="12">
        <f t="shared" si="272"/>
        <v>10888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M1007" s="10">
        <v>6</v>
      </c>
      <c r="N1007" s="30"/>
      <c r="O1007" s="11" t="s">
        <v>27</v>
      </c>
      <c r="P1007" s="32"/>
      <c r="Q1007" s="32"/>
      <c r="R1007" s="32"/>
      <c r="S1007" s="32">
        <f t="shared" si="269"/>
        <v>0</v>
      </c>
      <c r="T1007" s="12"/>
      <c r="U1007" s="12"/>
      <c r="V1007" s="10"/>
      <c r="W1007" s="12">
        <f t="shared" si="270"/>
        <v>0</v>
      </c>
      <c r="Y1007" s="10">
        <v>6</v>
      </c>
      <c r="Z1007" s="30" t="s">
        <v>91</v>
      </c>
      <c r="AA1007" s="31">
        <f t="shared" si="274"/>
        <v>9761</v>
      </c>
      <c r="AB1007" s="32">
        <f>650*10</f>
        <v>6500</v>
      </c>
      <c r="AC1007" s="32">
        <f>-10*6</f>
        <v>-60</v>
      </c>
      <c r="AD1007" s="32"/>
      <c r="AE1007" s="32">
        <f t="shared" si="271"/>
        <v>6440</v>
      </c>
      <c r="AF1007" s="12"/>
      <c r="AG1007" s="12"/>
      <c r="AH1007" s="10"/>
      <c r="AI1007" s="12">
        <f t="shared" si="272"/>
        <v>6440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M1008" s="10">
        <v>7</v>
      </c>
      <c r="N1008" s="30"/>
      <c r="O1008" s="31"/>
      <c r="P1008" s="32"/>
      <c r="Q1008" s="32"/>
      <c r="R1008" s="32"/>
      <c r="S1008" s="32">
        <f t="shared" si="269"/>
        <v>0</v>
      </c>
      <c r="T1008" s="12"/>
      <c r="U1008" s="12"/>
      <c r="V1008" s="12"/>
      <c r="W1008" s="12">
        <f t="shared" si="270"/>
        <v>0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1"/>
        <v>0</v>
      </c>
      <c r="AF1008" s="12"/>
      <c r="AG1008" s="58"/>
      <c r="AH1008" s="12"/>
      <c r="AI1008" s="12">
        <f t="shared" si="272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M1009" s="10">
        <v>8</v>
      </c>
      <c r="N1009" s="30"/>
      <c r="O1009" s="11"/>
      <c r="P1009" s="32"/>
      <c r="Q1009" s="32"/>
      <c r="R1009" s="32"/>
      <c r="S1009" s="32">
        <f t="shared" si="269"/>
        <v>0</v>
      </c>
      <c r="T1009" s="12"/>
      <c r="U1009" s="12"/>
      <c r="V1009" s="12"/>
      <c r="W1009" s="12">
        <f t="shared" si="270"/>
        <v>0</v>
      </c>
      <c r="Y1009" s="10">
        <v>8</v>
      </c>
      <c r="Z1009" s="30"/>
      <c r="AA1009" s="31"/>
      <c r="AB1009" s="32"/>
      <c r="AC1009" s="32"/>
      <c r="AE1009" s="32">
        <f t="shared" si="271"/>
        <v>0</v>
      </c>
      <c r="AF1009" s="12"/>
      <c r="AG1009" s="12"/>
      <c r="AH1009" s="12"/>
      <c r="AI1009" s="12">
        <f t="shared" si="272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M1010" s="10">
        <v>9</v>
      </c>
      <c r="N1010" s="30"/>
      <c r="O1010" s="31"/>
      <c r="P1010" s="32"/>
      <c r="Q1010" s="32"/>
      <c r="R1010" s="32"/>
      <c r="S1010" s="32">
        <f t="shared" si="269"/>
        <v>0</v>
      </c>
      <c r="T1010" s="12"/>
      <c r="U1010" s="12"/>
      <c r="V1010" s="12"/>
      <c r="W1010" s="12">
        <f t="shared" si="270"/>
        <v>0</v>
      </c>
      <c r="Y1010" s="10">
        <v>9</v>
      </c>
      <c r="Z1010" s="30"/>
      <c r="AA1010" s="11"/>
      <c r="AB1010" s="32"/>
      <c r="AC1010" s="32"/>
      <c r="AD1010" s="32"/>
      <c r="AE1010" s="32">
        <f t="shared" si="271"/>
        <v>0</v>
      </c>
      <c r="AF1010" s="12"/>
      <c r="AH1010" s="12"/>
      <c r="AI1010" s="12">
        <f t="shared" si="27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M1011" s="10">
        <v>10</v>
      </c>
      <c r="N1011" s="30"/>
      <c r="O1011" s="31"/>
      <c r="P1011" s="32"/>
      <c r="Q1011" s="32"/>
      <c r="R1011" s="32"/>
      <c r="S1011" s="32">
        <f t="shared" si="269"/>
        <v>0</v>
      </c>
      <c r="T1011" s="12"/>
      <c r="U1011" s="12"/>
      <c r="V1011" s="12"/>
      <c r="W1011" s="12">
        <f t="shared" si="27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71"/>
        <v>0</v>
      </c>
      <c r="AF1011" s="12"/>
      <c r="AG1011" s="12"/>
      <c r="AH1011" s="12"/>
      <c r="AI1011" s="12">
        <f t="shared" si="27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M1012" s="10">
        <v>11</v>
      </c>
      <c r="N1012" s="30"/>
      <c r="O1012" s="31"/>
      <c r="P1012" s="32"/>
      <c r="Q1012" s="32"/>
      <c r="R1012" s="32"/>
      <c r="S1012" s="32">
        <f t="shared" si="269"/>
        <v>0</v>
      </c>
      <c r="T1012" s="12"/>
      <c r="U1012" s="12"/>
      <c r="V1012" s="12"/>
      <c r="W1012" s="12">
        <f t="shared" si="27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71"/>
        <v>0</v>
      </c>
      <c r="AF1012" s="12"/>
      <c r="AG1012" s="12"/>
      <c r="AH1012" s="12"/>
      <c r="AI1012" s="12">
        <f t="shared" si="27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M1013" s="10">
        <v>12</v>
      </c>
      <c r="N1013" s="30"/>
      <c r="O1013" s="31"/>
      <c r="P1013" s="32"/>
      <c r="Q1013" s="32"/>
      <c r="R1013" s="32"/>
      <c r="S1013" s="32">
        <f t="shared" si="269"/>
        <v>0</v>
      </c>
      <c r="T1013" s="12"/>
      <c r="U1013" s="12"/>
      <c r="V1013" s="12"/>
      <c r="W1013" s="12">
        <f t="shared" si="270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1"/>
        <v>0</v>
      </c>
      <c r="AF1013" s="12"/>
      <c r="AG1013" s="12"/>
      <c r="AH1013" s="12"/>
      <c r="AI1013" s="12">
        <f t="shared" si="27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M1014" s="10">
        <v>13</v>
      </c>
      <c r="N1014" s="30"/>
      <c r="O1014" s="31"/>
      <c r="P1014" s="32"/>
      <c r="Q1014" s="32"/>
      <c r="R1014" s="32"/>
      <c r="S1014" s="32">
        <f t="shared" si="269"/>
        <v>0</v>
      </c>
      <c r="T1014" s="12"/>
      <c r="U1014" s="12"/>
      <c r="V1014" s="12"/>
      <c r="W1014" s="12">
        <f t="shared" si="270"/>
        <v>0</v>
      </c>
      <c r="Y1014" s="10">
        <v>13</v>
      </c>
      <c r="Z1014" s="30"/>
      <c r="AB1014" s="32"/>
      <c r="AC1014" s="32"/>
      <c r="AD1014" s="32"/>
      <c r="AE1014" s="32">
        <f t="shared" si="271"/>
        <v>0</v>
      </c>
      <c r="AF1014" s="12"/>
      <c r="AG1014" s="12"/>
      <c r="AH1014" s="12"/>
      <c r="AI1014" s="12">
        <f t="shared" si="27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M1015" s="10">
        <v>14</v>
      </c>
      <c r="N1015" s="30"/>
      <c r="O1015" s="31"/>
      <c r="P1015" s="32"/>
      <c r="Q1015" s="32"/>
      <c r="R1015" s="32"/>
      <c r="S1015" s="32">
        <f t="shared" si="269"/>
        <v>0</v>
      </c>
      <c r="T1015" s="12"/>
      <c r="U1015" s="12"/>
      <c r="V1015" s="12"/>
      <c r="W1015" s="12">
        <f t="shared" si="27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1"/>
        <v>0</v>
      </c>
      <c r="AF1015" s="12"/>
      <c r="AG1015" s="12"/>
      <c r="AH1015" s="12"/>
      <c r="AI1015" s="12">
        <f t="shared" si="27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M1016" s="10">
        <v>15</v>
      </c>
      <c r="N1016" s="30"/>
      <c r="O1016" s="31"/>
      <c r="P1016" s="32"/>
      <c r="Q1016" s="32"/>
      <c r="R1016" s="32"/>
      <c r="S1016" s="32">
        <f t="shared" si="269"/>
        <v>0</v>
      </c>
      <c r="T1016" s="12"/>
      <c r="U1016" s="12"/>
      <c r="V1016" s="12"/>
      <c r="W1016" s="12">
        <f t="shared" si="27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1"/>
        <v>0</v>
      </c>
      <c r="AF1016" s="12"/>
      <c r="AG1016" s="12"/>
      <c r="AH1016" s="12"/>
      <c r="AI1016" s="12">
        <f t="shared" si="27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M1017" s="10">
        <v>16</v>
      </c>
      <c r="N1017" s="30"/>
      <c r="O1017" s="11"/>
      <c r="P1017" s="32"/>
      <c r="Q1017" s="32"/>
      <c r="R1017" s="32"/>
      <c r="S1017" s="32">
        <f t="shared" si="269"/>
        <v>0</v>
      </c>
      <c r="T1017" s="12"/>
      <c r="U1017" s="12"/>
      <c r="V1017" s="12"/>
      <c r="W1017" s="12">
        <f t="shared" si="27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71"/>
        <v>0</v>
      </c>
      <c r="AF1017" s="12"/>
      <c r="AG1017" s="12"/>
      <c r="AH1017" s="12"/>
      <c r="AI1017" s="12">
        <f t="shared" si="27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M1018" s="10">
        <v>17</v>
      </c>
      <c r="N1018" s="30"/>
      <c r="O1018" s="31"/>
      <c r="P1018" s="35"/>
      <c r="Q1018" s="32"/>
      <c r="R1018" s="32"/>
      <c r="S1018" s="32">
        <f t="shared" si="269"/>
        <v>0</v>
      </c>
      <c r="T1018" s="12"/>
      <c r="U1018" s="12"/>
      <c r="V1018" s="12"/>
      <c r="W1018" s="12">
        <f t="shared" si="27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1"/>
        <v>0</v>
      </c>
      <c r="AF1018" s="12"/>
      <c r="AG1018" s="12"/>
      <c r="AH1018" s="12"/>
      <c r="AI1018" s="12">
        <f t="shared" si="27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M1019" s="10">
        <v>18</v>
      </c>
      <c r="N1019" s="30"/>
      <c r="O1019" s="31"/>
      <c r="P1019" s="32"/>
      <c r="Q1019" s="32"/>
      <c r="R1019" s="32"/>
      <c r="S1019" s="32">
        <f t="shared" si="269"/>
        <v>0</v>
      </c>
      <c r="T1019" s="12"/>
      <c r="U1019" s="12"/>
      <c r="V1019" s="12"/>
      <c r="W1019" s="12">
        <f t="shared" si="270"/>
        <v>0</v>
      </c>
      <c r="Y1019" s="10">
        <v>18</v>
      </c>
      <c r="Z1019" s="30"/>
      <c r="AB1019" s="32"/>
      <c r="AC1019" s="32"/>
      <c r="AD1019" s="32"/>
      <c r="AE1019" s="32">
        <f t="shared" si="271"/>
        <v>0</v>
      </c>
      <c r="AF1019" s="12"/>
      <c r="AG1019" s="12"/>
      <c r="AH1019" s="12"/>
      <c r="AI1019" s="12">
        <f t="shared" si="27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M1020" s="10">
        <v>19</v>
      </c>
      <c r="N1020" s="30"/>
      <c r="O1020" s="31"/>
      <c r="P1020" s="32"/>
      <c r="Q1020" s="32"/>
      <c r="R1020" s="32"/>
      <c r="S1020" s="32">
        <f t="shared" si="269"/>
        <v>0</v>
      </c>
      <c r="T1020" s="12"/>
      <c r="U1020" s="12"/>
      <c r="V1020" s="12"/>
      <c r="W1020" s="12">
        <f t="shared" si="27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1"/>
        <v>0</v>
      </c>
      <c r="AF1020" s="12"/>
      <c r="AG1020" s="12"/>
      <c r="AH1020" s="12"/>
      <c r="AI1020" s="12">
        <f t="shared" si="27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M1021" s="10">
        <v>20</v>
      </c>
      <c r="N1021" s="30"/>
      <c r="O1021" s="31"/>
      <c r="P1021" s="32"/>
      <c r="Q1021" s="32"/>
      <c r="R1021" s="32"/>
      <c r="S1021" s="32">
        <f t="shared" si="269"/>
        <v>0</v>
      </c>
      <c r="T1021" s="12"/>
      <c r="U1021" s="12"/>
      <c r="V1021" s="12"/>
      <c r="W1021" s="12">
        <f t="shared" si="270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1"/>
        <v>0</v>
      </c>
      <c r="AF1021" s="12"/>
      <c r="AG1021" s="12"/>
      <c r="AH1021" s="12"/>
      <c r="AI1021" s="12">
        <f t="shared" si="27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M1022" s="10">
        <v>21</v>
      </c>
      <c r="N1022" s="30"/>
      <c r="O1022" s="31"/>
      <c r="P1022" s="46"/>
      <c r="Q1022" s="31"/>
      <c r="R1022" s="31"/>
      <c r="S1022" s="32">
        <f t="shared" si="269"/>
        <v>0</v>
      </c>
      <c r="T1022" s="10"/>
      <c r="U1022" s="10"/>
      <c r="V1022" s="10"/>
      <c r="W1022" s="12">
        <f t="shared" si="27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71"/>
        <v>0</v>
      </c>
      <c r="AF1022" s="10"/>
      <c r="AG1022" s="10"/>
      <c r="AH1022" s="10"/>
      <c r="AI1022" s="12">
        <f t="shared" si="27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M1023" s="10">
        <v>22</v>
      </c>
      <c r="N1023" s="30"/>
      <c r="O1023" s="31"/>
      <c r="P1023" s="45"/>
      <c r="Q1023" s="31"/>
      <c r="R1023" s="31"/>
      <c r="S1023" s="32">
        <f t="shared" si="269"/>
        <v>0</v>
      </c>
      <c r="T1023" s="10"/>
      <c r="U1023" s="10"/>
      <c r="V1023" s="10"/>
      <c r="W1023" s="12">
        <f t="shared" si="27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1"/>
        <v>0</v>
      </c>
      <c r="AF1023" s="10"/>
      <c r="AG1023" s="10"/>
      <c r="AH1023" s="10"/>
      <c r="AI1023" s="12">
        <f t="shared" si="27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M1024" s="10">
        <v>23</v>
      </c>
      <c r="N1024" s="30"/>
      <c r="O1024" s="31"/>
      <c r="P1024" s="47"/>
      <c r="Q1024" s="31"/>
      <c r="S1024" s="32">
        <f t="shared" si="269"/>
        <v>0</v>
      </c>
      <c r="T1024" s="10"/>
      <c r="U1024" s="10"/>
      <c r="V1024" s="10"/>
      <c r="W1024" s="12">
        <f t="shared" si="270"/>
        <v>0</v>
      </c>
      <c r="Y1024" s="10">
        <v>23</v>
      </c>
      <c r="Z1024" s="30"/>
      <c r="AA1024" s="31"/>
      <c r="AB1024" s="47"/>
      <c r="AE1024" s="32">
        <f t="shared" si="271"/>
        <v>0</v>
      </c>
      <c r="AF1024" s="10"/>
      <c r="AG1024" s="10"/>
      <c r="AH1024" s="10"/>
      <c r="AI1024" s="12">
        <f t="shared" si="27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M1025" s="10">
        <v>24</v>
      </c>
      <c r="N1025" s="30"/>
      <c r="O1025" s="31"/>
      <c r="P1025" s="47"/>
      <c r="Q1025" s="31"/>
      <c r="R1025" s="31"/>
      <c r="S1025" s="32">
        <f t="shared" si="269"/>
        <v>0</v>
      </c>
      <c r="T1025" s="10"/>
      <c r="U1025" s="10"/>
      <c r="V1025" s="10"/>
      <c r="W1025" s="12">
        <f t="shared" si="27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1"/>
        <v>0</v>
      </c>
      <c r="AF1025" s="10"/>
      <c r="AG1025" s="10"/>
      <c r="AH1025" s="10"/>
      <c r="AI1025" s="12">
        <f t="shared" si="27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M1026" s="10">
        <v>25</v>
      </c>
      <c r="N1026" s="30"/>
      <c r="O1026" s="31"/>
      <c r="P1026" s="47"/>
      <c r="Q1026" s="31"/>
      <c r="R1026" s="31"/>
      <c r="S1026" s="32">
        <f t="shared" si="269"/>
        <v>0</v>
      </c>
      <c r="T1026" s="10"/>
      <c r="U1026" s="10"/>
      <c r="V1026" s="10"/>
      <c r="W1026" s="12">
        <f t="shared" si="27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1"/>
        <v>0</v>
      </c>
      <c r="AF1026" s="10"/>
      <c r="AG1026" s="10"/>
      <c r="AH1026" s="10"/>
      <c r="AI1026" s="12">
        <f t="shared" si="27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M1027" s="10">
        <v>26</v>
      </c>
      <c r="N1027" s="30"/>
      <c r="O1027" s="31"/>
      <c r="P1027" s="47"/>
      <c r="Q1027" s="31"/>
      <c r="R1027" s="31"/>
      <c r="S1027" s="32">
        <f t="shared" si="269"/>
        <v>0</v>
      </c>
      <c r="T1027" s="10"/>
      <c r="U1027" s="10"/>
      <c r="V1027" s="10"/>
      <c r="W1027" s="12">
        <f t="shared" si="27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1"/>
        <v>0</v>
      </c>
      <c r="AF1027" s="10"/>
      <c r="AG1027" s="10"/>
      <c r="AH1027" s="10"/>
      <c r="AI1027" s="12">
        <f t="shared" si="27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M1028" s="10">
        <v>27</v>
      </c>
      <c r="N1028" s="30"/>
      <c r="O1028" s="31"/>
      <c r="P1028" s="47"/>
      <c r="Q1028" s="31"/>
      <c r="R1028" s="31"/>
      <c r="S1028" s="32">
        <f t="shared" si="269"/>
        <v>0</v>
      </c>
      <c r="T1028" s="10"/>
      <c r="U1028" s="10"/>
      <c r="V1028" s="10"/>
      <c r="W1028" s="12">
        <f t="shared" si="27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1"/>
        <v>0</v>
      </c>
      <c r="AF1028" s="10"/>
      <c r="AG1028" s="10"/>
      <c r="AH1028" s="10"/>
      <c r="AI1028" s="12">
        <f t="shared" si="27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M1029" s="10">
        <v>28</v>
      </c>
      <c r="N1029" s="30"/>
      <c r="O1029" s="31"/>
      <c r="P1029" s="47"/>
      <c r="Q1029" s="31"/>
      <c r="R1029" s="31"/>
      <c r="S1029" s="32">
        <f t="shared" si="269"/>
        <v>0</v>
      </c>
      <c r="T1029" s="10"/>
      <c r="U1029" s="10"/>
      <c r="V1029" s="10"/>
      <c r="W1029" s="12">
        <f t="shared" si="27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1"/>
        <v>0</v>
      </c>
      <c r="AF1029" s="10"/>
      <c r="AG1029" s="10"/>
      <c r="AH1029" s="10"/>
      <c r="AI1029" s="12">
        <f t="shared" si="27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M1030" s="10">
        <v>29</v>
      </c>
      <c r="N1030" s="30"/>
      <c r="O1030" s="31"/>
      <c r="P1030" s="47"/>
      <c r="Q1030" s="31"/>
      <c r="R1030" s="31"/>
      <c r="S1030" s="32">
        <f t="shared" si="269"/>
        <v>0</v>
      </c>
      <c r="T1030" s="10"/>
      <c r="U1030" s="10"/>
      <c r="V1030" s="10"/>
      <c r="W1030" s="12">
        <f t="shared" si="27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1"/>
        <v>0</v>
      </c>
      <c r="AF1030" s="10"/>
      <c r="AG1030" s="10"/>
      <c r="AH1030" s="10"/>
      <c r="AI1030" s="12">
        <f t="shared" si="27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M1031" s="10">
        <v>30</v>
      </c>
      <c r="N1031" s="30"/>
      <c r="O1031" s="31"/>
      <c r="P1031" s="47"/>
      <c r="Q1031" s="31"/>
      <c r="R1031" s="31"/>
      <c r="S1031" s="32">
        <f t="shared" si="269"/>
        <v>0</v>
      </c>
      <c r="T1031" s="10"/>
      <c r="U1031" s="10"/>
      <c r="V1031" s="10"/>
      <c r="W1031" s="12">
        <f t="shared" si="270"/>
        <v>0</v>
      </c>
      <c r="Y1031" s="10">
        <v>30</v>
      </c>
      <c r="Z1031" s="30"/>
      <c r="AB1031" s="47"/>
      <c r="AC1031" s="31"/>
      <c r="AD1031" s="31"/>
      <c r="AE1031" s="32">
        <f t="shared" si="271"/>
        <v>0</v>
      </c>
      <c r="AF1031" s="10"/>
      <c r="AG1031" s="10"/>
      <c r="AH1031" s="10"/>
      <c r="AI1031" s="12">
        <f t="shared" si="27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M1032" s="10">
        <v>31</v>
      </c>
      <c r="N1032" s="30"/>
      <c r="O1032" s="31"/>
      <c r="P1032" s="47"/>
      <c r="Q1032" s="31"/>
      <c r="R1032" s="31"/>
      <c r="S1032" s="32">
        <f t="shared" si="269"/>
        <v>0</v>
      </c>
      <c r="T1032" s="10"/>
      <c r="U1032" s="10"/>
      <c r="V1032" s="10"/>
      <c r="W1032" s="12">
        <f t="shared" si="27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71"/>
        <v>0</v>
      </c>
      <c r="AF1032" s="10"/>
      <c r="AG1032" s="10"/>
      <c r="AH1032" s="10"/>
      <c r="AI1032" s="12">
        <f t="shared" si="27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M1033" s="10">
        <v>32</v>
      </c>
      <c r="N1033" s="30"/>
      <c r="O1033" s="31"/>
      <c r="P1033" s="47"/>
      <c r="Q1033" s="31"/>
      <c r="R1033" s="31"/>
      <c r="S1033" s="32">
        <f t="shared" si="269"/>
        <v>0</v>
      </c>
      <c r="T1033" s="10"/>
      <c r="U1033" s="10"/>
      <c r="V1033" s="10"/>
      <c r="W1033" s="12">
        <f t="shared" si="27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1"/>
        <v>0</v>
      </c>
      <c r="AF1033" s="10"/>
      <c r="AG1033" s="10"/>
      <c r="AH1033" s="10"/>
      <c r="AI1033" s="12">
        <f t="shared" si="27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M1034" s="10">
        <v>33</v>
      </c>
      <c r="N1034" s="30"/>
      <c r="O1034" s="31"/>
      <c r="P1034" s="47"/>
      <c r="Q1034" s="31"/>
      <c r="R1034" s="31"/>
      <c r="S1034" s="32">
        <f t="shared" si="269"/>
        <v>0</v>
      </c>
      <c r="T1034" s="10"/>
      <c r="U1034" s="10"/>
      <c r="V1034" s="10"/>
      <c r="W1034" s="12">
        <f t="shared" si="27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1"/>
        <v>0</v>
      </c>
      <c r="AF1034" s="10"/>
      <c r="AG1034" s="10"/>
      <c r="AH1034" s="10"/>
      <c r="AI1034" s="12">
        <f t="shared" si="27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M1035" s="10">
        <v>34</v>
      </c>
      <c r="N1035" s="30"/>
      <c r="O1035" s="31"/>
      <c r="P1035" s="47"/>
      <c r="Q1035" s="31"/>
      <c r="R1035" s="31"/>
      <c r="S1035" s="32">
        <f t="shared" si="269"/>
        <v>0</v>
      </c>
      <c r="T1035" s="10"/>
      <c r="U1035" s="10"/>
      <c r="V1035" s="10"/>
      <c r="W1035" s="12">
        <f t="shared" si="27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71"/>
        <v>0</v>
      </c>
      <c r="AF1035" s="10"/>
      <c r="AG1035" s="10"/>
      <c r="AH1035" s="10"/>
      <c r="AI1035" s="12">
        <f t="shared" si="27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M1036" s="10">
        <v>35</v>
      </c>
      <c r="N1036" s="30"/>
      <c r="P1036" s="47"/>
      <c r="Q1036" s="31"/>
      <c r="R1036" s="31"/>
      <c r="S1036" s="32">
        <f t="shared" si="269"/>
        <v>0</v>
      </c>
      <c r="T1036" s="10"/>
      <c r="U1036" s="10"/>
      <c r="V1036" s="10"/>
      <c r="W1036" s="12">
        <f t="shared" si="27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1"/>
        <v>0</v>
      </c>
      <c r="AF1036" s="10"/>
      <c r="AG1036" s="10"/>
      <c r="AH1036" s="10"/>
      <c r="AI1036" s="12">
        <f t="shared" si="27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M1037" s="10">
        <v>36</v>
      </c>
      <c r="N1037" s="30"/>
      <c r="O1037" s="31"/>
      <c r="P1037" s="47"/>
      <c r="Q1037" s="31"/>
      <c r="R1037" s="31"/>
      <c r="S1037" s="32">
        <f t="shared" si="269"/>
        <v>0</v>
      </c>
      <c r="T1037" s="10"/>
      <c r="U1037" s="10"/>
      <c r="V1037" s="10"/>
      <c r="W1037" s="12">
        <f t="shared" si="27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1"/>
        <v>0</v>
      </c>
      <c r="AF1037" s="10"/>
      <c r="AG1037" s="10"/>
      <c r="AH1037" s="10"/>
      <c r="AI1037" s="12">
        <f t="shared" si="27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M1038" s="10">
        <v>37</v>
      </c>
      <c r="N1038" s="30"/>
      <c r="O1038" s="31"/>
      <c r="P1038" s="47"/>
      <c r="Q1038" s="31"/>
      <c r="R1038" s="31"/>
      <c r="S1038" s="32">
        <f t="shared" si="269"/>
        <v>0</v>
      </c>
      <c r="T1038" s="10"/>
      <c r="U1038" s="10"/>
      <c r="V1038" s="10"/>
      <c r="W1038" s="12">
        <f t="shared" si="27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1"/>
        <v>0</v>
      </c>
      <c r="AF1038" s="10"/>
      <c r="AG1038" s="10"/>
      <c r="AH1038" s="10"/>
      <c r="AI1038" s="12">
        <f t="shared" si="27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M1039" s="10">
        <v>38</v>
      </c>
      <c r="N1039" s="30"/>
      <c r="O1039" s="31"/>
      <c r="P1039" s="47"/>
      <c r="Q1039" s="31"/>
      <c r="R1039" s="31"/>
      <c r="S1039" s="32">
        <f t="shared" si="269"/>
        <v>0</v>
      </c>
      <c r="T1039" s="10"/>
      <c r="U1039" s="10"/>
      <c r="V1039" s="10"/>
      <c r="W1039" s="12">
        <f t="shared" si="27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1"/>
        <v>0</v>
      </c>
      <c r="AF1039" s="10"/>
      <c r="AG1039" s="10"/>
      <c r="AH1039" s="10"/>
      <c r="AI1039" s="12">
        <f t="shared" si="27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M1040" s="10">
        <v>39</v>
      </c>
      <c r="N1040" s="30"/>
      <c r="O1040" s="31"/>
      <c r="P1040" s="47"/>
      <c r="Q1040" s="31"/>
      <c r="R1040" s="31"/>
      <c r="S1040" s="32">
        <f t="shared" si="269"/>
        <v>0</v>
      </c>
      <c r="T1040" s="10"/>
      <c r="U1040" s="10"/>
      <c r="V1040" s="10"/>
      <c r="W1040" s="12">
        <f t="shared" si="27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1"/>
        <v>0</v>
      </c>
      <c r="AF1040" s="10"/>
      <c r="AG1040" s="10"/>
      <c r="AH1040" s="10"/>
      <c r="AI1040" s="12">
        <f t="shared" si="27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M1042" s="10"/>
      <c r="N1042" s="30"/>
      <c r="O1042" s="31"/>
      <c r="P1042" s="47"/>
      <c r="Q1042" s="31"/>
      <c r="R1042" s="31"/>
      <c r="S1042" s="32">
        <f t="shared" ref="S1042" si="275">SUM(P1042:Q1042)</f>
        <v>0</v>
      </c>
      <c r="T1042" s="10"/>
      <c r="U1042" s="10"/>
      <c r="V1042" s="10"/>
      <c r="W1042" s="12">
        <f t="shared" si="270"/>
        <v>0</v>
      </c>
      <c r="Y1042" s="10"/>
      <c r="Z1042" s="30"/>
      <c r="AA1042" s="31"/>
      <c r="AB1042" s="47"/>
      <c r="AC1042" s="31"/>
      <c r="AD1042" s="31"/>
      <c r="AE1042" s="32">
        <f t="shared" ref="AE1042" si="276">SUM(AB1042:AC1042)</f>
        <v>0</v>
      </c>
      <c r="AF1042" s="10"/>
      <c r="AG1042" s="10"/>
      <c r="AH1042" s="10"/>
      <c r="AI1042" s="12">
        <f t="shared" si="27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N1045" s="57"/>
      <c r="O1045" s="57"/>
      <c r="P1045" s="38">
        <f>SUM(P1002:P1044)</f>
        <v>198151</v>
      </c>
      <c r="Q1045" s="38">
        <f>SUM(Q1002:Q1026)</f>
        <v>-1296</v>
      </c>
      <c r="R1045" s="38">
        <f>SUM(R1002:R1026)</f>
        <v>0</v>
      </c>
      <c r="S1045" s="38">
        <f>SUM(S1002:S1044)</f>
        <v>196855</v>
      </c>
      <c r="T1045" s="4"/>
      <c r="U1045" s="41">
        <f>SUM(U1002:U1044)</f>
        <v>8627.25</v>
      </c>
      <c r="V1045" s="41">
        <f>SUM(V1002:V1026)</f>
        <v>-2457</v>
      </c>
      <c r="W1045" s="42">
        <f>SUM(W1002:W1044)</f>
        <v>203025.25</v>
      </c>
      <c r="Z1045" s="57"/>
      <c r="AA1045" s="57"/>
      <c r="AB1045" s="38">
        <f>SUM(AB1002:AB1044)</f>
        <v>366349</v>
      </c>
      <c r="AC1045" s="38">
        <f>SUM(AC1002:AC1026)</f>
        <v>-1680</v>
      </c>
      <c r="AD1045" s="38">
        <f>SUM(AD1002:AD1026)</f>
        <v>0</v>
      </c>
      <c r="AE1045" s="38">
        <f>SUM(AE1002:AE1044)</f>
        <v>364669</v>
      </c>
      <c r="AF1045" s="4"/>
      <c r="AG1045" s="41">
        <f>SUM(AG1002:AG1044)</f>
        <v>6928.5</v>
      </c>
      <c r="AH1045" s="41">
        <f>SUM(AH1002:AH1026)</f>
        <v>-1776</v>
      </c>
      <c r="AI1045" s="42">
        <f>SUM(AI1002:AI1044)</f>
        <v>369821.5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20"/>
      <c r="E1055" s="120"/>
      <c r="F1055" s="86"/>
      <c r="G1055" s="86"/>
      <c r="H1055" s="62"/>
      <c r="I1055" s="120"/>
      <c r="J1055" s="120"/>
      <c r="K1055" s="119"/>
      <c r="L1055" s="62"/>
      <c r="M1055" s="62"/>
      <c r="N1055" s="65"/>
      <c r="O1055" s="86"/>
      <c r="P1055" s="120"/>
      <c r="Q1055" s="120"/>
      <c r="R1055" s="86"/>
      <c r="S1055" s="86"/>
      <c r="T1055" s="62"/>
      <c r="U1055" s="120"/>
      <c r="V1055" s="120"/>
      <c r="W1055" s="119"/>
      <c r="X1055" s="62"/>
      <c r="Y1055" s="62"/>
      <c r="Z1055" s="65"/>
      <c r="AA1055" s="86"/>
      <c r="AB1055" s="120"/>
      <c r="AC1055" s="120"/>
      <c r="AD1055" s="86"/>
      <c r="AE1055" s="86"/>
      <c r="AF1055" s="62"/>
      <c r="AG1055" s="120"/>
      <c r="AH1055" s="120"/>
      <c r="AI1055" s="11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0"/>
      <c r="E1110" s="120"/>
      <c r="F1110" s="86"/>
      <c r="G1110" s="86"/>
      <c r="H1110" s="62"/>
      <c r="I1110" s="120"/>
      <c r="J1110" s="120"/>
      <c r="K1110" s="119"/>
      <c r="L1110" s="62"/>
      <c r="M1110" s="62"/>
      <c r="N1110" s="65"/>
      <c r="O1110" s="86"/>
      <c r="P1110" s="120"/>
      <c r="Q1110" s="120"/>
      <c r="R1110" s="86"/>
      <c r="S1110" s="86"/>
      <c r="T1110" s="62"/>
      <c r="U1110" s="120"/>
      <c r="V1110" s="120"/>
      <c r="W1110" s="119"/>
      <c r="X1110" s="62"/>
      <c r="Y1110" s="62"/>
      <c r="Z1110" s="65"/>
      <c r="AA1110" s="86"/>
      <c r="AB1110" s="120"/>
      <c r="AC1110" s="120"/>
      <c r="AD1110" s="86"/>
      <c r="AE1110" s="86"/>
      <c r="AF1110" s="62"/>
      <c r="AG1110" s="120"/>
      <c r="AH1110" s="120"/>
      <c r="AI1110" s="11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0"/>
      <c r="E1165" s="120"/>
      <c r="F1165" s="86"/>
      <c r="G1165" s="86"/>
      <c r="H1165" s="62"/>
      <c r="I1165" s="120"/>
      <c r="J1165" s="120"/>
      <c r="K1165" s="119"/>
      <c r="L1165" s="62"/>
      <c r="M1165" s="62"/>
      <c r="N1165" s="65"/>
      <c r="O1165" s="86"/>
      <c r="P1165" s="120"/>
      <c r="Q1165" s="120"/>
      <c r="R1165" s="86"/>
      <c r="S1165" s="86"/>
      <c r="T1165" s="62"/>
      <c r="U1165" s="120"/>
      <c r="V1165" s="120"/>
      <c r="W1165" s="119"/>
      <c r="X1165" s="62"/>
      <c r="Y1165" s="62"/>
      <c r="Z1165" s="65"/>
      <c r="AA1165" s="86"/>
      <c r="AB1165" s="120"/>
      <c r="AC1165" s="120"/>
      <c r="AD1165" s="86"/>
      <c r="AE1165" s="86"/>
      <c r="AF1165" s="62"/>
      <c r="AG1165" s="120"/>
      <c r="AH1165" s="120"/>
      <c r="AI1165" s="11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0"/>
      <c r="E1221" s="120"/>
      <c r="F1221" s="86"/>
      <c r="G1221" s="86"/>
      <c r="H1221" s="62"/>
      <c r="I1221" s="120"/>
      <c r="J1221" s="120"/>
      <c r="K1221" s="119"/>
      <c r="L1221" s="62"/>
      <c r="M1221" s="62"/>
      <c r="N1221" s="65"/>
      <c r="O1221" s="86"/>
      <c r="P1221" s="120"/>
      <c r="Q1221" s="120"/>
      <c r="R1221" s="86"/>
      <c r="S1221" s="86"/>
      <c r="T1221" s="62"/>
      <c r="U1221" s="120"/>
      <c r="V1221" s="120"/>
      <c r="W1221" s="119"/>
      <c r="X1221" s="62"/>
      <c r="Y1221" s="62"/>
      <c r="Z1221" s="65"/>
      <c r="AA1221" s="86"/>
      <c r="AB1221" s="120"/>
      <c r="AC1221" s="120"/>
      <c r="AD1221" s="86"/>
      <c r="AE1221" s="86"/>
      <c r="AF1221" s="62"/>
      <c r="AG1221" s="120"/>
      <c r="AH1221" s="120"/>
      <c r="AI1221" s="11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0"/>
      <c r="E1283" s="120"/>
      <c r="F1283" s="86"/>
      <c r="G1283" s="86"/>
      <c r="H1283" s="62"/>
      <c r="I1283" s="120"/>
      <c r="J1283" s="120"/>
      <c r="K1283" s="119"/>
      <c r="L1283" s="62"/>
      <c r="M1283" s="62"/>
      <c r="N1283" s="65"/>
      <c r="O1283" s="86"/>
      <c r="P1283" s="120"/>
      <c r="Q1283" s="120"/>
      <c r="R1283" s="86"/>
      <c r="S1283" s="86"/>
      <c r="T1283" s="62"/>
      <c r="U1283" s="120"/>
      <c r="V1283" s="120"/>
      <c r="W1283" s="119"/>
      <c r="X1283" s="62"/>
      <c r="Y1283" s="62"/>
      <c r="Z1283" s="65"/>
      <c r="AA1283" s="86"/>
      <c r="AB1283" s="120"/>
      <c r="AC1283" s="120"/>
      <c r="AD1283" s="86"/>
      <c r="AE1283" s="86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2026-03-26T01:59:39Z</dcterms:modified>
</cp:coreProperties>
</file>