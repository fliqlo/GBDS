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6B44252-A4AB-4255-B2A9-C842DB46186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22" i="2" l="1"/>
  <c r="AE1122" i="2" s="1"/>
  <c r="AI1122" i="2" s="1"/>
  <c r="AB1121" i="2"/>
  <c r="AE1121" i="2" s="1"/>
  <c r="AI1121" i="2" s="1"/>
  <c r="AB1120" i="2"/>
  <c r="AB1119" i="2"/>
  <c r="AE1119" i="2" s="1"/>
  <c r="AI1119" i="2" s="1"/>
  <c r="AB1118" i="2"/>
  <c r="AE1118" i="2" s="1"/>
  <c r="AI1118" i="2" s="1"/>
  <c r="AB1117" i="2"/>
  <c r="AE1117" i="2" s="1"/>
  <c r="AI1117" i="2" s="1"/>
  <c r="AB1116" i="2"/>
  <c r="AE1116" i="2" s="1"/>
  <c r="AI1116" i="2" s="1"/>
  <c r="AC1115" i="2"/>
  <c r="AB1115" i="2"/>
  <c r="AE1115" i="2" s="1"/>
  <c r="AI1115" i="2" s="1"/>
  <c r="AG1114" i="2"/>
  <c r="AG1155" i="2" s="1"/>
  <c r="AC1114" i="2"/>
  <c r="AB1114" i="2"/>
  <c r="AE1114" i="2" s="1"/>
  <c r="AC1113" i="2"/>
  <c r="AC1155" i="2" s="1"/>
  <c r="AB1113" i="2"/>
  <c r="AB1112" i="2"/>
  <c r="AA1114" i="2"/>
  <c r="AA1115" i="2" s="1"/>
  <c r="AA1116" i="2" s="1"/>
  <c r="AA1117" i="2" s="1"/>
  <c r="AA1118" i="2" s="1"/>
  <c r="AA1119" i="2" s="1"/>
  <c r="AA1120" i="2" s="1"/>
  <c r="AA1121" i="2" s="1"/>
  <c r="AA1122" i="2" s="1"/>
  <c r="AH1155" i="2"/>
  <c r="AD1155" i="2"/>
  <c r="AI1153" i="2"/>
  <c r="AI1152" i="2"/>
  <c r="AE1152" i="2"/>
  <c r="AI1151" i="2"/>
  <c r="AE1150" i="2"/>
  <c r="AI1150" i="2" s="1"/>
  <c r="AE1149" i="2"/>
  <c r="AI1149" i="2" s="1"/>
  <c r="AE1148" i="2"/>
  <c r="AI1148" i="2" s="1"/>
  <c r="AE1147" i="2"/>
  <c r="AI1147" i="2" s="1"/>
  <c r="AI1146" i="2"/>
  <c r="AE1146" i="2"/>
  <c r="AE1145" i="2"/>
  <c r="AI1145" i="2" s="1"/>
  <c r="AE1144" i="2"/>
  <c r="AI1144" i="2" s="1"/>
  <c r="AI1143" i="2"/>
  <c r="AE1143" i="2"/>
  <c r="AE1142" i="2"/>
  <c r="AI1142" i="2" s="1"/>
  <c r="AE1141" i="2"/>
  <c r="AI1141" i="2" s="1"/>
  <c r="AE1140" i="2"/>
  <c r="AI1140" i="2" s="1"/>
  <c r="AI1139" i="2"/>
  <c r="AE1139" i="2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E1132" i="2"/>
  <c r="AI1132" i="2" s="1"/>
  <c r="AE1131" i="2"/>
  <c r="AI1131" i="2" s="1"/>
  <c r="AE1130" i="2"/>
  <c r="AI1130" i="2" s="1"/>
  <c r="AE1129" i="2"/>
  <c r="AI1129" i="2" s="1"/>
  <c r="AE1128" i="2"/>
  <c r="AI1128" i="2" s="1"/>
  <c r="AI1127" i="2"/>
  <c r="AE1127" i="2"/>
  <c r="AE1126" i="2"/>
  <c r="AI1126" i="2" s="1"/>
  <c r="AE1125" i="2"/>
  <c r="AI1125" i="2" s="1"/>
  <c r="AE1124" i="2"/>
  <c r="AI1124" i="2" s="1"/>
  <c r="AE1123" i="2"/>
  <c r="AI1123" i="2" s="1"/>
  <c r="AE1120" i="2"/>
  <c r="AI1120" i="2" s="1"/>
  <c r="AA1113" i="2"/>
  <c r="AE1112" i="2"/>
  <c r="P1118" i="2"/>
  <c r="V1118" i="2"/>
  <c r="S1118" i="2"/>
  <c r="W1118" i="2" s="1"/>
  <c r="U1117" i="2"/>
  <c r="U1155" i="2" s="1"/>
  <c r="P1117" i="2"/>
  <c r="P1116" i="2"/>
  <c r="S1116" i="2" s="1"/>
  <c r="W1116" i="2" s="1"/>
  <c r="P1115" i="2"/>
  <c r="P1114" i="2"/>
  <c r="P1113" i="2"/>
  <c r="U1112" i="2"/>
  <c r="P1112" i="2"/>
  <c r="V1112" i="2"/>
  <c r="Q1112" i="2"/>
  <c r="S1112" i="2"/>
  <c r="O1113" i="2"/>
  <c r="O1114" i="2" s="1"/>
  <c r="O1115" i="2" s="1"/>
  <c r="O1116" i="2" s="1"/>
  <c r="O1117" i="2" s="1"/>
  <c r="O1118" i="2" s="1"/>
  <c r="S1113" i="2"/>
  <c r="W1113" i="2" s="1"/>
  <c r="S1114" i="2"/>
  <c r="W1114" i="2" s="1"/>
  <c r="S1115" i="2"/>
  <c r="W1115" i="2" s="1"/>
  <c r="S1117" i="2"/>
  <c r="W1117" i="2" s="1"/>
  <c r="S1119" i="2"/>
  <c r="W1119" i="2"/>
  <c r="S1120" i="2"/>
  <c r="W1120" i="2" s="1"/>
  <c r="S1121" i="2"/>
  <c r="W1121" i="2" s="1"/>
  <c r="S1122" i="2"/>
  <c r="W1122" i="2" s="1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/>
  <c r="W1153" i="2"/>
  <c r="R1155" i="2"/>
  <c r="V1155" i="2"/>
  <c r="D1123" i="2"/>
  <c r="D1122" i="2"/>
  <c r="D1121" i="2"/>
  <c r="G1121" i="2" s="1"/>
  <c r="K1121" i="2" s="1"/>
  <c r="D1120" i="2"/>
  <c r="D1119" i="2"/>
  <c r="D1118" i="2"/>
  <c r="G1118" i="2" s="1"/>
  <c r="K1118" i="2" s="1"/>
  <c r="D1117" i="2"/>
  <c r="G1117" i="2" s="1"/>
  <c r="K1117" i="2" s="1"/>
  <c r="C1118" i="2"/>
  <c r="C1119" i="2" s="1"/>
  <c r="C1120" i="2" s="1"/>
  <c r="C1121" i="2" s="1"/>
  <c r="C1122" i="2" s="1"/>
  <c r="C1123" i="2" s="1"/>
  <c r="D1116" i="2"/>
  <c r="I1115" i="2"/>
  <c r="I1155" i="2" s="1"/>
  <c r="D1115" i="2"/>
  <c r="G1115" i="2" s="1"/>
  <c r="K1115" i="2" s="1"/>
  <c r="C1113" i="2"/>
  <c r="C1114" i="2" s="1"/>
  <c r="C1115" i="2" s="1"/>
  <c r="C1116" i="2" s="1"/>
  <c r="C1117" i="2" s="1"/>
  <c r="D1114" i="2"/>
  <c r="G1114" i="2" s="1"/>
  <c r="K1114" i="2" s="1"/>
  <c r="D1113" i="2"/>
  <c r="D1112" i="2"/>
  <c r="G1112" i="2"/>
  <c r="G1113" i="2"/>
  <c r="K1113" i="2"/>
  <c r="G1116" i="2"/>
  <c r="K1116" i="2" s="1"/>
  <c r="G1119" i="2"/>
  <c r="K1119" i="2" s="1"/>
  <c r="G1120" i="2"/>
  <c r="K1120" i="2" s="1"/>
  <c r="G1122" i="2"/>
  <c r="K1122" i="2" s="1"/>
  <c r="G1123" i="2"/>
  <c r="K1123" i="2"/>
  <c r="G1124" i="2"/>
  <c r="K1124" i="2" s="1"/>
  <c r="G1125" i="2"/>
  <c r="K1125" i="2"/>
  <c r="G1126" i="2"/>
  <c r="K1126" i="2"/>
  <c r="G1127" i="2"/>
  <c r="K1127" i="2"/>
  <c r="G1128" i="2"/>
  <c r="K1128" i="2" s="1"/>
  <c r="G1129" i="2"/>
  <c r="K1129" i="2" s="1"/>
  <c r="G1130" i="2"/>
  <c r="K1130" i="2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J1155" i="2"/>
  <c r="AI1114" i="2" l="1"/>
  <c r="AI1112" i="2"/>
  <c r="AE1113" i="2"/>
  <c r="AI1113" i="2" s="1"/>
  <c r="AB1155" i="2"/>
  <c r="P1155" i="2"/>
  <c r="Q1155" i="2"/>
  <c r="S1155" i="2"/>
  <c r="W1112" i="2"/>
  <c r="W1155" i="2" s="1"/>
  <c r="K1112" i="2"/>
  <c r="K1155" i="2" s="1"/>
  <c r="G1155" i="2"/>
  <c r="D1155" i="2"/>
  <c r="P1069" i="2"/>
  <c r="V1068" i="2"/>
  <c r="V1100" i="2" s="1"/>
  <c r="U1068" i="2"/>
  <c r="Q1068" i="2"/>
  <c r="P1068" i="2"/>
  <c r="S1068" i="2" s="1"/>
  <c r="W1068" i="2" s="1"/>
  <c r="P1067" i="2"/>
  <c r="P1066" i="2"/>
  <c r="S1066" i="2" s="1"/>
  <c r="W1066" i="2" s="1"/>
  <c r="P1065" i="2"/>
  <c r="S1065" i="2" s="1"/>
  <c r="W1065" i="2" s="1"/>
  <c r="P1064" i="2"/>
  <c r="S1064" i="2" s="1"/>
  <c r="W1064" i="2" s="1"/>
  <c r="P1063" i="2"/>
  <c r="S1063" i="2" s="1"/>
  <c r="W1063" i="2" s="1"/>
  <c r="P1062" i="2"/>
  <c r="P1061" i="2"/>
  <c r="P1060" i="2"/>
  <c r="P1059" i="2"/>
  <c r="P1058" i="2"/>
  <c r="P1057" i="2"/>
  <c r="O1059" i="2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S1057" i="2"/>
  <c r="W1057" i="2" s="1"/>
  <c r="O1058" i="2"/>
  <c r="S1058" i="2"/>
  <c r="W1058" i="2" s="1"/>
  <c r="U1100" i="2"/>
  <c r="S1059" i="2"/>
  <c r="W1059" i="2" s="1"/>
  <c r="S1061" i="2"/>
  <c r="W1061" i="2" s="1"/>
  <c r="S1062" i="2"/>
  <c r="W1062" i="2"/>
  <c r="S1067" i="2"/>
  <c r="W1067" i="2" s="1"/>
  <c r="S1069" i="2"/>
  <c r="W1069" i="2" s="1"/>
  <c r="S1070" i="2"/>
  <c r="W1070" i="2"/>
  <c r="S1071" i="2"/>
  <c r="W1071" i="2"/>
  <c r="S1072" i="2"/>
  <c r="W1072" i="2"/>
  <c r="S1073" i="2"/>
  <c r="W1073" i="2"/>
  <c r="S1074" i="2"/>
  <c r="W1074" i="2"/>
  <c r="S1075" i="2"/>
  <c r="W1075" i="2" s="1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/>
  <c r="S1083" i="2"/>
  <c r="W1083" i="2" s="1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/>
  <c r="S1091" i="2"/>
  <c r="W1091" i="2" s="1"/>
  <c r="S1092" i="2"/>
  <c r="W1092" i="2"/>
  <c r="S1093" i="2"/>
  <c r="W1093" i="2"/>
  <c r="S1094" i="2"/>
  <c r="W1094" i="2"/>
  <c r="S1095" i="2"/>
  <c r="W1095" i="2"/>
  <c r="W1096" i="2"/>
  <c r="S1097" i="2"/>
  <c r="W1097" i="2"/>
  <c r="W1098" i="2"/>
  <c r="Q1100" i="2"/>
  <c r="R1100" i="2"/>
  <c r="D1062" i="2"/>
  <c r="D1061" i="2"/>
  <c r="G1061" i="2" s="1"/>
  <c r="K1061" i="2" s="1"/>
  <c r="D1060" i="2"/>
  <c r="G1060" i="2" s="1"/>
  <c r="K1060" i="2" s="1"/>
  <c r="D1059" i="2"/>
  <c r="G1059" i="2" s="1"/>
  <c r="K1059" i="2" s="1"/>
  <c r="D1058" i="2"/>
  <c r="G1058" i="2" s="1"/>
  <c r="K1058" i="2" s="1"/>
  <c r="I1057" i="2"/>
  <c r="I1100" i="2" s="1"/>
  <c r="D1057" i="2"/>
  <c r="E1057" i="2"/>
  <c r="F1100" i="2"/>
  <c r="G1097" i="2"/>
  <c r="K1097" i="2" s="1"/>
  <c r="G1090" i="2"/>
  <c r="K1090" i="2" s="1"/>
  <c r="G1089" i="2"/>
  <c r="K1089" i="2" s="1"/>
  <c r="G1088" i="2"/>
  <c r="K1088" i="2" s="1"/>
  <c r="K1087" i="2"/>
  <c r="G1087" i="2"/>
  <c r="G1086" i="2"/>
  <c r="K1086" i="2" s="1"/>
  <c r="G1085" i="2"/>
  <c r="K1085" i="2" s="1"/>
  <c r="K1084" i="2"/>
  <c r="G1084" i="2"/>
  <c r="G1083" i="2"/>
  <c r="K1083" i="2" s="1"/>
  <c r="G1082" i="2"/>
  <c r="K1082" i="2" s="1"/>
  <c r="G1081" i="2"/>
  <c r="K1081" i="2" s="1"/>
  <c r="G1080" i="2"/>
  <c r="K1080" i="2" s="1"/>
  <c r="K1079" i="2"/>
  <c r="G1079" i="2"/>
  <c r="G1078" i="2"/>
  <c r="K1078" i="2" s="1"/>
  <c r="G1077" i="2"/>
  <c r="K1077" i="2" s="1"/>
  <c r="K1076" i="2"/>
  <c r="G1076" i="2"/>
  <c r="G1075" i="2"/>
  <c r="K1075" i="2" s="1"/>
  <c r="G1074" i="2"/>
  <c r="K1074" i="2" s="1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G1064" i="2"/>
  <c r="K1064" i="2" s="1"/>
  <c r="G1063" i="2"/>
  <c r="K1063" i="2" s="1"/>
  <c r="G1062" i="2"/>
  <c r="K1062" i="2" s="1"/>
  <c r="J1100" i="2"/>
  <c r="C1058" i="2"/>
  <c r="C1059" i="2" s="1"/>
  <c r="C1060" i="2" s="1"/>
  <c r="C1061" i="2" s="1"/>
  <c r="C1062" i="2" s="1"/>
  <c r="E1100" i="2"/>
  <c r="AI1155" i="2" l="1"/>
  <c r="AE1155" i="2"/>
  <c r="P1100" i="2"/>
  <c r="S1060" i="2"/>
  <c r="W1060" i="2" s="1"/>
  <c r="S1100" i="2"/>
  <c r="W1100" i="2"/>
  <c r="D1100" i="2"/>
  <c r="G1057" i="2"/>
  <c r="AC1007" i="2"/>
  <c r="AE1007" i="2" s="1"/>
  <c r="AI1007" i="2" s="1"/>
  <c r="AB1007" i="2"/>
  <c r="AB1006" i="2"/>
  <c r="AE1006" i="2" s="1"/>
  <c r="AI1006" i="2" s="1"/>
  <c r="AB1005" i="2"/>
  <c r="AE1005" i="2" s="1"/>
  <c r="AI1005" i="2" s="1"/>
  <c r="AB1004" i="2"/>
  <c r="AE1004" i="2" s="1"/>
  <c r="AI1004" i="2" s="1"/>
  <c r="AG1003" i="2"/>
  <c r="AG1045" i="2" s="1"/>
  <c r="AC1003" i="2"/>
  <c r="AB1003" i="2"/>
  <c r="AG1002" i="2"/>
  <c r="AB1002" i="2"/>
  <c r="AA1003" i="2"/>
  <c r="AA1005" i="2" s="1"/>
  <c r="AA1006" i="2" s="1"/>
  <c r="AA1007" i="2" s="1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 s="1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 s="1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H1045" i="2"/>
  <c r="P1006" i="2"/>
  <c r="S1006" i="2" s="1"/>
  <c r="W1006" i="2" s="1"/>
  <c r="P1005" i="2"/>
  <c r="P1004" i="2"/>
  <c r="S1004" i="2" s="1"/>
  <c r="W1004" i="2" s="1"/>
  <c r="U1003" i="2"/>
  <c r="P1003" i="2"/>
  <c r="U1002" i="2"/>
  <c r="Q1002" i="2"/>
  <c r="Q1045" i="2" s="1"/>
  <c r="P1002" i="2"/>
  <c r="O1003" i="2"/>
  <c r="O1005" i="2" s="1"/>
  <c r="O1006" i="2" s="1"/>
  <c r="S1003" i="2"/>
  <c r="S1007" i="2"/>
  <c r="W1007" i="2" s="1"/>
  <c r="S1008" i="2"/>
  <c r="W1008" i="2" s="1"/>
  <c r="V1045" i="2"/>
  <c r="S1009" i="2"/>
  <c r="W1009" i="2" s="1"/>
  <c r="S1010" i="2"/>
  <c r="W1010" i="2" s="1"/>
  <c r="S1011" i="2"/>
  <c r="W1011" i="2" s="1"/>
  <c r="S1012" i="2"/>
  <c r="W1012" i="2" s="1"/>
  <c r="S1013" i="2"/>
  <c r="W1013" i="2"/>
  <c r="S1014" i="2"/>
  <c r="W1014" i="2"/>
  <c r="S1015" i="2"/>
  <c r="W1015" i="2"/>
  <c r="S1016" i="2"/>
  <c r="W1016" i="2"/>
  <c r="S1017" i="2"/>
  <c r="W1017" i="2" s="1"/>
  <c r="S1018" i="2"/>
  <c r="W1018" i="2" s="1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 s="1"/>
  <c r="S1026" i="2"/>
  <c r="W1026" i="2" s="1"/>
  <c r="S1027" i="2"/>
  <c r="W1027" i="2" s="1"/>
  <c r="S1028" i="2"/>
  <c r="W1028" i="2" s="1"/>
  <c r="S1029" i="2"/>
  <c r="W1029" i="2"/>
  <c r="S1030" i="2"/>
  <c r="W1030" i="2"/>
  <c r="S1031" i="2"/>
  <c r="W1031" i="2"/>
  <c r="S1032" i="2"/>
  <c r="W1032" i="2"/>
  <c r="S1033" i="2"/>
  <c r="W1033" i="2" s="1"/>
  <c r="S1034" i="2"/>
  <c r="W1034" i="2" s="1"/>
  <c r="S1035" i="2"/>
  <c r="W1035" i="2" s="1"/>
  <c r="S1036" i="2"/>
  <c r="W1036" i="2" s="1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R1045" i="2"/>
  <c r="K1057" i="2" l="1"/>
  <c r="K1100" i="2" s="1"/>
  <c r="G1100" i="2"/>
  <c r="AC1045" i="2"/>
  <c r="AE1003" i="2"/>
  <c r="AI1003" i="2" s="1"/>
  <c r="AB1045" i="2"/>
  <c r="AE1002" i="2"/>
  <c r="AI1002" i="2" s="1"/>
  <c r="AE1045" i="2"/>
  <c r="P1045" i="2"/>
  <c r="W1003" i="2"/>
  <c r="U1045" i="2"/>
  <c r="S1002" i="2"/>
  <c r="W1002" i="2" s="1"/>
  <c r="S1005" i="2"/>
  <c r="W1005" i="2" s="1"/>
  <c r="AB952" i="2"/>
  <c r="AE952" i="2" s="1"/>
  <c r="AI952" i="2" s="1"/>
  <c r="AB951" i="2"/>
  <c r="AE951" i="2" s="1"/>
  <c r="AI951" i="2" s="1"/>
  <c r="AB950" i="2"/>
  <c r="AB949" i="2"/>
  <c r="AB948" i="2"/>
  <c r="AB947" i="2"/>
  <c r="AA948" i="2"/>
  <c r="AA949" i="2" s="1"/>
  <c r="AA950" i="2" s="1"/>
  <c r="AA951" i="2" s="1"/>
  <c r="AA952" i="2" s="1"/>
  <c r="AE948" i="2"/>
  <c r="AI948" i="2" s="1"/>
  <c r="AC990" i="2"/>
  <c r="AE949" i="2"/>
  <c r="AI949" i="2"/>
  <c r="AE950" i="2"/>
  <c r="AI950" i="2" s="1"/>
  <c r="AE953" i="2"/>
  <c r="AI953" i="2" s="1"/>
  <c r="AE954" i="2"/>
  <c r="AI954" i="2" s="1"/>
  <c r="AE955" i="2"/>
  <c r="AI955" i="2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 s="1"/>
  <c r="AE962" i="2"/>
  <c r="AI962" i="2"/>
  <c r="AE963" i="2"/>
  <c r="AI963" i="2"/>
  <c r="AE964" i="2"/>
  <c r="AI964" i="2" s="1"/>
  <c r="AE965" i="2"/>
  <c r="AI965" i="2" s="1"/>
  <c r="AE966" i="2"/>
  <c r="AI966" i="2"/>
  <c r="AE967" i="2"/>
  <c r="AI967" i="2"/>
  <c r="AE968" i="2"/>
  <c r="AI968" i="2" s="1"/>
  <c r="AE969" i="2"/>
  <c r="AI969" i="2" s="1"/>
  <c r="AE970" i="2"/>
  <c r="AI970" i="2"/>
  <c r="AE971" i="2"/>
  <c r="AI971" i="2"/>
  <c r="AE972" i="2"/>
  <c r="AI972" i="2" s="1"/>
  <c r="AE973" i="2"/>
  <c r="AI973" i="2" s="1"/>
  <c r="AE974" i="2"/>
  <c r="AI974" i="2"/>
  <c r="AE975" i="2"/>
  <c r="AI975" i="2"/>
  <c r="AE976" i="2"/>
  <c r="AI976" i="2" s="1"/>
  <c r="AE977" i="2"/>
  <c r="AI977" i="2" s="1"/>
  <c r="AE978" i="2"/>
  <c r="AI978" i="2"/>
  <c r="AE979" i="2"/>
  <c r="AI979" i="2"/>
  <c r="AE980" i="2"/>
  <c r="AI980" i="2" s="1"/>
  <c r="AE981" i="2"/>
  <c r="AI981" i="2" s="1"/>
  <c r="AE982" i="2"/>
  <c r="AI982" i="2"/>
  <c r="AE983" i="2"/>
  <c r="AI983" i="2"/>
  <c r="AE984" i="2"/>
  <c r="AI984" i="2" s="1"/>
  <c r="AE985" i="2"/>
  <c r="AI985" i="2" s="1"/>
  <c r="AI986" i="2"/>
  <c r="AE987" i="2"/>
  <c r="AI987" i="2" s="1"/>
  <c r="AI988" i="2"/>
  <c r="AD990" i="2"/>
  <c r="AG990" i="2"/>
  <c r="AH990" i="2"/>
  <c r="V953" i="2"/>
  <c r="V990" i="2" s="1"/>
  <c r="Q953" i="2"/>
  <c r="S953" i="2" s="1"/>
  <c r="W953" i="2" s="1"/>
  <c r="P953" i="2"/>
  <c r="U952" i="2"/>
  <c r="U990" i="2" s="1"/>
  <c r="Q952" i="2"/>
  <c r="P952" i="2"/>
  <c r="S952" i="2" s="1"/>
  <c r="W952" i="2" s="1"/>
  <c r="P951" i="2"/>
  <c r="S951" i="2" s="1"/>
  <c r="W951" i="2" s="1"/>
  <c r="P950" i="2"/>
  <c r="S950" i="2" s="1"/>
  <c r="W950" i="2" s="1"/>
  <c r="P949" i="2"/>
  <c r="P948" i="2"/>
  <c r="P947" i="2"/>
  <c r="O951" i="2"/>
  <c r="O952" i="2" s="1"/>
  <c r="O953" i="2" s="1"/>
  <c r="O948" i="2"/>
  <c r="S948" i="2"/>
  <c r="W948" i="2" s="1"/>
  <c r="O949" i="2"/>
  <c r="O950" i="2" s="1"/>
  <c r="S949" i="2"/>
  <c r="W949" i="2" s="1"/>
  <c r="S954" i="2"/>
  <c r="W954" i="2"/>
  <c r="S955" i="2"/>
  <c r="W955" i="2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 s="1"/>
  <c r="S974" i="2"/>
  <c r="W974" i="2" s="1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 s="1"/>
  <c r="S983" i="2"/>
  <c r="W983" i="2"/>
  <c r="S984" i="2"/>
  <c r="W984" i="2"/>
  <c r="S985" i="2"/>
  <c r="W985" i="2"/>
  <c r="W986" i="2"/>
  <c r="S987" i="2"/>
  <c r="W987" i="2"/>
  <c r="W988" i="2"/>
  <c r="R990" i="2"/>
  <c r="J950" i="2"/>
  <c r="J990" i="2" s="1"/>
  <c r="D950" i="2"/>
  <c r="G950" i="2" s="1"/>
  <c r="D949" i="2"/>
  <c r="G949" i="2" s="1"/>
  <c r="K949" i="2" s="1"/>
  <c r="D948" i="2"/>
  <c r="I947" i="2"/>
  <c r="E947" i="2"/>
  <c r="E990" i="2" s="1"/>
  <c r="D947" i="2"/>
  <c r="G947" i="2" s="1"/>
  <c r="K947" i="2" s="1"/>
  <c r="C948" i="2"/>
  <c r="C949" i="2" s="1"/>
  <c r="C950" i="2" s="1"/>
  <c r="G951" i="2"/>
  <c r="K951" i="2"/>
  <c r="G952" i="2"/>
  <c r="K952" i="2" s="1"/>
  <c r="G953" i="2"/>
  <c r="K953" i="2"/>
  <c r="G954" i="2"/>
  <c r="K954" i="2" s="1"/>
  <c r="G955" i="2"/>
  <c r="K955" i="2"/>
  <c r="G956" i="2"/>
  <c r="K956" i="2" s="1"/>
  <c r="G957" i="2"/>
  <c r="K957" i="2"/>
  <c r="G958" i="2"/>
  <c r="K958" i="2" s="1"/>
  <c r="G959" i="2"/>
  <c r="K959" i="2"/>
  <c r="G960" i="2"/>
  <c r="K960" i="2"/>
  <c r="G961" i="2"/>
  <c r="K961" i="2" s="1"/>
  <c r="G962" i="2"/>
  <c r="K962" i="2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 s="1"/>
  <c r="G970" i="2"/>
  <c r="K970" i="2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/>
  <c r="G987" i="2"/>
  <c r="K987" i="2"/>
  <c r="F990" i="2"/>
  <c r="I990" i="2"/>
  <c r="AI1045" i="2" l="1"/>
  <c r="W1045" i="2"/>
  <c r="S1045" i="2"/>
  <c r="AB990" i="2"/>
  <c r="AE947" i="2"/>
  <c r="AI947" i="2" s="1"/>
  <c r="AI990" i="2" s="1"/>
  <c r="Q990" i="2"/>
  <c r="P990" i="2"/>
  <c r="S947" i="2"/>
  <c r="W947" i="2" s="1"/>
  <c r="W990" i="2"/>
  <c r="S990" i="2"/>
  <c r="K950" i="2"/>
  <c r="D990" i="2"/>
  <c r="G948" i="2"/>
  <c r="K948" i="2" s="1"/>
  <c r="K990" i="2"/>
  <c r="G990" i="2"/>
  <c r="AA898" i="2"/>
  <c r="AA899" i="2" s="1"/>
  <c r="AB899" i="2"/>
  <c r="AB898" i="2"/>
  <c r="AB897" i="2"/>
  <c r="AG896" i="2"/>
  <c r="AB896" i="2"/>
  <c r="AE896" i="2" s="1"/>
  <c r="AI896" i="2" s="1"/>
  <c r="AC895" i="2"/>
  <c r="AB895" i="2"/>
  <c r="AE895" i="2" s="1"/>
  <c r="AI895" i="2" s="1"/>
  <c r="AH894" i="2"/>
  <c r="AH935" i="2" s="1"/>
  <c r="AC894" i="2"/>
  <c r="AE894" i="2" s="1"/>
  <c r="AI894" i="2" s="1"/>
  <c r="AB894" i="2"/>
  <c r="AG893" i="2"/>
  <c r="AG935" i="2" s="1"/>
  <c r="AB893" i="2"/>
  <c r="AG892" i="2"/>
  <c r="AB892" i="2"/>
  <c r="AE892" i="2" s="1"/>
  <c r="AA893" i="2"/>
  <c r="AA894" i="2" s="1"/>
  <c r="AA895" i="2" s="1"/>
  <c r="AA896" i="2" s="1"/>
  <c r="AA897" i="2" s="1"/>
  <c r="AE893" i="2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/>
  <c r="AE912" i="2"/>
  <c r="AI912" i="2"/>
  <c r="AE913" i="2"/>
  <c r="AI913" i="2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 s="1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P895" i="2"/>
  <c r="S895" i="2" s="1"/>
  <c r="W895" i="2" s="1"/>
  <c r="P894" i="2"/>
  <c r="S894" i="2" s="1"/>
  <c r="W894" i="2" s="1"/>
  <c r="P893" i="2"/>
  <c r="U892" i="2"/>
  <c r="Q892" i="2"/>
  <c r="S892" i="2" s="1"/>
  <c r="P892" i="2"/>
  <c r="O893" i="2"/>
  <c r="O894" i="2" s="1"/>
  <c r="O895" i="2" s="1"/>
  <c r="S893" i="2"/>
  <c r="W893" i="2"/>
  <c r="V935" i="2"/>
  <c r="S896" i="2"/>
  <c r="W896" i="2" s="1"/>
  <c r="S897" i="2"/>
  <c r="W897" i="2"/>
  <c r="S898" i="2"/>
  <c r="W898" i="2" s="1"/>
  <c r="S899" i="2"/>
  <c r="W899" i="2" s="1"/>
  <c r="S900" i="2"/>
  <c r="W900" i="2" s="1"/>
  <c r="S901" i="2"/>
  <c r="W901" i="2"/>
  <c r="S902" i="2"/>
  <c r="W902" i="2"/>
  <c r="S903" i="2"/>
  <c r="W903" i="2" s="1"/>
  <c r="S904" i="2"/>
  <c r="W904" i="2"/>
  <c r="S905" i="2"/>
  <c r="W905" i="2"/>
  <c r="S906" i="2"/>
  <c r="W906" i="2" s="1"/>
  <c r="S907" i="2"/>
  <c r="W907" i="2" s="1"/>
  <c r="S908" i="2"/>
  <c r="W908" i="2"/>
  <c r="S909" i="2"/>
  <c r="W909" i="2"/>
  <c r="S910" i="2"/>
  <c r="W910" i="2"/>
  <c r="S911" i="2"/>
  <c r="W911" i="2" s="1"/>
  <c r="S912" i="2"/>
  <c r="W912" i="2"/>
  <c r="S913" i="2"/>
  <c r="W913" i="2"/>
  <c r="S914" i="2"/>
  <c r="W914" i="2" s="1"/>
  <c r="S915" i="2"/>
  <c r="W915" i="2" s="1"/>
  <c r="S916" i="2"/>
  <c r="W916" i="2"/>
  <c r="S917" i="2"/>
  <c r="W917" i="2"/>
  <c r="S918" i="2"/>
  <c r="W918" i="2"/>
  <c r="S919" i="2"/>
  <c r="W919" i="2" s="1"/>
  <c r="S920" i="2"/>
  <c r="W920" i="2"/>
  <c r="S921" i="2"/>
  <c r="W921" i="2"/>
  <c r="S922" i="2"/>
  <c r="W922" i="2" s="1"/>
  <c r="S923" i="2"/>
  <c r="W923" i="2" s="1"/>
  <c r="S924" i="2"/>
  <c r="W924" i="2"/>
  <c r="S925" i="2"/>
  <c r="W925" i="2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U935" i="2"/>
  <c r="J903" i="2"/>
  <c r="J935" i="2" s="1"/>
  <c r="I903" i="2"/>
  <c r="I935" i="2" s="1"/>
  <c r="D903" i="2"/>
  <c r="D902" i="2"/>
  <c r="G902" i="2" s="1"/>
  <c r="K902" i="2" s="1"/>
  <c r="D901" i="2"/>
  <c r="D900" i="2"/>
  <c r="D899" i="2"/>
  <c r="D898" i="2"/>
  <c r="G898" i="2" s="1"/>
  <c r="K898" i="2" s="1"/>
  <c r="D897" i="2"/>
  <c r="G897" i="2" s="1"/>
  <c r="K897" i="2" s="1"/>
  <c r="D896" i="2"/>
  <c r="D895" i="2"/>
  <c r="G895" i="2" s="1"/>
  <c r="K895" i="2" s="1"/>
  <c r="I894" i="2"/>
  <c r="D894" i="2"/>
  <c r="D893" i="2"/>
  <c r="D892" i="2"/>
  <c r="C895" i="2"/>
  <c r="C896" i="2" s="1"/>
  <c r="C897" i="2" s="1"/>
  <c r="C898" i="2" s="1"/>
  <c r="C899" i="2" s="1"/>
  <c r="C900" i="2" s="1"/>
  <c r="C901" i="2" s="1"/>
  <c r="C902" i="2" s="1"/>
  <c r="C903" i="2" s="1"/>
  <c r="C893" i="2"/>
  <c r="G893" i="2"/>
  <c r="K893" i="2" s="1"/>
  <c r="C894" i="2"/>
  <c r="G894" i="2"/>
  <c r="G896" i="2"/>
  <c r="K896" i="2" s="1"/>
  <c r="G899" i="2"/>
  <c r="K899" i="2" s="1"/>
  <c r="G900" i="2"/>
  <c r="K900" i="2"/>
  <c r="G901" i="2"/>
  <c r="K901" i="2" s="1"/>
  <c r="G903" i="2"/>
  <c r="G904" i="2"/>
  <c r="K904" i="2"/>
  <c r="G905" i="2"/>
  <c r="K905" i="2"/>
  <c r="G906" i="2"/>
  <c r="K906" i="2" s="1"/>
  <c r="G907" i="2"/>
  <c r="K907" i="2" s="1"/>
  <c r="G908" i="2"/>
  <c r="K908" i="2"/>
  <c r="G909" i="2"/>
  <c r="K909" i="2"/>
  <c r="G910" i="2"/>
  <c r="K910" i="2"/>
  <c r="G911" i="2"/>
  <c r="K911" i="2" s="1"/>
  <c r="G912" i="2"/>
  <c r="K912" i="2"/>
  <c r="G913" i="2"/>
  <c r="K913" i="2"/>
  <c r="G914" i="2"/>
  <c r="K914" i="2"/>
  <c r="G915" i="2"/>
  <c r="K915" i="2" s="1"/>
  <c r="G916" i="2"/>
  <c r="K916" i="2"/>
  <c r="G917" i="2"/>
  <c r="K917" i="2"/>
  <c r="G918" i="2"/>
  <c r="K918" i="2"/>
  <c r="G919" i="2"/>
  <c r="K919" i="2" s="1"/>
  <c r="G920" i="2"/>
  <c r="K920" i="2"/>
  <c r="G921" i="2"/>
  <c r="K921" i="2"/>
  <c r="G922" i="2"/>
  <c r="K922" i="2"/>
  <c r="G923" i="2"/>
  <c r="K923" i="2" s="1"/>
  <c r="G924" i="2"/>
  <c r="K924" i="2"/>
  <c r="G925" i="2"/>
  <c r="K925" i="2"/>
  <c r="G932" i="2"/>
  <c r="K932" i="2"/>
  <c r="E935" i="2"/>
  <c r="F935" i="2"/>
  <c r="AE990" i="2" l="1"/>
  <c r="AC935" i="2"/>
  <c r="AI893" i="2"/>
  <c r="AI892" i="2"/>
  <c r="AB935" i="2"/>
  <c r="AE935" i="2"/>
  <c r="AI935" i="2"/>
  <c r="P935" i="2"/>
  <c r="W892" i="2"/>
  <c r="Q935" i="2"/>
  <c r="W935" i="2"/>
  <c r="S935" i="2"/>
  <c r="K903" i="2"/>
  <c r="D935" i="2"/>
  <c r="K894" i="2"/>
  <c r="G892" i="2"/>
  <c r="K892" i="2" s="1"/>
  <c r="AC842" i="2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K935" i="2" l="1"/>
  <c r="G935" i="2"/>
  <c r="AE880" i="2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  <comment ref="F30" authorId="0" shapeId="0" xr:uid="{18543D32-ED49-4506-88E7-726EFB4D4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30" authorId="0" shapeId="0" xr:uid="{CB4D1CEC-9712-41B8-ABA4-92D50153CE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0" authorId="0" shapeId="0" xr:uid="{654D5819-85D9-41CD-A241-2FD56A08E2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3" authorId="0" shapeId="0" xr:uid="{297E6368-5456-4082-9F2A-AD7080C6A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34" authorId="0" shapeId="0" xr:uid="{D6A1D33B-E281-470D-B2B0-93700DFFEB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5" authorId="0" shapeId="0" xr:uid="{95DE54A3-FFB3-4C16-8CEC-80B027923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92" authorId="0" shapeId="0" xr:uid="{B73A67E0-1DBF-450F-B072-9195E7EEC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892" authorId="0" shapeId="0" xr:uid="{42DAAAD9-7AC7-4BC2-AA45-21A0F5CBC6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892" authorId="0" shapeId="0" xr:uid="{69BEE74A-9D8B-4996-9802-17B0C79FE5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C893" authorId="0" shapeId="0" xr:uid="{AA5FCD45-80F4-4434-9BAB-2122430D9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DAPAON, SINDANGAN</t>
        </r>
      </text>
    </comment>
    <comment ref="O893" authorId="0" shapeId="0" xr:uid="{50FDC39C-6636-4AE6-A6B7-2DE0C52D21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93" authorId="0" shapeId="0" xr:uid="{4FA7EBB1-CF8A-4C42-B5EA-5EFF3E5F5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894" authorId="0" shapeId="0" xr:uid="{898B3213-98AA-4714-9F83-FD929AEC4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4" authorId="0" shapeId="0" xr:uid="{191B5328-F849-40C0-BC17-E051976D7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894" authorId="0" shapeId="0" xr:uid="{2A0C332C-3BEA-4A0B-A5FB-3681367249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895" authorId="0" shapeId="0" xr:uid="{F4F77430-A5D3-4F15-A54E-33FD8F691C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O895" authorId="0" shapeId="0" xr:uid="{57E9665F-6B1E-494B-80DB-050C91D2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95" authorId="0" shapeId="0" xr:uid="{AC2D2DB5-B79B-4CD9-AD44-4B6BD313A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896" authorId="0" shapeId="0" xr:uid="{57CA3B68-BD87-49A4-9A18-9AE10BCE1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ROSALYN BALASE
POB, SINDANGAN</t>
        </r>
      </text>
    </comment>
    <comment ref="AA896" authorId="0" shapeId="0" xr:uid="{7327789A-2246-45FC-93E7-8557A13D7F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C897" authorId="0" shapeId="0" xr:uid="{158FB475-BFF2-45AF-87F7-E0AC8AE35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ROSEMARIE CABABAT
POB, SINDANGAN</t>
        </r>
      </text>
    </comment>
    <comment ref="AA897" authorId="0" shapeId="0" xr:uid="{1430045D-D9FA-49BD-8FB1-CFA6FB949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
CANAWAN, SALUG</t>
        </r>
      </text>
    </comment>
    <comment ref="C898" authorId="0" shapeId="0" xr:uid="{32655AA0-08F7-4BDC-B4F4-B57057DBE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CABILLO
POB, SINDANGAN</t>
        </r>
      </text>
    </comment>
    <comment ref="AA898" authorId="0" shapeId="0" xr:uid="{4F4DAF57-E087-47C7-BFF3-EF26A6D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BACONG, SALUG</t>
        </r>
      </text>
    </comment>
    <comment ref="C899" authorId="0" shapeId="0" xr:uid="{1CC2B576-BE63-4DCC-AB7C-32CBD34B4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CERNAN
POB, SINDANGAN</t>
        </r>
      </text>
    </comment>
    <comment ref="AA899" authorId="0" shapeId="0" xr:uid="{AABEB828-A779-4711-9E38-45CF55CE0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900" authorId="0" shapeId="0" xr:uid="{22E1A0DB-4074-4BF6-A452-997F9126D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TORIÑO
POB, SINDANGAN</t>
        </r>
      </text>
    </comment>
    <comment ref="C901" authorId="0" shapeId="0" xr:uid="{7581CB0E-8BB9-4F67-A391-FFF4B54A0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VANESSA RADA
POB, SINDANGAN</t>
        </r>
      </text>
    </comment>
    <comment ref="C902" authorId="0" shapeId="0" xr:uid="{D91515D4-071D-4923-88D0-3895B619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LIZA MAE DELACRUZ
POB, SINDANGAN</t>
        </r>
      </text>
    </comment>
    <comment ref="C903" authorId="0" shapeId="0" xr:uid="{EB0749A8-4872-4D1D-B333-5E4480701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47" authorId="0" shapeId="0" xr:uid="{E845E55C-58FF-4B4B-A42C-04A6DC2A6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JUN CATIG
GUNYAN, SIAYAN</t>
        </r>
      </text>
    </comment>
    <comment ref="O947" authorId="0" shapeId="0" xr:uid="{40F95725-13BB-4F15-9FFD-1791EBC67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947" authorId="0" shapeId="0" xr:uid="{73C0D8EB-D253-4E1F-92C6-7026FFDA27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F4D631DB-4F35-421A-9AEB-2DA0F53953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LANIE, SUERTE
POB, SIAYAN</t>
        </r>
      </text>
    </comment>
    <comment ref="O948" authorId="0" shapeId="0" xr:uid="{82386E18-532D-4B50-9C5B-8DB91DDC8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48" authorId="0" shapeId="0" xr:uid="{47B49593-DF4E-43C8-89DA-A0150A41A9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949" authorId="0" shapeId="0" xr:uid="{873067B4-927C-440A-A411-A7ECDAE1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POB, SIAYAN</t>
        </r>
      </text>
    </comment>
    <comment ref="O949" authorId="0" shapeId="0" xr:uid="{75838087-8AFB-44F5-8920-740072C0B1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
UPPER INUMAN, SINDANGAN</t>
        </r>
      </text>
    </comment>
    <comment ref="AA949" authorId="0" shapeId="0" xr:uid="{5A901664-F2A9-4815-8F6E-B80B7905C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950" authorId="0" shapeId="0" xr:uid="{7280F4BB-1721-4EAC-9484-7BA030BC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SABANATE
DAGAO, SIAYAN</t>
        </r>
      </text>
    </comment>
    <comment ref="O950" authorId="0" shapeId="0" xr:uid="{D2A7EEA6-B3A6-4B33-89BF-551626F64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950" authorId="0" shapeId="0" xr:uid="{52ECCD97-E635-4E4C-BCE2-9407FDF904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1" authorId="0" shapeId="0" xr:uid="{F4C3CEC4-E4DF-47D1-A88F-5E184C783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UPPER INUMAN, SINDANGAN</t>
        </r>
      </text>
    </comment>
    <comment ref="AA951" authorId="0" shapeId="0" xr:uid="{7C770E15-5FB3-4AB6-86E7-4CF31673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O952" authorId="0" shapeId="0" xr:uid="{221E1816-FE58-4360-9033-32A00A3F5F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52" authorId="0" shapeId="0" xr:uid="{60BD9B21-4C72-43E5-B37F-81581B14D2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O953" authorId="0" shapeId="0" xr:uid="{788C3555-2C28-4075-A5D7-489BC0BA5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002" authorId="0" shapeId="0" xr:uid="{E77446CF-D8C8-4BD0-954F-072B338A1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2" authorId="0" shapeId="0" xr:uid="{4A470945-5C7D-4C59-9A0A-7FAB28D32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3" authorId="0" shapeId="0" xr:uid="{8092C57E-AA34-4EFC-8FB8-15E4369E8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1003" authorId="0" shapeId="0" xr:uid="{76C0BE5E-1AA1-495E-A60A-70A39AF28D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1004" authorId="0" shapeId="0" xr:uid="{08CCF192-3EDE-4F96-8EF2-55A6A3994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1004" authorId="0" shapeId="0" xr:uid="{CCCA67FF-73A3-47FE-8377-C1EC00B616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1005" authorId="0" shapeId="0" xr:uid="{F303C98E-EAA9-4ACF-9C76-EF7F34637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5" authorId="0" shapeId="0" xr:uid="{7925FC86-9826-4A69-A42A-DC00CA693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006" authorId="0" shapeId="0" xr:uid="{47499744-430E-4972-9980-EE895ECDAD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006" authorId="0" shapeId="0" xr:uid="{9F7BDD22-57A6-4757-B241-743C806EC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1007" authorId="0" shapeId="0" xr:uid="{9592280C-A1BB-4E84-BEFD-D9FB35070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57" authorId="0" shapeId="0" xr:uid="{39F3C408-271D-45B3-A1E2-3ACDB53DC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57" authorId="0" shapeId="0" xr:uid="{A925A43B-39BF-48CE-A294-DCF00517F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BAGATUN
GOLEO, SINDANGAN</t>
        </r>
      </text>
    </comment>
    <comment ref="C1058" authorId="0" shapeId="0" xr:uid="{3849D043-FBE6-419D-8BFC-5006F493A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58" authorId="0" shapeId="0" xr:uid="{9B6B079E-30BD-4F10-BFE3-A209224F9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059" authorId="0" shapeId="0" xr:uid="{99D11E7A-3E7F-4E68-9C6F-4F551A2CD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59" authorId="0" shapeId="0" xr:uid="{5DDE2059-9D26-44D3-9FCE-16D99AFF3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ALEN STORE
TALINGA, BACUNGAN</t>
        </r>
      </text>
    </comment>
    <comment ref="C1060" authorId="0" shapeId="0" xr:uid="{08B20DEA-405D-4C23-8F69-A39A82A39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00EBD3D-1615-4957-9092-9261089B9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1061" authorId="0" shapeId="0" xr:uid="{5F5B4625-2F07-4356-9635-FDF4020C4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CABALLERO
LABAKID, SINDANGAN</t>
        </r>
      </text>
    </comment>
    <comment ref="O1061" authorId="0" shapeId="0" xr:uid="{2BAC261B-BBA8-4E5C-B840-5F93BA99FB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062" authorId="0" shapeId="0" xr:uid="{A48BA898-903F-434C-B38F-9FBE5EB9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O1062" authorId="0" shapeId="0" xr:uid="{3DDC9BCC-9B9D-4F0C-A165-8FC8BCC0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1063" authorId="0" shapeId="0" xr:uid="{038808FB-3CCE-4327-8879-FDE7C2B60F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64" authorId="0" shapeId="0" xr:uid="{E4ED6BDF-FA3C-4956-B19C-933855CE64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1065" authorId="0" shapeId="0" xr:uid="{993925B7-0D98-41E6-A162-E2E8E800F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NYAH'S STORE
TALINGA, BACUNGAN</t>
        </r>
      </text>
    </comment>
    <comment ref="O1066" authorId="0" shapeId="0" xr:uid="{B6FC2932-1466-451E-8A1C-22D05BFE8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PALABU
MARAS, SINDANGAN</t>
        </r>
      </text>
    </comment>
    <comment ref="O1067" authorId="0" shapeId="0" xr:uid="{4FB09262-8C50-4417-AA1A-E81C0CE3A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O1068" authorId="0" shapeId="0" xr:uid="{743EF015-7910-4B61-975F-E04B0A8D0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O1069" authorId="0" shapeId="0" xr:uid="{D06D8BBC-6CAE-4631-9EAC-CD0D902BE0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112" authorId="0" shapeId="0" xr:uid="{B5D5BBE0-0E0E-4E1D-9F11-42BAF829F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1112" authorId="0" shapeId="0" xr:uid="{A8F52F2B-F987-4904-8EEA-59741CB4B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12" authorId="0" shapeId="0" xr:uid="{CBBF9564-4B4C-4FA2-AB3C-DA52B1A540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113" authorId="0" shapeId="0" xr:uid="{22AE64D3-FFF4-486F-9BF6-3C3CBBB39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113" authorId="0" shapeId="0" xr:uid="{1D6A3BB9-2DC2-446F-BB9D-62266177A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113" authorId="0" shapeId="0" xr:uid="{704570B0-6A41-471D-B22C-F8CBF305E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 EAST, SALUG</t>
        </r>
      </text>
    </comment>
    <comment ref="C1114" authorId="0" shapeId="0" xr:uid="{1EA2CAC0-ED6D-4E1A-B7C3-4D1350AC6A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1114" authorId="0" shapeId="0" xr:uid="{859A5131-0F34-4C4F-BDAC-1E8A2A1E9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CALIPAYAN
GOLEO, SINDANGAN</t>
        </r>
      </text>
    </comment>
    <comment ref="AA1114" authorId="0" shapeId="0" xr:uid="{C6355960-3C01-415D-9450-679AE83011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115" authorId="0" shapeId="0" xr:uid="{06E0C12E-0F97-42F7-A565-FF0840FE7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ROMWO
RIVERSIDE SIAYAN</t>
        </r>
      </text>
    </comment>
    <comment ref="O1115" authorId="0" shapeId="0" xr:uid="{371F3390-F6A5-4D12-9E6E-95C186C89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NIETEZ
GOLEO, SINDANGAN</t>
        </r>
      </text>
    </comment>
    <comment ref="AA1115" authorId="0" shapeId="0" xr:uid="{F80ABD4A-050F-4C82-ABC2-785F6F6B61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323940DB-C4C2-4466-9A63-DE0FB2EB0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LORENA DEGUIÑON
POB, SIAYAN</t>
        </r>
      </text>
    </comment>
    <comment ref="O1116" authorId="0" shapeId="0" xr:uid="{91EAC5D9-FA66-47EB-AB19-680291899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16" authorId="0" shapeId="0" xr:uid="{4FF4F9FB-CAD9-4D68-B379-9FD950888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BAYBAY, LILOY</t>
        </r>
      </text>
    </comment>
    <comment ref="C1117" authorId="0" shapeId="0" xr:uid="{D5206C39-2B1B-470E-A586-9DC851A8C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1117" authorId="0" shapeId="0" xr:uid="{9EC24845-3E64-4A79-8AC0-A931E3627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117" authorId="0" shapeId="0" xr:uid="{C7BBFE8A-3156-4CC9-9183-891461FE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BAYBAY, LILOY</t>
        </r>
      </text>
    </comment>
    <comment ref="C1118" authorId="0" shapeId="0" xr:uid="{510962D2-87CB-4929-BDBB-1111F15C9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1118" authorId="0" shapeId="0" xr:uid="{A6F8D624-A7F8-4D99-A100-32700D529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118" authorId="0" shapeId="0" xr:uid="{E201B775-268E-4CD0-9319-3FA229090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MGP STORE
KAYOK, LILOY</t>
        </r>
      </text>
    </comment>
    <comment ref="C1119" authorId="0" shapeId="0" xr:uid="{32ABC3D5-C92B-422F-A16A-7105A256C6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MARCILITA
DENOYAN, SIAYAN</t>
        </r>
      </text>
    </comment>
    <comment ref="AA1119" authorId="0" shapeId="0" xr:uid="{897C6369-6572-4EA8-8972-6E04D7C0ED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120" authorId="0" shapeId="0" xr:uid="{81EF4F30-1598-4C8E-B653-AEAFB8A17A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CARPE
DENOYAN, SIAYAN</t>
        </r>
      </text>
    </comment>
    <comment ref="AA1120" authorId="0" shapeId="0" xr:uid="{36D37704-378F-4072-B947-B3980D5BA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121" authorId="0" shapeId="0" xr:uid="{E57980AC-E37C-4C45-A1BD-1DAE58DD0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FELLY BANO
DENOYAN, SIAYAN</t>
        </r>
      </text>
    </comment>
    <comment ref="AA1121" authorId="0" shapeId="0" xr:uid="{399FF0C7-17C5-4EDF-A4C3-1EF254101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22" authorId="0" shapeId="0" xr:uid="{9D33C09A-BFA7-4005-8730-97CF6CB60D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AA1122" authorId="0" shapeId="0" xr:uid="{7F18EB8C-92A8-46C2-8A58-74CFEB2C0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123" authorId="0" shapeId="0" xr:uid="{82274D6B-AB29-4997-8FDE-F0EC7AF97F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
DICOYONG, SINDANGAN</t>
        </r>
      </text>
    </comment>
  </commentList>
</comments>
</file>

<file path=xl/sharedStrings.xml><?xml version="1.0" encoding="utf-8"?>
<sst xmlns="http://schemas.openxmlformats.org/spreadsheetml/2006/main" count="1449" uniqueCount="99">
  <si>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</si>
  <si>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</si>
  <si>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</si>
  <si>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</si>
  <si>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</si>
  <si>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</si>
  <si>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</si>
  <si>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</si>
  <si>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</si>
  <si>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</si>
  <si>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</si>
  <si>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</si>
  <si>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</si>
  <si>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</si>
  <si>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</si>
  <si>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</si>
  <si>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</si>
  <si>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</si>
  <si>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</si>
  <si>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</si>
  <si>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</si>
  <si>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</si>
  <si>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</si>
  <si>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</si>
  <si>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</si>
  <si>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</si>
  <si>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</si>
  <si>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</si>
  <si>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</si>
  <si>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</si>
  <si>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</si>
  <si>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</si>
  <si>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</si>
  <si>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</si>
  <si>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</si>
  <si>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</si>
  <si>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</si>
  <si>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</si>
  <si>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</si>
  <si>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</si>
  <si>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</si>
  <si>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</si>
  <si>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</si>
  <si>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</si>
  <si>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</si>
  <si>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</si>
  <si>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</si>
  <si>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</si>
  <si>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</si>
  <si>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</si>
  <si>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</si>
  <si>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</si>
  <si>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</si>
  <si>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</si>
  <si>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</si>
  <si>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</si>
  <si>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</si>
  <si>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</si>
  <si>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</si>
  <si>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</si>
  <si>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</si>
  <si>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</si>
  <si>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</si>
  <si>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</si>
  <si>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</si>
  <si>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</si>
  <si>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</si>
  <si>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</si>
  <si>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</si>
  <si>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</si>
  <si>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</si>
  <si>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</si>
  <si>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</si>
  <si>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</si>
  <si>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</si>
  <si>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</si>
  <si>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</si>
  <si>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</si>
  <si>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</si>
  <si>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</si>
  <si>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</si>
  <si>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</si>
  <si>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</si>
  <si>
    <t>MARCH 23, 2026</t>
  </si>
  <si>
    <t>03/23/2026</t>
  </si>
  <si>
    <t>9805-9816/9738-9741/9691-9698</t>
  </si>
  <si>
    <t>MARCH 24, 2026</t>
  </si>
  <si>
    <t>03/24/2026</t>
  </si>
  <si>
    <t>LOPEZ, GINA GRACE</t>
  </si>
  <si>
    <t>9817-9820/9742-9748/9752-9757</t>
  </si>
  <si>
    <t>MARCH 25, 2026</t>
  </si>
  <si>
    <t>03/25/2026</t>
  </si>
  <si>
    <t>/9749-9750,9851-9853/9699-9700,9758-9761</t>
  </si>
  <si>
    <t>MARCH 26, 2026</t>
  </si>
  <si>
    <t>03/26/2026</t>
  </si>
  <si>
    <t>9822-9827/9854-9866</t>
  </si>
  <si>
    <t>MARCH 27, 2026</t>
  </si>
  <si>
    <t>03/27/2026</t>
  </si>
  <si>
    <t>9828-9839/9867-9873/9762-9772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</si>
</sst>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C37" sqref="C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38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29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85</v>
      </c>
      <c r="D32" s="16">
        <f t="shared" ref="D32:D39" si="4">J32</f>
        <v>997685.5</v>
      </c>
      <c r="E32" s="15"/>
      <c r="F32" s="15">
        <v>377761</v>
      </c>
      <c r="G32" s="14">
        <v>301093.5</v>
      </c>
      <c r="H32" s="14">
        <v>318831</v>
      </c>
      <c r="I32" s="54"/>
      <c r="J32" s="17">
        <f t="shared" si="1"/>
        <v>997685.5</v>
      </c>
    </row>
    <row r="33" spans="1:10" x14ac:dyDescent="0.25">
      <c r="A33" s="10">
        <f t="shared" si="2"/>
        <v>24</v>
      </c>
      <c r="B33" s="43" t="s">
        <v>8</v>
      </c>
      <c r="C33" s="12" t="s">
        <v>89</v>
      </c>
      <c r="D33" s="16">
        <f t="shared" si="4"/>
        <v>856084.5</v>
      </c>
      <c r="E33" s="15"/>
      <c r="F33" s="15">
        <v>300133</v>
      </c>
      <c r="G33" s="14">
    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="A34" s="10">
        <f>A33+1</f>
        <v>25</v>
      </c>
      <c r="B34" s="56" t="s">
        <v>9</v>
      </c>
      <c r="C34" s="12" t="s">
        <v>92</v>
      </c>
      <c r="D34" s="16">
        <f t="shared" si="4"/>
        <v>561524</v>
      </c>
      <c r="E34" s="14"/>
      <c r="F34" s="15"/>
      <c r="G34" s="14">
        <v>196855</v>
      </c>
      <c r="H34" s="14">
        <v>364669</v>
      </c>
      <c r="I34" s="14"/>
      <c r="J34" s="17">
        <f t="shared" si="1"/>
        <v>561524</v>
      </c>
    </row>
    <row r="35" spans="1:10" x14ac:dyDescent="0.25">
      <c r="A35" s="10">
        <f t="shared" si="2"/>
        <v>26</v>
      </c>
      <c r="B35" s="11" t="s">
        <v>30</v>
      </c>
      <c r="C35" s="12" t="s">
        <v>95</v>
      </c>
      <c r="D35" s="16">
        <f t="shared" si="4"/>
        <v>590217</v>
      </c>
      <c r="E35" s="14"/>
      <c r="F35" s="14">
        <v>374471</v>
      </c>
      <c r="G35" s="14">
        <v>215746</v>
      </c>
      <c r="H35" s="14"/>
      <c r="I35" s="14"/>
      <c r="J35" s="17">
        <f t="shared" si="1"/>
        <v>590217</v>
      </c>
    </row>
    <row r="36" spans="1:10" x14ac:dyDescent="0.25">
      <c r="A36" s="10">
        <f t="shared" si="2"/>
        <v>27</v>
      </c>
      <c r="B36" s="43" t="s">
        <v>4</v>
      </c>
      <c r="C36" s="12" t="s">
        <v>98</v>
      </c>
      <c r="D36" s="16">
        <f t="shared" si="4"/>
        <v>938712</v>
      </c>
      <c r="E36" s="14"/>
      <c r="F36" s="14">
        <v>200588.5</v>
      </c>
      <c r="G36" s="14">
        <v>324215</v>
      </c>
      <c r="H36" s="14">
        <v>413908.5</v>
      </c>
      <c r="I36" s="14"/>
      <c r="J36" s="17">
        <f t="shared" si="1"/>
        <v>938712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17146873.07</v>
      </c>
      <c r="J42" s="49">
        <f>SUM(J10:J41)</f>
        <v>17146873.07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127" zoomScaleNormal="100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90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90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90"/>
      <c r="AE65" s="27"/>
      <c r="AG65" s="118" t="s">
        <v>18</v>
      </c>
      <c r="AH65" s="119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1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91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91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2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92"/>
      <c r="S175" s="27"/>
      <c r="U175" s="118" t="s">
        <v>18</v>
      </c>
      <c r="V175" s="119"/>
      <c r="W175" s="116" t="s">
        <v>19</v>
      </c>
      <c r="Y175" s="62"/>
      <c r="Z175" s="65"/>
      <c r="AA175" s="88"/>
      <c r="AB175" s="122"/>
      <c r="AC175" s="122"/>
      <c r="AD175" s="88"/>
      <c r="AE175" s="88"/>
      <c r="AF175" s="62"/>
      <c r="AG175" s="122"/>
      <c r="AH175" s="122"/>
      <c r="AI175" s="121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7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21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22"/>
      <c r="E230" s="122"/>
      <c r="F230" s="88"/>
      <c r="G230" s="88"/>
      <c r="H230" s="62"/>
      <c r="I230" s="122"/>
      <c r="J230" s="122"/>
      <c r="K230" s="121"/>
      <c r="L230" s="62"/>
      <c r="M230" s="62"/>
      <c r="N230" s="65"/>
      <c r="O230" s="88"/>
      <c r="P230" s="122"/>
      <c r="Q230" s="122"/>
      <c r="R230" s="88"/>
      <c r="S230" s="88"/>
      <c r="T230" s="62"/>
      <c r="U230" s="122"/>
      <c r="V230" s="122"/>
      <c r="W230" s="121"/>
      <c r="Z230" s="25"/>
      <c r="AA230" s="26"/>
      <c r="AB230" s="120" t="s">
        <v>17</v>
      </c>
      <c r="AC230" s="120"/>
      <c r="AD230" s="93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21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2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4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4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4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5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6"/>
      <c r="S340" s="27"/>
      <c r="U340" s="118" t="s">
        <v>18</v>
      </c>
      <c r="V340" s="119"/>
      <c r="W340" s="116" t="s">
        <v>19</v>
      </c>
      <c r="Z340" s="25"/>
      <c r="AA340" s="26"/>
      <c r="AB340" s="120" t="s">
        <v>17</v>
      </c>
      <c r="AC340" s="120"/>
      <c r="AD340" s="96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7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97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97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8"/>
      <c r="G450" s="27"/>
      <c r="I450" s="118" t="s">
        <v>18</v>
      </c>
      <c r="J450" s="119"/>
      <c r="K450" s="116" t="s">
        <v>19</v>
      </c>
      <c r="N450" s="25"/>
      <c r="O450" s="26"/>
      <c r="P450" s="120" t="s">
        <v>17</v>
      </c>
      <c r="Q450" s="120"/>
      <c r="R450" s="98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8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99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99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99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100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100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100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22"/>
      <c r="E615" s="122"/>
      <c r="F615" s="103"/>
      <c r="G615" s="103"/>
      <c r="H615" s="62"/>
      <c r="I615" s="122"/>
      <c r="J615" s="122"/>
      <c r="K615" s="121"/>
      <c r="N615" s="25"/>
      <c r="O615" s="26"/>
      <c r="P615" s="120" t="s">
        <v>17</v>
      </c>
      <c r="Q615" s="120"/>
      <c r="R615" s="101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101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4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4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4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5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5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5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3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06"/>
      <c r="G780" s="27"/>
      <c r="I780" s="118" t="s">
        <v>18</v>
      </c>
      <c r="J780" s="119"/>
      <c r="K780" s="116" t="s">
        <v>19</v>
      </c>
      <c r="N780" s="25"/>
      <c r="O780" s="26"/>
      <c r="P780" s="120" t="s">
        <v>17</v>
      </c>
      <c r="Q780" s="120"/>
      <c r="R780" s="106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6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7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3">
        <v>9588</v>
      </c>
      <c r="D782" s="32">
        <f>650*3+670+9.5*8</f>
        <v>2696</v>
      </c>
      <c r="E782" s="32"/>
      <c r="F782" s="32"/>
      <c r="G782" s="32">
        <f t="shared" ref="G782:G815" si="213">SUM(D782:E782)</f>
        <v>2696</v>
      </c>
      <c r="H782" s="12"/>
      <c r="I782" s="12"/>
      <c r="J782" s="12"/>
      <c r="K782" s="12">
        <f t="shared" ref="K782:K815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3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0" si="215">SUM(P783:Q783)</f>
        <v>67038</v>
      </c>
      <c r="T783" s="12"/>
      <c r="U783" s="12">
        <v>72</v>
      </c>
      <c r="V783" s="12"/>
      <c r="W783" s="12">
        <f t="shared" ref="W783:W823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0" si="217">SUM(AB783:AC783)</f>
        <v>48987</v>
      </c>
      <c r="AF783" s="12"/>
      <c r="AG783" s="12"/>
      <c r="AH783" s="12"/>
      <c r="AI783" s="12">
        <f t="shared" ref="AI783:AI823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3">
        <f t="shared" ref="C784:C790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1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3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5:AA786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3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3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3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3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3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3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3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3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F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6"/>
      <c r="G835" s="27"/>
      <c r="I835" s="118" t="s">
        <v>18</v>
      </c>
      <c r="J835" s="119"/>
      <c r="K835" s="116" t="s">
        <v>19</v>
      </c>
      <c r="N835" s="25"/>
      <c r="O835" s="26"/>
      <c r="P835" s="120" t="s">
        <v>17</v>
      </c>
      <c r="Q835" s="120"/>
      <c r="R835" s="106"/>
      <c r="S835" s="27"/>
      <c r="U835" s="118" t="s">
        <v>18</v>
      </c>
      <c r="V835" s="119"/>
      <c r="W835" s="116" t="s">
        <v>19</v>
      </c>
      <c r="Z835" s="25"/>
      <c r="AA835" s="26"/>
      <c r="AB835" s="120" t="s">
        <v>17</v>
      </c>
      <c r="AC835" s="120"/>
      <c r="AD835" s="106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7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7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3">
        <v>9598</v>
      </c>
      <c r="D837" s="32">
        <f>650*20+229</f>
        <v>13229</v>
      </c>
      <c r="E837" s="32"/>
      <c r="F837" s="32"/>
      <c r="G837" s="32">
        <f t="shared" ref="G837:G870" si="227">SUM(D837:E837)</f>
        <v>13229</v>
      </c>
      <c r="H837" s="12"/>
      <c r="I837" s="12"/>
      <c r="J837" s="12"/>
      <c r="K837" s="12">
        <f t="shared" ref="K837:K870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3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75" si="229">SUM(P838:Q838)</f>
        <v>70239</v>
      </c>
      <c r="T838" s="12"/>
      <c r="U838" s="12">
        <v>108</v>
      </c>
      <c r="V838" s="12"/>
      <c r="W838" s="12">
        <f t="shared" ref="W838:W878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75" si="231">SUM(AB838:AC838)</f>
        <v>35551</v>
      </c>
      <c r="AF838" s="12"/>
      <c r="AG838" s="12">
        <v>12</v>
      </c>
      <c r="AH838" s="12"/>
      <c r="AI838" s="12">
        <f t="shared" ref="AI838:AI878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3">
        <f t="shared" ref="C839:C843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42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3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3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3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3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F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34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34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34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0" t="s">
        <v>17</v>
      </c>
      <c r="E890" s="120"/>
      <c r="F890" s="107"/>
      <c r="G890" s="27"/>
      <c r="I890" s="118" t="s">
        <v>18</v>
      </c>
      <c r="J890" s="119"/>
      <c r="K890" s="116" t="s">
        <v>19</v>
      </c>
      <c r="N890" s="25"/>
      <c r="O890" s="26"/>
      <c r="P890" s="120" t="s">
        <v>17</v>
      </c>
      <c r="Q890" s="120"/>
      <c r="R890" s="107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07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7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9805</v>
      </c>
      <c r="D892" s="32">
        <f>650*60</f>
        <v>39000</v>
      </c>
      <c r="E892" s="32"/>
      <c r="F892" s="32"/>
      <c r="G892" s="32">
        <f t="shared" ref="G892:G925" si="241">SUM(D892:E892)</f>
        <v>39000</v>
      </c>
      <c r="H892" s="12"/>
      <c r="I892" s="12"/>
      <c r="J892" s="12"/>
      <c r="K892" s="12">
        <f t="shared" ref="K892:K925" si="242">SUM(G892:J892)</f>
        <v>39000</v>
      </c>
      <c r="M892" s="10">
        <v>1</v>
      </c>
      <c r="N892" s="30" t="s">
        <v>84</v>
      </c>
      <c r="O892" s="31">
        <v>9738</v>
      </c>
      <c r="P892" s="32">
        <f>650*324+622*108+872+229*18+650*2</f>
        <v>284070</v>
      </c>
      <c r="Q892" s="32">
        <f>-433*6</f>
        <v>-2598</v>
      </c>
      <c r="R892" s="32"/>
      <c r="S892" s="32">
        <f>SUM(P892:Q892)</f>
        <v>281472</v>
      </c>
      <c r="T892" s="12"/>
      <c r="U892" s="12">
        <f>120+936</f>
        <v>1056</v>
      </c>
      <c r="V892" s="12">
        <v>-588</v>
      </c>
      <c r="W892" s="12">
        <f>SUM(S892:V892)</f>
        <v>281940</v>
      </c>
      <c r="Y892" s="10">
        <v>1</v>
      </c>
      <c r="Z892" s="30" t="s">
        <v>84</v>
      </c>
      <c r="AA892" s="31">
        <v>9691</v>
      </c>
      <c r="AB892" s="32">
        <f>650*20+670+622*6+229+650</f>
        <v>18281</v>
      </c>
      <c r="AC892" s="32"/>
      <c r="AD892" s="32"/>
      <c r="AE892" s="32">
        <f>SUM(AB892:AC892)</f>
        <v>18281</v>
      </c>
      <c r="AF892" s="12"/>
      <c r="AG892" s="12">
        <f>4.5*3+2.25+1.5*4</f>
        <v>21.75</v>
      </c>
      <c r="AH892" s="12"/>
      <c r="AI892" s="12">
        <f>SUM(AE892:AH892)</f>
        <v>18302.75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9806</v>
      </c>
      <c r="D893" s="32">
        <f>650*45</f>
        <v>29250</v>
      </c>
      <c r="E893" s="32"/>
      <c r="F893" s="32"/>
      <c r="G893" s="32">
        <f t="shared" si="241"/>
        <v>29250</v>
      </c>
      <c r="H893" s="12"/>
      <c r="I893" s="12"/>
      <c r="J893" s="12"/>
      <c r="K893" s="12">
        <f t="shared" si="242"/>
        <v>29250</v>
      </c>
      <c r="M893" s="10">
        <v>2</v>
      </c>
      <c r="N893" s="30" t="s">
        <v>84</v>
      </c>
      <c r="O893" s="31">
        <f>O892+1</f>
        <v>9739</v>
      </c>
      <c r="P893" s="32">
        <f>650*5+670+9.5*5</f>
        <v>3967.5</v>
      </c>
      <c r="Q893" s="32"/>
      <c r="R893" s="32"/>
      <c r="S893" s="32">
        <f t="shared" ref="S893:S930" si="243">SUM(P893:Q893)</f>
        <v>3967.5</v>
      </c>
      <c r="T893" s="12"/>
      <c r="U893" s="12"/>
      <c r="V893" s="12"/>
      <c r="W893" s="12">
        <f t="shared" ref="W893:W933" si="244">SUM(S893:V893)</f>
        <v>3967.5</v>
      </c>
      <c r="Y893" s="10">
        <v>2</v>
      </c>
      <c r="Z893" s="30" t="s">
        <v>84</v>
      </c>
      <c r="AA893" s="31">
        <f>AA892+1</f>
        <v>9692</v>
      </c>
      <c r="AB893" s="32">
        <f>650*50+622*10+229</f>
        <v>38949</v>
      </c>
      <c r="AC893" s="32"/>
      <c r="AD893" s="32"/>
      <c r="AE893" s="32">
        <f t="shared" ref="AE893:AE930" si="245">SUM(AB893:AC893)</f>
        <v>38949</v>
      </c>
      <c r="AF893" s="12"/>
      <c r="AG893" s="12">
        <f>94.5+16.5</f>
        <v>111</v>
      </c>
      <c r="AH893" s="12"/>
      <c r="AI893" s="12">
        <f t="shared" ref="AI893:AI933" si="246">SUM(AE893:AH893)</f>
        <v>39060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3" si="247">C893+1</f>
        <v>9807</v>
      </c>
      <c r="D894" s="33">
        <f>1946+1175+2736+2100+2616+1175+1000+1300</f>
        <v>14048</v>
      </c>
      <c r="E894" s="33"/>
      <c r="F894" s="33"/>
      <c r="G894" s="33">
        <f t="shared" si="241"/>
        <v>14048</v>
      </c>
      <c r="H894" s="34"/>
      <c r="I894" s="34">
        <f>135*1.5</f>
        <v>202.5</v>
      </c>
      <c r="J894" s="34"/>
      <c r="K894" s="34">
        <f t="shared" si="242"/>
        <v>14250.5</v>
      </c>
      <c r="M894" s="10">
        <v>3</v>
      </c>
      <c r="N894" s="30" t="s">
        <v>84</v>
      </c>
      <c r="O894" s="31">
        <f t="shared" ref="O894:O895" si="248">O893+1</f>
        <v>9740</v>
      </c>
      <c r="P894" s="32">
        <f>650*15+622*2+872+500+650</f>
        <v>13016</v>
      </c>
      <c r="Q894" s="32"/>
      <c r="R894" s="32"/>
      <c r="S894" s="32">
        <f t="shared" si="243"/>
        <v>13016</v>
      </c>
      <c r="T894" s="12"/>
      <c r="U894" s="12"/>
      <c r="V894" s="12">
        <v>-111</v>
      </c>
      <c r="W894" s="12">
        <f t="shared" si="244"/>
        <v>12905</v>
      </c>
      <c r="Y894" s="10">
        <v>3</v>
      </c>
      <c r="Z894" s="30" t="s">
        <v>84</v>
      </c>
      <c r="AA894" s="31">
        <f t="shared" ref="AA894:AA899" si="249">AA893+1</f>
        <v>9693</v>
      </c>
      <c r="AB894" s="33">
        <f>650*216+229*6</f>
        <v>141774</v>
      </c>
      <c r="AC894" s="33">
        <f>-216*6</f>
        <v>-1296</v>
      </c>
      <c r="AD894" s="32"/>
      <c r="AE894" s="32">
        <f t="shared" si="245"/>
        <v>140478</v>
      </c>
      <c r="AF894" s="12"/>
      <c r="AG894" s="12"/>
      <c r="AH894" s="12">
        <f>-720+-111*77</f>
        <v>-9267</v>
      </c>
      <c r="AI894" s="12">
        <f t="shared" si="246"/>
        <v>131211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47"/>
        <v>9808</v>
      </c>
      <c r="D895" s="32">
        <f>650*21+229</f>
        <v>13879</v>
      </c>
      <c r="E895" s="32"/>
      <c r="F895" s="32"/>
      <c r="G895" s="32">
        <f t="shared" si="241"/>
        <v>13879</v>
      </c>
      <c r="H895" s="12"/>
      <c r="I895" s="12"/>
      <c r="J895" s="12"/>
      <c r="K895" s="12">
        <f t="shared" si="242"/>
        <v>13879</v>
      </c>
      <c r="M895" s="10">
        <v>4</v>
      </c>
      <c r="N895" s="30" t="s">
        <v>84</v>
      </c>
      <c r="O895" s="31">
        <f t="shared" si="248"/>
        <v>9741</v>
      </c>
      <c r="P895" s="32">
        <f>650*4+9.5*4</f>
        <v>2638</v>
      </c>
      <c r="Q895" s="32"/>
      <c r="R895" s="32"/>
      <c r="S895" s="32">
        <f t="shared" si="243"/>
        <v>2638</v>
      </c>
      <c r="T895" s="12"/>
      <c r="U895" s="12"/>
      <c r="V895" s="12"/>
      <c r="W895" s="12">
        <f t="shared" si="244"/>
        <v>2638</v>
      </c>
      <c r="Y895" s="10">
        <v>4</v>
      </c>
      <c r="Z895" s="30" t="s">
        <v>84</v>
      </c>
      <c r="AA895" s="31">
        <f t="shared" si="249"/>
        <v>9694</v>
      </c>
      <c r="AB895" s="32">
        <f>650*50+229*2</f>
        <v>32958</v>
      </c>
      <c r="AC895" s="32">
        <f>-50*6</f>
        <v>-300</v>
      </c>
      <c r="AD895" s="32"/>
      <c r="AE895" s="32">
        <f t="shared" si="245"/>
        <v>32658</v>
      </c>
      <c r="AF895" s="12"/>
      <c r="AG895" s="58"/>
      <c r="AH895" s="12"/>
      <c r="AI895" s="12">
        <f t="shared" si="246"/>
        <v>32658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47"/>
        <v>9809</v>
      </c>
      <c r="D896" s="32">
        <f>650*10</f>
        <v>6500</v>
      </c>
      <c r="E896" s="32"/>
      <c r="F896" s="32"/>
      <c r="G896" s="32">
        <f t="shared" si="241"/>
        <v>6500</v>
      </c>
      <c r="H896" s="12"/>
      <c r="I896" s="12"/>
      <c r="J896" s="12"/>
      <c r="K896" s="12">
        <f t="shared" si="242"/>
        <v>6500</v>
      </c>
      <c r="M896" s="10">
        <v>5</v>
      </c>
      <c r="N896" s="30"/>
      <c r="O896" s="11" t="s">
        <v>27</v>
      </c>
      <c r="P896" s="32"/>
      <c r="Q896" s="32"/>
      <c r="R896" s="32"/>
      <c r="S896" s="32">
        <f t="shared" si="243"/>
        <v>0</v>
      </c>
      <c r="T896" s="12"/>
      <c r="U896" s="12"/>
      <c r="V896" s="12"/>
      <c r="W896" s="12">
        <f t="shared" si="244"/>
        <v>0</v>
      </c>
      <c r="Y896" s="10">
        <v>5</v>
      </c>
      <c r="Z896" s="30" t="s">
        <v>84</v>
      </c>
      <c r="AA896" s="31">
        <f t="shared" si="249"/>
        <v>9695</v>
      </c>
      <c r="AB896" s="32">
        <f>650*100+670*8+622*10+229*3</f>
        <v>77267</v>
      </c>
      <c r="AC896" s="32">
        <v>-708</v>
      </c>
      <c r="AD896" s="32"/>
      <c r="AE896" s="32">
        <f t="shared" si="245"/>
        <v>76559</v>
      </c>
      <c r="AF896" s="12"/>
      <c r="AG896" s="12">
        <f>111*12+4.5*4</f>
        <v>1350</v>
      </c>
      <c r="AH896" s="12"/>
      <c r="AI896" s="12">
        <f t="shared" si="246"/>
        <v>77909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47"/>
        <v>9810</v>
      </c>
      <c r="D897" s="32">
        <f>650*2</f>
        <v>1300</v>
      </c>
      <c r="E897" s="32"/>
      <c r="F897" s="32"/>
      <c r="G897" s="32">
        <f t="shared" si="241"/>
        <v>1300</v>
      </c>
      <c r="H897" s="12"/>
      <c r="I897" s="12"/>
      <c r="J897" s="12"/>
      <c r="K897" s="12">
        <f t="shared" si="242"/>
        <v>1300</v>
      </c>
      <c r="M897" s="10">
        <v>6</v>
      </c>
      <c r="N897" s="30"/>
      <c r="O897" s="31"/>
      <c r="P897" s="32"/>
      <c r="Q897" s="32"/>
      <c r="R897" s="32"/>
      <c r="S897" s="32">
        <f t="shared" si="243"/>
        <v>0</v>
      </c>
      <c r="T897" s="12"/>
      <c r="U897" s="12"/>
      <c r="V897" s="10"/>
      <c r="W897" s="12">
        <f t="shared" si="244"/>
        <v>0</v>
      </c>
      <c r="Y897" s="10">
        <v>6</v>
      </c>
      <c r="Z897" s="30" t="s">
        <v>84</v>
      </c>
      <c r="AA897" s="31">
        <f t="shared" si="249"/>
        <v>9696</v>
      </c>
      <c r="AB897" s="32">
        <f>650*5+622*2</f>
        <v>4494</v>
      </c>
      <c r="AC897" s="32"/>
      <c r="AD897" s="32"/>
      <c r="AE897" s="32">
        <f t="shared" si="245"/>
        <v>4494</v>
      </c>
      <c r="AF897" s="12"/>
      <c r="AG897" s="12"/>
      <c r="AH897" s="10"/>
      <c r="AI897" s="12">
        <f t="shared" si="246"/>
        <v>4494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47"/>
        <v>9811</v>
      </c>
      <c r="D898" s="32">
        <f>650*5</f>
        <v>3250</v>
      </c>
      <c r="E898" s="32"/>
      <c r="F898" s="32"/>
      <c r="G898" s="32">
        <f t="shared" si="241"/>
        <v>3250</v>
      </c>
      <c r="H898" s="12"/>
      <c r="I898" s="12"/>
      <c r="J898" s="12"/>
      <c r="K898" s="12">
        <f t="shared" si="242"/>
        <v>3250</v>
      </c>
      <c r="M898" s="10">
        <v>7</v>
      </c>
      <c r="N898" s="30"/>
      <c r="O898" s="31"/>
      <c r="P898" s="32"/>
      <c r="Q898" s="32"/>
      <c r="R898" s="32"/>
      <c r="S898" s="32">
        <f t="shared" si="243"/>
        <v>0</v>
      </c>
      <c r="T898" s="12"/>
      <c r="U898" s="12"/>
      <c r="V898" s="12"/>
      <c r="W898" s="12">
        <f t="shared" si="244"/>
        <v>0</v>
      </c>
      <c r="Y898" s="10">
        <v>7</v>
      </c>
      <c r="Z898" s="30" t="s">
        <v>84</v>
      </c>
      <c r="AA898" s="31">
        <f t="shared" si="249"/>
        <v>9697</v>
      </c>
      <c r="AB898" s="32">
        <f>650*10</f>
        <v>6500</v>
      </c>
      <c r="AC898" s="32"/>
      <c r="AD898" s="32"/>
      <c r="AE898" s="32">
        <f t="shared" si="245"/>
        <v>6500</v>
      </c>
      <c r="AF898" s="12"/>
      <c r="AG898" s="58"/>
      <c r="AH898" s="12"/>
      <c r="AI898" s="12">
        <f t="shared" si="246"/>
        <v>6500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47"/>
        <v>9812</v>
      </c>
      <c r="D899" s="32">
        <f>650*5</f>
        <v>3250</v>
      </c>
      <c r="E899" s="32"/>
      <c r="F899" s="32"/>
      <c r="G899" s="32">
        <f t="shared" si="241"/>
        <v>3250</v>
      </c>
      <c r="H899" s="12"/>
      <c r="I899" s="12"/>
      <c r="J899" s="12"/>
      <c r="K899" s="12">
        <f t="shared" si="242"/>
        <v>3250</v>
      </c>
      <c r="M899" s="10">
        <v>8</v>
      </c>
      <c r="N899" s="30"/>
      <c r="O899" s="31"/>
      <c r="P899" s="32"/>
      <c r="Q899" s="32"/>
      <c r="R899" s="32"/>
      <c r="S899" s="32">
        <f t="shared" si="243"/>
        <v>0</v>
      </c>
      <c r="T899" s="12"/>
      <c r="U899" s="12"/>
      <c r="V899" s="12"/>
      <c r="W899" s="12">
        <f t="shared" si="244"/>
        <v>0</v>
      </c>
      <c r="Y899" s="10">
        <v>8</v>
      </c>
      <c r="Z899" s="30" t="s">
        <v>84</v>
      </c>
      <c r="AA899" s="31">
        <f t="shared" si="249"/>
        <v>9698</v>
      </c>
      <c r="AB899" s="32">
        <f>912</f>
        <v>912</v>
      </c>
      <c r="AC899" s="32"/>
      <c r="AE899" s="32">
        <f t="shared" si="245"/>
        <v>912</v>
      </c>
      <c r="AF899" s="12"/>
      <c r="AG899" s="12"/>
      <c r="AH899" s="12"/>
      <c r="AI899" s="12">
        <f t="shared" si="246"/>
        <v>912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47"/>
        <v>9813</v>
      </c>
      <c r="D900" s="32">
        <f>650*5</f>
        <v>3250</v>
      </c>
      <c r="E900" s="32"/>
      <c r="F900" s="32"/>
      <c r="G900" s="32">
        <f t="shared" si="241"/>
        <v>3250</v>
      </c>
      <c r="H900" s="12"/>
      <c r="I900" s="12"/>
      <c r="J900" s="12"/>
      <c r="K900" s="12">
        <f t="shared" si="242"/>
        <v>3250</v>
      </c>
      <c r="M900" s="10">
        <v>9</v>
      </c>
      <c r="N900" s="30"/>
      <c r="O900" s="31"/>
      <c r="P900" s="32"/>
      <c r="Q900" s="32"/>
      <c r="R900" s="32"/>
      <c r="S900" s="32">
        <f t="shared" si="243"/>
        <v>0</v>
      </c>
      <c r="T900" s="12"/>
      <c r="U900" s="12"/>
      <c r="V900" s="12"/>
      <c r="W900" s="12">
        <f t="shared" si="244"/>
        <v>0</v>
      </c>
      <c r="Y900" s="10">
        <v>9</v>
      </c>
      <c r="Z900" s="30"/>
      <c r="AA900" s="11" t="s">
        <v>27</v>
      </c>
      <c r="AB900" s="32"/>
      <c r="AC900" s="32"/>
      <c r="AD900" s="32"/>
      <c r="AE900" s="32">
        <f t="shared" si="245"/>
        <v>0</v>
      </c>
      <c r="AF900" s="12"/>
      <c r="AH900" s="12"/>
      <c r="AI900" s="12">
        <f t="shared" si="24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47"/>
        <v>9814</v>
      </c>
      <c r="D901" s="32">
        <f>650*10</f>
        <v>6500</v>
      </c>
      <c r="E901" s="32"/>
      <c r="F901" s="32"/>
      <c r="G901" s="32">
        <f t="shared" si="241"/>
        <v>6500</v>
      </c>
      <c r="H901" s="12"/>
      <c r="I901" s="12"/>
      <c r="J901" s="12"/>
      <c r="K901" s="12">
        <f t="shared" si="242"/>
        <v>6500</v>
      </c>
      <c r="M901" s="10">
        <v>10</v>
      </c>
      <c r="N901" s="30"/>
      <c r="O901" s="31"/>
      <c r="P901" s="32"/>
      <c r="Q901" s="32"/>
      <c r="R901" s="32"/>
      <c r="S901" s="32">
        <f t="shared" si="243"/>
        <v>0</v>
      </c>
      <c r="T901" s="12"/>
      <c r="U901" s="12"/>
      <c r="V901" s="12"/>
      <c r="W901" s="12">
        <f t="shared" si="244"/>
        <v>0</v>
      </c>
      <c r="Y901" s="10">
        <v>10</v>
      </c>
      <c r="Z901" s="30"/>
      <c r="AA901" s="31"/>
      <c r="AB901" s="32"/>
      <c r="AC901" s="32"/>
      <c r="AD901" s="32"/>
      <c r="AE901" s="32">
        <f t="shared" si="245"/>
        <v>0</v>
      </c>
      <c r="AF901" s="12"/>
      <c r="AG901" s="12"/>
      <c r="AH901" s="12"/>
      <c r="AI901" s="12">
        <f t="shared" si="24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47"/>
        <v>9815</v>
      </c>
      <c r="D902" s="32">
        <f>650*5</f>
        <v>3250</v>
      </c>
      <c r="E902" s="32"/>
      <c r="F902" s="32"/>
      <c r="G902" s="32">
        <f t="shared" si="241"/>
        <v>3250</v>
      </c>
      <c r="H902" s="12"/>
      <c r="I902" s="12"/>
      <c r="J902" s="12"/>
      <c r="K902" s="12">
        <f t="shared" si="242"/>
        <v>3250</v>
      </c>
      <c r="M902" s="10">
        <v>11</v>
      </c>
      <c r="N902" s="30"/>
      <c r="O902" s="11"/>
      <c r="P902" s="32"/>
      <c r="Q902" s="32"/>
      <c r="R902" s="32"/>
      <c r="S902" s="32">
        <f t="shared" si="243"/>
        <v>0</v>
      </c>
      <c r="T902" s="12"/>
      <c r="U902" s="12"/>
      <c r="V902" s="12"/>
      <c r="W902" s="12">
        <f t="shared" si="244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45"/>
        <v>0</v>
      </c>
      <c r="AF902" s="12"/>
      <c r="AG902" s="12"/>
      <c r="AH902" s="12"/>
      <c r="AI902" s="12">
        <f t="shared" si="24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84</v>
      </c>
      <c r="C903" s="83">
        <f t="shared" si="247"/>
        <v>9816</v>
      </c>
      <c r="D903" s="32">
        <f>650*312+670*10+622*72</f>
        <v>254284</v>
      </c>
      <c r="E903" s="32"/>
      <c r="F903" s="32"/>
      <c r="G903" s="32">
        <f t="shared" si="241"/>
        <v>254284</v>
      </c>
      <c r="H903" s="12"/>
      <c r="I903" s="12">
        <f>111*121</f>
        <v>13431</v>
      </c>
      <c r="J903" s="10">
        <f>-720+-84+-1.5+-18</f>
        <v>-823.5</v>
      </c>
      <c r="K903" s="12">
        <f t="shared" si="242"/>
        <v>266891.5</v>
      </c>
      <c r="M903" s="10">
        <v>12</v>
      </c>
      <c r="N903" s="30"/>
      <c r="O903" s="31"/>
      <c r="P903" s="32"/>
      <c r="Q903" s="32"/>
      <c r="R903" s="32"/>
      <c r="S903" s="32">
        <f t="shared" si="243"/>
        <v>0</v>
      </c>
      <c r="T903" s="12"/>
      <c r="U903" s="12"/>
      <c r="V903" s="12"/>
      <c r="W903" s="12">
        <f t="shared" si="24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5"/>
        <v>0</v>
      </c>
      <c r="AF903" s="12"/>
      <c r="AG903" s="12"/>
      <c r="AH903" s="12"/>
      <c r="AI903" s="12">
        <f t="shared" si="24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11" t="s">
        <v>27</v>
      </c>
      <c r="D904" s="32"/>
      <c r="E904" s="32"/>
      <c r="F904" s="32"/>
      <c r="G904" s="32">
        <f t="shared" si="241"/>
        <v>0</v>
      </c>
      <c r="H904" s="12"/>
      <c r="I904" s="12"/>
      <c r="J904" s="12"/>
      <c r="K904" s="12">
        <f t="shared" si="242"/>
        <v>0</v>
      </c>
      <c r="M904" s="10">
        <v>13</v>
      </c>
      <c r="N904" s="30"/>
      <c r="O904" s="31"/>
      <c r="P904" s="32"/>
      <c r="Q904" s="32"/>
      <c r="R904" s="32"/>
      <c r="S904" s="32">
        <f t="shared" si="243"/>
        <v>0</v>
      </c>
      <c r="T904" s="12"/>
      <c r="U904" s="12"/>
      <c r="V904" s="12"/>
      <c r="W904" s="12">
        <f t="shared" si="244"/>
        <v>0</v>
      </c>
      <c r="Y904" s="10">
        <v>13</v>
      </c>
      <c r="Z904" s="30"/>
      <c r="AB904" s="32"/>
      <c r="AC904" s="32"/>
      <c r="AD904" s="32"/>
      <c r="AE904" s="32">
        <f t="shared" si="245"/>
        <v>0</v>
      </c>
      <c r="AF904" s="12"/>
      <c r="AG904" s="12"/>
      <c r="AH904" s="12"/>
      <c r="AI904" s="12">
        <f t="shared" si="24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1"/>
        <v>0</v>
      </c>
      <c r="H905" s="12"/>
      <c r="I905" s="12"/>
      <c r="J905" s="12"/>
      <c r="K905" s="12">
        <f t="shared" si="242"/>
        <v>0</v>
      </c>
      <c r="M905" s="10">
        <v>14</v>
      </c>
      <c r="N905" s="30"/>
      <c r="O905" s="31"/>
      <c r="P905" s="32"/>
      <c r="Q905" s="32"/>
      <c r="R905" s="32"/>
      <c r="S905" s="32">
        <f t="shared" si="243"/>
        <v>0</v>
      </c>
      <c r="T905" s="12"/>
      <c r="U905" s="12"/>
      <c r="V905" s="12"/>
      <c r="W905" s="12">
        <f t="shared" si="24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5"/>
        <v>0</v>
      </c>
      <c r="AF905" s="12"/>
      <c r="AG905" s="12"/>
      <c r="AH905" s="12"/>
      <c r="AI905" s="12">
        <f t="shared" si="24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1"/>
        <v>0</v>
      </c>
      <c r="H906" s="12"/>
      <c r="I906" s="12"/>
      <c r="J906" s="12"/>
      <c r="K906" s="12">
        <f t="shared" si="242"/>
        <v>0</v>
      </c>
      <c r="M906" s="10">
        <v>15</v>
      </c>
      <c r="N906" s="30"/>
      <c r="O906" s="31"/>
      <c r="P906" s="32"/>
      <c r="Q906" s="32"/>
      <c r="R906" s="32"/>
      <c r="S906" s="32">
        <f t="shared" si="243"/>
        <v>0</v>
      </c>
      <c r="T906" s="12"/>
      <c r="U906" s="12"/>
      <c r="V906" s="12"/>
      <c r="W906" s="12">
        <f t="shared" si="24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5"/>
        <v>0</v>
      </c>
      <c r="AF906" s="12"/>
      <c r="AG906" s="12"/>
      <c r="AH906" s="12"/>
      <c r="AI906" s="12">
        <f t="shared" si="24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1"/>
        <v>0</v>
      </c>
      <c r="H907" s="12"/>
      <c r="I907" s="12"/>
      <c r="J907" s="12"/>
      <c r="K907" s="12">
        <f t="shared" si="242"/>
        <v>0</v>
      </c>
      <c r="M907" s="10">
        <v>16</v>
      </c>
      <c r="N907" s="30"/>
      <c r="O907" s="11"/>
      <c r="P907" s="32"/>
      <c r="Q907" s="32"/>
      <c r="R907" s="32"/>
      <c r="S907" s="32">
        <f t="shared" si="243"/>
        <v>0</v>
      </c>
      <c r="T907" s="12"/>
      <c r="U907" s="12"/>
      <c r="V907" s="12"/>
      <c r="W907" s="12">
        <f t="shared" si="244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5"/>
        <v>0</v>
      </c>
      <c r="AF907" s="12"/>
      <c r="AG907" s="12"/>
      <c r="AH907" s="12"/>
      <c r="AI907" s="12">
        <f t="shared" si="24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1"/>
        <v>0</v>
      </c>
      <c r="H908" s="12"/>
      <c r="I908" s="12"/>
      <c r="J908" s="12"/>
      <c r="K908" s="12">
        <f t="shared" si="242"/>
        <v>0</v>
      </c>
      <c r="M908" s="10">
        <v>17</v>
      </c>
      <c r="N908" s="30"/>
      <c r="O908" s="31"/>
      <c r="P908" s="35"/>
      <c r="Q908" s="32"/>
      <c r="R908" s="32"/>
      <c r="S908" s="32">
        <f t="shared" si="243"/>
        <v>0</v>
      </c>
      <c r="T908" s="12"/>
      <c r="U908" s="12"/>
      <c r="V908" s="12"/>
      <c r="W908" s="12">
        <f t="shared" si="24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5"/>
        <v>0</v>
      </c>
      <c r="AF908" s="12"/>
      <c r="AG908" s="12"/>
      <c r="AH908" s="12"/>
      <c r="AI908" s="12">
        <f t="shared" si="24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1"/>
        <v>0</v>
      </c>
      <c r="H909" s="12"/>
      <c r="I909" s="12"/>
      <c r="J909" s="12"/>
      <c r="K909" s="12">
        <f t="shared" si="242"/>
        <v>0</v>
      </c>
      <c r="M909" s="10">
        <v>18</v>
      </c>
      <c r="N909" s="30"/>
      <c r="O909" s="31"/>
      <c r="P909" s="32"/>
      <c r="Q909" s="32"/>
      <c r="R909" s="32"/>
      <c r="S909" s="32">
        <f t="shared" si="243"/>
        <v>0</v>
      </c>
      <c r="T909" s="12"/>
      <c r="U909" s="12"/>
      <c r="V909" s="12"/>
      <c r="W909" s="12">
        <f t="shared" si="244"/>
        <v>0</v>
      </c>
      <c r="Y909" s="10">
        <v>18</v>
      </c>
      <c r="Z909" s="30"/>
      <c r="AB909" s="32"/>
      <c r="AC909" s="32"/>
      <c r="AD909" s="32"/>
      <c r="AE909" s="32">
        <f t="shared" si="245"/>
        <v>0</v>
      </c>
      <c r="AF909" s="12"/>
      <c r="AG909" s="12"/>
      <c r="AH909" s="12"/>
      <c r="AI909" s="12">
        <f t="shared" si="24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1"/>
        <v>0</v>
      </c>
      <c r="H910" s="12"/>
      <c r="I910" s="12"/>
      <c r="J910" s="12"/>
      <c r="K910" s="12">
        <f t="shared" si="242"/>
        <v>0</v>
      </c>
      <c r="M910" s="10">
        <v>19</v>
      </c>
      <c r="N910" s="30"/>
      <c r="O910" s="31"/>
      <c r="P910" s="32"/>
      <c r="Q910" s="32"/>
      <c r="R910" s="32"/>
      <c r="S910" s="32">
        <f t="shared" si="243"/>
        <v>0</v>
      </c>
      <c r="T910" s="12"/>
      <c r="U910" s="12"/>
      <c r="V910" s="12"/>
      <c r="W910" s="12">
        <f t="shared" si="24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5"/>
        <v>0</v>
      </c>
      <c r="AF910" s="12"/>
      <c r="AG910" s="12"/>
      <c r="AH910" s="12"/>
      <c r="AI910" s="12">
        <f t="shared" si="24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1"/>
        <v>0</v>
      </c>
      <c r="H911" s="12"/>
      <c r="I911" s="12"/>
      <c r="J911" s="12"/>
      <c r="K911" s="12">
        <f t="shared" si="242"/>
        <v>0</v>
      </c>
      <c r="M911" s="10">
        <v>20</v>
      </c>
      <c r="N911" s="30"/>
      <c r="O911" s="31"/>
      <c r="P911" s="32"/>
      <c r="Q911" s="32"/>
      <c r="R911" s="32"/>
      <c r="S911" s="32">
        <f t="shared" si="243"/>
        <v>0</v>
      </c>
      <c r="T911" s="12"/>
      <c r="U911" s="12"/>
      <c r="V911" s="12"/>
      <c r="W911" s="12">
        <f t="shared" si="24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45"/>
        <v>0</v>
      </c>
      <c r="AF911" s="12"/>
      <c r="AG911" s="12"/>
      <c r="AH911" s="12"/>
      <c r="AI911" s="12">
        <f t="shared" si="24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57"/>
      <c r="D912" s="32"/>
      <c r="E912" s="32"/>
      <c r="F912" s="32"/>
      <c r="G912" s="32">
        <f t="shared" si="241"/>
        <v>0</v>
      </c>
      <c r="H912" s="10"/>
      <c r="I912" s="10"/>
      <c r="J912" s="10"/>
      <c r="K912" s="12">
        <f t="shared" si="242"/>
        <v>0</v>
      </c>
      <c r="M912" s="10">
        <v>21</v>
      </c>
      <c r="N912" s="30"/>
      <c r="O912" s="31"/>
      <c r="P912" s="46"/>
      <c r="Q912" s="31"/>
      <c r="R912" s="31"/>
      <c r="S912" s="32">
        <f t="shared" si="243"/>
        <v>0</v>
      </c>
      <c r="T912" s="10"/>
      <c r="U912" s="10"/>
      <c r="V912" s="10"/>
      <c r="W912" s="12">
        <f t="shared" si="24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5"/>
        <v>0</v>
      </c>
      <c r="AF912" s="10"/>
      <c r="AG912" s="10"/>
      <c r="AH912" s="10"/>
      <c r="AI912" s="12">
        <f t="shared" si="24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57"/>
      <c r="D913" s="32"/>
      <c r="E913" s="32"/>
      <c r="F913" s="32"/>
      <c r="G913" s="32">
        <f t="shared" si="241"/>
        <v>0</v>
      </c>
      <c r="H913" s="10"/>
      <c r="I913" s="10"/>
      <c r="J913" s="10"/>
      <c r="K913" s="12">
        <f t="shared" si="242"/>
        <v>0</v>
      </c>
      <c r="M913" s="10">
        <v>22</v>
      </c>
      <c r="N913" s="30"/>
      <c r="O913" s="31"/>
      <c r="P913" s="45"/>
      <c r="Q913" s="31"/>
      <c r="R913" s="31"/>
      <c r="S913" s="32">
        <f t="shared" si="243"/>
        <v>0</v>
      </c>
      <c r="T913" s="10"/>
      <c r="U913" s="10"/>
      <c r="V913" s="10"/>
      <c r="W913" s="12">
        <f t="shared" si="24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5"/>
        <v>0</v>
      </c>
      <c r="AF913" s="10"/>
      <c r="AG913" s="10"/>
      <c r="AH913" s="10"/>
      <c r="AI913" s="12">
        <f t="shared" si="24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1"/>
        <v>0</v>
      </c>
      <c r="H914" s="10"/>
      <c r="I914" s="10"/>
      <c r="J914" s="12"/>
      <c r="K914" s="12">
        <f t="shared" si="242"/>
        <v>0</v>
      </c>
      <c r="M914" s="10">
        <v>23</v>
      </c>
      <c r="N914" s="30"/>
      <c r="O914" s="31"/>
      <c r="P914" s="47"/>
      <c r="Q914" s="31"/>
      <c r="S914" s="32">
        <f t="shared" si="243"/>
        <v>0</v>
      </c>
      <c r="T914" s="10"/>
      <c r="U914" s="10"/>
      <c r="V914" s="10"/>
      <c r="W914" s="12">
        <f t="shared" si="244"/>
        <v>0</v>
      </c>
      <c r="Y914" s="10">
        <v>23</v>
      </c>
      <c r="Z914" s="30"/>
      <c r="AA914" s="31"/>
      <c r="AB914" s="47"/>
      <c r="AE914" s="32">
        <f t="shared" si="245"/>
        <v>0</v>
      </c>
      <c r="AF914" s="10"/>
      <c r="AG914" s="10"/>
      <c r="AH914" s="10"/>
      <c r="AI914" s="12">
        <f t="shared" si="24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1"/>
        <v>0</v>
      </c>
      <c r="H915" s="10"/>
      <c r="I915" s="10"/>
      <c r="J915" s="10"/>
      <c r="K915" s="12">
        <f t="shared" si="242"/>
        <v>0</v>
      </c>
      <c r="M915" s="10">
        <v>24</v>
      </c>
      <c r="N915" s="30"/>
      <c r="O915" s="31"/>
      <c r="P915" s="47"/>
      <c r="Q915" s="31"/>
      <c r="R915" s="31"/>
      <c r="S915" s="32">
        <f t="shared" si="243"/>
        <v>0</v>
      </c>
      <c r="T915" s="10"/>
      <c r="U915" s="10"/>
      <c r="V915" s="10"/>
      <c r="W915" s="12">
        <f t="shared" si="24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5"/>
        <v>0</v>
      </c>
      <c r="AF915" s="10"/>
      <c r="AG915" s="10"/>
      <c r="AH915" s="10"/>
      <c r="AI915" s="12">
        <f t="shared" si="24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1"/>
        <v>0</v>
      </c>
      <c r="H916" s="10"/>
      <c r="I916" s="10"/>
      <c r="J916" s="10"/>
      <c r="K916" s="12">
        <f t="shared" si="242"/>
        <v>0</v>
      </c>
      <c r="M916" s="10">
        <v>25</v>
      </c>
      <c r="N916" s="30"/>
      <c r="O916" s="31"/>
      <c r="P916" s="47"/>
      <c r="Q916" s="31"/>
      <c r="R916" s="31"/>
      <c r="S916" s="32">
        <f t="shared" si="243"/>
        <v>0</v>
      </c>
      <c r="T916" s="10"/>
      <c r="U916" s="10"/>
      <c r="V916" s="10"/>
      <c r="W916" s="12">
        <f t="shared" si="24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5"/>
        <v>0</v>
      </c>
      <c r="AF916" s="10"/>
      <c r="AG916" s="10"/>
      <c r="AH916" s="10"/>
      <c r="AI916" s="12">
        <f t="shared" si="24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1"/>
        <v>0</v>
      </c>
      <c r="H917" s="10"/>
      <c r="I917" s="10"/>
      <c r="J917" s="10"/>
      <c r="K917" s="12">
        <f t="shared" si="242"/>
        <v>0</v>
      </c>
      <c r="M917" s="10">
        <v>26</v>
      </c>
      <c r="N917" s="30"/>
      <c r="O917" s="31"/>
      <c r="P917" s="47"/>
      <c r="Q917" s="31"/>
      <c r="R917" s="31"/>
      <c r="S917" s="32">
        <f t="shared" si="243"/>
        <v>0</v>
      </c>
      <c r="T917" s="10"/>
      <c r="U917" s="10"/>
      <c r="V917" s="10"/>
      <c r="W917" s="12">
        <f t="shared" si="24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5"/>
        <v>0</v>
      </c>
      <c r="AF917" s="10"/>
      <c r="AG917" s="10"/>
      <c r="AH917" s="10"/>
      <c r="AI917" s="12">
        <f t="shared" si="24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1"/>
        <v>0</v>
      </c>
      <c r="H918" s="10"/>
      <c r="I918" s="10"/>
      <c r="J918" s="10"/>
      <c r="K918" s="12">
        <f t="shared" si="242"/>
        <v>0</v>
      </c>
      <c r="M918" s="10">
        <v>27</v>
      </c>
      <c r="N918" s="30"/>
      <c r="O918" s="31"/>
      <c r="P918" s="47"/>
      <c r="Q918" s="31"/>
      <c r="R918" s="31"/>
      <c r="S918" s="32">
        <f t="shared" si="243"/>
        <v>0</v>
      </c>
      <c r="T918" s="10"/>
      <c r="U918" s="10"/>
      <c r="V918" s="10"/>
      <c r="W918" s="12">
        <f t="shared" si="24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5"/>
        <v>0</v>
      </c>
      <c r="AF918" s="10"/>
      <c r="AG918" s="10"/>
      <c r="AH918" s="10"/>
      <c r="AI918" s="12">
        <f t="shared" si="24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1"/>
        <v>0</v>
      </c>
      <c r="H919" s="10"/>
      <c r="I919" s="10"/>
      <c r="J919" s="10"/>
      <c r="K919" s="12">
        <f t="shared" si="242"/>
        <v>0</v>
      </c>
      <c r="M919" s="10">
        <v>28</v>
      </c>
      <c r="N919" s="30"/>
      <c r="O919" s="31"/>
      <c r="P919" s="47"/>
      <c r="Q919" s="31"/>
      <c r="R919" s="31"/>
      <c r="S919" s="32">
        <f t="shared" si="243"/>
        <v>0</v>
      </c>
      <c r="T919" s="10"/>
      <c r="U919" s="10"/>
      <c r="V919" s="10"/>
      <c r="W919" s="12">
        <f t="shared" si="24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5"/>
        <v>0</v>
      </c>
      <c r="AF919" s="10"/>
      <c r="AG919" s="10"/>
      <c r="AH919" s="10"/>
      <c r="AI919" s="12">
        <f t="shared" si="24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1"/>
        <v>0</v>
      </c>
      <c r="H920" s="10"/>
      <c r="I920" s="10"/>
      <c r="J920" s="10"/>
      <c r="K920" s="12">
        <f t="shared" si="242"/>
        <v>0</v>
      </c>
      <c r="M920" s="10">
        <v>29</v>
      </c>
      <c r="N920" s="30"/>
      <c r="O920" s="31"/>
      <c r="P920" s="47"/>
      <c r="Q920" s="31"/>
      <c r="R920" s="31"/>
      <c r="S920" s="32">
        <f t="shared" si="243"/>
        <v>0</v>
      </c>
      <c r="T920" s="10"/>
      <c r="U920" s="10"/>
      <c r="V920" s="10"/>
      <c r="W920" s="12">
        <f t="shared" si="24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5"/>
        <v>0</v>
      </c>
      <c r="AF920" s="10"/>
      <c r="AG920" s="10"/>
      <c r="AH920" s="10"/>
      <c r="AI920" s="12">
        <f t="shared" si="24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1"/>
        <v>0</v>
      </c>
      <c r="H921" s="10"/>
      <c r="I921" s="10"/>
      <c r="J921" s="10"/>
      <c r="K921" s="12">
        <f t="shared" si="242"/>
        <v>0</v>
      </c>
      <c r="M921" s="10">
        <v>30</v>
      </c>
      <c r="N921" s="30"/>
      <c r="O921" s="31"/>
      <c r="P921" s="47"/>
      <c r="Q921" s="31"/>
      <c r="R921" s="31"/>
      <c r="S921" s="32">
        <f t="shared" si="243"/>
        <v>0</v>
      </c>
      <c r="T921" s="10"/>
      <c r="U921" s="10"/>
      <c r="V921" s="10"/>
      <c r="W921" s="12">
        <f t="shared" si="244"/>
        <v>0</v>
      </c>
      <c r="Y921" s="10">
        <v>30</v>
      </c>
      <c r="Z921" s="30"/>
      <c r="AB921" s="47"/>
      <c r="AC921" s="31"/>
      <c r="AD921" s="31"/>
      <c r="AE921" s="32">
        <f t="shared" si="245"/>
        <v>0</v>
      </c>
      <c r="AF921" s="10"/>
      <c r="AG921" s="10"/>
      <c r="AH921" s="10"/>
      <c r="AI921" s="12">
        <f t="shared" si="24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1"/>
        <v>0</v>
      </c>
      <c r="H922" s="10"/>
      <c r="I922" s="10"/>
      <c r="J922" s="10"/>
      <c r="K922" s="12">
        <f t="shared" si="242"/>
        <v>0</v>
      </c>
      <c r="M922" s="10">
        <v>31</v>
      </c>
      <c r="N922" s="30"/>
      <c r="O922" s="31"/>
      <c r="P922" s="47"/>
      <c r="Q922" s="31"/>
      <c r="R922" s="31"/>
      <c r="S922" s="32">
        <f t="shared" si="243"/>
        <v>0</v>
      </c>
      <c r="T922" s="10"/>
      <c r="U922" s="10"/>
      <c r="V922" s="10"/>
      <c r="W922" s="12">
        <f t="shared" si="24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5"/>
        <v>0</v>
      </c>
      <c r="AF922" s="10"/>
      <c r="AG922" s="10"/>
      <c r="AH922" s="10"/>
      <c r="AI922" s="12">
        <f t="shared" si="24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1"/>
        <v>0</v>
      </c>
      <c r="H923" s="10"/>
      <c r="I923" s="10"/>
      <c r="J923" s="10"/>
      <c r="K923" s="12">
        <f t="shared" si="242"/>
        <v>0</v>
      </c>
      <c r="M923" s="10">
        <v>32</v>
      </c>
      <c r="N923" s="30"/>
      <c r="O923" s="31"/>
      <c r="P923" s="47"/>
      <c r="Q923" s="31"/>
      <c r="R923" s="31"/>
      <c r="S923" s="32">
        <f t="shared" si="243"/>
        <v>0</v>
      </c>
      <c r="T923" s="10"/>
      <c r="U923" s="10"/>
      <c r="V923" s="10"/>
      <c r="W923" s="12">
        <f t="shared" si="24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5"/>
        <v>0</v>
      </c>
      <c r="AF923" s="10"/>
      <c r="AG923" s="10"/>
      <c r="AH923" s="10"/>
      <c r="AI923" s="12">
        <f t="shared" si="24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1"/>
        <v>0</v>
      </c>
      <c r="H924" s="10"/>
      <c r="I924" s="10"/>
      <c r="J924" s="10"/>
      <c r="K924" s="12">
        <f t="shared" si="242"/>
        <v>0</v>
      </c>
      <c r="M924" s="10">
        <v>33</v>
      </c>
      <c r="N924" s="30"/>
      <c r="O924" s="31"/>
      <c r="P924" s="47"/>
      <c r="Q924" s="31"/>
      <c r="R924" s="31"/>
      <c r="S924" s="32">
        <f t="shared" si="243"/>
        <v>0</v>
      </c>
      <c r="T924" s="10"/>
      <c r="U924" s="10"/>
      <c r="V924" s="10"/>
      <c r="W924" s="12">
        <f t="shared" si="24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5"/>
        <v>0</v>
      </c>
      <c r="AF924" s="10"/>
      <c r="AG924" s="10"/>
      <c r="AH924" s="10"/>
      <c r="AI924" s="12">
        <f t="shared" si="24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1"/>
        <v>0</v>
      </c>
      <c r="H925" s="10"/>
      <c r="I925" s="10"/>
      <c r="J925" s="10"/>
      <c r="K925" s="12">
        <f t="shared" si="242"/>
        <v>0</v>
      </c>
      <c r="M925" s="10">
        <v>34</v>
      </c>
      <c r="N925" s="30"/>
      <c r="O925" s="31"/>
      <c r="P925" s="47"/>
      <c r="Q925" s="31"/>
      <c r="R925" s="31"/>
      <c r="S925" s="32">
        <f t="shared" si="243"/>
        <v>0</v>
      </c>
      <c r="T925" s="10"/>
      <c r="U925" s="10"/>
      <c r="V925" s="10"/>
      <c r="W925" s="12">
        <f t="shared" si="244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45"/>
        <v>0</v>
      </c>
      <c r="AF925" s="10"/>
      <c r="AG925" s="10"/>
      <c r="AH925" s="10"/>
      <c r="AI925" s="12">
        <f t="shared" si="24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P926" s="47"/>
      <c r="Q926" s="31"/>
      <c r="R926" s="31"/>
      <c r="S926" s="32">
        <f t="shared" si="243"/>
        <v>0</v>
      </c>
      <c r="T926" s="10"/>
      <c r="U926" s="10"/>
      <c r="V926" s="10"/>
      <c r="W926" s="12">
        <f t="shared" si="24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5"/>
        <v>0</v>
      </c>
      <c r="AF926" s="10"/>
      <c r="AG926" s="10"/>
      <c r="AH926" s="10"/>
      <c r="AI926" s="12">
        <f t="shared" si="24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3"/>
        <v>0</v>
      </c>
      <c r="T927" s="10"/>
      <c r="U927" s="10"/>
      <c r="V927" s="10"/>
      <c r="W927" s="12">
        <f t="shared" si="24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5"/>
        <v>0</v>
      </c>
      <c r="AF927" s="10"/>
      <c r="AG927" s="10"/>
      <c r="AH927" s="10"/>
      <c r="AI927" s="12">
        <f t="shared" si="24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O928" s="31"/>
      <c r="P928" s="47"/>
      <c r="Q928" s="31"/>
      <c r="R928" s="31"/>
      <c r="S928" s="32">
        <f t="shared" si="243"/>
        <v>0</v>
      </c>
      <c r="T928" s="10"/>
      <c r="U928" s="10"/>
      <c r="V928" s="10"/>
      <c r="W928" s="12">
        <f t="shared" si="24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5"/>
        <v>0</v>
      </c>
      <c r="AF928" s="10"/>
      <c r="AG928" s="10"/>
      <c r="AH928" s="10"/>
      <c r="AI928" s="12">
        <f t="shared" si="24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3"/>
        <v>0</v>
      </c>
      <c r="T929" s="10"/>
      <c r="U929" s="10"/>
      <c r="V929" s="10"/>
      <c r="W929" s="12">
        <f t="shared" si="24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5"/>
        <v>0</v>
      </c>
      <c r="AF929" s="10"/>
      <c r="AG929" s="10"/>
      <c r="AH929" s="10"/>
      <c r="AI929" s="12">
        <f t="shared" si="24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3"/>
        <v>0</v>
      </c>
      <c r="T930" s="10"/>
      <c r="U930" s="10"/>
      <c r="V930" s="10"/>
      <c r="W930" s="12">
        <f t="shared" si="24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5"/>
        <v>0</v>
      </c>
      <c r="AF930" s="10"/>
      <c r="AG930" s="10"/>
      <c r="AH930" s="10"/>
      <c r="AI930" s="12">
        <f t="shared" si="24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4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377761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377761</v>
      </c>
      <c r="H935" s="4"/>
      <c r="I935" s="39">
        <f>SUM(I892:I934)</f>
        <v>13633.5</v>
      </c>
      <c r="J935" s="39">
        <f>SUM(J892:J934)</f>
        <v>-823.5</v>
      </c>
      <c r="K935" s="40">
        <f>SUM(K892:K934)</f>
        <v>390571</v>
      </c>
      <c r="N935" s="57"/>
      <c r="O935" s="57"/>
      <c r="P935" s="38">
        <f>SUM(P892:P934)</f>
        <v>303691.5</v>
      </c>
      <c r="Q935" s="38">
        <f>SUM(Q892:Q916)</f>
        <v>-2598</v>
      </c>
      <c r="R935" s="38">
        <f>SUM(R892:R916)</f>
        <v>0</v>
      </c>
      <c r="S935" s="38">
        <f>SUM(S892:S934)</f>
        <v>301093.5</v>
      </c>
      <c r="T935" s="4"/>
      <c r="U935" s="41">
        <f>SUM(U892:U934)</f>
        <v>1056</v>
      </c>
      <c r="V935" s="41">
        <f>SUM(V892:V916)</f>
        <v>-699</v>
      </c>
      <c r="W935" s="42">
        <f>SUM(W892:W934)</f>
        <v>301450.5</v>
      </c>
      <c r="Z935" s="57"/>
      <c r="AA935" s="57"/>
      <c r="AB935" s="38">
        <f>SUM(AB892:AB934)</f>
        <v>321135</v>
      </c>
      <c r="AC935" s="38">
        <f>SUM(AC892:AC916)</f>
        <v>-2304</v>
      </c>
      <c r="AD935" s="38">
        <f>SUM(AD892:AD916)</f>
        <v>0</v>
      </c>
      <c r="AE935" s="38">
        <f>SUM(AE892:AE934)</f>
        <v>318831</v>
      </c>
      <c r="AF935" s="4"/>
      <c r="AG935" s="41">
        <f>SUM(AG892:AG934)</f>
        <v>1482.75</v>
      </c>
      <c r="AH935" s="41">
        <f>SUM(AH892:AH916)</f>
        <v>-9267</v>
      </c>
      <c r="AI935" s="42">
        <f>SUM(AI892:AI934)</f>
        <v>311046.75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42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42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42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88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0" t="s">
        <v>17</v>
      </c>
      <c r="E945" s="120"/>
      <c r="F945" s="108"/>
      <c r="G945" s="27"/>
      <c r="I945" s="118" t="s">
        <v>18</v>
      </c>
      <c r="J945" s="119"/>
      <c r="K945" s="116" t="s">
        <v>19</v>
      </c>
      <c r="N945" s="25"/>
      <c r="O945" s="26"/>
      <c r="P945" s="120" t="s">
        <v>17</v>
      </c>
      <c r="Q945" s="120"/>
      <c r="R945" s="108"/>
      <c r="S945" s="27"/>
      <c r="U945" s="118" t="s">
        <v>18</v>
      </c>
      <c r="V945" s="119"/>
      <c r="W945" s="116" t="s">
        <v>19</v>
      </c>
      <c r="Z945" s="25"/>
      <c r="AA945" s="26"/>
      <c r="AB945" s="120" t="s">
        <v>17</v>
      </c>
      <c r="AC945" s="120"/>
      <c r="AD945" s="108"/>
      <c r="AE945" s="27"/>
      <c r="AG945" s="118" t="s">
        <v>18</v>
      </c>
      <c r="AH945" s="119"/>
      <c r="AI945" s="116" t="s">
        <v>19</v>
      </c>
      <c r="AK945" s="62"/>
      <c r="AL945" s="65"/>
      <c r="AM945" s="86"/>
      <c r="AN945" s="122"/>
      <c r="AO945" s="122"/>
      <c r="AP945" s="86"/>
      <c r="AQ945" s="86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7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7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7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9817</v>
      </c>
      <c r="D947" s="32">
        <f>650*432+229*13</f>
        <v>283777</v>
      </c>
      <c r="E947" s="32">
        <f>-432*6</f>
        <v>-2592</v>
      </c>
      <c r="F947" s="32"/>
      <c r="G947" s="32">
        <f t="shared" ref="G947:G980" si="255">SUM(D947:E947)</f>
        <v>281185</v>
      </c>
      <c r="H947" s="12"/>
      <c r="I947" s="12">
        <f>27*111+312*1.5+4.5*66</f>
        <v>3762</v>
      </c>
      <c r="J947" s="12"/>
      <c r="K947" s="12">
        <f t="shared" ref="K947:K980" si="256">SUM(G947:J947)</f>
        <v>284947</v>
      </c>
      <c r="M947" s="10">
        <v>1</v>
      </c>
      <c r="N947" s="30" t="s">
        <v>87</v>
      </c>
      <c r="O947" s="31">
        <v>9742</v>
      </c>
      <c r="P947" s="32">
        <f>650*8+700*2+622</f>
        <v>7222</v>
      </c>
      <c r="Q947" s="32"/>
      <c r="R947" s="32"/>
      <c r="S947" s="32">
        <f>SUM(P947:Q947)</f>
        <v>7222</v>
      </c>
      <c r="T947" s="12"/>
      <c r="U947" s="12"/>
      <c r="V947" s="12"/>
      <c r="W947" s="12">
        <f>SUM(S947:V947)</f>
        <v>7222</v>
      </c>
      <c r="Y947" s="10">
        <v>1</v>
      </c>
      <c r="Z947" s="30" t="s">
        <v>87</v>
      </c>
      <c r="AA947" s="31">
        <v>9752</v>
      </c>
      <c r="AB947" s="32">
        <f>650*324+229*13</f>
        <v>213577</v>
      </c>
      <c r="AC947" s="32"/>
      <c r="AD947" s="32"/>
      <c r="AE947" s="32">
        <f>SUM(AB947:AC947)</f>
        <v>213577</v>
      </c>
      <c r="AF947" s="12"/>
      <c r="AG947" s="12"/>
      <c r="AH947" s="12"/>
      <c r="AI947" s="12">
        <f>SUM(AE947:AH947)</f>
        <v>213577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9818</v>
      </c>
      <c r="D948" s="32">
        <f>650*16</f>
        <v>10400</v>
      </c>
      <c r="E948" s="32"/>
      <c r="F948" s="32"/>
      <c r="G948" s="32">
        <f t="shared" si="255"/>
        <v>10400</v>
      </c>
      <c r="H948" s="12"/>
      <c r="I948" s="12"/>
      <c r="J948" s="12"/>
      <c r="K948" s="12">
        <f t="shared" si="256"/>
        <v>10400</v>
      </c>
      <c r="M948" s="10">
        <v>2</v>
      </c>
      <c r="N948" s="30" t="s">
        <v>87</v>
      </c>
      <c r="O948" s="31">
        <f>O947+1</f>
        <v>9743</v>
      </c>
      <c r="P948" s="32">
        <f>650*16+9.5*16</f>
        <v>10552</v>
      </c>
      <c r="Q948" s="32"/>
      <c r="R948" s="32"/>
      <c r="S948" s="32">
        <f t="shared" ref="S948:S985" si="257">SUM(P948:Q948)</f>
        <v>10552</v>
      </c>
      <c r="T948" s="12"/>
      <c r="U948" s="12"/>
      <c r="V948" s="12">
        <v>-444</v>
      </c>
      <c r="W948" s="12">
        <f t="shared" ref="W948:W988" si="258">SUM(S948:V948)</f>
        <v>10108</v>
      </c>
      <c r="Y948" s="10">
        <v>2</v>
      </c>
      <c r="Z948" s="30" t="s">
        <v>87</v>
      </c>
      <c r="AA948" s="31">
        <f>AA947+1</f>
        <v>9753</v>
      </c>
      <c r="AB948" s="32">
        <f>650*40+670+973*2+622*7+912+1050*2+229*2+500*2</f>
        <v>37440</v>
      </c>
      <c r="AC948" s="32"/>
      <c r="AD948" s="32"/>
      <c r="AE948" s="32">
        <f t="shared" ref="AE948:AE985" si="259">SUM(AB948:AC948)</f>
        <v>37440</v>
      </c>
      <c r="AF948" s="12"/>
      <c r="AG948" s="12"/>
      <c r="AH948" s="12"/>
      <c r="AI948" s="12">
        <f t="shared" ref="AI948:AI988" si="260">SUM(AE948:AH948)</f>
        <v>37440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0" si="261">C948+1</f>
        <v>9819</v>
      </c>
      <c r="D949" s="33">
        <f>650*4+9.5*4</f>
        <v>2638</v>
      </c>
      <c r="E949" s="33"/>
      <c r="F949" s="33"/>
      <c r="G949" s="33">
        <f t="shared" si="255"/>
        <v>2638</v>
      </c>
      <c r="H949" s="34"/>
      <c r="I949" s="34"/>
      <c r="J949" s="34"/>
      <c r="K949" s="34">
        <f t="shared" si="256"/>
        <v>2638</v>
      </c>
      <c r="M949" s="10">
        <v>3</v>
      </c>
      <c r="N949" s="30" t="s">
        <v>87</v>
      </c>
      <c r="O949" s="31">
        <f t="shared" ref="O949:O953" si="262">O948+1</f>
        <v>9744</v>
      </c>
      <c r="P949" s="32">
        <f>650*2+622+9.5*3</f>
        <v>1950.5</v>
      </c>
      <c r="Q949" s="32"/>
      <c r="R949" s="32"/>
      <c r="S949" s="32">
        <f t="shared" si="257"/>
        <v>1950.5</v>
      </c>
      <c r="T949" s="12"/>
      <c r="U949" s="12">
        <v>4.5</v>
      </c>
      <c r="V949" s="12">
        <v>-444</v>
      </c>
      <c r="W949" s="12">
        <f t="shared" si="258"/>
        <v>1511</v>
      </c>
      <c r="Y949" s="10">
        <v>3</v>
      </c>
      <c r="Z949" s="30" t="s">
        <v>87</v>
      </c>
      <c r="AA949" s="31">
        <f t="shared" ref="AA949:AA952" si="263">AA948+1</f>
        <v>9754</v>
      </c>
      <c r="AB949" s="33">
        <f>650*50+229*2</f>
        <v>32958</v>
      </c>
      <c r="AC949" s="33"/>
      <c r="AD949" s="32"/>
      <c r="AE949" s="32">
        <f t="shared" si="259"/>
        <v>32958</v>
      </c>
      <c r="AF949" s="12"/>
      <c r="AG949" s="12">
        <v>156</v>
      </c>
      <c r="AH949" s="12"/>
      <c r="AI949" s="12">
        <f t="shared" si="260"/>
        <v>33114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61"/>
        <v>9820</v>
      </c>
      <c r="D950" s="32">
        <f>650*6+670*3</f>
        <v>5910</v>
      </c>
      <c r="E950" s="32"/>
      <c r="F950" s="32"/>
      <c r="G950" s="32">
        <f t="shared" si="255"/>
        <v>5910</v>
      </c>
      <c r="H950" s="12"/>
      <c r="I950" s="12"/>
      <c r="J950" s="12">
        <f>-111*29</f>
        <v>-3219</v>
      </c>
      <c r="K950" s="12">
        <f t="shared" si="256"/>
        <v>2691</v>
      </c>
      <c r="M950" s="10">
        <v>4</v>
      </c>
      <c r="N950" s="30" t="s">
        <v>87</v>
      </c>
      <c r="O950" s="31">
        <f t="shared" si="262"/>
        <v>9745</v>
      </c>
      <c r="P950" s="32">
        <f>650+9.5</f>
        <v>659.5</v>
      </c>
      <c r="Q950" s="32"/>
      <c r="R950" s="32"/>
      <c r="S950" s="32">
        <f t="shared" si="257"/>
        <v>659.5</v>
      </c>
      <c r="T950" s="12"/>
      <c r="U950" s="12"/>
      <c r="V950" s="12"/>
      <c r="W950" s="12">
        <f t="shared" si="258"/>
        <v>659.5</v>
      </c>
      <c r="Y950" s="10">
        <v>4</v>
      </c>
      <c r="Z950" s="30" t="s">
        <v>87</v>
      </c>
      <c r="AA950" s="31">
        <f t="shared" si="263"/>
        <v>9755</v>
      </c>
      <c r="AB950" s="32">
        <f>650*5+670*2+622*3</f>
        <v>6456</v>
      </c>
      <c r="AC950" s="32"/>
      <c r="AD950" s="32"/>
      <c r="AE950" s="32">
        <f t="shared" si="259"/>
        <v>6456</v>
      </c>
      <c r="AF950" s="12"/>
      <c r="AG950" s="58">
        <v>840</v>
      </c>
      <c r="AH950" s="12"/>
      <c r="AI950" s="12">
        <f t="shared" si="260"/>
        <v>7296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55"/>
        <v>0</v>
      </c>
      <c r="H951" s="12"/>
      <c r="I951" s="12"/>
      <c r="J951" s="12"/>
      <c r="K951" s="12">
        <f t="shared" si="256"/>
        <v>0</v>
      </c>
      <c r="M951" s="10">
        <v>5</v>
      </c>
      <c r="N951" s="30" t="s">
        <v>87</v>
      </c>
      <c r="O951" s="31">
        <f t="shared" si="262"/>
        <v>9746</v>
      </c>
      <c r="P951" s="32">
        <f>650*4+622+9.5*5</f>
        <v>3269.5</v>
      </c>
      <c r="Q951" s="32"/>
      <c r="R951" s="32"/>
      <c r="S951" s="32">
        <f t="shared" si="257"/>
        <v>3269.5</v>
      </c>
      <c r="T951" s="12"/>
      <c r="U951" s="12"/>
      <c r="V951" s="12"/>
      <c r="W951" s="12">
        <f t="shared" si="258"/>
        <v>3269.5</v>
      </c>
      <c r="Y951" s="10">
        <v>5</v>
      </c>
      <c r="Z951" s="30" t="s">
        <v>87</v>
      </c>
      <c r="AA951" s="31">
        <f t="shared" si="263"/>
        <v>9756</v>
      </c>
      <c r="AB951" s="32">
        <f>650*7+670</f>
        <v>5220</v>
      </c>
      <c r="AC951" s="32"/>
      <c r="AD951" s="32"/>
      <c r="AE951" s="32">
        <f t="shared" si="259"/>
        <v>5220</v>
      </c>
      <c r="AF951" s="12"/>
      <c r="AG951" s="12"/>
      <c r="AH951" s="12"/>
      <c r="AI951" s="12">
        <f t="shared" si="260"/>
        <v>5220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55"/>
        <v>0</v>
      </c>
      <c r="H952" s="12"/>
      <c r="I952" s="12"/>
      <c r="J952" s="12"/>
      <c r="K952" s="12">
        <f t="shared" si="256"/>
        <v>0</v>
      </c>
      <c r="M952" s="10">
        <v>6</v>
      </c>
      <c r="N952" s="30" t="s">
        <v>87</v>
      </c>
      <c r="O952" s="31">
        <f t="shared" si="262"/>
        <v>9747</v>
      </c>
      <c r="P952" s="32">
        <f>650*140+670*4+229*2</f>
        <v>94138</v>
      </c>
      <c r="Q952" s="32">
        <f>-144*6</f>
        <v>-864</v>
      </c>
      <c r="R952" s="32"/>
      <c r="S952" s="32">
        <f t="shared" si="257"/>
        <v>93274</v>
      </c>
      <c r="T952" s="12"/>
      <c r="U952" s="12">
        <f>48*1.5</f>
        <v>72</v>
      </c>
      <c r="V952" s="10"/>
      <c r="W952" s="12">
        <f t="shared" si="258"/>
        <v>93346</v>
      </c>
      <c r="Y952" s="10">
        <v>6</v>
      </c>
      <c r="Z952" s="30" t="s">
        <v>87</v>
      </c>
      <c r="AA952" s="31">
        <f t="shared" si="263"/>
        <v>9757</v>
      </c>
      <c r="AB952" s="32">
        <f>650*15+670+622*5+229</f>
        <v>13759</v>
      </c>
      <c r="AC952" s="32"/>
      <c r="AD952" s="32"/>
      <c r="AE952" s="32">
        <f t="shared" si="259"/>
        <v>13759</v>
      </c>
      <c r="AF952" s="12"/>
      <c r="AG952" s="12"/>
      <c r="AH952" s="10"/>
      <c r="AI952" s="12">
        <f t="shared" si="260"/>
        <v>13759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55"/>
        <v>0</v>
      </c>
      <c r="H953" s="12"/>
      <c r="I953" s="12"/>
      <c r="J953" s="12"/>
      <c r="K953" s="12">
        <f t="shared" si="256"/>
        <v>0</v>
      </c>
      <c r="M953" s="10">
        <v>7</v>
      </c>
      <c r="N953" s="30" t="s">
        <v>87</v>
      </c>
      <c r="O953" s="31">
        <f t="shared" si="262"/>
        <v>9748</v>
      </c>
      <c r="P953" s="32">
        <f>650*180+622*20+229*6</f>
        <v>130814</v>
      </c>
      <c r="Q953" s="32">
        <f>-200*6</f>
        <v>-1200</v>
      </c>
      <c r="R953" s="32"/>
      <c r="S953" s="32">
        <f t="shared" si="257"/>
        <v>129614</v>
      </c>
      <c r="T953" s="12"/>
      <c r="U953" s="12">
        <v>312</v>
      </c>
      <c r="V953" s="12">
        <f>-3996+-336</f>
        <v>-4332</v>
      </c>
      <c r="W953" s="12">
        <f t="shared" si="258"/>
        <v>125594</v>
      </c>
      <c r="Y953" s="10">
        <v>7</v>
      </c>
      <c r="Z953" s="30"/>
      <c r="AA953" s="11" t="s">
        <v>27</v>
      </c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55"/>
        <v>0</v>
      </c>
      <c r="H954" s="12"/>
      <c r="I954" s="12"/>
      <c r="J954" s="12"/>
      <c r="K954" s="12">
        <f t="shared" si="256"/>
        <v>0</v>
      </c>
      <c r="M954" s="10">
        <v>8</v>
      </c>
      <c r="N954" s="30"/>
      <c r="O954" s="11" t="s">
        <v>27</v>
      </c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55"/>
        <v>0</v>
      </c>
      <c r="H955" s="12"/>
      <c r="I955" s="12"/>
      <c r="J955" s="12"/>
      <c r="K955" s="12">
        <f t="shared" si="256"/>
        <v>0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11"/>
      <c r="AB955" s="32"/>
      <c r="AC955" s="32"/>
      <c r="AD955" s="32"/>
      <c r="AE955" s="32">
        <f t="shared" si="259"/>
        <v>0</v>
      </c>
      <c r="AF955" s="12"/>
      <c r="AH955" s="12"/>
      <c r="AI955" s="12">
        <f t="shared" si="260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55"/>
        <v>0</v>
      </c>
      <c r="H956" s="12"/>
      <c r="I956" s="12"/>
      <c r="J956" s="12"/>
      <c r="K956" s="12">
        <f t="shared" si="256"/>
        <v>0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55"/>
        <v>0</v>
      </c>
      <c r="H957" s="12"/>
      <c r="I957" s="12"/>
      <c r="J957" s="12"/>
      <c r="K957" s="12">
        <f t="shared" si="256"/>
        <v>0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55"/>
        <v>0</v>
      </c>
      <c r="H958" s="12"/>
      <c r="I958" s="12"/>
      <c r="J958" s="10"/>
      <c r="K958" s="12">
        <f t="shared" si="256"/>
        <v>0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11"/>
      <c r="D959" s="32"/>
      <c r="E959" s="32"/>
      <c r="F959" s="32"/>
      <c r="G959" s="32">
        <f t="shared" si="255"/>
        <v>0</v>
      </c>
      <c r="H959" s="12"/>
      <c r="I959" s="12"/>
      <c r="J959" s="12"/>
      <c r="K959" s="12">
        <f t="shared" si="256"/>
        <v>0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O960" s="31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1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O976" s="31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O977" s="31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O980" s="31"/>
      <c r="P980" s="47"/>
      <c r="Q980" s="31"/>
      <c r="R980" s="31"/>
      <c r="S980" s="32">
        <f t="shared" si="257"/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P981" s="47"/>
      <c r="Q981" s="31"/>
      <c r="R981" s="31"/>
      <c r="S981" s="32">
        <f t="shared" si="257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57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O983" s="31"/>
      <c r="P983" s="47"/>
      <c r="Q983" s="31"/>
      <c r="R983" s="31"/>
      <c r="S983" s="32">
        <f t="shared" si="257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57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57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4">SUM(D987:E987)</f>
        <v>0</v>
      </c>
      <c r="H987" s="10"/>
      <c r="I987" s="10"/>
      <c r="J987" s="10"/>
      <c r="K987" s="12">
        <f t="shared" ref="K987" si="265">SUM(G987:J987)</f>
        <v>0</v>
      </c>
      <c r="M987" s="10"/>
      <c r="N987" s="30"/>
      <c r="O987" s="31"/>
      <c r="P987" s="47"/>
      <c r="Q987" s="31"/>
      <c r="R987" s="31"/>
      <c r="S987" s="32">
        <f t="shared" ref="S987" si="266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7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302725</v>
      </c>
      <c r="E990" s="38">
        <f t="shared" ref="E990:F990" si="268">SUM(E947:E987)</f>
        <v>-2592</v>
      </c>
      <c r="F990" s="38">
        <f t="shared" si="268"/>
        <v>0</v>
      </c>
      <c r="G990" s="38">
        <f>SUM(G947:G989)</f>
        <v>300133</v>
      </c>
      <c r="H990" s="4"/>
      <c r="I990" s="39">
        <f>SUM(I947:I989)</f>
        <v>3762</v>
      </c>
      <c r="J990" s="39">
        <f>SUM(J947:J989)</f>
        <v>-3219</v>
      </c>
      <c r="K990" s="40">
        <f>SUM(K947:K989)</f>
        <v>300676</v>
      </c>
      <c r="N990" s="57"/>
      <c r="O990" s="57"/>
      <c r="P990" s="38">
        <f>SUM(P947:P989)</f>
        <v>248605.5</v>
      </c>
      <c r="Q990" s="38">
        <f>SUM(Q947:Q971)</f>
        <v>-2064</v>
      </c>
      <c r="R990" s="38">
        <f>SUM(R947:R971)</f>
        <v>0</v>
      </c>
      <c r="S990" s="38">
        <f>SUM(S947:S989)</f>
        <v>246541.5</v>
      </c>
      <c r="T990" s="4"/>
      <c r="U990" s="41">
        <f>SUM(U947:U989)</f>
        <v>388.5</v>
      </c>
      <c r="V990" s="41">
        <f>SUM(V947:V971)</f>
        <v>-5220</v>
      </c>
      <c r="W990" s="42">
        <f>SUM(W947:W989)</f>
        <v>241710</v>
      </c>
      <c r="Z990" s="57"/>
      <c r="AA990" s="57"/>
      <c r="AB990" s="38">
        <f>SUM(AB947:AB989)</f>
        <v>309410</v>
      </c>
      <c r="AC990" s="38">
        <f>SUM(AC947:AC971)</f>
        <v>0</v>
      </c>
      <c r="AD990" s="38">
        <f>SUM(AD947:AD971)</f>
        <v>0</v>
      </c>
      <c r="AE990" s="38">
        <f>SUM(AE947:AE989)</f>
        <v>309410</v>
      </c>
      <c r="AF990" s="4"/>
      <c r="AG990" s="41">
        <f>SUM(AG947:AG989)</f>
        <v>996</v>
      </c>
      <c r="AH990" s="41">
        <f>SUM(AH947:AH971)</f>
        <v>0</v>
      </c>
      <c r="AI990" s="42">
        <f>SUM(AI947:AI989)</f>
        <v>310406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M997" t="s">
        <v>44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M998" s="21" t="s">
        <v>90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90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88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22"/>
      <c r="E1000" s="122"/>
      <c r="F1000" s="86"/>
      <c r="G1000" s="86"/>
      <c r="H1000" s="62"/>
      <c r="I1000" s="122"/>
      <c r="J1000" s="122"/>
      <c r="K1000" s="121"/>
      <c r="N1000" s="25"/>
      <c r="O1000" s="26"/>
      <c r="P1000" s="120" t="s">
        <v>17</v>
      </c>
      <c r="Q1000" s="120"/>
      <c r="R1000" s="109"/>
      <c r="S1000" s="27"/>
      <c r="U1000" s="118" t="s">
        <v>18</v>
      </c>
      <c r="V1000" s="119"/>
      <c r="W1000" s="116" t="s">
        <v>19</v>
      </c>
      <c r="Z1000" s="25"/>
      <c r="AA1000" s="26"/>
      <c r="AB1000" s="120" t="s">
        <v>17</v>
      </c>
      <c r="AC1000" s="120"/>
      <c r="AD1000" s="109"/>
      <c r="AE1000" s="27"/>
      <c r="AG1000" s="118" t="s">
        <v>18</v>
      </c>
      <c r="AH1000" s="119"/>
      <c r="AI1000" s="116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21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7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7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M1002" s="10">
        <v>1</v>
      </c>
      <c r="N1002" s="30" t="s">
        <v>91</v>
      </c>
      <c r="O1002" s="31">
        <v>9749</v>
      </c>
      <c r="P1002" s="32">
        <f>650*216+229*9</f>
        <v>142461</v>
      </c>
      <c r="Q1002" s="32">
        <f>-216*6</f>
        <v>-1296</v>
      </c>
      <c r="R1002" s="32"/>
      <c r="S1002" s="32">
        <f>SUM(P1002:Q1002)</f>
        <v>141165</v>
      </c>
      <c r="T1002" s="12"/>
      <c r="U1002" s="12">
        <f>71*111+78*8</f>
        <v>8505</v>
      </c>
      <c r="V1002" s="12">
        <v>-1680</v>
      </c>
      <c r="W1002" s="12">
        <f>SUM(S1002:V1002)</f>
        <v>147990</v>
      </c>
      <c r="Y1002" s="10">
        <v>1</v>
      </c>
      <c r="Z1002" s="30" t="s">
        <v>91</v>
      </c>
      <c r="AA1002" s="31">
        <v>9699</v>
      </c>
      <c r="AB1002" s="32">
        <f>650*166+622*50+229*10</f>
        <v>141290</v>
      </c>
      <c r="AC1002" s="32"/>
      <c r="AD1002" s="32"/>
      <c r="AE1002" s="32">
        <f>SUM(AB1002:AC1002)</f>
        <v>141290</v>
      </c>
      <c r="AF1002" s="12"/>
      <c r="AG1002" s="12">
        <f>54*111+1.5*206+4.5*84</f>
        <v>6681</v>
      </c>
      <c r="AH1002" s="12"/>
      <c r="AI1002" s="12">
        <f>SUM(AE1002:AH1002)</f>
        <v>147971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M1003" s="10">
        <v>2</v>
      </c>
      <c r="N1003" s="30" t="s">
        <v>91</v>
      </c>
      <c r="O1003" s="31">
        <f>O1002+1</f>
        <v>9750</v>
      </c>
      <c r="P1003" s="32">
        <f>650*39+670*2</f>
        <v>26690</v>
      </c>
      <c r="Q1003" s="32"/>
      <c r="R1003" s="32"/>
      <c r="S1003" s="32">
        <f t="shared" ref="S1003:S1040" si="269">SUM(P1003:Q1003)</f>
        <v>26690</v>
      </c>
      <c r="T1003" s="12"/>
      <c r="U1003" s="12">
        <f>4.5*19+2.25*3</f>
        <v>92.25</v>
      </c>
      <c r="V1003" s="12"/>
      <c r="W1003" s="12">
        <f t="shared" ref="W1003:W1043" si="270">SUM(S1003:V1003)</f>
        <v>26782.25</v>
      </c>
      <c r="Y1003" s="10">
        <v>2</v>
      </c>
      <c r="Z1003" s="30" t="s">
        <v>91</v>
      </c>
      <c r="AA1003" s="31">
        <f>AA1002+1</f>
        <v>9700</v>
      </c>
      <c r="AB1003" s="32">
        <f>650*245+622*25+229*7</f>
        <v>176403</v>
      </c>
      <c r="AC1003" s="32">
        <f>-270*6</f>
        <v>-1620</v>
      </c>
      <c r="AD1003" s="32"/>
      <c r="AE1003" s="32">
        <f t="shared" ref="AE1003:AE1040" si="271">SUM(AB1003:AC1003)</f>
        <v>174783</v>
      </c>
      <c r="AF1003" s="12"/>
      <c r="AG1003" s="12">
        <f>78*2+1.5*61</f>
        <v>247.5</v>
      </c>
      <c r="AH1003" s="12"/>
      <c r="AI1003" s="12">
        <f t="shared" ref="AI1003:AI1043" si="272">SUM(AE1003:AH1003)</f>
        <v>175030.5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M1004" s="10">
        <v>3</v>
      </c>
      <c r="N1004" s="30" t="s">
        <v>91</v>
      </c>
      <c r="O1004" s="31">
        <v>9851</v>
      </c>
      <c r="P1004" s="32">
        <f>650*20+9.5*20</f>
        <v>13190</v>
      </c>
      <c r="Q1004" s="32"/>
      <c r="R1004" s="32"/>
      <c r="S1004" s="32">
        <f t="shared" si="269"/>
        <v>13190</v>
      </c>
      <c r="T1004" s="12"/>
      <c r="U1004" s="12">
        <v>30</v>
      </c>
      <c r="V1004" s="12"/>
      <c r="W1004" s="12">
        <f t="shared" si="270"/>
        <v>13220</v>
      </c>
      <c r="Y1004" s="10">
        <v>3</v>
      </c>
      <c r="Z1004" s="30" t="s">
        <v>91</v>
      </c>
      <c r="AA1004" s="31">
        <v>9758</v>
      </c>
      <c r="AB1004" s="33">
        <f>650*29+872</f>
        <v>19722</v>
      </c>
      <c r="AC1004" s="33"/>
      <c r="AD1004" s="32"/>
      <c r="AE1004" s="32">
        <f t="shared" si="271"/>
        <v>19722</v>
      </c>
      <c r="AF1004" s="12"/>
      <c r="AG1004" s="12"/>
      <c r="AH1004" s="12"/>
      <c r="AI1004" s="12">
        <f t="shared" si="272"/>
        <v>19722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M1005" s="10">
        <v>4</v>
      </c>
      <c r="N1005" s="30" t="s">
        <v>91</v>
      </c>
      <c r="O1005" s="31">
        <f t="shared" ref="O1005:O1006" si="273">O1004+1</f>
        <v>9852</v>
      </c>
      <c r="P1005" s="32">
        <f>650*20+9.5*20</f>
        <v>13190</v>
      </c>
      <c r="Q1005" s="32"/>
      <c r="R1005" s="32"/>
      <c r="S1005" s="32">
        <f t="shared" si="269"/>
        <v>13190</v>
      </c>
      <c r="T1005" s="12"/>
      <c r="U1005" s="12"/>
      <c r="V1005" s="12">
        <v>-777</v>
      </c>
      <c r="W1005" s="12">
        <f t="shared" si="270"/>
        <v>12413</v>
      </c>
      <c r="Y1005" s="10">
        <v>4</v>
      </c>
      <c r="Z1005" s="30" t="s">
        <v>91</v>
      </c>
      <c r="AA1005" s="31">
        <f t="shared" ref="AA1005:AA1007" si="274">AA1004+1</f>
        <v>9759</v>
      </c>
      <c r="AB1005" s="32">
        <f>650*14+670</f>
        <v>9770</v>
      </c>
      <c r="AC1005" s="32"/>
      <c r="AD1005" s="32"/>
      <c r="AE1005" s="32">
        <f t="shared" si="271"/>
        <v>9770</v>
      </c>
      <c r="AF1005" s="12"/>
      <c r="AG1005" s="58"/>
      <c r="AH1005" s="12"/>
      <c r="AI1005" s="12">
        <f t="shared" si="272"/>
        <v>9770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M1006" s="10">
        <v>5</v>
      </c>
      <c r="N1006" s="30" t="s">
        <v>91</v>
      </c>
      <c r="O1006" s="31">
        <f t="shared" si="273"/>
        <v>9853</v>
      </c>
      <c r="P1006" s="32">
        <f>650*3+670</f>
        <v>2620</v>
      </c>
      <c r="Q1006" s="32"/>
      <c r="R1006" s="32"/>
      <c r="S1006" s="32">
        <f t="shared" si="269"/>
        <v>2620</v>
      </c>
      <c r="T1006" s="12"/>
      <c r="U1006" s="12"/>
      <c r="V1006" s="12"/>
      <c r="W1006" s="12">
        <f t="shared" si="270"/>
        <v>2620</v>
      </c>
      <c r="Y1006" s="10">
        <v>5</v>
      </c>
      <c r="Z1006" s="30" t="s">
        <v>91</v>
      </c>
      <c r="AA1006" s="31">
        <f t="shared" si="274"/>
        <v>9760</v>
      </c>
      <c r="AB1006" s="32">
        <f>650*15+670+872*2+500</f>
        <v>12664</v>
      </c>
      <c r="AC1006" s="32"/>
      <c r="AD1006" s="32"/>
      <c r="AE1006" s="32">
        <f t="shared" si="271"/>
        <v>12664</v>
      </c>
      <c r="AF1006" s="12"/>
      <c r="AG1006" s="12"/>
      <c r="AH1006" s="12">
        <v>-1776</v>
      </c>
      <c r="AI1006" s="12">
        <f t="shared" si="272"/>
        <v>10888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M1007" s="10">
        <v>6</v>
      </c>
      <c r="N1007" s="30"/>
      <c r="O1007" s="11" t="s">
        <v>27</v>
      </c>
      <c r="P1007" s="32"/>
      <c r="Q1007" s="32"/>
      <c r="R1007" s="32"/>
      <c r="S1007" s="32">
        <f t="shared" si="269"/>
        <v>0</v>
      </c>
      <c r="T1007" s="12"/>
      <c r="U1007" s="12"/>
      <c r="V1007" s="10"/>
      <c r="W1007" s="12">
        <f t="shared" si="270"/>
        <v>0</v>
      </c>
      <c r="Y1007" s="10">
        <v>6</v>
      </c>
      <c r="Z1007" s="30" t="s">
        <v>91</v>
      </c>
      <c r="AA1007" s="31">
        <f t="shared" si="274"/>
        <v>9761</v>
      </c>
      <c r="AB1007" s="32">
        <f>650*10</f>
        <v>6500</v>
      </c>
      <c r="AC1007" s="32">
        <f>-10*6</f>
        <v>-60</v>
      </c>
      <c r="AD1007" s="32"/>
      <c r="AE1007" s="32">
        <f t="shared" si="271"/>
        <v>6440</v>
      </c>
      <c r="AF1007" s="12"/>
      <c r="AG1007" s="12"/>
      <c r="AH1007" s="10"/>
      <c r="AI1007" s="12">
        <f t="shared" si="272"/>
        <v>6440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M1008" s="10">
        <v>7</v>
      </c>
      <c r="N1008" s="30"/>
      <c r="O1008" s="31"/>
      <c r="P1008" s="32"/>
      <c r="Q1008" s="32"/>
      <c r="R1008" s="32"/>
      <c r="S1008" s="32">
        <f t="shared" si="269"/>
        <v>0</v>
      </c>
      <c r="T1008" s="12"/>
      <c r="U1008" s="12"/>
      <c r="V1008" s="12"/>
      <c r="W1008" s="12">
        <f t="shared" si="270"/>
        <v>0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1"/>
        <v>0</v>
      </c>
      <c r="AF1008" s="12"/>
      <c r="AG1008" s="58"/>
      <c r="AH1008" s="12"/>
      <c r="AI1008" s="12">
        <f t="shared" si="272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M1009" s="10">
        <v>8</v>
      </c>
      <c r="N1009" s="30"/>
      <c r="O1009" s="11"/>
      <c r="P1009" s="32"/>
      <c r="Q1009" s="32"/>
      <c r="R1009" s="32"/>
      <c r="S1009" s="32">
        <f t="shared" si="269"/>
        <v>0</v>
      </c>
      <c r="T1009" s="12"/>
      <c r="U1009" s="12"/>
      <c r="V1009" s="12"/>
      <c r="W1009" s="12">
        <f t="shared" si="270"/>
        <v>0</v>
      </c>
      <c r="Y1009" s="10">
        <v>8</v>
      </c>
      <c r="Z1009" s="30"/>
      <c r="AA1009" s="31"/>
      <c r="AB1009" s="32"/>
      <c r="AC1009" s="32"/>
      <c r="AE1009" s="32">
        <f t="shared" si="271"/>
        <v>0</v>
      </c>
      <c r="AF1009" s="12"/>
      <c r="AG1009" s="12"/>
      <c r="AH1009" s="12"/>
      <c r="AI1009" s="12">
        <f t="shared" si="272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M1010" s="10">
        <v>9</v>
      </c>
      <c r="N1010" s="30"/>
      <c r="O1010" s="31"/>
      <c r="P1010" s="32"/>
      <c r="Q1010" s="32"/>
      <c r="R1010" s="32"/>
      <c r="S1010" s="32">
        <f t="shared" si="269"/>
        <v>0</v>
      </c>
      <c r="T1010" s="12"/>
      <c r="U1010" s="12"/>
      <c r="V1010" s="12"/>
      <c r="W1010" s="12">
        <f t="shared" si="270"/>
        <v>0</v>
      </c>
      <c r="Y1010" s="10">
        <v>9</v>
      </c>
      <c r="Z1010" s="30"/>
      <c r="AA1010" s="11"/>
      <c r="AB1010" s="32"/>
      <c r="AC1010" s="32"/>
      <c r="AD1010" s="32"/>
      <c r="AE1010" s="32">
        <f t="shared" si="271"/>
        <v>0</v>
      </c>
      <c r="AF1010" s="12"/>
      <c r="AH1010" s="12"/>
      <c r="AI1010" s="12">
        <f t="shared" si="27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M1011" s="10">
        <v>10</v>
      </c>
      <c r="N1011" s="30"/>
      <c r="O1011" s="31"/>
      <c r="P1011" s="32"/>
      <c r="Q1011" s="32"/>
      <c r="R1011" s="32"/>
      <c r="S1011" s="32">
        <f t="shared" si="269"/>
        <v>0</v>
      </c>
      <c r="T1011" s="12"/>
      <c r="U1011" s="12"/>
      <c r="V1011" s="12"/>
      <c r="W1011" s="12">
        <f t="shared" si="27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71"/>
        <v>0</v>
      </c>
      <c r="AF1011" s="12"/>
      <c r="AG1011" s="12"/>
      <c r="AH1011" s="12"/>
      <c r="AI1011" s="12">
        <f t="shared" si="27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M1012" s="10">
        <v>11</v>
      </c>
      <c r="N1012" s="30"/>
      <c r="O1012" s="31"/>
      <c r="P1012" s="32"/>
      <c r="Q1012" s="32"/>
      <c r="R1012" s="32"/>
      <c r="S1012" s="32">
        <f t="shared" si="269"/>
        <v>0</v>
      </c>
      <c r="T1012" s="12"/>
      <c r="U1012" s="12"/>
      <c r="V1012" s="12"/>
      <c r="W1012" s="12">
        <f t="shared" si="27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71"/>
        <v>0</v>
      </c>
      <c r="AF1012" s="12"/>
      <c r="AG1012" s="12"/>
      <c r="AH1012" s="12"/>
      <c r="AI1012" s="12">
        <f t="shared" si="27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M1013" s="10">
        <v>12</v>
      </c>
      <c r="N1013" s="30"/>
      <c r="O1013" s="31"/>
      <c r="P1013" s="32"/>
      <c r="Q1013" s="32"/>
      <c r="R1013" s="32"/>
      <c r="S1013" s="32">
        <f t="shared" si="269"/>
        <v>0</v>
      </c>
      <c r="T1013" s="12"/>
      <c r="U1013" s="12"/>
      <c r="V1013" s="12"/>
      <c r="W1013" s="12">
        <f t="shared" si="270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1"/>
        <v>0</v>
      </c>
      <c r="AF1013" s="12"/>
      <c r="AG1013" s="12"/>
      <c r="AH1013" s="12"/>
      <c r="AI1013" s="12">
        <f t="shared" si="27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M1014" s="10">
        <v>13</v>
      </c>
      <c r="N1014" s="30"/>
      <c r="O1014" s="31"/>
      <c r="P1014" s="32"/>
      <c r="Q1014" s="32"/>
      <c r="R1014" s="32"/>
      <c r="S1014" s="32">
        <f t="shared" si="269"/>
        <v>0</v>
      </c>
      <c r="T1014" s="12"/>
      <c r="U1014" s="12"/>
      <c r="V1014" s="12"/>
      <c r="W1014" s="12">
        <f t="shared" si="270"/>
        <v>0</v>
      </c>
      <c r="Y1014" s="10">
        <v>13</v>
      </c>
      <c r="Z1014" s="30"/>
      <c r="AB1014" s="32"/>
      <c r="AC1014" s="32"/>
      <c r="AD1014" s="32"/>
      <c r="AE1014" s="32">
        <f t="shared" si="271"/>
        <v>0</v>
      </c>
      <c r="AF1014" s="12"/>
      <c r="AG1014" s="12"/>
      <c r="AH1014" s="12"/>
      <c r="AI1014" s="12">
        <f t="shared" si="27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M1015" s="10">
        <v>14</v>
      </c>
      <c r="N1015" s="30"/>
      <c r="O1015" s="31"/>
      <c r="P1015" s="32"/>
      <c r="Q1015" s="32"/>
      <c r="R1015" s="32"/>
      <c r="S1015" s="32">
        <f t="shared" si="269"/>
        <v>0</v>
      </c>
      <c r="T1015" s="12"/>
      <c r="U1015" s="12"/>
      <c r="V1015" s="12"/>
      <c r="W1015" s="12">
        <f t="shared" si="27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1"/>
        <v>0</v>
      </c>
      <c r="AF1015" s="12"/>
      <c r="AG1015" s="12"/>
      <c r="AH1015" s="12"/>
      <c r="AI1015" s="12">
        <f t="shared" si="27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M1016" s="10">
        <v>15</v>
      </c>
      <c r="N1016" s="30"/>
      <c r="O1016" s="31"/>
      <c r="P1016" s="32"/>
      <c r="Q1016" s="32"/>
      <c r="R1016" s="32"/>
      <c r="S1016" s="32">
        <f t="shared" si="269"/>
        <v>0</v>
      </c>
      <c r="T1016" s="12"/>
      <c r="U1016" s="12"/>
      <c r="V1016" s="12"/>
      <c r="W1016" s="12">
        <f t="shared" si="27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1"/>
        <v>0</v>
      </c>
      <c r="AF1016" s="12"/>
      <c r="AG1016" s="12"/>
      <c r="AH1016" s="12"/>
      <c r="AI1016" s="12">
        <f t="shared" si="27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M1017" s="10">
        <v>16</v>
      </c>
      <c r="N1017" s="30"/>
      <c r="O1017" s="11"/>
      <c r="P1017" s="32"/>
      <c r="Q1017" s="32"/>
      <c r="R1017" s="32"/>
      <c r="S1017" s="32">
        <f t="shared" si="269"/>
        <v>0</v>
      </c>
      <c r="T1017" s="12"/>
      <c r="U1017" s="12"/>
      <c r="V1017" s="12"/>
      <c r="W1017" s="12">
        <f t="shared" si="27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71"/>
        <v>0</v>
      </c>
      <c r="AF1017" s="12"/>
      <c r="AG1017" s="12"/>
      <c r="AH1017" s="12"/>
      <c r="AI1017" s="12">
        <f t="shared" si="27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M1018" s="10">
        <v>17</v>
      </c>
      <c r="N1018" s="30"/>
      <c r="O1018" s="31"/>
      <c r="P1018" s="35"/>
      <c r="Q1018" s="32"/>
      <c r="R1018" s="32"/>
      <c r="S1018" s="32">
        <f t="shared" si="269"/>
        <v>0</v>
      </c>
      <c r="T1018" s="12"/>
      <c r="U1018" s="12"/>
      <c r="V1018" s="12"/>
      <c r="W1018" s="12">
        <f t="shared" si="27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1"/>
        <v>0</v>
      </c>
      <c r="AF1018" s="12"/>
      <c r="AG1018" s="12"/>
      <c r="AH1018" s="12"/>
      <c r="AI1018" s="12">
        <f t="shared" si="27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M1019" s="10">
        <v>18</v>
      </c>
      <c r="N1019" s="30"/>
      <c r="O1019" s="31"/>
      <c r="P1019" s="32"/>
      <c r="Q1019" s="32"/>
      <c r="R1019" s="32"/>
      <c r="S1019" s="32">
        <f t="shared" si="269"/>
        <v>0</v>
      </c>
      <c r="T1019" s="12"/>
      <c r="U1019" s="12"/>
      <c r="V1019" s="12"/>
      <c r="W1019" s="12">
        <f t="shared" si="270"/>
        <v>0</v>
      </c>
      <c r="Y1019" s="10">
        <v>18</v>
      </c>
      <c r="Z1019" s="30"/>
      <c r="AB1019" s="32"/>
      <c r="AC1019" s="32"/>
      <c r="AD1019" s="32"/>
      <c r="AE1019" s="32">
        <f t="shared" si="271"/>
        <v>0</v>
      </c>
      <c r="AF1019" s="12"/>
      <c r="AG1019" s="12"/>
      <c r="AH1019" s="12"/>
      <c r="AI1019" s="12">
        <f t="shared" si="27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M1020" s="10">
        <v>19</v>
      </c>
      <c r="N1020" s="30"/>
      <c r="O1020" s="31"/>
      <c r="P1020" s="32"/>
      <c r="Q1020" s="32"/>
      <c r="R1020" s="32"/>
      <c r="S1020" s="32">
        <f t="shared" si="269"/>
        <v>0</v>
      </c>
      <c r="T1020" s="12"/>
      <c r="U1020" s="12"/>
      <c r="V1020" s="12"/>
      <c r="W1020" s="12">
        <f t="shared" si="27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1"/>
        <v>0</v>
      </c>
      <c r="AF1020" s="12"/>
      <c r="AG1020" s="12"/>
      <c r="AH1020" s="12"/>
      <c r="AI1020" s="12">
        <f t="shared" si="27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M1021" s="10">
        <v>20</v>
      </c>
      <c r="N1021" s="30"/>
      <c r="O1021" s="31"/>
      <c r="P1021" s="32"/>
      <c r="Q1021" s="32"/>
      <c r="R1021" s="32"/>
      <c r="S1021" s="32">
        <f t="shared" si="269"/>
        <v>0</v>
      </c>
      <c r="T1021" s="12"/>
      <c r="U1021" s="12"/>
      <c r="V1021" s="12"/>
      <c r="W1021" s="12">
        <f t="shared" si="270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1"/>
        <v>0</v>
      </c>
      <c r="AF1021" s="12"/>
      <c r="AG1021" s="12"/>
      <c r="AH1021" s="12"/>
      <c r="AI1021" s="12">
        <f t="shared" si="27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M1022" s="10">
        <v>21</v>
      </c>
      <c r="N1022" s="30"/>
      <c r="O1022" s="31"/>
      <c r="P1022" s="46"/>
      <c r="Q1022" s="31"/>
      <c r="R1022" s="31"/>
      <c r="S1022" s="32">
        <f t="shared" si="269"/>
        <v>0</v>
      </c>
      <c r="T1022" s="10"/>
      <c r="U1022" s="10"/>
      <c r="V1022" s="10"/>
      <c r="W1022" s="12">
        <f t="shared" si="27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71"/>
        <v>0</v>
      </c>
      <c r="AF1022" s="10"/>
      <c r="AG1022" s="10"/>
      <c r="AH1022" s="10"/>
      <c r="AI1022" s="12">
        <f t="shared" si="27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M1023" s="10">
        <v>22</v>
      </c>
      <c r="N1023" s="30"/>
      <c r="O1023" s="31"/>
      <c r="P1023" s="45"/>
      <c r="Q1023" s="31"/>
      <c r="R1023" s="31"/>
      <c r="S1023" s="32">
        <f t="shared" si="269"/>
        <v>0</v>
      </c>
      <c r="T1023" s="10"/>
      <c r="U1023" s="10"/>
      <c r="V1023" s="10"/>
      <c r="W1023" s="12">
        <f t="shared" si="27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1"/>
        <v>0</v>
      </c>
      <c r="AF1023" s="10"/>
      <c r="AG1023" s="10"/>
      <c r="AH1023" s="10"/>
      <c r="AI1023" s="12">
        <f t="shared" si="27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M1024" s="10">
        <v>23</v>
      </c>
      <c r="N1024" s="30"/>
      <c r="O1024" s="31"/>
      <c r="P1024" s="47"/>
      <c r="Q1024" s="31"/>
      <c r="S1024" s="32">
        <f t="shared" si="269"/>
        <v>0</v>
      </c>
      <c r="T1024" s="10"/>
      <c r="U1024" s="10"/>
      <c r="V1024" s="10"/>
      <c r="W1024" s="12">
        <f t="shared" si="270"/>
        <v>0</v>
      </c>
      <c r="Y1024" s="10">
        <v>23</v>
      </c>
      <c r="Z1024" s="30"/>
      <c r="AA1024" s="31"/>
      <c r="AB1024" s="47"/>
      <c r="AE1024" s="32">
        <f t="shared" si="271"/>
        <v>0</v>
      </c>
      <c r="AF1024" s="10"/>
      <c r="AG1024" s="10"/>
      <c r="AH1024" s="10"/>
      <c r="AI1024" s="12">
        <f t="shared" si="27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M1025" s="10">
        <v>24</v>
      </c>
      <c r="N1025" s="30"/>
      <c r="O1025" s="31"/>
      <c r="P1025" s="47"/>
      <c r="Q1025" s="31"/>
      <c r="R1025" s="31"/>
      <c r="S1025" s="32">
        <f t="shared" si="269"/>
        <v>0</v>
      </c>
      <c r="T1025" s="10"/>
      <c r="U1025" s="10"/>
      <c r="V1025" s="10"/>
      <c r="W1025" s="12">
        <f t="shared" si="27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1"/>
        <v>0</v>
      </c>
      <c r="AF1025" s="10"/>
      <c r="AG1025" s="10"/>
      <c r="AH1025" s="10"/>
      <c r="AI1025" s="12">
        <f t="shared" si="27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M1026" s="10">
        <v>25</v>
      </c>
      <c r="N1026" s="30"/>
      <c r="O1026" s="31"/>
      <c r="P1026" s="47"/>
      <c r="Q1026" s="31"/>
      <c r="R1026" s="31"/>
      <c r="S1026" s="32">
        <f t="shared" si="269"/>
        <v>0</v>
      </c>
      <c r="T1026" s="10"/>
      <c r="U1026" s="10"/>
      <c r="V1026" s="10"/>
      <c r="W1026" s="12">
        <f t="shared" si="27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1"/>
        <v>0</v>
      </c>
      <c r="AF1026" s="10"/>
      <c r="AG1026" s="10"/>
      <c r="AH1026" s="10"/>
      <c r="AI1026" s="12">
        <f t="shared" si="27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M1027" s="10">
        <v>26</v>
      </c>
      <c r="N1027" s="30"/>
      <c r="O1027" s="31"/>
      <c r="P1027" s="47"/>
      <c r="Q1027" s="31"/>
      <c r="R1027" s="31"/>
      <c r="S1027" s="32">
        <f t="shared" si="269"/>
        <v>0</v>
      </c>
      <c r="T1027" s="10"/>
      <c r="U1027" s="10"/>
      <c r="V1027" s="10"/>
      <c r="W1027" s="12">
        <f t="shared" si="27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1"/>
        <v>0</v>
      </c>
      <c r="AF1027" s="10"/>
      <c r="AG1027" s="10"/>
      <c r="AH1027" s="10"/>
      <c r="AI1027" s="12">
        <f t="shared" si="27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M1028" s="10">
        <v>27</v>
      </c>
      <c r="N1028" s="30"/>
      <c r="O1028" s="31"/>
      <c r="P1028" s="47"/>
      <c r="Q1028" s="31"/>
      <c r="R1028" s="31"/>
      <c r="S1028" s="32">
        <f t="shared" si="269"/>
        <v>0</v>
      </c>
      <c r="T1028" s="10"/>
      <c r="U1028" s="10"/>
      <c r="V1028" s="10"/>
      <c r="W1028" s="12">
        <f t="shared" si="27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1"/>
        <v>0</v>
      </c>
      <c r="AF1028" s="10"/>
      <c r="AG1028" s="10"/>
      <c r="AH1028" s="10"/>
      <c r="AI1028" s="12">
        <f t="shared" si="27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M1029" s="10">
        <v>28</v>
      </c>
      <c r="N1029" s="30"/>
      <c r="O1029" s="31"/>
      <c r="P1029" s="47"/>
      <c r="Q1029" s="31"/>
      <c r="R1029" s="31"/>
      <c r="S1029" s="32">
        <f t="shared" si="269"/>
        <v>0</v>
      </c>
      <c r="T1029" s="10"/>
      <c r="U1029" s="10"/>
      <c r="V1029" s="10"/>
      <c r="W1029" s="12">
        <f t="shared" si="27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1"/>
        <v>0</v>
      </c>
      <c r="AF1029" s="10"/>
      <c r="AG1029" s="10"/>
      <c r="AH1029" s="10"/>
      <c r="AI1029" s="12">
        <f t="shared" si="27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M1030" s="10">
        <v>29</v>
      </c>
      <c r="N1030" s="30"/>
      <c r="O1030" s="31"/>
      <c r="P1030" s="47"/>
      <c r="Q1030" s="31"/>
      <c r="R1030" s="31"/>
      <c r="S1030" s="32">
        <f t="shared" si="269"/>
        <v>0</v>
      </c>
      <c r="T1030" s="10"/>
      <c r="U1030" s="10"/>
      <c r="V1030" s="10"/>
      <c r="W1030" s="12">
        <f t="shared" si="27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1"/>
        <v>0</v>
      </c>
      <c r="AF1030" s="10"/>
      <c r="AG1030" s="10"/>
      <c r="AH1030" s="10"/>
      <c r="AI1030" s="12">
        <f t="shared" si="27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M1031" s="10">
        <v>30</v>
      </c>
      <c r="N1031" s="30"/>
      <c r="O1031" s="31"/>
      <c r="P1031" s="47"/>
      <c r="Q1031" s="31"/>
      <c r="R1031" s="31"/>
      <c r="S1031" s="32">
        <f t="shared" si="269"/>
        <v>0</v>
      </c>
      <c r="T1031" s="10"/>
      <c r="U1031" s="10"/>
      <c r="V1031" s="10"/>
      <c r="W1031" s="12">
        <f t="shared" si="270"/>
        <v>0</v>
      </c>
      <c r="Y1031" s="10">
        <v>30</v>
      </c>
      <c r="Z1031" s="30"/>
      <c r="AB1031" s="47"/>
      <c r="AC1031" s="31"/>
      <c r="AD1031" s="31"/>
      <c r="AE1031" s="32">
        <f t="shared" si="271"/>
        <v>0</v>
      </c>
      <c r="AF1031" s="10"/>
      <c r="AG1031" s="10"/>
      <c r="AH1031" s="10"/>
      <c r="AI1031" s="12">
        <f t="shared" si="27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M1032" s="10">
        <v>31</v>
      </c>
      <c r="N1032" s="30"/>
      <c r="O1032" s="31"/>
      <c r="P1032" s="47"/>
      <c r="Q1032" s="31"/>
      <c r="R1032" s="31"/>
      <c r="S1032" s="32">
        <f t="shared" si="269"/>
        <v>0</v>
      </c>
      <c r="T1032" s="10"/>
      <c r="U1032" s="10"/>
      <c r="V1032" s="10"/>
      <c r="W1032" s="12">
        <f t="shared" si="27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71"/>
        <v>0</v>
      </c>
      <c r="AF1032" s="10"/>
      <c r="AG1032" s="10"/>
      <c r="AH1032" s="10"/>
      <c r="AI1032" s="12">
        <f t="shared" si="27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M1033" s="10">
        <v>32</v>
      </c>
      <c r="N1033" s="30"/>
      <c r="O1033" s="31"/>
      <c r="P1033" s="47"/>
      <c r="Q1033" s="31"/>
      <c r="R1033" s="31"/>
      <c r="S1033" s="32">
        <f t="shared" si="269"/>
        <v>0</v>
      </c>
      <c r="T1033" s="10"/>
      <c r="U1033" s="10"/>
      <c r="V1033" s="10"/>
      <c r="W1033" s="12">
        <f t="shared" si="27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1"/>
        <v>0</v>
      </c>
      <c r="AF1033" s="10"/>
      <c r="AG1033" s="10"/>
      <c r="AH1033" s="10"/>
      <c r="AI1033" s="12">
        <f t="shared" si="27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M1034" s="10">
        <v>33</v>
      </c>
      <c r="N1034" s="30"/>
      <c r="O1034" s="31"/>
      <c r="P1034" s="47"/>
      <c r="Q1034" s="31"/>
      <c r="R1034" s="31"/>
      <c r="S1034" s="32">
        <f t="shared" si="269"/>
        <v>0</v>
      </c>
      <c r="T1034" s="10"/>
      <c r="U1034" s="10"/>
      <c r="V1034" s="10"/>
      <c r="W1034" s="12">
        <f t="shared" si="27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1"/>
        <v>0</v>
      </c>
      <c r="AF1034" s="10"/>
      <c r="AG1034" s="10"/>
      <c r="AH1034" s="10"/>
      <c r="AI1034" s="12">
        <f t="shared" si="27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M1035" s="10">
        <v>34</v>
      </c>
      <c r="N1035" s="30"/>
      <c r="O1035" s="31"/>
      <c r="P1035" s="47"/>
      <c r="Q1035" s="31"/>
      <c r="R1035" s="31"/>
      <c r="S1035" s="32">
        <f t="shared" si="269"/>
        <v>0</v>
      </c>
      <c r="T1035" s="10"/>
      <c r="U1035" s="10"/>
      <c r="V1035" s="10"/>
      <c r="W1035" s="12">
        <f t="shared" si="27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71"/>
        <v>0</v>
      </c>
      <c r="AF1035" s="10"/>
      <c r="AG1035" s="10"/>
      <c r="AH1035" s="10"/>
      <c r="AI1035" s="12">
        <f t="shared" si="27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M1036" s="10">
        <v>35</v>
      </c>
      <c r="N1036" s="30"/>
      <c r="P1036" s="47"/>
      <c r="Q1036" s="31"/>
      <c r="R1036" s="31"/>
      <c r="S1036" s="32">
        <f t="shared" si="269"/>
        <v>0</v>
      </c>
      <c r="T1036" s="10"/>
      <c r="U1036" s="10"/>
      <c r="V1036" s="10"/>
      <c r="W1036" s="12">
        <f t="shared" si="27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1"/>
        <v>0</v>
      </c>
      <c r="AF1036" s="10"/>
      <c r="AG1036" s="10"/>
      <c r="AH1036" s="10"/>
      <c r="AI1036" s="12">
        <f t="shared" si="27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M1037" s="10">
        <v>36</v>
      </c>
      <c r="N1037" s="30"/>
      <c r="O1037" s="31"/>
      <c r="P1037" s="47"/>
      <c r="Q1037" s="31"/>
      <c r="R1037" s="31"/>
      <c r="S1037" s="32">
        <f t="shared" si="269"/>
        <v>0</v>
      </c>
      <c r="T1037" s="10"/>
      <c r="U1037" s="10"/>
      <c r="V1037" s="10"/>
      <c r="W1037" s="12">
        <f t="shared" si="27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1"/>
        <v>0</v>
      </c>
      <c r="AF1037" s="10"/>
      <c r="AG1037" s="10"/>
      <c r="AH1037" s="10"/>
      <c r="AI1037" s="12">
        <f t="shared" si="27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M1038" s="10">
        <v>37</v>
      </c>
      <c r="N1038" s="30"/>
      <c r="O1038" s="31"/>
      <c r="P1038" s="47"/>
      <c r="Q1038" s="31"/>
      <c r="R1038" s="31"/>
      <c r="S1038" s="32">
        <f t="shared" si="269"/>
        <v>0</v>
      </c>
      <c r="T1038" s="10"/>
      <c r="U1038" s="10"/>
      <c r="V1038" s="10"/>
      <c r="W1038" s="12">
        <f t="shared" si="27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1"/>
        <v>0</v>
      </c>
      <c r="AF1038" s="10"/>
      <c r="AG1038" s="10"/>
      <c r="AH1038" s="10"/>
      <c r="AI1038" s="12">
        <f t="shared" si="27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M1039" s="10">
        <v>38</v>
      </c>
      <c r="N1039" s="30"/>
      <c r="O1039" s="31"/>
      <c r="P1039" s="47"/>
      <c r="Q1039" s="31"/>
      <c r="R1039" s="31"/>
      <c r="S1039" s="32">
        <f t="shared" si="269"/>
        <v>0</v>
      </c>
      <c r="T1039" s="10"/>
      <c r="U1039" s="10"/>
      <c r="V1039" s="10"/>
      <c r="W1039" s="12">
        <f t="shared" si="27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1"/>
        <v>0</v>
      </c>
      <c r="AF1039" s="10"/>
      <c r="AG1039" s="10"/>
      <c r="AH1039" s="10"/>
      <c r="AI1039" s="12">
        <f t="shared" si="27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M1040" s="10">
        <v>39</v>
      </c>
      <c r="N1040" s="30"/>
      <c r="O1040" s="31"/>
      <c r="P1040" s="47"/>
      <c r="Q1040" s="31"/>
      <c r="R1040" s="31"/>
      <c r="S1040" s="32">
        <f t="shared" si="269"/>
        <v>0</v>
      </c>
      <c r="T1040" s="10"/>
      <c r="U1040" s="10"/>
      <c r="V1040" s="10"/>
      <c r="W1040" s="12">
        <f t="shared" si="27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1"/>
        <v>0</v>
      </c>
      <c r="AF1040" s="10"/>
      <c r="AG1040" s="10"/>
      <c r="AH1040" s="10"/>
      <c r="AI1040" s="12">
        <f t="shared" si="27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M1042" s="10"/>
      <c r="N1042" s="30"/>
      <c r="O1042" s="31"/>
      <c r="P1042" s="47"/>
      <c r="Q1042" s="31"/>
      <c r="R1042" s="31"/>
      <c r="S1042" s="32">
        <f t="shared" ref="S1042" si="275">SUM(P1042:Q1042)</f>
        <v>0</v>
      </c>
      <c r="T1042" s="10"/>
      <c r="U1042" s="10"/>
      <c r="V1042" s="10"/>
      <c r="W1042" s="12">
        <f t="shared" si="270"/>
        <v>0</v>
      </c>
      <c r="Y1042" s="10"/>
      <c r="Z1042" s="30"/>
      <c r="AA1042" s="31"/>
      <c r="AB1042" s="47"/>
      <c r="AC1042" s="31"/>
      <c r="AD1042" s="31"/>
      <c r="AE1042" s="32">
        <f t="shared" ref="AE1042" si="276">SUM(AB1042:AC1042)</f>
        <v>0</v>
      </c>
      <c r="AF1042" s="10"/>
      <c r="AG1042" s="10"/>
      <c r="AH1042" s="10"/>
      <c r="AI1042" s="12">
        <f t="shared" si="27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N1045" s="57"/>
      <c r="O1045" s="57"/>
      <c r="P1045" s="38">
        <f>SUM(P1002:P1044)</f>
        <v>198151</v>
      </c>
      <c r="Q1045" s="38">
        <f>SUM(Q1002:Q1026)</f>
        <v>-1296</v>
      </c>
      <c r="R1045" s="38">
        <f>SUM(R1002:R1026)</f>
        <v>0</v>
      </c>
      <c r="S1045" s="38">
        <f>SUM(S1002:S1044)</f>
        <v>196855</v>
      </c>
      <c r="T1045" s="4"/>
      <c r="U1045" s="41">
        <f>SUM(U1002:U1044)</f>
        <v>8627.25</v>
      </c>
      <c r="V1045" s="41">
        <f>SUM(V1002:V1026)</f>
        <v>-2457</v>
      </c>
      <c r="W1045" s="42">
        <f>SUM(W1002:W1044)</f>
        <v>203025.25</v>
      </c>
      <c r="Z1045" s="57"/>
      <c r="AA1045" s="57"/>
      <c r="AB1045" s="38">
        <f>SUM(AB1002:AB1044)</f>
        <v>366349</v>
      </c>
      <c r="AC1045" s="38">
        <f>SUM(AC1002:AC1026)</f>
        <v>-1680</v>
      </c>
      <c r="AD1045" s="38">
        <f>SUM(AD1002:AD1026)</f>
        <v>0</v>
      </c>
      <c r="AE1045" s="38">
        <f>SUM(AE1002:AE1044)</f>
        <v>364669</v>
      </c>
      <c r="AF1045" s="4"/>
      <c r="AG1045" s="41">
        <f>SUM(AG1002:AG1044)</f>
        <v>6928.5</v>
      </c>
      <c r="AH1045" s="41">
        <f>SUM(AH1002:AH1026)</f>
        <v>-1776</v>
      </c>
      <c r="AI1045" s="42">
        <f>SUM(AI1002:AI1044)</f>
        <v>369821.5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0" t="s">
        <v>17</v>
      </c>
      <c r="E1055" s="120"/>
      <c r="F1055" s="110"/>
      <c r="G1055" s="27"/>
      <c r="I1055" s="118" t="s">
        <v>18</v>
      </c>
      <c r="J1055" s="119"/>
      <c r="K1055" s="116" t="s">
        <v>19</v>
      </c>
      <c r="N1055" s="25"/>
      <c r="O1055" s="26"/>
      <c r="P1055" s="120" t="s">
        <v>17</v>
      </c>
      <c r="Q1055" s="120"/>
      <c r="R1055" s="110"/>
      <c r="S1055" s="27"/>
      <c r="U1055" s="118" t="s">
        <v>18</v>
      </c>
      <c r="V1055" s="119"/>
      <c r="W1055" s="116" t="s">
        <v>19</v>
      </c>
      <c r="Y1055" s="62"/>
      <c r="Z1055" s="65"/>
      <c r="AA1055" s="86"/>
      <c r="AB1055" s="122"/>
      <c r="AC1055" s="122"/>
      <c r="AD1055" s="86"/>
      <c r="AE1055" s="86"/>
      <c r="AF1055" s="62"/>
      <c r="AG1055" s="122"/>
      <c r="AH1055" s="122"/>
      <c r="AI1055" s="12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7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7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2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83">
        <v>9822</v>
      </c>
      <c r="D1057" s="32">
        <f>650*431+670*40+912*10+229*15</f>
        <v>319505</v>
      </c>
      <c r="E1057" s="32">
        <f>-481*6</f>
        <v>-2886</v>
      </c>
      <c r="F1057" s="32"/>
      <c r="G1057" s="32">
        <f t="shared" ref="G1057:G1090" si="277">SUM(D1057:E1057)</f>
        <v>316619</v>
      </c>
      <c r="H1057" s="12"/>
      <c r="I1057" s="12">
        <f>120*4+111*7+78*11</f>
        <v>2115</v>
      </c>
      <c r="J1057" s="12">
        <v>-840</v>
      </c>
      <c r="K1057" s="12">
        <f t="shared" ref="K1057:K1090" si="278">SUM(G1057:J1057)</f>
        <v>317894</v>
      </c>
      <c r="M1057" s="10">
        <v>1</v>
      </c>
      <c r="N1057" s="30" t="s">
        <v>94</v>
      </c>
      <c r="O1057" s="31">
        <v>9854</v>
      </c>
      <c r="P1057" s="32">
        <f>650*3+229</f>
        <v>2179</v>
      </c>
      <c r="Q1057" s="32"/>
      <c r="R1057" s="32"/>
      <c r="S1057" s="32">
        <f>SUM(P1057:Q1057)</f>
        <v>2179</v>
      </c>
      <c r="T1057" s="12"/>
      <c r="U1057" s="12"/>
      <c r="V1057" s="12"/>
      <c r="W1057" s="12">
        <f>SUM(S1057:V1057)</f>
        <v>2179</v>
      </c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83">
        <f>C1057+1</f>
        <v>9823</v>
      </c>
      <c r="D1058" s="32">
        <f>650*30+622*5+912+872*2+650*2</f>
        <v>26566</v>
      </c>
      <c r="E1058" s="32"/>
      <c r="F1058" s="32"/>
      <c r="G1058" s="32">
        <f t="shared" si="277"/>
        <v>26566</v>
      </c>
      <c r="H1058" s="12"/>
      <c r="I1058" s="12"/>
      <c r="J1058" s="12"/>
      <c r="K1058" s="12">
        <f t="shared" si="278"/>
        <v>26566</v>
      </c>
      <c r="M1058" s="10">
        <v>2</v>
      </c>
      <c r="N1058" s="30" t="s">
        <v>94</v>
      </c>
      <c r="O1058" s="31">
        <f>O1057+1</f>
        <v>9855</v>
      </c>
      <c r="P1058" s="32">
        <f>650*6+229</f>
        <v>4129</v>
      </c>
      <c r="Q1058" s="32"/>
      <c r="R1058" s="32"/>
      <c r="S1058" s="32">
        <f t="shared" ref="S1058:S1095" si="279">SUM(P1058:Q1058)</f>
        <v>4129</v>
      </c>
      <c r="T1058" s="12"/>
      <c r="U1058" s="12"/>
      <c r="V1058" s="12"/>
      <c r="W1058" s="12">
        <f t="shared" ref="W1058:W1098" si="280">SUM(S1058:V1058)</f>
        <v>4129</v>
      </c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83">
        <f t="shared" ref="C1059:C1062" si="281">C1058+1</f>
        <v>9824</v>
      </c>
      <c r="D1059" s="33">
        <f>650*24</f>
        <v>15600</v>
      </c>
      <c r="E1059" s="33"/>
      <c r="F1059" s="33"/>
      <c r="G1059" s="33">
        <f t="shared" si="277"/>
        <v>15600</v>
      </c>
      <c r="H1059" s="34"/>
      <c r="I1059" s="34"/>
      <c r="J1059" s="34">
        <v>-5772</v>
      </c>
      <c r="K1059" s="34">
        <f t="shared" si="278"/>
        <v>9828</v>
      </c>
      <c r="M1059" s="10">
        <v>3</v>
      </c>
      <c r="N1059" s="30" t="s">
        <v>94</v>
      </c>
      <c r="O1059" s="31">
        <f t="shared" ref="O1059:O1069" si="282">O1058+1</f>
        <v>9856</v>
      </c>
      <c r="P1059" s="32">
        <f>650*14+670+622*4</f>
        <v>12258</v>
      </c>
      <c r="Q1059" s="32"/>
      <c r="R1059" s="32"/>
      <c r="S1059" s="32">
        <f t="shared" si="279"/>
        <v>12258</v>
      </c>
      <c r="T1059" s="12"/>
      <c r="U1059" s="12"/>
      <c r="V1059" s="12"/>
      <c r="W1059" s="12">
        <f t="shared" si="280"/>
        <v>12258</v>
      </c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83">
        <f t="shared" si="281"/>
        <v>9825</v>
      </c>
      <c r="D1060" s="32">
        <f>650*11</f>
        <v>7150</v>
      </c>
      <c r="E1060" s="32"/>
      <c r="F1060" s="32"/>
      <c r="G1060" s="32">
        <f t="shared" si="277"/>
        <v>7150</v>
      </c>
      <c r="H1060" s="12"/>
      <c r="I1060" s="12"/>
      <c r="J1060" s="12"/>
      <c r="K1060" s="12">
        <f t="shared" si="278"/>
        <v>7150</v>
      </c>
      <c r="M1060" s="10">
        <v>4</v>
      </c>
      <c r="N1060" s="30" t="s">
        <v>94</v>
      </c>
      <c r="O1060" s="31">
        <f t="shared" si="282"/>
        <v>9857</v>
      </c>
      <c r="P1060" s="32">
        <f>650*9+9.5*3</f>
        <v>5878.5</v>
      </c>
      <c r="Q1060" s="32"/>
      <c r="R1060" s="32"/>
      <c r="S1060" s="32">
        <f t="shared" si="279"/>
        <v>5878.5</v>
      </c>
      <c r="T1060" s="12"/>
      <c r="U1060" s="12"/>
      <c r="V1060" s="12"/>
      <c r="W1060" s="12">
        <f t="shared" si="280"/>
        <v>5878.5</v>
      </c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83">
        <f t="shared" si="281"/>
        <v>9826</v>
      </c>
      <c r="D1061" s="32">
        <f>650*12+9.5*12</f>
        <v>7914</v>
      </c>
      <c r="E1061" s="32"/>
      <c r="F1061" s="32"/>
      <c r="G1061" s="32">
        <f t="shared" si="277"/>
        <v>7914</v>
      </c>
      <c r="H1061" s="12"/>
      <c r="I1061" s="12"/>
      <c r="J1061" s="12"/>
      <c r="K1061" s="12">
        <f t="shared" si="278"/>
        <v>7914</v>
      </c>
      <c r="M1061" s="10">
        <v>5</v>
      </c>
      <c r="N1061" s="30" t="s">
        <v>94</v>
      </c>
      <c r="O1061" s="31">
        <f t="shared" si="282"/>
        <v>9858</v>
      </c>
      <c r="P1061" s="32">
        <f>650*22+670*2+622*3+9.5*5</f>
        <v>17553.5</v>
      </c>
      <c r="Q1061" s="32"/>
      <c r="R1061" s="32"/>
      <c r="S1061" s="32">
        <f t="shared" si="279"/>
        <v>17553.5</v>
      </c>
      <c r="T1061" s="12"/>
      <c r="U1061" s="12">
        <v>555</v>
      </c>
      <c r="V1061" s="12"/>
      <c r="W1061" s="12">
        <f t="shared" si="280"/>
        <v>18108.5</v>
      </c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83">
        <f t="shared" si="281"/>
        <v>9827</v>
      </c>
      <c r="D1062" s="32">
        <f>622</f>
        <v>622</v>
      </c>
      <c r="E1062" s="32"/>
      <c r="F1062" s="32"/>
      <c r="G1062" s="32">
        <f t="shared" si="277"/>
        <v>622</v>
      </c>
      <c r="H1062" s="12"/>
      <c r="I1062" s="12"/>
      <c r="J1062" s="12"/>
      <c r="K1062" s="12">
        <f t="shared" si="278"/>
        <v>622</v>
      </c>
      <c r="M1062" s="10">
        <v>6</v>
      </c>
      <c r="N1062" s="30" t="s">
        <v>94</v>
      </c>
      <c r="O1062" s="31">
        <f t="shared" si="282"/>
        <v>9859</v>
      </c>
      <c r="P1062" s="32">
        <f>622*7+872</f>
        <v>5226</v>
      </c>
      <c r="Q1062" s="32"/>
      <c r="R1062" s="32"/>
      <c r="S1062" s="32">
        <f t="shared" si="279"/>
        <v>5226</v>
      </c>
      <c r="T1062" s="12"/>
      <c r="U1062" s="12"/>
      <c r="V1062" s="10"/>
      <c r="W1062" s="12">
        <f t="shared" si="280"/>
        <v>5226</v>
      </c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277"/>
        <v>0</v>
      </c>
      <c r="H1063" s="12"/>
      <c r="I1063" s="12"/>
      <c r="J1063" s="12"/>
      <c r="K1063" s="12">
        <f t="shared" si="278"/>
        <v>0</v>
      </c>
      <c r="M1063" s="10">
        <v>7</v>
      </c>
      <c r="N1063" s="30" t="s">
        <v>94</v>
      </c>
      <c r="O1063" s="31">
        <f t="shared" si="282"/>
        <v>9860</v>
      </c>
      <c r="P1063" s="32">
        <f>650*14+670+622+9.5*15</f>
        <v>10534.5</v>
      </c>
      <c r="Q1063" s="32"/>
      <c r="R1063" s="32"/>
      <c r="S1063" s="32">
        <f t="shared" si="279"/>
        <v>10534.5</v>
      </c>
      <c r="T1063" s="12"/>
      <c r="U1063" s="12">
        <v>35</v>
      </c>
      <c r="V1063" s="12"/>
      <c r="W1063" s="12">
        <f t="shared" si="280"/>
        <v>10569.5</v>
      </c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3"/>
      <c r="D1064" s="32"/>
      <c r="E1064" s="32"/>
      <c r="F1064" s="32"/>
      <c r="G1064" s="32">
        <f t="shared" si="277"/>
        <v>0</v>
      </c>
      <c r="H1064" s="12"/>
      <c r="I1064" s="12"/>
      <c r="J1064" s="12"/>
      <c r="K1064" s="12">
        <f t="shared" si="278"/>
        <v>0</v>
      </c>
      <c r="M1064" s="10">
        <v>8</v>
      </c>
      <c r="N1064" s="30" t="s">
        <v>94</v>
      </c>
      <c r="O1064" s="31">
        <f t="shared" si="282"/>
        <v>9861</v>
      </c>
      <c r="P1064" s="32">
        <f>650*4+9.5*4</f>
        <v>2638</v>
      </c>
      <c r="Q1064" s="32"/>
      <c r="R1064" s="32"/>
      <c r="S1064" s="32">
        <f t="shared" si="279"/>
        <v>2638</v>
      </c>
      <c r="T1064" s="12"/>
      <c r="U1064" s="12"/>
      <c r="V1064" s="12"/>
      <c r="W1064" s="12">
        <f t="shared" si="280"/>
        <v>2638</v>
      </c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3"/>
      <c r="D1065" s="32"/>
      <c r="E1065" s="32"/>
      <c r="F1065" s="32"/>
      <c r="G1065" s="32">
        <f t="shared" si="277"/>
        <v>0</v>
      </c>
      <c r="H1065" s="12"/>
      <c r="I1065" s="12"/>
      <c r="J1065" s="12"/>
      <c r="K1065" s="12">
        <f t="shared" si="278"/>
        <v>0</v>
      </c>
      <c r="M1065" s="10">
        <v>9</v>
      </c>
      <c r="N1065" s="30" t="s">
        <v>94</v>
      </c>
      <c r="O1065" s="31">
        <f t="shared" si="282"/>
        <v>9862</v>
      </c>
      <c r="P1065" s="32">
        <f>650*3+9.5*3</f>
        <v>1978.5</v>
      </c>
      <c r="Q1065" s="32"/>
      <c r="R1065" s="32"/>
      <c r="S1065" s="32">
        <f t="shared" si="279"/>
        <v>1978.5</v>
      </c>
      <c r="T1065" s="12"/>
      <c r="U1065" s="12"/>
      <c r="V1065" s="12">
        <v>-222</v>
      </c>
      <c r="W1065" s="12">
        <f t="shared" si="280"/>
        <v>1756.5</v>
      </c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3"/>
      <c r="D1066" s="32"/>
      <c r="E1066" s="32"/>
      <c r="F1066" s="32"/>
      <c r="G1066" s="32">
        <f t="shared" si="277"/>
        <v>0</v>
      </c>
      <c r="H1066" s="12"/>
      <c r="I1066" s="12"/>
      <c r="J1066" s="12"/>
      <c r="K1066" s="12">
        <f t="shared" si="278"/>
        <v>0</v>
      </c>
      <c r="M1066" s="10">
        <v>10</v>
      </c>
      <c r="N1066" s="30" t="s">
        <v>94</v>
      </c>
      <c r="O1066" s="31">
        <f t="shared" si="282"/>
        <v>9863</v>
      </c>
      <c r="P1066" s="32">
        <f>650*8+622*2+525+436+9.5*10</f>
        <v>7500</v>
      </c>
      <c r="Q1066" s="32"/>
      <c r="R1066" s="32"/>
      <c r="S1066" s="32">
        <f t="shared" si="279"/>
        <v>7500</v>
      </c>
      <c r="T1066" s="12"/>
      <c r="U1066" s="12">
        <v>333</v>
      </c>
      <c r="V1066" s="12"/>
      <c r="W1066" s="12">
        <f t="shared" si="280"/>
        <v>7833</v>
      </c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3"/>
      <c r="D1067" s="32"/>
      <c r="E1067" s="32"/>
      <c r="F1067" s="32"/>
      <c r="G1067" s="32">
        <f t="shared" si="277"/>
        <v>0</v>
      </c>
      <c r="H1067" s="12"/>
      <c r="I1067" s="12"/>
      <c r="J1067" s="12"/>
      <c r="K1067" s="12">
        <f t="shared" si="278"/>
        <v>0</v>
      </c>
      <c r="M1067" s="10">
        <v>11</v>
      </c>
      <c r="N1067" s="30" t="s">
        <v>94</v>
      </c>
      <c r="O1067" s="31">
        <f t="shared" si="282"/>
        <v>9864</v>
      </c>
      <c r="P1067" s="32">
        <f>650+622+9.5*2</f>
        <v>1291</v>
      </c>
      <c r="Q1067" s="32"/>
      <c r="R1067" s="32"/>
      <c r="S1067" s="32">
        <f t="shared" si="279"/>
        <v>1291</v>
      </c>
      <c r="T1067" s="12"/>
      <c r="U1067" s="12">
        <v>13.5</v>
      </c>
      <c r="V1067" s="12"/>
      <c r="W1067" s="12">
        <f t="shared" si="280"/>
        <v>1304.5</v>
      </c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3"/>
      <c r="D1068" s="32"/>
      <c r="E1068" s="32"/>
      <c r="F1068" s="32"/>
      <c r="G1068" s="32">
        <f t="shared" si="277"/>
        <v>0</v>
      </c>
      <c r="H1068" s="12"/>
      <c r="I1068" s="12"/>
      <c r="J1068" s="10"/>
      <c r="K1068" s="12">
        <f t="shared" si="278"/>
        <v>0</v>
      </c>
      <c r="M1068" s="10">
        <v>12</v>
      </c>
      <c r="N1068" s="30" t="s">
        <v>94</v>
      </c>
      <c r="O1068" s="31">
        <f t="shared" si="282"/>
        <v>9865</v>
      </c>
      <c r="P1068" s="32">
        <f>650*216+229*4</f>
        <v>141316</v>
      </c>
      <c r="Q1068" s="32">
        <f>-216*6</f>
        <v>-1296</v>
      </c>
      <c r="R1068" s="32"/>
      <c r="S1068" s="32">
        <f t="shared" si="279"/>
        <v>140020</v>
      </c>
      <c r="T1068" s="12"/>
      <c r="U1068" s="12">
        <f>2886+312</f>
        <v>3198</v>
      </c>
      <c r="V1068" s="12">
        <f>-240+-336+-126</f>
        <v>-702</v>
      </c>
      <c r="W1068" s="12">
        <f t="shared" si="280"/>
        <v>142516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3"/>
      <c r="D1069" s="32"/>
      <c r="E1069" s="32"/>
      <c r="F1069" s="32"/>
      <c r="G1069" s="32">
        <f t="shared" si="277"/>
        <v>0</v>
      </c>
      <c r="H1069" s="12"/>
      <c r="I1069" s="12"/>
      <c r="J1069" s="12"/>
      <c r="K1069" s="12">
        <f t="shared" si="278"/>
        <v>0</v>
      </c>
      <c r="M1069" s="10">
        <v>13</v>
      </c>
      <c r="N1069" s="30" t="s">
        <v>94</v>
      </c>
      <c r="O1069" s="31">
        <f t="shared" si="282"/>
        <v>9866</v>
      </c>
      <c r="P1069" s="32">
        <f>650*6+622+9.5*4</f>
        <v>4560</v>
      </c>
      <c r="Q1069" s="32"/>
      <c r="R1069" s="32"/>
      <c r="S1069" s="32">
        <f t="shared" si="279"/>
        <v>4560</v>
      </c>
      <c r="T1069" s="12"/>
      <c r="U1069" s="12"/>
      <c r="V1069" s="12">
        <v>-222</v>
      </c>
      <c r="W1069" s="12">
        <f t="shared" si="280"/>
        <v>4338</v>
      </c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3"/>
      <c r="D1070" s="32"/>
      <c r="E1070" s="32"/>
      <c r="F1070" s="32"/>
      <c r="G1070" s="32">
        <f t="shared" si="277"/>
        <v>0</v>
      </c>
      <c r="H1070" s="12"/>
      <c r="I1070" s="12"/>
      <c r="J1070" s="12"/>
      <c r="K1070" s="12">
        <f t="shared" si="278"/>
        <v>0</v>
      </c>
      <c r="M1070" s="10">
        <v>14</v>
      </c>
      <c r="N1070" s="30"/>
      <c r="O1070" s="11" t="s">
        <v>27</v>
      </c>
      <c r="P1070" s="32"/>
      <c r="Q1070" s="32"/>
      <c r="R1070" s="32"/>
      <c r="S1070" s="32">
        <f t="shared" si="279"/>
        <v>0</v>
      </c>
      <c r="T1070" s="12"/>
      <c r="U1070" s="12"/>
      <c r="V1070" s="12"/>
      <c r="W1070" s="12">
        <f t="shared" si="280"/>
        <v>0</v>
      </c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3"/>
      <c r="D1071" s="32"/>
      <c r="E1071" s="32"/>
      <c r="F1071" s="32"/>
      <c r="G1071" s="32">
        <f t="shared" si="277"/>
        <v>0</v>
      </c>
      <c r="H1071" s="12"/>
      <c r="I1071" s="12"/>
      <c r="J1071" s="12"/>
      <c r="K1071" s="12">
        <f t="shared" si="278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279"/>
        <v>0</v>
      </c>
      <c r="T1071" s="12"/>
      <c r="U1071" s="12"/>
      <c r="V1071" s="12"/>
      <c r="W1071" s="12">
        <f t="shared" si="280"/>
        <v>0</v>
      </c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77"/>
        <v>0</v>
      </c>
      <c r="H1072" s="12"/>
      <c r="I1072" s="12"/>
      <c r="J1072" s="12"/>
      <c r="K1072" s="12">
        <f t="shared" si="278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279"/>
        <v>0</v>
      </c>
      <c r="T1072" s="12"/>
      <c r="U1072" s="12"/>
      <c r="V1072" s="12"/>
      <c r="W1072" s="12">
        <f t="shared" si="280"/>
        <v>0</v>
      </c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3"/>
      <c r="D1073" s="32"/>
      <c r="E1073" s="32"/>
      <c r="F1073" s="32"/>
      <c r="G1073" s="32">
        <f t="shared" si="277"/>
        <v>0</v>
      </c>
      <c r="H1073" s="12"/>
      <c r="I1073" s="12"/>
      <c r="J1073" s="12"/>
      <c r="K1073" s="12">
        <f t="shared" si="278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79"/>
        <v>0</v>
      </c>
      <c r="T1073" s="12"/>
      <c r="U1073" s="12"/>
      <c r="V1073" s="12"/>
      <c r="W1073" s="12">
        <f t="shared" si="280"/>
        <v>0</v>
      </c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3"/>
      <c r="D1074" s="32"/>
      <c r="E1074" s="32"/>
      <c r="F1074" s="32"/>
      <c r="G1074" s="32">
        <f t="shared" si="277"/>
        <v>0</v>
      </c>
      <c r="H1074" s="12"/>
      <c r="I1074" s="12"/>
      <c r="J1074" s="12"/>
      <c r="K1074" s="12">
        <f t="shared" si="278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79"/>
        <v>0</v>
      </c>
      <c r="T1074" s="12"/>
      <c r="U1074" s="12"/>
      <c r="V1074" s="12"/>
      <c r="W1074" s="12">
        <f t="shared" si="280"/>
        <v>0</v>
      </c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3"/>
      <c r="D1075" s="32"/>
      <c r="E1075" s="32"/>
      <c r="F1075" s="32"/>
      <c r="G1075" s="32">
        <f t="shared" si="277"/>
        <v>0</v>
      </c>
      <c r="H1075" s="12"/>
      <c r="I1075" s="12"/>
      <c r="J1075" s="12"/>
      <c r="K1075" s="12">
        <f t="shared" si="278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79"/>
        <v>0</v>
      </c>
      <c r="T1075" s="12"/>
      <c r="U1075" s="12"/>
      <c r="V1075" s="12"/>
      <c r="W1075" s="12">
        <f t="shared" si="280"/>
        <v>0</v>
      </c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3"/>
      <c r="D1076" s="32"/>
      <c r="E1076" s="32"/>
      <c r="F1076" s="32"/>
      <c r="G1076" s="32">
        <f t="shared" si="277"/>
        <v>0</v>
      </c>
      <c r="H1076" s="12"/>
      <c r="I1076" s="12"/>
      <c r="J1076" s="12"/>
      <c r="K1076" s="12">
        <f t="shared" si="278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79"/>
        <v>0</v>
      </c>
      <c r="T1076" s="12"/>
      <c r="U1076" s="12"/>
      <c r="V1076" s="12"/>
      <c r="W1076" s="12">
        <f t="shared" si="280"/>
        <v>0</v>
      </c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57"/>
      <c r="D1077" s="32"/>
      <c r="E1077" s="32"/>
      <c r="F1077" s="32"/>
      <c r="G1077" s="32">
        <f t="shared" si="277"/>
        <v>0</v>
      </c>
      <c r="H1077" s="10"/>
      <c r="I1077" s="10"/>
      <c r="J1077" s="10"/>
      <c r="K1077" s="12">
        <f t="shared" si="278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279"/>
        <v>0</v>
      </c>
      <c r="T1077" s="10"/>
      <c r="U1077" s="10"/>
      <c r="V1077" s="10"/>
      <c r="W1077" s="12">
        <f t="shared" si="280"/>
        <v>0</v>
      </c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277"/>
        <v>0</v>
      </c>
      <c r="H1078" s="10"/>
      <c r="I1078" s="10"/>
      <c r="J1078" s="10"/>
      <c r="K1078" s="12">
        <f t="shared" si="278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79"/>
        <v>0</v>
      </c>
      <c r="T1078" s="10"/>
      <c r="U1078" s="10"/>
      <c r="V1078" s="10"/>
      <c r="W1078" s="12">
        <f t="shared" si="280"/>
        <v>0</v>
      </c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277"/>
        <v>0</v>
      </c>
      <c r="H1079" s="10"/>
      <c r="I1079" s="10"/>
      <c r="J1079" s="12"/>
      <c r="K1079" s="12">
        <f t="shared" si="278"/>
        <v>0</v>
      </c>
      <c r="M1079" s="10">
        <v>23</v>
      </c>
      <c r="N1079" s="30"/>
      <c r="O1079" s="31"/>
      <c r="P1079" s="47"/>
      <c r="Q1079" s="31"/>
      <c r="S1079" s="32">
        <f t="shared" si="279"/>
        <v>0</v>
      </c>
      <c r="T1079" s="10"/>
      <c r="U1079" s="10"/>
      <c r="V1079" s="10"/>
      <c r="W1079" s="12">
        <f t="shared" si="280"/>
        <v>0</v>
      </c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277"/>
        <v>0</v>
      </c>
      <c r="H1080" s="10"/>
      <c r="I1080" s="10"/>
      <c r="J1080" s="10"/>
      <c r="K1080" s="12">
        <f t="shared" si="278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79"/>
        <v>0</v>
      </c>
      <c r="T1080" s="10"/>
      <c r="U1080" s="10"/>
      <c r="V1080" s="10"/>
      <c r="W1080" s="12">
        <f t="shared" si="280"/>
        <v>0</v>
      </c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277"/>
        <v>0</v>
      </c>
      <c r="H1081" s="10"/>
      <c r="I1081" s="10"/>
      <c r="J1081" s="10"/>
      <c r="K1081" s="12">
        <f t="shared" si="278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79"/>
        <v>0</v>
      </c>
      <c r="T1081" s="10"/>
      <c r="U1081" s="10"/>
      <c r="V1081" s="10"/>
      <c r="W1081" s="12">
        <f t="shared" si="280"/>
        <v>0</v>
      </c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3"/>
      <c r="D1082" s="32"/>
      <c r="E1082" s="32"/>
      <c r="F1082" s="32"/>
      <c r="G1082" s="32">
        <f t="shared" si="277"/>
        <v>0</v>
      </c>
      <c r="H1082" s="10"/>
      <c r="I1082" s="10"/>
      <c r="J1082" s="10"/>
      <c r="K1082" s="12">
        <f t="shared" si="278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79"/>
        <v>0</v>
      </c>
      <c r="T1082" s="10"/>
      <c r="U1082" s="10"/>
      <c r="V1082" s="10"/>
      <c r="W1082" s="12">
        <f t="shared" si="280"/>
        <v>0</v>
      </c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277"/>
        <v>0</v>
      </c>
      <c r="H1083" s="10"/>
      <c r="I1083" s="10"/>
      <c r="J1083" s="10"/>
      <c r="K1083" s="12">
        <f t="shared" si="278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79"/>
        <v>0</v>
      </c>
      <c r="T1083" s="10"/>
      <c r="U1083" s="10"/>
      <c r="V1083" s="10"/>
      <c r="W1083" s="12">
        <f t="shared" si="280"/>
        <v>0</v>
      </c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277"/>
        <v>0</v>
      </c>
      <c r="H1084" s="10"/>
      <c r="I1084" s="10"/>
      <c r="J1084" s="10"/>
      <c r="K1084" s="12">
        <f t="shared" si="278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79"/>
        <v>0</v>
      </c>
      <c r="T1084" s="10"/>
      <c r="U1084" s="10"/>
      <c r="V1084" s="10"/>
      <c r="W1084" s="12">
        <f t="shared" si="280"/>
        <v>0</v>
      </c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277"/>
        <v>0</v>
      </c>
      <c r="H1085" s="10"/>
      <c r="I1085" s="10"/>
      <c r="J1085" s="10"/>
      <c r="K1085" s="12">
        <f t="shared" si="278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79"/>
        <v>0</v>
      </c>
      <c r="T1085" s="10"/>
      <c r="U1085" s="10"/>
      <c r="V1085" s="10"/>
      <c r="W1085" s="12">
        <f t="shared" si="280"/>
        <v>0</v>
      </c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3"/>
      <c r="D1086" s="32"/>
      <c r="E1086" s="32"/>
      <c r="F1086" s="32"/>
      <c r="G1086" s="32">
        <f t="shared" si="277"/>
        <v>0</v>
      </c>
      <c r="H1086" s="10"/>
      <c r="I1086" s="10"/>
      <c r="J1086" s="10"/>
      <c r="K1086" s="12">
        <f t="shared" si="278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279"/>
        <v>0</v>
      </c>
      <c r="T1086" s="10"/>
      <c r="U1086" s="10"/>
      <c r="V1086" s="10"/>
      <c r="W1086" s="12">
        <f t="shared" si="280"/>
        <v>0</v>
      </c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3"/>
      <c r="D1087" s="32"/>
      <c r="E1087" s="32"/>
      <c r="F1087" s="32"/>
      <c r="G1087" s="32">
        <f t="shared" si="277"/>
        <v>0</v>
      </c>
      <c r="H1087" s="10"/>
      <c r="I1087" s="10"/>
      <c r="J1087" s="10"/>
      <c r="K1087" s="12">
        <f t="shared" si="278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79"/>
        <v>0</v>
      </c>
      <c r="T1087" s="10"/>
      <c r="U1087" s="10"/>
      <c r="V1087" s="10"/>
      <c r="W1087" s="12">
        <f t="shared" si="280"/>
        <v>0</v>
      </c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277"/>
        <v>0</v>
      </c>
      <c r="H1088" s="10"/>
      <c r="I1088" s="10"/>
      <c r="J1088" s="10"/>
      <c r="K1088" s="12">
        <f t="shared" si="278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79"/>
        <v>0</v>
      </c>
      <c r="T1088" s="10"/>
      <c r="U1088" s="10"/>
      <c r="V1088" s="10"/>
      <c r="W1088" s="12">
        <f t="shared" si="280"/>
        <v>0</v>
      </c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277"/>
        <v>0</v>
      </c>
      <c r="H1089" s="10"/>
      <c r="I1089" s="10"/>
      <c r="J1089" s="10"/>
      <c r="K1089" s="12">
        <f t="shared" si="278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79"/>
        <v>0</v>
      </c>
      <c r="T1089" s="10"/>
      <c r="U1089" s="10"/>
      <c r="V1089" s="10"/>
      <c r="W1089" s="12">
        <f t="shared" si="280"/>
        <v>0</v>
      </c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277"/>
        <v>0</v>
      </c>
      <c r="H1090" s="10"/>
      <c r="I1090" s="10"/>
      <c r="J1090" s="10"/>
      <c r="K1090" s="12">
        <f t="shared" si="278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79"/>
        <v>0</v>
      </c>
      <c r="T1090" s="10"/>
      <c r="U1090" s="10"/>
      <c r="V1090" s="10"/>
      <c r="W1090" s="12">
        <f t="shared" si="280"/>
        <v>0</v>
      </c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P1091" s="47"/>
      <c r="Q1091" s="31"/>
      <c r="R1091" s="31"/>
      <c r="S1091" s="32">
        <f t="shared" si="279"/>
        <v>0</v>
      </c>
      <c r="T1091" s="10"/>
      <c r="U1091" s="10"/>
      <c r="V1091" s="10"/>
      <c r="W1091" s="12">
        <f t="shared" si="280"/>
        <v>0</v>
      </c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79"/>
        <v>0</v>
      </c>
      <c r="T1092" s="10"/>
      <c r="U1092" s="10"/>
      <c r="V1092" s="10"/>
      <c r="W1092" s="12">
        <f t="shared" si="280"/>
        <v>0</v>
      </c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O1093" s="31"/>
      <c r="P1093" s="47"/>
      <c r="Q1093" s="31"/>
      <c r="R1093" s="31"/>
      <c r="S1093" s="32">
        <f t="shared" si="279"/>
        <v>0</v>
      </c>
      <c r="T1093" s="10"/>
      <c r="U1093" s="10"/>
      <c r="V1093" s="10"/>
      <c r="W1093" s="12">
        <f t="shared" si="280"/>
        <v>0</v>
      </c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79"/>
        <v>0</v>
      </c>
      <c r="T1094" s="10"/>
      <c r="U1094" s="10"/>
      <c r="V1094" s="10"/>
      <c r="W1094" s="12">
        <f t="shared" si="280"/>
        <v>0</v>
      </c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79"/>
        <v>0</v>
      </c>
      <c r="T1095" s="10"/>
      <c r="U1095" s="10"/>
      <c r="V1095" s="10"/>
      <c r="W1095" s="12">
        <f t="shared" si="280"/>
        <v>0</v>
      </c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0"/>
        <v>0</v>
      </c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83">SUM(D1097:E1097)</f>
        <v>0</v>
      </c>
      <c r="H1097" s="10"/>
      <c r="I1097" s="10"/>
      <c r="J1097" s="10"/>
      <c r="K1097" s="12">
        <f t="shared" ref="K1097" si="284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85">SUM(P1097:Q1097)</f>
        <v>0</v>
      </c>
      <c r="T1097" s="10"/>
      <c r="U1097" s="10"/>
      <c r="V1097" s="10"/>
      <c r="W1097" s="12">
        <f t="shared" si="280"/>
        <v>0</v>
      </c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0"/>
        <v>0</v>
      </c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377357</v>
      </c>
      <c r="E1100" s="38">
        <f t="shared" ref="E1100:F1100" si="286">SUM(E1057:E1097)</f>
        <v>-2886</v>
      </c>
      <c r="F1100" s="38">
        <f t="shared" si="286"/>
        <v>0</v>
      </c>
      <c r="G1100" s="38">
        <f>SUM(G1057:G1099)</f>
        <v>374471</v>
      </c>
      <c r="H1100" s="4"/>
      <c r="I1100" s="39">
        <f>SUM(I1057:I1099)</f>
        <v>2115</v>
      </c>
      <c r="J1100" s="39">
        <f>SUM(J1057:J1099)</f>
        <v>-6612</v>
      </c>
      <c r="K1100" s="40">
        <f>SUM(K1057:K1099)</f>
        <v>369974</v>
      </c>
      <c r="N1100" s="57"/>
      <c r="O1100" s="57"/>
      <c r="P1100" s="38">
        <f>SUM(P1057:P1099)</f>
        <v>217042</v>
      </c>
      <c r="Q1100" s="38">
        <f>SUM(Q1057:Q1081)</f>
        <v>-1296</v>
      </c>
      <c r="R1100" s="38">
        <f>SUM(R1057:R1081)</f>
        <v>0</v>
      </c>
      <c r="S1100" s="38">
        <f>SUM(S1057:S1099)</f>
        <v>215746</v>
      </c>
      <c r="T1100" s="4"/>
      <c r="U1100" s="41">
        <f>SUM(U1057:U1099)</f>
        <v>4134.5</v>
      </c>
      <c r="V1100" s="41">
        <f>SUM(V1057:V1081)</f>
        <v>-1146</v>
      </c>
      <c r="W1100" s="42">
        <f>SUM(W1057:W1099)</f>
        <v>218734.5</v>
      </c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50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50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50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88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0" t="s">
        <v>17</v>
      </c>
      <c r="E1110" s="120"/>
      <c r="F1110" s="111"/>
      <c r="G1110" s="27"/>
      <c r="I1110" s="118" t="s">
        <v>18</v>
      </c>
      <c r="J1110" s="119"/>
      <c r="K1110" s="116" t="s">
        <v>19</v>
      </c>
      <c r="N1110" s="25"/>
      <c r="O1110" s="26"/>
      <c r="P1110" s="120" t="s">
        <v>17</v>
      </c>
      <c r="Q1110" s="120"/>
      <c r="R1110" s="111"/>
      <c r="S1110" s="27"/>
      <c r="U1110" s="118" t="s">
        <v>18</v>
      </c>
      <c r="V1110" s="119"/>
      <c r="W1110" s="116" t="s">
        <v>19</v>
      </c>
      <c r="Z1110" s="25"/>
      <c r="AA1110" s="26"/>
      <c r="AB1110" s="120" t="s">
        <v>17</v>
      </c>
      <c r="AC1110" s="120"/>
      <c r="AD1110" s="111"/>
      <c r="AE1110" s="27"/>
      <c r="AG1110" s="118" t="s">
        <v>18</v>
      </c>
      <c r="AH1110" s="119"/>
      <c r="AI1110" s="116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7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7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7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83">
        <v>9828</v>
      </c>
      <c r="D1112" s="32">
        <f>650*80+670*5+622*12</f>
        <v>62814</v>
      </c>
      <c r="E1112" s="32"/>
      <c r="F1112" s="32"/>
      <c r="G1112" s="32">
        <f t="shared" ref="G1112:G1156" si="287">SUM(D1112:E1112)</f>
        <v>62814</v>
      </c>
      <c r="H1112" s="12"/>
      <c r="I1112" s="12"/>
      <c r="J1112" s="12"/>
      <c r="K1112" s="12">
        <f t="shared" ref="K1112:K1156" si="288">SUM(G1112:J1112)</f>
        <v>62814</v>
      </c>
      <c r="M1112" s="10">
        <v>1</v>
      </c>
      <c r="N1112" s="30" t="s">
        <v>97</v>
      </c>
      <c r="O1112" s="31">
        <v>9867</v>
      </c>
      <c r="P1112" s="32">
        <f>650*300+622*30+229*10</f>
        <v>215950</v>
      </c>
      <c r="Q1112" s="32">
        <f>330*6</f>
        <v>1980</v>
      </c>
      <c r="R1112" s="32"/>
      <c r="S1112" s="32">
        <f>SUM(P1112:Q1112)</f>
        <v>217930</v>
      </c>
      <c r="T1112" s="12"/>
      <c r="U1112" s="12">
        <f>2886+780</f>
        <v>3666</v>
      </c>
      <c r="V1112" s="12">
        <f>-480+-336</f>
        <v>-816</v>
      </c>
      <c r="W1112" s="12">
        <f>SUM(S1112:V1112)</f>
        <v>220780</v>
      </c>
      <c r="Y1112" s="10">
        <v>1</v>
      </c>
      <c r="Z1112" s="30" t="s">
        <v>97</v>
      </c>
      <c r="AA1112" s="31">
        <v>9762</v>
      </c>
      <c r="AB1112" s="32">
        <f>650*60+622*10+872</f>
        <v>46092</v>
      </c>
      <c r="AC1112" s="32"/>
      <c r="AD1112" s="32"/>
      <c r="AE1112" s="32">
        <f>SUM(AB1112:AC1112)</f>
        <v>46092</v>
      </c>
      <c r="AF1112" s="12"/>
      <c r="AG1112" s="12">
        <v>234</v>
      </c>
      <c r="AH1112" s="12"/>
      <c r="AI1112" s="12">
        <f>SUM(AE1112:AH1112)</f>
        <v>46326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83">
        <f>C1112+1</f>
        <v>9829</v>
      </c>
      <c r="D1113" s="32">
        <f>650*50+1582</f>
        <v>34082</v>
      </c>
      <c r="E1113" s="32"/>
      <c r="F1113" s="32"/>
      <c r="G1113" s="32">
        <f t="shared" si="287"/>
        <v>34082</v>
      </c>
      <c r="H1113" s="12"/>
      <c r="I1113" s="12"/>
      <c r="J1113" s="12"/>
      <c r="K1113" s="12">
        <f t="shared" si="288"/>
        <v>34082</v>
      </c>
      <c r="M1113" s="10">
        <v>2</v>
      </c>
      <c r="N1113" s="30" t="s">
        <v>97</v>
      </c>
      <c r="O1113" s="31">
        <f>O1112+1</f>
        <v>9868</v>
      </c>
      <c r="P1113" s="32">
        <f>650*51</f>
        <v>33150</v>
      </c>
      <c r="Q1113" s="32"/>
      <c r="R1113" s="32"/>
      <c r="S1113" s="32">
        <f t="shared" ref="S1113:S1156" si="289">SUM(P1113:Q1113)</f>
        <v>33150</v>
      </c>
      <c r="T1113" s="12"/>
      <c r="U1113" s="12"/>
      <c r="V1113" s="12"/>
      <c r="W1113" s="12">
        <f t="shared" ref="W1113:W1156" si="290">SUM(S1113:V1113)</f>
        <v>33150</v>
      </c>
      <c r="Y1113" s="10">
        <v>2</v>
      </c>
      <c r="Z1113" s="30" t="s">
        <v>97</v>
      </c>
      <c r="AA1113" s="31">
        <f>AA1112+1</f>
        <v>9763</v>
      </c>
      <c r="AB1113" s="32">
        <f>650*100+670*5+622*50+912+872*2+229*6+650*2</f>
        <v>104780</v>
      </c>
      <c r="AC1113" s="32">
        <f>-158*6</f>
        <v>-948</v>
      </c>
      <c r="AD1113" s="32"/>
      <c r="AE1113" s="32">
        <f t="shared" ref="AE1113:AE1150" si="291">SUM(AB1113:AC1113)</f>
        <v>103832</v>
      </c>
      <c r="AF1113" s="12"/>
      <c r="AG1113" s="12"/>
      <c r="AH1113" s="12"/>
      <c r="AI1113" s="12">
        <f t="shared" ref="AI1113:AI1153" si="292">SUM(AE1113:AH1113)</f>
        <v>103832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83">
        <f t="shared" ref="C1114:C1131" si="293">C1113+1</f>
        <v>9830</v>
      </c>
      <c r="D1114" s="33">
        <f>650*50</f>
        <v>32500</v>
      </c>
      <c r="E1114" s="33"/>
      <c r="F1114" s="33"/>
      <c r="G1114" s="33">
        <f t="shared" si="287"/>
        <v>32500</v>
      </c>
      <c r="H1114" s="34"/>
      <c r="I1114" s="34"/>
      <c r="J1114" s="34"/>
      <c r="K1114" s="34">
        <f t="shared" si="288"/>
        <v>32500</v>
      </c>
      <c r="M1114" s="10">
        <v>3</v>
      </c>
      <c r="N1114" s="30" t="s">
        <v>97</v>
      </c>
      <c r="O1114" s="31">
        <f t="shared" ref="O1114:O1131" si="294">O1113+1</f>
        <v>9869</v>
      </c>
      <c r="P1114" s="32">
        <f>500+650</f>
        <v>1150</v>
      </c>
      <c r="Q1114" s="32"/>
      <c r="R1114" s="32"/>
      <c r="S1114" s="32">
        <f t="shared" si="289"/>
        <v>1150</v>
      </c>
      <c r="T1114" s="12"/>
      <c r="U1114" s="12"/>
      <c r="V1114" s="12"/>
      <c r="W1114" s="12">
        <f t="shared" si="290"/>
        <v>1150</v>
      </c>
      <c r="Y1114" s="10">
        <v>3</v>
      </c>
      <c r="Z1114" s="30" t="s">
        <v>97</v>
      </c>
      <c r="AA1114" s="31">
        <f t="shared" ref="AA1114:AA1131" si="295">AA1113+1</f>
        <v>9764</v>
      </c>
      <c r="AB1114" s="33">
        <f>650*108+229*4</f>
        <v>71116</v>
      </c>
      <c r="AC1114" s="33">
        <f>-108*6</f>
        <v>-648</v>
      </c>
      <c r="AD1114" s="32"/>
      <c r="AE1114" s="32">
        <f t="shared" si="291"/>
        <v>70468</v>
      </c>
      <c r="AF1114" s="12"/>
      <c r="AG1114" s="12">
        <f>2664+1.5*48</f>
        <v>2736</v>
      </c>
      <c r="AH1114" s="12"/>
      <c r="AI1114" s="12">
        <f t="shared" si="292"/>
        <v>73204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83">
        <f t="shared" si="293"/>
        <v>9831</v>
      </c>
      <c r="D1115" s="32">
        <f>650*50+229</f>
        <v>32729</v>
      </c>
      <c r="E1115" s="32"/>
      <c r="F1115" s="32"/>
      <c r="G1115" s="32">
        <f t="shared" si="287"/>
        <v>32729</v>
      </c>
      <c r="H1115" s="12"/>
      <c r="I1115" s="12">
        <f>111*42+9.5*15</f>
        <v>4804.5</v>
      </c>
      <c r="J1115" s="12"/>
      <c r="K1115" s="12">
        <f t="shared" si="288"/>
        <v>37533.5</v>
      </c>
      <c r="M1115" s="10">
        <v>4</v>
      </c>
      <c r="N1115" s="30" t="s">
        <v>97</v>
      </c>
      <c r="O1115" s="31">
        <f t="shared" si="294"/>
        <v>9870</v>
      </c>
      <c r="P1115" s="32">
        <f>650*4+670</f>
        <v>3270</v>
      </c>
      <c r="Q1115" s="32"/>
      <c r="R1115" s="32"/>
      <c r="S1115" s="32">
        <f t="shared" si="289"/>
        <v>3270</v>
      </c>
      <c r="T1115" s="12"/>
      <c r="U1115" s="12"/>
      <c r="V1115" s="12"/>
      <c r="W1115" s="12">
        <f t="shared" si="290"/>
        <v>3270</v>
      </c>
      <c r="Y1115" s="10">
        <v>4</v>
      </c>
      <c r="Z1115" s="30" t="s">
        <v>97</v>
      </c>
      <c r="AA1115" s="31">
        <f t="shared" si="295"/>
        <v>9765</v>
      </c>
      <c r="AB1115" s="32">
        <f>650*162+229*6</f>
        <v>106674</v>
      </c>
      <c r="AC1115" s="32">
        <f>-162*6</f>
        <v>-972</v>
      </c>
      <c r="AD1115" s="32"/>
      <c r="AE1115" s="32">
        <f t="shared" si="291"/>
        <v>105702</v>
      </c>
      <c r="AF1115" s="12"/>
      <c r="AG1115" s="58"/>
      <c r="AH1115" s="12"/>
      <c r="AI1115" s="12">
        <f t="shared" si="292"/>
        <v>105702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83">
        <f t="shared" si="293"/>
        <v>9832</v>
      </c>
      <c r="D1116" s="32">
        <f>229*3</f>
        <v>687</v>
      </c>
      <c r="E1116" s="32"/>
      <c r="F1116" s="32"/>
      <c r="G1116" s="32">
        <f t="shared" si="287"/>
        <v>687</v>
      </c>
      <c r="H1116" s="12"/>
      <c r="I1116" s="12"/>
      <c r="J1116" s="12">
        <v>-156</v>
      </c>
      <c r="K1116" s="12">
        <f t="shared" si="288"/>
        <v>531</v>
      </c>
      <c r="M1116" s="10">
        <v>5</v>
      </c>
      <c r="N1116" s="30" t="s">
        <v>97</v>
      </c>
      <c r="O1116" s="31">
        <f t="shared" si="294"/>
        <v>9871</v>
      </c>
      <c r="P1116" s="32">
        <f>650*3+670</f>
        <v>2620</v>
      </c>
      <c r="Q1116" s="32"/>
      <c r="R1116" s="32"/>
      <c r="S1116" s="32">
        <f t="shared" si="289"/>
        <v>2620</v>
      </c>
      <c r="T1116" s="12"/>
      <c r="U1116" s="12"/>
      <c r="V1116" s="12"/>
      <c r="W1116" s="12">
        <f t="shared" si="290"/>
        <v>2620</v>
      </c>
      <c r="Y1116" s="10">
        <v>5</v>
      </c>
      <c r="Z1116" s="30" t="s">
        <v>97</v>
      </c>
      <c r="AA1116" s="31">
        <f t="shared" si="295"/>
        <v>9766</v>
      </c>
      <c r="AB1116" s="32">
        <f>650*20+670*4+622*6+229*3</f>
        <v>20099</v>
      </c>
      <c r="AC1116" s="32"/>
      <c r="AD1116" s="32"/>
      <c r="AE1116" s="32">
        <f t="shared" si="291"/>
        <v>20099</v>
      </c>
      <c r="AF1116" s="12"/>
      <c r="AG1116" s="12"/>
      <c r="AH1116" s="12"/>
      <c r="AI1116" s="12">
        <f t="shared" si="292"/>
        <v>20099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83">
        <f t="shared" si="293"/>
        <v>9833</v>
      </c>
      <c r="D1117" s="32">
        <f>650*8+9.5*8</f>
        <v>5276</v>
      </c>
      <c r="E1117" s="32"/>
      <c r="F1117" s="32"/>
      <c r="G1117" s="32">
        <f t="shared" si="287"/>
        <v>5276</v>
      </c>
      <c r="H1117" s="12"/>
      <c r="I1117" s="12"/>
      <c r="J1117" s="12"/>
      <c r="K1117" s="12">
        <f t="shared" si="288"/>
        <v>5276</v>
      </c>
      <c r="M1117" s="10">
        <v>6</v>
      </c>
      <c r="N1117" s="30" t="s">
        <v>97</v>
      </c>
      <c r="O1117" s="31">
        <f t="shared" si="294"/>
        <v>9872</v>
      </c>
      <c r="P1117" s="32">
        <f>650*75+670*7+622*15+229*3</f>
        <v>63457</v>
      </c>
      <c r="Q1117" s="32"/>
      <c r="R1117" s="32"/>
      <c r="S1117" s="32">
        <f t="shared" si="289"/>
        <v>63457</v>
      </c>
      <c r="T1117" s="12"/>
      <c r="U1117" s="12">
        <f>18*111+4.5*36</f>
        <v>2160</v>
      </c>
      <c r="V1117" s="10"/>
      <c r="W1117" s="12">
        <f t="shared" si="290"/>
        <v>65617</v>
      </c>
      <c r="Y1117" s="10">
        <v>6</v>
      </c>
      <c r="Z1117" s="30" t="s">
        <v>97</v>
      </c>
      <c r="AA1117" s="31">
        <f t="shared" si="295"/>
        <v>9767</v>
      </c>
      <c r="AB1117" s="32">
        <f>650*10+622*10</f>
        <v>12720</v>
      </c>
      <c r="AC1117" s="32"/>
      <c r="AD1117" s="32"/>
      <c r="AE1117" s="32">
        <f t="shared" si="291"/>
        <v>12720</v>
      </c>
      <c r="AF1117" s="12"/>
      <c r="AG1117" s="12"/>
      <c r="AH1117" s="10"/>
      <c r="AI1117" s="12">
        <f t="shared" si="292"/>
        <v>12720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83">
        <f t="shared" si="293"/>
        <v>9834</v>
      </c>
      <c r="D1118" s="32">
        <f>650*2+9.5*2</f>
        <v>1319</v>
      </c>
      <c r="E1118" s="32"/>
      <c r="F1118" s="32"/>
      <c r="G1118" s="32">
        <f t="shared" si="287"/>
        <v>1319</v>
      </c>
      <c r="H1118" s="12"/>
      <c r="I1118" s="12"/>
      <c r="J1118" s="12"/>
      <c r="K1118" s="12">
        <f t="shared" si="288"/>
        <v>1319</v>
      </c>
      <c r="M1118" s="10">
        <v>7</v>
      </c>
      <c r="N1118" s="30" t="s">
        <v>97</v>
      </c>
      <c r="O1118" s="31">
        <f t="shared" si="294"/>
        <v>9873</v>
      </c>
      <c r="P1118" s="32">
        <f>650*4+9.5*4</f>
        <v>2638</v>
      </c>
      <c r="Q1118" s="32"/>
      <c r="R1118" s="32"/>
      <c r="S1118" s="32">
        <f t="shared" si="289"/>
        <v>2638</v>
      </c>
      <c r="T1118" s="12"/>
      <c r="U1118" s="12"/>
      <c r="V1118" s="12">
        <f>-333+-126</f>
        <v>-459</v>
      </c>
      <c r="W1118" s="12">
        <f t="shared" si="290"/>
        <v>2179</v>
      </c>
      <c r="Y1118" s="10">
        <v>7</v>
      </c>
      <c r="Z1118" s="30" t="s">
        <v>97</v>
      </c>
      <c r="AA1118" s="31">
        <f t="shared" si="295"/>
        <v>9768</v>
      </c>
      <c r="AB1118" s="32">
        <f>650*2+622+9.5*3</f>
        <v>1950.5</v>
      </c>
      <c r="AC1118" s="32"/>
      <c r="AD1118" s="32"/>
      <c r="AE1118" s="32">
        <f t="shared" si="291"/>
        <v>1950.5</v>
      </c>
      <c r="AF1118" s="12"/>
      <c r="AG1118" s="58"/>
      <c r="AH1118" s="12"/>
      <c r="AI1118" s="12">
        <f t="shared" si="292"/>
        <v>1950.5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83">
        <f t="shared" si="293"/>
        <v>9835</v>
      </c>
      <c r="D1119" s="32">
        <f>650*2+9.5*2</f>
        <v>1319</v>
      </c>
      <c r="E1119" s="32"/>
      <c r="F1119" s="32"/>
      <c r="G1119" s="32">
        <f t="shared" si="287"/>
        <v>1319</v>
      </c>
      <c r="H1119" s="12"/>
      <c r="I1119" s="12"/>
      <c r="J1119" s="12"/>
      <c r="K1119" s="12">
        <f t="shared" si="288"/>
        <v>1319</v>
      </c>
      <c r="M1119" s="10">
        <v>8</v>
      </c>
      <c r="N1119" s="30"/>
      <c r="O1119" s="11" t="s">
        <v>27</v>
      </c>
      <c r="P1119" s="32"/>
      <c r="Q1119" s="32"/>
      <c r="R1119" s="32"/>
      <c r="S1119" s="32">
        <f t="shared" si="289"/>
        <v>0</v>
      </c>
      <c r="T1119" s="12"/>
      <c r="U1119" s="12"/>
      <c r="V1119" s="12"/>
      <c r="W1119" s="12">
        <f t="shared" si="290"/>
        <v>0</v>
      </c>
      <c r="Y1119" s="10">
        <v>8</v>
      </c>
      <c r="Z1119" s="30" t="s">
        <v>97</v>
      </c>
      <c r="AA1119" s="31">
        <f t="shared" si="295"/>
        <v>9769</v>
      </c>
      <c r="AB1119" s="32">
        <f>650*20+622*5+229</f>
        <v>16339</v>
      </c>
      <c r="AC1119" s="32"/>
      <c r="AE1119" s="32">
        <f t="shared" si="291"/>
        <v>16339</v>
      </c>
      <c r="AF1119" s="12"/>
      <c r="AG1119" s="12"/>
      <c r="AH1119" s="12"/>
      <c r="AI1119" s="12">
        <f t="shared" si="292"/>
        <v>16339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83">
        <f t="shared" si="293"/>
        <v>9836</v>
      </c>
      <c r="D1120" s="32">
        <f>650+9.5</f>
        <v>659.5</v>
      </c>
      <c r="E1120" s="32"/>
      <c r="F1120" s="32"/>
      <c r="G1120" s="32">
        <f t="shared" si="287"/>
        <v>659.5</v>
      </c>
      <c r="H1120" s="12"/>
      <c r="I1120" s="12"/>
      <c r="J1120" s="12"/>
      <c r="K1120" s="12">
        <f t="shared" si="288"/>
        <v>659.5</v>
      </c>
      <c r="M1120" s="10">
        <v>9</v>
      </c>
      <c r="N1120" s="30"/>
      <c r="O1120" s="31"/>
      <c r="P1120" s="32"/>
      <c r="Q1120" s="32"/>
      <c r="R1120" s="32"/>
      <c r="S1120" s="32">
        <f t="shared" si="289"/>
        <v>0</v>
      </c>
      <c r="T1120" s="12"/>
      <c r="U1120" s="12"/>
      <c r="V1120" s="12"/>
      <c r="W1120" s="12">
        <f t="shared" si="290"/>
        <v>0</v>
      </c>
      <c r="Y1120" s="10">
        <v>9</v>
      </c>
      <c r="Z1120" s="30" t="s">
        <v>97</v>
      </c>
      <c r="AA1120" s="31">
        <f t="shared" si="295"/>
        <v>9770</v>
      </c>
      <c r="AB1120" s="32">
        <f>650*6+670*4+622*3</f>
        <v>8446</v>
      </c>
      <c r="AC1120" s="32"/>
      <c r="AD1120" s="32"/>
      <c r="AE1120" s="32">
        <f t="shared" si="291"/>
        <v>8446</v>
      </c>
      <c r="AF1120" s="12"/>
      <c r="AG1120">
        <v>40.5</v>
      </c>
      <c r="AH1120" s="12"/>
      <c r="AI1120" s="12">
        <f t="shared" si="292"/>
        <v>8486.5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83">
        <f t="shared" si="293"/>
        <v>9837</v>
      </c>
      <c r="D1121" s="32">
        <f>650*2+9.5*2</f>
        <v>1319</v>
      </c>
      <c r="E1121" s="32"/>
      <c r="F1121" s="32"/>
      <c r="G1121" s="32">
        <f t="shared" si="287"/>
        <v>1319</v>
      </c>
      <c r="H1121" s="12"/>
      <c r="I1121" s="12"/>
      <c r="J1121" s="12"/>
      <c r="K1121" s="12">
        <f t="shared" si="288"/>
        <v>1319</v>
      </c>
      <c r="M1121" s="10">
        <v>10</v>
      </c>
      <c r="N1121" s="30"/>
      <c r="O1121" s="31"/>
      <c r="P1121" s="32"/>
      <c r="Q1121" s="32"/>
      <c r="R1121" s="32"/>
      <c r="S1121" s="32">
        <f t="shared" si="289"/>
        <v>0</v>
      </c>
      <c r="T1121" s="12"/>
      <c r="U1121" s="12"/>
      <c r="V1121" s="12"/>
      <c r="W1121" s="12">
        <f t="shared" si="290"/>
        <v>0</v>
      </c>
      <c r="Y1121" s="10">
        <v>10</v>
      </c>
      <c r="Z1121" s="30" t="s">
        <v>97</v>
      </c>
      <c r="AA1121" s="31">
        <f t="shared" si="295"/>
        <v>9771</v>
      </c>
      <c r="AB1121" s="32">
        <f>650*5+622*15</f>
        <v>12580</v>
      </c>
      <c r="AC1121" s="32"/>
      <c r="AD1121" s="32"/>
      <c r="AE1121" s="32">
        <f t="shared" si="291"/>
        <v>12580</v>
      </c>
      <c r="AF1121" s="12"/>
      <c r="AG1121" s="12"/>
      <c r="AH1121" s="12"/>
      <c r="AI1121" s="12">
        <f t="shared" si="292"/>
        <v>12580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83">
        <f t="shared" si="293"/>
        <v>9838</v>
      </c>
      <c r="D1122" s="32">
        <f>650*8+670+622*8</f>
        <v>10846</v>
      </c>
      <c r="E1122" s="32"/>
      <c r="F1122" s="32"/>
      <c r="G1122" s="32">
        <f t="shared" si="287"/>
        <v>10846</v>
      </c>
      <c r="H1122" s="12"/>
      <c r="I1122" s="12"/>
      <c r="J1122" s="12"/>
      <c r="K1122" s="12">
        <f t="shared" si="288"/>
        <v>10846</v>
      </c>
      <c r="M1122" s="10">
        <v>11</v>
      </c>
      <c r="N1122" s="30"/>
      <c r="O1122" s="31"/>
      <c r="P1122" s="32"/>
      <c r="Q1122" s="32"/>
      <c r="R1122" s="32"/>
      <c r="S1122" s="32">
        <f t="shared" si="289"/>
        <v>0</v>
      </c>
      <c r="T1122" s="12"/>
      <c r="U1122" s="12"/>
      <c r="V1122" s="12"/>
      <c r="W1122" s="12">
        <f t="shared" si="290"/>
        <v>0</v>
      </c>
      <c r="Y1122" s="10">
        <v>11</v>
      </c>
      <c r="Z1122" s="30" t="s">
        <v>97</v>
      </c>
      <c r="AA1122" s="31">
        <f t="shared" si="295"/>
        <v>9772</v>
      </c>
      <c r="AB1122" s="32">
        <f>650*20+670*4</f>
        <v>15680</v>
      </c>
      <c r="AC1122" s="32"/>
      <c r="AD1122" s="32"/>
      <c r="AE1122" s="32">
        <f t="shared" si="291"/>
        <v>15680</v>
      </c>
      <c r="AF1122" s="12"/>
      <c r="AG1122" s="12"/>
      <c r="AH1122" s="12"/>
      <c r="AI1122" s="12">
        <f t="shared" si="292"/>
        <v>15680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83">
        <f t="shared" si="293"/>
        <v>9839</v>
      </c>
      <c r="D1123" s="32">
        <f>650*22+622*3+872</f>
        <v>17038</v>
      </c>
      <c r="E1123" s="32"/>
      <c r="F1123" s="32"/>
      <c r="G1123" s="32">
        <f t="shared" si="287"/>
        <v>17038</v>
      </c>
      <c r="H1123" s="12"/>
      <c r="I1123" s="12"/>
      <c r="J1123" s="10"/>
      <c r="K1123" s="12">
        <f t="shared" si="288"/>
        <v>17038</v>
      </c>
      <c r="M1123" s="10">
        <v>12</v>
      </c>
      <c r="N1123" s="30"/>
      <c r="O1123" s="31"/>
      <c r="P1123" s="32"/>
      <c r="Q1123" s="32"/>
      <c r="R1123" s="32"/>
      <c r="S1123" s="32">
        <f t="shared" si="289"/>
        <v>0</v>
      </c>
      <c r="T1123" s="12"/>
      <c r="U1123" s="12"/>
      <c r="V1123" s="12"/>
      <c r="W1123" s="12">
        <f t="shared" si="290"/>
        <v>0</v>
      </c>
      <c r="Y1123" s="10">
        <v>12</v>
      </c>
      <c r="Z1123" s="30"/>
      <c r="AA1123" s="11" t="s">
        <v>27</v>
      </c>
      <c r="AB1123" s="32"/>
      <c r="AC1123" s="32"/>
      <c r="AD1123" s="32"/>
      <c r="AE1123" s="32">
        <f t="shared" si="291"/>
        <v>0</v>
      </c>
      <c r="AF1123" s="12"/>
      <c r="AG1123" s="12"/>
      <c r="AH1123" s="12"/>
      <c r="AI1123" s="12">
        <f t="shared" si="292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27</v>
      </c>
      <c r="D1124" s="32"/>
      <c r="E1124" s="32"/>
      <c r="F1124" s="32"/>
      <c r="G1124" s="32">
        <f t="shared" si="287"/>
        <v>0</v>
      </c>
      <c r="H1124" s="12"/>
      <c r="I1124" s="12"/>
      <c r="J1124" s="12"/>
      <c r="K1124" s="12">
        <f t="shared" si="288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89"/>
        <v>0</v>
      </c>
      <c r="T1124" s="12"/>
      <c r="U1124" s="12"/>
      <c r="V1124" s="12"/>
      <c r="W1124" s="12">
        <f t="shared" si="290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91"/>
        <v>0</v>
      </c>
      <c r="AF1124" s="12"/>
      <c r="AG1124" s="12"/>
      <c r="AH1124" s="12"/>
      <c r="AI1124" s="12">
        <f t="shared" si="292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3"/>
      <c r="D1125" s="32"/>
      <c r="E1125" s="32"/>
      <c r="F1125" s="32"/>
      <c r="G1125" s="32">
        <f t="shared" si="287"/>
        <v>0</v>
      </c>
      <c r="H1125" s="12"/>
      <c r="I1125" s="12"/>
      <c r="J1125" s="12"/>
      <c r="K1125" s="12">
        <f t="shared" si="288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89"/>
        <v>0</v>
      </c>
      <c r="T1125" s="12"/>
      <c r="U1125" s="12"/>
      <c r="V1125" s="12"/>
      <c r="W1125" s="12">
        <f t="shared" si="290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91"/>
        <v>0</v>
      </c>
      <c r="AF1125" s="12"/>
      <c r="AG1125" s="12"/>
      <c r="AH1125" s="12"/>
      <c r="AI1125" s="12">
        <f t="shared" si="292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3"/>
      <c r="D1126" s="32"/>
      <c r="E1126" s="32"/>
      <c r="F1126" s="32"/>
      <c r="G1126" s="32">
        <f t="shared" si="287"/>
        <v>0</v>
      </c>
      <c r="H1126" s="12"/>
      <c r="I1126" s="12"/>
      <c r="J1126" s="12"/>
      <c r="K1126" s="12">
        <f t="shared" si="288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89"/>
        <v>0</v>
      </c>
      <c r="T1126" s="12"/>
      <c r="U1126" s="12"/>
      <c r="V1126" s="12"/>
      <c r="W1126" s="12">
        <f t="shared" si="290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91"/>
        <v>0</v>
      </c>
      <c r="AF1126" s="12"/>
      <c r="AG1126" s="12"/>
      <c r="AH1126" s="12"/>
      <c r="AI1126" s="12">
        <f t="shared" si="292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3"/>
      <c r="D1127" s="32"/>
      <c r="E1127" s="32"/>
      <c r="F1127" s="32"/>
      <c r="G1127" s="32">
        <f t="shared" si="287"/>
        <v>0</v>
      </c>
      <c r="H1127" s="12"/>
      <c r="I1127" s="12"/>
      <c r="J1127" s="12"/>
      <c r="K1127" s="12">
        <f t="shared" si="288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89"/>
        <v>0</v>
      </c>
      <c r="T1127" s="12"/>
      <c r="U1127" s="12"/>
      <c r="V1127" s="12"/>
      <c r="W1127" s="12">
        <f t="shared" si="290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91"/>
        <v>0</v>
      </c>
      <c r="AF1127" s="12"/>
      <c r="AG1127" s="12"/>
      <c r="AH1127" s="12"/>
      <c r="AI1127" s="12">
        <f t="shared" si="292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3"/>
      <c r="D1128" s="32"/>
      <c r="E1128" s="32"/>
      <c r="F1128" s="32"/>
      <c r="G1128" s="32">
        <f t="shared" si="287"/>
        <v>0</v>
      </c>
      <c r="H1128" s="12"/>
      <c r="I1128" s="12"/>
      <c r="J1128" s="12"/>
      <c r="K1128" s="12">
        <f t="shared" si="288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89"/>
        <v>0</v>
      </c>
      <c r="T1128" s="12"/>
      <c r="U1128" s="12"/>
      <c r="V1128" s="12"/>
      <c r="W1128" s="12">
        <f t="shared" si="290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91"/>
        <v>0</v>
      </c>
      <c r="AF1128" s="12"/>
      <c r="AG1128" s="12"/>
      <c r="AH1128" s="12"/>
      <c r="AI1128" s="12">
        <f t="shared" si="292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3"/>
      <c r="D1129" s="32"/>
      <c r="E1129" s="32"/>
      <c r="F1129" s="32"/>
      <c r="G1129" s="32">
        <f t="shared" si="287"/>
        <v>0</v>
      </c>
      <c r="H1129" s="12"/>
      <c r="I1129" s="12"/>
      <c r="J1129" s="12"/>
      <c r="K1129" s="12">
        <f t="shared" si="288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89"/>
        <v>0</v>
      </c>
      <c r="T1129" s="12"/>
      <c r="U1129" s="12"/>
      <c r="V1129" s="12"/>
      <c r="W1129" s="12">
        <f t="shared" si="290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91"/>
        <v>0</v>
      </c>
      <c r="AF1129" s="12"/>
      <c r="AG1129" s="12"/>
      <c r="AH1129" s="12"/>
      <c r="AI1129" s="12">
        <f t="shared" si="292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3"/>
      <c r="D1130" s="32"/>
      <c r="E1130" s="32"/>
      <c r="F1130" s="32"/>
      <c r="G1130" s="32">
        <f t="shared" si="287"/>
        <v>0</v>
      </c>
      <c r="H1130" s="12"/>
      <c r="I1130" s="12"/>
      <c r="J1130" s="12"/>
      <c r="K1130" s="12">
        <f t="shared" si="288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89"/>
        <v>0</v>
      </c>
      <c r="T1130" s="12"/>
      <c r="U1130" s="12"/>
      <c r="V1130" s="12"/>
      <c r="W1130" s="12">
        <f t="shared" si="290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91"/>
        <v>0</v>
      </c>
      <c r="AF1130" s="12"/>
      <c r="AG1130" s="12"/>
      <c r="AH1130" s="12"/>
      <c r="AI1130" s="12">
        <f t="shared" si="292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3"/>
      <c r="D1131" s="32"/>
      <c r="E1131" s="32"/>
      <c r="F1131" s="32"/>
      <c r="G1131" s="32">
        <f t="shared" si="287"/>
        <v>0</v>
      </c>
      <c r="H1131" s="12"/>
      <c r="I1131" s="12"/>
      <c r="J1131" s="12"/>
      <c r="K1131" s="12">
        <f t="shared" si="288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89"/>
        <v>0</v>
      </c>
      <c r="T1131" s="12"/>
      <c r="U1131" s="12"/>
      <c r="V1131" s="12"/>
      <c r="W1131" s="12">
        <f t="shared" si="290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91"/>
        <v>0</v>
      </c>
      <c r="AF1131" s="12"/>
      <c r="AG1131" s="12"/>
      <c r="AH1131" s="12"/>
      <c r="AI1131" s="12">
        <f t="shared" si="292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11"/>
      <c r="D1132" s="32"/>
      <c r="E1132" s="32"/>
      <c r="F1132" s="32"/>
      <c r="G1132" s="32">
        <f t="shared" si="287"/>
        <v>0</v>
      </c>
      <c r="H1132" s="10"/>
      <c r="I1132" s="10"/>
      <c r="J1132" s="10"/>
      <c r="K1132" s="12">
        <f t="shared" si="288"/>
        <v>0</v>
      </c>
      <c r="M1132" s="10">
        <v>21</v>
      </c>
      <c r="N1132" s="30"/>
      <c r="O1132" s="11"/>
      <c r="P1132" s="46"/>
      <c r="Q1132" s="31"/>
      <c r="R1132" s="31"/>
      <c r="S1132" s="32">
        <f t="shared" si="289"/>
        <v>0</v>
      </c>
      <c r="T1132" s="10"/>
      <c r="U1132" s="10"/>
      <c r="V1132" s="10"/>
      <c r="W1132" s="12">
        <f t="shared" si="290"/>
        <v>0</v>
      </c>
      <c r="Y1132" s="10">
        <v>21</v>
      </c>
      <c r="Z1132" s="30"/>
      <c r="AA1132" s="11"/>
      <c r="AB1132" s="46"/>
      <c r="AC1132" s="31"/>
      <c r="AD1132" s="31"/>
      <c r="AE1132" s="32">
        <f t="shared" si="291"/>
        <v>0</v>
      </c>
      <c r="AF1132" s="10"/>
      <c r="AG1132" s="10"/>
      <c r="AH1132" s="10"/>
      <c r="AI1132" s="12">
        <f t="shared" si="292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57"/>
      <c r="D1133" s="32"/>
      <c r="E1133" s="32"/>
      <c r="F1133" s="32"/>
      <c r="G1133" s="32">
        <f t="shared" si="287"/>
        <v>0</v>
      </c>
      <c r="H1133" s="10"/>
      <c r="I1133" s="10"/>
      <c r="J1133" s="10"/>
      <c r="K1133" s="12">
        <f t="shared" si="288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89"/>
        <v>0</v>
      </c>
      <c r="T1133" s="10"/>
      <c r="U1133" s="10"/>
      <c r="V1133" s="10"/>
      <c r="W1133" s="12">
        <f t="shared" si="290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91"/>
        <v>0</v>
      </c>
      <c r="AF1133" s="10"/>
      <c r="AG1133" s="10"/>
      <c r="AH1133" s="10"/>
      <c r="AI1133" s="12">
        <f t="shared" si="292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3"/>
      <c r="D1134" s="32"/>
      <c r="E1134" s="32"/>
      <c r="F1134" s="32"/>
      <c r="G1134" s="32">
        <f t="shared" si="287"/>
        <v>0</v>
      </c>
      <c r="H1134" s="10"/>
      <c r="I1134" s="10"/>
      <c r="J1134" s="12"/>
      <c r="K1134" s="12">
        <f t="shared" si="288"/>
        <v>0</v>
      </c>
      <c r="M1134" s="10">
        <v>23</v>
      </c>
      <c r="N1134" s="30"/>
      <c r="O1134" s="31"/>
      <c r="P1134" s="47"/>
      <c r="Q1134" s="31"/>
      <c r="S1134" s="32">
        <f t="shared" si="289"/>
        <v>0</v>
      </c>
      <c r="T1134" s="10"/>
      <c r="U1134" s="10"/>
      <c r="V1134" s="10"/>
      <c r="W1134" s="12">
        <f t="shared" si="290"/>
        <v>0</v>
      </c>
      <c r="Y1134" s="10">
        <v>23</v>
      </c>
      <c r="Z1134" s="30"/>
      <c r="AA1134" s="31"/>
      <c r="AB1134" s="47"/>
      <c r="AE1134" s="32">
        <f t="shared" si="291"/>
        <v>0</v>
      </c>
      <c r="AF1134" s="10"/>
      <c r="AG1134" s="10"/>
      <c r="AH1134" s="10"/>
      <c r="AI1134" s="12">
        <f t="shared" si="292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3"/>
      <c r="D1135" s="32"/>
      <c r="E1135" s="32"/>
      <c r="F1135" s="32"/>
      <c r="G1135" s="32">
        <f t="shared" si="287"/>
        <v>0</v>
      </c>
      <c r="H1135" s="10"/>
      <c r="I1135" s="10"/>
      <c r="J1135" s="10"/>
      <c r="K1135" s="12">
        <f t="shared" si="288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89"/>
        <v>0</v>
      </c>
      <c r="T1135" s="10"/>
      <c r="U1135" s="10"/>
      <c r="V1135" s="10"/>
      <c r="W1135" s="12">
        <f t="shared" si="290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91"/>
        <v>0</v>
      </c>
      <c r="AF1135" s="10"/>
      <c r="AG1135" s="10"/>
      <c r="AH1135" s="10"/>
      <c r="AI1135" s="12">
        <f t="shared" si="292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3"/>
      <c r="D1136" s="32"/>
      <c r="E1136" s="32"/>
      <c r="F1136" s="32"/>
      <c r="G1136" s="32">
        <f t="shared" si="287"/>
        <v>0</v>
      </c>
      <c r="H1136" s="10"/>
      <c r="I1136" s="10"/>
      <c r="J1136" s="10"/>
      <c r="K1136" s="12">
        <f t="shared" si="288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89"/>
        <v>0</v>
      </c>
      <c r="T1136" s="10"/>
      <c r="U1136" s="10"/>
      <c r="V1136" s="10"/>
      <c r="W1136" s="12">
        <f t="shared" si="290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91"/>
        <v>0</v>
      </c>
      <c r="AF1136" s="10"/>
      <c r="AG1136" s="10"/>
      <c r="AH1136" s="10"/>
      <c r="AI1136" s="12">
        <f t="shared" si="292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3"/>
      <c r="D1137" s="32"/>
      <c r="E1137" s="32"/>
      <c r="F1137" s="32"/>
      <c r="G1137" s="32">
        <f t="shared" si="287"/>
        <v>0</v>
      </c>
      <c r="H1137" s="10"/>
      <c r="I1137" s="10"/>
      <c r="J1137" s="10"/>
      <c r="K1137" s="12">
        <f t="shared" si="288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289"/>
        <v>0</v>
      </c>
      <c r="T1137" s="10"/>
      <c r="U1137" s="10"/>
      <c r="V1137" s="10"/>
      <c r="W1137" s="12">
        <f t="shared" si="290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91"/>
        <v>0</v>
      </c>
      <c r="AF1137" s="10"/>
      <c r="AG1137" s="10"/>
      <c r="AH1137" s="10"/>
      <c r="AI1137" s="12">
        <f t="shared" si="292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3"/>
      <c r="D1138" s="32"/>
      <c r="E1138" s="32"/>
      <c r="F1138" s="32"/>
      <c r="G1138" s="32">
        <f t="shared" si="287"/>
        <v>0</v>
      </c>
      <c r="H1138" s="10"/>
      <c r="I1138" s="10"/>
      <c r="J1138" s="10"/>
      <c r="K1138" s="12">
        <f t="shared" si="288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89"/>
        <v>0</v>
      </c>
      <c r="T1138" s="10"/>
      <c r="U1138" s="10"/>
      <c r="V1138" s="10"/>
      <c r="W1138" s="12">
        <f t="shared" si="290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91"/>
        <v>0</v>
      </c>
      <c r="AF1138" s="10"/>
      <c r="AG1138" s="10"/>
      <c r="AH1138" s="10"/>
      <c r="AI1138" s="12">
        <f t="shared" si="292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3"/>
      <c r="D1139" s="32"/>
      <c r="E1139" s="32"/>
      <c r="F1139" s="32"/>
      <c r="G1139" s="32">
        <f t="shared" si="287"/>
        <v>0</v>
      </c>
      <c r="H1139" s="10"/>
      <c r="I1139" s="10"/>
      <c r="J1139" s="10"/>
      <c r="K1139" s="12">
        <f t="shared" si="288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89"/>
        <v>0</v>
      </c>
      <c r="T1139" s="10"/>
      <c r="U1139" s="10"/>
      <c r="V1139" s="10"/>
      <c r="W1139" s="12">
        <f t="shared" si="290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91"/>
        <v>0</v>
      </c>
      <c r="AF1139" s="10"/>
      <c r="AG1139" s="10"/>
      <c r="AH1139" s="10"/>
      <c r="AI1139" s="12">
        <f t="shared" si="292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3"/>
      <c r="D1140" s="32"/>
      <c r="E1140" s="32"/>
      <c r="F1140" s="32"/>
      <c r="G1140" s="32">
        <f t="shared" si="287"/>
        <v>0</v>
      </c>
      <c r="H1140" s="10"/>
      <c r="I1140" s="10"/>
      <c r="J1140" s="10"/>
      <c r="K1140" s="12">
        <f t="shared" si="288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89"/>
        <v>0</v>
      </c>
      <c r="T1140" s="10"/>
      <c r="U1140" s="10"/>
      <c r="V1140" s="10"/>
      <c r="W1140" s="12">
        <f t="shared" si="290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91"/>
        <v>0</v>
      </c>
      <c r="AF1140" s="10"/>
      <c r="AG1140" s="10"/>
      <c r="AH1140" s="10"/>
      <c r="AI1140" s="12">
        <f t="shared" si="292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3"/>
      <c r="D1141" s="32"/>
      <c r="E1141" s="32"/>
      <c r="F1141" s="32"/>
      <c r="G1141" s="32">
        <f t="shared" si="287"/>
        <v>0</v>
      </c>
      <c r="H1141" s="10"/>
      <c r="I1141" s="10"/>
      <c r="J1141" s="10"/>
      <c r="K1141" s="12">
        <f t="shared" si="288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289"/>
        <v>0</v>
      </c>
      <c r="T1141" s="10"/>
      <c r="U1141" s="10"/>
      <c r="V1141" s="10"/>
      <c r="W1141" s="12">
        <f t="shared" si="290"/>
        <v>0</v>
      </c>
      <c r="Y1141" s="10">
        <v>30</v>
      </c>
      <c r="Z1141" s="30"/>
      <c r="AB1141" s="47"/>
      <c r="AC1141" s="31"/>
      <c r="AD1141" s="31"/>
      <c r="AE1141" s="32">
        <f t="shared" si="291"/>
        <v>0</v>
      </c>
      <c r="AF1141" s="10"/>
      <c r="AG1141" s="10"/>
      <c r="AH1141" s="10"/>
      <c r="AI1141" s="12">
        <f t="shared" si="292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3"/>
      <c r="D1142" s="32"/>
      <c r="E1142" s="32"/>
      <c r="F1142" s="32"/>
      <c r="G1142" s="32">
        <f t="shared" si="287"/>
        <v>0</v>
      </c>
      <c r="H1142" s="10"/>
      <c r="I1142" s="10"/>
      <c r="J1142" s="10"/>
      <c r="K1142" s="12">
        <f t="shared" si="288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89"/>
        <v>0</v>
      </c>
      <c r="T1142" s="10"/>
      <c r="U1142" s="10"/>
      <c r="V1142" s="10"/>
      <c r="W1142" s="12">
        <f t="shared" si="290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91"/>
        <v>0</v>
      </c>
      <c r="AF1142" s="10"/>
      <c r="AG1142" s="10"/>
      <c r="AH1142" s="10"/>
      <c r="AI1142" s="12">
        <f t="shared" si="292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3"/>
      <c r="D1143" s="32"/>
      <c r="E1143" s="32"/>
      <c r="F1143" s="32"/>
      <c r="G1143" s="32">
        <f t="shared" si="287"/>
        <v>0</v>
      </c>
      <c r="H1143" s="10"/>
      <c r="I1143" s="10"/>
      <c r="J1143" s="10"/>
      <c r="K1143" s="12">
        <f t="shared" si="288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89"/>
        <v>0</v>
      </c>
      <c r="T1143" s="10"/>
      <c r="U1143" s="10"/>
      <c r="V1143" s="10"/>
      <c r="W1143" s="12">
        <f t="shared" si="290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91"/>
        <v>0</v>
      </c>
      <c r="AF1143" s="10"/>
      <c r="AG1143" s="10"/>
      <c r="AH1143" s="10"/>
      <c r="AI1143" s="12">
        <f t="shared" si="292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3"/>
      <c r="D1144" s="32"/>
      <c r="E1144" s="32"/>
      <c r="F1144" s="32"/>
      <c r="G1144" s="32">
        <f t="shared" si="287"/>
        <v>0</v>
      </c>
      <c r="H1144" s="10"/>
      <c r="I1144" s="10"/>
      <c r="J1144" s="10"/>
      <c r="K1144" s="12">
        <f t="shared" si="288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89"/>
        <v>0</v>
      </c>
      <c r="T1144" s="10"/>
      <c r="U1144" s="10"/>
      <c r="V1144" s="10"/>
      <c r="W1144" s="12">
        <f t="shared" si="290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91"/>
        <v>0</v>
      </c>
      <c r="AF1144" s="10"/>
      <c r="AG1144" s="10"/>
      <c r="AH1144" s="10"/>
      <c r="AI1144" s="12">
        <f t="shared" si="292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3"/>
      <c r="D1145" s="32"/>
      <c r="E1145" s="32"/>
      <c r="F1145" s="32"/>
      <c r="G1145" s="32">
        <f t="shared" si="287"/>
        <v>0</v>
      </c>
      <c r="H1145" s="10"/>
      <c r="I1145" s="10"/>
      <c r="J1145" s="10"/>
      <c r="K1145" s="12">
        <f t="shared" si="288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89"/>
        <v>0</v>
      </c>
      <c r="T1145" s="10"/>
      <c r="U1145" s="10"/>
      <c r="V1145" s="10"/>
      <c r="W1145" s="12">
        <f t="shared" si="290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91"/>
        <v>0</v>
      </c>
      <c r="AF1145" s="10"/>
      <c r="AG1145" s="10"/>
      <c r="AH1145" s="10"/>
      <c r="AI1145" s="12">
        <f t="shared" si="292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3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P1146" s="47"/>
      <c r="Q1146" s="31"/>
      <c r="R1146" s="31"/>
      <c r="S1146" s="32">
        <f t="shared" si="289"/>
        <v>0</v>
      </c>
      <c r="T1146" s="10"/>
      <c r="U1146" s="10"/>
      <c r="V1146" s="10"/>
      <c r="W1146" s="12">
        <f t="shared" si="290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91"/>
        <v>0</v>
      </c>
      <c r="AF1146" s="10"/>
      <c r="AG1146" s="10"/>
      <c r="AH1146" s="10"/>
      <c r="AI1146" s="12">
        <f t="shared" si="292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3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89"/>
        <v>0</v>
      </c>
      <c r="T1147" s="10"/>
      <c r="U1147" s="10"/>
      <c r="V1147" s="10"/>
      <c r="W1147" s="12">
        <f t="shared" si="290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91"/>
        <v>0</v>
      </c>
      <c r="AF1147" s="10"/>
      <c r="AG1147" s="10"/>
      <c r="AH1147" s="10"/>
      <c r="AI1147" s="12">
        <f t="shared" si="292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O1148" s="31"/>
      <c r="P1148" s="47"/>
      <c r="Q1148" s="31"/>
      <c r="R1148" s="31"/>
      <c r="S1148" s="32">
        <f t="shared" si="289"/>
        <v>0</v>
      </c>
      <c r="T1148" s="10"/>
      <c r="U1148" s="10"/>
      <c r="V1148" s="10"/>
      <c r="W1148" s="12">
        <f t="shared" si="290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91"/>
        <v>0</v>
      </c>
      <c r="AF1148" s="10"/>
      <c r="AG1148" s="10"/>
      <c r="AH1148" s="10"/>
      <c r="AI1148" s="12">
        <f t="shared" si="292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89"/>
        <v>0</v>
      </c>
      <c r="T1149" s="10"/>
      <c r="U1149" s="10"/>
      <c r="V1149" s="10"/>
      <c r="W1149" s="12">
        <f t="shared" si="290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91"/>
        <v>0</v>
      </c>
      <c r="AF1149" s="10"/>
      <c r="AG1149" s="10"/>
      <c r="AH1149" s="10"/>
      <c r="AI1149" s="12">
        <f t="shared" si="292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89"/>
        <v>0</v>
      </c>
      <c r="T1150" s="10"/>
      <c r="U1150" s="10"/>
      <c r="V1150" s="10"/>
      <c r="W1150" s="12">
        <f t="shared" si="290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91"/>
        <v>0</v>
      </c>
      <c r="AF1150" s="10"/>
      <c r="AG1150" s="10"/>
      <c r="AH1150" s="10"/>
      <c r="AI1150" s="12">
        <f t="shared" si="292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90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92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96">SUM(D1152:E1152)</f>
        <v>0</v>
      </c>
      <c r="H1152" s="10"/>
      <c r="I1152" s="10"/>
      <c r="J1152" s="10"/>
      <c r="K1152" s="12">
        <f t="shared" ref="K1152" si="29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98">SUM(P1152:Q1152)</f>
        <v>0</v>
      </c>
      <c r="T1152" s="10"/>
      <c r="U1152" s="10"/>
      <c r="V1152" s="10"/>
      <c r="W1152" s="12">
        <f t="shared" si="290"/>
        <v>0</v>
      </c>
      <c r="Y1152" s="10"/>
      <c r="Z1152" s="30"/>
      <c r="AA1152" s="31"/>
      <c r="AB1152" s="47"/>
      <c r="AC1152" s="31"/>
      <c r="AD1152" s="31"/>
      <c r="AE1152" s="32">
        <f t="shared" ref="AE1152" si="299">SUM(AB1152:AC1152)</f>
        <v>0</v>
      </c>
      <c r="AF1152" s="10"/>
      <c r="AG1152" s="10"/>
      <c r="AH1152" s="10"/>
      <c r="AI1152" s="12">
        <f t="shared" si="292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90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92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200588.5</v>
      </c>
      <c r="E1155" s="38">
        <f t="shared" ref="E1155:G1155" si="300">SUM(E1112:E1152)</f>
        <v>0</v>
      </c>
      <c r="F1155" s="38">
        <f t="shared" si="300"/>
        <v>0</v>
      </c>
      <c r="G1155" s="38">
        <f>SUM(G1112:G1154)</f>
        <v>200588.5</v>
      </c>
      <c r="H1155" s="4"/>
      <c r="I1155" s="39">
        <f>SUM(I1112:I1154)</f>
        <v>4804.5</v>
      </c>
      <c r="J1155" s="39">
        <f>SUM(J1112:J1154)</f>
        <v>-156</v>
      </c>
      <c r="K1155" s="40">
        <f>SUM(K1112:K1154)</f>
        <v>205237</v>
      </c>
      <c r="N1155" s="57"/>
      <c r="O1155" s="57"/>
      <c r="P1155" s="38">
        <f>SUM(P1112:P1154)</f>
        <v>322235</v>
      </c>
      <c r="Q1155" s="38">
        <f>SUM(Q1112:Q1136)</f>
        <v>1980</v>
      </c>
      <c r="R1155" s="38">
        <f>SUM(R1112:R1136)</f>
        <v>0</v>
      </c>
      <c r="S1155" s="38">
        <f>SUM(S1112:S1154)</f>
        <v>324215</v>
      </c>
      <c r="T1155" s="4"/>
      <c r="U1155" s="41">
        <f>SUM(U1112:U1154)</f>
        <v>5826</v>
      </c>
      <c r="V1155" s="41">
        <f>SUM(V1112:V1136)</f>
        <v>-1275</v>
      </c>
      <c r="W1155" s="42">
        <f>SUM(W1112:W1154)</f>
        <v>328766</v>
      </c>
      <c r="Z1155" s="57"/>
      <c r="AA1155" s="57"/>
      <c r="AB1155" s="38">
        <f>SUM(AB1112:AB1154)</f>
        <v>416476.5</v>
      </c>
      <c r="AC1155" s="38">
        <f>SUM(AC1112:AC1136)</f>
        <v>-2568</v>
      </c>
      <c r="AD1155" s="38">
        <f>SUM(AD1112:AD1136)</f>
        <v>0</v>
      </c>
      <c r="AE1155" s="38">
        <f>SUM(AE1112:AE1154)</f>
        <v>413908.5</v>
      </c>
      <c r="AF1155" s="4"/>
      <c r="AG1155" s="41">
        <f>SUM(AG1112:AG1154)</f>
        <v>3010.5</v>
      </c>
      <c r="AH1155" s="41">
        <f>SUM(AH1112:AH1136)</f>
        <v>0</v>
      </c>
      <c r="AI1155" s="42">
        <f>SUM(AI1112:AI1154)</f>
        <v>416919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2"/>
      <c r="E1165" s="122"/>
      <c r="F1165" s="86"/>
      <c r="G1165" s="86"/>
      <c r="H1165" s="62"/>
      <c r="I1165" s="122"/>
      <c r="J1165" s="122"/>
      <c r="K1165" s="121"/>
      <c r="L1165" s="62"/>
      <c r="M1165" s="62"/>
      <c r="N1165" s="65"/>
      <c r="O1165" s="86"/>
      <c r="P1165" s="122"/>
      <c r="Q1165" s="122"/>
      <c r="R1165" s="86"/>
      <c r="S1165" s="86"/>
      <c r="T1165" s="62"/>
      <c r="U1165" s="122"/>
      <c r="V1165" s="122"/>
      <c r="W1165" s="121"/>
      <c r="X1165" s="62"/>
      <c r="Y1165" s="62"/>
      <c r="Z1165" s="65"/>
      <c r="AA1165" s="86"/>
      <c r="AB1165" s="122"/>
      <c r="AC1165" s="122"/>
      <c r="AD1165" s="86"/>
      <c r="AE1165" s="86"/>
      <c r="AF1165" s="62"/>
      <c r="AG1165" s="122"/>
      <c r="AH1165" s="122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2"/>
      <c r="E1221" s="122"/>
      <c r="F1221" s="86"/>
      <c r="G1221" s="86"/>
      <c r="H1221" s="62"/>
      <c r="I1221" s="122"/>
      <c r="J1221" s="122"/>
      <c r="K1221" s="121"/>
      <c r="L1221" s="62"/>
      <c r="M1221" s="62"/>
      <c r="N1221" s="65"/>
      <c r="O1221" s="86"/>
      <c r="P1221" s="122"/>
      <c r="Q1221" s="122"/>
      <c r="R1221" s="86"/>
      <c r="S1221" s="86"/>
      <c r="T1221" s="62"/>
      <c r="U1221" s="122"/>
      <c r="V1221" s="122"/>
      <c r="W1221" s="121"/>
      <c r="X1221" s="62"/>
      <c r="Y1221" s="62"/>
      <c r="Z1221" s="65"/>
      <c r="AA1221" s="86"/>
      <c r="AB1221" s="122"/>
      <c r="AC1221" s="122"/>
      <c r="AD1221" s="86"/>
      <c r="AE1221" s="86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2"/>
      <c r="E1283" s="122"/>
      <c r="F1283" s="86"/>
      <c r="G1283" s="86"/>
      <c r="H1283" s="62"/>
      <c r="I1283" s="122"/>
      <c r="J1283" s="122"/>
      <c r="K1283" s="121"/>
      <c r="L1283" s="62"/>
      <c r="M1283" s="62"/>
      <c r="N1283" s="65"/>
      <c r="O1283" s="86"/>
      <c r="P1283" s="122"/>
      <c r="Q1283" s="122"/>
      <c r="R1283" s="86"/>
      <c r="S1283" s="86"/>
      <c r="T1283" s="62"/>
      <c r="U1283" s="122"/>
      <c r="V1283" s="122"/>
      <c r="W1283" s="121"/>
      <c r="X1283" s="62"/>
      <c r="Y1283" s="62"/>
      <c r="Z1283" s="65"/>
      <c r="AA1283" s="86"/>
      <c r="AB1283" s="122"/>
      <c r="AC1283" s="122"/>
      <c r="AD1283" s="86"/>
      <c r="AE1283" s="86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2026-03-28T02:36:57Z</dcterms:modified>
</cp:coreProperties>
</file>