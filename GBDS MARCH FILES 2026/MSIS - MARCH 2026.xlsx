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748E6478-8D00-485F-B2FB-1CBCBEBAE9E1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MARCH" sheetId="1" r:id="rId1"/>
    <sheet name="DSIS | MARCH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674" i="2" l="1"/>
  <c r="AB674" i="2"/>
  <c r="AB715" i="2" s="1"/>
  <c r="AB673" i="2"/>
  <c r="AH672" i="2"/>
  <c r="AH715" i="2" s="1"/>
  <c r="AB672" i="2"/>
  <c r="AE672" i="2"/>
  <c r="AA673" i="2"/>
  <c r="AA674" i="2" s="1"/>
  <c r="AE673" i="2"/>
  <c r="AI673" i="2" s="1"/>
  <c r="AG715" i="2"/>
  <c r="AE675" i="2"/>
  <c r="AI675" i="2" s="1"/>
  <c r="AE676" i="2"/>
  <c r="AI676" i="2" s="1"/>
  <c r="AE677" i="2"/>
  <c r="AI677" i="2" s="1"/>
  <c r="AE678" i="2"/>
  <c r="AI678" i="2"/>
  <c r="AE679" i="2"/>
  <c r="AI679" i="2"/>
  <c r="AE680" i="2"/>
  <c r="AI680" i="2"/>
  <c r="AE681" i="2"/>
  <c r="AI681" i="2"/>
  <c r="AE682" i="2"/>
  <c r="AI682" i="2"/>
  <c r="AE683" i="2"/>
  <c r="AI683" i="2"/>
  <c r="AE684" i="2"/>
  <c r="AI684" i="2"/>
  <c r="AE685" i="2"/>
  <c r="AI685" i="2"/>
  <c r="AE686" i="2"/>
  <c r="AI686" i="2"/>
  <c r="AE687" i="2"/>
  <c r="AI687" i="2"/>
  <c r="AE688" i="2"/>
  <c r="AI688" i="2"/>
  <c r="AE689" i="2"/>
  <c r="AI689" i="2"/>
  <c r="AE690" i="2"/>
  <c r="AI690" i="2"/>
  <c r="AE691" i="2"/>
  <c r="AI691" i="2"/>
  <c r="AE692" i="2"/>
  <c r="AI692" i="2"/>
  <c r="AE693" i="2"/>
  <c r="AI693" i="2"/>
  <c r="AE694" i="2"/>
  <c r="AI694" i="2"/>
  <c r="AE695" i="2"/>
  <c r="AI695" i="2"/>
  <c r="AE696" i="2"/>
  <c r="AI696" i="2" s="1"/>
  <c r="AE697" i="2"/>
  <c r="AI697" i="2"/>
  <c r="AE698" i="2"/>
  <c r="AI698" i="2"/>
  <c r="AE699" i="2"/>
  <c r="AI699" i="2"/>
  <c r="AE700" i="2"/>
  <c r="AI700" i="2"/>
  <c r="AE701" i="2"/>
  <c r="AI701" i="2"/>
  <c r="AE702" i="2"/>
  <c r="AI702" i="2"/>
  <c r="AE703" i="2"/>
  <c r="AI703" i="2"/>
  <c r="AE704" i="2"/>
  <c r="AI704" i="2"/>
  <c r="AE705" i="2"/>
  <c r="AI705" i="2"/>
  <c r="AE706" i="2"/>
  <c r="AI706" i="2"/>
  <c r="AE707" i="2"/>
  <c r="AI707" i="2"/>
  <c r="AE708" i="2"/>
  <c r="AI708" i="2"/>
  <c r="AE709" i="2"/>
  <c r="AI709" i="2"/>
  <c r="AE710" i="2"/>
  <c r="AI710" i="2"/>
  <c r="AI711" i="2"/>
  <c r="AE712" i="2"/>
  <c r="AI712" i="2"/>
  <c r="AI713" i="2"/>
  <c r="AC715" i="2"/>
  <c r="AD715" i="2"/>
  <c r="P675" i="2"/>
  <c r="V674" i="2"/>
  <c r="Q674" i="2"/>
  <c r="P674" i="2"/>
  <c r="P673" i="2"/>
  <c r="V672" i="2"/>
  <c r="Q672" i="2"/>
  <c r="Q715" i="2" s="1"/>
  <c r="P672" i="2"/>
  <c r="P715" i="2" s="1"/>
  <c r="O673" i="2"/>
  <c r="O674" i="2" s="1"/>
  <c r="O675" i="2" s="1"/>
  <c r="S673" i="2"/>
  <c r="W673" i="2"/>
  <c r="S674" i="2"/>
  <c r="S675" i="2"/>
  <c r="W675" i="2" s="1"/>
  <c r="S676" i="2"/>
  <c r="W676" i="2"/>
  <c r="S677" i="2"/>
  <c r="W677" i="2" s="1"/>
  <c r="S678" i="2"/>
  <c r="W678" i="2" s="1"/>
  <c r="S679" i="2"/>
  <c r="W679" i="2"/>
  <c r="S680" i="2"/>
  <c r="W680" i="2"/>
  <c r="S681" i="2"/>
  <c r="W681" i="2"/>
  <c r="S682" i="2"/>
  <c r="W682" i="2"/>
  <c r="S683" i="2"/>
  <c r="W683" i="2"/>
  <c r="S684" i="2"/>
  <c r="W684" i="2"/>
  <c r="S685" i="2"/>
  <c r="W685" i="2" s="1"/>
  <c r="S686" i="2"/>
  <c r="W686" i="2"/>
  <c r="S687" i="2"/>
  <c r="W687" i="2"/>
  <c r="S688" i="2"/>
  <c r="W688" i="2"/>
  <c r="S689" i="2"/>
  <c r="W689" i="2"/>
  <c r="S690" i="2"/>
  <c r="W690" i="2"/>
  <c r="S691" i="2"/>
  <c r="W691" i="2"/>
  <c r="S692" i="2"/>
  <c r="W692" i="2" s="1"/>
  <c r="S693" i="2"/>
  <c r="W693" i="2" s="1"/>
  <c r="S694" i="2"/>
  <c r="W694" i="2"/>
  <c r="S695" i="2"/>
  <c r="W695" i="2"/>
  <c r="S696" i="2"/>
  <c r="W696" i="2"/>
  <c r="S697" i="2"/>
  <c r="W697" i="2"/>
  <c r="S698" i="2"/>
  <c r="W698" i="2"/>
  <c r="S699" i="2"/>
  <c r="W699" i="2"/>
  <c r="S700" i="2"/>
  <c r="W700" i="2"/>
  <c r="S701" i="2"/>
  <c r="W701" i="2" s="1"/>
  <c r="S702" i="2"/>
  <c r="W702" i="2"/>
  <c r="S703" i="2"/>
  <c r="W703" i="2"/>
  <c r="S704" i="2"/>
  <c r="W704" i="2"/>
  <c r="S705" i="2"/>
  <c r="W705" i="2"/>
  <c r="S706" i="2"/>
  <c r="W706" i="2"/>
  <c r="S707" i="2"/>
  <c r="W707" i="2"/>
  <c r="S708" i="2"/>
  <c r="W708" i="2"/>
  <c r="S709" i="2"/>
  <c r="W709" i="2" s="1"/>
  <c r="S710" i="2"/>
  <c r="W710" i="2"/>
  <c r="W711" i="2"/>
  <c r="S712" i="2"/>
  <c r="W712" i="2" s="1"/>
  <c r="W713" i="2"/>
  <c r="R715" i="2"/>
  <c r="U715" i="2"/>
  <c r="J675" i="2"/>
  <c r="I675" i="2"/>
  <c r="E675" i="2"/>
  <c r="G675" i="2" s="1"/>
  <c r="D675" i="2"/>
  <c r="I674" i="2"/>
  <c r="E674" i="2"/>
  <c r="D674" i="2"/>
  <c r="G674" i="2" s="1"/>
  <c r="K674" i="2" s="1"/>
  <c r="J673" i="2"/>
  <c r="D673" i="2"/>
  <c r="G673" i="2" s="1"/>
  <c r="D672" i="2"/>
  <c r="F715" i="2"/>
  <c r="K712" i="2"/>
  <c r="G712" i="2"/>
  <c r="K705" i="2"/>
  <c r="G705" i="2"/>
  <c r="G704" i="2"/>
  <c r="K704" i="2" s="1"/>
  <c r="G703" i="2"/>
  <c r="K703" i="2" s="1"/>
  <c r="K702" i="2"/>
  <c r="G702" i="2"/>
  <c r="G701" i="2"/>
  <c r="K701" i="2" s="1"/>
  <c r="G700" i="2"/>
  <c r="K700" i="2" s="1"/>
  <c r="K699" i="2"/>
  <c r="G699" i="2"/>
  <c r="K698" i="2"/>
  <c r="G698" i="2"/>
  <c r="K697" i="2"/>
  <c r="G697" i="2"/>
  <c r="G696" i="2"/>
  <c r="K696" i="2" s="1"/>
  <c r="G695" i="2"/>
  <c r="K695" i="2" s="1"/>
  <c r="K694" i="2"/>
  <c r="G694" i="2"/>
  <c r="G693" i="2"/>
  <c r="K693" i="2" s="1"/>
  <c r="G692" i="2"/>
  <c r="K692" i="2" s="1"/>
  <c r="K691" i="2"/>
  <c r="G691" i="2"/>
  <c r="K690" i="2"/>
  <c r="G690" i="2"/>
  <c r="K689" i="2"/>
  <c r="G689" i="2"/>
  <c r="G688" i="2"/>
  <c r="K688" i="2" s="1"/>
  <c r="G687" i="2"/>
  <c r="K687" i="2" s="1"/>
  <c r="K686" i="2"/>
  <c r="G686" i="2"/>
  <c r="G685" i="2"/>
  <c r="K685" i="2" s="1"/>
  <c r="G684" i="2"/>
  <c r="K684" i="2" s="1"/>
  <c r="K683" i="2"/>
  <c r="G683" i="2"/>
  <c r="K682" i="2"/>
  <c r="G682" i="2"/>
  <c r="K681" i="2"/>
  <c r="G681" i="2"/>
  <c r="G680" i="2"/>
  <c r="K680" i="2" s="1"/>
  <c r="G679" i="2"/>
  <c r="K679" i="2" s="1"/>
  <c r="G678" i="2"/>
  <c r="K678" i="2" s="1"/>
  <c r="I715" i="2"/>
  <c r="G677" i="2"/>
  <c r="K677" i="2" s="1"/>
  <c r="G676" i="2"/>
  <c r="K676" i="2" s="1"/>
  <c r="C673" i="2"/>
  <c r="C674" i="2" s="1"/>
  <c r="C675" i="2" s="1"/>
  <c r="AI672" i="2" l="1"/>
  <c r="AE674" i="2"/>
  <c r="AI674" i="2" s="1"/>
  <c r="AE715" i="2"/>
  <c r="W674" i="2"/>
  <c r="V715" i="2"/>
  <c r="S672" i="2"/>
  <c r="W672" i="2" s="1"/>
  <c r="J715" i="2"/>
  <c r="K675" i="2"/>
  <c r="E715" i="2"/>
  <c r="K673" i="2"/>
  <c r="D715" i="2"/>
  <c r="G672" i="2"/>
  <c r="AC621" i="2"/>
  <c r="AC660" i="2" s="1"/>
  <c r="AB621" i="2"/>
  <c r="AG620" i="2"/>
  <c r="AB620" i="2"/>
  <c r="AG619" i="2"/>
  <c r="AB619" i="2"/>
  <c r="AG618" i="2"/>
  <c r="AC618" i="2"/>
  <c r="AB618" i="2"/>
  <c r="AB617" i="2"/>
  <c r="AE617" i="2"/>
  <c r="AI617" i="2" s="1"/>
  <c r="AA618" i="2"/>
  <c r="AA619" i="2" s="1"/>
  <c r="AA620" i="2" s="1"/>
  <c r="AA621" i="2" s="1"/>
  <c r="AE618" i="2"/>
  <c r="AE619" i="2"/>
  <c r="AE622" i="2"/>
  <c r="AI622" i="2"/>
  <c r="AE623" i="2"/>
  <c r="AI623" i="2" s="1"/>
  <c r="AE624" i="2"/>
  <c r="AI624" i="2" s="1"/>
  <c r="AE625" i="2"/>
  <c r="AI625" i="2"/>
  <c r="AE626" i="2"/>
  <c r="AI626" i="2"/>
  <c r="AE627" i="2"/>
  <c r="AI627" i="2" s="1"/>
  <c r="AE628" i="2"/>
  <c r="AI628" i="2" s="1"/>
  <c r="AE629" i="2"/>
  <c r="AI629" i="2"/>
  <c r="AE630" i="2"/>
  <c r="AI630" i="2" s="1"/>
  <c r="AE631" i="2"/>
  <c r="AI631" i="2"/>
  <c r="AE632" i="2"/>
  <c r="AI632" i="2" s="1"/>
  <c r="AE633" i="2"/>
  <c r="AI633" i="2" s="1"/>
  <c r="AE634" i="2"/>
  <c r="AI634" i="2"/>
  <c r="AE635" i="2"/>
  <c r="AI635" i="2"/>
  <c r="AE636" i="2"/>
  <c r="AI636" i="2" s="1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 s="1"/>
  <c r="AE645" i="2"/>
  <c r="AI645" i="2"/>
  <c r="AE646" i="2"/>
  <c r="AI646" i="2" s="1"/>
  <c r="AE647" i="2"/>
  <c r="AI647" i="2"/>
  <c r="AE648" i="2"/>
  <c r="AI648" i="2"/>
  <c r="AE649" i="2"/>
  <c r="AI649" i="2"/>
  <c r="AE650" i="2"/>
  <c r="AI650" i="2"/>
  <c r="AE651" i="2"/>
  <c r="AI651" i="2"/>
  <c r="AE652" i="2"/>
  <c r="AI652" i="2" s="1"/>
  <c r="AE653" i="2"/>
  <c r="AI653" i="2"/>
  <c r="AE654" i="2"/>
  <c r="AI654" i="2" s="1"/>
  <c r="AE655" i="2"/>
  <c r="AI655" i="2"/>
  <c r="AI656" i="2"/>
  <c r="AE657" i="2"/>
  <c r="AI657" i="2"/>
  <c r="AI658" i="2"/>
  <c r="AD660" i="2"/>
  <c r="AH660" i="2"/>
  <c r="S617" i="2"/>
  <c r="W617" i="2" s="1"/>
  <c r="O618" i="2"/>
  <c r="S618" i="2"/>
  <c r="W618" i="2" s="1"/>
  <c r="O619" i="2"/>
  <c r="O620" i="2" s="1"/>
  <c r="O621" i="2" s="1"/>
  <c r="O622" i="2" s="1"/>
  <c r="O623" i="2" s="1"/>
  <c r="P660" i="2"/>
  <c r="S619" i="2"/>
  <c r="S620" i="2"/>
  <c r="W620" i="2"/>
  <c r="S621" i="2"/>
  <c r="W621" i="2"/>
  <c r="S622" i="2"/>
  <c r="W622" i="2" s="1"/>
  <c r="S623" i="2"/>
  <c r="W623" i="2" s="1"/>
  <c r="S624" i="2"/>
  <c r="W624" i="2" s="1"/>
  <c r="S625" i="2"/>
  <c r="W625" i="2"/>
  <c r="S626" i="2"/>
  <c r="W626" i="2" s="1"/>
  <c r="S627" i="2"/>
  <c r="W627" i="2" s="1"/>
  <c r="V660" i="2"/>
  <c r="S628" i="2"/>
  <c r="W628" i="2" s="1"/>
  <c r="S629" i="2"/>
  <c r="W629" i="2"/>
  <c r="S630" i="2"/>
  <c r="W630" i="2"/>
  <c r="S631" i="2"/>
  <c r="W631" i="2"/>
  <c r="S632" i="2"/>
  <c r="W632" i="2" s="1"/>
  <c r="S633" i="2"/>
  <c r="W633" i="2"/>
  <c r="S634" i="2"/>
  <c r="W634" i="2"/>
  <c r="S635" i="2"/>
  <c r="W635" i="2"/>
  <c r="S636" i="2"/>
  <c r="W636" i="2"/>
  <c r="S637" i="2"/>
  <c r="W637" i="2"/>
  <c r="S638" i="2"/>
  <c r="W638" i="2"/>
  <c r="S639" i="2"/>
  <c r="W639" i="2"/>
  <c r="S640" i="2"/>
  <c r="W640" i="2" s="1"/>
  <c r="S641" i="2"/>
  <c r="W641" i="2"/>
  <c r="S642" i="2"/>
  <c r="W642" i="2"/>
  <c r="S643" i="2"/>
  <c r="W643" i="2"/>
  <c r="S644" i="2"/>
  <c r="W644" i="2"/>
  <c r="S645" i="2"/>
  <c r="W645" i="2"/>
  <c r="S646" i="2"/>
  <c r="W646" i="2"/>
  <c r="S647" i="2"/>
  <c r="W647" i="2"/>
  <c r="S648" i="2"/>
  <c r="W648" i="2" s="1"/>
  <c r="S649" i="2"/>
  <c r="W649" i="2"/>
  <c r="S650" i="2"/>
  <c r="W650" i="2"/>
  <c r="S651" i="2"/>
  <c r="W651" i="2"/>
  <c r="S652" i="2"/>
  <c r="W652" i="2"/>
  <c r="S653" i="2"/>
  <c r="W653" i="2"/>
  <c r="S654" i="2"/>
  <c r="W654" i="2"/>
  <c r="S655" i="2"/>
  <c r="W655" i="2" s="1"/>
  <c r="W656" i="2"/>
  <c r="S657" i="2"/>
  <c r="W657" i="2" s="1"/>
  <c r="W658" i="2"/>
  <c r="Q660" i="2"/>
  <c r="R660" i="2"/>
  <c r="U660" i="2"/>
  <c r="AI715" i="2" l="1"/>
  <c r="W715" i="2"/>
  <c r="S715" i="2"/>
  <c r="G715" i="2"/>
  <c r="K672" i="2"/>
  <c r="K715" i="2" s="1"/>
  <c r="AE621" i="2"/>
  <c r="AI621" i="2" s="1"/>
  <c r="AB660" i="2"/>
  <c r="AE620" i="2"/>
  <c r="AI620" i="2" s="1"/>
  <c r="AI660" i="2" s="1"/>
  <c r="AI619" i="2"/>
  <c r="AG660" i="2"/>
  <c r="AI618" i="2"/>
  <c r="S660" i="2"/>
  <c r="W619" i="2"/>
  <c r="W660" i="2" s="1"/>
  <c r="U566" i="2"/>
  <c r="AE660" i="2" l="1"/>
  <c r="AB572" i="2"/>
  <c r="AE572" i="2" s="1"/>
  <c r="AI572" i="2" s="1"/>
  <c r="AB571" i="2"/>
  <c r="AE571" i="2" s="1"/>
  <c r="AI571" i="2" s="1"/>
  <c r="AB570" i="2"/>
  <c r="AB569" i="2"/>
  <c r="AA569" i="2"/>
  <c r="AA570" i="2"/>
  <c r="AA571" i="2" s="1"/>
  <c r="AA572" i="2" s="1"/>
  <c r="AC568" i="2"/>
  <c r="AC605" i="2" s="1"/>
  <c r="AB568" i="2"/>
  <c r="AB567" i="2"/>
  <c r="AG566" i="2"/>
  <c r="AB566" i="2"/>
  <c r="AH565" i="2"/>
  <c r="AI565" i="2" s="1"/>
  <c r="AB565" i="2"/>
  <c r="AC564" i="2"/>
  <c r="AE564" i="2" s="1"/>
  <c r="AI564" i="2" s="1"/>
  <c r="AB564" i="2"/>
  <c r="AC563" i="2"/>
  <c r="AB563" i="2"/>
  <c r="AB562" i="2"/>
  <c r="AE562" i="2"/>
  <c r="AA563" i="2"/>
  <c r="AE563" i="2"/>
  <c r="AI563" i="2" s="1"/>
  <c r="AA564" i="2"/>
  <c r="AA565" i="2" s="1"/>
  <c r="AA566" i="2" s="1"/>
  <c r="AA567" i="2" s="1"/>
  <c r="AE565" i="2"/>
  <c r="AE566" i="2"/>
  <c r="AI566" i="2" s="1"/>
  <c r="AE567" i="2"/>
  <c r="AI567" i="2" s="1"/>
  <c r="AE569" i="2"/>
  <c r="AI569" i="2" s="1"/>
  <c r="AE570" i="2"/>
  <c r="AI570" i="2" s="1"/>
  <c r="AE573" i="2"/>
  <c r="AI573" i="2" s="1"/>
  <c r="AE574" i="2"/>
  <c r="AI574" i="2" s="1"/>
  <c r="AE575" i="2"/>
  <c r="AI575" i="2"/>
  <c r="AE576" i="2"/>
  <c r="AI576" i="2"/>
  <c r="AE577" i="2"/>
  <c r="AI577" i="2"/>
  <c r="AE578" i="2"/>
  <c r="AI578" i="2"/>
  <c r="AE579" i="2"/>
  <c r="AI579" i="2" s="1"/>
  <c r="AE580" i="2"/>
  <c r="AI580" i="2" s="1"/>
  <c r="AE581" i="2"/>
  <c r="AI581" i="2" s="1"/>
  <c r="AE582" i="2"/>
  <c r="AI582" i="2"/>
  <c r="AE583" i="2"/>
  <c r="AI583" i="2"/>
  <c r="AE584" i="2"/>
  <c r="AI584" i="2"/>
  <c r="AE585" i="2"/>
  <c r="AI585" i="2"/>
  <c r="AE586" i="2"/>
  <c r="AI586" i="2"/>
  <c r="AE587" i="2"/>
  <c r="AI587" i="2" s="1"/>
  <c r="AE588" i="2"/>
  <c r="AI588" i="2" s="1"/>
  <c r="AE589" i="2"/>
  <c r="AI589" i="2"/>
  <c r="AE590" i="2"/>
  <c r="AI590" i="2"/>
  <c r="AE591" i="2"/>
  <c r="AI591" i="2"/>
  <c r="AE592" i="2"/>
  <c r="AI592" i="2"/>
  <c r="AE593" i="2"/>
  <c r="AI593" i="2"/>
  <c r="AE594" i="2"/>
  <c r="AI594" i="2"/>
  <c r="AE595" i="2"/>
  <c r="AI595" i="2"/>
  <c r="AE596" i="2"/>
  <c r="AI596" i="2" s="1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AG605" i="2"/>
  <c r="P577" i="2"/>
  <c r="S577" i="2" s="1"/>
  <c r="W577" i="2" s="1"/>
  <c r="P576" i="2"/>
  <c r="S576" i="2" s="1"/>
  <c r="W576" i="2" s="1"/>
  <c r="P575" i="2"/>
  <c r="S575" i="2" s="1"/>
  <c r="W575" i="2" s="1"/>
  <c r="P574" i="2"/>
  <c r="O574" i="2"/>
  <c r="O575" i="2" s="1"/>
  <c r="O576" i="2" s="1"/>
  <c r="P573" i="2"/>
  <c r="S573" i="2" s="1"/>
  <c r="W573" i="2" s="1"/>
  <c r="V572" i="2"/>
  <c r="P572" i="2"/>
  <c r="S572" i="2"/>
  <c r="U571" i="2"/>
  <c r="U605" i="2" s="1"/>
  <c r="P571" i="2"/>
  <c r="S571" i="2" s="1"/>
  <c r="P570" i="2"/>
  <c r="P569" i="2"/>
  <c r="S569" i="2" s="1"/>
  <c r="W569" i="2" s="1"/>
  <c r="P568" i="2"/>
  <c r="S568" i="2" s="1"/>
  <c r="W568" i="2" s="1"/>
  <c r="P567" i="2"/>
  <c r="S567" i="2" s="1"/>
  <c r="W567" i="2" s="1"/>
  <c r="P566" i="2"/>
  <c r="S566" i="2" s="1"/>
  <c r="W566" i="2" s="1"/>
  <c r="P565" i="2"/>
  <c r="P564" i="2"/>
  <c r="S564" i="2" s="1"/>
  <c r="W564" i="2" s="1"/>
  <c r="V563" i="2"/>
  <c r="P563" i="2"/>
  <c r="P562" i="2"/>
  <c r="S562" i="2" s="1"/>
  <c r="O563" i="2"/>
  <c r="O564" i="2" s="1"/>
  <c r="O565" i="2" s="1"/>
  <c r="O566" i="2" s="1"/>
  <c r="O567" i="2" s="1"/>
  <c r="O568" i="2" s="1"/>
  <c r="O569" i="2" s="1"/>
  <c r="O570" i="2" s="1"/>
  <c r="O571" i="2" s="1"/>
  <c r="O572" i="2" s="1"/>
  <c r="O573" i="2" s="1"/>
  <c r="S563" i="2"/>
  <c r="S565" i="2"/>
  <c r="W565" i="2" s="1"/>
  <c r="S570" i="2"/>
  <c r="W570" i="2" s="1"/>
  <c r="S574" i="2"/>
  <c r="W574" i="2" s="1"/>
  <c r="S578" i="2"/>
  <c r="W578" i="2" s="1"/>
  <c r="S579" i="2"/>
  <c r="W579" i="2" s="1"/>
  <c r="S580" i="2"/>
  <c r="W580" i="2"/>
  <c r="S581" i="2"/>
  <c r="W581" i="2"/>
  <c r="S582" i="2"/>
  <c r="W582" i="2" s="1"/>
  <c r="S583" i="2"/>
  <c r="W583" i="2"/>
  <c r="S584" i="2"/>
  <c r="W584" i="2"/>
  <c r="S585" i="2"/>
  <c r="W585" i="2"/>
  <c r="S586" i="2"/>
  <c r="W586" i="2" s="1"/>
  <c r="S587" i="2"/>
  <c r="W587" i="2" s="1"/>
  <c r="S588" i="2"/>
  <c r="W588" i="2"/>
  <c r="S589" i="2"/>
  <c r="W589" i="2"/>
  <c r="S590" i="2"/>
  <c r="W590" i="2" s="1"/>
  <c r="S591" i="2"/>
  <c r="W591" i="2"/>
  <c r="S592" i="2"/>
  <c r="W592" i="2"/>
  <c r="S593" i="2"/>
  <c r="W593" i="2"/>
  <c r="S594" i="2"/>
  <c r="W594" i="2" s="1"/>
  <c r="S595" i="2"/>
  <c r="W595" i="2" s="1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/>
  <c r="W603" i="2"/>
  <c r="Q605" i="2"/>
  <c r="R605" i="2"/>
  <c r="J568" i="2"/>
  <c r="J605" i="2" s="1"/>
  <c r="D568" i="2"/>
  <c r="I567" i="2"/>
  <c r="D567" i="2"/>
  <c r="G567" i="2" s="1"/>
  <c r="D566" i="2"/>
  <c r="G566" i="2" s="1"/>
  <c r="K566" i="2" s="1"/>
  <c r="J565" i="2"/>
  <c r="E565" i="2"/>
  <c r="D565" i="2"/>
  <c r="D564" i="2"/>
  <c r="G564" i="2" s="1"/>
  <c r="K564" i="2" s="1"/>
  <c r="E563" i="2"/>
  <c r="D563" i="2"/>
  <c r="D562" i="2"/>
  <c r="G562" i="2"/>
  <c r="K562" i="2" s="1"/>
  <c r="C563" i="2"/>
  <c r="C564" i="2" s="1"/>
  <c r="C565" i="2" s="1"/>
  <c r="C566" i="2" s="1"/>
  <c r="C567" i="2" s="1"/>
  <c r="C568" i="2" s="1"/>
  <c r="E605" i="2"/>
  <c r="G565" i="2"/>
  <c r="K565" i="2" s="1"/>
  <c r="G568" i="2"/>
  <c r="G569" i="2"/>
  <c r="K569" i="2" s="1"/>
  <c r="G570" i="2"/>
  <c r="K570" i="2" s="1"/>
  <c r="G571" i="2"/>
  <c r="K571" i="2"/>
  <c r="G572" i="2"/>
  <c r="K572" i="2"/>
  <c r="G573" i="2"/>
  <c r="K573" i="2"/>
  <c r="G574" i="2"/>
  <c r="K574" i="2"/>
  <c r="G575" i="2"/>
  <c r="K575" i="2"/>
  <c r="G576" i="2"/>
  <c r="K576" i="2" s="1"/>
  <c r="G577" i="2"/>
  <c r="K577" i="2"/>
  <c r="G578" i="2"/>
  <c r="K578" i="2"/>
  <c r="G579" i="2"/>
  <c r="K579" i="2"/>
  <c r="G580" i="2"/>
  <c r="K580" i="2"/>
  <c r="G581" i="2"/>
  <c r="K581" i="2"/>
  <c r="G582" i="2"/>
  <c r="K582" i="2"/>
  <c r="G583" i="2"/>
  <c r="K583" i="2"/>
  <c r="G584" i="2"/>
  <c r="K584" i="2" s="1"/>
  <c r="G585" i="2"/>
  <c r="K585" i="2"/>
  <c r="G586" i="2"/>
  <c r="K586" i="2"/>
  <c r="G587" i="2"/>
  <c r="K587" i="2"/>
  <c r="G588" i="2"/>
  <c r="K588" i="2"/>
  <c r="G589" i="2"/>
  <c r="K589" i="2"/>
  <c r="G590" i="2"/>
  <c r="K590" i="2"/>
  <c r="G591" i="2"/>
  <c r="K591" i="2"/>
  <c r="G592" i="2"/>
  <c r="K592" i="2" s="1"/>
  <c r="G593" i="2"/>
  <c r="K593" i="2"/>
  <c r="G594" i="2"/>
  <c r="K594" i="2"/>
  <c r="G595" i="2"/>
  <c r="K595" i="2"/>
  <c r="G602" i="2"/>
  <c r="K602" i="2"/>
  <c r="F605" i="2"/>
  <c r="W605" i="2" l="1"/>
  <c r="AE568" i="2"/>
  <c r="AI568" i="2" s="1"/>
  <c r="AH605" i="2"/>
  <c r="AI562" i="2"/>
  <c r="AI605" i="2" s="1"/>
  <c r="AE605" i="2"/>
  <c r="AB605" i="2"/>
  <c r="V605" i="2"/>
  <c r="W572" i="2"/>
  <c r="W571" i="2"/>
  <c r="W563" i="2"/>
  <c r="P605" i="2"/>
  <c r="S605" i="2"/>
  <c r="W562" i="2"/>
  <c r="I605" i="2"/>
  <c r="K568" i="2"/>
  <c r="K605" i="2" s="1"/>
  <c r="K567" i="2"/>
  <c r="D605" i="2"/>
  <c r="G563" i="2"/>
  <c r="K563" i="2" s="1"/>
  <c r="G605" i="2"/>
  <c r="AB513" i="2"/>
  <c r="AE513" i="2" s="1"/>
  <c r="AI513" i="2" s="1"/>
  <c r="AB512" i="2"/>
  <c r="AB511" i="2"/>
  <c r="AC510" i="2"/>
  <c r="AB510" i="2"/>
  <c r="AB509" i="2"/>
  <c r="AC508" i="2"/>
  <c r="AB508" i="2"/>
  <c r="AB507" i="2"/>
  <c r="AE507" i="2"/>
  <c r="AI507" i="2" s="1"/>
  <c r="AA508" i="2"/>
  <c r="AA509" i="2" s="1"/>
  <c r="AA510" i="2" s="1"/>
  <c r="AA511" i="2" s="1"/>
  <c r="AA512" i="2" s="1"/>
  <c r="AA513" i="2" s="1"/>
  <c r="AC550" i="2"/>
  <c r="AE509" i="2"/>
  <c r="AI509" i="2" s="1"/>
  <c r="AE510" i="2"/>
  <c r="AI510" i="2" s="1"/>
  <c r="AE511" i="2"/>
  <c r="AI511" i="2" s="1"/>
  <c r="AE512" i="2"/>
  <c r="AI512" i="2" s="1"/>
  <c r="AE514" i="2"/>
  <c r="AI514" i="2"/>
  <c r="AE515" i="2"/>
  <c r="AI515" i="2" s="1"/>
  <c r="AE516" i="2"/>
  <c r="AI516" i="2" s="1"/>
  <c r="AE517" i="2"/>
  <c r="AI517" i="2" s="1"/>
  <c r="AE518" i="2"/>
  <c r="AI518" i="2"/>
  <c r="AE519" i="2"/>
  <c r="AI519" i="2" s="1"/>
  <c r="AE520" i="2"/>
  <c r="AI520" i="2"/>
  <c r="AE521" i="2"/>
  <c r="AI521" i="2"/>
  <c r="AE522" i="2"/>
  <c r="AI522" i="2"/>
  <c r="AE523" i="2"/>
  <c r="AI523" i="2"/>
  <c r="AE524" i="2"/>
  <c r="AI524" i="2" s="1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 s="1"/>
  <c r="AE533" i="2"/>
  <c r="AI533" i="2"/>
  <c r="AE534" i="2"/>
  <c r="AI534" i="2"/>
  <c r="AE535" i="2"/>
  <c r="AI535" i="2" s="1"/>
  <c r="AE536" i="2"/>
  <c r="AI536" i="2"/>
  <c r="AE537" i="2"/>
  <c r="AI537" i="2"/>
  <c r="AE538" i="2"/>
  <c r="AI538" i="2"/>
  <c r="AE539" i="2"/>
  <c r="AI539" i="2"/>
  <c r="AE540" i="2"/>
  <c r="AI540" i="2" s="1"/>
  <c r="AE541" i="2"/>
  <c r="AI541" i="2"/>
  <c r="AE542" i="2"/>
  <c r="AI542" i="2"/>
  <c r="AE543" i="2"/>
  <c r="AI543" i="2" s="1"/>
  <c r="AE544" i="2"/>
  <c r="AI544" i="2"/>
  <c r="AE545" i="2"/>
  <c r="AI545" i="2"/>
  <c r="AI546" i="2"/>
  <c r="AE547" i="2"/>
  <c r="AI547" i="2"/>
  <c r="AI548" i="2"/>
  <c r="AD550" i="2"/>
  <c r="AG550" i="2"/>
  <c r="AH550" i="2"/>
  <c r="P518" i="2"/>
  <c r="V517" i="2"/>
  <c r="U517" i="2"/>
  <c r="Q517" i="2"/>
  <c r="P517" i="2"/>
  <c r="P516" i="2"/>
  <c r="P515" i="2"/>
  <c r="V514" i="2"/>
  <c r="P514" i="2"/>
  <c r="S514" i="2" s="1"/>
  <c r="W514" i="2" s="1"/>
  <c r="U513" i="2"/>
  <c r="W513" i="2" s="1"/>
  <c r="P513" i="2"/>
  <c r="P512" i="2"/>
  <c r="S512" i="2" s="1"/>
  <c r="W512" i="2" s="1"/>
  <c r="P511" i="2"/>
  <c r="S511" i="2" s="1"/>
  <c r="W511" i="2" s="1"/>
  <c r="P510" i="2"/>
  <c r="S510" i="2" s="1"/>
  <c r="P509" i="2"/>
  <c r="S509" i="2" s="1"/>
  <c r="W509" i="2" s="1"/>
  <c r="P508" i="2"/>
  <c r="U507" i="2"/>
  <c r="P507" i="2"/>
  <c r="S507" i="2"/>
  <c r="V550" i="2"/>
  <c r="O508" i="2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S508" i="2"/>
  <c r="W508" i="2" s="1"/>
  <c r="S513" i="2"/>
  <c r="S515" i="2"/>
  <c r="W515" i="2"/>
  <c r="S516" i="2"/>
  <c r="W516" i="2"/>
  <c r="S517" i="2"/>
  <c r="W517" i="2" s="1"/>
  <c r="S518" i="2"/>
  <c r="W518" i="2" s="1"/>
  <c r="S519" i="2"/>
  <c r="W519" i="2"/>
  <c r="S520" i="2"/>
  <c r="W520" i="2"/>
  <c r="S521" i="2"/>
  <c r="W521" i="2" s="1"/>
  <c r="S522" i="2"/>
  <c r="W522" i="2"/>
  <c r="S523" i="2"/>
  <c r="W523" i="2"/>
  <c r="S524" i="2"/>
  <c r="W524" i="2" s="1"/>
  <c r="S525" i="2"/>
  <c r="W525" i="2" s="1"/>
  <c r="S526" i="2"/>
  <c r="W526" i="2"/>
  <c r="S527" i="2"/>
  <c r="W527" i="2"/>
  <c r="S528" i="2"/>
  <c r="W528" i="2"/>
  <c r="S529" i="2"/>
  <c r="W529" i="2"/>
  <c r="S530" i="2"/>
  <c r="W530" i="2"/>
  <c r="S531" i="2"/>
  <c r="W531" i="2"/>
  <c r="S532" i="2"/>
  <c r="W532" i="2" s="1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/>
  <c r="S542" i="2"/>
  <c r="W542" i="2"/>
  <c r="S543" i="2"/>
  <c r="W543" i="2"/>
  <c r="S544" i="2"/>
  <c r="W544" i="2"/>
  <c r="S545" i="2"/>
  <c r="W545" i="2"/>
  <c r="W546" i="2"/>
  <c r="S547" i="2"/>
  <c r="W547" i="2"/>
  <c r="W548" i="2"/>
  <c r="Q550" i="2"/>
  <c r="R550" i="2"/>
  <c r="D515" i="2"/>
  <c r="G515" i="2" s="1"/>
  <c r="K515" i="2" s="1"/>
  <c r="D514" i="2"/>
  <c r="G514" i="2" s="1"/>
  <c r="K514" i="2" s="1"/>
  <c r="D513" i="2"/>
  <c r="G513" i="2" s="1"/>
  <c r="K513" i="2" s="1"/>
  <c r="D512" i="2"/>
  <c r="D511" i="2"/>
  <c r="G511" i="2" s="1"/>
  <c r="K511" i="2" s="1"/>
  <c r="D510" i="2"/>
  <c r="G510" i="2" s="1"/>
  <c r="K510" i="2" s="1"/>
  <c r="D509" i="2"/>
  <c r="E508" i="2"/>
  <c r="J508" i="2"/>
  <c r="J550" i="2"/>
  <c r="D508" i="2"/>
  <c r="D507" i="2"/>
  <c r="C511" i="2"/>
  <c r="C512" i="2" s="1"/>
  <c r="C513" i="2" s="1"/>
  <c r="C514" i="2" s="1"/>
  <c r="C515" i="2" s="1"/>
  <c r="G507" i="2"/>
  <c r="C508" i="2"/>
  <c r="C509" i="2" s="1"/>
  <c r="C510" i="2" s="1"/>
  <c r="G508" i="2"/>
  <c r="G509" i="2"/>
  <c r="K509" i="2"/>
  <c r="G512" i="2"/>
  <c r="K512" i="2" s="1"/>
  <c r="G516" i="2"/>
  <c r="K516" i="2"/>
  <c r="G517" i="2"/>
  <c r="K517" i="2" s="1"/>
  <c r="G518" i="2"/>
  <c r="K518" i="2" s="1"/>
  <c r="G519" i="2"/>
  <c r="K519" i="2"/>
  <c r="G520" i="2"/>
  <c r="K520" i="2"/>
  <c r="G521" i="2"/>
  <c r="K521" i="2"/>
  <c r="G522" i="2"/>
  <c r="K522" i="2"/>
  <c r="G523" i="2"/>
  <c r="K523" i="2" s="1"/>
  <c r="G524" i="2"/>
  <c r="K524" i="2"/>
  <c r="G525" i="2"/>
  <c r="K525" i="2" s="1"/>
  <c r="G526" i="2"/>
  <c r="K526" i="2" s="1"/>
  <c r="G527" i="2"/>
  <c r="K527" i="2"/>
  <c r="G528" i="2"/>
  <c r="K528" i="2"/>
  <c r="G529" i="2"/>
  <c r="K529" i="2"/>
  <c r="G530" i="2"/>
  <c r="K530" i="2" s="1"/>
  <c r="G531" i="2"/>
  <c r="K531" i="2"/>
  <c r="G532" i="2"/>
  <c r="K532" i="2"/>
  <c r="G533" i="2"/>
  <c r="K533" i="2"/>
  <c r="G534" i="2"/>
  <c r="K534" i="2"/>
  <c r="G535" i="2"/>
  <c r="K535" i="2"/>
  <c r="G536" i="2"/>
  <c r="K536" i="2"/>
  <c r="G537" i="2"/>
  <c r="K537" i="2"/>
  <c r="G538" i="2"/>
  <c r="K538" i="2"/>
  <c r="G539" i="2"/>
  <c r="K539" i="2"/>
  <c r="G540" i="2"/>
  <c r="K540" i="2"/>
  <c r="G547" i="2"/>
  <c r="K547" i="2"/>
  <c r="E550" i="2"/>
  <c r="F550" i="2"/>
  <c r="I550" i="2"/>
  <c r="AB550" i="2" l="1"/>
  <c r="AE508" i="2"/>
  <c r="U550" i="2"/>
  <c r="W507" i="2"/>
  <c r="W550" i="2" s="1"/>
  <c r="W510" i="2"/>
  <c r="S550" i="2"/>
  <c r="P550" i="2"/>
  <c r="K508" i="2"/>
  <c r="K507" i="2"/>
  <c r="G550" i="2"/>
  <c r="D550" i="2"/>
  <c r="AB456" i="2"/>
  <c r="AE456" i="2" s="1"/>
  <c r="AI456" i="2" s="1"/>
  <c r="AB455" i="2"/>
  <c r="AC454" i="2"/>
  <c r="AE454" i="2" s="1"/>
  <c r="AI454" i="2" s="1"/>
  <c r="AB454" i="2"/>
  <c r="AH453" i="2"/>
  <c r="AG453" i="2"/>
  <c r="AC453" i="2"/>
  <c r="AB453" i="2"/>
  <c r="AC452" i="2"/>
  <c r="AB452" i="2"/>
  <c r="AA453" i="2"/>
  <c r="AA454" i="2" s="1"/>
  <c r="AA455" i="2" s="1"/>
  <c r="AA456" i="2" s="1"/>
  <c r="AE455" i="2"/>
  <c r="AI455" i="2" s="1"/>
  <c r="AE457" i="2"/>
  <c r="AI457" i="2" s="1"/>
  <c r="AE458" i="2"/>
  <c r="AI458" i="2" s="1"/>
  <c r="AE459" i="2"/>
  <c r="AI459" i="2" s="1"/>
  <c r="AE460" i="2"/>
  <c r="AI460" i="2"/>
  <c r="AE461" i="2"/>
  <c r="AI461" i="2" s="1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/>
  <c r="AE468" i="2"/>
  <c r="AI468" i="2" s="1"/>
  <c r="AE469" i="2"/>
  <c r="AI469" i="2" s="1"/>
  <c r="AE470" i="2"/>
  <c r="AI470" i="2"/>
  <c r="AE471" i="2"/>
  <c r="AI471" i="2" s="1"/>
  <c r="AE472" i="2"/>
  <c r="AI472" i="2" s="1"/>
  <c r="AE473" i="2"/>
  <c r="AI473" i="2"/>
  <c r="AE474" i="2"/>
  <c r="AI474" i="2"/>
  <c r="AE475" i="2"/>
  <c r="AI475" i="2"/>
  <c r="AE476" i="2"/>
  <c r="AI476" i="2" s="1"/>
  <c r="AE477" i="2"/>
  <c r="AI477" i="2" s="1"/>
  <c r="AE478" i="2"/>
  <c r="AI478" i="2"/>
  <c r="AE479" i="2"/>
  <c r="AI479" i="2" s="1"/>
  <c r="AE480" i="2"/>
  <c r="AI480" i="2" s="1"/>
  <c r="AE481" i="2"/>
  <c r="AI481" i="2"/>
  <c r="AE482" i="2"/>
  <c r="AI482" i="2"/>
  <c r="AE483" i="2"/>
  <c r="AI483" i="2"/>
  <c r="AE484" i="2"/>
  <c r="AI484" i="2" s="1"/>
  <c r="AE485" i="2"/>
  <c r="AI485" i="2" s="1"/>
  <c r="AE486" i="2"/>
  <c r="AI486" i="2"/>
  <c r="AE487" i="2"/>
  <c r="AI487" i="2" s="1"/>
  <c r="AE488" i="2"/>
  <c r="AI488" i="2" s="1"/>
  <c r="AE489" i="2"/>
  <c r="AI489" i="2"/>
  <c r="AE490" i="2"/>
  <c r="AI490" i="2"/>
  <c r="AI491" i="2"/>
  <c r="AE492" i="2"/>
  <c r="AI492" i="2"/>
  <c r="AI493" i="2"/>
  <c r="AD495" i="2"/>
  <c r="AG495" i="2"/>
  <c r="AH495" i="2"/>
  <c r="P455" i="2"/>
  <c r="P454" i="2"/>
  <c r="S454" i="2" s="1"/>
  <c r="W454" i="2" s="1"/>
  <c r="Q453" i="2"/>
  <c r="P453" i="2"/>
  <c r="V452" i="2"/>
  <c r="Q452" i="2"/>
  <c r="P452" i="2"/>
  <c r="O453" i="2"/>
  <c r="O454" i="2" s="1"/>
  <c r="O455" i="2" s="1"/>
  <c r="S455" i="2"/>
  <c r="W455" i="2" s="1"/>
  <c r="S456" i="2"/>
  <c r="W456" i="2" s="1"/>
  <c r="S457" i="2"/>
  <c r="W457" i="2" s="1"/>
  <c r="S458" i="2"/>
  <c r="W458" i="2" s="1"/>
  <c r="S459" i="2"/>
  <c r="W459" i="2"/>
  <c r="S460" i="2"/>
  <c r="W460" i="2" s="1"/>
  <c r="S461" i="2"/>
  <c r="W461" i="2" s="1"/>
  <c r="S462" i="2"/>
  <c r="W462" i="2" s="1"/>
  <c r="S463" i="2"/>
  <c r="W463" i="2" s="1"/>
  <c r="S464" i="2"/>
  <c r="W464" i="2" s="1"/>
  <c r="S465" i="2"/>
  <c r="W465" i="2" s="1"/>
  <c r="S466" i="2"/>
  <c r="W466" i="2" s="1"/>
  <c r="S467" i="2"/>
  <c r="W467" i="2"/>
  <c r="S468" i="2"/>
  <c r="W468" i="2" s="1"/>
  <c r="S469" i="2"/>
  <c r="W469" i="2"/>
  <c r="S470" i="2"/>
  <c r="W470" i="2" s="1"/>
  <c r="S471" i="2"/>
  <c r="U495" i="2"/>
  <c r="W471" i="2"/>
  <c r="S472" i="2"/>
  <c r="W472" i="2" s="1"/>
  <c r="S473" i="2"/>
  <c r="W473" i="2" s="1"/>
  <c r="S474" i="2"/>
  <c r="W474" i="2" s="1"/>
  <c r="S475" i="2"/>
  <c r="W475" i="2"/>
  <c r="S476" i="2"/>
  <c r="W476" i="2" s="1"/>
  <c r="S477" i="2"/>
  <c r="W477" i="2" s="1"/>
  <c r="S478" i="2"/>
  <c r="W478" i="2" s="1"/>
  <c r="S479" i="2"/>
  <c r="W479" i="2"/>
  <c r="S480" i="2"/>
  <c r="W480" i="2" s="1"/>
  <c r="S481" i="2"/>
  <c r="W481" i="2" s="1"/>
  <c r="S482" i="2"/>
  <c r="W482" i="2" s="1"/>
  <c r="S483" i="2"/>
  <c r="W483" i="2" s="1"/>
  <c r="S484" i="2"/>
  <c r="W484" i="2" s="1"/>
  <c r="S485" i="2"/>
  <c r="W485" i="2" s="1"/>
  <c r="S486" i="2"/>
  <c r="W486" i="2"/>
  <c r="S487" i="2"/>
  <c r="W487" i="2"/>
  <c r="S488" i="2"/>
  <c r="W488" i="2"/>
  <c r="S489" i="2"/>
  <c r="W489" i="2" s="1"/>
  <c r="S490" i="2"/>
  <c r="W490" i="2"/>
  <c r="W491" i="2"/>
  <c r="S492" i="2"/>
  <c r="W492" i="2" s="1"/>
  <c r="W493" i="2"/>
  <c r="R495" i="2"/>
  <c r="V495" i="2"/>
  <c r="J455" i="2"/>
  <c r="J495" i="2" s="1"/>
  <c r="I495" i="2"/>
  <c r="E455" i="2"/>
  <c r="E495" i="2" s="1"/>
  <c r="D455" i="2"/>
  <c r="D454" i="2"/>
  <c r="D453" i="2"/>
  <c r="G453" i="2" s="1"/>
  <c r="K453" i="2" s="1"/>
  <c r="D452" i="2"/>
  <c r="G452" i="2" s="1"/>
  <c r="C453" i="2"/>
  <c r="C454" i="2" s="1"/>
  <c r="C455" i="2" s="1"/>
  <c r="G454" i="2"/>
  <c r="K454" i="2" s="1"/>
  <c r="G456" i="2"/>
  <c r="K456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/>
  <c r="G463" i="2"/>
  <c r="K463" i="2" s="1"/>
  <c r="G464" i="2"/>
  <c r="K464" i="2" s="1"/>
  <c r="G465" i="2"/>
  <c r="K465" i="2"/>
  <c r="G466" i="2"/>
  <c r="K466" i="2" s="1"/>
  <c r="G467" i="2"/>
  <c r="K467" i="2"/>
  <c r="G468" i="2"/>
  <c r="K468" i="2"/>
  <c r="G469" i="2"/>
  <c r="K469" i="2" s="1"/>
  <c r="G470" i="2"/>
  <c r="K470" i="2"/>
  <c r="G471" i="2"/>
  <c r="K471" i="2"/>
  <c r="G472" i="2"/>
  <c r="K472" i="2" s="1"/>
  <c r="G473" i="2"/>
  <c r="K473" i="2"/>
  <c r="G474" i="2"/>
  <c r="K474" i="2" s="1"/>
  <c r="G475" i="2"/>
  <c r="K475" i="2"/>
  <c r="G476" i="2"/>
  <c r="K476" i="2"/>
  <c r="G477" i="2"/>
  <c r="K477" i="2" s="1"/>
  <c r="G478" i="2"/>
  <c r="K478" i="2"/>
  <c r="G479" i="2"/>
  <c r="K479" i="2"/>
  <c r="G480" i="2"/>
  <c r="K480" i="2" s="1"/>
  <c r="G481" i="2"/>
  <c r="K481" i="2"/>
  <c r="G482" i="2"/>
  <c r="K482" i="2" s="1"/>
  <c r="G483" i="2"/>
  <c r="K483" i="2"/>
  <c r="G484" i="2"/>
  <c r="K484" i="2"/>
  <c r="G485" i="2"/>
  <c r="K485" i="2" s="1"/>
  <c r="G492" i="2"/>
  <c r="K492" i="2"/>
  <c r="F495" i="2"/>
  <c r="AE550" i="2" l="1"/>
  <c r="AI508" i="2"/>
  <c r="AI550" i="2" s="1"/>
  <c r="K550" i="2"/>
  <c r="AC495" i="2"/>
  <c r="AE452" i="2"/>
  <c r="AI452" i="2" s="1"/>
  <c r="AB495" i="2"/>
  <c r="AE453" i="2"/>
  <c r="Q495" i="2"/>
  <c r="S453" i="2"/>
  <c r="W453" i="2" s="1"/>
  <c r="S452" i="2"/>
  <c r="W452" i="2"/>
  <c r="W495" i="2" s="1"/>
  <c r="S495" i="2"/>
  <c r="P495" i="2"/>
  <c r="G455" i="2"/>
  <c r="K455" i="2" s="1"/>
  <c r="G495" i="2"/>
  <c r="K452" i="2"/>
  <c r="D495" i="2"/>
  <c r="AB411" i="2"/>
  <c r="AB410" i="2"/>
  <c r="AB409" i="2"/>
  <c r="AE409" i="2" s="1"/>
  <c r="AI409" i="2" s="1"/>
  <c r="AB408" i="2"/>
  <c r="AE408" i="2" s="1"/>
  <c r="AI408" i="2" s="1"/>
  <c r="AB407" i="2"/>
  <c r="AC407" i="2"/>
  <c r="AB406" i="2"/>
  <c r="AB405" i="2"/>
  <c r="AB404" i="2"/>
  <c r="AB403" i="2"/>
  <c r="AE403" i="2" s="1"/>
  <c r="AI403" i="2" s="1"/>
  <c r="AB402" i="2"/>
  <c r="AB401" i="2"/>
  <c r="AB400" i="2"/>
  <c r="AE400" i="2" s="1"/>
  <c r="AB399" i="2"/>
  <c r="AE399" i="2" s="1"/>
  <c r="AI399" i="2" s="1"/>
  <c r="AB398" i="2"/>
  <c r="AE398" i="2" s="1"/>
  <c r="AI398" i="2" s="1"/>
  <c r="AC397" i="2"/>
  <c r="AE397" i="2" s="1"/>
  <c r="AI397" i="2" s="1"/>
  <c r="AB397" i="2"/>
  <c r="AA398" i="2"/>
  <c r="AA399" i="2"/>
  <c r="AG440" i="2"/>
  <c r="AA400" i="2"/>
  <c r="AA401" i="2" s="1"/>
  <c r="AA402" i="2" s="1"/>
  <c r="AA403" i="2" s="1"/>
  <c r="AA404" i="2" s="1"/>
  <c r="AA405" i="2" s="1"/>
  <c r="AA406" i="2" s="1"/>
  <c r="AA407" i="2" s="1"/>
  <c r="AA408" i="2" s="1"/>
  <c r="AA409" i="2" s="1"/>
  <c r="AA410" i="2" s="1"/>
  <c r="AA411" i="2" s="1"/>
  <c r="AE401" i="2"/>
  <c r="AI401" i="2"/>
  <c r="AE402" i="2"/>
  <c r="AI402" i="2" s="1"/>
  <c r="AE404" i="2"/>
  <c r="AI404" i="2" s="1"/>
  <c r="AE405" i="2"/>
  <c r="AI405" i="2" s="1"/>
  <c r="AE406" i="2"/>
  <c r="AI406" i="2" s="1"/>
  <c r="AE407" i="2"/>
  <c r="AI407" i="2" s="1"/>
  <c r="AE410" i="2"/>
  <c r="AI410" i="2" s="1"/>
  <c r="AE411" i="2"/>
  <c r="AI411" i="2" s="1"/>
  <c r="AE412" i="2"/>
  <c r="AI412" i="2" s="1"/>
  <c r="AE413" i="2"/>
  <c r="AI413" i="2"/>
  <c r="AE414" i="2"/>
  <c r="AI414" i="2"/>
  <c r="AE415" i="2"/>
  <c r="AI415" i="2" s="1"/>
  <c r="AE416" i="2"/>
  <c r="AI416" i="2"/>
  <c r="AE417" i="2"/>
  <c r="AI417" i="2" s="1"/>
  <c r="AE418" i="2"/>
  <c r="AI418" i="2"/>
  <c r="AE419" i="2"/>
  <c r="AI419" i="2" s="1"/>
  <c r="AE420" i="2"/>
  <c r="AI420" i="2" s="1"/>
  <c r="AE421" i="2"/>
  <c r="AI421" i="2"/>
  <c r="AE422" i="2"/>
  <c r="AI422" i="2"/>
  <c r="AE423" i="2"/>
  <c r="AI423" i="2"/>
  <c r="AE424" i="2"/>
  <c r="AI424" i="2"/>
  <c r="AE425" i="2"/>
  <c r="AI425" i="2" s="1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/>
  <c r="AE433" i="2"/>
  <c r="AI433" i="2" s="1"/>
  <c r="AE434" i="2"/>
  <c r="AI434" i="2" s="1"/>
  <c r="AE435" i="2"/>
  <c r="AI435" i="2"/>
  <c r="AI436" i="2"/>
  <c r="AE437" i="2"/>
  <c r="AI437" i="2" s="1"/>
  <c r="AI438" i="2"/>
  <c r="AD440" i="2"/>
  <c r="AH440" i="2"/>
  <c r="V430" i="2"/>
  <c r="Q430" i="2"/>
  <c r="P430" i="2"/>
  <c r="S430" i="2" s="1"/>
  <c r="W430" i="2" s="1"/>
  <c r="P429" i="2"/>
  <c r="S429" i="2"/>
  <c r="W429" i="2" s="1"/>
  <c r="P428" i="2"/>
  <c r="S428" i="2" s="1"/>
  <c r="W428" i="2" s="1"/>
  <c r="P427" i="2"/>
  <c r="P426" i="2"/>
  <c r="P425" i="2"/>
  <c r="S425" i="2" s="1"/>
  <c r="W425" i="2" s="1"/>
  <c r="P424" i="2"/>
  <c r="S424" i="2" s="1"/>
  <c r="W424" i="2" s="1"/>
  <c r="U423" i="2"/>
  <c r="P423" i="2"/>
  <c r="P422" i="2"/>
  <c r="P421" i="2"/>
  <c r="S421" i="2" s="1"/>
  <c r="W421" i="2" s="1"/>
  <c r="P420" i="2"/>
  <c r="S420" i="2" s="1"/>
  <c r="W420" i="2" s="1"/>
  <c r="P419" i="2"/>
  <c r="P418" i="2"/>
  <c r="S418" i="2" s="1"/>
  <c r="W418" i="2" s="1"/>
  <c r="P417" i="2"/>
  <c r="U416" i="2"/>
  <c r="P416" i="2"/>
  <c r="S416" i="2" s="1"/>
  <c r="P415" i="2"/>
  <c r="S415" i="2" s="1"/>
  <c r="W415" i="2" s="1"/>
  <c r="P414" i="2"/>
  <c r="P413" i="2"/>
  <c r="S413" i="2" s="1"/>
  <c r="W413" i="2" s="1"/>
  <c r="P412" i="2"/>
  <c r="P411" i="2"/>
  <c r="S411" i="2" s="1"/>
  <c r="W411" i="2" s="1"/>
  <c r="P410" i="2"/>
  <c r="P409" i="2"/>
  <c r="S409" i="2"/>
  <c r="W409" i="2" s="1"/>
  <c r="P408" i="2"/>
  <c r="P407" i="2"/>
  <c r="P406" i="2"/>
  <c r="S406" i="2" s="1"/>
  <c r="W406" i="2" s="1"/>
  <c r="P405" i="2"/>
  <c r="P404" i="2"/>
  <c r="S404" i="2" s="1"/>
  <c r="W404" i="2" s="1"/>
  <c r="P403" i="2"/>
  <c r="P402" i="2"/>
  <c r="P401" i="2"/>
  <c r="S401" i="2" s="1"/>
  <c r="W401" i="2" s="1"/>
  <c r="P400" i="2"/>
  <c r="P399" i="2"/>
  <c r="P398" i="2"/>
  <c r="P397" i="2"/>
  <c r="S397" i="2"/>
  <c r="W397" i="2" s="1"/>
  <c r="O398" i="2"/>
  <c r="O399" i="2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S399" i="2"/>
  <c r="W399" i="2" s="1"/>
  <c r="S400" i="2"/>
  <c r="W400" i="2" s="1"/>
  <c r="S402" i="2"/>
  <c r="W402" i="2" s="1"/>
  <c r="S403" i="2"/>
  <c r="W403" i="2" s="1"/>
  <c r="S405" i="2"/>
  <c r="W405" i="2" s="1"/>
  <c r="S407" i="2"/>
  <c r="W407" i="2" s="1"/>
  <c r="S408" i="2"/>
  <c r="W408" i="2" s="1"/>
  <c r="S410" i="2"/>
  <c r="W410" i="2" s="1"/>
  <c r="S412" i="2"/>
  <c r="W412" i="2" s="1"/>
  <c r="S414" i="2"/>
  <c r="W414" i="2" s="1"/>
  <c r="S417" i="2"/>
  <c r="W417" i="2" s="1"/>
  <c r="S419" i="2"/>
  <c r="W419" i="2" s="1"/>
  <c r="S422" i="2"/>
  <c r="W422" i="2" s="1"/>
  <c r="S423" i="2"/>
  <c r="W423" i="2"/>
  <c r="S426" i="2"/>
  <c r="W426" i="2" s="1"/>
  <c r="S427" i="2"/>
  <c r="W427" i="2"/>
  <c r="S431" i="2"/>
  <c r="W431" i="2" s="1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V440" i="2"/>
  <c r="D405" i="2"/>
  <c r="D409" i="2"/>
  <c r="G409" i="2" s="1"/>
  <c r="K409" i="2" s="1"/>
  <c r="D408" i="2"/>
  <c r="D407" i="2"/>
  <c r="D406" i="2"/>
  <c r="G406" i="2" s="1"/>
  <c r="K406" i="2" s="1"/>
  <c r="D404" i="2"/>
  <c r="G404" i="2" s="1"/>
  <c r="K404" i="2" s="1"/>
  <c r="D403" i="2"/>
  <c r="G403" i="2"/>
  <c r="K403" i="2" s="1"/>
  <c r="D402" i="2"/>
  <c r="G402" i="2" s="1"/>
  <c r="K402" i="2" s="1"/>
  <c r="D401" i="2"/>
  <c r="G401" i="2" s="1"/>
  <c r="K401" i="2" s="1"/>
  <c r="D400" i="2"/>
  <c r="D399" i="2"/>
  <c r="D398" i="2"/>
  <c r="D397" i="2"/>
  <c r="C398" i="2"/>
  <c r="C399" i="2" s="1"/>
  <c r="C400" i="2" s="1"/>
  <c r="C401" i="2" s="1"/>
  <c r="C402" i="2" s="1"/>
  <c r="C403" i="2" s="1"/>
  <c r="C404" i="2" s="1"/>
  <c r="C405" i="2" s="1"/>
  <c r="C407" i="2" s="1"/>
  <c r="C408" i="2" s="1"/>
  <c r="C409" i="2" s="1"/>
  <c r="G398" i="2"/>
  <c r="K398" i="2" s="1"/>
  <c r="G399" i="2"/>
  <c r="K399" i="2" s="1"/>
  <c r="G400" i="2"/>
  <c r="K400" i="2" s="1"/>
  <c r="J440" i="2"/>
  <c r="G405" i="2"/>
  <c r="K405" i="2" s="1"/>
  <c r="G407" i="2"/>
  <c r="K407" i="2" s="1"/>
  <c r="G408" i="2"/>
  <c r="K408" i="2" s="1"/>
  <c r="G410" i="2"/>
  <c r="K410" i="2" s="1"/>
  <c r="G411" i="2"/>
  <c r="K411" i="2" s="1"/>
  <c r="G412" i="2"/>
  <c r="K412" i="2"/>
  <c r="G413" i="2"/>
  <c r="K413" i="2" s="1"/>
  <c r="G414" i="2"/>
  <c r="K414" i="2"/>
  <c r="G415" i="2"/>
  <c r="K415" i="2"/>
  <c r="G416" i="2"/>
  <c r="K416" i="2" s="1"/>
  <c r="G417" i="2"/>
  <c r="K417" i="2"/>
  <c r="G418" i="2"/>
  <c r="K418" i="2" s="1"/>
  <c r="G419" i="2"/>
  <c r="K419" i="2" s="1"/>
  <c r="G420" i="2"/>
  <c r="K420" i="2"/>
  <c r="G421" i="2"/>
  <c r="K421" i="2" s="1"/>
  <c r="G422" i="2"/>
  <c r="K422" i="2"/>
  <c r="G423" i="2"/>
  <c r="K423" i="2"/>
  <c r="G424" i="2"/>
  <c r="K424" i="2" s="1"/>
  <c r="G425" i="2"/>
  <c r="K425" i="2"/>
  <c r="G426" i="2"/>
  <c r="K426" i="2" s="1"/>
  <c r="G427" i="2"/>
  <c r="K427" i="2" s="1"/>
  <c r="G428" i="2"/>
  <c r="K428" i="2"/>
  <c r="G429" i="2"/>
  <c r="K429" i="2" s="1"/>
  <c r="G430" i="2"/>
  <c r="K430" i="2"/>
  <c r="G437" i="2"/>
  <c r="K437" i="2"/>
  <c r="E440" i="2"/>
  <c r="F440" i="2"/>
  <c r="I440" i="2"/>
  <c r="AE495" i="2" l="1"/>
  <c r="AI453" i="2"/>
  <c r="AI495" i="2" s="1"/>
  <c r="K495" i="2"/>
  <c r="AB440" i="2"/>
  <c r="AC440" i="2"/>
  <c r="AI400" i="2"/>
  <c r="AI440" i="2" s="1"/>
  <c r="AE440" i="2"/>
  <c r="U440" i="2"/>
  <c r="W416" i="2"/>
  <c r="P440" i="2"/>
  <c r="S398" i="2"/>
  <c r="W398" i="2" s="1"/>
  <c r="W440" i="2" s="1"/>
  <c r="D440" i="2"/>
  <c r="G397" i="2"/>
  <c r="G440" i="2" s="1"/>
  <c r="AE350" i="2"/>
  <c r="AI350" i="2" s="1"/>
  <c r="AB349" i="2"/>
  <c r="AE349" i="2" s="1"/>
  <c r="AI349" i="2" s="1"/>
  <c r="AB348" i="2"/>
  <c r="AB347" i="2"/>
  <c r="AE347" i="2" s="1"/>
  <c r="AI347" i="2" s="1"/>
  <c r="AB346" i="2"/>
  <c r="AE346" i="2" s="1"/>
  <c r="AI346" i="2" s="1"/>
  <c r="AB345" i="2"/>
  <c r="AE345" i="2" s="1"/>
  <c r="AI345" i="2" s="1"/>
  <c r="AG344" i="2"/>
  <c r="AB344" i="2"/>
  <c r="AE344" i="2" s="1"/>
  <c r="AG343" i="2"/>
  <c r="AB343" i="2"/>
  <c r="AC342" i="2"/>
  <c r="AE342" i="2" s="1"/>
  <c r="AI342" i="2" s="1"/>
  <c r="AB342" i="2"/>
  <c r="AA343" i="2"/>
  <c r="AA344" i="2" s="1"/>
  <c r="AA345" i="2" s="1"/>
  <c r="AA346" i="2" s="1"/>
  <c r="AA347" i="2" s="1"/>
  <c r="AA348" i="2" s="1"/>
  <c r="AC385" i="2"/>
  <c r="AE348" i="2"/>
  <c r="AI348" i="2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 s="1"/>
  <c r="AE357" i="2"/>
  <c r="AI357" i="2" s="1"/>
  <c r="AE358" i="2"/>
  <c r="AI358" i="2"/>
  <c r="AE359" i="2"/>
  <c r="AI359" i="2" s="1"/>
  <c r="AE360" i="2"/>
  <c r="AI360" i="2"/>
  <c r="AE361" i="2"/>
  <c r="AI361" i="2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 s="1"/>
  <c r="AE368" i="2"/>
  <c r="AI368" i="2"/>
  <c r="AE369" i="2"/>
  <c r="AI369" i="2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 s="1"/>
  <c r="AE376" i="2"/>
  <c r="AI376" i="2"/>
  <c r="AE377" i="2"/>
  <c r="AI377" i="2"/>
  <c r="AE378" i="2"/>
  <c r="AI378" i="2"/>
  <c r="AE379" i="2"/>
  <c r="AI379" i="2"/>
  <c r="AE380" i="2"/>
  <c r="AI380" i="2" s="1"/>
  <c r="AI381" i="2"/>
  <c r="AE382" i="2"/>
  <c r="AI382" i="2" s="1"/>
  <c r="AI383" i="2"/>
  <c r="AD385" i="2"/>
  <c r="AG385" i="2"/>
  <c r="AH385" i="2"/>
  <c r="P347" i="2"/>
  <c r="S347" i="2" s="1"/>
  <c r="W347" i="2" s="1"/>
  <c r="Q346" i="2"/>
  <c r="P346" i="2"/>
  <c r="Q345" i="2"/>
  <c r="S345" i="2" s="1"/>
  <c r="W345" i="2" s="1"/>
  <c r="P345" i="2"/>
  <c r="Q344" i="2"/>
  <c r="P344" i="2"/>
  <c r="P343" i="2"/>
  <c r="P342" i="2"/>
  <c r="S342" i="2" s="1"/>
  <c r="O343" i="2"/>
  <c r="O344" i="2" s="1"/>
  <c r="O345" i="2" s="1"/>
  <c r="O346" i="2" s="1"/>
  <c r="O347" i="2" s="1"/>
  <c r="U385" i="2"/>
  <c r="S348" i="2"/>
  <c r="W348" i="2"/>
  <c r="S349" i="2"/>
  <c r="W349" i="2"/>
  <c r="S350" i="2"/>
  <c r="W350" i="2"/>
  <c r="S351" i="2"/>
  <c r="W351" i="2"/>
  <c r="S352" i="2"/>
  <c r="W352" i="2"/>
  <c r="S353" i="2"/>
  <c r="W353" i="2" s="1"/>
  <c r="S354" i="2"/>
  <c r="W354" i="2"/>
  <c r="S355" i="2"/>
  <c r="W355" i="2"/>
  <c r="S356" i="2"/>
  <c r="W356" i="2"/>
  <c r="S357" i="2"/>
  <c r="W357" i="2"/>
  <c r="S358" i="2"/>
  <c r="W358" i="2"/>
  <c r="S359" i="2"/>
  <c r="W359" i="2"/>
  <c r="S360" i="2"/>
  <c r="W360" i="2"/>
  <c r="S361" i="2"/>
  <c r="W361" i="2"/>
  <c r="S362" i="2"/>
  <c r="W362" i="2"/>
  <c r="S363" i="2"/>
  <c r="W363" i="2"/>
  <c r="S364" i="2"/>
  <c r="W364" i="2"/>
  <c r="S365" i="2"/>
  <c r="W365" i="2"/>
  <c r="S366" i="2"/>
  <c r="W366" i="2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R385" i="2"/>
  <c r="V385" i="2"/>
  <c r="J347" i="2"/>
  <c r="D347" i="2"/>
  <c r="D346" i="2"/>
  <c r="D345" i="2"/>
  <c r="D344" i="2"/>
  <c r="I343" i="2"/>
  <c r="E343" i="2"/>
  <c r="D343" i="2"/>
  <c r="D342" i="2"/>
  <c r="S440" i="2" l="1"/>
  <c r="K397" i="2"/>
  <c r="K440" i="2" s="1"/>
  <c r="AB385" i="2"/>
  <c r="AE343" i="2"/>
  <c r="AI343" i="2" s="1"/>
  <c r="AE385" i="2"/>
  <c r="AI344" i="2"/>
  <c r="S346" i="2"/>
  <c r="W346" i="2" s="1"/>
  <c r="Q385" i="2"/>
  <c r="S344" i="2"/>
  <c r="W344" i="2" s="1"/>
  <c r="P385" i="2"/>
  <c r="W342" i="2"/>
  <c r="S343" i="2"/>
  <c r="W343" i="2" s="1"/>
  <c r="G342" i="2"/>
  <c r="K342" i="2" s="1"/>
  <c r="C343" i="2"/>
  <c r="C344" i="2" s="1"/>
  <c r="C345" i="2" s="1"/>
  <c r="C346" i="2" s="1"/>
  <c r="C347" i="2" s="1"/>
  <c r="G343" i="2"/>
  <c r="G344" i="2"/>
  <c r="K344" i="2" s="1"/>
  <c r="G345" i="2"/>
  <c r="K345" i="2"/>
  <c r="G346" i="2"/>
  <c r="K346" i="2"/>
  <c r="G347" i="2"/>
  <c r="K347" i="2" s="1"/>
  <c r="G348" i="2"/>
  <c r="K348" i="2"/>
  <c r="G349" i="2"/>
  <c r="K349" i="2" s="1"/>
  <c r="G350" i="2"/>
  <c r="K350" i="2" s="1"/>
  <c r="G351" i="2"/>
  <c r="K351" i="2"/>
  <c r="G352" i="2"/>
  <c r="K352" i="2" s="1"/>
  <c r="G353" i="2"/>
  <c r="K353" i="2"/>
  <c r="G354" i="2"/>
  <c r="K354" i="2"/>
  <c r="G355" i="2"/>
  <c r="K355" i="2"/>
  <c r="G356" i="2"/>
  <c r="K356" i="2"/>
  <c r="G357" i="2"/>
  <c r="K357" i="2"/>
  <c r="G358" i="2"/>
  <c r="K358" i="2" s="1"/>
  <c r="G359" i="2"/>
  <c r="K359" i="2"/>
  <c r="G360" i="2"/>
  <c r="K360" i="2" s="1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 s="1"/>
  <c r="D385" i="2"/>
  <c r="E385" i="2"/>
  <c r="F385" i="2"/>
  <c r="I385" i="2"/>
  <c r="J385" i="2"/>
  <c r="AI385" i="2" l="1"/>
  <c r="S385" i="2"/>
  <c r="W385" i="2"/>
  <c r="G385" i="2"/>
  <c r="K343" i="2"/>
  <c r="K385" i="2" s="1"/>
  <c r="AC294" i="2"/>
  <c r="AB294" i="2"/>
  <c r="AC293" i="2"/>
  <c r="AB293" i="2"/>
  <c r="AA293" i="2"/>
  <c r="AA294" i="2" s="1"/>
  <c r="AB292" i="2"/>
  <c r="AB291" i="2"/>
  <c r="AC290" i="2"/>
  <c r="AB290" i="2"/>
  <c r="AE290" i="2" s="1"/>
  <c r="AI290" i="2" s="1"/>
  <c r="AC289" i="2"/>
  <c r="AB289" i="2"/>
  <c r="AB330" i="2" s="1"/>
  <c r="AB288" i="2"/>
  <c r="AB287" i="2"/>
  <c r="AA291" i="2"/>
  <c r="AA292" i="2"/>
  <c r="AE287" i="2"/>
  <c r="AI287" i="2" s="1"/>
  <c r="AA288" i="2"/>
  <c r="AA289" i="2" s="1"/>
  <c r="AA290" i="2" s="1"/>
  <c r="AE288" i="2"/>
  <c r="AI288" i="2"/>
  <c r="AE291" i="2"/>
  <c r="AI291" i="2" s="1"/>
  <c r="AE292" i="2"/>
  <c r="AI292" i="2" s="1"/>
  <c r="AE293" i="2"/>
  <c r="AI293" i="2" s="1"/>
  <c r="AE294" i="2"/>
  <c r="AI294" i="2" s="1"/>
  <c r="AE295" i="2"/>
  <c r="AI295" i="2"/>
  <c r="AE296" i="2"/>
  <c r="AI296" i="2"/>
  <c r="AE297" i="2"/>
  <c r="AI297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292" i="2"/>
  <c r="P291" i="2"/>
  <c r="S291" i="2" s="1"/>
  <c r="W291" i="2" s="1"/>
  <c r="U290" i="2"/>
  <c r="P290" i="2"/>
  <c r="S290" i="2" s="1"/>
  <c r="W290" i="2" s="1"/>
  <c r="U289" i="2"/>
  <c r="P289" i="2"/>
  <c r="U288" i="2"/>
  <c r="Q288" i="2"/>
  <c r="P288" i="2"/>
  <c r="S288" i="2" s="1"/>
  <c r="V287" i="2"/>
  <c r="V330" i="2" s="1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W321" i="2"/>
  <c r="S321" i="2"/>
  <c r="S320" i="2"/>
  <c r="W320" i="2" s="1"/>
  <c r="W319" i="2"/>
  <c r="S319" i="2"/>
  <c r="S318" i="2"/>
  <c r="W318" i="2" s="1"/>
  <c r="S317" i="2"/>
  <c r="W317" i="2" s="1"/>
  <c r="S316" i="2"/>
  <c r="W316" i="2" s="1"/>
  <c r="W315" i="2"/>
  <c r="S315" i="2"/>
  <c r="S314" i="2"/>
  <c r="W314" i="2" s="1"/>
  <c r="W313" i="2"/>
  <c r="S313" i="2"/>
  <c r="S312" i="2"/>
  <c r="W312" i="2" s="1"/>
  <c r="W311" i="2"/>
  <c r="S311" i="2"/>
  <c r="S310" i="2"/>
  <c r="W310" i="2" s="1"/>
  <c r="S309" i="2"/>
  <c r="W309" i="2" s="1"/>
  <c r="S308" i="2"/>
  <c r="W308" i="2" s="1"/>
  <c r="W307" i="2"/>
  <c r="S307" i="2"/>
  <c r="S306" i="2"/>
  <c r="W306" i="2" s="1"/>
  <c r="W305" i="2"/>
  <c r="S305" i="2"/>
  <c r="S304" i="2"/>
  <c r="W304" i="2" s="1"/>
  <c r="W303" i="2"/>
  <c r="S303" i="2"/>
  <c r="S302" i="2"/>
  <c r="W302" i="2" s="1"/>
  <c r="S301" i="2"/>
  <c r="W301" i="2" s="1"/>
  <c r="S300" i="2"/>
  <c r="W300" i="2" s="1"/>
  <c r="W299" i="2"/>
  <c r="S299" i="2"/>
  <c r="S298" i="2"/>
  <c r="W298" i="2" s="1"/>
  <c r="W297" i="2"/>
  <c r="S297" i="2"/>
  <c r="S296" i="2"/>
  <c r="W296" i="2" s="1"/>
  <c r="W295" i="2"/>
  <c r="S295" i="2"/>
  <c r="S294" i="2"/>
  <c r="W294" i="2" s="1"/>
  <c r="S293" i="2"/>
  <c r="W293" i="2" s="1"/>
  <c r="S292" i="2"/>
  <c r="W292" i="2" s="1"/>
  <c r="S289" i="2"/>
  <c r="O288" i="2"/>
  <c r="O289" i="2" s="1"/>
  <c r="O290" i="2" s="1"/>
  <c r="O291" i="2" s="1"/>
  <c r="O292" i="2" s="1"/>
  <c r="D292" i="2"/>
  <c r="G292" i="2" s="1"/>
  <c r="K292" i="2" s="1"/>
  <c r="D291" i="2"/>
  <c r="G291" i="2" s="1"/>
  <c r="K291" i="2" s="1"/>
  <c r="D290" i="2"/>
  <c r="G290" i="2" s="1"/>
  <c r="K290" i="2" s="1"/>
  <c r="D289" i="2"/>
  <c r="D288" i="2"/>
  <c r="G288" i="2" s="1"/>
  <c r="K288" i="2" s="1"/>
  <c r="D287" i="2"/>
  <c r="G287" i="2" s="1"/>
  <c r="J330" i="2"/>
  <c r="I330" i="2"/>
  <c r="F330" i="2"/>
  <c r="E330" i="2"/>
  <c r="G327" i="2"/>
  <c r="K327" i="2" s="1"/>
  <c r="G320" i="2"/>
  <c r="K320" i="2" s="1"/>
  <c r="G319" i="2"/>
  <c r="K319" i="2" s="1"/>
  <c r="K318" i="2"/>
  <c r="G318" i="2"/>
  <c r="G317" i="2"/>
  <c r="K317" i="2" s="1"/>
  <c r="G316" i="2"/>
  <c r="K316" i="2" s="1"/>
  <c r="G315" i="2"/>
  <c r="K315" i="2" s="1"/>
  <c r="K314" i="2"/>
  <c r="G314" i="2"/>
  <c r="G313" i="2"/>
  <c r="K313" i="2" s="1"/>
  <c r="G312" i="2"/>
  <c r="K312" i="2" s="1"/>
  <c r="G311" i="2"/>
  <c r="K311" i="2" s="1"/>
  <c r="K310" i="2"/>
  <c r="G310" i="2"/>
  <c r="G309" i="2"/>
  <c r="K309" i="2" s="1"/>
  <c r="G308" i="2"/>
  <c r="K308" i="2" s="1"/>
  <c r="G307" i="2"/>
  <c r="K307" i="2" s="1"/>
  <c r="K306" i="2"/>
  <c r="G306" i="2"/>
  <c r="G305" i="2"/>
  <c r="K305" i="2" s="1"/>
  <c r="G304" i="2"/>
  <c r="K304" i="2" s="1"/>
  <c r="G303" i="2"/>
  <c r="K303" i="2" s="1"/>
  <c r="K302" i="2"/>
  <c r="G302" i="2"/>
  <c r="G301" i="2"/>
  <c r="K301" i="2" s="1"/>
  <c r="G300" i="2"/>
  <c r="K300" i="2" s="1"/>
  <c r="G299" i="2"/>
  <c r="K299" i="2" s="1"/>
  <c r="K298" i="2"/>
  <c r="G298" i="2"/>
  <c r="G297" i="2"/>
  <c r="K297" i="2" s="1"/>
  <c r="G296" i="2"/>
  <c r="K296" i="2" s="1"/>
  <c r="G295" i="2"/>
  <c r="K295" i="2" s="1"/>
  <c r="G294" i="2"/>
  <c r="K294" i="2" s="1"/>
  <c r="G293" i="2"/>
  <c r="K293" i="2" s="1"/>
  <c r="G289" i="2"/>
  <c r="K289" i="2" s="1"/>
  <c r="C288" i="2"/>
  <c r="C289" i="2" s="1"/>
  <c r="C290" i="2" s="1"/>
  <c r="C291" i="2" s="1"/>
  <c r="C292" i="2" s="1"/>
  <c r="AE289" i="2" l="1"/>
  <c r="AI289" i="2" s="1"/>
  <c r="AI330" i="2" s="1"/>
  <c r="U330" i="2"/>
  <c r="W289" i="2"/>
  <c r="W288" i="2"/>
  <c r="S330" i="2"/>
  <c r="W287" i="2"/>
  <c r="P330" i="2"/>
  <c r="Q330" i="2"/>
  <c r="K287" i="2"/>
  <c r="K330" i="2" s="1"/>
  <c r="G330" i="2"/>
  <c r="D330" i="2"/>
  <c r="AB237" i="2"/>
  <c r="AE237" i="2"/>
  <c r="AI237" i="2" s="1"/>
  <c r="AC236" i="2"/>
  <c r="AC275" i="2" s="1"/>
  <c r="AB236" i="2"/>
  <c r="AB235" i="2"/>
  <c r="AH275" i="2"/>
  <c r="AB234" i="2"/>
  <c r="AC233" i="2"/>
  <c r="AB233" i="2"/>
  <c r="AB232" i="2"/>
  <c r="AG275" i="2"/>
  <c r="AD275" i="2"/>
  <c r="AI273" i="2"/>
  <c r="AI272" i="2"/>
  <c r="AE272" i="2"/>
  <c r="AI271" i="2"/>
  <c r="AE270" i="2"/>
  <c r="AI270" i="2" s="1"/>
  <c r="AI269" i="2"/>
  <c r="AE269" i="2"/>
  <c r="AE268" i="2"/>
  <c r="AI268" i="2" s="1"/>
  <c r="AE267" i="2"/>
  <c r="AI267" i="2" s="1"/>
  <c r="AE266" i="2"/>
  <c r="AI266" i="2" s="1"/>
  <c r="AE265" i="2"/>
  <c r="AI265" i="2" s="1"/>
  <c r="AE264" i="2"/>
  <c r="AI264" i="2" s="1"/>
  <c r="AE263" i="2"/>
  <c r="AI263" i="2" s="1"/>
  <c r="AE262" i="2"/>
  <c r="AI262" i="2" s="1"/>
  <c r="AI261" i="2"/>
  <c r="AE261" i="2"/>
  <c r="AE260" i="2"/>
  <c r="AI260" i="2" s="1"/>
  <c r="AE259" i="2"/>
  <c r="AI259" i="2" s="1"/>
  <c r="AE258" i="2"/>
  <c r="AI258" i="2" s="1"/>
  <c r="AE257" i="2"/>
  <c r="AI257" i="2" s="1"/>
  <c r="AE256" i="2"/>
  <c r="AI256" i="2" s="1"/>
  <c r="AE255" i="2"/>
  <c r="AI255" i="2" s="1"/>
  <c r="AE254" i="2"/>
  <c r="AI254" i="2" s="1"/>
  <c r="AI253" i="2"/>
  <c r="AE253" i="2"/>
  <c r="AE252" i="2"/>
  <c r="AI252" i="2" s="1"/>
  <c r="AE251" i="2"/>
  <c r="AI251" i="2" s="1"/>
  <c r="AE250" i="2"/>
  <c r="AI250" i="2" s="1"/>
  <c r="AE249" i="2"/>
  <c r="AI249" i="2" s="1"/>
  <c r="AE248" i="2"/>
  <c r="AI248" i="2" s="1"/>
  <c r="AE247" i="2"/>
  <c r="AI247" i="2" s="1"/>
  <c r="AE246" i="2"/>
  <c r="AI246" i="2" s="1"/>
  <c r="AI245" i="2"/>
  <c r="AE245" i="2"/>
  <c r="AE244" i="2"/>
  <c r="AI244" i="2" s="1"/>
  <c r="AE243" i="2"/>
  <c r="AI243" i="2" s="1"/>
  <c r="AE242" i="2"/>
  <c r="AI242" i="2" s="1"/>
  <c r="AE241" i="2"/>
  <c r="AI241" i="2" s="1"/>
  <c r="AE240" i="2"/>
  <c r="AI240" i="2" s="1"/>
  <c r="AE239" i="2"/>
  <c r="AI239" i="2" s="1"/>
  <c r="AE238" i="2"/>
  <c r="AI238" i="2" s="1"/>
  <c r="AE236" i="2"/>
  <c r="AI236" i="2" s="1"/>
  <c r="AE235" i="2"/>
  <c r="AI235" i="2" s="1"/>
  <c r="AE233" i="2"/>
  <c r="AI233" i="2" s="1"/>
  <c r="AA233" i="2"/>
  <c r="AA234" i="2" s="1"/>
  <c r="AA235" i="2" s="1"/>
  <c r="AA237" i="2" s="1"/>
  <c r="AE330" i="2" l="1"/>
  <c r="W330" i="2"/>
  <c r="AB275" i="2"/>
  <c r="AE234" i="2"/>
  <c r="AI234" i="2" s="1"/>
  <c r="AE232" i="2"/>
  <c r="P183" i="2"/>
  <c r="P182" i="2"/>
  <c r="S182" i="2" s="1"/>
  <c r="W182" i="2" s="1"/>
  <c r="P181" i="2"/>
  <c r="P180" i="2"/>
  <c r="P179" i="2"/>
  <c r="S179" i="2" s="1"/>
  <c r="W179" i="2" s="1"/>
  <c r="P178" i="2"/>
  <c r="V178" i="2"/>
  <c r="V220" i="2" s="1"/>
  <c r="U178" i="2"/>
  <c r="Q178" i="2"/>
  <c r="P177" i="2"/>
  <c r="S177" i="2"/>
  <c r="W177" i="2"/>
  <c r="O178" i="2"/>
  <c r="O179" i="2" s="1"/>
  <c r="O180" i="2" s="1"/>
  <c r="O181" i="2" s="1"/>
  <c r="O182" i="2" s="1"/>
  <c r="O183" i="2" s="1"/>
  <c r="S178" i="2"/>
  <c r="S180" i="2"/>
  <c r="W180" i="2"/>
  <c r="S181" i="2"/>
  <c r="W181" i="2" s="1"/>
  <c r="S183" i="2"/>
  <c r="W183" i="2"/>
  <c r="S184" i="2"/>
  <c r="W184" i="2" s="1"/>
  <c r="S185" i="2"/>
  <c r="W185" i="2" s="1"/>
  <c r="S186" i="2"/>
  <c r="W186" i="2"/>
  <c r="S187" i="2"/>
  <c r="W187" i="2"/>
  <c r="S188" i="2"/>
  <c r="W188" i="2"/>
  <c r="S189" i="2"/>
  <c r="W189" i="2"/>
  <c r="S190" i="2"/>
  <c r="W190" i="2"/>
  <c r="S191" i="2"/>
  <c r="W191" i="2"/>
  <c r="S192" i="2"/>
  <c r="W192" i="2" s="1"/>
  <c r="S193" i="2"/>
  <c r="W193" i="2"/>
  <c r="S194" i="2"/>
  <c r="W194" i="2"/>
  <c r="S195" i="2"/>
  <c r="W195" i="2"/>
  <c r="S196" i="2"/>
  <c r="W196" i="2"/>
  <c r="S197" i="2"/>
  <c r="W197" i="2"/>
  <c r="S198" i="2"/>
  <c r="W198" i="2"/>
  <c r="S199" i="2"/>
  <c r="W199" i="2"/>
  <c r="S200" i="2"/>
  <c r="W200" i="2" s="1"/>
  <c r="S201" i="2"/>
  <c r="W201" i="2"/>
  <c r="S202" i="2"/>
  <c r="W202" i="2"/>
  <c r="S203" i="2"/>
  <c r="W203" i="2"/>
  <c r="S204" i="2"/>
  <c r="W204" i="2"/>
  <c r="S205" i="2"/>
  <c r="W205" i="2"/>
  <c r="S206" i="2"/>
  <c r="W206" i="2"/>
  <c r="S207" i="2"/>
  <c r="W207" i="2"/>
  <c r="S208" i="2"/>
  <c r="W208" i="2" s="1"/>
  <c r="S209" i="2"/>
  <c r="W209" i="2"/>
  <c r="S210" i="2"/>
  <c r="W210" i="2"/>
  <c r="S211" i="2"/>
  <c r="W211" i="2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I180" i="2"/>
  <c r="I220" i="2" s="1"/>
  <c r="D180" i="2"/>
  <c r="G180" i="2" s="1"/>
  <c r="K180" i="2" s="1"/>
  <c r="D179" i="2"/>
  <c r="D178" i="2"/>
  <c r="G178" i="2" s="1"/>
  <c r="K178" i="2" s="1"/>
  <c r="E177" i="2"/>
  <c r="E220" i="2" s="1"/>
  <c r="D177" i="2"/>
  <c r="C178" i="2"/>
  <c r="C179" i="2" s="1"/>
  <c r="C180" i="2" s="1"/>
  <c r="G179" i="2"/>
  <c r="K179" i="2" s="1"/>
  <c r="G181" i="2"/>
  <c r="K181" i="2"/>
  <c r="G182" i="2"/>
  <c r="K182" i="2"/>
  <c r="G183" i="2"/>
  <c r="K183" i="2" s="1"/>
  <c r="G184" i="2"/>
  <c r="K184" i="2"/>
  <c r="G185" i="2"/>
  <c r="K185" i="2"/>
  <c r="G186" i="2"/>
  <c r="K186" i="2"/>
  <c r="G187" i="2"/>
  <c r="K187" i="2" s="1"/>
  <c r="G188" i="2"/>
  <c r="K188" i="2"/>
  <c r="G189" i="2"/>
  <c r="K189" i="2"/>
  <c r="G190" i="2"/>
  <c r="K190" i="2"/>
  <c r="G191" i="2"/>
  <c r="K191" i="2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/>
  <c r="G199" i="2"/>
  <c r="K199" i="2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/>
  <c r="G207" i="2"/>
  <c r="K207" i="2"/>
  <c r="G208" i="2"/>
  <c r="K208" i="2"/>
  <c r="G209" i="2"/>
  <c r="K209" i="2"/>
  <c r="G210" i="2"/>
  <c r="K210" i="2"/>
  <c r="G217" i="2"/>
  <c r="K217" i="2" s="1"/>
  <c r="F220" i="2"/>
  <c r="J220" i="2"/>
  <c r="AI232" i="2" l="1"/>
  <c r="AI275" i="2" s="1"/>
  <c r="AE275" i="2"/>
  <c r="P220" i="2"/>
  <c r="S220" i="2"/>
  <c r="W178" i="2"/>
  <c r="W220" i="2" s="1"/>
  <c r="D220" i="2"/>
  <c r="G177" i="2"/>
  <c r="G220" i="2" s="1"/>
  <c r="AB128" i="2"/>
  <c r="AC127" i="2"/>
  <c r="AB127" i="2"/>
  <c r="AB126" i="2"/>
  <c r="AB125" i="2"/>
  <c r="AE125" i="2" s="1"/>
  <c r="AI125" i="2" s="1"/>
  <c r="AC124" i="2"/>
  <c r="AB124" i="2"/>
  <c r="AE124" i="2" s="1"/>
  <c r="AI124" i="2" s="1"/>
  <c r="AB123" i="2"/>
  <c r="AE123" i="2" s="1"/>
  <c r="AC122" i="2"/>
  <c r="AC165" i="2" s="1"/>
  <c r="AB122" i="2"/>
  <c r="AA123" i="2"/>
  <c r="AA124" i="2" s="1"/>
  <c r="AA125" i="2" s="1"/>
  <c r="AA126" i="2" s="1"/>
  <c r="AA127" i="2" s="1"/>
  <c r="AA128" i="2" s="1"/>
  <c r="AE126" i="2"/>
  <c r="AI126" i="2" s="1"/>
  <c r="AE127" i="2"/>
  <c r="AI127" i="2" s="1"/>
  <c r="AE128" i="2"/>
  <c r="AI128" i="2" s="1"/>
  <c r="AE129" i="2"/>
  <c r="AI129" i="2"/>
  <c r="AE130" i="2"/>
  <c r="AI130" i="2"/>
  <c r="AE131" i="2"/>
  <c r="AI131" i="2"/>
  <c r="AE132" i="2"/>
  <c r="AI132" i="2"/>
  <c r="AE133" i="2"/>
  <c r="AI133" i="2"/>
  <c r="AE134" i="2"/>
  <c r="AI134" i="2" s="1"/>
  <c r="AE135" i="2"/>
  <c r="AI135" i="2"/>
  <c r="AE136" i="2"/>
  <c r="AI136" i="2"/>
  <c r="AE137" i="2"/>
  <c r="AI137" i="2"/>
  <c r="AE138" i="2"/>
  <c r="AI138" i="2"/>
  <c r="AE139" i="2"/>
  <c r="AI139" i="2"/>
  <c r="AE140" i="2"/>
  <c r="AI140" i="2"/>
  <c r="AE141" i="2"/>
  <c r="AI141" i="2"/>
  <c r="AE142" i="2"/>
  <c r="AI142" i="2" s="1"/>
  <c r="AE143" i="2"/>
  <c r="AI143" i="2"/>
  <c r="AE144" i="2"/>
  <c r="AI144" i="2"/>
  <c r="AE145" i="2"/>
  <c r="AI145" i="2"/>
  <c r="AE146" i="2"/>
  <c r="AI146" i="2"/>
  <c r="AE147" i="2"/>
  <c r="AI147" i="2"/>
  <c r="AE148" i="2"/>
  <c r="AI148" i="2"/>
  <c r="AE149" i="2"/>
  <c r="AI149" i="2"/>
  <c r="AE150" i="2"/>
  <c r="AI150" i="2" s="1"/>
  <c r="AE151" i="2"/>
  <c r="AI151" i="2"/>
  <c r="AE152" i="2"/>
  <c r="AI152" i="2"/>
  <c r="AE153" i="2"/>
  <c r="AI153" i="2"/>
  <c r="AE154" i="2"/>
  <c r="AI154" i="2"/>
  <c r="AE155" i="2"/>
  <c r="AI155" i="2"/>
  <c r="AE156" i="2"/>
  <c r="AI156" i="2"/>
  <c r="AE157" i="2"/>
  <c r="AI157" i="2"/>
  <c r="AE158" i="2"/>
  <c r="AI158" i="2" s="1"/>
  <c r="AE159" i="2"/>
  <c r="AI159" i="2"/>
  <c r="AE160" i="2"/>
  <c r="AI160" i="2"/>
  <c r="AI161" i="2"/>
  <c r="AE162" i="2"/>
  <c r="AI162" i="2"/>
  <c r="AI163" i="2"/>
  <c r="AD165" i="2"/>
  <c r="AG165" i="2"/>
  <c r="AH165" i="2"/>
  <c r="P123" i="2"/>
  <c r="S123" i="2" s="1"/>
  <c r="W123" i="2" s="1"/>
  <c r="Q123" i="2"/>
  <c r="P122" i="2"/>
  <c r="V165" i="2"/>
  <c r="U165" i="2"/>
  <c r="O123" i="2"/>
  <c r="S124" i="2"/>
  <c r="W124" i="2" s="1"/>
  <c r="S125" i="2"/>
  <c r="W125" i="2" s="1"/>
  <c r="S126" i="2"/>
  <c r="W126" i="2" s="1"/>
  <c r="S127" i="2"/>
  <c r="W127" i="2" s="1"/>
  <c r="S128" i="2"/>
  <c r="W128" i="2" s="1"/>
  <c r="S129" i="2"/>
  <c r="W129" i="2"/>
  <c r="S130" i="2"/>
  <c r="W130" i="2" s="1"/>
  <c r="S131" i="2"/>
  <c r="W131" i="2" s="1"/>
  <c r="S132" i="2"/>
  <c r="W132" i="2"/>
  <c r="S133" i="2"/>
  <c r="W133" i="2"/>
  <c r="S134" i="2"/>
  <c r="W134" i="2" s="1"/>
  <c r="S135" i="2"/>
  <c r="W135" i="2"/>
  <c r="S136" i="2"/>
  <c r="W136" i="2"/>
  <c r="S137" i="2"/>
  <c r="W137" i="2"/>
  <c r="S138" i="2"/>
  <c r="W138" i="2" s="1"/>
  <c r="S139" i="2"/>
  <c r="W139" i="2" s="1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 s="1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 s="1"/>
  <c r="S156" i="2"/>
  <c r="W156" i="2"/>
  <c r="S157" i="2"/>
  <c r="W157" i="2"/>
  <c r="S158" i="2"/>
  <c r="W158" i="2"/>
  <c r="S159" i="2"/>
  <c r="W159" i="2" s="1"/>
  <c r="S160" i="2"/>
  <c r="W160" i="2"/>
  <c r="W161" i="2"/>
  <c r="S162" i="2"/>
  <c r="W162" i="2" s="1"/>
  <c r="W163" i="2"/>
  <c r="Q165" i="2"/>
  <c r="R165" i="2"/>
  <c r="I124" i="2"/>
  <c r="D124" i="2"/>
  <c r="G124" i="2" s="1"/>
  <c r="K124" i="2" s="1"/>
  <c r="D123" i="2"/>
  <c r="J122" i="2"/>
  <c r="J165" i="2" s="1"/>
  <c r="I122" i="2"/>
  <c r="E122" i="2"/>
  <c r="E165" i="2" s="1"/>
  <c r="D122" i="2"/>
  <c r="G122" i="2"/>
  <c r="C123" i="2"/>
  <c r="G123" i="2"/>
  <c r="K123" i="2"/>
  <c r="C124" i="2"/>
  <c r="G125" i="2"/>
  <c r="K125" i="2" s="1"/>
  <c r="G126" i="2"/>
  <c r="K126" i="2" s="1"/>
  <c r="G127" i="2"/>
  <c r="K127" i="2"/>
  <c r="G128" i="2"/>
  <c r="K128" i="2" s="1"/>
  <c r="G129" i="2"/>
  <c r="K129" i="2" s="1"/>
  <c r="G130" i="2"/>
  <c r="K130" i="2" s="1"/>
  <c r="G131" i="2"/>
  <c r="K131" i="2"/>
  <c r="G132" i="2"/>
  <c r="K132" i="2" s="1"/>
  <c r="G133" i="2"/>
  <c r="K133" i="2"/>
  <c r="G134" i="2"/>
  <c r="K134" i="2"/>
  <c r="G135" i="2"/>
  <c r="K135" i="2"/>
  <c r="G136" i="2"/>
  <c r="K136" i="2"/>
  <c r="G137" i="2"/>
  <c r="K137" i="2"/>
  <c r="G138" i="2"/>
  <c r="K138" i="2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/>
  <c r="G155" i="2"/>
  <c r="K155" i="2"/>
  <c r="G162" i="2"/>
  <c r="K162" i="2"/>
  <c r="F165" i="2"/>
  <c r="P83" i="2"/>
  <c r="O83" i="2"/>
  <c r="K177" i="2" l="1"/>
  <c r="K220" i="2" s="1"/>
  <c r="AB165" i="2"/>
  <c r="AE122" i="2"/>
  <c r="AI122" i="2" s="1"/>
  <c r="AI123" i="2"/>
  <c r="P165" i="2"/>
  <c r="S122" i="2"/>
  <c r="W122" i="2"/>
  <c r="W165" i="2" s="1"/>
  <c r="S165" i="2"/>
  <c r="I165" i="2"/>
  <c r="D165" i="2"/>
  <c r="K122" i="2"/>
  <c r="K165" i="2" s="1"/>
  <c r="G165" i="2"/>
  <c r="U77" i="2"/>
  <c r="U110" i="2"/>
  <c r="AB72" i="2"/>
  <c r="AB71" i="2"/>
  <c r="AB70" i="2"/>
  <c r="AB69" i="2"/>
  <c r="AC68" i="2"/>
  <c r="AC110" i="2" s="1"/>
  <c r="AB68" i="2"/>
  <c r="AB67" i="2"/>
  <c r="AE67" i="2"/>
  <c r="AA68" i="2"/>
  <c r="AB110" i="2"/>
  <c r="AA69" i="2"/>
  <c r="AA70" i="2" s="1"/>
  <c r="AA71" i="2" s="1"/>
  <c r="AA72" i="2" s="1"/>
  <c r="AE69" i="2"/>
  <c r="AI69" i="2" s="1"/>
  <c r="AE70" i="2"/>
  <c r="AI70" i="2" s="1"/>
  <c r="AE71" i="2"/>
  <c r="AI71" i="2" s="1"/>
  <c r="AE72" i="2"/>
  <c r="AI72" i="2" s="1"/>
  <c r="AE73" i="2"/>
  <c r="AI73" i="2" s="1"/>
  <c r="AE74" i="2"/>
  <c r="AI74" i="2"/>
  <c r="AE75" i="2"/>
  <c r="AI75" i="2" s="1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G110" i="2"/>
  <c r="AH110" i="2"/>
  <c r="P82" i="2"/>
  <c r="P81" i="2"/>
  <c r="P80" i="2"/>
  <c r="P79" i="2"/>
  <c r="P78" i="2"/>
  <c r="P77" i="2"/>
  <c r="P76" i="2"/>
  <c r="S76" i="2" s="1"/>
  <c r="W76" i="2" s="1"/>
  <c r="P75" i="2"/>
  <c r="P74" i="2"/>
  <c r="S74" i="2" s="1"/>
  <c r="W74" i="2" s="1"/>
  <c r="P73" i="2"/>
  <c r="S73" i="2" s="1"/>
  <c r="W73" i="2" s="1"/>
  <c r="P72" i="2"/>
  <c r="Q71" i="2"/>
  <c r="P71" i="2"/>
  <c r="S71" i="2" s="1"/>
  <c r="W71" i="2" s="1"/>
  <c r="P70" i="2"/>
  <c r="P69" i="2"/>
  <c r="P68" i="2"/>
  <c r="S68" i="2" s="1"/>
  <c r="W68" i="2" s="1"/>
  <c r="P67" i="2"/>
  <c r="S67" i="2"/>
  <c r="O68" i="2"/>
  <c r="O69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Q110" i="2"/>
  <c r="S69" i="2"/>
  <c r="W69" i="2" s="1"/>
  <c r="S70" i="2"/>
  <c r="W70" i="2" s="1"/>
  <c r="S72" i="2"/>
  <c r="W72" i="2" s="1"/>
  <c r="S75" i="2"/>
  <c r="W75" i="2" s="1"/>
  <c r="S77" i="2"/>
  <c r="S78" i="2"/>
  <c r="W78" i="2"/>
  <c r="S79" i="2"/>
  <c r="W79" i="2" s="1"/>
  <c r="S80" i="2"/>
  <c r="W80" i="2" s="1"/>
  <c r="S81" i="2"/>
  <c r="W81" i="2" s="1"/>
  <c r="S82" i="2"/>
  <c r="W82" i="2" s="1"/>
  <c r="S83" i="2"/>
  <c r="W83" i="2" s="1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/>
  <c r="S91" i="2"/>
  <c r="W91" i="2" s="1"/>
  <c r="S92" i="2"/>
  <c r="W92" i="2"/>
  <c r="S93" i="2"/>
  <c r="W93" i="2"/>
  <c r="S94" i="2"/>
  <c r="W94" i="2"/>
  <c r="S95" i="2"/>
  <c r="W95" i="2"/>
  <c r="S96" i="2"/>
  <c r="W96" i="2" s="1"/>
  <c r="S97" i="2"/>
  <c r="W97" i="2"/>
  <c r="S98" i="2"/>
  <c r="W98" i="2"/>
  <c r="S99" i="2"/>
  <c r="W99" i="2" s="1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R110" i="2"/>
  <c r="V110" i="2"/>
  <c r="D77" i="2"/>
  <c r="G77" i="2" s="1"/>
  <c r="K77" i="2" s="1"/>
  <c r="D76" i="2"/>
  <c r="D75" i="2"/>
  <c r="G75" i="2" s="1"/>
  <c r="K75" i="2" s="1"/>
  <c r="D74" i="2"/>
  <c r="D73" i="2"/>
  <c r="G73" i="2" s="1"/>
  <c r="K73" i="2" s="1"/>
  <c r="D72" i="2"/>
  <c r="G72" i="2" s="1"/>
  <c r="K72" i="2" s="1"/>
  <c r="D71" i="2"/>
  <c r="D70" i="2"/>
  <c r="G70" i="2" s="1"/>
  <c r="K70" i="2" s="1"/>
  <c r="D69" i="2"/>
  <c r="D68" i="2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G69" i="2"/>
  <c r="K69" i="2" s="1"/>
  <c r="G71" i="2"/>
  <c r="K71" i="2" s="1"/>
  <c r="G74" i="2"/>
  <c r="K74" i="2"/>
  <c r="G76" i="2"/>
  <c r="K76" i="2" s="1"/>
  <c r="G78" i="2"/>
  <c r="K78" i="2"/>
  <c r="G79" i="2"/>
  <c r="K79" i="2" s="1"/>
  <c r="G80" i="2"/>
  <c r="K80" i="2" s="1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I110" i="2"/>
  <c r="J110" i="2"/>
  <c r="AI165" i="2" l="1"/>
  <c r="AE165" i="2"/>
  <c r="AE68" i="2"/>
  <c r="AI68" i="2" s="1"/>
  <c r="AI67" i="2"/>
  <c r="W77" i="2"/>
  <c r="W67" i="2"/>
  <c r="S110" i="2"/>
  <c r="P110" i="2"/>
  <c r="G110" i="2"/>
  <c r="D110" i="2"/>
  <c r="K67" i="2"/>
  <c r="K110" i="2" s="1"/>
  <c r="AB18" i="2"/>
  <c r="AB17" i="2"/>
  <c r="AB16" i="2"/>
  <c r="AB15" i="2"/>
  <c r="AB14" i="2"/>
  <c r="AB13" i="2"/>
  <c r="AC13" i="2"/>
  <c r="AB12" i="2"/>
  <c r="AG12" i="2"/>
  <c r="P19" i="2"/>
  <c r="P18" i="2"/>
  <c r="P16" i="2"/>
  <c r="P15" i="2"/>
  <c r="P14" i="2"/>
  <c r="V13" i="2"/>
  <c r="Q13" i="2"/>
  <c r="P13" i="2"/>
  <c r="P12" i="2"/>
  <c r="E23" i="2"/>
  <c r="D23" i="2"/>
  <c r="E22" i="2"/>
  <c r="D22" i="2"/>
  <c r="D21" i="2"/>
  <c r="D20" i="2"/>
  <c r="D19" i="2"/>
  <c r="D18" i="2"/>
  <c r="D17" i="2"/>
  <c r="D16" i="2"/>
  <c r="D15" i="2"/>
  <c r="D14" i="2"/>
  <c r="D13" i="2"/>
  <c r="D12" i="2"/>
  <c r="AI110" i="2" l="1"/>
  <c r="AE110" i="2"/>
  <c r="W110" i="2"/>
  <c r="A38" i="1"/>
  <c r="A39" i="1"/>
  <c r="A40" i="1"/>
  <c r="AA13" i="2" l="1"/>
  <c r="J34" i="1" l="1"/>
  <c r="D34" i="1" s="1"/>
  <c r="J35" i="1"/>
  <c r="D35" i="1" s="1"/>
  <c r="J36" i="1"/>
  <c r="J37" i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J23" i="1"/>
  <c r="D36" i="1"/>
  <c r="J13" i="1"/>
  <c r="D13" i="1" s="1"/>
  <c r="J14" i="1"/>
  <c r="C14" i="2" l="1"/>
  <c r="C15" i="2" s="1"/>
  <c r="C16" i="2" s="1"/>
  <c r="C17" i="2" s="1"/>
  <c r="C18" i="2" s="1"/>
  <c r="C19" i="2" s="1"/>
  <c r="C20" i="2" s="1"/>
  <c r="C21" i="2" s="1"/>
  <c r="C22" i="2" s="1"/>
  <c r="C23" i="2" s="1"/>
  <c r="J39" i="1" l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9" i="1"/>
  <c r="D40" i="1" l="1"/>
  <c r="O13" i="2"/>
  <c r="O14" i="2" s="1"/>
  <c r="O15" i="2" s="1"/>
  <c r="O16" i="2" s="1"/>
  <c r="O17" i="2" s="1"/>
  <c r="O18" i="2" s="1"/>
  <c r="O19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4" authorId="0" shapeId="0" xr:uid="{C63AD5AA-1A0E-4693-B01A-77E3EB64D0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5" authorId="0" shapeId="0" xr:uid="{2FB8B2F3-839F-411B-B5C4-E84F94751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15" authorId="0" shapeId="0" xr:uid="{CEE0C8EB-8902-4C79-8ED7-D8B30EAE04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2" authorId="0" shapeId="0" xr:uid="{40CF5728-2C11-428E-8364-80D157B2B4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G22" authorId="0" shapeId="0" xr:uid="{B40871B8-547C-4E9C-8C32-62E1D5A68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H22" authorId="0" shapeId="0" xr:uid="{4148E182-A3D3-4366-B37C-50485BEE40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  <comment ref="F25" authorId="0" shapeId="0" xr:uid="{C04F0441-E3A0-401F-9F94-115C654B73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</t>
        </r>
      </text>
    </comment>
    <comment ref="H25" authorId="0" shapeId="0" xr:uid="{6C7EF103-70A1-4C35-BAC1-5F6B457EFD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
RONNEL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B366DF47-71C5-436A-981D-C1EFB7216C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 MARGIE
DISUD, SINDANGAN</t>
        </r>
      </text>
    </comment>
    <comment ref="O12" authorId="0" shapeId="0" xr:uid="{9BA64CF4-BF8A-4FB5-AB86-79EDC9F6A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 STORE
MARAS, SINDANGAN</t>
        </r>
      </text>
    </comment>
    <comment ref="AA12" authorId="0" shapeId="0" xr:uid="{76DC9140-38B5-49B2-A9C0-D374BDC46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147CDA6A-ACFB-4DFB-BC42-DE191B72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13" authorId="0" shapeId="0" xr:uid="{51B9CAFB-0186-4E70-936B-34EA56640E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3" authorId="0" shapeId="0" xr:uid="{AEBDABDD-F7F6-4602-BA30-D7F7A4B0FD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9C7A028F-B135-4B6A-BC0A-87BA2B5A6A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14" authorId="0" shapeId="0" xr:uid="{D3BCB7EE-13FE-43E0-B655-619B31A5AD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4" authorId="0" shapeId="0" xr:uid="{7AD69A07-478D-4120-84CA-B66953ABE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CARMONA STORE
POB EAST, SALUG</t>
        </r>
      </text>
    </comment>
    <comment ref="C15" authorId="0" shapeId="0" xr:uid="{563A731B-678C-4452-B59A-67E484157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15" authorId="0" shapeId="0" xr:uid="{B4B472DB-C3DB-4562-A11D-1D85C8C7D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5" authorId="0" shapeId="0" xr:uid="{91E8C2A1-D685-427B-A91A-EE2CD41A7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 EAST, SALUG</t>
        </r>
      </text>
    </comment>
    <comment ref="C16" authorId="0" shapeId="0" xr:uid="{769A8C03-1482-4B74-AD0C-56669D5B0C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 DIONISIO
DISUD, SINDANGAN</t>
        </r>
      </text>
    </comment>
    <comment ref="O16" authorId="0" shapeId="0" xr:uid="{1C06D972-44F2-432C-A732-0F736B6B7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6" authorId="0" shapeId="0" xr:uid="{378EAF27-678A-44A5-A25A-35CEB2C54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C17" authorId="0" shapeId="0" xr:uid="{0F45B4DC-755A-4134-8731-E80A71C9E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/ CROWN HOTEL
RM, SINDANGAN</t>
        </r>
      </text>
    </comment>
    <comment ref="O17" authorId="0" shapeId="0" xr:uid="{A98F5D17-44F1-4C2E-89EF-38C2272009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
GOLEO, SINDANGAN</t>
        </r>
      </text>
    </comment>
    <comment ref="AA17" authorId="0" shapeId="0" xr:uid="{DE537ABB-B0FF-45F1-BB56-DEA8FF88B9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18" authorId="0" shapeId="0" xr:uid="{B592A283-3B58-43BF-85CA-672389439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18" authorId="0" shapeId="0" xr:uid="{85DCCE40-148A-49A7-8F90-FD52B91EE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" authorId="0" shapeId="0" xr:uid="{0237CA40-74BC-41AC-B3BB-E30DC9FE83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9" authorId="0" shapeId="0" xr:uid="{EFBFED6B-F48E-49B9-9692-CD5760DC6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SOPHIAYEN AVILA
DAPAON, SINDANGAN</t>
        </r>
      </text>
    </comment>
    <comment ref="O19" authorId="0" shapeId="0" xr:uid="{2F7C081A-24D0-4588-AB29-1AD78D642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ANADIO
POB, BACUNGAN</t>
        </r>
      </text>
    </comment>
    <comment ref="C20" authorId="0" shapeId="0" xr:uid="{27DE70A0-BDDD-45FA-97E9-9E8F45B6E6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SUMALINOG CONCHITA
DAPAON, SINDANGAN</t>
        </r>
      </text>
    </comment>
    <comment ref="C21" authorId="0" shapeId="0" xr:uid="{78F8736B-1997-4561-B373-7DC1E83A33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CROWN HOTEL
RM, SINDANGAN</t>
        </r>
      </text>
    </comment>
    <comment ref="C22" authorId="0" shapeId="0" xr:uid="{DF4ED30E-4D24-48D7-ABAD-42D450417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23" authorId="0" shapeId="0" xr:uid="{2D03443F-5390-4303-BCE9-74B07B67A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67" authorId="0" shapeId="0" xr:uid="{77AC0C61-D2E1-408E-897A-3EB9A847B2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
POB, GODOD</t>
        </r>
      </text>
    </comment>
    <comment ref="O67" authorId="0" shapeId="0" xr:uid="{A2558ABF-0DCB-4F06-B7E3-DBC3A5991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67" authorId="0" shapeId="0" xr:uid="{C6712635-2B84-4671-8ADB-597FE3098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68" authorId="0" shapeId="0" xr:uid="{DA1DE4EE-42D5-4782-9AA6-F865BED21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68" authorId="0" shapeId="0" xr:uid="{34C0FC0E-CC88-41E1-B4C9-4F5E3F701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8" authorId="0" shapeId="0" xr:uid="{A2FE8BF2-068C-4E8A-80B0-6CF00C795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9" authorId="0" shapeId="0" xr:uid="{A14DCE3A-D146-42CC-9347-D21FD5A76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GUINDAL
BALOK, SINDANGAN</t>
        </r>
      </text>
    </comment>
    <comment ref="O69" authorId="0" shapeId="0" xr:uid="{171AE713-1A9A-4338-8631-032418382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INUMAN, SINDANGAN</t>
        </r>
      </text>
    </comment>
    <comment ref="AA69" authorId="0" shapeId="0" xr:uid="{C05D6D25-2087-44BC-A620-21AE8C8610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987DE57D-8148-47E2-8171-3DEC8B96F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0" authorId="0" shapeId="0" xr:uid="{EAB530E9-9213-4DAA-8844-CACC0E44B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AA70" authorId="0" shapeId="0" xr:uid="{9E8AA4BE-320B-472B-8ADD-9704A8019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1" authorId="0" shapeId="0" xr:uid="{280FB151-98D3-441C-82E3-48B91608D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1" authorId="0" shapeId="0" xr:uid="{5FE3EEFD-FDDA-400F-B85E-29BF0E074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71" authorId="0" shapeId="0" xr:uid="{002541A6-EA4F-4271-A12B-93AB360980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72" authorId="0" shapeId="0" xr:uid="{B022A180-7AFC-4018-B3B5-923CC88F7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72" authorId="0" shapeId="0" xr:uid="{095A44F5-6CD6-420B-9A83-9F3F76DF2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MALINAW
POB, BACUNGAN</t>
        </r>
      </text>
    </comment>
    <comment ref="AA72" authorId="0" shapeId="0" xr:uid="{38EF8C30-D699-4B68-B4FF-8C43ED248B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HARLAN STORE
BAYBAY, LILOY</t>
        </r>
      </text>
    </comment>
    <comment ref="C73" authorId="0" shapeId="0" xr:uid="{01FEC7EC-E263-47C2-B850-4C8800EB0E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73" authorId="0" shapeId="0" xr:uid="{1A72FBD7-1601-4E80-A236-0CB66D1065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C74" authorId="0" shapeId="0" xr:uid="{63437AA4-3DB5-447C-B09F-43FCCA4A8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TERESITA SAGAYSAY
DICOYONG, SINDANGAN</t>
        </r>
      </text>
    </comment>
    <comment ref="O74" authorId="0" shapeId="0" xr:uid="{46EE75D0-5EFA-4339-8F08-5A9B49812D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JUN-ATS BEACH RESORT
TALINGA, BACUNGAN</t>
        </r>
      </text>
    </comment>
    <comment ref="C75" authorId="0" shapeId="0" xr:uid="{AAD45424-06DA-4B7F-83BD-597822EB1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SUMINGGIT
DICOYONG, SINDANGAN</t>
        </r>
      </text>
    </comment>
    <comment ref="O75" authorId="0" shapeId="0" xr:uid="{7D131EF8-72B8-437B-B4FA-5C08906379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6" authorId="0" shapeId="0" xr:uid="{2BC550D0-8487-4DA0-BE3C-1E2DD344CF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GAÑOLON
DICOYONG, SINDANGAN</t>
        </r>
      </text>
    </comment>
    <comment ref="O76" authorId="0" shapeId="0" xr:uid="{6153569C-168E-44A5-B565-3128E60C81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C77" authorId="0" shapeId="0" xr:uid="{FE46C4AC-E25A-448F-9E61-AA98C476E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ALONZO MINIMART
GOLEO, SINDANGAN</t>
        </r>
      </text>
    </comment>
    <comment ref="O77" authorId="0" shapeId="0" xr:uid="{605A5EB7-88DD-4D7A-BDC0-E4DF7D4A36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O78" authorId="0" shapeId="0" xr:uid="{C89F7592-453E-491E-9483-4ED6E5E2EB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79" authorId="0" shapeId="0" xr:uid="{914D931F-7979-4FFF-8C18-D47168F2CB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O80" authorId="0" shapeId="0" xr:uid="{6A0A8FCE-DFF9-4F9F-BAD3-F2B8B4D09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ALEH STORE
TINAPLAN, SINDANGAN</t>
        </r>
      </text>
    </comment>
    <comment ref="O81" authorId="0" shapeId="0" xr:uid="{C61FA303-0499-4743-85AE-7D3FB72BD1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82" authorId="0" shapeId="0" xr:uid="{91618302-84BC-4C28-B853-23B1940AB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AJ DONTAR
GOLEO, SINDANGAN</t>
        </r>
      </text>
    </comment>
    <comment ref="O83" authorId="0" shapeId="0" xr:uid="{8F451678-DE1F-401A-9749-7101B5A40E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D122" authorId="0" shapeId="0" xr:uid="{372879B2-31AE-4A45-929A-0EB1A3579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2" authorId="0" shapeId="0" xr:uid="{612FACA8-9E44-45AF-AAD2-576C8342E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AA122" authorId="0" shapeId="0" xr:uid="{5EBD1986-514B-4324-9F48-43028753E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D123" authorId="0" shapeId="0" xr:uid="{2C8FF8FD-D3BF-489F-8D51-5711D51739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KRYTAL DAWN CATAYAS
POB, SINDANGAN</t>
        </r>
      </text>
    </comment>
    <comment ref="O123" authorId="0" shapeId="0" xr:uid="{F0FA9D93-B63E-4E38-AD2E-B61F2C7A23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3" authorId="0" shapeId="0" xr:uid="{43C3DB6D-CB7C-4799-8345-467C30B59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D124" authorId="0" shapeId="0" xr:uid="{5582FA3A-ECB1-4522-8ADB-5E93F757C9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124" authorId="0" shapeId="0" xr:uid="{DB4911A0-877E-4792-A606-313487C36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 EAST, SALUG</t>
        </r>
      </text>
    </comment>
    <comment ref="AA125" authorId="0" shapeId="0" xr:uid="{419D1723-E2AC-441F-AA98-8FF4D2693B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 EAST, SALUG</t>
        </r>
      </text>
    </comment>
    <comment ref="AA126" authorId="0" shapeId="0" xr:uid="{42EC4FC8-E578-401A-B833-6FED9DACEA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SGE PHARMACY
POB EAST, SALUG</t>
        </r>
      </text>
    </comment>
    <comment ref="AA127" authorId="0" shapeId="0" xr:uid="{2E6B0FDC-EF9B-4D0F-906E-1865908449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128" authorId="0" shapeId="0" xr:uid="{BC7E1075-971E-456A-8DE8-AF39907E5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77" authorId="0" shapeId="0" xr:uid="{DF90D825-78F7-42E9-B669-D7D4D3600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7" authorId="0" shapeId="0" xr:uid="{72C284CF-5DD0-488C-9BFF-CCB586D9C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C178" authorId="0" shapeId="0" xr:uid="{4EB8D9AF-54BF-41A7-A681-5D6C8CB623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WENDY
LABAKID, SINDANGAN</t>
        </r>
      </text>
    </comment>
    <comment ref="O178" authorId="0" shapeId="0" xr:uid="{EB4F5CCA-08E6-4C3A-88CC-A2AE4C7B0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79" authorId="0" shapeId="0" xr:uid="{6135F180-4BD0-4EE7-AF36-E8DE0A5F03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
LABAKID, SINDANGAN</t>
        </r>
      </text>
    </comment>
    <comment ref="O179" authorId="0" shapeId="0" xr:uid="{8A78E488-74D3-4B7E-8D16-F1401A42F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80" authorId="0" shapeId="0" xr:uid="{633C933D-BE44-436F-BC28-B67D24502D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OMOS
LABAKIS, SINDANGAN</t>
        </r>
      </text>
    </comment>
    <comment ref="O180" authorId="0" shapeId="0" xr:uid="{8BE920B9-3556-406F-9270-996E0F0F60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O181" authorId="0" shapeId="0" xr:uid="{849A7363-060F-4FC5-9089-A5CB508DFB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2" authorId="0" shapeId="0" xr:uid="{B0192CA2-8E59-4F82-8D8F-F489A501A6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183" authorId="0" shapeId="0" xr:uid="{E95A799A-BF0E-45FD-B986-2F0426732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GOLEO, SINDANGAN</t>
        </r>
      </text>
    </comment>
    <comment ref="AA232" authorId="0" shapeId="0" xr:uid="{CB4F0BC9-8847-4B80-9EE3-10D6BA666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 MARCO
GOLEO, SINDANGAN</t>
        </r>
      </text>
    </comment>
    <comment ref="AA233" authorId="0" shapeId="0" xr:uid="{BE27FA96-8E7E-4AD1-873F-3590F31158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234" authorId="0" shapeId="0" xr:uid="{2BE3AACE-7206-4905-A4FD-01F3F73DF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LOUIE
BACONG, SALUG</t>
        </r>
      </text>
    </comment>
    <comment ref="AA235" authorId="0" shapeId="0" xr:uid="{1C2BC539-2836-441C-867C-45AA54629C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236" authorId="0" shapeId="0" xr:uid="{D9B3A877-E5E5-4404-A9E0-EA25033881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37" authorId="0" shapeId="0" xr:uid="{3F759137-3636-4E03-B4AD-26B6FCC09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C287" authorId="0" shapeId="0" xr:uid="{B49A20C9-9BD4-4CB2-81AB-A5807D413F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87" authorId="0" shapeId="0" xr:uid="{A429B2E5-A2A5-4158-BF15-871CD5F3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87" authorId="0" shapeId="0" xr:uid="{35BC91C0-18EE-4CE0-838D-40BA1DBAC8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
BAYBAY, LILOY</t>
        </r>
      </text>
    </comment>
    <comment ref="C288" authorId="0" shapeId="0" xr:uid="{E4F50B57-C5AD-4915-9CDE-11E6259E43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POB, SIAYAN</t>
        </r>
      </text>
    </comment>
    <comment ref="O288" authorId="0" shapeId="0" xr:uid="{44A08B02-C307-41DA-940F-548DBEFF37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288" authorId="0" shapeId="0" xr:uid="{0344E73F-5AC1-4B93-AEC0-4921C8871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
BAYBAY, LILOY</t>
        </r>
      </text>
    </comment>
    <comment ref="C289" authorId="0" shapeId="0" xr:uid="{7769A459-BFFC-4AA7-9B46-89C1F9BE4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289" authorId="0" shapeId="0" xr:uid="{A2E3CBA7-50A5-4625-A12F-8F32BFAC73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289" authorId="0" shapeId="0" xr:uid="{2136EB17-CEEB-409B-9AE9-AB78E5302C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0" authorId="0" shapeId="0" xr:uid="{1DF31A93-246C-4415-859F-3FFFD4F3C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ASUSENA
DAGAO, SIAYAN</t>
        </r>
      </text>
    </comment>
    <comment ref="O290" authorId="0" shapeId="0" xr:uid="{5C822EF8-4D74-49AE-98A2-8B46D87CF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290" authorId="0" shapeId="0" xr:uid="{D383F88C-7BDE-4950-BB10-64E59296A3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91" authorId="0" shapeId="0" xr:uid="{3ED4146D-7C20-4573-B8F1-55143702C1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ALICMAN, RAMEL
POB, SIAYAN</t>
        </r>
      </text>
    </comment>
    <comment ref="O291" authorId="0" shapeId="0" xr:uid="{A41F595B-76B1-47C1-B394-CB0D0AC74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UPPPER INUMAN, SINDANGAN</t>
        </r>
      </text>
    </comment>
    <comment ref="AA291" authorId="0" shapeId="0" xr:uid="{42C02557-630B-49C5-9DA2-87D77CFA9C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2" authorId="0" shapeId="0" xr:uid="{7870D867-89B6-499C-A433-704185332E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292" authorId="0" shapeId="0" xr:uid="{23E49385-A272-4A80-B8B1-42BB019AF0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2" authorId="0" shapeId="0" xr:uid="{2A0BC0D4-9C5C-484E-9C0C-6BAAE0ECEA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AA293" authorId="0" shapeId="0" xr:uid="{BD6EB3BF-02FD-4C86-ADF7-91F5B43813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94" authorId="0" shapeId="0" xr:uid="{A11AC542-0542-4324-969A-DC9672E62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2" authorId="0" shapeId="0" xr:uid="{E4EB0E24-9B68-47D0-B1E2-7D554C58DB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342" authorId="0" shapeId="0" xr:uid="{E0C04A5D-490A-42E0-83BF-1053BD916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2" authorId="0" shapeId="0" xr:uid="{B47A96AC-1470-47A1-86D3-333281FE08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3" authorId="0" shapeId="0" xr:uid="{689656AC-D261-410B-A924-3D3AA5CDD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343" authorId="0" shapeId="0" xr:uid="{19415238-D70C-4ECA-B8F0-0EE56BDF4C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343" authorId="0" shapeId="0" xr:uid="{9BA82701-DBDA-420F-BDAD-CA1CDFB478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44" authorId="0" shapeId="0" xr:uid="{CEEBB0BF-1589-41E2-AF39-B5DF83AC6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344" authorId="0" shapeId="0" xr:uid="{AF56A97C-DB55-43E7-B861-B1C8D8115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344" authorId="0" shapeId="0" xr:uid="{67B264CC-93C2-4C61-9681-0FFAA9A0F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345" authorId="0" shapeId="0" xr:uid="{7602E9F0-0025-45BB-A4B6-82B7D5CA65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5" authorId="0" shapeId="0" xr:uid="{84A1D0A2-482C-4496-91ED-CF14FC33CF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45" authorId="0" shapeId="0" xr:uid="{2F2AB035-EB82-425A-A160-993580581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346" authorId="0" shapeId="0" xr:uid="{63D4E294-6D6E-4A56-A4DF-753D7F97B3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6" authorId="0" shapeId="0" xr:uid="{BE3179EA-D480-43C1-8612-C1A8D8A75D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346" authorId="0" shapeId="0" xr:uid="{A190F996-E6CA-4F07-9B9E-3B1977C433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347" authorId="0" shapeId="0" xr:uid="{DCEF73B7-3636-4F3C-B968-7840994ABA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LINDO JOSEFINA
DISUD, SINDANGAN</t>
        </r>
      </text>
    </comment>
    <comment ref="O347" authorId="0" shapeId="0" xr:uid="{727679A1-AD98-43E7-AD14-F3CE240F4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7" authorId="0" shapeId="0" xr:uid="{A7CF34C7-32B9-4ECD-927C-07AB13D832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ANN LIPAYO
CANAWAN, SALUG</t>
        </r>
      </text>
    </comment>
    <comment ref="AA348" authorId="0" shapeId="0" xr:uid="{A206CF5F-B87F-4E77-9BE9-DDC07A1F9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349" authorId="0" shapeId="0" xr:uid="{92DA8E7F-24D2-459F-833E-3EDE7F8205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AA350" authorId="0" shapeId="0" xr:uid="{05D194F0-405E-4AD1-B225-8E6F64B2D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C397" authorId="0" shapeId="0" xr:uid="{541CA5A7-8E4A-4A75-909D-B68AF61C17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VINA, MEJORADA
PIAO, SINDANGAN</t>
        </r>
      </text>
    </comment>
    <comment ref="O397" authorId="0" shapeId="0" xr:uid="{52DA144F-8D8D-4A7C-987F-5354CBB33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97" authorId="0" shapeId="0" xr:uid="{C2659B42-D3CC-412C-BFF7-6FDCE67BF8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398" authorId="0" shapeId="0" xr:uid="{530EB1B7-62BA-4ECE-9F88-0DA5F8A83D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SHIRLY ESTOSATA
PIAO, SINDANGAN</t>
        </r>
      </text>
    </comment>
    <comment ref="O398" authorId="0" shapeId="0" xr:uid="{B4543B74-FDEC-4B36-9031-5490B6D18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98" authorId="0" shapeId="0" xr:uid="{008DD6EA-AC66-4905-920A-E5975F808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399" authorId="0" shapeId="0" xr:uid="{A9D1EE19-CD66-4ACF-8885-ED4B7182E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99" authorId="0" shapeId="0" xr:uid="{F5D4CAC5-8023-4CD9-B90C-725A178A3D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 LUCENA
UPPER INUMAN, SINDANGAN</t>
        </r>
      </text>
    </comment>
    <comment ref="AA399" authorId="0" shapeId="0" xr:uid="{ABE73331-6A38-4AEC-AA11-85F4C6A032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00" authorId="0" shapeId="0" xr:uid="{EC899378-6198-459B-BB72-4EC6E47BCC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400" authorId="0" shapeId="0" xr:uid="{F786138D-D89C-4AFE-A7F0-1F73B02CEF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400" authorId="0" shapeId="0" xr:uid="{3FBF6A15-9BC4-4375-9AEF-426DD5A6ED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ALCAZAR STORE
VILLA SUICIDAL, LILOY</t>
        </r>
      </text>
    </comment>
    <comment ref="C401" authorId="0" shapeId="0" xr:uid="{A28D2E47-7E14-499C-88BE-6AA1CDA804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MAGWATE
LAGAG, SINDANGAN</t>
        </r>
      </text>
    </comment>
    <comment ref="O401" authorId="0" shapeId="0" xr:uid="{7369065A-69FC-4657-A862-0958BE142B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 VARIETY STORE
UPPER INUMAN, SINDANGAN</t>
        </r>
      </text>
    </comment>
    <comment ref="AA401" authorId="0" shapeId="0" xr:uid="{2F460666-94AB-43B2-8150-029FF1595A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C402" authorId="0" shapeId="0" xr:uid="{D7154A49-7FDB-41D4-8F4C-B0E9C7A89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402" authorId="0" shapeId="0" xr:uid="{378CF274-ACE8-46BB-B6D6-DC96AB5084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LOLITA SILVANO
UPPER INUMAN, SINDANGAN</t>
        </r>
      </text>
    </comment>
    <comment ref="AA402" authorId="0" shapeId="0" xr:uid="{096BAAAD-0401-485E-9741-379F0C887C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ESTALAO STORE
VILLA SUICIDAL, LILOY</t>
        </r>
      </text>
    </comment>
    <comment ref="C403" authorId="0" shapeId="0" xr:uid="{27DBEF9F-AEDC-4948-8FEB-40816AC13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403" authorId="0" shapeId="0" xr:uid="{085EFC32-1661-492C-AFEC-FBE05D5A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403" authorId="0" shapeId="0" xr:uid="{E3FFE205-9B2F-47B6-B4D3-6781E74B04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FRITZIE ANN PACARO
LAMAO, LILOY</t>
        </r>
      </text>
    </comment>
    <comment ref="C404" authorId="0" shapeId="0" xr:uid="{A67EB62D-0A91-4AE7-8F6A-C46966A8E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SIAYAN</t>
        </r>
      </text>
    </comment>
    <comment ref="O404" authorId="0" shapeId="0" xr:uid="{B0653C97-E422-454F-8965-50FA512A43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BATION
MARAS, SINDANGAN</t>
        </r>
      </text>
    </comment>
    <comment ref="AA404" authorId="0" shapeId="0" xr:uid="{507BFF0D-C469-459B-B463-8D5D82AEB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C405" authorId="0" shapeId="0" xr:uid="{261DDE7E-C417-4B35-95EF-92E18ADED5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SINDANGAN</t>
        </r>
      </text>
    </comment>
    <comment ref="O405" authorId="0" shapeId="0" xr:uid="{41748478-7053-4C77-ABD1-4D6AD00513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A405" authorId="0" shapeId="0" xr:uid="{FD845712-4CAA-4312-9A17-E6D60FCC7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LAMAO, LILOY</t>
        </r>
      </text>
    </comment>
    <comment ref="C406" authorId="0" shapeId="0" xr:uid="{A234DE2A-08E8-4DE3-B0B2-3A89CE321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OMAO
RIVERSIDE SIAYAN</t>
        </r>
      </text>
    </comment>
    <comment ref="O406" authorId="0" shapeId="0" xr:uid="{A50D14D9-A220-451A-86E8-67B28F67A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AA406" authorId="0" shapeId="0" xr:uid="{4979B1B0-016B-42E8-90F1-904A353F23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407" authorId="0" shapeId="0" xr:uid="{5F479657-E3E2-491E-899B-5829DE96B4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O407" authorId="0" shapeId="0" xr:uid="{CE0B0711-71C3-49E4-A83C-823CD4AFF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407" authorId="0" shapeId="0" xr:uid="{EFF3D5CB-604A-4E6C-82EB-B7B91C530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08" authorId="0" shapeId="0" xr:uid="{B2CDB8FD-F3D1-4B86-A53B-E0E93F6092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408" authorId="0" shapeId="0" xr:uid="{DF610491-3740-4221-8926-6A95DCDE73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408" authorId="0" shapeId="0" xr:uid="{2266B5EA-07D7-4347-8D22-AA9235D73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09" authorId="0" shapeId="0" xr:uid="{AB0C0BCF-C866-410B-9D7B-51448174B7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JEZELLE
POB, SIAYAN</t>
        </r>
      </text>
    </comment>
    <comment ref="O409" authorId="0" shapeId="0" xr:uid="{713B38E3-A533-470F-AD96-044BCDF6D2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BEATRIZ SAMONTE
MARAS, SINDANGAN</t>
        </r>
      </text>
    </comment>
    <comment ref="AA409" authorId="0" shapeId="0" xr:uid="{4C5E9EFA-52D6-4699-8326-77B7A9AD97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O410" authorId="0" shapeId="0" xr:uid="{06669E13-EDA8-4037-84BF-65A8DA649E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GERMATA STORE
MARAS, SINDANGAN</t>
        </r>
      </text>
    </comment>
    <comment ref="AA410" authorId="0" shapeId="0" xr:uid="{22392886-00E8-4BA1-9BF6-A53ACC612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ELENA GANTALAO
KAYOK, LILOY</t>
        </r>
      </text>
    </comment>
    <comment ref="O411" authorId="0" shapeId="0" xr:uid="{8E55DD22-9076-4AB1-9E48-7EE5D7E809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REYNALDO EBALLES
MARAS, SINDANGAN</t>
        </r>
      </text>
    </comment>
    <comment ref="AA411" authorId="0" shapeId="0" xr:uid="{E47AE2F2-3ED8-4217-9C47-3F0F81DD5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O412" authorId="0" shapeId="0" xr:uid="{F40A0C62-F893-4CB6-9428-F1EAB92696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BACUNGAN</t>
        </r>
      </text>
    </comment>
    <comment ref="O413" authorId="0" shapeId="0" xr:uid="{A6A2D823-EE80-443D-9CF2-69930CD061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O414" authorId="0" shapeId="0" xr:uid="{7429C9C9-1DB6-40B1-B7BF-12E0DF5C38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O415" authorId="0" shapeId="0" xr:uid="{33281D0A-4F27-4519-872C-73C1EF9427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
TALINGA, SINDANGAN</t>
        </r>
      </text>
    </comment>
    <comment ref="O416" authorId="0" shapeId="0" xr:uid="{F0137BB8-8162-47A5-AEBF-39F9C93594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417" authorId="0" shapeId="0" xr:uid="{966D0DB6-743B-4B7B-A398-62D46A97B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BACUNGAN</t>
        </r>
      </text>
    </comment>
    <comment ref="O418" authorId="0" shapeId="0" xr:uid="{678CB0FF-5E5F-4472-ABD3-7C29DC245D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O419" authorId="0" shapeId="0" xr:uid="{F4E34677-6C9D-41E5-BE90-CD9A59638B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EATERY
PAGLINAWAN</t>
        </r>
      </text>
    </comment>
    <comment ref="O420" authorId="0" shapeId="0" xr:uid="{07B3B0FA-CFFE-4219-84B2-22A3429B9B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O421" authorId="0" shapeId="0" xr:uid="{9D56F683-0EB1-4065-9D91-4749C14D38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MARIFE BILLIONES
UPPER INUMAN, SINDANGAN</t>
        </r>
      </text>
    </comment>
    <comment ref="O422" authorId="0" shapeId="0" xr:uid="{9009418A-9C6A-4F41-AE74-E803908882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</t>
        </r>
      </text>
    </comment>
    <comment ref="O423" authorId="0" shapeId="0" xr:uid="{F491AAAF-DD42-4990-8CC7-0D16BF441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RIOLA STORE
ILAYA INUMAN, SINDANGAN</t>
        </r>
      </text>
    </comment>
    <comment ref="O424" authorId="0" shapeId="0" xr:uid="{87768EFE-00B0-4DF5-8FCC-64D76F32C0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MERLYN
LOWER INUMAN, SINDANGAN</t>
        </r>
      </text>
    </comment>
    <comment ref="O425" authorId="0" shapeId="0" xr:uid="{F9387C36-B92E-4FA0-A009-3EB822F916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426" authorId="0" shapeId="0" xr:uid="{11D0745B-3961-44A9-9F23-567DA00C2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427" authorId="0" shapeId="0" xr:uid="{01DC4F81-5943-48B4-A786-5C2B16AD78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O428" authorId="0" shapeId="0" xr:uid="{CF424D1A-0486-48DD-AFBE-83C3E0D61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CRISTINE YANO'S
GOLEO, SINDANGAN</t>
        </r>
      </text>
    </comment>
    <comment ref="O429" authorId="0" shapeId="0" xr:uid="{C91EE618-B7D0-4D13-A70D-A541585E2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430" authorId="0" shapeId="0" xr:uid="{0A30AB88-5C85-43AB-92B0-7DE73BF839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C452" authorId="0" shapeId="0" xr:uid="{739B41EF-A2D6-4472-A330-E5EAF479A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O452" authorId="0" shapeId="0" xr:uid="{18DA8B83-1882-4D0A-89E5-EEBB251C66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BACUNGAN, SINDANGAN</t>
        </r>
      </text>
    </comment>
    <comment ref="AA452" authorId="0" shapeId="0" xr:uid="{2C7573A8-47BB-49E1-9461-078D60C6A6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</t>
        </r>
      </text>
    </comment>
    <comment ref="C453" authorId="0" shapeId="0" xr:uid="{4FDAA053-1ABD-4126-98BD-CE02F681F3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CHARLE'S ELMEDORIAL
POB, SINDANGAN</t>
        </r>
      </text>
    </comment>
    <comment ref="O453" authorId="0" shapeId="0" xr:uid="{8013E524-1AF1-4252-84E4-8B18F07803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33609376-F47B-468C-825E-16B2BE583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54" authorId="0" shapeId="0" xr:uid="{ABC656F8-1C35-42D7-BA13-D684935118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CRYSTAL DAWN CATAYAS
POB, SINDANGAN</t>
        </r>
      </text>
    </comment>
    <comment ref="O454" authorId="0" shapeId="0" xr:uid="{668384C0-6856-41F8-A3DE-10D2DEFE07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BACUNGAN, SINDANGAN</t>
        </r>
      </text>
    </comment>
    <comment ref="AA454" authorId="0" shapeId="0" xr:uid="{2CDCD7E8-0887-4AE8-A0CA-BA55CB71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455" authorId="0" shapeId="0" xr:uid="{E7BCB45D-EA52-4950-8C56-A92BB9E556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455" authorId="0" shapeId="0" xr:uid="{3045DF10-15C0-4209-AFBA-18C255591F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5" authorId="0" shapeId="0" xr:uid="{B221CB19-33E1-47BC-84A4-338A66ED77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VANGIE PABUAYA
POB EAST, SALUG</t>
        </r>
      </text>
    </comment>
    <comment ref="AA456" authorId="0" shapeId="0" xr:uid="{7E46FA37-541D-47A8-BE98-783D09DFE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507" authorId="0" shapeId="0" xr:uid="{A48A3AE1-722B-49CE-8E75-43A992B2ED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O507" authorId="0" shapeId="0" xr:uid="{A1B7FB54-FCBF-4A91-94B9-452366B34D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507" authorId="0" shapeId="0" xr:uid="{5CCD48A4-C650-4CE0-9D69-32A3942740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508" authorId="0" shapeId="0" xr:uid="{5F91A8E5-DEC0-4DB1-A447-5E0197385E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508" authorId="0" shapeId="0" xr:uid="{EB43951B-1331-42AE-8631-FE46B39B06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LUMINGIN STORE
TINAPLAN, SINDANGAN</t>
        </r>
      </text>
    </comment>
    <comment ref="AA508" authorId="0" shapeId="0" xr:uid="{AE5C2E40-4CA8-47D3-8439-F56FEF72E1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509" authorId="0" shapeId="0" xr:uid="{810BA9D4-FF45-42A0-BD38-EF79924EF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09" authorId="0" shapeId="0" xr:uid="{C9C1FA23-4B42-4883-B681-181399091B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BERNIE CONDES
TINAPLAN, SINDANGAN</t>
        </r>
      </text>
    </comment>
    <comment ref="AA509" authorId="0" shapeId="0" xr:uid="{CCE19C40-AF73-487C-BC86-4925A51192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510" authorId="0" shapeId="0" xr:uid="{15E61BA5-C654-4CEE-B133-35871FD841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O510" authorId="0" shapeId="0" xr:uid="{C0F879B9-AD48-4507-AE1F-2DC6331ED6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TAMAC
TINAPLAN, SINDANGAN</t>
        </r>
      </text>
    </comment>
    <comment ref="AA510" authorId="0" shapeId="0" xr:uid="{01BBFAC4-4491-4777-822A-68DD59D2F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C511" authorId="0" shapeId="0" xr:uid="{10A66592-F18E-4DAD-9FA8-642F183A1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PANDIC STORE
MUÑOZ, SIAYAN</t>
        </r>
      </text>
    </comment>
    <comment ref="O511" authorId="0" shapeId="0" xr:uid="{91F191E2-34E2-46C1-9DF3-1AA92055B7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MARILYN DADAN
TINAPLAN, SINDANGAN</t>
        </r>
      </text>
    </comment>
    <comment ref="AA511" authorId="0" shapeId="0" xr:uid="{AD390563-7BD7-480C-9165-CEACA6DA10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12" authorId="0" shapeId="0" xr:uid="{CA7C894C-8B09-4A17-9C63-97B817118C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RICKY GRAPA
MUÑOZ, SIAYAN</t>
        </r>
      </text>
    </comment>
    <comment ref="O512" authorId="0" shapeId="0" xr:uid="{78D45509-4E10-4A03-9028-012A5693B8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AA512" authorId="0" shapeId="0" xr:uid="{A6335006-DF4E-46C7-9ED6-BB95A3F1D3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GENITA'S SARI-SARI STORE
BAYBAY, LILOY</t>
        </r>
      </text>
    </comment>
    <comment ref="C513" authorId="0" shapeId="0" xr:uid="{F6592073-AF3C-41FE-8200-193C00CF1F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ESTRELLA STORE
MUÑOZ, SIAYAN</t>
        </r>
      </text>
    </comment>
    <comment ref="O513" authorId="0" shapeId="0" xr:uid="{2AF5E739-A232-4C84-8ADB-B6AF4D6C7B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MARIALYN
TINAPLAN, SINDANGAN</t>
        </r>
      </text>
    </comment>
    <comment ref="AA513" authorId="0" shapeId="0" xr:uid="{F8DC3E6E-D1E9-47F3-ADAB-A545011648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514" authorId="0" shapeId="0" xr:uid="{F341865E-3CDA-4B12-B09D-9D0858AF4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ADAZA
POB, SIAYAN</t>
        </r>
      </text>
    </comment>
    <comment ref="O514" authorId="0" shapeId="0" xr:uid="{F1276EA1-CD1A-499D-86A8-BEB8F15215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JERRY
TINAPLAN, SINDANGAN</t>
        </r>
      </text>
    </comment>
    <comment ref="C515" authorId="0" shapeId="0" xr:uid="{59676563-6469-4E7E-A488-BE11FA2087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515" authorId="0" shapeId="0" xr:uid="{442CE163-B5C5-45B6-8614-3BE53F4087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DALMAN STORE
DAGUHOY, SINDANGAN</t>
        </r>
      </text>
    </comment>
    <comment ref="O516" authorId="0" shapeId="0" xr:uid="{27E50BB5-BAC8-4B47-BA53-5C9683A43F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ASENTESTA STORE
DAGUHOY, SINDANGAN</t>
        </r>
      </text>
    </comment>
    <comment ref="O517" authorId="0" shapeId="0" xr:uid="{A5F20022-A697-449C-96AB-09009FB1C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O518" authorId="0" shapeId="0" xr:uid="{857521F8-309C-4CF1-BAD9-9B892CB0E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C562" authorId="0" shapeId="0" xr:uid="{F7382BC4-1BF3-4CAD-901C-BCE8FF4B1B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562" authorId="0" shapeId="0" xr:uid="{C28F826B-0165-4F49-842E-7E46655F2F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562" authorId="0" shapeId="0" xr:uid="{8574BF25-3565-476C-AA4C-DD3BCD53FF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563" authorId="0" shapeId="0" xr:uid="{6BF6BFED-1AC2-4126-B68B-64B608FD86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63" authorId="0" shapeId="0" xr:uid="{4AAC3F11-ACED-44E4-805A-54AFFF4FE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563" authorId="0" shapeId="0" xr:uid="{2EA641FA-47F4-433A-9939-975CF55496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564" authorId="0" shapeId="0" xr:uid="{595CDB86-CDDC-4547-8227-85DFD60E7C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
POB, SIAYAN</t>
        </r>
      </text>
    </comment>
    <comment ref="O564" authorId="0" shapeId="0" xr:uid="{0A27555B-0C3A-4D73-BEDD-8FA3DA7444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564" authorId="0" shapeId="0" xr:uid="{B1382911-15E1-4829-B865-067999816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65" authorId="0" shapeId="0" xr:uid="{8ACD6686-7909-448B-92D0-D59E95B921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565" authorId="0" shapeId="0" xr:uid="{58164F9C-6FDA-4DE6-B7DD-B46398AA1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MANDIH, SINDANGAN</t>
        </r>
      </text>
    </comment>
    <comment ref="AA565" authorId="0" shapeId="0" xr:uid="{65D77A1A-8B1C-407A-BD02-32B1719387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66" authorId="0" shapeId="0" xr:uid="{4923A96E-B52B-41E6-A2E0-CDF61FB5A4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66" authorId="0" shapeId="0" xr:uid="{62AF50F4-DFC4-4989-9DF9-9C13F9816F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566" authorId="0" shapeId="0" xr:uid="{5B966BD4-D52B-4C6E-8C4E-B25C14C6F0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SOLEN STORE
BAYBAY, LILOY</t>
        </r>
      </text>
    </comment>
    <comment ref="C567" authorId="0" shapeId="0" xr:uid="{55F099B0-1D2A-4355-A9BF-0DF57200F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CONVENIENCE
RM, SALUG</t>
        </r>
      </text>
    </comment>
    <comment ref="O567" authorId="0" shapeId="0" xr:uid="{DE7CCA16-8925-47AC-99E9-5CBF639473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567" authorId="0" shapeId="0" xr:uid="{658A7E2E-0E29-4048-8420-C92EFCAC8A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568" authorId="0" shapeId="0" xr:uid="{16316F23-D352-41E5-B29B-BE75339F57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</t>
        </r>
      </text>
    </comment>
    <comment ref="O568" authorId="0" shapeId="0" xr:uid="{36CAC869-C9D3-41DA-99F1-2843D323D9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568" authorId="0" shapeId="0" xr:uid="{64983275-836D-44B6-9B4C-5642E5FF3B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569" authorId="0" shapeId="0" xr:uid="{262B9CD5-89A2-4551-8D4B-8242F80B21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569" authorId="0" shapeId="0" xr:uid="{631F9071-CFAA-4EAB-ACE3-84D9438741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O570" authorId="0" shapeId="0" xr:uid="{24F568FD-94C9-4B0F-A99F-C9CF5B8B75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N STORE
TALINGA, BACUNGAN</t>
        </r>
      </text>
    </comment>
    <comment ref="AA570" authorId="0" shapeId="0" xr:uid="{71C8B474-16D0-41B4-A9EE-80193FA86E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PABUAYA
POB EAST, SALUG</t>
        </r>
      </text>
    </comment>
    <comment ref="O571" authorId="0" shapeId="0" xr:uid="{43EDC16D-8AAE-43F1-A682-BE859C331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 SALOMIA
TALINGA, BACUNGAN</t>
        </r>
      </text>
    </comment>
    <comment ref="AA571" authorId="0" shapeId="0" xr:uid="{4B95974E-AB8A-47ED-A48A-6DFEEFA5EE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572" authorId="0" shapeId="0" xr:uid="{5C60CBC2-3F9B-4038-AA94-41D39B3D0B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NYAH STORE
TALINGA, BACUNGAN</t>
        </r>
      </text>
    </comment>
    <comment ref="AA572" authorId="0" shapeId="0" xr:uid="{554CCCEE-68C1-4D5C-9E6C-1FDDA0C5EA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O573" authorId="0" shapeId="0" xr:uid="{CB9B1197-34B3-4054-8571-04BD9C8E6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
TALINGA, BACUNGAN</t>
        </r>
      </text>
    </comment>
    <comment ref="O574" authorId="0" shapeId="0" xr:uid="{C0EBADC0-0293-4A37-A7CA-BBB3DE8DB2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575" authorId="0" shapeId="0" xr:uid="{F9397E54-74CE-43E7-ADFB-EC84E7D800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RESONABLE STORE
MARAS, SINDANGAN</t>
        </r>
      </text>
    </comment>
    <comment ref="O576" authorId="0" shapeId="0" xr:uid="{0844DDAC-0D33-417A-A300-CEFDB2206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577" authorId="0" shapeId="0" xr:uid="{C6CCBAF5-65ED-43EA-889E-91FC5082B6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578" authorId="0" shapeId="0" xr:uid="{E0FB175E-AAAE-4492-936E-1FC52CD388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O617" authorId="0" shapeId="0" xr:uid="{E94A8693-09EF-4639-8F3F-73F13CF75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617" authorId="0" shapeId="0" xr:uid="{2DD4C5C0-A215-4C13-BD11-C8E2066B4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O618" authorId="0" shapeId="0" xr:uid="{F1B930BA-8693-496F-841D-BC49C7B2B9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MALINAW
POB, BACUNGAN</t>
        </r>
      </text>
    </comment>
    <comment ref="AA618" authorId="0" shapeId="0" xr:uid="{EEFB7A5D-4A3C-4227-B0F0-7E1BFA341F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O619" authorId="0" shapeId="0" xr:uid="{DB34504E-D83A-45E0-8EB0-25939B42FA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 STORE
POB, BACUNGAN</t>
        </r>
      </text>
    </comment>
    <comment ref="AA619" authorId="0" shapeId="0" xr:uid="{9F2CA444-4999-45DD-8011-E73DC185DC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O620" authorId="0" shapeId="0" xr:uid="{6E40C513-20E8-4D24-A03E-CD472519E1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620" authorId="0" shapeId="0" xr:uid="{CE194C3F-8DA2-4DE3-AB90-2983E9897D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621" authorId="0" shapeId="0" xr:uid="{D3F09678-AB36-4E51-B994-5D8368E45B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21" authorId="0" shapeId="0" xr:uid="{C48E95C3-3393-4294-8D57-A0DD1FC166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622" authorId="0" shapeId="0" xr:uid="{1E812BCF-D20F-44BB-A4E8-8296B4949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623" authorId="0" shapeId="0" xr:uid="{E0729EBB-5DD6-4C18-9000-FF6A512A14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C672" authorId="0" shapeId="0" xr:uid="{EADB99D9-4392-48F6-AF54-97D628E66B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72" authorId="0" shapeId="0" xr:uid="{47E81E94-5D5C-4855-ABE7-F99BB055F4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672" authorId="0" shapeId="0" xr:uid="{FB6BE35A-4A30-4D3D-A0B1-CC2DC1A2F0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3" authorId="0" shapeId="0" xr:uid="{ECACD153-583B-4232-A253-D32080827E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LIZIEL BAYAWA
BALOK, SINDANGAN</t>
        </r>
      </text>
    </comment>
    <comment ref="O673" authorId="0" shapeId="0" xr:uid="{CA98534D-36BB-41AE-B451-32AA4CA86E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673" authorId="0" shapeId="0" xr:uid="{C9262E6D-6D82-4D1D-A24C-46EEF84C5E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4" authorId="0" shapeId="0" xr:uid="{A647D89B-234C-4D93-920C-19D1AB7B46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4" authorId="0" shapeId="0" xr:uid="{CB1A9E62-199A-47F4-BAFC-6F6C0402F8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674" authorId="0" shapeId="0" xr:uid="{24EB302C-72F7-4826-AF62-6FBCADC373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75" authorId="0" shapeId="0" xr:uid="{33463648-BE50-4A0C-A7E5-E2DACA9EDD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675" authorId="0" shapeId="0" xr:uid="{E7CAA7DA-4968-4766-8FC7-688C05EE3F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</commentList>
</comments>
</file>

<file path=xl/sharedStrings.xml><?xml version="1.0" encoding="utf-8"?>
<sst xmlns="http://schemas.openxmlformats.org/spreadsheetml/2006/main" count="826" uniqueCount="74">
  <si>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</si>
  <si>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</si>
  <si>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</si>
  <si>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</si>
  <si>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</si>
  <si>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</si>
  <si>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</si>
  <si>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</si>
  <si>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</si>
  <si>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</si>
  <si>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</si>
  <si>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</si>
  <si>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</si>
  <si>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</si>
  <si>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</si>
  <si>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</si>
  <si>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</si>
  <si>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</si>
  <si>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</si>
  <si>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</si>
  <si>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</si>
  <si>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</si>
  <si>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</si>
  <si>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</si>
  <si>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</si>
  <si>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</si>
  <si>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</si>
  <si>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</si>
  <si>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</si>
  <si>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</si>
  <si>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</si>
  <si>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</si>
  <si>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</si>
  <si>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</si>
  <si>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</si>
  <si>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</si>
  <si>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R3</t>
  </si>
  <si>
    <t>R4</t>
  </si>
  <si>
    <t>MARCH 2026</t>
  </si>
  <si>
    <t>MARCH 02, 2026</t>
  </si>
  <si>
    <t>9150,9401-9411/9340-9347/9377-9383</t>
  </si>
  <si>
    <t>MARCH 03, 2026</t>
  </si>
  <si>
    <t>TUESDAY</t>
  </si>
  <si>
    <t>9412-9422/9348-9350,9451-9463/9384-9389</t>
  </si>
  <si>
    <t>WEDNESDAY</t>
  </si>
  <si>
    <t>MARCH 04, 2026</t>
  </si>
  <si>
    <t>9423-9425/9464-9465/9390-9396</t>
  </si>
  <si>
    <t>THURSDAY</t>
  </si>
  <si>
    <t>MARCH 05, 2026</t>
  </si>
  <si>
    <t>9426-9429/9467-9473</t>
  </si>
  <si>
    <t>FRIDAY</t>
  </si>
  <si>
    <t>MARCH 06, 2026</t>
  </si>
  <si>
    <t>//9397-9400,9501-9502</t>
  </si>
  <si>
    <t>SATURDAY</t>
  </si>
  <si>
    <t>MARCH 07, 2026</t>
  </si>
  <si>
    <t>9430-9435/9474-9479/9503-9510</t>
  </si>
  <si>
    <t>MARCH 09, 2026</t>
  </si>
  <si>
    <t>9436-9441/9480-9485/9511-9517,9651-9652</t>
  </si>
  <si>
    <t>MARCH 10, 2026</t>
  </si>
  <si>
    <t>9442-9450,9551-9554/9486-9500,9601-9619/9518-9532</t>
  </si>
  <si>
    <t>MARCH 11, 2026</t>
  </si>
  <si>
    <t>9555-9558/9620-9623/9533-9537</t>
  </si>
  <si>
    <t>MARCH 12, 2026</t>
  </si>
  <si>
    <t>9559-9567/9624-9635/9538-9544</t>
  </si>
  <si>
    <t>NO TRIP</t>
  </si>
  <si>
    <t>MARCH 14, 2026</t>
  </si>
  <si>
    <t>03/14/2026</t>
  </si>
  <si>
    <t>MARCH 16, 2026</t>
  </si>
  <si>
    <t>03/16/2026</t>
  </si>
  <si>
    <t>/9701-9708/9576-9580</t>
  </si>
  <si>
    <t>9568-9574/9636-9650,9575,9708/9545-9550,9653-9657</t>
  </si>
  <si>
    <t>MARCH 17, 2026</t>
  </si>
  <si>
    <t>03/17/2026</t>
  </si>
  <si>
    <t>9581-9584/9709-9712/9659-9661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</si>
</sst>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7" zoomScaleNormal="100" workbookViewId="0">
      <selection activeCell="F27" sqref="F27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5" t="s">
        <v>38</v>
      </c>
      <c r="B6" s="105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36</v>
      </c>
      <c r="I8" s="52" t="s">
        <v>37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40</v>
      </c>
      <c r="D11" s="16">
        <f t="shared" ref="D11:D25" si="0">J11</f>
        <v>713188.5</v>
      </c>
      <c r="F11" s="14">
        <v>225644</v>
      </c>
      <c r="G11" s="14">
        <v>266864.5</v>
      </c>
      <c r="H11" s="14">
        <v>220680</v>
      </c>
      <c r="I11" s="14"/>
      <c r="J11" s="17">
        <f t="shared" ref="J11:J40" si="1">F11+G11+H11</f>
        <v>713188.5</v>
      </c>
    </row>
    <row r="12" spans="1:10" x14ac:dyDescent="0.25">
      <c r="A12" s="10">
        <f t="shared" ref="A12:A40" si="2">A11+1</f>
        <v>3</v>
      </c>
      <c r="B12" s="43" t="s">
        <v>8</v>
      </c>
      <c r="C12" s="12" t="s">
        <v>43</v>
      </c>
      <c r="D12" s="16">
        <f t="shared" si="0"/>
        <v>700012.5</v>
      </c>
      <c r="F12" s="14">
        <v>275938</v>
      </c>
      <c r="G12" s="14">
        <v>191876.5</v>
      </c>
      <c r="H12" s="14">
        <v>232198</v>
      </c>
      <c r="I12" s="14"/>
      <c r="J12" s="17">
        <f t="shared" si="1"/>
        <v>700012.5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744049</v>
      </c>
      <c r="F13" s="14">
        <v>328350</v>
      </c>
      <c r="G13" s="14">
        <v>214462</v>
      </c>
      <c r="H13" s="14">
        <v>201237</v>
      </c>
      <c r="I13" s="14"/>
      <c r="J13" s="17">
        <f t="shared" si="1"/>
        <v>744049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485815</v>
      </c>
      <c r="F14" s="14">
        <v>255824</v>
      </c>
      <c r="G14" s="14">
        <v>229991</v>
      </c>
      <c r="H14" s="14"/>
      <c r="I14" s="14"/>
      <c r="J14" s="17">
        <f t="shared" si="1"/>
        <v>485815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306997</v>
      </c>
      <c r="F15" s="14"/>
      <c r="G15" s="14"/>
      <c r="H15" s="14">
        <v>306997</v>
      </c>
      <c r="I15" s="14"/>
      <c r="J15" s="17">
        <f t="shared" si="1"/>
        <v>306997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926482</v>
      </c>
      <c r="F16" s="14">
        <v>275589</v>
      </c>
      <c r="G16" s="14">
        <v>298710</v>
      </c>
      <c r="H16" s="14">
        <v>352183</v>
      </c>
      <c r="I16" s="14"/>
      <c r="J16" s="17">
        <f t="shared" si="1"/>
        <v>926482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1174563.45</v>
      </c>
      <c r="F18" s="14">
        <v>447814</v>
      </c>
      <c r="G18" s="14">
        <v>424974</v>
      </c>
      <c r="H18" s="14">
        <v>301775.44999999995</v>
      </c>
      <c r="I18" s="14"/>
      <c r="J18" s="17">
        <f t="shared" si="1"/>
        <v>1174563.45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693547.1</v>
      </c>
      <c r="F19" s="14">
        <v>228575</v>
      </c>
      <c r="G19" s="14">
        <v>226490.6</v>
      </c>
      <c r="H19" s="14">
        <v>238481.5</v>
      </c>
      <c r="I19" s="14"/>
      <c r="J19" s="17">
        <f t="shared" si="1"/>
        <v>693547.1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794286</v>
      </c>
      <c r="F20" s="14">
        <v>271327</v>
      </c>
      <c r="G20" s="14">
        <v>226714</v>
      </c>
      <c r="H20" s="14">
        <v>296245</v>
      </c>
      <c r="I20" s="14"/>
      <c r="J20" s="17">
        <f t="shared" si="1"/>
        <v>794286</v>
      </c>
    </row>
    <row r="21" spans="1:10" x14ac:dyDescent="0.25">
      <c r="A21" s="10">
        <f t="shared" si="2"/>
        <v>12</v>
      </c>
      <c r="B21" s="11" t="s">
        <v>30</v>
      </c>
      <c r="C21" s="12" t="s">
        <v>63</v>
      </c>
      <c r="D21" s="16">
        <f t="shared" si="0"/>
        <v>880238</v>
      </c>
      <c r="F21" s="14">
        <v>283805</v>
      </c>
      <c r="G21" s="14">
        <v>325291</v>
      </c>
      <c r="H21" s="14">
        <v>271142</v>
      </c>
      <c r="I21" s="14"/>
      <c r="J21" s="17">
        <f t="shared" si="1"/>
        <v>880238</v>
      </c>
    </row>
    <row r="22" spans="1:10" x14ac:dyDescent="0.25">
      <c r="A22" s="10">
        <f t="shared" si="2"/>
        <v>13</v>
      </c>
      <c r="B22" s="43" t="s">
        <v>4</v>
      </c>
      <c r="C22" s="44" t="s">
        <v>64</v>
      </c>
      <c r="D22" s="55" t="s">
        <v>64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 t="s">
        <v>70</v>
      </c>
      <c r="D23" s="16">
        <f t="shared" si="0"/>
        <v>942834.5</v>
      </c>
      <c r="F23" s="14">
        <v>477012</v>
      </c>
      <c r="G23" s="14">
        <v>238612.5</v>
      </c>
      <c r="H23" s="14">
        <v>227210</v>
      </c>
      <c r="I23" s="14"/>
      <c r="J23" s="17">
        <f t="shared" si="1"/>
        <v>942834.5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 t="s">
        <v>69</v>
      </c>
      <c r="D25" s="16">
        <f t="shared" si="0"/>
        <v>735472</v>
      </c>
      <c r="F25" s="14"/>
      <c r="G25" s="14">
        <v>382343</v>
      </c>
      <c r="H25" s="14">
        <v>353129</v>
      </c>
      <c r="I25" s="14"/>
      <c r="J25" s="17">
        <f t="shared" si="1"/>
        <v>735472</v>
      </c>
    </row>
    <row r="26" spans="1:10" x14ac:dyDescent="0.25">
      <c r="A26" s="10">
        <f t="shared" si="2"/>
        <v>17</v>
      </c>
      <c r="B26" s="43" t="s">
        <v>8</v>
      </c>
      <c r="C26" s="12" t="s">
        <v>73</v>
      </c>
      <c r="D26" s="16">
        <f t="shared" ref="D26:D30" si="3">J26</f>
        <v>1400157</v>
      </c>
      <c r="F26" s="14">
        <v>672621</v>
      </c>
      <c r="G26" s="14">
        <v>275739</v>
      </c>
      <c r="H26" s="14">
        <v>451797</v>
      </c>
      <c r="I26" s="14"/>
      <c r="J26" s="17">
        <f t="shared" si="1"/>
        <v>1400157</v>
      </c>
    </row>
    <row r="27" spans="1:10" x14ac:dyDescent="0.25">
      <c r="A27" s="10">
        <f t="shared" si="2"/>
        <v>18</v>
      </c>
      <c r="B27" s="56" t="s">
        <v>9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3" t="s">
        <v>6</v>
      </c>
      <c r="C38" s="44" t="s">
        <v>29</v>
      </c>
      <c r="D38" s="55" t="s">
        <v>29</v>
      </c>
      <c r="E38" s="14"/>
      <c r="F38" s="14"/>
      <c r="G38" s="14"/>
      <c r="H38" s="14"/>
      <c r="I38" s="14"/>
      <c r="J38" s="59"/>
    </row>
    <row r="39" spans="1:10" x14ac:dyDescent="0.25">
      <c r="A39" s="10">
        <f t="shared" si="2"/>
        <v>30</v>
      </c>
      <c r="B39" s="56" t="s">
        <v>7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8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6" t="s">
        <v>10</v>
      </c>
      <c r="B42" s="107"/>
      <c r="C42" s="108"/>
      <c r="D42" s="48">
        <f>SUM(D2:D41)</f>
        <v>10497642.050000001</v>
      </c>
      <c r="J42" s="49">
        <f>SUM(J10:J41)</f>
        <v>10497642.050000001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A663" zoomScaleNormal="100" workbookViewId="0">
      <selection activeCell="AE715" sqref="AE71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3" t="s">
        <v>17</v>
      </c>
      <c r="E10" s="113"/>
      <c r="F10" s="75"/>
      <c r="G10" s="27"/>
      <c r="I10" s="111" t="s">
        <v>18</v>
      </c>
      <c r="J10" s="112"/>
      <c r="K10" s="109" t="s">
        <v>19</v>
      </c>
      <c r="N10" s="25"/>
      <c r="O10" s="26"/>
      <c r="P10" s="113" t="s">
        <v>17</v>
      </c>
      <c r="Q10" s="113"/>
      <c r="R10" s="75"/>
      <c r="S10" s="27"/>
      <c r="U10" s="111" t="s">
        <v>18</v>
      </c>
      <c r="V10" s="112"/>
      <c r="W10" s="109" t="s">
        <v>19</v>
      </c>
      <c r="Z10" s="25"/>
      <c r="AA10" s="26"/>
      <c r="AB10" s="113" t="s">
        <v>17</v>
      </c>
      <c r="AC10" s="113"/>
      <c r="AD10" s="75"/>
      <c r="AE10" s="27"/>
      <c r="AG10" s="111" t="s">
        <v>18</v>
      </c>
      <c r="AH10" s="112"/>
      <c r="AI10" s="109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0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0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0"/>
    </row>
    <row r="12" spans="1:35" x14ac:dyDescent="0.25">
      <c r="A12" s="10">
        <v>1</v>
      </c>
      <c r="B12" s="30">
        <v>46056</v>
      </c>
      <c r="C12" s="83">
        <v>9150</v>
      </c>
      <c r="D12" s="32">
        <f>650*10+670*2+650</f>
        <v>8490</v>
      </c>
      <c r="E12" s="32"/>
      <c r="F12" s="32"/>
      <c r="G12" s="32">
        <f t="shared" ref="G12:G45" si="0">SUM(D12:E12)</f>
        <v>8490</v>
      </c>
      <c r="H12" s="12"/>
      <c r="I12" s="12">
        <v>27</v>
      </c>
      <c r="J12" s="12"/>
      <c r="K12" s="12">
        <f t="shared" ref="K12:K45" si="1">SUM(G12:J12)</f>
        <v>8517</v>
      </c>
      <c r="M12" s="10">
        <v>1</v>
      </c>
      <c r="N12" s="30">
        <v>46056</v>
      </c>
      <c r="O12" s="31">
        <v>9340</v>
      </c>
      <c r="P12" s="32">
        <f>650*2+9.5*2</f>
        <v>1319</v>
      </c>
      <c r="Q12" s="32"/>
      <c r="R12" s="32"/>
      <c r="S12" s="32">
        <f>SUM(P12:Q12)</f>
        <v>1319</v>
      </c>
      <c r="T12" s="12"/>
      <c r="U12" s="12"/>
      <c r="V12" s="12">
        <v>-333</v>
      </c>
      <c r="W12" s="12">
        <f>SUM(S12:V12)</f>
        <v>986</v>
      </c>
      <c r="Y12" s="10">
        <v>1</v>
      </c>
      <c r="Z12" s="30">
        <v>46056</v>
      </c>
      <c r="AA12" s="31">
        <v>9377</v>
      </c>
      <c r="AB12" s="32">
        <f>650*110+622*40+872+229*6</f>
        <v>98626</v>
      </c>
      <c r="AC12" s="32"/>
      <c r="AD12" s="32"/>
      <c r="AE12" s="32">
        <f>SUM(AB12:AC12)</f>
        <v>98626</v>
      </c>
      <c r="AF12" s="12"/>
      <c r="AG12" s="12">
        <f>2109+459</f>
        <v>2568</v>
      </c>
      <c r="AH12" s="12"/>
      <c r="AI12" s="12">
        <f>SUM(AE12:AH12)</f>
        <v>101194</v>
      </c>
    </row>
    <row r="13" spans="1:35" x14ac:dyDescent="0.25">
      <c r="A13" s="10">
        <v>2</v>
      </c>
      <c r="B13" s="30">
        <v>46056</v>
      </c>
      <c r="C13" s="83">
        <v>9401</v>
      </c>
      <c r="D13" s="32">
        <f>650*5+670*2+973+622*5+912+872+9.5*10+500</f>
        <v>11052</v>
      </c>
      <c r="E13" s="32"/>
      <c r="F13" s="32"/>
      <c r="G13" s="32">
        <f t="shared" si="0"/>
        <v>11052</v>
      </c>
      <c r="H13" s="12"/>
      <c r="I13" s="12"/>
      <c r="J13" s="12"/>
      <c r="K13" s="12">
        <f t="shared" si="1"/>
        <v>11052</v>
      </c>
      <c r="M13" s="10">
        <v>2</v>
      </c>
      <c r="N13" s="30">
        <v>46056</v>
      </c>
      <c r="O13" s="31">
        <f>O12+1</f>
        <v>9341</v>
      </c>
      <c r="P13" s="32">
        <f>650*200+622*20+912*10+229*9+650*2</f>
        <v>154921</v>
      </c>
      <c r="Q13" s="32">
        <f>-230*6</f>
        <v>-1380</v>
      </c>
      <c r="R13" s="32"/>
      <c r="S13" s="32">
        <f t="shared" ref="S13:S44" si="2">SUM(P13:Q13)</f>
        <v>153541</v>
      </c>
      <c r="T13" s="12"/>
      <c r="U13" s="12">
        <v>234</v>
      </c>
      <c r="V13" s="12">
        <f>-8658+-924</f>
        <v>-9582</v>
      </c>
      <c r="W13" s="12">
        <f t="shared" ref="W13:W44" si="3">SUM(S13:V13)</f>
        <v>144193</v>
      </c>
      <c r="Y13" s="10">
        <v>2</v>
      </c>
      <c r="Z13" s="30">
        <v>46056</v>
      </c>
      <c r="AA13" s="31">
        <f>AA12+1</f>
        <v>9378</v>
      </c>
      <c r="AB13" s="32">
        <f>650*98+670*5+622*10+912+872+229*4</f>
        <v>75970</v>
      </c>
      <c r="AC13" s="32">
        <f>-115*6</f>
        <v>-690</v>
      </c>
      <c r="AD13" s="32"/>
      <c r="AE13" s="32">
        <f t="shared" ref="AE13:AE44" si="4">SUM(AB13:AC13)</f>
        <v>75280</v>
      </c>
      <c r="AF13" s="12"/>
      <c r="AG13" s="12"/>
      <c r="AH13" s="12"/>
      <c r="AI13" s="12">
        <f t="shared" ref="AI13:AI44" si="5">SUM(AE13:AH13)</f>
        <v>75280</v>
      </c>
    </row>
    <row r="14" spans="1:35" x14ac:dyDescent="0.25">
      <c r="A14" s="10">
        <v>3</v>
      </c>
      <c r="B14" s="30">
        <v>46056</v>
      </c>
      <c r="C14" s="83">
        <f t="shared" ref="C14:C23" si="6">C13+1</f>
        <v>9402</v>
      </c>
      <c r="D14" s="33">
        <f>650*4+9.5*4</f>
        <v>2638</v>
      </c>
      <c r="E14" s="33"/>
      <c r="F14" s="33"/>
      <c r="G14" s="33">
        <f t="shared" si="0"/>
        <v>2638</v>
      </c>
      <c r="H14" s="34"/>
      <c r="I14" s="34"/>
      <c r="J14" s="34"/>
      <c r="K14" s="34">
        <f t="shared" si="1"/>
        <v>2638</v>
      </c>
      <c r="M14" s="10">
        <v>3</v>
      </c>
      <c r="N14" s="30">
        <v>46056</v>
      </c>
      <c r="O14" s="31">
        <f t="shared" ref="O14:O19" si="7">O13+1</f>
        <v>9342</v>
      </c>
      <c r="P14" s="32">
        <f>650*26</f>
        <v>16900</v>
      </c>
      <c r="Q14" s="32"/>
      <c r="R14" s="32"/>
      <c r="S14" s="32">
        <f t="shared" si="2"/>
        <v>16900</v>
      </c>
      <c r="T14" s="12"/>
      <c r="U14" s="12"/>
      <c r="V14" s="12"/>
      <c r="W14" s="12">
        <f t="shared" si="3"/>
        <v>16900</v>
      </c>
      <c r="Y14" s="10">
        <v>3</v>
      </c>
      <c r="Z14" s="30">
        <v>46056</v>
      </c>
      <c r="AA14" s="31">
        <f t="shared" ref="AA14:AA18" si="8">AA13+1</f>
        <v>9379</v>
      </c>
      <c r="AB14" s="33">
        <f>650*18+622*2+229</f>
        <v>13173</v>
      </c>
      <c r="AC14" s="33"/>
      <c r="AD14" s="32"/>
      <c r="AE14" s="32">
        <f t="shared" si="4"/>
        <v>13173</v>
      </c>
      <c r="AF14" s="12"/>
      <c r="AG14" s="12"/>
      <c r="AH14" s="12"/>
      <c r="AI14" s="12">
        <f t="shared" si="5"/>
        <v>13173</v>
      </c>
    </row>
    <row r="15" spans="1:35" x14ac:dyDescent="0.25">
      <c r="A15" s="10">
        <v>4</v>
      </c>
      <c r="B15" s="30">
        <v>46056</v>
      </c>
      <c r="C15" s="83">
        <f t="shared" si="6"/>
        <v>9403</v>
      </c>
      <c r="D15" s="32">
        <f>650*3+670+622+9.5*4</f>
        <v>3280</v>
      </c>
      <c r="E15" s="32"/>
      <c r="F15" s="32"/>
      <c r="G15" s="32">
        <f t="shared" si="0"/>
        <v>3280</v>
      </c>
      <c r="H15" s="12"/>
      <c r="I15" s="12"/>
      <c r="J15" s="12"/>
      <c r="K15" s="12">
        <f t="shared" si="1"/>
        <v>3280</v>
      </c>
      <c r="M15" s="10">
        <v>4</v>
      </c>
      <c r="N15" s="30">
        <v>46056</v>
      </c>
      <c r="O15" s="31">
        <f t="shared" si="7"/>
        <v>9343</v>
      </c>
      <c r="P15" s="32">
        <f>650*60+486.5+622*10+456</f>
        <v>46162.5</v>
      </c>
      <c r="Q15" s="32"/>
      <c r="R15" s="32"/>
      <c r="S15" s="32">
        <f t="shared" si="2"/>
        <v>46162.5</v>
      </c>
      <c r="T15" s="12"/>
      <c r="U15" s="12"/>
      <c r="V15" s="12">
        <v>-222</v>
      </c>
      <c r="W15" s="12">
        <f t="shared" si="3"/>
        <v>45940.5</v>
      </c>
      <c r="Y15" s="10">
        <v>4</v>
      </c>
      <c r="Z15" s="30">
        <v>46056</v>
      </c>
      <c r="AA15" s="31">
        <f t="shared" si="8"/>
        <v>9380</v>
      </c>
      <c r="AB15" s="32">
        <f>650*15+670*4+622*5+229</f>
        <v>15769</v>
      </c>
      <c r="AC15" s="32"/>
      <c r="AD15" s="32"/>
      <c r="AE15" s="32">
        <f t="shared" si="4"/>
        <v>15769</v>
      </c>
      <c r="AF15" s="12"/>
      <c r="AH15" s="12"/>
      <c r="AI15" s="12">
        <f t="shared" si="5"/>
        <v>15769</v>
      </c>
    </row>
    <row r="16" spans="1:35" x14ac:dyDescent="0.25">
      <c r="A16" s="10">
        <v>5</v>
      </c>
      <c r="B16" s="30">
        <v>46056</v>
      </c>
      <c r="C16" s="83">
        <f t="shared" si="6"/>
        <v>9404</v>
      </c>
      <c r="D16" s="32">
        <f>650*4+622*2+9.5*6</f>
        <v>3901</v>
      </c>
      <c r="E16" s="32"/>
      <c r="F16" s="32"/>
      <c r="G16" s="32">
        <f t="shared" si="0"/>
        <v>3901</v>
      </c>
      <c r="H16" s="12"/>
      <c r="I16" s="12"/>
      <c r="J16" s="12"/>
      <c r="K16" s="12">
        <f t="shared" si="1"/>
        <v>3901</v>
      </c>
      <c r="M16" s="10">
        <v>5</v>
      </c>
      <c r="N16" s="30">
        <v>46056</v>
      </c>
      <c r="O16" s="31">
        <f t="shared" si="7"/>
        <v>9344</v>
      </c>
      <c r="P16" s="32">
        <f>650*20+622*10+1102</f>
        <v>20322</v>
      </c>
      <c r="Q16" s="32"/>
      <c r="R16" s="32"/>
      <c r="S16" s="32">
        <f t="shared" si="2"/>
        <v>20322</v>
      </c>
      <c r="T16" s="12"/>
      <c r="U16" s="12">
        <v>216</v>
      </c>
      <c r="V16" s="12"/>
      <c r="W16" s="12">
        <f t="shared" si="3"/>
        <v>20538</v>
      </c>
      <c r="Y16" s="10">
        <v>5</v>
      </c>
      <c r="Z16" s="30">
        <v>46056</v>
      </c>
      <c r="AA16" s="31">
        <f t="shared" si="8"/>
        <v>9381</v>
      </c>
      <c r="AB16" s="32">
        <f>650*20</f>
        <v>13000</v>
      </c>
      <c r="AC16" s="32"/>
      <c r="AD16" s="32"/>
      <c r="AE16" s="32">
        <f t="shared" ref="AE16:AE21" si="9">SUM(AB16:AC16)</f>
        <v>13000</v>
      </c>
      <c r="AF16" s="12"/>
      <c r="AG16" s="12"/>
      <c r="AH16" s="12">
        <v>-555</v>
      </c>
      <c r="AI16" s="12">
        <f t="shared" si="5"/>
        <v>12445</v>
      </c>
    </row>
    <row r="17" spans="1:35" x14ac:dyDescent="0.25">
      <c r="A17" s="10">
        <v>6</v>
      </c>
      <c r="B17" s="30">
        <v>46056</v>
      </c>
      <c r="C17" s="83">
        <f t="shared" si="6"/>
        <v>9405</v>
      </c>
      <c r="D17" s="32">
        <f>650*4+670*4+872+500</f>
        <v>6652</v>
      </c>
      <c r="E17" s="32"/>
      <c r="F17" s="32"/>
      <c r="G17" s="32">
        <f t="shared" si="0"/>
        <v>6652</v>
      </c>
      <c r="H17" s="12"/>
      <c r="I17" s="12"/>
      <c r="J17" s="12"/>
      <c r="K17" s="12">
        <f t="shared" si="1"/>
        <v>6652</v>
      </c>
      <c r="M17" s="10">
        <v>6</v>
      </c>
      <c r="N17" s="30">
        <v>46056</v>
      </c>
      <c r="O17" s="31">
        <f t="shared" si="7"/>
        <v>9345</v>
      </c>
      <c r="P17" s="32">
        <v>670</v>
      </c>
      <c r="Q17" s="32"/>
      <c r="R17" s="32"/>
      <c r="S17" s="32">
        <f t="shared" si="2"/>
        <v>670</v>
      </c>
      <c r="T17" s="12"/>
      <c r="U17" s="12"/>
      <c r="V17" s="10"/>
      <c r="W17" s="12">
        <f t="shared" si="3"/>
        <v>670</v>
      </c>
      <c r="Y17" s="10">
        <v>6</v>
      </c>
      <c r="Z17" s="30">
        <v>46056</v>
      </c>
      <c r="AA17" s="31">
        <f t="shared" si="8"/>
        <v>9382</v>
      </c>
      <c r="AB17" s="32">
        <f>650*5</f>
        <v>3250</v>
      </c>
      <c r="AC17" s="32"/>
      <c r="AD17" s="32"/>
      <c r="AE17" s="32">
        <f t="shared" si="9"/>
        <v>3250</v>
      </c>
      <c r="AF17" s="12"/>
      <c r="AG17" s="12"/>
      <c r="AH17" s="10"/>
      <c r="AI17" s="12">
        <f t="shared" si="5"/>
        <v>3250</v>
      </c>
    </row>
    <row r="18" spans="1:35" x14ac:dyDescent="0.25">
      <c r="A18" s="10">
        <v>7</v>
      </c>
      <c r="B18" s="30">
        <v>46056</v>
      </c>
      <c r="C18" s="83">
        <f t="shared" si="6"/>
        <v>9406</v>
      </c>
      <c r="D18" s="32">
        <f>22*650</f>
        <v>14300</v>
      </c>
      <c r="E18" s="32"/>
      <c r="F18" s="32"/>
      <c r="G18" s="32">
        <f t="shared" si="0"/>
        <v>14300</v>
      </c>
      <c r="H18" s="12"/>
      <c r="I18" s="12"/>
      <c r="J18" s="12"/>
      <c r="K18" s="12">
        <f t="shared" si="1"/>
        <v>14300</v>
      </c>
      <c r="M18" s="10">
        <v>7</v>
      </c>
      <c r="N18" s="30">
        <v>46056</v>
      </c>
      <c r="O18" s="31">
        <f t="shared" si="7"/>
        <v>9346</v>
      </c>
      <c r="P18" s="32">
        <f>650*11</f>
        <v>7150</v>
      </c>
      <c r="Q18" s="32"/>
      <c r="R18" s="32"/>
      <c r="S18" s="32">
        <f t="shared" si="2"/>
        <v>7150</v>
      </c>
      <c r="T18" s="12"/>
      <c r="U18" s="12">
        <v>27</v>
      </c>
      <c r="V18" s="12"/>
      <c r="W18" s="12">
        <f t="shared" si="3"/>
        <v>7177</v>
      </c>
      <c r="Y18" s="10">
        <v>7</v>
      </c>
      <c r="Z18" s="30">
        <v>46056</v>
      </c>
      <c r="AA18" s="31">
        <f t="shared" si="8"/>
        <v>9383</v>
      </c>
      <c r="AB18" s="32">
        <f>1582</f>
        <v>1582</v>
      </c>
      <c r="AC18" s="32"/>
      <c r="AD18" s="32"/>
      <c r="AE18" s="32">
        <f t="shared" si="9"/>
        <v>1582</v>
      </c>
      <c r="AF18" s="12"/>
      <c r="AG18" s="58"/>
      <c r="AH18" s="12"/>
      <c r="AI18" s="12">
        <f t="shared" si="5"/>
        <v>1582</v>
      </c>
    </row>
    <row r="19" spans="1:35" x14ac:dyDescent="0.25">
      <c r="A19" s="10">
        <v>8</v>
      </c>
      <c r="B19" s="30">
        <v>46056</v>
      </c>
      <c r="C19" s="83">
        <f t="shared" si="6"/>
        <v>9407</v>
      </c>
      <c r="D19" s="32">
        <f>650*15+670*3+622*10</f>
        <v>17980</v>
      </c>
      <c r="E19" s="32"/>
      <c r="F19" s="32"/>
      <c r="G19" s="32">
        <f t="shared" si="0"/>
        <v>17980</v>
      </c>
      <c r="H19" s="12"/>
      <c r="I19" s="12"/>
      <c r="J19" s="12"/>
      <c r="K19" s="12">
        <f t="shared" si="1"/>
        <v>17980</v>
      </c>
      <c r="M19" s="10">
        <v>8</v>
      </c>
      <c r="N19" s="30">
        <v>46056</v>
      </c>
      <c r="O19" s="31">
        <f t="shared" si="7"/>
        <v>9347</v>
      </c>
      <c r="P19" s="32">
        <f>650*32</f>
        <v>20800</v>
      </c>
      <c r="Q19" s="32"/>
      <c r="R19" s="32"/>
      <c r="S19" s="32">
        <f t="shared" si="2"/>
        <v>20800</v>
      </c>
      <c r="T19" s="12"/>
      <c r="U19" s="12"/>
      <c r="V19" s="12">
        <v>-666</v>
      </c>
      <c r="W19" s="12">
        <f t="shared" si="3"/>
        <v>20134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46056</v>
      </c>
      <c r="C20" s="83">
        <f t="shared" si="6"/>
        <v>9408</v>
      </c>
      <c r="D20" s="32">
        <f>650*15</f>
        <v>9750</v>
      </c>
      <c r="E20" s="32"/>
      <c r="F20" s="32"/>
      <c r="G20" s="32">
        <f t="shared" si="0"/>
        <v>9750</v>
      </c>
      <c r="H20" s="12"/>
      <c r="I20" s="12"/>
      <c r="J20" s="12">
        <v>-1554</v>
      </c>
      <c r="K20" s="12">
        <f t="shared" si="1"/>
        <v>8196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46056</v>
      </c>
      <c r="C21" s="83">
        <f t="shared" si="6"/>
        <v>9409</v>
      </c>
      <c r="D21" s="32">
        <f>912</f>
        <v>912</v>
      </c>
      <c r="E21" s="32"/>
      <c r="F21" s="32"/>
      <c r="G21" s="32">
        <f t="shared" si="0"/>
        <v>912</v>
      </c>
      <c r="H21" s="12"/>
      <c r="I21" s="12"/>
      <c r="J21" s="12"/>
      <c r="K21" s="12">
        <f t="shared" si="1"/>
        <v>912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46056</v>
      </c>
      <c r="C22" s="83">
        <f t="shared" si="6"/>
        <v>9410</v>
      </c>
      <c r="D22" s="32">
        <f>650*216+229*5</f>
        <v>141545</v>
      </c>
      <c r="E22" s="32">
        <f>-216*6</f>
        <v>-1296</v>
      </c>
      <c r="F22" s="32"/>
      <c r="G22" s="32">
        <f t="shared" si="0"/>
        <v>140249</v>
      </c>
      <c r="H22" s="12"/>
      <c r="I22" s="12">
        <v>9768</v>
      </c>
      <c r="J22" s="12"/>
      <c r="K22" s="12">
        <f t="shared" si="1"/>
        <v>150017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46056</v>
      </c>
      <c r="C23" s="83">
        <f t="shared" si="6"/>
        <v>9411</v>
      </c>
      <c r="D23" s="32">
        <f>650*10</f>
        <v>6500</v>
      </c>
      <c r="E23" s="32">
        <f>-10*6</f>
        <v>-60</v>
      </c>
      <c r="F23" s="32"/>
      <c r="G23" s="32">
        <f t="shared" si="0"/>
        <v>6440</v>
      </c>
      <c r="H23" s="12"/>
      <c r="I23" s="12"/>
      <c r="J23" s="10"/>
      <c r="K23" s="12">
        <f t="shared" si="1"/>
        <v>6440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 t="s">
        <v>27</v>
      </c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227000</v>
      </c>
      <c r="E55" s="38">
        <f t="shared" ref="E55:F55" si="18">SUM(E12:E52)</f>
        <v>-1356</v>
      </c>
      <c r="F55" s="38">
        <f t="shared" si="18"/>
        <v>0</v>
      </c>
      <c r="G55" s="38">
        <f>SUM(G12:G54)</f>
        <v>225644</v>
      </c>
      <c r="H55" s="4"/>
      <c r="I55" s="39">
        <f>SUM(I12:I54)</f>
        <v>9795</v>
      </c>
      <c r="J55" s="39">
        <f>SUM(J12:J54)</f>
        <v>-1554</v>
      </c>
      <c r="K55" s="40">
        <f>SUM(K12:K54)</f>
        <v>233885</v>
      </c>
      <c r="N55" s="57"/>
      <c r="O55" s="57"/>
      <c r="P55" s="38">
        <f>SUM(P12:P54)</f>
        <v>268244.5</v>
      </c>
      <c r="Q55" s="38">
        <f>SUM(Q12:Q36)</f>
        <v>-1380</v>
      </c>
      <c r="R55" s="38">
        <f>SUM(R12:R36)</f>
        <v>0</v>
      </c>
      <c r="S55" s="38">
        <f>SUM(S12:S54)</f>
        <v>266864.5</v>
      </c>
      <c r="T55" s="4"/>
      <c r="U55" s="41">
        <f>SUM(U12:U54)</f>
        <v>477</v>
      </c>
      <c r="V55" s="41">
        <f>SUM(V12:V36)</f>
        <v>-10803</v>
      </c>
      <c r="W55" s="42">
        <f>SUM(W12:W54)</f>
        <v>256538.5</v>
      </c>
      <c r="Z55" s="57"/>
      <c r="AA55" s="57"/>
      <c r="AB55" s="38">
        <f>SUM(AB12:AB54)</f>
        <v>221370</v>
      </c>
      <c r="AC55" s="38">
        <f>SUM(AC12:AC36)</f>
        <v>-690</v>
      </c>
      <c r="AD55" s="38">
        <f>SUM(AD12:AD36)</f>
        <v>0</v>
      </c>
      <c r="AE55" s="38">
        <f>SUM(AE12:AE54)</f>
        <v>220680</v>
      </c>
      <c r="AF55" s="4"/>
      <c r="AG55" s="41">
        <f>SUM(AG12:AG54)</f>
        <v>2568</v>
      </c>
      <c r="AH55" s="41">
        <f>SUM(AH12:AH36)</f>
        <v>-555</v>
      </c>
      <c r="AI55" s="42">
        <f>SUM(AI12:AI54)</f>
        <v>222693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42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42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3" t="s">
        <v>17</v>
      </c>
      <c r="E65" s="113"/>
      <c r="F65" s="90"/>
      <c r="G65" s="27"/>
      <c r="I65" s="111" t="s">
        <v>18</v>
      </c>
      <c r="J65" s="112"/>
      <c r="K65" s="109" t="s">
        <v>19</v>
      </c>
      <c r="N65" s="25"/>
      <c r="O65" s="26"/>
      <c r="P65" s="113" t="s">
        <v>17</v>
      </c>
      <c r="Q65" s="113"/>
      <c r="R65" s="90"/>
      <c r="S65" s="27"/>
      <c r="U65" s="111" t="s">
        <v>18</v>
      </c>
      <c r="V65" s="112"/>
      <c r="W65" s="109" t="s">
        <v>19</v>
      </c>
      <c r="Z65" s="25"/>
      <c r="AA65" s="26"/>
      <c r="AB65" s="113" t="s">
        <v>17</v>
      </c>
      <c r="AC65" s="113"/>
      <c r="AD65" s="90"/>
      <c r="AE65" s="27"/>
      <c r="AG65" s="111" t="s">
        <v>18</v>
      </c>
      <c r="AH65" s="112"/>
      <c r="AI65" s="109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10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10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0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46084</v>
      </c>
      <c r="C67" s="83">
        <v>9412</v>
      </c>
      <c r="D67" s="32">
        <f>650*78+700*2+15*622</f>
        <v>61430</v>
      </c>
      <c r="E67" s="32"/>
      <c r="F67" s="32"/>
      <c r="G67" s="32">
        <f t="shared" ref="G67:G100" si="19">SUM(D67:E67)</f>
        <v>61430</v>
      </c>
      <c r="H67" s="12"/>
      <c r="I67" s="12"/>
      <c r="J67" s="12"/>
      <c r="K67" s="12">
        <f t="shared" ref="K67:K100" si="20">SUM(G67:J67)</f>
        <v>61430</v>
      </c>
      <c r="M67" s="10">
        <v>1</v>
      </c>
      <c r="N67" s="30">
        <v>46084</v>
      </c>
      <c r="O67" s="31">
        <v>9348</v>
      </c>
      <c r="P67" s="32">
        <f>650*5+622*2</f>
        <v>4494</v>
      </c>
      <c r="Q67" s="32"/>
      <c r="R67" s="32"/>
      <c r="S67" s="32">
        <f>SUM(P67:Q67)</f>
        <v>4494</v>
      </c>
      <c r="T67" s="12"/>
      <c r="U67" s="12"/>
      <c r="V67" s="12"/>
      <c r="W67" s="12">
        <f>SUM(S67:V67)</f>
        <v>4494</v>
      </c>
      <c r="Y67" s="10">
        <v>1</v>
      </c>
      <c r="Z67" s="30">
        <v>46084</v>
      </c>
      <c r="AA67" s="31">
        <v>9384</v>
      </c>
      <c r="AB67" s="32">
        <f>650*50+229*2</f>
        <v>32958</v>
      </c>
      <c r="AC67" s="32"/>
      <c r="AD67" s="32"/>
      <c r="AE67" s="32">
        <f>SUM(AB67:AC67)</f>
        <v>32958</v>
      </c>
      <c r="AF67" s="12"/>
      <c r="AG67" s="12"/>
      <c r="AH67" s="12"/>
      <c r="AI67" s="12">
        <f>SUM(AE67:AH67)</f>
        <v>32958</v>
      </c>
      <c r="AK67" s="62"/>
      <c r="AL67" s="65"/>
      <c r="AM67" s="86"/>
      <c r="AN67" s="115"/>
      <c r="AO67" s="115"/>
      <c r="AP67" s="86"/>
      <c r="AQ67" s="62"/>
      <c r="AR67" s="115"/>
      <c r="AS67" s="115"/>
      <c r="AT67" s="114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46084</v>
      </c>
      <c r="C68" s="83">
        <f>C67+1</f>
        <v>9413</v>
      </c>
      <c r="D68" s="32">
        <f>650*14+670+622</f>
        <v>10392</v>
      </c>
      <c r="E68" s="32"/>
      <c r="F68" s="32"/>
      <c r="G68" s="32">
        <f t="shared" si="19"/>
        <v>10392</v>
      </c>
      <c r="H68" s="12"/>
      <c r="I68" s="12"/>
      <c r="J68" s="12"/>
      <c r="K68" s="12">
        <f t="shared" si="20"/>
        <v>10392</v>
      </c>
      <c r="M68" s="10">
        <v>2</v>
      </c>
      <c r="N68" s="30">
        <v>46084</v>
      </c>
      <c r="O68" s="31">
        <f>O67+1</f>
        <v>9349</v>
      </c>
      <c r="P68" s="32">
        <f>650*20+622*2+9.5*22</f>
        <v>14453</v>
      </c>
      <c r="Q68" s="32"/>
      <c r="R68" s="32"/>
      <c r="S68" s="32">
        <f t="shared" ref="S68:S99" si="21">SUM(P68:Q68)</f>
        <v>14453</v>
      </c>
      <c r="T68" s="12"/>
      <c r="U68" s="12"/>
      <c r="V68" s="12"/>
      <c r="W68" s="12">
        <f t="shared" ref="W68:W99" si="22">SUM(S68:V68)</f>
        <v>14453</v>
      </c>
      <c r="Y68" s="10">
        <v>2</v>
      </c>
      <c r="Z68" s="30">
        <v>46084</v>
      </c>
      <c r="AA68" s="31">
        <f>AA67+1</f>
        <v>9385</v>
      </c>
      <c r="AB68" s="32">
        <f>650*120+670*10+622*20+872*3+229*5+500</f>
        <v>101401</v>
      </c>
      <c r="AC68" s="32">
        <f>-153*6</f>
        <v>-918</v>
      </c>
      <c r="AD68" s="32"/>
      <c r="AE68" s="32">
        <f t="shared" ref="AE68:AE70" si="23">SUM(AB68:AC68)</f>
        <v>100483</v>
      </c>
      <c r="AF68" s="12"/>
      <c r="AG68" s="12"/>
      <c r="AH68" s="12"/>
      <c r="AI68" s="12">
        <f t="shared" ref="AI68:AI108" si="24">SUM(AE68:AH68)</f>
        <v>100483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4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46084</v>
      </c>
      <c r="C69" s="83">
        <f t="shared" ref="C69:C77" si="25">C68+1</f>
        <v>9414</v>
      </c>
      <c r="D69" s="33">
        <f>650*2+9.5*2</f>
        <v>1319</v>
      </c>
      <c r="E69" s="33"/>
      <c r="F69" s="33"/>
      <c r="G69" s="33">
        <f t="shared" si="19"/>
        <v>1319</v>
      </c>
      <c r="H69" s="34"/>
      <c r="I69" s="34"/>
      <c r="J69" s="34"/>
      <c r="K69" s="34">
        <f t="shared" si="20"/>
        <v>1319</v>
      </c>
      <c r="M69" s="10">
        <v>3</v>
      </c>
      <c r="N69" s="30">
        <v>46084</v>
      </c>
      <c r="O69" s="31">
        <f t="shared" ref="O69:O83" si="26">O68+1</f>
        <v>9350</v>
      </c>
      <c r="P69" s="32">
        <f>650*2+9.5*2</f>
        <v>1319</v>
      </c>
      <c r="Q69" s="32"/>
      <c r="R69" s="32"/>
      <c r="S69" s="32">
        <f t="shared" si="21"/>
        <v>1319</v>
      </c>
      <c r="T69" s="12"/>
      <c r="U69" s="12"/>
      <c r="V69" s="12"/>
      <c r="W69" s="12">
        <f t="shared" si="22"/>
        <v>1319</v>
      </c>
      <c r="Y69" s="10">
        <v>3</v>
      </c>
      <c r="Z69" s="30">
        <v>46084</v>
      </c>
      <c r="AA69" s="31">
        <f t="shared" ref="AA69:AA72" si="27">AA68+1</f>
        <v>9386</v>
      </c>
      <c r="AB69" s="33">
        <f>650*20+670*3+973+622*3+229</f>
        <v>18078</v>
      </c>
      <c r="AC69" s="33"/>
      <c r="AD69" s="32"/>
      <c r="AE69" s="32">
        <f t="shared" si="23"/>
        <v>18078</v>
      </c>
      <c r="AF69" s="12"/>
      <c r="AG69" s="12"/>
      <c r="AH69" s="12"/>
      <c r="AI69" s="12">
        <f t="shared" si="24"/>
        <v>18078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46084</v>
      </c>
      <c r="C70" s="83">
        <f t="shared" si="25"/>
        <v>9415</v>
      </c>
      <c r="D70" s="32">
        <f>650*6+9.5*6+650</f>
        <v>4607</v>
      </c>
      <c r="E70" s="32"/>
      <c r="F70" s="32"/>
      <c r="G70" s="32">
        <f t="shared" si="19"/>
        <v>4607</v>
      </c>
      <c r="H70" s="12"/>
      <c r="I70" s="12"/>
      <c r="J70" s="12"/>
      <c r="K70" s="12">
        <f t="shared" si="20"/>
        <v>4607</v>
      </c>
      <c r="M70" s="10">
        <v>4</v>
      </c>
      <c r="N70" s="30">
        <v>46084</v>
      </c>
      <c r="O70" s="31">
        <v>9451</v>
      </c>
      <c r="P70" s="32">
        <f>650*10+9.5*10</f>
        <v>6595</v>
      </c>
      <c r="Q70" s="32"/>
      <c r="R70" s="32"/>
      <c r="S70" s="32">
        <f t="shared" si="21"/>
        <v>6595</v>
      </c>
      <c r="T70" s="12"/>
      <c r="U70" s="12"/>
      <c r="V70" s="12"/>
      <c r="W70" s="12">
        <f t="shared" si="22"/>
        <v>6595</v>
      </c>
      <c r="Y70" s="10">
        <v>4</v>
      </c>
      <c r="Z70" s="30">
        <v>46084</v>
      </c>
      <c r="AA70" s="31">
        <f t="shared" si="27"/>
        <v>9387</v>
      </c>
      <c r="AB70" s="32">
        <f>650*50+229*2+650</f>
        <v>33608</v>
      </c>
      <c r="AC70" s="32"/>
      <c r="AD70" s="32"/>
      <c r="AE70" s="32">
        <f t="shared" si="23"/>
        <v>33608</v>
      </c>
      <c r="AF70" s="12"/>
      <c r="AH70" s="12"/>
      <c r="AI70" s="12">
        <f t="shared" si="24"/>
        <v>33608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46084</v>
      </c>
      <c r="C71" s="83">
        <f t="shared" si="25"/>
        <v>9416</v>
      </c>
      <c r="D71" s="32">
        <f>650*107</f>
        <v>69550</v>
      </c>
      <c r="E71" s="32"/>
      <c r="F71" s="32"/>
      <c r="G71" s="32">
        <f t="shared" si="19"/>
        <v>69550</v>
      </c>
      <c r="H71" s="12"/>
      <c r="I71" s="12"/>
      <c r="J71" s="12"/>
      <c r="K71" s="12">
        <f t="shared" si="20"/>
        <v>69550</v>
      </c>
      <c r="M71" s="10">
        <v>5</v>
      </c>
      <c r="N71" s="30">
        <v>46084</v>
      </c>
      <c r="O71" s="31">
        <f t="shared" si="26"/>
        <v>9452</v>
      </c>
      <c r="P71" s="32">
        <f>650*100+622*22+229*2</f>
        <v>79142</v>
      </c>
      <c r="Q71" s="32">
        <f>-122*6</f>
        <v>-732</v>
      </c>
      <c r="R71" s="32"/>
      <c r="S71" s="32">
        <f t="shared" si="21"/>
        <v>78410</v>
      </c>
      <c r="T71" s="12"/>
      <c r="U71" s="12"/>
      <c r="V71" s="12">
        <v>-2520</v>
      </c>
      <c r="W71" s="12">
        <f t="shared" si="22"/>
        <v>75890</v>
      </c>
      <c r="Y71" s="10">
        <v>5</v>
      </c>
      <c r="Z71" s="30">
        <v>46084</v>
      </c>
      <c r="AA71" s="31">
        <f t="shared" si="27"/>
        <v>9388</v>
      </c>
      <c r="AB71" s="32">
        <f>650*30+670*7+622*13+229</f>
        <v>32505</v>
      </c>
      <c r="AC71" s="32"/>
      <c r="AD71" s="32"/>
      <c r="AE71" s="32">
        <f t="shared" ref="AE71:AE76" si="28">SUM(AB71:AC71)</f>
        <v>32505</v>
      </c>
      <c r="AF71" s="12"/>
      <c r="AG71" s="12"/>
      <c r="AH71" s="12"/>
      <c r="AI71" s="12">
        <f t="shared" si="24"/>
        <v>32505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46084</v>
      </c>
      <c r="C72" s="83">
        <f t="shared" si="25"/>
        <v>9417</v>
      </c>
      <c r="D72" s="32">
        <f>650*120+670*5+622*5+650</f>
        <v>85110</v>
      </c>
      <c r="E72" s="32"/>
      <c r="F72" s="32"/>
      <c r="G72" s="32">
        <f t="shared" si="19"/>
        <v>85110</v>
      </c>
      <c r="H72" s="12"/>
      <c r="I72" s="12">
        <v>2664</v>
      </c>
      <c r="J72" s="12"/>
      <c r="K72" s="12">
        <f t="shared" si="20"/>
        <v>87774</v>
      </c>
      <c r="M72" s="10">
        <v>6</v>
      </c>
      <c r="N72" s="30">
        <v>46084</v>
      </c>
      <c r="O72" s="31">
        <f t="shared" si="26"/>
        <v>9453</v>
      </c>
      <c r="P72" s="32">
        <f>650*12+670*2+9.5*12</f>
        <v>9254</v>
      </c>
      <c r="Q72" s="32"/>
      <c r="R72" s="32"/>
      <c r="S72" s="32">
        <f t="shared" si="21"/>
        <v>9254</v>
      </c>
      <c r="T72" s="12"/>
      <c r="U72" s="12"/>
      <c r="V72" s="10"/>
      <c r="W72" s="12">
        <f t="shared" si="22"/>
        <v>9254</v>
      </c>
      <c r="Y72" s="10">
        <v>6</v>
      </c>
      <c r="Z72" s="30">
        <v>46084</v>
      </c>
      <c r="AA72" s="31">
        <f t="shared" si="27"/>
        <v>9389</v>
      </c>
      <c r="AB72" s="32">
        <f>650*21+229*4</f>
        <v>14566</v>
      </c>
      <c r="AC72" s="32"/>
      <c r="AD72" s="32"/>
      <c r="AE72" s="32">
        <f t="shared" si="28"/>
        <v>14566</v>
      </c>
      <c r="AF72" s="12"/>
      <c r="AG72" s="12"/>
      <c r="AH72" s="10"/>
      <c r="AI72" s="12">
        <f t="shared" si="24"/>
        <v>14566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46084</v>
      </c>
      <c r="C73" s="83">
        <f t="shared" si="25"/>
        <v>9418</v>
      </c>
      <c r="D73" s="32">
        <f>650*31+622*4</f>
        <v>22638</v>
      </c>
      <c r="E73" s="32"/>
      <c r="F73" s="32"/>
      <c r="G73" s="32">
        <f t="shared" si="19"/>
        <v>22638</v>
      </c>
      <c r="H73" s="12"/>
      <c r="I73" s="12"/>
      <c r="J73" s="12"/>
      <c r="K73" s="12">
        <f t="shared" si="20"/>
        <v>22638</v>
      </c>
      <c r="M73" s="10">
        <v>7</v>
      </c>
      <c r="N73" s="30">
        <v>46084</v>
      </c>
      <c r="O73" s="31">
        <f t="shared" si="26"/>
        <v>9454</v>
      </c>
      <c r="P73" s="32">
        <f>650*30+622*2+229</f>
        <v>20973</v>
      </c>
      <c r="Q73" s="32"/>
      <c r="R73" s="32"/>
      <c r="S73" s="32">
        <f t="shared" si="21"/>
        <v>20973</v>
      </c>
      <c r="T73" s="12"/>
      <c r="U73" s="12">
        <v>36</v>
      </c>
      <c r="V73" s="12"/>
      <c r="W73" s="12">
        <f t="shared" si="22"/>
        <v>21009</v>
      </c>
      <c r="Y73" s="10">
        <v>7</v>
      </c>
      <c r="Z73" s="30"/>
      <c r="AA73" s="11" t="s">
        <v>27</v>
      </c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46084</v>
      </c>
      <c r="C74" s="83">
        <f t="shared" si="25"/>
        <v>9419</v>
      </c>
      <c r="D74" s="32">
        <f>650*8+622*2</f>
        <v>6444</v>
      </c>
      <c r="E74" s="32"/>
      <c r="F74" s="32"/>
      <c r="G74" s="32">
        <f t="shared" si="19"/>
        <v>6444</v>
      </c>
      <c r="H74" s="12"/>
      <c r="I74" s="12">
        <v>36</v>
      </c>
      <c r="J74" s="12"/>
      <c r="K74" s="12">
        <f t="shared" si="20"/>
        <v>6480</v>
      </c>
      <c r="M74" s="10">
        <v>8</v>
      </c>
      <c r="N74" s="30">
        <v>46084</v>
      </c>
      <c r="O74" s="31">
        <f t="shared" si="26"/>
        <v>9455</v>
      </c>
      <c r="P74" s="32">
        <f>650*10+9.5*10</f>
        <v>6595</v>
      </c>
      <c r="Q74" s="32"/>
      <c r="R74" s="32"/>
      <c r="S74" s="32">
        <f t="shared" si="21"/>
        <v>6595</v>
      </c>
      <c r="T74" s="12"/>
      <c r="U74" s="12"/>
      <c r="V74" s="12"/>
      <c r="W74" s="12">
        <f t="shared" si="22"/>
        <v>6595</v>
      </c>
      <c r="Y74" s="10">
        <v>8</v>
      </c>
      <c r="Z74" s="30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46084</v>
      </c>
      <c r="C75" s="83">
        <f t="shared" si="25"/>
        <v>9420</v>
      </c>
      <c r="D75" s="32">
        <f>650*14+622*4+9.5*20</f>
        <v>11778</v>
      </c>
      <c r="E75" s="32"/>
      <c r="F75" s="32"/>
      <c r="G75" s="32">
        <f t="shared" si="19"/>
        <v>11778</v>
      </c>
      <c r="H75" s="12"/>
      <c r="I75" s="12"/>
      <c r="J75" s="12"/>
      <c r="K75" s="12">
        <f t="shared" si="20"/>
        <v>11778</v>
      </c>
      <c r="M75" s="10">
        <v>9</v>
      </c>
      <c r="N75" s="30">
        <v>46084</v>
      </c>
      <c r="O75" s="31">
        <f t="shared" si="26"/>
        <v>9456</v>
      </c>
      <c r="P75" s="32">
        <f>650*9+1102+650*2</f>
        <v>8252</v>
      </c>
      <c r="Q75" s="32"/>
      <c r="R75" s="32"/>
      <c r="S75" s="32">
        <f t="shared" si="21"/>
        <v>8252</v>
      </c>
      <c r="T75" s="12"/>
      <c r="U75" s="12"/>
      <c r="V75" s="12"/>
      <c r="W75" s="12">
        <f t="shared" si="22"/>
        <v>8252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46084</v>
      </c>
      <c r="C76" s="83">
        <f t="shared" si="25"/>
        <v>9421</v>
      </c>
      <c r="D76" s="32">
        <f>700</f>
        <v>700</v>
      </c>
      <c r="E76" s="32"/>
      <c r="F76" s="32"/>
      <c r="G76" s="32">
        <f t="shared" si="19"/>
        <v>700</v>
      </c>
      <c r="H76" s="12"/>
      <c r="I76" s="12"/>
      <c r="J76" s="12"/>
      <c r="K76" s="12">
        <f t="shared" si="20"/>
        <v>700</v>
      </c>
      <c r="M76" s="10">
        <v>10</v>
      </c>
      <c r="N76" s="30">
        <v>46084</v>
      </c>
      <c r="O76" s="31">
        <f t="shared" si="26"/>
        <v>9457</v>
      </c>
      <c r="P76" s="32">
        <f>622*8</f>
        <v>4976</v>
      </c>
      <c r="Q76" s="32"/>
      <c r="R76" s="32"/>
      <c r="S76" s="32">
        <f t="shared" si="21"/>
        <v>4976</v>
      </c>
      <c r="T76" s="12"/>
      <c r="U76" s="12">
        <v>13.5</v>
      </c>
      <c r="V76" s="12"/>
      <c r="W76" s="12">
        <f t="shared" si="22"/>
        <v>4989.5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46084</v>
      </c>
      <c r="C77" s="83">
        <f t="shared" si="25"/>
        <v>9422</v>
      </c>
      <c r="D77" s="32">
        <f>650*2+670</f>
        <v>1970</v>
      </c>
      <c r="E77" s="32"/>
      <c r="F77" s="32"/>
      <c r="G77" s="32">
        <f t="shared" si="19"/>
        <v>1970</v>
      </c>
      <c r="H77" s="12"/>
      <c r="I77" s="12"/>
      <c r="J77" s="12"/>
      <c r="K77" s="12">
        <f t="shared" si="20"/>
        <v>1970</v>
      </c>
      <c r="M77" s="10">
        <v>11</v>
      </c>
      <c r="N77" s="30">
        <v>46084</v>
      </c>
      <c r="O77" s="31">
        <f t="shared" si="26"/>
        <v>9458</v>
      </c>
      <c r="P77" s="32">
        <f>650*13+622+9.5*14</f>
        <v>9205</v>
      </c>
      <c r="Q77" s="32"/>
      <c r="R77" s="32"/>
      <c r="S77" s="32">
        <f t="shared" si="21"/>
        <v>9205</v>
      </c>
      <c r="T77" s="12"/>
      <c r="U77" s="12">
        <f>4.5+13*1.5</f>
        <v>24</v>
      </c>
      <c r="V77" s="12">
        <v>-111</v>
      </c>
      <c r="W77" s="12">
        <f t="shared" si="22"/>
        <v>9118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>
        <v>46084</v>
      </c>
      <c r="O78" s="31">
        <f t="shared" si="26"/>
        <v>9459</v>
      </c>
      <c r="P78" s="32">
        <f>650*2+622+9.5*3</f>
        <v>1950.5</v>
      </c>
      <c r="Q78" s="32"/>
      <c r="R78" s="32"/>
      <c r="S78" s="32">
        <f t="shared" si="21"/>
        <v>1950.5</v>
      </c>
      <c r="T78" s="12"/>
      <c r="U78" s="12"/>
      <c r="V78" s="12"/>
      <c r="W78" s="12">
        <f t="shared" si="22"/>
        <v>1950.5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>
        <v>46084</v>
      </c>
      <c r="O79" s="31">
        <f t="shared" si="26"/>
        <v>9460</v>
      </c>
      <c r="P79" s="32">
        <f>650*4+622*3+9.5*7</f>
        <v>4532.5</v>
      </c>
      <c r="Q79" s="32"/>
      <c r="R79" s="32"/>
      <c r="S79" s="32">
        <f t="shared" si="21"/>
        <v>4532.5</v>
      </c>
      <c r="T79" s="12"/>
      <c r="U79" s="12"/>
      <c r="V79" s="12"/>
      <c r="W79" s="12">
        <f t="shared" si="22"/>
        <v>4532.5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>
        <v>46084</v>
      </c>
      <c r="O80" s="31">
        <f t="shared" si="26"/>
        <v>9461</v>
      </c>
      <c r="P80" s="32">
        <f>622*30</f>
        <v>18660</v>
      </c>
      <c r="Q80" s="32"/>
      <c r="R80" s="32"/>
      <c r="S80" s="32">
        <f t="shared" si="21"/>
        <v>18660</v>
      </c>
      <c r="T80" s="12"/>
      <c r="U80" s="12">
        <v>999</v>
      </c>
      <c r="V80" s="12"/>
      <c r="W80" s="12">
        <f t="shared" si="22"/>
        <v>19659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>
        <v>46084</v>
      </c>
      <c r="O81" s="31">
        <f t="shared" si="26"/>
        <v>9462</v>
      </c>
      <c r="P81" s="32">
        <f>650*3+9.5*3</f>
        <v>1978.5</v>
      </c>
      <c r="Q81" s="32"/>
      <c r="R81" s="32"/>
      <c r="S81" s="32">
        <f t="shared" si="21"/>
        <v>1978.5</v>
      </c>
      <c r="T81" s="12"/>
      <c r="U81" s="12"/>
      <c r="V81" s="12"/>
      <c r="W81" s="12">
        <f t="shared" si="22"/>
        <v>1978.5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>
        <v>46084</v>
      </c>
      <c r="O82" s="31">
        <f t="shared" si="26"/>
        <v>9463</v>
      </c>
      <c r="P82" s="32">
        <f>229</f>
        <v>229</v>
      </c>
      <c r="Q82" s="32"/>
      <c r="R82" s="32"/>
      <c r="S82" s="32">
        <f t="shared" si="21"/>
        <v>229</v>
      </c>
      <c r="T82" s="12"/>
      <c r="U82" s="12">
        <v>36</v>
      </c>
      <c r="V82" s="12"/>
      <c r="W82" s="12">
        <f t="shared" si="22"/>
        <v>265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>
        <v>46084</v>
      </c>
      <c r="O83" s="31">
        <f t="shared" si="26"/>
        <v>9464</v>
      </c>
      <c r="P83" s="35">
        <f>650*4</f>
        <v>2600</v>
      </c>
      <c r="Q83" s="32"/>
      <c r="R83" s="32"/>
      <c r="S83" s="32">
        <f t="shared" si="21"/>
        <v>2600</v>
      </c>
      <c r="T83" s="12"/>
      <c r="U83" s="12"/>
      <c r="V83" s="12"/>
      <c r="W83" s="12">
        <f t="shared" si="22"/>
        <v>2600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11" t="s">
        <v>27</v>
      </c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Q89" s="31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si="24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24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24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24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24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24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4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24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4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275938</v>
      </c>
      <c r="E110" s="38">
        <f t="shared" ref="E110:F110" si="37">SUM(E67:E107)</f>
        <v>0</v>
      </c>
      <c r="F110" s="38">
        <f t="shared" si="37"/>
        <v>0</v>
      </c>
      <c r="G110" s="38">
        <f>SUM(G67:G109)</f>
        <v>275938</v>
      </c>
      <c r="H110" s="4"/>
      <c r="I110" s="39">
        <f>SUM(I67:I109)</f>
        <v>2700</v>
      </c>
      <c r="J110" s="39">
        <f>SUM(J67:J109)</f>
        <v>0</v>
      </c>
      <c r="K110" s="40">
        <f>SUM(K67:K109)</f>
        <v>278638</v>
      </c>
      <c r="N110" s="57"/>
      <c r="O110" s="57"/>
      <c r="P110" s="38">
        <f>SUM(P67:P109)</f>
        <v>195208.5</v>
      </c>
      <c r="Q110" s="38">
        <f>SUM(Q67:Q91)</f>
        <v>-732</v>
      </c>
      <c r="R110" s="38">
        <f>SUM(R67:R91)</f>
        <v>0</v>
      </c>
      <c r="S110" s="38">
        <f>SUM(S67:S109)</f>
        <v>194476.5</v>
      </c>
      <c r="T110" s="4"/>
      <c r="U110" s="41">
        <f>SUM(U67:U109)</f>
        <v>1108.5</v>
      </c>
      <c r="V110" s="41">
        <f>SUM(V67:V91)</f>
        <v>-2631</v>
      </c>
      <c r="W110" s="42">
        <f>SUM(W67:W109)</f>
        <v>192954</v>
      </c>
      <c r="Z110" s="57"/>
      <c r="AA110" s="57"/>
      <c r="AB110" s="38">
        <f>SUM(AB67:AB109)</f>
        <v>233116</v>
      </c>
      <c r="AC110" s="38">
        <f>SUM(AC67:AC91)</f>
        <v>-918</v>
      </c>
      <c r="AD110" s="38">
        <f>SUM(AD67:AD91)</f>
        <v>0</v>
      </c>
      <c r="AE110" s="38">
        <f>SUM(AE67:AE109)</f>
        <v>232198</v>
      </c>
      <c r="AF110" s="4"/>
      <c r="AG110" s="41">
        <f>SUM(AG67:AG109)</f>
        <v>0</v>
      </c>
      <c r="AH110" s="41">
        <f>SUM(AH67:AH91)</f>
        <v>0</v>
      </c>
      <c r="AI110" s="42">
        <f>SUM(AI67:AI109)</f>
        <v>232198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3" t="s">
        <v>17</v>
      </c>
      <c r="E120" s="113"/>
      <c r="F120" s="91"/>
      <c r="G120" s="27"/>
      <c r="I120" s="111" t="s">
        <v>18</v>
      </c>
      <c r="J120" s="112"/>
      <c r="K120" s="109" t="s">
        <v>19</v>
      </c>
      <c r="N120" s="25"/>
      <c r="O120" s="26"/>
      <c r="P120" s="113" t="s">
        <v>17</v>
      </c>
      <c r="Q120" s="113"/>
      <c r="R120" s="91"/>
      <c r="S120" s="27"/>
      <c r="U120" s="111" t="s">
        <v>18</v>
      </c>
      <c r="V120" s="112"/>
      <c r="W120" s="109" t="s">
        <v>19</v>
      </c>
      <c r="Z120" s="25"/>
      <c r="AA120" s="26"/>
      <c r="AB120" s="113" t="s">
        <v>17</v>
      </c>
      <c r="AC120" s="113"/>
      <c r="AD120" s="91"/>
      <c r="AE120" s="27"/>
      <c r="AG120" s="111" t="s">
        <v>18</v>
      </c>
      <c r="AH120" s="112"/>
      <c r="AI120" s="109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0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0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0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46115</v>
      </c>
      <c r="C122" s="83">
        <v>9423</v>
      </c>
      <c r="D122" s="32">
        <f>216*650+108*622+912*10+229*13</f>
        <v>219673</v>
      </c>
      <c r="E122" s="32">
        <f>-334*6</f>
        <v>-2004</v>
      </c>
      <c r="F122" s="32"/>
      <c r="G122" s="32">
        <f t="shared" ref="G122:G155" si="38">SUM(D122:E122)</f>
        <v>217669</v>
      </c>
      <c r="H122" s="12"/>
      <c r="I122" s="12">
        <f>120*7+111*103+78*10</f>
        <v>13053</v>
      </c>
      <c r="J122" s="12">
        <f>-252+-9+-19.5</f>
        <v>-280.5</v>
      </c>
      <c r="K122" s="12">
        <f t="shared" ref="K122:K155" si="39">SUM(G122:J122)</f>
        <v>230441.5</v>
      </c>
      <c r="M122" s="10">
        <v>1</v>
      </c>
      <c r="N122" s="30">
        <v>46115</v>
      </c>
      <c r="O122" s="31">
        <v>9464</v>
      </c>
      <c r="P122" s="32">
        <f>650*2</f>
        <v>1300</v>
      </c>
      <c r="Q122" s="32"/>
      <c r="R122" s="32"/>
      <c r="S122" s="32">
        <f>SUM(P122:Q122)</f>
        <v>1300</v>
      </c>
      <c r="T122" s="12"/>
      <c r="U122" s="12">
        <v>22.5</v>
      </c>
      <c r="V122" s="12"/>
      <c r="W122" s="12">
        <f>SUM(S122:V122)</f>
        <v>1322.5</v>
      </c>
      <c r="Y122" s="10">
        <v>1</v>
      </c>
      <c r="Z122" s="30">
        <v>46115</v>
      </c>
      <c r="AA122" s="31">
        <v>9390</v>
      </c>
      <c r="AB122" s="32">
        <f>650*40+622*10</f>
        <v>32220</v>
      </c>
      <c r="AC122" s="32">
        <f>-50*6</f>
        <v>-300</v>
      </c>
      <c r="AD122" s="32"/>
      <c r="AE122" s="32">
        <f>SUM(AB122:AC122)</f>
        <v>31920</v>
      </c>
      <c r="AF122" s="12"/>
      <c r="AG122" s="12"/>
      <c r="AH122" s="12"/>
      <c r="AI122" s="12">
        <f>SUM(AE122:AH122)</f>
        <v>31920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46115</v>
      </c>
      <c r="C123" s="83">
        <f>C122+1</f>
        <v>9424</v>
      </c>
      <c r="D123" s="32">
        <f>650*12+670+622*4+9.5*16</f>
        <v>11110</v>
      </c>
      <c r="E123" s="32"/>
      <c r="F123" s="32"/>
      <c r="G123" s="32">
        <f t="shared" si="38"/>
        <v>11110</v>
      </c>
      <c r="H123" s="12"/>
      <c r="I123" s="12"/>
      <c r="J123" s="12"/>
      <c r="K123" s="12">
        <f t="shared" si="39"/>
        <v>11110</v>
      </c>
      <c r="M123" s="10">
        <v>2</v>
      </c>
      <c r="N123" s="30">
        <v>46115</v>
      </c>
      <c r="O123" s="31">
        <f>O122+1</f>
        <v>9465</v>
      </c>
      <c r="P123" s="32">
        <f>650*324+229*14+650*2</f>
        <v>215106</v>
      </c>
      <c r="Q123" s="32">
        <f>-324*6</f>
        <v>-1944</v>
      </c>
      <c r="R123" s="32"/>
      <c r="S123" s="32">
        <f t="shared" ref="S123:S154" si="40">SUM(P123:Q123)</f>
        <v>213162</v>
      </c>
      <c r="T123" s="12"/>
      <c r="U123" s="12">
        <v>858</v>
      </c>
      <c r="V123" s="12">
        <v>-420</v>
      </c>
      <c r="W123" s="12">
        <f t="shared" ref="W123:W154" si="41">SUM(S123:V123)</f>
        <v>213600</v>
      </c>
      <c r="Y123" s="10">
        <v>2</v>
      </c>
      <c r="Z123" s="30">
        <v>46115</v>
      </c>
      <c r="AA123" s="31">
        <f>AA122+1</f>
        <v>9391</v>
      </c>
      <c r="AB123" s="32">
        <f>650*23+229</f>
        <v>15179</v>
      </c>
      <c r="AC123" s="32"/>
      <c r="AD123" s="32"/>
      <c r="AE123" s="32">
        <f t="shared" ref="AE123:AE131" si="42">SUM(AB123:AC123)</f>
        <v>15179</v>
      </c>
      <c r="AF123" s="12"/>
      <c r="AG123" s="12"/>
      <c r="AH123" s="12"/>
      <c r="AI123" s="12">
        <f t="shared" ref="AI123:AI163" si="43">SUM(AE123:AH123)</f>
        <v>15179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46115</v>
      </c>
      <c r="C124" s="83">
        <f t="shared" ref="C124" si="44">C123+1</f>
        <v>9425</v>
      </c>
      <c r="D124" s="33">
        <f>650*131+670*5+700*3+622*5+1050*2+872*3+229*5</f>
        <v>99571</v>
      </c>
      <c r="E124" s="33"/>
      <c r="F124" s="33"/>
      <c r="G124" s="33">
        <f t="shared" si="38"/>
        <v>99571</v>
      </c>
      <c r="H124" s="34"/>
      <c r="I124" s="34">
        <f>390+378</f>
        <v>768</v>
      </c>
      <c r="J124" s="34"/>
      <c r="K124" s="34">
        <f t="shared" si="39"/>
        <v>100339</v>
      </c>
      <c r="M124" s="10">
        <v>3</v>
      </c>
      <c r="N124" s="30"/>
      <c r="O124" s="11" t="s">
        <v>27</v>
      </c>
      <c r="P124" s="32"/>
      <c r="Q124" s="32"/>
      <c r="R124" s="32"/>
      <c r="S124" s="32">
        <f t="shared" si="40"/>
        <v>0</v>
      </c>
      <c r="T124" s="12"/>
      <c r="U124" s="12"/>
      <c r="V124" s="12"/>
      <c r="W124" s="12">
        <f t="shared" si="41"/>
        <v>0</v>
      </c>
      <c r="Y124" s="10">
        <v>3</v>
      </c>
      <c r="Z124" s="30">
        <v>46115</v>
      </c>
      <c r="AA124" s="31">
        <f t="shared" ref="AA124:AA128" si="45">AA123+1</f>
        <v>9392</v>
      </c>
      <c r="AB124" s="33">
        <f>650*80+229*3</f>
        <v>52687</v>
      </c>
      <c r="AC124" s="33">
        <f>-80*6</f>
        <v>-480</v>
      </c>
      <c r="AD124" s="32"/>
      <c r="AE124" s="32">
        <f t="shared" si="42"/>
        <v>52207</v>
      </c>
      <c r="AF124" s="12"/>
      <c r="AG124" s="12"/>
      <c r="AH124" s="12"/>
      <c r="AI124" s="12">
        <f t="shared" si="43"/>
        <v>52207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8"/>
        <v>0</v>
      </c>
      <c r="H125" s="12"/>
      <c r="I125" s="12"/>
      <c r="J125" s="12"/>
      <c r="K125" s="12">
        <f t="shared" si="39"/>
        <v>0</v>
      </c>
      <c r="M125" s="10">
        <v>4</v>
      </c>
      <c r="N125" s="30"/>
      <c r="O125" s="31"/>
      <c r="P125" s="32"/>
      <c r="Q125" s="32"/>
      <c r="R125" s="32"/>
      <c r="S125" s="32">
        <f t="shared" si="40"/>
        <v>0</v>
      </c>
      <c r="T125" s="12"/>
      <c r="U125" s="12"/>
      <c r="V125" s="12"/>
      <c r="W125" s="12">
        <f t="shared" si="41"/>
        <v>0</v>
      </c>
      <c r="Y125" s="10">
        <v>4</v>
      </c>
      <c r="Z125" s="30">
        <v>46115</v>
      </c>
      <c r="AA125" s="31">
        <f t="shared" si="45"/>
        <v>9393</v>
      </c>
      <c r="AB125" s="32">
        <f>650*55+622*6+229*2</f>
        <v>39940</v>
      </c>
      <c r="AC125" s="32"/>
      <c r="AD125" s="32"/>
      <c r="AE125" s="32">
        <f t="shared" si="42"/>
        <v>39940</v>
      </c>
      <c r="AF125" s="12"/>
      <c r="AG125">
        <v>61.5</v>
      </c>
      <c r="AH125" s="12"/>
      <c r="AI125" s="12">
        <f t="shared" si="43"/>
        <v>40001.5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8"/>
        <v>0</v>
      </c>
      <c r="H126" s="12"/>
      <c r="I126" s="12"/>
      <c r="J126" s="12"/>
      <c r="K126" s="12">
        <f t="shared" si="39"/>
        <v>0</v>
      </c>
      <c r="M126" s="10">
        <v>5</v>
      </c>
      <c r="N126" s="30"/>
      <c r="O126" s="31"/>
      <c r="P126" s="32"/>
      <c r="Q126" s="32"/>
      <c r="R126" s="32"/>
      <c r="S126" s="32">
        <f t="shared" si="40"/>
        <v>0</v>
      </c>
      <c r="T126" s="12"/>
      <c r="U126" s="12"/>
      <c r="V126" s="12"/>
      <c r="W126" s="12">
        <f t="shared" si="41"/>
        <v>0</v>
      </c>
      <c r="Y126" s="10">
        <v>5</v>
      </c>
      <c r="Z126" s="30">
        <v>46115</v>
      </c>
      <c r="AA126" s="31">
        <f t="shared" si="45"/>
        <v>9394</v>
      </c>
      <c r="AB126" s="32">
        <f>1175+650*9</f>
        <v>7025</v>
      </c>
      <c r="AC126" s="32"/>
      <c r="AD126" s="32"/>
      <c r="AE126" s="32">
        <f t="shared" si="42"/>
        <v>7025</v>
      </c>
      <c r="AF126" s="12"/>
      <c r="AG126" s="12"/>
      <c r="AH126" s="12"/>
      <c r="AI126" s="12">
        <f t="shared" si="43"/>
        <v>7025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8"/>
        <v>0</v>
      </c>
      <c r="H127" s="12"/>
      <c r="I127" s="12"/>
      <c r="J127" s="12"/>
      <c r="K127" s="12">
        <f t="shared" si="39"/>
        <v>0</v>
      </c>
      <c r="M127" s="10">
        <v>6</v>
      </c>
      <c r="N127" s="30"/>
      <c r="O127" s="31"/>
      <c r="P127" s="32"/>
      <c r="Q127" s="32"/>
      <c r="R127" s="32"/>
      <c r="S127" s="32">
        <f t="shared" si="40"/>
        <v>0</v>
      </c>
      <c r="T127" s="12"/>
      <c r="U127" s="12"/>
      <c r="V127" s="10"/>
      <c r="W127" s="12">
        <f t="shared" si="41"/>
        <v>0</v>
      </c>
      <c r="Y127" s="10">
        <v>6</v>
      </c>
      <c r="Z127" s="30">
        <v>46115</v>
      </c>
      <c r="AA127" s="31">
        <f t="shared" si="45"/>
        <v>9395</v>
      </c>
      <c r="AB127" s="32">
        <f>650*50+622*13+229*2</f>
        <v>41044</v>
      </c>
      <c r="AC127" s="32">
        <f>-63*6</f>
        <v>-378</v>
      </c>
      <c r="AD127" s="32"/>
      <c r="AE127" s="32">
        <f t="shared" si="42"/>
        <v>40666</v>
      </c>
      <c r="AF127" s="12"/>
      <c r="AG127" s="12"/>
      <c r="AH127" s="10"/>
      <c r="AI127" s="12">
        <f t="shared" si="43"/>
        <v>40666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8"/>
        <v>0</v>
      </c>
      <c r="H128" s="12"/>
      <c r="I128" s="12"/>
      <c r="J128" s="12"/>
      <c r="K128" s="12">
        <f t="shared" si="39"/>
        <v>0</v>
      </c>
      <c r="M128" s="10">
        <v>7</v>
      </c>
      <c r="N128" s="30"/>
      <c r="O128" s="31"/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46115</v>
      </c>
      <c r="AA128" s="31">
        <f t="shared" si="45"/>
        <v>9396</v>
      </c>
      <c r="AB128" s="32">
        <f>650*22</f>
        <v>14300</v>
      </c>
      <c r="AC128" s="32"/>
      <c r="AD128" s="32"/>
      <c r="AE128" s="32">
        <f t="shared" si="42"/>
        <v>14300</v>
      </c>
      <c r="AF128" s="12"/>
      <c r="AG128" s="58"/>
      <c r="AH128" s="12"/>
      <c r="AI128" s="12">
        <f t="shared" si="43"/>
        <v>14300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8"/>
        <v>0</v>
      </c>
      <c r="H129" s="12"/>
      <c r="I129" s="12"/>
      <c r="J129" s="12"/>
      <c r="K129" s="12">
        <f t="shared" si="39"/>
        <v>0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 t="s">
        <v>27</v>
      </c>
      <c r="AB129" s="32"/>
      <c r="AC129" s="32"/>
      <c r="AE129" s="32">
        <f t="shared" si="42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2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2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B132" s="32"/>
      <c r="AC132" s="32"/>
      <c r="AD132" s="32"/>
      <c r="AE132" s="32">
        <f t="shared" ref="AE132:AE154" si="46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B133" s="32"/>
      <c r="AC133" s="32"/>
      <c r="AD133" s="32"/>
      <c r="AE133" s="32">
        <f t="shared" si="46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6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6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6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6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6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6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6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6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6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6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6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6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6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6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6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6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6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6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6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6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6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7">SUM(P155:Q155)</f>
        <v>0</v>
      </c>
      <c r="T155" s="10"/>
      <c r="U155" s="10"/>
      <c r="V155" s="10"/>
      <c r="W155" s="12">
        <f t="shared" ref="W155:W163" si="4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9">SUM(AB155:AC155)</f>
        <v>0</v>
      </c>
      <c r="AF155" s="10"/>
      <c r="AG155" s="10"/>
      <c r="AH155" s="10"/>
      <c r="AI155" s="12">
        <f t="shared" si="43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7"/>
        <v>0</v>
      </c>
      <c r="T156" s="10"/>
      <c r="U156" s="10"/>
      <c r="V156" s="10"/>
      <c r="W156" s="12">
        <f t="shared" si="4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43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7"/>
        <v>0</v>
      </c>
      <c r="T157" s="10"/>
      <c r="U157" s="10"/>
      <c r="V157" s="10"/>
      <c r="W157" s="12">
        <f t="shared" si="4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43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7"/>
        <v>0</v>
      </c>
      <c r="T158" s="10"/>
      <c r="U158" s="10"/>
      <c r="V158" s="10"/>
      <c r="W158" s="12">
        <f t="shared" si="4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43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7"/>
        <v>0</v>
      </c>
      <c r="T159" s="10"/>
      <c r="U159" s="10"/>
      <c r="V159" s="10"/>
      <c r="W159" s="12">
        <f t="shared" si="4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43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7"/>
        <v>0</v>
      </c>
      <c r="T160" s="10"/>
      <c r="U160" s="10"/>
      <c r="V160" s="10"/>
      <c r="W160" s="12">
        <f t="shared" si="4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43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3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0">SUM(D162:E162)</f>
        <v>0</v>
      </c>
      <c r="H162" s="10"/>
      <c r="I162" s="10"/>
      <c r="J162" s="10"/>
      <c r="K162" s="12">
        <f t="shared" ref="K162" si="51">SUM(G162:J162)</f>
        <v>0</v>
      </c>
      <c r="M162" s="10"/>
      <c r="N162" s="30"/>
      <c r="O162" s="31"/>
      <c r="P162" s="47"/>
      <c r="Q162" s="31"/>
      <c r="R162" s="31"/>
      <c r="S162" s="32">
        <f t="shared" ref="S162" si="52">SUM(P162:Q162)</f>
        <v>0</v>
      </c>
      <c r="T162" s="10"/>
      <c r="U162" s="10"/>
      <c r="V162" s="10"/>
      <c r="W162" s="12">
        <f t="shared" si="48"/>
        <v>0</v>
      </c>
      <c r="Y162" s="10"/>
      <c r="Z162" s="30"/>
      <c r="AA162" s="31"/>
      <c r="AB162" s="47"/>
      <c r="AC162" s="31"/>
      <c r="AD162" s="31"/>
      <c r="AE162" s="32">
        <f t="shared" ref="AE162" si="53">SUM(AB162:AC162)</f>
        <v>0</v>
      </c>
      <c r="AF162" s="10"/>
      <c r="AG162" s="10"/>
      <c r="AH162" s="10"/>
      <c r="AI162" s="12">
        <f t="shared" si="43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3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330354</v>
      </c>
      <c r="E165" s="38">
        <f t="shared" ref="E165:F165" si="54">SUM(E122:E162)</f>
        <v>-2004</v>
      </c>
      <c r="F165" s="38">
        <f t="shared" si="54"/>
        <v>0</v>
      </c>
      <c r="G165" s="38">
        <f>SUM(G122:G164)</f>
        <v>328350</v>
      </c>
      <c r="H165" s="4"/>
      <c r="I165" s="39">
        <f>SUM(I122:I164)</f>
        <v>13821</v>
      </c>
      <c r="J165" s="39">
        <f>SUM(J122:J164)</f>
        <v>-280.5</v>
      </c>
      <c r="K165" s="40">
        <f>SUM(K122:K164)</f>
        <v>341890.5</v>
      </c>
      <c r="N165" s="57"/>
      <c r="O165" s="57"/>
      <c r="P165" s="38">
        <f>SUM(P122:P164)</f>
        <v>216406</v>
      </c>
      <c r="Q165" s="38">
        <f>SUM(Q122:Q146)</f>
        <v>-1944</v>
      </c>
      <c r="R165" s="38">
        <f>SUM(R122:R146)</f>
        <v>0</v>
      </c>
      <c r="S165" s="38">
        <f>SUM(S122:S164)</f>
        <v>214462</v>
      </c>
      <c r="T165" s="4"/>
      <c r="U165" s="41">
        <f>SUM(U122:U164)</f>
        <v>880.5</v>
      </c>
      <c r="V165" s="41">
        <f>SUM(V122:V146)</f>
        <v>-420</v>
      </c>
      <c r="W165" s="42">
        <f>SUM(W122:W164)</f>
        <v>214922.5</v>
      </c>
      <c r="Z165" s="57"/>
      <c r="AA165" s="57"/>
      <c r="AB165" s="38">
        <f>SUM(AB122:AB164)</f>
        <v>202395</v>
      </c>
      <c r="AC165" s="38">
        <f>SUM(AC122:AC146)</f>
        <v>-1158</v>
      </c>
      <c r="AD165" s="38">
        <f>SUM(AD122:AD146)</f>
        <v>0</v>
      </c>
      <c r="AE165" s="38">
        <f>SUM(AE122:AE164)</f>
        <v>201237</v>
      </c>
      <c r="AF165" s="4"/>
      <c r="AG165" s="41">
        <f>SUM(AG122:AG164)</f>
        <v>61.5</v>
      </c>
      <c r="AH165" s="41">
        <f>SUM(AH122:AH146)</f>
        <v>0</v>
      </c>
      <c r="AI165" s="42">
        <f>SUM(AI122:AI164)</f>
        <v>201298.5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s="62"/>
      <c r="Z167" s="88"/>
      <c r="AA167" s="88"/>
      <c r="AB167" s="88"/>
      <c r="AC167" s="88"/>
      <c r="AD167" s="88"/>
      <c r="AE167" s="88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s="62"/>
      <c r="Z168" s="88"/>
      <c r="AA168" s="88"/>
      <c r="AB168" s="88"/>
      <c r="AC168" s="88"/>
      <c r="AD168" s="88"/>
      <c r="AE168" s="88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Y169" s="62"/>
      <c r="Z169" s="88"/>
      <c r="AA169" s="88"/>
      <c r="AB169" s="88"/>
      <c r="AC169" s="88"/>
      <c r="AD169" s="88"/>
      <c r="AE169" s="88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63"/>
      <c r="Z170" s="88"/>
      <c r="AA170" s="88"/>
      <c r="AB170" s="88"/>
      <c r="AC170" s="88"/>
      <c r="AD170" s="88"/>
      <c r="AE170" s="88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Y171" s="62"/>
      <c r="Z171" s="88"/>
      <c r="AA171" s="88"/>
      <c r="AB171" s="88"/>
      <c r="AC171" s="88"/>
      <c r="AD171" s="88"/>
      <c r="AE171" s="88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s="62"/>
      <c r="Z172" s="88"/>
      <c r="AA172" s="88"/>
      <c r="AB172" s="88"/>
      <c r="AC172" s="88"/>
      <c r="AD172" s="88"/>
      <c r="AE172" s="88"/>
      <c r="AF172" s="62"/>
      <c r="AG172" s="88"/>
      <c r="AH172" s="88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64"/>
      <c r="Z173" s="88"/>
      <c r="AA173" s="88"/>
      <c r="AB173" s="88"/>
      <c r="AC173" s="88"/>
      <c r="AD173" s="88"/>
      <c r="AE173" s="88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Y174" s="62"/>
      <c r="Z174" s="88"/>
      <c r="AA174" s="88"/>
      <c r="AB174" s="88"/>
      <c r="AC174" s="88"/>
      <c r="AD174" s="88"/>
      <c r="AE174" s="88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3" t="s">
        <v>17</v>
      </c>
      <c r="E175" s="113"/>
      <c r="F175" s="92"/>
      <c r="G175" s="27"/>
      <c r="I175" s="111" t="s">
        <v>18</v>
      </c>
      <c r="J175" s="112"/>
      <c r="K175" s="109" t="s">
        <v>19</v>
      </c>
      <c r="N175" s="25"/>
      <c r="O175" s="26"/>
      <c r="P175" s="113" t="s">
        <v>17</v>
      </c>
      <c r="Q175" s="113"/>
      <c r="R175" s="92"/>
      <c r="S175" s="27"/>
      <c r="U175" s="111" t="s">
        <v>18</v>
      </c>
      <c r="V175" s="112"/>
      <c r="W175" s="109" t="s">
        <v>19</v>
      </c>
      <c r="Y175" s="62"/>
      <c r="Z175" s="65"/>
      <c r="AA175" s="88"/>
      <c r="AB175" s="115"/>
      <c r="AC175" s="115"/>
      <c r="AD175" s="88"/>
      <c r="AE175" s="88"/>
      <c r="AF175" s="62"/>
      <c r="AG175" s="115"/>
      <c r="AH175" s="115"/>
      <c r="AI175" s="114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0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0"/>
      <c r="Y176" s="62"/>
      <c r="Z176" s="88"/>
      <c r="AA176" s="88"/>
      <c r="AB176" s="79"/>
      <c r="AC176" s="81"/>
      <c r="AD176" s="81"/>
      <c r="AE176" s="81"/>
      <c r="AF176" s="62"/>
      <c r="AG176" s="87"/>
      <c r="AH176" s="87"/>
      <c r="AI176" s="114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46145</v>
      </c>
      <c r="C177" s="83">
        <v>9426</v>
      </c>
      <c r="D177" s="32">
        <f>650*324+1582+229*10</f>
        <v>214472</v>
      </c>
      <c r="E177" s="32">
        <f>-325*6</f>
        <v>-1950</v>
      </c>
      <c r="F177" s="32"/>
      <c r="G177" s="32">
        <f t="shared" ref="G177:G210" si="55">SUM(D177:E177)</f>
        <v>212522</v>
      </c>
      <c r="H177" s="12"/>
      <c r="I177" s="12"/>
      <c r="J177" s="12">
        <v>-11988</v>
      </c>
      <c r="K177" s="12">
        <f t="shared" ref="K177:K210" si="56">SUM(G177:J177)</f>
        <v>200534</v>
      </c>
      <c r="M177" s="10">
        <v>1</v>
      </c>
      <c r="N177" s="30">
        <v>46145</v>
      </c>
      <c r="O177" s="31">
        <v>9467</v>
      </c>
      <c r="P177" s="32">
        <f>650*7+622*2</f>
        <v>5794</v>
      </c>
      <c r="Q177" s="32"/>
      <c r="R177" s="32"/>
      <c r="S177" s="32">
        <f>SUM(P177:Q177)</f>
        <v>5794</v>
      </c>
      <c r="T177" s="12"/>
      <c r="U177" s="12"/>
      <c r="V177" s="12">
        <v>-888</v>
      </c>
      <c r="W177" s="12">
        <f>SUM(S177:V177)</f>
        <v>4906</v>
      </c>
      <c r="Y177" s="62"/>
      <c r="Z177" s="66"/>
      <c r="AA177" s="88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46145</v>
      </c>
      <c r="C178" s="83">
        <f>C177+1</f>
        <v>9427</v>
      </c>
      <c r="D178" s="32">
        <f>650*30+622*10+1582</f>
        <v>27302</v>
      </c>
      <c r="E178" s="32"/>
      <c r="F178" s="32"/>
      <c r="G178" s="32">
        <f t="shared" si="55"/>
        <v>27302</v>
      </c>
      <c r="H178" s="12"/>
      <c r="I178" s="12"/>
      <c r="J178" s="12"/>
      <c r="K178" s="12">
        <f t="shared" si="56"/>
        <v>27302</v>
      </c>
      <c r="M178" s="10">
        <v>2</v>
      </c>
      <c r="N178" s="30">
        <v>46145</v>
      </c>
      <c r="O178" s="31">
        <f>O177+1</f>
        <v>9468</v>
      </c>
      <c r="P178" s="32">
        <f>650*175+1667*4+872*2+622*20+1175*5+1175*4+1102*14+229*5+650*30</f>
        <v>181250</v>
      </c>
      <c r="Q178" s="32">
        <f>-197*6</f>
        <v>-1182</v>
      </c>
      <c r="R178" s="32"/>
      <c r="S178" s="32">
        <f t="shared" ref="S178:S209" si="57">SUM(P178:Q178)</f>
        <v>180068</v>
      </c>
      <c r="T178" s="12"/>
      <c r="U178" s="12">
        <f>120*2+78*3</f>
        <v>474</v>
      </c>
      <c r="V178" s="12">
        <f>-23*111+-42*10</f>
        <v>-2973</v>
      </c>
      <c r="W178" s="12">
        <f t="shared" ref="W178:W209" si="58">SUM(S178:V178)</f>
        <v>177569</v>
      </c>
      <c r="Y178" s="62"/>
      <c r="Z178" s="66"/>
      <c r="AA178" s="88"/>
      <c r="AB178" s="60"/>
      <c r="AC178" s="62"/>
      <c r="AD178" s="60"/>
      <c r="AE178" s="60"/>
      <c r="AF178" s="61"/>
      <c r="AG178" s="61"/>
      <c r="AH178" s="62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46145</v>
      </c>
      <c r="C179" s="83">
        <f t="shared" ref="C179:C180" si="59">C178+1</f>
        <v>9428</v>
      </c>
      <c r="D179" s="33">
        <f>650*10</f>
        <v>6500</v>
      </c>
      <c r="E179" s="33"/>
      <c r="F179" s="33"/>
      <c r="G179" s="33">
        <f t="shared" si="55"/>
        <v>6500</v>
      </c>
      <c r="H179" s="34"/>
      <c r="I179" s="34"/>
      <c r="J179" s="34"/>
      <c r="K179" s="34">
        <f t="shared" si="56"/>
        <v>6500</v>
      </c>
      <c r="M179" s="10">
        <v>3</v>
      </c>
      <c r="N179" s="30">
        <v>46145</v>
      </c>
      <c r="O179" s="31">
        <f t="shared" ref="O179:O183" si="60">O178+1</f>
        <v>9469</v>
      </c>
      <c r="P179" s="32">
        <f>1175+1582</f>
        <v>2757</v>
      </c>
      <c r="Q179" s="32"/>
      <c r="R179" s="32"/>
      <c r="S179" s="32">
        <f t="shared" si="57"/>
        <v>2757</v>
      </c>
      <c r="T179" s="12"/>
      <c r="U179" s="12"/>
      <c r="V179" s="12"/>
      <c r="W179" s="12">
        <f t="shared" si="58"/>
        <v>2757</v>
      </c>
      <c r="Y179" s="62"/>
      <c r="Z179" s="66"/>
      <c r="AA179" s="88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46145</v>
      </c>
      <c r="C180" s="83">
        <f t="shared" si="59"/>
        <v>9429</v>
      </c>
      <c r="D180" s="32">
        <f>650*13+1050</f>
        <v>9500</v>
      </c>
      <c r="E180" s="32"/>
      <c r="F180" s="32"/>
      <c r="G180" s="32">
        <f t="shared" si="55"/>
        <v>9500</v>
      </c>
      <c r="H180" s="12"/>
      <c r="I180" s="12">
        <f>7*4.5</f>
        <v>31.5</v>
      </c>
      <c r="J180" s="12"/>
      <c r="K180" s="12">
        <f t="shared" si="56"/>
        <v>9531.5</v>
      </c>
      <c r="M180" s="10">
        <v>4</v>
      </c>
      <c r="N180" s="30">
        <v>46145</v>
      </c>
      <c r="O180" s="31">
        <f t="shared" si="60"/>
        <v>9470</v>
      </c>
      <c r="P180" s="32">
        <f>650*50+229*2</f>
        <v>32958</v>
      </c>
      <c r="Q180" s="32"/>
      <c r="R180" s="32"/>
      <c r="S180" s="32">
        <f t="shared" si="57"/>
        <v>32958</v>
      </c>
      <c r="T180" s="12"/>
      <c r="U180" s="12"/>
      <c r="V180" s="12">
        <v>-444</v>
      </c>
      <c r="W180" s="12">
        <f t="shared" si="58"/>
        <v>32514</v>
      </c>
      <c r="Y180" s="62"/>
      <c r="Z180" s="66"/>
      <c r="AA180" s="88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5"/>
        <v>0</v>
      </c>
      <c r="H181" s="12"/>
      <c r="I181" s="12"/>
      <c r="J181" s="12"/>
      <c r="K181" s="12">
        <f t="shared" si="56"/>
        <v>0</v>
      </c>
      <c r="M181" s="10">
        <v>5</v>
      </c>
      <c r="N181" s="30">
        <v>46145</v>
      </c>
      <c r="O181" s="31">
        <f t="shared" si="60"/>
        <v>9471</v>
      </c>
      <c r="P181" s="32">
        <f>650*3+670</f>
        <v>2620</v>
      </c>
      <c r="Q181" s="32"/>
      <c r="R181" s="32"/>
      <c r="S181" s="32">
        <f t="shared" si="57"/>
        <v>2620</v>
      </c>
      <c r="T181" s="12"/>
      <c r="U181" s="12"/>
      <c r="V181" s="12"/>
      <c r="W181" s="12">
        <f t="shared" si="58"/>
        <v>2620</v>
      </c>
      <c r="Y181" s="62"/>
      <c r="Z181" s="66"/>
      <c r="AA181" s="88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115"/>
      <c r="AO181" s="115"/>
      <c r="AP181" s="86"/>
      <c r="AQ181" s="62"/>
      <c r="AR181" s="115"/>
      <c r="AS181" s="115"/>
      <c r="AT181" s="114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5"/>
        <v>0</v>
      </c>
      <c r="H182" s="12"/>
      <c r="I182" s="12"/>
      <c r="J182" s="12"/>
      <c r="K182" s="12">
        <f t="shared" si="56"/>
        <v>0</v>
      </c>
      <c r="M182" s="10">
        <v>6</v>
      </c>
      <c r="N182" s="30">
        <v>46145</v>
      </c>
      <c r="O182" s="31">
        <f t="shared" si="60"/>
        <v>9472</v>
      </c>
      <c r="P182" s="32">
        <f>650*5+622*2</f>
        <v>4494</v>
      </c>
      <c r="Q182" s="32"/>
      <c r="R182" s="32"/>
      <c r="S182" s="32">
        <f t="shared" si="57"/>
        <v>4494</v>
      </c>
      <c r="T182" s="12"/>
      <c r="U182" s="12"/>
      <c r="V182" s="10">
        <v>-666</v>
      </c>
      <c r="W182" s="12">
        <f t="shared" si="58"/>
        <v>3828</v>
      </c>
      <c r="Y182" s="62"/>
      <c r="Z182" s="66"/>
      <c r="AA182" s="65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114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5"/>
        <v>0</v>
      </c>
      <c r="H183" s="12"/>
      <c r="I183" s="12"/>
      <c r="J183" s="12"/>
      <c r="K183" s="12">
        <f t="shared" si="56"/>
        <v>0</v>
      </c>
      <c r="M183" s="10">
        <v>7</v>
      </c>
      <c r="N183" s="30">
        <v>46145</v>
      </c>
      <c r="O183" s="31">
        <f t="shared" si="60"/>
        <v>9473</v>
      </c>
      <c r="P183" s="32">
        <f>650*2</f>
        <v>1300</v>
      </c>
      <c r="Q183" s="32"/>
      <c r="R183" s="32"/>
      <c r="S183" s="32">
        <f t="shared" si="57"/>
        <v>1300</v>
      </c>
      <c r="T183" s="12"/>
      <c r="U183" s="12"/>
      <c r="V183" s="12"/>
      <c r="W183" s="12">
        <f t="shared" si="58"/>
        <v>1300</v>
      </c>
      <c r="Y183" s="62"/>
      <c r="Z183" s="66"/>
      <c r="AA183" s="88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5"/>
        <v>0</v>
      </c>
      <c r="H184" s="12"/>
      <c r="I184" s="12"/>
      <c r="J184" s="12"/>
      <c r="K184" s="12">
        <f t="shared" si="56"/>
        <v>0</v>
      </c>
      <c r="M184" s="10">
        <v>8</v>
      </c>
      <c r="N184" s="30"/>
      <c r="O184" s="11" t="s">
        <v>27</v>
      </c>
      <c r="P184" s="32"/>
      <c r="Q184" s="32"/>
      <c r="R184" s="32"/>
      <c r="S184" s="32">
        <f t="shared" si="57"/>
        <v>0</v>
      </c>
      <c r="T184" s="12"/>
      <c r="U184" s="12"/>
      <c r="V184" s="12"/>
      <c r="W184" s="12">
        <f t="shared" si="58"/>
        <v>0</v>
      </c>
      <c r="Y184" s="62"/>
      <c r="Z184" s="66"/>
      <c r="AA184" s="88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55"/>
        <v>0</v>
      </c>
      <c r="H185" s="12"/>
      <c r="I185" s="12"/>
      <c r="J185" s="12"/>
      <c r="K185" s="12">
        <f t="shared" si="56"/>
        <v>0</v>
      </c>
      <c r="M185" s="10">
        <v>9</v>
      </c>
      <c r="N185" s="30"/>
      <c r="O185" s="31"/>
      <c r="P185" s="32"/>
      <c r="Q185" s="32"/>
      <c r="R185" s="32"/>
      <c r="S185" s="32">
        <f t="shared" si="57"/>
        <v>0</v>
      </c>
      <c r="T185" s="12"/>
      <c r="U185" s="12"/>
      <c r="V185" s="12"/>
      <c r="W185" s="12">
        <f t="shared" si="58"/>
        <v>0</v>
      </c>
      <c r="Y185" s="62"/>
      <c r="Z185" s="66"/>
      <c r="AA185" s="88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5"/>
        <v>0</v>
      </c>
      <c r="H186" s="12"/>
      <c r="I186" s="12"/>
      <c r="J186" s="12"/>
      <c r="K186" s="12">
        <f t="shared" si="56"/>
        <v>0</v>
      </c>
      <c r="M186" s="10">
        <v>10</v>
      </c>
      <c r="N186" s="30"/>
      <c r="O186" s="31"/>
      <c r="P186" s="32"/>
      <c r="Q186" s="32"/>
      <c r="R186" s="32"/>
      <c r="S186" s="32">
        <f t="shared" si="57"/>
        <v>0</v>
      </c>
      <c r="T186" s="12"/>
      <c r="U186" s="12"/>
      <c r="V186" s="12"/>
      <c r="W186" s="12">
        <f t="shared" si="58"/>
        <v>0</v>
      </c>
      <c r="Y186" s="62"/>
      <c r="Z186" s="66"/>
      <c r="AA186" s="88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D187" s="32"/>
      <c r="E187" s="32"/>
      <c r="F187" s="32"/>
      <c r="G187" s="32">
        <f t="shared" si="55"/>
        <v>0</v>
      </c>
      <c r="H187" s="12"/>
      <c r="I187" s="12"/>
      <c r="J187" s="12"/>
      <c r="K187" s="12">
        <f t="shared" si="56"/>
        <v>0</v>
      </c>
      <c r="M187" s="10">
        <v>11</v>
      </c>
      <c r="N187" s="30"/>
      <c r="P187" s="32"/>
      <c r="Q187" s="32"/>
      <c r="R187" s="32"/>
      <c r="S187" s="32">
        <f t="shared" si="57"/>
        <v>0</v>
      </c>
      <c r="T187" s="12"/>
      <c r="U187" s="12"/>
      <c r="V187" s="12"/>
      <c r="W187" s="12">
        <f t="shared" si="58"/>
        <v>0</v>
      </c>
      <c r="Y187" s="62"/>
      <c r="Z187" s="66"/>
      <c r="AA187" s="88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55"/>
        <v>0</v>
      </c>
      <c r="H188" s="12"/>
      <c r="I188" s="12"/>
      <c r="J188" s="10"/>
      <c r="K188" s="12">
        <f t="shared" si="56"/>
        <v>0</v>
      </c>
      <c r="M188" s="10">
        <v>12</v>
      </c>
      <c r="N188" s="30"/>
      <c r="O188" s="31"/>
      <c r="P188" s="32"/>
      <c r="Q188" s="32"/>
      <c r="R188" s="32"/>
      <c r="S188" s="32">
        <f t="shared" si="57"/>
        <v>0</v>
      </c>
      <c r="T188" s="12"/>
      <c r="U188" s="12"/>
      <c r="V188" s="12"/>
      <c r="W188" s="12">
        <f t="shared" si="58"/>
        <v>0</v>
      </c>
      <c r="Y188" s="62"/>
      <c r="Z188" s="66"/>
      <c r="AA188" s="88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5"/>
        <v>0</v>
      </c>
      <c r="H189" s="12"/>
      <c r="I189" s="12"/>
      <c r="J189" s="12"/>
      <c r="K189" s="12">
        <f t="shared" si="56"/>
        <v>0</v>
      </c>
      <c r="M189" s="10">
        <v>13</v>
      </c>
      <c r="N189" s="30"/>
      <c r="O189" s="31"/>
      <c r="P189" s="32"/>
      <c r="Q189" s="32"/>
      <c r="R189" s="32"/>
      <c r="S189" s="32">
        <f t="shared" si="57"/>
        <v>0</v>
      </c>
      <c r="T189" s="12"/>
      <c r="U189" s="12"/>
      <c r="V189" s="12"/>
      <c r="W189" s="12">
        <f t="shared" si="58"/>
        <v>0</v>
      </c>
      <c r="Y189" s="62"/>
      <c r="Z189" s="66"/>
      <c r="AA189" s="88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5"/>
        <v>0</v>
      </c>
      <c r="H190" s="12"/>
      <c r="I190" s="12"/>
      <c r="J190" s="12"/>
      <c r="K190" s="12">
        <f t="shared" si="56"/>
        <v>0</v>
      </c>
      <c r="M190" s="10">
        <v>14</v>
      </c>
      <c r="N190" s="30"/>
      <c r="O190" s="31"/>
      <c r="P190" s="32"/>
      <c r="Q190" s="32"/>
      <c r="R190" s="32"/>
      <c r="S190" s="32">
        <f t="shared" si="57"/>
        <v>0</v>
      </c>
      <c r="T190" s="12"/>
      <c r="U190" s="12"/>
      <c r="V190" s="12"/>
      <c r="W190" s="12">
        <f t="shared" si="58"/>
        <v>0</v>
      </c>
      <c r="Y190" s="62"/>
      <c r="Z190" s="66"/>
      <c r="AA190" s="88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5"/>
        <v>0</v>
      </c>
      <c r="H191" s="12"/>
      <c r="I191" s="12"/>
      <c r="J191" s="12"/>
      <c r="K191" s="12">
        <f t="shared" si="56"/>
        <v>0</v>
      </c>
      <c r="M191" s="10">
        <v>15</v>
      </c>
      <c r="N191" s="30"/>
      <c r="O191" s="31"/>
      <c r="P191" s="32"/>
      <c r="Q191" s="32"/>
      <c r="R191" s="32"/>
      <c r="S191" s="32">
        <f t="shared" si="57"/>
        <v>0</v>
      </c>
      <c r="T191" s="12"/>
      <c r="U191" s="12"/>
      <c r="V191" s="12"/>
      <c r="W191" s="12">
        <f t="shared" si="58"/>
        <v>0</v>
      </c>
      <c r="Y191" s="62"/>
      <c r="Z191" s="66"/>
      <c r="AA191" s="88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5"/>
        <v>0</v>
      </c>
      <c r="H192" s="12"/>
      <c r="I192" s="12"/>
      <c r="J192" s="12"/>
      <c r="K192" s="12">
        <f t="shared" si="56"/>
        <v>0</v>
      </c>
      <c r="M192" s="10">
        <v>16</v>
      </c>
      <c r="N192" s="30"/>
      <c r="O192" s="31"/>
      <c r="P192" s="32"/>
      <c r="Q192" s="32"/>
      <c r="R192" s="32"/>
      <c r="S192" s="32">
        <f t="shared" si="57"/>
        <v>0</v>
      </c>
      <c r="T192" s="12"/>
      <c r="U192" s="12"/>
      <c r="V192" s="12"/>
      <c r="W192" s="12">
        <f t="shared" si="58"/>
        <v>0</v>
      </c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5"/>
        <v>0</v>
      </c>
      <c r="H193" s="12"/>
      <c r="I193" s="12"/>
      <c r="J193" s="12"/>
      <c r="K193" s="12">
        <f t="shared" si="56"/>
        <v>0</v>
      </c>
      <c r="M193" s="10">
        <v>17</v>
      </c>
      <c r="N193" s="30"/>
      <c r="O193" s="31"/>
      <c r="P193" s="35"/>
      <c r="Q193" s="32"/>
      <c r="R193" s="32"/>
      <c r="S193" s="32">
        <f t="shared" si="57"/>
        <v>0</v>
      </c>
      <c r="T193" s="12"/>
      <c r="U193" s="12"/>
      <c r="V193" s="12"/>
      <c r="W193" s="12">
        <f t="shared" si="58"/>
        <v>0</v>
      </c>
      <c r="Y193" s="62"/>
      <c r="Z193" s="66"/>
      <c r="AA193" s="88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5"/>
        <v>0</v>
      </c>
      <c r="H194" s="12"/>
      <c r="I194" s="12"/>
      <c r="J194" s="12"/>
      <c r="K194" s="12">
        <f t="shared" si="56"/>
        <v>0</v>
      </c>
      <c r="M194" s="10">
        <v>18</v>
      </c>
      <c r="N194" s="30"/>
      <c r="P194" s="32"/>
      <c r="Q194" s="32"/>
      <c r="R194" s="32"/>
      <c r="S194" s="32">
        <f t="shared" si="57"/>
        <v>0</v>
      </c>
      <c r="T194" s="12"/>
      <c r="U194" s="12"/>
      <c r="V194" s="12"/>
      <c r="W194" s="12">
        <f t="shared" si="58"/>
        <v>0</v>
      </c>
      <c r="Y194" s="62"/>
      <c r="Z194" s="66"/>
      <c r="AA194" s="88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5"/>
        <v>0</v>
      </c>
      <c r="H195" s="12"/>
      <c r="I195" s="12"/>
      <c r="J195" s="12"/>
      <c r="K195" s="12">
        <f t="shared" si="56"/>
        <v>0</v>
      </c>
      <c r="M195" s="10">
        <v>19</v>
      </c>
      <c r="N195" s="30"/>
      <c r="O195" s="31"/>
      <c r="P195" s="32"/>
      <c r="Q195" s="32"/>
      <c r="R195" s="32"/>
      <c r="S195" s="32">
        <f t="shared" si="57"/>
        <v>0</v>
      </c>
      <c r="T195" s="12"/>
      <c r="U195" s="12"/>
      <c r="V195" s="12"/>
      <c r="W195" s="12">
        <f t="shared" si="58"/>
        <v>0</v>
      </c>
      <c r="Y195" s="62"/>
      <c r="Z195" s="66"/>
      <c r="AA195" s="88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5"/>
        <v>0</v>
      </c>
      <c r="H196" s="12"/>
      <c r="I196" s="12"/>
      <c r="J196" s="12"/>
      <c r="K196" s="12">
        <f t="shared" si="56"/>
        <v>0</v>
      </c>
      <c r="M196" s="10">
        <v>20</v>
      </c>
      <c r="N196" s="30"/>
      <c r="P196" s="32"/>
      <c r="Q196" s="32"/>
      <c r="R196" s="32"/>
      <c r="S196" s="32">
        <f t="shared" si="57"/>
        <v>0</v>
      </c>
      <c r="T196" s="12"/>
      <c r="U196" s="12"/>
      <c r="V196" s="12"/>
      <c r="W196" s="12">
        <f t="shared" si="58"/>
        <v>0</v>
      </c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5"/>
        <v>0</v>
      </c>
      <c r="H197" s="10"/>
      <c r="I197" s="10"/>
      <c r="J197" s="10"/>
      <c r="K197" s="12">
        <f t="shared" si="56"/>
        <v>0</v>
      </c>
      <c r="M197" s="10">
        <v>21</v>
      </c>
      <c r="N197" s="30"/>
      <c r="O197" s="31"/>
      <c r="P197" s="46"/>
      <c r="Q197" s="31"/>
      <c r="R197" s="31"/>
      <c r="S197" s="32">
        <f t="shared" si="57"/>
        <v>0</v>
      </c>
      <c r="T197" s="10"/>
      <c r="U197" s="10"/>
      <c r="V197" s="10"/>
      <c r="W197" s="12">
        <f t="shared" si="58"/>
        <v>0</v>
      </c>
      <c r="Y197" s="62"/>
      <c r="Z197" s="66"/>
      <c r="AA197" s="88"/>
      <c r="AB197" s="67"/>
      <c r="AC197" s="88"/>
      <c r="AD197" s="88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5"/>
        <v>0</v>
      </c>
      <c r="H198" s="10"/>
      <c r="I198" s="10"/>
      <c r="J198" s="10"/>
      <c r="K198" s="12">
        <f t="shared" si="56"/>
        <v>0</v>
      </c>
      <c r="M198" s="10">
        <v>22</v>
      </c>
      <c r="N198" s="30"/>
      <c r="O198" s="31"/>
      <c r="P198" s="45"/>
      <c r="Q198" s="31"/>
      <c r="R198" s="31"/>
      <c r="S198" s="32">
        <f t="shared" si="57"/>
        <v>0</v>
      </c>
      <c r="T198" s="10"/>
      <c r="U198" s="10"/>
      <c r="V198" s="10"/>
      <c r="W198" s="12">
        <f t="shared" si="58"/>
        <v>0</v>
      </c>
      <c r="Y198" s="62"/>
      <c r="Z198" s="66"/>
      <c r="AA198" s="88"/>
      <c r="AB198" s="68"/>
      <c r="AC198" s="88"/>
      <c r="AD198" s="88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5"/>
        <v>0</v>
      </c>
      <c r="H199" s="10"/>
      <c r="I199" s="10"/>
      <c r="J199" s="12"/>
      <c r="K199" s="12">
        <f t="shared" si="56"/>
        <v>0</v>
      </c>
      <c r="M199" s="10">
        <v>23</v>
      </c>
      <c r="N199" s="30"/>
      <c r="O199" s="31"/>
      <c r="P199" s="47"/>
      <c r="Q199" s="31"/>
      <c r="S199" s="32">
        <f t="shared" si="57"/>
        <v>0</v>
      </c>
      <c r="T199" s="10"/>
      <c r="U199" s="10"/>
      <c r="V199" s="10"/>
      <c r="W199" s="12">
        <f t="shared" si="58"/>
        <v>0</v>
      </c>
      <c r="Y199" s="62"/>
      <c r="Z199" s="66"/>
      <c r="AA199" s="88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5"/>
        <v>0</v>
      </c>
      <c r="H200" s="10"/>
      <c r="I200" s="10"/>
      <c r="J200" s="10"/>
      <c r="K200" s="12">
        <f t="shared" si="56"/>
        <v>0</v>
      </c>
      <c r="M200" s="10">
        <v>24</v>
      </c>
      <c r="N200" s="30"/>
      <c r="O200" s="31"/>
      <c r="P200" s="47"/>
      <c r="Q200" s="31"/>
      <c r="R200" s="31"/>
      <c r="S200" s="32">
        <f t="shared" si="57"/>
        <v>0</v>
      </c>
      <c r="T200" s="10"/>
      <c r="U200" s="10"/>
      <c r="V200" s="10"/>
      <c r="W200" s="12">
        <f t="shared" si="58"/>
        <v>0</v>
      </c>
      <c r="Y200" s="62"/>
      <c r="Z200" s="66"/>
      <c r="AA200" s="88"/>
      <c r="AB200" s="69"/>
      <c r="AC200" s="88"/>
      <c r="AD200" s="88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5"/>
        <v>0</v>
      </c>
      <c r="H201" s="10"/>
      <c r="I201" s="10"/>
      <c r="J201" s="10"/>
      <c r="K201" s="12">
        <f t="shared" si="56"/>
        <v>0</v>
      </c>
      <c r="M201" s="10">
        <v>25</v>
      </c>
      <c r="N201" s="30"/>
      <c r="O201" s="31"/>
      <c r="P201" s="47"/>
      <c r="Q201" s="31"/>
      <c r="R201" s="31"/>
      <c r="S201" s="32">
        <f t="shared" si="57"/>
        <v>0</v>
      </c>
      <c r="T201" s="10"/>
      <c r="U201" s="10"/>
      <c r="V201" s="10"/>
      <c r="W201" s="12">
        <f t="shared" si="58"/>
        <v>0</v>
      </c>
      <c r="Y201" s="62"/>
      <c r="Z201" s="66"/>
      <c r="AA201" s="88"/>
      <c r="AB201" s="69"/>
      <c r="AC201" s="88"/>
      <c r="AD201" s="88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5"/>
        <v>0</v>
      </c>
      <c r="H202" s="10"/>
      <c r="I202" s="10"/>
      <c r="J202" s="10"/>
      <c r="K202" s="12">
        <f t="shared" si="56"/>
        <v>0</v>
      </c>
      <c r="M202" s="10">
        <v>26</v>
      </c>
      <c r="N202" s="30"/>
      <c r="O202" s="31"/>
      <c r="P202" s="47"/>
      <c r="Q202" s="31"/>
      <c r="R202" s="31"/>
      <c r="S202" s="32">
        <f t="shared" si="57"/>
        <v>0</v>
      </c>
      <c r="T202" s="10"/>
      <c r="U202" s="10"/>
      <c r="V202" s="10"/>
      <c r="W202" s="12">
        <f t="shared" si="58"/>
        <v>0</v>
      </c>
      <c r="Y202" s="62"/>
      <c r="Z202" s="66"/>
      <c r="AA202" s="88"/>
      <c r="AB202" s="69"/>
      <c r="AC202" s="88"/>
      <c r="AD202" s="88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5"/>
        <v>0</v>
      </c>
      <c r="H203" s="10"/>
      <c r="I203" s="10"/>
      <c r="J203" s="10"/>
      <c r="K203" s="12">
        <f t="shared" si="56"/>
        <v>0</v>
      </c>
      <c r="M203" s="10">
        <v>27</v>
      </c>
      <c r="N203" s="30"/>
      <c r="O203" s="31"/>
      <c r="P203" s="47"/>
      <c r="Q203" s="31"/>
      <c r="R203" s="31"/>
      <c r="S203" s="32">
        <f t="shared" si="57"/>
        <v>0</v>
      </c>
      <c r="T203" s="10"/>
      <c r="U203" s="10"/>
      <c r="V203" s="10"/>
      <c r="W203" s="12">
        <f t="shared" si="58"/>
        <v>0</v>
      </c>
      <c r="Y203" s="62"/>
      <c r="Z203" s="66"/>
      <c r="AA203" s="88"/>
      <c r="AB203" s="69"/>
      <c r="AC203" s="88"/>
      <c r="AD203" s="88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5"/>
        <v>0</v>
      </c>
      <c r="H204" s="10"/>
      <c r="I204" s="10"/>
      <c r="J204" s="10"/>
      <c r="K204" s="12">
        <f t="shared" si="56"/>
        <v>0</v>
      </c>
      <c r="M204" s="10">
        <v>28</v>
      </c>
      <c r="N204" s="30"/>
      <c r="O204" s="31"/>
      <c r="P204" s="47"/>
      <c r="Q204" s="31"/>
      <c r="R204" s="31"/>
      <c r="S204" s="32">
        <f t="shared" si="57"/>
        <v>0</v>
      </c>
      <c r="T204" s="10"/>
      <c r="U204" s="10"/>
      <c r="V204" s="10"/>
      <c r="W204" s="12">
        <f t="shared" si="58"/>
        <v>0</v>
      </c>
      <c r="Y204" s="62"/>
      <c r="Z204" s="66"/>
      <c r="AA204" s="88"/>
      <c r="AB204" s="69"/>
      <c r="AC204" s="88"/>
      <c r="AD204" s="88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5"/>
        <v>0</v>
      </c>
      <c r="H205" s="10"/>
      <c r="I205" s="10"/>
      <c r="J205" s="10"/>
      <c r="K205" s="12">
        <f t="shared" si="56"/>
        <v>0</v>
      </c>
      <c r="M205" s="10">
        <v>29</v>
      </c>
      <c r="N205" s="30"/>
      <c r="O205" s="31"/>
      <c r="P205" s="47"/>
      <c r="Q205" s="31"/>
      <c r="R205" s="31"/>
      <c r="S205" s="32">
        <f t="shared" si="57"/>
        <v>0</v>
      </c>
      <c r="T205" s="10"/>
      <c r="U205" s="10"/>
      <c r="V205" s="10"/>
      <c r="W205" s="12">
        <f t="shared" si="58"/>
        <v>0</v>
      </c>
      <c r="Y205" s="62"/>
      <c r="Z205" s="66"/>
      <c r="AA205" s="88"/>
      <c r="AB205" s="69"/>
      <c r="AC205" s="88"/>
      <c r="AD205" s="88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5"/>
        <v>0</v>
      </c>
      <c r="H206" s="10"/>
      <c r="I206" s="10"/>
      <c r="J206" s="10"/>
      <c r="K206" s="12">
        <f t="shared" si="56"/>
        <v>0</v>
      </c>
      <c r="M206" s="10">
        <v>30</v>
      </c>
      <c r="N206" s="30"/>
      <c r="O206" s="31"/>
      <c r="P206" s="47"/>
      <c r="Q206" s="31"/>
      <c r="R206" s="31"/>
      <c r="S206" s="32">
        <f t="shared" si="57"/>
        <v>0</v>
      </c>
      <c r="T206" s="10"/>
      <c r="U206" s="10"/>
      <c r="V206" s="10"/>
      <c r="W206" s="12">
        <f t="shared" si="58"/>
        <v>0</v>
      </c>
      <c r="Y206" s="62"/>
      <c r="Z206" s="66"/>
      <c r="AA206" s="88"/>
      <c r="AB206" s="69"/>
      <c r="AC206" s="88"/>
      <c r="AD206" s="88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5"/>
        <v>0</v>
      </c>
      <c r="H207" s="10"/>
      <c r="I207" s="10"/>
      <c r="J207" s="10"/>
      <c r="K207" s="12">
        <f t="shared" si="56"/>
        <v>0</v>
      </c>
      <c r="M207" s="10">
        <v>31</v>
      </c>
      <c r="N207" s="30"/>
      <c r="O207" s="31"/>
      <c r="P207" s="47"/>
      <c r="Q207" s="31"/>
      <c r="R207" s="31"/>
      <c r="S207" s="32">
        <f t="shared" si="57"/>
        <v>0</v>
      </c>
      <c r="T207" s="10"/>
      <c r="U207" s="10"/>
      <c r="V207" s="10"/>
      <c r="W207" s="12">
        <f t="shared" si="58"/>
        <v>0</v>
      </c>
      <c r="Y207" s="62"/>
      <c r="Z207" s="66"/>
      <c r="AA207" s="88"/>
      <c r="AB207" s="69"/>
      <c r="AC207" s="88"/>
      <c r="AD207" s="88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5"/>
        <v>0</v>
      </c>
      <c r="H208" s="10"/>
      <c r="I208" s="10"/>
      <c r="J208" s="10"/>
      <c r="K208" s="12">
        <f t="shared" si="56"/>
        <v>0</v>
      </c>
      <c r="M208" s="10">
        <v>32</v>
      </c>
      <c r="N208" s="30"/>
      <c r="O208" s="31"/>
      <c r="P208" s="47"/>
      <c r="Q208" s="31"/>
      <c r="R208" s="31"/>
      <c r="S208" s="32">
        <f t="shared" si="57"/>
        <v>0</v>
      </c>
      <c r="T208" s="10"/>
      <c r="U208" s="10"/>
      <c r="V208" s="10"/>
      <c r="W208" s="12">
        <f t="shared" si="58"/>
        <v>0</v>
      </c>
      <c r="Y208" s="62"/>
      <c r="Z208" s="66"/>
      <c r="AA208" s="88"/>
      <c r="AB208" s="69"/>
      <c r="AC208" s="88"/>
      <c r="AD208" s="88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5"/>
        <v>0</v>
      </c>
      <c r="H209" s="10"/>
      <c r="I209" s="10"/>
      <c r="J209" s="10"/>
      <c r="K209" s="12">
        <f t="shared" si="56"/>
        <v>0</v>
      </c>
      <c r="M209" s="10">
        <v>33</v>
      </c>
      <c r="N209" s="30"/>
      <c r="O209" s="31"/>
      <c r="P209" s="47"/>
      <c r="Q209" s="31"/>
      <c r="R209" s="31"/>
      <c r="S209" s="32">
        <f t="shared" si="57"/>
        <v>0</v>
      </c>
      <c r="T209" s="10"/>
      <c r="U209" s="10"/>
      <c r="V209" s="10"/>
      <c r="W209" s="12">
        <f t="shared" si="58"/>
        <v>0</v>
      </c>
      <c r="Y209" s="62"/>
      <c r="Z209" s="66"/>
      <c r="AA209" s="88"/>
      <c r="AB209" s="69"/>
      <c r="AC209" s="88"/>
      <c r="AD209" s="88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5"/>
        <v>0</v>
      </c>
      <c r="H210" s="10"/>
      <c r="I210" s="10"/>
      <c r="J210" s="10"/>
      <c r="K210" s="12">
        <f t="shared" si="5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1">SUM(P210:Q210)</f>
        <v>0</v>
      </c>
      <c r="T210" s="10"/>
      <c r="U210" s="10"/>
      <c r="V210" s="10"/>
      <c r="W210" s="12">
        <f t="shared" ref="W210:W218" si="62">SUM(S210:V210)</f>
        <v>0</v>
      </c>
      <c r="Y210" s="62"/>
      <c r="Z210" s="66"/>
      <c r="AA210" s="88"/>
      <c r="AB210" s="69"/>
      <c r="AC210" s="88"/>
      <c r="AD210" s="88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1"/>
        <v>0</v>
      </c>
      <c r="T211" s="10"/>
      <c r="U211" s="10"/>
      <c r="V211" s="10"/>
      <c r="W211" s="12">
        <f t="shared" si="62"/>
        <v>0</v>
      </c>
      <c r="Y211" s="62"/>
      <c r="Z211" s="66"/>
      <c r="AA211" s="88"/>
      <c r="AB211" s="69"/>
      <c r="AC211" s="88"/>
      <c r="AD211" s="88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1"/>
        <v>0</v>
      </c>
      <c r="T212" s="10"/>
      <c r="U212" s="10"/>
      <c r="V212" s="10"/>
      <c r="W212" s="12">
        <f t="shared" si="62"/>
        <v>0</v>
      </c>
      <c r="Y212" s="62"/>
      <c r="Z212" s="66"/>
      <c r="AA212" s="88"/>
      <c r="AB212" s="69"/>
      <c r="AC212" s="88"/>
      <c r="AD212" s="88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1"/>
        <v>0</v>
      </c>
      <c r="T213" s="10"/>
      <c r="U213" s="10"/>
      <c r="V213" s="10"/>
      <c r="W213" s="12">
        <f t="shared" si="62"/>
        <v>0</v>
      </c>
      <c r="Y213" s="62"/>
      <c r="Z213" s="66"/>
      <c r="AA213" s="88"/>
      <c r="AB213" s="69"/>
      <c r="AC213" s="88"/>
      <c r="AD213" s="88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1"/>
        <v>0</v>
      </c>
      <c r="T214" s="10"/>
      <c r="U214" s="10"/>
      <c r="V214" s="10"/>
      <c r="W214" s="12">
        <f t="shared" si="62"/>
        <v>0</v>
      </c>
      <c r="Y214" s="62"/>
      <c r="Z214" s="66"/>
      <c r="AA214" s="88"/>
      <c r="AB214" s="69"/>
      <c r="AC214" s="88"/>
      <c r="AD214" s="88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1"/>
        <v>0</v>
      </c>
      <c r="T215" s="10"/>
      <c r="U215" s="10"/>
      <c r="V215" s="10"/>
      <c r="W215" s="12">
        <f t="shared" si="62"/>
        <v>0</v>
      </c>
      <c r="Y215" s="62"/>
      <c r="Z215" s="66"/>
      <c r="AA215" s="88"/>
      <c r="AB215" s="69"/>
      <c r="AC215" s="88"/>
      <c r="AD215" s="88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2"/>
        <v>0</v>
      </c>
      <c r="Y216" s="62"/>
      <c r="Z216" s="66"/>
      <c r="AA216" s="62"/>
      <c r="AB216" s="69"/>
      <c r="AC216" s="88"/>
      <c r="AD216" s="88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3">SUM(D217:E217)</f>
        <v>0</v>
      </c>
      <c r="H217" s="10"/>
      <c r="I217" s="10"/>
      <c r="J217" s="10"/>
      <c r="K217" s="12">
        <f t="shared" ref="K217" si="64">SUM(G217:J217)</f>
        <v>0</v>
      </c>
      <c r="M217" s="10"/>
      <c r="N217" s="30"/>
      <c r="O217" s="31"/>
      <c r="P217" s="47"/>
      <c r="Q217" s="31"/>
      <c r="R217" s="31"/>
      <c r="S217" s="32">
        <f t="shared" ref="S217" si="65">SUM(P217:Q217)</f>
        <v>0</v>
      </c>
      <c r="T217" s="10"/>
      <c r="U217" s="10"/>
      <c r="V217" s="10"/>
      <c r="W217" s="12">
        <f t="shared" si="62"/>
        <v>0</v>
      </c>
      <c r="Y217" s="62"/>
      <c r="Z217" s="66"/>
      <c r="AA217" s="88"/>
      <c r="AB217" s="69"/>
      <c r="AC217" s="88"/>
      <c r="AD217" s="88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2"/>
        <v>0</v>
      </c>
      <c r="Y218" s="62"/>
      <c r="Z218" s="88"/>
      <c r="AA218" s="88"/>
      <c r="AB218" s="88"/>
      <c r="AC218" s="88"/>
      <c r="AD218" s="88"/>
      <c r="AE218" s="88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Y219" s="62"/>
      <c r="Z219" s="88"/>
      <c r="AA219" s="88"/>
      <c r="AB219" s="88"/>
      <c r="AC219" s="88"/>
      <c r="AD219" s="88"/>
      <c r="AE219" s="88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257774</v>
      </c>
      <c r="E220" s="38">
        <f t="shared" ref="E220:F220" si="66">SUM(E177:E217)</f>
        <v>-1950</v>
      </c>
      <c r="F220" s="38">
        <f t="shared" si="66"/>
        <v>0</v>
      </c>
      <c r="G220" s="38">
        <f>SUM(G177:G219)</f>
        <v>255824</v>
      </c>
      <c r="H220" s="4"/>
      <c r="I220" s="39">
        <f>SUM(I177:I219)</f>
        <v>31.5</v>
      </c>
      <c r="J220" s="39">
        <f>SUM(J177:J219)</f>
        <v>-11988</v>
      </c>
      <c r="K220" s="40">
        <f>SUM(K177:K219)</f>
        <v>243867.5</v>
      </c>
      <c r="N220" s="57"/>
      <c r="O220" s="57"/>
      <c r="P220" s="38">
        <f>SUM(P177:P219)</f>
        <v>231173</v>
      </c>
      <c r="Q220" s="38">
        <f>SUM(Q177:Q201)</f>
        <v>-1182</v>
      </c>
      <c r="R220" s="38">
        <f>SUM(R177:R201)</f>
        <v>0</v>
      </c>
      <c r="S220" s="38">
        <f>SUM(S177:S219)</f>
        <v>229991</v>
      </c>
      <c r="T220" s="4"/>
      <c r="U220" s="41">
        <f>SUM(U177:U219)</f>
        <v>474</v>
      </c>
      <c r="V220" s="41">
        <f>SUM(V177:V201)</f>
        <v>-4971</v>
      </c>
      <c r="W220" s="42">
        <f>SUM(W177:W219)</f>
        <v>225494</v>
      </c>
      <c r="Y220" s="62"/>
      <c r="Z220" s="88"/>
      <c r="AA220" s="88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8"/>
      <c r="C222" s="88"/>
      <c r="D222" s="88"/>
      <c r="E222" s="88"/>
      <c r="F222" s="88"/>
      <c r="G222" s="88"/>
      <c r="H222" s="62"/>
      <c r="I222" s="62"/>
      <c r="J222" s="62"/>
      <c r="K222" s="62"/>
      <c r="L222" s="62"/>
      <c r="M222" s="62"/>
      <c r="N222" s="88"/>
      <c r="O222" s="88"/>
      <c r="P222" s="88"/>
      <c r="Q222" s="88"/>
      <c r="R222" s="88"/>
      <c r="S222" s="88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8"/>
      <c r="C223" s="88"/>
      <c r="D223" s="88"/>
      <c r="E223" s="88"/>
      <c r="F223" s="88"/>
      <c r="G223" s="88"/>
      <c r="H223" s="62"/>
      <c r="I223" s="62"/>
      <c r="J223" s="62"/>
      <c r="K223" s="62"/>
      <c r="L223" s="62"/>
      <c r="M223" s="62"/>
      <c r="N223" s="88"/>
      <c r="O223" s="88"/>
      <c r="P223" s="88"/>
      <c r="Q223" s="88"/>
      <c r="R223" s="88"/>
      <c r="S223" s="88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8"/>
      <c r="C224" s="88"/>
      <c r="D224" s="88"/>
      <c r="E224" s="88"/>
      <c r="F224" s="88"/>
      <c r="G224" s="88"/>
      <c r="H224" s="62"/>
      <c r="I224" s="62"/>
      <c r="J224" s="62"/>
      <c r="K224" s="62"/>
      <c r="L224" s="62"/>
      <c r="M224" s="62"/>
      <c r="N224" s="88"/>
      <c r="O224" s="88"/>
      <c r="P224" s="88"/>
      <c r="Q224" s="88"/>
      <c r="R224" s="88"/>
      <c r="S224" s="88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8"/>
      <c r="C225" s="88"/>
      <c r="D225" s="88"/>
      <c r="E225" s="88"/>
      <c r="F225" s="88"/>
      <c r="G225" s="88"/>
      <c r="H225" s="62"/>
      <c r="I225" s="62"/>
      <c r="J225" s="62"/>
      <c r="K225" s="62"/>
      <c r="L225" s="62"/>
      <c r="M225" s="63"/>
      <c r="N225" s="88"/>
      <c r="O225" s="88"/>
      <c r="P225" s="88"/>
      <c r="Q225" s="88"/>
      <c r="R225" s="88"/>
      <c r="S225" s="88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8"/>
      <c r="C226" s="88"/>
      <c r="D226" s="88"/>
      <c r="E226" s="88"/>
      <c r="F226" s="88"/>
      <c r="G226" s="88"/>
      <c r="H226" s="62"/>
      <c r="I226" s="62"/>
      <c r="J226" s="62"/>
      <c r="K226" s="62"/>
      <c r="L226" s="62"/>
      <c r="M226" s="62"/>
      <c r="N226" s="88"/>
      <c r="O226" s="88"/>
      <c r="P226" s="88"/>
      <c r="Q226" s="88"/>
      <c r="R226" s="88"/>
      <c r="S226" s="88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8"/>
      <c r="C227" s="88"/>
      <c r="D227" s="88"/>
      <c r="E227" s="88"/>
      <c r="F227" s="88"/>
      <c r="G227" s="88"/>
      <c r="H227" s="62"/>
      <c r="I227" s="88"/>
      <c r="J227" s="73"/>
      <c r="K227" s="62"/>
      <c r="L227" s="62"/>
      <c r="M227" s="62"/>
      <c r="N227" s="88"/>
      <c r="O227" s="88"/>
      <c r="P227" s="88"/>
      <c r="Q227" s="88"/>
      <c r="R227" s="88"/>
      <c r="S227" s="88"/>
      <c r="T227" s="62"/>
      <c r="U227" s="88"/>
      <c r="V227" s="73"/>
      <c r="W227" s="62"/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8"/>
      <c r="C228" s="88"/>
      <c r="D228" s="88"/>
      <c r="E228" s="88"/>
      <c r="F228" s="88"/>
      <c r="G228" s="88"/>
      <c r="H228" s="62"/>
      <c r="I228" s="65"/>
      <c r="J228" s="65"/>
      <c r="K228" s="62"/>
      <c r="L228" s="62"/>
      <c r="M228" s="64"/>
      <c r="N228" s="88"/>
      <c r="O228" s="88"/>
      <c r="P228" s="88"/>
      <c r="Q228" s="88"/>
      <c r="R228" s="88"/>
      <c r="S228" s="88"/>
      <c r="T228" s="62"/>
      <c r="U228" s="65"/>
      <c r="V228" s="65"/>
      <c r="W228" s="62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35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8"/>
      <c r="C229" s="88"/>
      <c r="D229" s="88"/>
      <c r="E229" s="88"/>
      <c r="F229" s="88"/>
      <c r="G229" s="88"/>
      <c r="H229" s="62"/>
      <c r="I229" s="62"/>
      <c r="J229" s="62"/>
      <c r="K229" s="62"/>
      <c r="L229" s="62"/>
      <c r="M229" s="62"/>
      <c r="N229" s="88"/>
      <c r="O229" s="88"/>
      <c r="P229" s="88"/>
      <c r="Q229" s="88"/>
      <c r="R229" s="88"/>
      <c r="S229" s="88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8"/>
      <c r="D230" s="115"/>
      <c r="E230" s="115"/>
      <c r="F230" s="88"/>
      <c r="G230" s="88"/>
      <c r="H230" s="62"/>
      <c r="I230" s="115"/>
      <c r="J230" s="115"/>
      <c r="K230" s="114"/>
      <c r="L230" s="62"/>
      <c r="M230" s="62"/>
      <c r="N230" s="65"/>
      <c r="O230" s="88"/>
      <c r="P230" s="115"/>
      <c r="Q230" s="115"/>
      <c r="R230" s="88"/>
      <c r="S230" s="88"/>
      <c r="T230" s="62"/>
      <c r="U230" s="115"/>
      <c r="V230" s="115"/>
      <c r="W230" s="114"/>
      <c r="Z230" s="25"/>
      <c r="AA230" s="26"/>
      <c r="AB230" s="113" t="s">
        <v>17</v>
      </c>
      <c r="AC230" s="113"/>
      <c r="AD230" s="93"/>
      <c r="AE230" s="27"/>
      <c r="AG230" s="111" t="s">
        <v>18</v>
      </c>
      <c r="AH230" s="112"/>
      <c r="AI230" s="109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88"/>
      <c r="C231" s="88"/>
      <c r="D231" s="79"/>
      <c r="E231" s="80"/>
      <c r="F231" s="81"/>
      <c r="G231" s="81"/>
      <c r="H231" s="62"/>
      <c r="I231" s="87"/>
      <c r="J231" s="87"/>
      <c r="K231" s="114"/>
      <c r="L231" s="62"/>
      <c r="M231" s="62"/>
      <c r="N231" s="88"/>
      <c r="O231" s="88"/>
      <c r="P231" s="79"/>
      <c r="Q231" s="81"/>
      <c r="R231" s="81"/>
      <c r="S231" s="81"/>
      <c r="T231" s="62"/>
      <c r="U231" s="87"/>
      <c r="V231" s="87"/>
      <c r="W231" s="114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10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8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46176</v>
      </c>
      <c r="AA232" s="31">
        <v>9397</v>
      </c>
      <c r="AB232" s="32">
        <f>229*5</f>
        <v>1145</v>
      </c>
      <c r="AC232" s="32"/>
      <c r="AD232" s="32"/>
      <c r="AE232" s="32">
        <f>SUM(AB232:AC232)</f>
        <v>1145</v>
      </c>
      <c r="AF232" s="12"/>
      <c r="AG232" s="12">
        <v>390</v>
      </c>
      <c r="AH232" s="12"/>
      <c r="AI232" s="12">
        <f>SUM(AE232:AH232)</f>
        <v>1535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8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46176</v>
      </c>
      <c r="AA233" s="31">
        <f>AA232+1</f>
        <v>9398</v>
      </c>
      <c r="AB233" s="32">
        <f>650*234+670*10+622*108+229*5</f>
        <v>227121</v>
      </c>
      <c r="AC233" s="32">
        <f>-352*6</f>
        <v>-2112</v>
      </c>
      <c r="AD233" s="32"/>
      <c r="AE233" s="32">
        <f t="shared" ref="AE233:AE241" si="67">SUM(AB233:AC233)</f>
        <v>225009</v>
      </c>
      <c r="AF233" s="12"/>
      <c r="AG233" s="12">
        <v>108</v>
      </c>
      <c r="AH233" s="12"/>
      <c r="AI233" s="12">
        <f t="shared" ref="AI233:AI273" si="68">SUM(AE233:AH233)</f>
        <v>225117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8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46176</v>
      </c>
      <c r="AA234" s="31">
        <f t="shared" ref="AA234:AA237" si="69">AA233+1</f>
        <v>9399</v>
      </c>
      <c r="AB234" s="33">
        <f>650*30+622*2+229</f>
        <v>20973</v>
      </c>
      <c r="AC234" s="33"/>
      <c r="AD234" s="32"/>
      <c r="AE234" s="32">
        <f t="shared" si="67"/>
        <v>20973</v>
      </c>
      <c r="AF234" s="12"/>
      <c r="AG234" s="12">
        <v>78</v>
      </c>
      <c r="AH234" s="12">
        <v>-1443</v>
      </c>
      <c r="AI234" s="12">
        <f t="shared" si="68"/>
        <v>19608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8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46176</v>
      </c>
      <c r="AA235" s="31">
        <f t="shared" si="69"/>
        <v>9400</v>
      </c>
      <c r="AB235" s="32">
        <f>650*26</f>
        <v>16900</v>
      </c>
      <c r="AC235" s="32"/>
      <c r="AD235" s="32"/>
      <c r="AE235" s="32">
        <f t="shared" si="67"/>
        <v>16900</v>
      </c>
      <c r="AF235" s="12"/>
      <c r="AG235" s="58">
        <v>111</v>
      </c>
      <c r="AH235" s="12"/>
      <c r="AI235" s="12">
        <f t="shared" si="68"/>
        <v>17011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8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46176</v>
      </c>
      <c r="AA236" s="31">
        <v>9501</v>
      </c>
      <c r="AB236" s="32">
        <f>650*60+229*2</f>
        <v>39458</v>
      </c>
      <c r="AC236" s="32">
        <f>-60*6</f>
        <v>-360</v>
      </c>
      <c r="AD236" s="32"/>
      <c r="AE236" s="32">
        <f t="shared" si="67"/>
        <v>39098</v>
      </c>
      <c r="AF236" s="12"/>
      <c r="AG236" s="12"/>
      <c r="AH236" s="12"/>
      <c r="AI236" s="12">
        <f t="shared" si="68"/>
        <v>39098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8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>
        <v>46176</v>
      </c>
      <c r="AA237" s="31">
        <f t="shared" si="69"/>
        <v>9502</v>
      </c>
      <c r="AB237" s="32">
        <f>650*5+622</f>
        <v>3872</v>
      </c>
      <c r="AC237" s="32"/>
      <c r="AD237" s="32"/>
      <c r="AE237" s="32">
        <f t="shared" si="67"/>
        <v>3872</v>
      </c>
      <c r="AF237" s="12"/>
      <c r="AG237" s="12"/>
      <c r="AH237" s="10"/>
      <c r="AI237" s="12">
        <f t="shared" si="68"/>
        <v>3872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8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7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8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B239" s="32"/>
      <c r="AC239" s="32"/>
      <c r="AE239" s="32">
        <f t="shared" si="67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8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C240" s="32"/>
      <c r="AD240" s="32"/>
      <c r="AE240" s="32">
        <f t="shared" si="67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8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67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8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B242" s="32"/>
      <c r="AC242" s="32"/>
      <c r="AD242" s="32"/>
      <c r="AE242" s="32">
        <f t="shared" ref="AE242:AE264" si="70">SUM(AB242:AC242)</f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8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8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8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88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8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8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88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8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8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8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8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8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8"/>
      <c r="P252" s="89"/>
      <c r="Q252" s="88"/>
      <c r="R252" s="88"/>
      <c r="S252" s="60"/>
      <c r="T252" s="62"/>
      <c r="U252" s="62"/>
      <c r="V252" s="62"/>
      <c r="W252" s="61"/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8"/>
      <c r="P253" s="89"/>
      <c r="Q253" s="88"/>
      <c r="R253" s="88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8"/>
      <c r="P254" s="69"/>
      <c r="Q254" s="88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E254" s="32">
        <f t="shared" si="70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65"/>
      <c r="P255" s="69"/>
      <c r="Q255" s="88"/>
      <c r="R255" s="88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8"/>
      <c r="P256" s="69"/>
      <c r="Q256" s="88"/>
      <c r="R256" s="88"/>
      <c r="S256" s="60"/>
      <c r="T256" s="62"/>
      <c r="U256" s="62"/>
      <c r="V256" s="62"/>
      <c r="W256" s="61"/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62"/>
      <c r="P257" s="69"/>
      <c r="Q257" s="88"/>
      <c r="R257" s="88"/>
      <c r="S257" s="60"/>
      <c r="T257" s="62"/>
      <c r="U257" s="62"/>
      <c r="V257" s="62"/>
      <c r="W257" s="61"/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8"/>
      <c r="P258" s="69"/>
      <c r="Q258" s="88"/>
      <c r="R258" s="88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8"/>
      <c r="P259" s="69"/>
      <c r="Q259" s="88"/>
      <c r="R259" s="88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8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8"/>
      <c r="P260" s="69"/>
      <c r="Q260" s="88"/>
      <c r="R260" s="88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88"/>
      <c r="R261" s="88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8"/>
      <c r="P262" s="69"/>
      <c r="Q262" s="88"/>
      <c r="R262" s="88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8"/>
      <c r="P263" s="69"/>
      <c r="Q263" s="88"/>
      <c r="R263" s="88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8"/>
      <c r="P264" s="69"/>
      <c r="Q264" s="88"/>
      <c r="R264" s="88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8"/>
      <c r="P265" s="69"/>
      <c r="Q265" s="88"/>
      <c r="R265" s="88"/>
      <c r="S265" s="60"/>
      <c r="T265" s="62"/>
      <c r="U265" s="62"/>
      <c r="V265" s="62"/>
      <c r="W265" s="61"/>
      <c r="Y265" s="10">
        <v>34</v>
      </c>
      <c r="Z265" s="30"/>
      <c r="AA265" s="31"/>
      <c r="AB265" s="47"/>
      <c r="AC265" s="31"/>
      <c r="AD265" s="31"/>
      <c r="AE265" s="32">
        <f t="shared" ref="AE265:AE270" si="71">SUM(AB265:AC265)</f>
        <v>0</v>
      </c>
      <c r="AF265" s="10"/>
      <c r="AG265" s="10"/>
      <c r="AH265" s="10"/>
      <c r="AI265" s="12">
        <f t="shared" si="68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8"/>
      <c r="P266" s="69"/>
      <c r="Q266" s="88"/>
      <c r="R266" s="88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71"/>
        <v>0</v>
      </c>
      <c r="AF266" s="10"/>
      <c r="AG266" s="10"/>
      <c r="AH266" s="10"/>
      <c r="AI266" s="12">
        <f t="shared" si="6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8"/>
      <c r="P267" s="69"/>
      <c r="Q267" s="88"/>
      <c r="R267" s="88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71"/>
        <v>0</v>
      </c>
      <c r="AF267" s="10"/>
      <c r="AG267" s="10"/>
      <c r="AH267" s="10"/>
      <c r="AI267" s="12">
        <f t="shared" si="6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8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8"/>
      <c r="R268" s="88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71"/>
        <v>0</v>
      </c>
      <c r="AF268" s="10"/>
      <c r="AG268" s="10"/>
      <c r="AH268" s="10"/>
      <c r="AI268" s="12">
        <f t="shared" si="6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8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8"/>
      <c r="P269" s="69"/>
      <c r="Q269" s="88"/>
      <c r="R269" s="88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71"/>
        <v>0</v>
      </c>
      <c r="AF269" s="10"/>
      <c r="AG269" s="10"/>
      <c r="AH269" s="10"/>
      <c r="AI269" s="12">
        <f t="shared" si="6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8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8"/>
      <c r="P270" s="69"/>
      <c r="Q270" s="88"/>
      <c r="R270" s="88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71"/>
        <v>0</v>
      </c>
      <c r="AF270" s="10"/>
      <c r="AG270" s="10"/>
      <c r="AH270" s="10"/>
      <c r="AI270" s="12">
        <f t="shared" si="6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8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8"/>
      <c r="R271" s="88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8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8"/>
      <c r="P272" s="69"/>
      <c r="Q272" s="88"/>
      <c r="R272" s="88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72">SUM(AB272:AC272)</f>
        <v>0</v>
      </c>
      <c r="AF272" s="10"/>
      <c r="AG272" s="10"/>
      <c r="AH272" s="10"/>
      <c r="AI272" s="12">
        <f t="shared" si="6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8"/>
      <c r="O273" s="88"/>
      <c r="P273" s="88"/>
      <c r="Q273" s="88"/>
      <c r="R273" s="88"/>
      <c r="S273" s="88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8"/>
      <c r="C274" s="88"/>
      <c r="D274" s="88"/>
      <c r="E274" s="88"/>
      <c r="F274" s="88"/>
      <c r="G274" s="88"/>
      <c r="H274" s="62"/>
      <c r="I274" s="62"/>
      <c r="J274" s="62"/>
      <c r="K274" s="62"/>
      <c r="L274" s="62"/>
      <c r="M274" s="62"/>
      <c r="N274" s="88"/>
      <c r="O274" s="88"/>
      <c r="P274" s="88"/>
      <c r="Q274" s="88"/>
      <c r="R274" s="88"/>
      <c r="S274" s="88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8"/>
      <c r="C275" s="88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8"/>
      <c r="O275" s="88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309469</v>
      </c>
      <c r="AC275" s="38">
        <f>SUM(AC232:AC256)</f>
        <v>-2472</v>
      </c>
      <c r="AD275" s="38">
        <f>SUM(AD232:AD256)</f>
        <v>0</v>
      </c>
      <c r="AE275" s="38">
        <f>SUM(AE232:AE274)</f>
        <v>306997</v>
      </c>
      <c r="AF275" s="4"/>
      <c r="AG275" s="41">
        <f>SUM(AG232:AG274)</f>
        <v>687</v>
      </c>
      <c r="AH275" s="41">
        <f>SUM(AH232:AH256)</f>
        <v>-1443</v>
      </c>
      <c r="AI275" s="42">
        <f>SUM(AI232:AI274)</f>
        <v>306241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3" t="s">
        <v>17</v>
      </c>
      <c r="E285" s="113"/>
      <c r="F285" s="94"/>
      <c r="G285" s="27"/>
      <c r="I285" s="111" t="s">
        <v>18</v>
      </c>
      <c r="J285" s="112"/>
      <c r="K285" s="109" t="s">
        <v>19</v>
      </c>
      <c r="N285" s="25"/>
      <c r="O285" s="26"/>
      <c r="P285" s="113" t="s">
        <v>17</v>
      </c>
      <c r="Q285" s="113"/>
      <c r="R285" s="94"/>
      <c r="S285" s="27"/>
      <c r="U285" s="111" t="s">
        <v>18</v>
      </c>
      <c r="V285" s="112"/>
      <c r="W285" s="109" t="s">
        <v>19</v>
      </c>
      <c r="Z285" s="25"/>
      <c r="AA285" s="26"/>
      <c r="AB285" s="113" t="s">
        <v>17</v>
      </c>
      <c r="AC285" s="113"/>
      <c r="AD285" s="94"/>
      <c r="AE285" s="27"/>
      <c r="AG285" s="111" t="s">
        <v>18</v>
      </c>
      <c r="AH285" s="112"/>
      <c r="AI285" s="109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0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0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0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46206</v>
      </c>
      <c r="C287" s="83">
        <v>9430</v>
      </c>
      <c r="D287" s="32">
        <f>650*201+622*10+1582*2+650*2</f>
        <v>141334</v>
      </c>
      <c r="E287" s="32"/>
      <c r="F287" s="32"/>
      <c r="G287" s="32">
        <f t="shared" ref="G287:G320" si="73">SUM(D287:E287)</f>
        <v>141334</v>
      </c>
      <c r="H287" s="12"/>
      <c r="I287" s="12"/>
      <c r="J287" s="12"/>
      <c r="K287" s="12">
        <f t="shared" ref="K287:K320" si="74">SUM(G287:J287)</f>
        <v>141334</v>
      </c>
      <c r="M287" s="10">
        <v>1</v>
      </c>
      <c r="N287" s="30">
        <v>46206</v>
      </c>
      <c r="O287" s="31">
        <v>9474</v>
      </c>
      <c r="P287" s="32">
        <f>650*80+670*3+622*20+872*2+229*2</f>
        <v>68652</v>
      </c>
      <c r="Q287" s="32"/>
      <c r="R287" s="32"/>
      <c r="S287" s="32">
        <f>SUM(P287:Q287)</f>
        <v>68652</v>
      </c>
      <c r="T287" s="12"/>
      <c r="U287" s="12"/>
      <c r="V287" s="12">
        <f>-111+-84*3</f>
        <v>-363</v>
      </c>
      <c r="W287" s="12">
        <f>SUM(S287:V287)</f>
        <v>68289</v>
      </c>
      <c r="Y287" s="10">
        <v>1</v>
      </c>
      <c r="Z287" s="30">
        <v>46206</v>
      </c>
      <c r="AA287" s="31">
        <v>9503</v>
      </c>
      <c r="AB287" s="32">
        <f>650*15+650*15</f>
        <v>19500</v>
      </c>
      <c r="AC287" s="32"/>
      <c r="AD287" s="32"/>
      <c r="AE287" s="32">
        <f>SUM(AB287:AC287)</f>
        <v>19500</v>
      </c>
      <c r="AF287" s="12"/>
      <c r="AG287" s="12"/>
      <c r="AH287" s="12"/>
      <c r="AI287" s="12">
        <f>SUM(AE287:AH287)</f>
        <v>19500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46206</v>
      </c>
      <c r="C288" s="83">
        <f>C287+1</f>
        <v>9431</v>
      </c>
      <c r="D288" s="32">
        <f>650*10</f>
        <v>6500</v>
      </c>
      <c r="E288" s="32"/>
      <c r="F288" s="32"/>
      <c r="G288" s="32">
        <f t="shared" si="73"/>
        <v>6500</v>
      </c>
      <c r="H288" s="12"/>
      <c r="I288" s="12"/>
      <c r="J288" s="12"/>
      <c r="K288" s="12">
        <f t="shared" si="74"/>
        <v>6500</v>
      </c>
      <c r="M288" s="10">
        <v>2</v>
      </c>
      <c r="N288" s="30">
        <v>46206</v>
      </c>
      <c r="O288" s="31">
        <f>O287+1</f>
        <v>9475</v>
      </c>
      <c r="P288" s="32">
        <f>650*180+622*20+229*5</f>
        <v>130585</v>
      </c>
      <c r="Q288" s="32">
        <f>-200*6</f>
        <v>-1200</v>
      </c>
      <c r="R288" s="32"/>
      <c r="S288" s="32">
        <f t="shared" ref="S288:S319" si="75">SUM(P288:Q288)</f>
        <v>129385</v>
      </c>
      <c r="T288" s="12"/>
      <c r="U288" s="12">
        <f>148*111+78*5</f>
        <v>16818</v>
      </c>
      <c r="V288" s="12">
        <v>-672</v>
      </c>
      <c r="W288" s="12">
        <f t="shared" ref="W288:W328" si="76">SUM(S288:V288)</f>
        <v>145531</v>
      </c>
      <c r="Y288" s="10">
        <v>2</v>
      </c>
      <c r="Z288" s="30">
        <v>46206</v>
      </c>
      <c r="AA288" s="31">
        <f>AA287+1</f>
        <v>9504</v>
      </c>
      <c r="AB288" s="32">
        <f>1102*2</f>
        <v>2204</v>
      </c>
      <c r="AC288" s="32"/>
      <c r="AD288" s="32"/>
      <c r="AE288" s="32">
        <f t="shared" ref="AE288:AE296" si="77">SUM(AB288:AC288)</f>
        <v>2204</v>
      </c>
      <c r="AF288" s="12"/>
      <c r="AG288" s="12"/>
      <c r="AH288" s="12"/>
      <c r="AI288" s="12">
        <f t="shared" ref="AI288:AI328" si="78">SUM(AE288:AH288)</f>
        <v>2204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46206</v>
      </c>
      <c r="C289" s="83">
        <f t="shared" ref="C289:C292" si="79">C288+1</f>
        <v>9432</v>
      </c>
      <c r="D289" s="33">
        <f>650*90+622*5+650</f>
        <v>62260</v>
      </c>
      <c r="E289" s="33"/>
      <c r="F289" s="33"/>
      <c r="G289" s="33">
        <f t="shared" si="73"/>
        <v>62260</v>
      </c>
      <c r="H289" s="34"/>
      <c r="I289" s="34">
        <v>777</v>
      </c>
      <c r="J289" s="34"/>
      <c r="K289" s="34">
        <f t="shared" si="74"/>
        <v>63037</v>
      </c>
      <c r="M289" s="10">
        <v>3</v>
      </c>
      <c r="N289" s="30">
        <v>46206</v>
      </c>
      <c r="O289" s="31">
        <f t="shared" ref="O289:O292" si="80">O288+1</f>
        <v>9476</v>
      </c>
      <c r="P289" s="32">
        <f>650*72+622*28+229</f>
        <v>64445</v>
      </c>
      <c r="Q289" s="32"/>
      <c r="R289" s="32"/>
      <c r="S289" s="32">
        <f t="shared" si="75"/>
        <v>64445</v>
      </c>
      <c r="T289" s="12"/>
      <c r="U289" s="12">
        <f>3108+1.5*9</f>
        <v>3121.5</v>
      </c>
      <c r="V289" s="12"/>
      <c r="W289" s="12">
        <f t="shared" si="76"/>
        <v>67566.5</v>
      </c>
      <c r="Y289" s="10">
        <v>3</v>
      </c>
      <c r="Z289" s="30">
        <v>46206</v>
      </c>
      <c r="AA289" s="31">
        <f t="shared" ref="AA289:AA294" si="81">AA288+1</f>
        <v>9505</v>
      </c>
      <c r="AB289" s="33">
        <f>650*108+229*4</f>
        <v>71116</v>
      </c>
      <c r="AC289" s="33">
        <f>-108*6</f>
        <v>-648</v>
      </c>
      <c r="AD289" s="32"/>
      <c r="AE289" s="32">
        <f t="shared" si="77"/>
        <v>70468</v>
      </c>
      <c r="AF289" s="12"/>
      <c r="AG289" s="12"/>
      <c r="AH289" s="12"/>
      <c r="AI289" s="12">
        <f t="shared" si="78"/>
        <v>70468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46206</v>
      </c>
      <c r="C290" s="83">
        <f t="shared" si="79"/>
        <v>9433</v>
      </c>
      <c r="D290" s="32">
        <f>650*11+229</f>
        <v>7379</v>
      </c>
      <c r="E290" s="32"/>
      <c r="F290" s="32"/>
      <c r="G290" s="32">
        <f t="shared" si="73"/>
        <v>7379</v>
      </c>
      <c r="H290" s="12"/>
      <c r="I290" s="12"/>
      <c r="J290" s="12"/>
      <c r="K290" s="12">
        <f t="shared" si="74"/>
        <v>7379</v>
      </c>
      <c r="M290" s="10">
        <v>4</v>
      </c>
      <c r="N290" s="30">
        <v>46206</v>
      </c>
      <c r="O290" s="31">
        <f t="shared" si="80"/>
        <v>9477</v>
      </c>
      <c r="P290" s="32">
        <f>650*8+229+650</f>
        <v>6079</v>
      </c>
      <c r="Q290" s="32"/>
      <c r="R290" s="32"/>
      <c r="S290" s="32">
        <f t="shared" si="75"/>
        <v>6079</v>
      </c>
      <c r="T290" s="12"/>
      <c r="U290" s="12">
        <f>42+15</f>
        <v>57</v>
      </c>
      <c r="V290" s="12"/>
      <c r="W290" s="12">
        <f t="shared" si="76"/>
        <v>6136</v>
      </c>
      <c r="Y290" s="10">
        <v>4</v>
      </c>
      <c r="Z290" s="30">
        <v>46206</v>
      </c>
      <c r="AA290" s="31">
        <f t="shared" si="81"/>
        <v>9506</v>
      </c>
      <c r="AB290" s="32">
        <f>650*216+670*10+622*20+872*2+229*10</f>
        <v>163574</v>
      </c>
      <c r="AC290" s="32">
        <f>-248*6</f>
        <v>-1488</v>
      </c>
      <c r="AD290" s="32"/>
      <c r="AE290" s="32">
        <f t="shared" si="77"/>
        <v>162086</v>
      </c>
      <c r="AF290" s="12"/>
      <c r="AG290" s="58"/>
      <c r="AH290" s="12"/>
      <c r="AI290" s="12">
        <f t="shared" si="78"/>
        <v>162086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46206</v>
      </c>
      <c r="C291" s="83">
        <f t="shared" si="79"/>
        <v>9434</v>
      </c>
      <c r="D291" s="32">
        <f>650*7+700+622*2</f>
        <v>6494</v>
      </c>
      <c r="E291" s="32"/>
      <c r="F291" s="32"/>
      <c r="G291" s="32">
        <f t="shared" si="73"/>
        <v>6494</v>
      </c>
      <c r="H291" s="12"/>
      <c r="I291" s="12"/>
      <c r="J291" s="12"/>
      <c r="K291" s="12">
        <f t="shared" si="74"/>
        <v>6494</v>
      </c>
      <c r="M291" s="10">
        <v>5</v>
      </c>
      <c r="N291" s="30">
        <v>46206</v>
      </c>
      <c r="O291" s="31">
        <f t="shared" si="80"/>
        <v>9478</v>
      </c>
      <c r="P291" s="32">
        <f>650*42+229</f>
        <v>27529</v>
      </c>
      <c r="Q291" s="32"/>
      <c r="R291" s="32"/>
      <c r="S291" s="32">
        <f t="shared" si="75"/>
        <v>27529</v>
      </c>
      <c r="T291" s="12"/>
      <c r="U291" s="12"/>
      <c r="V291" s="12">
        <v>-666</v>
      </c>
      <c r="W291" s="12">
        <f t="shared" si="76"/>
        <v>26863</v>
      </c>
      <c r="Y291" s="10">
        <v>5</v>
      </c>
      <c r="Z291" s="30">
        <v>46206</v>
      </c>
      <c r="AA291" s="31">
        <f t="shared" si="81"/>
        <v>9507</v>
      </c>
      <c r="AB291" s="32">
        <f>650*32+670*2+622+1582</f>
        <v>24344</v>
      </c>
      <c r="AC291" s="32"/>
      <c r="AD291" s="32"/>
      <c r="AE291" s="32">
        <f t="shared" si="77"/>
        <v>24344</v>
      </c>
      <c r="AF291" s="12"/>
      <c r="AG291" s="12"/>
      <c r="AH291" s="12">
        <v>-888</v>
      </c>
      <c r="AI291" s="12">
        <f t="shared" si="78"/>
        <v>23456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46206</v>
      </c>
      <c r="C292" s="83">
        <f t="shared" si="79"/>
        <v>9435</v>
      </c>
      <c r="D292" s="32">
        <f>973*50+1050*2+872</f>
        <v>51622</v>
      </c>
      <c r="E292" s="32"/>
      <c r="F292" s="32"/>
      <c r="G292" s="32">
        <f t="shared" si="73"/>
        <v>51622</v>
      </c>
      <c r="H292" s="12"/>
      <c r="I292" s="12"/>
      <c r="J292" s="12"/>
      <c r="K292" s="12">
        <f t="shared" si="74"/>
        <v>51622</v>
      </c>
      <c r="M292" s="10">
        <v>6</v>
      </c>
      <c r="N292" s="30">
        <v>46206</v>
      </c>
      <c r="O292" s="31">
        <f t="shared" si="80"/>
        <v>9479</v>
      </c>
      <c r="P292" s="32">
        <f>650*3+670</f>
        <v>2620</v>
      </c>
      <c r="Q292" s="32"/>
      <c r="R292" s="32"/>
      <c r="S292" s="32">
        <f t="shared" si="75"/>
        <v>2620</v>
      </c>
      <c r="T292" s="12"/>
      <c r="U292" s="12">
        <v>103.5</v>
      </c>
      <c r="V292" s="10"/>
      <c r="W292" s="12">
        <f t="shared" si="76"/>
        <v>2723.5</v>
      </c>
      <c r="Y292" s="10">
        <v>6</v>
      </c>
      <c r="Z292" s="30">
        <v>46206</v>
      </c>
      <c r="AA292" s="31">
        <f t="shared" si="81"/>
        <v>9508</v>
      </c>
      <c r="AB292" s="32">
        <f>650*14</f>
        <v>9100</v>
      </c>
      <c r="AC292" s="32"/>
      <c r="AD292" s="32"/>
      <c r="AE292" s="32">
        <f t="shared" si="77"/>
        <v>9100</v>
      </c>
      <c r="AF292" s="12"/>
      <c r="AG292" s="12"/>
      <c r="AH292" s="10">
        <v>-78</v>
      </c>
      <c r="AI292" s="12">
        <f t="shared" si="78"/>
        <v>9022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11" t="s">
        <v>27</v>
      </c>
      <c r="D293" s="32"/>
      <c r="E293" s="32"/>
      <c r="F293" s="32"/>
      <c r="G293" s="32">
        <f t="shared" si="73"/>
        <v>0</v>
      </c>
      <c r="H293" s="12"/>
      <c r="I293" s="12"/>
      <c r="J293" s="12"/>
      <c r="K293" s="12">
        <f t="shared" si="74"/>
        <v>0</v>
      </c>
      <c r="M293" s="10">
        <v>7</v>
      </c>
      <c r="N293" s="30"/>
      <c r="O293" s="11" t="s">
        <v>27</v>
      </c>
      <c r="P293" s="32"/>
      <c r="Q293" s="32"/>
      <c r="R293" s="32"/>
      <c r="S293" s="32">
        <f t="shared" si="75"/>
        <v>0</v>
      </c>
      <c r="T293" s="12"/>
      <c r="U293" s="12"/>
      <c r="V293" s="12"/>
      <c r="W293" s="12">
        <f t="shared" si="76"/>
        <v>0</v>
      </c>
      <c r="Y293" s="10">
        <v>7</v>
      </c>
      <c r="Z293" s="30">
        <v>46206</v>
      </c>
      <c r="AA293" s="31">
        <f t="shared" si="81"/>
        <v>9509</v>
      </c>
      <c r="AB293" s="32">
        <f>650*32+622*18+229*5</f>
        <v>33141</v>
      </c>
      <c r="AC293" s="32">
        <f>-50*6</f>
        <v>-300</v>
      </c>
      <c r="AD293" s="32"/>
      <c r="AE293" s="32">
        <f t="shared" si="77"/>
        <v>32841</v>
      </c>
      <c r="AF293" s="12"/>
      <c r="AG293" s="58"/>
      <c r="AH293" s="12"/>
      <c r="AI293" s="12">
        <f t="shared" si="78"/>
        <v>32841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3"/>
      <c r="D294" s="32"/>
      <c r="E294" s="32"/>
      <c r="F294" s="32"/>
      <c r="G294" s="32">
        <f t="shared" si="73"/>
        <v>0</v>
      </c>
      <c r="H294" s="12"/>
      <c r="I294" s="12"/>
      <c r="J294" s="12"/>
      <c r="K294" s="12">
        <f t="shared" si="74"/>
        <v>0</v>
      </c>
      <c r="M294" s="10">
        <v>8</v>
      </c>
      <c r="N294" s="30"/>
      <c r="P294" s="32"/>
      <c r="Q294" s="32"/>
      <c r="R294" s="32"/>
      <c r="S294" s="32">
        <f t="shared" si="75"/>
        <v>0</v>
      </c>
      <c r="T294" s="12"/>
      <c r="U294" s="12"/>
      <c r="V294" s="12"/>
      <c r="W294" s="12">
        <f t="shared" si="76"/>
        <v>0</v>
      </c>
      <c r="Y294" s="10">
        <v>8</v>
      </c>
      <c r="Z294" s="30">
        <v>46206</v>
      </c>
      <c r="AA294" s="31">
        <f t="shared" si="81"/>
        <v>9510</v>
      </c>
      <c r="AB294" s="32">
        <f>650*30+622*20</f>
        <v>31940</v>
      </c>
      <c r="AC294" s="32">
        <f>-50*6</f>
        <v>-300</v>
      </c>
      <c r="AE294" s="32">
        <f t="shared" si="77"/>
        <v>31640</v>
      </c>
      <c r="AF294" s="12"/>
      <c r="AG294" s="12"/>
      <c r="AH294" s="12"/>
      <c r="AI294" s="12">
        <f t="shared" si="78"/>
        <v>31640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D295" s="32"/>
      <c r="E295" s="32"/>
      <c r="F295" s="32"/>
      <c r="G295" s="32">
        <f t="shared" si="73"/>
        <v>0</v>
      </c>
      <c r="H295" s="12"/>
      <c r="I295" s="12"/>
      <c r="J295" s="12"/>
      <c r="K295" s="12">
        <f t="shared" si="74"/>
        <v>0</v>
      </c>
      <c r="M295" s="10">
        <v>9</v>
      </c>
      <c r="N295" s="30"/>
      <c r="O295" s="31"/>
      <c r="P295" s="32"/>
      <c r="Q295" s="32"/>
      <c r="R295" s="32"/>
      <c r="S295" s="32">
        <f t="shared" si="75"/>
        <v>0</v>
      </c>
      <c r="T295" s="12"/>
      <c r="U295" s="12"/>
      <c r="V295" s="12"/>
      <c r="W295" s="12">
        <f t="shared" si="76"/>
        <v>0</v>
      </c>
      <c r="Y295" s="10">
        <v>9</v>
      </c>
      <c r="Z295" s="30"/>
      <c r="AA295" s="11" t="s">
        <v>27</v>
      </c>
      <c r="AC295" s="32"/>
      <c r="AD295" s="32"/>
      <c r="AE295" s="32">
        <f t="shared" si="77"/>
        <v>0</v>
      </c>
      <c r="AF295" s="12"/>
      <c r="AH295" s="12"/>
      <c r="AI295" s="12">
        <f t="shared" si="78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3"/>
        <v>0</v>
      </c>
      <c r="H296" s="12"/>
      <c r="I296" s="12"/>
      <c r="J296" s="12"/>
      <c r="K296" s="12">
        <f t="shared" si="74"/>
        <v>0</v>
      </c>
      <c r="M296" s="10">
        <v>10</v>
      </c>
      <c r="N296" s="30"/>
      <c r="O296" s="31"/>
      <c r="P296" s="32"/>
      <c r="Q296" s="32"/>
      <c r="R296" s="32"/>
      <c r="S296" s="32">
        <f t="shared" si="75"/>
        <v>0</v>
      </c>
      <c r="T296" s="12"/>
      <c r="U296" s="12"/>
      <c r="V296" s="12"/>
      <c r="W296" s="12">
        <f t="shared" si="76"/>
        <v>0</v>
      </c>
      <c r="Y296" s="10">
        <v>10</v>
      </c>
      <c r="Z296" s="30"/>
      <c r="AA296" s="31"/>
      <c r="AB296" s="32"/>
      <c r="AC296" s="32"/>
      <c r="AD296" s="32"/>
      <c r="AE296" s="32">
        <f t="shared" si="77"/>
        <v>0</v>
      </c>
      <c r="AF296" s="12"/>
      <c r="AG296" s="12"/>
      <c r="AH296" s="12"/>
      <c r="AI296" s="12">
        <f t="shared" si="78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3"/>
        <v>0</v>
      </c>
      <c r="H297" s="12"/>
      <c r="I297" s="12"/>
      <c r="J297" s="12"/>
      <c r="K297" s="12">
        <f t="shared" si="74"/>
        <v>0</v>
      </c>
      <c r="M297" s="10">
        <v>11</v>
      </c>
      <c r="N297" s="30"/>
      <c r="P297" s="32"/>
      <c r="Q297" s="32"/>
      <c r="R297" s="32"/>
      <c r="S297" s="32">
        <f t="shared" si="75"/>
        <v>0</v>
      </c>
      <c r="T297" s="12"/>
      <c r="U297" s="12"/>
      <c r="V297" s="12"/>
      <c r="W297" s="12">
        <f t="shared" si="76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19" si="82">SUM(AB297:AC297)</f>
        <v>0</v>
      </c>
      <c r="AF297" s="12"/>
      <c r="AG297" s="12"/>
      <c r="AH297" s="12"/>
      <c r="AI297" s="12">
        <f t="shared" si="78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3"/>
        <v>0</v>
      </c>
      <c r="H298" s="12"/>
      <c r="I298" s="12"/>
      <c r="J298" s="10"/>
      <c r="K298" s="12">
        <f t="shared" si="74"/>
        <v>0</v>
      </c>
      <c r="M298" s="10">
        <v>12</v>
      </c>
      <c r="N298" s="30"/>
      <c r="O298" s="31"/>
      <c r="P298" s="32"/>
      <c r="Q298" s="32"/>
      <c r="R298" s="32"/>
      <c r="S298" s="32">
        <f t="shared" si="75"/>
        <v>0</v>
      </c>
      <c r="T298" s="12"/>
      <c r="U298" s="12"/>
      <c r="V298" s="12"/>
      <c r="W298" s="12">
        <f t="shared" si="76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2"/>
        <v>0</v>
      </c>
      <c r="AF298" s="12"/>
      <c r="AG298" s="12"/>
      <c r="AH298" s="12"/>
      <c r="AI298" s="12">
        <f t="shared" si="78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3"/>
        <v>0</v>
      </c>
      <c r="H299" s="12"/>
      <c r="I299" s="12"/>
      <c r="J299" s="12"/>
      <c r="K299" s="12">
        <f t="shared" si="74"/>
        <v>0</v>
      </c>
      <c r="M299" s="10">
        <v>13</v>
      </c>
      <c r="N299" s="30"/>
      <c r="O299" s="31"/>
      <c r="P299" s="32"/>
      <c r="Q299" s="32"/>
      <c r="R299" s="32"/>
      <c r="S299" s="32">
        <f t="shared" si="75"/>
        <v>0</v>
      </c>
      <c r="T299" s="12"/>
      <c r="U299" s="12"/>
      <c r="V299" s="12"/>
      <c r="W299" s="12">
        <f t="shared" si="76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2"/>
        <v>0</v>
      </c>
      <c r="AF299" s="12"/>
      <c r="AG299" s="12"/>
      <c r="AH299" s="12"/>
      <c r="AI299" s="12">
        <f t="shared" si="78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3"/>
        <v>0</v>
      </c>
      <c r="H300" s="12"/>
      <c r="I300" s="12"/>
      <c r="J300" s="12"/>
      <c r="K300" s="12">
        <f t="shared" si="74"/>
        <v>0</v>
      </c>
      <c r="M300" s="10">
        <v>14</v>
      </c>
      <c r="N300" s="30"/>
      <c r="O300" s="31"/>
      <c r="P300" s="32"/>
      <c r="Q300" s="32"/>
      <c r="R300" s="32"/>
      <c r="S300" s="32">
        <f t="shared" si="75"/>
        <v>0</v>
      </c>
      <c r="T300" s="12"/>
      <c r="U300" s="12"/>
      <c r="V300" s="12"/>
      <c r="W300" s="12">
        <f t="shared" si="76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2"/>
        <v>0</v>
      </c>
      <c r="AF300" s="12"/>
      <c r="AG300" s="12"/>
      <c r="AH300" s="12"/>
      <c r="AI300" s="12">
        <f t="shared" si="78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3"/>
        <v>0</v>
      </c>
      <c r="H301" s="12"/>
      <c r="I301" s="12"/>
      <c r="J301" s="12"/>
      <c r="K301" s="12">
        <f t="shared" si="74"/>
        <v>0</v>
      </c>
      <c r="M301" s="10">
        <v>15</v>
      </c>
      <c r="N301" s="30"/>
      <c r="O301" s="31"/>
      <c r="P301" s="32"/>
      <c r="Q301" s="32"/>
      <c r="R301" s="32"/>
      <c r="S301" s="32">
        <f t="shared" si="75"/>
        <v>0</v>
      </c>
      <c r="T301" s="12"/>
      <c r="U301" s="12"/>
      <c r="V301" s="12"/>
      <c r="W301" s="12">
        <f t="shared" si="76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2"/>
        <v>0</v>
      </c>
      <c r="AF301" s="12"/>
      <c r="AG301" s="12"/>
      <c r="AH301" s="12"/>
      <c r="AI301" s="12">
        <f t="shared" si="78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83"/>
      <c r="D302" s="32"/>
      <c r="E302" s="32"/>
      <c r="F302" s="32"/>
      <c r="G302" s="32">
        <f t="shared" si="73"/>
        <v>0</v>
      </c>
      <c r="H302" s="12"/>
      <c r="I302" s="12"/>
      <c r="J302" s="12"/>
      <c r="K302" s="12">
        <f t="shared" si="74"/>
        <v>0</v>
      </c>
      <c r="M302" s="10">
        <v>16</v>
      </c>
      <c r="N302" s="30"/>
      <c r="O302" s="31"/>
      <c r="P302" s="32"/>
      <c r="Q302" s="32"/>
      <c r="R302" s="32"/>
      <c r="S302" s="32">
        <f t="shared" si="75"/>
        <v>0</v>
      </c>
      <c r="T302" s="12"/>
      <c r="U302" s="12"/>
      <c r="V302" s="12"/>
      <c r="W302" s="12">
        <f t="shared" si="76"/>
        <v>0</v>
      </c>
      <c r="Y302" s="10">
        <v>16</v>
      </c>
      <c r="Z302" s="30"/>
      <c r="AB302" s="32"/>
      <c r="AC302" s="32"/>
      <c r="AD302" s="32"/>
      <c r="AE302" s="32">
        <f t="shared" si="82"/>
        <v>0</v>
      </c>
      <c r="AF302" s="12"/>
      <c r="AG302" s="12"/>
      <c r="AH302" s="12"/>
      <c r="AI302" s="12">
        <f t="shared" si="78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3"/>
        <v>0</v>
      </c>
      <c r="H303" s="12"/>
      <c r="I303" s="12"/>
      <c r="J303" s="12"/>
      <c r="K303" s="12">
        <f t="shared" si="74"/>
        <v>0</v>
      </c>
      <c r="M303" s="10">
        <v>17</v>
      </c>
      <c r="N303" s="30"/>
      <c r="O303" s="31"/>
      <c r="P303" s="35"/>
      <c r="Q303" s="32"/>
      <c r="R303" s="32"/>
      <c r="S303" s="32">
        <f t="shared" si="75"/>
        <v>0</v>
      </c>
      <c r="T303" s="12"/>
      <c r="U303" s="12"/>
      <c r="V303" s="12"/>
      <c r="W303" s="12">
        <f t="shared" si="76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2"/>
        <v>0</v>
      </c>
      <c r="AF303" s="12"/>
      <c r="AG303" s="12"/>
      <c r="AH303" s="12"/>
      <c r="AI303" s="12">
        <f t="shared" si="78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73"/>
        <v>0</v>
      </c>
      <c r="H304" s="12"/>
      <c r="I304" s="12"/>
      <c r="J304" s="12"/>
      <c r="K304" s="12">
        <f t="shared" si="74"/>
        <v>0</v>
      </c>
      <c r="M304" s="10">
        <v>18</v>
      </c>
      <c r="N304" s="30"/>
      <c r="P304" s="32"/>
      <c r="Q304" s="32"/>
      <c r="R304" s="32"/>
      <c r="S304" s="32">
        <f t="shared" si="75"/>
        <v>0</v>
      </c>
      <c r="T304" s="12"/>
      <c r="U304" s="12"/>
      <c r="V304" s="12"/>
      <c r="W304" s="12">
        <f t="shared" si="76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2"/>
        <v>0</v>
      </c>
      <c r="AF304" s="12"/>
      <c r="AG304" s="12"/>
      <c r="AH304" s="12"/>
      <c r="AI304" s="12">
        <f t="shared" si="78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3"/>
        <v>0</v>
      </c>
      <c r="H305" s="12"/>
      <c r="I305" s="12"/>
      <c r="J305" s="12"/>
      <c r="K305" s="12">
        <f t="shared" si="74"/>
        <v>0</v>
      </c>
      <c r="M305" s="10">
        <v>19</v>
      </c>
      <c r="N305" s="30"/>
      <c r="O305" s="31"/>
      <c r="P305" s="32"/>
      <c r="Q305" s="32"/>
      <c r="R305" s="32"/>
      <c r="S305" s="32">
        <f t="shared" si="75"/>
        <v>0</v>
      </c>
      <c r="T305" s="12"/>
      <c r="U305" s="12"/>
      <c r="V305" s="12"/>
      <c r="W305" s="12">
        <f t="shared" si="76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2"/>
        <v>0</v>
      </c>
      <c r="AF305" s="12"/>
      <c r="AG305" s="12"/>
      <c r="AH305" s="12"/>
      <c r="AI305" s="12">
        <f t="shared" si="78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3"/>
        <v>0</v>
      </c>
      <c r="H306" s="12"/>
      <c r="I306" s="12"/>
      <c r="J306" s="12"/>
      <c r="K306" s="12">
        <f t="shared" si="74"/>
        <v>0</v>
      </c>
      <c r="M306" s="10">
        <v>20</v>
      </c>
      <c r="N306" s="30"/>
      <c r="P306" s="32"/>
      <c r="Q306" s="32"/>
      <c r="R306" s="32"/>
      <c r="S306" s="32">
        <f t="shared" si="75"/>
        <v>0</v>
      </c>
      <c r="T306" s="12"/>
      <c r="U306" s="12"/>
      <c r="V306" s="12"/>
      <c r="W306" s="12">
        <f t="shared" si="76"/>
        <v>0</v>
      </c>
      <c r="Y306" s="10">
        <v>20</v>
      </c>
      <c r="Z306" s="30"/>
      <c r="AB306" s="32"/>
      <c r="AC306" s="32"/>
      <c r="AD306" s="32"/>
      <c r="AE306" s="32">
        <f t="shared" si="82"/>
        <v>0</v>
      </c>
      <c r="AF306" s="12"/>
      <c r="AG306" s="12"/>
      <c r="AH306" s="12"/>
      <c r="AI306" s="12">
        <f t="shared" si="78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3"/>
        <v>0</v>
      </c>
      <c r="H307" s="10"/>
      <c r="I307" s="10"/>
      <c r="J307" s="10"/>
      <c r="K307" s="12">
        <f t="shared" si="74"/>
        <v>0</v>
      </c>
      <c r="M307" s="10">
        <v>21</v>
      </c>
      <c r="N307" s="30"/>
      <c r="O307" s="31"/>
      <c r="P307" s="46"/>
      <c r="Q307" s="31"/>
      <c r="R307" s="31"/>
      <c r="S307" s="32">
        <f t="shared" si="75"/>
        <v>0</v>
      </c>
      <c r="T307" s="10"/>
      <c r="U307" s="10"/>
      <c r="V307" s="10"/>
      <c r="W307" s="12">
        <f t="shared" si="76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2"/>
        <v>0</v>
      </c>
      <c r="AF307" s="10"/>
      <c r="AG307" s="10"/>
      <c r="AH307" s="10"/>
      <c r="AI307" s="12">
        <f t="shared" si="78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3"/>
        <v>0</v>
      </c>
      <c r="H308" s="10"/>
      <c r="I308" s="10"/>
      <c r="J308" s="10"/>
      <c r="K308" s="12">
        <f t="shared" si="74"/>
        <v>0</v>
      </c>
      <c r="M308" s="10">
        <v>22</v>
      </c>
      <c r="N308" s="30"/>
      <c r="O308" s="31"/>
      <c r="P308" s="45"/>
      <c r="Q308" s="31"/>
      <c r="R308" s="31"/>
      <c r="S308" s="32">
        <f t="shared" si="75"/>
        <v>0</v>
      </c>
      <c r="T308" s="10"/>
      <c r="U308" s="10"/>
      <c r="V308" s="10"/>
      <c r="W308" s="12">
        <f t="shared" si="76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2"/>
        <v>0</v>
      </c>
      <c r="AF308" s="10"/>
      <c r="AG308" s="10"/>
      <c r="AH308" s="10"/>
      <c r="AI308" s="12">
        <f t="shared" si="78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3"/>
        <v>0</v>
      </c>
      <c r="H309" s="10"/>
      <c r="I309" s="10"/>
      <c r="J309" s="12"/>
      <c r="K309" s="12">
        <f t="shared" si="74"/>
        <v>0</v>
      </c>
      <c r="M309" s="10">
        <v>23</v>
      </c>
      <c r="N309" s="30"/>
      <c r="O309" s="31"/>
      <c r="P309" s="47"/>
      <c r="Q309" s="31"/>
      <c r="S309" s="32">
        <f t="shared" si="75"/>
        <v>0</v>
      </c>
      <c r="T309" s="10"/>
      <c r="U309" s="10"/>
      <c r="V309" s="10"/>
      <c r="W309" s="12">
        <f t="shared" si="76"/>
        <v>0</v>
      </c>
      <c r="Y309" s="10">
        <v>23</v>
      </c>
      <c r="Z309" s="30"/>
      <c r="AA309" s="31"/>
      <c r="AB309" s="47"/>
      <c r="AE309" s="32">
        <f t="shared" si="82"/>
        <v>0</v>
      </c>
      <c r="AF309" s="10"/>
      <c r="AG309" s="10"/>
      <c r="AH309" s="10"/>
      <c r="AI309" s="12">
        <f t="shared" si="78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3"/>
        <v>0</v>
      </c>
      <c r="H310" s="10"/>
      <c r="I310" s="10"/>
      <c r="J310" s="10"/>
      <c r="K310" s="12">
        <f t="shared" si="74"/>
        <v>0</v>
      </c>
      <c r="M310" s="10">
        <v>24</v>
      </c>
      <c r="N310" s="30"/>
      <c r="O310" s="31"/>
      <c r="P310" s="47"/>
      <c r="Q310" s="31"/>
      <c r="R310" s="31"/>
      <c r="S310" s="32">
        <f t="shared" si="75"/>
        <v>0</v>
      </c>
      <c r="T310" s="10"/>
      <c r="U310" s="10"/>
      <c r="V310" s="10"/>
      <c r="W310" s="12">
        <f t="shared" si="76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2"/>
        <v>0</v>
      </c>
      <c r="AF310" s="10"/>
      <c r="AG310" s="10"/>
      <c r="AH310" s="10"/>
      <c r="AI310" s="12">
        <f t="shared" si="78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3"/>
        <v>0</v>
      </c>
      <c r="H311" s="10"/>
      <c r="I311" s="10"/>
      <c r="J311" s="10"/>
      <c r="K311" s="12">
        <f t="shared" si="74"/>
        <v>0</v>
      </c>
      <c r="M311" s="10">
        <v>25</v>
      </c>
      <c r="N311" s="30"/>
      <c r="O311" s="31"/>
      <c r="P311" s="47"/>
      <c r="Q311" s="31"/>
      <c r="R311" s="31"/>
      <c r="S311" s="32">
        <f t="shared" si="75"/>
        <v>0</v>
      </c>
      <c r="T311" s="10"/>
      <c r="U311" s="10"/>
      <c r="V311" s="10"/>
      <c r="W311" s="12">
        <f t="shared" si="76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2"/>
        <v>0</v>
      </c>
      <c r="AF311" s="10"/>
      <c r="AG311" s="10"/>
      <c r="AH311" s="10"/>
      <c r="AI311" s="12">
        <f t="shared" si="78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3"/>
        <v>0</v>
      </c>
      <c r="H312" s="10"/>
      <c r="I312" s="10"/>
      <c r="J312" s="10"/>
      <c r="K312" s="12">
        <f t="shared" si="74"/>
        <v>0</v>
      </c>
      <c r="M312" s="10">
        <v>26</v>
      </c>
      <c r="N312" s="30"/>
      <c r="O312" s="31"/>
      <c r="P312" s="47"/>
      <c r="Q312" s="31"/>
      <c r="R312" s="31"/>
      <c r="S312" s="32">
        <f t="shared" si="75"/>
        <v>0</v>
      </c>
      <c r="T312" s="10"/>
      <c r="U312" s="10"/>
      <c r="V312" s="10"/>
      <c r="W312" s="12">
        <f t="shared" si="76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2"/>
        <v>0</v>
      </c>
      <c r="AF312" s="10"/>
      <c r="AG312" s="10"/>
      <c r="AH312" s="10"/>
      <c r="AI312" s="12">
        <f t="shared" si="78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3"/>
        <v>0</v>
      </c>
      <c r="H313" s="10"/>
      <c r="I313" s="10"/>
      <c r="J313" s="10"/>
      <c r="K313" s="12">
        <f t="shared" si="74"/>
        <v>0</v>
      </c>
      <c r="M313" s="10">
        <v>27</v>
      </c>
      <c r="N313" s="30"/>
      <c r="O313" s="31"/>
      <c r="P313" s="47"/>
      <c r="Q313" s="31"/>
      <c r="R313" s="31"/>
      <c r="S313" s="32">
        <f t="shared" si="75"/>
        <v>0</v>
      </c>
      <c r="T313" s="10"/>
      <c r="U313" s="10"/>
      <c r="V313" s="10"/>
      <c r="W313" s="12">
        <f t="shared" si="76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2"/>
        <v>0</v>
      </c>
      <c r="AF313" s="10"/>
      <c r="AG313" s="10"/>
      <c r="AH313" s="10"/>
      <c r="AI313" s="12">
        <f t="shared" si="78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3"/>
        <v>0</v>
      </c>
      <c r="H314" s="10"/>
      <c r="I314" s="10"/>
      <c r="J314" s="10"/>
      <c r="K314" s="12">
        <f t="shared" si="74"/>
        <v>0</v>
      </c>
      <c r="M314" s="10">
        <v>28</v>
      </c>
      <c r="N314" s="30"/>
      <c r="O314" s="31"/>
      <c r="P314" s="47"/>
      <c r="Q314" s="31"/>
      <c r="R314" s="31"/>
      <c r="S314" s="32">
        <f t="shared" si="75"/>
        <v>0</v>
      </c>
      <c r="T314" s="10"/>
      <c r="U314" s="10"/>
      <c r="V314" s="10"/>
      <c r="W314" s="12">
        <f t="shared" si="76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2"/>
        <v>0</v>
      </c>
      <c r="AF314" s="10"/>
      <c r="AG314" s="10"/>
      <c r="AH314" s="10"/>
      <c r="AI314" s="12">
        <f t="shared" si="78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3"/>
        <v>0</v>
      </c>
      <c r="H315" s="10"/>
      <c r="I315" s="10"/>
      <c r="J315" s="10"/>
      <c r="K315" s="12">
        <f t="shared" si="74"/>
        <v>0</v>
      </c>
      <c r="M315" s="10">
        <v>29</v>
      </c>
      <c r="N315" s="30"/>
      <c r="O315" s="31"/>
      <c r="P315" s="47"/>
      <c r="Q315" s="31"/>
      <c r="R315" s="31"/>
      <c r="S315" s="32">
        <f t="shared" si="75"/>
        <v>0</v>
      </c>
      <c r="T315" s="10"/>
      <c r="U315" s="10"/>
      <c r="V315" s="10"/>
      <c r="W315" s="12">
        <f t="shared" si="76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2"/>
        <v>0</v>
      </c>
      <c r="AF315" s="10"/>
      <c r="AG315" s="10"/>
      <c r="AH315" s="10"/>
      <c r="AI315" s="12">
        <f t="shared" si="78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3"/>
        <v>0</v>
      </c>
      <c r="H316" s="10"/>
      <c r="I316" s="10"/>
      <c r="J316" s="10"/>
      <c r="K316" s="12">
        <f t="shared" si="74"/>
        <v>0</v>
      </c>
      <c r="M316" s="10">
        <v>30</v>
      </c>
      <c r="N316" s="30"/>
      <c r="O316" s="31"/>
      <c r="P316" s="47"/>
      <c r="Q316" s="31"/>
      <c r="R316" s="31"/>
      <c r="S316" s="32">
        <f t="shared" si="75"/>
        <v>0</v>
      </c>
      <c r="T316" s="10"/>
      <c r="U316" s="10"/>
      <c r="V316" s="10"/>
      <c r="W316" s="12">
        <f t="shared" si="76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2"/>
        <v>0</v>
      </c>
      <c r="AF316" s="10"/>
      <c r="AG316" s="10"/>
      <c r="AH316" s="10"/>
      <c r="AI316" s="12">
        <f t="shared" si="78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3"/>
        <v>0</v>
      </c>
      <c r="H317" s="10"/>
      <c r="I317" s="10"/>
      <c r="J317" s="10"/>
      <c r="K317" s="12">
        <f t="shared" si="74"/>
        <v>0</v>
      </c>
      <c r="M317" s="10">
        <v>31</v>
      </c>
      <c r="N317" s="30"/>
      <c r="O317" s="31"/>
      <c r="P317" s="47"/>
      <c r="Q317" s="31"/>
      <c r="R317" s="31"/>
      <c r="S317" s="32">
        <f t="shared" si="75"/>
        <v>0</v>
      </c>
      <c r="T317" s="10"/>
      <c r="U317" s="10"/>
      <c r="V317" s="10"/>
      <c r="W317" s="12">
        <f t="shared" si="76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2"/>
        <v>0</v>
      </c>
      <c r="AF317" s="10"/>
      <c r="AG317" s="10"/>
      <c r="AH317" s="10"/>
      <c r="AI317" s="12">
        <f t="shared" si="78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3"/>
        <v>0</v>
      </c>
      <c r="H318" s="10"/>
      <c r="I318" s="10"/>
      <c r="J318" s="10"/>
      <c r="K318" s="12">
        <f t="shared" si="74"/>
        <v>0</v>
      </c>
      <c r="M318" s="10">
        <v>32</v>
      </c>
      <c r="N318" s="30"/>
      <c r="O318" s="31"/>
      <c r="P318" s="47"/>
      <c r="Q318" s="31"/>
      <c r="R318" s="31"/>
      <c r="S318" s="32">
        <f t="shared" si="75"/>
        <v>0</v>
      </c>
      <c r="T318" s="10"/>
      <c r="U318" s="10"/>
      <c r="V318" s="10"/>
      <c r="W318" s="12">
        <f t="shared" si="76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2"/>
        <v>0</v>
      </c>
      <c r="AF318" s="10"/>
      <c r="AG318" s="10"/>
      <c r="AH318" s="10"/>
      <c r="AI318" s="12">
        <f t="shared" si="78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3"/>
        <v>0</v>
      </c>
      <c r="H319" s="10"/>
      <c r="I319" s="10"/>
      <c r="J319" s="10"/>
      <c r="K319" s="12">
        <f t="shared" si="74"/>
        <v>0</v>
      </c>
      <c r="M319" s="10">
        <v>33</v>
      </c>
      <c r="N319" s="30"/>
      <c r="O319" s="31"/>
      <c r="P319" s="47"/>
      <c r="Q319" s="31"/>
      <c r="R319" s="31"/>
      <c r="S319" s="32">
        <f t="shared" si="75"/>
        <v>0</v>
      </c>
      <c r="T319" s="10"/>
      <c r="U319" s="10"/>
      <c r="V319" s="10"/>
      <c r="W319" s="12">
        <f t="shared" si="76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2"/>
        <v>0</v>
      </c>
      <c r="AF319" s="10"/>
      <c r="AG319" s="10"/>
      <c r="AH319" s="10"/>
      <c r="AI319" s="12">
        <f t="shared" si="78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3"/>
        <v>0</v>
      </c>
      <c r="H320" s="10"/>
      <c r="I320" s="10"/>
      <c r="J320" s="10"/>
      <c r="K320" s="12">
        <f t="shared" si="74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3">SUM(P320:Q320)</f>
        <v>0</v>
      </c>
      <c r="T320" s="10"/>
      <c r="U320" s="10"/>
      <c r="V320" s="10"/>
      <c r="W320" s="12">
        <f t="shared" si="76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4">SUM(AB320:AC320)</f>
        <v>0</v>
      </c>
      <c r="AF320" s="10"/>
      <c r="AG320" s="10"/>
      <c r="AH320" s="10"/>
      <c r="AI320" s="12">
        <f t="shared" si="78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3"/>
        <v>0</v>
      </c>
      <c r="T321" s="10"/>
      <c r="U321" s="10"/>
      <c r="V321" s="10"/>
      <c r="W321" s="12">
        <f t="shared" si="76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4"/>
        <v>0</v>
      </c>
      <c r="AF321" s="10"/>
      <c r="AG321" s="10"/>
      <c r="AH321" s="10"/>
      <c r="AI321" s="12">
        <f t="shared" si="78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3"/>
        <v>0</v>
      </c>
      <c r="T322" s="10"/>
      <c r="U322" s="10"/>
      <c r="V322" s="10"/>
      <c r="W322" s="12">
        <f t="shared" si="76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4"/>
        <v>0</v>
      </c>
      <c r="AF322" s="10"/>
      <c r="AG322" s="10"/>
      <c r="AH322" s="10"/>
      <c r="AI322" s="12">
        <f t="shared" si="78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3"/>
        <v>0</v>
      </c>
      <c r="T323" s="10"/>
      <c r="U323" s="10"/>
      <c r="V323" s="10"/>
      <c r="W323" s="12">
        <f t="shared" si="76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4"/>
        <v>0</v>
      </c>
      <c r="AF323" s="10"/>
      <c r="AG323" s="10"/>
      <c r="AH323" s="10"/>
      <c r="AI323" s="12">
        <f t="shared" si="78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3"/>
        <v>0</v>
      </c>
      <c r="T324" s="10"/>
      <c r="U324" s="10"/>
      <c r="V324" s="10"/>
      <c r="W324" s="12">
        <f t="shared" si="76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4"/>
        <v>0</v>
      </c>
      <c r="AF324" s="10"/>
      <c r="AG324" s="10"/>
      <c r="AH324" s="10"/>
      <c r="AI324" s="12">
        <f t="shared" si="78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3"/>
        <v>0</v>
      </c>
      <c r="T325" s="10"/>
      <c r="U325" s="10"/>
      <c r="V325" s="10"/>
      <c r="W325" s="12">
        <f t="shared" si="76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4"/>
        <v>0</v>
      </c>
      <c r="AF325" s="10"/>
      <c r="AG325" s="10"/>
      <c r="AH325" s="10"/>
      <c r="AI325" s="12">
        <f t="shared" si="78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6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78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5">SUM(D327:E327)</f>
        <v>0</v>
      </c>
      <c r="H327" s="10"/>
      <c r="I327" s="10"/>
      <c r="J327" s="10"/>
      <c r="K327" s="12">
        <f t="shared" ref="K327" si="86">SUM(G327:J327)</f>
        <v>0</v>
      </c>
      <c r="M327" s="10"/>
      <c r="N327" s="30"/>
      <c r="O327" s="31"/>
      <c r="P327" s="47"/>
      <c r="Q327" s="31"/>
      <c r="R327" s="31"/>
      <c r="S327" s="32">
        <f t="shared" ref="S327" si="87">SUM(P327:Q327)</f>
        <v>0</v>
      </c>
      <c r="T327" s="10"/>
      <c r="U327" s="10"/>
      <c r="V327" s="10"/>
      <c r="W327" s="12">
        <f t="shared" si="76"/>
        <v>0</v>
      </c>
      <c r="Y327" s="10"/>
      <c r="Z327" s="30"/>
      <c r="AA327" s="31"/>
      <c r="AB327" s="47"/>
      <c r="AC327" s="31"/>
      <c r="AD327" s="31"/>
      <c r="AE327" s="32">
        <f t="shared" ref="AE327" si="88">SUM(AB327:AC327)</f>
        <v>0</v>
      </c>
      <c r="AF327" s="10"/>
      <c r="AG327" s="10"/>
      <c r="AH327" s="10"/>
      <c r="AI327" s="12">
        <f t="shared" si="78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6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78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275589</v>
      </c>
      <c r="E330" s="38">
        <f t="shared" ref="E330:F330" si="89">SUM(E287:E327)</f>
        <v>0</v>
      </c>
      <c r="F330" s="38">
        <f t="shared" si="89"/>
        <v>0</v>
      </c>
      <c r="G330" s="38">
        <f>SUM(G287:G329)</f>
        <v>275589</v>
      </c>
      <c r="H330" s="4"/>
      <c r="I330" s="39">
        <f>SUM(I287:I329)</f>
        <v>777</v>
      </c>
      <c r="J330" s="39">
        <f>SUM(J287:J329)</f>
        <v>0</v>
      </c>
      <c r="K330" s="40">
        <f>SUM(K287:K329)</f>
        <v>276366</v>
      </c>
      <c r="N330" s="57"/>
      <c r="O330" s="57"/>
      <c r="P330" s="38">
        <f>SUM(P287:P329)</f>
        <v>299910</v>
      </c>
      <c r="Q330" s="38">
        <f>SUM(Q287:Q311)</f>
        <v>-1200</v>
      </c>
      <c r="R330" s="38">
        <f>SUM(R287:R311)</f>
        <v>0</v>
      </c>
      <c r="S330" s="38">
        <f>SUM(S287:S329)</f>
        <v>298710</v>
      </c>
      <c r="T330" s="4"/>
      <c r="U330" s="41">
        <f>SUM(U287:U329)</f>
        <v>20100</v>
      </c>
      <c r="V330" s="41">
        <f>SUM(V287:V311)</f>
        <v>-1701</v>
      </c>
      <c r="W330" s="42">
        <f>SUM(W287:W329)</f>
        <v>317109</v>
      </c>
      <c r="Z330" s="57"/>
      <c r="AA330" s="57"/>
      <c r="AB330" s="38">
        <f>SUM(AB287:AB329)</f>
        <v>354919</v>
      </c>
      <c r="AC330" s="38">
        <f>SUM(AC287:AC311)</f>
        <v>-2736</v>
      </c>
      <c r="AD330" s="38">
        <f>SUM(AD287:AD311)</f>
        <v>0</v>
      </c>
      <c r="AE330" s="38">
        <f>SUM(AE287:AE329)</f>
        <v>352183</v>
      </c>
      <c r="AF330" s="4"/>
      <c r="AG330" s="41">
        <f>SUM(AG287:AG329)</f>
        <v>0</v>
      </c>
      <c r="AH330" s="41">
        <f>SUM(AH287:AH311)</f>
        <v>-966</v>
      </c>
      <c r="AI330" s="42">
        <f>SUM(AI287:AI329)</f>
        <v>351217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3" t="s">
        <v>17</v>
      </c>
      <c r="E340" s="113"/>
      <c r="F340" s="95"/>
      <c r="G340" s="27"/>
      <c r="I340" s="111" t="s">
        <v>18</v>
      </c>
      <c r="J340" s="112"/>
      <c r="K340" s="109" t="s">
        <v>19</v>
      </c>
      <c r="N340" s="25"/>
      <c r="O340" s="26"/>
      <c r="P340" s="113" t="s">
        <v>17</v>
      </c>
      <c r="Q340" s="113"/>
      <c r="R340" s="96"/>
      <c r="S340" s="27"/>
      <c r="U340" s="111" t="s">
        <v>18</v>
      </c>
      <c r="V340" s="112"/>
      <c r="W340" s="109" t="s">
        <v>19</v>
      </c>
      <c r="Z340" s="25"/>
      <c r="AA340" s="26"/>
      <c r="AB340" s="113" t="s">
        <v>17</v>
      </c>
      <c r="AC340" s="113"/>
      <c r="AD340" s="96"/>
      <c r="AE340" s="27"/>
      <c r="AG340" s="111" t="s">
        <v>18</v>
      </c>
      <c r="AH340" s="112"/>
      <c r="AI340" s="109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10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0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10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46268</v>
      </c>
      <c r="C342" s="83">
        <v>9436</v>
      </c>
      <c r="D342" s="32">
        <f>650*19+622*2</f>
        <v>13594</v>
      </c>
      <c r="E342" s="32"/>
      <c r="F342" s="32"/>
      <c r="G342" s="32">
        <f t="shared" ref="G342:G375" si="90">SUM(D342:E342)</f>
        <v>13594</v>
      </c>
      <c r="H342" s="12"/>
      <c r="I342" s="12"/>
      <c r="J342" s="12"/>
      <c r="K342" s="12">
        <f t="shared" ref="K342:K375" si="91">SUM(G342:J342)</f>
        <v>13594</v>
      </c>
      <c r="M342" s="10">
        <v>1</v>
      </c>
      <c r="N342" s="30">
        <v>46268</v>
      </c>
      <c r="O342" s="31">
        <v>9480</v>
      </c>
      <c r="P342" s="32">
        <f>650*35+622*10+229</f>
        <v>29199</v>
      </c>
      <c r="Q342" s="32"/>
      <c r="R342" s="32"/>
      <c r="S342" s="32">
        <f>SUM(P342:Q342)</f>
        <v>29199</v>
      </c>
      <c r="T342" s="12"/>
      <c r="U342" s="12">
        <v>27</v>
      </c>
      <c r="V342" s="12"/>
      <c r="W342" s="12">
        <f>SUM(S342:V342)</f>
        <v>29226</v>
      </c>
      <c r="Y342" s="10">
        <v>1</v>
      </c>
      <c r="Z342" s="30">
        <v>46268</v>
      </c>
      <c r="AA342" s="31">
        <v>9511</v>
      </c>
      <c r="AB342" s="32">
        <f>650*40+622*10+229*2</f>
        <v>32678</v>
      </c>
      <c r="AC342" s="32">
        <f>-50*6</f>
        <v>-300</v>
      </c>
      <c r="AD342" s="32"/>
      <c r="AE342" s="32">
        <f>SUM(AB342:AC342)</f>
        <v>32378</v>
      </c>
      <c r="AF342" s="12"/>
      <c r="AG342" s="12"/>
      <c r="AH342" s="12"/>
      <c r="AI342" s="12">
        <f>SUM(AE342:AH342)</f>
        <v>32378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46268</v>
      </c>
      <c r="C343" s="83">
        <f>C342+1</f>
        <v>9437</v>
      </c>
      <c r="D343" s="32">
        <f>650*432+670*48+622*54+229*20</f>
        <v>351128</v>
      </c>
      <c r="E343" s="32">
        <f>-534*6</f>
        <v>-3204</v>
      </c>
      <c r="F343" s="32"/>
      <c r="G343" s="32">
        <f t="shared" si="90"/>
        <v>347924</v>
      </c>
      <c r="H343" s="12"/>
      <c r="I343" s="12">
        <f>22089+1560</f>
        <v>23649</v>
      </c>
      <c r="J343" s="12">
        <v>-11592</v>
      </c>
      <c r="K343" s="12">
        <f t="shared" si="91"/>
        <v>359981</v>
      </c>
      <c r="M343" s="10">
        <v>2</v>
      </c>
      <c r="N343" s="30">
        <v>46268</v>
      </c>
      <c r="O343" s="31">
        <f>O342+1</f>
        <v>9481</v>
      </c>
      <c r="P343" s="32">
        <f>650*49+229</f>
        <v>32079</v>
      </c>
      <c r="Q343" s="32"/>
      <c r="R343" s="32"/>
      <c r="S343" s="32">
        <f t="shared" ref="S343:S374" si="92">SUM(P343:Q343)</f>
        <v>32079</v>
      </c>
      <c r="T343" s="12"/>
      <c r="U343" s="12"/>
      <c r="V343" s="12">
        <v>-1665</v>
      </c>
      <c r="W343" s="12">
        <f t="shared" ref="W343:W383" si="93">SUM(S343:V343)</f>
        <v>30414</v>
      </c>
      <c r="Y343" s="10">
        <v>2</v>
      </c>
      <c r="Z343" s="30">
        <v>46268</v>
      </c>
      <c r="AA343" s="31">
        <f>AA342+1</f>
        <v>9512</v>
      </c>
      <c r="AB343" s="32">
        <f>650*196+622*20+872*2+229*9</f>
        <v>143645</v>
      </c>
      <c r="AC343" s="32"/>
      <c r="AD343" s="32"/>
      <c r="AE343" s="32">
        <f t="shared" ref="AE343:AE351" si="94">SUM(AB343:AC343)</f>
        <v>143645</v>
      </c>
      <c r="AF343" s="12"/>
      <c r="AG343" s="12">
        <f>216*111+8*78</f>
        <v>24600</v>
      </c>
      <c r="AH343" s="12"/>
      <c r="AI343" s="12">
        <f t="shared" ref="AI343:AI383" si="95">SUM(AE343:AH343)</f>
        <v>168245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46268</v>
      </c>
      <c r="C344" s="83">
        <f t="shared" ref="C344:C347" si="96">C343+1</f>
        <v>9438</v>
      </c>
      <c r="D344" s="33">
        <f>62*650+670*3+622*8</f>
        <v>47286</v>
      </c>
      <c r="E344" s="33"/>
      <c r="F344" s="33"/>
      <c r="G344" s="33">
        <f t="shared" si="90"/>
        <v>47286</v>
      </c>
      <c r="H344" s="34"/>
      <c r="I344" s="34">
        <v>135</v>
      </c>
      <c r="J344" s="34"/>
      <c r="K344" s="34">
        <f t="shared" si="91"/>
        <v>47421</v>
      </c>
      <c r="M344" s="10">
        <v>3</v>
      </c>
      <c r="N344" s="30">
        <v>46268</v>
      </c>
      <c r="O344" s="31">
        <f t="shared" ref="O344:O347" si="97">O343+1</f>
        <v>9482</v>
      </c>
      <c r="P344" s="32">
        <f>650*130+622*20+229*2</f>
        <v>97398</v>
      </c>
      <c r="Q344" s="32">
        <f>-150*6</f>
        <v>-900</v>
      </c>
      <c r="R344" s="32"/>
      <c r="S344" s="32">
        <f t="shared" si="92"/>
        <v>96498</v>
      </c>
      <c r="T344" s="12"/>
      <c r="U344" s="12">
        <v>72</v>
      </c>
      <c r="V344" s="12"/>
      <c r="W344" s="12">
        <f t="shared" si="93"/>
        <v>96570</v>
      </c>
      <c r="Y344" s="10">
        <v>3</v>
      </c>
      <c r="Z344" s="30">
        <v>46268</v>
      </c>
      <c r="AA344" s="31">
        <f t="shared" ref="AA344:AA348" si="98">AA343+1</f>
        <v>9513</v>
      </c>
      <c r="AB344" s="33">
        <f>650*31+670+622*10+229</f>
        <v>27269</v>
      </c>
      <c r="AC344" s="33"/>
      <c r="AD344" s="32"/>
      <c r="AE344" s="32">
        <f t="shared" si="94"/>
        <v>27269</v>
      </c>
      <c r="AF344" s="12"/>
      <c r="AG344" s="12">
        <f>17*1.5</f>
        <v>25.5</v>
      </c>
      <c r="AH344" s="12"/>
      <c r="AI344" s="12">
        <f t="shared" si="95"/>
        <v>27294.5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46268</v>
      </c>
      <c r="C345" s="83">
        <f t="shared" si="96"/>
        <v>9439</v>
      </c>
      <c r="D345" s="32">
        <f>650*24+912+1308+500+1582*2</f>
        <v>21484</v>
      </c>
      <c r="E345" s="32"/>
      <c r="F345" s="32"/>
      <c r="G345" s="32">
        <f t="shared" si="90"/>
        <v>21484</v>
      </c>
      <c r="H345" s="12"/>
      <c r="I345" s="12">
        <v>513</v>
      </c>
      <c r="J345" s="12"/>
      <c r="K345" s="12">
        <f t="shared" si="91"/>
        <v>21997</v>
      </c>
      <c r="M345" s="10">
        <v>4</v>
      </c>
      <c r="N345" s="30">
        <v>46268</v>
      </c>
      <c r="O345" s="31">
        <f t="shared" si="97"/>
        <v>9483</v>
      </c>
      <c r="P345" s="32">
        <f>650*216+622*88+229*13</f>
        <v>198113</v>
      </c>
      <c r="Q345" s="32">
        <f>-304*6</f>
        <v>-1824</v>
      </c>
      <c r="R345" s="32"/>
      <c r="S345" s="32">
        <f t="shared" si="92"/>
        <v>196289</v>
      </c>
      <c r="T345" s="12"/>
      <c r="U345" s="12">
        <v>780</v>
      </c>
      <c r="V345" s="12">
        <v>-420</v>
      </c>
      <c r="W345" s="12">
        <f t="shared" si="93"/>
        <v>196649</v>
      </c>
      <c r="Y345" s="10">
        <v>4</v>
      </c>
      <c r="Z345" s="30">
        <v>46268</v>
      </c>
      <c r="AA345" s="31">
        <f t="shared" si="98"/>
        <v>9514</v>
      </c>
      <c r="AB345" s="32">
        <f>650*35+670*3+622*10+229*2</f>
        <v>31438</v>
      </c>
      <c r="AC345" s="32"/>
      <c r="AD345" s="32"/>
      <c r="AE345" s="32">
        <f t="shared" si="94"/>
        <v>31438</v>
      </c>
      <c r="AF345" s="12"/>
      <c r="AG345" s="58"/>
      <c r="AH345" s="12"/>
      <c r="AI345" s="12">
        <f t="shared" si="95"/>
        <v>31438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46268</v>
      </c>
      <c r="C346" s="83">
        <f t="shared" si="96"/>
        <v>9440</v>
      </c>
      <c r="D346" s="32">
        <f>650*14+670*3+622*3</f>
        <v>12976</v>
      </c>
      <c r="E346" s="32"/>
      <c r="F346" s="32"/>
      <c r="G346" s="32">
        <f t="shared" si="90"/>
        <v>12976</v>
      </c>
      <c r="H346" s="12"/>
      <c r="I346" s="12">
        <v>27</v>
      </c>
      <c r="J346" s="12"/>
      <c r="K346" s="12">
        <f t="shared" si="91"/>
        <v>13003</v>
      </c>
      <c r="M346" s="10">
        <v>5</v>
      </c>
      <c r="N346" s="30">
        <v>46268</v>
      </c>
      <c r="O346" s="31">
        <f t="shared" si="97"/>
        <v>9484</v>
      </c>
      <c r="P346" s="32">
        <f>650*108+229*3</f>
        <v>70887</v>
      </c>
      <c r="Q346" s="32">
        <f>-108*6</f>
        <v>-648</v>
      </c>
      <c r="R346" s="32"/>
      <c r="S346" s="32">
        <f t="shared" si="92"/>
        <v>70239</v>
      </c>
      <c r="T346" s="12"/>
      <c r="U346" s="12">
        <v>234</v>
      </c>
      <c r="V346" s="12"/>
      <c r="W346" s="12">
        <f t="shared" si="93"/>
        <v>70473</v>
      </c>
      <c r="Y346" s="10">
        <v>5</v>
      </c>
      <c r="Z346" s="30">
        <v>46268</v>
      </c>
      <c r="AA346" s="31">
        <f t="shared" si="98"/>
        <v>9515</v>
      </c>
      <c r="AB346" s="32">
        <f>670*2+913+622*5</f>
        <v>5363</v>
      </c>
      <c r="AC346" s="32"/>
      <c r="AD346" s="32"/>
      <c r="AE346" s="32">
        <f t="shared" si="94"/>
        <v>5363</v>
      </c>
      <c r="AF346" s="12"/>
      <c r="AG346" s="12">
        <v>11.25</v>
      </c>
      <c r="AH346" s="12"/>
      <c r="AI346" s="12">
        <f t="shared" si="95"/>
        <v>5374.25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46268</v>
      </c>
      <c r="C347" s="83">
        <f t="shared" si="96"/>
        <v>9441</v>
      </c>
      <c r="D347" s="32">
        <f>650*7</f>
        <v>4550</v>
      </c>
      <c r="E347" s="32"/>
      <c r="F347" s="32"/>
      <c r="G347" s="32">
        <f t="shared" si="90"/>
        <v>4550</v>
      </c>
      <c r="H347" s="12"/>
      <c r="I347" s="12"/>
      <c r="J347" s="12">
        <f>-111*28</f>
        <v>-3108</v>
      </c>
      <c r="K347" s="12">
        <f t="shared" si="91"/>
        <v>1442</v>
      </c>
      <c r="M347" s="10">
        <v>6</v>
      </c>
      <c r="N347" s="30">
        <v>46268</v>
      </c>
      <c r="O347" s="31">
        <f t="shared" si="97"/>
        <v>9485</v>
      </c>
      <c r="P347" s="32">
        <f>670</f>
        <v>670</v>
      </c>
      <c r="Q347" s="32"/>
      <c r="R347" s="32"/>
      <c r="S347" s="32">
        <f t="shared" si="92"/>
        <v>670</v>
      </c>
      <c r="T347" s="12"/>
      <c r="U347" s="12"/>
      <c r="V347" s="10">
        <v>-234</v>
      </c>
      <c r="W347" s="12">
        <f t="shared" si="93"/>
        <v>436</v>
      </c>
      <c r="Y347" s="10">
        <v>6</v>
      </c>
      <c r="Z347" s="30">
        <v>46268</v>
      </c>
      <c r="AA347" s="31">
        <f t="shared" si="98"/>
        <v>9516</v>
      </c>
      <c r="AB347" s="32">
        <f>650*17+622*3+229</f>
        <v>13145</v>
      </c>
      <c r="AC347" s="32"/>
      <c r="AD347" s="32"/>
      <c r="AE347" s="32">
        <f t="shared" si="94"/>
        <v>13145</v>
      </c>
      <c r="AF347" s="12"/>
      <c r="AG347" s="12"/>
      <c r="AH347" s="10"/>
      <c r="AI347" s="12">
        <f t="shared" si="95"/>
        <v>13145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11" t="s">
        <v>27</v>
      </c>
      <c r="D348" s="32"/>
      <c r="E348" s="32"/>
      <c r="F348" s="32"/>
      <c r="G348" s="32">
        <f t="shared" si="90"/>
        <v>0</v>
      </c>
      <c r="H348" s="12"/>
      <c r="I348" s="12"/>
      <c r="J348" s="12"/>
      <c r="K348" s="12">
        <f t="shared" si="91"/>
        <v>0</v>
      </c>
      <c r="M348" s="10">
        <v>7</v>
      </c>
      <c r="N348" s="30"/>
      <c r="O348" s="11" t="s">
        <v>27</v>
      </c>
      <c r="P348" s="32"/>
      <c r="Q348" s="32"/>
      <c r="R348" s="32"/>
      <c r="S348" s="32">
        <f t="shared" si="92"/>
        <v>0</v>
      </c>
      <c r="T348" s="12"/>
      <c r="U348" s="12"/>
      <c r="V348" s="12"/>
      <c r="W348" s="12">
        <f t="shared" si="93"/>
        <v>0</v>
      </c>
      <c r="Y348" s="10">
        <v>7</v>
      </c>
      <c r="Z348" s="30">
        <v>46268</v>
      </c>
      <c r="AA348" s="31">
        <f t="shared" si="98"/>
        <v>9517</v>
      </c>
      <c r="AB348" s="32">
        <f>650*50+670*5+622*5+1582</f>
        <v>40542</v>
      </c>
      <c r="AC348" s="32"/>
      <c r="AD348" s="32"/>
      <c r="AE348" s="32">
        <f t="shared" si="94"/>
        <v>40542</v>
      </c>
      <c r="AF348" s="12"/>
      <c r="AG348" s="58"/>
      <c r="AH348" s="12"/>
      <c r="AI348" s="12">
        <f t="shared" si="95"/>
        <v>40542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83"/>
      <c r="D349" s="32"/>
      <c r="E349" s="32"/>
      <c r="F349" s="32"/>
      <c r="G349" s="32">
        <f t="shared" si="90"/>
        <v>0</v>
      </c>
      <c r="H349" s="12"/>
      <c r="I349" s="12"/>
      <c r="J349" s="12"/>
      <c r="K349" s="12">
        <f t="shared" si="91"/>
        <v>0</v>
      </c>
      <c r="M349" s="10">
        <v>8</v>
      </c>
      <c r="N349" s="30"/>
      <c r="P349" s="32"/>
      <c r="Q349" s="32"/>
      <c r="R349" s="32"/>
      <c r="S349" s="32">
        <f t="shared" si="92"/>
        <v>0</v>
      </c>
      <c r="T349" s="12"/>
      <c r="U349" s="12"/>
      <c r="V349" s="12"/>
      <c r="W349" s="12">
        <f t="shared" si="93"/>
        <v>0</v>
      </c>
      <c r="Y349" s="10">
        <v>8</v>
      </c>
      <c r="Z349" s="30">
        <v>46268</v>
      </c>
      <c r="AA349" s="31">
        <v>9651</v>
      </c>
      <c r="AB349" s="32">
        <f>6431.54</f>
        <v>6431.54</v>
      </c>
      <c r="AC349" s="32"/>
      <c r="AE349" s="32">
        <f t="shared" si="94"/>
        <v>6431.54</v>
      </c>
      <c r="AF349" s="12"/>
      <c r="AG349" s="12"/>
      <c r="AH349" s="12"/>
      <c r="AI349" s="12">
        <f t="shared" si="95"/>
        <v>6431.54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83"/>
      <c r="D350" s="32"/>
      <c r="E350" s="32"/>
      <c r="F350" s="32"/>
      <c r="G350" s="32">
        <f t="shared" si="90"/>
        <v>0</v>
      </c>
      <c r="H350" s="12"/>
      <c r="I350" s="12"/>
      <c r="J350" s="12"/>
      <c r="K350" s="12">
        <f t="shared" si="91"/>
        <v>0</v>
      </c>
      <c r="M350" s="10">
        <v>9</v>
      </c>
      <c r="N350" s="30"/>
      <c r="O350" s="31"/>
      <c r="P350" s="32"/>
      <c r="Q350" s="32"/>
      <c r="R350" s="32"/>
      <c r="S350" s="32">
        <f t="shared" si="92"/>
        <v>0</v>
      </c>
      <c r="T350" s="12"/>
      <c r="U350" s="12"/>
      <c r="V350" s="12"/>
      <c r="W350" s="12">
        <f t="shared" si="93"/>
        <v>0</v>
      </c>
      <c r="Y350" s="10">
        <v>9</v>
      </c>
      <c r="Z350" s="30">
        <v>46268</v>
      </c>
      <c r="AA350" s="31">
        <v>9652</v>
      </c>
      <c r="AB350" s="32">
        <v>1563.91</v>
      </c>
      <c r="AC350" s="32"/>
      <c r="AD350" s="32"/>
      <c r="AE350" s="32">
        <f t="shared" si="94"/>
        <v>1563.91</v>
      </c>
      <c r="AF350" s="12"/>
      <c r="AH350" s="12"/>
      <c r="AI350" s="12">
        <f t="shared" si="95"/>
        <v>1563.91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90"/>
        <v>0</v>
      </c>
      <c r="H351" s="12"/>
      <c r="I351" s="12"/>
      <c r="J351" s="12"/>
      <c r="K351" s="12">
        <f t="shared" si="91"/>
        <v>0</v>
      </c>
      <c r="M351" s="10">
        <v>10</v>
      </c>
      <c r="N351" s="30"/>
      <c r="O351" s="31"/>
      <c r="P351" s="32"/>
      <c r="Q351" s="32"/>
      <c r="R351" s="32"/>
      <c r="S351" s="32">
        <f t="shared" si="92"/>
        <v>0</v>
      </c>
      <c r="T351" s="12"/>
      <c r="U351" s="12"/>
      <c r="V351" s="12"/>
      <c r="W351" s="12">
        <f t="shared" si="93"/>
        <v>0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4"/>
        <v>0</v>
      </c>
      <c r="AF351" s="12"/>
      <c r="AG351" s="12"/>
      <c r="AH351" s="12"/>
      <c r="AI351" s="12">
        <f t="shared" si="95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D352" s="32"/>
      <c r="E352" s="32"/>
      <c r="F352" s="32"/>
      <c r="G352" s="32">
        <f t="shared" si="90"/>
        <v>0</v>
      </c>
      <c r="H352" s="12"/>
      <c r="I352" s="12"/>
      <c r="J352" s="12"/>
      <c r="K352" s="12">
        <f t="shared" si="91"/>
        <v>0</v>
      </c>
      <c r="M352" s="10">
        <v>11</v>
      </c>
      <c r="N352" s="30"/>
      <c r="P352" s="32"/>
      <c r="Q352" s="32"/>
      <c r="R352" s="32"/>
      <c r="S352" s="32">
        <f t="shared" si="92"/>
        <v>0</v>
      </c>
      <c r="T352" s="12"/>
      <c r="U352" s="12"/>
      <c r="V352" s="12"/>
      <c r="W352" s="12">
        <f t="shared" si="93"/>
        <v>0</v>
      </c>
      <c r="Y352" s="10">
        <v>11</v>
      </c>
      <c r="Z352" s="30"/>
      <c r="AB352" s="32"/>
      <c r="AC352" s="32"/>
      <c r="AD352" s="32"/>
      <c r="AE352" s="32">
        <f t="shared" ref="AE352:AE374" si="99">SUM(AB352:AC352)</f>
        <v>0</v>
      </c>
      <c r="AF352" s="12"/>
      <c r="AG352" s="12"/>
      <c r="AH352" s="12"/>
      <c r="AI352" s="12">
        <f t="shared" si="95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90"/>
        <v>0</v>
      </c>
      <c r="H353" s="12"/>
      <c r="I353" s="12"/>
      <c r="J353" s="10"/>
      <c r="K353" s="12">
        <f t="shared" si="91"/>
        <v>0</v>
      </c>
      <c r="M353" s="10">
        <v>12</v>
      </c>
      <c r="N353" s="30"/>
      <c r="O353" s="31"/>
      <c r="P353" s="32"/>
      <c r="Q353" s="32"/>
      <c r="R353" s="32"/>
      <c r="S353" s="32">
        <f t="shared" si="92"/>
        <v>0</v>
      </c>
      <c r="T353" s="12"/>
      <c r="U353" s="12"/>
      <c r="V353" s="12"/>
      <c r="W353" s="12">
        <f t="shared" si="93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9"/>
        <v>0</v>
      </c>
      <c r="AF353" s="12"/>
      <c r="AG353" s="12"/>
      <c r="AH353" s="12"/>
      <c r="AI353" s="12">
        <f t="shared" si="95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90"/>
        <v>0</v>
      </c>
      <c r="H354" s="12"/>
      <c r="I354" s="12"/>
      <c r="J354" s="12"/>
      <c r="K354" s="12">
        <f t="shared" si="91"/>
        <v>0</v>
      </c>
      <c r="M354" s="10">
        <v>13</v>
      </c>
      <c r="N354" s="30"/>
      <c r="O354" s="31"/>
      <c r="P354" s="32"/>
      <c r="Q354" s="32"/>
      <c r="R354" s="32"/>
      <c r="S354" s="32">
        <f t="shared" si="92"/>
        <v>0</v>
      </c>
      <c r="T354" s="12"/>
      <c r="U354" s="12"/>
      <c r="V354" s="12"/>
      <c r="W354" s="12">
        <f t="shared" si="93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9"/>
        <v>0</v>
      </c>
      <c r="AF354" s="12"/>
      <c r="AG354" s="12"/>
      <c r="AH354" s="12"/>
      <c r="AI354" s="12">
        <f t="shared" si="95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90"/>
        <v>0</v>
      </c>
      <c r="H355" s="12"/>
      <c r="I355" s="12"/>
      <c r="J355" s="12"/>
      <c r="K355" s="12">
        <f t="shared" si="91"/>
        <v>0</v>
      </c>
      <c r="M355" s="10">
        <v>14</v>
      </c>
      <c r="N355" s="30"/>
      <c r="O355" s="31"/>
      <c r="P355" s="32"/>
      <c r="Q355" s="32"/>
      <c r="R355" s="32"/>
      <c r="S355" s="32">
        <f t="shared" si="92"/>
        <v>0</v>
      </c>
      <c r="T355" s="12"/>
      <c r="U355" s="12"/>
      <c r="V355" s="12"/>
      <c r="W355" s="12">
        <f t="shared" si="93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9"/>
        <v>0</v>
      </c>
      <c r="AF355" s="12"/>
      <c r="AG355" s="12"/>
      <c r="AH355" s="12"/>
      <c r="AI355" s="12">
        <f t="shared" si="95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90"/>
        <v>0</v>
      </c>
      <c r="H356" s="12"/>
      <c r="I356" s="12"/>
      <c r="J356" s="12"/>
      <c r="K356" s="12">
        <f t="shared" si="91"/>
        <v>0</v>
      </c>
      <c r="M356" s="10">
        <v>15</v>
      </c>
      <c r="N356" s="30"/>
      <c r="O356" s="31"/>
      <c r="P356" s="32"/>
      <c r="Q356" s="32"/>
      <c r="R356" s="32"/>
      <c r="S356" s="32">
        <f t="shared" si="92"/>
        <v>0</v>
      </c>
      <c r="T356" s="12"/>
      <c r="U356" s="12"/>
      <c r="V356" s="12"/>
      <c r="W356" s="12">
        <f t="shared" si="93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9"/>
        <v>0</v>
      </c>
      <c r="AF356" s="12"/>
      <c r="AG356" s="12"/>
      <c r="AH356" s="12"/>
      <c r="AI356" s="12">
        <f t="shared" si="95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83"/>
      <c r="D357" s="32"/>
      <c r="E357" s="32"/>
      <c r="F357" s="32"/>
      <c r="G357" s="32">
        <f t="shared" si="90"/>
        <v>0</v>
      </c>
      <c r="H357" s="12"/>
      <c r="I357" s="12"/>
      <c r="J357" s="12"/>
      <c r="K357" s="12">
        <f t="shared" si="91"/>
        <v>0</v>
      </c>
      <c r="M357" s="10">
        <v>16</v>
      </c>
      <c r="N357" s="30"/>
      <c r="O357" s="31"/>
      <c r="P357" s="32"/>
      <c r="Q357" s="32"/>
      <c r="R357" s="32"/>
      <c r="S357" s="32">
        <f t="shared" si="92"/>
        <v>0</v>
      </c>
      <c r="T357" s="12"/>
      <c r="U357" s="12"/>
      <c r="V357" s="12"/>
      <c r="W357" s="12">
        <f t="shared" si="93"/>
        <v>0</v>
      </c>
      <c r="Y357" s="10">
        <v>16</v>
      </c>
      <c r="Z357" s="30"/>
      <c r="AB357" s="32"/>
      <c r="AC357" s="32"/>
      <c r="AD357" s="32"/>
      <c r="AE357" s="32">
        <f t="shared" si="99"/>
        <v>0</v>
      </c>
      <c r="AF357" s="12"/>
      <c r="AG357" s="12"/>
      <c r="AH357" s="12"/>
      <c r="AI357" s="12">
        <f t="shared" si="95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90"/>
        <v>0</v>
      </c>
      <c r="H358" s="12"/>
      <c r="I358" s="12"/>
      <c r="J358" s="12"/>
      <c r="K358" s="12">
        <f t="shared" si="91"/>
        <v>0</v>
      </c>
      <c r="M358" s="10">
        <v>17</v>
      </c>
      <c r="N358" s="30"/>
      <c r="O358" s="31"/>
      <c r="P358" s="35"/>
      <c r="Q358" s="32"/>
      <c r="R358" s="32"/>
      <c r="S358" s="32">
        <f t="shared" si="92"/>
        <v>0</v>
      </c>
      <c r="T358" s="12"/>
      <c r="U358" s="12"/>
      <c r="V358" s="12"/>
      <c r="W358" s="12">
        <f t="shared" si="93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9"/>
        <v>0</v>
      </c>
      <c r="AF358" s="12"/>
      <c r="AG358" s="12"/>
      <c r="AH358" s="12"/>
      <c r="AI358" s="12">
        <f t="shared" si="95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90"/>
        <v>0</v>
      </c>
      <c r="H359" s="12"/>
      <c r="I359" s="12"/>
      <c r="J359" s="12"/>
      <c r="K359" s="12">
        <f t="shared" si="91"/>
        <v>0</v>
      </c>
      <c r="M359" s="10">
        <v>18</v>
      </c>
      <c r="N359" s="30"/>
      <c r="P359" s="32"/>
      <c r="Q359" s="32"/>
      <c r="R359" s="32"/>
      <c r="S359" s="32">
        <f t="shared" si="92"/>
        <v>0</v>
      </c>
      <c r="T359" s="12"/>
      <c r="U359" s="12"/>
      <c r="V359" s="12"/>
      <c r="W359" s="12">
        <f t="shared" si="93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9"/>
        <v>0</v>
      </c>
      <c r="AF359" s="12"/>
      <c r="AG359" s="12"/>
      <c r="AH359" s="12"/>
      <c r="AI359" s="12">
        <f t="shared" si="95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90"/>
        <v>0</v>
      </c>
      <c r="H360" s="12"/>
      <c r="I360" s="12"/>
      <c r="J360" s="12"/>
      <c r="K360" s="12">
        <f t="shared" si="91"/>
        <v>0</v>
      </c>
      <c r="M360" s="10">
        <v>19</v>
      </c>
      <c r="N360" s="30"/>
      <c r="O360" s="31"/>
      <c r="P360" s="32"/>
      <c r="Q360" s="32"/>
      <c r="R360" s="32"/>
      <c r="S360" s="32">
        <f t="shared" si="92"/>
        <v>0</v>
      </c>
      <c r="T360" s="12"/>
      <c r="U360" s="12"/>
      <c r="V360" s="12"/>
      <c r="W360" s="12">
        <f t="shared" si="93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9"/>
        <v>0</v>
      </c>
      <c r="AF360" s="12"/>
      <c r="AG360" s="12"/>
      <c r="AH360" s="12"/>
      <c r="AI360" s="12">
        <f t="shared" si="95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90"/>
        <v>0</v>
      </c>
      <c r="H361" s="12"/>
      <c r="I361" s="12"/>
      <c r="J361" s="12"/>
      <c r="K361" s="12">
        <f t="shared" si="91"/>
        <v>0</v>
      </c>
      <c r="M361" s="10">
        <v>20</v>
      </c>
      <c r="N361" s="30"/>
      <c r="P361" s="32"/>
      <c r="Q361" s="32"/>
      <c r="R361" s="32"/>
      <c r="S361" s="32">
        <f t="shared" si="92"/>
        <v>0</v>
      </c>
      <c r="T361" s="12"/>
      <c r="U361" s="12"/>
      <c r="V361" s="12"/>
      <c r="W361" s="12">
        <f t="shared" si="93"/>
        <v>0</v>
      </c>
      <c r="Y361" s="10">
        <v>20</v>
      </c>
      <c r="Z361" s="30"/>
      <c r="AB361" s="32"/>
      <c r="AC361" s="32"/>
      <c r="AD361" s="32"/>
      <c r="AE361" s="32">
        <f t="shared" si="99"/>
        <v>0</v>
      </c>
      <c r="AF361" s="12"/>
      <c r="AG361" s="12"/>
      <c r="AH361" s="12"/>
      <c r="AI361" s="12">
        <f t="shared" si="95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90"/>
        <v>0</v>
      </c>
      <c r="H362" s="10"/>
      <c r="I362" s="10"/>
      <c r="J362" s="10"/>
      <c r="K362" s="12">
        <f t="shared" si="91"/>
        <v>0</v>
      </c>
      <c r="M362" s="10">
        <v>21</v>
      </c>
      <c r="N362" s="30"/>
      <c r="O362" s="31"/>
      <c r="P362" s="46"/>
      <c r="Q362" s="31"/>
      <c r="R362" s="31"/>
      <c r="S362" s="32">
        <f t="shared" si="92"/>
        <v>0</v>
      </c>
      <c r="T362" s="10"/>
      <c r="U362" s="10"/>
      <c r="V362" s="10"/>
      <c r="W362" s="12">
        <f t="shared" si="93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9"/>
        <v>0</v>
      </c>
      <c r="AF362" s="10"/>
      <c r="AG362" s="10"/>
      <c r="AH362" s="10"/>
      <c r="AI362" s="12">
        <f t="shared" si="95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90"/>
        <v>0</v>
      </c>
      <c r="H363" s="10"/>
      <c r="I363" s="10"/>
      <c r="J363" s="10"/>
      <c r="K363" s="12">
        <f t="shared" si="91"/>
        <v>0</v>
      </c>
      <c r="M363" s="10">
        <v>22</v>
      </c>
      <c r="N363" s="30"/>
      <c r="O363" s="31"/>
      <c r="P363" s="45"/>
      <c r="Q363" s="31"/>
      <c r="R363" s="31"/>
      <c r="S363" s="32">
        <f t="shared" si="92"/>
        <v>0</v>
      </c>
      <c r="T363" s="10"/>
      <c r="U363" s="10"/>
      <c r="V363" s="10"/>
      <c r="W363" s="12">
        <f t="shared" si="93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9"/>
        <v>0</v>
      </c>
      <c r="AF363" s="10"/>
      <c r="AG363" s="10"/>
      <c r="AH363" s="10"/>
      <c r="AI363" s="12">
        <f t="shared" si="95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90"/>
        <v>0</v>
      </c>
      <c r="H364" s="10"/>
      <c r="I364" s="10"/>
      <c r="J364" s="12"/>
      <c r="K364" s="12">
        <f t="shared" si="91"/>
        <v>0</v>
      </c>
      <c r="M364" s="10">
        <v>23</v>
      </c>
      <c r="N364" s="30"/>
      <c r="O364" s="31"/>
      <c r="P364" s="47"/>
      <c r="Q364" s="31"/>
      <c r="S364" s="32">
        <f t="shared" si="92"/>
        <v>0</v>
      </c>
      <c r="T364" s="10"/>
      <c r="U364" s="10"/>
      <c r="V364" s="10"/>
      <c r="W364" s="12">
        <f t="shared" si="93"/>
        <v>0</v>
      </c>
      <c r="Y364" s="10">
        <v>23</v>
      </c>
      <c r="Z364" s="30"/>
      <c r="AA364" s="31"/>
      <c r="AB364" s="47"/>
      <c r="AE364" s="32">
        <f t="shared" si="99"/>
        <v>0</v>
      </c>
      <c r="AF364" s="10"/>
      <c r="AG364" s="10"/>
      <c r="AH364" s="10"/>
      <c r="AI364" s="12">
        <f t="shared" si="95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90"/>
        <v>0</v>
      </c>
      <c r="H365" s="10"/>
      <c r="I365" s="10"/>
      <c r="J365" s="10"/>
      <c r="K365" s="12">
        <f t="shared" si="91"/>
        <v>0</v>
      </c>
      <c r="M365" s="10">
        <v>24</v>
      </c>
      <c r="N365" s="30"/>
      <c r="O365" s="31"/>
      <c r="P365" s="47"/>
      <c r="Q365" s="31"/>
      <c r="R365" s="31"/>
      <c r="S365" s="32">
        <f t="shared" si="92"/>
        <v>0</v>
      </c>
      <c r="T365" s="10"/>
      <c r="U365" s="10"/>
      <c r="V365" s="10"/>
      <c r="W365" s="12">
        <f t="shared" si="93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9"/>
        <v>0</v>
      </c>
      <c r="AF365" s="10"/>
      <c r="AG365" s="10"/>
      <c r="AH365" s="10"/>
      <c r="AI365" s="12">
        <f t="shared" si="95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90"/>
        <v>0</v>
      </c>
      <c r="H366" s="10"/>
      <c r="I366" s="10"/>
      <c r="J366" s="10"/>
      <c r="K366" s="12">
        <f t="shared" si="91"/>
        <v>0</v>
      </c>
      <c r="M366" s="10">
        <v>25</v>
      </c>
      <c r="N366" s="30"/>
      <c r="O366" s="31"/>
      <c r="P366" s="47"/>
      <c r="Q366" s="31"/>
      <c r="R366" s="31"/>
      <c r="S366" s="32">
        <f t="shared" si="92"/>
        <v>0</v>
      </c>
      <c r="T366" s="10"/>
      <c r="U366" s="10"/>
      <c r="V366" s="10"/>
      <c r="W366" s="12">
        <f t="shared" si="93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9"/>
        <v>0</v>
      </c>
      <c r="AF366" s="10"/>
      <c r="AG366" s="10"/>
      <c r="AH366" s="10"/>
      <c r="AI366" s="12">
        <f t="shared" si="95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90"/>
        <v>0</v>
      </c>
      <c r="H367" s="10"/>
      <c r="I367" s="10"/>
      <c r="J367" s="10"/>
      <c r="K367" s="12">
        <f t="shared" si="91"/>
        <v>0</v>
      </c>
      <c r="M367" s="10">
        <v>26</v>
      </c>
      <c r="N367" s="30"/>
      <c r="O367" s="31"/>
      <c r="P367" s="47"/>
      <c r="Q367" s="31"/>
      <c r="R367" s="31"/>
      <c r="S367" s="32">
        <f t="shared" si="92"/>
        <v>0</v>
      </c>
      <c r="T367" s="10"/>
      <c r="U367" s="10"/>
      <c r="V367" s="10"/>
      <c r="W367" s="12">
        <f t="shared" si="93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9"/>
        <v>0</v>
      </c>
      <c r="AF367" s="10"/>
      <c r="AG367" s="10"/>
      <c r="AH367" s="10"/>
      <c r="AI367" s="12">
        <f t="shared" si="95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90"/>
        <v>0</v>
      </c>
      <c r="H368" s="10"/>
      <c r="I368" s="10"/>
      <c r="J368" s="10"/>
      <c r="K368" s="12">
        <f t="shared" si="91"/>
        <v>0</v>
      </c>
      <c r="M368" s="10">
        <v>27</v>
      </c>
      <c r="N368" s="30"/>
      <c r="O368" s="31"/>
      <c r="P368" s="47"/>
      <c r="Q368" s="31"/>
      <c r="R368" s="31"/>
      <c r="S368" s="32">
        <f t="shared" si="92"/>
        <v>0</v>
      </c>
      <c r="T368" s="10"/>
      <c r="U368" s="10"/>
      <c r="V368" s="10"/>
      <c r="W368" s="12">
        <f t="shared" si="93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9"/>
        <v>0</v>
      </c>
      <c r="AF368" s="10"/>
      <c r="AG368" s="10"/>
      <c r="AH368" s="10"/>
      <c r="AI368" s="12">
        <f t="shared" si="95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90"/>
        <v>0</v>
      </c>
      <c r="H369" s="10"/>
      <c r="I369" s="10"/>
      <c r="J369" s="10"/>
      <c r="K369" s="12">
        <f t="shared" si="91"/>
        <v>0</v>
      </c>
      <c r="M369" s="10">
        <v>28</v>
      </c>
      <c r="N369" s="30"/>
      <c r="O369" s="31"/>
      <c r="P369" s="47"/>
      <c r="Q369" s="31"/>
      <c r="R369" s="31"/>
      <c r="S369" s="32">
        <f t="shared" si="92"/>
        <v>0</v>
      </c>
      <c r="T369" s="10"/>
      <c r="U369" s="10"/>
      <c r="V369" s="10"/>
      <c r="W369" s="12">
        <f t="shared" si="93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9"/>
        <v>0</v>
      </c>
      <c r="AF369" s="10"/>
      <c r="AG369" s="10"/>
      <c r="AH369" s="10"/>
      <c r="AI369" s="12">
        <f t="shared" si="95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90"/>
        <v>0</v>
      </c>
      <c r="H370" s="10"/>
      <c r="I370" s="10"/>
      <c r="J370" s="10"/>
      <c r="K370" s="12">
        <f t="shared" si="91"/>
        <v>0</v>
      </c>
      <c r="M370" s="10">
        <v>29</v>
      </c>
      <c r="N370" s="30"/>
      <c r="O370" s="31"/>
      <c r="P370" s="47"/>
      <c r="Q370" s="31"/>
      <c r="R370" s="31"/>
      <c r="S370" s="32">
        <f t="shared" si="92"/>
        <v>0</v>
      </c>
      <c r="T370" s="10"/>
      <c r="U370" s="10"/>
      <c r="V370" s="10"/>
      <c r="W370" s="12">
        <f t="shared" si="93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9"/>
        <v>0</v>
      </c>
      <c r="AF370" s="10"/>
      <c r="AG370" s="10"/>
      <c r="AH370" s="10"/>
      <c r="AI370" s="12">
        <f t="shared" si="95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90"/>
        <v>0</v>
      </c>
      <c r="H371" s="10"/>
      <c r="I371" s="10"/>
      <c r="J371" s="10"/>
      <c r="K371" s="12">
        <f t="shared" si="91"/>
        <v>0</v>
      </c>
      <c r="M371" s="10">
        <v>30</v>
      </c>
      <c r="N371" s="30"/>
      <c r="O371" s="31"/>
      <c r="P371" s="47"/>
      <c r="Q371" s="31"/>
      <c r="R371" s="31"/>
      <c r="S371" s="32">
        <f t="shared" si="92"/>
        <v>0</v>
      </c>
      <c r="T371" s="10"/>
      <c r="U371" s="10"/>
      <c r="V371" s="10"/>
      <c r="W371" s="12">
        <f t="shared" si="93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9"/>
        <v>0</v>
      </c>
      <c r="AF371" s="10"/>
      <c r="AG371" s="10"/>
      <c r="AH371" s="10"/>
      <c r="AI371" s="12">
        <f t="shared" si="95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90"/>
        <v>0</v>
      </c>
      <c r="H372" s="10"/>
      <c r="I372" s="10"/>
      <c r="J372" s="10"/>
      <c r="K372" s="12">
        <f t="shared" si="91"/>
        <v>0</v>
      </c>
      <c r="M372" s="10">
        <v>31</v>
      </c>
      <c r="N372" s="30"/>
      <c r="O372" s="31"/>
      <c r="P372" s="47"/>
      <c r="Q372" s="31"/>
      <c r="R372" s="31"/>
      <c r="S372" s="32">
        <f t="shared" si="92"/>
        <v>0</v>
      </c>
      <c r="T372" s="10"/>
      <c r="U372" s="10"/>
      <c r="V372" s="10"/>
      <c r="W372" s="12">
        <f t="shared" si="93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9"/>
        <v>0</v>
      </c>
      <c r="AF372" s="10"/>
      <c r="AG372" s="10"/>
      <c r="AH372" s="10"/>
      <c r="AI372" s="12">
        <f t="shared" si="95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90"/>
        <v>0</v>
      </c>
      <c r="H373" s="10"/>
      <c r="I373" s="10"/>
      <c r="J373" s="10"/>
      <c r="K373" s="12">
        <f t="shared" si="91"/>
        <v>0</v>
      </c>
      <c r="M373" s="10">
        <v>32</v>
      </c>
      <c r="N373" s="30"/>
      <c r="O373" s="31"/>
      <c r="P373" s="47"/>
      <c r="Q373" s="31"/>
      <c r="R373" s="31"/>
      <c r="S373" s="32">
        <f t="shared" si="92"/>
        <v>0</v>
      </c>
      <c r="T373" s="10"/>
      <c r="U373" s="10"/>
      <c r="V373" s="10"/>
      <c r="W373" s="12">
        <f t="shared" si="93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9"/>
        <v>0</v>
      </c>
      <c r="AF373" s="10"/>
      <c r="AG373" s="10"/>
      <c r="AH373" s="10"/>
      <c r="AI373" s="12">
        <f t="shared" si="95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90"/>
        <v>0</v>
      </c>
      <c r="H374" s="10"/>
      <c r="I374" s="10"/>
      <c r="J374" s="10"/>
      <c r="K374" s="12">
        <f t="shared" si="91"/>
        <v>0</v>
      </c>
      <c r="M374" s="10">
        <v>33</v>
      </c>
      <c r="N374" s="30"/>
      <c r="O374" s="31"/>
      <c r="P374" s="47"/>
      <c r="Q374" s="31"/>
      <c r="R374" s="31"/>
      <c r="S374" s="32">
        <f t="shared" si="92"/>
        <v>0</v>
      </c>
      <c r="T374" s="10"/>
      <c r="U374" s="10"/>
      <c r="V374" s="10"/>
      <c r="W374" s="12">
        <f t="shared" si="93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9"/>
        <v>0</v>
      </c>
      <c r="AF374" s="10"/>
      <c r="AG374" s="10"/>
      <c r="AH374" s="10"/>
      <c r="AI374" s="12">
        <f t="shared" si="95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90"/>
        <v>0</v>
      </c>
      <c r="H375" s="10"/>
      <c r="I375" s="10"/>
      <c r="J375" s="10"/>
      <c r="K375" s="12">
        <f t="shared" si="91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00">SUM(P375:Q375)</f>
        <v>0</v>
      </c>
      <c r="T375" s="10"/>
      <c r="U375" s="10"/>
      <c r="V375" s="10"/>
      <c r="W375" s="12">
        <f t="shared" si="93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01">SUM(AB375:AC375)</f>
        <v>0</v>
      </c>
      <c r="AF375" s="10"/>
      <c r="AG375" s="10"/>
      <c r="AH375" s="10"/>
      <c r="AI375" s="12">
        <f t="shared" si="95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0"/>
        <v>0</v>
      </c>
      <c r="T376" s="10"/>
      <c r="U376" s="10"/>
      <c r="V376" s="10"/>
      <c r="W376" s="12">
        <f t="shared" si="93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01"/>
        <v>0</v>
      </c>
      <c r="AF376" s="10"/>
      <c r="AG376" s="10"/>
      <c r="AH376" s="10"/>
      <c r="AI376" s="12">
        <f t="shared" si="95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0"/>
        <v>0</v>
      </c>
      <c r="T377" s="10"/>
      <c r="U377" s="10"/>
      <c r="V377" s="10"/>
      <c r="W377" s="12">
        <f t="shared" si="93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01"/>
        <v>0</v>
      </c>
      <c r="AF377" s="10"/>
      <c r="AG377" s="10"/>
      <c r="AH377" s="10"/>
      <c r="AI377" s="12">
        <f t="shared" si="95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0"/>
        <v>0</v>
      </c>
      <c r="T378" s="10"/>
      <c r="U378" s="10"/>
      <c r="V378" s="10"/>
      <c r="W378" s="12">
        <f t="shared" si="93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01"/>
        <v>0</v>
      </c>
      <c r="AF378" s="10"/>
      <c r="AG378" s="10"/>
      <c r="AH378" s="10"/>
      <c r="AI378" s="12">
        <f t="shared" si="95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0"/>
        <v>0</v>
      </c>
      <c r="T379" s="10"/>
      <c r="U379" s="10"/>
      <c r="V379" s="10"/>
      <c r="W379" s="12">
        <f t="shared" si="93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01"/>
        <v>0</v>
      </c>
      <c r="AF379" s="10"/>
      <c r="AG379" s="10"/>
      <c r="AH379" s="10"/>
      <c r="AI379" s="12">
        <f t="shared" si="95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0"/>
        <v>0</v>
      </c>
      <c r="T380" s="10"/>
      <c r="U380" s="10"/>
      <c r="V380" s="10"/>
      <c r="W380" s="12">
        <f t="shared" si="93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01"/>
        <v>0</v>
      </c>
      <c r="AF380" s="10"/>
      <c r="AG380" s="10"/>
      <c r="AH380" s="10"/>
      <c r="AI380" s="12">
        <f t="shared" si="95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3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5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02">SUM(D382:E382)</f>
        <v>0</v>
      </c>
      <c r="H382" s="10"/>
      <c r="I382" s="10"/>
      <c r="J382" s="10"/>
      <c r="K382" s="12">
        <f t="shared" ref="K382" si="103">SUM(G382:J382)</f>
        <v>0</v>
      </c>
      <c r="M382" s="10"/>
      <c r="N382" s="30"/>
      <c r="O382" s="31"/>
      <c r="P382" s="47"/>
      <c r="Q382" s="31"/>
      <c r="R382" s="31"/>
      <c r="S382" s="32">
        <f t="shared" ref="S382" si="104">SUM(P382:Q382)</f>
        <v>0</v>
      </c>
      <c r="T382" s="10"/>
      <c r="U382" s="10"/>
      <c r="V382" s="10"/>
      <c r="W382" s="12">
        <f t="shared" si="93"/>
        <v>0</v>
      </c>
      <c r="Y382" s="10"/>
      <c r="Z382" s="30"/>
      <c r="AA382" s="31"/>
      <c r="AB382" s="47"/>
      <c r="AC382" s="31"/>
      <c r="AD382" s="31"/>
      <c r="AE382" s="32">
        <f t="shared" ref="AE382" si="105">SUM(AB382:AC382)</f>
        <v>0</v>
      </c>
      <c r="AF382" s="10"/>
      <c r="AG382" s="10"/>
      <c r="AH382" s="10"/>
      <c r="AI382" s="12">
        <f t="shared" si="95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3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5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451018</v>
      </c>
      <c r="E385" s="38">
        <f t="shared" ref="E385:F385" si="106">SUM(E342:E382)</f>
        <v>-3204</v>
      </c>
      <c r="F385" s="38">
        <f t="shared" si="106"/>
        <v>0</v>
      </c>
      <c r="G385" s="38">
        <f>SUM(G342:G384)</f>
        <v>447814</v>
      </c>
      <c r="H385" s="4"/>
      <c r="I385" s="39">
        <f>SUM(I342:I384)</f>
        <v>24324</v>
      </c>
      <c r="J385" s="39">
        <f>SUM(J342:J384)</f>
        <v>-14700</v>
      </c>
      <c r="K385" s="40">
        <f>SUM(K342:K384)</f>
        <v>457438</v>
      </c>
      <c r="N385" s="57"/>
      <c r="O385" s="57"/>
      <c r="P385" s="38">
        <f>SUM(P342:P384)</f>
        <v>428346</v>
      </c>
      <c r="Q385" s="38">
        <f>SUM(Q342:Q366)</f>
        <v>-3372</v>
      </c>
      <c r="R385" s="38">
        <f>SUM(R342:R366)</f>
        <v>0</v>
      </c>
      <c r="S385" s="38">
        <f>SUM(S342:S384)</f>
        <v>424974</v>
      </c>
      <c r="T385" s="4"/>
      <c r="U385" s="41">
        <f>SUM(U342:U384)</f>
        <v>1113</v>
      </c>
      <c r="V385" s="41">
        <f>SUM(V342:V366)</f>
        <v>-2319</v>
      </c>
      <c r="W385" s="42">
        <f>SUM(W342:W384)</f>
        <v>423768</v>
      </c>
      <c r="Z385" s="57"/>
      <c r="AA385" s="57"/>
      <c r="AB385" s="38">
        <f>SUM(AB342:AB384)</f>
        <v>302075.44999999995</v>
      </c>
      <c r="AC385" s="38">
        <f>SUM(AC342:AC366)</f>
        <v>-300</v>
      </c>
      <c r="AD385" s="38">
        <f>SUM(AD342:AD366)</f>
        <v>0</v>
      </c>
      <c r="AE385" s="38">
        <f>SUM(AE342:AE384)</f>
        <v>301775.44999999995</v>
      </c>
      <c r="AF385" s="4"/>
      <c r="AG385" s="41">
        <f>SUM(AG342:AG384)</f>
        <v>24636.75</v>
      </c>
      <c r="AH385" s="41">
        <f>SUM(AH342:AH366)</f>
        <v>0</v>
      </c>
      <c r="AI385" s="42">
        <f>SUM(AI342:AI384)</f>
        <v>326412.19999999995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42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42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42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3" t="s">
        <v>17</v>
      </c>
      <c r="E395" s="113"/>
      <c r="F395" s="97"/>
      <c r="G395" s="27"/>
      <c r="I395" s="111" t="s">
        <v>18</v>
      </c>
      <c r="J395" s="112"/>
      <c r="K395" s="109" t="s">
        <v>19</v>
      </c>
      <c r="N395" s="25"/>
      <c r="O395" s="26"/>
      <c r="P395" s="113" t="s">
        <v>17</v>
      </c>
      <c r="Q395" s="113"/>
      <c r="R395" s="97"/>
      <c r="S395" s="27"/>
      <c r="U395" s="111" t="s">
        <v>18</v>
      </c>
      <c r="V395" s="112"/>
      <c r="W395" s="109" t="s">
        <v>19</v>
      </c>
      <c r="Z395" s="25"/>
      <c r="AA395" s="26"/>
      <c r="AB395" s="113" t="s">
        <v>17</v>
      </c>
      <c r="AC395" s="113"/>
      <c r="AD395" s="97"/>
      <c r="AE395" s="27"/>
      <c r="AG395" s="111" t="s">
        <v>18</v>
      </c>
      <c r="AH395" s="112"/>
      <c r="AI395" s="109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0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0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0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46298</v>
      </c>
      <c r="C397" s="83">
        <v>9442</v>
      </c>
      <c r="D397" s="32">
        <f>650*12+670+622*3+9.5*15</f>
        <v>10478.5</v>
      </c>
      <c r="E397" s="32"/>
      <c r="F397" s="32"/>
      <c r="G397" s="32">
        <f t="shared" ref="G397:G430" si="107">SUM(D397:E397)</f>
        <v>10478.5</v>
      </c>
      <c r="H397" s="12"/>
      <c r="I397" s="12"/>
      <c r="J397" s="12"/>
      <c r="K397" s="12">
        <f t="shared" ref="K397:K430" si="108">SUM(G397:J397)</f>
        <v>10478.5</v>
      </c>
      <c r="M397" s="10">
        <v>1</v>
      </c>
      <c r="N397" s="30">
        <v>46298</v>
      </c>
      <c r="O397" s="31">
        <v>9486</v>
      </c>
      <c r="P397" s="32">
        <f>650*7+622*2+9.5*9</f>
        <v>5879.5</v>
      </c>
      <c r="Q397" s="32"/>
      <c r="R397" s="32"/>
      <c r="S397" s="32">
        <f>SUM(P397:Q397)</f>
        <v>5879.5</v>
      </c>
      <c r="T397" s="12"/>
      <c r="U397" s="12"/>
      <c r="V397" s="12"/>
      <c r="W397" s="12">
        <f>SUM(S397:V397)</f>
        <v>5879.5</v>
      </c>
      <c r="Y397" s="10">
        <v>1</v>
      </c>
      <c r="Z397" s="30">
        <v>46298</v>
      </c>
      <c r="AA397" s="31">
        <v>9518</v>
      </c>
      <c r="AB397" s="32">
        <f>108*650+229*4+500*3</f>
        <v>72616</v>
      </c>
      <c r="AC397" s="32">
        <f>-108*6</f>
        <v>-648</v>
      </c>
      <c r="AD397" s="32"/>
      <c r="AE397" s="32">
        <f>SUM(AB397:AC397)</f>
        <v>71968</v>
      </c>
      <c r="AF397" s="12"/>
      <c r="AG397" s="12"/>
      <c r="AH397" s="12"/>
      <c r="AI397" s="12">
        <f>SUM(AE397:AH397)</f>
        <v>71968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46298</v>
      </c>
      <c r="C398" s="83">
        <f>C397+1</f>
        <v>9443</v>
      </c>
      <c r="D398" s="32">
        <f>650*7+670+9.5*7</f>
        <v>5286.5</v>
      </c>
      <c r="E398" s="32"/>
      <c r="F398" s="32"/>
      <c r="G398" s="32">
        <f t="shared" si="107"/>
        <v>5286.5</v>
      </c>
      <c r="H398" s="12"/>
      <c r="I398" s="12"/>
      <c r="J398" s="12"/>
      <c r="K398" s="12">
        <f t="shared" si="108"/>
        <v>5286.5</v>
      </c>
      <c r="M398" s="10">
        <v>2</v>
      </c>
      <c r="N398" s="30">
        <v>46298</v>
      </c>
      <c r="O398" s="31">
        <f>O397+1</f>
        <v>9487</v>
      </c>
      <c r="P398" s="32">
        <f>650*12+9.5*12</f>
        <v>7914</v>
      </c>
      <c r="Q398" s="32"/>
      <c r="R398" s="32"/>
      <c r="S398" s="32">
        <f t="shared" ref="S398:S429" si="109">SUM(P398:Q398)</f>
        <v>7914</v>
      </c>
      <c r="T398" s="12"/>
      <c r="U398" s="12"/>
      <c r="V398" s="12"/>
      <c r="W398" s="12">
        <f t="shared" ref="W398:W438" si="110">SUM(S398:V398)</f>
        <v>7914</v>
      </c>
      <c r="Y398" s="10">
        <v>2</v>
      </c>
      <c r="Z398" s="30">
        <v>46298</v>
      </c>
      <c r="AA398" s="31">
        <f>AA397+1</f>
        <v>9519</v>
      </c>
      <c r="AB398" s="32">
        <f>650*40+971+622*6+912*2+872*2+229*4</f>
        <v>35187</v>
      </c>
      <c r="AC398" s="32"/>
      <c r="AD398" s="32"/>
      <c r="AE398" s="32">
        <f t="shared" ref="AE398:AE406" si="111">SUM(AB398:AC398)</f>
        <v>35187</v>
      </c>
      <c r="AF398" s="12"/>
      <c r="AG398" s="12"/>
      <c r="AH398" s="12"/>
      <c r="AI398" s="12">
        <f t="shared" ref="AI398:AI438" si="112">SUM(AE398:AH398)</f>
        <v>35187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46298</v>
      </c>
      <c r="C399" s="83">
        <f t="shared" ref="C399:C409" si="113">C398+1</f>
        <v>9444</v>
      </c>
      <c r="D399" s="33">
        <f>650*10+670+622+650</f>
        <v>8442</v>
      </c>
      <c r="E399" s="33"/>
      <c r="F399" s="33"/>
      <c r="G399" s="33">
        <f t="shared" si="107"/>
        <v>8442</v>
      </c>
      <c r="H399" s="34"/>
      <c r="I399" s="34"/>
      <c r="J399" s="34"/>
      <c r="K399" s="34">
        <f t="shared" si="108"/>
        <v>8442</v>
      </c>
      <c r="M399" s="10">
        <v>3</v>
      </c>
      <c r="N399" s="30">
        <v>46298</v>
      </c>
      <c r="O399" s="31">
        <f t="shared" ref="O399:O430" si="114">O398+1</f>
        <v>9488</v>
      </c>
      <c r="P399" s="32">
        <f>650+622+9.5*2</f>
        <v>1291</v>
      </c>
      <c r="Q399" s="32"/>
      <c r="R399" s="32"/>
      <c r="S399" s="32">
        <f t="shared" si="109"/>
        <v>1291</v>
      </c>
      <c r="T399" s="12"/>
      <c r="U399" s="12"/>
      <c r="V399" s="12"/>
      <c r="W399" s="12">
        <f t="shared" si="110"/>
        <v>1291</v>
      </c>
      <c r="Y399" s="10">
        <v>3</v>
      </c>
      <c r="Z399" s="30">
        <v>46298</v>
      </c>
      <c r="AA399" s="31">
        <f t="shared" ref="AA399:AA411" si="115">AA398+1</f>
        <v>9520</v>
      </c>
      <c r="AB399" s="33">
        <f>650*35+9.5*15</f>
        <v>22892.5</v>
      </c>
      <c r="AC399" s="33"/>
      <c r="AD399" s="32"/>
      <c r="AE399" s="32">
        <f t="shared" si="111"/>
        <v>22892.5</v>
      </c>
      <c r="AF399" s="12"/>
      <c r="AG399" s="12"/>
      <c r="AH399" s="12">
        <v>-1110</v>
      </c>
      <c r="AI399" s="12">
        <f t="shared" si="112"/>
        <v>21782.5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46298</v>
      </c>
      <c r="C400" s="83">
        <f t="shared" si="113"/>
        <v>9445</v>
      </c>
      <c r="D400" s="32">
        <f>650*10+9.5*10</f>
        <v>6595</v>
      </c>
      <c r="E400" s="32"/>
      <c r="F400" s="32"/>
      <c r="G400" s="32">
        <f t="shared" si="107"/>
        <v>6595</v>
      </c>
      <c r="H400" s="12"/>
      <c r="I400" s="12"/>
      <c r="J400" s="12"/>
      <c r="K400" s="12">
        <f t="shared" si="108"/>
        <v>6595</v>
      </c>
      <c r="M400" s="10">
        <v>4</v>
      </c>
      <c r="N400" s="30">
        <v>46298</v>
      </c>
      <c r="O400" s="31">
        <f t="shared" si="114"/>
        <v>9489</v>
      </c>
      <c r="P400" s="32">
        <f>650*2+622*3+9.5*5</f>
        <v>3213.5</v>
      </c>
      <c r="Q400" s="32"/>
      <c r="R400" s="32"/>
      <c r="S400" s="32">
        <f t="shared" si="109"/>
        <v>3213.5</v>
      </c>
      <c r="T400" s="12"/>
      <c r="U400" s="12"/>
      <c r="V400" s="12"/>
      <c r="W400" s="12">
        <f t="shared" si="110"/>
        <v>3213.5</v>
      </c>
      <c r="Y400" s="10">
        <v>4</v>
      </c>
      <c r="Z400" s="30">
        <v>46298</v>
      </c>
      <c r="AA400" s="31">
        <f t="shared" si="115"/>
        <v>9521</v>
      </c>
      <c r="AB400" s="32">
        <f>650*2+9.5*2</f>
        <v>1319</v>
      </c>
      <c r="AC400" s="32"/>
      <c r="AD400" s="32"/>
      <c r="AE400" s="32">
        <f t="shared" si="111"/>
        <v>1319</v>
      </c>
      <c r="AF400" s="12"/>
      <c r="AG400" s="58"/>
      <c r="AH400" s="12"/>
      <c r="AI400" s="12">
        <f t="shared" si="112"/>
        <v>1319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46298</v>
      </c>
      <c r="C401" s="83">
        <f t="shared" si="113"/>
        <v>9446</v>
      </c>
      <c r="D401" s="32">
        <f>650*6+9.5*6</f>
        <v>3957</v>
      </c>
      <c r="E401" s="32"/>
      <c r="F401" s="32"/>
      <c r="G401" s="32">
        <f t="shared" si="107"/>
        <v>3957</v>
      </c>
      <c r="H401" s="12"/>
      <c r="I401" s="12"/>
      <c r="J401" s="12"/>
      <c r="K401" s="12">
        <f t="shared" si="108"/>
        <v>3957</v>
      </c>
      <c r="M401" s="10">
        <v>5</v>
      </c>
      <c r="N401" s="30">
        <v>46298</v>
      </c>
      <c r="O401" s="31">
        <f t="shared" si="114"/>
        <v>9490</v>
      </c>
      <c r="P401" s="32">
        <f>650*9+9.5*9</f>
        <v>5935.5</v>
      </c>
      <c r="Q401" s="32"/>
      <c r="R401" s="32"/>
      <c r="S401" s="32">
        <f t="shared" si="109"/>
        <v>5935.5</v>
      </c>
      <c r="T401" s="12"/>
      <c r="U401" s="12">
        <v>27</v>
      </c>
      <c r="V401" s="12"/>
      <c r="W401" s="12">
        <f t="shared" si="110"/>
        <v>5962.5</v>
      </c>
      <c r="Y401" s="10">
        <v>5</v>
      </c>
      <c r="Z401" s="30">
        <v>46298</v>
      </c>
      <c r="AA401" s="31">
        <f t="shared" si="115"/>
        <v>9522</v>
      </c>
      <c r="AB401" s="32">
        <f>650*11+622*4+9.5*15</f>
        <v>9780.5</v>
      </c>
      <c r="AC401" s="32"/>
      <c r="AD401" s="32"/>
      <c r="AE401" s="32">
        <f t="shared" si="111"/>
        <v>9780.5</v>
      </c>
      <c r="AF401" s="12"/>
      <c r="AG401" s="12"/>
      <c r="AH401" s="12"/>
      <c r="AI401" s="12">
        <f t="shared" si="112"/>
        <v>9780.5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46298</v>
      </c>
      <c r="C402" s="83">
        <f t="shared" si="113"/>
        <v>9447</v>
      </c>
      <c r="D402" s="32">
        <f>650*28+650</f>
        <v>18850</v>
      </c>
      <c r="E402" s="32"/>
      <c r="F402" s="32"/>
      <c r="G402" s="32">
        <f t="shared" si="107"/>
        <v>18850</v>
      </c>
      <c r="H402" s="12"/>
      <c r="I402" s="12"/>
      <c r="J402" s="12"/>
      <c r="K402" s="12">
        <f t="shared" si="108"/>
        <v>18850</v>
      </c>
      <c r="M402" s="10">
        <v>6</v>
      </c>
      <c r="N402" s="30">
        <v>46298</v>
      </c>
      <c r="O402" s="31">
        <f t="shared" si="114"/>
        <v>9491</v>
      </c>
      <c r="P402" s="32">
        <f>622+9.5</f>
        <v>631.5</v>
      </c>
      <c r="Q402" s="32"/>
      <c r="R402" s="32"/>
      <c r="S402" s="32">
        <f t="shared" si="109"/>
        <v>631.5</v>
      </c>
      <c r="T402" s="12"/>
      <c r="U402" s="12"/>
      <c r="V402" s="10"/>
      <c r="W402" s="12">
        <f t="shared" si="110"/>
        <v>631.5</v>
      </c>
      <c r="Y402" s="10">
        <v>6</v>
      </c>
      <c r="Z402" s="30">
        <v>46298</v>
      </c>
      <c r="AA402" s="31">
        <f t="shared" si="115"/>
        <v>9523</v>
      </c>
      <c r="AB402" s="32">
        <f>650*2+622+9.5*3</f>
        <v>1950.5</v>
      </c>
      <c r="AC402" s="32"/>
      <c r="AD402" s="32"/>
      <c r="AE402" s="32">
        <f t="shared" si="111"/>
        <v>1950.5</v>
      </c>
      <c r="AF402" s="12"/>
      <c r="AG402" s="12"/>
      <c r="AH402" s="10"/>
      <c r="AI402" s="12">
        <f t="shared" si="112"/>
        <v>1950.5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46298</v>
      </c>
      <c r="C403" s="83">
        <f t="shared" si="113"/>
        <v>9448</v>
      </c>
      <c r="D403" s="32">
        <f>650*25+622*4</f>
        <v>18738</v>
      </c>
      <c r="E403" s="32"/>
      <c r="F403" s="32"/>
      <c r="G403" s="32">
        <f t="shared" si="107"/>
        <v>18738</v>
      </c>
      <c r="H403" s="12"/>
      <c r="I403" s="12"/>
      <c r="J403" s="12"/>
      <c r="K403" s="12">
        <f t="shared" si="108"/>
        <v>18738</v>
      </c>
      <c r="M403" s="10">
        <v>7</v>
      </c>
      <c r="N403" s="30">
        <v>46298</v>
      </c>
      <c r="O403" s="31">
        <f t="shared" si="114"/>
        <v>9492</v>
      </c>
      <c r="P403" s="32">
        <f>650*10+622*2+9.5*12</f>
        <v>7858</v>
      </c>
      <c r="Q403" s="32"/>
      <c r="R403" s="32"/>
      <c r="S403" s="32">
        <f t="shared" si="109"/>
        <v>7858</v>
      </c>
      <c r="T403" s="12"/>
      <c r="U403" s="12"/>
      <c r="V403" s="12"/>
      <c r="W403" s="12">
        <f t="shared" si="110"/>
        <v>7858</v>
      </c>
      <c r="Y403" s="10">
        <v>7</v>
      </c>
      <c r="Z403" s="30">
        <v>46298</v>
      </c>
      <c r="AA403" s="31">
        <f t="shared" si="115"/>
        <v>9524</v>
      </c>
      <c r="AB403" s="32">
        <f>650*10+670*2+9.5*10</f>
        <v>7935</v>
      </c>
      <c r="AC403" s="32"/>
      <c r="AD403" s="32"/>
      <c r="AE403" s="32">
        <f t="shared" si="111"/>
        <v>7935</v>
      </c>
      <c r="AF403" s="12"/>
      <c r="AG403" s="58"/>
      <c r="AH403" s="12"/>
      <c r="AI403" s="12">
        <f t="shared" si="112"/>
        <v>7935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46298</v>
      </c>
      <c r="C404" s="83">
        <f t="shared" si="113"/>
        <v>9449</v>
      </c>
      <c r="D404" s="32">
        <f>650*4+9.5*4</f>
        <v>2638</v>
      </c>
      <c r="E404" s="32"/>
      <c r="F404" s="32"/>
      <c r="G404" s="32">
        <f t="shared" si="107"/>
        <v>2638</v>
      </c>
      <c r="H404" s="12"/>
      <c r="I404" s="12"/>
      <c r="J404" s="12"/>
      <c r="K404" s="12">
        <f t="shared" si="108"/>
        <v>2638</v>
      </c>
      <c r="M404" s="10">
        <v>8</v>
      </c>
      <c r="N404" s="30">
        <v>46298</v>
      </c>
      <c r="O404" s="31">
        <f t="shared" si="114"/>
        <v>9493</v>
      </c>
      <c r="P404" s="32">
        <f>650*3+9.5*3</f>
        <v>1978.5</v>
      </c>
      <c r="Q404" s="32"/>
      <c r="R404" s="32"/>
      <c r="S404" s="32">
        <f t="shared" si="109"/>
        <v>1978.5</v>
      </c>
      <c r="T404" s="12"/>
      <c r="U404" s="12"/>
      <c r="V404" s="12"/>
      <c r="W404" s="12">
        <f t="shared" si="110"/>
        <v>1978.5</v>
      </c>
      <c r="Y404" s="10">
        <v>8</v>
      </c>
      <c r="Z404" s="30">
        <v>46298</v>
      </c>
      <c r="AA404" s="31">
        <f t="shared" si="115"/>
        <v>9525</v>
      </c>
      <c r="AB404" s="32">
        <f>650*5+622+9.5*6</f>
        <v>3929</v>
      </c>
      <c r="AC404" s="32"/>
      <c r="AE404" s="32">
        <f t="shared" si="111"/>
        <v>3929</v>
      </c>
      <c r="AF404" s="12"/>
      <c r="AG404" s="12"/>
      <c r="AH404" s="12"/>
      <c r="AI404" s="12">
        <f t="shared" si="112"/>
        <v>3929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46298</v>
      </c>
      <c r="C405" s="83">
        <f t="shared" si="113"/>
        <v>9450</v>
      </c>
      <c r="D405" s="32">
        <f>650*124+229</f>
        <v>80829</v>
      </c>
      <c r="E405" s="32"/>
      <c r="F405" s="32"/>
      <c r="G405" s="32">
        <f t="shared" si="107"/>
        <v>80829</v>
      </c>
      <c r="H405" s="12"/>
      <c r="I405" s="12"/>
      <c r="J405" s="12"/>
      <c r="K405" s="12">
        <f t="shared" si="108"/>
        <v>80829</v>
      </c>
      <c r="M405" s="10">
        <v>9</v>
      </c>
      <c r="N405" s="30">
        <v>46298</v>
      </c>
      <c r="O405" s="31">
        <f t="shared" si="114"/>
        <v>9494</v>
      </c>
      <c r="P405" s="32">
        <f>650*15+9.5*15</f>
        <v>9892.5</v>
      </c>
      <c r="Q405" s="32"/>
      <c r="R405" s="32"/>
      <c r="S405" s="32">
        <f t="shared" si="109"/>
        <v>9892.5</v>
      </c>
      <c r="T405" s="12"/>
      <c r="U405" s="12"/>
      <c r="V405" s="12"/>
      <c r="W405" s="12">
        <f t="shared" si="110"/>
        <v>9892.5</v>
      </c>
      <c r="Y405" s="10">
        <v>9</v>
      </c>
      <c r="Z405" s="30">
        <v>46298</v>
      </c>
      <c r="AA405" s="31">
        <f t="shared" si="115"/>
        <v>9526</v>
      </c>
      <c r="AB405" s="32">
        <f>650+622+9.5*2</f>
        <v>1291</v>
      </c>
      <c r="AC405" s="32"/>
      <c r="AD405" s="32"/>
      <c r="AE405" s="32">
        <f t="shared" si="111"/>
        <v>1291</v>
      </c>
      <c r="AF405" s="12"/>
      <c r="AH405" s="12"/>
      <c r="AI405" s="12">
        <f t="shared" si="112"/>
        <v>1291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46298</v>
      </c>
      <c r="C406" s="83">
        <v>9551</v>
      </c>
      <c r="D406" s="32">
        <f>650*13+9.5*13</f>
        <v>8573.5</v>
      </c>
      <c r="E406" s="32"/>
      <c r="F406" s="32"/>
      <c r="G406" s="32">
        <f t="shared" si="107"/>
        <v>8573.5</v>
      </c>
      <c r="H406" s="12"/>
      <c r="I406" s="12"/>
      <c r="J406" s="12"/>
      <c r="K406" s="12">
        <f t="shared" si="108"/>
        <v>8573.5</v>
      </c>
      <c r="M406" s="10">
        <v>10</v>
      </c>
      <c r="N406" s="30">
        <v>46298</v>
      </c>
      <c r="O406" s="31">
        <f t="shared" si="114"/>
        <v>9495</v>
      </c>
      <c r="P406" s="32">
        <f>650*3+9.5*3</f>
        <v>1978.5</v>
      </c>
      <c r="Q406" s="32"/>
      <c r="R406" s="32"/>
      <c r="S406" s="32">
        <f t="shared" si="109"/>
        <v>1978.5</v>
      </c>
      <c r="T406" s="12"/>
      <c r="U406" s="12"/>
      <c r="V406" s="12"/>
      <c r="W406" s="12">
        <f t="shared" si="110"/>
        <v>1978.5</v>
      </c>
      <c r="Y406" s="10">
        <v>10</v>
      </c>
      <c r="Z406" s="30">
        <v>46298</v>
      </c>
      <c r="AA406" s="31">
        <f t="shared" si="115"/>
        <v>9527</v>
      </c>
      <c r="AB406" s="32">
        <f>650*4+670+9.5*4</f>
        <v>3308</v>
      </c>
      <c r="AC406" s="32"/>
      <c r="AD406" s="32"/>
      <c r="AE406" s="32">
        <f t="shared" si="111"/>
        <v>3308</v>
      </c>
      <c r="AF406" s="12"/>
      <c r="AG406" s="12"/>
      <c r="AH406" s="12"/>
      <c r="AI406" s="12">
        <f t="shared" si="112"/>
        <v>3308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46298</v>
      </c>
      <c r="C407" s="83">
        <f t="shared" si="113"/>
        <v>9552</v>
      </c>
      <c r="D407" s="32">
        <f>650*15+9.5*15</f>
        <v>9892.5</v>
      </c>
      <c r="E407" s="32"/>
      <c r="F407" s="32"/>
      <c r="G407" s="32">
        <f t="shared" si="107"/>
        <v>9892.5</v>
      </c>
      <c r="H407" s="12"/>
      <c r="I407" s="12"/>
      <c r="J407" s="12"/>
      <c r="K407" s="12">
        <f t="shared" si="108"/>
        <v>9892.5</v>
      </c>
      <c r="M407" s="10">
        <v>11</v>
      </c>
      <c r="N407" s="30">
        <v>46298</v>
      </c>
      <c r="O407" s="31">
        <f t="shared" si="114"/>
        <v>9496</v>
      </c>
      <c r="P407" s="32">
        <f>650*2+670+9.5*2</f>
        <v>1989</v>
      </c>
      <c r="Q407" s="32"/>
      <c r="R407" s="32"/>
      <c r="S407" s="32">
        <f t="shared" si="109"/>
        <v>1989</v>
      </c>
      <c r="T407" s="12"/>
      <c r="U407" s="12"/>
      <c r="V407" s="12"/>
      <c r="W407" s="12">
        <f t="shared" si="110"/>
        <v>1989</v>
      </c>
      <c r="Y407" s="10">
        <v>11</v>
      </c>
      <c r="Z407" s="30">
        <v>46298</v>
      </c>
      <c r="AA407" s="31">
        <f t="shared" si="115"/>
        <v>9528</v>
      </c>
      <c r="AB407" s="32">
        <f>650*80+229*3</f>
        <v>52687</v>
      </c>
      <c r="AC407" s="32">
        <f>-80*6</f>
        <v>-480</v>
      </c>
      <c r="AD407" s="32"/>
      <c r="AE407" s="32">
        <f t="shared" ref="AE407:AE429" si="116">SUM(AB407:AC407)</f>
        <v>52207</v>
      </c>
      <c r="AF407" s="12"/>
      <c r="AG407" s="12"/>
      <c r="AH407" s="12"/>
      <c r="AI407" s="12">
        <f t="shared" si="112"/>
        <v>52207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46298</v>
      </c>
      <c r="C408" s="83">
        <f t="shared" si="113"/>
        <v>9553</v>
      </c>
      <c r="D408" s="32">
        <f>650*20+622*7+229</f>
        <v>17583</v>
      </c>
      <c r="E408" s="32"/>
      <c r="F408" s="32"/>
      <c r="G408" s="32">
        <f t="shared" si="107"/>
        <v>17583</v>
      </c>
      <c r="H408" s="12"/>
      <c r="I408" s="12"/>
      <c r="J408" s="10"/>
      <c r="K408" s="12">
        <f t="shared" si="108"/>
        <v>17583</v>
      </c>
      <c r="M408" s="10">
        <v>12</v>
      </c>
      <c r="N408" s="30">
        <v>46298</v>
      </c>
      <c r="O408" s="31">
        <f t="shared" si="114"/>
        <v>9497</v>
      </c>
      <c r="P408" s="32">
        <f>650*4+9.5*4</f>
        <v>2638</v>
      </c>
      <c r="Q408" s="32"/>
      <c r="R408" s="32"/>
      <c r="S408" s="32">
        <f t="shared" si="109"/>
        <v>2638</v>
      </c>
      <c r="T408" s="12"/>
      <c r="U408" s="12"/>
      <c r="V408" s="12"/>
      <c r="W408" s="12">
        <f t="shared" si="110"/>
        <v>2638</v>
      </c>
      <c r="Y408" s="10">
        <v>12</v>
      </c>
      <c r="Z408" s="30">
        <v>46298</v>
      </c>
      <c r="AA408" s="31">
        <f t="shared" si="115"/>
        <v>9529</v>
      </c>
      <c r="AB408" s="32">
        <f>650*10+670+622*2</f>
        <v>8414</v>
      </c>
      <c r="AC408" s="32"/>
      <c r="AD408" s="32"/>
      <c r="AE408" s="32">
        <f t="shared" si="116"/>
        <v>8414</v>
      </c>
      <c r="AF408" s="12"/>
      <c r="AG408" s="12"/>
      <c r="AH408" s="12"/>
      <c r="AI408" s="12">
        <f t="shared" si="112"/>
        <v>8414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46298</v>
      </c>
      <c r="C409" s="83">
        <f t="shared" si="113"/>
        <v>9554</v>
      </c>
      <c r="D409" s="32">
        <f>650*50+622*5+1102</f>
        <v>36712</v>
      </c>
      <c r="E409" s="32"/>
      <c r="F409" s="32"/>
      <c r="G409" s="32">
        <f t="shared" si="107"/>
        <v>36712</v>
      </c>
      <c r="H409" s="12"/>
      <c r="I409" s="12"/>
      <c r="J409" s="12"/>
      <c r="K409" s="12">
        <f t="shared" si="108"/>
        <v>36712</v>
      </c>
      <c r="M409" s="10">
        <v>13</v>
      </c>
      <c r="N409" s="30">
        <v>46298</v>
      </c>
      <c r="O409" s="31">
        <f t="shared" si="114"/>
        <v>9498</v>
      </c>
      <c r="P409" s="32">
        <f>650+9.5</f>
        <v>659.5</v>
      </c>
      <c r="Q409" s="32"/>
      <c r="R409" s="32"/>
      <c r="S409" s="32">
        <f t="shared" si="109"/>
        <v>659.5</v>
      </c>
      <c r="T409" s="12"/>
      <c r="U409" s="12"/>
      <c r="V409" s="12"/>
      <c r="W409" s="12">
        <f t="shared" si="110"/>
        <v>659.5</v>
      </c>
      <c r="Y409" s="10">
        <v>13</v>
      </c>
      <c r="Z409" s="30">
        <v>46298</v>
      </c>
      <c r="AA409" s="31">
        <f t="shared" si="115"/>
        <v>9530</v>
      </c>
      <c r="AB409" s="32">
        <f>650*10+670+622*4+229</f>
        <v>9887</v>
      </c>
      <c r="AC409" s="32"/>
      <c r="AD409" s="32"/>
      <c r="AE409" s="32">
        <f t="shared" si="116"/>
        <v>9887</v>
      </c>
      <c r="AF409" s="12"/>
      <c r="AG409" s="12"/>
      <c r="AH409" s="12"/>
      <c r="AI409" s="12">
        <f t="shared" si="112"/>
        <v>9887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11" t="s">
        <v>27</v>
      </c>
      <c r="D410" s="32"/>
      <c r="E410" s="32"/>
      <c r="F410" s="32"/>
      <c r="G410" s="32">
        <f t="shared" si="107"/>
        <v>0</v>
      </c>
      <c r="H410" s="12"/>
      <c r="I410" s="12"/>
      <c r="J410" s="12"/>
      <c r="K410" s="12">
        <f t="shared" si="108"/>
        <v>0</v>
      </c>
      <c r="M410" s="10">
        <v>14</v>
      </c>
      <c r="N410" s="30">
        <v>46298</v>
      </c>
      <c r="O410" s="31">
        <f t="shared" si="114"/>
        <v>9499</v>
      </c>
      <c r="P410" s="32">
        <f>650*7+622*2+9.5*9</f>
        <v>5879.5</v>
      </c>
      <c r="Q410" s="32"/>
      <c r="R410" s="32"/>
      <c r="S410" s="32">
        <f t="shared" si="109"/>
        <v>5879.5</v>
      </c>
      <c r="T410" s="12"/>
      <c r="U410" s="12"/>
      <c r="V410" s="12"/>
      <c r="W410" s="12">
        <f t="shared" si="110"/>
        <v>5879.5</v>
      </c>
      <c r="Y410" s="10">
        <v>14</v>
      </c>
      <c r="Z410" s="30">
        <v>46298</v>
      </c>
      <c r="AA410" s="31">
        <f t="shared" si="115"/>
        <v>9531</v>
      </c>
      <c r="AB410" s="32">
        <f>622*2+9.5*2</f>
        <v>1263</v>
      </c>
      <c r="AC410" s="32"/>
      <c r="AD410" s="32"/>
      <c r="AE410" s="32">
        <f t="shared" si="116"/>
        <v>1263</v>
      </c>
      <c r="AF410" s="12"/>
      <c r="AG410" s="12"/>
      <c r="AH410" s="12"/>
      <c r="AI410" s="12">
        <f t="shared" si="112"/>
        <v>1263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7"/>
        <v>0</v>
      </c>
      <c r="H411" s="12"/>
      <c r="I411" s="12"/>
      <c r="J411" s="12"/>
      <c r="K411" s="12">
        <f t="shared" si="108"/>
        <v>0</v>
      </c>
      <c r="M411" s="10">
        <v>15</v>
      </c>
      <c r="N411" s="30">
        <v>46298</v>
      </c>
      <c r="O411" s="31">
        <f t="shared" si="114"/>
        <v>9500</v>
      </c>
      <c r="P411" s="32">
        <f>650*8+670+622*2+9.5*10</f>
        <v>7209</v>
      </c>
      <c r="Q411" s="32"/>
      <c r="R411" s="32"/>
      <c r="S411" s="32">
        <f t="shared" si="109"/>
        <v>7209</v>
      </c>
      <c r="T411" s="12"/>
      <c r="U411" s="12"/>
      <c r="V411" s="12"/>
      <c r="W411" s="12">
        <f t="shared" si="110"/>
        <v>7209</v>
      </c>
      <c r="Y411" s="10">
        <v>15</v>
      </c>
      <c r="Z411" s="30">
        <v>46298</v>
      </c>
      <c r="AA411" s="31">
        <f t="shared" si="115"/>
        <v>9532</v>
      </c>
      <c r="AB411" s="32">
        <f>650*11</f>
        <v>7150</v>
      </c>
      <c r="AC411" s="32"/>
      <c r="AD411" s="32"/>
      <c r="AE411" s="32">
        <f t="shared" si="116"/>
        <v>7150</v>
      </c>
      <c r="AF411" s="12"/>
      <c r="AG411" s="12"/>
      <c r="AH411" s="12">
        <v>-333</v>
      </c>
      <c r="AI411" s="12">
        <f t="shared" si="112"/>
        <v>6817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07"/>
        <v>0</v>
      </c>
      <c r="H412" s="12"/>
      <c r="I412" s="12"/>
      <c r="J412" s="12"/>
      <c r="K412" s="12">
        <f t="shared" si="108"/>
        <v>0</v>
      </c>
      <c r="M412" s="10">
        <v>16</v>
      </c>
      <c r="N412" s="30">
        <v>46298</v>
      </c>
      <c r="O412" s="31">
        <v>9601</v>
      </c>
      <c r="P412" s="32">
        <f>650*4+670+700</f>
        <v>3970</v>
      </c>
      <c r="Q412" s="32"/>
      <c r="R412" s="32"/>
      <c r="S412" s="32">
        <f t="shared" si="109"/>
        <v>3970</v>
      </c>
      <c r="T412" s="12"/>
      <c r="U412" s="12">
        <v>54</v>
      </c>
      <c r="V412" s="12"/>
      <c r="W412" s="12">
        <f t="shared" si="110"/>
        <v>4024</v>
      </c>
      <c r="Y412" s="10">
        <v>16</v>
      </c>
      <c r="Z412" s="30"/>
      <c r="AA412" s="11" t="s">
        <v>27</v>
      </c>
      <c r="AB412" s="32"/>
      <c r="AC412" s="32"/>
      <c r="AD412" s="32"/>
      <c r="AE412" s="32">
        <f t="shared" si="116"/>
        <v>0</v>
      </c>
      <c r="AF412" s="12"/>
      <c r="AG412" s="12"/>
      <c r="AH412" s="12"/>
      <c r="AI412" s="12">
        <f t="shared" si="112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7"/>
        <v>0</v>
      </c>
      <c r="H413" s="12"/>
      <c r="I413" s="12"/>
      <c r="J413" s="12"/>
      <c r="K413" s="12">
        <f t="shared" si="108"/>
        <v>0</v>
      </c>
      <c r="M413" s="10">
        <v>17</v>
      </c>
      <c r="N413" s="30">
        <v>46298</v>
      </c>
      <c r="O413" s="31">
        <f t="shared" si="114"/>
        <v>9602</v>
      </c>
      <c r="P413" s="35">
        <f>670</f>
        <v>670</v>
      </c>
      <c r="Q413" s="32"/>
      <c r="R413" s="32"/>
      <c r="S413" s="32">
        <f t="shared" si="109"/>
        <v>670</v>
      </c>
      <c r="T413" s="12"/>
      <c r="U413" s="12"/>
      <c r="V413" s="12"/>
      <c r="W413" s="12">
        <f t="shared" si="110"/>
        <v>670</v>
      </c>
      <c r="Y413" s="10">
        <v>17</v>
      </c>
      <c r="Z413" s="30"/>
      <c r="AA413" s="31"/>
      <c r="AB413" s="35"/>
      <c r="AC413" s="32"/>
      <c r="AD413" s="32"/>
      <c r="AE413" s="32">
        <f t="shared" si="116"/>
        <v>0</v>
      </c>
      <c r="AF413" s="12"/>
      <c r="AG413" s="12"/>
      <c r="AH413" s="12"/>
      <c r="AI413" s="12">
        <f t="shared" si="112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07"/>
        <v>0</v>
      </c>
      <c r="H414" s="12"/>
      <c r="I414" s="12"/>
      <c r="J414" s="12"/>
      <c r="K414" s="12">
        <f t="shared" si="108"/>
        <v>0</v>
      </c>
      <c r="M414" s="10">
        <v>18</v>
      </c>
      <c r="N414" s="30">
        <v>46298</v>
      </c>
      <c r="O414" s="31">
        <f t="shared" si="114"/>
        <v>9603</v>
      </c>
      <c r="P414" s="32">
        <f>650*2</f>
        <v>1300</v>
      </c>
      <c r="Q414" s="32"/>
      <c r="R414" s="32"/>
      <c r="S414" s="32">
        <f t="shared" si="109"/>
        <v>1300</v>
      </c>
      <c r="T414" s="12"/>
      <c r="U414" s="12"/>
      <c r="V414" s="12"/>
      <c r="W414" s="12">
        <f t="shared" si="110"/>
        <v>1300</v>
      </c>
      <c r="Y414" s="10">
        <v>18</v>
      </c>
      <c r="Z414" s="30"/>
      <c r="AA414" s="31"/>
      <c r="AB414" s="32"/>
      <c r="AC414" s="32"/>
      <c r="AD414" s="32"/>
      <c r="AE414" s="32">
        <f t="shared" si="116"/>
        <v>0</v>
      </c>
      <c r="AF414" s="12"/>
      <c r="AG414" s="12"/>
      <c r="AH414" s="12"/>
      <c r="AI414" s="12">
        <f t="shared" si="112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7"/>
        <v>0</v>
      </c>
      <c r="H415" s="12"/>
      <c r="I415" s="12"/>
      <c r="J415" s="12"/>
      <c r="K415" s="12">
        <f t="shared" si="108"/>
        <v>0</v>
      </c>
      <c r="M415" s="10">
        <v>19</v>
      </c>
      <c r="N415" s="30">
        <v>46298</v>
      </c>
      <c r="O415" s="31">
        <f t="shared" si="114"/>
        <v>9604</v>
      </c>
      <c r="P415" s="32">
        <f>650*2</f>
        <v>1300</v>
      </c>
      <c r="Q415" s="32"/>
      <c r="R415" s="32"/>
      <c r="S415" s="32">
        <f t="shared" si="109"/>
        <v>1300</v>
      </c>
      <c r="T415" s="12"/>
      <c r="U415" s="12"/>
      <c r="V415" s="12"/>
      <c r="W415" s="12">
        <f t="shared" si="110"/>
        <v>1300</v>
      </c>
      <c r="Y415" s="10">
        <v>19</v>
      </c>
      <c r="Z415" s="30"/>
      <c r="AA415" s="31"/>
      <c r="AB415" s="32"/>
      <c r="AC415" s="32"/>
      <c r="AD415" s="32"/>
      <c r="AE415" s="32">
        <f t="shared" si="116"/>
        <v>0</v>
      </c>
      <c r="AF415" s="12"/>
      <c r="AG415" s="12"/>
      <c r="AH415" s="12"/>
      <c r="AI415" s="12">
        <f t="shared" si="112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7"/>
        <v>0</v>
      </c>
      <c r="H416" s="12"/>
      <c r="I416" s="12"/>
      <c r="J416" s="12"/>
      <c r="K416" s="12">
        <f t="shared" si="108"/>
        <v>0</v>
      </c>
      <c r="M416" s="10">
        <v>20</v>
      </c>
      <c r="N416" s="30">
        <v>46298</v>
      </c>
      <c r="O416" s="31">
        <f t="shared" si="114"/>
        <v>9605</v>
      </c>
      <c r="P416" s="32">
        <f>650*60+622*10+229*2</f>
        <v>45678</v>
      </c>
      <c r="Q416" s="32"/>
      <c r="R416" s="32"/>
      <c r="S416" s="32">
        <f t="shared" si="109"/>
        <v>45678</v>
      </c>
      <c r="T416" s="12"/>
      <c r="U416" s="12">
        <f>78+94.5+36</f>
        <v>208.5</v>
      </c>
      <c r="V416" s="12"/>
      <c r="W416" s="12">
        <f t="shared" si="110"/>
        <v>45886.5</v>
      </c>
      <c r="Y416" s="10">
        <v>20</v>
      </c>
      <c r="Z416" s="30"/>
      <c r="AA416" s="31"/>
      <c r="AB416" s="32"/>
      <c r="AC416" s="32"/>
      <c r="AD416" s="32"/>
      <c r="AE416" s="32">
        <f t="shared" si="116"/>
        <v>0</v>
      </c>
      <c r="AF416" s="12"/>
      <c r="AG416" s="12"/>
      <c r="AH416" s="12"/>
      <c r="AI416" s="12">
        <f t="shared" si="112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D417" s="32"/>
      <c r="E417" s="32"/>
      <c r="F417" s="32"/>
      <c r="G417" s="32">
        <f t="shared" si="107"/>
        <v>0</v>
      </c>
      <c r="H417" s="10"/>
      <c r="I417" s="10"/>
      <c r="J417" s="10"/>
      <c r="K417" s="12">
        <f t="shared" si="108"/>
        <v>0</v>
      </c>
      <c r="M417" s="10">
        <v>21</v>
      </c>
      <c r="N417" s="30">
        <v>46298</v>
      </c>
      <c r="O417" s="31">
        <f t="shared" si="114"/>
        <v>9606</v>
      </c>
      <c r="P417" s="46">
        <f>650*5+622*2+9.5*7</f>
        <v>4560.5</v>
      </c>
      <c r="Q417" s="31"/>
      <c r="R417" s="31"/>
      <c r="S417" s="32">
        <f t="shared" si="109"/>
        <v>4560.5</v>
      </c>
      <c r="T417" s="10"/>
      <c r="U417" s="10"/>
      <c r="V417" s="10"/>
      <c r="W417" s="12">
        <f t="shared" si="110"/>
        <v>4560.5</v>
      </c>
      <c r="Y417" s="10">
        <v>21</v>
      </c>
      <c r="Z417" s="30"/>
      <c r="AA417" s="31"/>
      <c r="AB417" s="46"/>
      <c r="AC417" s="31"/>
      <c r="AD417" s="31"/>
      <c r="AE417" s="32">
        <f t="shared" si="116"/>
        <v>0</v>
      </c>
      <c r="AF417" s="10"/>
      <c r="AG417" s="10"/>
      <c r="AH417" s="10"/>
      <c r="AI417" s="12">
        <f t="shared" si="112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7"/>
        <v>0</v>
      </c>
      <c r="H418" s="10"/>
      <c r="I418" s="10"/>
      <c r="J418" s="10"/>
      <c r="K418" s="12">
        <f t="shared" si="108"/>
        <v>0</v>
      </c>
      <c r="M418" s="10">
        <v>22</v>
      </c>
      <c r="N418" s="30">
        <v>46298</v>
      </c>
      <c r="O418" s="31">
        <f t="shared" si="114"/>
        <v>9607</v>
      </c>
      <c r="P418" s="45">
        <f>650+9.5</f>
        <v>659.5</v>
      </c>
      <c r="Q418" s="31"/>
      <c r="R418" s="31"/>
      <c r="S418" s="32">
        <f t="shared" si="109"/>
        <v>659.5</v>
      </c>
      <c r="T418" s="10"/>
      <c r="U418" s="10"/>
      <c r="V418" s="10"/>
      <c r="W418" s="12">
        <f t="shared" si="110"/>
        <v>659.5</v>
      </c>
      <c r="Y418" s="10">
        <v>22</v>
      </c>
      <c r="Z418" s="30"/>
      <c r="AA418" s="31"/>
      <c r="AB418" s="45"/>
      <c r="AC418" s="31"/>
      <c r="AD418" s="31"/>
      <c r="AE418" s="32">
        <f t="shared" si="116"/>
        <v>0</v>
      </c>
      <c r="AF418" s="10"/>
      <c r="AG418" s="10"/>
      <c r="AH418" s="10"/>
      <c r="AI418" s="12">
        <f t="shared" si="112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7"/>
        <v>0</v>
      </c>
      <c r="H419" s="10"/>
      <c r="I419" s="10"/>
      <c r="J419" s="12"/>
      <c r="K419" s="12">
        <f t="shared" si="108"/>
        <v>0</v>
      </c>
      <c r="M419" s="10">
        <v>23</v>
      </c>
      <c r="N419" s="30">
        <v>46298</v>
      </c>
      <c r="O419" s="31">
        <f t="shared" si="114"/>
        <v>9608</v>
      </c>
      <c r="P419" s="47">
        <f>1300+622+9.5*3</f>
        <v>1950.5</v>
      </c>
      <c r="Q419" s="31"/>
      <c r="S419" s="32">
        <f t="shared" si="109"/>
        <v>1950.5</v>
      </c>
      <c r="T419" s="10"/>
      <c r="U419" s="10"/>
      <c r="V419" s="10"/>
      <c r="W419" s="12">
        <f t="shared" si="110"/>
        <v>1950.5</v>
      </c>
      <c r="Y419" s="10">
        <v>23</v>
      </c>
      <c r="Z419" s="30"/>
      <c r="AA419" s="31"/>
      <c r="AB419" s="47"/>
      <c r="AE419" s="32">
        <f t="shared" si="116"/>
        <v>0</v>
      </c>
      <c r="AF419" s="10"/>
      <c r="AG419" s="10"/>
      <c r="AH419" s="10"/>
      <c r="AI419" s="12">
        <f t="shared" si="112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7"/>
        <v>0</v>
      </c>
      <c r="H420" s="10"/>
      <c r="I420" s="10"/>
      <c r="J420" s="10"/>
      <c r="K420" s="12">
        <f t="shared" si="108"/>
        <v>0</v>
      </c>
      <c r="M420" s="10">
        <v>24</v>
      </c>
      <c r="N420" s="30">
        <v>46298</v>
      </c>
      <c r="O420" s="31">
        <f t="shared" si="114"/>
        <v>9609</v>
      </c>
      <c r="P420" s="47">
        <f>650*5+229</f>
        <v>3479</v>
      </c>
      <c r="Q420" s="31"/>
      <c r="R420" s="31"/>
      <c r="S420" s="32">
        <f t="shared" si="109"/>
        <v>3479</v>
      </c>
      <c r="T420" s="10"/>
      <c r="U420" s="10"/>
      <c r="V420" s="10"/>
      <c r="W420" s="12">
        <f t="shared" si="110"/>
        <v>3479</v>
      </c>
      <c r="Y420" s="10">
        <v>24</v>
      </c>
      <c r="Z420" s="30"/>
      <c r="AA420" s="31"/>
      <c r="AB420" s="47"/>
      <c r="AC420" s="31"/>
      <c r="AD420" s="31"/>
      <c r="AE420" s="32">
        <f t="shared" si="116"/>
        <v>0</v>
      </c>
      <c r="AF420" s="10"/>
      <c r="AG420" s="10"/>
      <c r="AH420" s="10"/>
      <c r="AI420" s="12">
        <f t="shared" si="112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7"/>
        <v>0</v>
      </c>
      <c r="H421" s="10"/>
      <c r="I421" s="10"/>
      <c r="J421" s="10"/>
      <c r="K421" s="12">
        <f t="shared" si="108"/>
        <v>0</v>
      </c>
      <c r="M421" s="10">
        <v>25</v>
      </c>
      <c r="N421" s="30">
        <v>46298</v>
      </c>
      <c r="O421" s="31">
        <f t="shared" si="114"/>
        <v>9610</v>
      </c>
      <c r="P421" s="47">
        <f>650*5+622+9.5*6</f>
        <v>3929</v>
      </c>
      <c r="Q421" s="31"/>
      <c r="R421" s="31"/>
      <c r="S421" s="32">
        <f t="shared" si="109"/>
        <v>3929</v>
      </c>
      <c r="T421" s="10"/>
      <c r="U421" s="10"/>
      <c r="V421" s="10">
        <v>-222</v>
      </c>
      <c r="W421" s="12">
        <f t="shared" si="110"/>
        <v>3707</v>
      </c>
      <c r="Y421" s="10">
        <v>25</v>
      </c>
      <c r="Z421" s="30"/>
      <c r="AA421" s="31"/>
      <c r="AB421" s="47"/>
      <c r="AC421" s="31"/>
      <c r="AD421" s="31"/>
      <c r="AE421" s="32">
        <f t="shared" si="116"/>
        <v>0</v>
      </c>
      <c r="AF421" s="10"/>
      <c r="AG421" s="10"/>
      <c r="AH421" s="10"/>
      <c r="AI421" s="12">
        <f t="shared" si="112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7"/>
        <v>0</v>
      </c>
      <c r="H422" s="10"/>
      <c r="I422" s="10"/>
      <c r="J422" s="10"/>
      <c r="K422" s="12">
        <f t="shared" si="108"/>
        <v>0</v>
      </c>
      <c r="M422" s="10">
        <v>26</v>
      </c>
      <c r="N422" s="30">
        <v>46298</v>
      </c>
      <c r="O422" s="31">
        <f t="shared" si="114"/>
        <v>9611</v>
      </c>
      <c r="P422" s="47">
        <f>650*2+9.5*2</f>
        <v>1319</v>
      </c>
      <c r="Q422" s="31"/>
      <c r="R422" s="31"/>
      <c r="S422" s="32">
        <f t="shared" si="109"/>
        <v>1319</v>
      </c>
      <c r="T422" s="10"/>
      <c r="U422" s="10"/>
      <c r="V422" s="10"/>
      <c r="W422" s="12">
        <f t="shared" si="110"/>
        <v>1319</v>
      </c>
      <c r="Y422" s="10">
        <v>26</v>
      </c>
      <c r="Z422" s="30"/>
      <c r="AB422" s="47"/>
      <c r="AC422" s="31"/>
      <c r="AD422" s="31"/>
      <c r="AE422" s="32">
        <f t="shared" si="116"/>
        <v>0</v>
      </c>
      <c r="AF422" s="10"/>
      <c r="AG422" s="10"/>
      <c r="AH422" s="10"/>
      <c r="AI422" s="12">
        <f t="shared" si="112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7"/>
        <v>0</v>
      </c>
      <c r="H423" s="10"/>
      <c r="I423" s="10"/>
      <c r="J423" s="10"/>
      <c r="K423" s="12">
        <f t="shared" si="108"/>
        <v>0</v>
      </c>
      <c r="M423" s="10">
        <v>27</v>
      </c>
      <c r="N423" s="30">
        <v>46298</v>
      </c>
      <c r="O423" s="31">
        <f t="shared" si="114"/>
        <v>9612</v>
      </c>
      <c r="P423" s="47">
        <f>650*12+9.5*12</f>
        <v>7914</v>
      </c>
      <c r="Q423" s="31"/>
      <c r="R423" s="31"/>
      <c r="S423" s="32">
        <f t="shared" si="109"/>
        <v>7914</v>
      </c>
      <c r="T423" s="10"/>
      <c r="U423" s="10">
        <f>4.5*2</f>
        <v>9</v>
      </c>
      <c r="V423" s="10"/>
      <c r="W423" s="12">
        <f t="shared" si="110"/>
        <v>7923</v>
      </c>
      <c r="Y423" s="10">
        <v>27</v>
      </c>
      <c r="Z423" s="30"/>
      <c r="AA423" s="31"/>
      <c r="AB423" s="47"/>
      <c r="AC423" s="31"/>
      <c r="AD423" s="31"/>
      <c r="AE423" s="32">
        <f t="shared" si="116"/>
        <v>0</v>
      </c>
      <c r="AF423" s="10"/>
      <c r="AG423" s="10"/>
      <c r="AH423" s="10"/>
      <c r="AI423" s="12">
        <f t="shared" si="112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7"/>
        <v>0</v>
      </c>
      <c r="H424" s="10"/>
      <c r="I424" s="10"/>
      <c r="J424" s="10"/>
      <c r="K424" s="12">
        <f t="shared" si="108"/>
        <v>0</v>
      </c>
      <c r="M424" s="10">
        <v>28</v>
      </c>
      <c r="N424" s="30">
        <v>46298</v>
      </c>
      <c r="O424" s="31">
        <f t="shared" si="114"/>
        <v>9613</v>
      </c>
      <c r="P424" s="47">
        <f>650*2+9.5*2</f>
        <v>1319</v>
      </c>
      <c r="Q424" s="31"/>
      <c r="R424" s="31"/>
      <c r="S424" s="32">
        <f t="shared" si="109"/>
        <v>1319</v>
      </c>
      <c r="T424" s="10"/>
      <c r="U424" s="10"/>
      <c r="V424" s="10"/>
      <c r="W424" s="12">
        <f t="shared" si="110"/>
        <v>1319</v>
      </c>
      <c r="Y424" s="10">
        <v>28</v>
      </c>
      <c r="Z424" s="30"/>
      <c r="AA424" s="31"/>
      <c r="AB424" s="47"/>
      <c r="AC424" s="31"/>
      <c r="AD424" s="31"/>
      <c r="AE424" s="32">
        <f t="shared" si="116"/>
        <v>0</v>
      </c>
      <c r="AF424" s="10"/>
      <c r="AG424" s="10"/>
      <c r="AH424" s="10"/>
      <c r="AI424" s="12">
        <f t="shared" si="112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7"/>
        <v>0</v>
      </c>
      <c r="H425" s="10"/>
      <c r="I425" s="10"/>
      <c r="J425" s="10"/>
      <c r="K425" s="12">
        <f t="shared" si="108"/>
        <v>0</v>
      </c>
      <c r="M425" s="10">
        <v>29</v>
      </c>
      <c r="N425" s="30">
        <v>46298</v>
      </c>
      <c r="O425" s="31">
        <f t="shared" si="114"/>
        <v>9614</v>
      </c>
      <c r="P425" s="47">
        <f>650*6+670+9.5*6</f>
        <v>4627</v>
      </c>
      <c r="Q425" s="31"/>
      <c r="R425" s="31"/>
      <c r="S425" s="32">
        <f t="shared" si="109"/>
        <v>4627</v>
      </c>
      <c r="T425" s="10"/>
      <c r="U425" s="10"/>
      <c r="V425" s="10"/>
      <c r="W425" s="12">
        <f t="shared" si="110"/>
        <v>4627</v>
      </c>
      <c r="Y425" s="10">
        <v>29</v>
      </c>
      <c r="Z425" s="30"/>
      <c r="AA425" s="31"/>
      <c r="AB425" s="47"/>
      <c r="AC425" s="31"/>
      <c r="AD425" s="31"/>
      <c r="AE425" s="32">
        <f t="shared" si="116"/>
        <v>0</v>
      </c>
      <c r="AF425" s="10"/>
      <c r="AG425" s="10"/>
      <c r="AH425" s="10"/>
      <c r="AI425" s="12">
        <f t="shared" si="112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7"/>
        <v>0</v>
      </c>
      <c r="H426" s="10"/>
      <c r="I426" s="10"/>
      <c r="J426" s="10"/>
      <c r="K426" s="12">
        <f t="shared" si="108"/>
        <v>0</v>
      </c>
      <c r="M426" s="10">
        <v>30</v>
      </c>
      <c r="N426" s="30">
        <v>46298</v>
      </c>
      <c r="O426" s="31">
        <f t="shared" si="114"/>
        <v>9615</v>
      </c>
      <c r="P426" s="47">
        <f>650*2+622+9.5*3</f>
        <v>1950.5</v>
      </c>
      <c r="Q426" s="31"/>
      <c r="R426" s="31"/>
      <c r="S426" s="32">
        <f t="shared" si="109"/>
        <v>1950.5</v>
      </c>
      <c r="T426" s="10"/>
      <c r="U426" s="10"/>
      <c r="V426" s="10"/>
      <c r="W426" s="12">
        <f t="shared" si="110"/>
        <v>1950.5</v>
      </c>
      <c r="Y426" s="10">
        <v>30</v>
      </c>
      <c r="Z426" s="30"/>
      <c r="AA426" s="31"/>
      <c r="AB426" s="47"/>
      <c r="AC426" s="31"/>
      <c r="AD426" s="31"/>
      <c r="AE426" s="32">
        <f t="shared" si="116"/>
        <v>0</v>
      </c>
      <c r="AF426" s="10"/>
      <c r="AG426" s="10"/>
      <c r="AH426" s="10"/>
      <c r="AI426" s="12">
        <f t="shared" si="112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7"/>
        <v>0</v>
      </c>
      <c r="H427" s="10"/>
      <c r="I427" s="10"/>
      <c r="J427" s="10"/>
      <c r="K427" s="12">
        <f t="shared" si="108"/>
        <v>0</v>
      </c>
      <c r="M427" s="10">
        <v>31</v>
      </c>
      <c r="N427" s="30">
        <v>46298</v>
      </c>
      <c r="O427" s="31">
        <f t="shared" si="114"/>
        <v>9616</v>
      </c>
      <c r="P427" s="47">
        <f>650*5+622+9.5*6</f>
        <v>3929</v>
      </c>
      <c r="Q427" s="31"/>
      <c r="R427" s="31"/>
      <c r="S427" s="32">
        <f t="shared" si="109"/>
        <v>3929</v>
      </c>
      <c r="T427" s="10"/>
      <c r="U427" s="10"/>
      <c r="V427" s="10"/>
      <c r="W427" s="12">
        <f t="shared" si="110"/>
        <v>3929</v>
      </c>
      <c r="Y427" s="10">
        <v>31</v>
      </c>
      <c r="Z427" s="30"/>
      <c r="AA427" s="31"/>
      <c r="AB427" s="47"/>
      <c r="AC427" s="31"/>
      <c r="AD427" s="31"/>
      <c r="AE427" s="32">
        <f t="shared" si="116"/>
        <v>0</v>
      </c>
      <c r="AF427" s="10"/>
      <c r="AG427" s="10"/>
      <c r="AH427" s="10"/>
      <c r="AI427" s="12">
        <f t="shared" si="112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7"/>
        <v>0</v>
      </c>
      <c r="H428" s="10"/>
      <c r="I428" s="10"/>
      <c r="J428" s="10"/>
      <c r="K428" s="12">
        <f t="shared" si="108"/>
        <v>0</v>
      </c>
      <c r="M428" s="10">
        <v>32</v>
      </c>
      <c r="N428" s="30">
        <v>46298</v>
      </c>
      <c r="O428" s="31">
        <f t="shared" si="114"/>
        <v>9617</v>
      </c>
      <c r="P428" s="47">
        <f>650*2+9.5*2</f>
        <v>1319</v>
      </c>
      <c r="Q428" s="31"/>
      <c r="R428" s="31"/>
      <c r="S428" s="32">
        <f t="shared" si="109"/>
        <v>1319</v>
      </c>
      <c r="T428" s="10"/>
      <c r="U428" s="10"/>
      <c r="V428" s="10"/>
      <c r="W428" s="12">
        <f t="shared" si="110"/>
        <v>1319</v>
      </c>
      <c r="Y428" s="10">
        <v>32</v>
      </c>
      <c r="Z428" s="30"/>
      <c r="AA428" s="31"/>
      <c r="AB428" s="47"/>
      <c r="AC428" s="31"/>
      <c r="AD428" s="31"/>
      <c r="AE428" s="32">
        <f t="shared" si="116"/>
        <v>0</v>
      </c>
      <c r="AF428" s="10"/>
      <c r="AG428" s="10"/>
      <c r="AH428" s="10"/>
      <c r="AI428" s="12">
        <f t="shared" si="112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7"/>
        <v>0</v>
      </c>
      <c r="H429" s="10"/>
      <c r="I429" s="10"/>
      <c r="J429" s="10"/>
      <c r="K429" s="12">
        <f t="shared" si="108"/>
        <v>0</v>
      </c>
      <c r="M429" s="10">
        <v>33</v>
      </c>
      <c r="N429" s="30">
        <v>46298</v>
      </c>
      <c r="O429" s="31">
        <f t="shared" si="114"/>
        <v>9618</v>
      </c>
      <c r="P429" s="47">
        <f>1659.1</f>
        <v>1659.1</v>
      </c>
      <c r="Q429" s="31"/>
      <c r="R429" s="31"/>
      <c r="S429" s="32">
        <f t="shared" si="109"/>
        <v>1659.1</v>
      </c>
      <c r="T429" s="10"/>
      <c r="U429" s="10"/>
      <c r="V429" s="10"/>
      <c r="W429" s="12">
        <f t="shared" si="110"/>
        <v>1659.1</v>
      </c>
      <c r="Y429" s="10">
        <v>33</v>
      </c>
      <c r="Z429" s="30"/>
      <c r="AA429" s="31"/>
      <c r="AB429" s="47"/>
      <c r="AC429" s="31"/>
      <c r="AD429" s="31"/>
      <c r="AE429" s="32">
        <f t="shared" si="116"/>
        <v>0</v>
      </c>
      <c r="AF429" s="10"/>
      <c r="AG429" s="10"/>
      <c r="AH429" s="10"/>
      <c r="AI429" s="12">
        <f t="shared" si="112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7"/>
        <v>0</v>
      </c>
      <c r="H430" s="10"/>
      <c r="I430" s="10"/>
      <c r="J430" s="10"/>
      <c r="K430" s="12">
        <f t="shared" si="108"/>
        <v>0</v>
      </c>
      <c r="M430" s="10">
        <v>34</v>
      </c>
      <c r="N430" s="30">
        <v>46298</v>
      </c>
      <c r="O430" s="31">
        <f t="shared" si="114"/>
        <v>9619</v>
      </c>
      <c r="P430" s="47">
        <f>650*108+229*2</f>
        <v>70658</v>
      </c>
      <c r="Q430" s="31">
        <f>-108*6</f>
        <v>-648</v>
      </c>
      <c r="R430" s="31"/>
      <c r="S430" s="32">
        <f t="shared" ref="S430:S435" si="117">SUM(P430:Q430)</f>
        <v>70010</v>
      </c>
      <c r="T430" s="10"/>
      <c r="U430" s="10"/>
      <c r="V430" s="10">
        <f>-111*121</f>
        <v>-13431</v>
      </c>
      <c r="W430" s="12">
        <f t="shared" si="110"/>
        <v>56579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18">SUM(AB430:AC430)</f>
        <v>0</v>
      </c>
      <c r="AF430" s="10"/>
      <c r="AG430" s="10"/>
      <c r="AH430" s="10"/>
      <c r="AI430" s="12">
        <f t="shared" si="112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11" t="s">
        <v>27</v>
      </c>
      <c r="P431" s="47"/>
      <c r="Q431" s="31"/>
      <c r="R431" s="31"/>
      <c r="S431" s="32">
        <f t="shared" si="117"/>
        <v>0</v>
      </c>
      <c r="T431" s="10"/>
      <c r="U431" s="10"/>
      <c r="V431" s="10"/>
      <c r="W431" s="12">
        <f t="shared" si="110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18"/>
        <v>0</v>
      </c>
      <c r="AF431" s="10"/>
      <c r="AG431" s="10"/>
      <c r="AH431" s="10"/>
      <c r="AI431" s="12">
        <f t="shared" si="11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17"/>
        <v>0</v>
      </c>
      <c r="T432" s="10"/>
      <c r="U432" s="10"/>
      <c r="V432" s="10"/>
      <c r="W432" s="12">
        <f t="shared" si="110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18"/>
        <v>0</v>
      </c>
      <c r="AF432" s="10"/>
      <c r="AG432" s="10"/>
      <c r="AH432" s="10"/>
      <c r="AI432" s="12">
        <f t="shared" si="11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O433" s="31"/>
      <c r="P433" s="47"/>
      <c r="Q433" s="31"/>
      <c r="R433" s="31"/>
      <c r="S433" s="32">
        <f t="shared" si="117"/>
        <v>0</v>
      </c>
      <c r="T433" s="10"/>
      <c r="U433" s="10"/>
      <c r="V433" s="10"/>
      <c r="W433" s="12">
        <f t="shared" si="110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18"/>
        <v>0</v>
      </c>
      <c r="AF433" s="10"/>
      <c r="AG433" s="10"/>
      <c r="AH433" s="10"/>
      <c r="AI433" s="12">
        <f t="shared" si="11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17"/>
        <v>0</v>
      </c>
      <c r="T434" s="10"/>
      <c r="U434" s="10"/>
      <c r="V434" s="10"/>
      <c r="W434" s="12">
        <f t="shared" si="110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18"/>
        <v>0</v>
      </c>
      <c r="AF434" s="10"/>
      <c r="AG434" s="10"/>
      <c r="AH434" s="10"/>
      <c r="AI434" s="12">
        <f t="shared" si="11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17"/>
        <v>0</v>
      </c>
      <c r="T435" s="10"/>
      <c r="U435" s="10"/>
      <c r="V435" s="10"/>
      <c r="W435" s="12">
        <f t="shared" si="110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18"/>
        <v>0</v>
      </c>
      <c r="AF435" s="10"/>
      <c r="AG435" s="10"/>
      <c r="AH435" s="10"/>
      <c r="AI435" s="12">
        <f t="shared" si="11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10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1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9">SUM(D437:E437)</f>
        <v>0</v>
      </c>
      <c r="H437" s="10"/>
      <c r="I437" s="10"/>
      <c r="J437" s="10"/>
      <c r="K437" s="12">
        <f t="shared" ref="K437" si="120">SUM(G437:J437)</f>
        <v>0</v>
      </c>
      <c r="M437" s="10"/>
      <c r="N437" s="30"/>
      <c r="O437" s="31"/>
      <c r="P437" s="47"/>
      <c r="Q437" s="31"/>
      <c r="R437" s="31"/>
      <c r="S437" s="32">
        <f t="shared" ref="S437" si="121">SUM(P437:Q437)</f>
        <v>0</v>
      </c>
      <c r="T437" s="10"/>
      <c r="U437" s="10"/>
      <c r="V437" s="10"/>
      <c r="W437" s="12">
        <f t="shared" si="110"/>
        <v>0</v>
      </c>
      <c r="Y437" s="10"/>
      <c r="Z437" s="30"/>
      <c r="AA437" s="31"/>
      <c r="AB437" s="47"/>
      <c r="AC437" s="31"/>
      <c r="AD437" s="31"/>
      <c r="AE437" s="32">
        <f t="shared" ref="AE437" si="122">SUM(AB437:AC437)</f>
        <v>0</v>
      </c>
      <c r="AF437" s="10"/>
      <c r="AG437" s="10"/>
      <c r="AH437" s="10"/>
      <c r="AI437" s="12">
        <f t="shared" si="11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10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1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228575</v>
      </c>
      <c r="E440" s="38">
        <f t="shared" ref="E440:F440" si="123">SUM(E397:E437)</f>
        <v>0</v>
      </c>
      <c r="F440" s="38">
        <f t="shared" si="123"/>
        <v>0</v>
      </c>
      <c r="G440" s="38">
        <f>SUM(G397:G439)</f>
        <v>228575</v>
      </c>
      <c r="H440" s="4"/>
      <c r="I440" s="39">
        <f>SUM(I397:I439)</f>
        <v>0</v>
      </c>
      <c r="J440" s="39">
        <f>SUM(J397:J439)</f>
        <v>0</v>
      </c>
      <c r="K440" s="40">
        <f>SUM(K397:K439)</f>
        <v>228575</v>
      </c>
      <c r="N440" s="57"/>
      <c r="O440" s="57"/>
      <c r="P440" s="38">
        <f>SUM(P397:P439)</f>
        <v>227138.6</v>
      </c>
      <c r="Q440" s="38">
        <f>SUM(Q397:Q421)</f>
        <v>0</v>
      </c>
      <c r="R440" s="38">
        <f>SUM(R397:R421)</f>
        <v>0</v>
      </c>
      <c r="S440" s="38">
        <f>SUM(S397:S439)</f>
        <v>226490.6</v>
      </c>
      <c r="T440" s="4"/>
      <c r="U440" s="41">
        <f>SUM(U397:U439)</f>
        <v>298.5</v>
      </c>
      <c r="V440" s="41">
        <f>SUM(V397:V421)</f>
        <v>-222</v>
      </c>
      <c r="W440" s="42">
        <f>SUM(W397:W439)</f>
        <v>213136.1</v>
      </c>
      <c r="Z440" s="57"/>
      <c r="AA440" s="57"/>
      <c r="AB440" s="38">
        <f>SUM(AB397:AB439)</f>
        <v>239609.5</v>
      </c>
      <c r="AC440" s="38">
        <f>SUM(AC397:AC421)</f>
        <v>-1128</v>
      </c>
      <c r="AD440" s="38">
        <f>SUM(AD397:AD421)</f>
        <v>0</v>
      </c>
      <c r="AE440" s="38">
        <f>SUM(AE397:AE439)</f>
        <v>238481.5</v>
      </c>
      <c r="AF440" s="4"/>
      <c r="AG440" s="41">
        <f>SUM(AG397:AG439)</f>
        <v>0</v>
      </c>
      <c r="AH440" s="41">
        <f>SUM(AH397:AH421)</f>
        <v>-1443</v>
      </c>
      <c r="AI440" s="42">
        <f>SUM(AI397:AI439)</f>
        <v>237038.5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3" t="s">
        <v>17</v>
      </c>
      <c r="E450" s="113"/>
      <c r="F450" s="98"/>
      <c r="G450" s="27"/>
      <c r="I450" s="111" t="s">
        <v>18</v>
      </c>
      <c r="J450" s="112"/>
      <c r="K450" s="109" t="s">
        <v>19</v>
      </c>
      <c r="N450" s="25"/>
      <c r="O450" s="26"/>
      <c r="P450" s="113" t="s">
        <v>17</v>
      </c>
      <c r="Q450" s="113"/>
      <c r="R450" s="98"/>
      <c r="S450" s="27"/>
      <c r="U450" s="111" t="s">
        <v>18</v>
      </c>
      <c r="V450" s="112"/>
      <c r="W450" s="109" t="s">
        <v>19</v>
      </c>
      <c r="Z450" s="25"/>
      <c r="AA450" s="26"/>
      <c r="AB450" s="113" t="s">
        <v>17</v>
      </c>
      <c r="AC450" s="113"/>
      <c r="AD450" s="98"/>
      <c r="AE450" s="27"/>
      <c r="AG450" s="111" t="s">
        <v>18</v>
      </c>
      <c r="AH450" s="112"/>
      <c r="AI450" s="109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0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0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0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46329</v>
      </c>
      <c r="C452" s="83">
        <v>9555</v>
      </c>
      <c r="D452" s="32">
        <f>650*20+9.5*20</f>
        <v>13190</v>
      </c>
      <c r="E452" s="32"/>
      <c r="F452" s="32"/>
      <c r="G452" s="32">
        <f t="shared" ref="G452:G485" si="124">SUM(D452:E452)</f>
        <v>13190</v>
      </c>
      <c r="H452" s="12"/>
      <c r="I452" s="12"/>
      <c r="J452" s="12"/>
      <c r="K452" s="12">
        <f t="shared" ref="K452:K485" si="125">SUM(G452:J452)</f>
        <v>13190</v>
      </c>
      <c r="M452" s="10">
        <v>1</v>
      </c>
      <c r="N452" s="30">
        <v>46329</v>
      </c>
      <c r="O452" s="31">
        <v>9620</v>
      </c>
      <c r="P452" s="32">
        <f>650*216+229*9</f>
        <v>142461</v>
      </c>
      <c r="Q452" s="32">
        <f>-216*6</f>
        <v>-1296</v>
      </c>
      <c r="R452" s="32"/>
      <c r="S452" s="32">
        <f>SUM(P452:Q452)</f>
        <v>141165</v>
      </c>
      <c r="T452" s="12"/>
      <c r="U452" s="12">
        <v>702</v>
      </c>
      <c r="V452" s="12">
        <f>-5460+-630</f>
        <v>-6090</v>
      </c>
      <c r="W452" s="12">
        <f>SUM(S452:V452)</f>
        <v>135777</v>
      </c>
      <c r="Y452" s="10">
        <v>1</v>
      </c>
      <c r="Z452" s="30">
        <v>46329</v>
      </c>
      <c r="AA452" s="31">
        <v>9533</v>
      </c>
      <c r="AB452" s="32">
        <f>650*108+670*5+229*4</f>
        <v>74466</v>
      </c>
      <c r="AC452" s="32">
        <f>-113*6</f>
        <v>-678</v>
      </c>
      <c r="AD452" s="32"/>
      <c r="AE452" s="32">
        <f>SUM(AB452:AC452)</f>
        <v>73788</v>
      </c>
      <c r="AF452" s="12"/>
      <c r="AG452" s="12">
        <v>240</v>
      </c>
      <c r="AH452" s="12">
        <v>-11322</v>
      </c>
      <c r="AI452" s="12">
        <f>SUM(AE452:AH452)</f>
        <v>62706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46329</v>
      </c>
      <c r="C453" s="83">
        <f>C452+1</f>
        <v>9556</v>
      </c>
      <c r="D453" s="32">
        <f>650*53+670+229*2+500</f>
        <v>36078</v>
      </c>
      <c r="E453" s="32"/>
      <c r="F453" s="32"/>
      <c r="G453" s="32">
        <f t="shared" si="124"/>
        <v>36078</v>
      </c>
      <c r="H453" s="12"/>
      <c r="I453" s="12"/>
      <c r="J453" s="12"/>
      <c r="K453" s="12">
        <f t="shared" si="125"/>
        <v>36078</v>
      </c>
      <c r="M453" s="10">
        <v>2</v>
      </c>
      <c r="N453" s="30">
        <v>46329</v>
      </c>
      <c r="O453" s="31">
        <f>O452+1</f>
        <v>9621</v>
      </c>
      <c r="P453" s="32">
        <f>650*80+229</f>
        <v>52229</v>
      </c>
      <c r="Q453" s="32">
        <f>-80*6</f>
        <v>-480</v>
      </c>
      <c r="R453" s="32"/>
      <c r="S453" s="32">
        <f t="shared" ref="S453:S484" si="126">SUM(P453:Q453)</f>
        <v>51749</v>
      </c>
      <c r="T453" s="12"/>
      <c r="U453" s="12">
        <v>36</v>
      </c>
      <c r="V453" s="12"/>
      <c r="W453" s="12">
        <f t="shared" ref="W453:W493" si="127">SUM(S453:V453)</f>
        <v>51785</v>
      </c>
      <c r="Y453" s="10">
        <v>2</v>
      </c>
      <c r="Z453" s="30">
        <v>46329</v>
      </c>
      <c r="AA453" s="31">
        <f>AA452+1</f>
        <v>9534</v>
      </c>
      <c r="AB453" s="32">
        <f>650*216+912*4+872*5+229*5+650*2</f>
        <v>150853</v>
      </c>
      <c r="AC453" s="32">
        <f>-225*6</f>
        <v>-1350</v>
      </c>
      <c r="AD453" s="32"/>
      <c r="AE453" s="32">
        <f t="shared" ref="AE453:AE461" si="128">SUM(AB453:AC453)</f>
        <v>149503</v>
      </c>
      <c r="AF453" s="12"/>
      <c r="AG453" s="12">
        <f>72+3996</f>
        <v>4068</v>
      </c>
      <c r="AH453" s="12">
        <f>-120+-42</f>
        <v>-162</v>
      </c>
      <c r="AI453" s="12">
        <f t="shared" ref="AI453:AI493" si="129">SUM(AE453:AH453)</f>
        <v>153409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46329</v>
      </c>
      <c r="C454" s="83">
        <f t="shared" ref="C454:C455" si="130">C453+1</f>
        <v>9557</v>
      </c>
      <c r="D454" s="33">
        <f>650*15+670+650</f>
        <v>11070</v>
      </c>
      <c r="E454" s="33"/>
      <c r="F454" s="33"/>
      <c r="G454" s="33">
        <f t="shared" si="124"/>
        <v>11070</v>
      </c>
      <c r="H454" s="34"/>
      <c r="I454" s="34"/>
      <c r="J454" s="34"/>
      <c r="K454" s="34">
        <f t="shared" si="125"/>
        <v>11070</v>
      </c>
      <c r="M454" s="10">
        <v>3</v>
      </c>
      <c r="N454" s="30">
        <v>46329</v>
      </c>
      <c r="O454" s="31">
        <f t="shared" ref="O454:O455" si="131">O453+1</f>
        <v>9622</v>
      </c>
      <c r="P454" s="32">
        <f>650*50</f>
        <v>32500</v>
      </c>
      <c r="Q454" s="32"/>
      <c r="R454" s="32"/>
      <c r="S454" s="32">
        <f t="shared" si="126"/>
        <v>32500</v>
      </c>
      <c r="T454" s="12"/>
      <c r="U454" s="12"/>
      <c r="V454" s="12"/>
      <c r="W454" s="12">
        <f t="shared" si="127"/>
        <v>32500</v>
      </c>
      <c r="Y454" s="10">
        <v>3</v>
      </c>
      <c r="Z454" s="30">
        <v>46329</v>
      </c>
      <c r="AA454" s="31">
        <f t="shared" ref="AA454:AA456" si="132">AA453+1</f>
        <v>9535</v>
      </c>
      <c r="AB454" s="33">
        <f>650*50+670*5+622*5+229*2</f>
        <v>39418</v>
      </c>
      <c r="AC454" s="33">
        <f>-60*6</f>
        <v>-360</v>
      </c>
      <c r="AD454" s="32"/>
      <c r="AE454" s="32">
        <f t="shared" si="128"/>
        <v>39058</v>
      </c>
      <c r="AF454" s="12"/>
      <c r="AG454" s="12"/>
      <c r="AH454" s="12"/>
      <c r="AI454" s="12">
        <f t="shared" si="129"/>
        <v>39058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46329</v>
      </c>
      <c r="C455" s="83">
        <f t="shared" si="130"/>
        <v>9558</v>
      </c>
      <c r="D455" s="32">
        <f>650*323+229*13</f>
        <v>212927</v>
      </c>
      <c r="E455" s="32">
        <f>-323*6</f>
        <v>-1938</v>
      </c>
      <c r="F455" s="32"/>
      <c r="G455" s="32">
        <f t="shared" si="124"/>
        <v>210989</v>
      </c>
      <c r="H455" s="12"/>
      <c r="I455" s="12">
        <v>858</v>
      </c>
      <c r="J455" s="12">
        <f>-720+-7770+-252+-6+-13.5</f>
        <v>-8761.5</v>
      </c>
      <c r="K455" s="12">
        <f t="shared" si="125"/>
        <v>203085.5</v>
      </c>
      <c r="M455" s="10">
        <v>4</v>
      </c>
      <c r="N455" s="30">
        <v>46329</v>
      </c>
      <c r="O455" s="31">
        <f t="shared" si="131"/>
        <v>9623</v>
      </c>
      <c r="P455" s="32">
        <f>650*2</f>
        <v>1300</v>
      </c>
      <c r="Q455" s="32"/>
      <c r="R455" s="32"/>
      <c r="S455" s="32">
        <f t="shared" si="126"/>
        <v>1300</v>
      </c>
      <c r="T455" s="12"/>
      <c r="U455" s="12"/>
      <c r="V455" s="12"/>
      <c r="W455" s="12">
        <f t="shared" si="127"/>
        <v>1300</v>
      </c>
      <c r="Y455" s="10">
        <v>4</v>
      </c>
      <c r="Z455" s="30">
        <v>46329</v>
      </c>
      <c r="AA455" s="31">
        <f t="shared" si="132"/>
        <v>9536</v>
      </c>
      <c r="AB455" s="32">
        <f>670*5</f>
        <v>3350</v>
      </c>
      <c r="AC455" s="32"/>
      <c r="AD455" s="32"/>
      <c r="AE455" s="32">
        <f t="shared" si="128"/>
        <v>3350</v>
      </c>
      <c r="AF455" s="12"/>
      <c r="AG455" s="58"/>
      <c r="AH455" s="12">
        <v>-1776</v>
      </c>
      <c r="AI455" s="12">
        <f t="shared" si="129"/>
        <v>1574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/>
      <c r="C456" s="11" t="s">
        <v>27</v>
      </c>
      <c r="D456" s="32"/>
      <c r="E456" s="32"/>
      <c r="F456" s="32"/>
      <c r="G456" s="32">
        <f t="shared" si="124"/>
        <v>0</v>
      </c>
      <c r="H456" s="12"/>
      <c r="I456" s="12"/>
      <c r="J456" s="12"/>
      <c r="K456" s="12">
        <f t="shared" si="125"/>
        <v>0</v>
      </c>
      <c r="M456" s="10">
        <v>5</v>
      </c>
      <c r="N456" s="30"/>
      <c r="O456" s="11" t="s">
        <v>27</v>
      </c>
      <c r="P456" s="32"/>
      <c r="Q456" s="32"/>
      <c r="R456" s="32"/>
      <c r="S456" s="32">
        <f t="shared" si="126"/>
        <v>0</v>
      </c>
      <c r="T456" s="12"/>
      <c r="U456" s="12"/>
      <c r="V456" s="12"/>
      <c r="W456" s="12">
        <f t="shared" si="127"/>
        <v>0</v>
      </c>
      <c r="Y456" s="10">
        <v>5</v>
      </c>
      <c r="Z456" s="30">
        <v>46329</v>
      </c>
      <c r="AA456" s="31">
        <f t="shared" si="132"/>
        <v>9537</v>
      </c>
      <c r="AB456" s="32">
        <f>650*44+973*2</f>
        <v>30546</v>
      </c>
      <c r="AC456" s="32"/>
      <c r="AD456" s="32"/>
      <c r="AE456" s="32">
        <f t="shared" si="128"/>
        <v>30546</v>
      </c>
      <c r="AF456" s="12"/>
      <c r="AG456" s="12"/>
      <c r="AH456" s="12">
        <v>-333</v>
      </c>
      <c r="AI456" s="12">
        <f t="shared" si="129"/>
        <v>30213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83"/>
      <c r="D457" s="32"/>
      <c r="E457" s="32"/>
      <c r="F457" s="32"/>
      <c r="G457" s="32">
        <f t="shared" si="124"/>
        <v>0</v>
      </c>
      <c r="H457" s="12"/>
      <c r="I457" s="12"/>
      <c r="J457" s="12"/>
      <c r="K457" s="12">
        <f t="shared" si="125"/>
        <v>0</v>
      </c>
      <c r="M457" s="10">
        <v>6</v>
      </c>
      <c r="N457" s="30"/>
      <c r="O457" s="31"/>
      <c r="P457" s="32"/>
      <c r="Q457" s="32"/>
      <c r="R457" s="32"/>
      <c r="S457" s="32">
        <f t="shared" si="126"/>
        <v>0</v>
      </c>
      <c r="T457" s="12"/>
      <c r="U457" s="12"/>
      <c r="V457" s="10"/>
      <c r="W457" s="12">
        <f t="shared" si="127"/>
        <v>0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28"/>
        <v>0</v>
      </c>
      <c r="AF457" s="12"/>
      <c r="AG457" s="12"/>
      <c r="AH457" s="10"/>
      <c r="AI457" s="12">
        <f t="shared" si="129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3"/>
      <c r="D458" s="32"/>
      <c r="E458" s="32"/>
      <c r="F458" s="32"/>
      <c r="G458" s="32">
        <f t="shared" si="124"/>
        <v>0</v>
      </c>
      <c r="H458" s="12"/>
      <c r="I458" s="12"/>
      <c r="J458" s="12"/>
      <c r="K458" s="12">
        <f t="shared" si="125"/>
        <v>0</v>
      </c>
      <c r="M458" s="10">
        <v>7</v>
      </c>
      <c r="N458" s="30"/>
      <c r="O458" s="31"/>
      <c r="P458" s="32"/>
      <c r="Q458" s="32"/>
      <c r="R458" s="32"/>
      <c r="S458" s="32">
        <f t="shared" si="126"/>
        <v>0</v>
      </c>
      <c r="T458" s="12"/>
      <c r="U458" s="12"/>
      <c r="V458" s="12"/>
      <c r="W458" s="12">
        <f t="shared" si="127"/>
        <v>0</v>
      </c>
      <c r="Y458" s="10">
        <v>7</v>
      </c>
      <c r="Z458" s="30"/>
      <c r="AA458" s="31"/>
      <c r="AB458" s="32"/>
      <c r="AC458" s="32"/>
      <c r="AD458" s="32"/>
      <c r="AE458" s="32">
        <f t="shared" si="128"/>
        <v>0</v>
      </c>
      <c r="AF458" s="12"/>
      <c r="AG458" s="58"/>
      <c r="AH458" s="12"/>
      <c r="AI458" s="12">
        <f t="shared" si="129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3"/>
      <c r="D459" s="32"/>
      <c r="E459" s="32"/>
      <c r="F459" s="32"/>
      <c r="G459" s="32">
        <f t="shared" si="124"/>
        <v>0</v>
      </c>
      <c r="H459" s="12"/>
      <c r="I459" s="12"/>
      <c r="J459" s="12"/>
      <c r="K459" s="12">
        <f t="shared" si="125"/>
        <v>0</v>
      </c>
      <c r="M459" s="10">
        <v>8</v>
      </c>
      <c r="N459" s="30"/>
      <c r="O459" s="31"/>
      <c r="P459" s="32"/>
      <c r="Q459" s="32"/>
      <c r="R459" s="32"/>
      <c r="S459" s="32">
        <f t="shared" si="126"/>
        <v>0</v>
      </c>
      <c r="T459" s="12"/>
      <c r="U459" s="12"/>
      <c r="V459" s="12"/>
      <c r="W459" s="12">
        <f t="shared" si="127"/>
        <v>0</v>
      </c>
      <c r="Y459" s="10">
        <v>8</v>
      </c>
      <c r="Z459" s="30"/>
      <c r="AA459" s="31"/>
      <c r="AB459" s="32"/>
      <c r="AC459" s="32"/>
      <c r="AE459" s="32">
        <f t="shared" si="128"/>
        <v>0</v>
      </c>
      <c r="AF459" s="12"/>
      <c r="AG459" s="12"/>
      <c r="AH459" s="12"/>
      <c r="AI459" s="12">
        <f t="shared" si="129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24"/>
        <v>0</v>
      </c>
      <c r="H460" s="12"/>
      <c r="I460" s="12"/>
      <c r="J460" s="12"/>
      <c r="K460" s="12">
        <f t="shared" si="125"/>
        <v>0</v>
      </c>
      <c r="M460" s="10">
        <v>9</v>
      </c>
      <c r="N460" s="30"/>
      <c r="O460" s="31"/>
      <c r="P460" s="32"/>
      <c r="Q460" s="32"/>
      <c r="R460" s="32"/>
      <c r="S460" s="32">
        <f t="shared" si="126"/>
        <v>0</v>
      </c>
      <c r="T460" s="12"/>
      <c r="U460" s="12"/>
      <c r="V460" s="12"/>
      <c r="W460" s="12">
        <f t="shared" si="127"/>
        <v>0</v>
      </c>
      <c r="Y460" s="10">
        <v>9</v>
      </c>
      <c r="Z460" s="30"/>
      <c r="AA460" s="31"/>
      <c r="AB460" s="32"/>
      <c r="AC460" s="32"/>
      <c r="AD460" s="32"/>
      <c r="AE460" s="32">
        <f t="shared" si="128"/>
        <v>0</v>
      </c>
      <c r="AF460" s="12"/>
      <c r="AH460" s="12"/>
      <c r="AI460" s="12">
        <f t="shared" si="129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24"/>
        <v>0</v>
      </c>
      <c r="H461" s="12"/>
      <c r="I461" s="12"/>
      <c r="J461" s="12"/>
      <c r="K461" s="12">
        <f t="shared" si="125"/>
        <v>0</v>
      </c>
      <c r="M461" s="10">
        <v>10</v>
      </c>
      <c r="N461" s="30"/>
      <c r="O461" s="31"/>
      <c r="P461" s="32"/>
      <c r="Q461" s="32"/>
      <c r="R461" s="32"/>
      <c r="S461" s="32">
        <f t="shared" si="126"/>
        <v>0</v>
      </c>
      <c r="T461" s="12"/>
      <c r="U461" s="12"/>
      <c r="V461" s="12"/>
      <c r="W461" s="12">
        <f t="shared" si="127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28"/>
        <v>0</v>
      </c>
      <c r="AF461" s="12"/>
      <c r="AG461" s="12"/>
      <c r="AH461" s="12"/>
      <c r="AI461" s="12">
        <f t="shared" si="12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83"/>
      <c r="D462" s="32"/>
      <c r="E462" s="32"/>
      <c r="F462" s="32"/>
      <c r="G462" s="32">
        <f t="shared" si="124"/>
        <v>0</v>
      </c>
      <c r="H462" s="12"/>
      <c r="I462" s="12"/>
      <c r="J462" s="12"/>
      <c r="K462" s="12">
        <f t="shared" si="125"/>
        <v>0</v>
      </c>
      <c r="M462" s="10">
        <v>11</v>
      </c>
      <c r="N462" s="30"/>
      <c r="O462" s="31"/>
      <c r="P462" s="32"/>
      <c r="Q462" s="32"/>
      <c r="R462" s="32"/>
      <c r="S462" s="32">
        <f t="shared" si="126"/>
        <v>0</v>
      </c>
      <c r="T462" s="12"/>
      <c r="U462" s="12"/>
      <c r="V462" s="12"/>
      <c r="W462" s="12">
        <f t="shared" si="127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84" si="133">SUM(AB462:AC462)</f>
        <v>0</v>
      </c>
      <c r="AF462" s="12"/>
      <c r="AG462" s="12"/>
      <c r="AH462" s="12"/>
      <c r="AI462" s="12">
        <f t="shared" si="12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24"/>
        <v>0</v>
      </c>
      <c r="H463" s="12"/>
      <c r="I463" s="12"/>
      <c r="J463" s="10"/>
      <c r="K463" s="12">
        <f t="shared" si="125"/>
        <v>0</v>
      </c>
      <c r="M463" s="10">
        <v>12</v>
      </c>
      <c r="N463" s="30"/>
      <c r="O463" s="31"/>
      <c r="P463" s="32"/>
      <c r="Q463" s="32"/>
      <c r="R463" s="32"/>
      <c r="S463" s="32">
        <f t="shared" si="126"/>
        <v>0</v>
      </c>
      <c r="T463" s="12"/>
      <c r="U463" s="12"/>
      <c r="V463" s="12"/>
      <c r="W463" s="12">
        <f t="shared" si="12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33"/>
        <v>0</v>
      </c>
      <c r="AF463" s="12"/>
      <c r="AG463" s="12"/>
      <c r="AH463" s="12"/>
      <c r="AI463" s="12">
        <f t="shared" si="12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24"/>
        <v>0</v>
      </c>
      <c r="H464" s="12"/>
      <c r="I464" s="12"/>
      <c r="J464" s="12"/>
      <c r="K464" s="12">
        <f t="shared" si="125"/>
        <v>0</v>
      </c>
      <c r="M464" s="10">
        <v>13</v>
      </c>
      <c r="N464" s="30"/>
      <c r="O464" s="31"/>
      <c r="P464" s="32"/>
      <c r="Q464" s="32"/>
      <c r="R464" s="32"/>
      <c r="S464" s="32">
        <f t="shared" si="126"/>
        <v>0</v>
      </c>
      <c r="T464" s="12"/>
      <c r="U464" s="12"/>
      <c r="V464" s="12"/>
      <c r="W464" s="12">
        <f t="shared" si="12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33"/>
        <v>0</v>
      </c>
      <c r="AF464" s="12"/>
      <c r="AG464" s="12"/>
      <c r="AH464" s="12"/>
      <c r="AI464" s="12">
        <f t="shared" si="12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D465" s="32"/>
      <c r="E465" s="32"/>
      <c r="F465" s="32"/>
      <c r="G465" s="32">
        <f t="shared" si="124"/>
        <v>0</v>
      </c>
      <c r="H465" s="12"/>
      <c r="I465" s="12"/>
      <c r="J465" s="12"/>
      <c r="K465" s="12">
        <f t="shared" si="125"/>
        <v>0</v>
      </c>
      <c r="M465" s="10">
        <v>14</v>
      </c>
      <c r="N465" s="30"/>
      <c r="O465" s="31"/>
      <c r="P465" s="32"/>
      <c r="Q465" s="32"/>
      <c r="R465" s="32"/>
      <c r="S465" s="32">
        <f t="shared" si="126"/>
        <v>0</v>
      </c>
      <c r="T465" s="12"/>
      <c r="U465" s="12"/>
      <c r="V465" s="12"/>
      <c r="W465" s="12">
        <f t="shared" si="12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33"/>
        <v>0</v>
      </c>
      <c r="AF465" s="12"/>
      <c r="AG465" s="12"/>
      <c r="AH465" s="12"/>
      <c r="AI465" s="12">
        <f t="shared" si="12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24"/>
        <v>0</v>
      </c>
      <c r="H466" s="12"/>
      <c r="I466" s="12"/>
      <c r="J466" s="12"/>
      <c r="K466" s="12">
        <f t="shared" si="125"/>
        <v>0</v>
      </c>
      <c r="M466" s="10">
        <v>15</v>
      </c>
      <c r="N466" s="30"/>
      <c r="O466" s="31"/>
      <c r="P466" s="32"/>
      <c r="Q466" s="32"/>
      <c r="R466" s="32"/>
      <c r="S466" s="32">
        <f t="shared" si="126"/>
        <v>0</v>
      </c>
      <c r="T466" s="12"/>
      <c r="U466" s="12"/>
      <c r="V466" s="12"/>
      <c r="W466" s="12">
        <f t="shared" si="12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33"/>
        <v>0</v>
      </c>
      <c r="AF466" s="12"/>
      <c r="AG466" s="12"/>
      <c r="AH466" s="12"/>
      <c r="AI466" s="12">
        <f t="shared" si="12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83"/>
      <c r="D467" s="32"/>
      <c r="E467" s="32"/>
      <c r="F467" s="32"/>
      <c r="G467" s="32">
        <f t="shared" si="124"/>
        <v>0</v>
      </c>
      <c r="H467" s="12"/>
      <c r="I467" s="12"/>
      <c r="J467" s="12"/>
      <c r="K467" s="12">
        <f t="shared" si="125"/>
        <v>0</v>
      </c>
      <c r="M467" s="10">
        <v>16</v>
      </c>
      <c r="N467" s="30"/>
      <c r="O467" s="31"/>
      <c r="P467" s="32"/>
      <c r="Q467" s="32"/>
      <c r="R467" s="32"/>
      <c r="S467" s="32">
        <f t="shared" si="126"/>
        <v>0</v>
      </c>
      <c r="T467" s="12"/>
      <c r="U467" s="12"/>
      <c r="V467" s="12"/>
      <c r="W467" s="12">
        <f t="shared" si="127"/>
        <v>0</v>
      </c>
      <c r="Y467" s="10">
        <v>16</v>
      </c>
      <c r="Z467" s="30"/>
      <c r="AB467" s="32"/>
      <c r="AC467" s="32"/>
      <c r="AD467" s="32"/>
      <c r="AE467" s="32">
        <f t="shared" si="133"/>
        <v>0</v>
      </c>
      <c r="AF467" s="12"/>
      <c r="AG467" s="12"/>
      <c r="AH467" s="12"/>
      <c r="AI467" s="12">
        <f t="shared" si="12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24"/>
        <v>0</v>
      </c>
      <c r="H468" s="12"/>
      <c r="I468" s="12"/>
      <c r="J468" s="12"/>
      <c r="K468" s="12">
        <f t="shared" si="125"/>
        <v>0</v>
      </c>
      <c r="M468" s="10">
        <v>17</v>
      </c>
      <c r="N468" s="30"/>
      <c r="O468" s="31"/>
      <c r="P468" s="35"/>
      <c r="Q468" s="32"/>
      <c r="R468" s="32"/>
      <c r="S468" s="32">
        <f t="shared" si="126"/>
        <v>0</v>
      </c>
      <c r="T468" s="12"/>
      <c r="U468" s="12"/>
      <c r="V468" s="12"/>
      <c r="W468" s="12">
        <f t="shared" si="127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33"/>
        <v>0</v>
      </c>
      <c r="AF468" s="12"/>
      <c r="AG468" s="12"/>
      <c r="AH468" s="12"/>
      <c r="AI468" s="12">
        <f t="shared" si="12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24"/>
        <v>0</v>
      </c>
      <c r="H469" s="12"/>
      <c r="I469" s="12"/>
      <c r="J469" s="12"/>
      <c r="K469" s="12">
        <f t="shared" si="125"/>
        <v>0</v>
      </c>
      <c r="M469" s="10">
        <v>18</v>
      </c>
      <c r="N469" s="30"/>
      <c r="O469" s="31"/>
      <c r="P469" s="32"/>
      <c r="Q469" s="32"/>
      <c r="R469" s="32"/>
      <c r="S469" s="32">
        <f t="shared" si="126"/>
        <v>0</v>
      </c>
      <c r="T469" s="12"/>
      <c r="U469" s="12"/>
      <c r="V469" s="12"/>
      <c r="W469" s="12">
        <f t="shared" si="12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33"/>
        <v>0</v>
      </c>
      <c r="AF469" s="12"/>
      <c r="AG469" s="12"/>
      <c r="AH469" s="12"/>
      <c r="AI469" s="12">
        <f t="shared" si="12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24"/>
        <v>0</v>
      </c>
      <c r="H470" s="12"/>
      <c r="I470" s="12"/>
      <c r="J470" s="12"/>
      <c r="K470" s="12">
        <f t="shared" si="125"/>
        <v>0</v>
      </c>
      <c r="M470" s="10">
        <v>19</v>
      </c>
      <c r="N470" s="30"/>
      <c r="O470" s="31"/>
      <c r="P470" s="32"/>
      <c r="Q470" s="32"/>
      <c r="R470" s="32"/>
      <c r="S470" s="32">
        <f t="shared" si="126"/>
        <v>0</v>
      </c>
      <c r="T470" s="12"/>
      <c r="U470" s="12"/>
      <c r="V470" s="12"/>
      <c r="W470" s="12">
        <f t="shared" si="12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33"/>
        <v>0</v>
      </c>
      <c r="AF470" s="12"/>
      <c r="AG470" s="12"/>
      <c r="AH470" s="12"/>
      <c r="AI470" s="12">
        <f t="shared" si="12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24"/>
        <v>0</v>
      </c>
      <c r="H471" s="12"/>
      <c r="I471" s="12"/>
      <c r="J471" s="12"/>
      <c r="K471" s="12">
        <f t="shared" si="125"/>
        <v>0</v>
      </c>
      <c r="M471" s="10">
        <v>20</v>
      </c>
      <c r="N471" s="30"/>
      <c r="O471" s="31"/>
      <c r="P471" s="32"/>
      <c r="Q471" s="32"/>
      <c r="R471" s="32"/>
      <c r="S471" s="32">
        <f t="shared" si="126"/>
        <v>0</v>
      </c>
      <c r="T471" s="12"/>
      <c r="U471" s="12"/>
      <c r="V471" s="12"/>
      <c r="W471" s="12">
        <f t="shared" si="127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33"/>
        <v>0</v>
      </c>
      <c r="AF471" s="12"/>
      <c r="AG471" s="12"/>
      <c r="AH471" s="12"/>
      <c r="AI471" s="12">
        <f t="shared" si="12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24"/>
        <v>0</v>
      </c>
      <c r="H472" s="10"/>
      <c r="I472" s="10"/>
      <c r="J472" s="10"/>
      <c r="K472" s="12">
        <f t="shared" si="125"/>
        <v>0</v>
      </c>
      <c r="M472" s="10">
        <v>21</v>
      </c>
      <c r="N472" s="30"/>
      <c r="O472" s="31"/>
      <c r="P472" s="46"/>
      <c r="Q472" s="31"/>
      <c r="R472" s="31"/>
      <c r="S472" s="32">
        <f t="shared" si="126"/>
        <v>0</v>
      </c>
      <c r="T472" s="10"/>
      <c r="U472" s="10"/>
      <c r="V472" s="10"/>
      <c r="W472" s="12">
        <f t="shared" si="12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33"/>
        <v>0</v>
      </c>
      <c r="AF472" s="10"/>
      <c r="AG472" s="10"/>
      <c r="AH472" s="10"/>
      <c r="AI472" s="12">
        <f t="shared" si="12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24"/>
        <v>0</v>
      </c>
      <c r="H473" s="10"/>
      <c r="I473" s="10"/>
      <c r="J473" s="10"/>
      <c r="K473" s="12">
        <f t="shared" si="125"/>
        <v>0</v>
      </c>
      <c r="M473" s="10">
        <v>22</v>
      </c>
      <c r="N473" s="30"/>
      <c r="O473" s="31"/>
      <c r="P473" s="45"/>
      <c r="Q473" s="31"/>
      <c r="R473" s="31"/>
      <c r="S473" s="32">
        <f t="shared" si="126"/>
        <v>0</v>
      </c>
      <c r="T473" s="10"/>
      <c r="U473" s="10"/>
      <c r="V473" s="10"/>
      <c r="W473" s="12">
        <f t="shared" si="12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33"/>
        <v>0</v>
      </c>
      <c r="AF473" s="10"/>
      <c r="AG473" s="10"/>
      <c r="AH473" s="10"/>
      <c r="AI473" s="12">
        <f t="shared" si="12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24"/>
        <v>0</v>
      </c>
      <c r="H474" s="10"/>
      <c r="I474" s="10"/>
      <c r="J474" s="12"/>
      <c r="K474" s="12">
        <f t="shared" si="125"/>
        <v>0</v>
      </c>
      <c r="M474" s="10">
        <v>23</v>
      </c>
      <c r="N474" s="30"/>
      <c r="O474" s="31"/>
      <c r="P474" s="47"/>
      <c r="Q474" s="31"/>
      <c r="S474" s="32">
        <f t="shared" si="126"/>
        <v>0</v>
      </c>
      <c r="T474" s="10"/>
      <c r="U474" s="10"/>
      <c r="V474" s="10"/>
      <c r="W474" s="12">
        <f t="shared" si="127"/>
        <v>0</v>
      </c>
      <c r="Y474" s="10">
        <v>23</v>
      </c>
      <c r="Z474" s="30"/>
      <c r="AA474" s="31"/>
      <c r="AB474" s="47"/>
      <c r="AE474" s="32">
        <f t="shared" si="133"/>
        <v>0</v>
      </c>
      <c r="AF474" s="10"/>
      <c r="AG474" s="10"/>
      <c r="AH474" s="10"/>
      <c r="AI474" s="12">
        <f t="shared" si="12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24"/>
        <v>0</v>
      </c>
      <c r="H475" s="10"/>
      <c r="I475" s="10"/>
      <c r="J475" s="10"/>
      <c r="K475" s="12">
        <f t="shared" si="125"/>
        <v>0</v>
      </c>
      <c r="M475" s="10">
        <v>24</v>
      </c>
      <c r="N475" s="30"/>
      <c r="O475" s="31"/>
      <c r="P475" s="47"/>
      <c r="Q475" s="31"/>
      <c r="R475" s="31"/>
      <c r="S475" s="32">
        <f t="shared" si="126"/>
        <v>0</v>
      </c>
      <c r="T475" s="10"/>
      <c r="U475" s="10"/>
      <c r="V475" s="10"/>
      <c r="W475" s="12">
        <f t="shared" si="12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33"/>
        <v>0</v>
      </c>
      <c r="AF475" s="10"/>
      <c r="AG475" s="10"/>
      <c r="AH475" s="10"/>
      <c r="AI475" s="12">
        <f t="shared" si="12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24"/>
        <v>0</v>
      </c>
      <c r="H476" s="10"/>
      <c r="I476" s="10"/>
      <c r="J476" s="10"/>
      <c r="K476" s="12">
        <f t="shared" si="125"/>
        <v>0</v>
      </c>
      <c r="M476" s="10">
        <v>25</v>
      </c>
      <c r="N476" s="30"/>
      <c r="O476" s="31"/>
      <c r="P476" s="47"/>
      <c r="Q476" s="31"/>
      <c r="R476" s="31"/>
      <c r="S476" s="32">
        <f t="shared" si="126"/>
        <v>0</v>
      </c>
      <c r="T476" s="10"/>
      <c r="U476" s="10"/>
      <c r="V476" s="10"/>
      <c r="W476" s="12">
        <f t="shared" si="12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33"/>
        <v>0</v>
      </c>
      <c r="AF476" s="10"/>
      <c r="AG476" s="10"/>
      <c r="AH476" s="10"/>
      <c r="AI476" s="12">
        <f t="shared" si="12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24"/>
        <v>0</v>
      </c>
      <c r="H477" s="10"/>
      <c r="I477" s="10"/>
      <c r="J477" s="10"/>
      <c r="K477" s="12">
        <f t="shared" si="125"/>
        <v>0</v>
      </c>
      <c r="M477" s="10">
        <v>26</v>
      </c>
      <c r="N477" s="30"/>
      <c r="O477" s="31"/>
      <c r="P477" s="47"/>
      <c r="Q477" s="31"/>
      <c r="R477" s="31"/>
      <c r="S477" s="32">
        <f t="shared" si="126"/>
        <v>0</v>
      </c>
      <c r="T477" s="10"/>
      <c r="U477" s="10"/>
      <c r="V477" s="10"/>
      <c r="W477" s="12">
        <f t="shared" si="127"/>
        <v>0</v>
      </c>
      <c r="Y477" s="10">
        <v>26</v>
      </c>
      <c r="Z477" s="30"/>
      <c r="AB477" s="47"/>
      <c r="AC477" s="31"/>
      <c r="AD477" s="31"/>
      <c r="AE477" s="32">
        <f t="shared" si="133"/>
        <v>0</v>
      </c>
      <c r="AF477" s="10"/>
      <c r="AG477" s="10"/>
      <c r="AH477" s="10"/>
      <c r="AI477" s="12">
        <f t="shared" si="12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24"/>
        <v>0</v>
      </c>
      <c r="H478" s="10"/>
      <c r="I478" s="10"/>
      <c r="J478" s="10"/>
      <c r="K478" s="12">
        <f t="shared" si="125"/>
        <v>0</v>
      </c>
      <c r="M478" s="10">
        <v>27</v>
      </c>
      <c r="N478" s="30"/>
      <c r="O478" s="31"/>
      <c r="P478" s="47"/>
      <c r="Q478" s="31"/>
      <c r="R478" s="31"/>
      <c r="S478" s="32">
        <f t="shared" si="126"/>
        <v>0</v>
      </c>
      <c r="T478" s="10"/>
      <c r="U478" s="10"/>
      <c r="V478" s="10"/>
      <c r="W478" s="12">
        <f t="shared" si="12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33"/>
        <v>0</v>
      </c>
      <c r="AF478" s="10"/>
      <c r="AG478" s="10"/>
      <c r="AH478" s="10"/>
      <c r="AI478" s="12">
        <f t="shared" si="12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24"/>
        <v>0</v>
      </c>
      <c r="H479" s="10"/>
      <c r="I479" s="10"/>
      <c r="J479" s="10"/>
      <c r="K479" s="12">
        <f t="shared" si="125"/>
        <v>0</v>
      </c>
      <c r="M479" s="10">
        <v>28</v>
      </c>
      <c r="N479" s="30"/>
      <c r="O479" s="31"/>
      <c r="P479" s="47"/>
      <c r="Q479" s="31"/>
      <c r="R479" s="31"/>
      <c r="S479" s="32">
        <f t="shared" si="126"/>
        <v>0</v>
      </c>
      <c r="T479" s="10"/>
      <c r="U479" s="10"/>
      <c r="V479" s="10"/>
      <c r="W479" s="12">
        <f t="shared" si="12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33"/>
        <v>0</v>
      </c>
      <c r="AF479" s="10"/>
      <c r="AG479" s="10"/>
      <c r="AH479" s="10"/>
      <c r="AI479" s="12">
        <f t="shared" si="12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24"/>
        <v>0</v>
      </c>
      <c r="H480" s="10"/>
      <c r="I480" s="10"/>
      <c r="J480" s="10"/>
      <c r="K480" s="12">
        <f t="shared" si="125"/>
        <v>0</v>
      </c>
      <c r="M480" s="10">
        <v>29</v>
      </c>
      <c r="N480" s="30"/>
      <c r="O480" s="31"/>
      <c r="P480" s="47"/>
      <c r="Q480" s="31"/>
      <c r="R480" s="31"/>
      <c r="S480" s="32">
        <f t="shared" si="126"/>
        <v>0</v>
      </c>
      <c r="T480" s="10"/>
      <c r="U480" s="10"/>
      <c r="V480" s="10"/>
      <c r="W480" s="12">
        <f t="shared" si="12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33"/>
        <v>0</v>
      </c>
      <c r="AF480" s="10"/>
      <c r="AG480" s="10"/>
      <c r="AH480" s="10"/>
      <c r="AI480" s="12">
        <f t="shared" si="12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24"/>
        <v>0</v>
      </c>
      <c r="H481" s="10"/>
      <c r="I481" s="10"/>
      <c r="J481" s="10"/>
      <c r="K481" s="12">
        <f t="shared" si="125"/>
        <v>0</v>
      </c>
      <c r="M481" s="10">
        <v>30</v>
      </c>
      <c r="N481" s="30"/>
      <c r="O481" s="31"/>
      <c r="P481" s="47"/>
      <c r="Q481" s="31"/>
      <c r="R481" s="31"/>
      <c r="S481" s="32">
        <f t="shared" si="126"/>
        <v>0</v>
      </c>
      <c r="T481" s="10"/>
      <c r="U481" s="10"/>
      <c r="V481" s="10"/>
      <c r="W481" s="12">
        <f t="shared" si="12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33"/>
        <v>0</v>
      </c>
      <c r="AF481" s="10"/>
      <c r="AG481" s="10"/>
      <c r="AH481" s="10"/>
      <c r="AI481" s="12">
        <f t="shared" si="12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24"/>
        <v>0</v>
      </c>
      <c r="H482" s="10"/>
      <c r="I482" s="10"/>
      <c r="J482" s="10"/>
      <c r="K482" s="12">
        <f t="shared" si="125"/>
        <v>0</v>
      </c>
      <c r="M482" s="10">
        <v>31</v>
      </c>
      <c r="N482" s="30"/>
      <c r="O482" s="31"/>
      <c r="P482" s="47"/>
      <c r="Q482" s="31"/>
      <c r="R482" s="31"/>
      <c r="S482" s="32">
        <f t="shared" si="126"/>
        <v>0</v>
      </c>
      <c r="T482" s="10"/>
      <c r="U482" s="10"/>
      <c r="V482" s="10"/>
      <c r="W482" s="12">
        <f t="shared" si="12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33"/>
        <v>0</v>
      </c>
      <c r="AF482" s="10"/>
      <c r="AG482" s="10"/>
      <c r="AH482" s="10"/>
      <c r="AI482" s="12">
        <f t="shared" si="12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24"/>
        <v>0</v>
      </c>
      <c r="H483" s="10"/>
      <c r="I483" s="10"/>
      <c r="J483" s="10"/>
      <c r="K483" s="12">
        <f t="shared" si="125"/>
        <v>0</v>
      </c>
      <c r="M483" s="10">
        <v>32</v>
      </c>
      <c r="N483" s="30"/>
      <c r="O483" s="31"/>
      <c r="P483" s="47"/>
      <c r="Q483" s="31"/>
      <c r="R483" s="31"/>
      <c r="S483" s="32">
        <f t="shared" si="126"/>
        <v>0</v>
      </c>
      <c r="T483" s="10"/>
      <c r="U483" s="10"/>
      <c r="V483" s="10"/>
      <c r="W483" s="12">
        <f t="shared" si="12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33"/>
        <v>0</v>
      </c>
      <c r="AF483" s="10"/>
      <c r="AG483" s="10"/>
      <c r="AH483" s="10"/>
      <c r="AI483" s="12">
        <f t="shared" si="12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24"/>
        <v>0</v>
      </c>
      <c r="H484" s="10"/>
      <c r="I484" s="10"/>
      <c r="J484" s="10"/>
      <c r="K484" s="12">
        <f t="shared" si="125"/>
        <v>0</v>
      </c>
      <c r="M484" s="10">
        <v>33</v>
      </c>
      <c r="N484" s="30"/>
      <c r="O484" s="31"/>
      <c r="P484" s="47"/>
      <c r="Q484" s="31"/>
      <c r="R484" s="31"/>
      <c r="S484" s="32">
        <f t="shared" si="126"/>
        <v>0</v>
      </c>
      <c r="T484" s="10"/>
      <c r="U484" s="10"/>
      <c r="V484" s="10"/>
      <c r="W484" s="12">
        <f t="shared" si="12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33"/>
        <v>0</v>
      </c>
      <c r="AF484" s="10"/>
      <c r="AG484" s="10"/>
      <c r="AH484" s="10"/>
      <c r="AI484" s="12">
        <f t="shared" si="12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24"/>
        <v>0</v>
      </c>
      <c r="H485" s="10"/>
      <c r="I485" s="10"/>
      <c r="J485" s="10"/>
      <c r="K485" s="12">
        <f t="shared" si="125"/>
        <v>0</v>
      </c>
      <c r="M485" s="10">
        <v>34</v>
      </c>
      <c r="N485" s="30"/>
      <c r="O485" s="31"/>
      <c r="P485" s="47"/>
      <c r="Q485" s="31"/>
      <c r="R485" s="31"/>
      <c r="S485" s="32">
        <f t="shared" ref="S485:S490" si="134">SUM(P485:Q485)</f>
        <v>0</v>
      </c>
      <c r="T485" s="10"/>
      <c r="U485" s="10"/>
      <c r="V485" s="10"/>
      <c r="W485" s="12">
        <f t="shared" si="127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35">SUM(AB485:AC485)</f>
        <v>0</v>
      </c>
      <c r="AF485" s="10"/>
      <c r="AG485" s="10"/>
      <c r="AH485" s="10"/>
      <c r="AI485" s="12">
        <f t="shared" si="12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P486" s="47"/>
      <c r="Q486" s="31"/>
      <c r="R486" s="31"/>
      <c r="S486" s="32">
        <f t="shared" si="134"/>
        <v>0</v>
      </c>
      <c r="T486" s="10"/>
      <c r="U486" s="10"/>
      <c r="V486" s="10"/>
      <c r="W486" s="12">
        <f t="shared" si="12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35"/>
        <v>0</v>
      </c>
      <c r="AF486" s="10"/>
      <c r="AG486" s="10"/>
      <c r="AH486" s="10"/>
      <c r="AI486" s="12">
        <f t="shared" si="12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34"/>
        <v>0</v>
      </c>
      <c r="T487" s="10"/>
      <c r="U487" s="10"/>
      <c r="V487" s="10"/>
      <c r="W487" s="12">
        <f t="shared" si="12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35"/>
        <v>0</v>
      </c>
      <c r="AF487" s="10"/>
      <c r="AG487" s="10"/>
      <c r="AH487" s="10"/>
      <c r="AI487" s="12">
        <f t="shared" si="12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O488" s="31"/>
      <c r="P488" s="47"/>
      <c r="Q488" s="31"/>
      <c r="R488" s="31"/>
      <c r="S488" s="32">
        <f t="shared" si="134"/>
        <v>0</v>
      </c>
      <c r="T488" s="10"/>
      <c r="U488" s="10"/>
      <c r="V488" s="10"/>
      <c r="W488" s="12">
        <f t="shared" si="12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35"/>
        <v>0</v>
      </c>
      <c r="AF488" s="10"/>
      <c r="AG488" s="10"/>
      <c r="AH488" s="10"/>
      <c r="AI488" s="12">
        <f t="shared" si="12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34"/>
        <v>0</v>
      </c>
      <c r="T489" s="10"/>
      <c r="U489" s="10"/>
      <c r="V489" s="10"/>
      <c r="W489" s="12">
        <f t="shared" si="12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35"/>
        <v>0</v>
      </c>
      <c r="AF489" s="10"/>
      <c r="AG489" s="10"/>
      <c r="AH489" s="10"/>
      <c r="AI489" s="12">
        <f t="shared" si="12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34"/>
        <v>0</v>
      </c>
      <c r="T490" s="10"/>
      <c r="U490" s="10"/>
      <c r="V490" s="10"/>
      <c r="W490" s="12">
        <f t="shared" si="12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35"/>
        <v>0</v>
      </c>
      <c r="AF490" s="10"/>
      <c r="AG490" s="10"/>
      <c r="AH490" s="10"/>
      <c r="AI490" s="12">
        <f t="shared" si="12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2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36">SUM(D492:E492)</f>
        <v>0</v>
      </c>
      <c r="H492" s="10"/>
      <c r="I492" s="10"/>
      <c r="J492" s="10"/>
      <c r="K492" s="12">
        <f t="shared" ref="K492" si="137">SUM(G492:J492)</f>
        <v>0</v>
      </c>
      <c r="M492" s="10"/>
      <c r="N492" s="30"/>
      <c r="O492" s="31"/>
      <c r="P492" s="47"/>
      <c r="Q492" s="31"/>
      <c r="R492" s="31"/>
      <c r="S492" s="32">
        <f t="shared" ref="S492" si="138">SUM(P492:Q492)</f>
        <v>0</v>
      </c>
      <c r="T492" s="10"/>
      <c r="U492" s="10"/>
      <c r="V492" s="10"/>
      <c r="W492" s="12">
        <f t="shared" si="127"/>
        <v>0</v>
      </c>
      <c r="Y492" s="10"/>
      <c r="Z492" s="30"/>
      <c r="AA492" s="31"/>
      <c r="AB492" s="47"/>
      <c r="AC492" s="31"/>
      <c r="AD492" s="31"/>
      <c r="AE492" s="32">
        <f t="shared" ref="AE492" si="139">SUM(AB492:AC492)</f>
        <v>0</v>
      </c>
      <c r="AF492" s="10"/>
      <c r="AG492" s="10"/>
      <c r="AH492" s="10"/>
      <c r="AI492" s="12">
        <f t="shared" si="12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2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273265</v>
      </c>
      <c r="E495" s="38">
        <f t="shared" ref="E495:F495" si="140">SUM(E452:E492)</f>
        <v>-1938</v>
      </c>
      <c r="F495" s="38">
        <f t="shared" si="140"/>
        <v>0</v>
      </c>
      <c r="G495" s="38">
        <f>SUM(G452:G494)</f>
        <v>271327</v>
      </c>
      <c r="H495" s="4"/>
      <c r="I495" s="39">
        <f>SUM(I452:I494)</f>
        <v>858</v>
      </c>
      <c r="J495" s="39">
        <f>SUM(J452:J494)</f>
        <v>-8761.5</v>
      </c>
      <c r="K495" s="40">
        <f>SUM(K452:K494)</f>
        <v>263423.5</v>
      </c>
      <c r="N495" s="57"/>
      <c r="O495" s="57"/>
      <c r="P495" s="38">
        <f>SUM(P452:P494)</f>
        <v>228490</v>
      </c>
      <c r="Q495" s="38">
        <f>SUM(Q452:Q476)</f>
        <v>-1776</v>
      </c>
      <c r="R495" s="38">
        <f>SUM(R452:R476)</f>
        <v>0</v>
      </c>
      <c r="S495" s="38">
        <f>SUM(S452:S494)</f>
        <v>226714</v>
      </c>
      <c r="T495" s="4"/>
      <c r="U495" s="41">
        <f>SUM(U452:U494)</f>
        <v>738</v>
      </c>
      <c r="V495" s="41">
        <f>SUM(V452:V476)</f>
        <v>-6090</v>
      </c>
      <c r="W495" s="42">
        <f>SUM(W452:W494)</f>
        <v>221362</v>
      </c>
      <c r="Z495" s="57"/>
      <c r="AA495" s="57"/>
      <c r="AB495" s="38">
        <f>SUM(AB452:AB494)</f>
        <v>298633</v>
      </c>
      <c r="AC495" s="38">
        <f>SUM(AC452:AC476)</f>
        <v>-2388</v>
      </c>
      <c r="AD495" s="38">
        <f>SUM(AD452:AD476)</f>
        <v>0</v>
      </c>
      <c r="AE495" s="38">
        <f>SUM(AE452:AE494)</f>
        <v>296245</v>
      </c>
      <c r="AF495" s="4"/>
      <c r="AG495" s="41">
        <f>SUM(AG452:AG494)</f>
        <v>4308</v>
      </c>
      <c r="AH495" s="41">
        <f>SUM(AH452:AH476)</f>
        <v>-13593</v>
      </c>
      <c r="AI495" s="42">
        <f>SUM(AI452:AI494)</f>
        <v>286960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35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3" t="s">
        <v>17</v>
      </c>
      <c r="E505" s="113"/>
      <c r="F505" s="99"/>
      <c r="G505" s="27"/>
      <c r="I505" s="111" t="s">
        <v>18</v>
      </c>
      <c r="J505" s="112"/>
      <c r="K505" s="109" t="s">
        <v>19</v>
      </c>
      <c r="N505" s="25"/>
      <c r="O505" s="26"/>
      <c r="P505" s="113" t="s">
        <v>17</v>
      </c>
      <c r="Q505" s="113"/>
      <c r="R505" s="99"/>
      <c r="S505" s="27"/>
      <c r="U505" s="111" t="s">
        <v>18</v>
      </c>
      <c r="V505" s="112"/>
      <c r="W505" s="109" t="s">
        <v>19</v>
      </c>
      <c r="Z505" s="25"/>
      <c r="AA505" s="26"/>
      <c r="AB505" s="113" t="s">
        <v>17</v>
      </c>
      <c r="AC505" s="113"/>
      <c r="AD505" s="99"/>
      <c r="AE505" s="27"/>
      <c r="AG505" s="111" t="s">
        <v>18</v>
      </c>
      <c r="AH505" s="112"/>
      <c r="AI505" s="109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0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0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10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46359</v>
      </c>
      <c r="C507" s="83">
        <v>9559</v>
      </c>
      <c r="D507" s="32">
        <f>650*8</f>
        <v>5200</v>
      </c>
      <c r="E507" s="32"/>
      <c r="F507" s="32"/>
      <c r="G507" s="32">
        <f t="shared" ref="G507:G540" si="141">SUM(D507:E507)</f>
        <v>5200</v>
      </c>
      <c r="H507" s="12"/>
      <c r="I507" s="12"/>
      <c r="J507" s="12"/>
      <c r="K507" s="12">
        <f t="shared" ref="K507:K540" si="142">SUM(G507:J507)</f>
        <v>5200</v>
      </c>
      <c r="M507" s="10">
        <v>1</v>
      </c>
      <c r="N507" s="30">
        <v>46359</v>
      </c>
      <c r="O507" s="31">
        <v>9624</v>
      </c>
      <c r="P507" s="32">
        <f>650*57+622*10+229*2</f>
        <v>43728</v>
      </c>
      <c r="Q507" s="32"/>
      <c r="R507" s="32"/>
      <c r="S507" s="32">
        <f>SUM(P507:Q507)</f>
        <v>43728</v>
      </c>
      <c r="T507" s="12"/>
      <c r="U507" s="12">
        <f>1110+156+31.5</f>
        <v>1297.5</v>
      </c>
      <c r="V507" s="12"/>
      <c r="W507" s="12">
        <f>SUM(S507:V507)</f>
        <v>45025.5</v>
      </c>
      <c r="Y507" s="10">
        <v>1</v>
      </c>
      <c r="Z507" s="30">
        <v>46359</v>
      </c>
      <c r="AA507" s="31">
        <v>9538</v>
      </c>
      <c r="AB507" s="32">
        <f>650*30+229</f>
        <v>19729</v>
      </c>
      <c r="AC507" s="32"/>
      <c r="AD507" s="32"/>
      <c r="AE507" s="32">
        <f>SUM(AB507:AC507)</f>
        <v>19729</v>
      </c>
      <c r="AF507" s="12"/>
      <c r="AG507" s="12">
        <v>54</v>
      </c>
      <c r="AH507" s="12"/>
      <c r="AI507" s="12">
        <f>SUM(AE507:AH507)</f>
        <v>19783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46359</v>
      </c>
      <c r="C508" s="83">
        <f>C507+1</f>
        <v>9560</v>
      </c>
      <c r="D508" s="32">
        <f>650*378+229*15</f>
        <v>249135</v>
      </c>
      <c r="E508" s="32">
        <f>-378*6</f>
        <v>-2268</v>
      </c>
      <c r="F508" s="32"/>
      <c r="G508" s="32">
        <f t="shared" si="141"/>
        <v>246867</v>
      </c>
      <c r="H508" s="12"/>
      <c r="I508" s="12"/>
      <c r="J508" s="12">
        <f>-270*111+-42*4</f>
        <v>-30138</v>
      </c>
      <c r="K508" s="12">
        <f t="shared" si="142"/>
        <v>216729</v>
      </c>
      <c r="M508" s="10">
        <v>2</v>
      </c>
      <c r="N508" s="30">
        <v>46359</v>
      </c>
      <c r="O508" s="31">
        <f>O507+1</f>
        <v>9625</v>
      </c>
      <c r="P508" s="32">
        <f>650*2+622*4+9.5*6</f>
        <v>3845</v>
      </c>
      <c r="Q508" s="32"/>
      <c r="R508" s="32"/>
      <c r="S508" s="32">
        <f t="shared" ref="S508:S539" si="143">SUM(P508:Q508)</f>
        <v>3845</v>
      </c>
      <c r="T508" s="12"/>
      <c r="U508" s="12"/>
      <c r="V508" s="12"/>
      <c r="W508" s="12">
        <f t="shared" ref="W508:W548" si="144">SUM(S508:V508)</f>
        <v>3845</v>
      </c>
      <c r="Y508" s="10">
        <v>2</v>
      </c>
      <c r="Z508" s="30">
        <v>46359</v>
      </c>
      <c r="AA508" s="31">
        <f>AA507+1</f>
        <v>9539</v>
      </c>
      <c r="AB508" s="32">
        <f>650*125+670*5+622*25+912*2+229*6+650*2</f>
        <v>104648</v>
      </c>
      <c r="AC508" s="32">
        <f>-157*6</f>
        <v>-942</v>
      </c>
      <c r="AD508" s="32"/>
      <c r="AE508" s="32">
        <f t="shared" ref="AE508:AE516" si="145">SUM(AB508:AC508)</f>
        <v>103706</v>
      </c>
      <c r="AF508" s="12"/>
      <c r="AG508" s="12"/>
      <c r="AH508" s="12"/>
      <c r="AI508" s="12">
        <f t="shared" ref="AI508:AI548" si="146">SUM(AE508:AH508)</f>
        <v>103706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46359</v>
      </c>
      <c r="C509" s="83">
        <f t="shared" ref="C509:C515" si="147">C508+1</f>
        <v>9561</v>
      </c>
      <c r="D509" s="33">
        <f>650*37</f>
        <v>24050</v>
      </c>
      <c r="E509" s="33"/>
      <c r="F509" s="33"/>
      <c r="G509" s="33">
        <f t="shared" si="141"/>
        <v>24050</v>
      </c>
      <c r="H509" s="34"/>
      <c r="I509" s="34"/>
      <c r="J509" s="34"/>
      <c r="K509" s="34">
        <f t="shared" si="142"/>
        <v>24050</v>
      </c>
      <c r="M509" s="10">
        <v>3</v>
      </c>
      <c r="N509" s="30">
        <v>46359</v>
      </c>
      <c r="O509" s="31">
        <f t="shared" ref="O509:O518" si="148">O508+1</f>
        <v>9626</v>
      </c>
      <c r="P509" s="32">
        <f>650*4+622*10+9.5*14</f>
        <v>8953</v>
      </c>
      <c r="Q509" s="32"/>
      <c r="R509" s="32"/>
      <c r="S509" s="32">
        <f t="shared" si="143"/>
        <v>8953</v>
      </c>
      <c r="T509" s="12"/>
      <c r="U509" s="12"/>
      <c r="V509" s="12"/>
      <c r="W509" s="12">
        <f t="shared" si="144"/>
        <v>8953</v>
      </c>
      <c r="Y509" s="10">
        <v>3</v>
      </c>
      <c r="Z509" s="30">
        <v>46359</v>
      </c>
      <c r="AA509" s="31">
        <f t="shared" ref="AA509:AA513" si="149">AA508+1</f>
        <v>9540</v>
      </c>
      <c r="AB509" s="33">
        <f>650*8+9.5*8</f>
        <v>5276</v>
      </c>
      <c r="AC509" s="33"/>
      <c r="AD509" s="32"/>
      <c r="AE509" s="32">
        <f t="shared" si="145"/>
        <v>5276</v>
      </c>
      <c r="AF509" s="12"/>
      <c r="AG509" s="12"/>
      <c r="AH509" s="12"/>
      <c r="AI509" s="12">
        <f t="shared" si="146"/>
        <v>5276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46359</v>
      </c>
      <c r="C510" s="83">
        <f t="shared" si="147"/>
        <v>9562</v>
      </c>
      <c r="D510" s="32">
        <f>650+622</f>
        <v>1272</v>
      </c>
      <c r="E510" s="32"/>
      <c r="F510" s="32"/>
      <c r="G510" s="32">
        <f t="shared" si="141"/>
        <v>1272</v>
      </c>
      <c r="H510" s="12"/>
      <c r="I510" s="12"/>
      <c r="J510" s="12"/>
      <c r="K510" s="12">
        <f t="shared" si="142"/>
        <v>1272</v>
      </c>
      <c r="M510" s="10">
        <v>4</v>
      </c>
      <c r="N510" s="30">
        <v>46359</v>
      </c>
      <c r="O510" s="31">
        <f t="shared" si="148"/>
        <v>9627</v>
      </c>
      <c r="P510" s="32">
        <f>650*2+622*5</f>
        <v>4410</v>
      </c>
      <c r="Q510" s="32"/>
      <c r="R510" s="32"/>
      <c r="S510" s="32">
        <f t="shared" si="143"/>
        <v>4410</v>
      </c>
      <c r="T510" s="12"/>
      <c r="U510" s="12"/>
      <c r="V510" s="12"/>
      <c r="W510" s="12">
        <f t="shared" si="144"/>
        <v>4410</v>
      </c>
      <c r="Y510" s="10">
        <v>4</v>
      </c>
      <c r="Z510" s="30">
        <v>46359</v>
      </c>
      <c r="AA510" s="31">
        <f t="shared" si="149"/>
        <v>9541</v>
      </c>
      <c r="AB510" s="32">
        <f>650*100+670*8+229*4</f>
        <v>71276</v>
      </c>
      <c r="AC510" s="32">
        <f>-108*6</f>
        <v>-648</v>
      </c>
      <c r="AD510" s="32"/>
      <c r="AE510" s="32">
        <f t="shared" si="145"/>
        <v>70628</v>
      </c>
      <c r="AF510" s="12"/>
      <c r="AG510" s="58"/>
      <c r="AH510" s="12">
        <v>-5550</v>
      </c>
      <c r="AI510" s="12">
        <f t="shared" si="146"/>
        <v>65078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>
        <v>46359</v>
      </c>
      <c r="C511" s="83">
        <f t="shared" si="147"/>
        <v>9563</v>
      </c>
      <c r="D511" s="32">
        <f>650+622</f>
        <v>1272</v>
      </c>
      <c r="E511" s="32"/>
      <c r="F511" s="32"/>
      <c r="G511" s="32">
        <f t="shared" si="141"/>
        <v>1272</v>
      </c>
      <c r="H511" s="12"/>
      <c r="I511" s="12"/>
      <c r="J511" s="12"/>
      <c r="K511" s="12">
        <f t="shared" si="142"/>
        <v>1272</v>
      </c>
      <c r="M511" s="10">
        <v>5</v>
      </c>
      <c r="N511" s="30">
        <v>46359</v>
      </c>
      <c r="O511" s="31">
        <f t="shared" si="148"/>
        <v>9628</v>
      </c>
      <c r="P511" s="32">
        <f>622*2+9.5*2</f>
        <v>1263</v>
      </c>
      <c r="Q511" s="32"/>
      <c r="R511" s="32"/>
      <c r="S511" s="32">
        <f t="shared" si="143"/>
        <v>1263</v>
      </c>
      <c r="T511" s="12"/>
      <c r="U511" s="12"/>
      <c r="V511" s="12"/>
      <c r="W511" s="12">
        <f t="shared" si="144"/>
        <v>1263</v>
      </c>
      <c r="Y511" s="10">
        <v>5</v>
      </c>
      <c r="Z511" s="30">
        <v>46359</v>
      </c>
      <c r="AA511" s="31">
        <f t="shared" si="149"/>
        <v>9542</v>
      </c>
      <c r="AB511" s="32">
        <f>650*41+670*2+622*5+872*2+229</f>
        <v>33073</v>
      </c>
      <c r="AC511" s="32">
        <v>-300</v>
      </c>
      <c r="AD511" s="32"/>
      <c r="AE511" s="32">
        <f t="shared" si="145"/>
        <v>32773</v>
      </c>
      <c r="AF511" s="12"/>
      <c r="AG511" s="12">
        <v>2.25</v>
      </c>
      <c r="AH511" s="12"/>
      <c r="AI511" s="12">
        <f t="shared" si="146"/>
        <v>32775.25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>
        <v>46359</v>
      </c>
      <c r="C512" s="83">
        <f t="shared" si="147"/>
        <v>9564</v>
      </c>
      <c r="D512" s="32">
        <f>650+622</f>
        <v>1272</v>
      </c>
      <c r="E512" s="32"/>
      <c r="F512" s="32"/>
      <c r="G512" s="32">
        <f t="shared" si="141"/>
        <v>1272</v>
      </c>
      <c r="H512" s="12"/>
      <c r="I512" s="12"/>
      <c r="J512" s="12"/>
      <c r="K512" s="12">
        <f t="shared" si="142"/>
        <v>1272</v>
      </c>
      <c r="M512" s="10">
        <v>6</v>
      </c>
      <c r="N512" s="30">
        <v>46359</v>
      </c>
      <c r="O512" s="31">
        <f t="shared" si="148"/>
        <v>9629</v>
      </c>
      <c r="P512" s="32">
        <f>650*15+622*5+9.5*20</f>
        <v>13050</v>
      </c>
      <c r="Q512" s="32"/>
      <c r="R512" s="32"/>
      <c r="S512" s="32">
        <f t="shared" si="143"/>
        <v>13050</v>
      </c>
      <c r="T512" s="12"/>
      <c r="U512" s="12">
        <v>30</v>
      </c>
      <c r="V512" s="10"/>
      <c r="W512" s="12">
        <f t="shared" si="144"/>
        <v>13080</v>
      </c>
      <c r="Y512" s="10">
        <v>6</v>
      </c>
      <c r="Z512" s="30">
        <v>46359</v>
      </c>
      <c r="AA512" s="31">
        <f t="shared" si="149"/>
        <v>9543</v>
      </c>
      <c r="AB512" s="32">
        <f>650*50+872+229*2</f>
        <v>33830</v>
      </c>
      <c r="AC512" s="32"/>
      <c r="AD512" s="32"/>
      <c r="AE512" s="32">
        <f t="shared" si="145"/>
        <v>33830</v>
      </c>
      <c r="AF512" s="12"/>
      <c r="AG512" s="12"/>
      <c r="AH512" s="10"/>
      <c r="AI512" s="12">
        <f t="shared" si="146"/>
        <v>33830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>
        <v>46359</v>
      </c>
      <c r="C513" s="83">
        <f t="shared" si="147"/>
        <v>9565</v>
      </c>
      <c r="D513" s="32">
        <f>650*2+622</f>
        <v>1922</v>
      </c>
      <c r="E513" s="32"/>
      <c r="F513" s="32"/>
      <c r="G513" s="32">
        <f t="shared" si="141"/>
        <v>1922</v>
      </c>
      <c r="H513" s="12"/>
      <c r="I513" s="12"/>
      <c r="J513" s="12"/>
      <c r="K513" s="12">
        <f t="shared" si="142"/>
        <v>1922</v>
      </c>
      <c r="M513" s="10">
        <v>7</v>
      </c>
      <c r="N513" s="30">
        <v>46359</v>
      </c>
      <c r="O513" s="31">
        <f t="shared" si="148"/>
        <v>9630</v>
      </c>
      <c r="P513" s="32">
        <f>650*4+622*2+9.5*6</f>
        <v>3901</v>
      </c>
      <c r="Q513" s="32"/>
      <c r="R513" s="32"/>
      <c r="S513" s="32">
        <f t="shared" si="143"/>
        <v>3901</v>
      </c>
      <c r="T513" s="12"/>
      <c r="U513" s="12">
        <f>666+27</f>
        <v>693</v>
      </c>
      <c r="V513" s="12"/>
      <c r="W513" s="12">
        <f t="shared" si="144"/>
        <v>4594</v>
      </c>
      <c r="Y513" s="10">
        <v>7</v>
      </c>
      <c r="Z513" s="30">
        <v>46359</v>
      </c>
      <c r="AA513" s="31">
        <f t="shared" si="149"/>
        <v>9544</v>
      </c>
      <c r="AB513" s="32">
        <f>650*8</f>
        <v>5200</v>
      </c>
      <c r="AC513" s="32"/>
      <c r="AD513" s="32"/>
      <c r="AE513" s="32">
        <f t="shared" si="145"/>
        <v>5200</v>
      </c>
      <c r="AF513" s="12"/>
      <c r="AG513" s="58"/>
      <c r="AH513" s="12"/>
      <c r="AI513" s="12">
        <f t="shared" si="146"/>
        <v>5200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>
        <v>46359</v>
      </c>
      <c r="C514" s="83">
        <f t="shared" si="147"/>
        <v>9566</v>
      </c>
      <c r="D514" s="32">
        <f>650</f>
        <v>650</v>
      </c>
      <c r="E514" s="32"/>
      <c r="F514" s="32"/>
      <c r="G514" s="32">
        <f t="shared" si="141"/>
        <v>650</v>
      </c>
      <c r="H514" s="12"/>
      <c r="I514" s="12"/>
      <c r="J514" s="12"/>
      <c r="K514" s="12">
        <f t="shared" si="142"/>
        <v>650</v>
      </c>
      <c r="M514" s="10">
        <v>8</v>
      </c>
      <c r="N514" s="30">
        <v>46359</v>
      </c>
      <c r="O514" s="31">
        <f t="shared" si="148"/>
        <v>9631</v>
      </c>
      <c r="P514" s="32">
        <f>650*5+9.5*5</f>
        <v>3297.5</v>
      </c>
      <c r="Q514" s="32"/>
      <c r="R514" s="32"/>
      <c r="S514" s="32">
        <f t="shared" si="143"/>
        <v>3297.5</v>
      </c>
      <c r="T514" s="12"/>
      <c r="U514" s="12"/>
      <c r="V514" s="12">
        <f>-111+-168</f>
        <v>-279</v>
      </c>
      <c r="W514" s="12">
        <f t="shared" si="144"/>
        <v>3018.5</v>
      </c>
      <c r="Y514" s="10">
        <v>8</v>
      </c>
      <c r="Z514" s="30"/>
      <c r="AA514" s="11" t="s">
        <v>27</v>
      </c>
      <c r="AB514" s="32"/>
      <c r="AC514" s="32"/>
      <c r="AE514" s="32">
        <f t="shared" si="145"/>
        <v>0</v>
      </c>
      <c r="AF514" s="12"/>
      <c r="AG514" s="12"/>
      <c r="AH514" s="12"/>
      <c r="AI514" s="12">
        <f t="shared" si="146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>
        <v>46359</v>
      </c>
      <c r="C515" s="83">
        <f t="shared" si="147"/>
        <v>9567</v>
      </c>
      <c r="D515" s="32">
        <f>650*2</f>
        <v>1300</v>
      </c>
      <c r="E515" s="32"/>
      <c r="F515" s="32"/>
      <c r="G515" s="32">
        <f t="shared" si="141"/>
        <v>1300</v>
      </c>
      <c r="H515" s="12"/>
      <c r="I515" s="12"/>
      <c r="J515" s="12"/>
      <c r="K515" s="12">
        <f t="shared" si="142"/>
        <v>1300</v>
      </c>
      <c r="M515" s="10">
        <v>9</v>
      </c>
      <c r="N515" s="30">
        <v>46359</v>
      </c>
      <c r="O515" s="31">
        <f t="shared" si="148"/>
        <v>9632</v>
      </c>
      <c r="P515" s="32">
        <f>650*2+622+9.5*3</f>
        <v>1950.5</v>
      </c>
      <c r="Q515" s="32"/>
      <c r="R515" s="32"/>
      <c r="S515" s="32">
        <f t="shared" si="143"/>
        <v>1950.5</v>
      </c>
      <c r="T515" s="12"/>
      <c r="U515" s="12"/>
      <c r="V515" s="12"/>
      <c r="W515" s="12">
        <f t="shared" si="144"/>
        <v>1950.5</v>
      </c>
      <c r="Y515" s="10">
        <v>9</v>
      </c>
      <c r="Z515" s="30"/>
      <c r="AA515" s="31"/>
      <c r="AB515" s="32"/>
      <c r="AC515" s="32"/>
      <c r="AD515" s="32"/>
      <c r="AE515" s="32">
        <f t="shared" si="145"/>
        <v>0</v>
      </c>
      <c r="AF515" s="12"/>
      <c r="AH515" s="12"/>
      <c r="AI515" s="12">
        <f t="shared" si="146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11" t="s">
        <v>27</v>
      </c>
      <c r="D516" s="32"/>
      <c r="E516" s="32"/>
      <c r="F516" s="32"/>
      <c r="G516" s="32">
        <f t="shared" si="141"/>
        <v>0</v>
      </c>
      <c r="H516" s="12"/>
      <c r="I516" s="12"/>
      <c r="J516" s="12"/>
      <c r="K516" s="12">
        <f t="shared" si="142"/>
        <v>0</v>
      </c>
      <c r="M516" s="10">
        <v>10</v>
      </c>
      <c r="N516" s="30">
        <v>46359</v>
      </c>
      <c r="O516" s="31">
        <f t="shared" si="148"/>
        <v>9633</v>
      </c>
      <c r="P516" s="32">
        <f>650*2+622+9.5*3</f>
        <v>1950.5</v>
      </c>
      <c r="Q516" s="32"/>
      <c r="R516" s="32"/>
      <c r="S516" s="32">
        <f t="shared" si="143"/>
        <v>1950.5</v>
      </c>
      <c r="T516" s="12"/>
      <c r="U516" s="12"/>
      <c r="V516" s="12"/>
      <c r="W516" s="12">
        <f t="shared" si="144"/>
        <v>1950.5</v>
      </c>
      <c r="Y516" s="10">
        <v>10</v>
      </c>
      <c r="Z516" s="30"/>
      <c r="AA516" s="31"/>
      <c r="AB516" s="32"/>
      <c r="AC516" s="32"/>
      <c r="AD516" s="32"/>
      <c r="AE516" s="32">
        <f t="shared" si="145"/>
        <v>0</v>
      </c>
      <c r="AF516" s="12"/>
      <c r="AG516" s="12"/>
      <c r="AH516" s="12"/>
      <c r="AI516" s="12">
        <f t="shared" si="146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41"/>
        <v>0</v>
      </c>
      <c r="H517" s="12"/>
      <c r="I517" s="12"/>
      <c r="J517" s="12"/>
      <c r="K517" s="12">
        <f t="shared" si="142"/>
        <v>0</v>
      </c>
      <c r="M517" s="10">
        <v>11</v>
      </c>
      <c r="N517" s="30">
        <v>46359</v>
      </c>
      <c r="O517" s="31">
        <f t="shared" si="148"/>
        <v>9634</v>
      </c>
      <c r="P517" s="32">
        <f>650*300+622*50+912*10+229*12+1175</f>
        <v>239143</v>
      </c>
      <c r="Q517" s="32">
        <f>-360*6</f>
        <v>-2160</v>
      </c>
      <c r="R517" s="32"/>
      <c r="S517" s="32">
        <f t="shared" si="143"/>
        <v>236983</v>
      </c>
      <c r="T517" s="12"/>
      <c r="U517" s="12">
        <f>120*5+111*160+78*5</f>
        <v>18750</v>
      </c>
      <c r="V517" s="12">
        <f>-588+-1680+-252</f>
        <v>-2520</v>
      </c>
      <c r="W517" s="12">
        <f t="shared" si="144"/>
        <v>253213</v>
      </c>
      <c r="Y517" s="10">
        <v>11</v>
      </c>
      <c r="Z517" s="30"/>
      <c r="AA517" s="31"/>
      <c r="AB517" s="32"/>
      <c r="AC517" s="32"/>
      <c r="AD517" s="32"/>
      <c r="AE517" s="32">
        <f t="shared" ref="AE517:AE539" si="150">SUM(AB517:AC517)</f>
        <v>0</v>
      </c>
      <c r="AF517" s="12"/>
      <c r="AG517" s="12"/>
      <c r="AH517" s="12"/>
      <c r="AI517" s="12">
        <f t="shared" si="146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41"/>
        <v>0</v>
      </c>
      <c r="H518" s="12"/>
      <c r="I518" s="12"/>
      <c r="J518" s="10"/>
      <c r="K518" s="12">
        <f t="shared" si="142"/>
        <v>0</v>
      </c>
      <c r="M518" s="10">
        <v>12</v>
      </c>
      <c r="N518" s="30">
        <v>46359</v>
      </c>
      <c r="O518" s="31">
        <f t="shared" si="148"/>
        <v>9635</v>
      </c>
      <c r="P518" s="32">
        <f>650*3+9.5</f>
        <v>1959.5</v>
      </c>
      <c r="Q518" s="32"/>
      <c r="R518" s="32"/>
      <c r="S518" s="32">
        <f t="shared" si="143"/>
        <v>1959.5</v>
      </c>
      <c r="T518" s="12"/>
      <c r="U518" s="12"/>
      <c r="V518" s="12"/>
      <c r="W518" s="12">
        <f t="shared" si="144"/>
        <v>1959.5</v>
      </c>
      <c r="Y518" s="10">
        <v>12</v>
      </c>
      <c r="Z518" s="30"/>
      <c r="AA518" s="31"/>
      <c r="AB518" s="32"/>
      <c r="AC518" s="32"/>
      <c r="AD518" s="32"/>
      <c r="AE518" s="32">
        <f t="shared" si="150"/>
        <v>0</v>
      </c>
      <c r="AF518" s="12"/>
      <c r="AG518" s="12"/>
      <c r="AH518" s="12"/>
      <c r="AI518" s="12">
        <f t="shared" si="146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41"/>
        <v>0</v>
      </c>
      <c r="H519" s="12"/>
      <c r="I519" s="12"/>
      <c r="J519" s="12"/>
      <c r="K519" s="12">
        <f t="shared" si="142"/>
        <v>0</v>
      </c>
      <c r="M519" s="10">
        <v>13</v>
      </c>
      <c r="N519" s="30"/>
      <c r="O519" s="11" t="s">
        <v>27</v>
      </c>
      <c r="P519" s="32"/>
      <c r="Q519" s="32"/>
      <c r="R519" s="32"/>
      <c r="S519" s="32">
        <f t="shared" si="143"/>
        <v>0</v>
      </c>
      <c r="T519" s="12"/>
      <c r="U519" s="12"/>
      <c r="V519" s="12"/>
      <c r="W519" s="12">
        <f t="shared" si="144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0"/>
        <v>0</v>
      </c>
      <c r="AF519" s="12"/>
      <c r="AG519" s="12"/>
      <c r="AH519" s="12"/>
      <c r="AI519" s="12">
        <f t="shared" si="146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41"/>
        <v>0</v>
      </c>
      <c r="H520" s="12"/>
      <c r="I520" s="12"/>
      <c r="J520" s="12"/>
      <c r="K520" s="12">
        <f t="shared" si="142"/>
        <v>0</v>
      </c>
      <c r="M520" s="10">
        <v>14</v>
      </c>
      <c r="N520" s="30"/>
      <c r="O520" s="31"/>
      <c r="P520" s="32"/>
      <c r="Q520" s="32"/>
      <c r="R520" s="32"/>
      <c r="S520" s="32">
        <f t="shared" si="143"/>
        <v>0</v>
      </c>
      <c r="T520" s="12"/>
      <c r="U520" s="12"/>
      <c r="V520" s="12"/>
      <c r="W520" s="12">
        <f t="shared" si="144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0"/>
        <v>0</v>
      </c>
      <c r="AF520" s="12"/>
      <c r="AG520" s="12"/>
      <c r="AH520" s="12"/>
      <c r="AI520" s="12">
        <f t="shared" si="146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41"/>
        <v>0</v>
      </c>
      <c r="H521" s="12"/>
      <c r="I521" s="12"/>
      <c r="J521" s="12"/>
      <c r="K521" s="12">
        <f t="shared" si="142"/>
        <v>0</v>
      </c>
      <c r="M521" s="10">
        <v>15</v>
      </c>
      <c r="N521" s="30"/>
      <c r="O521" s="31"/>
      <c r="P521" s="32"/>
      <c r="Q521" s="32"/>
      <c r="R521" s="32"/>
      <c r="S521" s="32">
        <f t="shared" si="143"/>
        <v>0</v>
      </c>
      <c r="T521" s="12"/>
      <c r="U521" s="12"/>
      <c r="V521" s="12"/>
      <c r="W521" s="12">
        <f t="shared" si="144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0"/>
        <v>0</v>
      </c>
      <c r="AF521" s="12"/>
      <c r="AG521" s="12"/>
      <c r="AH521" s="12"/>
      <c r="AI521" s="12">
        <f t="shared" si="146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83"/>
      <c r="D522" s="32"/>
      <c r="E522" s="32"/>
      <c r="F522" s="32"/>
      <c r="G522" s="32">
        <f t="shared" si="141"/>
        <v>0</v>
      </c>
      <c r="H522" s="12"/>
      <c r="I522" s="12"/>
      <c r="J522" s="12"/>
      <c r="K522" s="12">
        <f t="shared" si="142"/>
        <v>0</v>
      </c>
      <c r="M522" s="10">
        <v>16</v>
      </c>
      <c r="N522" s="30"/>
      <c r="O522" s="31"/>
      <c r="P522" s="32"/>
      <c r="Q522" s="32"/>
      <c r="R522" s="32"/>
      <c r="S522" s="32">
        <f t="shared" si="143"/>
        <v>0</v>
      </c>
      <c r="T522" s="12"/>
      <c r="U522" s="12"/>
      <c r="V522" s="12"/>
      <c r="W522" s="12">
        <f t="shared" si="144"/>
        <v>0</v>
      </c>
      <c r="Y522" s="10">
        <v>16</v>
      </c>
      <c r="Z522" s="30"/>
      <c r="AB522" s="32"/>
      <c r="AC522" s="32"/>
      <c r="AD522" s="32"/>
      <c r="AE522" s="32">
        <f t="shared" si="150"/>
        <v>0</v>
      </c>
      <c r="AF522" s="12"/>
      <c r="AG522" s="12"/>
      <c r="AH522" s="12"/>
      <c r="AI522" s="12">
        <f t="shared" si="146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41"/>
        <v>0</v>
      </c>
      <c r="H523" s="12"/>
      <c r="I523" s="12"/>
      <c r="J523" s="12"/>
      <c r="K523" s="12">
        <f t="shared" si="142"/>
        <v>0</v>
      </c>
      <c r="M523" s="10">
        <v>17</v>
      </c>
      <c r="N523" s="30"/>
      <c r="O523" s="31"/>
      <c r="P523" s="35"/>
      <c r="Q523" s="32"/>
      <c r="R523" s="32"/>
      <c r="S523" s="32">
        <f t="shared" si="143"/>
        <v>0</v>
      </c>
      <c r="T523" s="12"/>
      <c r="U523" s="12"/>
      <c r="V523" s="12"/>
      <c r="W523" s="12">
        <f t="shared" si="144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0"/>
        <v>0</v>
      </c>
      <c r="AF523" s="12"/>
      <c r="AG523" s="12"/>
      <c r="AH523" s="12"/>
      <c r="AI523" s="12">
        <f t="shared" si="146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41"/>
        <v>0</v>
      </c>
      <c r="H524" s="12"/>
      <c r="I524" s="12"/>
      <c r="J524" s="12"/>
      <c r="K524" s="12">
        <f t="shared" si="142"/>
        <v>0</v>
      </c>
      <c r="M524" s="10">
        <v>18</v>
      </c>
      <c r="N524" s="30"/>
      <c r="O524" s="31"/>
      <c r="P524" s="32"/>
      <c r="Q524" s="32"/>
      <c r="R524" s="32"/>
      <c r="S524" s="32">
        <f t="shared" si="143"/>
        <v>0</v>
      </c>
      <c r="T524" s="12"/>
      <c r="U524" s="12"/>
      <c r="V524" s="12"/>
      <c r="W524" s="12">
        <f t="shared" si="144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0"/>
        <v>0</v>
      </c>
      <c r="AF524" s="12"/>
      <c r="AG524" s="12"/>
      <c r="AH524" s="12"/>
      <c r="AI524" s="12">
        <f t="shared" si="146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41"/>
        <v>0</v>
      </c>
      <c r="H525" s="12"/>
      <c r="I525" s="12"/>
      <c r="J525" s="12"/>
      <c r="K525" s="12">
        <f t="shared" si="142"/>
        <v>0</v>
      </c>
      <c r="M525" s="10">
        <v>19</v>
      </c>
      <c r="N525" s="30"/>
      <c r="O525" s="31"/>
      <c r="P525" s="32"/>
      <c r="Q525" s="32"/>
      <c r="R525" s="32"/>
      <c r="S525" s="32">
        <f t="shared" si="143"/>
        <v>0</v>
      </c>
      <c r="T525" s="12"/>
      <c r="U525" s="12"/>
      <c r="V525" s="12"/>
      <c r="W525" s="12">
        <f t="shared" si="144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0"/>
        <v>0</v>
      </c>
      <c r="AF525" s="12"/>
      <c r="AG525" s="12"/>
      <c r="AH525" s="12"/>
      <c r="AI525" s="12">
        <f t="shared" si="146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41"/>
        <v>0</v>
      </c>
      <c r="H526" s="12"/>
      <c r="I526" s="12"/>
      <c r="J526" s="12"/>
      <c r="K526" s="12">
        <f t="shared" si="142"/>
        <v>0</v>
      </c>
      <c r="M526" s="10">
        <v>20</v>
      </c>
      <c r="N526" s="30"/>
      <c r="O526" s="31"/>
      <c r="P526" s="32"/>
      <c r="Q526" s="32"/>
      <c r="R526" s="32"/>
      <c r="S526" s="32">
        <f t="shared" si="143"/>
        <v>0</v>
      </c>
      <c r="T526" s="12"/>
      <c r="U526" s="12"/>
      <c r="V526" s="12"/>
      <c r="W526" s="12">
        <f t="shared" si="144"/>
        <v>0</v>
      </c>
      <c r="Y526" s="10">
        <v>20</v>
      </c>
      <c r="Z526" s="30"/>
      <c r="AA526" s="31"/>
      <c r="AB526" s="32"/>
      <c r="AC526" s="32"/>
      <c r="AD526" s="32"/>
      <c r="AE526" s="32">
        <f t="shared" si="150"/>
        <v>0</v>
      </c>
      <c r="AF526" s="12"/>
      <c r="AG526" s="12"/>
      <c r="AH526" s="12"/>
      <c r="AI526" s="12">
        <f t="shared" si="146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11"/>
      <c r="D527" s="32"/>
      <c r="E527" s="32"/>
      <c r="F527" s="32"/>
      <c r="G527" s="32">
        <f t="shared" si="141"/>
        <v>0</v>
      </c>
      <c r="H527" s="10"/>
      <c r="I527" s="10"/>
      <c r="J527" s="10"/>
      <c r="K527" s="12">
        <f t="shared" si="142"/>
        <v>0</v>
      </c>
      <c r="M527" s="10">
        <v>21</v>
      </c>
      <c r="N527" s="30"/>
      <c r="P527" s="46"/>
      <c r="Q527" s="31"/>
      <c r="R527" s="31"/>
      <c r="S527" s="32">
        <f t="shared" si="143"/>
        <v>0</v>
      </c>
      <c r="T527" s="10"/>
      <c r="U527" s="10"/>
      <c r="V527" s="10"/>
      <c r="W527" s="12">
        <f t="shared" si="144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50"/>
        <v>0</v>
      </c>
      <c r="AF527" s="10"/>
      <c r="AG527" s="10"/>
      <c r="AH527" s="10"/>
      <c r="AI527" s="12">
        <f t="shared" si="146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D528" s="32"/>
      <c r="E528" s="32"/>
      <c r="F528" s="32"/>
      <c r="G528" s="32">
        <f t="shared" si="141"/>
        <v>0</v>
      </c>
      <c r="H528" s="10"/>
      <c r="I528" s="10"/>
      <c r="J528" s="10"/>
      <c r="K528" s="12">
        <f t="shared" si="142"/>
        <v>0</v>
      </c>
      <c r="M528" s="10">
        <v>22</v>
      </c>
      <c r="N528" s="30"/>
      <c r="O528" s="31"/>
      <c r="P528" s="45"/>
      <c r="Q528" s="31"/>
      <c r="R528" s="31"/>
      <c r="S528" s="32">
        <f t="shared" si="143"/>
        <v>0</v>
      </c>
      <c r="T528" s="10"/>
      <c r="U528" s="10"/>
      <c r="V528" s="10"/>
      <c r="W528" s="12">
        <f t="shared" si="144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50"/>
        <v>0</v>
      </c>
      <c r="AF528" s="10"/>
      <c r="AG528" s="10"/>
      <c r="AH528" s="10"/>
      <c r="AI528" s="12">
        <f t="shared" si="146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41"/>
        <v>0</v>
      </c>
      <c r="H529" s="10"/>
      <c r="I529" s="10"/>
      <c r="J529" s="12"/>
      <c r="K529" s="12">
        <f t="shared" si="142"/>
        <v>0</v>
      </c>
      <c r="M529" s="10">
        <v>23</v>
      </c>
      <c r="N529" s="30"/>
      <c r="O529" s="31"/>
      <c r="P529" s="47"/>
      <c r="Q529" s="31"/>
      <c r="S529" s="32">
        <f t="shared" si="143"/>
        <v>0</v>
      </c>
      <c r="T529" s="10"/>
      <c r="U529" s="10"/>
      <c r="V529" s="10"/>
      <c r="W529" s="12">
        <f t="shared" si="144"/>
        <v>0</v>
      </c>
      <c r="Y529" s="10">
        <v>23</v>
      </c>
      <c r="Z529" s="30"/>
      <c r="AA529" s="31"/>
      <c r="AB529" s="47"/>
      <c r="AE529" s="32">
        <f t="shared" si="150"/>
        <v>0</v>
      </c>
      <c r="AF529" s="10"/>
      <c r="AG529" s="10"/>
      <c r="AH529" s="10"/>
      <c r="AI529" s="12">
        <f t="shared" si="146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41"/>
        <v>0</v>
      </c>
      <c r="H530" s="10"/>
      <c r="I530" s="10"/>
      <c r="J530" s="10"/>
      <c r="K530" s="12">
        <f t="shared" si="142"/>
        <v>0</v>
      </c>
      <c r="M530" s="10">
        <v>24</v>
      </c>
      <c r="N530" s="30"/>
      <c r="O530" s="31"/>
      <c r="P530" s="47"/>
      <c r="Q530" s="31"/>
      <c r="R530" s="31"/>
      <c r="S530" s="32">
        <f t="shared" si="143"/>
        <v>0</v>
      </c>
      <c r="T530" s="10"/>
      <c r="U530" s="10"/>
      <c r="V530" s="10"/>
      <c r="W530" s="12">
        <f t="shared" si="144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0"/>
        <v>0</v>
      </c>
      <c r="AF530" s="10"/>
      <c r="AG530" s="10"/>
      <c r="AH530" s="10"/>
      <c r="AI530" s="12">
        <f t="shared" si="146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41"/>
        <v>0</v>
      </c>
      <c r="H531" s="10"/>
      <c r="I531" s="10"/>
      <c r="J531" s="10"/>
      <c r="K531" s="12">
        <f t="shared" si="142"/>
        <v>0</v>
      </c>
      <c r="M531" s="10">
        <v>25</v>
      </c>
      <c r="N531" s="30"/>
      <c r="O531" s="31"/>
      <c r="P531" s="47"/>
      <c r="Q531" s="31"/>
      <c r="R531" s="31"/>
      <c r="S531" s="32">
        <f t="shared" si="143"/>
        <v>0</v>
      </c>
      <c r="T531" s="10"/>
      <c r="U531" s="10"/>
      <c r="V531" s="10"/>
      <c r="W531" s="12">
        <f t="shared" si="144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50"/>
        <v>0</v>
      </c>
      <c r="AF531" s="10"/>
      <c r="AG531" s="10"/>
      <c r="AH531" s="10"/>
      <c r="AI531" s="12">
        <f t="shared" si="146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41"/>
        <v>0</v>
      </c>
      <c r="H532" s="10"/>
      <c r="I532" s="10"/>
      <c r="J532" s="10"/>
      <c r="K532" s="12">
        <f t="shared" si="142"/>
        <v>0</v>
      </c>
      <c r="M532" s="10">
        <v>26</v>
      </c>
      <c r="N532" s="30"/>
      <c r="O532" s="31"/>
      <c r="P532" s="47"/>
      <c r="Q532" s="31"/>
      <c r="R532" s="31"/>
      <c r="S532" s="32">
        <f t="shared" si="143"/>
        <v>0</v>
      </c>
      <c r="T532" s="10"/>
      <c r="U532" s="10"/>
      <c r="V532" s="10"/>
      <c r="W532" s="12">
        <f t="shared" si="144"/>
        <v>0</v>
      </c>
      <c r="Y532" s="10">
        <v>26</v>
      </c>
      <c r="Z532" s="30"/>
      <c r="AB532" s="47"/>
      <c r="AC532" s="31"/>
      <c r="AD532" s="31"/>
      <c r="AE532" s="32">
        <f t="shared" si="150"/>
        <v>0</v>
      </c>
      <c r="AF532" s="10"/>
      <c r="AG532" s="10"/>
      <c r="AH532" s="10"/>
      <c r="AI532" s="12">
        <f t="shared" si="146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41"/>
        <v>0</v>
      </c>
      <c r="H533" s="10"/>
      <c r="I533" s="10"/>
      <c r="J533" s="10"/>
      <c r="K533" s="12">
        <f t="shared" si="142"/>
        <v>0</v>
      </c>
      <c r="M533" s="10">
        <v>27</v>
      </c>
      <c r="N533" s="30"/>
      <c r="O533" s="31"/>
      <c r="P533" s="47"/>
      <c r="Q533" s="31"/>
      <c r="R533" s="31"/>
      <c r="S533" s="32">
        <f t="shared" si="143"/>
        <v>0</v>
      </c>
      <c r="T533" s="10"/>
      <c r="U533" s="10"/>
      <c r="V533" s="10"/>
      <c r="W533" s="12">
        <f t="shared" si="144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0"/>
        <v>0</v>
      </c>
      <c r="AF533" s="10"/>
      <c r="AG533" s="10"/>
      <c r="AH533" s="10"/>
      <c r="AI533" s="12">
        <f t="shared" si="146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41"/>
        <v>0</v>
      </c>
      <c r="H534" s="10"/>
      <c r="I534" s="10"/>
      <c r="J534" s="10"/>
      <c r="K534" s="12">
        <f t="shared" si="142"/>
        <v>0</v>
      </c>
      <c r="M534" s="10">
        <v>28</v>
      </c>
      <c r="N534" s="30"/>
      <c r="O534" s="31"/>
      <c r="P534" s="47"/>
      <c r="Q534" s="31"/>
      <c r="R534" s="31"/>
      <c r="S534" s="32">
        <f t="shared" si="143"/>
        <v>0</v>
      </c>
      <c r="T534" s="10"/>
      <c r="U534" s="10"/>
      <c r="V534" s="10"/>
      <c r="W534" s="12">
        <f t="shared" si="144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0"/>
        <v>0</v>
      </c>
      <c r="AF534" s="10"/>
      <c r="AG534" s="10"/>
      <c r="AH534" s="10"/>
      <c r="AI534" s="12">
        <f t="shared" si="146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41"/>
        <v>0</v>
      </c>
      <c r="H535" s="10"/>
      <c r="I535" s="10"/>
      <c r="J535" s="10"/>
      <c r="K535" s="12">
        <f t="shared" si="142"/>
        <v>0</v>
      </c>
      <c r="M535" s="10">
        <v>29</v>
      </c>
      <c r="N535" s="30"/>
      <c r="O535" s="31"/>
      <c r="P535" s="47"/>
      <c r="Q535" s="31"/>
      <c r="R535" s="31"/>
      <c r="S535" s="32">
        <f t="shared" si="143"/>
        <v>0</v>
      </c>
      <c r="T535" s="10"/>
      <c r="U535" s="10"/>
      <c r="V535" s="10"/>
      <c r="W535" s="12">
        <f t="shared" si="144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0"/>
        <v>0</v>
      </c>
      <c r="AF535" s="10"/>
      <c r="AG535" s="10"/>
      <c r="AH535" s="10"/>
      <c r="AI535" s="12">
        <f t="shared" si="146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41"/>
        <v>0</v>
      </c>
      <c r="H536" s="10"/>
      <c r="I536" s="10"/>
      <c r="J536" s="10"/>
      <c r="K536" s="12">
        <f t="shared" si="142"/>
        <v>0</v>
      </c>
      <c r="M536" s="10">
        <v>30</v>
      </c>
      <c r="N536" s="30"/>
      <c r="O536" s="31"/>
      <c r="P536" s="47"/>
      <c r="Q536" s="31"/>
      <c r="R536" s="31"/>
      <c r="S536" s="32">
        <f t="shared" si="143"/>
        <v>0</v>
      </c>
      <c r="T536" s="10"/>
      <c r="U536" s="10"/>
      <c r="V536" s="10"/>
      <c r="W536" s="12">
        <f t="shared" si="144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50"/>
        <v>0</v>
      </c>
      <c r="AF536" s="10"/>
      <c r="AG536" s="10"/>
      <c r="AH536" s="10"/>
      <c r="AI536" s="12">
        <f t="shared" si="146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41"/>
        <v>0</v>
      </c>
      <c r="H537" s="10"/>
      <c r="I537" s="10"/>
      <c r="J537" s="10"/>
      <c r="K537" s="12">
        <f t="shared" si="142"/>
        <v>0</v>
      </c>
      <c r="M537" s="10">
        <v>31</v>
      </c>
      <c r="N537" s="30"/>
      <c r="O537" s="31"/>
      <c r="P537" s="47"/>
      <c r="Q537" s="31"/>
      <c r="R537" s="31"/>
      <c r="S537" s="32">
        <f t="shared" si="143"/>
        <v>0</v>
      </c>
      <c r="T537" s="10"/>
      <c r="U537" s="10"/>
      <c r="V537" s="10"/>
      <c r="W537" s="12">
        <f t="shared" si="144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50"/>
        <v>0</v>
      </c>
      <c r="AF537" s="10"/>
      <c r="AG537" s="10"/>
      <c r="AH537" s="10"/>
      <c r="AI537" s="12">
        <f t="shared" si="146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41"/>
        <v>0</v>
      </c>
      <c r="H538" s="10"/>
      <c r="I538" s="10"/>
      <c r="J538" s="10"/>
      <c r="K538" s="12">
        <f t="shared" si="142"/>
        <v>0</v>
      </c>
      <c r="M538" s="10">
        <v>32</v>
      </c>
      <c r="N538" s="30"/>
      <c r="O538" s="31"/>
      <c r="P538" s="47"/>
      <c r="Q538" s="31"/>
      <c r="R538" s="31"/>
      <c r="S538" s="32">
        <f t="shared" si="143"/>
        <v>0</v>
      </c>
      <c r="T538" s="10"/>
      <c r="U538" s="10"/>
      <c r="V538" s="10"/>
      <c r="W538" s="12">
        <f t="shared" si="144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0"/>
        <v>0</v>
      </c>
      <c r="AF538" s="10"/>
      <c r="AG538" s="10"/>
      <c r="AH538" s="10"/>
      <c r="AI538" s="12">
        <f t="shared" si="146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41"/>
        <v>0</v>
      </c>
      <c r="H539" s="10"/>
      <c r="I539" s="10"/>
      <c r="J539" s="10"/>
      <c r="K539" s="12">
        <f t="shared" si="142"/>
        <v>0</v>
      </c>
      <c r="M539" s="10">
        <v>33</v>
      </c>
      <c r="N539" s="30"/>
      <c r="O539" s="31"/>
      <c r="P539" s="47"/>
      <c r="Q539" s="31"/>
      <c r="R539" s="31"/>
      <c r="S539" s="32">
        <f t="shared" si="143"/>
        <v>0</v>
      </c>
      <c r="T539" s="10"/>
      <c r="U539" s="10"/>
      <c r="V539" s="10"/>
      <c r="W539" s="12">
        <f t="shared" si="144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0"/>
        <v>0</v>
      </c>
      <c r="AF539" s="10"/>
      <c r="AG539" s="10"/>
      <c r="AH539" s="10"/>
      <c r="AI539" s="12">
        <f t="shared" si="146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41"/>
        <v>0</v>
      </c>
      <c r="H540" s="10"/>
      <c r="I540" s="10"/>
      <c r="J540" s="10"/>
      <c r="K540" s="12">
        <f t="shared" si="142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51">SUM(P540:Q540)</f>
        <v>0</v>
      </c>
      <c r="T540" s="10"/>
      <c r="U540" s="10"/>
      <c r="V540" s="10"/>
      <c r="W540" s="12">
        <f t="shared" si="144"/>
        <v>0</v>
      </c>
      <c r="Y540" s="10">
        <v>34</v>
      </c>
      <c r="Z540" s="30"/>
      <c r="AA540" s="31"/>
      <c r="AB540" s="47"/>
      <c r="AC540" s="31"/>
      <c r="AD540" s="31"/>
      <c r="AE540" s="32">
        <f t="shared" ref="AE540:AE545" si="152">SUM(AB540:AC540)</f>
        <v>0</v>
      </c>
      <c r="AF540" s="10"/>
      <c r="AG540" s="10"/>
      <c r="AH540" s="10"/>
      <c r="AI540" s="12">
        <f t="shared" si="146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P541" s="47"/>
      <c r="Q541" s="31"/>
      <c r="R541" s="31"/>
      <c r="S541" s="32">
        <f t="shared" si="151"/>
        <v>0</v>
      </c>
      <c r="T541" s="10"/>
      <c r="U541" s="10"/>
      <c r="V541" s="10"/>
      <c r="W541" s="12">
        <f t="shared" si="14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2"/>
        <v>0</v>
      </c>
      <c r="AF541" s="10"/>
      <c r="AG541" s="10"/>
      <c r="AH541" s="10"/>
      <c r="AI541" s="12">
        <f t="shared" si="146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1"/>
        <v>0</v>
      </c>
      <c r="T542" s="10"/>
      <c r="U542" s="10"/>
      <c r="V542" s="10"/>
      <c r="W542" s="12">
        <f t="shared" si="14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2"/>
        <v>0</v>
      </c>
      <c r="AF542" s="10"/>
      <c r="AG542" s="10"/>
      <c r="AH542" s="10"/>
      <c r="AI542" s="12">
        <f t="shared" si="146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O543" s="31"/>
      <c r="P543" s="47"/>
      <c r="Q543" s="31"/>
      <c r="R543" s="31"/>
      <c r="S543" s="32">
        <f t="shared" si="151"/>
        <v>0</v>
      </c>
      <c r="T543" s="10"/>
      <c r="U543" s="10"/>
      <c r="V543" s="10"/>
      <c r="W543" s="12">
        <f t="shared" si="14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2"/>
        <v>0</v>
      </c>
      <c r="AF543" s="10"/>
      <c r="AG543" s="10"/>
      <c r="AH543" s="10"/>
      <c r="AI543" s="12">
        <f t="shared" si="146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1"/>
        <v>0</v>
      </c>
      <c r="T544" s="10"/>
      <c r="U544" s="10"/>
      <c r="V544" s="10"/>
      <c r="W544" s="12">
        <f t="shared" si="14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2"/>
        <v>0</v>
      </c>
      <c r="AF544" s="10"/>
      <c r="AG544" s="10"/>
      <c r="AH544" s="10"/>
      <c r="AI544" s="12">
        <f t="shared" si="146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1"/>
        <v>0</v>
      </c>
      <c r="T545" s="10"/>
      <c r="U545" s="10"/>
      <c r="V545" s="10"/>
      <c r="W545" s="12">
        <f t="shared" si="14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2"/>
        <v>0</v>
      </c>
      <c r="AF545" s="10"/>
      <c r="AG545" s="10"/>
      <c r="AH545" s="10"/>
      <c r="AI545" s="12">
        <f t="shared" si="146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4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46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53">SUM(D547:E547)</f>
        <v>0</v>
      </c>
      <c r="H547" s="10"/>
      <c r="I547" s="10"/>
      <c r="J547" s="10"/>
      <c r="K547" s="12">
        <f t="shared" ref="K547" si="154">SUM(G547:J547)</f>
        <v>0</v>
      </c>
      <c r="M547" s="10"/>
      <c r="N547" s="30"/>
      <c r="O547" s="31"/>
      <c r="P547" s="47"/>
      <c r="Q547" s="31"/>
      <c r="R547" s="31"/>
      <c r="S547" s="32">
        <f t="shared" ref="S547" si="155">SUM(P547:Q547)</f>
        <v>0</v>
      </c>
      <c r="T547" s="10"/>
      <c r="U547" s="10"/>
      <c r="V547" s="10"/>
      <c r="W547" s="12">
        <f t="shared" si="144"/>
        <v>0</v>
      </c>
      <c r="Y547" s="10"/>
      <c r="Z547" s="30"/>
      <c r="AA547" s="31"/>
      <c r="AB547" s="47"/>
      <c r="AC547" s="31"/>
      <c r="AD547" s="31"/>
      <c r="AE547" s="32">
        <f t="shared" ref="AE547" si="156">SUM(AB547:AC547)</f>
        <v>0</v>
      </c>
      <c r="AF547" s="10"/>
      <c r="AG547" s="10"/>
      <c r="AH547" s="10"/>
      <c r="AI547" s="12">
        <f t="shared" si="146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4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46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286073</v>
      </c>
      <c r="E550" s="38">
        <f t="shared" ref="E550:F550" si="157">SUM(E507:E547)</f>
        <v>-2268</v>
      </c>
      <c r="F550" s="38">
        <f t="shared" si="157"/>
        <v>0</v>
      </c>
      <c r="G550" s="38">
        <f>SUM(G507:G549)</f>
        <v>283805</v>
      </c>
      <c r="H550" s="4"/>
      <c r="I550" s="39">
        <f>SUM(I507:I549)</f>
        <v>0</v>
      </c>
      <c r="J550" s="39">
        <f>SUM(J507:J549)</f>
        <v>-30138</v>
      </c>
      <c r="K550" s="40">
        <f>SUM(K507:K549)</f>
        <v>253667</v>
      </c>
      <c r="N550" s="57"/>
      <c r="O550" s="57"/>
      <c r="P550" s="38">
        <f>SUM(P507:P549)</f>
        <v>327451</v>
      </c>
      <c r="Q550" s="38">
        <f>SUM(Q507:Q531)</f>
        <v>-2160</v>
      </c>
      <c r="R550" s="38">
        <f>SUM(R507:R531)</f>
        <v>0</v>
      </c>
      <c r="S550" s="38">
        <f>SUM(S507:S549)</f>
        <v>325291</v>
      </c>
      <c r="T550" s="4"/>
      <c r="U550" s="41">
        <f>SUM(U507:U549)</f>
        <v>20770.5</v>
      </c>
      <c r="V550" s="41">
        <f>SUM(V507:V531)</f>
        <v>-2799</v>
      </c>
      <c r="W550" s="42">
        <f>SUM(W507:W549)</f>
        <v>343262.5</v>
      </c>
      <c r="Z550" s="57"/>
      <c r="AA550" s="57"/>
      <c r="AB550" s="38">
        <f>SUM(AB507:AB549)</f>
        <v>273032</v>
      </c>
      <c r="AC550" s="38">
        <f>SUM(AC507:AC531)</f>
        <v>-1890</v>
      </c>
      <c r="AD550" s="38">
        <f>SUM(AD507:AD531)</f>
        <v>0</v>
      </c>
      <c r="AE550" s="38">
        <f>SUM(AE507:AE549)</f>
        <v>271142</v>
      </c>
      <c r="AF550" s="4"/>
      <c r="AG550" s="41">
        <f>SUM(AG507:AG549)</f>
        <v>56.25</v>
      </c>
      <c r="AH550" s="41">
        <f>SUM(AH507:AH531)</f>
        <v>-5550</v>
      </c>
      <c r="AI550" s="42">
        <f>SUM(AI507:AI549)</f>
        <v>265648.25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53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53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53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65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35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3" t="s">
        <v>17</v>
      </c>
      <c r="E560" s="113"/>
      <c r="F560" s="100"/>
      <c r="G560" s="27"/>
      <c r="I560" s="111" t="s">
        <v>18</v>
      </c>
      <c r="J560" s="112"/>
      <c r="K560" s="109" t="s">
        <v>19</v>
      </c>
      <c r="N560" s="25"/>
      <c r="O560" s="26"/>
      <c r="P560" s="113" t="s">
        <v>17</v>
      </c>
      <c r="Q560" s="113"/>
      <c r="R560" s="100"/>
      <c r="S560" s="27"/>
      <c r="U560" s="111" t="s">
        <v>18</v>
      </c>
      <c r="V560" s="112"/>
      <c r="W560" s="109" t="s">
        <v>19</v>
      </c>
      <c r="Z560" s="25"/>
      <c r="AA560" s="26"/>
      <c r="AB560" s="113" t="s">
        <v>17</v>
      </c>
      <c r="AC560" s="113"/>
      <c r="AD560" s="100"/>
      <c r="AE560" s="27"/>
      <c r="AG560" s="111" t="s">
        <v>18</v>
      </c>
      <c r="AH560" s="112"/>
      <c r="AI560" s="109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10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10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0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66</v>
      </c>
      <c r="C562" s="83">
        <v>9568</v>
      </c>
      <c r="D562" s="32">
        <f>650*21</f>
        <v>13650</v>
      </c>
      <c r="E562" s="32"/>
      <c r="F562" s="32"/>
      <c r="G562" s="32">
        <f t="shared" ref="G562:G595" si="158">SUM(D562:E562)</f>
        <v>13650</v>
      </c>
      <c r="H562" s="12"/>
      <c r="I562" s="12"/>
      <c r="J562" s="12"/>
      <c r="K562" s="12">
        <f t="shared" ref="K562:K595" si="159">SUM(G562:J562)</f>
        <v>13650</v>
      </c>
      <c r="M562" s="10">
        <v>1</v>
      </c>
      <c r="N562" s="30" t="s">
        <v>66</v>
      </c>
      <c r="O562" s="31">
        <v>9636</v>
      </c>
      <c r="P562" s="32">
        <f>650*7+622*3</f>
        <v>6416</v>
      </c>
      <c r="Q562" s="32"/>
      <c r="R562" s="32"/>
      <c r="S562" s="32">
        <f>SUM(P562:Q562)</f>
        <v>6416</v>
      </c>
      <c r="T562" s="12"/>
      <c r="U562" s="12"/>
      <c r="V562" s="12">
        <v>-666</v>
      </c>
      <c r="W562" s="12">
        <f>SUM(S562:V562)</f>
        <v>5750</v>
      </c>
      <c r="Y562" s="10">
        <v>1</v>
      </c>
      <c r="Z562" s="30" t="s">
        <v>66</v>
      </c>
      <c r="AA562" s="31">
        <v>9545</v>
      </c>
      <c r="AB562" s="32">
        <f>25*650+622*5</f>
        <v>19360</v>
      </c>
      <c r="AC562" s="32"/>
      <c r="AD562" s="32"/>
      <c r="AE562" s="32">
        <f>SUM(AB562:AC562)</f>
        <v>19360</v>
      </c>
      <c r="AF562" s="12"/>
      <c r="AG562" s="12">
        <v>198</v>
      </c>
      <c r="AH562" s="12"/>
      <c r="AI562" s="12">
        <f>SUM(AE562:AH562)</f>
        <v>19558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66</v>
      </c>
      <c r="C563" s="83">
        <f>C562+1</f>
        <v>9569</v>
      </c>
      <c r="D563" s="32">
        <f>650*9</f>
        <v>5850</v>
      </c>
      <c r="E563" s="32">
        <f>-9*6</f>
        <v>-54</v>
      </c>
      <c r="F563" s="32"/>
      <c r="G563" s="32">
        <f t="shared" si="158"/>
        <v>5796</v>
      </c>
      <c r="H563" s="12"/>
      <c r="I563" s="12"/>
      <c r="J563" s="12"/>
      <c r="K563" s="12">
        <f t="shared" si="159"/>
        <v>5796</v>
      </c>
      <c r="M563" s="10">
        <v>2</v>
      </c>
      <c r="N563" s="30" t="s">
        <v>66</v>
      </c>
      <c r="O563" s="31">
        <f>O562+1</f>
        <v>9637</v>
      </c>
      <c r="P563" s="32">
        <f>650*100+670*5+622*20+229*3</f>
        <v>81477</v>
      </c>
      <c r="Q563" s="32"/>
      <c r="R563" s="32"/>
      <c r="S563" s="32">
        <f t="shared" ref="S563:S594" si="160">SUM(P563:Q563)</f>
        <v>81477</v>
      </c>
      <c r="T563" s="12"/>
      <c r="U563" s="12"/>
      <c r="V563" s="12">
        <f>-111*10</f>
        <v>-1110</v>
      </c>
      <c r="W563" s="12">
        <f t="shared" ref="W563:W603" si="161">SUM(S563:V563)</f>
        <v>80367</v>
      </c>
      <c r="Y563" s="10">
        <v>2</v>
      </c>
      <c r="Z563" s="30" t="s">
        <v>66</v>
      </c>
      <c r="AA563" s="31">
        <f>AA562+1</f>
        <v>9546</v>
      </c>
      <c r="AB563" s="32">
        <f>650*50+229*2</f>
        <v>32958</v>
      </c>
      <c r="AC563" s="32">
        <f>-50*6</f>
        <v>-300</v>
      </c>
      <c r="AD563" s="32"/>
      <c r="AE563" s="32">
        <f t="shared" ref="AE563:AE571" si="162">SUM(AB563:AC563)</f>
        <v>32658</v>
      </c>
      <c r="AF563" s="12"/>
      <c r="AG563" s="12"/>
      <c r="AH563" s="12"/>
      <c r="AI563" s="12">
        <f t="shared" ref="AI563:AI603" si="163">SUM(AE563:AH563)</f>
        <v>32658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66</v>
      </c>
      <c r="C564" s="83">
        <f t="shared" ref="C564:C568" si="164">C563+1</f>
        <v>9570</v>
      </c>
      <c r="D564" s="33">
        <f>650*116+622*10+229</f>
        <v>81849</v>
      </c>
      <c r="E564" s="33"/>
      <c r="F564" s="33"/>
      <c r="G564" s="33">
        <f t="shared" si="158"/>
        <v>81849</v>
      </c>
      <c r="H564" s="34"/>
      <c r="I564" s="34"/>
      <c r="J564" s="34"/>
      <c r="K564" s="34">
        <f t="shared" si="159"/>
        <v>81849</v>
      </c>
      <c r="M564" s="10">
        <v>3</v>
      </c>
      <c r="N564" s="30" t="s">
        <v>66</v>
      </c>
      <c r="O564" s="31">
        <f t="shared" ref="O564:O576" si="165">O563+1</f>
        <v>9638</v>
      </c>
      <c r="P564" s="32">
        <f>650*4+9.5*4</f>
        <v>2638</v>
      </c>
      <c r="Q564" s="32"/>
      <c r="R564" s="32"/>
      <c r="S564" s="32">
        <f t="shared" si="160"/>
        <v>2638</v>
      </c>
      <c r="T564" s="12"/>
      <c r="U564" s="12"/>
      <c r="V564" s="12"/>
      <c r="W564" s="12">
        <f t="shared" si="161"/>
        <v>2638</v>
      </c>
      <c r="Y564" s="10">
        <v>3</v>
      </c>
      <c r="Z564" s="30" t="s">
        <v>66</v>
      </c>
      <c r="AA564" s="31">
        <f t="shared" ref="AA564:AA572" si="166">AA563+1</f>
        <v>9547</v>
      </c>
      <c r="AB564" s="33">
        <f>650*108+229*4</f>
        <v>71116</v>
      </c>
      <c r="AC564" s="33">
        <f>-108*6</f>
        <v>-648</v>
      </c>
      <c r="AD564" s="32"/>
      <c r="AE564" s="32">
        <f t="shared" si="162"/>
        <v>70468</v>
      </c>
      <c r="AF564" s="12"/>
      <c r="AG564" s="12">
        <v>63</v>
      </c>
      <c r="AH564" s="12"/>
      <c r="AI564" s="12">
        <f t="shared" si="163"/>
        <v>70531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66</v>
      </c>
      <c r="C565" s="83">
        <f t="shared" si="164"/>
        <v>9571</v>
      </c>
      <c r="D565" s="32">
        <f>650*324+229*13</f>
        <v>213577</v>
      </c>
      <c r="E565" s="32">
        <f>-324*6</f>
        <v>-1944</v>
      </c>
      <c r="F565" s="32"/>
      <c r="G565" s="32">
        <f t="shared" si="158"/>
        <v>211633</v>
      </c>
      <c r="H565" s="12"/>
      <c r="I565" s="12">
        <v>432</v>
      </c>
      <c r="J565" s="12">
        <f>-158*111</f>
        <v>-17538</v>
      </c>
      <c r="K565" s="12">
        <f t="shared" si="159"/>
        <v>194527</v>
      </c>
      <c r="M565" s="10">
        <v>4</v>
      </c>
      <c r="N565" s="30" t="s">
        <v>66</v>
      </c>
      <c r="O565" s="31">
        <f t="shared" si="165"/>
        <v>9639</v>
      </c>
      <c r="P565" s="32">
        <f>650*3+670*3+9.5*3</f>
        <v>3988.5</v>
      </c>
      <c r="Q565" s="32"/>
      <c r="R565" s="32"/>
      <c r="S565" s="32">
        <f t="shared" si="160"/>
        <v>3988.5</v>
      </c>
      <c r="T565" s="12"/>
      <c r="U565" s="12"/>
      <c r="V565" s="12"/>
      <c r="W565" s="12">
        <f t="shared" si="161"/>
        <v>3988.5</v>
      </c>
      <c r="Y565" s="10">
        <v>4</v>
      </c>
      <c r="Z565" s="30" t="s">
        <v>66</v>
      </c>
      <c r="AA565" s="31">
        <f t="shared" si="166"/>
        <v>9548</v>
      </c>
      <c r="AB565" s="32">
        <f>650*12+622</f>
        <v>8422</v>
      </c>
      <c r="AC565" s="32"/>
      <c r="AD565" s="32"/>
      <c r="AE565" s="32">
        <f t="shared" si="162"/>
        <v>8422</v>
      </c>
      <c r="AF565" s="12"/>
      <c r="AG565" s="58"/>
      <c r="AH565" s="12">
        <f>-111*12</f>
        <v>-1332</v>
      </c>
      <c r="AI565" s="12">
        <f t="shared" si="163"/>
        <v>7090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66</v>
      </c>
      <c r="C566" s="83">
        <f t="shared" si="164"/>
        <v>9572</v>
      </c>
      <c r="D566" s="32">
        <f>650*50+622*10</f>
        <v>38720</v>
      </c>
      <c r="E566" s="32"/>
      <c r="F566" s="32"/>
      <c r="G566" s="32">
        <f t="shared" si="158"/>
        <v>38720</v>
      </c>
      <c r="H566" s="12"/>
      <c r="I566" s="12"/>
      <c r="J566" s="12"/>
      <c r="K566" s="12">
        <f t="shared" si="159"/>
        <v>38720</v>
      </c>
      <c r="M566" s="10">
        <v>5</v>
      </c>
      <c r="N566" s="30" t="s">
        <v>66</v>
      </c>
      <c r="O566" s="31">
        <f t="shared" si="165"/>
        <v>9640</v>
      </c>
      <c r="P566" s="32">
        <f>650*35+9.5*5+650*2</f>
        <v>24097.5</v>
      </c>
      <c r="Q566" s="32"/>
      <c r="R566" s="32"/>
      <c r="S566" s="32">
        <f t="shared" si="160"/>
        <v>24097.5</v>
      </c>
      <c r="T566" s="12"/>
      <c r="U566" s="12">
        <f>4.5*15</f>
        <v>67.5</v>
      </c>
      <c r="V566" s="12"/>
      <c r="W566" s="12">
        <f t="shared" si="161"/>
        <v>24165</v>
      </c>
      <c r="Y566" s="10">
        <v>5</v>
      </c>
      <c r="Z566" s="30" t="s">
        <v>66</v>
      </c>
      <c r="AA566" s="31">
        <f t="shared" si="166"/>
        <v>9549</v>
      </c>
      <c r="AB566" s="32">
        <f>650*12+622*2+9.5*12</f>
        <v>9158</v>
      </c>
      <c r="AC566" s="32"/>
      <c r="AD566" s="32"/>
      <c r="AE566" s="32">
        <f t="shared" si="162"/>
        <v>9158</v>
      </c>
      <c r="AF566" s="12"/>
      <c r="AG566" s="12">
        <f>1.5*12</f>
        <v>18</v>
      </c>
      <c r="AH566" s="12"/>
      <c r="AI566" s="12">
        <f t="shared" si="163"/>
        <v>9176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66</v>
      </c>
      <c r="C567" s="83">
        <f t="shared" si="164"/>
        <v>9573</v>
      </c>
      <c r="D567" s="32">
        <f>650*125+700*5+670*4+622*10+912*3+1050+872+229*6+650*2+500</f>
        <v>101482</v>
      </c>
      <c r="E567" s="32"/>
      <c r="F567" s="32"/>
      <c r="G567" s="32">
        <f t="shared" si="158"/>
        <v>101482</v>
      </c>
      <c r="H567" s="12"/>
      <c r="I567" s="12">
        <f>78*6+4.5*48</f>
        <v>684</v>
      </c>
      <c r="J567" s="12"/>
      <c r="K567" s="12">
        <f t="shared" si="159"/>
        <v>102166</v>
      </c>
      <c r="M567" s="10">
        <v>6</v>
      </c>
      <c r="N567" s="30" t="s">
        <v>66</v>
      </c>
      <c r="O567" s="31">
        <f t="shared" si="165"/>
        <v>9641</v>
      </c>
      <c r="P567" s="32">
        <f>650*3+9.5*3</f>
        <v>1978.5</v>
      </c>
      <c r="Q567" s="32"/>
      <c r="R567" s="32"/>
      <c r="S567" s="32">
        <f t="shared" si="160"/>
        <v>1978.5</v>
      </c>
      <c r="T567" s="12"/>
      <c r="U567" s="12"/>
      <c r="V567" s="10"/>
      <c r="W567" s="12">
        <f t="shared" si="161"/>
        <v>1978.5</v>
      </c>
      <c r="Y567" s="10">
        <v>6</v>
      </c>
      <c r="Z567" s="30" t="s">
        <v>66</v>
      </c>
      <c r="AA567" s="31">
        <f t="shared" si="166"/>
        <v>9550</v>
      </c>
      <c r="AB567" s="32">
        <f>650*20+229*2</f>
        <v>13458</v>
      </c>
      <c r="AC567" s="32"/>
      <c r="AD567" s="32"/>
      <c r="AE567" s="32">
        <f t="shared" si="162"/>
        <v>13458</v>
      </c>
      <c r="AF567" s="12"/>
      <c r="AG567" s="12"/>
      <c r="AH567" s="10"/>
      <c r="AI567" s="12">
        <f t="shared" si="163"/>
        <v>13458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66</v>
      </c>
      <c r="C568" s="83">
        <f t="shared" si="164"/>
        <v>9574</v>
      </c>
      <c r="D568" s="32">
        <f>650*31+622*6</f>
        <v>23882</v>
      </c>
      <c r="E568" s="32"/>
      <c r="F568" s="32"/>
      <c r="G568" s="32">
        <f t="shared" si="158"/>
        <v>23882</v>
      </c>
      <c r="H568" s="12"/>
      <c r="I568" s="12"/>
      <c r="J568" s="12">
        <f>-111*22</f>
        <v>-2442</v>
      </c>
      <c r="K568" s="12">
        <f t="shared" si="159"/>
        <v>21440</v>
      </c>
      <c r="M568" s="10">
        <v>7</v>
      </c>
      <c r="N568" s="30" t="s">
        <v>66</v>
      </c>
      <c r="O568" s="31">
        <f t="shared" si="165"/>
        <v>9642</v>
      </c>
      <c r="P568" s="32">
        <f>650*52+622*7+229+650</f>
        <v>39033</v>
      </c>
      <c r="Q568" s="32"/>
      <c r="R568" s="32"/>
      <c r="S568" s="32">
        <f t="shared" si="160"/>
        <v>39033</v>
      </c>
      <c r="T568" s="12"/>
      <c r="U568" s="12">
        <v>189</v>
      </c>
      <c r="V568" s="12"/>
      <c r="W568" s="12">
        <f t="shared" si="161"/>
        <v>39222</v>
      </c>
      <c r="Y568" s="10">
        <v>7</v>
      </c>
      <c r="Z568" s="30" t="s">
        <v>66</v>
      </c>
      <c r="AA568" s="31">
        <v>9653</v>
      </c>
      <c r="AB568" s="32">
        <f>650*50+622*3+229*2</f>
        <v>34824</v>
      </c>
      <c r="AC568" s="32">
        <f>-53*6</f>
        <v>-318</v>
      </c>
      <c r="AD568" s="32"/>
      <c r="AE568" s="32">
        <f t="shared" si="162"/>
        <v>34506</v>
      </c>
      <c r="AF568" s="12"/>
      <c r="AG568" s="58"/>
      <c r="AH568" s="12"/>
      <c r="AI568" s="12">
        <f t="shared" si="163"/>
        <v>34506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11" t="s">
        <v>27</v>
      </c>
      <c r="D569" s="32"/>
      <c r="E569" s="32"/>
      <c r="F569" s="32"/>
      <c r="G569" s="32">
        <f t="shared" si="158"/>
        <v>0</v>
      </c>
      <c r="H569" s="12"/>
      <c r="I569" s="12"/>
      <c r="J569" s="12"/>
      <c r="K569" s="12">
        <f t="shared" si="159"/>
        <v>0</v>
      </c>
      <c r="M569" s="10">
        <v>8</v>
      </c>
      <c r="N569" s="30" t="s">
        <v>66</v>
      </c>
      <c r="O569" s="31">
        <f t="shared" si="165"/>
        <v>9643</v>
      </c>
      <c r="P569" s="32">
        <f>650*3+9.5*3</f>
        <v>1978.5</v>
      </c>
      <c r="Q569" s="32"/>
      <c r="R569" s="32"/>
      <c r="S569" s="32">
        <f t="shared" si="160"/>
        <v>1978.5</v>
      </c>
      <c r="T569" s="12"/>
      <c r="U569" s="12">
        <v>81</v>
      </c>
      <c r="V569" s="12"/>
      <c r="W569" s="12">
        <f t="shared" si="161"/>
        <v>2059.5</v>
      </c>
      <c r="Y569" s="10">
        <v>8</v>
      </c>
      <c r="Z569" s="30" t="s">
        <v>66</v>
      </c>
      <c r="AA569" s="31">
        <f>AA568+1</f>
        <v>9654</v>
      </c>
      <c r="AB569" s="32">
        <f>650*4+670*6</f>
        <v>6620</v>
      </c>
      <c r="AC569" s="32"/>
      <c r="AE569" s="32">
        <f t="shared" si="162"/>
        <v>6620</v>
      </c>
      <c r="AF569" s="12"/>
      <c r="AG569" s="12"/>
      <c r="AH569" s="12"/>
      <c r="AI569" s="12">
        <f t="shared" si="163"/>
        <v>6620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83"/>
      <c r="D570" s="32"/>
      <c r="E570" s="32"/>
      <c r="F570" s="32"/>
      <c r="G570" s="32">
        <f t="shared" si="158"/>
        <v>0</v>
      </c>
      <c r="H570" s="12"/>
      <c r="I570" s="12"/>
      <c r="J570" s="12"/>
      <c r="K570" s="12">
        <f t="shared" si="159"/>
        <v>0</v>
      </c>
      <c r="M570" s="10">
        <v>9</v>
      </c>
      <c r="N570" s="30" t="s">
        <v>66</v>
      </c>
      <c r="O570" s="31">
        <f t="shared" si="165"/>
        <v>9644</v>
      </c>
      <c r="P570" s="32">
        <f>650*10+9.5*10</f>
        <v>6595</v>
      </c>
      <c r="Q570" s="32"/>
      <c r="R570" s="32"/>
      <c r="S570" s="32">
        <f t="shared" si="160"/>
        <v>6595</v>
      </c>
      <c r="T570" s="12"/>
      <c r="U570" s="12"/>
      <c r="V570" s="12">
        <v>-666</v>
      </c>
      <c r="W570" s="12">
        <f t="shared" si="161"/>
        <v>5929</v>
      </c>
      <c r="Y570" s="10">
        <v>9</v>
      </c>
      <c r="Z570" s="30" t="s">
        <v>66</v>
      </c>
      <c r="AA570" s="31">
        <f t="shared" si="166"/>
        <v>9655</v>
      </c>
      <c r="AB570" s="32">
        <f>670*10</f>
        <v>6700</v>
      </c>
      <c r="AC570" s="32"/>
      <c r="AD570" s="32"/>
      <c r="AE570" s="32">
        <f t="shared" si="162"/>
        <v>6700</v>
      </c>
      <c r="AF570" s="12"/>
      <c r="AH570" s="12"/>
      <c r="AI570" s="12">
        <f t="shared" si="163"/>
        <v>6700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D571" s="32"/>
      <c r="E571" s="32"/>
      <c r="F571" s="32"/>
      <c r="G571" s="32">
        <f t="shared" si="158"/>
        <v>0</v>
      </c>
      <c r="H571" s="12"/>
      <c r="I571" s="12"/>
      <c r="J571" s="12"/>
      <c r="K571" s="12">
        <f t="shared" si="159"/>
        <v>0</v>
      </c>
      <c r="M571" s="10">
        <v>10</v>
      </c>
      <c r="N571" s="30" t="s">
        <v>66</v>
      </c>
      <c r="O571" s="31">
        <f t="shared" si="165"/>
        <v>9645</v>
      </c>
      <c r="P571" s="32">
        <f>650*6+9.5*6</f>
        <v>3957</v>
      </c>
      <c r="Q571" s="32"/>
      <c r="R571" s="32"/>
      <c r="S571" s="32">
        <f t="shared" si="160"/>
        <v>3957</v>
      </c>
      <c r="T571" s="12"/>
      <c r="U571" s="12">
        <f>111+1.5*6</f>
        <v>120</v>
      </c>
      <c r="V571" s="12"/>
      <c r="W571" s="12">
        <f t="shared" si="161"/>
        <v>4077</v>
      </c>
      <c r="Y571" s="10">
        <v>10</v>
      </c>
      <c r="Z571" s="30" t="s">
        <v>66</v>
      </c>
      <c r="AA571" s="31">
        <f t="shared" si="166"/>
        <v>9656</v>
      </c>
      <c r="AB571" s="32">
        <f>650*20</f>
        <v>13000</v>
      </c>
      <c r="AC571" s="32"/>
      <c r="AD571" s="32"/>
      <c r="AE571" s="32">
        <f t="shared" si="162"/>
        <v>13000</v>
      </c>
      <c r="AF571" s="12"/>
      <c r="AG571" s="12"/>
      <c r="AH571" s="12"/>
      <c r="AI571" s="12">
        <f t="shared" si="163"/>
        <v>13000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58"/>
        <v>0</v>
      </c>
      <c r="H572" s="12"/>
      <c r="I572" s="12"/>
      <c r="J572" s="12"/>
      <c r="K572" s="12">
        <f t="shared" si="159"/>
        <v>0</v>
      </c>
      <c r="M572" s="10">
        <v>11</v>
      </c>
      <c r="N572" s="30" t="s">
        <v>66</v>
      </c>
      <c r="O572" s="31">
        <f t="shared" si="165"/>
        <v>9646</v>
      </c>
      <c r="P572" s="32">
        <f>650*5+47.5</f>
        <v>3297.5</v>
      </c>
      <c r="Q572" s="32"/>
      <c r="R572" s="32"/>
      <c r="S572" s="32">
        <f t="shared" si="160"/>
        <v>3297.5</v>
      </c>
      <c r="T572" s="12"/>
      <c r="U572" s="12"/>
      <c r="V572" s="12">
        <f>-444+-252</f>
        <v>-696</v>
      </c>
      <c r="W572" s="12">
        <f t="shared" si="161"/>
        <v>2601.5</v>
      </c>
      <c r="Y572" s="10">
        <v>11</v>
      </c>
      <c r="Z572" s="30" t="s">
        <v>66</v>
      </c>
      <c r="AA572" s="31">
        <f t="shared" si="166"/>
        <v>9657</v>
      </c>
      <c r="AB572" s="32">
        <f>650*15+622*5</f>
        <v>12860</v>
      </c>
      <c r="AC572" s="32"/>
      <c r="AD572" s="32"/>
      <c r="AE572" s="32">
        <f t="shared" ref="AE572:AE594" si="167">SUM(AB572:AC572)</f>
        <v>12860</v>
      </c>
      <c r="AF572" s="12"/>
      <c r="AG572" s="12"/>
      <c r="AH572" s="12"/>
      <c r="AI572" s="12">
        <f t="shared" si="163"/>
        <v>12860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58"/>
        <v>0</v>
      </c>
      <c r="H573" s="12"/>
      <c r="I573" s="12"/>
      <c r="J573" s="10"/>
      <c r="K573" s="12">
        <f t="shared" si="159"/>
        <v>0</v>
      </c>
      <c r="M573" s="10">
        <v>12</v>
      </c>
      <c r="N573" s="30" t="s">
        <v>66</v>
      </c>
      <c r="O573" s="31">
        <f t="shared" si="165"/>
        <v>9647</v>
      </c>
      <c r="P573" s="32">
        <f>650*13+872+9.5*13</f>
        <v>9445.5</v>
      </c>
      <c r="Q573" s="32"/>
      <c r="R573" s="32"/>
      <c r="S573" s="32">
        <f t="shared" si="160"/>
        <v>9445.5</v>
      </c>
      <c r="T573" s="12"/>
      <c r="U573" s="12">
        <v>13.5</v>
      </c>
      <c r="V573" s="12"/>
      <c r="W573" s="12">
        <f t="shared" si="161"/>
        <v>9459</v>
      </c>
      <c r="Y573" s="10">
        <v>12</v>
      </c>
      <c r="Z573" s="30"/>
      <c r="AA573" s="11" t="s">
        <v>27</v>
      </c>
      <c r="AB573" s="32"/>
      <c r="AC573" s="32"/>
      <c r="AD573" s="32"/>
      <c r="AE573" s="32">
        <f t="shared" si="167"/>
        <v>0</v>
      </c>
      <c r="AF573" s="12"/>
      <c r="AG573" s="12"/>
      <c r="AH573" s="12"/>
      <c r="AI573" s="12">
        <f t="shared" si="163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58"/>
        <v>0</v>
      </c>
      <c r="H574" s="12"/>
      <c r="I574" s="12"/>
      <c r="J574" s="12"/>
      <c r="K574" s="12">
        <f t="shared" si="159"/>
        <v>0</v>
      </c>
      <c r="M574" s="10">
        <v>13</v>
      </c>
      <c r="N574" s="30" t="s">
        <v>66</v>
      </c>
      <c r="O574" s="31">
        <f t="shared" si="165"/>
        <v>9648</v>
      </c>
      <c r="P574" s="32">
        <f>650*9+9.5*9</f>
        <v>5935.5</v>
      </c>
      <c r="Q574" s="32"/>
      <c r="R574" s="32"/>
      <c r="S574" s="32">
        <f t="shared" si="160"/>
        <v>5935.5</v>
      </c>
      <c r="T574" s="12"/>
      <c r="U574" s="12">
        <v>67.5</v>
      </c>
      <c r="V574" s="12"/>
      <c r="W574" s="12">
        <f t="shared" si="161"/>
        <v>6003</v>
      </c>
      <c r="Y574" s="10">
        <v>13</v>
      </c>
      <c r="Z574" s="30"/>
      <c r="AA574" s="31"/>
      <c r="AB574" s="32"/>
      <c r="AC574" s="32"/>
      <c r="AD574" s="32"/>
      <c r="AE574" s="32">
        <f t="shared" si="167"/>
        <v>0</v>
      </c>
      <c r="AF574" s="12"/>
      <c r="AG574" s="12"/>
      <c r="AH574" s="12"/>
      <c r="AI574" s="12">
        <f t="shared" si="163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58"/>
        <v>0</v>
      </c>
      <c r="H575" s="12"/>
      <c r="I575" s="12"/>
      <c r="J575" s="12"/>
      <c r="K575" s="12">
        <f t="shared" si="159"/>
        <v>0</v>
      </c>
      <c r="M575" s="10">
        <v>14</v>
      </c>
      <c r="N575" s="30" t="s">
        <v>66</v>
      </c>
      <c r="O575" s="31">
        <f t="shared" si="165"/>
        <v>9649</v>
      </c>
      <c r="P575" s="32">
        <f>650*8+700*2+622</f>
        <v>7222</v>
      </c>
      <c r="Q575" s="32"/>
      <c r="R575" s="32"/>
      <c r="S575" s="32">
        <f t="shared" si="160"/>
        <v>7222</v>
      </c>
      <c r="T575" s="12"/>
      <c r="U575" s="12"/>
      <c r="V575" s="12">
        <v>-120</v>
      </c>
      <c r="W575" s="12">
        <f t="shared" si="161"/>
        <v>7102</v>
      </c>
      <c r="Y575" s="10">
        <v>14</v>
      </c>
      <c r="Z575" s="30"/>
      <c r="AA575" s="31"/>
      <c r="AB575" s="32"/>
      <c r="AC575" s="32"/>
      <c r="AD575" s="32"/>
      <c r="AE575" s="32">
        <f t="shared" si="167"/>
        <v>0</v>
      </c>
      <c r="AF575" s="12"/>
      <c r="AG575" s="12"/>
      <c r="AH575" s="12"/>
      <c r="AI575" s="12">
        <f t="shared" si="163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58"/>
        <v>0</v>
      </c>
      <c r="H576" s="12"/>
      <c r="I576" s="12"/>
      <c r="J576" s="12"/>
      <c r="K576" s="12">
        <f t="shared" si="159"/>
        <v>0</v>
      </c>
      <c r="M576" s="10">
        <v>15</v>
      </c>
      <c r="N576" s="30" t="s">
        <v>66</v>
      </c>
      <c r="O576" s="31">
        <f t="shared" si="165"/>
        <v>9650</v>
      </c>
      <c r="P576" s="32">
        <f>650*35+670*4+622+229</f>
        <v>26281</v>
      </c>
      <c r="Q576" s="32"/>
      <c r="R576" s="32"/>
      <c r="S576" s="32">
        <f t="shared" si="160"/>
        <v>26281</v>
      </c>
      <c r="T576" s="12"/>
      <c r="U576" s="12"/>
      <c r="V576" s="12"/>
      <c r="W576" s="12">
        <f t="shared" si="161"/>
        <v>26281</v>
      </c>
      <c r="Y576" s="10">
        <v>15</v>
      </c>
      <c r="Z576" s="30"/>
      <c r="AB576" s="32"/>
      <c r="AC576" s="32"/>
      <c r="AD576" s="32"/>
      <c r="AE576" s="32">
        <f t="shared" si="167"/>
        <v>0</v>
      </c>
      <c r="AF576" s="12"/>
      <c r="AG576" s="12"/>
      <c r="AH576" s="12"/>
      <c r="AI576" s="12">
        <f t="shared" si="163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58"/>
        <v>0</v>
      </c>
      <c r="H577" s="12"/>
      <c r="I577" s="12"/>
      <c r="J577" s="12"/>
      <c r="K577" s="12">
        <f t="shared" si="159"/>
        <v>0</v>
      </c>
      <c r="M577" s="10">
        <v>16</v>
      </c>
      <c r="N577" s="30" t="s">
        <v>66</v>
      </c>
      <c r="O577" s="31">
        <v>9575</v>
      </c>
      <c r="P577" s="32">
        <f>650*5</f>
        <v>3250</v>
      </c>
      <c r="Q577" s="32"/>
      <c r="R577" s="32"/>
      <c r="S577" s="32">
        <f t="shared" si="160"/>
        <v>3250</v>
      </c>
      <c r="T577" s="12"/>
      <c r="U577" s="12"/>
      <c r="V577" s="12"/>
      <c r="W577" s="12">
        <f t="shared" si="161"/>
        <v>3250</v>
      </c>
      <c r="Y577" s="10">
        <v>16</v>
      </c>
      <c r="Z577" s="30"/>
      <c r="AB577" s="32"/>
      <c r="AC577" s="32"/>
      <c r="AD577" s="32"/>
      <c r="AE577" s="32">
        <f t="shared" si="167"/>
        <v>0</v>
      </c>
      <c r="AF577" s="12"/>
      <c r="AG577" s="12"/>
      <c r="AH577" s="12"/>
      <c r="AI577" s="12">
        <f t="shared" si="163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58"/>
        <v>0</v>
      </c>
      <c r="H578" s="12"/>
      <c r="I578" s="12"/>
      <c r="J578" s="12"/>
      <c r="K578" s="12">
        <f t="shared" si="159"/>
        <v>0</v>
      </c>
      <c r="M578" s="10">
        <v>17</v>
      </c>
      <c r="N578" s="30" t="s">
        <v>66</v>
      </c>
      <c r="O578" s="31">
        <v>9708</v>
      </c>
      <c r="P578" s="35">
        <v>11022</v>
      </c>
      <c r="Q578" s="32"/>
      <c r="R578" s="32"/>
      <c r="S578" s="32">
        <f t="shared" si="160"/>
        <v>11022</v>
      </c>
      <c r="T578" s="12"/>
      <c r="U578" s="12"/>
      <c r="V578" s="12"/>
      <c r="W578" s="12">
        <f t="shared" si="161"/>
        <v>11022</v>
      </c>
      <c r="Y578" s="10">
        <v>17</v>
      </c>
      <c r="Z578" s="30"/>
      <c r="AA578" s="31"/>
      <c r="AB578" s="35"/>
      <c r="AC578" s="32"/>
      <c r="AD578" s="32"/>
      <c r="AE578" s="32">
        <f t="shared" si="167"/>
        <v>0</v>
      </c>
      <c r="AF578" s="12"/>
      <c r="AG578" s="12"/>
      <c r="AH578" s="12"/>
      <c r="AI578" s="12">
        <f t="shared" si="163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58"/>
        <v>0</v>
      </c>
      <c r="H579" s="12"/>
      <c r="I579" s="12"/>
      <c r="J579" s="12"/>
      <c r="K579" s="12">
        <f t="shared" si="159"/>
        <v>0</v>
      </c>
      <c r="M579" s="10">
        <v>18</v>
      </c>
      <c r="N579" s="30"/>
      <c r="O579" s="11" t="s">
        <v>27</v>
      </c>
      <c r="P579" s="32"/>
      <c r="Q579" s="32"/>
      <c r="R579" s="32"/>
      <c r="S579" s="32">
        <f t="shared" si="160"/>
        <v>0</v>
      </c>
      <c r="T579" s="12"/>
      <c r="U579" s="12"/>
      <c r="V579" s="12"/>
      <c r="W579" s="12">
        <f t="shared" si="161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67"/>
        <v>0</v>
      </c>
      <c r="AF579" s="12"/>
      <c r="AG579" s="12"/>
      <c r="AH579" s="12"/>
      <c r="AI579" s="12">
        <f t="shared" si="163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58"/>
        <v>0</v>
      </c>
      <c r="H580" s="12"/>
      <c r="I580" s="12"/>
      <c r="J580" s="12"/>
      <c r="K580" s="12">
        <f t="shared" si="159"/>
        <v>0</v>
      </c>
      <c r="M580" s="10">
        <v>19</v>
      </c>
      <c r="N580" s="30"/>
      <c r="O580" s="31"/>
      <c r="P580" s="32"/>
      <c r="Q580" s="32"/>
      <c r="R580" s="32"/>
      <c r="S580" s="32">
        <f t="shared" si="160"/>
        <v>0</v>
      </c>
      <c r="T580" s="12"/>
      <c r="U580" s="12"/>
      <c r="V580" s="12"/>
      <c r="W580" s="12">
        <f t="shared" si="161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67"/>
        <v>0</v>
      </c>
      <c r="AF580" s="12"/>
      <c r="AG580" s="12"/>
      <c r="AH580" s="12"/>
      <c r="AI580" s="12">
        <f t="shared" si="163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58"/>
        <v>0</v>
      </c>
      <c r="H581" s="12"/>
      <c r="I581" s="12"/>
      <c r="J581" s="12"/>
      <c r="K581" s="12">
        <f t="shared" si="159"/>
        <v>0</v>
      </c>
      <c r="M581" s="10">
        <v>20</v>
      </c>
      <c r="N581" s="30"/>
      <c r="O581" s="31"/>
      <c r="P581" s="32"/>
      <c r="Q581" s="32"/>
      <c r="R581" s="32"/>
      <c r="S581" s="32">
        <f t="shared" si="160"/>
        <v>0</v>
      </c>
      <c r="T581" s="12"/>
      <c r="U581" s="12"/>
      <c r="V581" s="12"/>
      <c r="W581" s="12">
        <f t="shared" si="161"/>
        <v>0</v>
      </c>
      <c r="Y581" s="10">
        <v>20</v>
      </c>
      <c r="Z581" s="30"/>
      <c r="AA581" s="31"/>
      <c r="AB581" s="32"/>
      <c r="AC581" s="32"/>
      <c r="AD581" s="32"/>
      <c r="AE581" s="32">
        <f t="shared" si="167"/>
        <v>0</v>
      </c>
      <c r="AF581" s="12"/>
      <c r="AG581" s="12"/>
      <c r="AH581" s="12"/>
      <c r="AI581" s="12">
        <f t="shared" si="163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11"/>
      <c r="D582" s="32"/>
      <c r="E582" s="32"/>
      <c r="F582" s="32"/>
      <c r="G582" s="32">
        <f t="shared" si="158"/>
        <v>0</v>
      </c>
      <c r="H582" s="10"/>
      <c r="I582" s="10"/>
      <c r="J582" s="10"/>
      <c r="K582" s="12">
        <f t="shared" si="159"/>
        <v>0</v>
      </c>
      <c r="M582" s="10">
        <v>21</v>
      </c>
      <c r="N582" s="30"/>
      <c r="P582" s="46"/>
      <c r="Q582" s="31"/>
      <c r="R582" s="31"/>
      <c r="S582" s="32">
        <f t="shared" si="160"/>
        <v>0</v>
      </c>
      <c r="T582" s="10"/>
      <c r="U582" s="10"/>
      <c r="V582" s="10"/>
      <c r="W582" s="12">
        <f t="shared" si="161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67"/>
        <v>0</v>
      </c>
      <c r="AF582" s="10"/>
      <c r="AG582" s="10"/>
      <c r="AH582" s="10"/>
      <c r="AI582" s="12">
        <f t="shared" si="163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57"/>
      <c r="D583" s="32"/>
      <c r="E583" s="32"/>
      <c r="F583" s="32"/>
      <c r="G583" s="32">
        <f t="shared" si="158"/>
        <v>0</v>
      </c>
      <c r="H583" s="10"/>
      <c r="I583" s="10"/>
      <c r="J583" s="10"/>
      <c r="K583" s="12">
        <f t="shared" si="159"/>
        <v>0</v>
      </c>
      <c r="M583" s="10">
        <v>22</v>
      </c>
      <c r="N583" s="30"/>
      <c r="O583" s="31"/>
      <c r="P583" s="45"/>
      <c r="Q583" s="31"/>
      <c r="R583" s="31"/>
      <c r="S583" s="32">
        <f t="shared" si="160"/>
        <v>0</v>
      </c>
      <c r="T583" s="10"/>
      <c r="U583" s="10"/>
      <c r="V583" s="10"/>
      <c r="W583" s="12">
        <f t="shared" si="161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67"/>
        <v>0</v>
      </c>
      <c r="AF583" s="10"/>
      <c r="AG583" s="10"/>
      <c r="AH583" s="10"/>
      <c r="AI583" s="12">
        <f t="shared" si="163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58"/>
        <v>0</v>
      </c>
      <c r="H584" s="10"/>
      <c r="I584" s="10"/>
      <c r="J584" s="12"/>
      <c r="K584" s="12">
        <f t="shared" si="159"/>
        <v>0</v>
      </c>
      <c r="M584" s="10">
        <v>23</v>
      </c>
      <c r="N584" s="30"/>
      <c r="O584" s="31"/>
      <c r="P584" s="47"/>
      <c r="Q584" s="31"/>
      <c r="S584" s="32">
        <f t="shared" si="160"/>
        <v>0</v>
      </c>
      <c r="T584" s="10"/>
      <c r="U584" s="10"/>
      <c r="V584" s="10"/>
      <c r="W584" s="12">
        <f t="shared" si="161"/>
        <v>0</v>
      </c>
      <c r="Y584" s="10">
        <v>23</v>
      </c>
      <c r="Z584" s="30"/>
      <c r="AA584" s="31"/>
      <c r="AB584" s="47"/>
      <c r="AE584" s="32">
        <f t="shared" si="167"/>
        <v>0</v>
      </c>
      <c r="AF584" s="10"/>
      <c r="AG584" s="10"/>
      <c r="AH584" s="10"/>
      <c r="AI584" s="12">
        <f t="shared" si="163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58"/>
        <v>0</v>
      </c>
      <c r="H585" s="10"/>
      <c r="I585" s="10"/>
      <c r="J585" s="10"/>
      <c r="K585" s="12">
        <f t="shared" si="159"/>
        <v>0</v>
      </c>
      <c r="M585" s="10">
        <v>24</v>
      </c>
      <c r="N585" s="30"/>
      <c r="O585" s="31"/>
      <c r="P585" s="47"/>
      <c r="Q585" s="31"/>
      <c r="R585" s="31"/>
      <c r="S585" s="32">
        <f t="shared" si="160"/>
        <v>0</v>
      </c>
      <c r="T585" s="10"/>
      <c r="U585" s="10"/>
      <c r="V585" s="10"/>
      <c r="W585" s="12">
        <f t="shared" si="161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67"/>
        <v>0</v>
      </c>
      <c r="AF585" s="10"/>
      <c r="AG585" s="10"/>
      <c r="AH585" s="10"/>
      <c r="AI585" s="12">
        <f t="shared" si="163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58"/>
        <v>0</v>
      </c>
      <c r="H586" s="10"/>
      <c r="I586" s="10"/>
      <c r="J586" s="10"/>
      <c r="K586" s="12">
        <f t="shared" si="159"/>
        <v>0</v>
      </c>
      <c r="M586" s="10">
        <v>25</v>
      </c>
      <c r="N586" s="30"/>
      <c r="O586" s="31"/>
      <c r="P586" s="47"/>
      <c r="Q586" s="31"/>
      <c r="R586" s="31"/>
      <c r="S586" s="32">
        <f t="shared" si="160"/>
        <v>0</v>
      </c>
      <c r="T586" s="10"/>
      <c r="U586" s="10"/>
      <c r="V586" s="10"/>
      <c r="W586" s="12">
        <f t="shared" si="161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67"/>
        <v>0</v>
      </c>
      <c r="AF586" s="10"/>
      <c r="AG586" s="10"/>
      <c r="AH586" s="10"/>
      <c r="AI586" s="12">
        <f t="shared" si="163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58"/>
        <v>0</v>
      </c>
      <c r="H587" s="10"/>
      <c r="I587" s="10"/>
      <c r="J587" s="10"/>
      <c r="K587" s="12">
        <f t="shared" si="159"/>
        <v>0</v>
      </c>
      <c r="M587" s="10">
        <v>26</v>
      </c>
      <c r="N587" s="30"/>
      <c r="O587" s="31"/>
      <c r="P587" s="47"/>
      <c r="Q587" s="31"/>
      <c r="R587" s="31"/>
      <c r="S587" s="32">
        <f t="shared" si="160"/>
        <v>0</v>
      </c>
      <c r="T587" s="10"/>
      <c r="U587" s="10"/>
      <c r="V587" s="10"/>
      <c r="W587" s="12">
        <f t="shared" si="161"/>
        <v>0</v>
      </c>
      <c r="Y587" s="10">
        <v>26</v>
      </c>
      <c r="Z587" s="30"/>
      <c r="AB587" s="47"/>
      <c r="AC587" s="31"/>
      <c r="AD587" s="31"/>
      <c r="AE587" s="32">
        <f t="shared" si="167"/>
        <v>0</v>
      </c>
      <c r="AF587" s="10"/>
      <c r="AG587" s="10"/>
      <c r="AH587" s="10"/>
      <c r="AI587" s="12">
        <f t="shared" si="163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58"/>
        <v>0</v>
      </c>
      <c r="H588" s="10"/>
      <c r="I588" s="10"/>
      <c r="J588" s="10"/>
      <c r="K588" s="12">
        <f t="shared" si="159"/>
        <v>0</v>
      </c>
      <c r="M588" s="10">
        <v>27</v>
      </c>
      <c r="N588" s="30"/>
      <c r="O588" s="31"/>
      <c r="P588" s="47"/>
      <c r="Q588" s="31"/>
      <c r="R588" s="31"/>
      <c r="S588" s="32">
        <f t="shared" si="160"/>
        <v>0</v>
      </c>
      <c r="T588" s="10"/>
      <c r="U588" s="10"/>
      <c r="V588" s="10"/>
      <c r="W588" s="12">
        <f t="shared" si="161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67"/>
        <v>0</v>
      </c>
      <c r="AF588" s="10"/>
      <c r="AG588" s="10"/>
      <c r="AH588" s="10"/>
      <c r="AI588" s="12">
        <f t="shared" si="163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58"/>
        <v>0</v>
      </c>
      <c r="H589" s="10"/>
      <c r="I589" s="10"/>
      <c r="J589" s="10"/>
      <c r="K589" s="12">
        <f t="shared" si="159"/>
        <v>0</v>
      </c>
      <c r="M589" s="10">
        <v>28</v>
      </c>
      <c r="N589" s="30"/>
      <c r="O589" s="31"/>
      <c r="P589" s="47"/>
      <c r="Q589" s="31"/>
      <c r="R589" s="31"/>
      <c r="S589" s="32">
        <f t="shared" si="160"/>
        <v>0</v>
      </c>
      <c r="T589" s="10"/>
      <c r="U589" s="10"/>
      <c r="V589" s="10"/>
      <c r="W589" s="12">
        <f t="shared" si="161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67"/>
        <v>0</v>
      </c>
      <c r="AF589" s="10"/>
      <c r="AG589" s="10"/>
      <c r="AH589" s="10"/>
      <c r="AI589" s="12">
        <f t="shared" si="163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58"/>
        <v>0</v>
      </c>
      <c r="H590" s="10"/>
      <c r="I590" s="10"/>
      <c r="J590" s="10"/>
      <c r="K590" s="12">
        <f t="shared" si="159"/>
        <v>0</v>
      </c>
      <c r="M590" s="10">
        <v>29</v>
      </c>
      <c r="N590" s="30"/>
      <c r="O590" s="31"/>
      <c r="P590" s="47"/>
      <c r="Q590" s="31"/>
      <c r="R590" s="31"/>
      <c r="S590" s="32">
        <f t="shared" si="160"/>
        <v>0</v>
      </c>
      <c r="T590" s="10"/>
      <c r="U590" s="10"/>
      <c r="V590" s="10"/>
      <c r="W590" s="12">
        <f t="shared" si="161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67"/>
        <v>0</v>
      </c>
      <c r="AF590" s="10"/>
      <c r="AG590" s="10"/>
      <c r="AH590" s="10"/>
      <c r="AI590" s="12">
        <f t="shared" si="163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58"/>
        <v>0</v>
      </c>
      <c r="H591" s="10"/>
      <c r="I591" s="10"/>
      <c r="J591" s="10"/>
      <c r="K591" s="12">
        <f t="shared" si="159"/>
        <v>0</v>
      </c>
      <c r="M591" s="10">
        <v>30</v>
      </c>
      <c r="N591" s="30"/>
      <c r="O591" s="31"/>
      <c r="P591" s="47"/>
      <c r="Q591" s="31"/>
      <c r="R591" s="31"/>
      <c r="S591" s="32">
        <f t="shared" si="160"/>
        <v>0</v>
      </c>
      <c r="T591" s="10"/>
      <c r="U591" s="10"/>
      <c r="V591" s="10"/>
      <c r="W591" s="12">
        <f t="shared" si="161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67"/>
        <v>0</v>
      </c>
      <c r="AF591" s="10"/>
      <c r="AG591" s="10"/>
      <c r="AH591" s="10"/>
      <c r="AI591" s="12">
        <f t="shared" si="163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58"/>
        <v>0</v>
      </c>
      <c r="H592" s="10"/>
      <c r="I592" s="10"/>
      <c r="J592" s="10"/>
      <c r="K592" s="12">
        <f t="shared" si="159"/>
        <v>0</v>
      </c>
      <c r="M592" s="10">
        <v>31</v>
      </c>
      <c r="N592" s="30"/>
      <c r="O592" s="31"/>
      <c r="P592" s="47"/>
      <c r="Q592" s="31"/>
      <c r="R592" s="31"/>
      <c r="S592" s="32">
        <f t="shared" si="160"/>
        <v>0</v>
      </c>
      <c r="T592" s="10"/>
      <c r="U592" s="10"/>
      <c r="V592" s="10"/>
      <c r="W592" s="12">
        <f t="shared" si="161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67"/>
        <v>0</v>
      </c>
      <c r="AF592" s="10"/>
      <c r="AG592" s="10"/>
      <c r="AH592" s="10"/>
      <c r="AI592" s="12">
        <f t="shared" si="163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58"/>
        <v>0</v>
      </c>
      <c r="H593" s="10"/>
      <c r="I593" s="10"/>
      <c r="J593" s="10"/>
      <c r="K593" s="12">
        <f t="shared" si="159"/>
        <v>0</v>
      </c>
      <c r="M593" s="10">
        <v>32</v>
      </c>
      <c r="N593" s="30"/>
      <c r="O593" s="31"/>
      <c r="P593" s="47"/>
      <c r="Q593" s="31"/>
      <c r="R593" s="31"/>
      <c r="S593" s="32">
        <f t="shared" si="160"/>
        <v>0</v>
      </c>
      <c r="T593" s="10"/>
      <c r="U593" s="10"/>
      <c r="V593" s="10"/>
      <c r="W593" s="12">
        <f t="shared" si="161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67"/>
        <v>0</v>
      </c>
      <c r="AF593" s="10"/>
      <c r="AG593" s="10"/>
      <c r="AH593" s="10"/>
      <c r="AI593" s="12">
        <f t="shared" si="163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58"/>
        <v>0</v>
      </c>
      <c r="H594" s="10"/>
      <c r="I594" s="10"/>
      <c r="J594" s="10"/>
      <c r="K594" s="12">
        <f t="shared" si="159"/>
        <v>0</v>
      </c>
      <c r="M594" s="10">
        <v>33</v>
      </c>
      <c r="N594" s="30"/>
      <c r="O594" s="31"/>
      <c r="P594" s="47"/>
      <c r="Q594" s="31"/>
      <c r="R594" s="31"/>
      <c r="S594" s="32">
        <f t="shared" si="160"/>
        <v>0</v>
      </c>
      <c r="T594" s="10"/>
      <c r="U594" s="10"/>
      <c r="V594" s="10"/>
      <c r="W594" s="12">
        <f t="shared" si="161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67"/>
        <v>0</v>
      </c>
      <c r="AF594" s="10"/>
      <c r="AG594" s="10"/>
      <c r="AH594" s="10"/>
      <c r="AI594" s="12">
        <f t="shared" si="163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58"/>
        <v>0</v>
      </c>
      <c r="H595" s="10"/>
      <c r="I595" s="10"/>
      <c r="J595" s="10"/>
      <c r="K595" s="12">
        <f t="shared" si="159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68">SUM(P595:Q595)</f>
        <v>0</v>
      </c>
      <c r="T595" s="10"/>
      <c r="U595" s="10"/>
      <c r="V595" s="10"/>
      <c r="W595" s="12">
        <f t="shared" si="161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69">SUM(AB595:AC595)</f>
        <v>0</v>
      </c>
      <c r="AF595" s="10"/>
      <c r="AG595" s="10"/>
      <c r="AH595" s="10"/>
      <c r="AI595" s="12">
        <f t="shared" si="163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P596" s="47"/>
      <c r="Q596" s="31"/>
      <c r="R596" s="31"/>
      <c r="S596" s="32">
        <f t="shared" si="168"/>
        <v>0</v>
      </c>
      <c r="T596" s="10"/>
      <c r="U596" s="10"/>
      <c r="V596" s="10"/>
      <c r="W596" s="12">
        <f t="shared" si="161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69"/>
        <v>0</v>
      </c>
      <c r="AF596" s="10"/>
      <c r="AG596" s="10"/>
      <c r="AH596" s="10"/>
      <c r="AI596" s="12">
        <f t="shared" si="16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8"/>
        <v>0</v>
      </c>
      <c r="T597" s="10"/>
      <c r="U597" s="10"/>
      <c r="V597" s="10"/>
      <c r="W597" s="12">
        <f t="shared" si="161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69"/>
        <v>0</v>
      </c>
      <c r="AF597" s="10"/>
      <c r="AG597" s="10"/>
      <c r="AH597" s="10"/>
      <c r="AI597" s="12">
        <f t="shared" si="16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O598" s="31"/>
      <c r="P598" s="47"/>
      <c r="Q598" s="31"/>
      <c r="R598" s="31"/>
      <c r="S598" s="32">
        <f t="shared" si="168"/>
        <v>0</v>
      </c>
      <c r="T598" s="10"/>
      <c r="U598" s="10"/>
      <c r="V598" s="10"/>
      <c r="W598" s="12">
        <f t="shared" si="161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69"/>
        <v>0</v>
      </c>
      <c r="AF598" s="10"/>
      <c r="AG598" s="10"/>
      <c r="AH598" s="10"/>
      <c r="AI598" s="12">
        <f t="shared" si="16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8"/>
        <v>0</v>
      </c>
      <c r="T599" s="10"/>
      <c r="U599" s="10"/>
      <c r="V599" s="10"/>
      <c r="W599" s="12">
        <f t="shared" si="161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69"/>
        <v>0</v>
      </c>
      <c r="AF599" s="10"/>
      <c r="AG599" s="10"/>
      <c r="AH599" s="10"/>
      <c r="AI599" s="12">
        <f t="shared" si="16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8"/>
        <v>0</v>
      </c>
      <c r="T600" s="10"/>
      <c r="U600" s="10"/>
      <c r="V600" s="10"/>
      <c r="W600" s="12">
        <f t="shared" si="161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69"/>
        <v>0</v>
      </c>
      <c r="AF600" s="10"/>
      <c r="AG600" s="10"/>
      <c r="AH600" s="10"/>
      <c r="AI600" s="12">
        <f t="shared" si="16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1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6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0">SUM(D602:E602)</f>
        <v>0</v>
      </c>
      <c r="H602" s="10"/>
      <c r="I602" s="10"/>
      <c r="J602" s="10"/>
      <c r="K602" s="12">
        <f t="shared" ref="K602" si="171">SUM(G602:J602)</f>
        <v>0</v>
      </c>
      <c r="M602" s="10"/>
      <c r="N602" s="30"/>
      <c r="O602" s="31"/>
      <c r="P602" s="47"/>
      <c r="Q602" s="31"/>
      <c r="R602" s="31"/>
      <c r="S602" s="32">
        <f t="shared" ref="S602" si="172">SUM(P602:Q602)</f>
        <v>0</v>
      </c>
      <c r="T602" s="10"/>
      <c r="U602" s="10"/>
      <c r="V602" s="10"/>
      <c r="W602" s="12">
        <f t="shared" si="161"/>
        <v>0</v>
      </c>
      <c r="Y602" s="10"/>
      <c r="Z602" s="30"/>
      <c r="AA602" s="31"/>
      <c r="AB602" s="47"/>
      <c r="AC602" s="31"/>
      <c r="AD602" s="31"/>
      <c r="AE602" s="32">
        <f t="shared" ref="AE602" si="173">SUM(AB602:AC602)</f>
        <v>0</v>
      </c>
      <c r="AF602" s="10"/>
      <c r="AG602" s="10"/>
      <c r="AH602" s="10"/>
      <c r="AI602" s="12">
        <f t="shared" si="16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1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6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479010</v>
      </c>
      <c r="E605" s="38">
        <f t="shared" ref="E605:F605" si="174">SUM(E562:E602)</f>
        <v>-1998</v>
      </c>
      <c r="F605" s="38">
        <f t="shared" si="174"/>
        <v>0</v>
      </c>
      <c r="G605" s="38">
        <f>SUM(G562:G604)</f>
        <v>477012</v>
      </c>
      <c r="H605" s="4"/>
      <c r="I605" s="39">
        <f>SUM(I562:I604)</f>
        <v>1116</v>
      </c>
      <c r="J605" s="39">
        <f>SUM(J562:J604)</f>
        <v>-19980</v>
      </c>
      <c r="K605" s="40">
        <f>SUM(K562:K604)</f>
        <v>458148</v>
      </c>
      <c r="N605" s="57"/>
      <c r="O605" s="57"/>
      <c r="P605" s="38">
        <f>SUM(P562:P604)</f>
        <v>238612.5</v>
      </c>
      <c r="Q605" s="38">
        <f>SUM(Q562:Q586)</f>
        <v>0</v>
      </c>
      <c r="R605" s="38">
        <f>SUM(R562:R586)</f>
        <v>0</v>
      </c>
      <c r="S605" s="38">
        <f>SUM(S562:S604)</f>
        <v>238612.5</v>
      </c>
      <c r="T605" s="4"/>
      <c r="U605" s="41">
        <f>SUM(U562:U604)</f>
        <v>538.5</v>
      </c>
      <c r="V605" s="41">
        <f>SUM(V562:V586)</f>
        <v>-3258</v>
      </c>
      <c r="W605" s="42">
        <f>SUM(W562:W604)</f>
        <v>235893</v>
      </c>
      <c r="Z605" s="57"/>
      <c r="AA605" s="57"/>
      <c r="AB605" s="38">
        <f>SUM(AB562:AB604)</f>
        <v>228476</v>
      </c>
      <c r="AC605" s="38">
        <f>SUM(AC562:AC586)</f>
        <v>-1266</v>
      </c>
      <c r="AD605" s="38">
        <f>SUM(AD562:AD586)</f>
        <v>0</v>
      </c>
      <c r="AE605" s="38">
        <f>SUM(AE562:AE604)</f>
        <v>227210</v>
      </c>
      <c r="AF605" s="4"/>
      <c r="AG605" s="41">
        <f>SUM(AG562:AG604)</f>
        <v>279</v>
      </c>
      <c r="AH605" s="41">
        <f>SUM(AH562:AH586)</f>
        <v>-1332</v>
      </c>
      <c r="AI605" s="42">
        <f>SUM(AI562:AI604)</f>
        <v>226157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103"/>
      <c r="C607" s="103"/>
      <c r="D607" s="103"/>
      <c r="E607" s="103"/>
      <c r="F607" s="103"/>
      <c r="G607" s="103"/>
      <c r="H607" s="62"/>
      <c r="I607" s="62"/>
      <c r="J607" s="62"/>
      <c r="K607" s="62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103"/>
      <c r="C608" s="103"/>
      <c r="D608" s="103"/>
      <c r="E608" s="103"/>
      <c r="F608" s="103"/>
      <c r="G608" s="103"/>
      <c r="H608" s="62"/>
      <c r="I608" s="62"/>
      <c r="J608" s="62"/>
      <c r="K608" s="62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103"/>
      <c r="C609" s="103"/>
      <c r="D609" s="103"/>
      <c r="E609" s="103"/>
      <c r="F609" s="103"/>
      <c r="G609" s="103"/>
      <c r="H609" s="62"/>
      <c r="I609" s="62"/>
      <c r="J609" s="62"/>
      <c r="K609" s="62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103"/>
      <c r="C610" s="103"/>
      <c r="D610" s="103"/>
      <c r="E610" s="103"/>
      <c r="F610" s="103"/>
      <c r="G610" s="103"/>
      <c r="H610" s="62"/>
      <c r="I610" s="62"/>
      <c r="J610" s="62"/>
      <c r="K610" s="62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103"/>
      <c r="C611" s="103"/>
      <c r="D611" s="103"/>
      <c r="E611" s="103"/>
      <c r="F611" s="103"/>
      <c r="G611" s="103"/>
      <c r="H611" s="62"/>
      <c r="I611" s="62"/>
      <c r="J611" s="62"/>
      <c r="K611" s="62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103"/>
      <c r="C612" s="103"/>
      <c r="D612" s="103"/>
      <c r="E612" s="103"/>
      <c r="F612" s="103"/>
      <c r="G612" s="103"/>
      <c r="H612" s="62"/>
      <c r="I612" s="103"/>
      <c r="J612" s="73"/>
      <c r="K612" s="62"/>
      <c r="M612" t="s">
        <v>34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34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103"/>
      <c r="C613" s="103"/>
      <c r="D613" s="103"/>
      <c r="E613" s="103"/>
      <c r="F613" s="103"/>
      <c r="G613" s="103"/>
      <c r="H613" s="62"/>
      <c r="I613" s="65"/>
      <c r="J613" s="65"/>
      <c r="K613" s="62"/>
      <c r="M613" s="21" t="s">
        <v>67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67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35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103"/>
      <c r="C614" s="103"/>
      <c r="D614" s="103"/>
      <c r="E614" s="103"/>
      <c r="F614" s="103"/>
      <c r="G614" s="103"/>
      <c r="H614" s="62"/>
      <c r="I614" s="62"/>
      <c r="J614" s="62"/>
      <c r="K614" s="62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103"/>
      <c r="D615" s="115"/>
      <c r="E615" s="115"/>
      <c r="F615" s="103"/>
      <c r="G615" s="103"/>
      <c r="H615" s="62"/>
      <c r="I615" s="115"/>
      <c r="J615" s="115"/>
      <c r="K615" s="114"/>
      <c r="N615" s="25"/>
      <c r="O615" s="26"/>
      <c r="P615" s="113" t="s">
        <v>17</v>
      </c>
      <c r="Q615" s="113"/>
      <c r="R615" s="101"/>
      <c r="S615" s="27"/>
      <c r="U615" s="111" t="s">
        <v>18</v>
      </c>
      <c r="V615" s="112"/>
      <c r="W615" s="109" t="s">
        <v>19</v>
      </c>
      <c r="Z615" s="25"/>
      <c r="AA615" s="26"/>
      <c r="AB615" s="113" t="s">
        <v>17</v>
      </c>
      <c r="AC615" s="113"/>
      <c r="AD615" s="101"/>
      <c r="AE615" s="27"/>
      <c r="AG615" s="111" t="s">
        <v>18</v>
      </c>
      <c r="AH615" s="112"/>
      <c r="AI615" s="109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A616" s="62"/>
      <c r="B616" s="103"/>
      <c r="C616" s="103"/>
      <c r="D616" s="79"/>
      <c r="E616" s="80"/>
      <c r="F616" s="81"/>
      <c r="G616" s="81"/>
      <c r="H616" s="62"/>
      <c r="I616" s="102"/>
      <c r="J616" s="102"/>
      <c r="K616" s="114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0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0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M617" s="10">
        <v>1</v>
      </c>
      <c r="N617" s="30" t="s">
        <v>68</v>
      </c>
      <c r="O617" s="31">
        <v>9701</v>
      </c>
      <c r="P617" s="32">
        <v>13538</v>
      </c>
      <c r="Q617" s="32"/>
      <c r="R617" s="32"/>
      <c r="S617" s="32">
        <f>SUM(P617:Q617)</f>
        <v>13538</v>
      </c>
      <c r="T617" s="12"/>
      <c r="U617" s="12"/>
      <c r="V617" s="12"/>
      <c r="W617" s="12">
        <f>SUM(S617:V617)</f>
        <v>13538</v>
      </c>
      <c r="Y617" s="10">
        <v>1</v>
      </c>
      <c r="Z617" s="30" t="s">
        <v>68</v>
      </c>
      <c r="AA617" s="31">
        <v>9576</v>
      </c>
      <c r="AB617" s="32">
        <f>670*2</f>
        <v>1340</v>
      </c>
      <c r="AC617" s="32"/>
      <c r="AD617" s="32"/>
      <c r="AE617" s="32">
        <f>SUM(AB617:AC617)</f>
        <v>1340</v>
      </c>
      <c r="AF617" s="12"/>
      <c r="AG617" s="12"/>
      <c r="AH617" s="12"/>
      <c r="AI617" s="12">
        <f>SUM(AE617:AH617)</f>
        <v>1340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M618" s="10">
        <v>2</v>
      </c>
      <c r="N618" s="30" t="s">
        <v>68</v>
      </c>
      <c r="O618" s="31">
        <f>O617+1</f>
        <v>9702</v>
      </c>
      <c r="P618" s="32">
        <v>6595</v>
      </c>
      <c r="Q618" s="32"/>
      <c r="R618" s="32"/>
      <c r="S618" s="32">
        <f t="shared" ref="S618:S655" si="175">SUM(P618:Q618)</f>
        <v>6595</v>
      </c>
      <c r="T618" s="12"/>
      <c r="U618" s="12"/>
      <c r="V618" s="12">
        <v>-222</v>
      </c>
      <c r="W618" s="12">
        <f t="shared" ref="W618:W658" si="176">SUM(S618:V618)</f>
        <v>6373</v>
      </c>
      <c r="Y618" s="10">
        <v>2</v>
      </c>
      <c r="Z618" s="30" t="s">
        <v>68</v>
      </c>
      <c r="AA618" s="31">
        <f>AA617+1</f>
        <v>9577</v>
      </c>
      <c r="AB618" s="32">
        <f>650*216</f>
        <v>140400</v>
      </c>
      <c r="AC618" s="32">
        <f>-216*6</f>
        <v>-1296</v>
      </c>
      <c r="AD618" s="32"/>
      <c r="AE618" s="32">
        <f t="shared" ref="AE618:AE626" si="177">SUM(AB618:AC618)</f>
        <v>139104</v>
      </c>
      <c r="AF618" s="12"/>
      <c r="AG618" s="12">
        <f>666+54</f>
        <v>720</v>
      </c>
      <c r="AH618" s="12"/>
      <c r="AI618" s="12">
        <f t="shared" ref="AI618:AI658" si="178">SUM(AE618:AH618)</f>
        <v>139824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M619" s="10">
        <v>3</v>
      </c>
      <c r="N619" s="30" t="s">
        <v>68</v>
      </c>
      <c r="O619" s="31">
        <f t="shared" ref="O619:O623" si="179">O618+1</f>
        <v>9703</v>
      </c>
      <c r="P619" s="32">
        <v>97398</v>
      </c>
      <c r="Q619" s="32">
        <v>-900</v>
      </c>
      <c r="R619" s="32"/>
      <c r="S619" s="32">
        <f t="shared" si="175"/>
        <v>96498</v>
      </c>
      <c r="T619" s="12"/>
      <c r="U619" s="12">
        <v>72</v>
      </c>
      <c r="V619" s="12"/>
      <c r="W619" s="12">
        <f t="shared" si="176"/>
        <v>96570</v>
      </c>
      <c r="Y619" s="10">
        <v>3</v>
      </c>
      <c r="Z619" s="30" t="s">
        <v>68</v>
      </c>
      <c r="AA619" s="31">
        <f t="shared" ref="AA619:AA621" si="180">AA618+1</f>
        <v>9578</v>
      </c>
      <c r="AB619" s="33">
        <f>650*35+622*5</f>
        <v>25860</v>
      </c>
      <c r="AC619" s="33"/>
      <c r="AD619" s="32"/>
      <c r="AE619" s="32">
        <f t="shared" si="177"/>
        <v>25860</v>
      </c>
      <c r="AF619" s="12"/>
      <c r="AG619" s="12">
        <f>30*4.5</f>
        <v>135</v>
      </c>
      <c r="AH619" s="12"/>
      <c r="AI619" s="12">
        <f t="shared" si="178"/>
        <v>25995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M620" s="10">
        <v>4</v>
      </c>
      <c r="N620" s="30" t="s">
        <v>68</v>
      </c>
      <c r="O620" s="31">
        <f t="shared" si="179"/>
        <v>9704</v>
      </c>
      <c r="P620" s="32"/>
      <c r="Q620" s="32"/>
      <c r="R620" s="32"/>
      <c r="S620" s="32">
        <f t="shared" si="175"/>
        <v>0</v>
      </c>
      <c r="T620" s="12"/>
      <c r="U620" s="12"/>
      <c r="V620" s="12"/>
      <c r="W620" s="12">
        <f t="shared" si="176"/>
        <v>0</v>
      </c>
      <c r="Y620" s="10">
        <v>4</v>
      </c>
      <c r="Z620" s="30" t="s">
        <v>68</v>
      </c>
      <c r="AA620" s="31">
        <f t="shared" si="180"/>
        <v>9579</v>
      </c>
      <c r="AB620" s="32">
        <f>650*226+229*5</f>
        <v>148045</v>
      </c>
      <c r="AC620" s="32"/>
      <c r="AD620" s="32"/>
      <c r="AE620" s="32">
        <f t="shared" si="177"/>
        <v>148045</v>
      </c>
      <c r="AF620" s="12"/>
      <c r="AG620" s="58">
        <f>226*111+78*5</f>
        <v>25476</v>
      </c>
      <c r="AH620" s="12"/>
      <c r="AI620" s="12">
        <f t="shared" si="178"/>
        <v>173521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M621" s="10">
        <v>5</v>
      </c>
      <c r="N621" s="30" t="s">
        <v>68</v>
      </c>
      <c r="O621" s="31">
        <f t="shared" si="179"/>
        <v>9705</v>
      </c>
      <c r="P621" s="32">
        <v>230152</v>
      </c>
      <c r="Q621" s="32">
        <v>-2082</v>
      </c>
      <c r="R621" s="32"/>
      <c r="S621" s="32">
        <f t="shared" si="175"/>
        <v>228070</v>
      </c>
      <c r="T621" s="12"/>
      <c r="U621" s="12">
        <v>936</v>
      </c>
      <c r="V621" s="12">
        <v>-588</v>
      </c>
      <c r="W621" s="12">
        <f t="shared" si="176"/>
        <v>228418</v>
      </c>
      <c r="Y621" s="10">
        <v>5</v>
      </c>
      <c r="Z621" s="30" t="s">
        <v>68</v>
      </c>
      <c r="AA621" s="31">
        <f t="shared" si="180"/>
        <v>9580</v>
      </c>
      <c r="AB621" s="32">
        <f>650*43+622*18</f>
        <v>39146</v>
      </c>
      <c r="AC621" s="32">
        <f>-61*6</f>
        <v>-366</v>
      </c>
      <c r="AD621" s="32"/>
      <c r="AE621" s="32">
        <f t="shared" si="177"/>
        <v>38780</v>
      </c>
      <c r="AF621" s="12"/>
      <c r="AG621" s="12"/>
      <c r="AH621" s="12">
        <v>-3441</v>
      </c>
      <c r="AI621" s="12">
        <f t="shared" si="178"/>
        <v>35339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M622" s="10">
        <v>6</v>
      </c>
      <c r="N622" s="30" t="s">
        <v>68</v>
      </c>
      <c r="O622" s="31">
        <f t="shared" si="179"/>
        <v>9706</v>
      </c>
      <c r="P622" s="32">
        <v>13000</v>
      </c>
      <c r="Q622" s="32"/>
      <c r="R622" s="32"/>
      <c r="S622" s="32">
        <f t="shared" si="175"/>
        <v>13000</v>
      </c>
      <c r="T622" s="12"/>
      <c r="U622" s="12"/>
      <c r="V622" s="10"/>
      <c r="W622" s="12">
        <f t="shared" si="176"/>
        <v>13000</v>
      </c>
      <c r="Y622" s="10">
        <v>6</v>
      </c>
      <c r="Z622" s="30"/>
      <c r="AA622" s="11" t="s">
        <v>27</v>
      </c>
      <c r="AB622" s="32"/>
      <c r="AC622" s="32"/>
      <c r="AD622" s="32"/>
      <c r="AE622" s="32">
        <f t="shared" si="177"/>
        <v>0</v>
      </c>
      <c r="AF622" s="12"/>
      <c r="AG622" s="12"/>
      <c r="AH622" s="10"/>
      <c r="AI622" s="12">
        <f t="shared" si="178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M623" s="10">
        <v>7</v>
      </c>
      <c r="N623" s="30" t="s">
        <v>68</v>
      </c>
      <c r="O623" s="31">
        <f t="shared" si="179"/>
        <v>9707</v>
      </c>
      <c r="P623" s="32">
        <v>24642</v>
      </c>
      <c r="Q623" s="32"/>
      <c r="R623" s="32"/>
      <c r="S623" s="32">
        <f t="shared" si="175"/>
        <v>24642</v>
      </c>
      <c r="T623" s="12"/>
      <c r="U623" s="12">
        <v>108</v>
      </c>
      <c r="V623" s="12"/>
      <c r="W623" s="12">
        <f t="shared" si="176"/>
        <v>24750</v>
      </c>
      <c r="Y623" s="10">
        <v>7</v>
      </c>
      <c r="Z623" s="30"/>
      <c r="AA623" s="31"/>
      <c r="AB623" s="32"/>
      <c r="AC623" s="32"/>
      <c r="AD623" s="32"/>
      <c r="AE623" s="32">
        <f t="shared" si="177"/>
        <v>0</v>
      </c>
      <c r="AF623" s="12"/>
      <c r="AG623" s="58"/>
      <c r="AH623" s="12"/>
      <c r="AI623" s="12">
        <f t="shared" si="17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M624" s="10">
        <v>8</v>
      </c>
      <c r="N624" s="30"/>
      <c r="O624" s="11" t="s">
        <v>27</v>
      </c>
      <c r="P624" s="32"/>
      <c r="Q624" s="32"/>
      <c r="R624" s="32"/>
      <c r="S624" s="32">
        <f t="shared" si="175"/>
        <v>0</v>
      </c>
      <c r="T624" s="12"/>
      <c r="U624" s="12"/>
      <c r="V624" s="12"/>
      <c r="W624" s="12">
        <f t="shared" si="176"/>
        <v>0</v>
      </c>
      <c r="Y624" s="10">
        <v>8</v>
      </c>
      <c r="Z624" s="30"/>
      <c r="AA624" s="31"/>
      <c r="AB624" s="32"/>
      <c r="AC624" s="32"/>
      <c r="AE624" s="32">
        <f t="shared" si="177"/>
        <v>0</v>
      </c>
      <c r="AF624" s="12"/>
      <c r="AG624" s="12"/>
      <c r="AH624" s="12"/>
      <c r="AI624" s="12">
        <f t="shared" si="17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M625" s="10">
        <v>9</v>
      </c>
      <c r="N625" s="30"/>
      <c r="P625" s="32"/>
      <c r="Q625" s="32"/>
      <c r="R625" s="32"/>
      <c r="S625" s="32">
        <f t="shared" si="175"/>
        <v>0</v>
      </c>
      <c r="T625" s="12"/>
      <c r="U625" s="12"/>
      <c r="V625" s="12"/>
      <c r="W625" s="12">
        <f t="shared" si="176"/>
        <v>0</v>
      </c>
      <c r="Y625" s="10">
        <v>9</v>
      </c>
      <c r="Z625" s="30"/>
      <c r="AA625" s="31"/>
      <c r="AB625" s="32"/>
      <c r="AC625" s="32"/>
      <c r="AD625" s="32"/>
      <c r="AE625" s="32">
        <f t="shared" si="177"/>
        <v>0</v>
      </c>
      <c r="AF625" s="12"/>
      <c r="AH625" s="12"/>
      <c r="AI625" s="12">
        <f t="shared" si="17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M626" s="10">
        <v>10</v>
      </c>
      <c r="N626" s="30"/>
      <c r="O626" s="31"/>
      <c r="P626" s="32"/>
      <c r="Q626" s="32"/>
      <c r="R626" s="32"/>
      <c r="S626" s="32">
        <f t="shared" si="175"/>
        <v>0</v>
      </c>
      <c r="T626" s="12"/>
      <c r="U626" s="12"/>
      <c r="V626" s="12"/>
      <c r="W626" s="12">
        <f t="shared" si="17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77"/>
        <v>0</v>
      </c>
      <c r="AF626" s="12"/>
      <c r="AG626" s="12"/>
      <c r="AH626" s="12"/>
      <c r="AI626" s="12">
        <f t="shared" si="17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M627" s="10">
        <v>11</v>
      </c>
      <c r="N627" s="30"/>
      <c r="O627" s="31"/>
      <c r="P627" s="32"/>
      <c r="Q627" s="32"/>
      <c r="R627" s="32"/>
      <c r="S627" s="32">
        <f t="shared" si="175"/>
        <v>0</v>
      </c>
      <c r="T627" s="12"/>
      <c r="U627" s="12"/>
      <c r="V627" s="12"/>
      <c r="W627" s="12">
        <f t="shared" si="176"/>
        <v>0</v>
      </c>
      <c r="Y627" s="10">
        <v>11</v>
      </c>
      <c r="Z627" s="30"/>
      <c r="AA627" s="31"/>
      <c r="AB627" s="32"/>
      <c r="AC627" s="32"/>
      <c r="AD627" s="32"/>
      <c r="AE627" s="32">
        <f t="shared" ref="AE627:AE649" si="181">SUM(AB627:AC627)</f>
        <v>0</v>
      </c>
      <c r="AF627" s="12"/>
      <c r="AG627" s="12"/>
      <c r="AH627" s="12"/>
      <c r="AI627" s="12">
        <f t="shared" si="17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103"/>
      <c r="D628" s="60"/>
      <c r="E628" s="60"/>
      <c r="F628" s="60"/>
      <c r="G628" s="60"/>
      <c r="H628" s="61"/>
      <c r="I628" s="61"/>
      <c r="J628" s="62"/>
      <c r="K628" s="61"/>
      <c r="M628" s="10">
        <v>12</v>
      </c>
      <c r="N628" s="30"/>
      <c r="O628" s="31"/>
      <c r="P628" s="32"/>
      <c r="Q628" s="32"/>
      <c r="R628" s="32"/>
      <c r="S628" s="32">
        <f t="shared" si="175"/>
        <v>0</v>
      </c>
      <c r="T628" s="12"/>
      <c r="U628" s="12"/>
      <c r="V628" s="12"/>
      <c r="W628" s="12">
        <f t="shared" si="176"/>
        <v>0</v>
      </c>
      <c r="Y628" s="10">
        <v>12</v>
      </c>
      <c r="Z628" s="30"/>
      <c r="AB628" s="32"/>
      <c r="AC628" s="32"/>
      <c r="AD628" s="32"/>
      <c r="AE628" s="32">
        <f t="shared" si="181"/>
        <v>0</v>
      </c>
      <c r="AF628" s="12"/>
      <c r="AG628" s="12"/>
      <c r="AH628" s="12"/>
      <c r="AI628" s="12">
        <f t="shared" si="17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M629" s="10">
        <v>13</v>
      </c>
      <c r="N629" s="30"/>
      <c r="O629" s="31"/>
      <c r="P629" s="32"/>
      <c r="Q629" s="32"/>
      <c r="R629" s="32"/>
      <c r="S629" s="32">
        <f t="shared" si="175"/>
        <v>0</v>
      </c>
      <c r="T629" s="12"/>
      <c r="U629" s="12"/>
      <c r="V629" s="12"/>
      <c r="W629" s="12">
        <f t="shared" si="17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81"/>
        <v>0</v>
      </c>
      <c r="AF629" s="12"/>
      <c r="AG629" s="12"/>
      <c r="AH629" s="12"/>
      <c r="AI629" s="12">
        <f t="shared" si="17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M630" s="10">
        <v>14</v>
      </c>
      <c r="N630" s="30"/>
      <c r="O630" s="31"/>
      <c r="P630" s="32"/>
      <c r="Q630" s="32"/>
      <c r="R630" s="32"/>
      <c r="S630" s="32">
        <f t="shared" si="175"/>
        <v>0</v>
      </c>
      <c r="T630" s="12"/>
      <c r="U630" s="12"/>
      <c r="V630" s="12"/>
      <c r="W630" s="12">
        <f t="shared" si="17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81"/>
        <v>0</v>
      </c>
      <c r="AF630" s="12"/>
      <c r="AG630" s="12"/>
      <c r="AH630" s="12"/>
      <c r="AI630" s="12">
        <f t="shared" si="17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M631" s="10">
        <v>15</v>
      </c>
      <c r="N631" s="30"/>
      <c r="O631" s="31"/>
      <c r="P631" s="32"/>
      <c r="Q631" s="32"/>
      <c r="R631" s="32"/>
      <c r="S631" s="32">
        <f t="shared" si="175"/>
        <v>0</v>
      </c>
      <c r="T631" s="12"/>
      <c r="U631" s="12"/>
      <c r="V631" s="12"/>
      <c r="W631" s="12">
        <f t="shared" si="176"/>
        <v>0</v>
      </c>
      <c r="Y631" s="10">
        <v>15</v>
      </c>
      <c r="Z631" s="30"/>
      <c r="AB631" s="32"/>
      <c r="AC631" s="32"/>
      <c r="AD631" s="32"/>
      <c r="AE631" s="32">
        <f t="shared" si="181"/>
        <v>0</v>
      </c>
      <c r="AF631" s="12"/>
      <c r="AG631" s="12"/>
      <c r="AH631" s="12"/>
      <c r="AI631" s="12">
        <f t="shared" si="17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M632" s="10">
        <v>16</v>
      </c>
      <c r="N632" s="30"/>
      <c r="O632" s="31"/>
      <c r="P632" s="32"/>
      <c r="Q632" s="32"/>
      <c r="R632" s="32"/>
      <c r="S632" s="32">
        <f t="shared" si="175"/>
        <v>0</v>
      </c>
      <c r="T632" s="12"/>
      <c r="U632" s="12"/>
      <c r="V632" s="12"/>
      <c r="W632" s="12">
        <f t="shared" si="176"/>
        <v>0</v>
      </c>
      <c r="Y632" s="10">
        <v>16</v>
      </c>
      <c r="Z632" s="30"/>
      <c r="AB632" s="32"/>
      <c r="AC632" s="32"/>
      <c r="AD632" s="32"/>
      <c r="AE632" s="32">
        <f t="shared" si="181"/>
        <v>0</v>
      </c>
      <c r="AF632" s="12"/>
      <c r="AG632" s="12"/>
      <c r="AH632" s="12"/>
      <c r="AI632" s="12">
        <f t="shared" si="17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M633" s="10">
        <v>17</v>
      </c>
      <c r="N633" s="30"/>
      <c r="O633" s="31"/>
      <c r="P633" s="35"/>
      <c r="Q633" s="32"/>
      <c r="R633" s="32"/>
      <c r="S633" s="32">
        <f t="shared" si="175"/>
        <v>0</v>
      </c>
      <c r="T633" s="12"/>
      <c r="U633" s="12"/>
      <c r="V633" s="12"/>
      <c r="W633" s="12">
        <f t="shared" si="17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81"/>
        <v>0</v>
      </c>
      <c r="AF633" s="12"/>
      <c r="AG633" s="12"/>
      <c r="AH633" s="12"/>
      <c r="AI633" s="12">
        <f t="shared" si="17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M634" s="10">
        <v>18</v>
      </c>
      <c r="N634" s="30"/>
      <c r="O634" s="31"/>
      <c r="P634" s="32"/>
      <c r="Q634" s="32"/>
      <c r="R634" s="32"/>
      <c r="S634" s="32">
        <f t="shared" si="175"/>
        <v>0</v>
      </c>
      <c r="T634" s="12"/>
      <c r="U634" s="12"/>
      <c r="V634" s="12"/>
      <c r="W634" s="12">
        <f t="shared" si="17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81"/>
        <v>0</v>
      </c>
      <c r="AF634" s="12"/>
      <c r="AG634" s="12"/>
      <c r="AH634" s="12"/>
      <c r="AI634" s="12">
        <f t="shared" si="17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M635" s="10">
        <v>19</v>
      </c>
      <c r="N635" s="30"/>
      <c r="O635" s="31"/>
      <c r="P635" s="32"/>
      <c r="Q635" s="32"/>
      <c r="R635" s="32"/>
      <c r="S635" s="32">
        <f t="shared" si="175"/>
        <v>0</v>
      </c>
      <c r="T635" s="12"/>
      <c r="U635" s="12"/>
      <c r="V635" s="12"/>
      <c r="W635" s="12">
        <f t="shared" si="17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81"/>
        <v>0</v>
      </c>
      <c r="AF635" s="12"/>
      <c r="AG635" s="12"/>
      <c r="AH635" s="12"/>
      <c r="AI635" s="12">
        <f t="shared" si="17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M636" s="10">
        <v>20</v>
      </c>
      <c r="N636" s="30"/>
      <c r="O636" s="31"/>
      <c r="P636" s="32"/>
      <c r="Q636" s="32"/>
      <c r="R636" s="32"/>
      <c r="S636" s="32">
        <f t="shared" si="175"/>
        <v>0</v>
      </c>
      <c r="T636" s="12"/>
      <c r="U636" s="12"/>
      <c r="V636" s="12"/>
      <c r="W636" s="12">
        <f t="shared" si="176"/>
        <v>0</v>
      </c>
      <c r="Y636" s="10">
        <v>20</v>
      </c>
      <c r="Z636" s="30"/>
      <c r="AA636" s="31"/>
      <c r="AB636" s="32"/>
      <c r="AC636" s="32"/>
      <c r="AD636" s="32"/>
      <c r="AE636" s="32">
        <f t="shared" si="181"/>
        <v>0</v>
      </c>
      <c r="AF636" s="12"/>
      <c r="AG636" s="12"/>
      <c r="AH636" s="12"/>
      <c r="AI636" s="12">
        <f t="shared" si="17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M637" s="10">
        <v>21</v>
      </c>
      <c r="N637" s="30"/>
      <c r="O637" s="31"/>
      <c r="P637" s="46"/>
      <c r="Q637" s="31"/>
      <c r="R637" s="31"/>
      <c r="S637" s="32">
        <f t="shared" si="175"/>
        <v>0</v>
      </c>
      <c r="T637" s="10"/>
      <c r="U637" s="10"/>
      <c r="V637" s="10"/>
      <c r="W637" s="12">
        <f t="shared" si="176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81"/>
        <v>0</v>
      </c>
      <c r="AF637" s="10"/>
      <c r="AG637" s="10"/>
      <c r="AH637" s="10"/>
      <c r="AI637" s="12">
        <f t="shared" si="17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103"/>
      <c r="D638" s="60"/>
      <c r="E638" s="60"/>
      <c r="F638" s="60"/>
      <c r="G638" s="60"/>
      <c r="H638" s="62"/>
      <c r="I638" s="62"/>
      <c r="J638" s="62"/>
      <c r="K638" s="61"/>
      <c r="M638" s="10">
        <v>22</v>
      </c>
      <c r="N638" s="30"/>
      <c r="O638" s="31"/>
      <c r="P638" s="45"/>
      <c r="Q638" s="31"/>
      <c r="R638" s="31"/>
      <c r="S638" s="32">
        <f t="shared" si="175"/>
        <v>0</v>
      </c>
      <c r="T638" s="10"/>
      <c r="U638" s="10"/>
      <c r="V638" s="10"/>
      <c r="W638" s="12">
        <f t="shared" si="176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81"/>
        <v>0</v>
      </c>
      <c r="AF638" s="10"/>
      <c r="AG638" s="10"/>
      <c r="AH638" s="10"/>
      <c r="AI638" s="12">
        <f t="shared" si="17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M639" s="10">
        <v>23</v>
      </c>
      <c r="N639" s="30"/>
      <c r="O639" s="31"/>
      <c r="P639" s="47"/>
      <c r="Q639" s="31"/>
      <c r="S639" s="32">
        <f t="shared" si="175"/>
        <v>0</v>
      </c>
      <c r="T639" s="10"/>
      <c r="U639" s="10"/>
      <c r="V639" s="10"/>
      <c r="W639" s="12">
        <f t="shared" si="176"/>
        <v>0</v>
      </c>
      <c r="Y639" s="10">
        <v>23</v>
      </c>
      <c r="Z639" s="30"/>
      <c r="AA639" s="31"/>
      <c r="AB639" s="47"/>
      <c r="AE639" s="32">
        <f t="shared" si="181"/>
        <v>0</v>
      </c>
      <c r="AF639" s="10"/>
      <c r="AG639" s="10"/>
      <c r="AH639" s="10"/>
      <c r="AI639" s="12">
        <f t="shared" si="17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M640" s="10">
        <v>24</v>
      </c>
      <c r="N640" s="30"/>
      <c r="O640" s="31"/>
      <c r="P640" s="47"/>
      <c r="Q640" s="31"/>
      <c r="R640" s="31"/>
      <c r="S640" s="32">
        <f t="shared" si="175"/>
        <v>0</v>
      </c>
      <c r="T640" s="10"/>
      <c r="U640" s="10"/>
      <c r="V640" s="10"/>
      <c r="W640" s="12">
        <f t="shared" si="17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1"/>
        <v>0</v>
      </c>
      <c r="AF640" s="10"/>
      <c r="AG640" s="10"/>
      <c r="AH640" s="10"/>
      <c r="AI640" s="12">
        <f t="shared" si="17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M641" s="10">
        <v>25</v>
      </c>
      <c r="N641" s="30"/>
      <c r="O641" s="31"/>
      <c r="P641" s="47"/>
      <c r="Q641" s="31"/>
      <c r="R641" s="31"/>
      <c r="S641" s="32">
        <f t="shared" si="175"/>
        <v>0</v>
      </c>
      <c r="T641" s="10"/>
      <c r="U641" s="10"/>
      <c r="V641" s="10"/>
      <c r="W641" s="12">
        <f t="shared" si="176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81"/>
        <v>0</v>
      </c>
      <c r="AF641" s="10"/>
      <c r="AG641" s="10"/>
      <c r="AH641" s="10"/>
      <c r="AI641" s="12">
        <f t="shared" si="17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M642" s="10">
        <v>26</v>
      </c>
      <c r="N642" s="30"/>
      <c r="O642" s="31"/>
      <c r="P642" s="47"/>
      <c r="Q642" s="31"/>
      <c r="R642" s="31"/>
      <c r="S642" s="32">
        <f t="shared" si="175"/>
        <v>0</v>
      </c>
      <c r="T642" s="10"/>
      <c r="U642" s="10"/>
      <c r="V642" s="10"/>
      <c r="W642" s="12">
        <f t="shared" si="176"/>
        <v>0</v>
      </c>
      <c r="Y642" s="10">
        <v>26</v>
      </c>
      <c r="Z642" s="30"/>
      <c r="AB642" s="47"/>
      <c r="AC642" s="31"/>
      <c r="AD642" s="31"/>
      <c r="AE642" s="32">
        <f t="shared" si="181"/>
        <v>0</v>
      </c>
      <c r="AF642" s="10"/>
      <c r="AG642" s="10"/>
      <c r="AH642" s="10"/>
      <c r="AI642" s="12">
        <f t="shared" si="17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M643" s="10">
        <v>27</v>
      </c>
      <c r="N643" s="30"/>
      <c r="O643" s="31"/>
      <c r="P643" s="47"/>
      <c r="Q643" s="31"/>
      <c r="R643" s="31"/>
      <c r="S643" s="32">
        <f t="shared" si="175"/>
        <v>0</v>
      </c>
      <c r="T643" s="10"/>
      <c r="U643" s="10"/>
      <c r="V643" s="10"/>
      <c r="W643" s="12">
        <f t="shared" si="17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1"/>
        <v>0</v>
      </c>
      <c r="AF643" s="10"/>
      <c r="AG643" s="10"/>
      <c r="AH643" s="10"/>
      <c r="AI643" s="12">
        <f t="shared" si="17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M644" s="10">
        <v>28</v>
      </c>
      <c r="N644" s="30"/>
      <c r="O644" s="31"/>
      <c r="P644" s="47"/>
      <c r="Q644" s="31"/>
      <c r="R644" s="31"/>
      <c r="S644" s="32">
        <f t="shared" si="175"/>
        <v>0</v>
      </c>
      <c r="T644" s="10"/>
      <c r="U644" s="10"/>
      <c r="V644" s="10"/>
      <c r="W644" s="12">
        <f t="shared" si="17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1"/>
        <v>0</v>
      </c>
      <c r="AF644" s="10"/>
      <c r="AG644" s="10"/>
      <c r="AH644" s="10"/>
      <c r="AI644" s="12">
        <f t="shared" si="17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M645" s="10">
        <v>29</v>
      </c>
      <c r="N645" s="30"/>
      <c r="O645" s="31"/>
      <c r="P645" s="47"/>
      <c r="Q645" s="31"/>
      <c r="R645" s="31"/>
      <c r="S645" s="32">
        <f t="shared" si="175"/>
        <v>0</v>
      </c>
      <c r="T645" s="10"/>
      <c r="U645" s="10"/>
      <c r="V645" s="10"/>
      <c r="W645" s="12">
        <f t="shared" si="17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1"/>
        <v>0</v>
      </c>
      <c r="AF645" s="10"/>
      <c r="AG645" s="10"/>
      <c r="AH645" s="10"/>
      <c r="AI645" s="12">
        <f t="shared" si="17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M646" s="10">
        <v>30</v>
      </c>
      <c r="N646" s="30"/>
      <c r="O646" s="31"/>
      <c r="P646" s="47"/>
      <c r="Q646" s="31"/>
      <c r="R646" s="31"/>
      <c r="S646" s="32">
        <f t="shared" si="175"/>
        <v>0</v>
      </c>
      <c r="T646" s="10"/>
      <c r="U646" s="10"/>
      <c r="V646" s="10"/>
      <c r="W646" s="12">
        <f t="shared" si="176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81"/>
        <v>0</v>
      </c>
      <c r="AF646" s="10"/>
      <c r="AG646" s="10"/>
      <c r="AH646" s="10"/>
      <c r="AI646" s="12">
        <f t="shared" si="17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M647" s="10">
        <v>31</v>
      </c>
      <c r="N647" s="30"/>
      <c r="O647" s="31"/>
      <c r="P647" s="47"/>
      <c r="Q647" s="31"/>
      <c r="R647" s="31"/>
      <c r="S647" s="32">
        <f t="shared" si="175"/>
        <v>0</v>
      </c>
      <c r="T647" s="10"/>
      <c r="U647" s="10"/>
      <c r="V647" s="10"/>
      <c r="W647" s="12">
        <f t="shared" si="176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81"/>
        <v>0</v>
      </c>
      <c r="AF647" s="10"/>
      <c r="AG647" s="10"/>
      <c r="AH647" s="10"/>
      <c r="AI647" s="12">
        <f t="shared" si="17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M648" s="10">
        <v>32</v>
      </c>
      <c r="N648" s="30"/>
      <c r="O648" s="31"/>
      <c r="P648" s="47"/>
      <c r="Q648" s="31"/>
      <c r="R648" s="31"/>
      <c r="S648" s="32">
        <f t="shared" si="175"/>
        <v>0</v>
      </c>
      <c r="T648" s="10"/>
      <c r="U648" s="10"/>
      <c r="V648" s="10"/>
      <c r="W648" s="12">
        <f t="shared" si="17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1"/>
        <v>0</v>
      </c>
      <c r="AF648" s="10"/>
      <c r="AG648" s="10"/>
      <c r="AH648" s="10"/>
      <c r="AI648" s="12">
        <f t="shared" si="17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M649" s="10">
        <v>33</v>
      </c>
      <c r="N649" s="30"/>
      <c r="O649" s="31"/>
      <c r="P649" s="47"/>
      <c r="Q649" s="31"/>
      <c r="R649" s="31"/>
      <c r="S649" s="32">
        <f t="shared" si="175"/>
        <v>0</v>
      </c>
      <c r="T649" s="10"/>
      <c r="U649" s="10"/>
      <c r="V649" s="10"/>
      <c r="W649" s="12">
        <f t="shared" si="17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1"/>
        <v>0</v>
      </c>
      <c r="AF649" s="10"/>
      <c r="AG649" s="10"/>
      <c r="AH649" s="10"/>
      <c r="AI649" s="12">
        <f t="shared" si="17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M650" s="10">
        <v>34</v>
      </c>
      <c r="N650" s="30"/>
      <c r="O650" s="31"/>
      <c r="P650" s="47"/>
      <c r="Q650" s="31"/>
      <c r="R650" s="31"/>
      <c r="S650" s="32">
        <f t="shared" si="175"/>
        <v>0</v>
      </c>
      <c r="T650" s="10"/>
      <c r="U650" s="10"/>
      <c r="V650" s="10"/>
      <c r="W650" s="12">
        <f t="shared" si="176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82">SUM(AB650:AC650)</f>
        <v>0</v>
      </c>
      <c r="AF650" s="10"/>
      <c r="AG650" s="10"/>
      <c r="AH650" s="10"/>
      <c r="AI650" s="12">
        <f t="shared" si="178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M651" s="10">
        <v>35</v>
      </c>
      <c r="N651" s="30"/>
      <c r="P651" s="47"/>
      <c r="Q651" s="31"/>
      <c r="R651" s="31"/>
      <c r="S651" s="32">
        <f t="shared" si="175"/>
        <v>0</v>
      </c>
      <c r="T651" s="10"/>
      <c r="U651" s="10"/>
      <c r="V651" s="10"/>
      <c r="W651" s="12">
        <f t="shared" si="17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82"/>
        <v>0</v>
      </c>
      <c r="AF651" s="10"/>
      <c r="AG651" s="10"/>
      <c r="AH651" s="10"/>
      <c r="AI651" s="12">
        <f t="shared" si="178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M652" s="10">
        <v>36</v>
      </c>
      <c r="N652" s="30"/>
      <c r="O652" s="31"/>
      <c r="P652" s="47"/>
      <c r="Q652" s="31"/>
      <c r="R652" s="31"/>
      <c r="S652" s="32">
        <f t="shared" si="175"/>
        <v>0</v>
      </c>
      <c r="T652" s="10"/>
      <c r="U652" s="10"/>
      <c r="V652" s="10"/>
      <c r="W652" s="12">
        <f t="shared" si="17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82"/>
        <v>0</v>
      </c>
      <c r="AF652" s="10"/>
      <c r="AG652" s="10"/>
      <c r="AH652" s="10"/>
      <c r="AI652" s="12">
        <f t="shared" si="178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103"/>
      <c r="D653" s="60"/>
      <c r="E653" s="60"/>
      <c r="F653" s="60"/>
      <c r="G653" s="60"/>
      <c r="H653" s="62"/>
      <c r="I653" s="62"/>
      <c r="J653" s="62"/>
      <c r="K653" s="61"/>
      <c r="M653" s="10">
        <v>37</v>
      </c>
      <c r="N653" s="30"/>
      <c r="O653" s="31"/>
      <c r="P653" s="47"/>
      <c r="Q653" s="31"/>
      <c r="R653" s="31"/>
      <c r="S653" s="32">
        <f t="shared" si="175"/>
        <v>0</v>
      </c>
      <c r="T653" s="10"/>
      <c r="U653" s="10"/>
      <c r="V653" s="10"/>
      <c r="W653" s="12">
        <f t="shared" si="17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82"/>
        <v>0</v>
      </c>
      <c r="AF653" s="10"/>
      <c r="AG653" s="10"/>
      <c r="AH653" s="10"/>
      <c r="AI653" s="12">
        <f t="shared" si="178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103"/>
      <c r="D654" s="60"/>
      <c r="E654" s="60"/>
      <c r="F654" s="60"/>
      <c r="G654" s="60"/>
      <c r="H654" s="62"/>
      <c r="I654" s="62"/>
      <c r="J654" s="62"/>
      <c r="K654" s="61"/>
      <c r="M654" s="10">
        <v>38</v>
      </c>
      <c r="N654" s="30"/>
      <c r="O654" s="31"/>
      <c r="P654" s="47"/>
      <c r="Q654" s="31"/>
      <c r="R654" s="31"/>
      <c r="S654" s="32">
        <f t="shared" si="175"/>
        <v>0</v>
      </c>
      <c r="T654" s="10"/>
      <c r="U654" s="10"/>
      <c r="V654" s="10"/>
      <c r="W654" s="12">
        <f t="shared" si="17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82"/>
        <v>0</v>
      </c>
      <c r="AF654" s="10"/>
      <c r="AG654" s="10"/>
      <c r="AH654" s="10"/>
      <c r="AI654" s="12">
        <f t="shared" si="178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103"/>
      <c r="D655" s="60"/>
      <c r="E655" s="60"/>
      <c r="F655" s="60"/>
      <c r="G655" s="60"/>
      <c r="H655" s="62"/>
      <c r="I655" s="62"/>
      <c r="J655" s="62"/>
      <c r="K655" s="61"/>
      <c r="M655" s="10">
        <v>39</v>
      </c>
      <c r="N655" s="30"/>
      <c r="O655" s="31"/>
      <c r="P655" s="47"/>
      <c r="Q655" s="31"/>
      <c r="R655" s="31"/>
      <c r="S655" s="32">
        <f t="shared" si="175"/>
        <v>0</v>
      </c>
      <c r="T655" s="10"/>
      <c r="U655" s="10"/>
      <c r="V655" s="10"/>
      <c r="W655" s="12">
        <f t="shared" si="17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82"/>
        <v>0</v>
      </c>
      <c r="AF655" s="10"/>
      <c r="AG655" s="10"/>
      <c r="AH655" s="10"/>
      <c r="AI655" s="12">
        <f t="shared" si="178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103"/>
      <c r="D656" s="60"/>
      <c r="E656" s="60"/>
      <c r="F656" s="60"/>
      <c r="G656" s="60"/>
      <c r="H656" s="62"/>
      <c r="I656" s="62"/>
      <c r="J656" s="62"/>
      <c r="K656" s="61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7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8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103"/>
      <c r="D657" s="60"/>
      <c r="E657" s="60"/>
      <c r="F657" s="60"/>
      <c r="G657" s="60"/>
      <c r="H657" s="62"/>
      <c r="I657" s="62"/>
      <c r="J657" s="62"/>
      <c r="K657" s="61"/>
      <c r="M657" s="10"/>
      <c r="N657" s="30"/>
      <c r="O657" s="31"/>
      <c r="P657" s="47"/>
      <c r="Q657" s="31"/>
      <c r="R657" s="31"/>
      <c r="S657" s="32">
        <f t="shared" ref="S657" si="183">SUM(P657:Q657)</f>
        <v>0</v>
      </c>
      <c r="T657" s="10"/>
      <c r="U657" s="10"/>
      <c r="V657" s="10"/>
      <c r="W657" s="12">
        <f t="shared" si="176"/>
        <v>0</v>
      </c>
      <c r="Y657" s="10"/>
      <c r="Z657" s="30"/>
      <c r="AA657" s="31"/>
      <c r="AB657" s="47"/>
      <c r="AC657" s="31"/>
      <c r="AD657" s="31"/>
      <c r="AE657" s="32">
        <f t="shared" ref="AE657" si="184">SUM(AB657:AC657)</f>
        <v>0</v>
      </c>
      <c r="AF657" s="10"/>
      <c r="AG657" s="10"/>
      <c r="AH657" s="10"/>
      <c r="AI657" s="12">
        <f t="shared" si="178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7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8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103"/>
      <c r="C659" s="103"/>
      <c r="D659" s="103"/>
      <c r="E659" s="103"/>
      <c r="F659" s="103"/>
      <c r="G659" s="103"/>
      <c r="H659" s="62"/>
      <c r="I659" s="62"/>
      <c r="J659" s="62"/>
      <c r="K659" s="62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103"/>
      <c r="C660" s="103"/>
      <c r="D660" s="70"/>
      <c r="E660" s="70"/>
      <c r="F660" s="70"/>
      <c r="G660" s="70"/>
      <c r="H660" s="63"/>
      <c r="I660" s="70"/>
      <c r="J660" s="70"/>
      <c r="K660" s="70"/>
      <c r="N660" s="57"/>
      <c r="O660" s="57"/>
      <c r="P660" s="38">
        <f>SUM(P617:P659)</f>
        <v>385325</v>
      </c>
      <c r="Q660" s="38">
        <f>SUM(Q617:Q641)</f>
        <v>-2982</v>
      </c>
      <c r="R660" s="38">
        <f>SUM(R617:R641)</f>
        <v>0</v>
      </c>
      <c r="S660" s="38">
        <f>SUM(S617:S659)</f>
        <v>382343</v>
      </c>
      <c r="T660" s="4"/>
      <c r="U660" s="41">
        <f>SUM(U617:U659)</f>
        <v>1116</v>
      </c>
      <c r="V660" s="41">
        <f>SUM(V617:V641)</f>
        <v>-810</v>
      </c>
      <c r="W660" s="42">
        <f>SUM(W617:W659)</f>
        <v>382649</v>
      </c>
      <c r="Z660" s="57"/>
      <c r="AA660" s="57"/>
      <c r="AB660" s="38">
        <f>SUM(AB617:AB659)</f>
        <v>354791</v>
      </c>
      <c r="AC660" s="38">
        <f>SUM(AC617:AC641)</f>
        <v>-1662</v>
      </c>
      <c r="AD660" s="38">
        <f>SUM(AD617:AD641)</f>
        <v>0</v>
      </c>
      <c r="AE660" s="38">
        <f>SUM(AE617:AE659)</f>
        <v>353129</v>
      </c>
      <c r="AF660" s="4"/>
      <c r="AG660" s="41">
        <f>SUM(AG617:AG659)</f>
        <v>26331</v>
      </c>
      <c r="AH660" s="41">
        <f>SUM(AH617:AH641)</f>
        <v>-3441</v>
      </c>
      <c r="AI660" s="42">
        <f>SUM(AI617:AI659)</f>
        <v>376019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42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42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42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71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71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71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35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3" t="s">
        <v>17</v>
      </c>
      <c r="E670" s="113"/>
      <c r="F670" s="104"/>
      <c r="G670" s="27"/>
      <c r="I670" s="111" t="s">
        <v>18</v>
      </c>
      <c r="J670" s="112"/>
      <c r="K670" s="109" t="s">
        <v>19</v>
      </c>
      <c r="N670" s="25"/>
      <c r="O670" s="26"/>
      <c r="P670" s="113" t="s">
        <v>17</v>
      </c>
      <c r="Q670" s="113"/>
      <c r="R670" s="104"/>
      <c r="S670" s="27"/>
      <c r="U670" s="111" t="s">
        <v>18</v>
      </c>
      <c r="V670" s="112"/>
      <c r="W670" s="109" t="s">
        <v>19</v>
      </c>
      <c r="Z670" s="25"/>
      <c r="AA670" s="26"/>
      <c r="AB670" s="113" t="s">
        <v>17</v>
      </c>
      <c r="AC670" s="113"/>
      <c r="AD670" s="104"/>
      <c r="AE670" s="27"/>
      <c r="AG670" s="111" t="s">
        <v>18</v>
      </c>
      <c r="AH670" s="112"/>
      <c r="AI670" s="109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10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0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10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72</v>
      </c>
      <c r="C672" s="83">
        <v>9581</v>
      </c>
      <c r="D672" s="32">
        <f>650*57+670*3+622*10</f>
        <v>45280</v>
      </c>
      <c r="E672" s="32"/>
      <c r="F672" s="32"/>
      <c r="G672" s="32">
        <f t="shared" ref="G672:G705" si="185">SUM(D672:E672)</f>
        <v>45280</v>
      </c>
      <c r="H672" s="12"/>
      <c r="I672" s="12"/>
      <c r="J672" s="12"/>
      <c r="K672" s="12">
        <f t="shared" ref="K672:K705" si="186">SUM(G672:J672)</f>
        <v>45280</v>
      </c>
      <c r="M672" s="10">
        <v>1</v>
      </c>
      <c r="N672" s="30" t="s">
        <v>72</v>
      </c>
      <c r="O672" s="31">
        <v>9709</v>
      </c>
      <c r="P672" s="32">
        <f>650*216+229*6</f>
        <v>141774</v>
      </c>
      <c r="Q672" s="32">
        <f>-216*6</f>
        <v>-1296</v>
      </c>
      <c r="R672" s="32"/>
      <c r="S672" s="32">
        <f>SUM(P672:Q672)</f>
        <v>140478</v>
      </c>
      <c r="T672" s="12"/>
      <c r="U672" s="12">
        <v>5439</v>
      </c>
      <c r="V672" s="12">
        <f>-672+-210</f>
        <v>-882</v>
      </c>
      <c r="W672" s="12">
        <f>SUM(S672:V672)</f>
        <v>145035</v>
      </c>
      <c r="Y672" s="10">
        <v>1</v>
      </c>
      <c r="Z672" s="30" t="s">
        <v>72</v>
      </c>
      <c r="AA672" s="31">
        <v>9659</v>
      </c>
      <c r="AB672" s="32">
        <f>414166</f>
        <v>414166</v>
      </c>
      <c r="AC672" s="32"/>
      <c r="AD672" s="32"/>
      <c r="AE672" s="32">
        <f>SUM(AB672:AC672)</f>
        <v>414166</v>
      </c>
      <c r="AF672" s="12"/>
      <c r="AG672" s="12"/>
      <c r="AH672" s="12">
        <f>-120+-7548+-3948+-28980</f>
        <v>-40596</v>
      </c>
      <c r="AI672" s="12">
        <f>SUM(AE672:AH672)</f>
        <v>373570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72</v>
      </c>
      <c r="C673" s="83">
        <f>C672+1</f>
        <v>9582</v>
      </c>
      <c r="D673" s="32">
        <f>650*27</f>
        <v>17550</v>
      </c>
      <c r="E673" s="32"/>
      <c r="F673" s="32"/>
      <c r="G673" s="32">
        <f t="shared" si="185"/>
        <v>17550</v>
      </c>
      <c r="H673" s="12"/>
      <c r="I673" s="12"/>
      <c r="J673" s="12">
        <f>-26*111</f>
        <v>-2886</v>
      </c>
      <c r="K673" s="12">
        <f t="shared" si="186"/>
        <v>14664</v>
      </c>
      <c r="M673" s="10">
        <v>2</v>
      </c>
      <c r="N673" s="30" t="s">
        <v>72</v>
      </c>
      <c r="O673" s="31">
        <f>O672+1</f>
        <v>9710</v>
      </c>
      <c r="P673" s="32">
        <f>650*7+670+9.5*5</f>
        <v>5267.5</v>
      </c>
      <c r="Q673" s="32"/>
      <c r="R673" s="32"/>
      <c r="S673" s="32">
        <f t="shared" ref="S673:S710" si="187">SUM(P673:Q673)</f>
        <v>5267.5</v>
      </c>
      <c r="T673" s="12"/>
      <c r="U673" s="12"/>
      <c r="V673" s="12">
        <v>-555</v>
      </c>
      <c r="W673" s="12">
        <f t="shared" ref="W673:W713" si="188">SUM(S673:V673)</f>
        <v>4712.5</v>
      </c>
      <c r="Y673" s="10">
        <v>2</v>
      </c>
      <c r="Z673" s="30" t="s">
        <v>72</v>
      </c>
      <c r="AA673" s="31">
        <f>AA672+1</f>
        <v>9660</v>
      </c>
      <c r="AB673" s="32">
        <f>21521</f>
        <v>21521</v>
      </c>
      <c r="AC673" s="32"/>
      <c r="AD673" s="32"/>
      <c r="AE673" s="32">
        <f t="shared" ref="AE673:AE710" si="189">SUM(AB673:AC673)</f>
        <v>21521</v>
      </c>
      <c r="AF673" s="12"/>
      <c r="AG673" s="12"/>
      <c r="AH673" s="12"/>
      <c r="AI673" s="12">
        <f t="shared" ref="AI673:AI713" si="190">SUM(AE673:AH673)</f>
        <v>21521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72</v>
      </c>
      <c r="C674" s="83">
        <f t="shared" ref="C674:C675" si="191">C673+1</f>
        <v>9583</v>
      </c>
      <c r="D674" s="33">
        <f>650*540+622*108+912*10+1050*10+872*10+229*27</f>
        <v>452699</v>
      </c>
      <c r="E674" s="33">
        <f>-678*6</f>
        <v>-4068</v>
      </c>
      <c r="F674" s="33"/>
      <c r="G674" s="33">
        <f t="shared" si="185"/>
        <v>448631</v>
      </c>
      <c r="H674" s="34"/>
      <c r="I674" s="34">
        <f>120*9+200*111+19*78</f>
        <v>24762</v>
      </c>
      <c r="J674" s="34"/>
      <c r="K674" s="34">
        <f t="shared" si="186"/>
        <v>473393</v>
      </c>
      <c r="M674" s="10">
        <v>3</v>
      </c>
      <c r="N674" s="30" t="s">
        <v>72</v>
      </c>
      <c r="O674" s="31">
        <f t="shared" ref="O674:O675" si="192">O673+1</f>
        <v>9711</v>
      </c>
      <c r="P674" s="32">
        <f>650*170+622*30+229*6</f>
        <v>130534</v>
      </c>
      <c r="Q674" s="32">
        <f>-200*6</f>
        <v>-1200</v>
      </c>
      <c r="R674" s="32"/>
      <c r="S674" s="32">
        <f t="shared" si="187"/>
        <v>129334</v>
      </c>
      <c r="T674" s="12"/>
      <c r="U674" s="12">
        <v>312</v>
      </c>
      <c r="V674" s="12">
        <f>-480+-14208+-420+-546</f>
        <v>-15654</v>
      </c>
      <c r="W674" s="12">
        <f t="shared" si="188"/>
        <v>113992</v>
      </c>
      <c r="Y674" s="10">
        <v>3</v>
      </c>
      <c r="Z674" s="30" t="s">
        <v>72</v>
      </c>
      <c r="AA674" s="31">
        <f t="shared" ref="AA674" si="193">AA673+1</f>
        <v>9661</v>
      </c>
      <c r="AB674" s="33">
        <f>650*20+622*5</f>
        <v>16110</v>
      </c>
      <c r="AC674" s="33"/>
      <c r="AD674" s="32"/>
      <c r="AE674" s="32">
        <f t="shared" si="189"/>
        <v>16110</v>
      </c>
      <c r="AF674" s="12"/>
      <c r="AG674" s="12"/>
      <c r="AH674" s="12">
        <f>-240+-333+-84*2</f>
        <v>-741</v>
      </c>
      <c r="AI674" s="12">
        <f t="shared" si="190"/>
        <v>15369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72</v>
      </c>
      <c r="C675" s="83">
        <f t="shared" si="191"/>
        <v>9584</v>
      </c>
      <c r="D675" s="32">
        <f>650*216+1102+1175+9120+5250+1950+2061+1500</f>
        <v>162558</v>
      </c>
      <c r="E675" s="32">
        <f>-233*6</f>
        <v>-1398</v>
      </c>
      <c r="F675" s="32"/>
      <c r="G675" s="32">
        <f t="shared" si="185"/>
        <v>161160</v>
      </c>
      <c r="H675" s="12"/>
      <c r="I675" s="12">
        <f>360+624</f>
        <v>984</v>
      </c>
      <c r="J675" s="12">
        <f>-13875+-84+-15</f>
        <v>-13974</v>
      </c>
      <c r="K675" s="12">
        <f t="shared" si="186"/>
        <v>148170</v>
      </c>
      <c r="M675" s="10">
        <v>4</v>
      </c>
      <c r="N675" s="30" t="s">
        <v>72</v>
      </c>
      <c r="O675" s="31">
        <f t="shared" si="192"/>
        <v>9712</v>
      </c>
      <c r="P675" s="32">
        <f>650+9.5</f>
        <v>659.5</v>
      </c>
      <c r="Q675" s="32"/>
      <c r="R675" s="32"/>
      <c r="S675" s="32">
        <f t="shared" si="187"/>
        <v>659.5</v>
      </c>
      <c r="T675" s="12"/>
      <c r="U675" s="12"/>
      <c r="V675" s="12"/>
      <c r="W675" s="12">
        <f t="shared" si="188"/>
        <v>659.5</v>
      </c>
      <c r="Y675" s="10">
        <v>4</v>
      </c>
      <c r="Z675" s="30"/>
      <c r="AA675" s="11" t="s">
        <v>27</v>
      </c>
      <c r="AB675" s="32"/>
      <c r="AC675" s="32"/>
      <c r="AD675" s="32"/>
      <c r="AE675" s="32">
        <f t="shared" si="189"/>
        <v>0</v>
      </c>
      <c r="AF675" s="12"/>
      <c r="AG675" s="58"/>
      <c r="AH675" s="12"/>
      <c r="AI675" s="12">
        <f t="shared" si="190"/>
        <v>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11" t="s">
        <v>27</v>
      </c>
      <c r="D676" s="32"/>
      <c r="E676" s="32"/>
      <c r="F676" s="32"/>
      <c r="G676" s="32">
        <f t="shared" si="185"/>
        <v>0</v>
      </c>
      <c r="H676" s="12"/>
      <c r="I676" s="12"/>
      <c r="J676" s="12"/>
      <c r="K676" s="12">
        <f t="shared" si="186"/>
        <v>0</v>
      </c>
      <c r="M676" s="10">
        <v>5</v>
      </c>
      <c r="N676" s="30"/>
      <c r="O676" s="11" t="s">
        <v>27</v>
      </c>
      <c r="P676" s="32"/>
      <c r="Q676" s="32"/>
      <c r="R676" s="32"/>
      <c r="S676" s="32">
        <f t="shared" si="187"/>
        <v>0</v>
      </c>
      <c r="T676" s="12"/>
      <c r="U676" s="12"/>
      <c r="V676" s="12"/>
      <c r="W676" s="12">
        <f t="shared" si="188"/>
        <v>0</v>
      </c>
      <c r="Y676" s="10">
        <v>5</v>
      </c>
      <c r="Z676" s="30"/>
      <c r="AA676" s="31"/>
      <c r="AB676" s="32"/>
      <c r="AC676" s="32"/>
      <c r="AD676" s="32"/>
      <c r="AE676" s="32">
        <f t="shared" si="189"/>
        <v>0</v>
      </c>
      <c r="AF676" s="12"/>
      <c r="AG676" s="12"/>
      <c r="AH676" s="12"/>
      <c r="AI676" s="12">
        <f t="shared" si="190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83"/>
      <c r="D677" s="32"/>
      <c r="E677" s="32"/>
      <c r="F677" s="32"/>
      <c r="G677" s="32">
        <f t="shared" si="185"/>
        <v>0</v>
      </c>
      <c r="H677" s="12"/>
      <c r="I677" s="12"/>
      <c r="J677" s="12"/>
      <c r="K677" s="12">
        <f t="shared" si="186"/>
        <v>0</v>
      </c>
      <c r="M677" s="10">
        <v>6</v>
      </c>
      <c r="N677" s="30"/>
      <c r="O677" s="31"/>
      <c r="P677" s="32"/>
      <c r="Q677" s="32"/>
      <c r="R677" s="32"/>
      <c r="S677" s="32">
        <f t="shared" si="187"/>
        <v>0</v>
      </c>
      <c r="T677" s="12"/>
      <c r="U677" s="12"/>
      <c r="V677" s="10"/>
      <c r="W677" s="12">
        <f t="shared" si="188"/>
        <v>0</v>
      </c>
      <c r="Y677" s="10">
        <v>6</v>
      </c>
      <c r="Z677" s="30"/>
      <c r="AB677" s="32"/>
      <c r="AC677" s="32"/>
      <c r="AD677" s="32"/>
      <c r="AE677" s="32">
        <f t="shared" si="189"/>
        <v>0</v>
      </c>
      <c r="AF677" s="12"/>
      <c r="AG677" s="12"/>
      <c r="AH677" s="10"/>
      <c r="AI677" s="12">
        <f t="shared" si="190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83"/>
      <c r="D678" s="32"/>
      <c r="E678" s="32"/>
      <c r="F678" s="32"/>
      <c r="G678" s="32">
        <f t="shared" si="185"/>
        <v>0</v>
      </c>
      <c r="H678" s="12"/>
      <c r="I678" s="12"/>
      <c r="J678" s="12"/>
      <c r="K678" s="12">
        <f t="shared" si="186"/>
        <v>0</v>
      </c>
      <c r="M678" s="10">
        <v>7</v>
      </c>
      <c r="N678" s="30"/>
      <c r="O678" s="31"/>
      <c r="P678" s="32"/>
      <c r="Q678" s="32"/>
      <c r="R678" s="32"/>
      <c r="S678" s="32">
        <f t="shared" si="187"/>
        <v>0</v>
      </c>
      <c r="T678" s="12"/>
      <c r="U678" s="12"/>
      <c r="V678" s="12"/>
      <c r="W678" s="12">
        <f t="shared" si="188"/>
        <v>0</v>
      </c>
      <c r="Y678" s="10">
        <v>7</v>
      </c>
      <c r="Z678" s="30"/>
      <c r="AA678" s="31"/>
      <c r="AB678" s="32"/>
      <c r="AC678" s="32"/>
      <c r="AD678" s="32"/>
      <c r="AE678" s="32">
        <f t="shared" si="189"/>
        <v>0</v>
      </c>
      <c r="AF678" s="12"/>
      <c r="AG678" s="58"/>
      <c r="AH678" s="12"/>
      <c r="AI678" s="12">
        <f t="shared" si="190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D679" s="32"/>
      <c r="E679" s="32"/>
      <c r="F679" s="32"/>
      <c r="G679" s="32">
        <f t="shared" si="185"/>
        <v>0</v>
      </c>
      <c r="H679" s="12"/>
      <c r="I679" s="12"/>
      <c r="J679" s="12"/>
      <c r="K679" s="12">
        <f t="shared" si="186"/>
        <v>0</v>
      </c>
      <c r="M679" s="10">
        <v>8</v>
      </c>
      <c r="N679" s="30"/>
      <c r="O679" s="11"/>
      <c r="P679" s="32"/>
      <c r="Q679" s="32"/>
      <c r="R679" s="32"/>
      <c r="S679" s="32">
        <f t="shared" si="187"/>
        <v>0</v>
      </c>
      <c r="T679" s="12"/>
      <c r="U679" s="12"/>
      <c r="V679" s="12"/>
      <c r="W679" s="12">
        <f t="shared" si="188"/>
        <v>0</v>
      </c>
      <c r="Y679" s="10">
        <v>8</v>
      </c>
      <c r="Z679" s="30"/>
      <c r="AA679" s="31"/>
      <c r="AB679" s="32"/>
      <c r="AC679" s="32"/>
      <c r="AE679" s="32">
        <f t="shared" si="189"/>
        <v>0</v>
      </c>
      <c r="AF679" s="12"/>
      <c r="AG679" s="12"/>
      <c r="AH679" s="12"/>
      <c r="AI679" s="12">
        <f t="shared" si="190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83"/>
      <c r="D680" s="32"/>
      <c r="E680" s="32"/>
      <c r="F680" s="32"/>
      <c r="G680" s="32">
        <f t="shared" si="185"/>
        <v>0</v>
      </c>
      <c r="H680" s="12"/>
      <c r="I680" s="12"/>
      <c r="J680" s="12"/>
      <c r="K680" s="12">
        <f t="shared" si="186"/>
        <v>0</v>
      </c>
      <c r="M680" s="10">
        <v>9</v>
      </c>
      <c r="N680" s="30"/>
      <c r="P680" s="32"/>
      <c r="Q680" s="32"/>
      <c r="R680" s="32"/>
      <c r="S680" s="32">
        <f t="shared" si="187"/>
        <v>0</v>
      </c>
      <c r="T680" s="12"/>
      <c r="U680" s="12"/>
      <c r="V680" s="12"/>
      <c r="W680" s="12">
        <f t="shared" si="188"/>
        <v>0</v>
      </c>
      <c r="Y680" s="10">
        <v>9</v>
      </c>
      <c r="Z680" s="30"/>
      <c r="AA680" s="31"/>
      <c r="AB680" s="32"/>
      <c r="AC680" s="32"/>
      <c r="AD680" s="32"/>
      <c r="AE680" s="32">
        <f t="shared" si="189"/>
        <v>0</v>
      </c>
      <c r="AF680" s="12"/>
      <c r="AH680" s="12"/>
      <c r="AI680" s="12">
        <f t="shared" si="190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57"/>
      <c r="D681" s="32"/>
      <c r="E681" s="32"/>
      <c r="F681" s="32"/>
      <c r="G681" s="32">
        <f t="shared" si="185"/>
        <v>0</v>
      </c>
      <c r="H681" s="12"/>
      <c r="I681" s="12"/>
      <c r="J681" s="12"/>
      <c r="K681" s="12">
        <f t="shared" si="186"/>
        <v>0</v>
      </c>
      <c r="M681" s="10">
        <v>10</v>
      </c>
      <c r="N681" s="30"/>
      <c r="O681" s="31"/>
      <c r="P681" s="32"/>
      <c r="Q681" s="32"/>
      <c r="R681" s="32"/>
      <c r="S681" s="32">
        <f t="shared" si="187"/>
        <v>0</v>
      </c>
      <c r="T681" s="12"/>
      <c r="U681" s="12"/>
      <c r="V681" s="12"/>
      <c r="W681" s="12">
        <f t="shared" si="188"/>
        <v>0</v>
      </c>
      <c r="Y681" s="10">
        <v>10</v>
      </c>
      <c r="Z681" s="30"/>
      <c r="AA681" s="31"/>
      <c r="AB681" s="32"/>
      <c r="AC681" s="32"/>
      <c r="AD681" s="32"/>
      <c r="AE681" s="32">
        <f t="shared" si="189"/>
        <v>0</v>
      </c>
      <c r="AF681" s="12"/>
      <c r="AG681" s="12"/>
      <c r="AH681" s="12"/>
      <c r="AI681" s="12">
        <f t="shared" si="190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3"/>
      <c r="D682" s="32"/>
      <c r="E682" s="32"/>
      <c r="F682" s="32"/>
      <c r="G682" s="32">
        <f t="shared" si="185"/>
        <v>0</v>
      </c>
      <c r="H682" s="12"/>
      <c r="I682" s="12"/>
      <c r="J682" s="12"/>
      <c r="K682" s="12">
        <f t="shared" si="186"/>
        <v>0</v>
      </c>
      <c r="M682" s="10">
        <v>11</v>
      </c>
      <c r="N682" s="30"/>
      <c r="O682" s="31"/>
      <c r="P682" s="32"/>
      <c r="Q682" s="32"/>
      <c r="R682" s="32"/>
      <c r="S682" s="32">
        <f t="shared" si="187"/>
        <v>0</v>
      </c>
      <c r="T682" s="12"/>
      <c r="U682" s="12"/>
      <c r="V682" s="12"/>
      <c r="W682" s="12">
        <f t="shared" si="188"/>
        <v>0</v>
      </c>
      <c r="Y682" s="10">
        <v>11</v>
      </c>
      <c r="Z682" s="30"/>
      <c r="AA682" s="31"/>
      <c r="AB682" s="32"/>
      <c r="AC682" s="32"/>
      <c r="AD682" s="32"/>
      <c r="AE682" s="32">
        <f t="shared" si="189"/>
        <v>0</v>
      </c>
      <c r="AF682" s="12"/>
      <c r="AG682" s="12"/>
      <c r="AH682" s="12"/>
      <c r="AI682" s="12">
        <f t="shared" si="190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185"/>
        <v>0</v>
      </c>
      <c r="H683" s="12"/>
      <c r="I683" s="12"/>
      <c r="J683" s="10"/>
      <c r="K683" s="12">
        <f t="shared" si="186"/>
        <v>0</v>
      </c>
      <c r="M683" s="10">
        <v>12</v>
      </c>
      <c r="N683" s="30"/>
      <c r="O683" s="31"/>
      <c r="P683" s="32"/>
      <c r="Q683" s="32"/>
      <c r="R683" s="32"/>
      <c r="S683" s="32">
        <f t="shared" si="187"/>
        <v>0</v>
      </c>
      <c r="T683" s="12"/>
      <c r="U683" s="12"/>
      <c r="V683" s="12"/>
      <c r="W683" s="12">
        <f t="shared" si="188"/>
        <v>0</v>
      </c>
      <c r="Y683" s="10">
        <v>12</v>
      </c>
      <c r="Z683" s="30"/>
      <c r="AB683" s="32"/>
      <c r="AC683" s="32"/>
      <c r="AD683" s="32"/>
      <c r="AE683" s="32">
        <f t="shared" si="189"/>
        <v>0</v>
      </c>
      <c r="AF683" s="12"/>
      <c r="AG683" s="12"/>
      <c r="AH683" s="12"/>
      <c r="AI683" s="12">
        <f t="shared" si="190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185"/>
        <v>0</v>
      </c>
      <c r="H684" s="12"/>
      <c r="I684" s="12"/>
      <c r="J684" s="12"/>
      <c r="K684" s="12">
        <f t="shared" si="186"/>
        <v>0</v>
      </c>
      <c r="M684" s="10">
        <v>13</v>
      </c>
      <c r="N684" s="30"/>
      <c r="O684" s="31"/>
      <c r="P684" s="32"/>
      <c r="Q684" s="32"/>
      <c r="R684" s="32"/>
      <c r="S684" s="32">
        <f t="shared" si="187"/>
        <v>0</v>
      </c>
      <c r="T684" s="12"/>
      <c r="U684" s="12"/>
      <c r="V684" s="12"/>
      <c r="W684" s="12">
        <f t="shared" si="188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89"/>
        <v>0</v>
      </c>
      <c r="AF684" s="12"/>
      <c r="AG684" s="12"/>
      <c r="AH684" s="12"/>
      <c r="AI684" s="12">
        <f t="shared" si="190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185"/>
        <v>0</v>
      </c>
      <c r="H685" s="12"/>
      <c r="I685" s="12"/>
      <c r="J685" s="12"/>
      <c r="K685" s="12">
        <f t="shared" si="186"/>
        <v>0</v>
      </c>
      <c r="M685" s="10">
        <v>14</v>
      </c>
      <c r="N685" s="30"/>
      <c r="O685" s="31"/>
      <c r="P685" s="32"/>
      <c r="Q685" s="32"/>
      <c r="R685" s="32"/>
      <c r="S685" s="32">
        <f t="shared" si="187"/>
        <v>0</v>
      </c>
      <c r="T685" s="12"/>
      <c r="U685" s="12"/>
      <c r="V685" s="12"/>
      <c r="W685" s="12">
        <f t="shared" si="188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89"/>
        <v>0</v>
      </c>
      <c r="AF685" s="12"/>
      <c r="AG685" s="12"/>
      <c r="AH685" s="12"/>
      <c r="AI685" s="12">
        <f t="shared" si="190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185"/>
        <v>0</v>
      </c>
      <c r="H686" s="12"/>
      <c r="I686" s="12"/>
      <c r="J686" s="12"/>
      <c r="K686" s="12">
        <f t="shared" si="186"/>
        <v>0</v>
      </c>
      <c r="M686" s="10">
        <v>15</v>
      </c>
      <c r="N686" s="30"/>
      <c r="O686" s="31"/>
      <c r="P686" s="32"/>
      <c r="Q686" s="32"/>
      <c r="R686" s="32"/>
      <c r="S686" s="32">
        <f t="shared" si="187"/>
        <v>0</v>
      </c>
      <c r="T686" s="12"/>
      <c r="U686" s="12"/>
      <c r="V686" s="12"/>
      <c r="W686" s="12">
        <f t="shared" si="188"/>
        <v>0</v>
      </c>
      <c r="Y686" s="10">
        <v>15</v>
      </c>
      <c r="Z686" s="30"/>
      <c r="AB686" s="32"/>
      <c r="AC686" s="32"/>
      <c r="AD686" s="32"/>
      <c r="AE686" s="32">
        <f t="shared" si="189"/>
        <v>0</v>
      </c>
      <c r="AF686" s="12"/>
      <c r="AG686" s="12"/>
      <c r="AH686" s="12"/>
      <c r="AI686" s="12">
        <f t="shared" si="190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83"/>
      <c r="D687" s="32"/>
      <c r="E687" s="32"/>
      <c r="F687" s="32"/>
      <c r="G687" s="32">
        <f t="shared" si="185"/>
        <v>0</v>
      </c>
      <c r="H687" s="12"/>
      <c r="I687" s="12"/>
      <c r="J687" s="12"/>
      <c r="K687" s="12">
        <f t="shared" si="186"/>
        <v>0</v>
      </c>
      <c r="M687" s="10">
        <v>16</v>
      </c>
      <c r="N687" s="30"/>
      <c r="O687" s="31"/>
      <c r="P687" s="32"/>
      <c r="Q687" s="32"/>
      <c r="R687" s="32"/>
      <c r="S687" s="32">
        <f t="shared" si="187"/>
        <v>0</v>
      </c>
      <c r="T687" s="12"/>
      <c r="U687" s="12"/>
      <c r="V687" s="12"/>
      <c r="W687" s="12">
        <f t="shared" si="188"/>
        <v>0</v>
      </c>
      <c r="Y687" s="10">
        <v>16</v>
      </c>
      <c r="Z687" s="30"/>
      <c r="AB687" s="32"/>
      <c r="AC687" s="32"/>
      <c r="AD687" s="32"/>
      <c r="AE687" s="32">
        <f t="shared" si="189"/>
        <v>0</v>
      </c>
      <c r="AF687" s="12"/>
      <c r="AG687" s="12"/>
      <c r="AH687" s="12"/>
      <c r="AI687" s="12">
        <f t="shared" si="190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185"/>
        <v>0</v>
      </c>
      <c r="H688" s="12"/>
      <c r="I688" s="12"/>
      <c r="J688" s="12"/>
      <c r="K688" s="12">
        <f t="shared" si="186"/>
        <v>0</v>
      </c>
      <c r="M688" s="10">
        <v>17</v>
      </c>
      <c r="N688" s="30"/>
      <c r="O688" s="31"/>
      <c r="P688" s="35"/>
      <c r="Q688" s="32"/>
      <c r="R688" s="32"/>
      <c r="S688" s="32">
        <f t="shared" si="187"/>
        <v>0</v>
      </c>
      <c r="T688" s="12"/>
      <c r="U688" s="12"/>
      <c r="V688" s="12"/>
      <c r="W688" s="12">
        <f t="shared" si="188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89"/>
        <v>0</v>
      </c>
      <c r="AF688" s="12"/>
      <c r="AG688" s="12"/>
      <c r="AH688" s="12"/>
      <c r="AI688" s="12">
        <f t="shared" si="190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185"/>
        <v>0</v>
      </c>
      <c r="H689" s="12"/>
      <c r="I689" s="12"/>
      <c r="J689" s="12"/>
      <c r="K689" s="12">
        <f t="shared" si="186"/>
        <v>0</v>
      </c>
      <c r="M689" s="10">
        <v>18</v>
      </c>
      <c r="N689" s="30"/>
      <c r="O689" s="31"/>
      <c r="P689" s="32"/>
      <c r="Q689" s="32"/>
      <c r="R689" s="32"/>
      <c r="S689" s="32">
        <f t="shared" si="187"/>
        <v>0</v>
      </c>
      <c r="T689" s="12"/>
      <c r="U689" s="12"/>
      <c r="V689" s="12"/>
      <c r="W689" s="12">
        <f t="shared" si="188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89"/>
        <v>0</v>
      </c>
      <c r="AF689" s="12"/>
      <c r="AG689" s="12"/>
      <c r="AH689" s="12"/>
      <c r="AI689" s="12">
        <f t="shared" si="190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185"/>
        <v>0</v>
      </c>
      <c r="H690" s="12"/>
      <c r="I690" s="12"/>
      <c r="J690" s="12"/>
      <c r="K690" s="12">
        <f t="shared" si="186"/>
        <v>0</v>
      </c>
      <c r="M690" s="10">
        <v>19</v>
      </c>
      <c r="N690" s="30"/>
      <c r="O690" s="31"/>
      <c r="P690" s="32"/>
      <c r="Q690" s="32"/>
      <c r="R690" s="32"/>
      <c r="S690" s="32">
        <f t="shared" si="187"/>
        <v>0</v>
      </c>
      <c r="T690" s="12"/>
      <c r="U690" s="12"/>
      <c r="V690" s="12"/>
      <c r="W690" s="12">
        <f t="shared" si="188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89"/>
        <v>0</v>
      </c>
      <c r="AF690" s="12"/>
      <c r="AG690" s="12"/>
      <c r="AH690" s="12"/>
      <c r="AI690" s="12">
        <f t="shared" si="190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185"/>
        <v>0</v>
      </c>
      <c r="H691" s="12"/>
      <c r="I691" s="12"/>
      <c r="J691" s="12"/>
      <c r="K691" s="12">
        <f t="shared" si="186"/>
        <v>0</v>
      </c>
      <c r="M691" s="10">
        <v>20</v>
      </c>
      <c r="N691" s="30"/>
      <c r="O691" s="31"/>
      <c r="P691" s="32"/>
      <c r="Q691" s="32"/>
      <c r="R691" s="32"/>
      <c r="S691" s="32">
        <f t="shared" si="187"/>
        <v>0</v>
      </c>
      <c r="T691" s="12"/>
      <c r="U691" s="12"/>
      <c r="V691" s="12"/>
      <c r="W691" s="12">
        <f t="shared" si="188"/>
        <v>0</v>
      </c>
      <c r="Y691" s="10">
        <v>20</v>
      </c>
      <c r="Z691" s="30"/>
      <c r="AA691" s="31"/>
      <c r="AB691" s="32"/>
      <c r="AC691" s="32"/>
      <c r="AD691" s="32"/>
      <c r="AE691" s="32">
        <f t="shared" si="189"/>
        <v>0</v>
      </c>
      <c r="AF691" s="12"/>
      <c r="AG691" s="12"/>
      <c r="AH691" s="12"/>
      <c r="AI691" s="12">
        <f t="shared" si="190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11"/>
      <c r="D692" s="32"/>
      <c r="E692" s="32"/>
      <c r="F692" s="32"/>
      <c r="G692" s="32">
        <f t="shared" si="185"/>
        <v>0</v>
      </c>
      <c r="H692" s="10"/>
      <c r="I692" s="10"/>
      <c r="J692" s="10"/>
      <c r="K692" s="12">
        <f t="shared" si="186"/>
        <v>0</v>
      </c>
      <c r="M692" s="10">
        <v>21</v>
      </c>
      <c r="N692" s="30"/>
      <c r="O692" s="31"/>
      <c r="P692" s="46"/>
      <c r="Q692" s="31"/>
      <c r="R692" s="31"/>
      <c r="S692" s="32">
        <f t="shared" si="187"/>
        <v>0</v>
      </c>
      <c r="T692" s="10"/>
      <c r="U692" s="10"/>
      <c r="V692" s="10"/>
      <c r="W692" s="12">
        <f t="shared" si="188"/>
        <v>0</v>
      </c>
      <c r="Y692" s="10">
        <v>21</v>
      </c>
      <c r="Z692" s="30"/>
      <c r="AA692" s="31"/>
      <c r="AB692" s="46"/>
      <c r="AC692" s="31"/>
      <c r="AD692" s="31"/>
      <c r="AE692" s="32">
        <f t="shared" si="189"/>
        <v>0</v>
      </c>
      <c r="AF692" s="10"/>
      <c r="AG692" s="10"/>
      <c r="AH692" s="10"/>
      <c r="AI692" s="12">
        <f t="shared" si="190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57"/>
      <c r="D693" s="32"/>
      <c r="E693" s="32"/>
      <c r="F693" s="32"/>
      <c r="G693" s="32">
        <f t="shared" si="185"/>
        <v>0</v>
      </c>
      <c r="H693" s="10"/>
      <c r="I693" s="10"/>
      <c r="J693" s="10"/>
      <c r="K693" s="12">
        <f t="shared" si="186"/>
        <v>0</v>
      </c>
      <c r="M693" s="10">
        <v>22</v>
      </c>
      <c r="N693" s="30"/>
      <c r="O693" s="31"/>
      <c r="P693" s="45"/>
      <c r="Q693" s="31"/>
      <c r="R693" s="31"/>
      <c r="S693" s="32">
        <f t="shared" si="187"/>
        <v>0</v>
      </c>
      <c r="T693" s="10"/>
      <c r="U693" s="10"/>
      <c r="V693" s="10"/>
      <c r="W693" s="12">
        <f t="shared" si="188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89"/>
        <v>0</v>
      </c>
      <c r="AF693" s="10"/>
      <c r="AG693" s="10"/>
      <c r="AH693" s="10"/>
      <c r="AI693" s="12">
        <f t="shared" si="190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185"/>
        <v>0</v>
      </c>
      <c r="H694" s="10"/>
      <c r="I694" s="10"/>
      <c r="J694" s="12"/>
      <c r="K694" s="12">
        <f t="shared" si="186"/>
        <v>0</v>
      </c>
      <c r="M694" s="10">
        <v>23</v>
      </c>
      <c r="N694" s="30"/>
      <c r="O694" s="31"/>
      <c r="P694" s="47"/>
      <c r="Q694" s="31"/>
      <c r="S694" s="32">
        <f t="shared" si="187"/>
        <v>0</v>
      </c>
      <c r="T694" s="10"/>
      <c r="U694" s="10"/>
      <c r="V694" s="10"/>
      <c r="W694" s="12">
        <f t="shared" si="188"/>
        <v>0</v>
      </c>
      <c r="Y694" s="10">
        <v>23</v>
      </c>
      <c r="Z694" s="30"/>
      <c r="AA694" s="31"/>
      <c r="AB694" s="47"/>
      <c r="AE694" s="32">
        <f t="shared" si="189"/>
        <v>0</v>
      </c>
      <c r="AF694" s="10"/>
      <c r="AG694" s="10"/>
      <c r="AH694" s="10"/>
      <c r="AI694" s="12">
        <f t="shared" si="190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185"/>
        <v>0</v>
      </c>
      <c r="H695" s="10"/>
      <c r="I695" s="10"/>
      <c r="J695" s="10"/>
      <c r="K695" s="12">
        <f t="shared" si="186"/>
        <v>0</v>
      </c>
      <c r="M695" s="10">
        <v>24</v>
      </c>
      <c r="N695" s="30"/>
      <c r="O695" s="31"/>
      <c r="P695" s="47"/>
      <c r="Q695" s="31"/>
      <c r="R695" s="31"/>
      <c r="S695" s="32">
        <f t="shared" si="187"/>
        <v>0</v>
      </c>
      <c r="T695" s="10"/>
      <c r="U695" s="10"/>
      <c r="V695" s="10"/>
      <c r="W695" s="12">
        <f t="shared" si="188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89"/>
        <v>0</v>
      </c>
      <c r="AF695" s="10"/>
      <c r="AG695" s="10"/>
      <c r="AH695" s="10"/>
      <c r="AI695" s="12">
        <f t="shared" si="190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185"/>
        <v>0</v>
      </c>
      <c r="H696" s="10"/>
      <c r="I696" s="10"/>
      <c r="J696" s="10"/>
      <c r="K696" s="12">
        <f t="shared" si="186"/>
        <v>0</v>
      </c>
      <c r="M696" s="10">
        <v>25</v>
      </c>
      <c r="N696" s="30"/>
      <c r="O696" s="31"/>
      <c r="P696" s="47"/>
      <c r="Q696" s="31"/>
      <c r="R696" s="31"/>
      <c r="S696" s="32">
        <f t="shared" si="187"/>
        <v>0</v>
      </c>
      <c r="T696" s="10"/>
      <c r="U696" s="10"/>
      <c r="V696" s="10"/>
      <c r="W696" s="12">
        <f t="shared" si="188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89"/>
        <v>0</v>
      </c>
      <c r="AF696" s="10"/>
      <c r="AG696" s="10"/>
      <c r="AH696" s="10"/>
      <c r="AI696" s="12">
        <f t="shared" si="190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85"/>
        <v>0</v>
      </c>
      <c r="H697" s="10"/>
      <c r="I697" s="10"/>
      <c r="J697" s="10"/>
      <c r="K697" s="12">
        <f t="shared" si="186"/>
        <v>0</v>
      </c>
      <c r="M697" s="10">
        <v>26</v>
      </c>
      <c r="N697" s="30"/>
      <c r="O697" s="31"/>
      <c r="P697" s="47"/>
      <c r="Q697" s="31"/>
      <c r="R697" s="31"/>
      <c r="S697" s="32">
        <f t="shared" si="187"/>
        <v>0</v>
      </c>
      <c r="T697" s="10"/>
      <c r="U697" s="10"/>
      <c r="V697" s="10"/>
      <c r="W697" s="12">
        <f t="shared" si="188"/>
        <v>0</v>
      </c>
      <c r="Y697" s="10">
        <v>26</v>
      </c>
      <c r="Z697" s="30"/>
      <c r="AB697" s="47"/>
      <c r="AC697" s="31"/>
      <c r="AD697" s="31"/>
      <c r="AE697" s="32">
        <f t="shared" si="189"/>
        <v>0</v>
      </c>
      <c r="AF697" s="10"/>
      <c r="AG697" s="10"/>
      <c r="AH697" s="10"/>
      <c r="AI697" s="12">
        <f t="shared" si="190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85"/>
        <v>0</v>
      </c>
      <c r="H698" s="10"/>
      <c r="I698" s="10"/>
      <c r="J698" s="10"/>
      <c r="K698" s="12">
        <f t="shared" si="186"/>
        <v>0</v>
      </c>
      <c r="M698" s="10">
        <v>27</v>
      </c>
      <c r="N698" s="30"/>
      <c r="O698" s="31"/>
      <c r="P698" s="47"/>
      <c r="Q698" s="31"/>
      <c r="R698" s="31"/>
      <c r="S698" s="32">
        <f t="shared" si="187"/>
        <v>0</v>
      </c>
      <c r="T698" s="10"/>
      <c r="U698" s="10"/>
      <c r="V698" s="10"/>
      <c r="W698" s="12">
        <f t="shared" si="188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89"/>
        <v>0</v>
      </c>
      <c r="AF698" s="10"/>
      <c r="AG698" s="10"/>
      <c r="AH698" s="10"/>
      <c r="AI698" s="12">
        <f t="shared" si="190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85"/>
        <v>0</v>
      </c>
      <c r="H699" s="10"/>
      <c r="I699" s="10"/>
      <c r="J699" s="10"/>
      <c r="K699" s="12">
        <f t="shared" si="186"/>
        <v>0</v>
      </c>
      <c r="M699" s="10">
        <v>28</v>
      </c>
      <c r="N699" s="30"/>
      <c r="O699" s="31"/>
      <c r="P699" s="47"/>
      <c r="Q699" s="31"/>
      <c r="R699" s="31"/>
      <c r="S699" s="32">
        <f t="shared" si="187"/>
        <v>0</v>
      </c>
      <c r="T699" s="10"/>
      <c r="U699" s="10"/>
      <c r="V699" s="10"/>
      <c r="W699" s="12">
        <f t="shared" si="188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89"/>
        <v>0</v>
      </c>
      <c r="AF699" s="10"/>
      <c r="AG699" s="10"/>
      <c r="AH699" s="10"/>
      <c r="AI699" s="12">
        <f t="shared" si="190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85"/>
        <v>0</v>
      </c>
      <c r="H700" s="10"/>
      <c r="I700" s="10"/>
      <c r="J700" s="10"/>
      <c r="K700" s="12">
        <f t="shared" si="186"/>
        <v>0</v>
      </c>
      <c r="M700" s="10">
        <v>29</v>
      </c>
      <c r="N700" s="30"/>
      <c r="O700" s="31"/>
      <c r="P700" s="47"/>
      <c r="Q700" s="31"/>
      <c r="R700" s="31"/>
      <c r="S700" s="32">
        <f t="shared" si="187"/>
        <v>0</v>
      </c>
      <c r="T700" s="10"/>
      <c r="U700" s="10"/>
      <c r="V700" s="10"/>
      <c r="W700" s="12">
        <f t="shared" si="188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89"/>
        <v>0</v>
      </c>
      <c r="AF700" s="10"/>
      <c r="AG700" s="10"/>
      <c r="AH700" s="10"/>
      <c r="AI700" s="12">
        <f t="shared" si="190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85"/>
        <v>0</v>
      </c>
      <c r="H701" s="10"/>
      <c r="I701" s="10"/>
      <c r="J701" s="10"/>
      <c r="K701" s="12">
        <f t="shared" si="186"/>
        <v>0</v>
      </c>
      <c r="M701" s="10">
        <v>30</v>
      </c>
      <c r="N701" s="30"/>
      <c r="O701" s="31"/>
      <c r="P701" s="47"/>
      <c r="Q701" s="31"/>
      <c r="R701" s="31"/>
      <c r="S701" s="32">
        <f t="shared" si="187"/>
        <v>0</v>
      </c>
      <c r="T701" s="10"/>
      <c r="U701" s="10"/>
      <c r="V701" s="10"/>
      <c r="W701" s="12">
        <f t="shared" si="188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89"/>
        <v>0</v>
      </c>
      <c r="AF701" s="10"/>
      <c r="AG701" s="10"/>
      <c r="AH701" s="10"/>
      <c r="AI701" s="12">
        <f t="shared" si="190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3"/>
      <c r="D702" s="32"/>
      <c r="E702" s="32"/>
      <c r="F702" s="32"/>
      <c r="G702" s="32">
        <f t="shared" si="185"/>
        <v>0</v>
      </c>
      <c r="H702" s="10"/>
      <c r="I702" s="10"/>
      <c r="J702" s="10"/>
      <c r="K702" s="12">
        <f t="shared" si="186"/>
        <v>0</v>
      </c>
      <c r="M702" s="10">
        <v>31</v>
      </c>
      <c r="N702" s="30"/>
      <c r="O702" s="31"/>
      <c r="P702" s="47"/>
      <c r="Q702" s="31"/>
      <c r="R702" s="31"/>
      <c r="S702" s="32">
        <f t="shared" si="187"/>
        <v>0</v>
      </c>
      <c r="T702" s="10"/>
      <c r="U702" s="10"/>
      <c r="V702" s="10"/>
      <c r="W702" s="12">
        <f t="shared" si="188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89"/>
        <v>0</v>
      </c>
      <c r="AF702" s="10"/>
      <c r="AG702" s="10"/>
      <c r="AH702" s="10"/>
      <c r="AI702" s="12">
        <f t="shared" si="190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85"/>
        <v>0</v>
      </c>
      <c r="H703" s="10"/>
      <c r="I703" s="10"/>
      <c r="J703" s="10"/>
      <c r="K703" s="12">
        <f t="shared" si="186"/>
        <v>0</v>
      </c>
      <c r="M703" s="10">
        <v>32</v>
      </c>
      <c r="N703" s="30"/>
      <c r="O703" s="31"/>
      <c r="P703" s="47"/>
      <c r="Q703" s="31"/>
      <c r="R703" s="31"/>
      <c r="S703" s="32">
        <f t="shared" si="187"/>
        <v>0</v>
      </c>
      <c r="T703" s="10"/>
      <c r="U703" s="10"/>
      <c r="V703" s="10"/>
      <c r="W703" s="12">
        <f t="shared" si="188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89"/>
        <v>0</v>
      </c>
      <c r="AF703" s="10"/>
      <c r="AG703" s="10"/>
      <c r="AH703" s="10"/>
      <c r="AI703" s="12">
        <f t="shared" si="190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85"/>
        <v>0</v>
      </c>
      <c r="H704" s="10"/>
      <c r="I704" s="10"/>
      <c r="J704" s="10"/>
      <c r="K704" s="12">
        <f t="shared" si="186"/>
        <v>0</v>
      </c>
      <c r="M704" s="10">
        <v>33</v>
      </c>
      <c r="N704" s="30"/>
      <c r="O704" s="31"/>
      <c r="P704" s="47"/>
      <c r="Q704" s="31"/>
      <c r="R704" s="31"/>
      <c r="S704" s="32">
        <f t="shared" si="187"/>
        <v>0</v>
      </c>
      <c r="T704" s="10"/>
      <c r="U704" s="10"/>
      <c r="V704" s="10"/>
      <c r="W704" s="12">
        <f t="shared" si="188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89"/>
        <v>0</v>
      </c>
      <c r="AF704" s="10"/>
      <c r="AG704" s="10"/>
      <c r="AH704" s="10"/>
      <c r="AI704" s="12">
        <f t="shared" si="190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85"/>
        <v>0</v>
      </c>
      <c r="H705" s="10"/>
      <c r="I705" s="10"/>
      <c r="J705" s="10"/>
      <c r="K705" s="12">
        <f t="shared" si="186"/>
        <v>0</v>
      </c>
      <c r="M705" s="10">
        <v>34</v>
      </c>
      <c r="N705" s="30"/>
      <c r="O705" s="31"/>
      <c r="P705" s="47"/>
      <c r="Q705" s="31"/>
      <c r="R705" s="31"/>
      <c r="S705" s="32">
        <f t="shared" si="187"/>
        <v>0</v>
      </c>
      <c r="T705" s="10"/>
      <c r="U705" s="10"/>
      <c r="V705" s="10"/>
      <c r="W705" s="12">
        <f t="shared" si="188"/>
        <v>0</v>
      </c>
      <c r="Y705" s="10">
        <v>34</v>
      </c>
      <c r="Z705" s="30"/>
      <c r="AA705" s="31"/>
      <c r="AB705" s="47"/>
      <c r="AC705" s="31"/>
      <c r="AD705" s="31"/>
      <c r="AE705" s="32">
        <f t="shared" si="189"/>
        <v>0</v>
      </c>
      <c r="AF705" s="10"/>
      <c r="AG705" s="10"/>
      <c r="AH705" s="10"/>
      <c r="AI705" s="12">
        <f t="shared" si="190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P706" s="47"/>
      <c r="Q706" s="31"/>
      <c r="R706" s="31"/>
      <c r="S706" s="32">
        <f t="shared" si="187"/>
        <v>0</v>
      </c>
      <c r="T706" s="10"/>
      <c r="U706" s="10"/>
      <c r="V706" s="10"/>
      <c r="W706" s="12">
        <f t="shared" si="188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89"/>
        <v>0</v>
      </c>
      <c r="AF706" s="10"/>
      <c r="AG706" s="10"/>
      <c r="AH706" s="10"/>
      <c r="AI706" s="12">
        <f t="shared" si="19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87"/>
        <v>0</v>
      </c>
      <c r="T707" s="10"/>
      <c r="U707" s="10"/>
      <c r="V707" s="10"/>
      <c r="W707" s="12">
        <f t="shared" si="188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89"/>
        <v>0</v>
      </c>
      <c r="AF707" s="10"/>
      <c r="AG707" s="10"/>
      <c r="AH707" s="10"/>
      <c r="AI707" s="12">
        <f t="shared" si="19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O708" s="31"/>
      <c r="P708" s="47"/>
      <c r="Q708" s="31"/>
      <c r="R708" s="31"/>
      <c r="S708" s="32">
        <f t="shared" si="187"/>
        <v>0</v>
      </c>
      <c r="T708" s="10"/>
      <c r="U708" s="10"/>
      <c r="V708" s="10"/>
      <c r="W708" s="12">
        <f t="shared" si="188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89"/>
        <v>0</v>
      </c>
      <c r="AF708" s="10"/>
      <c r="AG708" s="10"/>
      <c r="AH708" s="10"/>
      <c r="AI708" s="12">
        <f t="shared" si="19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87"/>
        <v>0</v>
      </c>
      <c r="T709" s="10"/>
      <c r="U709" s="10"/>
      <c r="V709" s="10"/>
      <c r="W709" s="12">
        <f t="shared" si="188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89"/>
        <v>0</v>
      </c>
      <c r="AF709" s="10"/>
      <c r="AG709" s="10"/>
      <c r="AH709" s="10"/>
      <c r="AI709" s="12">
        <f t="shared" si="19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87"/>
        <v>0</v>
      </c>
      <c r="T710" s="10"/>
      <c r="U710" s="10"/>
      <c r="V710" s="10"/>
      <c r="W710" s="12">
        <f t="shared" si="188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89"/>
        <v>0</v>
      </c>
      <c r="AF710" s="10"/>
      <c r="AG710" s="10"/>
      <c r="AH710" s="10"/>
      <c r="AI710" s="12">
        <f t="shared" si="19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88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9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94">SUM(D712:E712)</f>
        <v>0</v>
      </c>
      <c r="H712" s="10"/>
      <c r="I712" s="10"/>
      <c r="J712" s="10"/>
      <c r="K712" s="12">
        <f t="shared" ref="K712" si="195">SUM(G712:J712)</f>
        <v>0</v>
      </c>
      <c r="M712" s="10"/>
      <c r="N712" s="30"/>
      <c r="O712" s="31"/>
      <c r="P712" s="47"/>
      <c r="Q712" s="31"/>
      <c r="R712" s="31"/>
      <c r="S712" s="32">
        <f t="shared" ref="S712" si="196">SUM(P712:Q712)</f>
        <v>0</v>
      </c>
      <c r="T712" s="10"/>
      <c r="U712" s="10"/>
      <c r="V712" s="10"/>
      <c r="W712" s="12">
        <f t="shared" si="188"/>
        <v>0</v>
      </c>
      <c r="Y712" s="10"/>
      <c r="Z712" s="30"/>
      <c r="AA712" s="31"/>
      <c r="AB712" s="47"/>
      <c r="AC712" s="31"/>
      <c r="AD712" s="31"/>
      <c r="AE712" s="32">
        <f t="shared" ref="AE712" si="197">SUM(AB712:AC712)</f>
        <v>0</v>
      </c>
      <c r="AF712" s="10"/>
      <c r="AG712" s="10"/>
      <c r="AH712" s="10"/>
      <c r="AI712" s="12">
        <f t="shared" si="19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88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9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678087</v>
      </c>
      <c r="E715" s="38">
        <f t="shared" ref="E715:F715" si="198">SUM(E672:E712)</f>
        <v>-5466</v>
      </c>
      <c r="F715" s="38">
        <f t="shared" si="198"/>
        <v>0</v>
      </c>
      <c r="G715" s="38">
        <f>SUM(G672:G714)</f>
        <v>672621</v>
      </c>
      <c r="H715" s="4"/>
      <c r="I715" s="39">
        <f>SUM(I672:I714)</f>
        <v>25746</v>
      </c>
      <c r="J715" s="39">
        <f>SUM(J672:J714)</f>
        <v>-16860</v>
      </c>
      <c r="K715" s="40">
        <f>SUM(K672:K714)</f>
        <v>681507</v>
      </c>
      <c r="N715" s="57"/>
      <c r="O715" s="57"/>
      <c r="P715" s="38">
        <f>SUM(P672:P714)</f>
        <v>278235</v>
      </c>
      <c r="Q715" s="38">
        <f>SUM(Q672:Q696)</f>
        <v>-2496</v>
      </c>
      <c r="R715" s="38">
        <f>SUM(R672:R696)</f>
        <v>0</v>
      </c>
      <c r="S715" s="38">
        <f>SUM(S672:S714)</f>
        <v>275739</v>
      </c>
      <c r="T715" s="4"/>
      <c r="U715" s="41">
        <f>SUM(U672:U714)</f>
        <v>5751</v>
      </c>
      <c r="V715" s="41">
        <f>SUM(V672:V696)</f>
        <v>-17091</v>
      </c>
      <c r="W715" s="42">
        <f>SUM(W672:W714)</f>
        <v>264399</v>
      </c>
      <c r="Z715" s="57"/>
      <c r="AA715" s="57"/>
      <c r="AB715" s="38">
        <f>SUM(AB672:AB714)</f>
        <v>451797</v>
      </c>
      <c r="AC715" s="38">
        <f>SUM(AC672:AC696)</f>
        <v>0</v>
      </c>
      <c r="AD715" s="38">
        <f>SUM(AD672:AD696)</f>
        <v>0</v>
      </c>
      <c r="AE715" s="38">
        <f>SUM(AE672:AE714)</f>
        <v>451797</v>
      </c>
      <c r="AF715" s="4"/>
      <c r="AG715" s="41">
        <f>SUM(AG672:AG714)</f>
        <v>0</v>
      </c>
      <c r="AH715" s="41">
        <f>SUM(AH672:AH696)</f>
        <v>-41337</v>
      </c>
      <c r="AI715" s="42">
        <f>SUM(AI672:AI714)</f>
        <v>410460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8"/>
      <c r="C717" s="88"/>
      <c r="D717" s="88"/>
      <c r="E717" s="88"/>
      <c r="F717" s="88"/>
      <c r="G717" s="88"/>
      <c r="H717" s="62"/>
      <c r="I717" s="62"/>
      <c r="J717" s="62"/>
      <c r="K717" s="62"/>
      <c r="L717" s="62"/>
      <c r="M717" s="62"/>
      <c r="N717" s="88"/>
      <c r="O717" s="88"/>
      <c r="P717" s="88"/>
      <c r="Q717" s="88"/>
      <c r="R717" s="88"/>
      <c r="S717" s="88"/>
      <c r="T717" s="62"/>
      <c r="U717" s="62"/>
      <c r="V717" s="62"/>
      <c r="W717" s="62"/>
      <c r="X717" s="62"/>
      <c r="Y717" s="62"/>
      <c r="Z717" s="88"/>
      <c r="AA717" s="88"/>
      <c r="AB717" s="88"/>
      <c r="AC717" s="88"/>
      <c r="AD717" s="88"/>
      <c r="AE717" s="88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8"/>
      <c r="C718" s="88"/>
      <c r="D718" s="88"/>
      <c r="E718" s="88"/>
      <c r="F718" s="88"/>
      <c r="G718" s="88"/>
      <c r="H718" s="62"/>
      <c r="I718" s="62"/>
      <c r="J718" s="62"/>
      <c r="K718" s="62"/>
      <c r="L718" s="62"/>
      <c r="M718" s="62"/>
      <c r="N718" s="88"/>
      <c r="O718" s="88"/>
      <c r="P718" s="88"/>
      <c r="Q718" s="88"/>
      <c r="R718" s="88"/>
      <c r="S718" s="88"/>
      <c r="T718" s="62"/>
      <c r="U718" s="62"/>
      <c r="V718" s="62"/>
      <c r="W718" s="62"/>
      <c r="X718" s="62"/>
      <c r="Y718" s="62"/>
      <c r="Z718" s="88"/>
      <c r="AA718" s="88"/>
      <c r="AB718" s="88"/>
      <c r="AC718" s="88"/>
      <c r="AD718" s="88"/>
      <c r="AE718" s="88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8"/>
      <c r="C719" s="88"/>
      <c r="D719" s="88"/>
      <c r="E719" s="88"/>
      <c r="F719" s="88"/>
      <c r="G719" s="88"/>
      <c r="H719" s="62"/>
      <c r="I719" s="62"/>
      <c r="J719" s="62"/>
      <c r="K719" s="62"/>
      <c r="L719" s="62"/>
      <c r="M719" s="62"/>
      <c r="N719" s="88"/>
      <c r="O719" s="88"/>
      <c r="P719" s="88"/>
      <c r="Q719" s="88"/>
      <c r="R719" s="88"/>
      <c r="S719" s="88"/>
      <c r="T719" s="62"/>
      <c r="U719" s="62"/>
      <c r="V719" s="62"/>
      <c r="W719" s="62"/>
      <c r="X719" s="62"/>
      <c r="Y719" s="62"/>
      <c r="Z719" s="88"/>
      <c r="AA719" s="88"/>
      <c r="AB719" s="88"/>
      <c r="AC719" s="88"/>
      <c r="AD719" s="88"/>
      <c r="AE719" s="88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8"/>
      <c r="C720" s="88"/>
      <c r="D720" s="88"/>
      <c r="E720" s="88"/>
      <c r="F720" s="88"/>
      <c r="G720" s="88"/>
      <c r="H720" s="62"/>
      <c r="I720" s="62"/>
      <c r="J720" s="62"/>
      <c r="K720" s="62"/>
      <c r="L720" s="62"/>
      <c r="M720" s="63"/>
      <c r="N720" s="88"/>
      <c r="O720" s="88"/>
      <c r="P720" s="88"/>
      <c r="Q720" s="88"/>
      <c r="R720" s="88"/>
      <c r="S720" s="88"/>
      <c r="T720" s="62"/>
      <c r="U720" s="62"/>
      <c r="V720" s="62"/>
      <c r="W720" s="62"/>
      <c r="X720" s="62"/>
      <c r="Y720" s="63"/>
      <c r="Z720" s="88"/>
      <c r="AA720" s="88"/>
      <c r="AB720" s="88"/>
      <c r="AC720" s="88"/>
      <c r="AD720" s="88"/>
      <c r="AE720" s="88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8"/>
      <c r="C721" s="88"/>
      <c r="D721" s="88"/>
      <c r="E721" s="88"/>
      <c r="F721" s="88"/>
      <c r="G721" s="88"/>
      <c r="H721" s="62"/>
      <c r="I721" s="62"/>
      <c r="J721" s="62"/>
      <c r="K721" s="62"/>
      <c r="L721" s="62"/>
      <c r="M721" s="62"/>
      <c r="N721" s="88"/>
      <c r="O721" s="88"/>
      <c r="P721" s="88"/>
      <c r="Q721" s="88"/>
      <c r="R721" s="88"/>
      <c r="S721" s="88"/>
      <c r="T721" s="62"/>
      <c r="U721" s="62"/>
      <c r="V721" s="62"/>
      <c r="W721" s="62"/>
      <c r="X721" s="62"/>
      <c r="Y721" s="62"/>
      <c r="Z721" s="88"/>
      <c r="AA721" s="88"/>
      <c r="AB721" s="88"/>
      <c r="AC721" s="88"/>
      <c r="AD721" s="88"/>
      <c r="AE721" s="88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8"/>
      <c r="C722" s="88"/>
      <c r="D722" s="88"/>
      <c r="E722" s="88"/>
      <c r="F722" s="88"/>
      <c r="G722" s="88"/>
      <c r="H722" s="62"/>
      <c r="I722" s="88"/>
      <c r="J722" s="73"/>
      <c r="K722" s="62"/>
      <c r="L722" s="62"/>
      <c r="M722" s="62"/>
      <c r="N722" s="88"/>
      <c r="O722" s="88"/>
      <c r="P722" s="88"/>
      <c r="Q722" s="88"/>
      <c r="R722" s="88"/>
      <c r="S722" s="88"/>
      <c r="T722" s="62"/>
      <c r="U722" s="88"/>
      <c r="V722" s="73"/>
      <c r="W722" s="62"/>
      <c r="X722" s="62"/>
      <c r="Y722" s="62"/>
      <c r="Z722" s="88"/>
      <c r="AA722" s="88"/>
      <c r="AB722" s="88"/>
      <c r="AC722" s="88"/>
      <c r="AD722" s="88"/>
      <c r="AE722" s="88"/>
      <c r="AF722" s="62"/>
      <c r="AG722" s="88"/>
      <c r="AH722" s="88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8"/>
      <c r="C723" s="88"/>
      <c r="D723" s="88"/>
      <c r="E723" s="88"/>
      <c r="F723" s="88"/>
      <c r="G723" s="88"/>
      <c r="H723" s="62"/>
      <c r="I723" s="65"/>
      <c r="J723" s="65"/>
      <c r="K723" s="62"/>
      <c r="L723" s="62"/>
      <c r="M723" s="64"/>
      <c r="N723" s="88"/>
      <c r="O723" s="88"/>
      <c r="P723" s="88"/>
      <c r="Q723" s="88"/>
      <c r="R723" s="88"/>
      <c r="S723" s="88"/>
      <c r="T723" s="62"/>
      <c r="U723" s="65"/>
      <c r="V723" s="65"/>
      <c r="W723" s="62"/>
      <c r="X723" s="62"/>
      <c r="Y723" s="64"/>
      <c r="Z723" s="88"/>
      <c r="AA723" s="88"/>
      <c r="AB723" s="88"/>
      <c r="AC723" s="88"/>
      <c r="AD723" s="88"/>
      <c r="AE723" s="88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8"/>
      <c r="C724" s="88"/>
      <c r="D724" s="88"/>
      <c r="E724" s="88"/>
      <c r="F724" s="88"/>
      <c r="G724" s="88"/>
      <c r="H724" s="62"/>
      <c r="I724" s="62"/>
      <c r="J724" s="62"/>
      <c r="K724" s="62"/>
      <c r="L724" s="62"/>
      <c r="M724" s="62"/>
      <c r="N724" s="88"/>
      <c r="O724" s="88"/>
      <c r="P724" s="88"/>
      <c r="Q724" s="88"/>
      <c r="R724" s="88"/>
      <c r="S724" s="88"/>
      <c r="T724" s="62"/>
      <c r="U724" s="62"/>
      <c r="V724" s="62"/>
      <c r="W724" s="62"/>
      <c r="X724" s="62"/>
      <c r="Y724" s="62"/>
      <c r="Z724" s="88"/>
      <c r="AA724" s="88"/>
      <c r="AB724" s="88"/>
      <c r="AC724" s="88"/>
      <c r="AD724" s="88"/>
      <c r="AE724" s="88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8"/>
      <c r="D725" s="115"/>
      <c r="E725" s="115"/>
      <c r="F725" s="88"/>
      <c r="G725" s="88"/>
      <c r="H725" s="62"/>
      <c r="I725" s="115"/>
      <c r="J725" s="115"/>
      <c r="K725" s="114"/>
      <c r="L725" s="62"/>
      <c r="M725" s="62"/>
      <c r="N725" s="65"/>
      <c r="O725" s="88"/>
      <c r="P725" s="115"/>
      <c r="Q725" s="115"/>
      <c r="R725" s="88"/>
      <c r="S725" s="88"/>
      <c r="T725" s="62"/>
      <c r="U725" s="115"/>
      <c r="V725" s="115"/>
      <c r="W725" s="114"/>
      <c r="X725" s="62"/>
      <c r="Y725" s="62"/>
      <c r="Z725" s="65"/>
      <c r="AA725" s="88"/>
      <c r="AB725" s="115"/>
      <c r="AC725" s="115"/>
      <c r="AD725" s="88"/>
      <c r="AE725" s="88"/>
      <c r="AF725" s="62"/>
      <c r="AG725" s="115"/>
      <c r="AH725" s="115"/>
      <c r="AI725" s="114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8"/>
      <c r="C726" s="88"/>
      <c r="D726" s="79"/>
      <c r="E726" s="80"/>
      <c r="F726" s="81"/>
      <c r="G726" s="81"/>
      <c r="H726" s="62"/>
      <c r="I726" s="87"/>
      <c r="J726" s="87"/>
      <c r="K726" s="114"/>
      <c r="L726" s="62"/>
      <c r="M726" s="62"/>
      <c r="N726" s="88"/>
      <c r="O726" s="88"/>
      <c r="P726" s="79"/>
      <c r="Q726" s="81"/>
      <c r="R726" s="81"/>
      <c r="S726" s="81"/>
      <c r="T726" s="62"/>
      <c r="U726" s="87"/>
      <c r="V726" s="87"/>
      <c r="W726" s="114"/>
      <c r="X726" s="62"/>
      <c r="Y726" s="62"/>
      <c r="Z726" s="88"/>
      <c r="AA726" s="88"/>
      <c r="AB726" s="79"/>
      <c r="AC726" s="81"/>
      <c r="AD726" s="81"/>
      <c r="AE726" s="81"/>
      <c r="AF726" s="62"/>
      <c r="AG726" s="87"/>
      <c r="AH726" s="87"/>
      <c r="AI726" s="114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8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8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8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8"/>
      <c r="AB728" s="60"/>
      <c r="AC728" s="62"/>
      <c r="AD728" s="60"/>
      <c r="AE728" s="60"/>
      <c r="AF728" s="61"/>
      <c r="AG728" s="61"/>
      <c r="AH728" s="62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8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8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8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65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8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8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8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8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8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8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8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8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8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8"/>
      <c r="AB735" s="62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8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8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8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62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65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8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8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65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8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8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8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8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8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4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8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8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8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8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8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8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8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8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8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8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62"/>
      <c r="P747" s="89"/>
      <c r="Q747" s="88"/>
      <c r="R747" s="88"/>
      <c r="S747" s="60"/>
      <c r="T747" s="62"/>
      <c r="U747" s="62"/>
      <c r="V747" s="62"/>
      <c r="W747" s="61"/>
      <c r="X747" s="62"/>
      <c r="Y747" s="62"/>
      <c r="Z747" s="66"/>
      <c r="AA747" s="88"/>
      <c r="AB747" s="67"/>
      <c r="AC747" s="88"/>
      <c r="AD747" s="88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8"/>
      <c r="P748" s="89"/>
      <c r="Q748" s="88"/>
      <c r="R748" s="88"/>
      <c r="S748" s="60"/>
      <c r="T748" s="62"/>
      <c r="U748" s="62"/>
      <c r="V748" s="62"/>
      <c r="W748" s="61"/>
      <c r="X748" s="62"/>
      <c r="Y748" s="62"/>
      <c r="Z748" s="66"/>
      <c r="AA748" s="88"/>
      <c r="AB748" s="68"/>
      <c r="AC748" s="88"/>
      <c r="AD748" s="88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8"/>
      <c r="P749" s="69"/>
      <c r="Q749" s="88"/>
      <c r="R749" s="62"/>
      <c r="S749" s="60"/>
      <c r="T749" s="62"/>
      <c r="U749" s="62"/>
      <c r="V749" s="62"/>
      <c r="W749" s="61"/>
      <c r="X749" s="62"/>
      <c r="Y749" s="62"/>
      <c r="Z749" s="66"/>
      <c r="AA749" s="88"/>
      <c r="AB749" s="69"/>
      <c r="AC749" s="88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62"/>
      <c r="P750" s="69"/>
      <c r="Q750" s="88"/>
      <c r="R750" s="88"/>
      <c r="S750" s="60"/>
      <c r="T750" s="62"/>
      <c r="U750" s="62"/>
      <c r="V750" s="62"/>
      <c r="W750" s="61"/>
      <c r="X750" s="62"/>
      <c r="Y750" s="62"/>
      <c r="Z750" s="66"/>
      <c r="AA750" s="88"/>
      <c r="AB750" s="69"/>
      <c r="AC750" s="88"/>
      <c r="AD750" s="88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8"/>
      <c r="P751" s="69"/>
      <c r="Q751" s="88"/>
      <c r="R751" s="88"/>
      <c r="S751" s="60"/>
      <c r="T751" s="62"/>
      <c r="U751" s="62"/>
      <c r="V751" s="62"/>
      <c r="W751" s="61"/>
      <c r="X751" s="62"/>
      <c r="Y751" s="62"/>
      <c r="Z751" s="66"/>
      <c r="AA751" s="88"/>
      <c r="AB751" s="69"/>
      <c r="AC751" s="88"/>
      <c r="AD751" s="88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2"/>
      <c r="P752" s="69"/>
      <c r="Q752" s="88"/>
      <c r="R752" s="88"/>
      <c r="S752" s="60"/>
      <c r="T752" s="62"/>
      <c r="U752" s="62"/>
      <c r="V752" s="62"/>
      <c r="W752" s="61"/>
      <c r="X752" s="62"/>
      <c r="Y752" s="62"/>
      <c r="Z752" s="66"/>
      <c r="AA752" s="88"/>
      <c r="AB752" s="69"/>
      <c r="AC752" s="88"/>
      <c r="AD752" s="88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8"/>
      <c r="P753" s="69"/>
      <c r="Q753" s="88"/>
      <c r="R753" s="88"/>
      <c r="S753" s="60"/>
      <c r="T753" s="62"/>
      <c r="U753" s="62"/>
      <c r="V753" s="62"/>
      <c r="W753" s="61"/>
      <c r="X753" s="62"/>
      <c r="Y753" s="62"/>
      <c r="Z753" s="66"/>
      <c r="AA753" s="88"/>
      <c r="AB753" s="69"/>
      <c r="AC753" s="88"/>
      <c r="AD753" s="88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8"/>
      <c r="P754" s="69"/>
      <c r="Q754" s="88"/>
      <c r="R754" s="88"/>
      <c r="S754" s="60"/>
      <c r="T754" s="62"/>
      <c r="U754" s="62"/>
      <c r="V754" s="62"/>
      <c r="W754" s="61"/>
      <c r="X754" s="62"/>
      <c r="Y754" s="62"/>
      <c r="Z754" s="66"/>
      <c r="AA754" s="88"/>
      <c r="AB754" s="69"/>
      <c r="AC754" s="88"/>
      <c r="AD754" s="88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8"/>
      <c r="P755" s="69"/>
      <c r="Q755" s="88"/>
      <c r="R755" s="88"/>
      <c r="S755" s="60"/>
      <c r="T755" s="62"/>
      <c r="U755" s="62"/>
      <c r="V755" s="62"/>
      <c r="W755" s="61"/>
      <c r="X755" s="62"/>
      <c r="Y755" s="62"/>
      <c r="Z755" s="66"/>
      <c r="AA755" s="88"/>
      <c r="AB755" s="69"/>
      <c r="AC755" s="88"/>
      <c r="AD755" s="88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88"/>
      <c r="R756" s="88"/>
      <c r="S756" s="60"/>
      <c r="T756" s="62"/>
      <c r="U756" s="62"/>
      <c r="V756" s="62"/>
      <c r="W756" s="61"/>
      <c r="X756" s="62"/>
      <c r="Y756" s="62"/>
      <c r="Z756" s="66"/>
      <c r="AA756" s="88"/>
      <c r="AB756" s="69"/>
      <c r="AC756" s="88"/>
      <c r="AD756" s="88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8"/>
      <c r="P757" s="69"/>
      <c r="Q757" s="88"/>
      <c r="R757" s="88"/>
      <c r="S757" s="60"/>
      <c r="T757" s="62"/>
      <c r="U757" s="62"/>
      <c r="V757" s="62"/>
      <c r="W757" s="61"/>
      <c r="X757" s="62"/>
      <c r="Y757" s="62"/>
      <c r="Z757" s="66"/>
      <c r="AA757" s="88"/>
      <c r="AB757" s="69"/>
      <c r="AC757" s="88"/>
      <c r="AD757" s="88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8"/>
      <c r="P758" s="69"/>
      <c r="Q758" s="88"/>
      <c r="R758" s="88"/>
      <c r="S758" s="60"/>
      <c r="T758" s="62"/>
      <c r="U758" s="62"/>
      <c r="V758" s="62"/>
      <c r="W758" s="61"/>
      <c r="X758" s="62"/>
      <c r="Y758" s="62"/>
      <c r="Z758" s="66"/>
      <c r="AA758" s="88"/>
      <c r="AB758" s="69"/>
      <c r="AC758" s="88"/>
      <c r="AD758" s="88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8"/>
      <c r="P759" s="69"/>
      <c r="Q759" s="88"/>
      <c r="R759" s="88"/>
      <c r="S759" s="60"/>
      <c r="T759" s="62"/>
      <c r="U759" s="62"/>
      <c r="V759" s="62"/>
      <c r="W759" s="61"/>
      <c r="X759" s="62"/>
      <c r="Y759" s="62"/>
      <c r="Z759" s="66"/>
      <c r="AA759" s="88"/>
      <c r="AB759" s="69"/>
      <c r="AC759" s="88"/>
      <c r="AD759" s="88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8"/>
      <c r="P760" s="69"/>
      <c r="Q760" s="88"/>
      <c r="R760" s="88"/>
      <c r="S760" s="60"/>
      <c r="T760" s="62"/>
      <c r="U760" s="62"/>
      <c r="V760" s="62"/>
      <c r="W760" s="61"/>
      <c r="X760" s="62"/>
      <c r="Y760" s="62"/>
      <c r="Z760" s="66"/>
      <c r="AA760" s="88"/>
      <c r="AB760" s="69"/>
      <c r="AC760" s="88"/>
      <c r="AD760" s="88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8"/>
      <c r="P761" s="69"/>
      <c r="Q761" s="88"/>
      <c r="R761" s="88"/>
      <c r="S761" s="60"/>
      <c r="T761" s="62"/>
      <c r="U761" s="62"/>
      <c r="V761" s="62"/>
      <c r="W761" s="61"/>
      <c r="X761" s="62"/>
      <c r="Y761" s="62"/>
      <c r="Z761" s="66"/>
      <c r="AA761" s="88"/>
      <c r="AB761" s="69"/>
      <c r="AC761" s="88"/>
      <c r="AD761" s="88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8"/>
      <c r="P762" s="69"/>
      <c r="Q762" s="88"/>
      <c r="R762" s="88"/>
      <c r="S762" s="60"/>
      <c r="T762" s="62"/>
      <c r="U762" s="62"/>
      <c r="V762" s="62"/>
      <c r="W762" s="61"/>
      <c r="X762" s="62"/>
      <c r="Y762" s="62"/>
      <c r="Z762" s="66"/>
      <c r="AA762" s="88"/>
      <c r="AB762" s="69"/>
      <c r="AC762" s="88"/>
      <c r="AD762" s="88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8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8"/>
      <c r="R763" s="88"/>
      <c r="S763" s="60"/>
      <c r="T763" s="62"/>
      <c r="U763" s="62"/>
      <c r="V763" s="62"/>
      <c r="W763" s="61"/>
      <c r="X763" s="62"/>
      <c r="Y763" s="62"/>
      <c r="Z763" s="66"/>
      <c r="AA763" s="88"/>
      <c r="AB763" s="69"/>
      <c r="AC763" s="88"/>
      <c r="AD763" s="88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8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8"/>
      <c r="P764" s="69"/>
      <c r="Q764" s="88"/>
      <c r="R764" s="88"/>
      <c r="S764" s="60"/>
      <c r="T764" s="62"/>
      <c r="U764" s="62"/>
      <c r="V764" s="62"/>
      <c r="W764" s="61"/>
      <c r="X764" s="62"/>
      <c r="Y764" s="62"/>
      <c r="Z764" s="66"/>
      <c r="AA764" s="88"/>
      <c r="AB764" s="69"/>
      <c r="AC764" s="88"/>
      <c r="AD764" s="88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8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8"/>
      <c r="P765" s="69"/>
      <c r="Q765" s="88"/>
      <c r="R765" s="88"/>
      <c r="S765" s="60"/>
      <c r="T765" s="62"/>
      <c r="U765" s="62"/>
      <c r="V765" s="62"/>
      <c r="W765" s="61"/>
      <c r="X765" s="62"/>
      <c r="Y765" s="62"/>
      <c r="Z765" s="66"/>
      <c r="AA765" s="88"/>
      <c r="AB765" s="69"/>
      <c r="AC765" s="88"/>
      <c r="AD765" s="88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8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8"/>
      <c r="R766" s="88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8"/>
      <c r="AD766" s="88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8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8"/>
      <c r="P767" s="69"/>
      <c r="Q767" s="88"/>
      <c r="R767" s="88"/>
      <c r="S767" s="60"/>
      <c r="T767" s="62"/>
      <c r="U767" s="62"/>
      <c r="V767" s="62"/>
      <c r="W767" s="61"/>
      <c r="X767" s="62"/>
      <c r="Y767" s="62"/>
      <c r="Z767" s="66"/>
      <c r="AA767" s="88"/>
      <c r="AB767" s="69"/>
      <c r="AC767" s="88"/>
      <c r="AD767" s="88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8"/>
      <c r="O768" s="88"/>
      <c r="P768" s="88"/>
      <c r="Q768" s="88"/>
      <c r="R768" s="88"/>
      <c r="S768" s="88"/>
      <c r="T768" s="62"/>
      <c r="U768" s="62"/>
      <c r="V768" s="62"/>
      <c r="W768" s="61"/>
      <c r="X768" s="62"/>
      <c r="Y768" s="62"/>
      <c r="Z768" s="88"/>
      <c r="AA768" s="88"/>
      <c r="AB768" s="88"/>
      <c r="AC768" s="88"/>
      <c r="AD768" s="88"/>
      <c r="AE768" s="88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8"/>
      <c r="C769" s="88"/>
      <c r="D769" s="88"/>
      <c r="E769" s="88"/>
      <c r="F769" s="88"/>
      <c r="G769" s="88"/>
      <c r="H769" s="62"/>
      <c r="I769" s="62"/>
      <c r="J769" s="62"/>
      <c r="K769" s="62"/>
      <c r="L769" s="62"/>
      <c r="M769" s="62"/>
      <c r="N769" s="88"/>
      <c r="O769" s="88"/>
      <c r="P769" s="88"/>
      <c r="Q769" s="88"/>
      <c r="R769" s="88"/>
      <c r="S769" s="88"/>
      <c r="T769" s="62"/>
      <c r="U769" s="62"/>
      <c r="V769" s="62"/>
      <c r="W769" s="62"/>
      <c r="X769" s="62"/>
      <c r="Y769" s="62"/>
      <c r="Z769" s="88"/>
      <c r="AA769" s="88"/>
      <c r="AB769" s="88"/>
      <c r="AC769" s="88"/>
      <c r="AD769" s="88"/>
      <c r="AE769" s="88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8"/>
      <c r="C770" s="88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8"/>
      <c r="O770" s="88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8"/>
      <c r="AA770" s="88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8"/>
      <c r="C772" s="88"/>
      <c r="D772" s="88"/>
      <c r="E772" s="88"/>
      <c r="F772" s="88"/>
      <c r="G772" s="88"/>
      <c r="H772" s="62"/>
      <c r="I772" s="62"/>
      <c r="J772" s="62"/>
      <c r="K772" s="62"/>
      <c r="L772" s="62"/>
      <c r="M772" s="62"/>
      <c r="N772" s="88"/>
      <c r="O772" s="88"/>
      <c r="P772" s="88"/>
      <c r="Q772" s="88"/>
      <c r="R772" s="88"/>
      <c r="S772" s="88"/>
      <c r="T772" s="62"/>
      <c r="U772" s="62"/>
      <c r="V772" s="62"/>
      <c r="W772" s="62"/>
      <c r="X772" s="62"/>
      <c r="Y772" s="62"/>
      <c r="Z772" s="88"/>
      <c r="AA772" s="88"/>
      <c r="AB772" s="88"/>
      <c r="AC772" s="88"/>
      <c r="AD772" s="88"/>
      <c r="AE772" s="88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8"/>
      <c r="C773" s="88"/>
      <c r="D773" s="88"/>
      <c r="E773" s="88"/>
      <c r="F773" s="88"/>
      <c r="G773" s="88"/>
      <c r="H773" s="62"/>
      <c r="I773" s="62"/>
      <c r="J773" s="62"/>
      <c r="K773" s="62"/>
      <c r="L773" s="62"/>
      <c r="M773" s="62"/>
      <c r="N773" s="88"/>
      <c r="O773" s="88"/>
      <c r="P773" s="88"/>
      <c r="Q773" s="88"/>
      <c r="R773" s="88"/>
      <c r="S773" s="88"/>
      <c r="T773" s="62"/>
      <c r="U773" s="62"/>
      <c r="V773" s="62"/>
      <c r="W773" s="62"/>
      <c r="X773" s="62"/>
      <c r="Y773" s="62"/>
      <c r="Z773" s="88"/>
      <c r="AA773" s="88"/>
      <c r="AB773" s="88"/>
      <c r="AC773" s="88"/>
      <c r="AD773" s="88"/>
      <c r="AE773" s="88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8"/>
      <c r="C774" s="88"/>
      <c r="D774" s="88"/>
      <c r="E774" s="88"/>
      <c r="F774" s="88"/>
      <c r="G774" s="88"/>
      <c r="H774" s="62"/>
      <c r="I774" s="62"/>
      <c r="J774" s="62"/>
      <c r="K774" s="62"/>
      <c r="L774" s="62"/>
      <c r="M774" s="62"/>
      <c r="N774" s="88"/>
      <c r="O774" s="88"/>
      <c r="P774" s="88"/>
      <c r="Q774" s="88"/>
      <c r="R774" s="88"/>
      <c r="S774" s="88"/>
      <c r="T774" s="62"/>
      <c r="U774" s="62"/>
      <c r="V774" s="62"/>
      <c r="W774" s="62"/>
      <c r="X774" s="62"/>
      <c r="Y774" s="62"/>
      <c r="Z774" s="88"/>
      <c r="AA774" s="88"/>
      <c r="AB774" s="88"/>
      <c r="AC774" s="88"/>
      <c r="AD774" s="88"/>
      <c r="AE774" s="88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8"/>
      <c r="C775" s="88"/>
      <c r="D775" s="88"/>
      <c r="E775" s="88"/>
      <c r="F775" s="88"/>
      <c r="G775" s="88"/>
      <c r="H775" s="62"/>
      <c r="I775" s="62"/>
      <c r="J775" s="62"/>
      <c r="K775" s="62"/>
      <c r="L775" s="62"/>
      <c r="M775" s="63"/>
      <c r="N775" s="88"/>
      <c r="O775" s="88"/>
      <c r="P775" s="88"/>
      <c r="Q775" s="88"/>
      <c r="R775" s="88"/>
      <c r="S775" s="88"/>
      <c r="T775" s="62"/>
      <c r="U775" s="62"/>
      <c r="V775" s="62"/>
      <c r="W775" s="62"/>
      <c r="X775" s="62"/>
      <c r="Y775" s="63"/>
      <c r="Z775" s="88"/>
      <c r="AA775" s="88"/>
      <c r="AB775" s="88"/>
      <c r="AC775" s="88"/>
      <c r="AD775" s="88"/>
      <c r="AE775" s="88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8"/>
      <c r="C776" s="88"/>
      <c r="D776" s="88"/>
      <c r="E776" s="88"/>
      <c r="F776" s="88"/>
      <c r="G776" s="88"/>
      <c r="H776" s="62"/>
      <c r="I776" s="62"/>
      <c r="J776" s="62"/>
      <c r="K776" s="62"/>
      <c r="L776" s="62"/>
      <c r="M776" s="62"/>
      <c r="N776" s="88"/>
      <c r="O776" s="88"/>
      <c r="P776" s="88"/>
      <c r="Q776" s="88"/>
      <c r="R776" s="88"/>
      <c r="S776" s="88"/>
      <c r="T776" s="62"/>
      <c r="U776" s="62"/>
      <c r="V776" s="62"/>
      <c r="W776" s="62"/>
      <c r="X776" s="62"/>
      <c r="Y776" s="62"/>
      <c r="Z776" s="88"/>
      <c r="AA776" s="88"/>
      <c r="AB776" s="88"/>
      <c r="AC776" s="88"/>
      <c r="AD776" s="88"/>
      <c r="AE776" s="88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8"/>
      <c r="C777" s="88"/>
      <c r="D777" s="88"/>
      <c r="E777" s="88"/>
      <c r="F777" s="88"/>
      <c r="G777" s="88"/>
      <c r="H777" s="62"/>
      <c r="I777" s="88"/>
      <c r="J777" s="73"/>
      <c r="K777" s="62"/>
      <c r="L777" s="62"/>
      <c r="M777" s="62"/>
      <c r="N777" s="88"/>
      <c r="O777" s="88"/>
      <c r="P777" s="88"/>
      <c r="Q777" s="88"/>
      <c r="R777" s="88"/>
      <c r="S777" s="88"/>
      <c r="T777" s="62"/>
      <c r="U777" s="88"/>
      <c r="V777" s="73"/>
      <c r="W777" s="62"/>
      <c r="X777" s="62"/>
      <c r="Y777" s="62"/>
      <c r="Z777" s="88"/>
      <c r="AA777" s="88"/>
      <c r="AB777" s="88"/>
      <c r="AC777" s="88"/>
      <c r="AD777" s="88"/>
      <c r="AE777" s="88"/>
      <c r="AF777" s="62"/>
      <c r="AG777" s="88"/>
      <c r="AH777" s="88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8"/>
      <c r="C778" s="88"/>
      <c r="D778" s="88"/>
      <c r="E778" s="88"/>
      <c r="F778" s="88"/>
      <c r="G778" s="88"/>
      <c r="H778" s="62"/>
      <c r="I778" s="65"/>
      <c r="J778" s="65"/>
      <c r="K778" s="62"/>
      <c r="L778" s="62"/>
      <c r="M778" s="64"/>
      <c r="N778" s="88"/>
      <c r="O778" s="88"/>
      <c r="P778" s="88"/>
      <c r="Q778" s="88"/>
      <c r="R778" s="88"/>
      <c r="S778" s="88"/>
      <c r="T778" s="62"/>
      <c r="U778" s="65"/>
      <c r="V778" s="65"/>
      <c r="W778" s="62"/>
      <c r="X778" s="62"/>
      <c r="Y778" s="64"/>
      <c r="Z778" s="88"/>
      <c r="AA778" s="88"/>
      <c r="AB778" s="88"/>
      <c r="AC778" s="88"/>
      <c r="AD778" s="88"/>
      <c r="AE778" s="88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8"/>
      <c r="C779" s="88"/>
      <c r="D779" s="88"/>
      <c r="E779" s="88"/>
      <c r="F779" s="88"/>
      <c r="G779" s="88"/>
      <c r="H779" s="62"/>
      <c r="I779" s="62"/>
      <c r="J779" s="62"/>
      <c r="K779" s="62"/>
      <c r="L779" s="62"/>
      <c r="M779" s="62"/>
      <c r="N779" s="88"/>
      <c r="O779" s="88"/>
      <c r="P779" s="88"/>
      <c r="Q779" s="88"/>
      <c r="R779" s="88"/>
      <c r="S779" s="88"/>
      <c r="T779" s="62"/>
      <c r="U779" s="62"/>
      <c r="V779" s="62"/>
      <c r="W779" s="62"/>
      <c r="X779" s="62"/>
      <c r="Y779" s="62"/>
      <c r="Z779" s="88"/>
      <c r="AA779" s="88"/>
      <c r="AB779" s="88"/>
      <c r="AC779" s="88"/>
      <c r="AD779" s="88"/>
      <c r="AE779" s="88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8"/>
      <c r="D780" s="115"/>
      <c r="E780" s="115"/>
      <c r="F780" s="88"/>
      <c r="G780" s="88"/>
      <c r="H780" s="62"/>
      <c r="I780" s="115"/>
      <c r="J780" s="115"/>
      <c r="K780" s="114"/>
      <c r="L780" s="62"/>
      <c r="M780" s="62"/>
      <c r="N780" s="65"/>
      <c r="O780" s="88"/>
      <c r="P780" s="115"/>
      <c r="Q780" s="115"/>
      <c r="R780" s="88"/>
      <c r="S780" s="88"/>
      <c r="T780" s="62"/>
      <c r="U780" s="115"/>
      <c r="V780" s="115"/>
      <c r="W780" s="114"/>
      <c r="X780" s="62"/>
      <c r="Y780" s="62"/>
      <c r="Z780" s="65"/>
      <c r="AA780" s="88"/>
      <c r="AB780" s="115"/>
      <c r="AC780" s="115"/>
      <c r="AD780" s="88"/>
      <c r="AE780" s="88"/>
      <c r="AF780" s="62"/>
      <c r="AG780" s="115"/>
      <c r="AH780" s="115"/>
      <c r="AI780" s="114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8"/>
      <c r="C781" s="88"/>
      <c r="D781" s="79"/>
      <c r="E781" s="80"/>
      <c r="F781" s="81"/>
      <c r="G781" s="81"/>
      <c r="H781" s="62"/>
      <c r="I781" s="87"/>
      <c r="J781" s="87"/>
      <c r="K781" s="114"/>
      <c r="L781" s="62"/>
      <c r="M781" s="62"/>
      <c r="N781" s="88"/>
      <c r="O781" s="88"/>
      <c r="P781" s="79"/>
      <c r="Q781" s="81"/>
      <c r="R781" s="81"/>
      <c r="S781" s="81"/>
      <c r="T781" s="62"/>
      <c r="U781" s="87"/>
      <c r="V781" s="87"/>
      <c r="W781" s="114"/>
      <c r="X781" s="62"/>
      <c r="Y781" s="62"/>
      <c r="Z781" s="88"/>
      <c r="AA781" s="88"/>
      <c r="AB781" s="79"/>
      <c r="AC781" s="81"/>
      <c r="AD781" s="81"/>
      <c r="AE781" s="81"/>
      <c r="AF781" s="62"/>
      <c r="AG781" s="87"/>
      <c r="AH781" s="87"/>
      <c r="AI781" s="114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8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8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8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8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8"/>
      <c r="AB783" s="60"/>
      <c r="AC783" s="62"/>
      <c r="AD783" s="60"/>
      <c r="AE783" s="60"/>
      <c r="AF783" s="61"/>
      <c r="AG783" s="61"/>
      <c r="AH783" s="62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8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8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8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8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8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8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8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8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65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8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8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8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8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8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8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8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8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8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8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8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8"/>
      <c r="AB790" s="62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8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8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8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8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8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2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8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8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8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8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8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8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8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8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8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8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8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8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8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8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8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8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8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8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5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8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8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8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8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8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8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8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2"/>
      <c r="P802" s="89"/>
      <c r="Q802" s="88"/>
      <c r="R802" s="88"/>
      <c r="S802" s="60"/>
      <c r="T802" s="62"/>
      <c r="U802" s="62"/>
      <c r="V802" s="62"/>
      <c r="W802" s="61"/>
      <c r="X802" s="62"/>
      <c r="Y802" s="62"/>
      <c r="Z802" s="66"/>
      <c r="AA802" s="88"/>
      <c r="AB802" s="67"/>
      <c r="AC802" s="88"/>
      <c r="AD802" s="88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8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8"/>
      <c r="P803" s="89"/>
      <c r="Q803" s="88"/>
      <c r="R803" s="88"/>
      <c r="S803" s="60"/>
      <c r="T803" s="62"/>
      <c r="U803" s="62"/>
      <c r="V803" s="62"/>
      <c r="W803" s="61"/>
      <c r="X803" s="62"/>
      <c r="Y803" s="62"/>
      <c r="Z803" s="66"/>
      <c r="AA803" s="88"/>
      <c r="AB803" s="68"/>
      <c r="AC803" s="88"/>
      <c r="AD803" s="88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8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8"/>
      <c r="P804" s="69"/>
      <c r="Q804" s="88"/>
      <c r="R804" s="62"/>
      <c r="S804" s="60"/>
      <c r="T804" s="62"/>
      <c r="U804" s="62"/>
      <c r="V804" s="62"/>
      <c r="W804" s="61"/>
      <c r="X804" s="62"/>
      <c r="Y804" s="62"/>
      <c r="Z804" s="66"/>
      <c r="AA804" s="88"/>
      <c r="AB804" s="69"/>
      <c r="AC804" s="88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8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62"/>
      <c r="P805" s="69"/>
      <c r="Q805" s="88"/>
      <c r="R805" s="88"/>
      <c r="S805" s="60"/>
      <c r="T805" s="62"/>
      <c r="U805" s="62"/>
      <c r="V805" s="62"/>
      <c r="W805" s="61"/>
      <c r="X805" s="62"/>
      <c r="Y805" s="62"/>
      <c r="Z805" s="66"/>
      <c r="AA805" s="88"/>
      <c r="AB805" s="69"/>
      <c r="AC805" s="88"/>
      <c r="AD805" s="88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8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8"/>
      <c r="P806" s="69"/>
      <c r="Q806" s="88"/>
      <c r="R806" s="88"/>
      <c r="S806" s="60"/>
      <c r="T806" s="62"/>
      <c r="U806" s="62"/>
      <c r="V806" s="62"/>
      <c r="W806" s="61"/>
      <c r="X806" s="62"/>
      <c r="Y806" s="62"/>
      <c r="Z806" s="66"/>
      <c r="AA806" s="88"/>
      <c r="AB806" s="69"/>
      <c r="AC806" s="88"/>
      <c r="AD806" s="88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8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88"/>
      <c r="R807" s="88"/>
      <c r="S807" s="60"/>
      <c r="T807" s="62"/>
      <c r="U807" s="62"/>
      <c r="V807" s="62"/>
      <c r="W807" s="61"/>
      <c r="X807" s="62"/>
      <c r="Y807" s="62"/>
      <c r="Z807" s="66"/>
      <c r="AA807" s="88"/>
      <c r="AB807" s="69"/>
      <c r="AC807" s="88"/>
      <c r="AD807" s="88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8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8"/>
      <c r="P808" s="69"/>
      <c r="Q808" s="88"/>
      <c r="R808" s="88"/>
      <c r="S808" s="60"/>
      <c r="T808" s="62"/>
      <c r="U808" s="62"/>
      <c r="V808" s="62"/>
      <c r="W808" s="61"/>
      <c r="X808" s="62"/>
      <c r="Y808" s="62"/>
      <c r="Z808" s="66"/>
      <c r="AA808" s="88"/>
      <c r="AB808" s="69"/>
      <c r="AC808" s="88"/>
      <c r="AD808" s="88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8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8"/>
      <c r="P809" s="69"/>
      <c r="Q809" s="88"/>
      <c r="R809" s="88"/>
      <c r="S809" s="60"/>
      <c r="T809" s="62"/>
      <c r="U809" s="62"/>
      <c r="V809" s="62"/>
      <c r="W809" s="61"/>
      <c r="X809" s="62"/>
      <c r="Y809" s="62"/>
      <c r="Z809" s="66"/>
      <c r="AA809" s="88"/>
      <c r="AB809" s="69"/>
      <c r="AC809" s="88"/>
      <c r="AD809" s="88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8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8"/>
      <c r="P810" s="69"/>
      <c r="Q810" s="88"/>
      <c r="R810" s="88"/>
      <c r="S810" s="60"/>
      <c r="T810" s="62"/>
      <c r="U810" s="62"/>
      <c r="V810" s="62"/>
      <c r="W810" s="61"/>
      <c r="X810" s="62"/>
      <c r="Y810" s="62"/>
      <c r="Z810" s="66"/>
      <c r="AA810" s="88"/>
      <c r="AB810" s="69"/>
      <c r="AC810" s="88"/>
      <c r="AD810" s="88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8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88"/>
      <c r="R811" s="88"/>
      <c r="S811" s="60"/>
      <c r="T811" s="62"/>
      <c r="U811" s="62"/>
      <c r="V811" s="62"/>
      <c r="W811" s="61"/>
      <c r="X811" s="62"/>
      <c r="Y811" s="62"/>
      <c r="Z811" s="66"/>
      <c r="AA811" s="88"/>
      <c r="AB811" s="69"/>
      <c r="AC811" s="88"/>
      <c r="AD811" s="88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8"/>
      <c r="P812" s="69"/>
      <c r="Q812" s="88"/>
      <c r="R812" s="88"/>
      <c r="S812" s="60"/>
      <c r="T812" s="62"/>
      <c r="U812" s="62"/>
      <c r="V812" s="62"/>
      <c r="W812" s="61"/>
      <c r="X812" s="62"/>
      <c r="Y812" s="62"/>
      <c r="Z812" s="66"/>
      <c r="AA812" s="88"/>
      <c r="AB812" s="69"/>
      <c r="AC812" s="88"/>
      <c r="AD812" s="88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8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8"/>
      <c r="P813" s="69"/>
      <c r="Q813" s="88"/>
      <c r="R813" s="88"/>
      <c r="S813" s="60"/>
      <c r="T813" s="62"/>
      <c r="U813" s="62"/>
      <c r="V813" s="62"/>
      <c r="W813" s="61"/>
      <c r="X813" s="62"/>
      <c r="Y813" s="62"/>
      <c r="Z813" s="66"/>
      <c r="AA813" s="88"/>
      <c r="AB813" s="69"/>
      <c r="AC813" s="88"/>
      <c r="AD813" s="88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8"/>
      <c r="P814" s="69"/>
      <c r="Q814" s="88"/>
      <c r="R814" s="88"/>
      <c r="S814" s="60"/>
      <c r="T814" s="62"/>
      <c r="U814" s="62"/>
      <c r="V814" s="62"/>
      <c r="W814" s="61"/>
      <c r="X814" s="62"/>
      <c r="Y814" s="62"/>
      <c r="Z814" s="66"/>
      <c r="AA814" s="88"/>
      <c r="AB814" s="69"/>
      <c r="AC814" s="88"/>
      <c r="AD814" s="88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8"/>
      <c r="P815" s="69"/>
      <c r="Q815" s="88"/>
      <c r="R815" s="88"/>
      <c r="S815" s="60"/>
      <c r="T815" s="62"/>
      <c r="U815" s="62"/>
      <c r="V815" s="62"/>
      <c r="W815" s="61"/>
      <c r="X815" s="62"/>
      <c r="Y815" s="62"/>
      <c r="Z815" s="66"/>
      <c r="AA815" s="88"/>
      <c r="AB815" s="69"/>
      <c r="AC815" s="88"/>
      <c r="AD815" s="88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8"/>
      <c r="P816" s="69"/>
      <c r="Q816" s="88"/>
      <c r="R816" s="88"/>
      <c r="S816" s="60"/>
      <c r="T816" s="62"/>
      <c r="U816" s="62"/>
      <c r="V816" s="62"/>
      <c r="W816" s="61"/>
      <c r="X816" s="62"/>
      <c r="Y816" s="62"/>
      <c r="Z816" s="66"/>
      <c r="AA816" s="88"/>
      <c r="AB816" s="69"/>
      <c r="AC816" s="88"/>
      <c r="AD816" s="88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8"/>
      <c r="P817" s="69"/>
      <c r="Q817" s="88"/>
      <c r="R817" s="88"/>
      <c r="S817" s="60"/>
      <c r="T817" s="62"/>
      <c r="U817" s="62"/>
      <c r="V817" s="62"/>
      <c r="W817" s="61"/>
      <c r="X817" s="62"/>
      <c r="Y817" s="62"/>
      <c r="Z817" s="66"/>
      <c r="AA817" s="88"/>
      <c r="AB817" s="69"/>
      <c r="AC817" s="88"/>
      <c r="AD817" s="88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8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8"/>
      <c r="R818" s="88"/>
      <c r="S818" s="60"/>
      <c r="T818" s="62"/>
      <c r="U818" s="62"/>
      <c r="V818" s="62"/>
      <c r="W818" s="61"/>
      <c r="X818" s="62"/>
      <c r="Y818" s="62"/>
      <c r="Z818" s="66"/>
      <c r="AA818" s="88"/>
      <c r="AB818" s="69"/>
      <c r="AC818" s="88"/>
      <c r="AD818" s="88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8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8"/>
      <c r="P819" s="69"/>
      <c r="Q819" s="88"/>
      <c r="R819" s="88"/>
      <c r="S819" s="60"/>
      <c r="T819" s="62"/>
      <c r="U819" s="62"/>
      <c r="V819" s="62"/>
      <c r="W819" s="61"/>
      <c r="X819" s="62"/>
      <c r="Y819" s="62"/>
      <c r="Z819" s="66"/>
      <c r="AA819" s="88"/>
      <c r="AB819" s="69"/>
      <c r="AC819" s="88"/>
      <c r="AD819" s="88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8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8"/>
      <c r="P820" s="69"/>
      <c r="Q820" s="88"/>
      <c r="R820" s="88"/>
      <c r="S820" s="60"/>
      <c r="T820" s="62"/>
      <c r="U820" s="62"/>
      <c r="V820" s="62"/>
      <c r="W820" s="61"/>
      <c r="X820" s="62"/>
      <c r="Y820" s="62"/>
      <c r="Z820" s="66"/>
      <c r="AA820" s="88"/>
      <c r="AB820" s="69"/>
      <c r="AC820" s="88"/>
      <c r="AD820" s="88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8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8"/>
      <c r="R821" s="88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8"/>
      <c r="AD821" s="88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8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8"/>
      <c r="P822" s="69"/>
      <c r="Q822" s="88"/>
      <c r="R822" s="88"/>
      <c r="S822" s="60"/>
      <c r="T822" s="62"/>
      <c r="U822" s="62"/>
      <c r="V822" s="62"/>
      <c r="W822" s="61"/>
      <c r="X822" s="62"/>
      <c r="Y822" s="62"/>
      <c r="Z822" s="66"/>
      <c r="AA822" s="88"/>
      <c r="AB822" s="69"/>
      <c r="AC822" s="88"/>
      <c r="AD822" s="88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8"/>
      <c r="O823" s="88"/>
      <c r="P823" s="88"/>
      <c r="Q823" s="88"/>
      <c r="R823" s="88"/>
      <c r="S823" s="88"/>
      <c r="T823" s="62"/>
      <c r="U823" s="62"/>
      <c r="V823" s="62"/>
      <c r="W823" s="61"/>
      <c r="X823" s="62"/>
      <c r="Y823" s="62"/>
      <c r="Z823" s="88"/>
      <c r="AA823" s="88"/>
      <c r="AB823" s="88"/>
      <c r="AC823" s="88"/>
      <c r="AD823" s="88"/>
      <c r="AE823" s="88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8"/>
      <c r="C824" s="88"/>
      <c r="D824" s="88"/>
      <c r="E824" s="88"/>
      <c r="F824" s="88"/>
      <c r="G824" s="88"/>
      <c r="H824" s="62"/>
      <c r="I824" s="62"/>
      <c r="J824" s="62"/>
      <c r="K824" s="62"/>
      <c r="L824" s="62"/>
      <c r="M824" s="62"/>
      <c r="N824" s="88"/>
      <c r="O824" s="88"/>
      <c r="P824" s="88"/>
      <c r="Q824" s="88"/>
      <c r="R824" s="88"/>
      <c r="S824" s="88"/>
      <c r="T824" s="62"/>
      <c r="U824" s="62"/>
      <c r="V824" s="62"/>
      <c r="W824" s="62"/>
      <c r="X824" s="62"/>
      <c r="Y824" s="62"/>
      <c r="Z824" s="88"/>
      <c r="AA824" s="88"/>
      <c r="AB824" s="88"/>
      <c r="AC824" s="88"/>
      <c r="AD824" s="88"/>
      <c r="AE824" s="88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8"/>
      <c r="C825" s="88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8"/>
      <c r="O825" s="88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8"/>
      <c r="AA825" s="88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8"/>
      <c r="C827" s="88"/>
      <c r="D827" s="88"/>
      <c r="E827" s="88"/>
      <c r="F827" s="88"/>
      <c r="G827" s="88"/>
      <c r="H827" s="62"/>
      <c r="I827" s="62"/>
      <c r="J827" s="62"/>
      <c r="K827" s="62"/>
      <c r="L827" s="62"/>
      <c r="M827" s="62"/>
      <c r="N827" s="88"/>
      <c r="O827" s="88"/>
      <c r="P827" s="88"/>
      <c r="Q827" s="88"/>
      <c r="R827" s="88"/>
      <c r="S827" s="88"/>
      <c r="T827" s="62"/>
      <c r="U827" s="62"/>
      <c r="V827" s="62"/>
      <c r="W827" s="62"/>
      <c r="X827" s="62"/>
      <c r="Y827" s="62"/>
      <c r="Z827" s="88"/>
      <c r="AA827" s="88"/>
      <c r="AB827" s="88"/>
      <c r="AC827" s="88"/>
      <c r="AD827" s="88"/>
      <c r="AE827" s="88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8"/>
      <c r="C828" s="88"/>
      <c r="D828" s="88"/>
      <c r="E828" s="88"/>
      <c r="F828" s="88"/>
      <c r="G828" s="88"/>
      <c r="H828" s="62"/>
      <c r="I828" s="62"/>
      <c r="J828" s="62"/>
      <c r="K828" s="62"/>
      <c r="L828" s="62"/>
      <c r="M828" s="62"/>
      <c r="N828" s="88"/>
      <c r="O828" s="88"/>
      <c r="P828" s="88"/>
      <c r="Q828" s="88"/>
      <c r="R828" s="88"/>
      <c r="S828" s="88"/>
      <c r="T828" s="62"/>
      <c r="U828" s="62"/>
      <c r="V828" s="62"/>
      <c r="W828" s="62"/>
      <c r="X828" s="62"/>
      <c r="Y828" s="62"/>
      <c r="Z828" s="88"/>
      <c r="AA828" s="88"/>
      <c r="AB828" s="88"/>
      <c r="AC828" s="88"/>
      <c r="AD828" s="88"/>
      <c r="AE828" s="88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8"/>
      <c r="C829" s="88"/>
      <c r="D829" s="88"/>
      <c r="E829" s="88"/>
      <c r="F829" s="88"/>
      <c r="G829" s="88"/>
      <c r="H829" s="62"/>
      <c r="I829" s="62"/>
      <c r="J829" s="62"/>
      <c r="K829" s="62"/>
      <c r="L829" s="62"/>
      <c r="M829" s="62"/>
      <c r="N829" s="88"/>
      <c r="O829" s="88"/>
      <c r="P829" s="88"/>
      <c r="Q829" s="88"/>
      <c r="R829" s="88"/>
      <c r="S829" s="88"/>
      <c r="T829" s="62"/>
      <c r="U829" s="62"/>
      <c r="V829" s="62"/>
      <c r="W829" s="62"/>
      <c r="X829" s="62"/>
      <c r="Y829" s="62"/>
      <c r="Z829" s="88"/>
      <c r="AA829" s="88"/>
      <c r="AB829" s="88"/>
      <c r="AC829" s="88"/>
      <c r="AD829" s="88"/>
      <c r="AE829" s="88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8"/>
      <c r="C830" s="88"/>
      <c r="D830" s="88"/>
      <c r="E830" s="88"/>
      <c r="F830" s="88"/>
      <c r="G830" s="88"/>
      <c r="H830" s="62"/>
      <c r="I830" s="62"/>
      <c r="J830" s="62"/>
      <c r="K830" s="62"/>
      <c r="L830" s="62"/>
      <c r="M830" s="63"/>
      <c r="N830" s="88"/>
      <c r="O830" s="88"/>
      <c r="P830" s="88"/>
      <c r="Q830" s="88"/>
      <c r="R830" s="88"/>
      <c r="S830" s="88"/>
      <c r="T830" s="62"/>
      <c r="U830" s="62"/>
      <c r="V830" s="62"/>
      <c r="W830" s="62"/>
      <c r="X830" s="62"/>
      <c r="Y830" s="63"/>
      <c r="Z830" s="88"/>
      <c r="AA830" s="88"/>
      <c r="AB830" s="88"/>
      <c r="AC830" s="88"/>
      <c r="AD830" s="88"/>
      <c r="AE830" s="88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8"/>
      <c r="C831" s="88"/>
      <c r="D831" s="88"/>
      <c r="E831" s="88"/>
      <c r="F831" s="88"/>
      <c r="G831" s="88"/>
      <c r="H831" s="62"/>
      <c r="I831" s="62"/>
      <c r="J831" s="62"/>
      <c r="K831" s="62"/>
      <c r="L831" s="62"/>
      <c r="M831" s="62"/>
      <c r="N831" s="88"/>
      <c r="O831" s="88"/>
      <c r="P831" s="88"/>
      <c r="Q831" s="88"/>
      <c r="R831" s="88"/>
      <c r="S831" s="88"/>
      <c r="T831" s="62"/>
      <c r="U831" s="62"/>
      <c r="V831" s="62"/>
      <c r="W831" s="62"/>
      <c r="X831" s="62"/>
      <c r="Y831" s="62"/>
      <c r="Z831" s="88"/>
      <c r="AA831" s="88"/>
      <c r="AB831" s="88"/>
      <c r="AC831" s="88"/>
      <c r="AD831" s="88"/>
      <c r="AE831" s="88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8"/>
      <c r="C832" s="88"/>
      <c r="D832" s="88"/>
      <c r="E832" s="88"/>
      <c r="F832" s="88"/>
      <c r="G832" s="88"/>
      <c r="H832" s="62"/>
      <c r="I832" s="88"/>
      <c r="J832" s="73"/>
      <c r="K832" s="62"/>
      <c r="L832" s="62"/>
      <c r="M832" s="62"/>
      <c r="N832" s="88"/>
      <c r="O832" s="88"/>
      <c r="P832" s="88"/>
      <c r="Q832" s="88"/>
      <c r="R832" s="88"/>
      <c r="S832" s="88"/>
      <c r="T832" s="62"/>
      <c r="U832" s="88"/>
      <c r="V832" s="73"/>
      <c r="W832" s="62"/>
      <c r="X832" s="62"/>
      <c r="Y832" s="62"/>
      <c r="Z832" s="88"/>
      <c r="AA832" s="88"/>
      <c r="AB832" s="88"/>
      <c r="AC832" s="88"/>
      <c r="AD832" s="88"/>
      <c r="AE832" s="88"/>
      <c r="AF832" s="62"/>
      <c r="AG832" s="88"/>
      <c r="AH832" s="88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8"/>
      <c r="C833" s="88"/>
      <c r="D833" s="88"/>
      <c r="E833" s="88"/>
      <c r="F833" s="88"/>
      <c r="G833" s="88"/>
      <c r="H833" s="62"/>
      <c r="I833" s="65"/>
      <c r="J833" s="65"/>
      <c r="K833" s="62"/>
      <c r="L833" s="62"/>
      <c r="M833" s="64"/>
      <c r="N833" s="88"/>
      <c r="O833" s="88"/>
      <c r="P833" s="88"/>
      <c r="Q833" s="88"/>
      <c r="R833" s="88"/>
      <c r="S833" s="88"/>
      <c r="T833" s="62"/>
      <c r="U833" s="65"/>
      <c r="V833" s="65"/>
      <c r="W833" s="62"/>
      <c r="X833" s="62"/>
      <c r="Y833" s="64"/>
      <c r="Z833" s="88"/>
      <c r="AA833" s="88"/>
      <c r="AB833" s="88"/>
      <c r="AC833" s="88"/>
      <c r="AD833" s="88"/>
      <c r="AE833" s="88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8"/>
      <c r="C834" s="88"/>
      <c r="D834" s="88"/>
      <c r="E834" s="88"/>
      <c r="F834" s="88"/>
      <c r="G834" s="88"/>
      <c r="H834" s="62"/>
      <c r="I834" s="62"/>
      <c r="J834" s="62"/>
      <c r="K834" s="62"/>
      <c r="L834" s="62"/>
      <c r="M834" s="62"/>
      <c r="N834" s="88"/>
      <c r="O834" s="88"/>
      <c r="P834" s="88"/>
      <c r="Q834" s="88"/>
      <c r="R834" s="88"/>
      <c r="S834" s="88"/>
      <c r="T834" s="62"/>
      <c r="U834" s="62"/>
      <c r="V834" s="62"/>
      <c r="W834" s="62"/>
      <c r="X834" s="62"/>
      <c r="Y834" s="62"/>
      <c r="Z834" s="88"/>
      <c r="AA834" s="88"/>
      <c r="AB834" s="88"/>
      <c r="AC834" s="88"/>
      <c r="AD834" s="88"/>
      <c r="AE834" s="88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8"/>
      <c r="D835" s="115"/>
      <c r="E835" s="115"/>
      <c r="F835" s="88"/>
      <c r="G835" s="88"/>
      <c r="H835" s="62"/>
      <c r="I835" s="115"/>
      <c r="J835" s="115"/>
      <c r="K835" s="114"/>
      <c r="L835" s="62"/>
      <c r="M835" s="62"/>
      <c r="N835" s="65"/>
      <c r="O835" s="88"/>
      <c r="P835" s="115"/>
      <c r="Q835" s="115"/>
      <c r="R835" s="88"/>
      <c r="S835" s="88"/>
      <c r="T835" s="62"/>
      <c r="U835" s="115"/>
      <c r="V835" s="115"/>
      <c r="W835" s="114"/>
      <c r="X835" s="62"/>
      <c r="Y835" s="62"/>
      <c r="Z835" s="65"/>
      <c r="AA835" s="88"/>
      <c r="AB835" s="115"/>
      <c r="AC835" s="115"/>
      <c r="AD835" s="88"/>
      <c r="AE835" s="88"/>
      <c r="AF835" s="62"/>
      <c r="AG835" s="115"/>
      <c r="AH835" s="115"/>
      <c r="AI835" s="114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8"/>
      <c r="C836" s="88"/>
      <c r="D836" s="79"/>
      <c r="E836" s="80"/>
      <c r="F836" s="81"/>
      <c r="G836" s="81"/>
      <c r="H836" s="62"/>
      <c r="I836" s="87"/>
      <c r="J836" s="87"/>
      <c r="K836" s="114"/>
      <c r="L836" s="62"/>
      <c r="M836" s="62"/>
      <c r="N836" s="88"/>
      <c r="O836" s="88"/>
      <c r="P836" s="79"/>
      <c r="Q836" s="81"/>
      <c r="R836" s="81"/>
      <c r="S836" s="81"/>
      <c r="T836" s="62"/>
      <c r="U836" s="87"/>
      <c r="V836" s="87"/>
      <c r="W836" s="114"/>
      <c r="X836" s="62"/>
      <c r="Y836" s="62"/>
      <c r="Z836" s="88"/>
      <c r="AA836" s="88"/>
      <c r="AB836" s="79"/>
      <c r="AC836" s="81"/>
      <c r="AD836" s="81"/>
      <c r="AE836" s="81"/>
      <c r="AF836" s="62"/>
      <c r="AG836" s="87"/>
      <c r="AH836" s="87"/>
      <c r="AI836" s="114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8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8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8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8"/>
      <c r="AB838" s="60"/>
      <c r="AC838" s="62"/>
      <c r="AD838" s="60"/>
      <c r="AE838" s="60"/>
      <c r="AF838" s="61"/>
      <c r="AG838" s="61"/>
      <c r="AH838" s="62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8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8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8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8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8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8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8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8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8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8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8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8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8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8"/>
      <c r="AB845" s="62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65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8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8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8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8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8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8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8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8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8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8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8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65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8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8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8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8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8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8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5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8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8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8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8"/>
      <c r="P857" s="89"/>
      <c r="Q857" s="88"/>
      <c r="R857" s="88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88"/>
      <c r="AD857" s="88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8"/>
      <c r="P858" s="89"/>
      <c r="Q858" s="88"/>
      <c r="R858" s="88"/>
      <c r="S858" s="60"/>
      <c r="T858" s="62"/>
      <c r="U858" s="62"/>
      <c r="V858" s="62"/>
      <c r="W858" s="61"/>
      <c r="X858" s="62"/>
      <c r="Y858" s="62"/>
      <c r="Z858" s="66"/>
      <c r="AA858" s="88"/>
      <c r="AB858" s="68"/>
      <c r="AC858" s="88"/>
      <c r="AD858" s="88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8"/>
      <c r="P859" s="69"/>
      <c r="Q859" s="88"/>
      <c r="R859" s="62"/>
      <c r="S859" s="60"/>
      <c r="T859" s="62"/>
      <c r="U859" s="62"/>
      <c r="V859" s="62"/>
      <c r="W859" s="61"/>
      <c r="X859" s="62"/>
      <c r="Y859" s="62"/>
      <c r="Z859" s="66"/>
      <c r="AA859" s="88"/>
      <c r="AB859" s="69"/>
      <c r="AC859" s="88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8"/>
      <c r="P860" s="69"/>
      <c r="Q860" s="88"/>
      <c r="R860" s="88"/>
      <c r="S860" s="60"/>
      <c r="T860" s="62"/>
      <c r="U860" s="62"/>
      <c r="V860" s="62"/>
      <c r="W860" s="61"/>
      <c r="X860" s="62"/>
      <c r="Y860" s="62"/>
      <c r="Z860" s="66"/>
      <c r="AA860" s="88"/>
      <c r="AB860" s="69"/>
      <c r="AC860" s="88"/>
      <c r="AD860" s="88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8"/>
      <c r="P861" s="69"/>
      <c r="Q861" s="88"/>
      <c r="R861" s="88"/>
      <c r="S861" s="60"/>
      <c r="T861" s="62"/>
      <c r="U861" s="62"/>
      <c r="V861" s="62"/>
      <c r="W861" s="61"/>
      <c r="X861" s="62"/>
      <c r="Y861" s="62"/>
      <c r="Z861" s="66"/>
      <c r="AA861" s="88"/>
      <c r="AB861" s="69"/>
      <c r="AC861" s="88"/>
      <c r="AD861" s="88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8"/>
      <c r="P862" s="69"/>
      <c r="Q862" s="88"/>
      <c r="R862" s="88"/>
      <c r="S862" s="60"/>
      <c r="T862" s="62"/>
      <c r="U862" s="62"/>
      <c r="V862" s="62"/>
      <c r="W862" s="61"/>
      <c r="X862" s="62"/>
      <c r="Y862" s="62"/>
      <c r="Z862" s="66"/>
      <c r="AA862" s="88"/>
      <c r="AB862" s="69"/>
      <c r="AC862" s="88"/>
      <c r="AD862" s="88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8"/>
      <c r="P863" s="69"/>
      <c r="Q863" s="88"/>
      <c r="R863" s="88"/>
      <c r="S863" s="60"/>
      <c r="T863" s="62"/>
      <c r="U863" s="62"/>
      <c r="V863" s="62"/>
      <c r="W863" s="61"/>
      <c r="X863" s="62"/>
      <c r="Y863" s="62"/>
      <c r="Z863" s="66"/>
      <c r="AA863" s="88"/>
      <c r="AB863" s="69"/>
      <c r="AC863" s="88"/>
      <c r="AD863" s="88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8"/>
      <c r="P864" s="69"/>
      <c r="Q864" s="88"/>
      <c r="R864" s="88"/>
      <c r="S864" s="60"/>
      <c r="T864" s="62"/>
      <c r="U864" s="62"/>
      <c r="V864" s="62"/>
      <c r="W864" s="61"/>
      <c r="X864" s="62"/>
      <c r="Y864" s="62"/>
      <c r="Z864" s="66"/>
      <c r="AA864" s="88"/>
      <c r="AB864" s="69"/>
      <c r="AC864" s="88"/>
      <c r="AD864" s="88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8"/>
      <c r="P865" s="69"/>
      <c r="Q865" s="88"/>
      <c r="R865" s="88"/>
      <c r="S865" s="60"/>
      <c r="T865" s="62"/>
      <c r="U865" s="62"/>
      <c r="V865" s="62"/>
      <c r="W865" s="61"/>
      <c r="X865" s="62"/>
      <c r="Y865" s="62"/>
      <c r="Z865" s="66"/>
      <c r="AA865" s="88"/>
      <c r="AB865" s="69"/>
      <c r="AC865" s="88"/>
      <c r="AD865" s="88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8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88"/>
      <c r="R866" s="88"/>
      <c r="S866" s="60"/>
      <c r="T866" s="62"/>
      <c r="U866" s="62"/>
      <c r="V866" s="62"/>
      <c r="W866" s="61"/>
      <c r="X866" s="62"/>
      <c r="Y866" s="62"/>
      <c r="Z866" s="66"/>
      <c r="AA866" s="88"/>
      <c r="AB866" s="69"/>
      <c r="AC866" s="88"/>
      <c r="AD866" s="88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8"/>
      <c r="P867" s="69"/>
      <c r="Q867" s="88"/>
      <c r="R867" s="88"/>
      <c r="S867" s="60"/>
      <c r="T867" s="62"/>
      <c r="U867" s="62"/>
      <c r="V867" s="62"/>
      <c r="W867" s="61"/>
      <c r="X867" s="62"/>
      <c r="Y867" s="62"/>
      <c r="Z867" s="66"/>
      <c r="AA867" s="88"/>
      <c r="AB867" s="69"/>
      <c r="AC867" s="88"/>
      <c r="AD867" s="88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8"/>
      <c r="P868" s="69"/>
      <c r="Q868" s="88"/>
      <c r="R868" s="88"/>
      <c r="S868" s="60"/>
      <c r="T868" s="62"/>
      <c r="U868" s="62"/>
      <c r="V868" s="62"/>
      <c r="W868" s="61"/>
      <c r="X868" s="62"/>
      <c r="Y868" s="62"/>
      <c r="Z868" s="66"/>
      <c r="AA868" s="88"/>
      <c r="AB868" s="69"/>
      <c r="AC868" s="88"/>
      <c r="AD868" s="88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8"/>
      <c r="P869" s="69"/>
      <c r="Q869" s="88"/>
      <c r="R869" s="88"/>
      <c r="S869" s="60"/>
      <c r="T869" s="62"/>
      <c r="U869" s="62"/>
      <c r="V869" s="62"/>
      <c r="W869" s="61"/>
      <c r="X869" s="62"/>
      <c r="Y869" s="62"/>
      <c r="Z869" s="66"/>
      <c r="AA869" s="88"/>
      <c r="AB869" s="69"/>
      <c r="AC869" s="88"/>
      <c r="AD869" s="88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8"/>
      <c r="P870" s="69"/>
      <c r="Q870" s="88"/>
      <c r="R870" s="88"/>
      <c r="S870" s="60"/>
      <c r="T870" s="62"/>
      <c r="U870" s="62"/>
      <c r="V870" s="62"/>
      <c r="W870" s="61"/>
      <c r="X870" s="62"/>
      <c r="Y870" s="62"/>
      <c r="Z870" s="66"/>
      <c r="AA870" s="88"/>
      <c r="AB870" s="69"/>
      <c r="AC870" s="88"/>
      <c r="AD870" s="88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8"/>
      <c r="P871" s="69"/>
      <c r="Q871" s="88"/>
      <c r="R871" s="88"/>
      <c r="S871" s="60"/>
      <c r="T871" s="62"/>
      <c r="U871" s="62"/>
      <c r="V871" s="62"/>
      <c r="W871" s="61"/>
      <c r="X871" s="62"/>
      <c r="Y871" s="62"/>
      <c r="Z871" s="66"/>
      <c r="AA871" s="88"/>
      <c r="AB871" s="69"/>
      <c r="AC871" s="88"/>
      <c r="AD871" s="88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8"/>
      <c r="P872" s="69"/>
      <c r="Q872" s="88"/>
      <c r="R872" s="88"/>
      <c r="S872" s="60"/>
      <c r="T872" s="62"/>
      <c r="U872" s="62"/>
      <c r="V872" s="62"/>
      <c r="W872" s="61"/>
      <c r="X872" s="62"/>
      <c r="Y872" s="62"/>
      <c r="Z872" s="66"/>
      <c r="AA872" s="88"/>
      <c r="AB872" s="69"/>
      <c r="AC872" s="88"/>
      <c r="AD872" s="88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8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8"/>
      <c r="R873" s="88"/>
      <c r="S873" s="60"/>
      <c r="T873" s="62"/>
      <c r="U873" s="62"/>
      <c r="V873" s="62"/>
      <c r="W873" s="61"/>
      <c r="X873" s="62"/>
      <c r="Y873" s="62"/>
      <c r="Z873" s="66"/>
      <c r="AA873" s="88"/>
      <c r="AB873" s="69"/>
      <c r="AC873" s="88"/>
      <c r="AD873" s="88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8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8"/>
      <c r="P874" s="69"/>
      <c r="Q874" s="88"/>
      <c r="R874" s="88"/>
      <c r="S874" s="60"/>
      <c r="T874" s="62"/>
      <c r="U874" s="62"/>
      <c r="V874" s="62"/>
      <c r="W874" s="61"/>
      <c r="X874" s="62"/>
      <c r="Y874" s="62"/>
      <c r="Z874" s="66"/>
      <c r="AA874" s="88"/>
      <c r="AB874" s="69"/>
      <c r="AC874" s="88"/>
      <c r="AD874" s="88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8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8"/>
      <c r="P875" s="69"/>
      <c r="Q875" s="88"/>
      <c r="R875" s="88"/>
      <c r="S875" s="60"/>
      <c r="T875" s="62"/>
      <c r="U875" s="62"/>
      <c r="V875" s="62"/>
      <c r="W875" s="61"/>
      <c r="X875" s="62"/>
      <c r="Y875" s="62"/>
      <c r="Z875" s="66"/>
      <c r="AA875" s="88"/>
      <c r="AB875" s="69"/>
      <c r="AC875" s="88"/>
      <c r="AD875" s="88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8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8"/>
      <c r="R876" s="88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8"/>
      <c r="AD876" s="88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8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8"/>
      <c r="P877" s="69"/>
      <c r="Q877" s="88"/>
      <c r="R877" s="88"/>
      <c r="S877" s="60"/>
      <c r="T877" s="62"/>
      <c r="U877" s="62"/>
      <c r="V877" s="62"/>
      <c r="W877" s="61"/>
      <c r="X877" s="62"/>
      <c r="Y877" s="62"/>
      <c r="Z877" s="66"/>
      <c r="AA877" s="88"/>
      <c r="AB877" s="69"/>
      <c r="AC877" s="88"/>
      <c r="AD877" s="88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8"/>
      <c r="O878" s="88"/>
      <c r="P878" s="88"/>
      <c r="Q878" s="88"/>
      <c r="R878" s="88"/>
      <c r="S878" s="88"/>
      <c r="T878" s="62"/>
      <c r="U878" s="62"/>
      <c r="V878" s="62"/>
      <c r="W878" s="61"/>
      <c r="X878" s="62"/>
      <c r="Y878" s="62"/>
      <c r="Z878" s="88"/>
      <c r="AA878" s="88"/>
      <c r="AB878" s="88"/>
      <c r="AC878" s="88"/>
      <c r="AD878" s="88"/>
      <c r="AE878" s="88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8"/>
      <c r="C879" s="88"/>
      <c r="D879" s="88"/>
      <c r="E879" s="88"/>
      <c r="F879" s="88"/>
      <c r="G879" s="88"/>
      <c r="H879" s="62"/>
      <c r="I879" s="62"/>
      <c r="J879" s="62"/>
      <c r="K879" s="62"/>
      <c r="L879" s="62"/>
      <c r="M879" s="62"/>
      <c r="N879" s="88"/>
      <c r="O879" s="88"/>
      <c r="P879" s="88"/>
      <c r="Q879" s="88"/>
      <c r="R879" s="88"/>
      <c r="S879" s="88"/>
      <c r="T879" s="62"/>
      <c r="U879" s="62"/>
      <c r="V879" s="62"/>
      <c r="W879" s="62"/>
      <c r="X879" s="62"/>
      <c r="Y879" s="62"/>
      <c r="Z879" s="88"/>
      <c r="AA879" s="88"/>
      <c r="AB879" s="88"/>
      <c r="AC879" s="88"/>
      <c r="AD879" s="88"/>
      <c r="AE879" s="88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8"/>
      <c r="C880" s="88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8"/>
      <c r="O880" s="88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8"/>
      <c r="AA880" s="88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8"/>
      <c r="C882" s="88"/>
      <c r="D882" s="88"/>
      <c r="E882" s="88"/>
      <c r="F882" s="88"/>
      <c r="G882" s="88"/>
      <c r="H882" s="62"/>
      <c r="I882" s="62"/>
      <c r="J882" s="62"/>
      <c r="K882" s="62"/>
      <c r="L882" s="62"/>
      <c r="M882" s="62"/>
      <c r="N882" s="88"/>
      <c r="O882" s="88"/>
      <c r="P882" s="88"/>
      <c r="Q882" s="88"/>
      <c r="R882" s="88"/>
      <c r="S882" s="88"/>
      <c r="T882" s="62"/>
      <c r="U882" s="62"/>
      <c r="V882" s="62"/>
      <c r="W882" s="62"/>
      <c r="X882" s="62"/>
      <c r="Y882" s="62"/>
      <c r="Z882" s="88"/>
      <c r="AA882" s="88"/>
      <c r="AB882" s="88"/>
      <c r="AC882" s="88"/>
      <c r="AD882" s="88"/>
      <c r="AE882" s="88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8"/>
      <c r="C883" s="88"/>
      <c r="D883" s="88"/>
      <c r="E883" s="88"/>
      <c r="F883" s="88"/>
      <c r="G883" s="88"/>
      <c r="H883" s="62"/>
      <c r="I883" s="62"/>
      <c r="J883" s="62"/>
      <c r="K883" s="62"/>
      <c r="L883" s="62"/>
      <c r="M883" s="62"/>
      <c r="N883" s="88"/>
      <c r="O883" s="88"/>
      <c r="P883" s="88"/>
      <c r="Q883" s="88"/>
      <c r="R883" s="88"/>
      <c r="S883" s="88"/>
      <c r="T883" s="62"/>
      <c r="U883" s="62"/>
      <c r="V883" s="62"/>
      <c r="W883" s="62"/>
      <c r="X883" s="62"/>
      <c r="Y883" s="62"/>
      <c r="Z883" s="88"/>
      <c r="AA883" s="88"/>
      <c r="AB883" s="88"/>
      <c r="AC883" s="88"/>
      <c r="AD883" s="88"/>
      <c r="AE883" s="88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8"/>
      <c r="C884" s="88"/>
      <c r="D884" s="88"/>
      <c r="E884" s="88"/>
      <c r="F884" s="88"/>
      <c r="G884" s="88"/>
      <c r="H884" s="62"/>
      <c r="I884" s="62"/>
      <c r="J884" s="62"/>
      <c r="K884" s="62"/>
      <c r="L884" s="62"/>
      <c r="M884" s="62"/>
      <c r="N884" s="88"/>
      <c r="O884" s="88"/>
      <c r="P884" s="88"/>
      <c r="Q884" s="88"/>
      <c r="R884" s="88"/>
      <c r="S884" s="88"/>
      <c r="T884" s="62"/>
      <c r="U884" s="62"/>
      <c r="V884" s="62"/>
      <c r="W884" s="62"/>
      <c r="X884" s="62"/>
      <c r="Y884" s="62"/>
      <c r="Z884" s="88"/>
      <c r="AA884" s="88"/>
      <c r="AB884" s="88"/>
      <c r="AC884" s="88"/>
      <c r="AD884" s="88"/>
      <c r="AE884" s="88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8"/>
      <c r="C885" s="88"/>
      <c r="D885" s="88"/>
      <c r="E885" s="88"/>
      <c r="F885" s="88"/>
      <c r="G885" s="88"/>
      <c r="H885" s="62"/>
      <c r="I885" s="62"/>
      <c r="J885" s="62"/>
      <c r="K885" s="62"/>
      <c r="L885" s="62"/>
      <c r="M885" s="63"/>
      <c r="N885" s="88"/>
      <c r="O885" s="88"/>
      <c r="P885" s="88"/>
      <c r="Q885" s="88"/>
      <c r="R885" s="88"/>
      <c r="S885" s="88"/>
      <c r="T885" s="62"/>
      <c r="U885" s="62"/>
      <c r="V885" s="62"/>
      <c r="W885" s="62"/>
      <c r="X885" s="62"/>
      <c r="Y885" s="63"/>
      <c r="Z885" s="88"/>
      <c r="AA885" s="88"/>
      <c r="AB885" s="88"/>
      <c r="AC885" s="88"/>
      <c r="AD885" s="88"/>
      <c r="AE885" s="88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8"/>
      <c r="C886" s="88"/>
      <c r="D886" s="88"/>
      <c r="E886" s="88"/>
      <c r="F886" s="88"/>
      <c r="G886" s="88"/>
      <c r="H886" s="62"/>
      <c r="I886" s="62"/>
      <c r="J886" s="62"/>
      <c r="K886" s="62"/>
      <c r="L886" s="62"/>
      <c r="M886" s="62"/>
      <c r="N886" s="88"/>
      <c r="O886" s="88"/>
      <c r="P886" s="88"/>
      <c r="Q886" s="88"/>
      <c r="R886" s="88"/>
      <c r="S886" s="88"/>
      <c r="T886" s="62"/>
      <c r="U886" s="62"/>
      <c r="V886" s="62"/>
      <c r="W886" s="62"/>
      <c r="X886" s="62"/>
      <c r="Y886" s="62"/>
      <c r="Z886" s="88"/>
      <c r="AA886" s="88"/>
      <c r="AB886" s="88"/>
      <c r="AC886" s="88"/>
      <c r="AD886" s="88"/>
      <c r="AE886" s="88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8"/>
      <c r="C887" s="88"/>
      <c r="D887" s="88"/>
      <c r="E887" s="88"/>
      <c r="F887" s="88"/>
      <c r="G887" s="88"/>
      <c r="H887" s="62"/>
      <c r="I887" s="88"/>
      <c r="J887" s="73"/>
      <c r="K887" s="62"/>
      <c r="L887" s="62"/>
      <c r="M887" s="62"/>
      <c r="N887" s="88"/>
      <c r="O887" s="88"/>
      <c r="P887" s="88"/>
      <c r="Q887" s="88"/>
      <c r="R887" s="88"/>
      <c r="S887" s="88"/>
      <c r="T887" s="62"/>
      <c r="U887" s="88"/>
      <c r="V887" s="73"/>
      <c r="W887" s="62"/>
      <c r="X887" s="62"/>
      <c r="Y887" s="62"/>
      <c r="Z887" s="88"/>
      <c r="AA887" s="88"/>
      <c r="AB887" s="88"/>
      <c r="AC887" s="88"/>
      <c r="AD887" s="88"/>
      <c r="AE887" s="88"/>
      <c r="AF887" s="62"/>
      <c r="AG887" s="88"/>
      <c r="AH887" s="88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8"/>
      <c r="C888" s="88"/>
      <c r="D888" s="88"/>
      <c r="E888" s="88"/>
      <c r="F888" s="88"/>
      <c r="G888" s="88"/>
      <c r="H888" s="62"/>
      <c r="I888" s="65"/>
      <c r="J888" s="65"/>
      <c r="K888" s="62"/>
      <c r="L888" s="62"/>
      <c r="M888" s="64"/>
      <c r="N888" s="88"/>
      <c r="O888" s="88"/>
      <c r="P888" s="88"/>
      <c r="Q888" s="88"/>
      <c r="R888" s="88"/>
      <c r="S888" s="88"/>
      <c r="T888" s="62"/>
      <c r="U888" s="65"/>
      <c r="V888" s="65"/>
      <c r="W888" s="62"/>
      <c r="X888" s="62"/>
      <c r="Y888" s="64"/>
      <c r="Z888" s="88"/>
      <c r="AA888" s="88"/>
      <c r="AB888" s="88"/>
      <c r="AC888" s="88"/>
      <c r="AD888" s="88"/>
      <c r="AE888" s="88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8"/>
      <c r="C889" s="88"/>
      <c r="D889" s="88"/>
      <c r="E889" s="88"/>
      <c r="F889" s="88"/>
      <c r="G889" s="88"/>
      <c r="H889" s="62"/>
      <c r="I889" s="62"/>
      <c r="J889" s="62"/>
      <c r="K889" s="62"/>
      <c r="L889" s="62"/>
      <c r="M889" s="62"/>
      <c r="N889" s="88"/>
      <c r="O889" s="88"/>
      <c r="P889" s="88"/>
      <c r="Q889" s="88"/>
      <c r="R889" s="88"/>
      <c r="S889" s="88"/>
      <c r="T889" s="62"/>
      <c r="U889" s="62"/>
      <c r="V889" s="62"/>
      <c r="W889" s="62"/>
      <c r="X889" s="62"/>
      <c r="Y889" s="62"/>
      <c r="Z889" s="88"/>
      <c r="AA889" s="88"/>
      <c r="AB889" s="88"/>
      <c r="AC889" s="88"/>
      <c r="AD889" s="88"/>
      <c r="AE889" s="88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8"/>
      <c r="D890" s="115"/>
      <c r="E890" s="115"/>
      <c r="F890" s="88"/>
      <c r="G890" s="88"/>
      <c r="H890" s="62"/>
      <c r="I890" s="115"/>
      <c r="J890" s="115"/>
      <c r="K890" s="114"/>
      <c r="L890" s="62"/>
      <c r="M890" s="62"/>
      <c r="N890" s="65"/>
      <c r="O890" s="88"/>
      <c r="P890" s="115"/>
      <c r="Q890" s="115"/>
      <c r="R890" s="88"/>
      <c r="S890" s="88"/>
      <c r="T890" s="62"/>
      <c r="U890" s="115"/>
      <c r="V890" s="115"/>
      <c r="W890" s="114"/>
      <c r="X890" s="62"/>
      <c r="Y890" s="62"/>
      <c r="Z890" s="65"/>
      <c r="AA890" s="88"/>
      <c r="AB890" s="115"/>
      <c r="AC890" s="115"/>
      <c r="AD890" s="88"/>
      <c r="AE890" s="88"/>
      <c r="AF890" s="62"/>
      <c r="AG890" s="115"/>
      <c r="AH890" s="115"/>
      <c r="AI890" s="114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8"/>
      <c r="C891" s="88"/>
      <c r="D891" s="79"/>
      <c r="E891" s="80"/>
      <c r="F891" s="81"/>
      <c r="G891" s="81"/>
      <c r="H891" s="62"/>
      <c r="I891" s="87"/>
      <c r="J891" s="87"/>
      <c r="K891" s="114"/>
      <c r="L891" s="62"/>
      <c r="M891" s="62"/>
      <c r="N891" s="88"/>
      <c r="O891" s="88"/>
      <c r="P891" s="79"/>
      <c r="Q891" s="81"/>
      <c r="R891" s="81"/>
      <c r="S891" s="81"/>
      <c r="T891" s="62"/>
      <c r="U891" s="87"/>
      <c r="V891" s="87"/>
      <c r="W891" s="114"/>
      <c r="X891" s="62"/>
      <c r="Y891" s="62"/>
      <c r="Z891" s="88"/>
      <c r="AA891" s="88"/>
      <c r="AB891" s="79"/>
      <c r="AC891" s="81"/>
      <c r="AD891" s="81"/>
      <c r="AE891" s="81"/>
      <c r="AF891" s="62"/>
      <c r="AG891" s="87"/>
      <c r="AH891" s="87"/>
      <c r="AI891" s="114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8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8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8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8"/>
      <c r="AB893" s="60"/>
      <c r="AC893" s="62"/>
      <c r="AD893" s="60"/>
      <c r="AE893" s="60"/>
      <c r="AF893" s="61"/>
      <c r="AG893" s="61"/>
      <c r="AH893" s="62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8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8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8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8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8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8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8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8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8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8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8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8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8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8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8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8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8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8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8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8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8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5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8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8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8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62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8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8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8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8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8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8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8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8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8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8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8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8"/>
      <c r="P912" s="89"/>
      <c r="Q912" s="88"/>
      <c r="R912" s="88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88"/>
      <c r="AD912" s="88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65"/>
      <c r="P913" s="89"/>
      <c r="Q913" s="88"/>
      <c r="R913" s="88"/>
      <c r="S913" s="60"/>
      <c r="T913" s="62"/>
      <c r="U913" s="62"/>
      <c r="V913" s="62"/>
      <c r="W913" s="61"/>
      <c r="X913" s="62"/>
      <c r="Y913" s="62"/>
      <c r="Z913" s="66"/>
      <c r="AA913" s="88"/>
      <c r="AB913" s="68"/>
      <c r="AC913" s="88"/>
      <c r="AD913" s="88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8"/>
      <c r="P914" s="69"/>
      <c r="Q914" s="88"/>
      <c r="R914" s="62"/>
      <c r="S914" s="60"/>
      <c r="T914" s="62"/>
      <c r="U914" s="62"/>
      <c r="V914" s="62"/>
      <c r="W914" s="61"/>
      <c r="X914" s="62"/>
      <c r="Y914" s="62"/>
      <c r="Z914" s="66"/>
      <c r="AA914" s="88"/>
      <c r="AB914" s="69"/>
      <c r="AC914" s="88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62"/>
      <c r="P915" s="69"/>
      <c r="Q915" s="88"/>
      <c r="R915" s="88"/>
      <c r="S915" s="60"/>
      <c r="T915" s="62"/>
      <c r="U915" s="62"/>
      <c r="V915" s="62"/>
      <c r="W915" s="61"/>
      <c r="X915" s="62"/>
      <c r="Y915" s="62"/>
      <c r="Z915" s="66"/>
      <c r="AA915" s="88"/>
      <c r="AB915" s="69"/>
      <c r="AC915" s="88"/>
      <c r="AD915" s="88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8"/>
      <c r="P916" s="69"/>
      <c r="Q916" s="88"/>
      <c r="R916" s="88"/>
      <c r="S916" s="60"/>
      <c r="T916" s="62"/>
      <c r="U916" s="62"/>
      <c r="V916" s="62"/>
      <c r="W916" s="61"/>
      <c r="X916" s="62"/>
      <c r="Y916" s="62"/>
      <c r="Z916" s="66"/>
      <c r="AA916" s="88"/>
      <c r="AB916" s="69"/>
      <c r="AC916" s="88"/>
      <c r="AD916" s="88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8"/>
      <c r="P917" s="69"/>
      <c r="Q917" s="88"/>
      <c r="R917" s="88"/>
      <c r="S917" s="60"/>
      <c r="T917" s="62"/>
      <c r="U917" s="62"/>
      <c r="V917" s="62"/>
      <c r="W917" s="61"/>
      <c r="X917" s="62"/>
      <c r="Y917" s="62"/>
      <c r="Z917" s="66"/>
      <c r="AA917" s="88"/>
      <c r="AB917" s="69"/>
      <c r="AC917" s="88"/>
      <c r="AD917" s="88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8"/>
      <c r="P918" s="69"/>
      <c r="Q918" s="88"/>
      <c r="R918" s="88"/>
      <c r="S918" s="60"/>
      <c r="T918" s="62"/>
      <c r="U918" s="62"/>
      <c r="V918" s="62"/>
      <c r="W918" s="61"/>
      <c r="X918" s="62"/>
      <c r="Y918" s="62"/>
      <c r="Z918" s="66"/>
      <c r="AA918" s="88"/>
      <c r="AB918" s="69"/>
      <c r="AC918" s="88"/>
      <c r="AD918" s="88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8"/>
      <c r="P919" s="69"/>
      <c r="Q919" s="88"/>
      <c r="R919" s="88"/>
      <c r="S919" s="60"/>
      <c r="T919" s="62"/>
      <c r="U919" s="62"/>
      <c r="V919" s="62"/>
      <c r="W919" s="61"/>
      <c r="X919" s="62"/>
      <c r="Y919" s="62"/>
      <c r="Z919" s="66"/>
      <c r="AA919" s="88"/>
      <c r="AB919" s="69"/>
      <c r="AC919" s="88"/>
      <c r="AD919" s="88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8"/>
      <c r="P920" s="69"/>
      <c r="Q920" s="88"/>
      <c r="R920" s="88"/>
      <c r="S920" s="60"/>
      <c r="T920" s="62"/>
      <c r="U920" s="62"/>
      <c r="V920" s="62"/>
      <c r="W920" s="61"/>
      <c r="X920" s="62"/>
      <c r="Y920" s="62"/>
      <c r="Z920" s="66"/>
      <c r="AA920" s="88"/>
      <c r="AB920" s="69"/>
      <c r="AC920" s="88"/>
      <c r="AD920" s="88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8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88"/>
      <c r="R921" s="88"/>
      <c r="S921" s="60"/>
      <c r="T921" s="62"/>
      <c r="U921" s="62"/>
      <c r="V921" s="62"/>
      <c r="W921" s="61"/>
      <c r="X921" s="62"/>
      <c r="Y921" s="62"/>
      <c r="Z921" s="66"/>
      <c r="AA921" s="88"/>
      <c r="AB921" s="69"/>
      <c r="AC921" s="88"/>
      <c r="AD921" s="88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8"/>
      <c r="P922" s="69"/>
      <c r="Q922" s="88"/>
      <c r="R922" s="88"/>
      <c r="S922" s="60"/>
      <c r="T922" s="62"/>
      <c r="U922" s="62"/>
      <c r="V922" s="62"/>
      <c r="W922" s="61"/>
      <c r="X922" s="62"/>
      <c r="Y922" s="62"/>
      <c r="Z922" s="66"/>
      <c r="AA922" s="88"/>
      <c r="AB922" s="69"/>
      <c r="AC922" s="88"/>
      <c r="AD922" s="88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8"/>
      <c r="P923" s="69"/>
      <c r="Q923" s="88"/>
      <c r="R923" s="88"/>
      <c r="S923" s="60"/>
      <c r="T923" s="62"/>
      <c r="U923" s="62"/>
      <c r="V923" s="62"/>
      <c r="W923" s="61"/>
      <c r="X923" s="62"/>
      <c r="Y923" s="62"/>
      <c r="Z923" s="66"/>
      <c r="AA923" s="88"/>
      <c r="AB923" s="69"/>
      <c r="AC923" s="88"/>
      <c r="AD923" s="88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8"/>
      <c r="P924" s="69"/>
      <c r="Q924" s="88"/>
      <c r="R924" s="88"/>
      <c r="S924" s="60"/>
      <c r="T924" s="62"/>
      <c r="U924" s="62"/>
      <c r="V924" s="62"/>
      <c r="W924" s="61"/>
      <c r="X924" s="62"/>
      <c r="Y924" s="62"/>
      <c r="Z924" s="66"/>
      <c r="AA924" s="88"/>
      <c r="AB924" s="69"/>
      <c r="AC924" s="88"/>
      <c r="AD924" s="88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8"/>
      <c r="P925" s="69"/>
      <c r="Q925" s="88"/>
      <c r="R925" s="88"/>
      <c r="S925" s="60"/>
      <c r="T925" s="62"/>
      <c r="U925" s="62"/>
      <c r="V925" s="62"/>
      <c r="W925" s="61"/>
      <c r="X925" s="62"/>
      <c r="Y925" s="62"/>
      <c r="Z925" s="66"/>
      <c r="AA925" s="88"/>
      <c r="AB925" s="69"/>
      <c r="AC925" s="88"/>
      <c r="AD925" s="88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8"/>
      <c r="P926" s="69"/>
      <c r="Q926" s="88"/>
      <c r="R926" s="88"/>
      <c r="S926" s="60"/>
      <c r="T926" s="62"/>
      <c r="U926" s="62"/>
      <c r="V926" s="62"/>
      <c r="W926" s="61"/>
      <c r="X926" s="62"/>
      <c r="Y926" s="62"/>
      <c r="Z926" s="66"/>
      <c r="AA926" s="88"/>
      <c r="AB926" s="69"/>
      <c r="AC926" s="88"/>
      <c r="AD926" s="88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8"/>
      <c r="P927" s="69"/>
      <c r="Q927" s="88"/>
      <c r="R927" s="88"/>
      <c r="S927" s="60"/>
      <c r="T927" s="62"/>
      <c r="U927" s="62"/>
      <c r="V927" s="62"/>
      <c r="W927" s="61"/>
      <c r="X927" s="62"/>
      <c r="Y927" s="62"/>
      <c r="Z927" s="66"/>
      <c r="AA927" s="88"/>
      <c r="AB927" s="69"/>
      <c r="AC927" s="88"/>
      <c r="AD927" s="88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8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8"/>
      <c r="R928" s="88"/>
      <c r="S928" s="60"/>
      <c r="T928" s="62"/>
      <c r="U928" s="62"/>
      <c r="V928" s="62"/>
      <c r="W928" s="61"/>
      <c r="X928" s="62"/>
      <c r="Y928" s="62"/>
      <c r="Z928" s="66"/>
      <c r="AA928" s="88"/>
      <c r="AB928" s="69"/>
      <c r="AC928" s="88"/>
      <c r="AD928" s="88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8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8"/>
      <c r="P929" s="69"/>
      <c r="Q929" s="88"/>
      <c r="R929" s="88"/>
      <c r="S929" s="60"/>
      <c r="T929" s="62"/>
      <c r="U929" s="62"/>
      <c r="V929" s="62"/>
      <c r="W929" s="61"/>
      <c r="X929" s="62"/>
      <c r="Y929" s="62"/>
      <c r="Z929" s="66"/>
      <c r="AA929" s="88"/>
      <c r="AB929" s="69"/>
      <c r="AC929" s="88"/>
      <c r="AD929" s="88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8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8"/>
      <c r="P930" s="69"/>
      <c r="Q930" s="88"/>
      <c r="R930" s="88"/>
      <c r="S930" s="60"/>
      <c r="T930" s="62"/>
      <c r="U930" s="62"/>
      <c r="V930" s="62"/>
      <c r="W930" s="61"/>
      <c r="X930" s="62"/>
      <c r="Y930" s="62"/>
      <c r="Z930" s="66"/>
      <c r="AA930" s="88"/>
      <c r="AB930" s="69"/>
      <c r="AC930" s="88"/>
      <c r="AD930" s="88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8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8"/>
      <c r="R931" s="88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8"/>
      <c r="AD931" s="88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8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8"/>
      <c r="P932" s="69"/>
      <c r="Q932" s="88"/>
      <c r="R932" s="88"/>
      <c r="S932" s="60"/>
      <c r="T932" s="62"/>
      <c r="U932" s="62"/>
      <c r="V932" s="62"/>
      <c r="W932" s="61"/>
      <c r="X932" s="62"/>
      <c r="Y932" s="62"/>
      <c r="Z932" s="66"/>
      <c r="AA932" s="88"/>
      <c r="AB932" s="69"/>
      <c r="AC932" s="88"/>
      <c r="AD932" s="88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8"/>
      <c r="O933" s="88"/>
      <c r="P933" s="88"/>
      <c r="Q933" s="88"/>
      <c r="R933" s="88"/>
      <c r="S933" s="88"/>
      <c r="T933" s="62"/>
      <c r="U933" s="62"/>
      <c r="V933" s="62"/>
      <c r="W933" s="61"/>
      <c r="X933" s="62"/>
      <c r="Y933" s="62"/>
      <c r="Z933" s="88"/>
      <c r="AA933" s="88"/>
      <c r="AB933" s="88"/>
      <c r="AC933" s="88"/>
      <c r="AD933" s="88"/>
      <c r="AE933" s="88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8"/>
      <c r="C934" s="88"/>
      <c r="D934" s="88"/>
      <c r="E934" s="88"/>
      <c r="F934" s="88"/>
      <c r="G934" s="88"/>
      <c r="H934" s="62"/>
      <c r="I934" s="62"/>
      <c r="J934" s="62"/>
      <c r="K934" s="62"/>
      <c r="L934" s="62"/>
      <c r="M934" s="62"/>
      <c r="N934" s="88"/>
      <c r="O934" s="88"/>
      <c r="P934" s="88"/>
      <c r="Q934" s="88"/>
      <c r="R934" s="88"/>
      <c r="S934" s="88"/>
      <c r="T934" s="62"/>
      <c r="U934" s="62"/>
      <c r="V934" s="62"/>
      <c r="W934" s="62"/>
      <c r="X934" s="62"/>
      <c r="Y934" s="62"/>
      <c r="Z934" s="88"/>
      <c r="AA934" s="88"/>
      <c r="AB934" s="88"/>
      <c r="AC934" s="88"/>
      <c r="AD934" s="88"/>
      <c r="AE934" s="88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8"/>
      <c r="C935" s="88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8"/>
      <c r="O935" s="88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8"/>
      <c r="AA935" s="88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15"/>
      <c r="E945" s="115"/>
      <c r="F945" s="88"/>
      <c r="G945" s="88"/>
      <c r="H945" s="62"/>
      <c r="I945" s="115"/>
      <c r="J945" s="115"/>
      <c r="K945" s="114"/>
      <c r="L945" s="62"/>
      <c r="M945" s="62"/>
      <c r="N945" s="65"/>
      <c r="O945" s="88"/>
      <c r="P945" s="115"/>
      <c r="Q945" s="115"/>
      <c r="R945" s="88"/>
      <c r="S945" s="88"/>
      <c r="T945" s="62"/>
      <c r="U945" s="115"/>
      <c r="V945" s="115"/>
      <c r="W945" s="114"/>
      <c r="X945" s="62"/>
      <c r="Y945" s="62"/>
      <c r="Z945" s="65"/>
      <c r="AA945" s="88"/>
      <c r="AB945" s="115"/>
      <c r="AC945" s="115"/>
      <c r="AD945" s="88"/>
      <c r="AE945" s="88"/>
      <c r="AF945" s="62"/>
      <c r="AG945" s="115"/>
      <c r="AH945" s="115"/>
      <c r="AI945" s="114"/>
      <c r="AJ945" s="62"/>
      <c r="AK945" s="62"/>
      <c r="AL945" s="65"/>
      <c r="AM945" s="86"/>
      <c r="AN945" s="115"/>
      <c r="AO945" s="115"/>
      <c r="AP945" s="86"/>
      <c r="AQ945" s="86"/>
      <c r="AR945" s="62"/>
      <c r="AS945" s="115"/>
      <c r="AT945" s="115"/>
      <c r="AU945" s="114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14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14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14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14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15"/>
      <c r="E1000" s="115"/>
      <c r="F1000" s="86"/>
      <c r="G1000" s="86"/>
      <c r="H1000" s="62"/>
      <c r="I1000" s="115"/>
      <c r="J1000" s="115"/>
      <c r="K1000" s="114"/>
      <c r="L1000" s="62"/>
      <c r="M1000" s="62"/>
      <c r="N1000" s="65"/>
      <c r="O1000" s="86"/>
      <c r="P1000" s="115"/>
      <c r="Q1000" s="115"/>
      <c r="R1000" s="86"/>
      <c r="S1000" s="86"/>
      <c r="T1000" s="62"/>
      <c r="U1000" s="115"/>
      <c r="V1000" s="115"/>
      <c r="W1000" s="114"/>
      <c r="X1000" s="62"/>
      <c r="Y1000" s="62"/>
      <c r="Z1000" s="65"/>
      <c r="AA1000" s="86"/>
      <c r="AB1000" s="115"/>
      <c r="AC1000" s="115"/>
      <c r="AD1000" s="86"/>
      <c r="AE1000" s="86"/>
      <c r="AF1000" s="62"/>
      <c r="AG1000" s="115"/>
      <c r="AH1000" s="115"/>
      <c r="AI1000" s="114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14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14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14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15"/>
      <c r="E1055" s="115"/>
      <c r="F1055" s="86"/>
      <c r="G1055" s="86"/>
      <c r="H1055" s="62"/>
      <c r="I1055" s="115"/>
      <c r="J1055" s="115"/>
      <c r="K1055" s="114"/>
      <c r="L1055" s="62"/>
      <c r="M1055" s="62"/>
      <c r="N1055" s="65"/>
      <c r="O1055" s="86"/>
      <c r="P1055" s="115"/>
      <c r="Q1055" s="115"/>
      <c r="R1055" s="86"/>
      <c r="S1055" s="86"/>
      <c r="T1055" s="62"/>
      <c r="U1055" s="115"/>
      <c r="V1055" s="115"/>
      <c r="W1055" s="114"/>
      <c r="X1055" s="62"/>
      <c r="Y1055" s="62"/>
      <c r="Z1055" s="65"/>
      <c r="AA1055" s="86"/>
      <c r="AB1055" s="115"/>
      <c r="AC1055" s="115"/>
      <c r="AD1055" s="86"/>
      <c r="AE1055" s="86"/>
      <c r="AF1055" s="62"/>
      <c r="AG1055" s="115"/>
      <c r="AH1055" s="115"/>
      <c r="AI1055" s="114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14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14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14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15"/>
      <c r="E1110" s="115"/>
      <c r="F1110" s="86"/>
      <c r="G1110" s="86"/>
      <c r="H1110" s="62"/>
      <c r="I1110" s="115"/>
      <c r="J1110" s="115"/>
      <c r="K1110" s="114"/>
      <c r="L1110" s="62"/>
      <c r="M1110" s="62"/>
      <c r="N1110" s="65"/>
      <c r="O1110" s="86"/>
      <c r="P1110" s="115"/>
      <c r="Q1110" s="115"/>
      <c r="R1110" s="86"/>
      <c r="S1110" s="86"/>
      <c r="T1110" s="62"/>
      <c r="U1110" s="115"/>
      <c r="V1110" s="115"/>
      <c r="W1110" s="114"/>
      <c r="X1110" s="62"/>
      <c r="Y1110" s="62"/>
      <c r="Z1110" s="65"/>
      <c r="AA1110" s="86"/>
      <c r="AB1110" s="115"/>
      <c r="AC1110" s="115"/>
      <c r="AD1110" s="86"/>
      <c r="AE1110" s="86"/>
      <c r="AF1110" s="62"/>
      <c r="AG1110" s="115"/>
      <c r="AH1110" s="115"/>
      <c r="AI1110" s="114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14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14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14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15"/>
      <c r="E1165" s="115"/>
      <c r="F1165" s="86"/>
      <c r="G1165" s="86"/>
      <c r="H1165" s="62"/>
      <c r="I1165" s="115"/>
      <c r="J1165" s="115"/>
      <c r="K1165" s="114"/>
      <c r="L1165" s="62"/>
      <c r="M1165" s="62"/>
      <c r="N1165" s="65"/>
      <c r="O1165" s="86"/>
      <c r="P1165" s="115"/>
      <c r="Q1165" s="115"/>
      <c r="R1165" s="86"/>
      <c r="S1165" s="86"/>
      <c r="T1165" s="62"/>
      <c r="U1165" s="115"/>
      <c r="V1165" s="115"/>
      <c r="W1165" s="114"/>
      <c r="X1165" s="62"/>
      <c r="Y1165" s="62"/>
      <c r="Z1165" s="65"/>
      <c r="AA1165" s="86"/>
      <c r="AB1165" s="115"/>
      <c r="AC1165" s="115"/>
      <c r="AD1165" s="86"/>
      <c r="AE1165" s="86"/>
      <c r="AF1165" s="62"/>
      <c r="AG1165" s="115"/>
      <c r="AH1165" s="115"/>
      <c r="AI1165" s="114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14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14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14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15"/>
      <c r="E1221" s="115"/>
      <c r="F1221" s="86"/>
      <c r="G1221" s="86"/>
      <c r="H1221" s="62"/>
      <c r="I1221" s="115"/>
      <c r="J1221" s="115"/>
      <c r="K1221" s="114"/>
      <c r="L1221" s="62"/>
      <c r="M1221" s="62"/>
      <c r="N1221" s="65"/>
      <c r="O1221" s="86"/>
      <c r="P1221" s="115"/>
      <c r="Q1221" s="115"/>
      <c r="R1221" s="86"/>
      <c r="S1221" s="86"/>
      <c r="T1221" s="62"/>
      <c r="U1221" s="115"/>
      <c r="V1221" s="115"/>
      <c r="W1221" s="114"/>
      <c r="X1221" s="62"/>
      <c r="Y1221" s="62"/>
      <c r="Z1221" s="65"/>
      <c r="AA1221" s="86"/>
      <c r="AB1221" s="115"/>
      <c r="AC1221" s="115"/>
      <c r="AD1221" s="86"/>
      <c r="AE1221" s="86"/>
      <c r="AF1221" s="62"/>
      <c r="AG1221" s="115"/>
      <c r="AH1221" s="115"/>
      <c r="AI1221" s="114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14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14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14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15"/>
      <c r="E1283" s="115"/>
      <c r="F1283" s="86"/>
      <c r="G1283" s="86"/>
      <c r="H1283" s="62"/>
      <c r="I1283" s="115"/>
      <c r="J1283" s="115"/>
      <c r="K1283" s="114"/>
      <c r="L1283" s="62"/>
      <c r="M1283" s="62"/>
      <c r="N1283" s="65"/>
      <c r="O1283" s="86"/>
      <c r="P1283" s="115"/>
      <c r="Q1283" s="115"/>
      <c r="R1283" s="86"/>
      <c r="S1283" s="86"/>
      <c r="T1283" s="62"/>
      <c r="U1283" s="115"/>
      <c r="V1283" s="115"/>
      <c r="W1283" s="114"/>
      <c r="X1283" s="62"/>
      <c r="Y1283" s="62"/>
      <c r="Z1283" s="65"/>
      <c r="AA1283" s="86"/>
      <c r="AB1283" s="115"/>
      <c r="AC1283" s="115"/>
      <c r="AD1283" s="86"/>
      <c r="AE1283" s="86"/>
      <c r="AF1283" s="62"/>
      <c r="AG1283" s="115"/>
      <c r="AH1283" s="115"/>
      <c r="AI1283" s="114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14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14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14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MARCH</vt:lpstr>
      <vt:lpstr>DSIS | MARCH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2026-03-18T01:54:20Z</dcterms:modified>
</cp:coreProperties>
</file>